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7B57FD8-2F4D-4658-8851-6DFD3EC149AD}"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28" l="1"/>
  <c r="F29" i="28"/>
  <c r="F25" i="28"/>
  <c r="F12" i="28"/>
  <c r="F13" i="28"/>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G7" i="27"/>
  <c r="G8" i="27"/>
  <c r="G9" i="27"/>
  <c r="G10" i="27"/>
  <c r="G12" i="27"/>
  <c r="G14" i="27"/>
  <c r="G16" i="27"/>
  <c r="G26" i="27"/>
  <c r="G29" i="27"/>
  <c r="G30" i="27"/>
  <c r="G31" i="27"/>
  <c r="G33" i="27"/>
  <c r="G34" i="27"/>
  <c r="G35" i="27"/>
  <c r="G37" i="27"/>
  <c r="G39" i="27"/>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5" i="26"/>
  <c r="J4"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5" i="26"/>
  <c r="I4" i="26"/>
  <c r="G6" i="26"/>
  <c r="G7" i="26"/>
  <c r="G8" i="26"/>
  <c r="G9" i="26"/>
  <c r="G10" i="26"/>
  <c r="G11" i="26"/>
  <c r="G12"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5" i="26"/>
  <c r="G4" i="26"/>
  <c r="J6" i="27"/>
  <c r="J7" i="27"/>
  <c r="J8" i="27"/>
  <c r="J9" i="27"/>
  <c r="J10" i="27"/>
  <c r="J11" i="27"/>
  <c r="J12" i="27"/>
  <c r="J13" i="27"/>
  <c r="J14" i="27"/>
  <c r="J15" i="27"/>
  <c r="J16" i="27"/>
  <c r="J21" i="27"/>
  <c r="J25" i="27"/>
  <c r="J26" i="27"/>
  <c r="J27" i="27"/>
  <c r="J29" i="27"/>
  <c r="J30" i="27"/>
  <c r="J33" i="27"/>
  <c r="J34" i="27"/>
  <c r="J35" i="27"/>
  <c r="J37" i="27"/>
  <c r="J39" i="27"/>
  <c r="J41" i="27"/>
  <c r="J43" i="27"/>
  <c r="J4" i="27"/>
  <c r="I6" i="27"/>
  <c r="I7" i="27"/>
  <c r="I8" i="27"/>
  <c r="I9" i="27"/>
  <c r="I10" i="27"/>
  <c r="I11" i="27"/>
  <c r="I12" i="27"/>
  <c r="I13" i="27"/>
  <c r="I14" i="27"/>
  <c r="I15" i="27"/>
  <c r="I16" i="27"/>
  <c r="I17" i="27"/>
  <c r="J17" i="27" s="1"/>
  <c r="I18" i="27"/>
  <c r="J18" i="27" s="1"/>
  <c r="I19" i="27"/>
  <c r="J19" i="27" s="1"/>
  <c r="I20" i="27"/>
  <c r="J20" i="27" s="1"/>
  <c r="I21" i="27"/>
  <c r="I22" i="27"/>
  <c r="J22" i="27" s="1"/>
  <c r="I23" i="27"/>
  <c r="J23" i="27" s="1"/>
  <c r="I24" i="27"/>
  <c r="J24" i="27" s="1"/>
  <c r="I25" i="27"/>
  <c r="I26" i="27"/>
  <c r="I27" i="27"/>
  <c r="I28" i="27"/>
  <c r="J28" i="27" s="1"/>
  <c r="I29" i="27"/>
  <c r="I30" i="27"/>
  <c r="I31" i="27"/>
  <c r="J31" i="27" s="1"/>
  <c r="I32" i="27"/>
  <c r="J32" i="27" s="1"/>
  <c r="I33" i="27"/>
  <c r="I34" i="27"/>
  <c r="I35" i="27"/>
  <c r="I36" i="27"/>
  <c r="J36" i="27" s="1"/>
  <c r="I37" i="27"/>
  <c r="I38" i="27"/>
  <c r="J38" i="27" s="1"/>
  <c r="I39" i="27"/>
  <c r="I40" i="27"/>
  <c r="J40" i="27" s="1"/>
  <c r="I41" i="27"/>
  <c r="I42" i="27"/>
  <c r="J42" i="27" s="1"/>
  <c r="I5" i="27"/>
  <c r="J5" i="27" s="1"/>
  <c r="I4" i="27"/>
  <c r="G4" i="27"/>
  <c r="F6" i="27"/>
  <c r="G6" i="27" s="1"/>
  <c r="F7" i="27"/>
  <c r="F8" i="27"/>
  <c r="F9" i="27"/>
  <c r="F10" i="27"/>
  <c r="F11" i="27"/>
  <c r="G11" i="27" s="1"/>
  <c r="F12" i="27"/>
  <c r="F13" i="27"/>
  <c r="G13" i="27" s="1"/>
  <c r="F14" i="27"/>
  <c r="F15" i="27"/>
  <c r="G15" i="27" s="1"/>
  <c r="F16" i="27"/>
  <c r="F17" i="27"/>
  <c r="G17" i="27" s="1"/>
  <c r="F18" i="27"/>
  <c r="G18" i="27" s="1"/>
  <c r="F19" i="27"/>
  <c r="G19" i="27" s="1"/>
  <c r="F20" i="27"/>
  <c r="G20" i="27" s="1"/>
  <c r="F21" i="27"/>
  <c r="G21" i="27" s="1"/>
  <c r="F22" i="27"/>
  <c r="G22" i="27" s="1"/>
  <c r="F23" i="27"/>
  <c r="G23" i="27" s="1"/>
  <c r="F24" i="27"/>
  <c r="G24" i="27" s="1"/>
  <c r="F25" i="27"/>
  <c r="G25" i="27" s="1"/>
  <c r="F26" i="27"/>
  <c r="F27" i="27"/>
  <c r="G27" i="27" s="1"/>
  <c r="F28" i="27"/>
  <c r="G28" i="27" s="1"/>
  <c r="F29" i="27"/>
  <c r="F30" i="27"/>
  <c r="F31" i="27"/>
  <c r="F32" i="27"/>
  <c r="G32" i="27" s="1"/>
  <c r="F33" i="27"/>
  <c r="F34" i="27"/>
  <c r="F35" i="27"/>
  <c r="F36" i="27"/>
  <c r="G36" i="27" s="1"/>
  <c r="F37" i="27"/>
  <c r="F38" i="27"/>
  <c r="G38" i="27" s="1"/>
  <c r="F39" i="27"/>
  <c r="F40" i="27"/>
  <c r="G40" i="27" s="1"/>
  <c r="F41" i="27"/>
  <c r="G41" i="27" s="1"/>
  <c r="F42" i="27"/>
  <c r="G42" i="27" s="1"/>
  <c r="F5" i="27"/>
  <c r="G5" i="27" s="1"/>
  <c r="F4" i="27"/>
  <c r="F6" i="26"/>
  <c r="F7" i="26"/>
  <c r="F8" i="26"/>
  <c r="F9" i="26"/>
  <c r="F10" i="26"/>
  <c r="F11" i="26"/>
  <c r="F12" i="26"/>
  <c r="F13" i="26"/>
  <c r="G13" i="26" s="1"/>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5" i="26"/>
  <c r="F4" i="26"/>
  <c r="I7" i="1"/>
  <c r="I10" i="1"/>
  <c r="I11" i="1"/>
  <c r="I12" i="1"/>
  <c r="I13" i="1"/>
  <c r="I14" i="1"/>
  <c r="I15" i="1"/>
  <c r="I17" i="1"/>
  <c r="I18" i="1"/>
  <c r="I19" i="1"/>
  <c r="I22" i="1"/>
  <c r="I23" i="1"/>
  <c r="I26" i="1"/>
  <c r="I27" i="1"/>
  <c r="I28" i="1"/>
  <c r="I29" i="1"/>
  <c r="I30" i="1"/>
  <c r="I31" i="1"/>
  <c r="I33" i="1"/>
  <c r="I34" i="1"/>
  <c r="I35" i="1"/>
  <c r="I42" i="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I6" i="1"/>
  <c r="I8" i="1"/>
  <c r="I9" i="1"/>
  <c r="I16" i="1"/>
  <c r="I20" i="1"/>
  <c r="I21" i="1"/>
  <c r="I24" i="1"/>
  <c r="I25" i="1"/>
  <c r="I32" i="1"/>
  <c r="I36" i="1"/>
  <c r="I37" i="1"/>
  <c r="I38" i="1"/>
  <c r="I39" i="1"/>
  <c r="I40" i="1"/>
  <c r="I41" i="1"/>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D4" i="1"/>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5" i="27"/>
  <c r="I7" i="18"/>
  <c r="I138" i="18"/>
  <c r="I139" i="18"/>
  <c r="J201" i="18"/>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15" i="30" s="1"/>
  <c r="I33" i="33"/>
  <c r="J33" i="33"/>
  <c r="I34" i="33"/>
  <c r="I17" i="30" s="1"/>
  <c r="J34" i="33"/>
  <c r="I35" i="33"/>
  <c r="J35" i="33" s="1"/>
  <c r="I36" i="33"/>
  <c r="J36" i="33" s="1"/>
  <c r="I37" i="33"/>
  <c r="J37" i="33"/>
  <c r="I38" i="33"/>
  <c r="I39" i="33"/>
  <c r="J39" i="33"/>
  <c r="I40" i="33"/>
  <c r="J40" i="33"/>
  <c r="I41" i="33"/>
  <c r="J41" i="33"/>
  <c r="I42" i="33"/>
  <c r="I25" i="30" s="1"/>
  <c r="J42" i="33"/>
  <c r="I43" i="33"/>
  <c r="I26" i="30" s="1"/>
  <c r="I44" i="33"/>
  <c r="J44" i="33"/>
  <c r="I45" i="33"/>
  <c r="J45" i="33" s="1"/>
  <c r="I46" i="33"/>
  <c r="J46" i="33"/>
  <c r="I47" i="33"/>
  <c r="J47" i="33"/>
  <c r="I48" i="33"/>
  <c r="J48" i="33" s="1"/>
  <c r="I49" i="33"/>
  <c r="J49" i="33"/>
  <c r="I50" i="33"/>
  <c r="I33" i="30" s="1"/>
  <c r="J50" i="33"/>
  <c r="I51" i="33"/>
  <c r="J51" i="33" s="1"/>
  <c r="I52" i="33"/>
  <c r="J52" i="33"/>
  <c r="I53" i="33"/>
  <c r="J53" i="33" s="1"/>
  <c r="I54" i="33"/>
  <c r="J54" i="33"/>
  <c r="I55" i="33"/>
  <c r="J55" i="33"/>
  <c r="I56" i="33"/>
  <c r="J56" i="33" s="1"/>
  <c r="I57" i="33"/>
  <c r="I40" i="30" s="1"/>
  <c r="I58" i="33"/>
  <c r="J58" i="33" s="1"/>
  <c r="I59" i="33"/>
  <c r="I42" i="30" s="1"/>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J75" i="33"/>
  <c r="I76" i="33"/>
  <c r="J76" i="33" s="1"/>
  <c r="I77" i="33"/>
  <c r="J77" i="33" s="1"/>
  <c r="I78" i="33"/>
  <c r="J78" i="33" s="1"/>
  <c r="I79" i="33"/>
  <c r="J79" i="33"/>
  <c r="I80" i="33"/>
  <c r="J80" i="33"/>
  <c r="I81" i="33"/>
  <c r="J81" i="33" s="1"/>
  <c r="I82" i="33"/>
  <c r="J82" i="33"/>
  <c r="I83" i="33"/>
  <c r="J83" i="33"/>
  <c r="I84" i="33"/>
  <c r="J84" i="33"/>
  <c r="I85" i="33"/>
  <c r="J85" i="33" s="1"/>
  <c r="I86" i="33"/>
  <c r="J86" i="33" s="1"/>
  <c r="I87" i="33"/>
  <c r="J87" i="33"/>
  <c r="I88" i="33"/>
  <c r="J88" i="33"/>
  <c r="I89" i="33"/>
  <c r="J89" i="33" s="1"/>
  <c r="I90" i="33"/>
  <c r="J90" i="33"/>
  <c r="I91" i="33"/>
  <c r="J91" i="33"/>
  <c r="I92" i="33"/>
  <c r="J92" i="33"/>
  <c r="I93" i="33"/>
  <c r="J93" i="33"/>
  <c r="I94" i="33"/>
  <c r="I95" i="33"/>
  <c r="J95" i="33"/>
  <c r="I96" i="33"/>
  <c r="J96" i="33"/>
  <c r="I97" i="33"/>
  <c r="J97" i="33" s="1"/>
  <c r="I98" i="33"/>
  <c r="J98" i="33"/>
  <c r="I99" i="33"/>
  <c r="J99" i="33"/>
  <c r="I100" i="33"/>
  <c r="J100" i="33"/>
  <c r="I101" i="33"/>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142" i="33"/>
  <c r="J142" i="33" s="1"/>
  <c r="I143" i="33"/>
  <c r="J143" i="33"/>
  <c r="I144" i="33"/>
  <c r="J144" i="33"/>
  <c r="I145" i="33"/>
  <c r="I146" i="33"/>
  <c r="J146" i="33"/>
  <c r="I147" i="33"/>
  <c r="J147" i="33"/>
  <c r="I148" i="33"/>
  <c r="J148" i="33"/>
  <c r="I149" i="33"/>
  <c r="J149" i="33"/>
  <c r="I150" i="33"/>
  <c r="J150" i="33" s="1"/>
  <c r="I151" i="33"/>
  <c r="J151" i="33"/>
  <c r="I152" i="33"/>
  <c r="J152" i="33"/>
  <c r="I153" i="33"/>
  <c r="J153" i="33" s="1"/>
  <c r="I154" i="33"/>
  <c r="J154" i="33"/>
  <c r="I155" i="33"/>
  <c r="J155" i="33"/>
  <c r="I156" i="33"/>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G85" i="32"/>
  <c r="G86" i="32"/>
  <c r="F105" i="32"/>
  <c r="J28" i="32"/>
  <c r="J29" i="32"/>
  <c r="J53" i="32"/>
  <c r="J58" i="32"/>
  <c r="J74" i="32"/>
  <c r="I18" i="32"/>
  <c r="J18" i="32"/>
  <c r="I19" i="32"/>
  <c r="I20" i="32"/>
  <c r="J20" i="32"/>
  <c r="I21" i="32"/>
  <c r="J21" i="32"/>
  <c r="I22" i="32"/>
  <c r="J22" i="32" s="1"/>
  <c r="I23" i="32"/>
  <c r="I6" i="30" s="1"/>
  <c r="J23" i="32"/>
  <c r="I24" i="32"/>
  <c r="I7" i="30" s="1"/>
  <c r="J24" i="32"/>
  <c r="I25" i="32"/>
  <c r="I8" i="30" s="1"/>
  <c r="J25" i="32"/>
  <c r="I26" i="32"/>
  <c r="J26" i="32"/>
  <c r="I27" i="32"/>
  <c r="J27" i="32" s="1"/>
  <c r="I28" i="32"/>
  <c r="I29" i="32"/>
  <c r="I30" i="32"/>
  <c r="J30" i="32"/>
  <c r="I31" i="32"/>
  <c r="I14" i="30" s="1"/>
  <c r="I32" i="32"/>
  <c r="J32" i="32"/>
  <c r="I33" i="32"/>
  <c r="J33" i="32" s="1"/>
  <c r="I34" i="32"/>
  <c r="J34" i="32" s="1"/>
  <c r="I35" i="32"/>
  <c r="J35" i="32"/>
  <c r="I36" i="32"/>
  <c r="J36" i="32"/>
  <c r="I37" i="32"/>
  <c r="J37" i="32" s="1"/>
  <c r="I38" i="32"/>
  <c r="J38" i="32"/>
  <c r="I39" i="32"/>
  <c r="J39" i="32"/>
  <c r="I40" i="32"/>
  <c r="J40" i="32"/>
  <c r="I41" i="32"/>
  <c r="J41" i="32" s="1"/>
  <c r="I42" i="32"/>
  <c r="J42" i="32" s="1"/>
  <c r="I43" i="32"/>
  <c r="J43" i="32" s="1"/>
  <c r="I44" i="32"/>
  <c r="J44" i="32" s="1"/>
  <c r="I45" i="32"/>
  <c r="I46" i="32"/>
  <c r="I29" i="30" s="1"/>
  <c r="J46" i="32"/>
  <c r="I47" i="32"/>
  <c r="J47" i="32"/>
  <c r="I48" i="32"/>
  <c r="J48" i="32"/>
  <c r="I49" i="32"/>
  <c r="J49" i="32"/>
  <c r="I50" i="32"/>
  <c r="J50" i="32"/>
  <c r="I51" i="32"/>
  <c r="J51" i="32"/>
  <c r="I52" i="32"/>
  <c r="I35" i="30" s="1"/>
  <c r="I53" i="32"/>
  <c r="I54" i="32"/>
  <c r="J54" i="32"/>
  <c r="I55" i="32"/>
  <c r="I38" i="30" s="1"/>
  <c r="J55" i="32"/>
  <c r="I56" i="32"/>
  <c r="J56" i="32"/>
  <c r="I57" i="32"/>
  <c r="J57" i="32"/>
  <c r="I58" i="32"/>
  <c r="I59" i="32"/>
  <c r="J59" i="32" s="1"/>
  <c r="I60" i="32"/>
  <c r="J60" i="32"/>
  <c r="I61" i="32"/>
  <c r="J61" i="32"/>
  <c r="I62" i="32"/>
  <c r="J62" i="32"/>
  <c r="I63" i="32"/>
  <c r="J63" i="32" s="1"/>
  <c r="I64" i="32"/>
  <c r="J64" i="32" s="1"/>
  <c r="I65" i="32"/>
  <c r="J65" i="32"/>
  <c r="I66" i="32"/>
  <c r="J66" i="32"/>
  <c r="I67" i="32"/>
  <c r="J67" i="32" s="1"/>
  <c r="I68" i="32"/>
  <c r="J68" i="32"/>
  <c r="I69" i="32"/>
  <c r="J69" i="32"/>
  <c r="I70" i="32"/>
  <c r="J70" i="32"/>
  <c r="I71" i="32"/>
  <c r="J71" i="32"/>
  <c r="I72" i="32"/>
  <c r="J72" i="32" s="1"/>
  <c r="I73" i="32"/>
  <c r="J73" i="32"/>
  <c r="I74" i="32"/>
  <c r="I75" i="32"/>
  <c r="J75" i="32"/>
  <c r="I76" i="32"/>
  <c r="J76" i="32"/>
  <c r="I77" i="32"/>
  <c r="J77" i="32"/>
  <c r="I78" i="32"/>
  <c r="I79" i="32"/>
  <c r="J79" i="32"/>
  <c r="I80" i="32"/>
  <c r="J80" i="32"/>
  <c r="I81" i="32"/>
  <c r="J81" i="32"/>
  <c r="I82" i="32"/>
  <c r="J82" i="32"/>
  <c r="I83" i="32"/>
  <c r="J83" i="32"/>
  <c r="I84" i="32"/>
  <c r="J84" i="32"/>
  <c r="I85" i="32"/>
  <c r="J85" i="32"/>
  <c r="I86" i="32"/>
  <c r="J86" i="32" s="1"/>
  <c r="I87" i="32"/>
  <c r="J87" i="32"/>
  <c r="I88" i="32"/>
  <c r="J88" i="32"/>
  <c r="I89" i="32"/>
  <c r="J89" i="32"/>
  <c r="I90" i="32"/>
  <c r="J90" i="32"/>
  <c r="I91" i="32"/>
  <c r="J91" i="32"/>
  <c r="I92" i="32"/>
  <c r="J92" i="32"/>
  <c r="I93" i="32"/>
  <c r="J93" i="32"/>
  <c r="I94" i="32"/>
  <c r="J94" i="32" s="1"/>
  <c r="I95" i="32"/>
  <c r="J95" i="32"/>
  <c r="I96" i="32"/>
  <c r="J96" i="32"/>
  <c r="I97" i="32"/>
  <c r="J97" i="32"/>
  <c r="I98" i="32"/>
  <c r="J98" i="32"/>
  <c r="I99" i="32"/>
  <c r="J99" i="32"/>
  <c r="I100" i="32"/>
  <c r="J100" i="32"/>
  <c r="I101" i="32"/>
  <c r="J101" i="32"/>
  <c r="I102" i="32"/>
  <c r="I103" i="32"/>
  <c r="J103" i="32"/>
  <c r="I104" i="32"/>
  <c r="J104" i="32" s="1"/>
  <c r="I105" i="32"/>
  <c r="J105" i="32"/>
  <c r="I106" i="32"/>
  <c r="J106" i="32"/>
  <c r="I107" i="32"/>
  <c r="J107" i="32"/>
  <c r="I108" i="32"/>
  <c r="J108" i="32"/>
  <c r="I109" i="32"/>
  <c r="J109" i="32"/>
  <c r="I110" i="32"/>
  <c r="J110" i="32" s="1"/>
  <c r="I111" i="32"/>
  <c r="J111" i="32"/>
  <c r="I112" i="32"/>
  <c r="J112" i="32"/>
  <c r="I113" i="32"/>
  <c r="J113" i="32"/>
  <c r="I114" i="32"/>
  <c r="J114" i="32"/>
  <c r="I115" i="32"/>
  <c r="J115" i="32"/>
  <c r="I116" i="32"/>
  <c r="J116" i="32"/>
  <c r="I117" i="32"/>
  <c r="J117" i="32"/>
  <c r="I118" i="32"/>
  <c r="J118" i="32" s="1"/>
  <c r="I119" i="32"/>
  <c r="J119" i="32"/>
  <c r="I120" i="32"/>
  <c r="J120" i="32"/>
  <c r="I121" i="32"/>
  <c r="J121" i="32"/>
  <c r="I122" i="32"/>
  <c r="J122" i="32"/>
  <c r="I123" i="32"/>
  <c r="J123" i="32"/>
  <c r="I124" i="32"/>
  <c r="J124" i="32"/>
  <c r="I125" i="32"/>
  <c r="J125" i="32"/>
  <c r="I126" i="32"/>
  <c r="J126" i="32" s="1"/>
  <c r="I127" i="32"/>
  <c r="J127" i="32"/>
  <c r="I128" i="32"/>
  <c r="J128" i="32"/>
  <c r="I129" i="32"/>
  <c r="J129" i="32"/>
  <c r="I130" i="32"/>
  <c r="J130" i="32"/>
  <c r="I131" i="32"/>
  <c r="J131" i="32"/>
  <c r="I132" i="32"/>
  <c r="J132" i="32"/>
  <c r="I133" i="32"/>
  <c r="J133" i="32"/>
  <c r="I134" i="32"/>
  <c r="J134" i="32" s="1"/>
  <c r="I135" i="32"/>
  <c r="J135" i="32"/>
  <c r="I136" i="32"/>
  <c r="J136" i="32"/>
  <c r="I137" i="32"/>
  <c r="J137" i="32"/>
  <c r="I138" i="32"/>
  <c r="J138" i="32"/>
  <c r="I139" i="32"/>
  <c r="J139" i="32"/>
  <c r="I140" i="32"/>
  <c r="J140" i="32"/>
  <c r="I141" i="32"/>
  <c r="J141" i="32"/>
  <c r="I142" i="32"/>
  <c r="J142" i="32" s="1"/>
  <c r="I143" i="32"/>
  <c r="J143" i="32"/>
  <c r="I144" i="32"/>
  <c r="J144" i="32" s="1"/>
  <c r="I145" i="32"/>
  <c r="J145" i="32"/>
  <c r="I146" i="32"/>
  <c r="J146" i="32"/>
  <c r="I147" i="32"/>
  <c r="J147" i="32"/>
  <c r="I148" i="32"/>
  <c r="J148" i="32"/>
  <c r="I149" i="32"/>
  <c r="J149" i="32"/>
  <c r="I150" i="32"/>
  <c r="J150" i="32" s="1"/>
  <c r="I151" i="32"/>
  <c r="J151" i="32"/>
  <c r="I152" i="32"/>
  <c r="J152" i="32"/>
  <c r="I153" i="32"/>
  <c r="J153" i="32"/>
  <c r="I154" i="32"/>
  <c r="J154" i="32"/>
  <c r="I155" i="32"/>
  <c r="J155" i="32"/>
  <c r="I156" i="32"/>
  <c r="J156" i="32"/>
  <c r="I157" i="32"/>
  <c r="J157" i="32"/>
  <c r="I158" i="32"/>
  <c r="J158" i="32" s="1"/>
  <c r="G19" i="32"/>
  <c r="G22" i="32"/>
  <c r="G23" i="32"/>
  <c r="G24" i="32"/>
  <c r="G30" i="32"/>
  <c r="G38" i="32"/>
  <c r="G39" i="32"/>
  <c r="G40" i="32"/>
  <c r="G51" i="32"/>
  <c r="G53" i="32"/>
  <c r="G54" i="32"/>
  <c r="G59" i="32"/>
  <c r="G150" i="32"/>
  <c r="F18" i="32"/>
  <c r="G18" i="32"/>
  <c r="F19" i="32"/>
  <c r="F20" i="32"/>
  <c r="G20" i="32"/>
  <c r="F21" i="32"/>
  <c r="G21" i="32"/>
  <c r="F22" i="32"/>
  <c r="F23" i="32"/>
  <c r="F24" i="32"/>
  <c r="F25" i="32"/>
  <c r="G25" i="32" s="1"/>
  <c r="F26" i="32"/>
  <c r="G26" i="32" s="1"/>
  <c r="F27" i="32"/>
  <c r="G27" i="32" s="1"/>
  <c r="F28" i="32"/>
  <c r="G28" i="32"/>
  <c r="F29" i="32"/>
  <c r="G29" i="32"/>
  <c r="F30" i="32"/>
  <c r="F31" i="32"/>
  <c r="G31" i="32" s="1"/>
  <c r="F32" i="32"/>
  <c r="G32" i="32" s="1"/>
  <c r="F33" i="32"/>
  <c r="G33" i="32" s="1"/>
  <c r="F34" i="32"/>
  <c r="G34" i="32" s="1"/>
  <c r="F35" i="32"/>
  <c r="G35" i="32" s="1"/>
  <c r="F36" i="32"/>
  <c r="G36" i="32" s="1"/>
  <c r="F37" i="32"/>
  <c r="G37" i="32" s="1"/>
  <c r="F38" i="32"/>
  <c r="F39" i="32"/>
  <c r="F40" i="32"/>
  <c r="F41" i="32"/>
  <c r="G41" i="32"/>
  <c r="F42" i="32"/>
  <c r="G42" i="32"/>
  <c r="F43" i="32"/>
  <c r="G43" i="32"/>
  <c r="F44" i="32"/>
  <c r="G44" i="32" s="1"/>
  <c r="F45" i="32"/>
  <c r="G45" i="32" s="1"/>
  <c r="F46" i="32"/>
  <c r="G46" i="32" s="1"/>
  <c r="F47" i="32"/>
  <c r="G47" i="32"/>
  <c r="F48" i="32"/>
  <c r="G48" i="32"/>
  <c r="F49" i="32"/>
  <c r="G49" i="32"/>
  <c r="F50" i="32"/>
  <c r="G50" i="32"/>
  <c r="F51" i="32"/>
  <c r="F52" i="32"/>
  <c r="G52" i="32"/>
  <c r="F53" i="32"/>
  <c r="F54" i="32"/>
  <c r="F55" i="32"/>
  <c r="G55" i="32"/>
  <c r="F56" i="32"/>
  <c r="G56" i="32"/>
  <c r="F57" i="32"/>
  <c r="G57" i="32" s="1"/>
  <c r="F58" i="32"/>
  <c r="G58" i="32"/>
  <c r="F59" i="32"/>
  <c r="F60" i="32"/>
  <c r="G60" i="32"/>
  <c r="F61" i="32"/>
  <c r="G61" i="32" s="1"/>
  <c r="F62" i="32"/>
  <c r="G62" i="32"/>
  <c r="F63" i="32"/>
  <c r="G63" i="32"/>
  <c r="F64" i="32"/>
  <c r="G64" i="32"/>
  <c r="F65" i="32"/>
  <c r="G65" i="32"/>
  <c r="F66" i="32"/>
  <c r="G66" i="32" s="1"/>
  <c r="F67" i="32"/>
  <c r="G67" i="32"/>
  <c r="F68" i="32"/>
  <c r="G68" i="32"/>
  <c r="F69" i="32"/>
  <c r="G69" i="32" s="1"/>
  <c r="F70" i="32"/>
  <c r="G70" i="32"/>
  <c r="F71" i="32"/>
  <c r="G71" i="32"/>
  <c r="F72" i="32"/>
  <c r="G72" i="32"/>
  <c r="F73" i="32"/>
  <c r="G73" i="32" s="1"/>
  <c r="F74" i="32"/>
  <c r="G74" i="32" s="1"/>
  <c r="F75" i="32"/>
  <c r="G75" i="32" s="1"/>
  <c r="F76" i="32"/>
  <c r="G76" i="32"/>
  <c r="F77" i="32"/>
  <c r="G77" i="32"/>
  <c r="F78" i="32"/>
  <c r="G78" i="32"/>
  <c r="F79" i="32"/>
  <c r="G79" i="32"/>
  <c r="F80" i="32"/>
  <c r="G80" i="32" s="1"/>
  <c r="F81" i="32"/>
  <c r="G81" i="32"/>
  <c r="F82" i="32"/>
  <c r="G82" i="32"/>
  <c r="F83" i="32"/>
  <c r="G83" i="32"/>
  <c r="F84" i="32"/>
  <c r="G84" i="32"/>
  <c r="F85" i="32"/>
  <c r="F86" i="32"/>
  <c r="F87" i="32"/>
  <c r="G87" i="32" s="1"/>
  <c r="F88" i="32"/>
  <c r="G88" i="32"/>
  <c r="F89" i="32"/>
  <c r="G89" i="32"/>
  <c r="F90" i="32"/>
  <c r="G90" i="32"/>
  <c r="F91" i="32"/>
  <c r="G91" i="32" s="1"/>
  <c r="F92" i="32"/>
  <c r="G92" i="32"/>
  <c r="F93" i="32"/>
  <c r="G93" i="32"/>
  <c r="F94" i="32"/>
  <c r="G94" i="32"/>
  <c r="F95" i="32"/>
  <c r="G95" i="32"/>
  <c r="F96" i="32"/>
  <c r="G96" i="32"/>
  <c r="F97" i="32"/>
  <c r="G97" i="32"/>
  <c r="F98" i="32"/>
  <c r="G98" i="32" s="1"/>
  <c r="F99" i="32"/>
  <c r="G99" i="32"/>
  <c r="F100" i="32"/>
  <c r="G100" i="32"/>
  <c r="F101" i="32"/>
  <c r="G101" i="32"/>
  <c r="F102" i="32"/>
  <c r="G102" i="32"/>
  <c r="F103" i="32"/>
  <c r="G103" i="32"/>
  <c r="F104" i="32"/>
  <c r="G104" i="32"/>
  <c r="G105" i="32"/>
  <c r="F106" i="32"/>
  <c r="G106" i="32"/>
  <c r="F107" i="32"/>
  <c r="G107" i="32"/>
  <c r="F108" i="32"/>
  <c r="G108" i="32"/>
  <c r="F109" i="32"/>
  <c r="G109" i="32" s="1"/>
  <c r="F110" i="32"/>
  <c r="G110" i="32"/>
  <c r="F111" i="32"/>
  <c r="G111" i="32"/>
  <c r="F112" i="32"/>
  <c r="G112" i="32" s="1"/>
  <c r="F113" i="32"/>
  <c r="G113" i="32"/>
  <c r="F114" i="32"/>
  <c r="G114" i="32"/>
  <c r="F115" i="32"/>
  <c r="G115" i="32"/>
  <c r="F116" i="32"/>
  <c r="G116" i="32" s="1"/>
  <c r="F117" i="32"/>
  <c r="G117" i="32" s="1"/>
  <c r="F118" i="32"/>
  <c r="G118" i="32"/>
  <c r="F119" i="32"/>
  <c r="G119" i="32"/>
  <c r="F120" i="32"/>
  <c r="G120" i="32" s="1"/>
  <c r="F121" i="32"/>
  <c r="G121" i="32"/>
  <c r="F122" i="32"/>
  <c r="G122" i="32"/>
  <c r="F123" i="32"/>
  <c r="G123" i="32"/>
  <c r="F124" i="32"/>
  <c r="G124" i="32"/>
  <c r="F125" i="32"/>
  <c r="G125" i="32" s="1"/>
  <c r="F126" i="32"/>
  <c r="G126" i="32"/>
  <c r="F127" i="32"/>
  <c r="G127" i="32"/>
  <c r="F128" i="32"/>
  <c r="G128" i="32" s="1"/>
  <c r="F129" i="32"/>
  <c r="G129" i="32"/>
  <c r="F130" i="32"/>
  <c r="G130" i="32"/>
  <c r="F131" i="32"/>
  <c r="G131" i="32"/>
  <c r="F132" i="32"/>
  <c r="G132" i="32"/>
  <c r="F133" i="32"/>
  <c r="G133" i="32" s="1"/>
  <c r="F134" i="32"/>
  <c r="G134" i="32"/>
  <c r="F135" i="32"/>
  <c r="G135" i="32"/>
  <c r="F136" i="32"/>
  <c r="G136" i="32" s="1"/>
  <c r="F137" i="32"/>
  <c r="G137" i="32"/>
  <c r="F138" i="32"/>
  <c r="G138" i="32"/>
  <c r="F139" i="32"/>
  <c r="G139" i="32"/>
  <c r="F140" i="32"/>
  <c r="G140" i="32" s="1"/>
  <c r="F141" i="32"/>
  <c r="G141" i="32" s="1"/>
  <c r="F142" i="32"/>
  <c r="G142" i="32"/>
  <c r="F143" i="32"/>
  <c r="G143" i="32"/>
  <c r="F144" i="32"/>
  <c r="G144" i="32" s="1"/>
  <c r="F145" i="32"/>
  <c r="G145" i="32"/>
  <c r="F146" i="32"/>
  <c r="G146" i="32"/>
  <c r="F147" i="32"/>
  <c r="G147" i="32"/>
  <c r="F148" i="32"/>
  <c r="G148" i="32"/>
  <c r="F149" i="32"/>
  <c r="G149" i="32" s="1"/>
  <c r="F150" i="32"/>
  <c r="F151" i="32"/>
  <c r="G151" i="32"/>
  <c r="F152" i="32"/>
  <c r="G152" i="32"/>
  <c r="F153" i="32"/>
  <c r="G153" i="32"/>
  <c r="F154" i="32"/>
  <c r="G154" i="32"/>
  <c r="G155" i="32"/>
  <c r="F156" i="32"/>
  <c r="G156" i="32"/>
  <c r="F157" i="32"/>
  <c r="G157" i="32"/>
  <c r="F158" i="32"/>
  <c r="G158" i="32" s="1"/>
  <c r="F16" i="32"/>
  <c r="H2" i="26"/>
  <c r="D2" i="26"/>
  <c r="K2" i="26" s="1"/>
  <c r="H2" i="27"/>
  <c r="D2" i="27"/>
  <c r="H2" i="28"/>
  <c r="D2" i="28"/>
  <c r="K2" i="28" s="1"/>
  <c r="H2" i="31"/>
  <c r="D2" i="31"/>
  <c r="K2" i="31" s="1"/>
  <c r="I18" i="31"/>
  <c r="J18" i="31" s="1"/>
  <c r="I19" i="31"/>
  <c r="I20" i="31"/>
  <c r="I21" i="31"/>
  <c r="I4" i="30"/>
  <c r="I22" i="31"/>
  <c r="J22" i="31" s="1"/>
  <c r="I23" i="31"/>
  <c r="J23" i="31" s="1"/>
  <c r="I24" i="31"/>
  <c r="I25" i="31"/>
  <c r="I26" i="31"/>
  <c r="J26" i="31" s="1"/>
  <c r="I27" i="31"/>
  <c r="J27" i="31"/>
  <c r="I28" i="31"/>
  <c r="J28" i="31" s="1"/>
  <c r="I29" i="31"/>
  <c r="I12" i="30" s="1"/>
  <c r="J29" i="31"/>
  <c r="I30" i="31"/>
  <c r="J30" i="31"/>
  <c r="I31" i="31"/>
  <c r="J31" i="31"/>
  <c r="I32" i="31"/>
  <c r="I33" i="31"/>
  <c r="I34" i="31"/>
  <c r="J34" i="31"/>
  <c r="I35" i="31"/>
  <c r="J35" i="31"/>
  <c r="I36" i="31"/>
  <c r="I37" i="31"/>
  <c r="J37" i="31" s="1"/>
  <c r="I38" i="31"/>
  <c r="J38" i="31"/>
  <c r="I39" i="31"/>
  <c r="J39" i="31"/>
  <c r="I40" i="31"/>
  <c r="I41" i="31"/>
  <c r="I42" i="31"/>
  <c r="J42" i="31"/>
  <c r="I43" i="31"/>
  <c r="J43" i="31"/>
  <c r="I44" i="31"/>
  <c r="J44" i="31" s="1"/>
  <c r="I45" i="31"/>
  <c r="J45" i="31"/>
  <c r="I46" i="31"/>
  <c r="J46" i="31"/>
  <c r="I47" i="31"/>
  <c r="J47" i="31"/>
  <c r="I48" i="31"/>
  <c r="I49" i="31"/>
  <c r="I50" i="31"/>
  <c r="J50" i="31" s="1"/>
  <c r="I51" i="31"/>
  <c r="I52" i="31"/>
  <c r="J52" i="31"/>
  <c r="I53" i="31"/>
  <c r="I54" i="31"/>
  <c r="J54" i="31"/>
  <c r="I55" i="31"/>
  <c r="J55" i="31"/>
  <c r="I56" i="31"/>
  <c r="I39" i="30" s="1"/>
  <c r="J56" i="31"/>
  <c r="I57" i="31"/>
  <c r="I58" i="31"/>
  <c r="J58" i="31" s="1"/>
  <c r="I59" i="31"/>
  <c r="J59" i="31"/>
  <c r="I60" i="31"/>
  <c r="J60" i="31"/>
  <c r="I61" i="31"/>
  <c r="J61" i="31" s="1"/>
  <c r="I62" i="31"/>
  <c r="J62" i="31"/>
  <c r="I63" i="31"/>
  <c r="J63" i="31"/>
  <c r="I64" i="31"/>
  <c r="J64" i="31" s="1"/>
  <c r="I65" i="31"/>
  <c r="J65" i="31"/>
  <c r="I66" i="31"/>
  <c r="I67" i="31"/>
  <c r="J67" i="31"/>
  <c r="I68" i="31"/>
  <c r="J68" i="31"/>
  <c r="I69" i="31"/>
  <c r="J69" i="31" s="1"/>
  <c r="I70" i="31"/>
  <c r="J70" i="31"/>
  <c r="I71" i="31"/>
  <c r="J71" i="31" s="1"/>
  <c r="I72" i="31"/>
  <c r="J72" i="31"/>
  <c r="I73" i="31"/>
  <c r="I74" i="31"/>
  <c r="J74" i="31" s="1"/>
  <c r="I75" i="31"/>
  <c r="I76" i="31"/>
  <c r="J76" i="31"/>
  <c r="I77" i="31"/>
  <c r="J77" i="31" s="1"/>
  <c r="I78" i="31"/>
  <c r="J78" i="31"/>
  <c r="I79" i="31"/>
  <c r="J79" i="31" s="1"/>
  <c r="I80" i="31"/>
  <c r="I81" i="31"/>
  <c r="J81" i="31"/>
  <c r="I82" i="31"/>
  <c r="J82" i="31"/>
  <c r="I83" i="31"/>
  <c r="J83" i="31" s="1"/>
  <c r="I84" i="31"/>
  <c r="J84" i="31"/>
  <c r="I85" i="31"/>
  <c r="J85" i="31"/>
  <c r="I86" i="31"/>
  <c r="J86" i="31"/>
  <c r="I87" i="31"/>
  <c r="J87" i="31"/>
  <c r="I88" i="31"/>
  <c r="J88" i="31" s="1"/>
  <c r="I89" i="31"/>
  <c r="I90" i="31"/>
  <c r="J90" i="31"/>
  <c r="I91" i="31"/>
  <c r="J91" i="31" s="1"/>
  <c r="I92" i="31"/>
  <c r="J92" i="31"/>
  <c r="I93" i="31"/>
  <c r="J93" i="31" s="1"/>
  <c r="I94" i="31"/>
  <c r="J94" i="31"/>
  <c r="I95" i="31"/>
  <c r="J95" i="31"/>
  <c r="I96" i="31"/>
  <c r="J96" i="31"/>
  <c r="I97" i="31"/>
  <c r="I98" i="31"/>
  <c r="I99" i="31"/>
  <c r="J99" i="31" s="1"/>
  <c r="I100" i="31"/>
  <c r="J100" i="31"/>
  <c r="I101" i="31"/>
  <c r="J101" i="31"/>
  <c r="I102" i="31"/>
  <c r="I103" i="31"/>
  <c r="J103" i="31" s="1"/>
  <c r="I104" i="31"/>
  <c r="J104" i="31"/>
  <c r="I105" i="31"/>
  <c r="J105" i="31" s="1"/>
  <c r="I106" i="31"/>
  <c r="I107" i="31"/>
  <c r="I108" i="31"/>
  <c r="J108" i="31" s="1"/>
  <c r="I109" i="31"/>
  <c r="J109" i="31"/>
  <c r="I110" i="31"/>
  <c r="I111" i="31"/>
  <c r="J111" i="31"/>
  <c r="I112" i="31"/>
  <c r="J112" i="31" s="1"/>
  <c r="I113" i="31"/>
  <c r="J113" i="31" s="1"/>
  <c r="I114" i="31"/>
  <c r="J114" i="31"/>
  <c r="I115" i="31"/>
  <c r="J115" i="31"/>
  <c r="I116" i="31"/>
  <c r="I117" i="31"/>
  <c r="J117" i="31"/>
  <c r="I118" i="31"/>
  <c r="J118" i="31"/>
  <c r="I119" i="31"/>
  <c r="J119" i="31"/>
  <c r="I120" i="31"/>
  <c r="J120" i="31"/>
  <c r="I121" i="31"/>
  <c r="J121" i="31"/>
  <c r="I122" i="31"/>
  <c r="J122" i="31" s="1"/>
  <c r="I123" i="31"/>
  <c r="J123" i="31" s="1"/>
  <c r="I124" i="31"/>
  <c r="J124" i="31"/>
  <c r="I125" i="31"/>
  <c r="I126" i="31"/>
  <c r="I127" i="31"/>
  <c r="J127" i="31"/>
  <c r="I128" i="31"/>
  <c r="J128" i="31"/>
  <c r="I129" i="31"/>
  <c r="J129" i="31" s="1"/>
  <c r="I130" i="31"/>
  <c r="I131" i="31"/>
  <c r="J131" i="31"/>
  <c r="I132" i="31"/>
  <c r="J132" i="31" s="1"/>
  <c r="I133" i="31"/>
  <c r="J133" i="31"/>
  <c r="I134" i="31"/>
  <c r="I135" i="31"/>
  <c r="J135" i="31"/>
  <c r="I136" i="31"/>
  <c r="I137" i="31"/>
  <c r="I138" i="31"/>
  <c r="J138" i="31"/>
  <c r="I139" i="31"/>
  <c r="I140" i="31"/>
  <c r="I141" i="31"/>
  <c r="J141" i="31"/>
  <c r="I142" i="31"/>
  <c r="I143" i="31"/>
  <c r="J143" i="31"/>
  <c r="I144" i="31"/>
  <c r="I145" i="31"/>
  <c r="J145" i="31" s="1"/>
  <c r="I146" i="31"/>
  <c r="J146" i="31" s="1"/>
  <c r="I147" i="31"/>
  <c r="J147" i="31"/>
  <c r="I148" i="31"/>
  <c r="J148" i="31" s="1"/>
  <c r="I149" i="31"/>
  <c r="J149" i="31"/>
  <c r="I150" i="31"/>
  <c r="J150" i="31" s="1"/>
  <c r="I151" i="31"/>
  <c r="J151" i="31"/>
  <c r="I152" i="31"/>
  <c r="J152" i="31"/>
  <c r="I153" i="31"/>
  <c r="J153" i="31" s="1"/>
  <c r="I154" i="31"/>
  <c r="J154" i="31" s="1"/>
  <c r="I155" i="31"/>
  <c r="J155" i="31" s="1"/>
  <c r="I156" i="31"/>
  <c r="J156" i="31"/>
  <c r="I157" i="31"/>
  <c r="I158" i="31"/>
  <c r="J158" i="31"/>
  <c r="F18" i="31"/>
  <c r="G18" i="31" s="1"/>
  <c r="F19" i="31"/>
  <c r="G19" i="31"/>
  <c r="F20" i="31"/>
  <c r="G20" i="31" s="1"/>
  <c r="F21" i="31"/>
  <c r="G21" i="31"/>
  <c r="F22" i="31"/>
  <c r="G22" i="31" s="1"/>
  <c r="F23" i="31"/>
  <c r="G23" i="31"/>
  <c r="F24" i="31"/>
  <c r="G24" i="31"/>
  <c r="F25" i="31"/>
  <c r="G25" i="31"/>
  <c r="F26" i="31"/>
  <c r="G26" i="31" s="1"/>
  <c r="F27" i="31"/>
  <c r="G27" i="31"/>
  <c r="F28" i="31"/>
  <c r="G28" i="31"/>
  <c r="F29" i="31"/>
  <c r="G29" i="31"/>
  <c r="F30" i="31"/>
  <c r="G30" i="31" s="1"/>
  <c r="F31" i="31"/>
  <c r="G31" i="31"/>
  <c r="F32" i="31"/>
  <c r="G32" i="31"/>
  <c r="F33" i="31"/>
  <c r="G33" i="31"/>
  <c r="F34" i="31"/>
  <c r="G34" i="31"/>
  <c r="F35" i="31"/>
  <c r="G35" i="31" s="1"/>
  <c r="F36" i="31"/>
  <c r="G36" i="31"/>
  <c r="F37" i="31"/>
  <c r="G37" i="31"/>
  <c r="F38" i="31"/>
  <c r="G38" i="31" s="1"/>
  <c r="F39" i="31"/>
  <c r="G39" i="31"/>
  <c r="F40" i="31"/>
  <c r="G40" i="31"/>
  <c r="F41" i="31"/>
  <c r="G41" i="31"/>
  <c r="F42" i="31"/>
  <c r="G42" i="31"/>
  <c r="F43" i="31"/>
  <c r="G43" i="31" s="1"/>
  <c r="F44" i="31"/>
  <c r="G44" i="31"/>
  <c r="F45" i="31"/>
  <c r="G45" i="31"/>
  <c r="F46" i="31"/>
  <c r="G46" i="31" s="1"/>
  <c r="F47" i="31"/>
  <c r="G47" i="31"/>
  <c r="F48" i="31"/>
  <c r="G48" i="31"/>
  <c r="F49" i="31"/>
  <c r="G49" i="31"/>
  <c r="F50" i="31"/>
  <c r="G50" i="31"/>
  <c r="F51" i="31"/>
  <c r="G51" i="31"/>
  <c r="F52" i="31"/>
  <c r="G52" i="31" s="1"/>
  <c r="F53" i="31"/>
  <c r="G53" i="31"/>
  <c r="F54" i="31"/>
  <c r="G54" i="31" s="1"/>
  <c r="F55" i="31"/>
  <c r="G55" i="31"/>
  <c r="F56" i="31"/>
  <c r="G56" i="31" s="1"/>
  <c r="F57" i="31"/>
  <c r="G57" i="31"/>
  <c r="F58" i="31"/>
  <c r="G58" i="31"/>
  <c r="F59" i="31"/>
  <c r="G59" i="31"/>
  <c r="F60" i="31"/>
  <c r="G60" i="31" s="1"/>
  <c r="F61" i="31"/>
  <c r="G61" i="31"/>
  <c r="F62" i="31"/>
  <c r="G62" i="31" s="1"/>
  <c r="F63" i="31"/>
  <c r="G63" i="31"/>
  <c r="F64" i="31"/>
  <c r="G64" i="31"/>
  <c r="F65" i="31"/>
  <c r="G65" i="31"/>
  <c r="F66" i="31"/>
  <c r="G66" i="31"/>
  <c r="F67" i="31"/>
  <c r="G67" i="31"/>
  <c r="F68" i="31"/>
  <c r="G68" i="31"/>
  <c r="F69" i="31"/>
  <c r="G69" i="31"/>
  <c r="F70" i="31"/>
  <c r="G70" i="31" s="1"/>
  <c r="F71" i="31"/>
  <c r="G71" i="31"/>
  <c r="F72" i="31"/>
  <c r="G72" i="31" s="1"/>
  <c r="F73" i="31"/>
  <c r="G73" i="31" s="1"/>
  <c r="F74" i="31"/>
  <c r="G74" i="31"/>
  <c r="F75" i="31"/>
  <c r="G75" i="31"/>
  <c r="F76" i="31"/>
  <c r="G76" i="31"/>
  <c r="F77" i="31"/>
  <c r="G77" i="31"/>
  <c r="F78" i="31"/>
  <c r="G78" i="31" s="1"/>
  <c r="F79" i="31"/>
  <c r="G79" i="31"/>
  <c r="F80" i="31"/>
  <c r="G80" i="31" s="1"/>
  <c r="F81" i="31"/>
  <c r="G81" i="31"/>
  <c r="F82" i="31"/>
  <c r="G82" i="31"/>
  <c r="F83" i="31"/>
  <c r="G83" i="31"/>
  <c r="F84" i="31"/>
  <c r="G84" i="31"/>
  <c r="F85" i="31"/>
  <c r="G85" i="31"/>
  <c r="F86" i="31"/>
  <c r="G86" i="31" s="1"/>
  <c r="F87" i="31"/>
  <c r="G87" i="31"/>
  <c r="F88" i="31"/>
  <c r="G88" i="31"/>
  <c r="F89" i="31"/>
  <c r="G89" i="31" s="1"/>
  <c r="F90" i="31"/>
  <c r="G90" i="31" s="1"/>
  <c r="F91" i="31"/>
  <c r="G91" i="31"/>
  <c r="F92" i="31"/>
  <c r="G92" i="31"/>
  <c r="F93" i="31"/>
  <c r="G93" i="31"/>
  <c r="F94" i="31"/>
  <c r="G94" i="31" s="1"/>
  <c r="F95" i="31"/>
  <c r="G95" i="31"/>
  <c r="F96" i="31"/>
  <c r="G96" i="31"/>
  <c r="F97" i="31"/>
  <c r="G97" i="31" s="1"/>
  <c r="F98" i="31"/>
  <c r="G98" i="31"/>
  <c r="F99" i="31"/>
  <c r="G99" i="31"/>
  <c r="F100" i="31"/>
  <c r="G100" i="31"/>
  <c r="F101" i="31"/>
  <c r="G101" i="31"/>
  <c r="F102" i="31"/>
  <c r="G102" i="31" s="1"/>
  <c r="F103" i="31"/>
  <c r="G103" i="31"/>
  <c r="F104" i="31"/>
  <c r="G104" i="31"/>
  <c r="F105" i="31"/>
  <c r="G105" i="31"/>
  <c r="F106" i="31"/>
  <c r="G106" i="31" s="1"/>
  <c r="F107" i="31"/>
  <c r="G107" i="31" s="1"/>
  <c r="F108" i="31"/>
  <c r="G108" i="31"/>
  <c r="F109" i="31"/>
  <c r="G109" i="31"/>
  <c r="F110" i="31"/>
  <c r="G110" i="31" s="1"/>
  <c r="F111" i="31"/>
  <c r="G111" i="31"/>
  <c r="F112" i="31"/>
  <c r="G112" i="31" s="1"/>
  <c r="F113" i="31"/>
  <c r="G113" i="31"/>
  <c r="F114" i="31"/>
  <c r="G114" i="31" s="1"/>
  <c r="F115" i="31"/>
  <c r="G115" i="31"/>
  <c r="F116" i="31"/>
  <c r="G116" i="31"/>
  <c r="F117" i="31"/>
  <c r="G117" i="31"/>
  <c r="F118" i="31"/>
  <c r="G118" i="31" s="1"/>
  <c r="F119" i="31"/>
  <c r="G119" i="31"/>
  <c r="F120" i="31"/>
  <c r="G120" i="31" s="1"/>
  <c r="F121" i="31"/>
  <c r="G121" i="31"/>
  <c r="F122" i="31"/>
  <c r="G122" i="31"/>
  <c r="F123" i="31"/>
  <c r="G123" i="31" s="1"/>
  <c r="F124" i="31"/>
  <c r="G124" i="31" s="1"/>
  <c r="F125" i="31"/>
  <c r="G125" i="31"/>
  <c r="F126" i="31"/>
  <c r="G126" i="31" s="1"/>
  <c r="F127" i="31"/>
  <c r="G127" i="31"/>
  <c r="F128" i="31"/>
  <c r="G128" i="31"/>
  <c r="F129" i="31"/>
  <c r="G129" i="31" s="1"/>
  <c r="F130" i="31"/>
  <c r="G130" i="31"/>
  <c r="F131" i="31"/>
  <c r="G131" i="31" s="1"/>
  <c r="F132" i="31"/>
  <c r="G132" i="31"/>
  <c r="F133" i="31"/>
  <c r="G133" i="31"/>
  <c r="F134" i="31"/>
  <c r="G134" i="31" s="1"/>
  <c r="F135" i="31"/>
  <c r="G135" i="31"/>
  <c r="F136" i="31"/>
  <c r="G136" i="31"/>
  <c r="F137" i="31"/>
  <c r="G137" i="31" s="1"/>
  <c r="F138" i="31"/>
  <c r="G138" i="31"/>
  <c r="F139" i="31"/>
  <c r="G139" i="31"/>
  <c r="F140" i="31"/>
  <c r="G140" i="31" s="1"/>
  <c r="F141" i="31"/>
  <c r="G141" i="31"/>
  <c r="F142" i="31"/>
  <c r="G142" i="31" s="1"/>
  <c r="F143" i="31"/>
  <c r="G143" i="31"/>
  <c r="F144" i="31"/>
  <c r="G144" i="31"/>
  <c r="F145" i="31"/>
  <c r="G145" i="31"/>
  <c r="F146" i="31"/>
  <c r="G146" i="31" s="1"/>
  <c r="F147" i="31"/>
  <c r="G147" i="31"/>
  <c r="F148" i="31"/>
  <c r="G148" i="31" s="1"/>
  <c r="F149" i="31"/>
  <c r="G149" i="31"/>
  <c r="F150" i="31"/>
  <c r="G150" i="31" s="1"/>
  <c r="F151" i="31"/>
  <c r="G151" i="31"/>
  <c r="F152" i="31"/>
  <c r="G152" i="31"/>
  <c r="F153" i="31"/>
  <c r="G153" i="31"/>
  <c r="F154" i="31"/>
  <c r="G154" i="31" s="1"/>
  <c r="F155" i="31"/>
  <c r="G155" i="31"/>
  <c r="F156" i="31"/>
  <c r="G156" i="31"/>
  <c r="F157" i="31"/>
  <c r="G157" i="31"/>
  <c r="F158" i="31"/>
  <c r="G158" i="31" s="1"/>
  <c r="I18" i="28"/>
  <c r="J18" i="28" s="1"/>
  <c r="I19" i="28"/>
  <c r="J19" i="28"/>
  <c r="I20" i="28"/>
  <c r="J20" i="28"/>
  <c r="I21" i="28"/>
  <c r="I21" i="29" s="1"/>
  <c r="I22" i="28"/>
  <c r="J22" i="28" s="1"/>
  <c r="I23" i="28"/>
  <c r="J23" i="28"/>
  <c r="I24" i="28"/>
  <c r="J24" i="28" s="1"/>
  <c r="I25" i="28"/>
  <c r="J25" i="28"/>
  <c r="I26" i="28"/>
  <c r="J26" i="28" s="1"/>
  <c r="I27" i="28"/>
  <c r="J27" i="28"/>
  <c r="I28" i="28"/>
  <c r="J28" i="28"/>
  <c r="I29" i="28"/>
  <c r="I29" i="29" s="1"/>
  <c r="I30" i="28"/>
  <c r="J30" i="28" s="1"/>
  <c r="I31" i="28"/>
  <c r="J31" i="28"/>
  <c r="I32" i="28"/>
  <c r="J32" i="28"/>
  <c r="I33" i="28"/>
  <c r="J33" i="28"/>
  <c r="I34" i="28"/>
  <c r="J34" i="28" s="1"/>
  <c r="I35" i="28"/>
  <c r="I35" i="29" s="1"/>
  <c r="J35" i="28"/>
  <c r="I36" i="28"/>
  <c r="J36" i="28" s="1"/>
  <c r="I37" i="28"/>
  <c r="J37" i="28"/>
  <c r="I38" i="28"/>
  <c r="J38" i="28"/>
  <c r="I39" i="28"/>
  <c r="J39" i="28" s="1"/>
  <c r="I40" i="28"/>
  <c r="J40" i="28" s="1"/>
  <c r="I41" i="28"/>
  <c r="J41" i="28" s="1"/>
  <c r="I42" i="28"/>
  <c r="J42" i="28" s="1"/>
  <c r="F18" i="28"/>
  <c r="G18" i="28" s="1"/>
  <c r="F19" i="28"/>
  <c r="G19" i="28"/>
  <c r="F20" i="28"/>
  <c r="G20" i="28"/>
  <c r="F21" i="28"/>
  <c r="G21" i="28" s="1"/>
  <c r="F22" i="28"/>
  <c r="G22" i="28"/>
  <c r="F23" i="28"/>
  <c r="G23" i="28" s="1"/>
  <c r="F24" i="28"/>
  <c r="G24" i="28"/>
  <c r="G25" i="28"/>
  <c r="F26" i="28"/>
  <c r="G26" i="28"/>
  <c r="F27" i="28"/>
  <c r="G27" i="28"/>
  <c r="G28" i="28"/>
  <c r="G29" i="28"/>
  <c r="F30" i="28"/>
  <c r="G30" i="28" s="1"/>
  <c r="F31" i="28"/>
  <c r="G31" i="28" s="1"/>
  <c r="F32" i="28"/>
  <c r="G32" i="28"/>
  <c r="F33" i="28"/>
  <c r="G33" i="28" s="1"/>
  <c r="F34" i="28"/>
  <c r="G34" i="28"/>
  <c r="F35" i="28"/>
  <c r="G35" i="28"/>
  <c r="F36" i="28"/>
  <c r="G36" i="28"/>
  <c r="F37" i="28"/>
  <c r="G37" i="28"/>
  <c r="F38" i="28"/>
  <c r="G38" i="28"/>
  <c r="F39" i="28"/>
  <c r="G39" i="28" s="1"/>
  <c r="F40" i="28"/>
  <c r="G40" i="28"/>
  <c r="F41" i="28"/>
  <c r="G41" i="28" s="1"/>
  <c r="F42" i="28"/>
  <c r="G42" i="28" s="1"/>
  <c r="I19" i="29"/>
  <c r="I27" i="29"/>
  <c r="I31" i="29"/>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D4" i="30"/>
  <c r="E4" i="30"/>
  <c r="D5" i="30"/>
  <c r="E5" i="30"/>
  <c r="I5" i="30"/>
  <c r="D6" i="30"/>
  <c r="E6" i="30"/>
  <c r="D7" i="30"/>
  <c r="E7" i="30"/>
  <c r="D8" i="30"/>
  <c r="E8" i="30"/>
  <c r="F8" i="30" s="1"/>
  <c r="G8" i="30" s="1"/>
  <c r="D9" i="30"/>
  <c r="E9" i="30"/>
  <c r="D10" i="30"/>
  <c r="E10" i="30"/>
  <c r="F10" i="30" s="1"/>
  <c r="G10" i="30" s="1"/>
  <c r="D11" i="30"/>
  <c r="E11" i="30"/>
  <c r="D12" i="30"/>
  <c r="E12" i="30"/>
  <c r="D13" i="30"/>
  <c r="E13" i="30"/>
  <c r="D14" i="30"/>
  <c r="E14" i="30"/>
  <c r="D15" i="30"/>
  <c r="E15" i="30"/>
  <c r="D16" i="30"/>
  <c r="E16" i="30"/>
  <c r="D17" i="30"/>
  <c r="E17" i="30"/>
  <c r="D18" i="30"/>
  <c r="E18" i="30"/>
  <c r="D19" i="30"/>
  <c r="E19" i="30"/>
  <c r="D20" i="30"/>
  <c r="E20" i="30"/>
  <c r="D21" i="30"/>
  <c r="E21" i="30"/>
  <c r="D22" i="30"/>
  <c r="E22" i="30"/>
  <c r="I22" i="30"/>
  <c r="D23" i="30"/>
  <c r="E23" i="30"/>
  <c r="D24" i="30"/>
  <c r="E24" i="30"/>
  <c r="D25" i="30"/>
  <c r="E25" i="30"/>
  <c r="D26" i="30"/>
  <c r="E26" i="30"/>
  <c r="D27" i="30"/>
  <c r="E27" i="30"/>
  <c r="D28" i="30"/>
  <c r="E28" i="30"/>
  <c r="D29" i="30"/>
  <c r="E29" i="30"/>
  <c r="D30" i="30"/>
  <c r="E30" i="30"/>
  <c r="D31" i="30"/>
  <c r="E31" i="30"/>
  <c r="D32" i="30"/>
  <c r="E32" i="30"/>
  <c r="D33" i="30"/>
  <c r="E33" i="30"/>
  <c r="D34" i="30"/>
  <c r="E34" i="30"/>
  <c r="D35" i="30"/>
  <c r="E35" i="30"/>
  <c r="D36" i="30"/>
  <c r="E36" i="30"/>
  <c r="D37" i="30"/>
  <c r="E37" i="30"/>
  <c r="D38" i="30"/>
  <c r="E38" i="30"/>
  <c r="F38" i="30" s="1"/>
  <c r="G38" i="30" s="1"/>
  <c r="D39" i="30"/>
  <c r="E39" i="30"/>
  <c r="D40" i="30"/>
  <c r="E40" i="30"/>
  <c r="D41" i="30"/>
  <c r="E41" i="30"/>
  <c r="D42" i="30"/>
  <c r="E42" i="30"/>
  <c r="C158" i="18"/>
  <c r="C157" i="18"/>
  <c r="C156" i="18"/>
  <c r="C155" i="18"/>
  <c r="C154" i="18"/>
  <c r="C153" i="18"/>
  <c r="C152" i="18"/>
  <c r="C151" i="18"/>
  <c r="C150" i="18"/>
  <c r="C149" i="18"/>
  <c r="C148" i="18"/>
  <c r="C147" i="18"/>
  <c r="C146" i="18"/>
  <c r="C145" i="18"/>
  <c r="C144" i="18"/>
  <c r="C143" i="18"/>
  <c r="C142" i="18"/>
  <c r="C141" i="18"/>
  <c r="C140" i="18"/>
  <c r="H2" i="19"/>
  <c r="D2" i="19"/>
  <c r="I17" i="18"/>
  <c r="I19" i="18"/>
  <c r="I47" i="18"/>
  <c r="I48" i="18"/>
  <c r="I49" i="18"/>
  <c r="I50" i="18"/>
  <c r="I53" i="18"/>
  <c r="I55" i="18"/>
  <c r="I59" i="18"/>
  <c r="I66" i="18"/>
  <c r="I67" i="18"/>
  <c r="I68" i="18"/>
  <c r="I69" i="18"/>
  <c r="I70" i="18"/>
  <c r="I71" i="18"/>
  <c r="I73" i="18"/>
  <c r="I74" i="18"/>
  <c r="I75" i="18"/>
  <c r="I76" i="18"/>
  <c r="I77" i="18"/>
  <c r="I78" i="18"/>
  <c r="I79" i="18"/>
  <c r="I82" i="18"/>
  <c r="I83" i="18"/>
  <c r="I84" i="18"/>
  <c r="I88" i="18"/>
  <c r="I89" i="18"/>
  <c r="I92" i="18"/>
  <c r="I93" i="18"/>
  <c r="J93" i="18" s="1"/>
  <c r="I94" i="18"/>
  <c r="I95" i="18"/>
  <c r="I96" i="18"/>
  <c r="I98" i="18"/>
  <c r="I99" i="18"/>
  <c r="I100" i="18"/>
  <c r="I102" i="18"/>
  <c r="I103" i="18"/>
  <c r="I104" i="18"/>
  <c r="I105" i="18"/>
  <c r="I106" i="18"/>
  <c r="I107" i="18"/>
  <c r="I108" i="18"/>
  <c r="I110" i="18"/>
  <c r="I111" i="18"/>
  <c r="I112" i="18"/>
  <c r="I113" i="18"/>
  <c r="I114" i="18"/>
  <c r="I115" i="18"/>
  <c r="I116" i="18"/>
  <c r="I119" i="18"/>
  <c r="I120" i="18"/>
  <c r="I121" i="18"/>
  <c r="I122" i="18"/>
  <c r="I124" i="18"/>
  <c r="I128" i="18"/>
  <c r="I130" i="18"/>
  <c r="I131" i="18"/>
  <c r="I132" i="18"/>
  <c r="I133" i="18"/>
  <c r="H2" i="21"/>
  <c r="E2" i="21"/>
  <c r="H2" i="20"/>
  <c r="E2" i="20"/>
  <c r="D2" i="20"/>
  <c r="K2" i="20" s="1"/>
  <c r="D2" i="21"/>
  <c r="K2"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H2" i="4"/>
  <c r="E2" i="4"/>
  <c r="D2" i="4"/>
  <c r="F2" i="4" s="1"/>
  <c r="G2" i="4" s="1"/>
  <c r="K2" i="4"/>
  <c r="H2" i="3"/>
  <c r="E2" i="3"/>
  <c r="E2" i="72"/>
  <c r="H2" i="72"/>
  <c r="D2" i="3"/>
  <c r="I2" i="3" s="1"/>
  <c r="J2" i="3" s="1"/>
  <c r="D2" i="72"/>
  <c r="K2" i="72" s="1"/>
  <c r="J140" i="31"/>
  <c r="J107" i="31"/>
  <c r="J51" i="31"/>
  <c r="J19" i="31"/>
  <c r="J125" i="31"/>
  <c r="J40" i="31"/>
  <c r="I23" i="30"/>
  <c r="J116" i="31"/>
  <c r="J32" i="31"/>
  <c r="J57" i="31"/>
  <c r="J66" i="31"/>
  <c r="J24" i="31"/>
  <c r="J157" i="31"/>
  <c r="J98" i="31"/>
  <c r="J130" i="31"/>
  <c r="J102" i="31"/>
  <c r="J48" i="31"/>
  <c r="I31" i="30"/>
  <c r="J31" i="30" s="1"/>
  <c r="J80" i="31"/>
  <c r="J75" i="31"/>
  <c r="J137" i="31"/>
  <c r="J73" i="31"/>
  <c r="J41" i="31"/>
  <c r="J33" i="31"/>
  <c r="J25" i="31"/>
  <c r="J21" i="31"/>
  <c r="F21" i="30"/>
  <c r="G21" i="30" s="1"/>
  <c r="E2" i="19"/>
  <c r="I17" i="33"/>
  <c r="J17" i="33" s="1"/>
  <c r="F17" i="33"/>
  <c r="G17" i="33"/>
  <c r="J16" i="33"/>
  <c r="F16" i="33"/>
  <c r="G16" i="33"/>
  <c r="I17" i="32"/>
  <c r="J17" i="32"/>
  <c r="F17" i="32"/>
  <c r="G17" i="32"/>
  <c r="I16" i="32"/>
  <c r="G16" i="32"/>
  <c r="I17" i="31"/>
  <c r="J17" i="31" s="1"/>
  <c r="F17" i="31"/>
  <c r="G17" i="31" s="1"/>
  <c r="I16" i="31"/>
  <c r="F16" i="31"/>
  <c r="G16" i="31" s="1"/>
  <c r="I17" i="28"/>
  <c r="J17" i="28" s="1"/>
  <c r="F17" i="28"/>
  <c r="G17" i="28"/>
  <c r="I16" i="28"/>
  <c r="J16" i="28" s="1"/>
  <c r="F16" i="28"/>
  <c r="G16" i="28"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s="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J15" i="32"/>
  <c r="F15" i="32"/>
  <c r="G15" i="32"/>
  <c r="I14" i="32"/>
  <c r="J14" i="32" s="1"/>
  <c r="F14" i="32"/>
  <c r="G14" i="32"/>
  <c r="I13" i="32"/>
  <c r="J13" i="32"/>
  <c r="F13" i="32"/>
  <c r="G13" i="32"/>
  <c r="I12" i="32"/>
  <c r="J12" i="32"/>
  <c r="F12" i="32"/>
  <c r="G12" i="32" s="1"/>
  <c r="I11" i="32"/>
  <c r="J11" i="32"/>
  <c r="F11" i="32"/>
  <c r="G11" i="32"/>
  <c r="I10" i="32"/>
  <c r="J10" i="32" s="1"/>
  <c r="F10" i="32"/>
  <c r="G10" i="32"/>
  <c r="I9" i="32"/>
  <c r="J9" i="32"/>
  <c r="F9" i="32"/>
  <c r="G9" i="32"/>
  <c r="I8" i="32"/>
  <c r="F8" i="32"/>
  <c r="G8" i="32" s="1"/>
  <c r="I7" i="32"/>
  <c r="J7" i="32"/>
  <c r="F7" i="32"/>
  <c r="G7" i="32"/>
  <c r="I6" i="32"/>
  <c r="J6" i="32" s="1"/>
  <c r="F6" i="32"/>
  <c r="G6" i="32"/>
  <c r="I5" i="32"/>
  <c r="J5" i="32"/>
  <c r="F5" i="32"/>
  <c r="G5" i="32"/>
  <c r="I4" i="32"/>
  <c r="J4" i="32"/>
  <c r="F4" i="32"/>
  <c r="G4" i="32" s="1"/>
  <c r="H2" i="32"/>
  <c r="E2" i="32"/>
  <c r="D2" i="32"/>
  <c r="A1" i="32" a="1"/>
  <c r="A1" i="32" s="1"/>
  <c r="I15" i="31"/>
  <c r="J15" i="31"/>
  <c r="F15" i="31"/>
  <c r="G15" i="31" s="1"/>
  <c r="I14" i="31"/>
  <c r="J14" i="31" s="1"/>
  <c r="F14" i="31"/>
  <c r="G14" i="31"/>
  <c r="I13" i="31"/>
  <c r="J13" i="31"/>
  <c r="F13" i="31"/>
  <c r="G13" i="31"/>
  <c r="I12" i="31"/>
  <c r="J12" i="31"/>
  <c r="F12" i="31"/>
  <c r="G12" i="31" s="1"/>
  <c r="I11" i="31"/>
  <c r="J11" i="31"/>
  <c r="F11" i="31"/>
  <c r="G11" i="31" s="1"/>
  <c r="I10" i="31"/>
  <c r="J10" i="31" s="1"/>
  <c r="F10" i="31"/>
  <c r="G10" i="31"/>
  <c r="I9" i="31"/>
  <c r="J9" i="31"/>
  <c r="F9" i="31"/>
  <c r="G9" i="31"/>
  <c r="I8" i="31"/>
  <c r="J8" i="31"/>
  <c r="F8" i="31"/>
  <c r="G8" i="31"/>
  <c r="I7" i="31"/>
  <c r="J7" i="31" s="1"/>
  <c r="F7" i="31"/>
  <c r="G7" i="31" s="1"/>
  <c r="I6" i="31"/>
  <c r="J6" i="31" s="1"/>
  <c r="F6" i="31"/>
  <c r="G6" i="31"/>
  <c r="I5" i="31"/>
  <c r="J5" i="31"/>
  <c r="F5" i="31"/>
  <c r="G5" i="31"/>
  <c r="I4" i="31"/>
  <c r="J4" i="31"/>
  <c r="F4" i="31"/>
  <c r="G4" i="31"/>
  <c r="E2" i="31"/>
  <c r="A1" i="31" a="1"/>
  <c r="A1" i="31" s="1"/>
  <c r="I15" i="28"/>
  <c r="J15" i="28"/>
  <c r="F15" i="28"/>
  <c r="G15" i="28"/>
  <c r="I14" i="28"/>
  <c r="I14" i="29" s="1"/>
  <c r="J14" i="28"/>
  <c r="F14" i="28"/>
  <c r="G14" i="28"/>
  <c r="I13" i="28"/>
  <c r="J13" i="28" s="1"/>
  <c r="G13" i="28"/>
  <c r="I12" i="28"/>
  <c r="J12" i="28" s="1"/>
  <c r="G12" i="28"/>
  <c r="I11" i="28"/>
  <c r="I11" i="29" s="1"/>
  <c r="J11" i="28"/>
  <c r="F11" i="28"/>
  <c r="G11" i="28" s="1"/>
  <c r="I10" i="28"/>
  <c r="J10" i="28" s="1"/>
  <c r="F10" i="28"/>
  <c r="G10" i="28" s="1"/>
  <c r="I9" i="28"/>
  <c r="J9" i="28" s="1"/>
  <c r="F9" i="28"/>
  <c r="G9" i="28" s="1"/>
  <c r="I8" i="28"/>
  <c r="J8" i="28"/>
  <c r="F8" i="28"/>
  <c r="G8" i="28" s="1"/>
  <c r="I7" i="28"/>
  <c r="I7" i="29" s="1"/>
  <c r="J7" i="28"/>
  <c r="F7" i="28"/>
  <c r="G7" i="28"/>
  <c r="I6" i="28"/>
  <c r="J6" i="28"/>
  <c r="F6" i="28"/>
  <c r="G6" i="28"/>
  <c r="I5" i="28"/>
  <c r="J5" i="28" s="1"/>
  <c r="F5" i="28"/>
  <c r="G5" i="28" s="1"/>
  <c r="I4" i="28"/>
  <c r="J4" i="28"/>
  <c r="F4" i="28"/>
  <c r="G4" i="28" s="1"/>
  <c r="B4" i="28" a="1"/>
  <c r="B4" i="28" s="1"/>
  <c r="A4" i="28" a="1"/>
  <c r="A4" i="28" s="1"/>
  <c r="E2" i="28"/>
  <c r="A1" i="28" a="1"/>
  <c r="A1" i="28" s="1"/>
  <c r="I15" i="29"/>
  <c r="I10" i="29"/>
  <c r="I6" i="29"/>
  <c r="I4" i="29"/>
  <c r="E2" i="27"/>
  <c r="A1" i="27" a="1"/>
  <c r="A1" i="27" s="1"/>
  <c r="E2" i="26"/>
  <c r="A1" i="26" a="1"/>
  <c r="A1" i="26" s="1"/>
  <c r="A1" i="19" a="1"/>
  <c r="A1" i="19" s="1"/>
  <c r="A1" i="20" a="1"/>
  <c r="A1" i="20"/>
  <c r="A1" i="21" a="1"/>
  <c r="A1" i="21" s="1"/>
  <c r="A1" i="4" a="1"/>
  <c r="A1" i="4" s="1"/>
  <c r="K2" i="3"/>
  <c r="A1" i="3" a="1"/>
  <c r="A1" i="3" s="1"/>
  <c r="A1" i="72" a="1"/>
  <c r="A1" i="72" s="1"/>
  <c r="J16" i="31"/>
  <c r="I2" i="33"/>
  <c r="J2" i="33"/>
  <c r="I2" i="32"/>
  <c r="J2" i="32" s="1"/>
  <c r="K2" i="32"/>
  <c r="K2" i="27"/>
  <c r="F2" i="32"/>
  <c r="G2" i="32"/>
  <c r="J29" i="28" l="1"/>
  <c r="I30" i="29"/>
  <c r="I39" i="29"/>
  <c r="J21" i="28"/>
  <c r="I12" i="29"/>
  <c r="J12" i="29" s="1"/>
  <c r="F2" i="28"/>
  <c r="G2" i="28" s="1"/>
  <c r="I2" i="28"/>
  <c r="J2" i="28" s="1"/>
  <c r="I22" i="29"/>
  <c r="J22" i="29" s="1"/>
  <c r="I36" i="29"/>
  <c r="I20" i="29"/>
  <c r="E2" i="30"/>
  <c r="J25" i="30"/>
  <c r="J17" i="30"/>
  <c r="F2" i="27"/>
  <c r="G2" i="27" s="1"/>
  <c r="J107" i="18"/>
  <c r="J59" i="18"/>
  <c r="J106" i="18"/>
  <c r="J105" i="18"/>
  <c r="J92" i="18"/>
  <c r="J124" i="18"/>
  <c r="J121" i="18"/>
  <c r="J89" i="18"/>
  <c r="J108" i="18"/>
  <c r="J88" i="18"/>
  <c r="J119" i="18"/>
  <c r="J114" i="18"/>
  <c r="J95" i="18"/>
  <c r="J71" i="18"/>
  <c r="J7" i="18"/>
  <c r="J113" i="18"/>
  <c r="J94" i="18"/>
  <c r="J70" i="18"/>
  <c r="D31" i="34"/>
  <c r="D15" i="34"/>
  <c r="J112" i="18"/>
  <c r="D30" i="34"/>
  <c r="D14" i="34"/>
  <c r="J104" i="18"/>
  <c r="J111" i="18"/>
  <c r="D29" i="34"/>
  <c r="D13" i="34"/>
  <c r="J55" i="18"/>
  <c r="E2" i="18"/>
  <c r="J103" i="18"/>
  <c r="J102" i="18"/>
  <c r="J120" i="18"/>
  <c r="J110" i="18"/>
  <c r="D28" i="34"/>
  <c r="D12" i="34"/>
  <c r="J68" i="18"/>
  <c r="J69" i="18"/>
  <c r="J133" i="18"/>
  <c r="J67" i="18"/>
  <c r="J132" i="18"/>
  <c r="J66" i="18"/>
  <c r="J131" i="18"/>
  <c r="J84" i="18"/>
  <c r="J83" i="18"/>
  <c r="J53" i="18"/>
  <c r="J50" i="18"/>
  <c r="J49" i="18"/>
  <c r="J77" i="18"/>
  <c r="J100" i="18"/>
  <c r="J47" i="18"/>
  <c r="J99" i="18"/>
  <c r="J19" i="18"/>
  <c r="D27" i="34"/>
  <c r="J116" i="18"/>
  <c r="J98" i="18"/>
  <c r="J74" i="18"/>
  <c r="J17" i="18"/>
  <c r="J139" i="18"/>
  <c r="D42" i="34"/>
  <c r="D26" i="34"/>
  <c r="D10" i="34"/>
  <c r="J128" i="18"/>
  <c r="J82" i="18"/>
  <c r="J79" i="18"/>
  <c r="J78" i="18"/>
  <c r="J48" i="18"/>
  <c r="J76" i="18"/>
  <c r="J75" i="18"/>
  <c r="D11" i="34"/>
  <c r="J115" i="18"/>
  <c r="J96" i="18"/>
  <c r="J73" i="18"/>
  <c r="J138" i="18"/>
  <c r="D41" i="34"/>
  <c r="D25" i="34"/>
  <c r="D9" i="34"/>
  <c r="D39" i="34"/>
  <c r="D23" i="34"/>
  <c r="D7" i="34"/>
  <c r="H36" i="34"/>
  <c r="E37" i="34"/>
  <c r="H33" i="34"/>
  <c r="D40" i="34"/>
  <c r="D24" i="34"/>
  <c r="D8" i="34"/>
  <c r="E36" i="34"/>
  <c r="H32" i="34"/>
  <c r="E39" i="34"/>
  <c r="E38" i="34"/>
  <c r="E35" i="34"/>
  <c r="E42" i="34"/>
  <c r="E41" i="34"/>
  <c r="H37" i="34"/>
  <c r="H34" i="34"/>
  <c r="D38" i="34"/>
  <c r="D22" i="34"/>
  <c r="D6" i="34"/>
  <c r="E34" i="34"/>
  <c r="E40" i="34"/>
  <c r="H35" i="34"/>
  <c r="E33" i="34"/>
  <c r="E27" i="34"/>
  <c r="E25" i="34"/>
  <c r="E24" i="34"/>
  <c r="H19" i="34"/>
  <c r="E21" i="34"/>
  <c r="E17" i="34"/>
  <c r="H29" i="34"/>
  <c r="H13" i="34"/>
  <c r="E10" i="34"/>
  <c r="E8" i="34"/>
  <c r="E23" i="34"/>
  <c r="H16" i="34"/>
  <c r="H28" i="34"/>
  <c r="H12" i="34"/>
  <c r="H21" i="34"/>
  <c r="H18" i="34"/>
  <c r="H17" i="34"/>
  <c r="E20" i="34"/>
  <c r="E19" i="34"/>
  <c r="H15" i="34"/>
  <c r="H14" i="34"/>
  <c r="E26" i="34"/>
  <c r="E9" i="34"/>
  <c r="H20" i="34"/>
  <c r="E22" i="34"/>
  <c r="H31" i="34"/>
  <c r="E18" i="34"/>
  <c r="H30" i="34"/>
  <c r="F19" i="1"/>
  <c r="G19" i="1" s="1"/>
  <c r="E11" i="34"/>
  <c r="E7" i="34"/>
  <c r="H4" i="34"/>
  <c r="F29" i="1"/>
  <c r="G29" i="1" s="1"/>
  <c r="E6" i="34"/>
  <c r="H5" i="34"/>
  <c r="E2" i="1"/>
  <c r="D2" i="1"/>
  <c r="H39" i="34"/>
  <c r="H23" i="34"/>
  <c r="H7" i="34"/>
  <c r="H38" i="34"/>
  <c r="H22" i="34"/>
  <c r="H6" i="34"/>
  <c r="H2" i="1"/>
  <c r="I2" i="1" s="1"/>
  <c r="J2" i="1" s="1"/>
  <c r="D37" i="34"/>
  <c r="E5" i="34"/>
  <c r="E32" i="34"/>
  <c r="D35" i="34"/>
  <c r="E31" i="34"/>
  <c r="H27" i="34"/>
  <c r="D34" i="34"/>
  <c r="D18" i="34"/>
  <c r="E30" i="34"/>
  <c r="E14" i="34"/>
  <c r="H42" i="34"/>
  <c r="H26" i="34"/>
  <c r="H10" i="34"/>
  <c r="E4" i="34"/>
  <c r="D20" i="34"/>
  <c r="D4" i="34"/>
  <c r="D19" i="34"/>
  <c r="E15" i="34"/>
  <c r="D33" i="34"/>
  <c r="D17" i="34"/>
  <c r="E29" i="34"/>
  <c r="E13" i="34"/>
  <c r="H41" i="34"/>
  <c r="H25" i="34"/>
  <c r="H9" i="34"/>
  <c r="D21" i="34"/>
  <c r="D36" i="34"/>
  <c r="E16" i="34"/>
  <c r="H11" i="34"/>
  <c r="I7" i="34"/>
  <c r="D5" i="34"/>
  <c r="D32" i="34"/>
  <c r="D16" i="34"/>
  <c r="E28" i="34"/>
  <c r="E12" i="34"/>
  <c r="H40" i="34"/>
  <c r="H24" i="34"/>
  <c r="H8" i="34"/>
  <c r="I2" i="27"/>
  <c r="J2" i="27" s="1"/>
  <c r="J19" i="29"/>
  <c r="J11" i="29"/>
  <c r="I42" i="29"/>
  <c r="I34" i="29"/>
  <c r="I26" i="29"/>
  <c r="I18" i="29"/>
  <c r="I41" i="29"/>
  <c r="J41" i="29" s="1"/>
  <c r="I33" i="29"/>
  <c r="I25" i="29"/>
  <c r="I17" i="29"/>
  <c r="I17" i="34" s="1"/>
  <c r="I9" i="29"/>
  <c r="J9" i="29" s="1"/>
  <c r="I40" i="29"/>
  <c r="J40" i="29" s="1"/>
  <c r="I32" i="29"/>
  <c r="I24" i="29"/>
  <c r="I16" i="29"/>
  <c r="I8" i="29"/>
  <c r="I5" i="29"/>
  <c r="I23" i="29"/>
  <c r="I38" i="29"/>
  <c r="I37" i="29"/>
  <c r="J37" i="29" s="1"/>
  <c r="I13" i="29"/>
  <c r="I28" i="29"/>
  <c r="J35" i="29"/>
  <c r="J27" i="29"/>
  <c r="J10" i="29"/>
  <c r="E2" i="29"/>
  <c r="J39" i="29"/>
  <c r="J31" i="29"/>
  <c r="J15" i="29"/>
  <c r="J7" i="29"/>
  <c r="J30" i="29"/>
  <c r="J14" i="29"/>
  <c r="J6" i="29"/>
  <c r="J29" i="29"/>
  <c r="J21" i="29"/>
  <c r="J36" i="29"/>
  <c r="J20" i="29"/>
  <c r="I136" i="18"/>
  <c r="I135" i="18"/>
  <c r="J135" i="18" s="1"/>
  <c r="I134" i="18"/>
  <c r="J130" i="18"/>
  <c r="I129" i="18"/>
  <c r="J129" i="18" s="1"/>
  <c r="I127" i="18"/>
  <c r="J127" i="18" s="1"/>
  <c r="I126" i="18"/>
  <c r="I125" i="18"/>
  <c r="J125" i="18" s="1"/>
  <c r="I123" i="18"/>
  <c r="J123" i="18" s="1"/>
  <c r="J122" i="18"/>
  <c r="I117" i="18"/>
  <c r="J117" i="18" s="1"/>
  <c r="I109" i="18"/>
  <c r="J109" i="18" s="1"/>
  <c r="I101" i="18"/>
  <c r="J101" i="18" s="1"/>
  <c r="I97" i="18"/>
  <c r="J97" i="18" s="1"/>
  <c r="I91" i="18"/>
  <c r="J91" i="18" s="1"/>
  <c r="I90" i="18"/>
  <c r="J90" i="18" s="1"/>
  <c r="I87" i="18"/>
  <c r="J87" i="18" s="1"/>
  <c r="I86" i="18"/>
  <c r="J86" i="18" s="1"/>
  <c r="I85" i="18"/>
  <c r="J85" i="18" s="1"/>
  <c r="I81" i="18"/>
  <c r="J81" i="18" s="1"/>
  <c r="I80" i="18"/>
  <c r="J80" i="18" s="1"/>
  <c r="I72" i="18"/>
  <c r="J72" i="18" s="1"/>
  <c r="I65" i="18"/>
  <c r="J65" i="18" s="1"/>
  <c r="I64" i="18"/>
  <c r="J64" i="18" s="1"/>
  <c r="I63" i="18"/>
  <c r="J63" i="18" s="1"/>
  <c r="I62" i="18"/>
  <c r="J62" i="18" s="1"/>
  <c r="I61" i="18"/>
  <c r="J61" i="18" s="1"/>
  <c r="I60" i="18"/>
  <c r="J60" i="18" s="1"/>
  <c r="I58" i="18"/>
  <c r="J58" i="18" s="1"/>
  <c r="I57" i="18"/>
  <c r="J57" i="18" s="1"/>
  <c r="I56" i="18"/>
  <c r="J56" i="18" s="1"/>
  <c r="I54" i="18"/>
  <c r="J54" i="18" s="1"/>
  <c r="I52" i="18"/>
  <c r="J52" i="18" s="1"/>
  <c r="I51" i="18"/>
  <c r="J51" i="18" s="1"/>
  <c r="I46" i="18"/>
  <c r="J46" i="18" s="1"/>
  <c r="I45" i="18"/>
  <c r="J45" i="18" s="1"/>
  <c r="I44" i="18"/>
  <c r="J44" i="18" s="1"/>
  <c r="I43" i="18"/>
  <c r="J43" i="18" s="1"/>
  <c r="I42" i="18"/>
  <c r="J42" i="18" s="1"/>
  <c r="I41" i="18"/>
  <c r="J41" i="18" s="1"/>
  <c r="I40" i="18"/>
  <c r="J40" i="18" s="1"/>
  <c r="I39" i="18"/>
  <c r="J39" i="18" s="1"/>
  <c r="I38" i="18"/>
  <c r="J38" i="18" s="1"/>
  <c r="I37" i="18"/>
  <c r="J37" i="18" s="1"/>
  <c r="I36" i="18"/>
  <c r="J36" i="18" s="1"/>
  <c r="I35" i="18"/>
  <c r="J35" i="18" s="1"/>
  <c r="I34" i="18"/>
  <c r="J34" i="18" s="1"/>
  <c r="I33" i="18"/>
  <c r="J33" i="18" s="1"/>
  <c r="I32" i="18"/>
  <c r="J32" i="18" s="1"/>
  <c r="I31" i="18"/>
  <c r="J31" i="18" s="1"/>
  <c r="I30" i="18"/>
  <c r="J30" i="18" s="1"/>
  <c r="I29" i="18"/>
  <c r="J29" i="18" s="1"/>
  <c r="I27" i="18"/>
  <c r="J27" i="18" s="1"/>
  <c r="I26" i="18"/>
  <c r="J26" i="18" s="1"/>
  <c r="I25" i="18"/>
  <c r="J25" i="18" s="1"/>
  <c r="I24" i="18"/>
  <c r="J24" i="18" s="1"/>
  <c r="I23" i="18"/>
  <c r="J23" i="18" s="1"/>
  <c r="I22" i="18"/>
  <c r="J22" i="18" s="1"/>
  <c r="I21" i="18"/>
  <c r="J21" i="18" s="1"/>
  <c r="I20" i="18"/>
  <c r="J20" i="18" s="1"/>
  <c r="I18" i="18"/>
  <c r="J18" i="18" s="1"/>
  <c r="I16" i="18"/>
  <c r="J16" i="18" s="1"/>
  <c r="I15" i="18"/>
  <c r="J15" i="18" s="1"/>
  <c r="I14" i="18"/>
  <c r="J14" i="18" s="1"/>
  <c r="I13" i="18"/>
  <c r="J13" i="18" s="1"/>
  <c r="I12" i="18"/>
  <c r="J12" i="18" s="1"/>
  <c r="I11" i="18"/>
  <c r="J11" i="18" s="1"/>
  <c r="I10" i="18"/>
  <c r="J10" i="18" s="1"/>
  <c r="I9" i="18"/>
  <c r="J9" i="18" s="1"/>
  <c r="I8" i="18"/>
  <c r="J8" i="18" s="1"/>
  <c r="I6" i="18"/>
  <c r="J6" i="18" s="1"/>
  <c r="I5" i="18"/>
  <c r="I4" i="18"/>
  <c r="J4" i="18" s="1"/>
  <c r="I158" i="18"/>
  <c r="J158" i="18" s="1"/>
  <c r="I157" i="18"/>
  <c r="J157" i="18" s="1"/>
  <c r="I156" i="18"/>
  <c r="J156" i="18" s="1"/>
  <c r="I155" i="18"/>
  <c r="J155" i="18" s="1"/>
  <c r="I154" i="18"/>
  <c r="J154" i="18" s="1"/>
  <c r="I153" i="18"/>
  <c r="J153" i="18" s="1"/>
  <c r="I152" i="18"/>
  <c r="J152" i="18" s="1"/>
  <c r="I151" i="18"/>
  <c r="J151" i="18" s="1"/>
  <c r="I150" i="18"/>
  <c r="J150" i="18" s="1"/>
  <c r="I149" i="18"/>
  <c r="J149" i="18" s="1"/>
  <c r="I148" i="18"/>
  <c r="J148" i="18" s="1"/>
  <c r="I147" i="18"/>
  <c r="J147" i="18" s="1"/>
  <c r="I146" i="18"/>
  <c r="J146" i="18" s="1"/>
  <c r="I145" i="18"/>
  <c r="J145" i="18" s="1"/>
  <c r="I144" i="18"/>
  <c r="J144" i="18" s="1"/>
  <c r="I143" i="18"/>
  <c r="J143" i="18" s="1"/>
  <c r="I142" i="18"/>
  <c r="J142" i="18" s="1"/>
  <c r="I141" i="18"/>
  <c r="J141" i="18" s="1"/>
  <c r="I140" i="18"/>
  <c r="J140" i="18" s="1"/>
  <c r="I137" i="18"/>
  <c r="J137" i="18" s="1"/>
  <c r="I118" i="18"/>
  <c r="J118" i="18" s="1"/>
  <c r="I28" i="18"/>
  <c r="J28" i="18" s="1"/>
  <c r="F42" i="29"/>
  <c r="G42" i="29" s="1"/>
  <c r="F41" i="29"/>
  <c r="G41" i="29" s="1"/>
  <c r="F40" i="29"/>
  <c r="G40" i="29" s="1"/>
  <c r="F39" i="29"/>
  <c r="G39" i="29" s="1"/>
  <c r="F38" i="29"/>
  <c r="G38" i="29" s="1"/>
  <c r="F37" i="29"/>
  <c r="G37" i="29" s="1"/>
  <c r="F36" i="29"/>
  <c r="G36" i="29" s="1"/>
  <c r="F35" i="29"/>
  <c r="G35" i="29" s="1"/>
  <c r="F34" i="29"/>
  <c r="G34" i="29" s="1"/>
  <c r="F33" i="29"/>
  <c r="G33" i="29" s="1"/>
  <c r="F32" i="29"/>
  <c r="G32" i="29" s="1"/>
  <c r="F31" i="29"/>
  <c r="G31" i="29" s="1"/>
  <c r="F30" i="29"/>
  <c r="G30" i="29" s="1"/>
  <c r="F29" i="29"/>
  <c r="G29" i="29" s="1"/>
  <c r="F28" i="29"/>
  <c r="G28" i="29" s="1"/>
  <c r="F27" i="29"/>
  <c r="G27" i="29" s="1"/>
  <c r="F26" i="29"/>
  <c r="G26" i="29" s="1"/>
  <c r="F25" i="29"/>
  <c r="F24" i="29"/>
  <c r="G24" i="29" s="1"/>
  <c r="F23" i="29"/>
  <c r="G23" i="29" s="1"/>
  <c r="F22" i="29"/>
  <c r="G22" i="29" s="1"/>
  <c r="F21" i="29"/>
  <c r="G21" i="29" s="1"/>
  <c r="F20" i="29"/>
  <c r="G20" i="29" s="1"/>
  <c r="F19" i="29"/>
  <c r="G19" i="29" s="1"/>
  <c r="F18" i="29"/>
  <c r="G18" i="29" s="1"/>
  <c r="F17" i="29"/>
  <c r="G17" i="29" s="1"/>
  <c r="F16" i="29"/>
  <c r="G16" i="29" s="1"/>
  <c r="F15" i="29"/>
  <c r="G15" i="29" s="1"/>
  <c r="F14" i="29"/>
  <c r="G14" i="29" s="1"/>
  <c r="F13" i="29"/>
  <c r="G13" i="29" s="1"/>
  <c r="F12" i="29"/>
  <c r="F11" i="29"/>
  <c r="F10" i="29"/>
  <c r="G10" i="29" s="1"/>
  <c r="F9" i="29"/>
  <c r="G9" i="29" s="1"/>
  <c r="F8" i="29"/>
  <c r="G8" i="29" s="1"/>
  <c r="F7" i="29"/>
  <c r="G7" i="29" s="1"/>
  <c r="F6" i="29"/>
  <c r="G6" i="29" s="1"/>
  <c r="F109" i="18"/>
  <c r="G109" i="18" s="1"/>
  <c r="F14" i="30"/>
  <c r="G14" i="30" s="1"/>
  <c r="J40" i="30"/>
  <c r="J33" i="30"/>
  <c r="F20" i="30"/>
  <c r="G20" i="30" s="1"/>
  <c r="F41" i="30"/>
  <c r="G41" i="30" s="1"/>
  <c r="J38" i="30"/>
  <c r="F7" i="30"/>
  <c r="G7" i="30" s="1"/>
  <c r="F37" i="30"/>
  <c r="G37" i="30" s="1"/>
  <c r="J7" i="30"/>
  <c r="J23" i="30"/>
  <c r="J35" i="30"/>
  <c r="F31" i="30"/>
  <c r="G31" i="30" s="1"/>
  <c r="J32" i="33"/>
  <c r="J6" i="30"/>
  <c r="F24" i="30"/>
  <c r="G24" i="30" s="1"/>
  <c r="J43" i="33"/>
  <c r="J22" i="30"/>
  <c r="F30" i="30"/>
  <c r="G30" i="30" s="1"/>
  <c r="F6" i="30"/>
  <c r="G6" i="30" s="1"/>
  <c r="J141" i="33"/>
  <c r="J59" i="33"/>
  <c r="F29" i="30"/>
  <c r="G29" i="30" s="1"/>
  <c r="F28" i="30"/>
  <c r="G28" i="30" s="1"/>
  <c r="J94" i="33"/>
  <c r="F34" i="30"/>
  <c r="G34" i="30" s="1"/>
  <c r="F13" i="30"/>
  <c r="G13" i="30" s="1"/>
  <c r="J145" i="33"/>
  <c r="F19" i="30"/>
  <c r="G19" i="30" s="1"/>
  <c r="F33" i="30"/>
  <c r="G33" i="30" s="1"/>
  <c r="I21" i="30"/>
  <c r="J21" i="30" s="1"/>
  <c r="F4" i="30"/>
  <c r="G4" i="30" s="1"/>
  <c r="I41" i="30"/>
  <c r="J41" i="30" s="1"/>
  <c r="I30" i="30"/>
  <c r="I9" i="30"/>
  <c r="J9" i="30" s="1"/>
  <c r="J5" i="30"/>
  <c r="I34" i="30"/>
  <c r="J34" i="30" s="1"/>
  <c r="F26" i="30"/>
  <c r="G26" i="30" s="1"/>
  <c r="J42" i="30"/>
  <c r="F2" i="33"/>
  <c r="G2" i="33" s="1"/>
  <c r="F25" i="30"/>
  <c r="G25" i="30" s="1"/>
  <c r="J16" i="32"/>
  <c r="J29" i="30"/>
  <c r="J8" i="32"/>
  <c r="F12" i="30"/>
  <c r="G12" i="30" s="1"/>
  <c r="I28" i="30"/>
  <c r="J28" i="30" s="1"/>
  <c r="J45" i="32"/>
  <c r="F32" i="30"/>
  <c r="G32" i="30" s="1"/>
  <c r="J14" i="30"/>
  <c r="J19" i="32"/>
  <c r="J15" i="30"/>
  <c r="F18" i="30"/>
  <c r="G18" i="30" s="1"/>
  <c r="J30" i="30"/>
  <c r="F39" i="30"/>
  <c r="G39" i="30" s="1"/>
  <c r="I10" i="30"/>
  <c r="J10" i="30" s="1"/>
  <c r="J102" i="32"/>
  <c r="J78" i="32"/>
  <c r="I37" i="30"/>
  <c r="J37" i="30" s="1"/>
  <c r="F23" i="30"/>
  <c r="G23" i="30" s="1"/>
  <c r="F16" i="30"/>
  <c r="G16" i="30" s="1"/>
  <c r="F9" i="30"/>
  <c r="G9" i="30" s="1"/>
  <c r="H2" i="30"/>
  <c r="I36" i="30"/>
  <c r="J36" i="30" s="1"/>
  <c r="I16" i="30"/>
  <c r="J16" i="30" s="1"/>
  <c r="J31" i="32"/>
  <c r="F5" i="30"/>
  <c r="G5" i="30" s="1"/>
  <c r="J52" i="32"/>
  <c r="F17" i="30"/>
  <c r="G17" i="30" s="1"/>
  <c r="J8" i="30"/>
  <c r="F15" i="30"/>
  <c r="G15" i="30" s="1"/>
  <c r="J4" i="30"/>
  <c r="I24" i="30"/>
  <c r="J24" i="30" s="1"/>
  <c r="F42" i="30"/>
  <c r="G42" i="30" s="1"/>
  <c r="I18" i="30"/>
  <c r="J18" i="30" s="1"/>
  <c r="I13" i="30"/>
  <c r="J13" i="30" s="1"/>
  <c r="I11" i="30"/>
  <c r="J11" i="30" s="1"/>
  <c r="J134" i="31"/>
  <c r="F11" i="30"/>
  <c r="G11" i="30" s="1"/>
  <c r="J142" i="31"/>
  <c r="J97" i="31"/>
  <c r="J36" i="31"/>
  <c r="I19" i="30"/>
  <c r="J106" i="31"/>
  <c r="J53" i="31"/>
  <c r="F36" i="30"/>
  <c r="G36" i="30" s="1"/>
  <c r="J144" i="31"/>
  <c r="F35" i="30"/>
  <c r="G35" i="30" s="1"/>
  <c r="F22" i="30"/>
  <c r="G22" i="30" s="1"/>
  <c r="F2" i="31"/>
  <c r="G2" i="31" s="1"/>
  <c r="I2" i="31"/>
  <c r="J2" i="31" s="1"/>
  <c r="F27" i="30"/>
  <c r="G27" i="30" s="1"/>
  <c r="I20" i="30"/>
  <c r="J20" i="30" s="1"/>
  <c r="J110" i="31"/>
  <c r="I32" i="30"/>
  <c r="J32" i="30" s="1"/>
  <c r="J49" i="31"/>
  <c r="J20" i="31"/>
  <c r="J89" i="31"/>
  <c r="J26" i="30"/>
  <c r="I27" i="30"/>
  <c r="J27" i="30" s="1"/>
  <c r="F40" i="30"/>
  <c r="G40" i="30" s="1"/>
  <c r="J136" i="31"/>
  <c r="J12" i="30"/>
  <c r="J139" i="31"/>
  <c r="D2" i="30"/>
  <c r="J126" i="31"/>
  <c r="J39" i="30"/>
  <c r="G11" i="29"/>
  <c r="F87" i="18"/>
  <c r="G87" i="18" s="1"/>
  <c r="F121" i="18"/>
  <c r="G121" i="18" s="1"/>
  <c r="F105" i="18"/>
  <c r="G105" i="18" s="1"/>
  <c r="F120" i="18"/>
  <c r="G120" i="18" s="1"/>
  <c r="F119" i="18"/>
  <c r="G119" i="18" s="1"/>
  <c r="F117" i="18"/>
  <c r="G117" i="18" s="1"/>
  <c r="F85" i="18"/>
  <c r="G85" i="18" s="1"/>
  <c r="F4" i="29"/>
  <c r="G4" i="29" s="1"/>
  <c r="F5" i="29"/>
  <c r="G5" i="29" s="1"/>
  <c r="G25" i="29"/>
  <c r="I2" i="4"/>
  <c r="J2" i="4" s="1"/>
  <c r="J39" i="1"/>
  <c r="J40" i="1"/>
  <c r="J24" i="1"/>
  <c r="F10" i="1"/>
  <c r="G10" i="1" s="1"/>
  <c r="F39" i="1"/>
  <c r="G39" i="1" s="1"/>
  <c r="F2" i="3"/>
  <c r="G2" i="3" s="1"/>
  <c r="J38" i="1"/>
  <c r="J37" i="1"/>
  <c r="F24" i="1"/>
  <c r="G24" i="1" s="1"/>
  <c r="J6" i="1"/>
  <c r="F26" i="1"/>
  <c r="G26" i="1" s="1"/>
  <c r="J36" i="1"/>
  <c r="J41" i="1"/>
  <c r="F7" i="1"/>
  <c r="G7" i="1" s="1"/>
  <c r="F31" i="1"/>
  <c r="G31" i="1" s="1"/>
  <c r="F30" i="1"/>
  <c r="G30" i="1" s="1"/>
  <c r="F35" i="1"/>
  <c r="G35" i="1" s="1"/>
  <c r="F12" i="1"/>
  <c r="G12" i="1" s="1"/>
  <c r="J19" i="1"/>
  <c r="J8" i="1"/>
  <c r="J26" i="1"/>
  <c r="F15" i="1"/>
  <c r="G15" i="1" s="1"/>
  <c r="F34" i="1"/>
  <c r="G34" i="1" s="1"/>
  <c r="F18" i="1"/>
  <c r="G18" i="1" s="1"/>
  <c r="F2" i="72"/>
  <c r="G2" i="72" s="1"/>
  <c r="F16" i="1"/>
  <c r="G16" i="1" s="1"/>
  <c r="F20" i="1"/>
  <c r="G20" i="1" s="1"/>
  <c r="J5" i="1"/>
  <c r="F33" i="1"/>
  <c r="G33" i="1" s="1"/>
  <c r="J11" i="1"/>
  <c r="F11" i="1"/>
  <c r="G11" i="1" s="1"/>
  <c r="F9" i="1"/>
  <c r="G9" i="1" s="1"/>
  <c r="F8" i="1"/>
  <c r="G8" i="1" s="1"/>
  <c r="J30" i="1"/>
  <c r="F38" i="1"/>
  <c r="G38" i="1" s="1"/>
  <c r="F27" i="1"/>
  <c r="G27" i="1" s="1"/>
  <c r="F22" i="1"/>
  <c r="G22" i="1" s="1"/>
  <c r="I2" i="72"/>
  <c r="J2" i="72" s="1"/>
  <c r="J33" i="1"/>
  <c r="J28" i="1"/>
  <c r="J16" i="1"/>
  <c r="F36" i="1"/>
  <c r="G36" i="1" s="1"/>
  <c r="J20" i="1"/>
  <c r="F41" i="1"/>
  <c r="G41" i="1" s="1"/>
  <c r="J9" i="1"/>
  <c r="J14" i="1"/>
  <c r="J35" i="1"/>
  <c r="F17" i="1"/>
  <c r="G17" i="1" s="1"/>
  <c r="F37" i="1"/>
  <c r="G37" i="1" s="1"/>
  <c r="F32" i="1"/>
  <c r="G32" i="1" s="1"/>
  <c r="J10" i="1"/>
  <c r="F42" i="1"/>
  <c r="G42" i="1" s="1"/>
  <c r="F21" i="1"/>
  <c r="G21" i="1" s="1"/>
  <c r="J34" i="1"/>
  <c r="J31" i="1"/>
  <c r="J12" i="1"/>
  <c r="F13" i="1"/>
  <c r="G13" i="1" s="1"/>
  <c r="J7" i="1"/>
  <c r="F40" i="1"/>
  <c r="G40" i="1" s="1"/>
  <c r="F25" i="1"/>
  <c r="G25" i="1" s="1"/>
  <c r="J13" i="1"/>
  <c r="J42" i="1"/>
  <c r="J18" i="1"/>
  <c r="F14" i="1"/>
  <c r="G14" i="1" s="1"/>
  <c r="J27" i="1"/>
  <c r="J15" i="1"/>
  <c r="F5" i="1"/>
  <c r="G5" i="1" s="1"/>
  <c r="J25" i="1"/>
  <c r="F6" i="1"/>
  <c r="G6" i="1" s="1"/>
  <c r="J22" i="1"/>
  <c r="F28" i="1"/>
  <c r="G28" i="1" s="1"/>
  <c r="F23" i="1"/>
  <c r="G23" i="1" s="1"/>
  <c r="F4" i="1"/>
  <c r="G4" i="1" s="1"/>
  <c r="J32" i="1"/>
  <c r="J17" i="1"/>
  <c r="J29" i="1"/>
  <c r="G12" i="29"/>
  <c r="J4" i="29"/>
  <c r="H2" i="29"/>
  <c r="F2" i="26"/>
  <c r="G2" i="26" s="1"/>
  <c r="I2" i="26"/>
  <c r="J2" i="26" s="1"/>
  <c r="D2" i="29"/>
  <c r="F154" i="18"/>
  <c r="G154" i="18" s="1"/>
  <c r="F148" i="18"/>
  <c r="G148" i="18" s="1"/>
  <c r="F123" i="18"/>
  <c r="G123" i="18" s="1"/>
  <c r="F101" i="18"/>
  <c r="G101" i="18" s="1"/>
  <c r="F98" i="18"/>
  <c r="G98" i="18" s="1"/>
  <c r="F97" i="18"/>
  <c r="G97" i="18" s="1"/>
  <c r="F2" i="19"/>
  <c r="G2" i="19" s="1"/>
  <c r="I2" i="19"/>
  <c r="J2" i="19" s="1"/>
  <c r="F114" i="18"/>
  <c r="G114" i="18" s="1"/>
  <c r="F91" i="18"/>
  <c r="G91" i="18" s="1"/>
  <c r="I2" i="20"/>
  <c r="J2" i="20" s="1"/>
  <c r="F2" i="20"/>
  <c r="G2" i="20" s="1"/>
  <c r="F33" i="18"/>
  <c r="G33" i="18" s="1"/>
  <c r="F113" i="18"/>
  <c r="G113" i="18" s="1"/>
  <c r="F57" i="18"/>
  <c r="G57" i="18" s="1"/>
  <c r="F73" i="18"/>
  <c r="G73" i="18" s="1"/>
  <c r="F25" i="18"/>
  <c r="G25" i="18" s="1"/>
  <c r="F81" i="18"/>
  <c r="G81" i="18" s="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J19" i="30" l="1"/>
  <c r="I19" i="34"/>
  <c r="I27" i="34"/>
  <c r="I6" i="34"/>
  <c r="J6" i="34" s="1"/>
  <c r="I26" i="34"/>
  <c r="I34" i="34"/>
  <c r="J34" i="34" s="1"/>
  <c r="I13" i="34"/>
  <c r="J13" i="34" s="1"/>
  <c r="I11" i="34"/>
  <c r="J11" i="34" s="1"/>
  <c r="I31" i="34"/>
  <c r="J31" i="34" s="1"/>
  <c r="I12" i="34"/>
  <c r="I10" i="34"/>
  <c r="J10" i="34" s="1"/>
  <c r="I32" i="34"/>
  <c r="J32" i="34" s="1"/>
  <c r="I35" i="34"/>
  <c r="J35" i="34" s="1"/>
  <c r="I14" i="34"/>
  <c r="J14" i="34" s="1"/>
  <c r="I30" i="34"/>
  <c r="J30" i="34" s="1"/>
  <c r="I28" i="34"/>
  <c r="J28" i="34" s="1"/>
  <c r="I5" i="34"/>
  <c r="J5" i="34" s="1"/>
  <c r="I16" i="34"/>
  <c r="J16" i="34" s="1"/>
  <c r="I38" i="34"/>
  <c r="J38" i="34" s="1"/>
  <c r="I37" i="34"/>
  <c r="J37" i="34" s="1"/>
  <c r="I24" i="34"/>
  <c r="J24" i="34" s="1"/>
  <c r="I9" i="34"/>
  <c r="J9" i="34" s="1"/>
  <c r="I15" i="34"/>
  <c r="J15" i="34" s="1"/>
  <c r="I18" i="34"/>
  <c r="J18" i="34" s="1"/>
  <c r="I42" i="34"/>
  <c r="J42" i="34" s="1"/>
  <c r="I23" i="34"/>
  <c r="J23" i="34" s="1"/>
  <c r="I40" i="34"/>
  <c r="J40" i="34" s="1"/>
  <c r="I25" i="34"/>
  <c r="J25" i="34" s="1"/>
  <c r="I36" i="34"/>
  <c r="J36" i="34" s="1"/>
  <c r="I8" i="34"/>
  <c r="J8" i="34" s="1"/>
  <c r="J8" i="29"/>
  <c r="J18" i="29"/>
  <c r="I33" i="34"/>
  <c r="J33" i="34" s="1"/>
  <c r="I39" i="34"/>
  <c r="J39" i="34" s="1"/>
  <c r="I20" i="34"/>
  <c r="J20" i="34" s="1"/>
  <c r="I21" i="34"/>
  <c r="J21" i="34" s="1"/>
  <c r="J16" i="29"/>
  <c r="J34" i="29"/>
  <c r="I41" i="34"/>
  <c r="J41" i="34" s="1"/>
  <c r="I22" i="34"/>
  <c r="J22" i="34" s="1"/>
  <c r="J32" i="29"/>
  <c r="J42" i="29"/>
  <c r="I29" i="34"/>
  <c r="J29" i="34" s="1"/>
  <c r="E2" i="34"/>
  <c r="D2" i="34"/>
  <c r="J13" i="29"/>
  <c r="J25" i="29"/>
  <c r="J28" i="29"/>
  <c r="J26" i="29"/>
  <c r="J23" i="29"/>
  <c r="J24" i="29"/>
  <c r="J38" i="29"/>
  <c r="J17" i="29"/>
  <c r="J5" i="29"/>
  <c r="J33" i="29"/>
  <c r="H2" i="34"/>
  <c r="J126" i="18"/>
  <c r="J134" i="18"/>
  <c r="J136" i="18"/>
  <c r="I2" i="30"/>
  <c r="J2" i="30" s="1"/>
  <c r="F2" i="30"/>
  <c r="G2" i="30" s="1"/>
  <c r="F10" i="34"/>
  <c r="G10" i="34" s="1"/>
  <c r="F40" i="34"/>
  <c r="G40" i="34" s="1"/>
  <c r="F9" i="34"/>
  <c r="G9" i="34" s="1"/>
  <c r="F24" i="34"/>
  <c r="G24" i="34" s="1"/>
  <c r="J7" i="34"/>
  <c r="F32" i="34"/>
  <c r="G32" i="34" s="1"/>
  <c r="J23" i="1"/>
  <c r="F39" i="34"/>
  <c r="G39" i="34" s="1"/>
  <c r="F26" i="34"/>
  <c r="G26" i="34" s="1"/>
  <c r="J26" i="34"/>
  <c r="F31" i="34"/>
  <c r="G31" i="34" s="1"/>
  <c r="F20" i="34"/>
  <c r="G20" i="34" s="1"/>
  <c r="F30" i="34"/>
  <c r="G30" i="34" s="1"/>
  <c r="F33" i="34"/>
  <c r="G33" i="34" s="1"/>
  <c r="F5" i="34"/>
  <c r="G5" i="34" s="1"/>
  <c r="F28" i="34"/>
  <c r="G28" i="34" s="1"/>
  <c r="F13" i="34"/>
  <c r="G13" i="34" s="1"/>
  <c r="F8" i="34"/>
  <c r="G8" i="34" s="1"/>
  <c r="F7" i="34"/>
  <c r="G7" i="34" s="1"/>
  <c r="F21" i="34"/>
  <c r="G21" i="34" s="1"/>
  <c r="F2" i="1"/>
  <c r="G2" i="1" s="1"/>
  <c r="F18" i="34"/>
  <c r="G18" i="34" s="1"/>
  <c r="F23" i="34"/>
  <c r="G23" i="34" s="1"/>
  <c r="F17" i="34"/>
  <c r="G17" i="34" s="1"/>
  <c r="F4" i="34"/>
  <c r="G4" i="34" s="1"/>
  <c r="F35" i="34"/>
  <c r="G35" i="34" s="1"/>
  <c r="F19" i="34"/>
  <c r="G19" i="34" s="1"/>
  <c r="F15" i="34"/>
  <c r="G15" i="34" s="1"/>
  <c r="F16" i="34"/>
  <c r="G16" i="34" s="1"/>
  <c r="F6" i="34"/>
  <c r="G6" i="34" s="1"/>
  <c r="F42" i="34"/>
  <c r="G42" i="34" s="1"/>
  <c r="F14" i="34"/>
  <c r="G14" i="34" s="1"/>
  <c r="J17" i="34"/>
  <c r="F38" i="34"/>
  <c r="G38" i="34" s="1"/>
  <c r="F36" i="34"/>
  <c r="G36" i="34" s="1"/>
  <c r="F29" i="34"/>
  <c r="G29" i="34" s="1"/>
  <c r="F41" i="34"/>
  <c r="G41" i="34" s="1"/>
  <c r="F25" i="34"/>
  <c r="G25" i="34" s="1"/>
  <c r="F11" i="34"/>
  <c r="G11" i="34" s="1"/>
  <c r="F22" i="34"/>
  <c r="G22" i="34" s="1"/>
  <c r="F12" i="34"/>
  <c r="G12" i="34" s="1"/>
  <c r="F27" i="34"/>
  <c r="G27" i="34" s="1"/>
  <c r="J27" i="34"/>
  <c r="F37" i="34"/>
  <c r="G37" i="34" s="1"/>
  <c r="F34" i="34"/>
  <c r="G34" i="34" s="1"/>
  <c r="J19" i="34"/>
  <c r="I2" i="29"/>
  <c r="J2" i="29" s="1"/>
  <c r="F2" i="29"/>
  <c r="G2" i="29" s="1"/>
  <c r="J12" i="34"/>
  <c r="J5" i="18"/>
  <c r="F2" i="18"/>
  <c r="G2" i="18" s="1"/>
  <c r="I2" i="18"/>
  <c r="J2" i="18" s="1"/>
  <c r="I2" i="34" l="1"/>
  <c r="J2" i="34" s="1"/>
  <c r="F2" i="34"/>
  <c r="G2" i="34" s="1"/>
  <c r="J21" i="1"/>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<sst xmlns="http://schemas.openxmlformats.org/spreadsheetml/2006/main" count="683" uniqueCount="349">
  <si>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</si>
  <si>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</si>
  <si>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</si>
  <si>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</si>
  <si>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</si>
  <si>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</si>
  <si>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</si>
  <si>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</si>
  <si>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</si>
  <si>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</si>
  <si>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</si>
  <si>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</si>
  <si>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</si>
  <si>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</si>
  <si>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</si>
  <si>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</si>
  <si>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</si>
  <si>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</si>
  <si>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</si>
  <si>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</si>
  <si>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</si>
  <si>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</si>
  <si>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</si>
  <si>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</si>
  <si>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</si>
  <si>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</si>
  <si>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</si>
  <si>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SR098594</t>
  </si>
  <si>
    <t>SR098779</t>
  </si>
  <si>
    <t>SR098902</t>
  </si>
  <si>
    <t>April Actual v. Expected</t>
  </si>
  <si>
    <t>April Actual v. Forecasted</t>
  </si>
  <si>
    <t>May Actual v. Expected</t>
  </si>
  <si>
    <t>May Actual v. Forecasted</t>
  </si>
  <si>
    <t>June Actual v. Expected</t>
  </si>
  <si>
    <t>June Actual v. Forecasted</t>
  </si>
  <si>
    <t>July Actual v. Expected</t>
  </si>
  <si>
    <t>July Actual v. Forecasted</t>
  </si>
  <si>
    <t>1. The weather station has been reporting erroneous values during evening hours, showing readings around 600–800 W/m², while nearby sites are reporting approximately 300 W/m².</t>
  </si>
  <si>
    <t>1. SR101016</t>
  </si>
  <si>
    <t>N/A</t>
  </si>
  <si>
    <t>1. Meter 1 did not communicate from 07/02 and production of inverter 1 cannot be confirmed. Upon arrival technician found dead squirrels on meter enclosure and also a blown fuse on phase B at utility disconnect later it came back online at 11:00AM on 07/31</t>
  </si>
  <si>
    <t>1. SR103955</t>
  </si>
  <si>
    <t>1. Low production/generation due to  low irradiance on 07/20</t>
  </si>
  <si>
    <t>1. Inverter 2 underperforming by 10 kW (2 strings) for whole month</t>
  </si>
  <si>
    <t>1. SR104268</t>
  </si>
  <si>
    <t>1.Site has been repeatedly tripping offline since it was reenergized on 7/22, and was online with occasional spikes in production</t>
  </si>
  <si>
    <t>1. SR105035 ,SR104591</t>
  </si>
  <si>
    <t>1.Meter production dropping to zero on Multiple days throughout the month, but not consistently.Replacement is still inprogress for meter and 12 broken modules replacement.</t>
  </si>
  <si>
    <t>1.SR099666</t>
  </si>
  <si>
    <t>2. Site trips offline in the afternoon. Some inverter(s) trip offline mid morning as well. (site does not have inverter communications in PowerTrack).</t>
  </si>
  <si>
    <t>2. SR105159</t>
  </si>
  <si>
    <t>1.Inverters 1 &amp; 2 are operational but not communicating. Further troubleshooting is needed to resolve both the underperformance and communication issues of Inverter 1&amp;2.</t>
  </si>
  <si>
    <t>1. SR101037</t>
  </si>
  <si>
    <t>1. Expected values are too low observed during monthly reports. The weather station at site is virtual weather station.</t>
  </si>
  <si>
    <t>1.SR093028</t>
  </si>
  <si>
    <t>1.Meter build 5 &amp; 6 is dropping by 20 kW on most days, possibly two inverters tripping offline</t>
  </si>
  <si>
    <t>1.SR103804</t>
  </si>
  <si>
    <t>2.Meter Build 8 &amp; 9 contiously tripping and self-resolving through out the month</t>
  </si>
  <si>
    <t>2.SR105439</t>
  </si>
  <si>
    <t>1.Inverter 2 has been sporadically derating during high irradiance days.</t>
  </si>
  <si>
    <t>1.SR091894</t>
  </si>
  <si>
    <t xml:space="preserve">-   </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</si>
  <si>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</si>
  <si>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	SR103078</t>
  </si>
  <si>
    <t>1. Inverter 4 is derating at 20kW from 06/23and reporting "Fans are defective Sensor defect". On 07/18 technician was Installed the new fan and producing as expected with peer inverters.
2.The site was de-energized on 07/09 at 06:49 for a transformer replacement. After the replacement, the site came back online at 08:15 on 07/16
3. Inverter 1 derated to 20 kW starting at 14:00 on 07/18. A technician found one failed fan, which is currently under RMA. The inverter will continue to derate until the fan is replaced</t>
  </si>
  <si>
    <t>1.SR103354
2.	SR104105
3.	SR104590</t>
  </si>
  <si>
    <t>1.Inverter 3 dropped a string from 4/28
2. Inverter A13 is derating from 07/28 at 20.10kW and reporting "fan fault".</t>
  </si>
  <si>
    <t>1.	SR103711
2.	SR105203</t>
  </si>
  <si>
    <t xml:space="preserve">1.Weather station is barely reporting from 12/06 at 08:30. This issue will be troubleshooting next time onsite </t>
  </si>
  <si>
    <t>1.SR095305</t>
  </si>
  <si>
    <t>1.The weather station stopped communicating on 05/04. The communication issue will persist until further repairs are completed.</t>
  </si>
  <si>
    <t>1.SR1010110</t>
  </si>
  <si>
    <t>1. Inverters 4&amp;11 are experiencing heavy shading due to surrounding trees throughout the day from 11/07/2024.</t>
  </si>
  <si>
    <t>1.SR093047</t>
  </si>
  <si>
    <t>1. Inverter 6 is down a string since 07/07</t>
  </si>
  <si>
    <t>1.SR105784</t>
  </si>
  <si>
    <t xml:space="preserve"> 1.Site tripped offline at 16:00 on 06/28 and  inverters are reporting at constant value through out the month and site came back online on 07/22
2. Inverter 2 failed to start for production from 07/22 after site re-energization.</t>
  </si>
  <si>
    <t>1.SR103721
2.	SR104748</t>
  </si>
  <si>
    <t>1. 8 inverters are offline from 09/05/24 according to the SMA Sunny Portal and need to be replaced. Gen Cap will work directly with Rural Solar.</t>
  </si>
  <si>
    <t>SR092556</t>
  </si>
  <si>
    <t>1. Inverter 2 was offline for whole month due to fault current.
2. Inverter 3 was offline for whole month due to Interference device fault</t>
  </si>
  <si>
    <t>1.SR099268
2.SR093354</t>
  </si>
  <si>
    <t>1. Inverter 11 was offline for whole month.
2. Inverter 14 was offline for whole month.
3. Inverter 15 was offline for whole month.
4. Inverter 16 was offline for whole month.
5. Inverter 25 was offline for whole month.
6. Inverter 26 was offline for whole month.
7.Inverter 17 offline from 07/10</t>
  </si>
  <si>
    <t>1. SR101102
2. SR101744
3. SR100464
4. SR098883
5. SR092332
6. SR095649
7.	SR101102</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</si>
  <si>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
10.Site tripped offline at 10:30 from 07/09 and it came back online on 07/11
11.Inverter 6 offline from 07/10"</t>
  </si>
  <si>
    <t>1. SR102198
2. SR101942, SR088869
3. SR092209
4. SR101998
5. SR092255
6. SR092751
7. SR092095
8. SR101997
9. SR103021
10.	SR104199
11.	SR104453</t>
  </si>
  <si>
    <t>1.Inverter 9 offline from 07/09</t>
  </si>
  <si>
    <t>1. SR104194</t>
  </si>
  <si>
    <t>1.Low production/generation due to low irradiance on 07/10</t>
  </si>
  <si>
    <t>August Actual v. Expected</t>
  </si>
  <si>
    <t>August Actual v. Forecasted</t>
  </si>
  <si>
    <t>1. Inverter was offline from 06:00 on 08/19 to 10:30 on 08/21.</t>
  </si>
  <si>
    <t>1. 	SR106525</t>
  </si>
  <si>
    <t>1. Meter 2 was offline from 05:15 on 08/14 to 10:15 on 08/18.</t>
  </si>
  <si>
    <t>1. SR106306</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</si>
  <si>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</si>
  <si>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from 06:00 on 08/26 to 13:00 on 08/27.</t>
  </si>
  <si>
    <t>1. SR106940</t>
  </si>
  <si>
    <t>1. Site was offline for half a day from 08/01 to 08/17, and was producing at half of its capacity. It was tripped offline again on 08/20 at 16:00 and brought back online on 08/21 at 06:00. The site was tripped offline again on 08/21 at 13:00 and came back online on 08/22 at 06:00. Production dropped to half of its rating again from 08/25 at 06:00.</t>
  </si>
  <si>
    <t>1. SR106366, SR105842, 	SR105159</t>
  </si>
  <si>
    <t>SR105842</t>
  </si>
  <si>
    <t>SR105159</t>
  </si>
  <si>
    <t>1. Inverter 3 was offline for whole month.</t>
  </si>
  <si>
    <t>1. SR105838, SR099310</t>
  </si>
  <si>
    <t>SR099310</t>
  </si>
  <si>
    <t>1.	SR101037</t>
  </si>
  <si>
    <t>1. Inverters 2 and 3 were tripping on and off from 08/11 to end of the month.</t>
  </si>
  <si>
    <t>1. SR106134</t>
  </si>
  <si>
    <t>1. Meter build 5 &amp; 6 is dropping by 20 kW on most days, possibly two inverters tripping offline.Technician was advised that equipment is beyond legacy date, and repair parts are no longer quotable or available. Complete replacement is only option going forward.</t>
  </si>
  <si>
    <t>1. SR103804</t>
  </si>
  <si>
    <t>1. Inverter 1 was underperforming by 150kW from 07:45 on 04/17 to 15:15 on 08/20. Inverter 2 is derating in the afternoon by 100kW 08/10 to 08/27</t>
  </si>
  <si>
    <t>1. 	SR105841, 	SR106733</t>
  </si>
  <si>
    <t>SR106733</t>
  </si>
  <si>
    <t xml:space="preserve">1. Site was offline for whole month. </t>
  </si>
  <si>
    <t>1. SR106006, SR103078</t>
  </si>
  <si>
    <t>SR103078</t>
  </si>
  <si>
    <t>1. Inverter 3 was underperforming 5kW down from 04/28 to 08/25.</t>
  </si>
  <si>
    <t>1. SR103711</t>
  </si>
  <si>
    <t>1. Weather station was reporting low values (upto 200w/m2) even on good sunny day for whole month.</t>
  </si>
  <si>
    <t>1. SR095305</t>
  </si>
  <si>
    <t>1. SR105609</t>
  </si>
  <si>
    <t xml:space="preserve">1. Inverter 3 was offline from 11:15 on 08/08 to 07:45 on 08/11.
2. Inverter 2 was offline from 17:15 to 20:15 o 08/12. </t>
  </si>
  <si>
    <t>1. SR105910
2. SR106165</t>
  </si>
  <si>
    <t>SR106165</t>
  </si>
  <si>
    <t>1. Weather station was reporting erroneous value (0w/m2) for whole month.</t>
  </si>
  <si>
    <t>1. SR106696</t>
  </si>
  <si>
    <t>1. Inverter 6 was underproducing by 5kW compared to peer inverters for whole month.</t>
  </si>
  <si>
    <t>1. SR104785</t>
  </si>
  <si>
    <t>1. Site was not communicated for whole month.</t>
  </si>
  <si>
    <t>1. SR106017</t>
  </si>
  <si>
    <t>1. Inverter 5 was underproducing 5kW for whole month.</t>
  </si>
  <si>
    <t>1. SR103898</t>
  </si>
  <si>
    <t>1. Inverter 2 failed to start for production from 07/22 after site re-energization.</t>
  </si>
  <si>
    <t>1. SR104748</t>
  </si>
  <si>
    <t>1. SR092556</t>
  </si>
  <si>
    <t>1.  Inverter 1 was intermittently derating by 5kW for whole month
2. Inverter 5 was underproducing by 5kW for whole month.
3. Inverter 2 was offline for whole month.
4. Inverter 3 was offline for whole month.</t>
  </si>
  <si>
    <t>1. SR106775
2. SR106303
3. SR099268
4. SR093354</t>
  </si>
  <si>
    <t>SR106303</t>
  </si>
  <si>
    <t>SR099268</t>
  </si>
  <si>
    <t>SR093354</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</si>
  <si>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t>
  </si>
  <si>
    <t xml:space="preserve">1. SR101102
2. SR101744
3. SR104348
4. SR100464
5. SR098883
6. SR095649
7. SR092332
8. SR098311
9. </t>
  </si>
  <si>
    <t>SR101744</t>
  </si>
  <si>
    <t>SR104348</t>
  </si>
  <si>
    <t>SR100464</t>
  </si>
  <si>
    <t>SR098883</t>
  </si>
  <si>
    <t>SR095649</t>
  </si>
  <si>
    <t>SR092332</t>
  </si>
  <si>
    <t>SR098311</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</si>
  <si>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19:00 on 08/21 to 15:00 on 08/23.</t>
  </si>
  <si>
    <t>1. SR092255
2. SR092209
3. SR092095
4. SR103021
5. SR102198
6. SR101997
7. SR101998
8. SR092751
9. SR106747</t>
  </si>
  <si>
    <t>SR092209</t>
  </si>
  <si>
    <t>SR092095</t>
  </si>
  <si>
    <t>SR103021</t>
  </si>
  <si>
    <t>SR102198</t>
  </si>
  <si>
    <t>SR101997</t>
  </si>
  <si>
    <t>SR101998</t>
  </si>
  <si>
    <t>SR092751</t>
  </si>
  <si>
    <t>SR106747</t>
  </si>
  <si>
    <t>1. Inverter 9 was offline from 06:00 on 07/09 to 10:15 on 08/27.</t>
  </si>
  <si>
    <t xml:space="preserve">1.Low production on 08/01 and  08/18 to 08/21 due to rain </t>
  </si>
  <si>
    <t>September Actual v. Expected</t>
  </si>
  <si>
    <t>September Actual v. Forecasted</t>
  </si>
  <si>
    <t>1. Meter 1 was offline from 09/26 at 14:45 and being LOTO</t>
  </si>
  <si>
    <t>1.SR108802</t>
  </si>
  <si>
    <t>1. Inverter 2 is back online at 17:00 on 09/11
2. Inverter 1 tripped offline at 15:00 on 09/09 and back online at 17:00 on 09/11</t>
  </si>
  <si>
    <t>1.SR106940
2.SR107729</t>
  </si>
  <si>
    <t>SR107729</t>
  </si>
  <si>
    <t xml:space="preserve">1. One of the inverter is offline 
2. The site has dropped production to 7 kW on 08/29. Based on historical data, this appears to be a recurring issue. The site’s capacity is 116 kW, but it is currently only producing 40 kW it's possible that a few inverters are offline. on 09/02 technicin was After increasing inverter voltage thresholds, 2 of 2 inverters were online but 1 tripped off. thermals taken of transformer. </t>
  </si>
  <si>
    <t>1.SR107222</t>
  </si>
  <si>
    <t>1. Inverter 3 was offline for whole month.
2.Inverters 1 &amp; 2 are operational but not communicating. Further troubleshooting is needed to resolve both the underperformance and communication issues of Inverter 1&amp;2.</t>
  </si>
  <si>
    <t>1.SR099310
2.SR101037</t>
  </si>
  <si>
    <t>SR101037</t>
  </si>
  <si>
    <t>1.SR101037</t>
  </si>
  <si>
    <t>1.SR106134</t>
  </si>
  <si>
    <t>1.Meter 8 &amp; 9 tripped offline around 12:45 on 09/04. They were originally heavily derated 
2. Meter building 5 &amp; 6 intermittently underperforming by 20kW historically. meter building 8 &amp; 9 underperforming by 70kW historically. These inverters may need repowers</t>
  </si>
  <si>
    <t>1.SR107481
2.SR107139, SR108009</t>
  </si>
  <si>
    <t>SR107139</t>
  </si>
  <si>
    <t>SR108009</t>
  </si>
  <si>
    <t>1.SR105841,SR106733</t>
  </si>
  <si>
    <t>1. Site is back online at 11:00 on 09/12
2.CB 5 string 12 and 15 left isolated from 09/08.</t>
  </si>
  <si>
    <t>1.SR106006
2.SR107629</t>
  </si>
  <si>
    <t>SR107629</t>
  </si>
  <si>
    <t>1. Inverter is offline foe whole day on 09/17.</t>
  </si>
  <si>
    <t>1.SR108036</t>
  </si>
  <si>
    <t>1. Site tripped offline at 10:15 on 09/08 and back online at 11:15 on 09/09
2. Site tripped offline at 20:00 on 09/19 and back online at 18:45 on 09/20</t>
  </si>
  <si>
    <t>1.SR107632
2.SR108300</t>
  </si>
  <si>
    <t>SR108300</t>
  </si>
  <si>
    <t>1.SR105609</t>
  </si>
  <si>
    <t>1. Inverter 2 is offline on 09/07 and back online at 08:30 on 09/08</t>
  </si>
  <si>
    <t>1.SR106165</t>
  </si>
  <si>
    <t>1.SR106696</t>
  </si>
  <si>
    <t>1. Inverter 6 is producing with its peers from 09/02.
2.Weather station started communication on 09/18 at 12:30</t>
  </si>
  <si>
    <t>1.SR104785
2.SR095643</t>
  </si>
  <si>
    <t>SR095643</t>
  </si>
  <si>
    <t>1. Inverter 5 is producing with its peers from 09/06</t>
  </si>
  <si>
    <t>1.SR103898</t>
  </si>
  <si>
    <t>1. Inverter 3 is offline on 09/09 and back online at 09/10</t>
  </si>
  <si>
    <t>1.SR107718</t>
  </si>
  <si>
    <t>1.45 modules shattered on site
2. Inverter 2 is offline for the whole month</t>
  </si>
  <si>
    <t>1.SR091707
2.SR092555</t>
  </si>
  <si>
    <t>SR092555</t>
  </si>
  <si>
    <t>1.SR092556</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</si>
  <si>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
9. Site was taken offline due to fire at 11:00 on 09/25</t>
  </si>
  <si>
    <t>1. SR101102
2. SR101744
3. SR104348
4. SR100464
5. SR098883
6. SR095649
7. SR092332
8. SR098311
9.SR108548</t>
  </si>
  <si>
    <t>SR108548</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</si>
  <si>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05:00 on 09/18 to 18:00 on 09/19.</t>
  </si>
  <si>
    <t>1. SR092255
2. SR092209
3. SR092095
4. SR103021
5. SR102198
6. SR101997
7. SR101998
8. SR092751
9. SR108270</t>
  </si>
  <si>
    <t>SR108270</t>
  </si>
  <si>
    <t>1.inverter 09 tripped offline at 06:00am on 09/03</t>
  </si>
  <si>
    <t>1.SR107355</t>
  </si>
  <si>
    <t>October Actual v. Expected</t>
  </si>
  <si>
    <t>October Actual v. Forecasted</t>
  </si>
  <si>
    <t>November Actual v. Expected</t>
  </si>
  <si>
    <t>November Actual v. Forecasted</t>
  </si>
  <si>
    <t>December Actual v. Expected</t>
  </si>
  <si>
    <t>December Actual v. Forecasted</t>
  </si>
  <si>
    <t>Portfolio:</t>
  </si>
  <si>
    <t>GoodFinch</t>
  </si>
  <si>
    <t>Site DAS Name</t>
  </si>
  <si>
    <t>Update</t>
  </si>
  <si>
    <t>DAS</t>
  </si>
  <si>
    <t>ASU - Farmer</t>
  </si>
  <si>
    <t>AZ: Tempe - ASU - Farmer</t>
  </si>
  <si>
    <t>AZ</t>
  </si>
  <si>
    <t>PowerTrack</t>
  </si>
  <si>
    <t>SOL-10748</t>
  </si>
  <si>
    <t>ASU - Fulton</t>
  </si>
  <si>
    <t>AZ: Tempe - ASU - Fulton</t>
  </si>
  <si>
    <t>AEF</t>
  </si>
  <si>
    <t>SOL-10749</t>
  </si>
  <si>
    <t>JFK Elementary</t>
  </si>
  <si>
    <t>AZ: Superior - JFK Elementary</t>
  </si>
  <si>
    <t>AF</t>
  </si>
  <si>
    <t>SOL-10758</t>
  </si>
  <si>
    <t>ASU - Noble</t>
  </si>
  <si>
    <t>AZ: Tempe - ASU - Noble</t>
  </si>
  <si>
    <t>SOL-10750</t>
  </si>
  <si>
    <t>ASU - Parking #3</t>
  </si>
  <si>
    <t>AZ: Tempe - ASU - Parking #3</t>
  </si>
  <si>
    <t>SOL-10751</t>
  </si>
  <si>
    <t>ASU - PE East</t>
  </si>
  <si>
    <t>AZ: Tempe - ASU - PE East</t>
  </si>
  <si>
    <t>SOL-10752</t>
  </si>
  <si>
    <t>ASU - Schwada</t>
  </si>
  <si>
    <t>AZ: Tempe - ASU - Schwada</t>
  </si>
  <si>
    <t>SOL-10753</t>
  </si>
  <si>
    <t>Starshine</t>
  </si>
  <si>
    <t>AZ: Phoenix - Starshine Academy</t>
  </si>
  <si>
    <t>SOL-10757</t>
  </si>
  <si>
    <t>Yuma Airport</t>
  </si>
  <si>
    <t>AZ: Yuma Airport</t>
  </si>
  <si>
    <t>SOL-10754</t>
  </si>
  <si>
    <t>GCC Globe Solar PV</t>
  </si>
  <si>
    <t>AZ: Globe - Gila CC</t>
  </si>
  <si>
    <t>GCC Payson Solar PV</t>
  </si>
  <si>
    <t>AZ: Payson - Gila CC</t>
  </si>
  <si>
    <t>Sequoia Charter School</t>
  </si>
  <si>
    <t>AZ: Mesa - Sequoia Charter School</t>
  </si>
  <si>
    <t>SOL-10759</t>
  </si>
  <si>
    <t>Southwest College Naturopathic Medicine</t>
  </si>
  <si>
    <t>AZ: Tempe - SCNM</t>
  </si>
  <si>
    <t>SOL-10760</t>
  </si>
  <si>
    <t>Clayton Hall</t>
  </si>
  <si>
    <t>DE: Newark - Clayton Hall</t>
  </si>
  <si>
    <t>DE</t>
  </si>
  <si>
    <t>SOL-10820</t>
  </si>
  <si>
    <t>Field House</t>
  </si>
  <si>
    <t>DE: Newark - UOD Field House</t>
  </si>
  <si>
    <t>SOL-10821</t>
  </si>
  <si>
    <t>Wyoming Road</t>
  </si>
  <si>
    <t>DE: Newark - UOD 461 Wyoming</t>
  </si>
  <si>
    <t>SOL-10819</t>
  </si>
  <si>
    <t>Bird in Hand</t>
  </si>
  <si>
    <t>MD: Presston - Bird-in-Hand</t>
  </si>
  <si>
    <t>MD</t>
  </si>
  <si>
    <t>SOL-10092</t>
  </si>
  <si>
    <t>Shortal</t>
  </si>
  <si>
    <t>MD: Easton - Shortall</t>
  </si>
  <si>
    <t>SOL-10091</t>
  </si>
  <si>
    <t>Seaport</t>
  </si>
  <si>
    <t>MA: Boston - Seaport Solar</t>
  </si>
  <si>
    <t>MA</t>
  </si>
  <si>
    <t>SOL-10772</t>
  </si>
  <si>
    <t>Sprague St</t>
  </si>
  <si>
    <t>MA: Dedham - Sprague Street</t>
  </si>
  <si>
    <t>SOL-10773</t>
  </si>
  <si>
    <t>Summer St</t>
  </si>
  <si>
    <t>MA: Boston - Summer Street</t>
  </si>
  <si>
    <t>SOL-10764</t>
  </si>
  <si>
    <t>Claremont Flock</t>
  </si>
  <si>
    <t>MA: Leominster - Spectro Coatings</t>
  </si>
  <si>
    <t>SOL-10074</t>
  </si>
  <si>
    <t>RCAB - Pastoral Center</t>
  </si>
  <si>
    <t>MA: Braintree - RCAB</t>
  </si>
  <si>
    <t>SOL-10838</t>
  </si>
  <si>
    <t>Portland St</t>
  </si>
  <si>
    <t>NH: Rochester - Portland Street</t>
  </si>
  <si>
    <t>NH</t>
  </si>
  <si>
    <t>SOL-10771</t>
  </si>
  <si>
    <t>Portsmouth HS</t>
  </si>
  <si>
    <t>NH: Portsmouth - Portsmouth HS</t>
  </si>
  <si>
    <t>SOL-10769</t>
  </si>
  <si>
    <t>Portsmouth WTP</t>
  </si>
  <si>
    <t>NH: Portsmouth - Portsmouth WTP</t>
  </si>
  <si>
    <t>SOL-10770</t>
  </si>
  <si>
    <t>Rochester Middle School (Brock Street)</t>
  </si>
  <si>
    <t>NH: Rochester - Rochester MS</t>
  </si>
  <si>
    <t>SOL-10765</t>
  </si>
  <si>
    <t>Spaulding HS</t>
  </si>
  <si>
    <t>NH Rochester - Spaulding HS</t>
  </si>
  <si>
    <t>SOL-10767</t>
  </si>
  <si>
    <t>McClelland ES</t>
  </si>
  <si>
    <t>NH: Rochester - McClelland ES</t>
  </si>
  <si>
    <t>SOL-10766</t>
  </si>
  <si>
    <t>Rochester Technical School (Wakefield Street)</t>
  </si>
  <si>
    <t>NH: Rochester - Brock St Vocational</t>
  </si>
  <si>
    <t>SOL-10768</t>
  </si>
  <si>
    <t>CV Kinsman</t>
  </si>
  <si>
    <t>OH: Cleveland - CV Kinsman</t>
  </si>
  <si>
    <t>OH</t>
  </si>
  <si>
    <t>SOL-10762</t>
  </si>
  <si>
    <t>CV Wooster</t>
  </si>
  <si>
    <t>OH: Cleveland - CV Wooster</t>
  </si>
  <si>
    <t>SOL-10763</t>
  </si>
  <si>
    <t>Aguadilla</t>
  </si>
  <si>
    <t>PR: Aguadilla - Coca Cola</t>
  </si>
  <si>
    <t>PR</t>
  </si>
  <si>
    <t>SOL-10072</t>
  </si>
  <si>
    <t>Bayamon</t>
  </si>
  <si>
    <t>PR: Bayamon - Coca Cola</t>
  </si>
  <si>
    <t>SOL-10073</t>
  </si>
  <si>
    <t>St Francis</t>
  </si>
  <si>
    <t>PR: Carolina - St. Francis</t>
  </si>
  <si>
    <t>SOL-10034</t>
  </si>
  <si>
    <t>Temple Sinai</t>
  </si>
  <si>
    <t>DC: Chevy Chase -Sinai</t>
  </si>
  <si>
    <t>DC</t>
  </si>
  <si>
    <t>SOL-10028</t>
  </si>
  <si>
    <t>Weinberg 1</t>
  </si>
  <si>
    <t>DC: Washington - Weinberg 1</t>
  </si>
  <si>
    <t>SOL-10039</t>
  </si>
  <si>
    <t>Weinberg 2</t>
  </si>
  <si>
    <t>DC: Washington - Weinberg 2</t>
  </si>
  <si>
    <t>SOL-10045</t>
  </si>
  <si>
    <t>Weinberg 3</t>
  </si>
  <si>
    <t>DC: Washington - Weinberg 3</t>
  </si>
  <si>
    <t>SOL-10042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</si>
</sst>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7">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Arial"/>
      <family val="2"/>
    </font>
    <font>
      <sz val="11"/>
      <color rgb="FF242424"/>
      <name val="Calibri"/>
      <family val="2"/>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D9E1F2"/>
        <bgColor rgb="FFD9E1F2"/>
      </patternFill>
    </fill>
    <fill>
      <patternFill patternType="solid">
        <fgColor rgb="FF4472C4"/>
        <bgColor rgb="FF4472C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bottom/>
      <diagonal/>
    </border>
    <border>
      <left/>
      <right/>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3" fillId="0" borderId="0"/>
    <xf numFmtId="0" fontId="44" fillId="0" borderId="0" applyNumberFormat="0" applyFill="0" applyBorder="0" applyAlignment="0" applyProtection="0"/>
  </cellStyleXfs>
  <cellXfs count="141">
    <xf numFmtId="0" fontId="0" fillId="0" borderId="0" xfId="0"/>
    <xf numFmtId="9" fontId="5" fillId="0" borderId="0" xfId="2" applyFont="1" applyAlignment="1">
      <alignment horizontal="center"/>
    </xf>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5" fillId="0" borderId="0" xfId="0" applyFont="1" applyAlignment="1">
      <alignment horizontal="left" vertical="top"/>
    </xf>
    <xf numFmtId="0" fontId="36" fillId="0" borderId="0" xfId="0" applyFont="1" applyAlignment="1">
      <alignment horizontal="left" vertical="top"/>
    </xf>
    <xf numFmtId="0" fontId="35" fillId="45" borderId="1" xfId="0" applyFont="1" applyFill="1" applyBorder="1" applyAlignment="1">
      <alignment horizontal="left" vertical="top"/>
    </xf>
    <xf numFmtId="49" fontId="37" fillId="38" borderId="0" xfId="2" applyNumberFormat="1" applyFont="1" applyFill="1" applyBorder="1" applyAlignment="1">
      <alignment horizontal="left" vertical="top" wrapText="1"/>
    </xf>
    <xf numFmtId="0" fontId="37" fillId="0" borderId="0" xfId="0" applyFont="1" applyAlignment="1">
      <alignment horizontal="left" vertical="top"/>
    </xf>
    <xf numFmtId="49" fontId="37"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49" fontId="30" fillId="38" borderId="0" xfId="2" applyNumberFormat="1" applyFont="1" applyFill="1" applyAlignment="1">
      <alignment vertical="top" wrapText="1"/>
    </xf>
    <xf numFmtId="0" fontId="24" fillId="39" borderId="1" xfId="0" applyFont="1" applyFill="1" applyBorder="1" applyAlignment="1">
      <alignment horizontal="center" vertical="center"/>
    </xf>
    <xf numFmtId="0" fontId="30" fillId="46" borderId="0" xfId="0" applyFont="1" applyFill="1" applyAlignment="1">
      <alignment vertical="top" wrapText="1"/>
    </xf>
    <xf numFmtId="0" fontId="23" fillId="0" borderId="0" xfId="0" applyFont="1" applyAlignment="1">
      <alignment vertical="center" wrapText="1"/>
    </xf>
    <xf numFmtId="0" fontId="34" fillId="0" borderId="0" xfId="0" applyFont="1" applyAlignment="1">
      <alignment vertical="center" wrapText="1"/>
    </xf>
    <xf numFmtId="0" fontId="23" fillId="0" borderId="0" xfId="0" applyFont="1" applyAlignment="1">
      <alignment horizontal="left" vertical="top" wrapText="1"/>
    </xf>
    <xf numFmtId="9" fontId="30" fillId="37" borderId="0" xfId="2" applyFont="1" applyFill="1" applyAlignment="1">
      <alignment horizontal="center" vertical="center"/>
    </xf>
    <xf numFmtId="164" fontId="28" fillId="0" borderId="0" xfId="1" applyNumberFormat="1" applyFont="1" applyAlignment="1">
      <alignment horizontal="center" vertical="center"/>
    </xf>
    <xf numFmtId="3" fontId="30" fillId="4" borderId="0" xfId="1" applyNumberFormat="1" applyFont="1" applyFill="1" applyAlignment="1">
      <alignment vertical="center"/>
    </xf>
    <xf numFmtId="9" fontId="30" fillId="0" borderId="0" xfId="2" applyFont="1" applyAlignment="1">
      <alignment horizontal="center" vertical="center"/>
    </xf>
    <xf numFmtId="3" fontId="30" fillId="0" borderId="0" xfId="1" applyNumberFormat="1" applyFont="1" applyAlignment="1">
      <alignment vertical="center"/>
    </xf>
    <xf numFmtId="4" fontId="23" fillId="0" borderId="0" xfId="0" applyNumberFormat="1" applyFont="1"/>
    <xf numFmtId="3" fontId="23" fillId="0" borderId="0" xfId="0" applyNumberFormat="1" applyFont="1"/>
    <xf numFmtId="49" fontId="30" fillId="38" borderId="0" xfId="2" applyNumberFormat="1" applyFont="1" applyFill="1" applyAlignment="1">
      <alignment horizontal="left" vertical="top" wrapText="1"/>
    </xf>
    <xf numFmtId="0" fontId="30" fillId="0" borderId="0" xfId="0" applyFont="1" applyAlignment="1">
      <alignment horizontal="left" vertical="top"/>
    </xf>
    <xf numFmtId="49" fontId="28" fillId="0" borderId="0" xfId="0" applyNumberFormat="1" applyFont="1" applyAlignment="1">
      <alignment horizontal="left" vertical="center" wrapText="1"/>
    </xf>
    <xf numFmtId="0" fontId="30" fillId="0" borderId="0" xfId="0" applyFont="1" applyAlignment="1">
      <alignment horizontal="left" vertical="top" wrapText="1"/>
    </xf>
    <xf numFmtId="0" fontId="30" fillId="0" borderId="0" xfId="0" applyFont="1" applyAlignment="1">
      <alignment vertical="top" wrapText="1"/>
    </xf>
    <xf numFmtId="49" fontId="23" fillId="0" borderId="0" xfId="0" applyNumberFormat="1" applyFont="1" applyAlignment="1">
      <alignment vertical="center" wrapText="1"/>
    </xf>
    <xf numFmtId="49" fontId="23" fillId="0" borderId="0" xfId="0" applyNumberFormat="1" applyFont="1" applyAlignment="1">
      <alignment vertical="top" wrapText="1"/>
    </xf>
    <xf numFmtId="49" fontId="40" fillId="0" borderId="0" xfId="0" applyNumberFormat="1" applyFont="1" applyAlignment="1">
      <alignment horizontal="left" vertical="top" wrapText="1"/>
    </xf>
    <xf numFmtId="49" fontId="41" fillId="0" borderId="0" xfId="0" applyNumberFormat="1" applyFont="1" applyAlignment="1">
      <alignment horizontal="left" vertical="top" wrapText="1"/>
    </xf>
    <xf numFmtId="49" fontId="39" fillId="0" borderId="0" xfId="0" applyNumberFormat="1" applyFont="1" applyAlignment="1">
      <alignment horizontal="left" vertical="top" wrapText="1"/>
    </xf>
    <xf numFmtId="0" fontId="42" fillId="0" borderId="0" xfId="0" applyFont="1" applyAlignment="1">
      <alignment horizontal="left" vertical="top"/>
    </xf>
    <xf numFmtId="0" fontId="39" fillId="0" borderId="0" xfId="0" applyFont="1" applyAlignment="1">
      <alignment horizontal="left" vertical="top" wrapText="1"/>
    </xf>
    <xf numFmtId="0" fontId="39" fillId="0" borderId="0" xfId="0" applyFont="1" applyAlignment="1">
      <alignment horizontal="left" vertical="top"/>
    </xf>
    <xf numFmtId="0" fontId="43" fillId="0" borderId="0" xfId="0" applyFont="1"/>
    <xf numFmtId="49" fontId="39" fillId="0" borderId="0" xfId="0" applyNumberFormat="1" applyFont="1" applyAlignment="1">
      <alignment vertical="top" wrapText="1"/>
    </xf>
    <xf numFmtId="49" fontId="40" fillId="0" borderId="0" xfId="0" applyNumberFormat="1" applyFont="1" applyAlignment="1">
      <alignment vertical="top" wrapText="1"/>
    </xf>
    <xf numFmtId="49" fontId="41" fillId="0" borderId="0" xfId="0" applyNumberFormat="1" applyFont="1" applyAlignment="1">
      <alignment vertical="top" wrapText="1"/>
    </xf>
    <xf numFmtId="0" fontId="42" fillId="0" borderId="0" xfId="0" applyFont="1" applyAlignment="1">
      <alignment vertical="top"/>
    </xf>
    <xf numFmtId="0" fontId="39" fillId="0" borderId="0" xfId="0" applyFont="1" applyAlignment="1">
      <alignment vertical="top" wrapText="1"/>
    </xf>
    <xf numFmtId="49" fontId="23" fillId="0" borderId="0" xfId="0" applyNumberFormat="1" applyFont="1" applyAlignment="1">
      <alignment horizontal="left" vertical="top" wrapText="1"/>
    </xf>
    <xf numFmtId="49" fontId="28" fillId="0" borderId="0" xfId="0" applyNumberFormat="1" applyFont="1" applyAlignment="1">
      <alignment vertical="top"/>
    </xf>
    <xf numFmtId="49" fontId="44" fillId="38" borderId="0" xfId="46" applyNumberFormat="1" applyFill="1" applyBorder="1" applyAlignment="1">
      <alignment horizontal="left" vertical="top" wrapText="1"/>
    </xf>
    <xf numFmtId="49" fontId="44" fillId="0" borderId="0" xfId="46" applyNumberFormat="1" applyAlignment="1">
      <alignment horizontal="left" vertical="top" wrapText="1"/>
    </xf>
    <xf numFmtId="0" fontId="44" fillId="0" borderId="0" xfId="46" applyAlignment="1">
      <alignment horizontal="left" vertical="top" wrapText="1"/>
    </xf>
    <xf numFmtId="0" fontId="44" fillId="0" borderId="0" xfId="46" applyAlignment="1">
      <alignment horizontal="left" vertical="top"/>
    </xf>
    <xf numFmtId="0" fontId="0" fillId="0" borderId="0" xfId="0" applyAlignment="1">
      <alignment horizontal="left" vertical="top"/>
    </xf>
    <xf numFmtId="0" fontId="23" fillId="0" borderId="0" xfId="0" applyFont="1"/>
    <xf numFmtId="49" fontId="37" fillId="38" borderId="0" xfId="2" applyNumberFormat="1" applyFont="1" applyFill="1" applyAlignment="1">
      <alignment horizontal="left" vertical="top" wrapText="1"/>
    </xf>
    <xf numFmtId="49" fontId="37" fillId="38" borderId="0" xfId="2" applyNumberFormat="1" applyFont="1" applyFill="1" applyBorder="1" applyAlignment="1">
      <alignment vertical="top"/>
    </xf>
    <xf numFmtId="49" fontId="37" fillId="38" borderId="0" xfId="2" applyNumberFormat="1" applyFont="1" applyFill="1" applyAlignment="1">
      <alignment vertical="top" wrapText="1"/>
    </xf>
    <xf numFmtId="0" fontId="37" fillId="0" borderId="0" xfId="0" applyFont="1" applyAlignment="1">
      <alignment vertical="top"/>
    </xf>
    <xf numFmtId="49" fontId="44" fillId="38" borderId="0" xfId="46" applyNumberFormat="1" applyFill="1" applyBorder="1" applyAlignment="1">
      <alignment vertical="top" wrapText="1"/>
    </xf>
    <xf numFmtId="49" fontId="44" fillId="0" borderId="0" xfId="46" applyNumberFormat="1" applyAlignment="1">
      <alignment vertical="top" wrapText="1"/>
    </xf>
    <xf numFmtId="0" fontId="44" fillId="0" borderId="0" xfId="46"/>
    <xf numFmtId="49" fontId="44" fillId="0" borderId="0" xfId="46" applyNumberFormat="1" applyAlignment="1">
      <alignment vertical="center" wrapText="1"/>
    </xf>
    <xf numFmtId="49" fontId="44" fillId="0" borderId="0" xfId="46" applyNumberFormat="1" applyAlignment="1">
      <alignment vertical="top"/>
    </xf>
    <xf numFmtId="0" fontId="44" fillId="0" borderId="0" xfId="46" applyAlignment="1">
      <alignment vertical="top"/>
    </xf>
    <xf numFmtId="0" fontId="44" fillId="0" borderId="0" xfId="46" applyAlignment="1">
      <alignment wrapText="1"/>
    </xf>
    <xf numFmtId="49" fontId="44" fillId="38" borderId="0" xfId="46" applyNumberFormat="1" applyFill="1" applyAlignment="1">
      <alignment vertical="top" wrapText="1"/>
    </xf>
    <xf numFmtId="0" fontId="30" fillId="0" borderId="0" xfId="0" applyFont="1" applyAlignment="1">
      <alignment horizontal="center"/>
    </xf>
    <xf numFmtId="4" fontId="23" fillId="0" borderId="0" xfId="0" applyNumberFormat="1" applyFont="1" applyAlignment="1">
      <alignment vertical="center"/>
    </xf>
    <xf numFmtId="0" fontId="44" fillId="0" borderId="0" xfId="46" applyAlignment="1">
      <alignment vertical="top" wrapText="1"/>
    </xf>
    <xf numFmtId="9" fontId="5" fillId="0" borderId="0" xfId="2" applyFont="1" applyAlignment="1">
      <alignment horizontal="center" vertical="center"/>
    </xf>
    <xf numFmtId="0" fontId="44" fillId="0" borderId="0" xfId="46" applyAlignment="1">
      <alignment vertical="center" wrapText="1"/>
    </xf>
    <xf numFmtId="0" fontId="23" fillId="0" borderId="0" xfId="0" applyFont="1" applyAlignment="1">
      <alignment horizontal="left" vertical="top"/>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44" fillId="38" borderId="0" xfId="46" applyNumberFormat="1" applyFill="1" applyBorder="1" applyAlignment="1">
      <alignment horizontal="left" vertical="center" wrapText="1"/>
    </xf>
    <xf numFmtId="0" fontId="45" fillId="49" borderId="0" xfId="0" applyFont="1" applyFill="1" applyAlignment="1">
      <alignment horizontal="left" wrapText="1"/>
    </xf>
    <xf numFmtId="0" fontId="45" fillId="49" borderId="0" xfId="0" applyFont="1" applyFill="1"/>
    <xf numFmtId="0" fontId="45" fillId="0" borderId="0" xfId="0" applyFont="1"/>
    <xf numFmtId="0" fontId="45" fillId="49" borderId="0" xfId="0" applyFont="1" applyFill="1" applyAlignment="1">
      <alignment horizontal="center" vertical="center"/>
    </xf>
    <xf numFmtId="0" fontId="45" fillId="0" borderId="0" xfId="0" applyFont="1" applyAlignment="1">
      <alignment horizontal="left" wrapText="1"/>
    </xf>
    <xf numFmtId="0" fontId="45" fillId="0" borderId="0" xfId="0" applyFont="1" applyAlignment="1">
      <alignment horizontal="center" vertical="center"/>
    </xf>
    <xf numFmtId="0" fontId="45" fillId="49" borderId="13" xfId="0" applyFont="1" applyFill="1" applyBorder="1"/>
    <xf numFmtId="0" fontId="23" fillId="0" borderId="0" xfId="0" applyFont="1" applyAlignment="1">
      <alignment horizontal="left"/>
    </xf>
    <xf numFmtId="0" fontId="0" fillId="0" borderId="0" xfId="0" applyAlignment="1">
      <alignment horizontal="center" wrapText="1"/>
    </xf>
    <xf numFmtId="0" fontId="46" fillId="0" borderId="0" xfId="0" applyFont="1"/>
    <xf numFmtId="0" fontId="29" fillId="50" borderId="0" xfId="0" applyFont="1" applyFill="1"/>
    <xf numFmtId="0" fontId="29" fillId="50" borderId="0" xfId="0" applyFont="1" applyFill="1" applyAlignment="1">
      <alignment horizontal="center"/>
    </xf>
    <xf numFmtId="0" fontId="45" fillId="0" borderId="12" xfId="0" applyFont="1" applyBorder="1" applyAlignment="1">
      <alignment horizontal="left" wrapText="1"/>
    </xf>
    <xf numFmtId="0" fontId="45" fillId="49" borderId="0" xfId="0" applyFont="1" applyFill="1" applyAlignment="1">
      <alignment horizontal="center"/>
    </xf>
    <xf numFmtId="3" fontId="23" fillId="0" borderId="0" xfId="0" applyNumberFormat="1" applyFont="1" applyAlignment="1">
      <alignment horizontal="center" vertical="center"/>
    </xf>
    <xf numFmtId="3" fontId="30" fillId="3" borderId="0" xfId="0" applyNumberFormat="1" applyFont="1" applyFill="1" applyAlignment="1">
      <alignment horizontal="center" vertical="center"/>
    </xf>
    <xf numFmtId="3" fontId="30" fillId="4" borderId="0" xfId="1" applyNumberFormat="1" applyFont="1" applyFill="1" applyAlignment="1">
      <alignment horizontal="center" vertical="center"/>
    </xf>
    <xf numFmtId="3" fontId="30" fillId="4" borderId="0" xfId="1" applyNumberFormat="1" applyFont="1" applyFill="1" applyBorder="1" applyAlignment="1">
      <alignment horizontal="center" vertical="center"/>
    </xf>
    <xf numFmtId="3" fontId="30" fillId="0" borderId="0" xfId="1" applyNumberFormat="1" applyFont="1" applyAlignment="1">
      <alignment horizontal="center" vertical="center"/>
    </xf>
    <xf numFmtId="3" fontId="30" fillId="0" borderId="0" xfId="1" applyNumberFormat="1" applyFont="1" applyFill="1" applyBorder="1" applyAlignment="1">
      <alignment horizontal="center" vertical="center"/>
    </xf>
    <xf numFmtId="3" fontId="30" fillId="0" borderId="0" xfId="0" applyNumberFormat="1" applyFont="1" applyAlignment="1">
      <alignment horizontal="center" vertical="center"/>
    </xf>
    <xf numFmtId="3" fontId="23" fillId="47" borderId="0" xfId="0" applyNumberFormat="1" applyFont="1" applyFill="1" applyAlignment="1">
      <alignment horizontal="center" vertical="center"/>
    </xf>
    <xf numFmtId="3" fontId="30" fillId="48" borderId="0" xfId="0" applyNumberFormat="1" applyFont="1" applyFill="1" applyAlignment="1">
      <alignment horizontal="center" vertical="center"/>
    </xf>
    <xf numFmtId="3" fontId="30" fillId="48" borderId="0" xfId="0" applyNumberFormat="1" applyFont="1" applyFill="1" applyAlignment="1">
      <alignment horizontal="right" vertical="center"/>
    </xf>
    <xf numFmtId="49" fontId="44" fillId="38" borderId="0" xfId="46" applyNumberFormat="1" applyFill="1"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3">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42" totalsRowShown="0">
  <autoFilter ref="A3:F42"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902" TargetMode="External"/><Relationship Id="rId2" Type="http://schemas.openxmlformats.org/officeDocument/2006/relationships/hyperlink" Target="https://us3.assetplanner.com/service_request?ID=098779" TargetMode="External"/><Relationship Id="rId1" Type="http://schemas.openxmlformats.org/officeDocument/2006/relationships/hyperlink" Target="https://us3.assetplanner.com/service_request?ID=09859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5609" TargetMode="External"/><Relationship Id="rId26" Type="http://schemas.openxmlformats.org/officeDocument/2006/relationships/hyperlink" Target="https://us3.assetplanner.com/service_request?ID=092556" TargetMode="External"/><Relationship Id="rId39" Type="http://schemas.openxmlformats.org/officeDocument/2006/relationships/hyperlink" Target="https://us3.assetplanner.com/service_request?ID=092255" TargetMode="External"/><Relationship Id="rId21" Type="http://schemas.openxmlformats.org/officeDocument/2006/relationships/hyperlink" Target="https://us3.assetplanner.com/service_request?ID=106696" TargetMode="External"/><Relationship Id="rId34" Type="http://schemas.openxmlformats.org/officeDocument/2006/relationships/hyperlink" Target="https://us3.assetplanner.com/service_request?ID=100464" TargetMode="External"/><Relationship Id="rId42" Type="http://schemas.openxmlformats.org/officeDocument/2006/relationships/hyperlink" Target="https://us3.assetplanner.com/service_request?ID=103021" TargetMode="External"/><Relationship Id="rId47" Type="http://schemas.openxmlformats.org/officeDocument/2006/relationships/hyperlink" Target="https://us3.assetplanner.com/service_request?ID=106747" TargetMode="External"/><Relationship Id="rId7" Type="http://schemas.openxmlformats.org/officeDocument/2006/relationships/hyperlink" Target="https://us3.assetplanner.com/service_request?ID=105838" TargetMode="External"/><Relationship Id="rId2" Type="http://schemas.openxmlformats.org/officeDocument/2006/relationships/hyperlink" Target="https://us3.assetplanner.com/service_request?ID=106306" TargetMode="External"/><Relationship Id="rId16" Type="http://schemas.openxmlformats.org/officeDocument/2006/relationships/hyperlink" Target="https://us3.assetplanner.com/service_request?ID=103711" TargetMode="External"/><Relationship Id="rId29" Type="http://schemas.openxmlformats.org/officeDocument/2006/relationships/hyperlink" Target="https://us3.assetplanner.com/service_request?ID=099268" TargetMode="External"/><Relationship Id="rId11" Type="http://schemas.openxmlformats.org/officeDocument/2006/relationships/hyperlink" Target="https://us3.assetplanner.com/service_request?ID=103804" TargetMode="External"/><Relationship Id="rId24" Type="http://schemas.openxmlformats.org/officeDocument/2006/relationships/hyperlink" Target="https://us3.assetplanner.com/service_request?ID=103898" TargetMode="External"/><Relationship Id="rId32" Type="http://schemas.openxmlformats.org/officeDocument/2006/relationships/hyperlink" Target="https://us3.assetplanner.com/service_request?ID=101744" TargetMode="External"/><Relationship Id="rId37" Type="http://schemas.openxmlformats.org/officeDocument/2006/relationships/hyperlink" Target="https://us3.assetplanner.com/service_request?ID=092332" TargetMode="External"/><Relationship Id="rId40" Type="http://schemas.openxmlformats.org/officeDocument/2006/relationships/hyperlink" Target="https://us3.assetplanner.com/service_request?ID=092209" TargetMode="External"/><Relationship Id="rId45"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5842" TargetMode="External"/><Relationship Id="rId15" Type="http://schemas.openxmlformats.org/officeDocument/2006/relationships/hyperlink" Target="https://us3.assetplanner.com/service_request?ID=103078" TargetMode="External"/><Relationship Id="rId23" Type="http://schemas.openxmlformats.org/officeDocument/2006/relationships/hyperlink" Target="https://us3.assetplanner.com/service_request?ID=106017" TargetMode="External"/><Relationship Id="rId28" Type="http://schemas.openxmlformats.org/officeDocument/2006/relationships/hyperlink" Target="https://us3.assetplanner.com/service_request?ID=106303" TargetMode="External"/><Relationship Id="rId36" Type="http://schemas.openxmlformats.org/officeDocument/2006/relationships/hyperlink" Target="https://us3.assetplanner.com/service_request?ID=095649" TargetMode="External"/><Relationship Id="rId49" Type="http://schemas.openxmlformats.org/officeDocument/2006/relationships/printerSettings" Target="../printerSettings/printerSettings5.bin"/><Relationship Id="rId10" Type="http://schemas.openxmlformats.org/officeDocument/2006/relationships/hyperlink" Target="https://us3.assetplanner.com/service_request?ID=106134" TargetMode="External"/><Relationship Id="rId19" Type="http://schemas.openxmlformats.org/officeDocument/2006/relationships/hyperlink" Target="https://us3.assetplanner.com/service_request?ID=105910" TargetMode="External"/><Relationship Id="rId31" Type="http://schemas.openxmlformats.org/officeDocument/2006/relationships/hyperlink" Target="https://us3.assetplanner.com/service_request?ID=101102" TargetMode="External"/><Relationship Id="rId44" Type="http://schemas.openxmlformats.org/officeDocument/2006/relationships/hyperlink" Target="https://us3.assetplanner.com/service_request?ID=101997" TargetMode="External"/><Relationship Id="rId4" Type="http://schemas.openxmlformats.org/officeDocument/2006/relationships/hyperlink" Target="https://us3.assetplanner.com/service_request?ID=106366" TargetMode="External"/><Relationship Id="rId9" Type="http://schemas.openxmlformats.org/officeDocument/2006/relationships/hyperlink" Target="https://us3.assetplanner.com/service_request?ID=101037"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4785" TargetMode="External"/><Relationship Id="rId27" Type="http://schemas.openxmlformats.org/officeDocument/2006/relationships/hyperlink" Target="https://us3.assetplanner.com/service_request?ID=106775" TargetMode="External"/><Relationship Id="rId30" Type="http://schemas.openxmlformats.org/officeDocument/2006/relationships/hyperlink" Target="https://us3.assetplanner.com/service_request?ID=093354" TargetMode="External"/><Relationship Id="rId35" Type="http://schemas.openxmlformats.org/officeDocument/2006/relationships/hyperlink" Target="https://us3.assetplanner.com/service_request?ID=098883" TargetMode="External"/><Relationship Id="rId43" Type="http://schemas.openxmlformats.org/officeDocument/2006/relationships/hyperlink" Target="https://us3.assetplanner.com/service_request?ID=102198" TargetMode="External"/><Relationship Id="rId48" Type="http://schemas.openxmlformats.org/officeDocument/2006/relationships/hyperlink" Target="https://us3.assetplanner.com/service_request?ID=104194" TargetMode="External"/><Relationship Id="rId8" Type="http://schemas.openxmlformats.org/officeDocument/2006/relationships/hyperlink" Target="https://us3.assetplanner.com/service_request?ID=099310" TargetMode="External"/><Relationship Id="rId3" Type="http://schemas.openxmlformats.org/officeDocument/2006/relationships/hyperlink" Target="https://us3.assetplanner.com/service_request?ID=106940"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4748" TargetMode="External"/><Relationship Id="rId33" Type="http://schemas.openxmlformats.org/officeDocument/2006/relationships/hyperlink" Target="https://us3.assetplanner.com/service_request?ID=104348" TargetMode="External"/><Relationship Id="rId38" Type="http://schemas.openxmlformats.org/officeDocument/2006/relationships/hyperlink" Target="https://us3.assetplanner.com/service_request?ID=098311" TargetMode="External"/><Relationship Id="rId46" Type="http://schemas.openxmlformats.org/officeDocument/2006/relationships/hyperlink" Target="https://us3.assetplanner.com/service_request?ID=092751" TargetMode="External"/><Relationship Id="rId20" Type="http://schemas.openxmlformats.org/officeDocument/2006/relationships/hyperlink" Target="https://us3.assetplanner.com/service_request?ID=106165" TargetMode="External"/><Relationship Id="rId41"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106525" TargetMode="External"/><Relationship Id="rId6" Type="http://schemas.openxmlformats.org/officeDocument/2006/relationships/hyperlink" Target="https://us3.assetplanner.com/service_request?ID=105159"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7632" TargetMode="External"/><Relationship Id="rId26" Type="http://schemas.openxmlformats.org/officeDocument/2006/relationships/hyperlink" Target="https://us3.assetplanner.com/service_request?ID=107718" TargetMode="External"/><Relationship Id="rId39" Type="http://schemas.openxmlformats.org/officeDocument/2006/relationships/hyperlink" Target="https://us3.assetplanner.com/service_request?ID=095649" TargetMode="External"/><Relationship Id="rId21" Type="http://schemas.openxmlformats.org/officeDocument/2006/relationships/hyperlink" Target="https://us3.assetplanner.com/service_request?ID=106165" TargetMode="External"/><Relationship Id="rId34" Type="http://schemas.openxmlformats.org/officeDocument/2006/relationships/hyperlink" Target="https://us3.assetplanner.com/service_request?ID=101102" TargetMode="External"/><Relationship Id="rId42" Type="http://schemas.openxmlformats.org/officeDocument/2006/relationships/hyperlink" Target="https://us3.assetplanner.com/service_request?ID=108548" TargetMode="External"/><Relationship Id="rId47" Type="http://schemas.openxmlformats.org/officeDocument/2006/relationships/hyperlink" Target="https://us3.assetplanner.com/service_request?ID=102198" TargetMode="External"/><Relationship Id="rId50" Type="http://schemas.openxmlformats.org/officeDocument/2006/relationships/hyperlink" Target="https://us3.assetplanner.com/service_request?ID=092751" TargetMode="External"/><Relationship Id="rId7" Type="http://schemas.openxmlformats.org/officeDocument/2006/relationships/hyperlink" Target="https://us3.assetplanner.com/service_request?ID=101037" TargetMode="External"/><Relationship Id="rId2" Type="http://schemas.openxmlformats.org/officeDocument/2006/relationships/hyperlink" Target="https://us3.assetplanner.com/service_request?ID=106940" TargetMode="External"/><Relationship Id="rId16" Type="http://schemas.openxmlformats.org/officeDocument/2006/relationships/hyperlink" Target="https://us3.assetplanner.com/service_request?ID=108036" TargetMode="External"/><Relationship Id="rId29" Type="http://schemas.openxmlformats.org/officeDocument/2006/relationships/hyperlink" Target="https://us3.assetplanner.com/service_request?ID=092556" TargetMode="External"/><Relationship Id="rId11" Type="http://schemas.openxmlformats.org/officeDocument/2006/relationships/hyperlink" Target="https://us3.assetplanner.com/service_request?ID=108009" TargetMode="External"/><Relationship Id="rId24" Type="http://schemas.openxmlformats.org/officeDocument/2006/relationships/hyperlink" Target="https://us3.assetplanner.com/service_request?ID=095643" TargetMode="External"/><Relationship Id="rId32" Type="http://schemas.openxmlformats.org/officeDocument/2006/relationships/hyperlink" Target="https://us3.assetplanner.com/service_request?ID=099268" TargetMode="External"/><Relationship Id="rId37" Type="http://schemas.openxmlformats.org/officeDocument/2006/relationships/hyperlink" Target="https://us3.assetplanner.com/service_request?ID=100464" TargetMode="External"/><Relationship Id="rId40" Type="http://schemas.openxmlformats.org/officeDocument/2006/relationships/hyperlink" Target="https://us3.assetplanner.com/service_request?ID=092332" TargetMode="External"/><Relationship Id="rId45" Type="http://schemas.openxmlformats.org/officeDocument/2006/relationships/hyperlink" Target="https://us3.assetplanner.com/service_request?ID=092095" TargetMode="External"/><Relationship Id="rId5" Type="http://schemas.openxmlformats.org/officeDocument/2006/relationships/hyperlink" Target="https://us3.assetplanner.com/service_request?ID=099310" TargetMode="External"/><Relationship Id="rId15" Type="http://schemas.openxmlformats.org/officeDocument/2006/relationships/hyperlink" Target="https://us3.assetplanner.com/service_request?ID=107629" TargetMode="External"/><Relationship Id="rId23" Type="http://schemas.openxmlformats.org/officeDocument/2006/relationships/hyperlink" Target="https://us3.assetplanner.com/service_request?ID=104785" TargetMode="External"/><Relationship Id="rId28" Type="http://schemas.openxmlformats.org/officeDocument/2006/relationships/hyperlink" Target="https://us3.assetplanner.com/service_request?ID=092555" TargetMode="External"/><Relationship Id="rId36" Type="http://schemas.openxmlformats.org/officeDocument/2006/relationships/hyperlink" Target="https://us3.assetplanner.com/service_request?ID=104348" TargetMode="External"/><Relationship Id="rId49" Type="http://schemas.openxmlformats.org/officeDocument/2006/relationships/hyperlink" Target="https://us3.assetplanner.com/service_request?ID=101998" TargetMode="External"/><Relationship Id="rId10" Type="http://schemas.openxmlformats.org/officeDocument/2006/relationships/hyperlink" Target="https://us3.assetplanner.com/service_request?ID=107139" TargetMode="External"/><Relationship Id="rId19" Type="http://schemas.openxmlformats.org/officeDocument/2006/relationships/hyperlink" Target="https://us3.assetplanner.com/service_request?ID=108300" TargetMode="External"/><Relationship Id="rId31" Type="http://schemas.openxmlformats.org/officeDocument/2006/relationships/hyperlink" Target="https://us3.assetplanner.com/service_request?ID=106303" TargetMode="External"/><Relationship Id="rId44" Type="http://schemas.openxmlformats.org/officeDocument/2006/relationships/hyperlink" Target="https://us3.assetplanner.com/service_request?ID=092209" TargetMode="External"/><Relationship Id="rId52" Type="http://schemas.openxmlformats.org/officeDocument/2006/relationships/hyperlink" Target="https://us3.assetplanner.com/service_request?ID=107355" TargetMode="External"/><Relationship Id="rId4" Type="http://schemas.openxmlformats.org/officeDocument/2006/relationships/hyperlink" Target="https://us3.assetplanner.com/service_request?ID=107222" TargetMode="External"/><Relationship Id="rId9" Type="http://schemas.openxmlformats.org/officeDocument/2006/relationships/hyperlink" Target="https://us3.assetplanner.com/service_request?ID=107481"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6696" TargetMode="External"/><Relationship Id="rId27" Type="http://schemas.openxmlformats.org/officeDocument/2006/relationships/hyperlink" Target="https://us3.assetplanner.com/service_request?ID=091707" TargetMode="External"/><Relationship Id="rId30" Type="http://schemas.openxmlformats.org/officeDocument/2006/relationships/hyperlink" Target="https://us3.assetplanner.com/service_request?ID=106775" TargetMode="External"/><Relationship Id="rId35" Type="http://schemas.openxmlformats.org/officeDocument/2006/relationships/hyperlink" Target="https://us3.assetplanner.com/service_request?ID=101744" TargetMode="External"/><Relationship Id="rId43" Type="http://schemas.openxmlformats.org/officeDocument/2006/relationships/hyperlink" Target="https://us3.assetplanner.com/service_request?ID=092255" TargetMode="External"/><Relationship Id="rId48" Type="http://schemas.openxmlformats.org/officeDocument/2006/relationships/hyperlink" Target="https://us3.assetplanner.com/service_request?ID=101997" TargetMode="External"/><Relationship Id="rId8" Type="http://schemas.openxmlformats.org/officeDocument/2006/relationships/hyperlink" Target="https://us3.assetplanner.com/service_request?ID=106134" TargetMode="External"/><Relationship Id="rId51" Type="http://schemas.openxmlformats.org/officeDocument/2006/relationships/hyperlink" Target="https://us3.assetplanner.com/service_request?ID=108270" TargetMode="External"/><Relationship Id="rId3" Type="http://schemas.openxmlformats.org/officeDocument/2006/relationships/hyperlink" Target="https://us3.assetplanner.com/service_request?ID=107729"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3898" TargetMode="External"/><Relationship Id="rId33" Type="http://schemas.openxmlformats.org/officeDocument/2006/relationships/hyperlink" Target="https://us3.assetplanner.com/service_request?ID=093354" TargetMode="External"/><Relationship Id="rId38" Type="http://schemas.openxmlformats.org/officeDocument/2006/relationships/hyperlink" Target="https://us3.assetplanner.com/service_request?ID=098883" TargetMode="External"/><Relationship Id="rId46" Type="http://schemas.openxmlformats.org/officeDocument/2006/relationships/hyperlink" Target="https://us3.assetplanner.com/service_request?ID=103021" TargetMode="External"/><Relationship Id="rId20" Type="http://schemas.openxmlformats.org/officeDocument/2006/relationships/hyperlink" Target="https://us3.assetplanner.com/service_request?ID=105609" TargetMode="External"/><Relationship Id="rId41" Type="http://schemas.openxmlformats.org/officeDocument/2006/relationships/hyperlink" Target="https://us3.assetplanner.com/service_request?ID=098311" TargetMode="External"/><Relationship Id="rId1" Type="http://schemas.openxmlformats.org/officeDocument/2006/relationships/hyperlink" Target="https://us3.assetplanner.com/service_request?ID=108802" TargetMode="External"/><Relationship Id="rId6" Type="http://schemas.openxmlformats.org/officeDocument/2006/relationships/hyperlink" Target="https://us3.assetplanner.com/service_request?ID=101037"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42"/>
  <sheetViews>
    <sheetView zoomScale="90" zoomScaleNormal="90" workbookViewId="0">
      <pane xSplit="2" ySplit="3" topLeftCell="C23" activePane="bottomRight" state="frozen"/>
      <selection pane="bottomRight" activeCell="J42" sqref="J42"/>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8" t="str" cm="1">
        <f t="array" ref="A1">portfolio</f>
        <v>GoodFinch</v>
      </c>
      <c r="B1" s="138"/>
      <c r="C1" s="138"/>
      <c r="D1" s="138"/>
      <c r="E1" s="139" t="s">
        <v>0</v>
      </c>
      <c r="F1" s="139"/>
      <c r="G1" s="139"/>
      <c r="H1" s="137" t="s">
        <v>1</v>
      </c>
      <c r="I1" s="137"/>
      <c r="J1" s="137"/>
    </row>
    <row r="2" spans="1:10" ht="19.5" customHeight="1">
      <c r="A2" s="140" t="s">
        <v>2</v>
      </c>
      <c r="B2" s="140"/>
      <c r="C2" s="51"/>
      <c r="D2" s="3">
        <f>SUM(D4:D44)</f>
        <v>4552224.5720823854</v>
      </c>
      <c r="E2" s="3">
        <f>SUM(E4:E44)</f>
        <v>4128083.6870000013</v>
      </c>
      <c r="F2" s="3">
        <f>D2-E2</f>
        <v>424140.88508238411</v>
      </c>
      <c r="G2" s="4">
        <f>IFERROR(F2/E2, 0)</f>
        <v>0.10274522447741839</v>
      </c>
      <c r="H2" s="3">
        <f>SUM(H4:H44)</f>
        <v>6074920.682</v>
      </c>
      <c r="I2" s="5">
        <f>D2-H2</f>
        <v>-1522696.1099176146</v>
      </c>
      <c r="J2" s="4">
        <f>IFERROR(I2/H2, 0)</f>
        <v>-0.25065283805751831</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SUM('1st Qtr'!D4,'2nd Qtr'!D4,'3rd Qtr'!D4,'4th Qtr'!D4)</f>
        <v>38700.212095431598</v>
      </c>
      <c r="E4" s="12">
        <f>SUM('1st Qtr'!E4, '2nd Qtr'!E4, '3rd Qtr'!E4, '4th Qtr'!E4)</f>
        <v>24795.159</v>
      </c>
      <c r="F4" s="12">
        <f t="shared" ref="F4:F42" si="0">IF(AND(ISNUMBER(D4),ISNUMBER(E4)), D4-E4, "")</f>
        <v>13905.053095431598</v>
      </c>
      <c r="G4" s="13">
        <f t="shared" ref="G4:G42" si="1">IFERROR(F4/E4, "")</f>
        <v>0.56079709331291638</v>
      </c>
      <c r="H4" s="14">
        <f>SUM('1st Qtr'!H4,'2nd Qtr'!H4,'3rd Qtr'!H4,'4th Qtr'!H4)</f>
        <v>39775.160000000003</v>
      </c>
      <c r="I4" s="14">
        <f>SUM('1st Qtr'!I4, '2nd Qtr'!I4, '3rd Qtr'!I4, '4th Qtr'!I4)</f>
        <v>-1074.9479045684002</v>
      </c>
      <c r="J4" s="13">
        <f t="shared" ref="J4:J42" si="2">IFERROR(I4/H4, "")</f>
        <v>-2.7025608559925342E-2</v>
      </c>
    </row>
    <row r="5" spans="1:10" ht="15.6">
      <c r="A5" s="22" t="str">
        <v>AZ: Tempe - ASU - Fulton</v>
      </c>
      <c r="B5" s="23" t="str">
        <v>AZ</v>
      </c>
      <c r="C5" s="23" t="str">
        <f>Sites[[#This Row],[SOL'#]]</f>
        <v>SOL-10749</v>
      </c>
      <c r="D5" s="18">
        <f>SUM('1st Qtr'!D5,'2nd Qtr'!D5,'3rd Qtr'!D5,'4th Qtr'!D5)</f>
        <v>132403</v>
      </c>
      <c r="E5" s="8">
        <f>SUM('1st Qtr'!E5, '2nd Qtr'!E5, '3rd Qtr'!E5, '4th Qtr'!E5)</f>
        <v>162791.65999999997</v>
      </c>
      <c r="F5" s="8">
        <f t="shared" si="0"/>
        <v>-30388.659999999974</v>
      </c>
      <c r="G5" s="9">
        <f t="shared" si="1"/>
        <v>-0.18667209364410917</v>
      </c>
      <c r="H5" s="10">
        <f>SUM('1st Qtr'!H5,'2nd Qtr'!H5,'3rd Qtr'!H5,'4th Qtr'!H5)</f>
        <v>189224.45</v>
      </c>
      <c r="I5" s="10">
        <f>SUM('1st Qtr'!I5, '2nd Qtr'!I5, '3rd Qtr'!I5, '4th Qtr'!I5)</f>
        <v>-56821.45</v>
      </c>
      <c r="J5" s="11">
        <f t="shared" si="2"/>
        <v>-0.30028598312744464</v>
      </c>
    </row>
    <row r="6" spans="1:10" ht="15.6">
      <c r="A6" s="24" t="str">
        <v>AZ: Superior - JFK Elementary</v>
      </c>
      <c r="B6" s="25" t="str">
        <v>AZ</v>
      </c>
      <c r="C6" s="25" t="str">
        <f>Sites[[#This Row],[SOL'#]]</f>
        <v>SOL-10758</v>
      </c>
      <c r="D6" s="7">
        <f>SUM('1st Qtr'!D6,'2nd Qtr'!D6,'3rd Qtr'!D6,'4th Qtr'!D6)</f>
        <v>49165.379403139304</v>
      </c>
      <c r="E6" s="12">
        <f>SUM('1st Qtr'!E6, '2nd Qtr'!E6, '3rd Qtr'!E6, '4th Qtr'!E6)</f>
        <v>0</v>
      </c>
      <c r="F6" s="12">
        <f t="shared" si="0"/>
        <v>49165.379403139304</v>
      </c>
      <c r="G6" s="13" t="str">
        <f t="shared" si="1"/>
        <v/>
      </c>
      <c r="H6" s="14">
        <f>SUM('1st Qtr'!H6,'2nd Qtr'!H6,'3rd Qtr'!H6,'4th Qtr'!H6)</f>
        <v>56457.740000000005</v>
      </c>
      <c r="I6" s="14">
        <f>SUM('1st Qtr'!I6, '2nd Qtr'!I6, '3rd Qtr'!I6, '4th Qtr'!I6)</f>
        <v>-7292.3605968607008</v>
      </c>
      <c r="J6" s="13">
        <f t="shared" si="2"/>
        <v>-0.12916493995084996</v>
      </c>
    </row>
    <row r="7" spans="1:10" ht="15.6">
      <c r="A7" s="22" t="str">
        <v>AZ: Tempe - ASU - Noble</v>
      </c>
      <c r="B7" s="23" t="str">
        <v>AZ</v>
      </c>
      <c r="C7" s="23" t="str">
        <f>Sites[[#This Row],[SOL'#]]</f>
        <v>SOL-10750</v>
      </c>
      <c r="D7" s="18">
        <f>SUM('1st Qtr'!D7,'2nd Qtr'!D7,'3rd Qtr'!D7,'4th Qtr'!D7)</f>
        <v>35641.269240957103</v>
      </c>
      <c r="E7" s="8">
        <f>SUM('1st Qtr'!E7, '2nd Qtr'!E7, '3rd Qtr'!E7, '4th Qtr'!E7)</f>
        <v>42048.56</v>
      </c>
      <c r="F7" s="8">
        <f t="shared" si="0"/>
        <v>-6407.2907590428949</v>
      </c>
      <c r="G7" s="9">
        <f t="shared" si="1"/>
        <v>-0.15237836346935293</v>
      </c>
      <c r="H7" s="10">
        <f>SUM('1st Qtr'!H7,'2nd Qtr'!H7,'3rd Qtr'!H7,'4th Qtr'!H7)</f>
        <v>40386.94</v>
      </c>
      <c r="I7" s="10">
        <f>SUM('1st Qtr'!I7, '2nd Qtr'!I7, '3rd Qtr'!I7, '4th Qtr'!I7)</f>
        <v>-4745.6707590429014</v>
      </c>
      <c r="J7" s="11">
        <f t="shared" si="2"/>
        <v>-0.11750508355034824</v>
      </c>
    </row>
    <row r="8" spans="1:10" ht="15.6">
      <c r="A8" s="24" t="str">
        <v>AZ: Tempe - ASU - Parking #3</v>
      </c>
      <c r="B8" s="25" t="str">
        <v>AZ</v>
      </c>
      <c r="C8" s="25" t="str">
        <f>Sites[[#This Row],[SOL'#]]</f>
        <v>SOL-10751</v>
      </c>
      <c r="D8" s="7">
        <f>SUM('1st Qtr'!D8,'2nd Qtr'!D8,'3rd Qtr'!D8,'4th Qtr'!D8)</f>
        <v>88185.549999999988</v>
      </c>
      <c r="E8" s="12">
        <f>SUM('1st Qtr'!E8, '2nd Qtr'!E8, '3rd Qtr'!E8, '4th Qtr'!E8)</f>
        <v>94126.23</v>
      </c>
      <c r="F8" s="12">
        <f t="shared" si="0"/>
        <v>-5940.6800000000076</v>
      </c>
      <c r="G8" s="13">
        <f t="shared" si="1"/>
        <v>-6.3113969400453065E-2</v>
      </c>
      <c r="H8" s="14">
        <f>SUM('1st Qtr'!H8,'2nd Qtr'!H8,'3rd Qtr'!H8,'4th Qtr'!H8)</f>
        <v>94413.2</v>
      </c>
      <c r="I8" s="14">
        <f>SUM('1st Qtr'!I8, '2nd Qtr'!I8, '3rd Qtr'!I8, '4th Qtr'!I8)</f>
        <v>-6227.6499999999978</v>
      </c>
      <c r="J8" s="13">
        <f t="shared" si="2"/>
        <v>-6.5961645193680529E-2</v>
      </c>
    </row>
    <row r="9" spans="1:10" ht="15.6">
      <c r="A9" s="22" t="str">
        <v>AZ: Tempe - ASU - PE East</v>
      </c>
      <c r="B9" s="23" t="str">
        <v>AZ</v>
      </c>
      <c r="C9" s="23" t="str">
        <f>Sites[[#This Row],[SOL'#]]</f>
        <v>SOL-10752</v>
      </c>
      <c r="D9" s="18">
        <f>SUM('1st Qtr'!D9,'2nd Qtr'!D9,'3rd Qtr'!D9,'4th Qtr'!D9)</f>
        <v>85195.666119639296</v>
      </c>
      <c r="E9" s="8">
        <f>SUM('1st Qtr'!E9, '2nd Qtr'!E9, '3rd Qtr'!E9, '4th Qtr'!E9)</f>
        <v>68542.100000000006</v>
      </c>
      <c r="F9" s="8">
        <f t="shared" si="0"/>
        <v>16653.56611963929</v>
      </c>
      <c r="G9" s="9">
        <f t="shared" si="1"/>
        <v>0.24296842553174311</v>
      </c>
      <c r="H9" s="10">
        <f>SUM('1st Qtr'!H9,'2nd Qtr'!H9,'3rd Qtr'!H9,'4th Qtr'!H9)</f>
        <v>93559.31</v>
      </c>
      <c r="I9" s="10">
        <f>SUM('1st Qtr'!I9, '2nd Qtr'!I9, '3rd Qtr'!I9, '4th Qtr'!I9)</f>
        <v>-8363.6438803607016</v>
      </c>
      <c r="J9" s="11">
        <f t="shared" si="2"/>
        <v>-8.9394031233884702E-2</v>
      </c>
    </row>
    <row r="10" spans="1:10" ht="15.6">
      <c r="A10" s="24" t="str">
        <v>AZ: Tempe - ASU - Schwada</v>
      </c>
      <c r="B10" s="25" t="str">
        <v>AZ</v>
      </c>
      <c r="C10" s="25" t="str">
        <f>Sites[[#This Row],[SOL'#]]</f>
        <v>SOL-10753</v>
      </c>
      <c r="D10" s="7">
        <f>SUM('1st Qtr'!D10,'2nd Qtr'!D10,'3rd Qtr'!D10,'4th Qtr'!D10)</f>
        <v>34665.0096087313</v>
      </c>
      <c r="E10" s="12">
        <f>SUM('1st Qtr'!E10, '2nd Qtr'!E10, '3rd Qtr'!E10, '4th Qtr'!E10)</f>
        <v>28219.263999999999</v>
      </c>
      <c r="F10" s="12">
        <f t="shared" si="0"/>
        <v>6445.7456087313003</v>
      </c>
      <c r="G10" s="13">
        <f t="shared" si="1"/>
        <v>0.2284165033053768</v>
      </c>
      <c r="H10" s="14">
        <f>SUM('1st Qtr'!H10,'2nd Qtr'!H10,'3rd Qtr'!H10,'4th Qtr'!H10)</f>
        <v>41521.520000000004</v>
      </c>
      <c r="I10" s="14">
        <f>SUM('1st Qtr'!I10, '2nd Qtr'!I10, '3rd Qtr'!I10, '4th Qtr'!I10)</f>
        <v>-6856.5103912686991</v>
      </c>
      <c r="J10" s="13">
        <f t="shared" si="2"/>
        <v>-0.16513148823233587</v>
      </c>
    </row>
    <row r="11" spans="1:10" ht="15.6">
      <c r="A11" s="22" t="str">
        <v>AZ: Phoenix - Starshine Academy</v>
      </c>
      <c r="B11" s="23" t="str">
        <v>AZ</v>
      </c>
      <c r="C11" s="23" t="str">
        <f>Sites[[#This Row],[SOL'#]]</f>
        <v>SOL-10757</v>
      </c>
      <c r="D11" s="18">
        <f>SUM('1st Qtr'!D11,'2nd Qtr'!D11,'3rd Qtr'!D11,'4th Qtr'!D11)</f>
        <v>17824.30960863681</v>
      </c>
      <c r="E11" s="8">
        <f>SUM('1st Qtr'!E11, '2nd Qtr'!E11, '3rd Qtr'!E11, '4th Qtr'!E11)</f>
        <v>0</v>
      </c>
      <c r="F11" s="8">
        <f t="shared" si="0"/>
        <v>17824.30960863681</v>
      </c>
      <c r="G11" s="9" t="str">
        <f t="shared" si="1"/>
        <v/>
      </c>
      <c r="H11" s="10">
        <f>SUM('1st Qtr'!H11,'2nd Qtr'!H11,'3rd Qtr'!H11,'4th Qtr'!H11)</f>
        <v>29012.578000000001</v>
      </c>
      <c r="I11" s="10">
        <f>SUM('1st Qtr'!I11, '2nd Qtr'!I11, '3rd Qtr'!I11, '4th Qtr'!I11)</f>
        <v>-11188.26839136319</v>
      </c>
      <c r="J11" s="11">
        <f t="shared" si="2"/>
        <v>-0.38563509907196764</v>
      </c>
    </row>
    <row r="12" spans="1:10" ht="15.6">
      <c r="A12" s="24" t="str">
        <v>AZ: Yuma Airport</v>
      </c>
      <c r="B12" s="25" t="str">
        <v>AZ</v>
      </c>
      <c r="C12" s="25" t="str">
        <f>Sites[[#This Row],[SOL'#]]</f>
        <v>SOL-10754</v>
      </c>
      <c r="D12" s="7">
        <f>SUM('1st Qtr'!D12,'2nd Qtr'!D12,'3rd Qtr'!D12,'4th Qtr'!D12)</f>
        <v>181747</v>
      </c>
      <c r="E12" s="12">
        <f>SUM('1st Qtr'!E12, '2nd Qtr'!E12, '3rd Qtr'!E12, '4th Qtr'!E12)</f>
        <v>266025.68</v>
      </c>
      <c r="F12" s="12">
        <f t="shared" si="0"/>
        <v>-84278.68</v>
      </c>
      <c r="G12" s="13">
        <f t="shared" si="1"/>
        <v>-0.31680655792328016</v>
      </c>
      <c r="H12" s="14">
        <f>SUM('1st Qtr'!H12,'2nd Qtr'!H12,'3rd Qtr'!H12,'4th Qtr'!H12)</f>
        <v>224061</v>
      </c>
      <c r="I12" s="14">
        <f>SUM('1st Qtr'!I12, '2nd Qtr'!I12, '3rd Qtr'!I12, '4th Qtr'!I12)</f>
        <v>-42314</v>
      </c>
      <c r="J12" s="13">
        <f t="shared" si="2"/>
        <v>-0.18885035771508651</v>
      </c>
    </row>
    <row r="13" spans="1:10" ht="15.6">
      <c r="A13" s="22" t="str">
        <v>AZ: Globe - Gila CC</v>
      </c>
      <c r="B13" s="23" t="str">
        <v>AZ</v>
      </c>
      <c r="C13" s="23" t="str">
        <f>Sites[[#This Row],[SOL'#]]</f>
        <v>SOL-10751</v>
      </c>
      <c r="D13" s="18">
        <f>SUM('1st Qtr'!D13,'2nd Qtr'!D13,'3rd Qtr'!D13,'4th Qtr'!D13)</f>
        <v>54507.076434886498</v>
      </c>
      <c r="E13" s="8">
        <f>SUM('1st Qtr'!E13, '2nd Qtr'!E13, '3rd Qtr'!E13, '4th Qtr'!E13)</f>
        <v>23486.82</v>
      </c>
      <c r="F13" s="8">
        <f t="shared" si="0"/>
        <v>31020.256434886498</v>
      </c>
      <c r="G13" s="9">
        <f t="shared" si="1"/>
        <v>1.3207516570947662</v>
      </c>
      <c r="H13" s="10">
        <f>SUM('1st Qtr'!H13,'2nd Qtr'!H13,'3rd Qtr'!H13,'4th Qtr'!H13)</f>
        <v>51509.5</v>
      </c>
      <c r="I13" s="10">
        <f>SUM('1st Qtr'!I13, '2nd Qtr'!I13, '3rd Qtr'!I13, '4th Qtr'!I13)</f>
        <v>2997.5764348865014</v>
      </c>
      <c r="J13" s="11">
        <f t="shared" si="2"/>
        <v>5.8194632735446887E-2</v>
      </c>
    </row>
    <row r="14" spans="1:10" ht="15.6">
      <c r="A14" s="24" t="str">
        <v>AZ: Payson - Gila CC</v>
      </c>
      <c r="B14" s="25" t="str">
        <v>AZ</v>
      </c>
      <c r="C14" s="25" t="str">
        <f>Sites[[#This Row],[SOL'#]]</f>
        <v>SOL-10748</v>
      </c>
      <c r="D14" s="7">
        <f>SUM('1st Qtr'!D14,'2nd Qtr'!D14,'3rd Qtr'!D14,'4th Qtr'!D14)</f>
        <v>37246.078823691598</v>
      </c>
      <c r="E14" s="12">
        <f>SUM('1st Qtr'!E14, '2nd Qtr'!E14, '3rd Qtr'!E14, '4th Qtr'!E14)</f>
        <v>17334.665999999997</v>
      </c>
      <c r="F14" s="12">
        <f t="shared" si="0"/>
        <v>19911.4128236916</v>
      </c>
      <c r="G14" s="13">
        <f t="shared" si="1"/>
        <v>1.1486470419269459</v>
      </c>
      <c r="H14" s="14">
        <f>SUM('1st Qtr'!H14,'2nd Qtr'!H14,'3rd Qtr'!H14,'4th Qtr'!H14)</f>
        <v>38124</v>
      </c>
      <c r="I14" s="14">
        <f>SUM('1st Qtr'!I14, '2nd Qtr'!I14, '3rd Qtr'!I14, '4th Qtr'!I14)</f>
        <v>-877.92117630840039</v>
      </c>
      <c r="J14" s="13">
        <f t="shared" si="2"/>
        <v>-2.302804470434373E-2</v>
      </c>
    </row>
    <row r="15" spans="1:10" ht="15.6">
      <c r="A15" s="22" t="str">
        <v>AZ: Mesa - Sequoia Charter School</v>
      </c>
      <c r="B15" s="23" t="str">
        <v>AZ</v>
      </c>
      <c r="C15" s="23" t="str">
        <f>Sites[[#This Row],[SOL'#]]</f>
        <v>SOL-10759</v>
      </c>
      <c r="D15" s="18">
        <f>SUM('1st Qtr'!D15,'2nd Qtr'!D15,'3rd Qtr'!D15,'4th Qtr'!D15)</f>
        <v>86754.699999999895</v>
      </c>
      <c r="E15" s="8">
        <f>SUM('1st Qtr'!E15, '2nd Qtr'!E15, '3rd Qtr'!E15, '4th Qtr'!E15)</f>
        <v>0</v>
      </c>
      <c r="F15" s="8">
        <f t="shared" si="0"/>
        <v>86754.699999999895</v>
      </c>
      <c r="G15" s="9" t="str">
        <f t="shared" si="1"/>
        <v/>
      </c>
      <c r="H15" s="10">
        <f>SUM('1st Qtr'!H15,'2nd Qtr'!H15,'3rd Qtr'!H15,'4th Qtr'!H15)</f>
        <v>139347.41</v>
      </c>
      <c r="I15" s="10">
        <f>SUM('1st Qtr'!I15, '2nd Qtr'!I15, '3rd Qtr'!I15, '4th Qtr'!I15)</f>
        <v>-52592.710000000108</v>
      </c>
      <c r="J15" s="11">
        <f t="shared" si="2"/>
        <v>-0.37742151074067404</v>
      </c>
    </row>
    <row r="16" spans="1:10" ht="15.6">
      <c r="A16" s="24" t="str">
        <v>AZ: Tempe - SCNM</v>
      </c>
      <c r="B16" s="25" t="str">
        <v>AZ</v>
      </c>
      <c r="C16" s="25" t="str">
        <f>Sites[[#This Row],[SOL'#]]</f>
        <v>SOL-10760</v>
      </c>
      <c r="D16" s="7">
        <f>SUM('1st Qtr'!D16,'2nd Qtr'!D16,'3rd Qtr'!D16,'4th Qtr'!D16)</f>
        <v>209268</v>
      </c>
      <c r="E16" s="12">
        <f>SUM('1st Qtr'!E16, '2nd Qtr'!E16, '3rd Qtr'!E16, '4th Qtr'!E16)</f>
        <v>127773.75</v>
      </c>
      <c r="F16" s="12">
        <f t="shared" si="0"/>
        <v>81494.25</v>
      </c>
      <c r="G16" s="13">
        <f t="shared" si="1"/>
        <v>0.63780119155929915</v>
      </c>
      <c r="H16" s="14">
        <f>SUM('1st Qtr'!H16,'2nd Qtr'!H16,'3rd Qtr'!H16,'4th Qtr'!H16)</f>
        <v>250842.95</v>
      </c>
      <c r="I16" s="14">
        <f>SUM('1st Qtr'!I16, '2nd Qtr'!I16, '3rd Qtr'!I16, '4th Qtr'!I16)</f>
        <v>-41574.949999999997</v>
      </c>
      <c r="J16" s="13">
        <f t="shared" si="2"/>
        <v>-0.16574095464911409</v>
      </c>
    </row>
    <row r="17" spans="1:10" ht="15.6">
      <c r="A17" s="22" t="str">
        <v>DE: Newark - Clayton Hall</v>
      </c>
      <c r="B17" s="23" t="str">
        <v>DE</v>
      </c>
      <c r="C17" s="23" t="str">
        <f>Sites[[#This Row],[SOL'#]]</f>
        <v>SOL-10820</v>
      </c>
      <c r="D17" s="18">
        <f>SUM('1st Qtr'!D17,'2nd Qtr'!D17,'3rd Qtr'!D17,'4th Qtr'!D17)</f>
        <v>58239</v>
      </c>
      <c r="E17" s="8">
        <f>SUM('1st Qtr'!E17, '2nd Qtr'!E17, '3rd Qtr'!E17, '4th Qtr'!E17)</f>
        <v>62809.021999999997</v>
      </c>
      <c r="F17" s="8">
        <f t="shared" si="0"/>
        <v>-4570.0219999999972</v>
      </c>
      <c r="G17" s="9">
        <f t="shared" si="1"/>
        <v>-7.2760597991798015E-2</v>
      </c>
      <c r="H17" s="10">
        <f>SUM('1st Qtr'!H17,'2nd Qtr'!H17,'3rd Qtr'!H17,'4th Qtr'!H17)</f>
        <v>54137.887999999999</v>
      </c>
      <c r="I17" s="10">
        <f>SUM('1st Qtr'!I17, '2nd Qtr'!I17, '3rd Qtr'!I17, '4th Qtr'!I17)</f>
        <v>4101.1119999999992</v>
      </c>
      <c r="J17" s="11">
        <f t="shared" si="2"/>
        <v>7.5753084420286207E-2</v>
      </c>
    </row>
    <row r="18" spans="1:10" ht="15.6">
      <c r="A18" s="24" t="str">
        <v>DE: Newark - UOD Field House</v>
      </c>
      <c r="B18" s="25" t="str">
        <v>DE</v>
      </c>
      <c r="C18" s="25" t="str">
        <f>Sites[[#This Row],[SOL'#]]</f>
        <v>SOL-10821</v>
      </c>
      <c r="D18" s="7">
        <f>SUM('1st Qtr'!D18,'2nd Qtr'!D18,'3rd Qtr'!D18,'4th Qtr'!D18)</f>
        <v>155312</v>
      </c>
      <c r="E18" s="12">
        <f>SUM('1st Qtr'!E18, '2nd Qtr'!E18, '3rd Qtr'!E18, '4th Qtr'!E18)</f>
        <v>0</v>
      </c>
      <c r="F18" s="12">
        <f t="shared" si="0"/>
        <v>155312</v>
      </c>
      <c r="G18" s="13" t="str">
        <f t="shared" si="1"/>
        <v/>
      </c>
      <c r="H18" s="14">
        <f>SUM('1st Qtr'!H18,'2nd Qtr'!H18,'3rd Qtr'!H18,'4th Qtr'!H18)</f>
        <v>134604.39299999998</v>
      </c>
      <c r="I18" s="14">
        <f>SUM('1st Qtr'!I18, '2nd Qtr'!I18, '3rd Qtr'!I18, '4th Qtr'!I18)</f>
        <v>20707.607000000004</v>
      </c>
      <c r="J18" s="13">
        <f t="shared" si="2"/>
        <v>0.15384049909871816</v>
      </c>
    </row>
    <row r="19" spans="1:10" ht="15.6">
      <c r="A19" s="22" t="str">
        <v>DE: Newark - UOD 461 Wyoming</v>
      </c>
      <c r="B19" s="23" t="str">
        <v>DE</v>
      </c>
      <c r="C19" s="23" t="str">
        <f>Sites[[#This Row],[SOL'#]]</f>
        <v>SOL-10819</v>
      </c>
      <c r="D19" s="18">
        <f>SUM('1st Qtr'!D19,'2nd Qtr'!D19,'3rd Qtr'!D19,'4th Qtr'!D19)</f>
        <v>14362</v>
      </c>
      <c r="E19" s="8">
        <f>SUM('1st Qtr'!E19, '2nd Qtr'!E19, '3rd Qtr'!E19, '4th Qtr'!E19)</f>
        <v>96729.296000000002</v>
      </c>
      <c r="F19" s="8">
        <f t="shared" si="0"/>
        <v>-82367.296000000002</v>
      </c>
      <c r="G19" s="9">
        <f t="shared" si="1"/>
        <v>-0.85152378241231075</v>
      </c>
      <c r="H19" s="10">
        <f>SUM('1st Qtr'!H19,'2nd Qtr'!H19,'3rd Qtr'!H19,'4th Qtr'!H19)</f>
        <v>102169.337</v>
      </c>
      <c r="I19" s="10">
        <f>SUM('1st Qtr'!I19, '2nd Qtr'!I19, '3rd Qtr'!I19, '4th Qtr'!I19)</f>
        <v>-50224.337</v>
      </c>
      <c r="J19" s="11">
        <f t="shared" si="2"/>
        <v>-0.491579357121599</v>
      </c>
    </row>
    <row r="20" spans="1:10" ht="15.6">
      <c r="A20" s="24" t="str">
        <v>MD: Presston - Bird-in-Hand</v>
      </c>
      <c r="B20" s="25" t="str">
        <v>MD</v>
      </c>
      <c r="C20" s="25" t="str">
        <f>Sites[[#This Row],[SOL'#]]</f>
        <v>SOL-10092</v>
      </c>
      <c r="D20" s="7">
        <f>SUM('1st Qtr'!D20,'2nd Qtr'!D20,'3rd Qtr'!D20,'4th Qtr'!D20)</f>
        <v>461497</v>
      </c>
      <c r="E20" s="12">
        <f>SUM('1st Qtr'!E20, '2nd Qtr'!E20, '3rd Qtr'!E20, '4th Qtr'!E20)</f>
        <v>459534.48600000003</v>
      </c>
      <c r="F20" s="12">
        <f t="shared" si="0"/>
        <v>1962.5139999999665</v>
      </c>
      <c r="G20" s="13">
        <f t="shared" si="1"/>
        <v>4.2706566314153977E-3</v>
      </c>
      <c r="H20" s="14">
        <f>SUM('1st Qtr'!H20,'2nd Qtr'!H20,'3rd Qtr'!H20,'4th Qtr'!H20)</f>
        <v>472980.28100000002</v>
      </c>
      <c r="I20" s="14">
        <f>SUM('1st Qtr'!I20, '2nd Qtr'!I20, '3rd Qtr'!I20, '4th Qtr'!I20)</f>
        <v>-11483.281000000003</v>
      </c>
      <c r="J20" s="13">
        <f t="shared" si="2"/>
        <v>-2.4278561837126574E-2</v>
      </c>
    </row>
    <row r="21" spans="1:10" ht="15.6">
      <c r="A21" s="22" t="str">
        <v>MD: Easton - Shortall</v>
      </c>
      <c r="B21" s="23" t="str">
        <v>MD</v>
      </c>
      <c r="C21" s="23" t="str">
        <f>Sites[[#This Row],[SOL'#]]</f>
        <v>SOL-10091</v>
      </c>
      <c r="D21" s="18">
        <f>SUM('1st Qtr'!D21,'2nd Qtr'!D21,'3rd Qtr'!D21,'4th Qtr'!D21)</f>
        <v>513232</v>
      </c>
      <c r="E21" s="8">
        <f>SUM('1st Qtr'!E21, '2nd Qtr'!E21, '3rd Qtr'!E21, '4th Qtr'!E21)</f>
        <v>491705.99</v>
      </c>
      <c r="F21" s="8">
        <f t="shared" si="0"/>
        <v>21526.010000000009</v>
      </c>
      <c r="G21" s="9">
        <f t="shared" si="1"/>
        <v>4.3778213887530656E-2</v>
      </c>
      <c r="H21" s="10">
        <f>SUM('1st Qtr'!H21,'2nd Qtr'!H21,'3rd Qtr'!H21,'4th Qtr'!H21)</f>
        <v>469954.77300000004</v>
      </c>
      <c r="I21" s="10">
        <f>SUM('1st Qtr'!I21, '2nd Qtr'!I21, '3rd Qtr'!I21, '4th Qtr'!I21)</f>
        <v>43277.227000000014</v>
      </c>
      <c r="J21" s="11">
        <f t="shared" si="2"/>
        <v>9.2088067802218079E-2</v>
      </c>
    </row>
    <row r="22" spans="1:10" ht="15.6">
      <c r="A22" s="24" t="str">
        <v>MA: Boston - Seaport Solar</v>
      </c>
      <c r="B22" s="25" t="str">
        <v>MA</v>
      </c>
      <c r="C22" s="25" t="str">
        <f>Sites[[#This Row],[SOL'#]]</f>
        <v>SOL-10772</v>
      </c>
      <c r="D22" s="7">
        <f>SUM('1st Qtr'!D22,'2nd Qtr'!D22,'3rd Qtr'!D22,'4th Qtr'!D22)</f>
        <v>234036.5</v>
      </c>
      <c r="E22" s="12">
        <f>SUM('1st Qtr'!E22, '2nd Qtr'!E22, '3rd Qtr'!E22, '4th Qtr'!E22)</f>
        <v>43678.347999999998</v>
      </c>
      <c r="F22" s="12">
        <f t="shared" si="0"/>
        <v>190358.152</v>
      </c>
      <c r="G22" s="13">
        <f t="shared" si="1"/>
        <v>4.3581811290115642</v>
      </c>
      <c r="H22" s="14">
        <f>SUM('1st Qtr'!H22,'2nd Qtr'!H22,'3rd Qtr'!H22,'4th Qtr'!H22)</f>
        <v>217087.45</v>
      </c>
      <c r="I22" s="14">
        <f>SUM('1st Qtr'!I22, '2nd Qtr'!I22, '3rd Qtr'!I22, '4th Qtr'!I22)</f>
        <v>16949.050000000003</v>
      </c>
      <c r="J22" s="13">
        <f t="shared" si="2"/>
        <v>7.807475743070362E-2</v>
      </c>
    </row>
    <row r="23" spans="1:10" ht="15.6">
      <c r="A23" s="22" t="str">
        <v>MA: Dedham - Sprague Street</v>
      </c>
      <c r="B23" s="23" t="str">
        <v>MA</v>
      </c>
      <c r="C23" s="23" t="str">
        <f>Sites[[#This Row],[SOL'#]]</f>
        <v>SOL-10773</v>
      </c>
      <c r="D23" s="18">
        <f>SUM('1st Qtr'!D23,'2nd Qtr'!D23,'3rd Qtr'!D23,'4th Qtr'!D23)</f>
        <v>503914</v>
      </c>
      <c r="E23" s="8">
        <f>SUM('1st Qtr'!E23, '2nd Qtr'!E23, '3rd Qtr'!E23, '4th Qtr'!E23)</f>
        <v>0</v>
      </c>
      <c r="F23" s="8">
        <f t="shared" si="0"/>
        <v>503914</v>
      </c>
      <c r="G23" s="9" t="str">
        <f t="shared" si="1"/>
        <v/>
      </c>
      <c r="H23" s="10">
        <f>SUM('1st Qtr'!H23,'2nd Qtr'!H23,'3rd Qtr'!H23,'4th Qtr'!H23)</f>
        <v>484083.522</v>
      </c>
      <c r="I23" s="10">
        <f>SUM('1st Qtr'!I23, '2nd Qtr'!I23, '3rd Qtr'!I23, '4th Qtr'!I23)</f>
        <v>19830.478000000003</v>
      </c>
      <c r="J23" s="11">
        <f t="shared" si="2"/>
        <v>4.0964992813781423E-2</v>
      </c>
    </row>
    <row r="24" spans="1:10" ht="15.6">
      <c r="A24" s="24" t="str">
        <v>MA: Boston - Summer Street</v>
      </c>
      <c r="B24" s="25" t="str">
        <v>MA</v>
      </c>
      <c r="C24" s="25" t="str">
        <f>Sites[[#This Row],[SOL'#]]</f>
        <v>SOL-10764</v>
      </c>
      <c r="D24" s="7">
        <f>SUM('1st Qtr'!D24,'2nd Qtr'!D24,'3rd Qtr'!D24,'4th Qtr'!D24)</f>
        <v>0</v>
      </c>
      <c r="E24" s="12">
        <f>SUM('1st Qtr'!E24, '2nd Qtr'!E24, '3rd Qtr'!E24, '4th Qtr'!E24)</f>
        <v>195335.43599999999</v>
      </c>
      <c r="F24" s="12">
        <f t="shared" si="0"/>
        <v>-195335.43599999999</v>
      </c>
      <c r="G24" s="13">
        <f t="shared" si="1"/>
        <v>-1</v>
      </c>
      <c r="H24" s="14">
        <f>SUM('1st Qtr'!H24,'2nd Qtr'!H24,'3rd Qtr'!H24,'4th Qtr'!H24)</f>
        <v>1033753.29</v>
      </c>
      <c r="I24" s="14">
        <f>SUM('1st Qtr'!I24, '2nd Qtr'!I24, '3rd Qtr'!I24, '4th Qtr'!I24)</f>
        <v>-624529.29</v>
      </c>
      <c r="J24" s="13">
        <f t="shared" si="2"/>
        <v>-0.60413765648088047</v>
      </c>
    </row>
    <row r="25" spans="1:10" ht="15.6">
      <c r="A25" s="22" t="str">
        <v>MA: Leominster - Spectro Coatings</v>
      </c>
      <c r="B25" s="23" t="str">
        <v>MA</v>
      </c>
      <c r="C25" s="23" t="str">
        <f>Sites[[#This Row],[SOL'#]]</f>
        <v>SOL-10074</v>
      </c>
      <c r="D25" s="18">
        <f>SUM('1st Qtr'!D25,'2nd Qtr'!D25,'3rd Qtr'!D25,'4th Qtr'!D25)</f>
        <v>213326.375</v>
      </c>
      <c r="E25" s="8">
        <f>SUM('1st Qtr'!E25, '2nd Qtr'!E25, '3rd Qtr'!E25, '4th Qtr'!E25)</f>
        <v>249325.24</v>
      </c>
      <c r="F25" s="8">
        <f t="shared" si="0"/>
        <v>-35998.864999999991</v>
      </c>
      <c r="G25" s="9">
        <f t="shared" si="1"/>
        <v>-0.14438516132582482</v>
      </c>
      <c r="H25" s="10">
        <f>SUM('1st Qtr'!H25,'2nd Qtr'!H25,'3rd Qtr'!H25,'4th Qtr'!H25)</f>
        <v>188907.554</v>
      </c>
      <c r="I25" s="10">
        <f>SUM('1st Qtr'!I25, '2nd Qtr'!I25, '3rd Qtr'!I25, '4th Qtr'!I25)</f>
        <v>24418.820999999996</v>
      </c>
      <c r="J25" s="11">
        <f t="shared" si="2"/>
        <v>0.12926333798170928</v>
      </c>
    </row>
    <row r="26" spans="1:10" ht="15.6">
      <c r="A26" s="24" t="str">
        <v>MA: Braintree - RCAB</v>
      </c>
      <c r="B26" s="25" t="str">
        <v>MA</v>
      </c>
      <c r="C26" s="25" t="str">
        <f>Sites[[#This Row],[SOL'#]]</f>
        <v>SOL-10838</v>
      </c>
      <c r="D26" s="7">
        <f>SUM('1st Qtr'!D26,'2nd Qtr'!D26,'3rd Qtr'!D26,'4th Qtr'!D26)</f>
        <v>395726.5</v>
      </c>
      <c r="E26" s="12">
        <f>SUM('1st Qtr'!E26, '2nd Qtr'!E26, '3rd Qtr'!E26, '4th Qtr'!E26)</f>
        <v>468500.19999999995</v>
      </c>
      <c r="F26" s="12">
        <f t="shared" si="0"/>
        <v>-72773.699999999953</v>
      </c>
      <c r="G26" s="13">
        <f t="shared" si="1"/>
        <v>-0.15533333817146708</v>
      </c>
      <c r="H26" s="14">
        <f>SUM('1st Qtr'!H26,'2nd Qtr'!H26,'3rd Qtr'!H26,'4th Qtr'!H26)</f>
        <v>373966.05</v>
      </c>
      <c r="I26" s="14">
        <f>SUM('1st Qtr'!I26, '2nd Qtr'!I26, '3rd Qtr'!I26, '4th Qtr'!I26)</f>
        <v>21760.449999999997</v>
      </c>
      <c r="J26" s="13">
        <f t="shared" si="2"/>
        <v>5.8188303456958183E-2</v>
      </c>
    </row>
    <row r="27" spans="1:10" ht="15.6">
      <c r="A27" s="22" t="str">
        <v>NH: Rochester - Portland Street</v>
      </c>
      <c r="B27" s="23" t="str">
        <v>NH</v>
      </c>
      <c r="C27" s="23" t="str">
        <f>Sites[[#This Row],[SOL'#]]</f>
        <v>SOL-10771</v>
      </c>
      <c r="D27" s="18">
        <f>SUM('1st Qtr'!D27,'2nd Qtr'!D27,'3rd Qtr'!D27,'4th Qtr'!D27)</f>
        <v>31120.752</v>
      </c>
      <c r="E27" s="8">
        <f>SUM('1st Qtr'!E27, '2nd Qtr'!E27, '3rd Qtr'!E27, '4th Qtr'!E27)</f>
        <v>23135.201999999997</v>
      </c>
      <c r="F27" s="8">
        <f t="shared" si="0"/>
        <v>7985.5500000000029</v>
      </c>
      <c r="G27" s="9">
        <f t="shared" si="1"/>
        <v>0.34516880379950882</v>
      </c>
      <c r="H27" s="10">
        <f>SUM('1st Qtr'!H27,'2nd Qtr'!H27,'3rd Qtr'!H27,'4th Qtr'!H27)</f>
        <v>26479.245999999999</v>
      </c>
      <c r="I27" s="10">
        <f>SUM('1st Qtr'!I27, '2nd Qtr'!I27, '3rd Qtr'!I27, '4th Qtr'!I27)</f>
        <v>4641.5059999999994</v>
      </c>
      <c r="J27" s="11">
        <f t="shared" si="2"/>
        <v>0.17528845043397381</v>
      </c>
    </row>
    <row r="28" spans="1:10" ht="15.6">
      <c r="A28" s="24" t="str">
        <v>NH: Portsmouth - Portsmouth HS</v>
      </c>
      <c r="B28" s="25" t="str">
        <v>NH</v>
      </c>
      <c r="C28" s="25" t="str">
        <f>Sites[[#This Row],[SOL'#]]</f>
        <v>SOL-10769</v>
      </c>
      <c r="D28" s="7">
        <f>SUM('1st Qtr'!D28,'2nd Qtr'!D28,'3rd Qtr'!D28,'4th Qtr'!D28)</f>
        <v>124214.625</v>
      </c>
      <c r="E28" s="12">
        <f>SUM('1st Qtr'!E28, '2nd Qtr'!E28, '3rd Qtr'!E28, '4th Qtr'!E28)</f>
        <v>12514.94</v>
      </c>
      <c r="F28" s="12">
        <f t="shared" si="0"/>
        <v>111699.685</v>
      </c>
      <c r="G28" s="13">
        <f t="shared" si="1"/>
        <v>8.9253072727476113</v>
      </c>
      <c r="H28" s="14">
        <f>SUM('1st Qtr'!H28,'2nd Qtr'!H28,'3rd Qtr'!H28,'4th Qtr'!H28)</f>
        <v>98432.599000000002</v>
      </c>
      <c r="I28" s="14">
        <f>SUM('1st Qtr'!I28, '2nd Qtr'!I28, '3rd Qtr'!I28, '4th Qtr'!I28)</f>
        <v>25782.026000000002</v>
      </c>
      <c r="J28" s="13">
        <f t="shared" si="2"/>
        <v>0.26192568581878045</v>
      </c>
    </row>
    <row r="29" spans="1:10" ht="15.6">
      <c r="A29" s="22" t="str">
        <v>NH: Portsmouth - Portsmouth WTP</v>
      </c>
      <c r="B29" s="23" t="str">
        <v>NH</v>
      </c>
      <c r="C29" s="23" t="str">
        <f>Sites[[#This Row],[SOL'#]]</f>
        <v>SOL-10770</v>
      </c>
      <c r="D29" s="18">
        <f>SUM('1st Qtr'!D29,'2nd Qtr'!D29,'3rd Qtr'!D29,'4th Qtr'!D29)</f>
        <v>13129</v>
      </c>
      <c r="E29" s="8">
        <f>SUM('1st Qtr'!E29, '2nd Qtr'!E29, '3rd Qtr'!E29, '4th Qtr'!E29)</f>
        <v>14176.25</v>
      </c>
      <c r="F29" s="8">
        <f t="shared" si="0"/>
        <v>-1047.25</v>
      </c>
      <c r="G29" s="9">
        <f t="shared" si="1"/>
        <v>-7.3873556123798603E-2</v>
      </c>
      <c r="H29" s="10">
        <f>SUM('1st Qtr'!H29,'2nd Qtr'!H29,'3rd Qtr'!H29,'4th Qtr'!H29)</f>
        <v>30672</v>
      </c>
      <c r="I29" s="10">
        <f>SUM('1st Qtr'!I29, '2nd Qtr'!I29, '3rd Qtr'!I29, '4th Qtr'!I29)</f>
        <v>-17543</v>
      </c>
      <c r="J29" s="11">
        <f t="shared" si="2"/>
        <v>-0.57195487741262385</v>
      </c>
    </row>
    <row r="30" spans="1:10" ht="15.6">
      <c r="A30" s="24" t="str">
        <v>NH: Rochester - Rochester MS</v>
      </c>
      <c r="B30" s="25" t="str">
        <v>NH</v>
      </c>
      <c r="C30" s="25" t="str">
        <f>Sites[[#This Row],[SOL'#]]</f>
        <v>SOL-10765</v>
      </c>
      <c r="D30" s="7">
        <f>SUM('1st Qtr'!D30,'2nd Qtr'!D30,'3rd Qtr'!D30,'4th Qtr'!D30)</f>
        <v>108342.12145000001</v>
      </c>
      <c r="E30" s="12">
        <f>SUM('1st Qtr'!E30, '2nd Qtr'!E30, '3rd Qtr'!E30, '4th Qtr'!E30)</f>
        <v>116658.15999999999</v>
      </c>
      <c r="F30" s="12">
        <f t="shared" si="0"/>
        <v>-8316.0385499999829</v>
      </c>
      <c r="G30" s="13">
        <f t="shared" si="1"/>
        <v>-7.1285528161938977E-2</v>
      </c>
      <c r="H30" s="14">
        <f>SUM('1st Qtr'!H30,'2nd Qtr'!H30,'3rd Qtr'!H30,'4th Qtr'!H30)</f>
        <v>85816.61</v>
      </c>
      <c r="I30" s="14">
        <f>SUM('1st Qtr'!I30, '2nd Qtr'!I30, '3rd Qtr'!I30, '4th Qtr'!I30)</f>
        <v>22525.511449999998</v>
      </c>
      <c r="J30" s="13">
        <f t="shared" si="2"/>
        <v>0.26248428421957004</v>
      </c>
    </row>
    <row r="31" spans="1:10" ht="15.6">
      <c r="A31" s="22" t="str">
        <v>NH Rochester - Spaulding HS</v>
      </c>
      <c r="B31" s="23" t="str">
        <v>NH</v>
      </c>
      <c r="C31" s="23" t="str">
        <f>Sites[[#This Row],[SOL'#]]</f>
        <v>SOL-10767</v>
      </c>
      <c r="D31" s="18">
        <f>SUM('1st Qtr'!D31,'2nd Qtr'!D31,'3rd Qtr'!D31,'4th Qtr'!D31)</f>
        <v>54721.186240000003</v>
      </c>
      <c r="E31" s="8">
        <f>SUM('1st Qtr'!E31, '2nd Qtr'!E31, '3rd Qtr'!E31, '4th Qtr'!E31)</f>
        <v>46019.406000000003</v>
      </c>
      <c r="F31" s="8">
        <f t="shared" si="0"/>
        <v>8701.78024</v>
      </c>
      <c r="G31" s="9">
        <f t="shared" si="1"/>
        <v>0.18908936460414111</v>
      </c>
      <c r="H31" s="10">
        <f>SUM('1st Qtr'!H31,'2nd Qtr'!H31,'3rd Qtr'!H31,'4th Qtr'!H31)</f>
        <v>43005.701000000001</v>
      </c>
      <c r="I31" s="10">
        <f>SUM('1st Qtr'!I31, '2nd Qtr'!I31, '3rd Qtr'!I31, '4th Qtr'!I31)</f>
        <v>11715.485239999998</v>
      </c>
      <c r="J31" s="11">
        <f t="shared" si="2"/>
        <v>0.27241702768663156</v>
      </c>
    </row>
    <row r="32" spans="1:10" ht="15.6">
      <c r="A32" s="24" t="str">
        <v>NH: Rochester - McClelland ES</v>
      </c>
      <c r="B32" s="25" t="str">
        <v>NH</v>
      </c>
      <c r="C32" s="25" t="str">
        <f>Sites[[#This Row],[SOL'#]]</f>
        <v>SOL-10766</v>
      </c>
      <c r="D32" s="7">
        <f>SUM('1st Qtr'!D32,'2nd Qtr'!D32,'3rd Qtr'!D32,'4th Qtr'!D32)</f>
        <v>36952.374599999996</v>
      </c>
      <c r="E32" s="12">
        <f>SUM('1st Qtr'!E32, '2nd Qtr'!E32, '3rd Qtr'!E32, '4th Qtr'!E32)</f>
        <v>39607.794000000002</v>
      </c>
      <c r="F32" s="12">
        <f t="shared" si="0"/>
        <v>-2655.4194000000061</v>
      </c>
      <c r="G32" s="13">
        <f t="shared" si="1"/>
        <v>-6.7042850202664803E-2</v>
      </c>
      <c r="H32" s="14">
        <f>SUM('1st Qtr'!H32,'2nd Qtr'!H32,'3rd Qtr'!H32,'4th Qtr'!H32)</f>
        <v>28592.626000000004</v>
      </c>
      <c r="I32" s="14">
        <f>SUM('1st Qtr'!I32, '2nd Qtr'!I32, '3rd Qtr'!I32, '4th Qtr'!I32)</f>
        <v>8359.748599999999</v>
      </c>
      <c r="J32" s="13">
        <f t="shared" si="2"/>
        <v>0.29237428559377504</v>
      </c>
    </row>
    <row r="33" spans="1:10" ht="15.6">
      <c r="A33" s="22" t="str">
        <v>NH: Rochester - Brock St Vocational</v>
      </c>
      <c r="B33" s="23" t="str">
        <v>NH</v>
      </c>
      <c r="C33" s="23" t="str">
        <f>Sites[[#This Row],[SOL'#]]</f>
        <v>SOL-10768</v>
      </c>
      <c r="D33" s="18">
        <f>SUM('1st Qtr'!D33,'2nd Qtr'!D33,'3rd Qtr'!D33,'4th Qtr'!D33)</f>
        <v>49977.071144771697</v>
      </c>
      <c r="E33" s="8">
        <f>SUM('1st Qtr'!E33, '2nd Qtr'!E33, '3rd Qtr'!E33, '4th Qtr'!E33)</f>
        <v>48284.520000000004</v>
      </c>
      <c r="F33" s="8">
        <f t="shared" si="0"/>
        <v>1692.5511447716926</v>
      </c>
      <c r="G33" s="9">
        <f t="shared" si="1"/>
        <v>3.5053701367885451E-2</v>
      </c>
      <c r="H33" s="10">
        <f>SUM('1st Qtr'!H33,'2nd Qtr'!H33,'3rd Qtr'!H33,'4th Qtr'!H33)</f>
        <v>36441.56</v>
      </c>
      <c r="I33" s="10">
        <f>SUM('1st Qtr'!I33, '2nd Qtr'!I33, '3rd Qtr'!I33, '4th Qtr'!I33)</f>
        <v>13535.511144771701</v>
      </c>
      <c r="J33" s="11">
        <f t="shared" si="2"/>
        <v>0.37143061781031605</v>
      </c>
    </row>
    <row r="34" spans="1:10" ht="15.6">
      <c r="A34" s="24" t="str">
        <v>OH: Cleveland - CV Kinsman</v>
      </c>
      <c r="B34" s="25" t="str">
        <v>OH</v>
      </c>
      <c r="C34" s="25" t="str">
        <f>Sites[[#This Row],[SOL'#]]</f>
        <v>SOL-10762</v>
      </c>
      <c r="D34" s="7">
        <f>SUM('1st Qtr'!D34,'2nd Qtr'!D34,'3rd Qtr'!D34,'4th Qtr'!D34)</f>
        <v>198170.1953125</v>
      </c>
      <c r="E34" s="12">
        <f>SUM('1st Qtr'!E34, '2nd Qtr'!E34, '3rd Qtr'!E34, '4th Qtr'!E34)</f>
        <v>409439.9</v>
      </c>
      <c r="F34" s="12">
        <f t="shared" si="0"/>
        <v>-211269.70468750002</v>
      </c>
      <c r="G34" s="13">
        <f t="shared" si="1"/>
        <v>-0.51599686471079154</v>
      </c>
      <c r="H34" s="14">
        <f>SUM('1st Qtr'!H34,'2nd Qtr'!H34,'3rd Qtr'!H34,'4th Qtr'!H34)</f>
        <v>362873</v>
      </c>
      <c r="I34" s="14">
        <f>SUM('1st Qtr'!I34, '2nd Qtr'!I34, '3rd Qtr'!I34, '4th Qtr'!I34)</f>
        <v>-164702.8046875</v>
      </c>
      <c r="J34" s="13">
        <f t="shared" si="2"/>
        <v>-0.45388553209387306</v>
      </c>
    </row>
    <row r="35" spans="1:10" ht="15.6">
      <c r="A35" s="22" t="str">
        <v>OH: Cleveland - CV Wooster</v>
      </c>
      <c r="B35" s="23" t="str">
        <v>OH</v>
      </c>
      <c r="C35" s="23" t="str">
        <f>Sites[[#This Row],[SOL'#]]</f>
        <v>SOL-10763</v>
      </c>
      <c r="D35" s="18">
        <f>SUM('1st Qtr'!D35,'2nd Qtr'!D35,'3rd Qtr'!D35,'4th Qtr'!D35)</f>
        <v>62873</v>
      </c>
      <c r="E35" s="8">
        <f>SUM('1st Qtr'!E35, '2nd Qtr'!E35, '3rd Qtr'!E35, '4th Qtr'!E35)</f>
        <v>0</v>
      </c>
      <c r="F35" s="8">
        <f t="shared" si="0"/>
        <v>62873</v>
      </c>
      <c r="G35" s="9" t="str">
        <f t="shared" si="1"/>
        <v/>
      </c>
      <c r="H35" s="10">
        <f>SUM('1st Qtr'!H35,'2nd Qtr'!H35,'3rd Qtr'!H35,'4th Qtr'!H35)</f>
        <v>82314.559999999998</v>
      </c>
      <c r="I35" s="10">
        <f>SUM('1st Qtr'!I35, '2nd Qtr'!I35, '3rd Qtr'!I35, '4th Qtr'!I35)</f>
        <v>-19441.560000000001</v>
      </c>
      <c r="J35" s="11">
        <f t="shared" si="2"/>
        <v>-0.2361861619621122</v>
      </c>
    </row>
    <row r="36" spans="1:10" ht="15.6">
      <c r="A36" s="24" t="str">
        <v>PR: Aguadilla - Coca Cola</v>
      </c>
      <c r="B36" s="25" t="str">
        <v>PR</v>
      </c>
      <c r="C36" s="25" t="str">
        <f>Sites[[#This Row],[SOL'#]]</f>
        <v>SOL-10072</v>
      </c>
      <c r="D36" s="7">
        <f>SUM('1st Qtr'!D36,'2nd Qtr'!D36,'3rd Qtr'!D36,'4th Qtr'!D36)</f>
        <v>39747</v>
      </c>
      <c r="E36" s="12">
        <f>SUM('1st Qtr'!E36, '2nd Qtr'!E36, '3rd Qtr'!E36, '4th Qtr'!E36)</f>
        <v>52433.287999999993</v>
      </c>
      <c r="F36" s="12">
        <f t="shared" si="0"/>
        <v>-12686.287999999993</v>
      </c>
      <c r="G36" s="13">
        <f t="shared" si="1"/>
        <v>-0.24195102927743145</v>
      </c>
      <c r="H36" s="14">
        <f>SUM('1st Qtr'!H36,'2nd Qtr'!H36,'3rd Qtr'!H36,'4th Qtr'!H36)</f>
        <v>63433.98599999999</v>
      </c>
      <c r="I36" s="14">
        <f>SUM('1st Qtr'!I36, '2nd Qtr'!I36, '3rd Qtr'!I36, '4th Qtr'!I36)</f>
        <v>-23686.985999999997</v>
      </c>
      <c r="J36" s="13">
        <f t="shared" si="2"/>
        <v>-0.37341159674247809</v>
      </c>
    </row>
    <row r="37" spans="1:10" ht="15.6">
      <c r="A37" s="22" t="str">
        <v>PR: Bayamon - Coca Cola</v>
      </c>
      <c r="B37" s="23" t="str">
        <v>PR</v>
      </c>
      <c r="C37" s="23" t="str">
        <f>Sites[[#This Row],[SOL'#]]</f>
        <v>SOL-10073</v>
      </c>
      <c r="D37" s="18">
        <f>SUM('1st Qtr'!D37,'2nd Qtr'!D37,'3rd Qtr'!D37,'4th Qtr'!D37)</f>
        <v>139785</v>
      </c>
      <c r="E37" s="8">
        <f>SUM('1st Qtr'!E37, '2nd Qtr'!E37, '3rd Qtr'!E37, '4th Qtr'!E37)</f>
        <v>230557.80599999998</v>
      </c>
      <c r="F37" s="8">
        <f t="shared" si="0"/>
        <v>-90772.805999999982</v>
      </c>
      <c r="G37" s="9">
        <f t="shared" si="1"/>
        <v>-0.39370953243717105</v>
      </c>
      <c r="H37" s="10">
        <f>SUM('1st Qtr'!H37,'2nd Qtr'!H37,'3rd Qtr'!H37,'4th Qtr'!H37)</f>
        <v>239482.76400000002</v>
      </c>
      <c r="I37" s="10">
        <f>SUM('1st Qtr'!I37, '2nd Qtr'!I37, '3rd Qtr'!I37, '4th Qtr'!I37)</f>
        <v>-99697.763999999996</v>
      </c>
      <c r="J37" s="11">
        <f t="shared" si="2"/>
        <v>-0.41630454874823469</v>
      </c>
    </row>
    <row r="38" spans="1:10" ht="15.6">
      <c r="A38" s="24" t="str">
        <v>PR: Carolina - St. Francis</v>
      </c>
      <c r="B38" s="25" t="str">
        <v>PR</v>
      </c>
      <c r="C38" s="25" t="str">
        <f>Sites[[#This Row],[SOL'#]]</f>
        <v>SOL-10034</v>
      </c>
      <c r="D38" s="7">
        <f>SUM('1st Qtr'!D38,'2nd Qtr'!D38,'3rd Qtr'!D38,'4th Qtr'!D38)</f>
        <v>51529.5</v>
      </c>
      <c r="E38" s="12">
        <f>SUM('1st Qtr'!E38, '2nd Qtr'!E38, '3rd Qtr'!E38, '4th Qtr'!E38)</f>
        <v>158682.10499999998</v>
      </c>
      <c r="F38" s="12">
        <f t="shared" si="0"/>
        <v>-107152.60499999998</v>
      </c>
      <c r="G38" s="13">
        <f t="shared" si="1"/>
        <v>-0.67526584046764437</v>
      </c>
      <c r="H38" s="14">
        <f>SUM('1st Qtr'!H38,'2nd Qtr'!H38,'3rd Qtr'!H38,'4th Qtr'!H38)</f>
        <v>110532.02799999999</v>
      </c>
      <c r="I38" s="14">
        <f>SUM('1st Qtr'!I38, '2nd Qtr'!I38, '3rd Qtr'!I38, '4th Qtr'!I38)</f>
        <v>-59002.527999999998</v>
      </c>
      <c r="J38" s="13">
        <f t="shared" si="2"/>
        <v>-0.53380480814122044</v>
      </c>
    </row>
    <row r="39" spans="1:10" ht="15.6">
      <c r="A39" s="22" t="str">
        <v>DC: Chevy Chase -Sinai</v>
      </c>
      <c r="B39" s="23" t="str">
        <v>DC</v>
      </c>
      <c r="C39" s="23" t="str">
        <f>Sites[[#This Row],[SOL'#]]</f>
        <v>SOL-10028</v>
      </c>
      <c r="D39" s="18">
        <f>SUM('1st Qtr'!D39,'2nd Qtr'!D39,'3rd Qtr'!D39,'4th Qtr'!D39)</f>
        <v>26516.12000000005</v>
      </c>
      <c r="E39" s="8">
        <f>SUM('1st Qtr'!E39, '2nd Qtr'!E39, '3rd Qtr'!E39, '4th Qtr'!E39)</f>
        <v>39967.949999999997</v>
      </c>
      <c r="F39" s="8">
        <f t="shared" si="0"/>
        <v>-13451.829999999947</v>
      </c>
      <c r="G39" s="9">
        <f t="shared" si="1"/>
        <v>-0.3365654230452137</v>
      </c>
      <c r="H39" s="10">
        <f>SUM('1st Qtr'!H39,'2nd Qtr'!H39,'3rd Qtr'!H39,'4th Qtr'!H39)</f>
        <v>32059.843000000001</v>
      </c>
      <c r="I39" s="10">
        <f>SUM('1st Qtr'!I39, '2nd Qtr'!I39, '3rd Qtr'!I39, '4th Qtr'!I39)</f>
        <v>-5543.7229999999508</v>
      </c>
      <c r="J39" s="11">
        <f t="shared" si="2"/>
        <v>-0.17291797093329342</v>
      </c>
    </row>
    <row r="40" spans="1:10" ht="15.6">
      <c r="A40" s="24" t="str">
        <v>DC: Washington - Weinberg 1</v>
      </c>
      <c r="B40" s="25" t="str">
        <v>DC</v>
      </c>
      <c r="C40" s="25" t="str">
        <f>Sites[[#This Row],[SOL'#]]</f>
        <v>SOL-10039</v>
      </c>
      <c r="D40" s="7">
        <f>SUM('1st Qtr'!D40,'2nd Qtr'!D40,'3rd Qtr'!D40,'4th Qtr'!D40)</f>
        <v>4665</v>
      </c>
      <c r="E40" s="12">
        <f>SUM('1st Qtr'!E40, '2nd Qtr'!E40, '3rd Qtr'!E40, '4th Qtr'!E40)</f>
        <v>4724.6710000000003</v>
      </c>
      <c r="F40" s="12">
        <f t="shared" si="0"/>
        <v>-59.671000000000276</v>
      </c>
      <c r="G40" s="13">
        <f t="shared" si="1"/>
        <v>-1.2629662467503086E-2</v>
      </c>
      <c r="H40" s="14">
        <f>SUM('1st Qtr'!H40,'2nd Qtr'!H40,'3rd Qtr'!H40,'4th Qtr'!H40)</f>
        <v>4870.585</v>
      </c>
      <c r="I40" s="14">
        <f>SUM('1st Qtr'!I40, '2nd Qtr'!I40, '3rd Qtr'!I40, '4th Qtr'!I40)</f>
        <v>-205.58500000000004</v>
      </c>
      <c r="J40" s="13">
        <f t="shared" si="2"/>
        <v>-4.2209508714045649E-2</v>
      </c>
    </row>
    <row r="41" spans="1:10" ht="15.6">
      <c r="A41" s="22" t="str">
        <v>DC: Washington - Weinberg 2</v>
      </c>
      <c r="B41" s="23" t="str">
        <v>DC</v>
      </c>
      <c r="C41" s="23" t="str">
        <f>Sites[[#This Row],[SOL'#]]</f>
        <v>SOL-10045</v>
      </c>
      <c r="D41" s="18">
        <f>SUM('1st Qtr'!D41,'2nd Qtr'!D41,'3rd Qtr'!D41,'4th Qtr'!D41)</f>
        <v>4324</v>
      </c>
      <c r="E41" s="8">
        <f>SUM('1st Qtr'!E41, '2nd Qtr'!E41, '3rd Qtr'!E41, '4th Qtr'!E41)</f>
        <v>4227.74</v>
      </c>
      <c r="F41" s="8">
        <f t="shared" si="0"/>
        <v>96.260000000000218</v>
      </c>
      <c r="G41" s="9">
        <f t="shared" si="1"/>
        <v>2.2768666001220562E-2</v>
      </c>
      <c r="H41" s="10">
        <f>SUM('1st Qtr'!H41,'2nd Qtr'!H41,'3rd Qtr'!H41,'4th Qtr'!H41)</f>
        <v>4816.7880000000005</v>
      </c>
      <c r="I41" s="10">
        <f>SUM('1st Qtr'!I41, '2nd Qtr'!I41, '3rd Qtr'!I41, '4th Qtr'!I41)</f>
        <v>-492.78800000000001</v>
      </c>
      <c r="J41" s="11">
        <f t="shared" si="2"/>
        <v>-0.10230635020681832</v>
      </c>
    </row>
    <row r="42" spans="1:10" ht="15.6">
      <c r="A42" s="24" t="str">
        <v>DC: Washington - Weinberg 3</v>
      </c>
      <c r="B42" s="25" t="str">
        <v>DC</v>
      </c>
      <c r="C42" s="25" t="str">
        <f>Sites[[#This Row],[SOL'#]]</f>
        <v>SOL-10042</v>
      </c>
      <c r="D42" s="7">
        <f>SUM('1st Qtr'!D42,'2nd Qtr'!D42,'3rd Qtr'!D42,'4th Qtr'!D42)</f>
        <v>5209</v>
      </c>
      <c r="E42" s="12">
        <f>SUM('1st Qtr'!E42, '2nd Qtr'!E42, '3rd Qtr'!E42, '4th Qtr'!E42)</f>
        <v>4892.0479999999998</v>
      </c>
      <c r="F42" s="12">
        <f t="shared" si="0"/>
        <v>316.95200000000023</v>
      </c>
      <c r="G42" s="13">
        <f t="shared" si="1"/>
        <v>6.4789225289694677E-2</v>
      </c>
      <c r="H42" s="14">
        <f>SUM('1st Qtr'!H42,'2nd Qtr'!H42,'3rd Qtr'!H42,'4th Qtr'!H42)</f>
        <v>5216.49</v>
      </c>
      <c r="I42" s="14">
        <f>SUM('1st Qtr'!I42, '2nd Qtr'!I42, '3rd Qtr'!I42, '4th Qtr'!I42)</f>
        <v>-7.4900000000000091</v>
      </c>
      <c r="J42" s="13">
        <f t="shared" si="2"/>
        <v>-1.435831373203056E-3</v>
      </c>
    </row>
  </sheetData>
  <mergeCells count="4">
    <mergeCell ref="H1:J1"/>
    <mergeCell ref="A1:D1"/>
    <mergeCell ref="E1:G1"/>
    <mergeCell ref="A2:B2"/>
  </mergeCells>
  <conditionalFormatting sqref="G2 J2 G4:G42 J4:J42">
    <cfRule type="cellIs" dxfId="52" priority="47" stopIfTrue="1" operator="lessThanOrEqual">
      <formula>-0.1</formula>
    </cfRule>
    <cfRule type="expression" dxfId="51" priority="48">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42"/>
  <sheetViews>
    <sheetView zoomScale="90" zoomScaleNormal="90" workbookViewId="0">
      <pane xSplit="2" ySplit="3" topLeftCell="C4" activePane="bottomRight" state="frozen"/>
      <selection pane="bottomRight" activeCell="A43" sqref="A43:XFD158"/>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8" t="str" cm="1">
        <f t="array" ref="A1">portfolio</f>
        <v>GoodFinch</v>
      </c>
      <c r="B1" s="138"/>
      <c r="C1" s="138"/>
      <c r="D1" s="138"/>
      <c r="E1" s="139" t="s">
        <v>11</v>
      </c>
      <c r="F1" s="139"/>
      <c r="G1" s="139"/>
      <c r="H1" s="137" t="s">
        <v>12</v>
      </c>
      <c r="I1" s="137"/>
      <c r="J1" s="137"/>
    </row>
    <row r="2" spans="1:10" ht="19.5" customHeight="1">
      <c r="A2" s="140" t="s">
        <v>2</v>
      </c>
      <c r="B2" s="140"/>
      <c r="C2" s="51"/>
      <c r="D2" s="3">
        <f>SUM(D4:D44)</f>
        <v>0</v>
      </c>
      <c r="E2" s="3">
        <f>SUM(E4:E44)</f>
        <v>0</v>
      </c>
      <c r="F2" s="3">
        <f>D2-E2</f>
        <v>0</v>
      </c>
      <c r="G2" s="4">
        <f>IFERROR(F2/E2, 0)</f>
        <v>0</v>
      </c>
      <c r="H2" s="3">
        <f>SUM(H4:H80)</f>
        <v>0</v>
      </c>
      <c r="I2" s="5">
        <f>D2-H2</f>
        <v>0</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SUM(Jan!D4,Feb!D4,Mar!D4)</f>
        <v>0</v>
      </c>
      <c r="E4" s="8">
        <f>SUM(Jan!E4,Feb!E4,Mar!E4)</f>
        <v>0</v>
      </c>
      <c r="F4" s="8">
        <f>IF(AND(ISNUMBER(D4),ISNUMBER(E4)), D4-E4, "")</f>
        <v>0</v>
      </c>
      <c r="G4" s="9" t="str">
        <f>IFERROR(F4/E4, "")</f>
        <v/>
      </c>
      <c r="H4" s="10">
        <f>SUM(Jan!H4,Feb!H4,Mar!H4)</f>
        <v>0</v>
      </c>
      <c r="I4" s="10">
        <f>SUM(Jan!I4,Feb!I4,Mar!I4)</f>
        <v>0</v>
      </c>
      <c r="J4" s="11" t="str">
        <f>IFERROR(I4/H4, "")</f>
        <v/>
      </c>
    </row>
    <row r="5" spans="1:10" ht="15.6">
      <c r="A5" s="24" t="str">
        <v>AZ: Tempe - ASU - Fulton</v>
      </c>
      <c r="B5" s="25" t="str">
        <v>AZ</v>
      </c>
      <c r="C5" s="25" t="str">
        <f>Sites[[#This Row],[SOL'#]]</f>
        <v>SOL-10749</v>
      </c>
      <c r="D5" s="14">
        <f>SUM(Jan!D5,Feb!D5,Mar!D5)</f>
        <v>0</v>
      </c>
      <c r="E5" s="14">
        <f>SUM(Jan!E5,Feb!E5,Mar!E5)</f>
        <v>0</v>
      </c>
      <c r="F5" s="12">
        <f t="shared" ref="F5:F15" si="0">IF(AND(ISNUMBER(D5),ISNUMBER(E5)), D5-E5, "")</f>
        <v>0</v>
      </c>
      <c r="G5" s="13" t="str">
        <f>IFERROR(F5/E5, "")</f>
        <v/>
      </c>
      <c r="H5" s="14">
        <f>SUM(Jan!H5,Feb!H5,Mar!H5)</f>
        <v>0</v>
      </c>
      <c r="I5" s="14">
        <f>SUM(Jan!I5,Feb!I5,Mar!I5)</f>
        <v>0</v>
      </c>
      <c r="J5" s="13" t="str">
        <f>IFERROR(I5/H5, "")</f>
        <v/>
      </c>
    </row>
    <row r="6" spans="1:10" ht="15.6">
      <c r="A6" s="22" t="str">
        <v>AZ: Superior - JFK Elementary</v>
      </c>
      <c r="B6" s="23" t="str">
        <v>AZ</v>
      </c>
      <c r="C6" s="23" t="str">
        <f>Sites[[#This Row],[SOL'#]]</f>
        <v>SOL-10758</v>
      </c>
      <c r="D6" s="18">
        <f>SUM(Jan!D6,Feb!D6,Mar!D6)</f>
        <v>0</v>
      </c>
      <c r="E6" s="8">
        <f>SUM(Jan!E6,Feb!E6,Mar!E6)</f>
        <v>0</v>
      </c>
      <c r="F6" s="8">
        <f t="shared" si="0"/>
        <v>0</v>
      </c>
      <c r="G6" s="9" t="str">
        <f t="shared" ref="G6:G15" si="1">IFERROR(F6/E6, "")</f>
        <v/>
      </c>
      <c r="H6" s="10">
        <f>SUM(Jan!H6,Feb!H6,Mar!H6)</f>
        <v>0</v>
      </c>
      <c r="I6" s="10">
        <f>SUM(Jan!I6,Feb!I6,Mar!I6)</f>
        <v>0</v>
      </c>
      <c r="J6" s="11" t="str">
        <f t="shared" ref="J6:J15" si="2">IFERROR(I6/H6, "")</f>
        <v/>
      </c>
    </row>
    <row r="7" spans="1:10" ht="15.6">
      <c r="A7" s="24" t="str">
        <v>AZ: Tempe - ASU - Noble</v>
      </c>
      <c r="B7" s="25" t="str">
        <v>AZ</v>
      </c>
      <c r="C7" s="25" t="str">
        <f>Sites[[#This Row],[SOL'#]]</f>
        <v>SOL-10750</v>
      </c>
      <c r="D7" s="14">
        <f>SUM(Jan!D7,Feb!D7,Mar!D7)</f>
        <v>0</v>
      </c>
      <c r="E7" s="14">
        <f>SUM(Jan!E7,Feb!E7,Mar!E7)</f>
        <v>0</v>
      </c>
      <c r="F7" s="12">
        <f t="shared" si="0"/>
        <v>0</v>
      </c>
      <c r="G7" s="13" t="str">
        <f t="shared" si="1"/>
        <v/>
      </c>
      <c r="H7" s="14">
        <f>SUM(Jan!H7,Feb!H7,Mar!H7)</f>
        <v>0</v>
      </c>
      <c r="I7" s="14">
        <f>SUM(Jan!I7,Feb!I7,Mar!I7)</f>
        <v>0</v>
      </c>
      <c r="J7" s="13" t="str">
        <f t="shared" si="2"/>
        <v/>
      </c>
    </row>
    <row r="8" spans="1:10" ht="15.6">
      <c r="A8" s="22" t="str">
        <v>AZ: Tempe - ASU - Parking #3</v>
      </c>
      <c r="B8" s="23" t="str">
        <v>AZ</v>
      </c>
      <c r="C8" s="23" t="str">
        <f>Sites[[#This Row],[SOL'#]]</f>
        <v>SOL-10751</v>
      </c>
      <c r="D8" s="18">
        <f>SUM(Jan!D8,Feb!D8,Mar!D8)</f>
        <v>0</v>
      </c>
      <c r="E8" s="8">
        <f>SUM(Jan!E8,Feb!E8,Mar!E8)</f>
        <v>0</v>
      </c>
      <c r="F8" s="8">
        <f t="shared" si="0"/>
        <v>0</v>
      </c>
      <c r="G8" s="9" t="str">
        <f t="shared" si="1"/>
        <v/>
      </c>
      <c r="H8" s="10">
        <f>SUM(Jan!H8,Feb!H8,Mar!H8)</f>
        <v>0</v>
      </c>
      <c r="I8" s="10">
        <f>SUM(Jan!I8,Feb!I8,Mar!I8)</f>
        <v>0</v>
      </c>
      <c r="J8" s="11" t="str">
        <f t="shared" si="2"/>
        <v/>
      </c>
    </row>
    <row r="9" spans="1:10" ht="15.6">
      <c r="A9" s="24" t="str">
        <v>AZ: Tempe - ASU - PE East</v>
      </c>
      <c r="B9" s="25" t="str">
        <v>AZ</v>
      </c>
      <c r="C9" s="25" t="str">
        <f>Sites[[#This Row],[SOL'#]]</f>
        <v>SOL-10752</v>
      </c>
      <c r="D9" s="14">
        <f>SUM(Jan!D9,Feb!D9,Mar!D9)</f>
        <v>0</v>
      </c>
      <c r="E9" s="14">
        <f>SUM(Jan!E9,Feb!E9,Mar!E9)</f>
        <v>0</v>
      </c>
      <c r="F9" s="12">
        <f t="shared" si="0"/>
        <v>0</v>
      </c>
      <c r="G9" s="13" t="str">
        <f t="shared" si="1"/>
        <v/>
      </c>
      <c r="H9" s="14">
        <f>SUM(Jan!H9,Feb!H9,Mar!H9)</f>
        <v>0</v>
      </c>
      <c r="I9" s="14">
        <f>SUM(Jan!I9,Feb!I9,Mar!I9)</f>
        <v>0</v>
      </c>
      <c r="J9" s="13" t="str">
        <f t="shared" si="2"/>
        <v/>
      </c>
    </row>
    <row r="10" spans="1:10" ht="15.6">
      <c r="A10" s="22" t="str">
        <v>AZ: Tempe - ASU - Schwada</v>
      </c>
      <c r="B10" s="23" t="str">
        <v>AZ</v>
      </c>
      <c r="C10" s="23" t="str">
        <f>Sites[[#This Row],[SOL'#]]</f>
        <v>SOL-10753</v>
      </c>
      <c r="D10" s="18">
        <f>SUM(Jan!D10,Feb!D10,Mar!D10)</f>
        <v>0</v>
      </c>
      <c r="E10" s="8">
        <f>SUM(Jan!E10,Feb!E10,Mar!E10)</f>
        <v>0</v>
      </c>
      <c r="F10" s="8">
        <f t="shared" si="0"/>
        <v>0</v>
      </c>
      <c r="G10" s="9" t="str">
        <f t="shared" si="1"/>
        <v/>
      </c>
      <c r="H10" s="10">
        <f>SUM(Jan!H10,Feb!H10,Mar!H10)</f>
        <v>0</v>
      </c>
      <c r="I10" s="10">
        <f>SUM(Jan!I10,Feb!I10,Mar!I10)</f>
        <v>0</v>
      </c>
      <c r="J10" s="11" t="str">
        <f t="shared" si="2"/>
        <v/>
      </c>
    </row>
    <row r="11" spans="1:10" ht="15.6">
      <c r="A11" s="24" t="str">
        <v>AZ: Phoenix - Starshine Academy</v>
      </c>
      <c r="B11" s="25" t="str">
        <v>AZ</v>
      </c>
      <c r="C11" s="25" t="str">
        <f>Sites[[#This Row],[SOL'#]]</f>
        <v>SOL-10757</v>
      </c>
      <c r="D11" s="14">
        <f>SUM(Jan!D11,Feb!D11,Mar!D11)</f>
        <v>0</v>
      </c>
      <c r="E11" s="14">
        <f>SUM(Jan!E11,Feb!E11,Mar!E11)</f>
        <v>0</v>
      </c>
      <c r="F11" s="12">
        <f t="shared" si="0"/>
        <v>0</v>
      </c>
      <c r="G11" s="13" t="str">
        <f t="shared" si="1"/>
        <v/>
      </c>
      <c r="H11" s="14">
        <f>SUM(Jan!H11,Feb!H11,Mar!H11)</f>
        <v>0</v>
      </c>
      <c r="I11" s="14">
        <f>SUM(Jan!I11,Feb!I11,Mar!I11)</f>
        <v>0</v>
      </c>
      <c r="J11" s="13" t="str">
        <f t="shared" si="2"/>
        <v/>
      </c>
    </row>
    <row r="12" spans="1:10" ht="15.6">
      <c r="A12" s="22" t="str">
        <v>AZ: Yuma Airport</v>
      </c>
      <c r="B12" s="23" t="str">
        <v>AZ</v>
      </c>
      <c r="C12" s="23" t="str">
        <f>Sites[[#This Row],[SOL'#]]</f>
        <v>SOL-10754</v>
      </c>
      <c r="D12" s="18">
        <f>SUM(Jan!D12,Feb!D12,Mar!D12)</f>
        <v>0</v>
      </c>
      <c r="E12" s="8">
        <f>SUM(Jan!E12,Feb!E12,Mar!E12)</f>
        <v>0</v>
      </c>
      <c r="F12" s="8">
        <f t="shared" si="0"/>
        <v>0</v>
      </c>
      <c r="G12" s="9" t="str">
        <f t="shared" si="1"/>
        <v/>
      </c>
      <c r="H12" s="10">
        <f>SUM(Jan!H12,Feb!H12,Mar!H12)</f>
        <v>0</v>
      </c>
      <c r="I12" s="10">
        <f>SUM(Jan!I12,Feb!I12,Mar!I12)</f>
        <v>0</v>
      </c>
      <c r="J12" s="11" t="str">
        <f t="shared" si="2"/>
        <v/>
      </c>
    </row>
    <row r="13" spans="1:10" ht="15.6">
      <c r="A13" s="24" t="str">
        <v>AZ: Globe - Gila CC</v>
      </c>
      <c r="B13" s="25" t="str">
        <v>AZ</v>
      </c>
      <c r="C13" s="25" t="str">
        <f>Sites[[#This Row],[SOL'#]]</f>
        <v>SOL-10751</v>
      </c>
      <c r="D13" s="14">
        <f>SUM(Jan!D13,Feb!D13,Mar!D13)</f>
        <v>0</v>
      </c>
      <c r="E13" s="14">
        <f>SUM(Jan!E13,Feb!E13,Mar!E13)</f>
        <v>0</v>
      </c>
      <c r="F13" s="12">
        <f t="shared" si="0"/>
        <v>0</v>
      </c>
      <c r="G13" s="13" t="str">
        <f t="shared" si="1"/>
        <v/>
      </c>
      <c r="H13" s="14">
        <f>SUM(Jan!H13,Feb!H13,Mar!H13)</f>
        <v>0</v>
      </c>
      <c r="I13" s="14">
        <f>SUM(Jan!I13,Feb!I13,Mar!I13)</f>
        <v>0</v>
      </c>
      <c r="J13" s="13" t="str">
        <f t="shared" si="2"/>
        <v/>
      </c>
    </row>
    <row r="14" spans="1:10" ht="15.6">
      <c r="A14" s="22" t="str">
        <v>AZ: Payson - Gila CC</v>
      </c>
      <c r="B14" s="23" t="str">
        <v>AZ</v>
      </c>
      <c r="C14" s="23" t="str">
        <f>Sites[[#This Row],[SOL'#]]</f>
        <v>SOL-10748</v>
      </c>
      <c r="D14" s="18">
        <f>SUM(Jan!D14,Feb!D14,Mar!D14)</f>
        <v>0</v>
      </c>
      <c r="E14" s="8">
        <f>SUM(Jan!E14,Feb!E14,Mar!E14)</f>
        <v>0</v>
      </c>
      <c r="F14" s="8">
        <f t="shared" si="0"/>
        <v>0</v>
      </c>
      <c r="G14" s="9" t="str">
        <f t="shared" si="1"/>
        <v/>
      </c>
      <c r="H14" s="10">
        <f>SUM(Jan!H14,Feb!H14,Mar!H14)</f>
        <v>0</v>
      </c>
      <c r="I14" s="10">
        <f>SUM(Jan!I14,Feb!I14,Mar!I14)</f>
        <v>0</v>
      </c>
      <c r="J14" s="11" t="str">
        <f t="shared" si="2"/>
        <v/>
      </c>
    </row>
    <row r="15" spans="1:10" ht="15.6">
      <c r="A15" s="24" t="str">
        <v>AZ: Mesa - Sequoia Charter School</v>
      </c>
      <c r="B15" s="25" t="str">
        <v>AZ</v>
      </c>
      <c r="C15" s="25" t="str">
        <f>Sites[[#This Row],[SOL'#]]</f>
        <v>SOL-10759</v>
      </c>
      <c r="D15" s="14">
        <f>SUM(Jan!D15,Feb!D15,Mar!D15)</f>
        <v>0</v>
      </c>
      <c r="E15" s="14">
        <f>SUM(Jan!E15,Feb!E15,Mar!E15)</f>
        <v>0</v>
      </c>
      <c r="F15" s="12">
        <f t="shared" si="0"/>
        <v>0</v>
      </c>
      <c r="G15" s="13" t="str">
        <f t="shared" si="1"/>
        <v/>
      </c>
      <c r="H15" s="14">
        <f>SUM(Jan!H15,Feb!H15,Mar!H15)</f>
        <v>0</v>
      </c>
      <c r="I15" s="14">
        <f>SUM(Jan!I15,Feb!I15,Mar!I15)</f>
        <v>0</v>
      </c>
      <c r="J15" s="13" t="str">
        <f t="shared" si="2"/>
        <v/>
      </c>
    </row>
    <row r="16" spans="1:10" ht="15.6">
      <c r="A16" s="22" t="str">
        <v>AZ: Tempe - SCNM</v>
      </c>
      <c r="B16" s="23" t="str">
        <v>AZ</v>
      </c>
      <c r="C16" s="23" t="str">
        <f>Sites[[#This Row],[SOL'#]]</f>
        <v>SOL-10760</v>
      </c>
      <c r="D16" s="18">
        <f>SUM(Jan!D16,Feb!D16,Mar!D16)</f>
        <v>0</v>
      </c>
      <c r="E16" s="8">
        <f>SUM(Jan!E16,Feb!E16,Mar!E16)</f>
        <v>0</v>
      </c>
      <c r="F16" s="8">
        <f t="shared" ref="F16:F17" si="3">IF(AND(ISNUMBER(D16),ISNUMBER(E16)), D16-E16, "")</f>
        <v>0</v>
      </c>
      <c r="G16" s="9" t="str">
        <f t="shared" ref="G16:G17" si="4">IFERROR(F16/E16, "")</f>
        <v/>
      </c>
      <c r="H16" s="10">
        <f>SUM(Jan!H16,Feb!H16,Mar!H16)</f>
        <v>0</v>
      </c>
      <c r="I16" s="10">
        <f>SUM(Jan!I16,Feb!I16,Mar!I16)</f>
        <v>0</v>
      </c>
      <c r="J16" s="11" t="str">
        <f t="shared" ref="J16:J17" si="5">IFERROR(I16/H16, "")</f>
        <v/>
      </c>
    </row>
    <row r="17" spans="1:10" ht="15.6">
      <c r="A17" s="24" t="str">
        <v>DE: Newark - Clayton Hall</v>
      </c>
      <c r="B17" s="25" t="str">
        <v>DE</v>
      </c>
      <c r="C17" s="25" t="str">
        <f>Sites[[#This Row],[SOL'#]]</f>
        <v>SOL-10820</v>
      </c>
      <c r="D17" s="14">
        <f>SUM(Jan!D17,Feb!D17,Mar!D17)</f>
        <v>0</v>
      </c>
      <c r="E17" s="14">
        <f>SUM(Jan!E17,Feb!E17,Mar!E17)</f>
        <v>0</v>
      </c>
      <c r="F17" s="12">
        <f t="shared" si="3"/>
        <v>0</v>
      </c>
      <c r="G17" s="13" t="str">
        <f t="shared" si="4"/>
        <v/>
      </c>
      <c r="H17" s="14">
        <f>SUM(Jan!H17,Feb!H17,Mar!H17)</f>
        <v>0</v>
      </c>
      <c r="I17" s="14">
        <f>SUM(Jan!I17,Feb!I17,Mar!I17)</f>
        <v>0</v>
      </c>
      <c r="J17" s="13" t="str">
        <f t="shared" si="5"/>
        <v/>
      </c>
    </row>
    <row r="18" spans="1:10" ht="12.75" customHeight="1">
      <c r="A18" s="22" t="str">
        <v>DE: Newark - UOD Field House</v>
      </c>
      <c r="B18" s="23" t="str">
        <v>DE</v>
      </c>
      <c r="C18" s="23" t="str">
        <f>Sites[[#This Row],[SOL'#]]</f>
        <v>SOL-10821</v>
      </c>
      <c r="D18" s="18">
        <f>SUM(Jan!D18,Feb!D18,Mar!D18)</f>
        <v>0</v>
      </c>
      <c r="E18" s="8">
        <f>SUM(Jan!E18,Feb!E18,Mar!E18)</f>
        <v>0</v>
      </c>
      <c r="F18" s="8">
        <f t="shared" ref="F18:F42" si="6">IF(AND(ISNUMBER(D18),ISNUMBER(E18)), D18-E18, "")</f>
        <v>0</v>
      </c>
      <c r="G18" s="9" t="str">
        <f t="shared" ref="G18:G42" si="7">IFERROR(F18/E18, "")</f>
        <v/>
      </c>
      <c r="H18" s="10">
        <f>SUM(Jan!H18,Feb!H18,Mar!H18)</f>
        <v>0</v>
      </c>
      <c r="I18" s="10">
        <f>SUM(Jan!I18,Feb!I18,Mar!I18)</f>
        <v>0</v>
      </c>
      <c r="J18" s="11" t="str">
        <f t="shared" ref="J18:J42" si="8">IFERROR(I18/H18, "")</f>
        <v/>
      </c>
    </row>
    <row r="19" spans="1:10" ht="15.6">
      <c r="A19" s="24" t="str">
        <v>DE: Newark - UOD 461 Wyoming</v>
      </c>
      <c r="B19" s="25" t="str">
        <v>DE</v>
      </c>
      <c r="C19" s="25" t="str">
        <f>Sites[[#This Row],[SOL'#]]</f>
        <v>SOL-10819</v>
      </c>
      <c r="D19" s="14">
        <f>SUM(Jan!D19,Feb!D19,Mar!D19)</f>
        <v>0</v>
      </c>
      <c r="E19" s="14">
        <f>SUM(Jan!E19,Feb!E19,Mar!E19)</f>
        <v>0</v>
      </c>
      <c r="F19" s="12">
        <f t="shared" si="6"/>
        <v>0</v>
      </c>
      <c r="G19" s="13" t="str">
        <f t="shared" si="7"/>
        <v/>
      </c>
      <c r="H19" s="14">
        <f>SUM(Jan!H19,Feb!H19,Mar!H19)</f>
        <v>0</v>
      </c>
      <c r="I19" s="14">
        <f>SUM(Jan!I19,Feb!I19,Mar!I19)</f>
        <v>0</v>
      </c>
      <c r="J19" s="13" t="str">
        <f t="shared" si="8"/>
        <v/>
      </c>
    </row>
    <row r="20" spans="1:10" ht="15.6">
      <c r="A20" s="22" t="str">
        <v>MD: Presston - Bird-in-Hand</v>
      </c>
      <c r="B20" s="23" t="str">
        <v>MD</v>
      </c>
      <c r="C20" s="23" t="str">
        <f>Sites[[#This Row],[SOL'#]]</f>
        <v>SOL-10092</v>
      </c>
      <c r="D20" s="18">
        <f>SUM(Jan!D20,Feb!D20,Mar!D20)</f>
        <v>0</v>
      </c>
      <c r="E20" s="8">
        <f>SUM(Jan!E20,Feb!E20,Mar!E20)</f>
        <v>0</v>
      </c>
      <c r="F20" s="8">
        <f t="shared" si="6"/>
        <v>0</v>
      </c>
      <c r="G20" s="9" t="str">
        <f t="shared" si="7"/>
        <v/>
      </c>
      <c r="H20" s="10">
        <f>SUM(Jan!H20,Feb!H20,Mar!H20)</f>
        <v>0</v>
      </c>
      <c r="I20" s="10">
        <f>SUM(Jan!I20,Feb!I20,Mar!I20)</f>
        <v>0</v>
      </c>
      <c r="J20" s="11" t="str">
        <f t="shared" si="8"/>
        <v/>
      </c>
    </row>
    <row r="21" spans="1:10" ht="15.6">
      <c r="A21" s="24" t="str">
        <v>MD: Easton - Shortall</v>
      </c>
      <c r="B21" s="25" t="str">
        <v>MD</v>
      </c>
      <c r="C21" s="25" t="str">
        <f>Sites[[#This Row],[SOL'#]]</f>
        <v>SOL-10091</v>
      </c>
      <c r="D21" s="14">
        <f>SUM(Jan!D21,Feb!D21,Mar!D21)</f>
        <v>0</v>
      </c>
      <c r="E21" s="14">
        <f>SUM(Jan!E21,Feb!E21,Mar!E21)</f>
        <v>0</v>
      </c>
      <c r="F21" s="12">
        <f t="shared" si="6"/>
        <v>0</v>
      </c>
      <c r="G21" s="13" t="str">
        <f t="shared" si="7"/>
        <v/>
      </c>
      <c r="H21" s="14">
        <f>SUM(Jan!H21,Feb!H21,Mar!H21)</f>
        <v>0</v>
      </c>
      <c r="I21" s="14">
        <f>SUM(Jan!I21,Feb!I21,Mar!I21)</f>
        <v>0</v>
      </c>
      <c r="J21" s="13" t="str">
        <f t="shared" si="8"/>
        <v/>
      </c>
    </row>
    <row r="22" spans="1:10" ht="15.6">
      <c r="A22" s="22" t="str">
        <v>MA: Boston - Seaport Solar</v>
      </c>
      <c r="B22" s="23" t="str">
        <v>MA</v>
      </c>
      <c r="C22" s="23" t="str">
        <f>Sites[[#This Row],[SOL'#]]</f>
        <v>SOL-10772</v>
      </c>
      <c r="D22" s="18">
        <f>SUM(Jan!D22,Feb!D22,Mar!D22)</f>
        <v>0</v>
      </c>
      <c r="E22" s="8">
        <f>SUM(Jan!E22,Feb!E22,Mar!E22)</f>
        <v>0</v>
      </c>
      <c r="F22" s="8">
        <f t="shared" si="6"/>
        <v>0</v>
      </c>
      <c r="G22" s="9" t="str">
        <f t="shared" si="7"/>
        <v/>
      </c>
      <c r="H22" s="10">
        <f>SUM(Jan!H22,Feb!H22,Mar!H22)</f>
        <v>0</v>
      </c>
      <c r="I22" s="10">
        <f>SUM(Jan!I22,Feb!I22,Mar!I22)</f>
        <v>0</v>
      </c>
      <c r="J22" s="11" t="str">
        <f t="shared" si="8"/>
        <v/>
      </c>
    </row>
    <row r="23" spans="1:10" ht="15.6">
      <c r="A23" s="24" t="str">
        <v>MA: Dedham - Sprague Street</v>
      </c>
      <c r="B23" s="25" t="str">
        <v>MA</v>
      </c>
      <c r="C23" s="25" t="str">
        <f>Sites[[#This Row],[SOL'#]]</f>
        <v>SOL-10773</v>
      </c>
      <c r="D23" s="14">
        <f>SUM(Jan!D23,Feb!D23,Mar!D23)</f>
        <v>0</v>
      </c>
      <c r="E23" s="14">
        <f>SUM(Jan!E23,Feb!E23,Mar!E23)</f>
        <v>0</v>
      </c>
      <c r="F23" s="12">
        <f t="shared" si="6"/>
        <v>0</v>
      </c>
      <c r="G23" s="13" t="str">
        <f t="shared" si="7"/>
        <v/>
      </c>
      <c r="H23" s="14">
        <f>SUM(Jan!H23,Feb!H23,Mar!H23)</f>
        <v>0</v>
      </c>
      <c r="I23" s="14">
        <f>SUM(Jan!I23,Feb!I23,Mar!I23)</f>
        <v>0</v>
      </c>
      <c r="J23" s="13" t="str">
        <f t="shared" si="8"/>
        <v/>
      </c>
    </row>
    <row r="24" spans="1:10" ht="15.6">
      <c r="A24" s="22" t="str">
        <v>MA: Boston - Summer Street</v>
      </c>
      <c r="B24" s="23" t="str">
        <v>MA</v>
      </c>
      <c r="C24" s="23" t="str">
        <f>Sites[[#This Row],[SOL'#]]</f>
        <v>SOL-10764</v>
      </c>
      <c r="D24" s="18">
        <f>SUM(Jan!D24,Feb!D24,Mar!D24)</f>
        <v>0</v>
      </c>
      <c r="E24" s="8">
        <f>SUM(Jan!E24,Feb!E24,Mar!E24)</f>
        <v>0</v>
      </c>
      <c r="F24" s="8">
        <f t="shared" si="6"/>
        <v>0</v>
      </c>
      <c r="G24" s="9" t="str">
        <f t="shared" si="7"/>
        <v/>
      </c>
      <c r="H24" s="10">
        <f>SUM(Jan!H24,Feb!H24,Mar!H24)</f>
        <v>0</v>
      </c>
      <c r="I24" s="10">
        <f>SUM(Jan!I24,Feb!I24,Mar!I24)</f>
        <v>0</v>
      </c>
      <c r="J24" s="11" t="str">
        <f t="shared" si="8"/>
        <v/>
      </c>
    </row>
    <row r="25" spans="1:10" ht="15.6">
      <c r="A25" s="24" t="str">
        <v>MA: Leominster - Spectro Coatings</v>
      </c>
      <c r="B25" s="25" t="str">
        <v>MA</v>
      </c>
      <c r="C25" s="25" t="str">
        <f>Sites[[#This Row],[SOL'#]]</f>
        <v>SOL-10074</v>
      </c>
      <c r="D25" s="14">
        <f>SUM(Jan!D25,Feb!D25,Mar!D25)</f>
        <v>0</v>
      </c>
      <c r="E25" s="14">
        <f>SUM(Jan!E25,Feb!E25,Mar!E25)</f>
        <v>0</v>
      </c>
      <c r="F25" s="12">
        <f t="shared" si="6"/>
        <v>0</v>
      </c>
      <c r="G25" s="13" t="str">
        <f t="shared" si="7"/>
        <v/>
      </c>
      <c r="H25" s="14">
        <f>SUM(Jan!H25,Feb!H25,Mar!H25)</f>
        <v>0</v>
      </c>
      <c r="I25" s="14">
        <f>SUM(Jan!I25,Feb!I25,Mar!I25)</f>
        <v>0</v>
      </c>
      <c r="J25" s="13" t="str">
        <f t="shared" si="8"/>
        <v/>
      </c>
    </row>
    <row r="26" spans="1:10" ht="15.6">
      <c r="A26" s="22" t="str">
        <v>MA: Braintree - RCAB</v>
      </c>
      <c r="B26" s="23" t="str">
        <v>MA</v>
      </c>
      <c r="C26" s="23" t="str">
        <f>Sites[[#This Row],[SOL'#]]</f>
        <v>SOL-10838</v>
      </c>
      <c r="D26" s="18">
        <f>SUM(Jan!D26,Feb!D26,Mar!D26)</f>
        <v>0</v>
      </c>
      <c r="E26" s="8">
        <f>SUM(Jan!E26,Feb!E26,Mar!E26)</f>
        <v>0</v>
      </c>
      <c r="F26" s="8">
        <f t="shared" si="6"/>
        <v>0</v>
      </c>
      <c r="G26" s="9" t="str">
        <f t="shared" si="7"/>
        <v/>
      </c>
      <c r="H26" s="10">
        <f>SUM(Jan!H26,Feb!H26,Mar!H26)</f>
        <v>0</v>
      </c>
      <c r="I26" s="10">
        <f>SUM(Jan!I26,Feb!I26,Mar!I26)</f>
        <v>0</v>
      </c>
      <c r="J26" s="11" t="str">
        <f t="shared" si="8"/>
        <v/>
      </c>
    </row>
    <row r="27" spans="1:10" ht="15.6">
      <c r="A27" s="24" t="str">
        <v>NH: Rochester - Portland Street</v>
      </c>
      <c r="B27" s="25" t="str">
        <v>NH</v>
      </c>
      <c r="C27" s="25" t="str">
        <f>Sites[[#This Row],[SOL'#]]</f>
        <v>SOL-10771</v>
      </c>
      <c r="D27" s="14">
        <f>SUM(Jan!D27,Feb!D27,Mar!D27)</f>
        <v>0</v>
      </c>
      <c r="E27" s="14">
        <f>SUM(Jan!E27,Feb!E27,Mar!E27)</f>
        <v>0</v>
      </c>
      <c r="F27" s="12">
        <f t="shared" si="6"/>
        <v>0</v>
      </c>
      <c r="G27" s="13" t="str">
        <f t="shared" si="7"/>
        <v/>
      </c>
      <c r="H27" s="14">
        <f>SUM(Jan!H27,Feb!H27,Mar!H27)</f>
        <v>0</v>
      </c>
      <c r="I27" s="14">
        <f>SUM(Jan!I27,Feb!I27,Mar!I27)</f>
        <v>0</v>
      </c>
      <c r="J27" s="13" t="str">
        <f t="shared" si="8"/>
        <v/>
      </c>
    </row>
    <row r="28" spans="1:10" ht="15.6">
      <c r="A28" s="22" t="str">
        <v>NH: Portsmouth - Portsmouth HS</v>
      </c>
      <c r="B28" s="23" t="str">
        <v>NH</v>
      </c>
      <c r="C28" s="23" t="str">
        <f>Sites[[#This Row],[SOL'#]]</f>
        <v>SOL-10769</v>
      </c>
      <c r="D28" s="18">
        <f>SUM(Jan!D28,Feb!D28,Mar!D28)</f>
        <v>0</v>
      </c>
      <c r="E28" s="8">
        <f>SUM(Jan!E28,Feb!E28,Mar!E28)</f>
        <v>0</v>
      </c>
      <c r="F28" s="8">
        <f t="shared" si="6"/>
        <v>0</v>
      </c>
      <c r="G28" s="9" t="str">
        <f t="shared" si="7"/>
        <v/>
      </c>
      <c r="H28" s="10">
        <f>SUM(Jan!H28,Feb!H28,Mar!H28)</f>
        <v>0</v>
      </c>
      <c r="I28" s="10">
        <f>SUM(Jan!I28,Feb!I28,Mar!I28)</f>
        <v>0</v>
      </c>
      <c r="J28" s="11" t="str">
        <f t="shared" si="8"/>
        <v/>
      </c>
    </row>
    <row r="29" spans="1:10" ht="15.6">
      <c r="A29" s="24" t="str">
        <v>NH: Portsmouth - Portsmouth WTP</v>
      </c>
      <c r="B29" s="25" t="str">
        <v>NH</v>
      </c>
      <c r="C29" s="25" t="str">
        <f>Sites[[#This Row],[SOL'#]]</f>
        <v>SOL-10770</v>
      </c>
      <c r="D29" s="14">
        <f>SUM(Jan!D29,Feb!D29,Mar!D29)</f>
        <v>0</v>
      </c>
      <c r="E29" s="14">
        <f>SUM(Jan!E29,Feb!E29,Mar!E29)</f>
        <v>0</v>
      </c>
      <c r="F29" s="12">
        <f t="shared" si="6"/>
        <v>0</v>
      </c>
      <c r="G29" s="13" t="str">
        <f t="shared" si="7"/>
        <v/>
      </c>
      <c r="H29" s="14">
        <f>SUM(Jan!H29,Feb!H29,Mar!H29)</f>
        <v>0</v>
      </c>
      <c r="I29" s="14">
        <f>SUM(Jan!I29,Feb!I29,Mar!I29)</f>
        <v>0</v>
      </c>
      <c r="J29" s="13" t="str">
        <f t="shared" si="8"/>
        <v/>
      </c>
    </row>
    <row r="30" spans="1:10" ht="15.6">
      <c r="A30" s="22" t="str">
        <v>NH: Rochester - Rochester MS</v>
      </c>
      <c r="B30" s="23" t="str">
        <v>NH</v>
      </c>
      <c r="C30" s="23" t="str">
        <f>Sites[[#This Row],[SOL'#]]</f>
        <v>SOL-10765</v>
      </c>
      <c r="D30" s="18">
        <f>SUM(Jan!D30,Feb!D30,Mar!D30)</f>
        <v>0</v>
      </c>
      <c r="E30" s="8">
        <f>SUM(Jan!E30,Feb!E30,Mar!E30)</f>
        <v>0</v>
      </c>
      <c r="F30" s="8">
        <f t="shared" si="6"/>
        <v>0</v>
      </c>
      <c r="G30" s="9" t="str">
        <f t="shared" si="7"/>
        <v/>
      </c>
      <c r="H30" s="10">
        <f>SUM(Jan!H30,Feb!H30,Mar!H30)</f>
        <v>0</v>
      </c>
      <c r="I30" s="10">
        <f>SUM(Jan!I30,Feb!I30,Mar!I30)</f>
        <v>0</v>
      </c>
      <c r="J30" s="11" t="str">
        <f t="shared" si="8"/>
        <v/>
      </c>
    </row>
    <row r="31" spans="1:10" ht="15.6">
      <c r="A31" s="24" t="str">
        <v>NH Rochester - Spaulding HS</v>
      </c>
      <c r="B31" s="25" t="str">
        <v>NH</v>
      </c>
      <c r="C31" s="25" t="str">
        <f>Sites[[#This Row],[SOL'#]]</f>
        <v>SOL-10767</v>
      </c>
      <c r="D31" s="14">
        <f>SUM(Jan!D31,Feb!D31,Mar!D31)</f>
        <v>0</v>
      </c>
      <c r="E31" s="14">
        <f>SUM(Jan!E31,Feb!E31,Mar!E31)</f>
        <v>0</v>
      </c>
      <c r="F31" s="12">
        <f t="shared" si="6"/>
        <v>0</v>
      </c>
      <c r="G31" s="13" t="str">
        <f t="shared" si="7"/>
        <v/>
      </c>
      <c r="H31" s="14">
        <f>SUM(Jan!H31,Feb!H31,Mar!H31)</f>
        <v>0</v>
      </c>
      <c r="I31" s="14">
        <f>SUM(Jan!I31,Feb!I31,Mar!I31)</f>
        <v>0</v>
      </c>
      <c r="J31" s="13" t="str">
        <f t="shared" si="8"/>
        <v/>
      </c>
    </row>
    <row r="32" spans="1:10" ht="15.6">
      <c r="A32" s="22" t="str">
        <v>NH: Rochester - McClelland ES</v>
      </c>
      <c r="B32" s="23" t="str">
        <v>NH</v>
      </c>
      <c r="C32" s="23" t="str">
        <f>Sites[[#This Row],[SOL'#]]</f>
        <v>SOL-10766</v>
      </c>
      <c r="D32" s="18">
        <f>SUM(Jan!D32,Feb!D32,Mar!D32)</f>
        <v>0</v>
      </c>
      <c r="E32" s="8">
        <f>SUM(Jan!E32,Feb!E32,Mar!E32)</f>
        <v>0</v>
      </c>
      <c r="F32" s="8">
        <f t="shared" si="6"/>
        <v>0</v>
      </c>
      <c r="G32" s="9" t="str">
        <f t="shared" si="7"/>
        <v/>
      </c>
      <c r="H32" s="10">
        <f>SUM(Jan!H32,Feb!H32,Mar!H32)</f>
        <v>0</v>
      </c>
      <c r="I32" s="10">
        <f>SUM(Jan!I32,Feb!I32,Mar!I32)</f>
        <v>0</v>
      </c>
      <c r="J32" s="11" t="str">
        <f t="shared" si="8"/>
        <v/>
      </c>
    </row>
    <row r="33" spans="1:10" ht="15.6">
      <c r="A33" s="24" t="str">
        <v>NH: Rochester - Brock St Vocational</v>
      </c>
      <c r="B33" s="25" t="str">
        <v>NH</v>
      </c>
      <c r="C33" s="25" t="str">
        <f>Sites[[#This Row],[SOL'#]]</f>
        <v>SOL-10768</v>
      </c>
      <c r="D33" s="14">
        <f>SUM(Jan!D33,Feb!D33,Mar!D33)</f>
        <v>0</v>
      </c>
      <c r="E33" s="14">
        <f>SUM(Jan!E33,Feb!E33,Mar!E33)</f>
        <v>0</v>
      </c>
      <c r="F33" s="12">
        <f t="shared" si="6"/>
        <v>0</v>
      </c>
      <c r="G33" s="13" t="str">
        <f t="shared" si="7"/>
        <v/>
      </c>
      <c r="H33" s="14">
        <f>SUM(Jan!H33,Feb!H33,Mar!H33)</f>
        <v>0</v>
      </c>
      <c r="I33" s="14">
        <f>SUM(Jan!I33,Feb!I33,Mar!I33)</f>
        <v>0</v>
      </c>
      <c r="J33" s="13" t="str">
        <f t="shared" si="8"/>
        <v/>
      </c>
    </row>
    <row r="34" spans="1:10" ht="15.6">
      <c r="A34" s="22" t="str">
        <v>OH: Cleveland - CV Kinsman</v>
      </c>
      <c r="B34" s="23" t="str">
        <v>OH</v>
      </c>
      <c r="C34" s="23" t="str">
        <f>Sites[[#This Row],[SOL'#]]</f>
        <v>SOL-10762</v>
      </c>
      <c r="D34" s="18">
        <f>SUM(Jan!D34,Feb!D34,Mar!D34)</f>
        <v>0</v>
      </c>
      <c r="E34" s="8">
        <f>SUM(Jan!E34,Feb!E34,Mar!E34)</f>
        <v>0</v>
      </c>
      <c r="F34" s="8">
        <f t="shared" si="6"/>
        <v>0</v>
      </c>
      <c r="G34" s="9" t="str">
        <f t="shared" si="7"/>
        <v/>
      </c>
      <c r="H34" s="10">
        <f>SUM(Jan!H34,Feb!H34,Mar!H34)</f>
        <v>0</v>
      </c>
      <c r="I34" s="10">
        <f>SUM(Jan!I34,Feb!I34,Mar!I34)</f>
        <v>0</v>
      </c>
      <c r="J34" s="11" t="str">
        <f t="shared" si="8"/>
        <v/>
      </c>
    </row>
    <row r="35" spans="1:10" ht="15.6">
      <c r="A35" s="24" t="str">
        <v>OH: Cleveland - CV Wooster</v>
      </c>
      <c r="B35" s="25" t="str">
        <v>OH</v>
      </c>
      <c r="C35" s="25" t="str">
        <f>Sites[[#This Row],[SOL'#]]</f>
        <v>SOL-10763</v>
      </c>
      <c r="D35" s="14">
        <f>SUM(Jan!D35,Feb!D35,Mar!D35)</f>
        <v>0</v>
      </c>
      <c r="E35" s="14">
        <f>SUM(Jan!E35,Feb!E35,Mar!E35)</f>
        <v>0</v>
      </c>
      <c r="F35" s="12">
        <f t="shared" si="6"/>
        <v>0</v>
      </c>
      <c r="G35" s="13" t="str">
        <f t="shared" si="7"/>
        <v/>
      </c>
      <c r="H35" s="14">
        <f>SUM(Jan!H35,Feb!H35,Mar!H35)</f>
        <v>0</v>
      </c>
      <c r="I35" s="14">
        <f>SUM(Jan!I35,Feb!I35,Mar!I35)</f>
        <v>0</v>
      </c>
      <c r="J35" s="13" t="str">
        <f t="shared" si="8"/>
        <v/>
      </c>
    </row>
    <row r="36" spans="1:10" ht="15.6">
      <c r="A36" s="22" t="str">
        <v>PR: Aguadilla - Coca Cola</v>
      </c>
      <c r="B36" s="23" t="str">
        <v>PR</v>
      </c>
      <c r="C36" s="23" t="str">
        <f>Sites[[#This Row],[SOL'#]]</f>
        <v>SOL-10072</v>
      </c>
      <c r="D36" s="18">
        <f>SUM(Jan!D36,Feb!D36,Mar!D36)</f>
        <v>0</v>
      </c>
      <c r="E36" s="8">
        <f>SUM(Jan!E36,Feb!E36,Mar!E36)</f>
        <v>0</v>
      </c>
      <c r="F36" s="8">
        <f t="shared" si="6"/>
        <v>0</v>
      </c>
      <c r="G36" s="9" t="str">
        <f t="shared" si="7"/>
        <v/>
      </c>
      <c r="H36" s="10">
        <f>SUM(Jan!H36,Feb!H36,Mar!H36)</f>
        <v>0</v>
      </c>
      <c r="I36" s="10">
        <f>SUM(Jan!I36,Feb!I36,Mar!I36)</f>
        <v>0</v>
      </c>
      <c r="J36" s="11" t="str">
        <f t="shared" si="8"/>
        <v/>
      </c>
    </row>
    <row r="37" spans="1:10" ht="15.6">
      <c r="A37" s="24" t="str">
        <v>PR: Bayamon - Coca Cola</v>
      </c>
      <c r="B37" s="25" t="str">
        <v>PR</v>
      </c>
      <c r="C37" s="25" t="str">
        <f>Sites[[#This Row],[SOL'#]]</f>
        <v>SOL-10073</v>
      </c>
      <c r="D37" s="14">
        <f>SUM(Jan!D37,Feb!D37,Mar!D37)</f>
        <v>0</v>
      </c>
      <c r="E37" s="14">
        <f>SUM(Jan!E37,Feb!E37,Mar!E37)</f>
        <v>0</v>
      </c>
      <c r="F37" s="12">
        <f t="shared" si="6"/>
        <v>0</v>
      </c>
      <c r="G37" s="13" t="str">
        <f t="shared" si="7"/>
        <v/>
      </c>
      <c r="H37" s="14">
        <f>SUM(Jan!H37,Feb!H37,Mar!H37)</f>
        <v>0</v>
      </c>
      <c r="I37" s="14">
        <f>SUM(Jan!I37,Feb!I37,Mar!I37)</f>
        <v>0</v>
      </c>
      <c r="J37" s="13" t="str">
        <f t="shared" si="8"/>
        <v/>
      </c>
    </row>
    <row r="38" spans="1:10" ht="15.6">
      <c r="A38" s="22" t="str">
        <v>PR: Carolina - St. Francis</v>
      </c>
      <c r="B38" s="23" t="str">
        <v>PR</v>
      </c>
      <c r="C38" s="23" t="str">
        <f>Sites[[#This Row],[SOL'#]]</f>
        <v>SOL-10034</v>
      </c>
      <c r="D38" s="18">
        <f>SUM(Jan!D38,Feb!D38,Mar!D38)</f>
        <v>0</v>
      </c>
      <c r="E38" s="8">
        <f>SUM(Jan!E38,Feb!E38,Mar!E38)</f>
        <v>0</v>
      </c>
      <c r="F38" s="8">
        <f t="shared" si="6"/>
        <v>0</v>
      </c>
      <c r="G38" s="9" t="str">
        <f t="shared" si="7"/>
        <v/>
      </c>
      <c r="H38" s="10">
        <f>SUM(Jan!H38,Feb!H38,Mar!H38)</f>
        <v>0</v>
      </c>
      <c r="I38" s="10">
        <f>SUM(Jan!I38,Feb!I38,Mar!I38)</f>
        <v>0</v>
      </c>
      <c r="J38" s="11" t="str">
        <f t="shared" si="8"/>
        <v/>
      </c>
    </row>
    <row r="39" spans="1:10" ht="15.6">
      <c r="A39" s="24" t="str">
        <v>DC: Chevy Chase -Sinai</v>
      </c>
      <c r="B39" s="25" t="str">
        <v>DC</v>
      </c>
      <c r="C39" s="25" t="str">
        <f>Sites[[#This Row],[SOL'#]]</f>
        <v>SOL-10028</v>
      </c>
      <c r="D39" s="14">
        <f>SUM(Jan!D39,Feb!D39,Mar!D39)</f>
        <v>0</v>
      </c>
      <c r="E39" s="14">
        <f>SUM(Jan!E39,Feb!E39,Mar!E39)</f>
        <v>0</v>
      </c>
      <c r="F39" s="12">
        <f t="shared" si="6"/>
        <v>0</v>
      </c>
      <c r="G39" s="13" t="str">
        <f t="shared" si="7"/>
        <v/>
      </c>
      <c r="H39" s="14">
        <f>SUM(Jan!H39,Feb!H39,Mar!H39)</f>
        <v>0</v>
      </c>
      <c r="I39" s="14">
        <f>SUM(Jan!I39,Feb!I39,Mar!I39)</f>
        <v>0</v>
      </c>
      <c r="J39" s="13" t="str">
        <f t="shared" si="8"/>
        <v/>
      </c>
    </row>
    <row r="40" spans="1:10" ht="15.6">
      <c r="A40" s="22" t="str">
        <v>DC: Washington - Weinberg 1</v>
      </c>
      <c r="B40" s="23" t="str">
        <v>DC</v>
      </c>
      <c r="C40" s="23" t="str">
        <f>Sites[[#This Row],[SOL'#]]</f>
        <v>SOL-10039</v>
      </c>
      <c r="D40" s="18">
        <f>SUM(Jan!D40,Feb!D40,Mar!D40)</f>
        <v>0</v>
      </c>
      <c r="E40" s="8">
        <f>SUM(Jan!E40,Feb!E40,Mar!E40)</f>
        <v>0</v>
      </c>
      <c r="F40" s="8">
        <f t="shared" si="6"/>
        <v>0</v>
      </c>
      <c r="G40" s="9" t="str">
        <f t="shared" si="7"/>
        <v/>
      </c>
      <c r="H40" s="10">
        <f>SUM(Jan!H40,Feb!H40,Mar!H40)</f>
        <v>0</v>
      </c>
      <c r="I40" s="10">
        <f>SUM(Jan!I40,Feb!I40,Mar!I40)</f>
        <v>0</v>
      </c>
      <c r="J40" s="11" t="str">
        <f t="shared" si="8"/>
        <v/>
      </c>
    </row>
    <row r="41" spans="1:10" ht="15.6">
      <c r="A41" s="24" t="str">
        <v>DC: Washington - Weinberg 2</v>
      </c>
      <c r="B41" s="25" t="str">
        <v>DC</v>
      </c>
      <c r="C41" s="25" t="str">
        <f>Sites[[#This Row],[SOL'#]]</f>
        <v>SOL-10045</v>
      </c>
      <c r="D41" s="14">
        <f>SUM(Jan!D41,Feb!D41,Mar!D41)</f>
        <v>0</v>
      </c>
      <c r="E41" s="14">
        <f>SUM(Jan!E41,Feb!E41,Mar!E41)</f>
        <v>0</v>
      </c>
      <c r="F41" s="12">
        <f t="shared" si="6"/>
        <v>0</v>
      </c>
      <c r="G41" s="13" t="str">
        <f t="shared" si="7"/>
        <v/>
      </c>
      <c r="H41" s="14">
        <f>SUM(Jan!H41,Feb!H41,Mar!H41)</f>
        <v>0</v>
      </c>
      <c r="I41" s="14">
        <f>SUM(Jan!I41,Feb!I41,Mar!I41)</f>
        <v>0</v>
      </c>
      <c r="J41" s="13" t="str">
        <f t="shared" si="8"/>
        <v/>
      </c>
    </row>
    <row r="42" spans="1:10" ht="15.6">
      <c r="A42" s="22" t="str">
        <v>DC: Washington - Weinberg 3</v>
      </c>
      <c r="B42" s="23" t="str">
        <v>DC</v>
      </c>
      <c r="C42" s="23" t="str">
        <f>Sites[[#This Row],[SOL'#]]</f>
        <v>SOL-10042</v>
      </c>
      <c r="D42" s="18">
        <f>SUM(Jan!D42,Feb!D42,Mar!D42)</f>
        <v>0</v>
      </c>
      <c r="E42" s="8">
        <f>SUM(Jan!E42,Feb!E42,Mar!E42)</f>
        <v>0</v>
      </c>
      <c r="F42" s="8">
        <f t="shared" si="6"/>
        <v>0</v>
      </c>
      <c r="G42" s="9" t="str">
        <f t="shared" si="7"/>
        <v/>
      </c>
      <c r="H42" s="10">
        <f>SUM(Jan!H42,Feb!H42,Mar!H42)</f>
        <v>0</v>
      </c>
      <c r="I42" s="10">
        <f>SUM(Jan!I42,Feb!I42,Mar!I42)</f>
        <v>0</v>
      </c>
      <c r="J42" s="11" t="str">
        <f t="shared" si="8"/>
        <v/>
      </c>
    </row>
  </sheetData>
  <sortState xmlns:xlrd2="http://schemas.microsoft.com/office/spreadsheetml/2017/richdata2" ref="A3:J3">
    <sortCondition ref="A3"/>
  </sortState>
  <mergeCells count="4">
    <mergeCell ref="H1:J1"/>
    <mergeCell ref="A1:D1"/>
    <mergeCell ref="E1:G1"/>
    <mergeCell ref="A2:B2"/>
  </mergeCells>
  <phoneticPr fontId="38" type="noConversion"/>
  <conditionalFormatting sqref="G2 J2">
    <cfRule type="cellIs" dxfId="50" priority="27" stopIfTrue="1" operator="lessThanOrEqual">
      <formula>-0.1</formula>
    </cfRule>
    <cfRule type="expression" dxfId="49" priority="28">
      <formula>AND(ISNUMBER(G2), G2&gt;=0.1)</formula>
    </cfRule>
  </conditionalFormatting>
  <conditionalFormatting sqref="G4:G42 J4:J42">
    <cfRule type="cellIs" dxfId="48" priority="1" stopIfTrue="1" operator="lessThanOrEqual">
      <formula>-0.1</formula>
    </cfRule>
    <cfRule type="expression" dxfId="47"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85" activePane="bottomRight" state="frozen"/>
      <selection pane="bottomRight" activeCell="M98" sqref="M98"/>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8" t="str" cm="1">
        <f t="array" ref="A1">portfolio</f>
        <v>GoodFinch</v>
      </c>
      <c r="B1" s="138"/>
      <c r="C1" s="138"/>
      <c r="D1" s="138"/>
      <c r="E1" s="139" t="s">
        <v>13</v>
      </c>
      <c r="F1" s="139"/>
      <c r="G1" s="139"/>
      <c r="H1" s="137" t="s">
        <v>14</v>
      </c>
      <c r="I1" s="137"/>
      <c r="J1" s="137"/>
    </row>
    <row r="2" spans="1:10" ht="19.5" customHeight="1">
      <c r="A2" s="140" t="s">
        <v>2</v>
      </c>
      <c r="B2" s="140"/>
      <c r="C2" s="51"/>
      <c r="D2" s="3" t="e">
        <f>SUM(D4:D158)</f>
        <v>#REF!</v>
      </c>
      <c r="E2" s="3" t="e">
        <f>SUM(E4:E160)</f>
        <v>#REF!</v>
      </c>
      <c r="F2" s="3" t="e">
        <f>D2-E2</f>
        <v>#REF!</v>
      </c>
      <c r="G2" s="4">
        <f>IFERROR(F2/E2, 0)</f>
        <v>0</v>
      </c>
      <c r="H2" s="3" t="e">
        <f>SUM(H4:H158)</f>
        <v>#REF!</v>
      </c>
      <c r="I2" s="5" t="e">
        <f>D2-H2</f>
        <v>#REF!</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SUM(Apr!D4,May!D4,Jun!D4)</f>
        <v>0</v>
      </c>
      <c r="E4" s="8">
        <f>SUM(Apr!E4,May!E4,Jun!E4)</f>
        <v>0</v>
      </c>
      <c r="F4" s="8">
        <f>IF(AND(ISNUMBER(D4),ISNUMBER(E4)), D4-E4, "")</f>
        <v>0</v>
      </c>
      <c r="G4" s="9" t="str">
        <f>IFERROR(F4/E4, "")</f>
        <v/>
      </c>
      <c r="H4" s="10">
        <f>SUM(Apr!H4,May!H4,Jun!H4)</f>
        <v>0</v>
      </c>
      <c r="I4" s="10">
        <f>SUM(Apr!I4,May!I4,Jun!I4)</f>
        <v>0</v>
      </c>
      <c r="J4" s="11" t="str">
        <f>IFERROR(I4/H4, "")</f>
        <v/>
      </c>
    </row>
    <row r="5" spans="1:10" ht="15.6">
      <c r="A5" s="24" t="str">
        <v>AZ: Tempe - ASU - Fulton</v>
      </c>
      <c r="B5" s="25" t="str">
        <v>AZ</v>
      </c>
      <c r="C5" s="25" t="str">
        <f>Sites[[#This Row],[SOL'#]]</f>
        <v>SOL-10749</v>
      </c>
      <c r="D5" s="14">
        <f>SUM(Apr!D5,May!D5,Jun!D5)</f>
        <v>0</v>
      </c>
      <c r="E5" s="14">
        <f>SUM(Apr!E5,May!E5,Jun!E5)</f>
        <v>0</v>
      </c>
      <c r="F5" s="12">
        <f t="shared" ref="F5:F15" si="0">IF(AND(ISNUMBER(D5),ISNUMBER(E5)), D5-E5, "")</f>
        <v>0</v>
      </c>
      <c r="G5" s="13" t="str">
        <f>IFERROR(F5/E5, "")</f>
        <v/>
      </c>
      <c r="H5" s="14">
        <f>SUM(Apr!H5,May!H5,Jun!H5)</f>
        <v>0</v>
      </c>
      <c r="I5" s="14">
        <f>SUM(Apr!I5,May!I5,Jun!I5)</f>
        <v>0</v>
      </c>
      <c r="J5" s="13" t="str">
        <f>IFERROR(I5/H5, "")</f>
        <v/>
      </c>
    </row>
    <row r="6" spans="1:10" ht="15.6">
      <c r="A6" s="22" t="str">
        <v>AZ: Superior - JFK Elementary</v>
      </c>
      <c r="B6" s="23" t="str">
        <v>AZ</v>
      </c>
      <c r="C6" s="23" t="str">
        <f>Sites[[#This Row],[SOL'#]]</f>
        <v>SOL-10758</v>
      </c>
      <c r="D6" s="18">
        <f>SUM(Apr!D6,May!D6,Jun!D6)</f>
        <v>0</v>
      </c>
      <c r="E6" s="8">
        <f>SUM(Apr!E6,May!E6,Jun!E6)</f>
        <v>0</v>
      </c>
      <c r="F6" s="8">
        <f t="shared" si="0"/>
        <v>0</v>
      </c>
      <c r="G6" s="9" t="str">
        <f t="shared" ref="G6:G69" si="1">IFERROR(F6/E6, "")</f>
        <v/>
      </c>
      <c r="H6" s="10">
        <f>SUM(Apr!H6,May!H6,Jun!H6)</f>
        <v>0</v>
      </c>
      <c r="I6" s="10">
        <f>SUM(Apr!I6,May!I6,Jun!I6)</f>
        <v>0</v>
      </c>
      <c r="J6" s="11" t="str">
        <f t="shared" ref="J6:J69" si="2">IFERROR(I6/H6, "")</f>
        <v/>
      </c>
    </row>
    <row r="7" spans="1:10" ht="15.6">
      <c r="A7" s="24" t="str">
        <v>AZ: Tempe - ASU - Noble</v>
      </c>
      <c r="B7" s="25" t="str">
        <v>AZ</v>
      </c>
      <c r="C7" s="25" t="str">
        <f>Sites[[#This Row],[SOL'#]]</f>
        <v>SOL-10750</v>
      </c>
      <c r="D7" s="14">
        <f>SUM(Apr!D7,May!D7,Jun!D7)</f>
        <v>0</v>
      </c>
      <c r="E7" s="14">
        <f>SUM(Apr!E7,May!E7,Jun!E7)</f>
        <v>0</v>
      </c>
      <c r="F7" s="12">
        <f t="shared" si="0"/>
        <v>0</v>
      </c>
      <c r="G7" s="13" t="str">
        <f t="shared" si="1"/>
        <v/>
      </c>
      <c r="H7" s="14">
        <f>SUM(Apr!H7,May!H7,Jun!H7)</f>
        <v>0</v>
      </c>
      <c r="I7" s="14">
        <f>SUM(Apr!I7,May!I7,Jun!I7)</f>
        <v>0</v>
      </c>
      <c r="J7" s="13" t="str">
        <f t="shared" si="2"/>
        <v/>
      </c>
    </row>
    <row r="8" spans="1:10" ht="15.6">
      <c r="A8" s="22" t="str">
        <v>AZ: Tempe - ASU - Parking #3</v>
      </c>
      <c r="B8" s="23" t="str">
        <v>AZ</v>
      </c>
      <c r="C8" s="23" t="str">
        <f>Sites[[#This Row],[SOL'#]]</f>
        <v>SOL-10751</v>
      </c>
      <c r="D8" s="18">
        <f>SUM(Apr!D8,May!D8,Jun!D8)</f>
        <v>0</v>
      </c>
      <c r="E8" s="8">
        <f>SUM(Apr!E8,May!E8,Jun!E8)</f>
        <v>0</v>
      </c>
      <c r="F8" s="8">
        <f t="shared" si="0"/>
        <v>0</v>
      </c>
      <c r="G8" s="9" t="str">
        <f t="shared" si="1"/>
        <v/>
      </c>
      <c r="H8" s="10">
        <f>SUM(Apr!H8,May!H8,Jun!H8)</f>
        <v>0</v>
      </c>
      <c r="I8" s="10">
        <f>SUM(Apr!I8,May!I8,Jun!I8)</f>
        <v>0</v>
      </c>
      <c r="J8" s="11" t="str">
        <f t="shared" si="2"/>
        <v/>
      </c>
    </row>
    <row r="9" spans="1:10" ht="15.6">
      <c r="A9" s="24" t="str">
        <v>AZ: Tempe - ASU - PE East</v>
      </c>
      <c r="B9" s="25" t="str">
        <v>AZ</v>
      </c>
      <c r="C9" s="25" t="str">
        <f>Sites[[#This Row],[SOL'#]]</f>
        <v>SOL-10752</v>
      </c>
      <c r="D9" s="14">
        <f>SUM(Apr!D9,May!D9,Jun!D9)</f>
        <v>0</v>
      </c>
      <c r="E9" s="14">
        <f>SUM(Apr!E9,May!E9,Jun!E9)</f>
        <v>0</v>
      </c>
      <c r="F9" s="12">
        <f t="shared" si="0"/>
        <v>0</v>
      </c>
      <c r="G9" s="13" t="str">
        <f t="shared" si="1"/>
        <v/>
      </c>
      <c r="H9" s="14">
        <f>SUM(Apr!H9,May!H9,Jun!H9)</f>
        <v>0</v>
      </c>
      <c r="I9" s="14">
        <f>SUM(Apr!I9,May!I9,Jun!I9)</f>
        <v>0</v>
      </c>
      <c r="J9" s="13" t="str">
        <f t="shared" si="2"/>
        <v/>
      </c>
    </row>
    <row r="10" spans="1:10" ht="15.6">
      <c r="A10" s="22" t="str">
        <v>AZ: Tempe - ASU - Schwada</v>
      </c>
      <c r="B10" s="23" t="str">
        <v>AZ</v>
      </c>
      <c r="C10" s="23" t="str">
        <f>Sites[[#This Row],[SOL'#]]</f>
        <v>SOL-10753</v>
      </c>
      <c r="D10" s="18">
        <f>SUM(Apr!D10,May!D10,Jun!D10)</f>
        <v>0</v>
      </c>
      <c r="E10" s="8">
        <f>SUM(Apr!E10,May!E10,Jun!E10)</f>
        <v>0</v>
      </c>
      <c r="F10" s="8">
        <f t="shared" si="0"/>
        <v>0</v>
      </c>
      <c r="G10" s="9" t="str">
        <f t="shared" si="1"/>
        <v/>
      </c>
      <c r="H10" s="10">
        <f>SUM(Apr!H10,May!H10,Jun!H10)</f>
        <v>0</v>
      </c>
      <c r="I10" s="10">
        <f>SUM(Apr!I10,May!I10,Jun!I10)</f>
        <v>0</v>
      </c>
      <c r="J10" s="11" t="str">
        <f t="shared" si="2"/>
        <v/>
      </c>
    </row>
    <row r="11" spans="1:10" ht="15.6">
      <c r="A11" s="24" t="str">
        <v>AZ: Phoenix - Starshine Academy</v>
      </c>
      <c r="B11" s="25" t="str">
        <v>AZ</v>
      </c>
      <c r="C11" s="25" t="str">
        <f>Sites[[#This Row],[SOL'#]]</f>
        <v>SOL-10757</v>
      </c>
      <c r="D11" s="14">
        <f>SUM(Apr!D11,May!D11,Jun!D11)</f>
        <v>0</v>
      </c>
      <c r="E11" s="14">
        <f>SUM(Apr!E11,May!E11,Jun!E11)</f>
        <v>0</v>
      </c>
      <c r="F11" s="12">
        <f t="shared" si="0"/>
        <v>0</v>
      </c>
      <c r="G11" s="13" t="str">
        <f t="shared" si="1"/>
        <v/>
      </c>
      <c r="H11" s="14">
        <f>SUM(Apr!H11,May!H11,Jun!H11)</f>
        <v>0</v>
      </c>
      <c r="I11" s="14">
        <f>SUM(Apr!I11,May!I11,Jun!I11)</f>
        <v>0</v>
      </c>
      <c r="J11" s="13" t="str">
        <f t="shared" si="2"/>
        <v/>
      </c>
    </row>
    <row r="12" spans="1:10" ht="15.6">
      <c r="A12" s="22" t="str">
        <v>AZ: Yuma Airport</v>
      </c>
      <c r="B12" s="23" t="str">
        <v>AZ</v>
      </c>
      <c r="C12" s="23" t="str">
        <f>Sites[[#This Row],[SOL'#]]</f>
        <v>SOL-10754</v>
      </c>
      <c r="D12" s="18">
        <f>SUM(Apr!D12,May!D12,Jun!D12)</f>
        <v>0</v>
      </c>
      <c r="E12" s="8">
        <f>SUM(Apr!E12,May!E12,Jun!E12)</f>
        <v>0</v>
      </c>
      <c r="F12" s="8">
        <f t="shared" si="0"/>
        <v>0</v>
      </c>
      <c r="G12" s="9" t="str">
        <f t="shared" si="1"/>
        <v/>
      </c>
      <c r="H12" s="10">
        <f>SUM(Apr!H12,May!H12,Jun!H12)</f>
        <v>0</v>
      </c>
      <c r="I12" s="10">
        <f>SUM(Apr!I12,May!I12,Jun!I12)</f>
        <v>0</v>
      </c>
      <c r="J12" s="11" t="str">
        <f t="shared" si="2"/>
        <v/>
      </c>
    </row>
    <row r="13" spans="1:10" ht="15.6">
      <c r="A13" s="24" t="str">
        <v>AZ: Globe - Gila CC</v>
      </c>
      <c r="B13" s="25" t="str">
        <v>AZ</v>
      </c>
      <c r="C13" s="25" t="str">
        <f>Sites[[#This Row],[SOL'#]]</f>
        <v>SOL-10751</v>
      </c>
      <c r="D13" s="14">
        <f>SUM(Apr!D13,May!D13,Jun!D13)</f>
        <v>0</v>
      </c>
      <c r="E13" s="14">
        <f>SUM(Apr!E13,May!E13,Jun!E13)</f>
        <v>0</v>
      </c>
      <c r="F13" s="12">
        <f t="shared" si="0"/>
        <v>0</v>
      </c>
      <c r="G13" s="13" t="str">
        <f t="shared" si="1"/>
        <v/>
      </c>
      <c r="H13" s="14">
        <f>SUM(Apr!H13,May!H13,Jun!H13)</f>
        <v>0</v>
      </c>
      <c r="I13" s="14">
        <f>SUM(Apr!I13,May!I13,Jun!I13)</f>
        <v>0</v>
      </c>
      <c r="J13" s="13" t="str">
        <f t="shared" si="2"/>
        <v/>
      </c>
    </row>
    <row r="14" spans="1:10" ht="15.6">
      <c r="A14" s="22" t="str">
        <v>AZ: Payson - Gila CC</v>
      </c>
      <c r="B14" s="23" t="str">
        <v>AZ</v>
      </c>
      <c r="C14" s="23" t="str">
        <f>Sites[[#This Row],[SOL'#]]</f>
        <v>SOL-10748</v>
      </c>
      <c r="D14" s="18">
        <f>SUM(Apr!D14,May!D14,Jun!D14)</f>
        <v>0</v>
      </c>
      <c r="E14" s="8">
        <f>SUM(Apr!E14,May!E14,Jun!E14)</f>
        <v>0</v>
      </c>
      <c r="F14" s="8">
        <f t="shared" si="0"/>
        <v>0</v>
      </c>
      <c r="G14" s="9" t="str">
        <f t="shared" si="1"/>
        <v/>
      </c>
      <c r="H14" s="10">
        <f>SUM(Apr!H14,May!H14,Jun!H14)</f>
        <v>0</v>
      </c>
      <c r="I14" s="10">
        <f>SUM(Apr!I14,May!I14,Jun!I14)</f>
        <v>0</v>
      </c>
      <c r="J14" s="11" t="str">
        <f t="shared" si="2"/>
        <v/>
      </c>
    </row>
    <row r="15" spans="1:10" ht="15.6">
      <c r="A15" s="24" t="str">
        <v>AZ: Mesa - Sequoia Charter School</v>
      </c>
      <c r="B15" s="25" t="str">
        <v>AZ</v>
      </c>
      <c r="C15" s="25" t="str">
        <f>Sites[[#This Row],[SOL'#]]</f>
        <v>SOL-10759</v>
      </c>
      <c r="D15" s="14">
        <f>SUM(Apr!D15,May!D15,Jun!D15)</f>
        <v>0</v>
      </c>
      <c r="E15" s="14">
        <f>SUM(Apr!E15,May!E15,Jun!E15)</f>
        <v>0</v>
      </c>
      <c r="F15" s="12">
        <f t="shared" si="0"/>
        <v>0</v>
      </c>
      <c r="G15" s="13" t="str">
        <f t="shared" si="1"/>
        <v/>
      </c>
      <c r="H15" s="14">
        <f>SUM(Apr!H15,May!H15,Jun!H15)</f>
        <v>0</v>
      </c>
      <c r="I15" s="14">
        <f>SUM(Apr!I15,May!I15,Jun!I15)</f>
        <v>0</v>
      </c>
      <c r="J15" s="13" t="str">
        <f t="shared" si="2"/>
        <v/>
      </c>
    </row>
    <row r="16" spans="1:10" ht="15.6">
      <c r="A16" s="22" t="str">
        <v>AZ: Tempe - SCNM</v>
      </c>
      <c r="B16" s="23" t="str">
        <v>AZ</v>
      </c>
      <c r="C16" s="23" t="str">
        <f>Sites[[#This Row],[SOL'#]]</f>
        <v>SOL-10760</v>
      </c>
      <c r="D16" s="18">
        <f>SUM(Apr!D16,May!D16,Jun!D16)</f>
        <v>0</v>
      </c>
      <c r="E16" s="8">
        <f>SUM(Apr!E16,May!E16,Jun!E16)</f>
        <v>0</v>
      </c>
      <c r="F16" s="8">
        <f t="shared" ref="F16:F17" si="3">IF(AND(ISNUMBER(D16),ISNUMBER(E16)), D16-E16, "")</f>
        <v>0</v>
      </c>
      <c r="G16" s="9" t="str">
        <f t="shared" si="1"/>
        <v/>
      </c>
      <c r="H16" s="10">
        <f>SUM(Apr!H16,May!H16,Jun!H16)</f>
        <v>0</v>
      </c>
      <c r="I16" s="10">
        <f>SUM(Apr!I16,May!I16,Jun!I16)</f>
        <v>0</v>
      </c>
      <c r="J16" s="11" t="str">
        <f t="shared" si="2"/>
        <v/>
      </c>
    </row>
    <row r="17" spans="1:10" ht="15.6">
      <c r="A17" s="24" t="str">
        <v>DE: Newark - Clayton Hall</v>
      </c>
      <c r="B17" s="25" t="str">
        <v>DE</v>
      </c>
      <c r="C17" s="25" t="str">
        <f>Sites[[#This Row],[SOL'#]]</f>
        <v>SOL-10820</v>
      </c>
      <c r="D17" s="14">
        <f>SUM(Apr!D17,May!D17,Jun!D17)</f>
        <v>0</v>
      </c>
      <c r="E17" s="14">
        <f>SUM(Apr!E17,May!E17,Jun!E17)</f>
        <v>0</v>
      </c>
      <c r="F17" s="12">
        <f t="shared" si="3"/>
        <v>0</v>
      </c>
      <c r="G17" s="13" t="str">
        <f t="shared" si="1"/>
        <v/>
      </c>
      <c r="H17" s="14">
        <f>SUM(Apr!H17,May!H17,Jun!H17)</f>
        <v>0</v>
      </c>
      <c r="I17" s="14">
        <f>SUM(Apr!I17,May!I17,Jun!I17)</f>
        <v>0</v>
      </c>
      <c r="J17" s="13" t="str">
        <f t="shared" si="2"/>
        <v/>
      </c>
    </row>
    <row r="18" spans="1:10" ht="12.75" customHeight="1">
      <c r="A18" s="22" t="str">
        <v>DE: Newark - UOD Field House</v>
      </c>
      <c r="B18" s="23" t="str">
        <v>DE</v>
      </c>
      <c r="C18" s="23" t="str">
        <f>Sites[[#This Row],[SOL'#]]</f>
        <v>SOL-10821</v>
      </c>
      <c r="D18" s="18">
        <f>SUM(Apr!D18,May!D18,Jun!D18)</f>
        <v>0</v>
      </c>
      <c r="E18" s="8">
        <f>SUM(Apr!E18,May!E18,Jun!E18)</f>
        <v>0</v>
      </c>
      <c r="F18" s="8">
        <f t="shared" ref="F18:F49" si="4">IF(AND(ISNUMBER(D18),ISNUMBER(E18)), D18-E18, "")</f>
        <v>0</v>
      </c>
      <c r="G18" s="9" t="str">
        <f t="shared" si="1"/>
        <v/>
      </c>
      <c r="H18" s="10">
        <f>SUM(Apr!H18,May!H18,Jun!H18)</f>
        <v>0</v>
      </c>
      <c r="I18" s="10">
        <f>SUM(Apr!I18,May!I18,Jun!I18)</f>
        <v>0</v>
      </c>
      <c r="J18" s="11" t="str">
        <f t="shared" si="2"/>
        <v/>
      </c>
    </row>
    <row r="19" spans="1:10" ht="15.6">
      <c r="A19" s="24" t="str">
        <v>DE: Newark - UOD 461 Wyoming</v>
      </c>
      <c r="B19" s="25" t="str">
        <v>DE</v>
      </c>
      <c r="C19" s="25" t="str">
        <f>Sites[[#This Row],[SOL'#]]</f>
        <v>SOL-10819</v>
      </c>
      <c r="D19" s="14">
        <f>SUM(Apr!D19,May!D19,Jun!D19)</f>
        <v>0</v>
      </c>
      <c r="E19" s="14">
        <f>SUM(Apr!E19,May!E19,Jun!E19)</f>
        <v>0</v>
      </c>
      <c r="F19" s="12">
        <f t="shared" si="4"/>
        <v>0</v>
      </c>
      <c r="G19" s="13" t="str">
        <f t="shared" si="1"/>
        <v/>
      </c>
      <c r="H19" s="14">
        <f>SUM(Apr!H19,May!H19,Jun!H19)</f>
        <v>0</v>
      </c>
      <c r="I19" s="14">
        <f>SUM(Apr!I19,May!I19,Jun!I19)</f>
        <v>0</v>
      </c>
      <c r="J19" s="13" t="str">
        <f t="shared" si="2"/>
        <v/>
      </c>
    </row>
    <row r="20" spans="1:10" ht="15.6">
      <c r="A20" s="22" t="str">
        <v>MD: Presston - Bird-in-Hand</v>
      </c>
      <c r="B20" s="23" t="str">
        <v>MD</v>
      </c>
      <c r="C20" s="23" t="str">
        <f>Sites[[#This Row],[SOL'#]]</f>
        <v>SOL-10092</v>
      </c>
      <c r="D20" s="18">
        <f>SUM(Apr!D20,May!D20,Jun!D20)</f>
        <v>0</v>
      </c>
      <c r="E20" s="8">
        <f>SUM(Apr!E20,May!E20,Jun!E20)</f>
        <v>0</v>
      </c>
      <c r="F20" s="8">
        <f t="shared" si="4"/>
        <v>0</v>
      </c>
      <c r="G20" s="9" t="str">
        <f t="shared" si="1"/>
        <v/>
      </c>
      <c r="H20" s="10">
        <f>SUM(Apr!H20,May!H20,Jun!H20)</f>
        <v>0</v>
      </c>
      <c r="I20" s="10">
        <f>SUM(Apr!I20,May!I20,Jun!I20)</f>
        <v>0</v>
      </c>
      <c r="J20" s="11" t="str">
        <f t="shared" si="2"/>
        <v/>
      </c>
    </row>
    <row r="21" spans="1:10" ht="15.6">
      <c r="A21" s="24" t="str">
        <v>MD: Easton - Shortall</v>
      </c>
      <c r="B21" s="25" t="str">
        <v>MD</v>
      </c>
      <c r="C21" s="25" t="str">
        <f>Sites[[#This Row],[SOL'#]]</f>
        <v>SOL-10091</v>
      </c>
      <c r="D21" s="14">
        <f>SUM(Apr!D21,May!D21,Jun!D21)</f>
        <v>0</v>
      </c>
      <c r="E21" s="14">
        <f>SUM(Apr!E21,May!E21,Jun!E21)</f>
        <v>0</v>
      </c>
      <c r="F21" s="12">
        <f t="shared" si="4"/>
        <v>0</v>
      </c>
      <c r="G21" s="13" t="str">
        <f t="shared" si="1"/>
        <v/>
      </c>
      <c r="H21" s="14">
        <f>SUM(Apr!H21,May!H21,Jun!H21)</f>
        <v>0</v>
      </c>
      <c r="I21" s="14">
        <f>SUM(Apr!I21,May!I21,Jun!I21)</f>
        <v>0</v>
      </c>
      <c r="J21" s="13" t="str">
        <f t="shared" si="2"/>
        <v/>
      </c>
    </row>
    <row r="22" spans="1:10" ht="15.6">
      <c r="A22" s="22" t="str">
        <v>MA: Boston - Seaport Solar</v>
      </c>
      <c r="B22" s="23" t="str">
        <v>MA</v>
      </c>
      <c r="C22" s="23" t="str">
        <f>Sites[[#This Row],[SOL'#]]</f>
        <v>SOL-10772</v>
      </c>
      <c r="D22" s="18">
        <f>SUM(Apr!D22,May!D22,Jun!D22)</f>
        <v>0</v>
      </c>
      <c r="E22" s="8">
        <f>SUM(Apr!E22,May!E22,Jun!E22)</f>
        <v>0</v>
      </c>
      <c r="F22" s="8">
        <f t="shared" si="4"/>
        <v>0</v>
      </c>
      <c r="G22" s="9" t="str">
        <f t="shared" si="1"/>
        <v/>
      </c>
      <c r="H22" s="10">
        <f>SUM(Apr!H22,May!H22,Jun!H22)</f>
        <v>0</v>
      </c>
      <c r="I22" s="10">
        <f>SUM(Apr!I22,May!I22,Jun!I22)</f>
        <v>0</v>
      </c>
      <c r="J22" s="11" t="str">
        <f t="shared" si="2"/>
        <v/>
      </c>
    </row>
    <row r="23" spans="1:10" ht="15.6">
      <c r="A23" s="24" t="str">
        <v>MA: Dedham - Sprague Street</v>
      </c>
      <c r="B23" s="25" t="str">
        <v>MA</v>
      </c>
      <c r="C23" s="25" t="str">
        <f>Sites[[#This Row],[SOL'#]]</f>
        <v>SOL-10773</v>
      </c>
      <c r="D23" s="14">
        <f>SUM(Apr!D23,May!D23,Jun!D23)</f>
        <v>0</v>
      </c>
      <c r="E23" s="14">
        <f>SUM(Apr!E23,May!E23,Jun!E23)</f>
        <v>0</v>
      </c>
      <c r="F23" s="12">
        <f t="shared" si="4"/>
        <v>0</v>
      </c>
      <c r="G23" s="13" t="str">
        <f t="shared" si="1"/>
        <v/>
      </c>
      <c r="H23" s="14">
        <f>SUM(Apr!H23,May!H23,Jun!H23)</f>
        <v>0</v>
      </c>
      <c r="I23" s="14">
        <f>SUM(Apr!I23,May!I23,Jun!I23)</f>
        <v>0</v>
      </c>
      <c r="J23" s="13" t="str">
        <f t="shared" si="2"/>
        <v/>
      </c>
    </row>
    <row r="24" spans="1:10" ht="15.6">
      <c r="A24" s="22" t="str">
        <v>MA: Boston - Summer Street</v>
      </c>
      <c r="B24" s="23" t="str">
        <v>MA</v>
      </c>
      <c r="C24" s="23" t="str">
        <f>Sites[[#This Row],[SOL'#]]</f>
        <v>SOL-10764</v>
      </c>
      <c r="D24" s="18">
        <f>SUM(Apr!D24,May!D24,Jun!D24)</f>
        <v>0</v>
      </c>
      <c r="E24" s="8">
        <f>SUM(Apr!E24,May!E24,Jun!E24)</f>
        <v>0</v>
      </c>
      <c r="F24" s="8">
        <f t="shared" si="4"/>
        <v>0</v>
      </c>
      <c r="G24" s="9" t="str">
        <f t="shared" si="1"/>
        <v/>
      </c>
      <c r="H24" s="10">
        <f>SUM(Apr!H24,May!H24,Jun!H24)</f>
        <v>0</v>
      </c>
      <c r="I24" s="10">
        <f>SUM(Apr!I24,May!I24,Jun!I24)</f>
        <v>0</v>
      </c>
      <c r="J24" s="11" t="str">
        <f t="shared" si="2"/>
        <v/>
      </c>
    </row>
    <row r="25" spans="1:10" ht="15.6">
      <c r="A25" s="24" t="str">
        <v>MA: Leominster - Spectro Coatings</v>
      </c>
      <c r="B25" s="25" t="str">
        <v>MA</v>
      </c>
      <c r="C25" s="25" t="str">
        <f>Sites[[#This Row],[SOL'#]]</f>
        <v>SOL-10074</v>
      </c>
      <c r="D25" s="14">
        <f>SUM(Apr!D25,May!D25,Jun!D25)</f>
        <v>0</v>
      </c>
      <c r="E25" s="14">
        <f>SUM(Apr!E25,May!E25,Jun!E25)</f>
        <v>0</v>
      </c>
      <c r="F25" s="12">
        <f t="shared" si="4"/>
        <v>0</v>
      </c>
      <c r="G25" s="13" t="str">
        <f t="shared" si="1"/>
        <v/>
      </c>
      <c r="H25" s="14">
        <f>SUM(Apr!H25,May!H25,Jun!H25)</f>
        <v>0</v>
      </c>
      <c r="I25" s="14">
        <f>SUM(Apr!I25,May!I25,Jun!I25)</f>
        <v>0</v>
      </c>
      <c r="J25" s="13" t="str">
        <f t="shared" si="2"/>
        <v/>
      </c>
    </row>
    <row r="26" spans="1:10" ht="15.6">
      <c r="A26" s="22" t="str">
        <v>MA: Braintree - RCAB</v>
      </c>
      <c r="B26" s="23" t="str">
        <v>MA</v>
      </c>
      <c r="C26" s="23" t="str">
        <f>Sites[[#This Row],[SOL'#]]</f>
        <v>SOL-10838</v>
      </c>
      <c r="D26" s="18">
        <f>SUM(Apr!D26,May!D26,Jun!D26)</f>
        <v>0</v>
      </c>
      <c r="E26" s="8">
        <f>SUM(Apr!E26,May!E26,Jun!E26)</f>
        <v>0</v>
      </c>
      <c r="F26" s="8">
        <f t="shared" si="4"/>
        <v>0</v>
      </c>
      <c r="G26" s="9" t="str">
        <f t="shared" si="1"/>
        <v/>
      </c>
      <c r="H26" s="10">
        <f>SUM(Apr!H26,May!H26,Jun!H26)</f>
        <v>0</v>
      </c>
      <c r="I26" s="10">
        <f>SUM(Apr!I26,May!I26,Jun!I26)</f>
        <v>0</v>
      </c>
      <c r="J26" s="11" t="str">
        <f t="shared" si="2"/>
        <v/>
      </c>
    </row>
    <row r="27" spans="1:10" ht="15.6">
      <c r="A27" s="24" t="str">
        <v>NH: Rochester - Portland Street</v>
      </c>
      <c r="B27" s="25" t="str">
        <v>NH</v>
      </c>
      <c r="C27" s="25" t="str">
        <f>Sites[[#This Row],[SOL'#]]</f>
        <v>SOL-10771</v>
      </c>
      <c r="D27" s="14">
        <f>SUM(Apr!D27,May!D27,Jun!D27)</f>
        <v>0</v>
      </c>
      <c r="E27" s="14">
        <f>SUM(Apr!E27,May!E27,Jun!E27)</f>
        <v>0</v>
      </c>
      <c r="F27" s="12">
        <f t="shared" si="4"/>
        <v>0</v>
      </c>
      <c r="G27" s="13" t="str">
        <f t="shared" si="1"/>
        <v/>
      </c>
      <c r="H27" s="14">
        <f>SUM(Apr!H27,May!H27,Jun!H27)</f>
        <v>0</v>
      </c>
      <c r="I27" s="14">
        <f>SUM(Apr!I27,May!I27,Jun!I27)</f>
        <v>0</v>
      </c>
      <c r="J27" s="13" t="str">
        <f t="shared" si="2"/>
        <v/>
      </c>
    </row>
    <row r="28" spans="1:10" ht="15.6">
      <c r="A28" s="22" t="str">
        <v>NH: Portsmouth - Portsmouth HS</v>
      </c>
      <c r="B28" s="23" t="str">
        <v>NH</v>
      </c>
      <c r="C28" s="23" t="str">
        <f>Sites[[#This Row],[SOL'#]]</f>
        <v>SOL-10769</v>
      </c>
      <c r="D28" s="18">
        <f>SUM(Apr!D28,May!D28,Jun!D28)</f>
        <v>0</v>
      </c>
      <c r="E28" s="8">
        <f>SUM(Apr!E28,May!E28,Jun!E28)</f>
        <v>0</v>
      </c>
      <c r="F28" s="8">
        <f t="shared" si="4"/>
        <v>0</v>
      </c>
      <c r="G28" s="9" t="str">
        <f t="shared" si="1"/>
        <v/>
      </c>
      <c r="H28" s="10">
        <f>SUM(Apr!H28,May!H28,Jun!H28)</f>
        <v>0</v>
      </c>
      <c r="I28" s="10">
        <f>SUM(Apr!I28,May!I28,Jun!I28)</f>
        <v>0</v>
      </c>
      <c r="J28" s="11" t="str">
        <f t="shared" si="2"/>
        <v/>
      </c>
    </row>
    <row r="29" spans="1:10" ht="15.6">
      <c r="A29" s="24" t="str">
        <v>NH: Portsmouth - Portsmouth WTP</v>
      </c>
      <c r="B29" s="25" t="str">
        <v>NH</v>
      </c>
      <c r="C29" s="25" t="str">
        <f>Sites[[#This Row],[SOL'#]]</f>
        <v>SOL-10770</v>
      </c>
      <c r="D29" s="14">
        <f>SUM(Apr!D29,May!D29,Jun!D29)</f>
        <v>0</v>
      </c>
      <c r="E29" s="14">
        <f>SUM(Apr!E29,May!E29,Jun!E29)</f>
        <v>0</v>
      </c>
      <c r="F29" s="12">
        <f t="shared" si="4"/>
        <v>0</v>
      </c>
      <c r="G29" s="13" t="str">
        <f t="shared" si="1"/>
        <v/>
      </c>
      <c r="H29" s="14">
        <f>SUM(Apr!H29,May!H29,Jun!H29)</f>
        <v>0</v>
      </c>
      <c r="I29" s="14">
        <f>SUM(Apr!I29,May!I29,Jun!I29)</f>
        <v>0</v>
      </c>
      <c r="J29" s="13" t="str">
        <f t="shared" si="2"/>
        <v/>
      </c>
    </row>
    <row r="30" spans="1:10" ht="15.6">
      <c r="A30" s="22" t="str">
        <v>NH: Rochester - Rochester MS</v>
      </c>
      <c r="B30" s="23" t="str">
        <v>NH</v>
      </c>
      <c r="C30" s="23" t="str">
        <f>Sites[[#This Row],[SOL'#]]</f>
        <v>SOL-10765</v>
      </c>
      <c r="D30" s="18">
        <f>SUM(Apr!D30,May!D30,Jun!D30)</f>
        <v>0</v>
      </c>
      <c r="E30" s="8">
        <f>SUM(Apr!E30,May!E30,Jun!E30)</f>
        <v>0</v>
      </c>
      <c r="F30" s="8">
        <f t="shared" si="4"/>
        <v>0</v>
      </c>
      <c r="G30" s="9" t="str">
        <f t="shared" si="1"/>
        <v/>
      </c>
      <c r="H30" s="10">
        <f>SUM(Apr!H30,May!H30,Jun!H30)</f>
        <v>0</v>
      </c>
      <c r="I30" s="10">
        <f>SUM(Apr!I30,May!I30,Jun!I30)</f>
        <v>0</v>
      </c>
      <c r="J30" s="11" t="str">
        <f t="shared" si="2"/>
        <v/>
      </c>
    </row>
    <row r="31" spans="1:10" ht="15.6">
      <c r="A31" s="24" t="str">
        <v>NH Rochester - Spaulding HS</v>
      </c>
      <c r="B31" s="25" t="str">
        <v>NH</v>
      </c>
      <c r="C31" s="25" t="str">
        <f>Sites[[#This Row],[SOL'#]]</f>
        <v>SOL-10767</v>
      </c>
      <c r="D31" s="14">
        <f>SUM(Apr!D31,May!D31,Jun!D31)</f>
        <v>0</v>
      </c>
      <c r="E31" s="14">
        <f>SUM(Apr!E31,May!E31,Jun!E31)</f>
        <v>0</v>
      </c>
      <c r="F31" s="12">
        <f t="shared" si="4"/>
        <v>0</v>
      </c>
      <c r="G31" s="13" t="str">
        <f t="shared" si="1"/>
        <v/>
      </c>
      <c r="H31" s="14">
        <f>SUM(Apr!H31,May!H31,Jun!H31)</f>
        <v>0</v>
      </c>
      <c r="I31" s="14">
        <f>SUM(Apr!I31,May!I31,Jun!I31)</f>
        <v>0</v>
      </c>
      <c r="J31" s="13" t="str">
        <f t="shared" si="2"/>
        <v/>
      </c>
    </row>
    <row r="32" spans="1:10" ht="15.6">
      <c r="A32" s="22" t="str">
        <v>NH: Rochester - McClelland ES</v>
      </c>
      <c r="B32" s="23" t="str">
        <v>NH</v>
      </c>
      <c r="C32" s="23" t="str">
        <f>Sites[[#This Row],[SOL'#]]</f>
        <v>SOL-10766</v>
      </c>
      <c r="D32" s="18">
        <f>SUM(Apr!D32,May!D32,Jun!D32)</f>
        <v>0</v>
      </c>
      <c r="E32" s="8">
        <f>SUM(Apr!E32,May!E32,Jun!E32)</f>
        <v>0</v>
      </c>
      <c r="F32" s="8">
        <f t="shared" si="4"/>
        <v>0</v>
      </c>
      <c r="G32" s="9" t="str">
        <f t="shared" si="1"/>
        <v/>
      </c>
      <c r="H32" s="10">
        <f>SUM(Apr!H32,May!H32,Jun!H32)</f>
        <v>0</v>
      </c>
      <c r="I32" s="10">
        <f>SUM(Apr!I32,May!I32,Jun!I32)</f>
        <v>0</v>
      </c>
      <c r="J32" s="11" t="str">
        <f t="shared" si="2"/>
        <v/>
      </c>
    </row>
    <row r="33" spans="1:10" ht="15.6">
      <c r="A33" s="24" t="str">
        <v>NH: Rochester - Brock St Vocational</v>
      </c>
      <c r="B33" s="25" t="str">
        <v>NH</v>
      </c>
      <c r="C33" s="25" t="str">
        <f>Sites[[#This Row],[SOL'#]]</f>
        <v>SOL-10768</v>
      </c>
      <c r="D33" s="14">
        <f>SUM(Apr!D33,May!D33,Jun!D33)</f>
        <v>0</v>
      </c>
      <c r="E33" s="14">
        <f>SUM(Apr!E33,May!E33,Jun!E33)</f>
        <v>0</v>
      </c>
      <c r="F33" s="12">
        <f t="shared" si="4"/>
        <v>0</v>
      </c>
      <c r="G33" s="13" t="str">
        <f t="shared" si="1"/>
        <v/>
      </c>
      <c r="H33" s="14">
        <f>SUM(Apr!H33,May!H33,Jun!H33)</f>
        <v>0</v>
      </c>
      <c r="I33" s="14">
        <f>SUM(Apr!I33,May!I33,Jun!I33)</f>
        <v>0</v>
      </c>
      <c r="J33" s="13" t="str">
        <f t="shared" si="2"/>
        <v/>
      </c>
    </row>
    <row r="34" spans="1:10" ht="15.6">
      <c r="A34" s="22" t="str">
        <v>OH: Cleveland - CV Kinsman</v>
      </c>
      <c r="B34" s="23" t="str">
        <v>OH</v>
      </c>
      <c r="C34" s="23" t="str">
        <f>Sites[[#This Row],[SOL'#]]</f>
        <v>SOL-10762</v>
      </c>
      <c r="D34" s="18">
        <f>SUM(Apr!D34,May!D34,Jun!D34)</f>
        <v>0</v>
      </c>
      <c r="E34" s="8">
        <f>SUM(Apr!E34,May!E34,Jun!E34)</f>
        <v>0</v>
      </c>
      <c r="F34" s="8">
        <f t="shared" si="4"/>
        <v>0</v>
      </c>
      <c r="G34" s="9" t="str">
        <f t="shared" si="1"/>
        <v/>
      </c>
      <c r="H34" s="10">
        <f>SUM(Apr!H34,May!H34,Jun!H34)</f>
        <v>0</v>
      </c>
      <c r="I34" s="10">
        <f>SUM(Apr!I34,May!I34,Jun!I34)</f>
        <v>0</v>
      </c>
      <c r="J34" s="11" t="str">
        <f t="shared" si="2"/>
        <v/>
      </c>
    </row>
    <row r="35" spans="1:10" ht="15.6">
      <c r="A35" s="24" t="str">
        <v>OH: Cleveland - CV Wooster</v>
      </c>
      <c r="B35" s="25" t="str">
        <v>OH</v>
      </c>
      <c r="C35" s="25" t="str">
        <f>Sites[[#This Row],[SOL'#]]</f>
        <v>SOL-10763</v>
      </c>
      <c r="D35" s="14">
        <f>SUM(Apr!D35,May!D35,Jun!D35)</f>
        <v>0</v>
      </c>
      <c r="E35" s="14">
        <f>SUM(Apr!E35,May!E35,Jun!E35)</f>
        <v>0</v>
      </c>
      <c r="F35" s="12">
        <f t="shared" si="4"/>
        <v>0</v>
      </c>
      <c r="G35" s="13" t="str">
        <f t="shared" si="1"/>
        <v/>
      </c>
      <c r="H35" s="14">
        <f>SUM(Apr!H35,May!H35,Jun!H35)</f>
        <v>0</v>
      </c>
      <c r="I35" s="14">
        <f>SUM(Apr!I35,May!I35,Jun!I35)</f>
        <v>0</v>
      </c>
      <c r="J35" s="13" t="str">
        <f t="shared" si="2"/>
        <v/>
      </c>
    </row>
    <row r="36" spans="1:10" ht="15.6">
      <c r="A36" s="22" t="str">
        <v>PR: Aguadilla - Coca Cola</v>
      </c>
      <c r="B36" s="23" t="str">
        <v>PR</v>
      </c>
      <c r="C36" s="23" t="str">
        <f>Sites[[#This Row],[SOL'#]]</f>
        <v>SOL-10072</v>
      </c>
      <c r="D36" s="18">
        <f>SUM(Apr!D36,May!D36,Jun!D36)</f>
        <v>0</v>
      </c>
      <c r="E36" s="8">
        <f>SUM(Apr!E36,May!E36,Jun!E36)</f>
        <v>0</v>
      </c>
      <c r="F36" s="8">
        <f t="shared" si="4"/>
        <v>0</v>
      </c>
      <c r="G36" s="9" t="str">
        <f t="shared" si="1"/>
        <v/>
      </c>
      <c r="H36" s="10">
        <f>SUM(Apr!H36,May!H36,Jun!H36)</f>
        <v>0</v>
      </c>
      <c r="I36" s="10">
        <f>SUM(Apr!I36,May!I36,Jun!I36)</f>
        <v>0</v>
      </c>
      <c r="J36" s="11" t="str">
        <f t="shared" si="2"/>
        <v/>
      </c>
    </row>
    <row r="37" spans="1:10" ht="15.6">
      <c r="A37" s="24" t="str">
        <v>PR: Bayamon - Coca Cola</v>
      </c>
      <c r="B37" s="25" t="str">
        <v>PR</v>
      </c>
      <c r="C37" s="25" t="str">
        <f>Sites[[#This Row],[SOL'#]]</f>
        <v>SOL-10073</v>
      </c>
      <c r="D37" s="14">
        <f>SUM(Apr!D37,May!D37,Jun!D37)</f>
        <v>0</v>
      </c>
      <c r="E37" s="14">
        <f>SUM(Apr!E37,May!E37,Jun!E37)</f>
        <v>0</v>
      </c>
      <c r="F37" s="12">
        <f t="shared" si="4"/>
        <v>0</v>
      </c>
      <c r="G37" s="13" t="str">
        <f t="shared" si="1"/>
        <v/>
      </c>
      <c r="H37" s="14">
        <f>SUM(Apr!H37,May!H37,Jun!H37)</f>
        <v>0</v>
      </c>
      <c r="I37" s="14">
        <f>SUM(Apr!I37,May!I37,Jun!I37)</f>
        <v>0</v>
      </c>
      <c r="J37" s="13" t="str">
        <f t="shared" si="2"/>
        <v/>
      </c>
    </row>
    <row r="38" spans="1:10" ht="15.6">
      <c r="A38" s="22" t="str">
        <v>PR: Carolina - St. Francis</v>
      </c>
      <c r="B38" s="23" t="str">
        <v>PR</v>
      </c>
      <c r="C38" s="23" t="str">
        <f>Sites[[#This Row],[SOL'#]]</f>
        <v>SOL-10034</v>
      </c>
      <c r="D38" s="18">
        <f>SUM(Apr!D38,May!D38,Jun!D38)</f>
        <v>0</v>
      </c>
      <c r="E38" s="8">
        <f>SUM(Apr!E38,May!E38,Jun!E38)</f>
        <v>0</v>
      </c>
      <c r="F38" s="8">
        <f t="shared" si="4"/>
        <v>0</v>
      </c>
      <c r="G38" s="9" t="str">
        <f t="shared" si="1"/>
        <v/>
      </c>
      <c r="H38" s="10">
        <f>SUM(Apr!H38,May!H38,Jun!H38)</f>
        <v>0</v>
      </c>
      <c r="I38" s="10">
        <f>SUM(Apr!I38,May!I38,Jun!I38)</f>
        <v>0</v>
      </c>
      <c r="J38" s="11" t="str">
        <f t="shared" si="2"/>
        <v/>
      </c>
    </row>
    <row r="39" spans="1:10" ht="15.6">
      <c r="A39" s="24" t="str">
        <v>DC: Chevy Chase -Sinai</v>
      </c>
      <c r="B39" s="25" t="str">
        <v>DC</v>
      </c>
      <c r="C39" s="25" t="str">
        <f>Sites[[#This Row],[SOL'#]]</f>
        <v>SOL-10028</v>
      </c>
      <c r="D39" s="14">
        <f>SUM(Apr!D39,May!D39,Jun!D39)</f>
        <v>0</v>
      </c>
      <c r="E39" s="14">
        <f>SUM(Apr!E39,May!E39,Jun!E39)</f>
        <v>0</v>
      </c>
      <c r="F39" s="12">
        <f t="shared" si="4"/>
        <v>0</v>
      </c>
      <c r="G39" s="13" t="str">
        <f t="shared" si="1"/>
        <v/>
      </c>
      <c r="H39" s="14">
        <f>SUM(Apr!H39,May!H39,Jun!H39)</f>
        <v>0</v>
      </c>
      <c r="I39" s="14">
        <f>SUM(Apr!I39,May!I39,Jun!I39)</f>
        <v>0</v>
      </c>
      <c r="J39" s="13" t="str">
        <f t="shared" si="2"/>
        <v/>
      </c>
    </row>
    <row r="40" spans="1:10" ht="15.6">
      <c r="A40" s="22" t="str">
        <v>DC: Washington - Weinberg 1</v>
      </c>
      <c r="B40" s="23" t="str">
        <v>DC</v>
      </c>
      <c r="C40" s="23" t="str">
        <f>Sites[[#This Row],[SOL'#]]</f>
        <v>SOL-10039</v>
      </c>
      <c r="D40" s="18">
        <f>SUM(Apr!D40,May!D40,Jun!D40)</f>
        <v>0</v>
      </c>
      <c r="E40" s="8">
        <f>SUM(Apr!E40,May!E40,Jun!E40)</f>
        <v>0</v>
      </c>
      <c r="F40" s="8">
        <f t="shared" si="4"/>
        <v>0</v>
      </c>
      <c r="G40" s="9" t="str">
        <f t="shared" si="1"/>
        <v/>
      </c>
      <c r="H40" s="10">
        <f>SUM(Apr!H40,May!H40,Jun!H40)</f>
        <v>0</v>
      </c>
      <c r="I40" s="10">
        <f>SUM(Apr!I40,May!I40,Jun!I40)</f>
        <v>0</v>
      </c>
      <c r="J40" s="11" t="str">
        <f t="shared" si="2"/>
        <v/>
      </c>
    </row>
    <row r="41" spans="1:10" ht="15.6">
      <c r="A41" s="24" t="str">
        <v>DC: Washington - Weinberg 2</v>
      </c>
      <c r="B41" s="25" t="str">
        <v>DC</v>
      </c>
      <c r="C41" s="25" t="str">
        <f>Sites[[#This Row],[SOL'#]]</f>
        <v>SOL-10045</v>
      </c>
      <c r="D41" s="14">
        <f>SUM(Apr!D41,May!D41,Jun!D41)</f>
        <v>0</v>
      </c>
      <c r="E41" s="14">
        <f>SUM(Apr!E41,May!E41,Jun!E41)</f>
        <v>0</v>
      </c>
      <c r="F41" s="12">
        <f t="shared" si="4"/>
        <v>0</v>
      </c>
      <c r="G41" s="13" t="str">
        <f t="shared" si="1"/>
        <v/>
      </c>
      <c r="H41" s="14">
        <f>SUM(Apr!H41,May!H41,Jun!H41)</f>
        <v>0</v>
      </c>
      <c r="I41" s="14">
        <f>SUM(Apr!I41,May!I41,Jun!I41)</f>
        <v>0</v>
      </c>
      <c r="J41" s="13" t="str">
        <f t="shared" si="2"/>
        <v/>
      </c>
    </row>
    <row r="42" spans="1:10" ht="15.6">
      <c r="A42" s="22" t="str">
        <v>DC: Washington - Weinberg 3</v>
      </c>
      <c r="B42" s="23" t="str">
        <v>DC</v>
      </c>
      <c r="C42" s="23" t="str">
        <f>Sites[[#This Row],[SOL'#]]</f>
        <v>SOL-10042</v>
      </c>
      <c r="D42" s="18">
        <f>SUM(Apr!D42,May!D42,Jun!D42)</f>
        <v>0</v>
      </c>
      <c r="E42" s="8">
        <f>SUM(Apr!E42,May!E42,Jun!E42)</f>
        <v>0</v>
      </c>
      <c r="F42" s="8">
        <f t="shared" si="4"/>
        <v>0</v>
      </c>
      <c r="G42" s="9" t="str">
        <f t="shared" si="1"/>
        <v/>
      </c>
      <c r="H42" s="10">
        <f>SUM(Apr!H42,May!H42,Jun!H42)</f>
        <v>0</v>
      </c>
      <c r="I42" s="10">
        <f>SUM(Apr!I42,May!I42,Jun!I42)</f>
        <v>0</v>
      </c>
      <c r="J42" s="11" t="str">
        <f t="shared" si="2"/>
        <v/>
      </c>
    </row>
    <row r="43" spans="1:10" ht="15.6">
      <c r="A43" s="24"/>
      <c r="B43" s="25"/>
      <c r="C43" s="25" t="e">
        <f>Sites[[#This Row],[SOL'#]]</f>
        <v>#VALUE!</v>
      </c>
      <c r="D43" s="14" t="e">
        <f>SUM(Apr!#REF!,May!#REF!,Jun!#REF!)</f>
        <v>#REF!</v>
      </c>
      <c r="E43" s="14" t="e">
        <f>SUM(Apr!#REF!,May!#REF!,Jun!#REF!)</f>
        <v>#REF!</v>
      </c>
      <c r="F43" s="12" t="str">
        <f t="shared" si="4"/>
        <v/>
      </c>
      <c r="G43" s="13" t="str">
        <f t="shared" si="1"/>
        <v/>
      </c>
      <c r="H43" s="14" t="e">
        <f>SUM(Apr!#REF!,May!#REF!,Jun!#REF!)</f>
        <v>#REF!</v>
      </c>
      <c r="I43" s="14" t="e">
        <f>SUM(Apr!#REF!,May!#REF!,Jun!#REF!)</f>
        <v>#REF!</v>
      </c>
      <c r="J43" s="13" t="str">
        <f t="shared" si="2"/>
        <v/>
      </c>
    </row>
    <row r="44" spans="1:10" ht="15.6">
      <c r="A44" s="22"/>
      <c r="B44" s="23"/>
      <c r="C44" s="23" t="e">
        <f>Sites[[#This Row],[SOL'#]]</f>
        <v>#VALUE!</v>
      </c>
      <c r="D44" s="18" t="e">
        <f>SUM(Apr!#REF!,May!#REF!,Jun!#REF!)</f>
        <v>#REF!</v>
      </c>
      <c r="E44" s="8" t="e">
        <f>SUM(Apr!#REF!,May!#REF!,Jun!#REF!)</f>
        <v>#REF!</v>
      </c>
      <c r="F44" s="8" t="str">
        <f t="shared" si="4"/>
        <v/>
      </c>
      <c r="G44" s="9" t="str">
        <f t="shared" si="1"/>
        <v/>
      </c>
      <c r="H44" s="10" t="e">
        <f>SUM(Apr!#REF!,May!#REF!,Jun!#REF!)</f>
        <v>#REF!</v>
      </c>
      <c r="I44" s="10" t="e">
        <f>SUM(Apr!#REF!,May!#REF!,Jun!#REF!)</f>
        <v>#REF!</v>
      </c>
      <c r="J44" s="11" t="str">
        <f t="shared" si="2"/>
        <v/>
      </c>
    </row>
    <row r="45" spans="1:10" ht="15.6">
      <c r="A45" s="24"/>
      <c r="B45" s="25"/>
      <c r="C45" s="25" t="e">
        <f>Sites[[#This Row],[SOL'#]]</f>
        <v>#VALUE!</v>
      </c>
      <c r="D45" s="14" t="e">
        <f>SUM(Apr!#REF!,May!#REF!,Jun!#REF!)</f>
        <v>#REF!</v>
      </c>
      <c r="E45" s="14" t="e">
        <f>SUM(Apr!#REF!,May!#REF!,Jun!#REF!)</f>
        <v>#REF!</v>
      </c>
      <c r="F45" s="12" t="str">
        <f t="shared" si="4"/>
        <v/>
      </c>
      <c r="G45" s="13" t="str">
        <f t="shared" si="1"/>
        <v/>
      </c>
      <c r="H45" s="14" t="e">
        <f>SUM(Apr!#REF!,May!#REF!,Jun!#REF!)</f>
        <v>#REF!</v>
      </c>
      <c r="I45" s="14" t="e">
        <f>SUM(Apr!#REF!,May!#REF!,Jun!#REF!)</f>
        <v>#REF!</v>
      </c>
      <c r="J45" s="13" t="str">
        <f t="shared" si="2"/>
        <v/>
      </c>
    </row>
    <row r="46" spans="1:10" ht="15.6">
      <c r="A46" s="22"/>
      <c r="B46" s="23"/>
      <c r="C46" s="23" t="e">
        <f>Sites[[#This Row],[SOL'#]]</f>
        <v>#VALUE!</v>
      </c>
      <c r="D46" s="18" t="e">
        <f>SUM(Apr!#REF!,May!#REF!,Jun!#REF!)</f>
        <v>#REF!</v>
      </c>
      <c r="E46" s="8" t="e">
        <f>SUM(Apr!#REF!,May!#REF!,Jun!#REF!)</f>
        <v>#REF!</v>
      </c>
      <c r="F46" s="8" t="str">
        <f t="shared" si="4"/>
        <v/>
      </c>
      <c r="G46" s="9" t="str">
        <f t="shared" si="1"/>
        <v/>
      </c>
      <c r="H46" s="10" t="e">
        <f>SUM(Apr!#REF!,May!#REF!,Jun!#REF!)</f>
        <v>#REF!</v>
      </c>
      <c r="I46" s="10" t="e">
        <f>SUM(Apr!#REF!,May!#REF!,Jun!#REF!)</f>
        <v>#REF!</v>
      </c>
      <c r="J46" s="11" t="str">
        <f t="shared" si="2"/>
        <v/>
      </c>
    </row>
    <row r="47" spans="1:10" ht="15.6">
      <c r="A47" s="24"/>
      <c r="B47" s="25"/>
      <c r="C47" s="25" t="e">
        <f>Sites[[#This Row],[SOL'#]]</f>
        <v>#VALUE!</v>
      </c>
      <c r="D47" s="14" t="e">
        <f>SUM(Apr!#REF!,May!#REF!,Jun!#REF!)</f>
        <v>#REF!</v>
      </c>
      <c r="E47" s="14" t="e">
        <f>SUM(Apr!#REF!,May!#REF!,Jun!#REF!)</f>
        <v>#REF!</v>
      </c>
      <c r="F47" s="12" t="str">
        <f t="shared" si="4"/>
        <v/>
      </c>
      <c r="G47" s="13" t="str">
        <f t="shared" si="1"/>
        <v/>
      </c>
      <c r="H47" s="14" t="e">
        <f>SUM(Apr!#REF!,May!#REF!,Jun!#REF!)</f>
        <v>#REF!</v>
      </c>
      <c r="I47" s="14" t="e">
        <f>SUM(Apr!#REF!,May!#REF!,Jun!#REF!)</f>
        <v>#REF!</v>
      </c>
      <c r="J47" s="13" t="str">
        <f t="shared" si="2"/>
        <v/>
      </c>
    </row>
    <row r="48" spans="1:10" ht="15.6">
      <c r="A48" s="22"/>
      <c r="B48" s="23"/>
      <c r="C48" s="23" t="e">
        <f>Sites[[#This Row],[SOL'#]]</f>
        <v>#VALUE!</v>
      </c>
      <c r="D48" s="18" t="e">
        <f>SUM(Apr!#REF!,May!#REF!,Jun!#REF!)</f>
        <v>#REF!</v>
      </c>
      <c r="E48" s="8" t="e">
        <f>SUM(Apr!#REF!,May!#REF!,Jun!#REF!)</f>
        <v>#REF!</v>
      </c>
      <c r="F48" s="8" t="str">
        <f t="shared" si="4"/>
        <v/>
      </c>
      <c r="G48" s="9" t="str">
        <f t="shared" si="1"/>
        <v/>
      </c>
      <c r="H48" s="10" t="e">
        <f>SUM(Apr!#REF!,May!#REF!,Jun!#REF!)</f>
        <v>#REF!</v>
      </c>
      <c r="I48" s="10" t="e">
        <f>SUM(Apr!#REF!,May!#REF!,Jun!#REF!)</f>
        <v>#REF!</v>
      </c>
      <c r="J48" s="11" t="str">
        <f t="shared" si="2"/>
        <v/>
      </c>
    </row>
    <row r="49" spans="1:10" ht="15.6">
      <c r="A49" s="24"/>
      <c r="B49" s="25"/>
      <c r="C49" s="25" t="e">
        <f>Sites[[#This Row],[SOL'#]]</f>
        <v>#VALUE!</v>
      </c>
      <c r="D49" s="14" t="e">
        <f>SUM(Apr!#REF!,May!#REF!,Jun!#REF!)</f>
        <v>#REF!</v>
      </c>
      <c r="E49" s="14" t="e">
        <f>SUM(Apr!#REF!,May!#REF!,Jun!#REF!)</f>
        <v>#REF!</v>
      </c>
      <c r="F49" s="12" t="str">
        <f t="shared" si="4"/>
        <v/>
      </c>
      <c r="G49" s="13" t="str">
        <f t="shared" si="1"/>
        <v/>
      </c>
      <c r="H49" s="14" t="e">
        <f>SUM(Apr!#REF!,May!#REF!,Jun!#REF!)</f>
        <v>#REF!</v>
      </c>
      <c r="I49" s="14" t="e">
        <f>SUM(Apr!#REF!,May!#REF!,Jun!#REF!)</f>
        <v>#REF!</v>
      </c>
      <c r="J49" s="13" t="str">
        <f t="shared" si="2"/>
        <v/>
      </c>
    </row>
    <row r="50" spans="1:10" ht="15.6">
      <c r="A50" s="22"/>
      <c r="B50" s="23"/>
      <c r="C50" s="23" t="e">
        <f>Sites[[#This Row],[SOL'#]]</f>
        <v>#VALUE!</v>
      </c>
      <c r="D50" s="18" t="e">
        <f>SUM(Apr!#REF!,May!#REF!,Jun!#REF!)</f>
        <v>#REF!</v>
      </c>
      <c r="E50" s="8" t="e">
        <f>SUM(Apr!#REF!,May!#REF!,Jun!#REF!)</f>
        <v>#REF!</v>
      </c>
      <c r="F50" s="8" t="str">
        <f t="shared" ref="F50:F81" si="5">IF(AND(ISNUMBER(D50),ISNUMBER(E50)), D50-E50, "")</f>
        <v/>
      </c>
      <c r="G50" s="9" t="str">
        <f t="shared" si="1"/>
        <v/>
      </c>
      <c r="H50" s="10" t="e">
        <f>SUM(Apr!#REF!,May!#REF!,Jun!#REF!)</f>
        <v>#REF!</v>
      </c>
      <c r="I50" s="10" t="e">
        <f>SUM(Apr!#REF!,May!#REF!,Jun!#REF!)</f>
        <v>#REF!</v>
      </c>
      <c r="J50" s="11" t="str">
        <f t="shared" si="2"/>
        <v/>
      </c>
    </row>
    <row r="51" spans="1:10" ht="15.6">
      <c r="A51" s="24"/>
      <c r="B51" s="25"/>
      <c r="C51" s="25" t="e">
        <f>Sites[[#This Row],[SOL'#]]</f>
        <v>#VALUE!</v>
      </c>
      <c r="D51" s="14" t="e">
        <f>SUM(Apr!#REF!,May!#REF!,Jun!#REF!)</f>
        <v>#REF!</v>
      </c>
      <c r="E51" s="14" t="e">
        <f>SUM(Apr!#REF!,May!#REF!,Jun!#REF!)</f>
        <v>#REF!</v>
      </c>
      <c r="F51" s="12" t="str">
        <f t="shared" si="5"/>
        <v/>
      </c>
      <c r="G51" s="13" t="str">
        <f t="shared" si="1"/>
        <v/>
      </c>
      <c r="H51" s="14" t="e">
        <f>SUM(Apr!#REF!,May!#REF!,Jun!#REF!)</f>
        <v>#REF!</v>
      </c>
      <c r="I51" s="14" t="e">
        <f>SUM(Apr!#REF!,May!#REF!,Jun!#REF!)</f>
        <v>#REF!</v>
      </c>
      <c r="J51" s="13" t="str">
        <f t="shared" si="2"/>
        <v/>
      </c>
    </row>
    <row r="52" spans="1:10" ht="15.6">
      <c r="A52" s="22"/>
      <c r="B52" s="23"/>
      <c r="C52" s="23" t="e">
        <f>Sites[[#This Row],[SOL'#]]</f>
        <v>#VALUE!</v>
      </c>
      <c r="D52" s="18" t="e">
        <f>SUM(Apr!#REF!,May!#REF!,Jun!#REF!)</f>
        <v>#REF!</v>
      </c>
      <c r="E52" s="8" t="e">
        <f>SUM(Apr!#REF!,May!#REF!,Jun!#REF!)</f>
        <v>#REF!</v>
      </c>
      <c r="F52" s="8" t="str">
        <f t="shared" si="5"/>
        <v/>
      </c>
      <c r="G52" s="9" t="str">
        <f t="shared" si="1"/>
        <v/>
      </c>
      <c r="H52" s="10" t="e">
        <f>SUM(Apr!#REF!,May!#REF!,Jun!#REF!)</f>
        <v>#REF!</v>
      </c>
      <c r="I52" s="10" t="e">
        <f>SUM(Apr!#REF!,May!#REF!,Jun!#REF!)</f>
        <v>#REF!</v>
      </c>
      <c r="J52" s="11" t="str">
        <f t="shared" si="2"/>
        <v/>
      </c>
    </row>
    <row r="53" spans="1:10" ht="15.6">
      <c r="A53" s="24"/>
      <c r="B53" s="25"/>
      <c r="C53" s="25" t="e">
        <f>Sites[[#This Row],[SOL'#]]</f>
        <v>#VALUE!</v>
      </c>
      <c r="D53" s="14" t="e">
        <f>SUM(Apr!#REF!,May!#REF!,Jun!#REF!)</f>
        <v>#REF!</v>
      </c>
      <c r="E53" s="14" t="e">
        <f>SUM(Apr!#REF!,May!#REF!,Jun!#REF!)</f>
        <v>#REF!</v>
      </c>
      <c r="F53" s="12" t="str">
        <f t="shared" si="5"/>
        <v/>
      </c>
      <c r="G53" s="13" t="str">
        <f t="shared" si="1"/>
        <v/>
      </c>
      <c r="H53" s="14" t="e">
        <f>SUM(Apr!#REF!,May!#REF!,Jun!#REF!)</f>
        <v>#REF!</v>
      </c>
      <c r="I53" s="14" t="e">
        <f>SUM(Apr!#REF!,May!#REF!,Jun!#REF!)</f>
        <v>#REF!</v>
      </c>
      <c r="J53" s="13" t="str">
        <f t="shared" si="2"/>
        <v/>
      </c>
    </row>
    <row r="54" spans="1:10" ht="15.6">
      <c r="A54" s="22"/>
      <c r="B54" s="23"/>
      <c r="C54" s="23" t="e">
        <f>Sites[[#This Row],[SOL'#]]</f>
        <v>#VALUE!</v>
      </c>
      <c r="D54" s="18" t="e">
        <f>SUM(Apr!#REF!,May!#REF!,Jun!#REF!)</f>
        <v>#REF!</v>
      </c>
      <c r="E54" s="8" t="e">
        <f>SUM(Apr!#REF!,May!#REF!,Jun!#REF!)</f>
        <v>#REF!</v>
      </c>
      <c r="F54" s="8" t="str">
        <f t="shared" si="5"/>
        <v/>
      </c>
      <c r="G54" s="9" t="str">
        <f t="shared" si="1"/>
        <v/>
      </c>
      <c r="H54" s="10" t="e">
        <f>SUM(Apr!#REF!,May!#REF!,Jun!#REF!)</f>
        <v>#REF!</v>
      </c>
      <c r="I54" s="10" t="e">
        <f>SUM(Apr!#REF!,May!#REF!,Jun!#REF!)</f>
        <v>#REF!</v>
      </c>
      <c r="J54" s="11" t="str">
        <f t="shared" si="2"/>
        <v/>
      </c>
    </row>
    <row r="55" spans="1:10" ht="15.6">
      <c r="A55" s="24"/>
      <c r="B55" s="25"/>
      <c r="C55" s="25" t="e">
        <f>Sites[[#This Row],[SOL'#]]</f>
        <v>#VALUE!</v>
      </c>
      <c r="D55" s="14" t="e">
        <f>SUM(Apr!#REF!,May!#REF!,Jun!#REF!)</f>
        <v>#REF!</v>
      </c>
      <c r="E55" s="14" t="e">
        <f>SUM(Apr!#REF!,May!#REF!,Jun!#REF!)</f>
        <v>#REF!</v>
      </c>
      <c r="F55" s="12" t="str">
        <f t="shared" si="5"/>
        <v/>
      </c>
      <c r="G55" s="13" t="str">
        <f t="shared" si="1"/>
        <v/>
      </c>
      <c r="H55" s="14" t="e">
        <f>SUM(Apr!#REF!,May!#REF!,Jun!#REF!)</f>
        <v>#REF!</v>
      </c>
      <c r="I55" s="14" t="e">
        <f>SUM(Apr!#REF!,May!#REF!,Jun!#REF!)</f>
        <v>#REF!</v>
      </c>
      <c r="J55" s="13" t="str">
        <f t="shared" si="2"/>
        <v/>
      </c>
    </row>
    <row r="56" spans="1:10" ht="15.6">
      <c r="A56" s="22"/>
      <c r="B56" s="23"/>
      <c r="C56" s="23" t="e">
        <f>Sites[[#This Row],[SOL'#]]</f>
        <v>#VALUE!</v>
      </c>
      <c r="D56" s="18" t="e">
        <f>SUM(Apr!#REF!,May!#REF!,Jun!#REF!)</f>
        <v>#REF!</v>
      </c>
      <c r="E56" s="8" t="e">
        <f>SUM(Apr!#REF!,May!#REF!,Jun!#REF!)</f>
        <v>#REF!</v>
      </c>
      <c r="F56" s="8" t="str">
        <f t="shared" si="5"/>
        <v/>
      </c>
      <c r="G56" s="9" t="str">
        <f t="shared" si="1"/>
        <v/>
      </c>
      <c r="H56" s="10" t="e">
        <f>SUM(Apr!#REF!,May!#REF!,Jun!#REF!)</f>
        <v>#REF!</v>
      </c>
      <c r="I56" s="10" t="e">
        <f>SUM(Apr!#REF!,May!#REF!,Jun!#REF!)</f>
        <v>#REF!</v>
      </c>
      <c r="J56" s="11" t="str">
        <f t="shared" si="2"/>
        <v/>
      </c>
    </row>
    <row r="57" spans="1:10" ht="15.6">
      <c r="A57" s="24"/>
      <c r="B57" s="25"/>
      <c r="C57" s="25" t="e">
        <f>Sites[[#This Row],[SOL'#]]</f>
        <v>#VALUE!</v>
      </c>
      <c r="D57" s="14" t="e">
        <f>SUM(Apr!#REF!,May!#REF!,Jun!#REF!)</f>
        <v>#REF!</v>
      </c>
      <c r="E57" s="14" t="e">
        <f>SUM(Apr!#REF!,May!#REF!,Jun!#REF!)</f>
        <v>#REF!</v>
      </c>
      <c r="F57" s="12" t="str">
        <f t="shared" si="5"/>
        <v/>
      </c>
      <c r="G57" s="13" t="str">
        <f t="shared" si="1"/>
        <v/>
      </c>
      <c r="H57" s="14" t="e">
        <f>SUM(Apr!#REF!,May!#REF!,Jun!#REF!)</f>
        <v>#REF!</v>
      </c>
      <c r="I57" s="14" t="e">
        <f>SUM(Apr!#REF!,May!#REF!,Jun!#REF!)</f>
        <v>#REF!</v>
      </c>
      <c r="J57" s="13" t="str">
        <f t="shared" si="2"/>
        <v/>
      </c>
    </row>
    <row r="58" spans="1:10" ht="15.6">
      <c r="A58" s="22"/>
      <c r="B58" s="23"/>
      <c r="C58" s="23" t="e">
        <f>Sites[[#This Row],[SOL'#]]</f>
        <v>#VALUE!</v>
      </c>
      <c r="D58" s="18" t="e">
        <f>SUM(Apr!#REF!,May!#REF!,Jun!#REF!)</f>
        <v>#REF!</v>
      </c>
      <c r="E58" s="8" t="e">
        <f>SUM(Apr!#REF!,May!#REF!,Jun!#REF!)</f>
        <v>#REF!</v>
      </c>
      <c r="F58" s="8" t="str">
        <f t="shared" si="5"/>
        <v/>
      </c>
      <c r="G58" s="9" t="str">
        <f t="shared" si="1"/>
        <v/>
      </c>
      <c r="H58" s="10" t="e">
        <f>SUM(Apr!#REF!,May!#REF!,Jun!#REF!)</f>
        <v>#REF!</v>
      </c>
      <c r="I58" s="10" t="e">
        <f>SUM(Apr!#REF!,May!#REF!,Jun!#REF!)</f>
        <v>#REF!</v>
      </c>
      <c r="J58" s="11" t="str">
        <f t="shared" si="2"/>
        <v/>
      </c>
    </row>
    <row r="59" spans="1:10" ht="15.6">
      <c r="A59" s="24"/>
      <c r="B59" s="25"/>
      <c r="C59" s="25" t="e">
        <f>Sites[[#This Row],[SOL'#]]</f>
        <v>#VALUE!</v>
      </c>
      <c r="D59" s="14" t="e">
        <f>SUM(Apr!#REF!,May!#REF!,Jun!#REF!)</f>
        <v>#REF!</v>
      </c>
      <c r="E59" s="14" t="e">
        <f>SUM(Apr!#REF!,May!#REF!,Jun!#REF!)</f>
        <v>#REF!</v>
      </c>
      <c r="F59" s="12" t="str">
        <f t="shared" si="5"/>
        <v/>
      </c>
      <c r="G59" s="13" t="str">
        <f t="shared" si="1"/>
        <v/>
      </c>
      <c r="H59" s="14" t="e">
        <f>SUM(Apr!#REF!,May!#REF!,Jun!#REF!)</f>
        <v>#REF!</v>
      </c>
      <c r="I59" s="14" t="e">
        <f>SUM(Apr!#REF!,May!#REF!,Jun!#REF!)</f>
        <v>#REF!</v>
      </c>
      <c r="J59" s="13" t="str">
        <f t="shared" si="2"/>
        <v/>
      </c>
    </row>
    <row r="60" spans="1:10" ht="15.6">
      <c r="A60" s="22"/>
      <c r="B60" s="23"/>
      <c r="C60" s="23" t="e">
        <f>Sites[[#This Row],[SOL'#]]</f>
        <v>#VALUE!</v>
      </c>
      <c r="D60" s="18" t="e">
        <f>SUM(Apr!#REF!,May!#REF!,Jun!#REF!)</f>
        <v>#REF!</v>
      </c>
      <c r="E60" s="8" t="e">
        <f>SUM(Apr!#REF!,May!#REF!,Jun!#REF!)</f>
        <v>#REF!</v>
      </c>
      <c r="F60" s="8" t="str">
        <f t="shared" si="5"/>
        <v/>
      </c>
      <c r="G60" s="9" t="str">
        <f t="shared" si="1"/>
        <v/>
      </c>
      <c r="H60" s="10" t="e">
        <f>SUM(Apr!#REF!,May!#REF!,Jun!#REF!)</f>
        <v>#REF!</v>
      </c>
      <c r="I60" s="10" t="e">
        <f>SUM(Apr!#REF!,May!#REF!,Jun!#REF!)</f>
        <v>#REF!</v>
      </c>
      <c r="J60" s="11" t="str">
        <f t="shared" si="2"/>
        <v/>
      </c>
    </row>
    <row r="61" spans="1:10" ht="15.6">
      <c r="A61" s="24"/>
      <c r="B61" s="25"/>
      <c r="C61" s="25" t="e">
        <f>Sites[[#This Row],[SOL'#]]</f>
        <v>#VALUE!</v>
      </c>
      <c r="D61" s="14" t="e">
        <f>SUM(Apr!#REF!,May!#REF!,Jun!#REF!)</f>
        <v>#REF!</v>
      </c>
      <c r="E61" s="14" t="e">
        <f>SUM(Apr!#REF!,May!#REF!,Jun!#REF!)</f>
        <v>#REF!</v>
      </c>
      <c r="F61" s="12" t="str">
        <f t="shared" si="5"/>
        <v/>
      </c>
      <c r="G61" s="13" t="str">
        <f t="shared" si="1"/>
        <v/>
      </c>
      <c r="H61" s="14" t="e">
        <f>SUM(Apr!#REF!,May!#REF!,Jun!#REF!)</f>
        <v>#REF!</v>
      </c>
      <c r="I61" s="14" t="e">
        <f>SUM(Apr!#REF!,May!#REF!,Jun!#REF!)</f>
        <v>#REF!</v>
      </c>
      <c r="J61" s="13" t="str">
        <f t="shared" si="2"/>
        <v/>
      </c>
    </row>
    <row r="62" spans="1:10" ht="15.6">
      <c r="A62" s="22"/>
      <c r="B62" s="23"/>
      <c r="C62" s="23" t="e">
        <f>Sites[[#This Row],[SOL'#]]</f>
        <v>#VALUE!</v>
      </c>
      <c r="D62" s="18" t="e">
        <f>SUM(Apr!#REF!,May!#REF!,Jun!#REF!)</f>
        <v>#REF!</v>
      </c>
      <c r="E62" s="8" t="e">
        <f>SUM(Apr!#REF!,May!#REF!,Jun!#REF!)</f>
        <v>#REF!</v>
      </c>
      <c r="F62" s="8" t="str">
        <f t="shared" si="5"/>
        <v/>
      </c>
      <c r="G62" s="9" t="str">
        <f t="shared" si="1"/>
        <v/>
      </c>
      <c r="H62" s="10" t="e">
        <f>SUM(Apr!#REF!,May!#REF!,Jun!#REF!)</f>
        <v>#REF!</v>
      </c>
      <c r="I62" s="10" t="e">
        <f>SUM(Apr!#REF!,May!#REF!,Jun!#REF!)</f>
        <v>#REF!</v>
      </c>
      <c r="J62" s="11" t="str">
        <f t="shared" si="2"/>
        <v/>
      </c>
    </row>
    <row r="63" spans="1:10" ht="15.6">
      <c r="A63" s="24"/>
      <c r="B63" s="25"/>
      <c r="C63" s="25" t="e">
        <f>Sites[[#This Row],[SOL'#]]</f>
        <v>#VALUE!</v>
      </c>
      <c r="D63" s="14" t="e">
        <f>SUM(Apr!#REF!,May!#REF!,Jun!#REF!)</f>
        <v>#REF!</v>
      </c>
      <c r="E63" s="14" t="e">
        <f>SUM(Apr!#REF!,May!#REF!,Jun!#REF!)</f>
        <v>#REF!</v>
      </c>
      <c r="F63" s="12" t="str">
        <f t="shared" si="5"/>
        <v/>
      </c>
      <c r="G63" s="13" t="str">
        <f t="shared" si="1"/>
        <v/>
      </c>
      <c r="H63" s="14" t="e">
        <f>SUM(Apr!#REF!,May!#REF!,Jun!#REF!)</f>
        <v>#REF!</v>
      </c>
      <c r="I63" s="14" t="e">
        <f>SUM(Apr!#REF!,May!#REF!,Jun!#REF!)</f>
        <v>#REF!</v>
      </c>
      <c r="J63" s="13" t="str">
        <f t="shared" si="2"/>
        <v/>
      </c>
    </row>
    <row r="64" spans="1:10" ht="15.6">
      <c r="A64" s="22"/>
      <c r="B64" s="23"/>
      <c r="C64" s="23" t="e">
        <f>Sites[[#This Row],[SOL'#]]</f>
        <v>#VALUE!</v>
      </c>
      <c r="D64" s="18" t="e">
        <f>SUM(Apr!#REF!,May!#REF!,Jun!#REF!)</f>
        <v>#REF!</v>
      </c>
      <c r="E64" s="8" t="e">
        <f>SUM(Apr!#REF!,May!#REF!,Jun!#REF!)</f>
        <v>#REF!</v>
      </c>
      <c r="F64" s="8" t="str">
        <f t="shared" si="5"/>
        <v/>
      </c>
      <c r="G64" s="9" t="str">
        <f t="shared" si="1"/>
        <v/>
      </c>
      <c r="H64" s="10" t="e">
        <f>SUM(Apr!#REF!,May!#REF!,Jun!#REF!)</f>
        <v>#REF!</v>
      </c>
      <c r="I64" s="10" t="e">
        <f>SUM(Apr!#REF!,May!#REF!,Jun!#REF!)</f>
        <v>#REF!</v>
      </c>
      <c r="J64" s="11" t="str">
        <f t="shared" si="2"/>
        <v/>
      </c>
    </row>
    <row r="65" spans="1:10" ht="15.6">
      <c r="A65" s="24"/>
      <c r="B65" s="25"/>
      <c r="C65" s="25" t="e">
        <f>Sites[[#This Row],[SOL'#]]</f>
        <v>#VALUE!</v>
      </c>
      <c r="D65" s="14" t="e">
        <f>SUM(Apr!#REF!,May!#REF!,Jun!#REF!)</f>
        <v>#REF!</v>
      </c>
      <c r="E65" s="14" t="e">
        <f>SUM(Apr!#REF!,May!#REF!,Jun!#REF!)</f>
        <v>#REF!</v>
      </c>
      <c r="F65" s="12" t="str">
        <f t="shared" si="5"/>
        <v/>
      </c>
      <c r="G65" s="13" t="str">
        <f t="shared" si="1"/>
        <v/>
      </c>
      <c r="H65" s="14" t="e">
        <f>SUM(Apr!#REF!,May!#REF!,Jun!#REF!)</f>
        <v>#REF!</v>
      </c>
      <c r="I65" s="14" t="e">
        <f>SUM(Apr!#REF!,May!#REF!,Jun!#REF!)</f>
        <v>#REF!</v>
      </c>
      <c r="J65" s="13" t="str">
        <f t="shared" si="2"/>
        <v/>
      </c>
    </row>
    <row r="66" spans="1:10" ht="15.6">
      <c r="A66" s="22"/>
      <c r="B66" s="23"/>
      <c r="C66" s="23" t="e">
        <f>Sites[[#This Row],[SOL'#]]</f>
        <v>#VALUE!</v>
      </c>
      <c r="D66" s="18" t="e">
        <f>SUM(Apr!#REF!,May!#REF!,Jun!#REF!)</f>
        <v>#REF!</v>
      </c>
      <c r="E66" s="8" t="e">
        <f>SUM(Apr!#REF!,May!#REF!,Jun!#REF!)</f>
        <v>#REF!</v>
      </c>
      <c r="F66" s="8" t="str">
        <f t="shared" si="5"/>
        <v/>
      </c>
      <c r="G66" s="9" t="str">
        <f t="shared" si="1"/>
        <v/>
      </c>
      <c r="H66" s="10" t="e">
        <f>SUM(Apr!#REF!,May!#REF!,Jun!#REF!)</f>
        <v>#REF!</v>
      </c>
      <c r="I66" s="10" t="e">
        <f>SUM(Apr!#REF!,May!#REF!,Jun!#REF!)</f>
        <v>#REF!</v>
      </c>
      <c r="J66" s="11" t="str">
        <f t="shared" si="2"/>
        <v/>
      </c>
    </row>
    <row r="67" spans="1:10" ht="15.6">
      <c r="A67" s="24"/>
      <c r="B67" s="25"/>
      <c r="C67" s="25" t="e">
        <f>Sites[[#This Row],[SOL'#]]</f>
        <v>#VALUE!</v>
      </c>
      <c r="D67" s="14" t="e">
        <f>SUM(Apr!#REF!,May!#REF!,Jun!#REF!)</f>
        <v>#REF!</v>
      </c>
      <c r="E67" s="14" t="e">
        <f>SUM(Apr!#REF!,May!#REF!,Jun!#REF!)</f>
        <v>#REF!</v>
      </c>
      <c r="F67" s="12" t="str">
        <f t="shared" si="5"/>
        <v/>
      </c>
      <c r="G67" s="13" t="str">
        <f t="shared" si="1"/>
        <v/>
      </c>
      <c r="H67" s="14" t="e">
        <f>SUM(Apr!#REF!,May!#REF!,Jun!#REF!)</f>
        <v>#REF!</v>
      </c>
      <c r="I67" s="14" t="e">
        <f>SUM(Apr!#REF!,May!#REF!,Jun!#REF!)</f>
        <v>#REF!</v>
      </c>
      <c r="J67" s="13" t="str">
        <f t="shared" si="2"/>
        <v/>
      </c>
    </row>
    <row r="68" spans="1:10" ht="15.6">
      <c r="A68" s="22"/>
      <c r="B68" s="23"/>
      <c r="C68" s="23" t="e">
        <f>Sites[[#This Row],[SOL'#]]</f>
        <v>#VALUE!</v>
      </c>
      <c r="D68" s="18" t="e">
        <f>SUM(Apr!#REF!,May!#REF!,Jun!#REF!)</f>
        <v>#REF!</v>
      </c>
      <c r="E68" s="8" t="e">
        <f>SUM(Apr!#REF!,May!#REF!,Jun!#REF!)</f>
        <v>#REF!</v>
      </c>
      <c r="F68" s="8" t="str">
        <f t="shared" si="5"/>
        <v/>
      </c>
      <c r="G68" s="9" t="str">
        <f t="shared" si="1"/>
        <v/>
      </c>
      <c r="H68" s="10" t="e">
        <f>SUM(Apr!#REF!,May!#REF!,Jun!#REF!)</f>
        <v>#REF!</v>
      </c>
      <c r="I68" s="10" t="e">
        <f>SUM(Apr!#REF!,May!#REF!,Jun!#REF!)</f>
        <v>#REF!</v>
      </c>
      <c r="J68" s="11" t="str">
        <f t="shared" si="2"/>
        <v/>
      </c>
    </row>
    <row r="69" spans="1:10" ht="15.6">
      <c r="A69" s="24"/>
      <c r="B69" s="25"/>
      <c r="C69" s="25" t="e">
        <f>Sites[[#This Row],[SOL'#]]</f>
        <v>#VALUE!</v>
      </c>
      <c r="D69" s="14" t="e">
        <f>SUM(Apr!#REF!,May!#REF!,Jun!#REF!)</f>
        <v>#REF!</v>
      </c>
      <c r="E69" s="14" t="e">
        <f>SUM(Apr!#REF!,May!#REF!,Jun!#REF!)</f>
        <v>#REF!</v>
      </c>
      <c r="F69" s="12" t="str">
        <f t="shared" si="5"/>
        <v/>
      </c>
      <c r="G69" s="13" t="str">
        <f t="shared" si="1"/>
        <v/>
      </c>
      <c r="H69" s="14" t="e">
        <f>SUM(Apr!#REF!,May!#REF!,Jun!#REF!)</f>
        <v>#REF!</v>
      </c>
      <c r="I69" s="14" t="e">
        <f>SUM(Apr!#REF!,May!#REF!,Jun!#REF!)</f>
        <v>#REF!</v>
      </c>
      <c r="J69" s="13" t="str">
        <f t="shared" si="2"/>
        <v/>
      </c>
    </row>
    <row r="70" spans="1:10" ht="15.6">
      <c r="A70" s="22"/>
      <c r="B70" s="23"/>
      <c r="C70" s="23" t="e">
        <f>Sites[[#This Row],[SOL'#]]</f>
        <v>#VALUE!</v>
      </c>
      <c r="D70" s="18" t="e">
        <f>SUM(Apr!#REF!,May!#REF!,Jun!#REF!)</f>
        <v>#REF!</v>
      </c>
      <c r="E70" s="8" t="e">
        <f>SUM(Apr!#REF!,May!#REF!,Jun!#REF!)</f>
        <v>#REF!</v>
      </c>
      <c r="F70" s="8" t="str">
        <f t="shared" si="5"/>
        <v/>
      </c>
      <c r="G70" s="9" t="str">
        <f t="shared" ref="G70:G133" si="6">IFERROR(F70/E70, "")</f>
        <v/>
      </c>
      <c r="H70" s="10" t="e">
        <f>SUM(Apr!#REF!,May!#REF!,Jun!#REF!)</f>
        <v>#REF!</v>
      </c>
      <c r="I70" s="10" t="e">
        <f>SUM(Apr!#REF!,May!#REF!,Jun!#REF!)</f>
        <v>#REF!</v>
      </c>
      <c r="J70" s="11" t="str">
        <f t="shared" ref="J70:J133" si="7">IFERROR(I70/H70, "")</f>
        <v/>
      </c>
    </row>
    <row r="71" spans="1:10" ht="15.6">
      <c r="A71" s="24"/>
      <c r="B71" s="25"/>
      <c r="C71" s="25" t="e">
        <f>Sites[[#This Row],[SOL'#]]</f>
        <v>#VALUE!</v>
      </c>
      <c r="D71" s="14" t="e">
        <f>SUM(Apr!#REF!,May!#REF!,Jun!#REF!)</f>
        <v>#REF!</v>
      </c>
      <c r="E71" s="14" t="e">
        <f>SUM(Apr!#REF!,May!#REF!,Jun!#REF!)</f>
        <v>#REF!</v>
      </c>
      <c r="F71" s="12" t="str">
        <f t="shared" si="5"/>
        <v/>
      </c>
      <c r="G71" s="13" t="str">
        <f t="shared" si="6"/>
        <v/>
      </c>
      <c r="H71" s="14" t="e">
        <f>SUM(Apr!#REF!,May!#REF!,Jun!#REF!)</f>
        <v>#REF!</v>
      </c>
      <c r="I71" s="14" t="e">
        <f>SUM(Apr!#REF!,May!#REF!,Jun!#REF!)</f>
        <v>#REF!</v>
      </c>
      <c r="J71" s="13" t="str">
        <f t="shared" si="7"/>
        <v/>
      </c>
    </row>
    <row r="72" spans="1:10" ht="15.6">
      <c r="A72" s="22"/>
      <c r="B72" s="23"/>
      <c r="C72" s="23" t="e">
        <f>Sites[[#This Row],[SOL'#]]</f>
        <v>#VALUE!</v>
      </c>
      <c r="D72" s="18" t="e">
        <f>SUM(Apr!#REF!,May!#REF!,Jun!#REF!)</f>
        <v>#REF!</v>
      </c>
      <c r="E72" s="8" t="e">
        <f>SUM(Apr!#REF!,May!#REF!,Jun!#REF!)</f>
        <v>#REF!</v>
      </c>
      <c r="F72" s="8" t="str">
        <f t="shared" si="5"/>
        <v/>
      </c>
      <c r="G72" s="9" t="str">
        <f t="shared" si="6"/>
        <v/>
      </c>
      <c r="H72" s="10" t="e">
        <f>SUM(Apr!#REF!,May!#REF!,Jun!#REF!)</f>
        <v>#REF!</v>
      </c>
      <c r="I72" s="10" t="e">
        <f>SUM(Apr!#REF!,May!#REF!,Jun!#REF!)</f>
        <v>#REF!</v>
      </c>
      <c r="J72" s="11" t="str">
        <f t="shared" si="7"/>
        <v/>
      </c>
    </row>
    <row r="73" spans="1:10" ht="15.6">
      <c r="A73" s="24"/>
      <c r="B73" s="25"/>
      <c r="C73" s="25" t="e">
        <f>Sites[[#This Row],[SOL'#]]</f>
        <v>#VALUE!</v>
      </c>
      <c r="D73" s="14" t="e">
        <f>SUM(Apr!#REF!,May!#REF!,Jun!#REF!)</f>
        <v>#REF!</v>
      </c>
      <c r="E73" s="14" t="e">
        <f>SUM(Apr!#REF!,May!#REF!,Jun!#REF!)</f>
        <v>#REF!</v>
      </c>
      <c r="F73" s="12" t="str">
        <f t="shared" si="5"/>
        <v/>
      </c>
      <c r="G73" s="13" t="str">
        <f t="shared" si="6"/>
        <v/>
      </c>
      <c r="H73" s="14" t="e">
        <f>SUM(Apr!#REF!,May!#REF!,Jun!#REF!)</f>
        <v>#REF!</v>
      </c>
      <c r="I73" s="14" t="e">
        <f>SUM(Apr!#REF!,May!#REF!,Jun!#REF!)</f>
        <v>#REF!</v>
      </c>
      <c r="J73" s="13" t="str">
        <f t="shared" si="7"/>
        <v/>
      </c>
    </row>
    <row r="74" spans="1:10" ht="15.6">
      <c r="A74" s="22"/>
      <c r="B74" s="23"/>
      <c r="C74" s="23" t="e">
        <f>Sites[[#This Row],[SOL'#]]</f>
        <v>#VALUE!</v>
      </c>
      <c r="D74" s="18" t="e">
        <f>SUM(Apr!#REF!,May!#REF!,Jun!#REF!)</f>
        <v>#REF!</v>
      </c>
      <c r="E74" s="8" t="e">
        <f>SUM(Apr!#REF!,May!#REF!,Jun!#REF!)</f>
        <v>#REF!</v>
      </c>
      <c r="F74" s="8" t="str">
        <f t="shared" si="5"/>
        <v/>
      </c>
      <c r="G74" s="9" t="str">
        <f t="shared" si="6"/>
        <v/>
      </c>
      <c r="H74" s="10" t="e">
        <f>SUM(Apr!#REF!,May!#REF!,Jun!#REF!)</f>
        <v>#REF!</v>
      </c>
      <c r="I74" s="10" t="e">
        <f>SUM(Apr!#REF!,May!#REF!,Jun!#REF!)</f>
        <v>#REF!</v>
      </c>
      <c r="J74" s="11" t="str">
        <f t="shared" si="7"/>
        <v/>
      </c>
    </row>
    <row r="75" spans="1:10" ht="15.6">
      <c r="A75" s="24"/>
      <c r="B75" s="25"/>
      <c r="C75" s="25" t="e">
        <f>Sites[[#This Row],[SOL'#]]</f>
        <v>#VALUE!</v>
      </c>
      <c r="D75" s="14" t="e">
        <f>SUM(Apr!#REF!,May!#REF!,Jun!#REF!)</f>
        <v>#REF!</v>
      </c>
      <c r="E75" s="14" t="e">
        <f>SUM(Apr!#REF!,May!#REF!,Jun!#REF!)</f>
        <v>#REF!</v>
      </c>
      <c r="F75" s="12" t="str">
        <f t="shared" si="5"/>
        <v/>
      </c>
      <c r="G75" s="13" t="str">
        <f t="shared" si="6"/>
        <v/>
      </c>
      <c r="H75" s="14" t="e">
        <f>SUM(Apr!#REF!,May!#REF!,Jun!#REF!)</f>
        <v>#REF!</v>
      </c>
      <c r="I75" s="14" t="e">
        <f>SUM(Apr!#REF!,May!#REF!,Jun!#REF!)</f>
        <v>#REF!</v>
      </c>
      <c r="J75" s="13" t="str">
        <f t="shared" si="7"/>
        <v/>
      </c>
    </row>
    <row r="76" spans="1:10" ht="15.6">
      <c r="A76" s="22"/>
      <c r="B76" s="23"/>
      <c r="C76" s="23" t="e">
        <f>Sites[[#This Row],[SOL'#]]</f>
        <v>#VALUE!</v>
      </c>
      <c r="D76" s="18" t="e">
        <f>SUM(Apr!#REF!,May!#REF!,Jun!#REF!)</f>
        <v>#REF!</v>
      </c>
      <c r="E76" s="8" t="e">
        <f>SUM(Apr!#REF!,May!#REF!,Jun!#REF!)</f>
        <v>#REF!</v>
      </c>
      <c r="F76" s="8" t="str">
        <f t="shared" si="5"/>
        <v/>
      </c>
      <c r="G76" s="9" t="str">
        <f t="shared" si="6"/>
        <v/>
      </c>
      <c r="H76" s="10" t="e">
        <f>SUM(Apr!#REF!,May!#REF!,Jun!#REF!)</f>
        <v>#REF!</v>
      </c>
      <c r="I76" s="10" t="e">
        <f>SUM(Apr!#REF!,May!#REF!,Jun!#REF!)</f>
        <v>#REF!</v>
      </c>
      <c r="J76" s="11" t="str">
        <f t="shared" si="7"/>
        <v/>
      </c>
    </row>
    <row r="77" spans="1:10" ht="15.6">
      <c r="A77" s="24"/>
      <c r="B77" s="25"/>
      <c r="C77" s="25" t="e">
        <f>Sites[[#This Row],[SOL'#]]</f>
        <v>#VALUE!</v>
      </c>
      <c r="D77" s="14" t="e">
        <f>SUM(Apr!#REF!,May!#REF!,Jun!#REF!)</f>
        <v>#REF!</v>
      </c>
      <c r="E77" s="14" t="e">
        <f>SUM(Apr!#REF!,May!#REF!,Jun!#REF!)</f>
        <v>#REF!</v>
      </c>
      <c r="F77" s="12" t="str">
        <f t="shared" si="5"/>
        <v/>
      </c>
      <c r="G77" s="13" t="str">
        <f t="shared" si="6"/>
        <v/>
      </c>
      <c r="H77" s="14" t="e">
        <f>SUM(Apr!#REF!,May!#REF!,Jun!#REF!)</f>
        <v>#REF!</v>
      </c>
      <c r="I77" s="14" t="e">
        <f>SUM(Apr!#REF!,May!#REF!,Jun!#REF!)</f>
        <v>#REF!</v>
      </c>
      <c r="J77" s="13" t="str">
        <f t="shared" si="7"/>
        <v/>
      </c>
    </row>
    <row r="78" spans="1:10" ht="15.6">
      <c r="A78" s="22"/>
      <c r="B78" s="23"/>
      <c r="C78" s="23" t="e">
        <f>Sites[[#This Row],[SOL'#]]</f>
        <v>#VALUE!</v>
      </c>
      <c r="D78" s="18" t="e">
        <f>SUM(Apr!#REF!,May!#REF!,Jun!#REF!)</f>
        <v>#REF!</v>
      </c>
      <c r="E78" s="8" t="e">
        <f>SUM(Apr!#REF!,May!#REF!,Jun!#REF!)</f>
        <v>#REF!</v>
      </c>
      <c r="F78" s="8" t="str">
        <f t="shared" si="5"/>
        <v/>
      </c>
      <c r="G78" s="9" t="str">
        <f t="shared" si="6"/>
        <v/>
      </c>
      <c r="H78" s="10" t="e">
        <f>SUM(Apr!#REF!,May!#REF!,Jun!#REF!)</f>
        <v>#REF!</v>
      </c>
      <c r="I78" s="10" t="e">
        <f>SUM(Apr!#REF!,May!#REF!,Jun!#REF!)</f>
        <v>#REF!</v>
      </c>
      <c r="J78" s="11" t="str">
        <f t="shared" si="7"/>
        <v/>
      </c>
    </row>
    <row r="79" spans="1:10" ht="15.6">
      <c r="A79" s="24"/>
      <c r="B79" s="25"/>
      <c r="C79" s="25" t="e">
        <f>Sites[[#This Row],[SOL'#]]</f>
        <v>#VALUE!</v>
      </c>
      <c r="D79" s="14" t="e">
        <f>SUM(Apr!#REF!,May!#REF!,Jun!#REF!)</f>
        <v>#REF!</v>
      </c>
      <c r="E79" s="14" t="e">
        <f>SUM(Apr!#REF!,May!#REF!,Jun!#REF!)</f>
        <v>#REF!</v>
      </c>
      <c r="F79" s="12" t="str">
        <f t="shared" si="5"/>
        <v/>
      </c>
      <c r="G79" s="13" t="str">
        <f t="shared" si="6"/>
        <v/>
      </c>
      <c r="H79" s="14" t="e">
        <f>SUM(Apr!#REF!,May!#REF!,Jun!#REF!)</f>
        <v>#REF!</v>
      </c>
      <c r="I79" s="14" t="e">
        <f>SUM(Apr!#REF!,May!#REF!,Jun!#REF!)</f>
        <v>#REF!</v>
      </c>
      <c r="J79" s="13" t="str">
        <f t="shared" si="7"/>
        <v/>
      </c>
    </row>
    <row r="80" spans="1:10" ht="15.6">
      <c r="A80" s="22"/>
      <c r="B80" s="23"/>
      <c r="C80" s="23" t="e">
        <f>Sites[[#This Row],[SOL'#]]</f>
        <v>#VALUE!</v>
      </c>
      <c r="D80" s="18" t="e">
        <f>SUM(Apr!#REF!,May!#REF!,Jun!#REF!)</f>
        <v>#REF!</v>
      </c>
      <c r="E80" s="8" t="e">
        <f>SUM(Apr!#REF!,May!#REF!,Jun!#REF!)</f>
        <v>#REF!</v>
      </c>
      <c r="F80" s="8" t="str">
        <f t="shared" si="5"/>
        <v/>
      </c>
      <c r="G80" s="9" t="str">
        <f t="shared" si="6"/>
        <v/>
      </c>
      <c r="H80" s="10" t="e">
        <f>SUM(Apr!#REF!,May!#REF!,Jun!#REF!)</f>
        <v>#REF!</v>
      </c>
      <c r="I80" s="10" t="e">
        <f>SUM(Apr!#REF!,May!#REF!,Jun!#REF!)</f>
        <v>#REF!</v>
      </c>
      <c r="J80" s="11" t="str">
        <f t="shared" si="7"/>
        <v/>
      </c>
    </row>
    <row r="81" spans="1:10" ht="15.6">
      <c r="A81" s="24"/>
      <c r="B81" s="25"/>
      <c r="C81" s="25" t="e">
        <f>Sites[[#This Row],[SOL'#]]</f>
        <v>#VALUE!</v>
      </c>
      <c r="D81" s="14" t="e">
        <f>SUM(Apr!#REF!,May!#REF!,Jun!#REF!)</f>
        <v>#REF!</v>
      </c>
      <c r="E81" s="14" t="e">
        <f>SUM(Apr!#REF!,May!#REF!,Jun!#REF!)</f>
        <v>#REF!</v>
      </c>
      <c r="F81" s="12" t="str">
        <f t="shared" si="5"/>
        <v/>
      </c>
      <c r="G81" s="13" t="str">
        <f t="shared" si="6"/>
        <v/>
      </c>
      <c r="H81" s="14" t="e">
        <f>SUM(Apr!#REF!,May!#REF!,Jun!#REF!)</f>
        <v>#REF!</v>
      </c>
      <c r="I81" s="14" t="e">
        <f>SUM(Apr!#REF!,May!#REF!,Jun!#REF!)</f>
        <v>#REF!</v>
      </c>
      <c r="J81" s="13" t="str">
        <f t="shared" si="7"/>
        <v/>
      </c>
    </row>
    <row r="82" spans="1:10" ht="15.6">
      <c r="A82" s="22"/>
      <c r="B82" s="23"/>
      <c r="C82" s="23" t="e">
        <f>Sites[[#This Row],[SOL'#]]</f>
        <v>#VALUE!</v>
      </c>
      <c r="D82" s="18" t="e">
        <f>SUM(Apr!#REF!,May!#REF!,Jun!#REF!)</f>
        <v>#REF!</v>
      </c>
      <c r="E82" s="8" t="e">
        <f>SUM(Apr!#REF!,May!#REF!,Jun!#REF!)</f>
        <v>#REF!</v>
      </c>
      <c r="F82" s="8" t="str">
        <f t="shared" ref="F82:F113" si="8">IF(AND(ISNUMBER(D82),ISNUMBER(E82)), D82-E82, "")</f>
        <v/>
      </c>
      <c r="G82" s="9" t="str">
        <f t="shared" si="6"/>
        <v/>
      </c>
      <c r="H82" s="10" t="e">
        <f>SUM(Apr!#REF!,May!#REF!,Jun!#REF!)</f>
        <v>#REF!</v>
      </c>
      <c r="I82" s="10" t="e">
        <f>SUM(Apr!#REF!,May!#REF!,Jun!#REF!)</f>
        <v>#REF!</v>
      </c>
      <c r="J82" s="11" t="str">
        <f t="shared" si="7"/>
        <v/>
      </c>
    </row>
    <row r="83" spans="1:10" ht="15.6">
      <c r="A83" s="24"/>
      <c r="B83" s="25"/>
      <c r="C83" s="25" t="e">
        <f>Sites[[#This Row],[SOL'#]]</f>
        <v>#VALUE!</v>
      </c>
      <c r="D83" s="14" t="e">
        <f>SUM(Apr!#REF!,May!#REF!,Jun!#REF!)</f>
        <v>#REF!</v>
      </c>
      <c r="E83" s="14" t="e">
        <f>SUM(Apr!#REF!,May!#REF!,Jun!#REF!)</f>
        <v>#REF!</v>
      </c>
      <c r="F83" s="12" t="str">
        <f t="shared" si="8"/>
        <v/>
      </c>
      <c r="G83" s="13" t="str">
        <f t="shared" si="6"/>
        <v/>
      </c>
      <c r="H83" s="14" t="e">
        <f>SUM(Apr!#REF!,May!#REF!,Jun!#REF!)</f>
        <v>#REF!</v>
      </c>
      <c r="I83" s="14" t="e">
        <f>SUM(Apr!#REF!,May!#REF!,Jun!#REF!)</f>
        <v>#REF!</v>
      </c>
      <c r="J83" s="13" t="str">
        <f t="shared" si="7"/>
        <v/>
      </c>
    </row>
    <row r="84" spans="1:10" ht="15.6">
      <c r="A84" s="22"/>
      <c r="B84" s="23"/>
      <c r="C84" s="23" t="e">
        <f>Sites[[#This Row],[SOL'#]]</f>
        <v>#VALUE!</v>
      </c>
      <c r="D84" s="18" t="e">
        <f>SUM(Apr!#REF!,May!#REF!,Jun!#REF!)</f>
        <v>#REF!</v>
      </c>
      <c r="E84" s="8" t="e">
        <f>SUM(Apr!#REF!,May!#REF!,Jun!#REF!)</f>
        <v>#REF!</v>
      </c>
      <c r="F84" s="8" t="str">
        <f t="shared" si="8"/>
        <v/>
      </c>
      <c r="G84" s="9" t="str">
        <f t="shared" si="6"/>
        <v/>
      </c>
      <c r="H84" s="10" t="e">
        <f>SUM(Apr!#REF!,May!#REF!,Jun!#REF!)</f>
        <v>#REF!</v>
      </c>
      <c r="I84" s="10" t="e">
        <f>SUM(Apr!#REF!,May!#REF!,Jun!#REF!)</f>
        <v>#REF!</v>
      </c>
      <c r="J84" s="11" t="str">
        <f t="shared" si="7"/>
        <v/>
      </c>
    </row>
    <row r="85" spans="1:10" ht="15.6">
      <c r="A85" s="24"/>
      <c r="B85" s="25"/>
      <c r="C85" s="25" t="e">
        <f>Sites[[#This Row],[SOL'#]]</f>
        <v>#VALUE!</v>
      </c>
      <c r="D85" s="14" t="e">
        <f>SUM(Apr!#REF!,May!#REF!,Jun!#REF!)</f>
        <v>#REF!</v>
      </c>
      <c r="E85" s="14" t="e">
        <f>SUM(Apr!#REF!,May!#REF!,Jun!#REF!)</f>
        <v>#REF!</v>
      </c>
      <c r="F85" s="12" t="str">
        <f t="shared" si="8"/>
        <v/>
      </c>
      <c r="G85" s="13" t="str">
        <f t="shared" si="6"/>
        <v/>
      </c>
      <c r="H85" s="14" t="e">
        <f>SUM(Apr!#REF!,May!#REF!,Jun!#REF!)</f>
        <v>#REF!</v>
      </c>
      <c r="I85" s="14" t="e">
        <f>SUM(Apr!#REF!,May!#REF!,Jun!#REF!)</f>
        <v>#REF!</v>
      </c>
      <c r="J85" s="13" t="str">
        <f t="shared" si="7"/>
        <v/>
      </c>
    </row>
    <row r="86" spans="1:10" ht="15.6">
      <c r="A86" s="22"/>
      <c r="B86" s="23"/>
      <c r="C86" s="23" t="e">
        <f>Sites[[#This Row],[SOL'#]]</f>
        <v>#VALUE!</v>
      </c>
      <c r="D86" s="18" t="e">
        <f>SUM(Apr!#REF!,May!#REF!,Jun!#REF!)</f>
        <v>#REF!</v>
      </c>
      <c r="E86" s="8" t="e">
        <f>SUM(Apr!#REF!,May!#REF!,Jun!#REF!)</f>
        <v>#REF!</v>
      </c>
      <c r="F86" s="8" t="str">
        <f t="shared" si="8"/>
        <v/>
      </c>
      <c r="G86" s="9" t="str">
        <f t="shared" si="6"/>
        <v/>
      </c>
      <c r="H86" s="10" t="e">
        <f>SUM(Apr!#REF!,May!#REF!,Jun!#REF!)</f>
        <v>#REF!</v>
      </c>
      <c r="I86" s="10" t="e">
        <f>SUM(Apr!#REF!,May!#REF!,Jun!#REF!)</f>
        <v>#REF!</v>
      </c>
      <c r="J86" s="11" t="str">
        <f t="shared" si="7"/>
        <v/>
      </c>
    </row>
    <row r="87" spans="1:10" ht="15.6">
      <c r="A87" s="24"/>
      <c r="B87" s="25"/>
      <c r="C87" s="25" t="e">
        <f>Sites[[#This Row],[SOL'#]]</f>
        <v>#VALUE!</v>
      </c>
      <c r="D87" s="14" t="e">
        <f>SUM(Apr!#REF!,May!#REF!,Jun!#REF!)</f>
        <v>#REF!</v>
      </c>
      <c r="E87" s="14" t="e">
        <f>SUM(Apr!#REF!,May!#REF!,Jun!#REF!)</f>
        <v>#REF!</v>
      </c>
      <c r="F87" s="12" t="str">
        <f t="shared" si="8"/>
        <v/>
      </c>
      <c r="G87" s="13" t="str">
        <f t="shared" si="6"/>
        <v/>
      </c>
      <c r="H87" s="14" t="e">
        <f>SUM(Apr!#REF!,May!#REF!,Jun!#REF!)</f>
        <v>#REF!</v>
      </c>
      <c r="I87" s="14" t="e">
        <f>SUM(Apr!#REF!,May!#REF!,Jun!#REF!)</f>
        <v>#REF!</v>
      </c>
      <c r="J87" s="13" t="str">
        <f t="shared" si="7"/>
        <v/>
      </c>
    </row>
    <row r="88" spans="1:10" ht="15.6">
      <c r="A88" s="22"/>
      <c r="B88" s="23"/>
      <c r="C88" s="23" t="e">
        <f>Sites[[#This Row],[SOL'#]]</f>
        <v>#VALUE!</v>
      </c>
      <c r="D88" s="18" t="e">
        <f>SUM(Apr!#REF!,May!#REF!,Jun!#REF!)</f>
        <v>#REF!</v>
      </c>
      <c r="E88" s="8" t="e">
        <f>SUM(Apr!#REF!,May!#REF!,Jun!#REF!)</f>
        <v>#REF!</v>
      </c>
      <c r="F88" s="8" t="str">
        <f t="shared" si="8"/>
        <v/>
      </c>
      <c r="G88" s="9" t="str">
        <f t="shared" si="6"/>
        <v/>
      </c>
      <c r="H88" s="10" t="e">
        <f>SUM(Apr!#REF!,May!#REF!,Jun!#REF!)</f>
        <v>#REF!</v>
      </c>
      <c r="I88" s="10" t="e">
        <f>SUM(Apr!#REF!,May!#REF!,Jun!#REF!)</f>
        <v>#REF!</v>
      </c>
      <c r="J88" s="11" t="str">
        <f t="shared" si="7"/>
        <v/>
      </c>
    </row>
    <row r="89" spans="1:10" ht="15.6">
      <c r="A89" s="24"/>
      <c r="B89" s="25"/>
      <c r="C89" s="25" t="e">
        <f>Sites[[#This Row],[SOL'#]]</f>
        <v>#VALUE!</v>
      </c>
      <c r="D89" s="14" t="e">
        <f>SUM(Apr!#REF!,May!#REF!,Jun!#REF!)</f>
        <v>#REF!</v>
      </c>
      <c r="E89" s="14" t="e">
        <f>SUM(Apr!#REF!,May!#REF!,Jun!#REF!)</f>
        <v>#REF!</v>
      </c>
      <c r="F89" s="12" t="str">
        <f t="shared" si="8"/>
        <v/>
      </c>
      <c r="G89" s="13" t="str">
        <f t="shared" si="6"/>
        <v/>
      </c>
      <c r="H89" s="14" t="e">
        <f>SUM(Apr!#REF!,May!#REF!,Jun!#REF!)</f>
        <v>#REF!</v>
      </c>
      <c r="I89" s="14" t="e">
        <f>SUM(Apr!#REF!,May!#REF!,Jun!#REF!)</f>
        <v>#REF!</v>
      </c>
      <c r="J89" s="13" t="str">
        <f t="shared" si="7"/>
        <v/>
      </c>
    </row>
    <row r="90" spans="1:10" ht="15.6">
      <c r="A90" s="22"/>
      <c r="B90" s="23"/>
      <c r="C90" s="23" t="e">
        <f>Sites[[#This Row],[SOL'#]]</f>
        <v>#VALUE!</v>
      </c>
      <c r="D90" s="18" t="e">
        <f>SUM(Apr!#REF!,May!#REF!,Jun!#REF!)</f>
        <v>#REF!</v>
      </c>
      <c r="E90" s="8" t="e">
        <f>SUM(Apr!#REF!,May!#REF!,Jun!#REF!)</f>
        <v>#REF!</v>
      </c>
      <c r="F90" s="8" t="str">
        <f t="shared" si="8"/>
        <v/>
      </c>
      <c r="G90" s="9" t="str">
        <f t="shared" si="6"/>
        <v/>
      </c>
      <c r="H90" s="10" t="e">
        <f>SUM(Apr!#REF!,May!#REF!,Jun!#REF!)</f>
        <v>#REF!</v>
      </c>
      <c r="I90" s="10" t="e">
        <f>SUM(Apr!#REF!,May!#REF!,Jun!#REF!)</f>
        <v>#REF!</v>
      </c>
      <c r="J90" s="11" t="str">
        <f t="shared" si="7"/>
        <v/>
      </c>
    </row>
    <row r="91" spans="1:10" ht="15.6">
      <c r="A91" s="24"/>
      <c r="B91" s="25"/>
      <c r="C91" s="25" t="e">
        <f>Sites[[#This Row],[SOL'#]]</f>
        <v>#VALUE!</v>
      </c>
      <c r="D91" s="14" t="e">
        <f>SUM(Apr!#REF!,May!#REF!,Jun!#REF!)</f>
        <v>#REF!</v>
      </c>
      <c r="E91" s="14" t="e">
        <f>SUM(Apr!#REF!,May!#REF!,Jun!#REF!)</f>
        <v>#REF!</v>
      </c>
      <c r="F91" s="12" t="str">
        <f t="shared" si="8"/>
        <v/>
      </c>
      <c r="G91" s="13" t="str">
        <f t="shared" si="6"/>
        <v/>
      </c>
      <c r="H91" s="14" t="e">
        <f>SUM(Apr!#REF!,May!#REF!,Jun!#REF!)</f>
        <v>#REF!</v>
      </c>
      <c r="I91" s="14" t="e">
        <f>SUM(Apr!#REF!,May!#REF!,Jun!#REF!)</f>
        <v>#REF!</v>
      </c>
      <c r="J91" s="13" t="str">
        <f t="shared" si="7"/>
        <v/>
      </c>
    </row>
    <row r="92" spans="1:10" ht="15.6">
      <c r="A92" s="22"/>
      <c r="B92" s="23"/>
      <c r="C92" s="23" t="e">
        <f>Sites[[#This Row],[SOL'#]]</f>
        <v>#VALUE!</v>
      </c>
      <c r="D92" s="18" t="e">
        <f>SUM(Apr!#REF!,May!#REF!,Jun!#REF!)</f>
        <v>#REF!</v>
      </c>
      <c r="E92" s="8" t="e">
        <f>SUM(Apr!#REF!,May!#REF!,Jun!#REF!)</f>
        <v>#REF!</v>
      </c>
      <c r="F92" s="8" t="str">
        <f t="shared" si="8"/>
        <v/>
      </c>
      <c r="G92" s="9" t="str">
        <f t="shared" si="6"/>
        <v/>
      </c>
      <c r="H92" s="10" t="e">
        <f>SUM(Apr!#REF!,May!#REF!,Jun!#REF!)</f>
        <v>#REF!</v>
      </c>
      <c r="I92" s="10" t="e">
        <f>SUM(Apr!#REF!,May!#REF!,Jun!#REF!)</f>
        <v>#REF!</v>
      </c>
      <c r="J92" s="11" t="str">
        <f t="shared" si="7"/>
        <v/>
      </c>
    </row>
    <row r="93" spans="1:10" ht="15.6">
      <c r="A93" s="24"/>
      <c r="B93" s="25"/>
      <c r="C93" s="25" t="e">
        <f>Sites[[#This Row],[SOL'#]]</f>
        <v>#VALUE!</v>
      </c>
      <c r="D93" s="14" t="e">
        <f>SUM(Apr!#REF!,May!#REF!,Jun!#REF!)</f>
        <v>#REF!</v>
      </c>
      <c r="E93" s="14" t="e">
        <f>SUM(Apr!#REF!,May!#REF!,Jun!#REF!)</f>
        <v>#REF!</v>
      </c>
      <c r="F93" s="12" t="str">
        <f t="shared" si="8"/>
        <v/>
      </c>
      <c r="G93" s="13" t="str">
        <f t="shared" si="6"/>
        <v/>
      </c>
      <c r="H93" s="14" t="e">
        <f>SUM(Apr!#REF!,May!#REF!,Jun!#REF!)</f>
        <v>#REF!</v>
      </c>
      <c r="I93" s="14" t="e">
        <f>SUM(Apr!#REF!,May!#REF!,Jun!#REF!)</f>
        <v>#REF!</v>
      </c>
      <c r="J93" s="13" t="str">
        <f t="shared" si="7"/>
        <v/>
      </c>
    </row>
    <row r="94" spans="1:10" ht="15.6">
      <c r="A94" s="22"/>
      <c r="B94" s="23"/>
      <c r="C94" s="23" t="e">
        <f>Sites[[#This Row],[SOL'#]]</f>
        <v>#VALUE!</v>
      </c>
      <c r="D94" s="18" t="e">
        <f>SUM(Apr!#REF!,May!#REF!,Jun!#REF!)</f>
        <v>#REF!</v>
      </c>
      <c r="E94" s="8" t="e">
        <f>SUM(Apr!#REF!,May!#REF!,Jun!#REF!)</f>
        <v>#REF!</v>
      </c>
      <c r="F94" s="8" t="str">
        <f t="shared" si="8"/>
        <v/>
      </c>
      <c r="G94" s="9" t="str">
        <f t="shared" si="6"/>
        <v/>
      </c>
      <c r="H94" s="10" t="e">
        <f>SUM(Apr!#REF!,May!#REF!,Jun!#REF!)</f>
        <v>#REF!</v>
      </c>
      <c r="I94" s="10" t="e">
        <f>SUM(Apr!#REF!,May!#REF!,Jun!#REF!)</f>
        <v>#REF!</v>
      </c>
      <c r="J94" s="11" t="str">
        <f t="shared" si="7"/>
        <v/>
      </c>
    </row>
    <row r="95" spans="1:10" ht="15.6">
      <c r="A95" s="24"/>
      <c r="B95" s="25"/>
      <c r="C95" s="25" t="e">
        <f>Sites[[#This Row],[SOL'#]]</f>
        <v>#VALUE!</v>
      </c>
      <c r="D95" s="14" t="e">
        <f>SUM(Apr!#REF!,May!#REF!,Jun!#REF!)</f>
        <v>#REF!</v>
      </c>
      <c r="E95" s="14" t="e">
        <f>SUM(Apr!#REF!,May!#REF!,Jun!#REF!)</f>
        <v>#REF!</v>
      </c>
      <c r="F95" s="12" t="str">
        <f t="shared" si="8"/>
        <v/>
      </c>
      <c r="G95" s="13" t="str">
        <f t="shared" si="6"/>
        <v/>
      </c>
      <c r="H95" s="14" t="e">
        <f>SUM(Apr!#REF!,May!#REF!,Jun!#REF!)</f>
        <v>#REF!</v>
      </c>
      <c r="I95" s="14" t="e">
        <f>SUM(Apr!#REF!,May!#REF!,Jun!#REF!)</f>
        <v>#REF!</v>
      </c>
      <c r="J95" s="13" t="str">
        <f t="shared" si="7"/>
        <v/>
      </c>
    </row>
    <row r="96" spans="1:10" ht="15.6">
      <c r="A96" s="22"/>
      <c r="B96" s="23"/>
      <c r="C96" s="23" t="e">
        <f>Sites[[#This Row],[SOL'#]]</f>
        <v>#VALUE!</v>
      </c>
      <c r="D96" s="18" t="e">
        <f>SUM(Apr!#REF!,May!#REF!,Jun!#REF!)</f>
        <v>#REF!</v>
      </c>
      <c r="E96" s="8" t="e">
        <f>SUM(Apr!#REF!,May!#REF!,Jun!#REF!)</f>
        <v>#REF!</v>
      </c>
      <c r="F96" s="8" t="str">
        <f t="shared" si="8"/>
        <v/>
      </c>
      <c r="G96" s="9" t="str">
        <f t="shared" si="6"/>
        <v/>
      </c>
      <c r="H96" s="10" t="e">
        <f>SUM(Apr!#REF!,May!#REF!,Jun!#REF!)</f>
        <v>#REF!</v>
      </c>
      <c r="I96" s="10" t="e">
        <f>SUM(Apr!#REF!,May!#REF!,Jun!#REF!)</f>
        <v>#REF!</v>
      </c>
      <c r="J96" s="11" t="str">
        <f t="shared" si="7"/>
        <v/>
      </c>
    </row>
    <row r="97" spans="1:10" ht="15.6">
      <c r="A97" s="24"/>
      <c r="B97" s="25"/>
      <c r="C97" s="25" t="e">
        <f>Sites[[#This Row],[SOL'#]]</f>
        <v>#VALUE!</v>
      </c>
      <c r="D97" s="14" t="e">
        <f>SUM(Apr!#REF!,May!#REF!,Jun!#REF!)</f>
        <v>#REF!</v>
      </c>
      <c r="E97" s="14" t="e">
        <f>SUM(Apr!#REF!,May!#REF!,Jun!#REF!)</f>
        <v>#REF!</v>
      </c>
      <c r="F97" s="12" t="str">
        <f t="shared" si="8"/>
        <v/>
      </c>
      <c r="G97" s="13" t="str">
        <f t="shared" si="6"/>
        <v/>
      </c>
      <c r="H97" s="14" t="e">
        <f>SUM(Apr!#REF!,May!#REF!,Jun!#REF!)</f>
        <v>#REF!</v>
      </c>
      <c r="I97" s="14" t="e">
        <f>SUM(Apr!#REF!,May!#REF!,Jun!#REF!)</f>
        <v>#REF!</v>
      </c>
      <c r="J97" s="13" t="str">
        <f t="shared" si="7"/>
        <v/>
      </c>
    </row>
    <row r="98" spans="1:10" ht="15.6">
      <c r="A98" s="22"/>
      <c r="B98" s="23"/>
      <c r="C98" s="23" t="e">
        <f>Sites[[#This Row],[SOL'#]]</f>
        <v>#VALUE!</v>
      </c>
      <c r="D98" s="18" t="e">
        <f>SUM(Apr!#REF!,May!#REF!,Jun!#REF!)</f>
        <v>#REF!</v>
      </c>
      <c r="E98" s="8" t="e">
        <f>SUM(Apr!#REF!,May!#REF!,Jun!#REF!)</f>
        <v>#REF!</v>
      </c>
      <c r="F98" s="8" t="str">
        <f t="shared" si="8"/>
        <v/>
      </c>
      <c r="G98" s="9" t="str">
        <f t="shared" si="6"/>
        <v/>
      </c>
      <c r="H98" s="10" t="e">
        <f>SUM(Apr!#REF!,May!#REF!,Jun!#REF!)</f>
        <v>#REF!</v>
      </c>
      <c r="I98" s="10" t="e">
        <f>SUM(Apr!#REF!,May!#REF!,Jun!#REF!)</f>
        <v>#REF!</v>
      </c>
      <c r="J98" s="11" t="str">
        <f t="shared" si="7"/>
        <v/>
      </c>
    </row>
    <row r="99" spans="1:10" ht="15.6">
      <c r="A99" s="24"/>
      <c r="B99" s="25"/>
      <c r="C99" s="25" t="e">
        <f>Sites[[#This Row],[SOL'#]]</f>
        <v>#VALUE!</v>
      </c>
      <c r="D99" s="14" t="e">
        <f>SUM(Apr!#REF!,May!#REF!,Jun!#REF!)</f>
        <v>#REF!</v>
      </c>
      <c r="E99" s="14" t="e">
        <f>SUM(Apr!#REF!,May!#REF!,Jun!#REF!)</f>
        <v>#REF!</v>
      </c>
      <c r="F99" s="12" t="str">
        <f t="shared" si="8"/>
        <v/>
      </c>
      <c r="G99" s="13" t="str">
        <f t="shared" si="6"/>
        <v/>
      </c>
      <c r="H99" s="14" t="e">
        <f>SUM(Apr!#REF!,May!#REF!,Jun!#REF!)</f>
        <v>#REF!</v>
      </c>
      <c r="I99" s="14" t="e">
        <f>SUM(Apr!#REF!,May!#REF!,Jun!#REF!)</f>
        <v>#REF!</v>
      </c>
      <c r="J99" s="13" t="str">
        <f t="shared" si="7"/>
        <v/>
      </c>
    </row>
    <row r="100" spans="1:10" ht="15.6">
      <c r="A100" s="22"/>
      <c r="B100" s="23"/>
      <c r="C100" s="23" t="e">
        <f>Sites[[#This Row],[SOL'#]]</f>
        <v>#VALUE!</v>
      </c>
      <c r="D100" s="18" t="e">
        <f>SUM(Apr!#REF!,May!#REF!,Jun!#REF!)</f>
        <v>#REF!</v>
      </c>
      <c r="E100" s="8" t="e">
        <f>SUM(Apr!#REF!,May!#REF!,Jun!#REF!)</f>
        <v>#REF!</v>
      </c>
      <c r="F100" s="8" t="str">
        <f t="shared" si="8"/>
        <v/>
      </c>
      <c r="G100" s="9" t="str">
        <f t="shared" si="6"/>
        <v/>
      </c>
      <c r="H100" s="10" t="e">
        <f>SUM(Apr!#REF!,May!#REF!,Jun!#REF!)</f>
        <v>#REF!</v>
      </c>
      <c r="I100" s="10" t="e">
        <f>SUM(Apr!#REF!,May!#REF!,Jun!#REF!)</f>
        <v>#REF!</v>
      </c>
      <c r="J100" s="11" t="str">
        <f t="shared" si="7"/>
        <v/>
      </c>
    </row>
    <row r="101" spans="1:10" ht="15.6">
      <c r="A101" s="24"/>
      <c r="B101" s="25"/>
      <c r="C101" s="25" t="e">
        <f>Sites[[#This Row],[SOL'#]]</f>
        <v>#VALUE!</v>
      </c>
      <c r="D101" s="14" t="e">
        <f>SUM(Apr!#REF!,May!#REF!,Jun!#REF!)</f>
        <v>#REF!</v>
      </c>
      <c r="E101" s="14" t="e">
        <f>SUM(Apr!#REF!,May!#REF!,Jun!#REF!)</f>
        <v>#REF!</v>
      </c>
      <c r="F101" s="12" t="str">
        <f t="shared" si="8"/>
        <v/>
      </c>
      <c r="G101" s="13" t="str">
        <f t="shared" si="6"/>
        <v/>
      </c>
      <c r="H101" s="14" t="e">
        <f>SUM(Apr!#REF!,May!#REF!,Jun!#REF!)</f>
        <v>#REF!</v>
      </c>
      <c r="I101" s="14" t="e">
        <f>SUM(Apr!#REF!,May!#REF!,Jun!#REF!)</f>
        <v>#REF!</v>
      </c>
      <c r="J101" s="13" t="str">
        <f t="shared" si="7"/>
        <v/>
      </c>
    </row>
    <row r="102" spans="1:10" ht="15.6">
      <c r="A102" s="22"/>
      <c r="B102" s="23"/>
      <c r="C102" s="23" t="e">
        <f>Sites[[#This Row],[SOL'#]]</f>
        <v>#VALUE!</v>
      </c>
      <c r="D102" s="18" t="e">
        <f>SUM(Apr!#REF!,May!#REF!,Jun!#REF!)</f>
        <v>#REF!</v>
      </c>
      <c r="E102" s="8" t="e">
        <f>SUM(Apr!#REF!,May!#REF!,Jun!#REF!)</f>
        <v>#REF!</v>
      </c>
      <c r="F102" s="8" t="str">
        <f t="shared" si="8"/>
        <v/>
      </c>
      <c r="G102" s="9" t="str">
        <f t="shared" si="6"/>
        <v/>
      </c>
      <c r="H102" s="10" t="e">
        <f>SUM(Apr!#REF!,May!#REF!,Jun!#REF!)</f>
        <v>#REF!</v>
      </c>
      <c r="I102" s="10" t="e">
        <f>SUM(Apr!#REF!,May!#REF!,Jun!#REF!)</f>
        <v>#REF!</v>
      </c>
      <c r="J102" s="11" t="str">
        <f t="shared" si="7"/>
        <v/>
      </c>
    </row>
    <row r="103" spans="1:10" ht="15.6">
      <c r="A103" s="24"/>
      <c r="B103" s="25"/>
      <c r="C103" s="25" t="e">
        <f>Sites[[#This Row],[SOL'#]]</f>
        <v>#VALUE!</v>
      </c>
      <c r="D103" s="14" t="e">
        <f>SUM(Apr!#REF!,May!#REF!,Jun!#REF!)</f>
        <v>#REF!</v>
      </c>
      <c r="E103" s="14" t="e">
        <f>SUM(Apr!#REF!,May!#REF!,Jun!#REF!)</f>
        <v>#REF!</v>
      </c>
      <c r="F103" s="12" t="str">
        <f t="shared" si="8"/>
        <v/>
      </c>
      <c r="G103" s="13" t="str">
        <f t="shared" si="6"/>
        <v/>
      </c>
      <c r="H103" s="14" t="e">
        <f>SUM(Apr!#REF!,May!#REF!,Jun!#REF!)</f>
        <v>#REF!</v>
      </c>
      <c r="I103" s="14" t="e">
        <f>SUM(Apr!#REF!,May!#REF!,Jun!#REF!)</f>
        <v>#REF!</v>
      </c>
      <c r="J103" s="13" t="str">
        <f t="shared" si="7"/>
        <v/>
      </c>
    </row>
    <row r="104" spans="1:10" ht="15.6">
      <c r="A104" s="22"/>
      <c r="B104" s="23"/>
      <c r="C104" s="23" t="e">
        <f>Sites[[#This Row],[SOL'#]]</f>
        <v>#VALUE!</v>
      </c>
      <c r="D104" s="18" t="e">
        <f>SUM(Apr!#REF!,May!#REF!,Jun!#REF!)</f>
        <v>#REF!</v>
      </c>
      <c r="E104" s="8" t="e">
        <f>SUM(Apr!#REF!,May!#REF!,Jun!#REF!)</f>
        <v>#REF!</v>
      </c>
      <c r="F104" s="8" t="str">
        <f t="shared" si="8"/>
        <v/>
      </c>
      <c r="G104" s="9" t="str">
        <f t="shared" si="6"/>
        <v/>
      </c>
      <c r="H104" s="10" t="e">
        <f>SUM(Apr!#REF!,May!#REF!,Jun!#REF!)</f>
        <v>#REF!</v>
      </c>
      <c r="I104" s="10" t="e">
        <f>SUM(Apr!#REF!,May!#REF!,Jun!#REF!)</f>
        <v>#REF!</v>
      </c>
      <c r="J104" s="11" t="str">
        <f t="shared" si="7"/>
        <v/>
      </c>
    </row>
    <row r="105" spans="1:10" ht="15.6">
      <c r="A105" s="24"/>
      <c r="B105" s="25"/>
      <c r="C105" s="25" t="e">
        <f>Sites[[#This Row],[SOL'#]]</f>
        <v>#VALUE!</v>
      </c>
      <c r="D105" s="14" t="e">
        <f>SUM(Apr!#REF!,May!#REF!,Jun!#REF!)</f>
        <v>#REF!</v>
      </c>
      <c r="E105" s="14" t="e">
        <f>SUM(Apr!#REF!,May!#REF!,Jun!#REF!)</f>
        <v>#REF!</v>
      </c>
      <c r="F105" s="12" t="str">
        <f t="shared" si="8"/>
        <v/>
      </c>
      <c r="G105" s="13" t="str">
        <f t="shared" si="6"/>
        <v/>
      </c>
      <c r="H105" s="14" t="e">
        <f>SUM(Apr!#REF!,May!#REF!,Jun!#REF!)</f>
        <v>#REF!</v>
      </c>
      <c r="I105" s="14" t="e">
        <f>SUM(Apr!#REF!,May!#REF!,Jun!#REF!)</f>
        <v>#REF!</v>
      </c>
      <c r="J105" s="13" t="str">
        <f t="shared" si="7"/>
        <v/>
      </c>
    </row>
    <row r="106" spans="1:10" ht="15.6">
      <c r="A106" s="22"/>
      <c r="B106" s="23"/>
      <c r="C106" s="23" t="e">
        <f>Sites[[#This Row],[SOL'#]]</f>
        <v>#VALUE!</v>
      </c>
      <c r="D106" s="18" t="e">
        <f>SUM(Apr!#REF!,May!#REF!,Jun!#REF!)</f>
        <v>#REF!</v>
      </c>
      <c r="E106" s="8" t="e">
        <f>SUM(Apr!#REF!,May!#REF!,Jun!#REF!)</f>
        <v>#REF!</v>
      </c>
      <c r="F106" s="8" t="str">
        <f t="shared" si="8"/>
        <v/>
      </c>
      <c r="G106" s="9" t="str">
        <f t="shared" si="6"/>
        <v/>
      </c>
      <c r="H106" s="10" t="e">
        <f>SUM(Apr!#REF!,May!#REF!,Jun!#REF!)</f>
        <v>#REF!</v>
      </c>
      <c r="I106" s="10" t="e">
        <f>SUM(Apr!#REF!,May!#REF!,Jun!#REF!)</f>
        <v>#REF!</v>
      </c>
      <c r="J106" s="11" t="str">
        <f t="shared" si="7"/>
        <v/>
      </c>
    </row>
    <row r="107" spans="1:10" ht="15.6">
      <c r="A107" s="24"/>
      <c r="B107" s="25"/>
      <c r="C107" s="25" t="e">
        <f>Sites[[#This Row],[SOL'#]]</f>
        <v>#VALUE!</v>
      </c>
      <c r="D107" s="14" t="e">
        <f>SUM(Apr!#REF!,May!#REF!,Jun!#REF!)</f>
        <v>#REF!</v>
      </c>
      <c r="E107" s="14" t="e">
        <f>SUM(Apr!#REF!,May!#REF!,Jun!#REF!)</f>
        <v>#REF!</v>
      </c>
      <c r="F107" s="12" t="str">
        <f t="shared" si="8"/>
        <v/>
      </c>
      <c r="G107" s="13" t="str">
        <f t="shared" si="6"/>
        <v/>
      </c>
      <c r="H107" s="14" t="e">
        <f>SUM(Apr!#REF!,May!#REF!,Jun!#REF!)</f>
        <v>#REF!</v>
      </c>
      <c r="I107" s="14" t="e">
        <f>SUM(Apr!#REF!,May!#REF!,Jun!#REF!)</f>
        <v>#REF!</v>
      </c>
      <c r="J107" s="13" t="str">
        <f t="shared" si="7"/>
        <v/>
      </c>
    </row>
    <row r="108" spans="1:10" ht="15.6">
      <c r="A108" s="22"/>
      <c r="B108" s="23"/>
      <c r="C108" s="23" t="e">
        <f>Sites[[#This Row],[SOL'#]]</f>
        <v>#VALUE!</v>
      </c>
      <c r="D108" s="18" t="e">
        <f>SUM(Apr!#REF!,May!#REF!,Jun!#REF!)</f>
        <v>#REF!</v>
      </c>
      <c r="E108" s="8" t="e">
        <f>SUM(Apr!#REF!,May!#REF!,Jun!#REF!)</f>
        <v>#REF!</v>
      </c>
      <c r="F108" s="8" t="str">
        <f t="shared" si="8"/>
        <v/>
      </c>
      <c r="G108" s="9" t="str">
        <f t="shared" si="6"/>
        <v/>
      </c>
      <c r="H108" s="10" t="e">
        <f>SUM(Apr!#REF!,May!#REF!,Jun!#REF!)</f>
        <v>#REF!</v>
      </c>
      <c r="I108" s="10" t="e">
        <f>SUM(Apr!#REF!,May!#REF!,Jun!#REF!)</f>
        <v>#REF!</v>
      </c>
      <c r="J108" s="11" t="str">
        <f t="shared" si="7"/>
        <v/>
      </c>
    </row>
    <row r="109" spans="1:10" ht="15.6">
      <c r="A109" s="24"/>
      <c r="B109" s="25"/>
      <c r="C109" s="25" t="e">
        <f>Sites[[#This Row],[SOL'#]]</f>
        <v>#VALUE!</v>
      </c>
      <c r="D109" s="14" t="e">
        <f>SUM(Apr!#REF!,May!#REF!,Jun!#REF!)</f>
        <v>#REF!</v>
      </c>
      <c r="E109" s="14" t="e">
        <f>SUM(Apr!#REF!,May!#REF!,Jun!#REF!)</f>
        <v>#REF!</v>
      </c>
      <c r="F109" s="12" t="str">
        <f t="shared" si="8"/>
        <v/>
      </c>
      <c r="G109" s="13" t="str">
        <f t="shared" si="6"/>
        <v/>
      </c>
      <c r="H109" s="14" t="e">
        <f>SUM(Apr!#REF!,May!#REF!,Jun!#REF!)</f>
        <v>#REF!</v>
      </c>
      <c r="I109" s="14" t="e">
        <f>SUM(Apr!#REF!,May!#REF!,Jun!#REF!)</f>
        <v>#REF!</v>
      </c>
      <c r="J109" s="13" t="str">
        <f t="shared" si="7"/>
        <v/>
      </c>
    </row>
    <row r="110" spans="1:10" ht="15.6">
      <c r="A110" s="22"/>
      <c r="B110" s="23"/>
      <c r="C110" s="23" t="e">
        <f>Sites[[#This Row],[SOL'#]]</f>
        <v>#VALUE!</v>
      </c>
      <c r="D110" s="18" t="e">
        <f>SUM(Apr!#REF!,May!#REF!,Jun!#REF!)</f>
        <v>#REF!</v>
      </c>
      <c r="E110" s="8" t="e">
        <f>SUM(Apr!#REF!,May!#REF!,Jun!#REF!)</f>
        <v>#REF!</v>
      </c>
      <c r="F110" s="8" t="str">
        <f t="shared" si="8"/>
        <v/>
      </c>
      <c r="G110" s="9" t="str">
        <f t="shared" si="6"/>
        <v/>
      </c>
      <c r="H110" s="10" t="e">
        <f>SUM(Apr!#REF!,May!#REF!,Jun!#REF!)</f>
        <v>#REF!</v>
      </c>
      <c r="I110" s="10" t="e">
        <f>SUM(Apr!#REF!,May!#REF!,Jun!#REF!)</f>
        <v>#REF!</v>
      </c>
      <c r="J110" s="11" t="str">
        <f t="shared" si="7"/>
        <v/>
      </c>
    </row>
    <row r="111" spans="1:10" ht="15.6">
      <c r="A111" s="24"/>
      <c r="B111" s="25"/>
      <c r="C111" s="25" t="e">
        <f>Sites[[#This Row],[SOL'#]]</f>
        <v>#VALUE!</v>
      </c>
      <c r="D111" s="14" t="e">
        <f>SUM(Apr!#REF!,May!#REF!,Jun!#REF!)</f>
        <v>#REF!</v>
      </c>
      <c r="E111" s="14" t="e">
        <f>SUM(Apr!#REF!,May!#REF!,Jun!#REF!)</f>
        <v>#REF!</v>
      </c>
      <c r="F111" s="12" t="str">
        <f t="shared" si="8"/>
        <v/>
      </c>
      <c r="G111" s="13" t="str">
        <f t="shared" si="6"/>
        <v/>
      </c>
      <c r="H111" s="14" t="e">
        <f>SUM(Apr!#REF!,May!#REF!,Jun!#REF!)</f>
        <v>#REF!</v>
      </c>
      <c r="I111" s="14" t="e">
        <f>SUM(Apr!#REF!,May!#REF!,Jun!#REF!)</f>
        <v>#REF!</v>
      </c>
      <c r="J111" s="13" t="str">
        <f t="shared" si="7"/>
        <v/>
      </c>
    </row>
    <row r="112" spans="1:10" ht="15.6">
      <c r="A112" s="22"/>
      <c r="B112" s="23"/>
      <c r="C112" s="23" t="e">
        <f>Sites[[#This Row],[SOL'#]]</f>
        <v>#VALUE!</v>
      </c>
      <c r="D112" s="18" t="e">
        <f>SUM(Apr!#REF!,May!#REF!,Jun!#REF!)</f>
        <v>#REF!</v>
      </c>
      <c r="E112" s="8" t="e">
        <f>SUM(Apr!#REF!,May!#REF!,Jun!#REF!)</f>
        <v>#REF!</v>
      </c>
      <c r="F112" s="8" t="str">
        <f t="shared" si="8"/>
        <v/>
      </c>
      <c r="G112" s="9" t="str">
        <f t="shared" si="6"/>
        <v/>
      </c>
      <c r="H112" s="10" t="e">
        <f>SUM(Apr!#REF!,May!#REF!,Jun!#REF!)</f>
        <v>#REF!</v>
      </c>
      <c r="I112" s="10" t="e">
        <f>SUM(Apr!#REF!,May!#REF!,Jun!#REF!)</f>
        <v>#REF!</v>
      </c>
      <c r="J112" s="11" t="str">
        <f t="shared" si="7"/>
        <v/>
      </c>
    </row>
    <row r="113" spans="1:10" ht="15.6">
      <c r="A113" s="24"/>
      <c r="B113" s="25"/>
      <c r="C113" s="25" t="e">
        <f>Sites[[#This Row],[SOL'#]]</f>
        <v>#VALUE!</v>
      </c>
      <c r="D113" s="14" t="e">
        <f>SUM(Apr!#REF!,May!#REF!,Jun!#REF!)</f>
        <v>#REF!</v>
      </c>
      <c r="E113" s="14" t="e">
        <f>SUM(Apr!#REF!,May!#REF!,Jun!#REF!)</f>
        <v>#REF!</v>
      </c>
      <c r="F113" s="12" t="str">
        <f t="shared" si="8"/>
        <v/>
      </c>
      <c r="G113" s="13" t="str">
        <f t="shared" si="6"/>
        <v/>
      </c>
      <c r="H113" s="14" t="e">
        <f>SUM(Apr!#REF!,May!#REF!,Jun!#REF!)</f>
        <v>#REF!</v>
      </c>
      <c r="I113" s="14" t="e">
        <f>SUM(Apr!#REF!,May!#REF!,Jun!#REF!)</f>
        <v>#REF!</v>
      </c>
      <c r="J113" s="13" t="str">
        <f t="shared" si="7"/>
        <v/>
      </c>
    </row>
    <row r="114" spans="1:10" ht="15.6">
      <c r="A114" s="22"/>
      <c r="B114" s="23"/>
      <c r="C114" s="23" t="e">
        <f>Sites[[#This Row],[SOL'#]]</f>
        <v>#VALUE!</v>
      </c>
      <c r="D114" s="18" t="e">
        <f>SUM(Apr!#REF!,May!#REF!,Jun!#REF!)</f>
        <v>#REF!</v>
      </c>
      <c r="E114" s="8" t="e">
        <f>SUM(Apr!#REF!,May!#REF!,Jun!#REF!)</f>
        <v>#REF!</v>
      </c>
      <c r="F114" s="8" t="str">
        <f t="shared" ref="F114:F158" si="9">IF(AND(ISNUMBER(D114),ISNUMBER(E114)), D114-E114, "")</f>
        <v/>
      </c>
      <c r="G114" s="9" t="str">
        <f t="shared" si="6"/>
        <v/>
      </c>
      <c r="H114" s="10" t="e">
        <f>SUM(Apr!#REF!,May!#REF!,Jun!#REF!)</f>
        <v>#REF!</v>
      </c>
      <c r="I114" s="10" t="e">
        <f>SUM(Apr!#REF!,May!#REF!,Jun!#REF!)</f>
        <v>#REF!</v>
      </c>
      <c r="J114" s="11" t="str">
        <f t="shared" si="7"/>
        <v/>
      </c>
    </row>
    <row r="115" spans="1:10" ht="15.6">
      <c r="A115" s="24"/>
      <c r="B115" s="25"/>
      <c r="C115" s="25" t="e">
        <f>Sites[[#This Row],[SOL'#]]</f>
        <v>#VALUE!</v>
      </c>
      <c r="D115" s="14" t="e">
        <f>SUM(Apr!#REF!,May!#REF!,Jun!#REF!)</f>
        <v>#REF!</v>
      </c>
      <c r="E115" s="14" t="e">
        <f>SUM(Apr!#REF!,May!#REF!,Jun!#REF!)</f>
        <v>#REF!</v>
      </c>
      <c r="F115" s="12" t="str">
        <f t="shared" si="9"/>
        <v/>
      </c>
      <c r="G115" s="13" t="str">
        <f t="shared" si="6"/>
        <v/>
      </c>
      <c r="H115" s="14" t="e">
        <f>SUM(Apr!#REF!,May!#REF!,Jun!#REF!)</f>
        <v>#REF!</v>
      </c>
      <c r="I115" s="14" t="e">
        <f>SUM(Apr!#REF!,May!#REF!,Jun!#REF!)</f>
        <v>#REF!</v>
      </c>
      <c r="J115" s="13" t="str">
        <f t="shared" si="7"/>
        <v/>
      </c>
    </row>
    <row r="116" spans="1:10" ht="15.6">
      <c r="A116" s="22"/>
      <c r="B116" s="23"/>
      <c r="C116" s="23" t="e">
        <f>Sites[[#This Row],[SOL'#]]</f>
        <v>#VALUE!</v>
      </c>
      <c r="D116" s="18" t="e">
        <f>SUM(Apr!#REF!,May!#REF!,Jun!#REF!)</f>
        <v>#REF!</v>
      </c>
      <c r="E116" s="8" t="e">
        <f>SUM(Apr!#REF!,May!#REF!,Jun!#REF!)</f>
        <v>#REF!</v>
      </c>
      <c r="F116" s="8" t="str">
        <f t="shared" si="9"/>
        <v/>
      </c>
      <c r="G116" s="9" t="str">
        <f t="shared" si="6"/>
        <v/>
      </c>
      <c r="H116" s="10" t="e">
        <f>SUM(Apr!#REF!,May!#REF!,Jun!#REF!)</f>
        <v>#REF!</v>
      </c>
      <c r="I116" s="10" t="e">
        <f>SUM(Apr!#REF!,May!#REF!,Jun!#REF!)</f>
        <v>#REF!</v>
      </c>
      <c r="J116" s="11" t="str">
        <f t="shared" si="7"/>
        <v/>
      </c>
    </row>
    <row r="117" spans="1:10" ht="15.6">
      <c r="A117" s="24"/>
      <c r="B117" s="25"/>
      <c r="C117" s="25" t="e">
        <f>Sites[[#This Row],[SOL'#]]</f>
        <v>#VALUE!</v>
      </c>
      <c r="D117" s="14" t="e">
        <f>SUM(Apr!#REF!,May!#REF!,Jun!#REF!)</f>
        <v>#REF!</v>
      </c>
      <c r="E117" s="14" t="e">
        <f>SUM(Apr!#REF!,May!#REF!,Jun!#REF!)</f>
        <v>#REF!</v>
      </c>
      <c r="F117" s="12" t="str">
        <f t="shared" si="9"/>
        <v/>
      </c>
      <c r="G117" s="13" t="str">
        <f t="shared" si="6"/>
        <v/>
      </c>
      <c r="H117" s="14" t="e">
        <f>SUM(Apr!#REF!,May!#REF!,Jun!#REF!)</f>
        <v>#REF!</v>
      </c>
      <c r="I117" s="14" t="e">
        <f>SUM(Apr!#REF!,May!#REF!,Jun!#REF!)</f>
        <v>#REF!</v>
      </c>
      <c r="J117" s="13" t="str">
        <f t="shared" si="7"/>
        <v/>
      </c>
    </row>
    <row r="118" spans="1:10" ht="15.6">
      <c r="A118" s="22"/>
      <c r="B118" s="23"/>
      <c r="C118" s="23" t="e">
        <f>Sites[[#This Row],[SOL'#]]</f>
        <v>#VALUE!</v>
      </c>
      <c r="D118" s="18" t="e">
        <f>SUM(Apr!#REF!,May!#REF!,Jun!#REF!)</f>
        <v>#REF!</v>
      </c>
      <c r="E118" s="8" t="e">
        <f>SUM(Apr!#REF!,May!#REF!,Jun!#REF!)</f>
        <v>#REF!</v>
      </c>
      <c r="F118" s="8" t="str">
        <f t="shared" si="9"/>
        <v/>
      </c>
      <c r="G118" s="9" t="str">
        <f t="shared" si="6"/>
        <v/>
      </c>
      <c r="H118" s="10" t="e">
        <f>SUM(Apr!#REF!,May!#REF!,Jun!#REF!)</f>
        <v>#REF!</v>
      </c>
      <c r="I118" s="10" t="e">
        <f>SUM(Apr!#REF!,May!#REF!,Jun!#REF!)</f>
        <v>#REF!</v>
      </c>
      <c r="J118" s="11" t="str">
        <f t="shared" si="7"/>
        <v/>
      </c>
    </row>
    <row r="119" spans="1:10" ht="15.6">
      <c r="A119" s="24"/>
      <c r="B119" s="25"/>
      <c r="C119" s="25" t="e">
        <f>Sites[[#This Row],[SOL'#]]</f>
        <v>#VALUE!</v>
      </c>
      <c r="D119" s="14" t="e">
        <f>SUM(Apr!#REF!,May!#REF!,Jun!#REF!)</f>
        <v>#REF!</v>
      </c>
      <c r="E119" s="14" t="e">
        <f>SUM(Apr!#REF!,May!#REF!,Jun!#REF!)</f>
        <v>#REF!</v>
      </c>
      <c r="F119" s="12" t="str">
        <f t="shared" si="9"/>
        <v/>
      </c>
      <c r="G119" s="13" t="str">
        <f t="shared" si="6"/>
        <v/>
      </c>
      <c r="H119" s="14" t="e">
        <f>SUM(Apr!#REF!,May!#REF!,Jun!#REF!)</f>
        <v>#REF!</v>
      </c>
      <c r="I119" s="14" t="e">
        <f>SUM(Apr!#REF!,May!#REF!,Jun!#REF!)</f>
        <v>#REF!</v>
      </c>
      <c r="J119" s="13" t="str">
        <f t="shared" si="7"/>
        <v/>
      </c>
    </row>
    <row r="120" spans="1:10" ht="15.6">
      <c r="A120" s="22"/>
      <c r="B120" s="23"/>
      <c r="C120" s="23" t="e">
        <f>Sites[[#This Row],[SOL'#]]</f>
        <v>#VALUE!</v>
      </c>
      <c r="D120" s="18" t="e">
        <f>SUM(Apr!#REF!,May!#REF!,Jun!#REF!)</f>
        <v>#REF!</v>
      </c>
      <c r="E120" s="8" t="e">
        <f>SUM(Apr!#REF!,May!#REF!,Jun!#REF!)</f>
        <v>#REF!</v>
      </c>
      <c r="F120" s="8" t="str">
        <f t="shared" si="9"/>
        <v/>
      </c>
      <c r="G120" s="9" t="str">
        <f t="shared" si="6"/>
        <v/>
      </c>
      <c r="H120" s="10" t="e">
        <f>SUM(Apr!#REF!,May!#REF!,Jun!#REF!)</f>
        <v>#REF!</v>
      </c>
      <c r="I120" s="10" t="e">
        <f>SUM(Apr!#REF!,May!#REF!,Jun!#REF!)</f>
        <v>#REF!</v>
      </c>
      <c r="J120" s="11" t="str">
        <f t="shared" si="7"/>
        <v/>
      </c>
    </row>
    <row r="121" spans="1:10" ht="15.6">
      <c r="A121" s="24"/>
      <c r="B121" s="25"/>
      <c r="C121" s="25" t="e">
        <f>Sites[[#This Row],[SOL'#]]</f>
        <v>#VALUE!</v>
      </c>
      <c r="D121" s="14" t="e">
        <f>SUM(Apr!#REF!,May!#REF!,Jun!#REF!)</f>
        <v>#REF!</v>
      </c>
      <c r="E121" s="14" t="e">
        <f>SUM(Apr!#REF!,May!#REF!,Jun!#REF!)</f>
        <v>#REF!</v>
      </c>
      <c r="F121" s="12" t="str">
        <f t="shared" si="9"/>
        <v/>
      </c>
      <c r="G121" s="13" t="str">
        <f t="shared" si="6"/>
        <v/>
      </c>
      <c r="H121" s="14" t="e">
        <f>SUM(Apr!#REF!,May!#REF!,Jun!#REF!)</f>
        <v>#REF!</v>
      </c>
      <c r="I121" s="14" t="e">
        <f>SUM(Apr!#REF!,May!#REF!,Jun!#REF!)</f>
        <v>#REF!</v>
      </c>
      <c r="J121" s="13" t="str">
        <f t="shared" si="7"/>
        <v/>
      </c>
    </row>
    <row r="122" spans="1:10" ht="15.6">
      <c r="A122" s="22"/>
      <c r="B122" s="23"/>
      <c r="C122" s="23" t="e">
        <f>Sites[[#This Row],[SOL'#]]</f>
        <v>#VALUE!</v>
      </c>
      <c r="D122" s="18" t="e">
        <f>SUM(Apr!#REF!,May!#REF!,Jun!#REF!)</f>
        <v>#REF!</v>
      </c>
      <c r="E122" s="8" t="e">
        <f>SUM(Apr!#REF!,May!#REF!,Jun!#REF!)</f>
        <v>#REF!</v>
      </c>
      <c r="F122" s="8" t="str">
        <f t="shared" si="9"/>
        <v/>
      </c>
      <c r="G122" s="9" t="str">
        <f t="shared" si="6"/>
        <v/>
      </c>
      <c r="H122" s="10" t="e">
        <f>SUM(Apr!#REF!,May!#REF!,Jun!#REF!)</f>
        <v>#REF!</v>
      </c>
      <c r="I122" s="10" t="e">
        <f>SUM(Apr!#REF!,May!#REF!,Jun!#REF!)</f>
        <v>#REF!</v>
      </c>
      <c r="J122" s="11" t="str">
        <f t="shared" si="7"/>
        <v/>
      </c>
    </row>
    <row r="123" spans="1:10" ht="15.6">
      <c r="A123" s="24"/>
      <c r="B123" s="25"/>
      <c r="C123" s="25" t="e">
        <f>Sites[[#This Row],[SOL'#]]</f>
        <v>#VALUE!</v>
      </c>
      <c r="D123" s="14" t="e">
        <f>SUM(Apr!#REF!,May!#REF!,Jun!#REF!)</f>
        <v>#REF!</v>
      </c>
      <c r="E123" s="14" t="e">
        <f>SUM(Apr!#REF!,May!#REF!,Jun!#REF!)</f>
        <v>#REF!</v>
      </c>
      <c r="F123" s="12" t="str">
        <f t="shared" si="9"/>
        <v/>
      </c>
      <c r="G123" s="13" t="str">
        <f t="shared" si="6"/>
        <v/>
      </c>
      <c r="H123" s="14" t="e">
        <f>SUM(Apr!#REF!,May!#REF!,Jun!#REF!)</f>
        <v>#REF!</v>
      </c>
      <c r="I123" s="14" t="e">
        <f>SUM(Apr!#REF!,May!#REF!,Jun!#REF!)</f>
        <v>#REF!</v>
      </c>
      <c r="J123" s="13" t="str">
        <f t="shared" si="7"/>
        <v/>
      </c>
    </row>
    <row r="124" spans="1:10" ht="15.6">
      <c r="A124" s="22"/>
      <c r="B124" s="23"/>
      <c r="C124" s="23" t="e">
        <f>Sites[[#This Row],[SOL'#]]</f>
        <v>#VALUE!</v>
      </c>
      <c r="D124" s="18" t="e">
        <f>SUM(Apr!#REF!,May!#REF!,Jun!#REF!)</f>
        <v>#REF!</v>
      </c>
      <c r="E124" s="8" t="e">
        <f>SUM(Apr!#REF!,May!#REF!,Jun!#REF!)</f>
        <v>#REF!</v>
      </c>
      <c r="F124" s="8" t="str">
        <f t="shared" si="9"/>
        <v/>
      </c>
      <c r="G124" s="9" t="str">
        <f t="shared" si="6"/>
        <v/>
      </c>
      <c r="H124" s="10" t="e">
        <f>SUM(Apr!#REF!,May!#REF!,Jun!#REF!)</f>
        <v>#REF!</v>
      </c>
      <c r="I124" s="10" t="e">
        <f>SUM(Apr!#REF!,May!#REF!,Jun!#REF!)</f>
        <v>#REF!</v>
      </c>
      <c r="J124" s="11" t="str">
        <f t="shared" si="7"/>
        <v/>
      </c>
    </row>
    <row r="125" spans="1:10" ht="15.6">
      <c r="A125" s="24"/>
      <c r="B125" s="25"/>
      <c r="C125" s="25" t="e">
        <f>Sites[[#This Row],[SOL'#]]</f>
        <v>#VALUE!</v>
      </c>
      <c r="D125" s="14" t="e">
        <f>SUM(Apr!#REF!,May!#REF!,Jun!#REF!)</f>
        <v>#REF!</v>
      </c>
      <c r="E125" s="14" t="e">
        <f>SUM(Apr!#REF!,May!#REF!,Jun!#REF!)</f>
        <v>#REF!</v>
      </c>
      <c r="F125" s="12" t="str">
        <f t="shared" si="9"/>
        <v/>
      </c>
      <c r="G125" s="13" t="str">
        <f t="shared" si="6"/>
        <v/>
      </c>
      <c r="H125" s="14" t="e">
        <f>SUM(Apr!#REF!,May!#REF!,Jun!#REF!)</f>
        <v>#REF!</v>
      </c>
      <c r="I125" s="14" t="e">
        <f>SUM(Apr!#REF!,May!#REF!,Jun!#REF!)</f>
        <v>#REF!</v>
      </c>
      <c r="J125" s="13" t="str">
        <f t="shared" si="7"/>
        <v/>
      </c>
    </row>
    <row r="126" spans="1:10" ht="15.6">
      <c r="A126" s="22"/>
      <c r="B126" s="23"/>
      <c r="C126" s="23" t="e">
        <f>Sites[[#This Row],[SOL'#]]</f>
        <v>#VALUE!</v>
      </c>
      <c r="D126" s="18" t="e">
        <f>SUM(Apr!#REF!,May!#REF!,Jun!#REF!)</f>
        <v>#REF!</v>
      </c>
      <c r="E126" s="8" t="e">
        <f>SUM(Apr!#REF!,May!#REF!,Jun!#REF!)</f>
        <v>#REF!</v>
      </c>
      <c r="F126" s="8" t="str">
        <f t="shared" si="9"/>
        <v/>
      </c>
      <c r="G126" s="9" t="str">
        <f t="shared" si="6"/>
        <v/>
      </c>
      <c r="H126" s="10" t="e">
        <f>SUM(Apr!#REF!,May!#REF!,Jun!#REF!)</f>
        <v>#REF!</v>
      </c>
      <c r="I126" s="10" t="e">
        <f>SUM(Apr!#REF!,May!#REF!,Jun!#REF!)</f>
        <v>#REF!</v>
      </c>
      <c r="J126" s="11" t="str">
        <f t="shared" si="7"/>
        <v/>
      </c>
    </row>
    <row r="127" spans="1:10" ht="15.6">
      <c r="A127" s="24"/>
      <c r="B127" s="25"/>
      <c r="C127" s="25" t="e">
        <f>Sites[[#This Row],[SOL'#]]</f>
        <v>#VALUE!</v>
      </c>
      <c r="D127" s="14" t="e">
        <f>SUM(Apr!#REF!,May!#REF!,Jun!#REF!)</f>
        <v>#REF!</v>
      </c>
      <c r="E127" s="14" t="e">
        <f>SUM(Apr!#REF!,May!#REF!,Jun!#REF!)</f>
        <v>#REF!</v>
      </c>
      <c r="F127" s="12" t="str">
        <f t="shared" si="9"/>
        <v/>
      </c>
      <c r="G127" s="13" t="str">
        <f t="shared" si="6"/>
        <v/>
      </c>
      <c r="H127" s="14" t="e">
        <f>SUM(Apr!#REF!,May!#REF!,Jun!#REF!)</f>
        <v>#REF!</v>
      </c>
      <c r="I127" s="14" t="e">
        <f>SUM(Apr!#REF!,May!#REF!,Jun!#REF!)</f>
        <v>#REF!</v>
      </c>
      <c r="J127" s="13" t="str">
        <f t="shared" si="7"/>
        <v/>
      </c>
    </row>
    <row r="128" spans="1:10" ht="15.6">
      <c r="A128" s="22"/>
      <c r="B128" s="23"/>
      <c r="C128" s="23" t="e">
        <f>Sites[[#This Row],[SOL'#]]</f>
        <v>#VALUE!</v>
      </c>
      <c r="D128" s="18" t="e">
        <f>SUM(Apr!#REF!,May!#REF!,Jun!#REF!)</f>
        <v>#REF!</v>
      </c>
      <c r="E128" s="8" t="e">
        <f>SUM(Apr!#REF!,May!#REF!,Jun!#REF!)</f>
        <v>#REF!</v>
      </c>
      <c r="F128" s="8" t="str">
        <f t="shared" si="9"/>
        <v/>
      </c>
      <c r="G128" s="9" t="str">
        <f t="shared" si="6"/>
        <v/>
      </c>
      <c r="H128" s="10" t="e">
        <f>SUM(Apr!#REF!,May!#REF!,Jun!#REF!)</f>
        <v>#REF!</v>
      </c>
      <c r="I128" s="10" t="e">
        <f>SUM(Apr!#REF!,May!#REF!,Jun!#REF!)</f>
        <v>#REF!</v>
      </c>
      <c r="J128" s="11" t="str">
        <f t="shared" si="7"/>
        <v/>
      </c>
    </row>
    <row r="129" spans="1:10" ht="15.6">
      <c r="A129" s="24"/>
      <c r="B129" s="25"/>
      <c r="C129" s="25" t="e">
        <f>Sites[[#This Row],[SOL'#]]</f>
        <v>#VALUE!</v>
      </c>
      <c r="D129" s="14" t="e">
        <f>SUM(Apr!#REF!,May!#REF!,Jun!#REF!)</f>
        <v>#REF!</v>
      </c>
      <c r="E129" s="14" t="e">
        <f>SUM(Apr!#REF!,May!#REF!,Jun!#REF!)</f>
        <v>#REF!</v>
      </c>
      <c r="F129" s="12" t="str">
        <f t="shared" si="9"/>
        <v/>
      </c>
      <c r="G129" s="13" t="str">
        <f t="shared" si="6"/>
        <v/>
      </c>
      <c r="H129" s="14" t="e">
        <f>SUM(Apr!#REF!,May!#REF!,Jun!#REF!)</f>
        <v>#REF!</v>
      </c>
      <c r="I129" s="14" t="e">
        <f>SUM(Apr!#REF!,May!#REF!,Jun!#REF!)</f>
        <v>#REF!</v>
      </c>
      <c r="J129" s="13" t="str">
        <f t="shared" si="7"/>
        <v/>
      </c>
    </row>
    <row r="130" spans="1:10" ht="15.6">
      <c r="A130" s="22"/>
      <c r="B130" s="23"/>
      <c r="C130" s="23" t="e">
        <f>Sites[[#This Row],[SOL'#]]</f>
        <v>#VALUE!</v>
      </c>
      <c r="D130" s="18" t="e">
        <f>SUM(Apr!#REF!,May!#REF!,Jun!#REF!)</f>
        <v>#REF!</v>
      </c>
      <c r="E130" s="8" t="e">
        <f>SUM(Apr!#REF!,May!#REF!,Jun!#REF!)</f>
        <v>#REF!</v>
      </c>
      <c r="F130" s="8" t="str">
        <f t="shared" si="9"/>
        <v/>
      </c>
      <c r="G130" s="9" t="str">
        <f t="shared" si="6"/>
        <v/>
      </c>
      <c r="H130" s="10" t="e">
        <f>SUM(Apr!#REF!,May!#REF!,Jun!#REF!)</f>
        <v>#REF!</v>
      </c>
      <c r="I130" s="10" t="e">
        <f>SUM(Apr!#REF!,May!#REF!,Jun!#REF!)</f>
        <v>#REF!</v>
      </c>
      <c r="J130" s="11" t="str">
        <f t="shared" si="7"/>
        <v/>
      </c>
    </row>
    <row r="131" spans="1:10" ht="15.6">
      <c r="A131" s="24"/>
      <c r="B131" s="25"/>
      <c r="C131" s="25" t="e">
        <f>Sites[[#This Row],[SOL'#]]</f>
        <v>#VALUE!</v>
      </c>
      <c r="D131" s="14" t="e">
        <f>SUM(Apr!#REF!,May!#REF!,Jun!#REF!)</f>
        <v>#REF!</v>
      </c>
      <c r="E131" s="14" t="e">
        <f>SUM(Apr!#REF!,May!#REF!,Jun!#REF!)</f>
        <v>#REF!</v>
      </c>
      <c r="F131" s="12" t="str">
        <f t="shared" si="9"/>
        <v/>
      </c>
      <c r="G131" s="13" t="str">
        <f t="shared" si="6"/>
        <v/>
      </c>
      <c r="H131" s="14" t="e">
        <f>SUM(Apr!#REF!,May!#REF!,Jun!#REF!)</f>
        <v>#REF!</v>
      </c>
      <c r="I131" s="14" t="e">
        <f>SUM(Apr!#REF!,May!#REF!,Jun!#REF!)</f>
        <v>#REF!</v>
      </c>
      <c r="J131" s="13" t="str">
        <f t="shared" si="7"/>
        <v/>
      </c>
    </row>
    <row r="132" spans="1:10" ht="15.6">
      <c r="A132" s="22"/>
      <c r="B132" s="23"/>
      <c r="C132" s="23" t="e">
        <f>Sites[[#This Row],[SOL'#]]</f>
        <v>#VALUE!</v>
      </c>
      <c r="D132" s="18" t="e">
        <f>SUM(Apr!#REF!,May!#REF!,Jun!#REF!)</f>
        <v>#REF!</v>
      </c>
      <c r="E132" s="8" t="e">
        <f>SUM(Apr!#REF!,May!#REF!,Jun!#REF!)</f>
        <v>#REF!</v>
      </c>
      <c r="F132" s="8" t="str">
        <f t="shared" si="9"/>
        <v/>
      </c>
      <c r="G132" s="9" t="str">
        <f t="shared" si="6"/>
        <v/>
      </c>
      <c r="H132" s="10" t="e">
        <f>SUM(Apr!#REF!,May!#REF!,Jun!#REF!)</f>
        <v>#REF!</v>
      </c>
      <c r="I132" s="10" t="e">
        <f>SUM(Apr!#REF!,May!#REF!,Jun!#REF!)</f>
        <v>#REF!</v>
      </c>
      <c r="J132" s="11" t="str">
        <f t="shared" si="7"/>
        <v/>
      </c>
    </row>
    <row r="133" spans="1:10" ht="15.6">
      <c r="A133" s="24"/>
      <c r="B133" s="25"/>
      <c r="C133" s="25" t="e">
        <f>Sites[[#This Row],[SOL'#]]</f>
        <v>#VALUE!</v>
      </c>
      <c r="D133" s="14" t="e">
        <f>SUM(Apr!#REF!,May!#REF!,Jun!#REF!)</f>
        <v>#REF!</v>
      </c>
      <c r="E133" s="14" t="e">
        <f>SUM(Apr!#REF!,May!#REF!,Jun!#REF!)</f>
        <v>#REF!</v>
      </c>
      <c r="F133" s="12" t="str">
        <f t="shared" si="9"/>
        <v/>
      </c>
      <c r="G133" s="13" t="str">
        <f t="shared" si="6"/>
        <v/>
      </c>
      <c r="H133" s="14" t="e">
        <f>SUM(Apr!#REF!,May!#REF!,Jun!#REF!)</f>
        <v>#REF!</v>
      </c>
      <c r="I133" s="14" t="e">
        <f>SUM(Apr!#REF!,May!#REF!,Jun!#REF!)</f>
        <v>#REF!</v>
      </c>
      <c r="J133" s="13" t="str">
        <f t="shared" si="7"/>
        <v/>
      </c>
    </row>
    <row r="134" spans="1:10" ht="15.6">
      <c r="A134" s="22"/>
      <c r="B134" s="23"/>
      <c r="C134" s="23" t="e">
        <f>Sites[[#This Row],[SOL'#]]</f>
        <v>#VALUE!</v>
      </c>
      <c r="D134" s="18" t="e">
        <f>SUM(Apr!#REF!,May!#REF!,Jun!#REF!)</f>
        <v>#REF!</v>
      </c>
      <c r="E134" s="8" t="e">
        <f>SUM(Apr!#REF!,May!#REF!,Jun!#REF!)</f>
        <v>#REF!</v>
      </c>
      <c r="F134" s="8" t="str">
        <f t="shared" si="9"/>
        <v/>
      </c>
      <c r="G134" s="9" t="str">
        <f t="shared" ref="G134:G158" si="10">IFERROR(F134/E134, "")</f>
        <v/>
      </c>
      <c r="H134" s="10" t="e">
        <f>SUM(Apr!#REF!,May!#REF!,Jun!#REF!)</f>
        <v>#REF!</v>
      </c>
      <c r="I134" s="10" t="e">
        <f>SUM(Apr!#REF!,May!#REF!,Jun!#REF!)</f>
        <v>#REF!</v>
      </c>
      <c r="J134" s="11" t="str">
        <f t="shared" ref="J134:J158" si="11">IFERROR(I134/H134, "")</f>
        <v/>
      </c>
    </row>
    <row r="135" spans="1:10" ht="15.6">
      <c r="A135" s="24"/>
      <c r="B135" s="25"/>
      <c r="C135" s="25" t="e">
        <f>Sites[[#This Row],[SOL'#]]</f>
        <v>#VALUE!</v>
      </c>
      <c r="D135" s="14" t="e">
        <f>SUM(Apr!#REF!,May!#REF!,Jun!#REF!)</f>
        <v>#REF!</v>
      </c>
      <c r="E135" s="14" t="e">
        <f>SUM(Apr!#REF!,May!#REF!,Jun!#REF!)</f>
        <v>#REF!</v>
      </c>
      <c r="F135" s="12" t="str">
        <f t="shared" si="9"/>
        <v/>
      </c>
      <c r="G135" s="13" t="str">
        <f t="shared" si="10"/>
        <v/>
      </c>
      <c r="H135" s="14" t="e">
        <f>SUM(Apr!#REF!,May!#REF!,Jun!#REF!)</f>
        <v>#REF!</v>
      </c>
      <c r="I135" s="14" t="e">
        <f>SUM(Apr!#REF!,May!#REF!,Jun!#REF!)</f>
        <v>#REF!</v>
      </c>
      <c r="J135" s="13" t="str">
        <f t="shared" si="11"/>
        <v/>
      </c>
    </row>
    <row r="136" spans="1:10" ht="15.6">
      <c r="A136" s="22"/>
      <c r="B136" s="23"/>
      <c r="C136" s="23" t="e">
        <f>Sites[[#This Row],[SOL'#]]</f>
        <v>#VALUE!</v>
      </c>
      <c r="D136" s="18" t="e">
        <f>SUM(Apr!#REF!,May!#REF!,Jun!#REF!)</f>
        <v>#REF!</v>
      </c>
      <c r="E136" s="8" t="e">
        <f>SUM(Apr!#REF!,May!#REF!,Jun!#REF!)</f>
        <v>#REF!</v>
      </c>
      <c r="F136" s="8" t="str">
        <f t="shared" si="9"/>
        <v/>
      </c>
      <c r="G136" s="9" t="str">
        <f t="shared" si="10"/>
        <v/>
      </c>
      <c r="H136" s="10" t="e">
        <f>SUM(Apr!#REF!,May!#REF!,Jun!#REF!)</f>
        <v>#REF!</v>
      </c>
      <c r="I136" s="10" t="e">
        <f>SUM(Apr!#REF!,May!#REF!,Jun!#REF!)</f>
        <v>#REF!</v>
      </c>
      <c r="J136" s="11" t="str">
        <f t="shared" si="11"/>
        <v/>
      </c>
    </row>
    <row r="137" spans="1:10" ht="15.6">
      <c r="A137" s="24"/>
      <c r="B137" s="25"/>
      <c r="C137" s="25" t="e">
        <f>Sites[[#This Row],[SOL'#]]</f>
        <v>#VALUE!</v>
      </c>
      <c r="D137" s="14" t="e">
        <f>SUM(Apr!#REF!,May!#REF!,Jun!#REF!)</f>
        <v>#REF!</v>
      </c>
      <c r="E137" s="14" t="e">
        <f>SUM(Apr!#REF!,May!#REF!,Jun!#REF!)</f>
        <v>#REF!</v>
      </c>
      <c r="F137" s="12" t="str">
        <f t="shared" si="9"/>
        <v/>
      </c>
      <c r="G137" s="13" t="str">
        <f t="shared" si="10"/>
        <v/>
      </c>
      <c r="H137" s="14" t="e">
        <f>SUM(Apr!#REF!,May!#REF!,Jun!#REF!)</f>
        <v>#REF!</v>
      </c>
      <c r="I137" s="14" t="e">
        <f>SUM(Apr!#REF!,May!#REF!,Jun!#REF!)</f>
        <v>#REF!</v>
      </c>
      <c r="J137" s="13" t="str">
        <f t="shared" si="11"/>
        <v/>
      </c>
    </row>
    <row r="138" spans="1:10" ht="15.6">
      <c r="A138" s="22"/>
      <c r="B138" s="23"/>
      <c r="C138" s="23" t="e">
        <f>Sites[[#This Row],[SOL'#]]</f>
        <v>#VALUE!</v>
      </c>
      <c r="D138" s="18" t="e">
        <f>SUM(Apr!#REF!,May!#REF!,Jun!#REF!)</f>
        <v>#REF!</v>
      </c>
      <c r="E138" s="8" t="e">
        <f>SUM(Apr!#REF!,May!#REF!,Jun!#REF!)</f>
        <v>#REF!</v>
      </c>
      <c r="F138" s="8" t="str">
        <f t="shared" si="9"/>
        <v/>
      </c>
      <c r="G138" s="9" t="str">
        <f t="shared" si="10"/>
        <v/>
      </c>
      <c r="H138" s="10" t="e">
        <f>SUM(Apr!#REF!,May!#REF!,Jun!#REF!)</f>
        <v>#REF!</v>
      </c>
      <c r="I138" s="10" t="e">
        <f>SUM(Apr!#REF!,May!#REF!,Jun!#REF!)</f>
        <v>#REF!</v>
      </c>
      <c r="J138" s="11" t="str">
        <f t="shared" si="11"/>
        <v/>
      </c>
    </row>
    <row r="139" spans="1:10" ht="15.6">
      <c r="A139" s="24"/>
      <c r="B139" s="25"/>
      <c r="C139" s="25" t="e">
        <f>Sites[[#This Row],[SOL'#]]</f>
        <v>#VALUE!</v>
      </c>
      <c r="D139" s="14" t="e">
        <f>SUM(Apr!#REF!,May!#REF!,Jun!#REF!)</f>
        <v>#REF!</v>
      </c>
      <c r="E139" s="14" t="e">
        <f>SUM(Apr!#REF!,May!#REF!,Jun!#REF!)</f>
        <v>#REF!</v>
      </c>
      <c r="F139" s="12" t="str">
        <f t="shared" si="9"/>
        <v/>
      </c>
      <c r="G139" s="13" t="str">
        <f t="shared" si="10"/>
        <v/>
      </c>
      <c r="H139" s="14" t="e">
        <f>SUM(Apr!#REF!,May!#REF!,Jun!#REF!)</f>
        <v>#REF!</v>
      </c>
      <c r="I139" s="14" t="e">
        <f>SUM(Apr!#REF!,May!#REF!,Jun!#REF!)</f>
        <v>#REF!</v>
      </c>
      <c r="J139" s="13" t="str">
        <f t="shared" si="11"/>
        <v/>
      </c>
    </row>
    <row r="140" spans="1:10" ht="15.6">
      <c r="A140" s="22"/>
      <c r="B140" s="23"/>
      <c r="C140" s="23" t="e">
        <f>Sites[[#This Row],[SOL'#]]</f>
        <v>#VALUE!</v>
      </c>
      <c r="D140" s="18" t="e">
        <f>SUM(Apr!#REF!,May!#REF!,Jun!#REF!)</f>
        <v>#REF!</v>
      </c>
      <c r="E140" s="8" t="e">
        <f>SUM(Apr!#REF!,May!#REF!,Jun!#REF!)</f>
        <v>#REF!</v>
      </c>
      <c r="F140" s="8" t="str">
        <f t="shared" si="9"/>
        <v/>
      </c>
      <c r="G140" s="9" t="str">
        <f t="shared" si="10"/>
        <v/>
      </c>
      <c r="H140" s="10" t="e">
        <f>SUM(Apr!#REF!,May!#REF!,Jun!#REF!)</f>
        <v>#REF!</v>
      </c>
      <c r="I140" s="10" t="e">
        <f>SUM(Apr!#REF!,May!#REF!,Jun!#REF!)</f>
        <v>#REF!</v>
      </c>
      <c r="J140" s="11" t="str">
        <f t="shared" si="11"/>
        <v/>
      </c>
    </row>
    <row r="141" spans="1:10" ht="15.6">
      <c r="A141" s="24"/>
      <c r="B141" s="25"/>
      <c r="C141" s="25" t="e">
        <f>Sites[[#This Row],[SOL'#]]</f>
        <v>#VALUE!</v>
      </c>
      <c r="D141" s="14" t="e">
        <f>SUM(Apr!#REF!,May!#REF!,Jun!#REF!)</f>
        <v>#REF!</v>
      </c>
      <c r="E141" s="14" t="e">
        <f>SUM(Apr!#REF!,May!#REF!,Jun!#REF!)</f>
        <v>#REF!</v>
      </c>
      <c r="F141" s="12" t="str">
        <f t="shared" si="9"/>
        <v/>
      </c>
      <c r="G141" s="13" t="str">
        <f t="shared" si="10"/>
        <v/>
      </c>
      <c r="H141" s="14" t="e">
        <f>SUM(Apr!#REF!,May!#REF!,Jun!#REF!)</f>
        <v>#REF!</v>
      </c>
      <c r="I141" s="14" t="e">
        <f>SUM(Apr!#REF!,May!#REF!,Jun!#REF!)</f>
        <v>#REF!</v>
      </c>
      <c r="J141" s="13" t="str">
        <f t="shared" si="11"/>
        <v/>
      </c>
    </row>
    <row r="142" spans="1:10" ht="15.6">
      <c r="A142" s="22"/>
      <c r="B142" s="23"/>
      <c r="C142" s="23" t="e">
        <f>Sites[[#This Row],[SOL'#]]</f>
        <v>#VALUE!</v>
      </c>
      <c r="D142" s="18" t="e">
        <f>SUM(Apr!#REF!,May!#REF!,Jun!#REF!)</f>
        <v>#REF!</v>
      </c>
      <c r="E142" s="8" t="e">
        <f>SUM(Apr!#REF!,May!#REF!,Jun!#REF!)</f>
        <v>#REF!</v>
      </c>
      <c r="F142" s="8" t="str">
        <f t="shared" si="9"/>
        <v/>
      </c>
      <c r="G142" s="9" t="str">
        <f t="shared" si="10"/>
        <v/>
      </c>
      <c r="H142" s="10" t="e">
        <f>SUM(Apr!#REF!,May!#REF!,Jun!#REF!)</f>
        <v>#REF!</v>
      </c>
      <c r="I142" s="10" t="e">
        <f>SUM(Apr!#REF!,May!#REF!,Jun!#REF!)</f>
        <v>#REF!</v>
      </c>
      <c r="J142" s="11" t="str">
        <f t="shared" si="11"/>
        <v/>
      </c>
    </row>
    <row r="143" spans="1:10" ht="15.6">
      <c r="A143" s="24"/>
      <c r="B143" s="25"/>
      <c r="C143" s="25" t="e">
        <f>Sites[[#This Row],[SOL'#]]</f>
        <v>#VALUE!</v>
      </c>
      <c r="D143" s="14" t="e">
        <f>SUM(Apr!#REF!,May!#REF!,Jun!#REF!)</f>
        <v>#REF!</v>
      </c>
      <c r="E143" s="14" t="e">
        <f>SUM(Apr!#REF!,May!#REF!,Jun!#REF!)</f>
        <v>#REF!</v>
      </c>
      <c r="F143" s="12" t="str">
        <f t="shared" si="9"/>
        <v/>
      </c>
      <c r="G143" s="13" t="str">
        <f t="shared" si="10"/>
        <v/>
      </c>
      <c r="H143" s="14" t="e">
        <f>SUM(Apr!#REF!,May!#REF!,Jun!#REF!)</f>
        <v>#REF!</v>
      </c>
      <c r="I143" s="14" t="e">
        <f>SUM(Apr!#REF!,May!#REF!,Jun!#REF!)</f>
        <v>#REF!</v>
      </c>
      <c r="J143" s="13" t="str">
        <f t="shared" si="11"/>
        <v/>
      </c>
    </row>
    <row r="144" spans="1:10" ht="15.6">
      <c r="A144" s="22"/>
      <c r="B144" s="23"/>
      <c r="C144" s="23" t="e">
        <f>Sites[[#This Row],[SOL'#]]</f>
        <v>#VALUE!</v>
      </c>
      <c r="D144" s="18" t="e">
        <f>SUM(Apr!#REF!,May!#REF!,Jun!#REF!)</f>
        <v>#REF!</v>
      </c>
      <c r="E144" s="8" t="e">
        <f>SUM(Apr!#REF!,May!#REF!,Jun!#REF!)</f>
        <v>#REF!</v>
      </c>
      <c r="F144" s="8" t="str">
        <f t="shared" si="9"/>
        <v/>
      </c>
      <c r="G144" s="9" t="str">
        <f t="shared" si="10"/>
        <v/>
      </c>
      <c r="H144" s="10" t="e">
        <f>SUM(Apr!#REF!,May!#REF!,Jun!#REF!)</f>
        <v>#REF!</v>
      </c>
      <c r="I144" s="10" t="e">
        <f>SUM(Apr!#REF!,May!#REF!,Jun!#REF!)</f>
        <v>#REF!</v>
      </c>
      <c r="J144" s="11" t="str">
        <f t="shared" si="11"/>
        <v/>
      </c>
    </row>
    <row r="145" spans="1:10" ht="15.6">
      <c r="A145" s="24"/>
      <c r="B145" s="25"/>
      <c r="C145" s="25" t="e">
        <f>Sites[[#This Row],[SOL'#]]</f>
        <v>#VALUE!</v>
      </c>
      <c r="D145" s="14" t="e">
        <f>SUM(Apr!#REF!,May!#REF!,Jun!#REF!)</f>
        <v>#REF!</v>
      </c>
      <c r="E145" s="14" t="e">
        <f>SUM(Apr!#REF!,May!#REF!,Jun!#REF!)</f>
        <v>#REF!</v>
      </c>
      <c r="F145" s="12" t="str">
        <f t="shared" si="9"/>
        <v/>
      </c>
      <c r="G145" s="13" t="str">
        <f t="shared" si="10"/>
        <v/>
      </c>
      <c r="H145" s="14" t="e">
        <f>SUM(Apr!#REF!,May!#REF!,Jun!#REF!)</f>
        <v>#REF!</v>
      </c>
      <c r="I145" s="14" t="e">
        <f>SUM(Apr!#REF!,May!#REF!,Jun!#REF!)</f>
        <v>#REF!</v>
      </c>
      <c r="J145" s="13" t="str">
        <f t="shared" si="11"/>
        <v/>
      </c>
    </row>
    <row r="146" spans="1:10" ht="15.6">
      <c r="A146" s="22"/>
      <c r="B146" s="23"/>
      <c r="C146" s="23" t="e">
        <f>Sites[[#This Row],[SOL'#]]</f>
        <v>#VALUE!</v>
      </c>
      <c r="D146" s="18" t="e">
        <f>SUM(Apr!#REF!,May!#REF!,Jun!#REF!)</f>
        <v>#REF!</v>
      </c>
      <c r="E146" s="8" t="e">
        <f>SUM(Apr!#REF!,May!#REF!,Jun!#REF!)</f>
        <v>#REF!</v>
      </c>
      <c r="F146" s="8" t="str">
        <f t="shared" si="9"/>
        <v/>
      </c>
      <c r="G146" s="9" t="str">
        <f t="shared" si="10"/>
        <v/>
      </c>
      <c r="H146" s="10" t="e">
        <f>SUM(Apr!#REF!,May!#REF!,Jun!#REF!)</f>
        <v>#REF!</v>
      </c>
      <c r="I146" s="10" t="e">
        <f>SUM(Apr!#REF!,May!#REF!,Jun!#REF!)</f>
        <v>#REF!</v>
      </c>
      <c r="J146" s="11" t="str">
        <f t="shared" si="11"/>
        <v/>
      </c>
    </row>
    <row r="147" spans="1:10" ht="15.6">
      <c r="A147" s="24"/>
      <c r="B147" s="25"/>
      <c r="C147" s="25" t="e">
        <f>Sites[[#This Row],[SOL'#]]</f>
        <v>#VALUE!</v>
      </c>
      <c r="D147" s="14" t="e">
        <f>SUM(Apr!#REF!,May!#REF!,Jun!#REF!)</f>
        <v>#REF!</v>
      </c>
      <c r="E147" s="14" t="e">
        <f>SUM(Apr!#REF!,May!#REF!,Jun!#REF!)</f>
        <v>#REF!</v>
      </c>
      <c r="F147" s="12" t="str">
        <f t="shared" si="9"/>
        <v/>
      </c>
      <c r="G147" s="13" t="str">
        <f t="shared" si="10"/>
        <v/>
      </c>
      <c r="H147" s="14" t="e">
        <f>SUM(Apr!#REF!,May!#REF!,Jun!#REF!)</f>
        <v>#REF!</v>
      </c>
      <c r="I147" s="14" t="e">
        <f>SUM(Apr!#REF!,May!#REF!,Jun!#REF!)</f>
        <v>#REF!</v>
      </c>
      <c r="J147" s="13" t="str">
        <f t="shared" si="11"/>
        <v/>
      </c>
    </row>
    <row r="148" spans="1:10" ht="15.6">
      <c r="A148" s="22"/>
      <c r="B148" s="23"/>
      <c r="C148" s="23" t="e">
        <f>Sites[[#This Row],[SOL'#]]</f>
        <v>#VALUE!</v>
      </c>
      <c r="D148" s="18" t="e">
        <f>SUM(Apr!#REF!,May!#REF!,Jun!#REF!)</f>
        <v>#REF!</v>
      </c>
      <c r="E148" s="8" t="e">
        <f>SUM(Apr!#REF!,May!#REF!,Jun!#REF!)</f>
        <v>#REF!</v>
      </c>
      <c r="F148" s="8" t="str">
        <f t="shared" si="9"/>
        <v/>
      </c>
      <c r="G148" s="9" t="str">
        <f t="shared" si="10"/>
        <v/>
      </c>
      <c r="H148" s="10" t="e">
        <f>SUM(Apr!#REF!,May!#REF!,Jun!#REF!)</f>
        <v>#REF!</v>
      </c>
      <c r="I148" s="10" t="e">
        <f>SUM(Apr!#REF!,May!#REF!,Jun!#REF!)</f>
        <v>#REF!</v>
      </c>
      <c r="J148" s="11" t="str">
        <f t="shared" si="11"/>
        <v/>
      </c>
    </row>
    <row r="149" spans="1:10" ht="15.6">
      <c r="A149" s="24"/>
      <c r="B149" s="25"/>
      <c r="C149" s="25" t="e">
        <f>Sites[[#This Row],[SOL'#]]</f>
        <v>#VALUE!</v>
      </c>
      <c r="D149" s="14" t="e">
        <f>SUM(Apr!#REF!,May!#REF!,Jun!#REF!)</f>
        <v>#REF!</v>
      </c>
      <c r="E149" s="14" t="e">
        <f>SUM(Apr!#REF!,May!#REF!,Jun!#REF!)</f>
        <v>#REF!</v>
      </c>
      <c r="F149" s="12" t="str">
        <f t="shared" si="9"/>
        <v/>
      </c>
      <c r="G149" s="13" t="str">
        <f t="shared" si="10"/>
        <v/>
      </c>
      <c r="H149" s="14" t="e">
        <f>SUM(Apr!#REF!,May!#REF!,Jun!#REF!)</f>
        <v>#REF!</v>
      </c>
      <c r="I149" s="14" t="e">
        <f>SUM(Apr!#REF!,May!#REF!,Jun!#REF!)</f>
        <v>#REF!</v>
      </c>
      <c r="J149" s="13" t="str">
        <f t="shared" si="11"/>
        <v/>
      </c>
    </row>
    <row r="150" spans="1:10" ht="15.6">
      <c r="A150" s="22"/>
      <c r="B150" s="23"/>
      <c r="C150" s="23" t="e">
        <f>Sites[[#This Row],[SOL'#]]</f>
        <v>#VALUE!</v>
      </c>
      <c r="D150" s="18" t="e">
        <f>SUM(Apr!#REF!,May!#REF!,Jun!#REF!)</f>
        <v>#REF!</v>
      </c>
      <c r="E150" s="8" t="e">
        <f>SUM(Apr!#REF!,May!#REF!,Jun!#REF!)</f>
        <v>#REF!</v>
      </c>
      <c r="F150" s="8" t="str">
        <f t="shared" si="9"/>
        <v/>
      </c>
      <c r="G150" s="9" t="str">
        <f t="shared" si="10"/>
        <v/>
      </c>
      <c r="H150" s="10" t="e">
        <f>SUM(Apr!#REF!,May!#REF!,Jun!#REF!)</f>
        <v>#REF!</v>
      </c>
      <c r="I150" s="10" t="e">
        <f>SUM(Apr!#REF!,May!#REF!,Jun!#REF!)</f>
        <v>#REF!</v>
      </c>
      <c r="J150" s="11" t="str">
        <f t="shared" si="11"/>
        <v/>
      </c>
    </row>
    <row r="151" spans="1:10" ht="15.6">
      <c r="A151" s="24"/>
      <c r="B151" s="25"/>
      <c r="C151" s="25" t="e">
        <f>Sites[[#This Row],[SOL'#]]</f>
        <v>#VALUE!</v>
      </c>
      <c r="D151" s="14" t="e">
        <f>SUM(Apr!#REF!,May!#REF!,Jun!#REF!)</f>
        <v>#REF!</v>
      </c>
      <c r="E151" s="14" t="e">
        <f>SUM(Apr!#REF!,May!#REF!,Jun!#REF!)</f>
        <v>#REF!</v>
      </c>
      <c r="F151" s="12" t="str">
        <f t="shared" si="9"/>
        <v/>
      </c>
      <c r="G151" s="13" t="str">
        <f t="shared" si="10"/>
        <v/>
      </c>
      <c r="H151" s="14" t="e">
        <f>SUM(Apr!#REF!,May!#REF!,Jun!#REF!)</f>
        <v>#REF!</v>
      </c>
      <c r="I151" s="14" t="e">
        <f>SUM(Apr!#REF!,May!#REF!,Jun!#REF!)</f>
        <v>#REF!</v>
      </c>
      <c r="J151" s="13" t="str">
        <f t="shared" si="11"/>
        <v/>
      </c>
    </row>
    <row r="152" spans="1:10" ht="15.6">
      <c r="A152" s="22"/>
      <c r="B152" s="23"/>
      <c r="C152" s="23" t="e">
        <f>Sites[[#This Row],[SOL'#]]</f>
        <v>#VALUE!</v>
      </c>
      <c r="D152" s="18" t="e">
        <f>SUM(Apr!#REF!,May!#REF!,Jun!#REF!)</f>
        <v>#REF!</v>
      </c>
      <c r="E152" s="8" t="e">
        <f>SUM(Apr!#REF!,May!#REF!,Jun!#REF!)</f>
        <v>#REF!</v>
      </c>
      <c r="F152" s="8" t="str">
        <f t="shared" si="9"/>
        <v/>
      </c>
      <c r="G152" s="9" t="str">
        <f t="shared" si="10"/>
        <v/>
      </c>
      <c r="H152" s="10" t="e">
        <f>SUM(Apr!#REF!,May!#REF!,Jun!#REF!)</f>
        <v>#REF!</v>
      </c>
      <c r="I152" s="10" t="e">
        <f>SUM(Apr!#REF!,May!#REF!,Jun!#REF!)</f>
        <v>#REF!</v>
      </c>
      <c r="J152" s="11" t="str">
        <f t="shared" si="11"/>
        <v/>
      </c>
    </row>
    <row r="153" spans="1:10" ht="15.6">
      <c r="A153" s="24"/>
      <c r="B153" s="25"/>
      <c r="C153" s="25" t="e">
        <f>Sites[[#This Row],[SOL'#]]</f>
        <v>#VALUE!</v>
      </c>
      <c r="D153" s="14" t="e">
        <f>SUM(Apr!#REF!,May!#REF!,Jun!#REF!)</f>
        <v>#REF!</v>
      </c>
      <c r="E153" s="14" t="e">
        <f>SUM(Apr!#REF!,May!#REF!,Jun!#REF!)</f>
        <v>#REF!</v>
      </c>
      <c r="F153" s="12" t="str">
        <f t="shared" si="9"/>
        <v/>
      </c>
      <c r="G153" s="13" t="str">
        <f t="shared" si="10"/>
        <v/>
      </c>
      <c r="H153" s="14" t="e">
        <f>SUM(Apr!#REF!,May!#REF!,Jun!#REF!)</f>
        <v>#REF!</v>
      </c>
      <c r="I153" s="14" t="e">
        <f>SUM(Apr!#REF!,May!#REF!,Jun!#REF!)</f>
        <v>#REF!</v>
      </c>
      <c r="J153" s="13" t="str">
        <f t="shared" si="11"/>
        <v/>
      </c>
    </row>
    <row r="154" spans="1:10" ht="15.6">
      <c r="A154" s="22"/>
      <c r="B154" s="23"/>
      <c r="C154" s="23" t="e">
        <f>Sites[[#This Row],[SOL'#]]</f>
        <v>#VALUE!</v>
      </c>
      <c r="D154" s="18" t="e">
        <f>SUM(Apr!#REF!,May!#REF!,Jun!#REF!)</f>
        <v>#REF!</v>
      </c>
      <c r="E154" s="8" t="e">
        <f>SUM(Apr!#REF!,May!#REF!,Jun!#REF!)</f>
        <v>#REF!</v>
      </c>
      <c r="F154" s="8" t="str">
        <f t="shared" si="9"/>
        <v/>
      </c>
      <c r="G154" s="9" t="str">
        <f t="shared" si="10"/>
        <v/>
      </c>
      <c r="H154" s="10" t="e">
        <f>SUM(Apr!#REF!,May!#REF!,Jun!#REF!)</f>
        <v>#REF!</v>
      </c>
      <c r="I154" s="10" t="e">
        <f>SUM(Apr!#REF!,May!#REF!,Jun!#REF!)</f>
        <v>#REF!</v>
      </c>
      <c r="J154" s="11" t="str">
        <f t="shared" si="11"/>
        <v/>
      </c>
    </row>
    <row r="155" spans="1:10" ht="15.6">
      <c r="A155" s="24"/>
      <c r="B155" s="25"/>
      <c r="C155" s="25" t="e">
        <f>Sites[[#This Row],[SOL'#]]</f>
        <v>#VALUE!</v>
      </c>
      <c r="D155" s="14" t="e">
        <f>SUM(Apr!#REF!,May!#REF!,Jun!#REF!)</f>
        <v>#REF!</v>
      </c>
      <c r="E155" s="14" t="e">
        <f>SUM(Apr!#REF!,May!#REF!,Jun!#REF!)</f>
        <v>#REF!</v>
      </c>
      <c r="F155" s="12" t="str">
        <f t="shared" si="9"/>
        <v/>
      </c>
      <c r="G155" s="13" t="str">
        <f t="shared" si="10"/>
        <v/>
      </c>
      <c r="H155" s="14" t="e">
        <f>SUM(Apr!#REF!,May!#REF!,Jun!#REF!)</f>
        <v>#REF!</v>
      </c>
      <c r="I155" s="14" t="e">
        <f>SUM(Apr!#REF!,May!#REF!,Jun!#REF!)</f>
        <v>#REF!</v>
      </c>
      <c r="J155" s="13" t="str">
        <f t="shared" si="11"/>
        <v/>
      </c>
    </row>
    <row r="156" spans="1:10" ht="15.6">
      <c r="A156" s="22"/>
      <c r="B156" s="23"/>
      <c r="C156" s="23" t="e">
        <f>Sites[[#This Row],[SOL'#]]</f>
        <v>#VALUE!</v>
      </c>
      <c r="D156" s="18" t="e">
        <f>SUM(Apr!#REF!,May!#REF!,Jun!#REF!)</f>
        <v>#REF!</v>
      </c>
      <c r="E156" s="8" t="e">
        <f>SUM(Apr!#REF!,May!#REF!,Jun!#REF!)</f>
        <v>#REF!</v>
      </c>
      <c r="F156" s="8" t="str">
        <f t="shared" si="9"/>
        <v/>
      </c>
      <c r="G156" s="9" t="str">
        <f t="shared" si="10"/>
        <v/>
      </c>
      <c r="H156" s="10" t="e">
        <f>SUM(Apr!#REF!,May!#REF!,Jun!#REF!)</f>
        <v>#REF!</v>
      </c>
      <c r="I156" s="10" t="e">
        <f>SUM(Apr!#REF!,May!#REF!,Jun!#REF!)</f>
        <v>#REF!</v>
      </c>
      <c r="J156" s="11" t="str">
        <f t="shared" si="11"/>
        <v/>
      </c>
    </row>
    <row r="157" spans="1:10" ht="15.6">
      <c r="A157" s="24"/>
      <c r="B157" s="25"/>
      <c r="C157" s="25" t="e">
        <f>Sites[[#This Row],[SOL'#]]</f>
        <v>#VALUE!</v>
      </c>
      <c r="D157" s="14" t="e">
        <f>SUM(Apr!#REF!,May!#REF!,Jun!#REF!)</f>
        <v>#REF!</v>
      </c>
      <c r="E157" s="14" t="e">
        <f>SUM(Apr!#REF!,May!#REF!,Jun!#REF!)</f>
        <v>#REF!</v>
      </c>
      <c r="F157" s="12" t="str">
        <f t="shared" si="9"/>
        <v/>
      </c>
      <c r="G157" s="13" t="str">
        <f t="shared" si="10"/>
        <v/>
      </c>
      <c r="H157" s="14" t="e">
        <f>SUM(Apr!#REF!,May!#REF!,Jun!#REF!)</f>
        <v>#REF!</v>
      </c>
      <c r="I157" s="14" t="e">
        <f>SUM(Apr!#REF!,May!#REF!,Jun!#REF!)</f>
        <v>#REF!</v>
      </c>
      <c r="J157" s="13" t="str">
        <f t="shared" si="11"/>
        <v/>
      </c>
    </row>
    <row r="158" spans="1:10" ht="15.6">
      <c r="A158" s="22"/>
      <c r="B158" s="23"/>
      <c r="C158" s="23" t="e">
        <f>Sites[[#This Row],[SOL'#]]</f>
        <v>#VALUE!</v>
      </c>
      <c r="D158" s="18" t="e">
        <f>SUM(Apr!#REF!,May!#REF!,Jun!#REF!)</f>
        <v>#REF!</v>
      </c>
      <c r="E158" s="8" t="e">
        <f>SUM(Apr!#REF!,May!#REF!,Jun!#REF!)</f>
        <v>#REF!</v>
      </c>
      <c r="F158" s="8" t="str">
        <f t="shared" si="9"/>
        <v/>
      </c>
      <c r="G158" s="9" t="str">
        <f t="shared" si="10"/>
        <v/>
      </c>
      <c r="H158" s="10" t="e">
        <f>SUM(Apr!#REF!,May!#REF!,Jun!#REF!)</f>
        <v>#REF!</v>
      </c>
      <c r="I158" s="10" t="e">
        <f>SUM(Apr!#REF!,May!#REF!,Jun!#REF!)</f>
        <v>#REF!</v>
      </c>
      <c r="J158" s="11" t="str">
        <f t="shared" si="11"/>
        <v/>
      </c>
    </row>
    <row r="159" spans="1:10">
      <c r="G159"/>
      <c r="J159"/>
    </row>
    <row r="160" spans="1:10">
      <c r="G160"/>
      <c r="J160"/>
    </row>
    <row r="161" spans="7:10">
      <c r="G161"/>
      <c r="J161"/>
    </row>
    <row r="162" spans="7:10">
      <c r="G162"/>
      <c r="J162"/>
    </row>
    <row r="163" spans="7:10">
      <c r="G163"/>
      <c r="J163"/>
    </row>
    <row r="164" spans="7:10">
      <c r="G164"/>
      <c r="J164"/>
    </row>
    <row r="165" spans="7:10">
      <c r="G165"/>
      <c r="J165"/>
    </row>
    <row r="166" spans="7:10">
      <c r="G166"/>
      <c r="J166"/>
    </row>
    <row r="167" spans="7:10">
      <c r="G167"/>
      <c r="J167"/>
    </row>
    <row r="168" spans="7:10">
      <c r="G168"/>
      <c r="J168"/>
    </row>
    <row r="169" spans="7:10">
      <c r="G169"/>
      <c r="J169"/>
    </row>
    <row r="170" spans="7:10">
      <c r="G170"/>
      <c r="J170"/>
    </row>
    <row r="171" spans="7:10">
      <c r="G171"/>
      <c r="J171"/>
    </row>
    <row r="172" spans="7:10">
      <c r="G172"/>
      <c r="J172"/>
    </row>
    <row r="173" spans="7:10">
      <c r="G173"/>
      <c r="J173"/>
    </row>
    <row r="174" spans="7:10">
      <c r="G174"/>
      <c r="J174"/>
    </row>
    <row r="175" spans="7:10">
      <c r="G175"/>
      <c r="J175"/>
    </row>
    <row r="176" spans="7: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3" t="str">
        <f t="shared" ref="J201" si="12">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46" priority="23" stopIfTrue="1" operator="lessThanOrEqual">
      <formula>-0.1</formula>
    </cfRule>
    <cfRule type="expression" dxfId="45" priority="24">
      <formula>AND(ISNUMBER(G2), G2&gt;=0.1)</formula>
    </cfRule>
  </conditionalFormatting>
  <conditionalFormatting sqref="G4:G158 J4:J201">
    <cfRule type="cellIs" dxfId="44" priority="1" stopIfTrue="1" operator="lessThanOrEqual">
      <formula>-0.1</formula>
    </cfRule>
    <cfRule type="expression" dxfId="4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134"/>
  <sheetViews>
    <sheetView workbookViewId="0">
      <pane xSplit="2" ySplit="3" topLeftCell="C28" activePane="bottomRight" state="frozen"/>
      <selection pane="bottomRight" activeCell="G50" sqref="G50"/>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8" t="str" cm="1">
        <f t="array" ref="A1">portfolio</f>
        <v>GoodFinch</v>
      </c>
      <c r="B1" s="138"/>
      <c r="C1" s="138"/>
      <c r="D1" s="138"/>
      <c r="E1" s="139" t="s">
        <v>15</v>
      </c>
      <c r="F1" s="139"/>
      <c r="G1" s="139"/>
      <c r="H1" s="137" t="s">
        <v>16</v>
      </c>
      <c r="I1" s="137"/>
      <c r="J1" s="137"/>
    </row>
    <row r="2" spans="1:10" ht="19.5" customHeight="1">
      <c r="A2" s="140" t="s">
        <v>2</v>
      </c>
      <c r="B2" s="140"/>
      <c r="C2" s="51"/>
      <c r="D2" s="3">
        <f>SUM(D4:D42)</f>
        <v>4552224.5720823854</v>
      </c>
      <c r="E2" s="3">
        <f>SUM(E4:E67)</f>
        <v>4128083.6870000013</v>
      </c>
      <c r="F2" s="3">
        <f>D2-E2</f>
        <v>424140.88508238411</v>
      </c>
      <c r="G2" s="4">
        <f>IFERROR(F2/E2, 0)</f>
        <v>0.10274522447741839</v>
      </c>
      <c r="H2" s="3">
        <f>SUM(H4:H42)</f>
        <v>6074920.682</v>
      </c>
      <c r="I2" s="5">
        <f>D2-H2</f>
        <v>-1522696.1099176146</v>
      </c>
      <c r="J2" s="4">
        <f>IFERROR(I2/H2, 0)</f>
        <v>-0.25065283805751831</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SUM(Jul!D4, Aug!D4, Sep!D4)</f>
        <v>38700.212095431598</v>
      </c>
      <c r="E4" s="12">
        <f>SUM(Jul!E4, Aug!E4, Sep!E4)</f>
        <v>24795.159</v>
      </c>
      <c r="F4" s="12">
        <f t="shared" ref="F4:F5" si="0">IF(AND(ISNUMBER(D4),ISNUMBER(E4)), D4-E4, "")</f>
        <v>13905.053095431598</v>
      </c>
      <c r="G4" s="13">
        <f t="shared" ref="G4:G42" si="1">IFERROR(F4/E4, "")</f>
        <v>0.56079709331291638</v>
      </c>
      <c r="H4" s="14">
        <f>SUM(Jul!H4,Aug!H4,Sep!H4)</f>
        <v>39775.160000000003</v>
      </c>
      <c r="I4" s="14">
        <f>SUM(Jul!I4, Aug!I4, Sep!I4)</f>
        <v>-1074.9479045684002</v>
      </c>
      <c r="J4" s="13">
        <f t="shared" ref="J4:J42" si="2">IFERROR(I4/H4, "")</f>
        <v>-2.7025608559925342E-2</v>
      </c>
    </row>
    <row r="5" spans="1:10" ht="15.6">
      <c r="A5" s="22" t="str">
        <v>AZ: Tempe - ASU - Fulton</v>
      </c>
      <c r="B5" s="23" t="str">
        <v>AZ</v>
      </c>
      <c r="C5" s="23" t="str">
        <f>Sites[[#This Row],[SOL'#]]</f>
        <v>SOL-10749</v>
      </c>
      <c r="D5" s="18">
        <f>SUM(Jul!D5, Aug!D5, Sep!D5)</f>
        <v>132403</v>
      </c>
      <c r="E5" s="8">
        <f>SUM(Jul!E5, Aug!E5, Sep!E5)</f>
        <v>162791.65999999997</v>
      </c>
      <c r="F5" s="8">
        <f t="shared" si="0"/>
        <v>-30388.659999999974</v>
      </c>
      <c r="G5" s="9">
        <f t="shared" si="1"/>
        <v>-0.18667209364410917</v>
      </c>
      <c r="H5" s="10">
        <f>SUM(Jul!H5,Aug!H5,Sep!H5)</f>
        <v>189224.45</v>
      </c>
      <c r="I5" s="10">
        <f>SUM(Jul!I5, Aug!I5, Sep!I5)</f>
        <v>-56821.45</v>
      </c>
      <c r="J5" s="11">
        <f t="shared" si="2"/>
        <v>-0.30028598312744464</v>
      </c>
    </row>
    <row r="6" spans="1:10" ht="15.6">
      <c r="A6" s="24" t="str">
        <v>AZ: Superior - JFK Elementary</v>
      </c>
      <c r="B6" s="25" t="str">
        <v>AZ</v>
      </c>
      <c r="C6" s="25" t="str">
        <f>Sites[[#This Row],[SOL'#]]</f>
        <v>SOL-10758</v>
      </c>
      <c r="D6" s="7">
        <f>SUM(Jul!D6, Aug!D6, Sep!D6)</f>
        <v>49165.379403139304</v>
      </c>
      <c r="E6" s="12">
        <f>SUM(Jul!E6, Aug!E6, Sep!E6)</f>
        <v>0</v>
      </c>
      <c r="F6" s="12">
        <f t="shared" ref="F6:F37" si="3">IF(AND(ISNUMBER(D6),ISNUMBER(E6)), D6-E6, "")</f>
        <v>49165.379403139304</v>
      </c>
      <c r="G6" s="13" t="str">
        <f t="shared" si="1"/>
        <v/>
      </c>
      <c r="H6" s="14">
        <f>SUM(Jul!H6,Aug!H6,Sep!H6)</f>
        <v>56457.740000000005</v>
      </c>
      <c r="I6" s="14">
        <f>SUM(Jul!I6, Aug!I6, Sep!I6)</f>
        <v>-7292.3605968607008</v>
      </c>
      <c r="J6" s="13">
        <f t="shared" si="2"/>
        <v>-0.12916493995084996</v>
      </c>
    </row>
    <row r="7" spans="1:10" ht="15.6">
      <c r="A7" s="22" t="str">
        <v>AZ: Tempe - ASU - Noble</v>
      </c>
      <c r="B7" s="23" t="str">
        <v>AZ</v>
      </c>
      <c r="C7" s="23" t="str">
        <f>Sites[[#This Row],[SOL'#]]</f>
        <v>SOL-10750</v>
      </c>
      <c r="D7" s="18">
        <f>SUM(Jul!D7, Aug!D7, Sep!D7)</f>
        <v>35641.269240957103</v>
      </c>
      <c r="E7" s="8">
        <f>SUM(Jul!E7, Aug!E7, Sep!E7)</f>
        <v>42048.56</v>
      </c>
      <c r="F7" s="8">
        <f t="shared" si="3"/>
        <v>-6407.2907590428949</v>
      </c>
      <c r="G7" s="9">
        <f t="shared" si="1"/>
        <v>-0.15237836346935293</v>
      </c>
      <c r="H7" s="10">
        <f>SUM(Jul!H7,Aug!H7,Sep!H7)</f>
        <v>40386.94</v>
      </c>
      <c r="I7" s="10">
        <f>SUM(Jul!I7, Aug!I7, Sep!I7)</f>
        <v>-4745.6707590429014</v>
      </c>
      <c r="J7" s="11">
        <f t="shared" si="2"/>
        <v>-0.11750508355034824</v>
      </c>
    </row>
    <row r="8" spans="1:10" ht="15.6">
      <c r="A8" s="24" t="str">
        <v>AZ: Tempe - ASU - Parking #3</v>
      </c>
      <c r="B8" s="25" t="str">
        <v>AZ</v>
      </c>
      <c r="C8" s="25" t="str">
        <f>Sites[[#This Row],[SOL'#]]</f>
        <v>SOL-10751</v>
      </c>
      <c r="D8" s="7">
        <f>SUM(Jul!D8, Aug!D8, Sep!D8)</f>
        <v>88185.549999999988</v>
      </c>
      <c r="E8" s="12">
        <f>SUM(Jul!E8, Aug!E8, Sep!E8)</f>
        <v>94126.23</v>
      </c>
      <c r="F8" s="12">
        <f t="shared" si="3"/>
        <v>-5940.6800000000076</v>
      </c>
      <c r="G8" s="13">
        <f t="shared" si="1"/>
        <v>-6.3113969400453065E-2</v>
      </c>
      <c r="H8" s="14">
        <f>SUM(Jul!H8,Aug!H8,Sep!H8)</f>
        <v>94413.2</v>
      </c>
      <c r="I8" s="14">
        <f>SUM(Jul!I8, Aug!I8, Sep!I8)</f>
        <v>-6227.6499999999978</v>
      </c>
      <c r="J8" s="13">
        <f t="shared" si="2"/>
        <v>-6.5961645193680529E-2</v>
      </c>
    </row>
    <row r="9" spans="1:10" ht="15.6">
      <c r="A9" s="22" t="str">
        <v>AZ: Tempe - ASU - PE East</v>
      </c>
      <c r="B9" s="23" t="str">
        <v>AZ</v>
      </c>
      <c r="C9" s="23" t="str">
        <f>Sites[[#This Row],[SOL'#]]</f>
        <v>SOL-10752</v>
      </c>
      <c r="D9" s="18">
        <f>SUM(Jul!D9, Aug!D9, Sep!D9)</f>
        <v>85195.666119639296</v>
      </c>
      <c r="E9" s="8">
        <f>SUM(Jul!E9, Aug!E9, Sep!E9)</f>
        <v>68542.100000000006</v>
      </c>
      <c r="F9" s="8">
        <f t="shared" si="3"/>
        <v>16653.56611963929</v>
      </c>
      <c r="G9" s="9">
        <f t="shared" si="1"/>
        <v>0.24296842553174311</v>
      </c>
      <c r="H9" s="10">
        <f>SUM(Jul!H9,Aug!H9,Sep!H9)</f>
        <v>93559.31</v>
      </c>
      <c r="I9" s="10">
        <f>SUM(Jul!I9, Aug!I9, Sep!I9)</f>
        <v>-8363.6438803607016</v>
      </c>
      <c r="J9" s="11">
        <f t="shared" si="2"/>
        <v>-8.9394031233884702E-2</v>
      </c>
    </row>
    <row r="10" spans="1:10" ht="15.6">
      <c r="A10" s="24" t="str">
        <v>AZ: Tempe - ASU - Schwada</v>
      </c>
      <c r="B10" s="25" t="str">
        <v>AZ</v>
      </c>
      <c r="C10" s="25" t="str">
        <f>Sites[[#This Row],[SOL'#]]</f>
        <v>SOL-10753</v>
      </c>
      <c r="D10" s="7">
        <f>SUM(Jul!D10, Aug!D10, Sep!D10)</f>
        <v>34665.0096087313</v>
      </c>
      <c r="E10" s="12">
        <f>SUM(Jul!E10, Aug!E10, Sep!E10)</f>
        <v>28219.263999999999</v>
      </c>
      <c r="F10" s="12">
        <f t="shared" si="3"/>
        <v>6445.7456087313003</v>
      </c>
      <c r="G10" s="13">
        <f t="shared" si="1"/>
        <v>0.2284165033053768</v>
      </c>
      <c r="H10" s="14">
        <f>SUM(Jul!H10,Aug!H10,Sep!H10)</f>
        <v>41521.520000000004</v>
      </c>
      <c r="I10" s="14">
        <f>SUM(Jul!I10, Aug!I10, Sep!I10)</f>
        <v>-6856.5103912686991</v>
      </c>
      <c r="J10" s="13">
        <f t="shared" si="2"/>
        <v>-0.16513148823233587</v>
      </c>
    </row>
    <row r="11" spans="1:10" ht="15.6">
      <c r="A11" s="22" t="str">
        <v>AZ: Phoenix - Starshine Academy</v>
      </c>
      <c r="B11" s="23" t="str">
        <v>AZ</v>
      </c>
      <c r="C11" s="23" t="str">
        <f>Sites[[#This Row],[SOL'#]]</f>
        <v>SOL-10757</v>
      </c>
      <c r="D11" s="18">
        <f>SUM(Jul!D11, Aug!D11, Sep!D11)</f>
        <v>17824.30960863681</v>
      </c>
      <c r="E11" s="8">
        <f>SUM(Jul!E11, Aug!E11, Sep!E11)</f>
        <v>0</v>
      </c>
      <c r="F11" s="8">
        <f t="shared" si="3"/>
        <v>17824.30960863681</v>
      </c>
      <c r="G11" s="9" t="str">
        <f t="shared" si="1"/>
        <v/>
      </c>
      <c r="H11" s="10">
        <f>SUM(Jul!H11,Aug!H11,Sep!H11)</f>
        <v>29012.578000000001</v>
      </c>
      <c r="I11" s="10">
        <f>SUM(Jul!I11, Aug!I11, Sep!I11)</f>
        <v>-11188.26839136319</v>
      </c>
      <c r="J11" s="11">
        <f t="shared" si="2"/>
        <v>-0.38563509907196764</v>
      </c>
    </row>
    <row r="12" spans="1:10" ht="15.6">
      <c r="A12" s="24" t="str">
        <v>AZ: Yuma Airport</v>
      </c>
      <c r="B12" s="25" t="str">
        <v>AZ</v>
      </c>
      <c r="C12" s="25" t="str">
        <f>Sites[[#This Row],[SOL'#]]</f>
        <v>SOL-10754</v>
      </c>
      <c r="D12" s="7">
        <f>SUM(Jul!D12, Aug!D12, Sep!D12)</f>
        <v>181747</v>
      </c>
      <c r="E12" s="12">
        <f>SUM(Jul!E12, Aug!E12, Sep!E12)</f>
        <v>266025.68</v>
      </c>
      <c r="F12" s="12">
        <f t="shared" si="3"/>
        <v>-84278.68</v>
      </c>
      <c r="G12" s="13">
        <f t="shared" si="1"/>
        <v>-0.31680655792328016</v>
      </c>
      <c r="H12" s="14">
        <f>SUM(Jul!H12,Aug!H12,Sep!H12)</f>
        <v>224061</v>
      </c>
      <c r="I12" s="14">
        <f>SUM(Jul!I12, Aug!I12, Sep!I12)</f>
        <v>-42314</v>
      </c>
      <c r="J12" s="13">
        <f t="shared" si="2"/>
        <v>-0.18885035771508651</v>
      </c>
    </row>
    <row r="13" spans="1:10" ht="15.6">
      <c r="A13" s="22" t="str">
        <v>AZ: Globe - Gila CC</v>
      </c>
      <c r="B13" s="23" t="str">
        <v>AZ</v>
      </c>
      <c r="C13" s="23" t="str">
        <f>Sites[[#This Row],[SOL'#]]</f>
        <v>SOL-10751</v>
      </c>
      <c r="D13" s="18">
        <f>SUM(Jul!D13, Aug!D13, Sep!D13)</f>
        <v>54507.076434886498</v>
      </c>
      <c r="E13" s="8">
        <f>SUM(Jul!E13, Aug!E13, Sep!E13)</f>
        <v>23486.82</v>
      </c>
      <c r="F13" s="8">
        <f t="shared" si="3"/>
        <v>31020.256434886498</v>
      </c>
      <c r="G13" s="9">
        <f t="shared" si="1"/>
        <v>1.3207516570947662</v>
      </c>
      <c r="H13" s="10">
        <f>SUM(Jul!H13,Aug!H13,Sep!H13)</f>
        <v>51509.5</v>
      </c>
      <c r="I13" s="10">
        <f>SUM(Jul!I13, Aug!I13, Sep!I13)</f>
        <v>2997.5764348865014</v>
      </c>
      <c r="J13" s="11">
        <f t="shared" si="2"/>
        <v>5.8194632735446887E-2</v>
      </c>
    </row>
    <row r="14" spans="1:10" ht="15.6">
      <c r="A14" s="24" t="str">
        <v>AZ: Payson - Gila CC</v>
      </c>
      <c r="B14" s="25" t="str">
        <v>AZ</v>
      </c>
      <c r="C14" s="25" t="str">
        <f>Sites[[#This Row],[SOL'#]]</f>
        <v>SOL-10748</v>
      </c>
      <c r="D14" s="7">
        <f>SUM(Jul!D14, Aug!D14, Sep!D14)</f>
        <v>37246.078823691598</v>
      </c>
      <c r="E14" s="12">
        <f>SUM(Jul!E14, Aug!E14, Sep!E14)</f>
        <v>17334.665999999997</v>
      </c>
      <c r="F14" s="12">
        <f t="shared" si="3"/>
        <v>19911.4128236916</v>
      </c>
      <c r="G14" s="13">
        <f t="shared" si="1"/>
        <v>1.1486470419269459</v>
      </c>
      <c r="H14" s="14">
        <f>SUM(Jul!H14,Aug!H14,Sep!H14)</f>
        <v>38124</v>
      </c>
      <c r="I14" s="14">
        <f>SUM(Jul!I14, Aug!I14, Sep!I14)</f>
        <v>-877.92117630840039</v>
      </c>
      <c r="J14" s="13">
        <f t="shared" si="2"/>
        <v>-2.302804470434373E-2</v>
      </c>
    </row>
    <row r="15" spans="1:10" ht="15.6">
      <c r="A15" s="22" t="str">
        <v>AZ: Mesa - Sequoia Charter School</v>
      </c>
      <c r="B15" s="23" t="str">
        <v>AZ</v>
      </c>
      <c r="C15" s="23" t="str">
        <f>Sites[[#This Row],[SOL'#]]</f>
        <v>SOL-10759</v>
      </c>
      <c r="D15" s="18">
        <f>SUM(Jul!D15, Aug!D15, Sep!D15)</f>
        <v>86754.699999999895</v>
      </c>
      <c r="E15" s="8">
        <f>SUM(Jul!E15, Aug!E15, Sep!E15)</f>
        <v>0</v>
      </c>
      <c r="F15" s="8">
        <f t="shared" si="3"/>
        <v>86754.699999999895</v>
      </c>
      <c r="G15" s="9" t="str">
        <f t="shared" si="1"/>
        <v/>
      </c>
      <c r="H15" s="10">
        <f>SUM(Jul!H15,Aug!H15,Sep!H15)</f>
        <v>139347.41</v>
      </c>
      <c r="I15" s="10">
        <f>SUM(Jul!I15, Aug!I15, Sep!I15)</f>
        <v>-52592.710000000108</v>
      </c>
      <c r="J15" s="11">
        <f t="shared" si="2"/>
        <v>-0.37742151074067404</v>
      </c>
    </row>
    <row r="16" spans="1:10" ht="15.6">
      <c r="A16" s="24" t="str">
        <v>AZ: Tempe - SCNM</v>
      </c>
      <c r="B16" s="25" t="str">
        <v>AZ</v>
      </c>
      <c r="C16" s="25" t="str">
        <f>Sites[[#This Row],[SOL'#]]</f>
        <v>SOL-10760</v>
      </c>
      <c r="D16" s="7">
        <f>SUM(Jul!D16, Aug!D16, Sep!D16)</f>
        <v>209268</v>
      </c>
      <c r="E16" s="12">
        <f>SUM(Jul!E16, Aug!E16, Sep!E16)</f>
        <v>127773.75</v>
      </c>
      <c r="F16" s="12">
        <f t="shared" si="3"/>
        <v>81494.25</v>
      </c>
      <c r="G16" s="13">
        <f t="shared" si="1"/>
        <v>0.63780119155929915</v>
      </c>
      <c r="H16" s="14">
        <f>SUM(Jul!H16,Aug!H16,Sep!H16)</f>
        <v>250842.95</v>
      </c>
      <c r="I16" s="14">
        <f>SUM(Jul!I16, Aug!I16, Sep!I16)</f>
        <v>-41574.949999999997</v>
      </c>
      <c r="J16" s="13">
        <f t="shared" si="2"/>
        <v>-0.16574095464911409</v>
      </c>
    </row>
    <row r="17" spans="1:10" ht="15.6">
      <c r="A17" s="22" t="str">
        <v>DE: Newark - Clayton Hall</v>
      </c>
      <c r="B17" s="23" t="str">
        <v>DE</v>
      </c>
      <c r="C17" s="23" t="str">
        <f>Sites[[#This Row],[SOL'#]]</f>
        <v>SOL-10820</v>
      </c>
      <c r="D17" s="18">
        <f>SUM(Jul!D17, Aug!D17, Sep!D17)</f>
        <v>58239</v>
      </c>
      <c r="E17" s="8">
        <f>SUM(Jul!E17, Aug!E17, Sep!E17)</f>
        <v>62809.021999999997</v>
      </c>
      <c r="F17" s="8">
        <f t="shared" si="3"/>
        <v>-4570.0219999999972</v>
      </c>
      <c r="G17" s="9">
        <f t="shared" si="1"/>
        <v>-7.2760597991798015E-2</v>
      </c>
      <c r="H17" s="10">
        <f>SUM(Jul!H17,Aug!H17,Sep!H17)</f>
        <v>54137.887999999999</v>
      </c>
      <c r="I17" s="10">
        <f>SUM(Jul!I17, Aug!I17, Sep!I17)</f>
        <v>4101.1119999999992</v>
      </c>
      <c r="J17" s="11">
        <f t="shared" si="2"/>
        <v>7.5753084420286207E-2</v>
      </c>
    </row>
    <row r="18" spans="1:10" ht="15.6">
      <c r="A18" s="24" t="str">
        <v>DE: Newark - UOD Field House</v>
      </c>
      <c r="B18" s="25" t="str">
        <v>DE</v>
      </c>
      <c r="C18" s="25" t="str">
        <f>Sites[[#This Row],[SOL'#]]</f>
        <v>SOL-10821</v>
      </c>
      <c r="D18" s="7">
        <f>SUM(Jul!D18, Aug!D18, Sep!D18)</f>
        <v>155312</v>
      </c>
      <c r="E18" s="12">
        <f>SUM(Jul!E18, Aug!E18, Sep!E18)</f>
        <v>0</v>
      </c>
      <c r="F18" s="12">
        <f t="shared" si="3"/>
        <v>155312</v>
      </c>
      <c r="G18" s="13" t="str">
        <f t="shared" si="1"/>
        <v/>
      </c>
      <c r="H18" s="14">
        <f>SUM(Jul!H18,Aug!H18,Sep!H18)</f>
        <v>134604.39299999998</v>
      </c>
      <c r="I18" s="14">
        <f>SUM(Jul!I18, Aug!I18, Sep!I18)</f>
        <v>20707.607000000004</v>
      </c>
      <c r="J18" s="13">
        <f t="shared" si="2"/>
        <v>0.15384049909871816</v>
      </c>
    </row>
    <row r="19" spans="1:10" ht="15.6">
      <c r="A19" s="22" t="str">
        <v>DE: Newark - UOD 461 Wyoming</v>
      </c>
      <c r="B19" s="23" t="str">
        <v>DE</v>
      </c>
      <c r="C19" s="23" t="str">
        <f>Sites[[#This Row],[SOL'#]]</f>
        <v>SOL-10819</v>
      </c>
      <c r="D19" s="18">
        <f>SUM(Jul!D19, Aug!D19, Sep!D19)</f>
        <v>14362</v>
      </c>
      <c r="E19" s="8">
        <f>SUM(Jul!E19, Aug!E19, Sep!E19)</f>
        <v>96729.296000000002</v>
      </c>
      <c r="F19" s="8">
        <f t="shared" si="3"/>
        <v>-82367.296000000002</v>
      </c>
      <c r="G19" s="9">
        <f t="shared" si="1"/>
        <v>-0.85152378241231075</v>
      </c>
      <c r="H19" s="10">
        <f>SUM(Jul!H19,Aug!H19,Sep!H19)</f>
        <v>102169.337</v>
      </c>
      <c r="I19" s="10">
        <f>SUM(Jul!I19, Aug!I19, Sep!I19)</f>
        <v>-50224.337</v>
      </c>
      <c r="J19" s="11">
        <f t="shared" si="2"/>
        <v>-0.491579357121599</v>
      </c>
    </row>
    <row r="20" spans="1:10" ht="15.6">
      <c r="A20" s="24" t="str">
        <v>MD: Presston - Bird-in-Hand</v>
      </c>
      <c r="B20" s="25" t="str">
        <v>MD</v>
      </c>
      <c r="C20" s="25" t="str">
        <f>Sites[[#This Row],[SOL'#]]</f>
        <v>SOL-10092</v>
      </c>
      <c r="D20" s="7">
        <f>SUM(Jul!D20, Aug!D20, Sep!D20)</f>
        <v>461497</v>
      </c>
      <c r="E20" s="12">
        <f>SUM(Jul!E20, Aug!E20, Sep!E20)</f>
        <v>459534.48600000003</v>
      </c>
      <c r="F20" s="12">
        <f t="shared" si="3"/>
        <v>1962.5139999999665</v>
      </c>
      <c r="G20" s="13">
        <f t="shared" si="1"/>
        <v>4.2706566314153977E-3</v>
      </c>
      <c r="H20" s="14">
        <f>SUM(Jul!H20,Aug!H20,Sep!H20)</f>
        <v>472980.28100000002</v>
      </c>
      <c r="I20" s="14">
        <f>SUM(Jul!I20, Aug!I20, Sep!I20)</f>
        <v>-11483.281000000003</v>
      </c>
      <c r="J20" s="13">
        <f t="shared" si="2"/>
        <v>-2.4278561837126574E-2</v>
      </c>
    </row>
    <row r="21" spans="1:10" ht="15.6">
      <c r="A21" s="22" t="str">
        <v>MD: Easton - Shortall</v>
      </c>
      <c r="B21" s="23" t="str">
        <v>MD</v>
      </c>
      <c r="C21" s="23" t="str">
        <f>Sites[[#This Row],[SOL'#]]</f>
        <v>SOL-10091</v>
      </c>
      <c r="D21" s="18">
        <f>SUM(Jul!D21, Aug!D21, Sep!D21)</f>
        <v>513232</v>
      </c>
      <c r="E21" s="8">
        <f>SUM(Jul!E21, Aug!E21, Sep!E21)</f>
        <v>491705.99</v>
      </c>
      <c r="F21" s="8">
        <f t="shared" si="3"/>
        <v>21526.010000000009</v>
      </c>
      <c r="G21" s="9">
        <f t="shared" si="1"/>
        <v>4.3778213887530656E-2</v>
      </c>
      <c r="H21" s="10">
        <f>SUM(Jul!H21,Aug!H21,Sep!H21)</f>
        <v>469954.77300000004</v>
      </c>
      <c r="I21" s="10">
        <f>SUM(Jul!I21, Aug!I21, Sep!I21)</f>
        <v>43277.227000000014</v>
      </c>
      <c r="J21" s="11">
        <f t="shared" si="2"/>
        <v>9.2088067802218079E-2</v>
      </c>
    </row>
    <row r="22" spans="1:10" ht="15.6">
      <c r="A22" s="24" t="str">
        <v>MA: Boston - Seaport Solar</v>
      </c>
      <c r="B22" s="25" t="str">
        <v>MA</v>
      </c>
      <c r="C22" s="25" t="str">
        <f>Sites[[#This Row],[SOL'#]]</f>
        <v>SOL-10772</v>
      </c>
      <c r="D22" s="7">
        <f>SUM(Jul!D22, Aug!D22, Sep!D22)</f>
        <v>234036.5</v>
      </c>
      <c r="E22" s="12">
        <f>SUM(Jul!E22, Aug!E22, Sep!E22)</f>
        <v>43678.347999999998</v>
      </c>
      <c r="F22" s="12">
        <f t="shared" si="3"/>
        <v>190358.152</v>
      </c>
      <c r="G22" s="13">
        <f t="shared" si="1"/>
        <v>4.3581811290115642</v>
      </c>
      <c r="H22" s="14">
        <f>SUM(Jul!H22,Aug!H22,Sep!H22)</f>
        <v>217087.45</v>
      </c>
      <c r="I22" s="14">
        <f>SUM(Jul!I22, Aug!I22, Sep!I22)</f>
        <v>16949.050000000003</v>
      </c>
      <c r="J22" s="13">
        <f t="shared" si="2"/>
        <v>7.807475743070362E-2</v>
      </c>
    </row>
    <row r="23" spans="1:10" ht="15.6">
      <c r="A23" s="22" t="str">
        <v>MA: Dedham - Sprague Street</v>
      </c>
      <c r="B23" s="23" t="str">
        <v>MA</v>
      </c>
      <c r="C23" s="23" t="str">
        <f>Sites[[#This Row],[SOL'#]]</f>
        <v>SOL-10773</v>
      </c>
      <c r="D23" s="18">
        <f>SUM(Jul!D23, Aug!D23, Sep!D23)</f>
        <v>503914</v>
      </c>
      <c r="E23" s="8">
        <f>SUM(Jul!E23, Aug!E23, Sep!E23)</f>
        <v>0</v>
      </c>
      <c r="F23" s="8">
        <f t="shared" si="3"/>
        <v>503914</v>
      </c>
      <c r="G23" s="9" t="str">
        <f t="shared" si="1"/>
        <v/>
      </c>
      <c r="H23" s="10">
        <f>SUM(Jul!H23,Aug!H23,Sep!H23)</f>
        <v>484083.522</v>
      </c>
      <c r="I23" s="10">
        <f>SUM(Jul!I23, Aug!I23, Sep!I23)</f>
        <v>19830.478000000003</v>
      </c>
      <c r="J23" s="11">
        <f t="shared" si="2"/>
        <v>4.0964992813781423E-2</v>
      </c>
    </row>
    <row r="24" spans="1:10" ht="15.6">
      <c r="A24" s="24" t="str">
        <v>MA: Boston - Summer Street</v>
      </c>
      <c r="B24" s="25" t="str">
        <v>MA</v>
      </c>
      <c r="C24" s="25" t="str">
        <f>Sites[[#This Row],[SOL'#]]</f>
        <v>SOL-10764</v>
      </c>
      <c r="D24" s="7">
        <f>SUM(Jul!D24, Aug!D24, Sep!D24)</f>
        <v>0</v>
      </c>
      <c r="E24" s="12">
        <f>SUM(Jul!E24, Aug!E24, Sep!E24)</f>
        <v>195335.43599999999</v>
      </c>
      <c r="F24" s="12">
        <f t="shared" si="3"/>
        <v>-195335.43599999999</v>
      </c>
      <c r="G24" s="13">
        <f t="shared" si="1"/>
        <v>-1</v>
      </c>
      <c r="H24" s="14">
        <f>SUM(Jul!H24,Aug!H24,Sep!H24)</f>
        <v>1033753.29</v>
      </c>
      <c r="I24" s="14">
        <f>SUM(Jul!I24, Aug!I24, Sep!I24)</f>
        <v>-624529.29</v>
      </c>
      <c r="J24" s="13">
        <f t="shared" si="2"/>
        <v>-0.60413765648088047</v>
      </c>
    </row>
    <row r="25" spans="1:10" ht="15.6">
      <c r="A25" s="22" t="str">
        <v>MA: Leominster - Spectro Coatings</v>
      </c>
      <c r="B25" s="23" t="str">
        <v>MA</v>
      </c>
      <c r="C25" s="23" t="str">
        <f>Sites[[#This Row],[SOL'#]]</f>
        <v>SOL-10074</v>
      </c>
      <c r="D25" s="18">
        <f>SUM(Jul!D25, Aug!D25, Sep!D25)</f>
        <v>213326.375</v>
      </c>
      <c r="E25" s="8">
        <f>SUM(Jul!E25, Aug!E25, Sep!E25)</f>
        <v>249325.24</v>
      </c>
      <c r="F25" s="8">
        <f t="shared" si="3"/>
        <v>-35998.864999999991</v>
      </c>
      <c r="G25" s="9">
        <f t="shared" si="1"/>
        <v>-0.14438516132582482</v>
      </c>
      <c r="H25" s="10">
        <f>SUM(Jul!H25,Aug!H25,Sep!H25)</f>
        <v>188907.554</v>
      </c>
      <c r="I25" s="10">
        <f>SUM(Jul!I25, Aug!I25, Sep!I25)</f>
        <v>24418.820999999996</v>
      </c>
      <c r="J25" s="11">
        <f t="shared" si="2"/>
        <v>0.12926333798170928</v>
      </c>
    </row>
    <row r="26" spans="1:10" ht="15.6">
      <c r="A26" s="24" t="str">
        <v>MA: Braintree - RCAB</v>
      </c>
      <c r="B26" s="25" t="str">
        <v>MA</v>
      </c>
      <c r="C26" s="25" t="str">
        <f>Sites[[#This Row],[SOL'#]]</f>
        <v>SOL-10838</v>
      </c>
      <c r="D26" s="7">
        <f>SUM(Jul!D26, Aug!D26, Sep!D26)</f>
        <v>395726.5</v>
      </c>
      <c r="E26" s="12">
        <f>SUM(Jul!E26, Aug!E26, Sep!E26)</f>
        <v>468500.19999999995</v>
      </c>
      <c r="F26" s="12">
        <f t="shared" si="3"/>
        <v>-72773.699999999953</v>
      </c>
      <c r="G26" s="13">
        <f t="shared" si="1"/>
        <v>-0.15533333817146708</v>
      </c>
      <c r="H26" s="14">
        <f>SUM(Jul!H26,Aug!H26,Sep!H26)</f>
        <v>373966.05</v>
      </c>
      <c r="I26" s="14">
        <f>SUM(Jul!I26, Aug!I26, Sep!I26)</f>
        <v>21760.449999999997</v>
      </c>
      <c r="J26" s="13">
        <f t="shared" si="2"/>
        <v>5.8188303456958183E-2</v>
      </c>
    </row>
    <row r="27" spans="1:10" ht="15.6">
      <c r="A27" s="22" t="str">
        <v>NH: Rochester - Portland Street</v>
      </c>
      <c r="B27" s="23" t="str">
        <v>NH</v>
      </c>
      <c r="C27" s="23" t="str">
        <f>Sites[[#This Row],[SOL'#]]</f>
        <v>SOL-10771</v>
      </c>
      <c r="D27" s="18">
        <f>SUM(Jul!D27, Aug!D27, Sep!D27)</f>
        <v>31120.752</v>
      </c>
      <c r="E27" s="8">
        <f>SUM(Jul!E27, Aug!E27, Sep!E27)</f>
        <v>23135.201999999997</v>
      </c>
      <c r="F27" s="8">
        <f t="shared" si="3"/>
        <v>7985.5500000000029</v>
      </c>
      <c r="G27" s="9">
        <f t="shared" si="1"/>
        <v>0.34516880379950882</v>
      </c>
      <c r="H27" s="10">
        <f>SUM(Jul!H27,Aug!H27,Sep!H27)</f>
        <v>26479.245999999999</v>
      </c>
      <c r="I27" s="10">
        <f>SUM(Jul!I27, Aug!I27, Sep!I27)</f>
        <v>4641.5059999999994</v>
      </c>
      <c r="J27" s="11">
        <f t="shared" si="2"/>
        <v>0.17528845043397381</v>
      </c>
    </row>
    <row r="28" spans="1:10" ht="15.6">
      <c r="A28" s="24" t="str">
        <v>NH: Portsmouth - Portsmouth HS</v>
      </c>
      <c r="B28" s="25" t="str">
        <v>NH</v>
      </c>
      <c r="C28" s="25" t="str">
        <f>Sites[[#This Row],[SOL'#]]</f>
        <v>SOL-10769</v>
      </c>
      <c r="D28" s="7">
        <f>SUM(Jul!D28, Aug!D28, Sep!D28)</f>
        <v>124214.625</v>
      </c>
      <c r="E28" s="12">
        <f>SUM(Jul!E28, Aug!E28, Sep!E28)</f>
        <v>12514.94</v>
      </c>
      <c r="F28" s="12">
        <f t="shared" si="3"/>
        <v>111699.685</v>
      </c>
      <c r="G28" s="13">
        <f t="shared" si="1"/>
        <v>8.9253072727476113</v>
      </c>
      <c r="H28" s="14">
        <f>SUM(Jul!H28,Aug!H28,Sep!H28)</f>
        <v>98432.599000000002</v>
      </c>
      <c r="I28" s="14">
        <f>SUM(Jul!I28, Aug!I28, Sep!I28)</f>
        <v>25782.026000000002</v>
      </c>
      <c r="J28" s="13">
        <f t="shared" si="2"/>
        <v>0.26192568581878045</v>
      </c>
    </row>
    <row r="29" spans="1:10" ht="15.6">
      <c r="A29" s="22" t="str">
        <v>NH: Portsmouth - Portsmouth WTP</v>
      </c>
      <c r="B29" s="23" t="str">
        <v>NH</v>
      </c>
      <c r="C29" s="23" t="str">
        <f>Sites[[#This Row],[SOL'#]]</f>
        <v>SOL-10770</v>
      </c>
      <c r="D29" s="18">
        <f>SUM(Jul!D29, Aug!D29, Sep!D29)</f>
        <v>13129</v>
      </c>
      <c r="E29" s="8">
        <f>SUM(Jul!E29, Aug!E29, Sep!E29)</f>
        <v>14176.25</v>
      </c>
      <c r="F29" s="8">
        <f t="shared" si="3"/>
        <v>-1047.25</v>
      </c>
      <c r="G29" s="9">
        <f t="shared" si="1"/>
        <v>-7.3873556123798603E-2</v>
      </c>
      <c r="H29" s="10">
        <f>SUM(Jul!H29,Aug!H29,Sep!H29)</f>
        <v>30672</v>
      </c>
      <c r="I29" s="10">
        <f>SUM(Jul!I29, Aug!I29, Sep!I29)</f>
        <v>-17543</v>
      </c>
      <c r="J29" s="11">
        <f t="shared" si="2"/>
        <v>-0.57195487741262385</v>
      </c>
    </row>
    <row r="30" spans="1:10" ht="15.6">
      <c r="A30" s="24" t="str">
        <v>NH: Rochester - Rochester MS</v>
      </c>
      <c r="B30" s="25" t="str">
        <v>NH</v>
      </c>
      <c r="C30" s="25" t="str">
        <f>Sites[[#This Row],[SOL'#]]</f>
        <v>SOL-10765</v>
      </c>
      <c r="D30" s="7">
        <f>SUM(Jul!D30, Aug!D30, Sep!D30)</f>
        <v>108342.12145000001</v>
      </c>
      <c r="E30" s="12">
        <f>SUM(Jul!E30, Aug!E30, Sep!E30)</f>
        <v>116658.15999999999</v>
      </c>
      <c r="F30" s="12">
        <f t="shared" si="3"/>
        <v>-8316.0385499999829</v>
      </c>
      <c r="G30" s="13">
        <f t="shared" si="1"/>
        <v>-7.1285528161938977E-2</v>
      </c>
      <c r="H30" s="14">
        <f>SUM(Jul!H30,Aug!H30,Sep!H30)</f>
        <v>85816.61</v>
      </c>
      <c r="I30" s="14">
        <f>SUM(Jul!I30, Aug!I30, Sep!I30)</f>
        <v>22525.511449999998</v>
      </c>
      <c r="J30" s="13">
        <f t="shared" si="2"/>
        <v>0.26248428421957004</v>
      </c>
    </row>
    <row r="31" spans="1:10" ht="15.6">
      <c r="A31" s="22" t="str">
        <v>NH Rochester - Spaulding HS</v>
      </c>
      <c r="B31" s="23" t="str">
        <v>NH</v>
      </c>
      <c r="C31" s="23" t="str">
        <f>Sites[[#This Row],[SOL'#]]</f>
        <v>SOL-10767</v>
      </c>
      <c r="D31" s="18">
        <f>SUM(Jul!D31, Aug!D31, Sep!D31)</f>
        <v>54721.186240000003</v>
      </c>
      <c r="E31" s="8">
        <f>SUM(Jul!E31, Aug!E31, Sep!E31)</f>
        <v>46019.406000000003</v>
      </c>
      <c r="F31" s="8">
        <f t="shared" si="3"/>
        <v>8701.78024</v>
      </c>
      <c r="G31" s="9">
        <f t="shared" si="1"/>
        <v>0.18908936460414111</v>
      </c>
      <c r="H31" s="10">
        <f>SUM(Jul!H31,Aug!H31,Sep!H31)</f>
        <v>43005.701000000001</v>
      </c>
      <c r="I31" s="10">
        <f>SUM(Jul!I31, Aug!I31, Sep!I31)</f>
        <v>11715.485239999998</v>
      </c>
      <c r="J31" s="11">
        <f t="shared" si="2"/>
        <v>0.27241702768663156</v>
      </c>
    </row>
    <row r="32" spans="1:10" ht="15.6">
      <c r="A32" s="24" t="str">
        <v>NH: Rochester - McClelland ES</v>
      </c>
      <c r="B32" s="25" t="str">
        <v>NH</v>
      </c>
      <c r="C32" s="25" t="str">
        <f>Sites[[#This Row],[SOL'#]]</f>
        <v>SOL-10766</v>
      </c>
      <c r="D32" s="7">
        <f>SUM(Jul!D32, Aug!D32, Sep!D32)</f>
        <v>36952.374599999996</v>
      </c>
      <c r="E32" s="12">
        <f>SUM(Jul!E32, Aug!E32, Sep!E32)</f>
        <v>39607.794000000002</v>
      </c>
      <c r="F32" s="12">
        <f t="shared" si="3"/>
        <v>-2655.4194000000061</v>
      </c>
      <c r="G32" s="13">
        <f t="shared" si="1"/>
        <v>-6.7042850202664803E-2</v>
      </c>
      <c r="H32" s="14">
        <f>SUM(Jul!H32,Aug!H32,Sep!H32)</f>
        <v>28592.626000000004</v>
      </c>
      <c r="I32" s="14">
        <f>SUM(Jul!I32, Aug!I32, Sep!I32)</f>
        <v>8359.748599999999</v>
      </c>
      <c r="J32" s="13">
        <f t="shared" si="2"/>
        <v>0.29237428559377504</v>
      </c>
    </row>
    <row r="33" spans="1:10" ht="15.6">
      <c r="A33" s="22" t="str">
        <v>NH: Rochester - Brock St Vocational</v>
      </c>
      <c r="B33" s="23" t="str">
        <v>NH</v>
      </c>
      <c r="C33" s="23" t="str">
        <f>Sites[[#This Row],[SOL'#]]</f>
        <v>SOL-10768</v>
      </c>
      <c r="D33" s="18">
        <f>SUM(Jul!D33, Aug!D33, Sep!D33)</f>
        <v>49977.071144771697</v>
      </c>
      <c r="E33" s="8">
        <f>SUM(Jul!E33, Aug!E33, Sep!E33)</f>
        <v>48284.520000000004</v>
      </c>
      <c r="F33" s="8">
        <f t="shared" si="3"/>
        <v>1692.5511447716926</v>
      </c>
      <c r="G33" s="9">
        <f t="shared" si="1"/>
        <v>3.5053701367885451E-2</v>
      </c>
      <c r="H33" s="10">
        <f>SUM(Jul!H33,Aug!H33,Sep!H33)</f>
        <v>36441.56</v>
      </c>
      <c r="I33" s="10">
        <f>SUM(Jul!I33, Aug!I33, Sep!I33)</f>
        <v>13535.511144771701</v>
      </c>
      <c r="J33" s="11">
        <f t="shared" si="2"/>
        <v>0.37143061781031605</v>
      </c>
    </row>
    <row r="34" spans="1:10" ht="15.6">
      <c r="A34" s="24" t="str">
        <v>OH: Cleveland - CV Kinsman</v>
      </c>
      <c r="B34" s="25" t="str">
        <v>OH</v>
      </c>
      <c r="C34" s="25" t="str">
        <f>Sites[[#This Row],[SOL'#]]</f>
        <v>SOL-10762</v>
      </c>
      <c r="D34" s="7">
        <f>SUM(Jul!D34, Aug!D34, Sep!D34)</f>
        <v>198170.1953125</v>
      </c>
      <c r="E34" s="12">
        <f>SUM(Jul!E34, Aug!E34, Sep!E34)</f>
        <v>409439.9</v>
      </c>
      <c r="F34" s="12">
        <f t="shared" si="3"/>
        <v>-211269.70468750002</v>
      </c>
      <c r="G34" s="13">
        <f t="shared" si="1"/>
        <v>-0.51599686471079154</v>
      </c>
      <c r="H34" s="14">
        <f>SUM(Jul!H34,Aug!H34,Sep!H34)</f>
        <v>362873</v>
      </c>
      <c r="I34" s="14">
        <f>SUM(Jul!I34, Aug!I34, Sep!I34)</f>
        <v>-164702.8046875</v>
      </c>
      <c r="J34" s="13">
        <f t="shared" si="2"/>
        <v>-0.45388553209387306</v>
      </c>
    </row>
    <row r="35" spans="1:10" ht="15.6">
      <c r="A35" s="22" t="str">
        <v>OH: Cleveland - CV Wooster</v>
      </c>
      <c r="B35" s="23" t="str">
        <v>OH</v>
      </c>
      <c r="C35" s="23" t="str">
        <f>Sites[[#This Row],[SOL'#]]</f>
        <v>SOL-10763</v>
      </c>
      <c r="D35" s="18">
        <f>SUM(Jul!D35, Aug!D35, Sep!D35)</f>
        <v>62873</v>
      </c>
      <c r="E35" s="8">
        <f>SUM(Jul!E35, Aug!E35, Sep!E35)</f>
        <v>0</v>
      </c>
      <c r="F35" s="8">
        <f t="shared" si="3"/>
        <v>62873</v>
      </c>
      <c r="G35" s="9" t="str">
        <f t="shared" si="1"/>
        <v/>
      </c>
      <c r="H35" s="10">
        <f>SUM(Jul!H35,Aug!H35,Sep!H35)</f>
        <v>82314.559999999998</v>
      </c>
      <c r="I35" s="10">
        <f>SUM(Jul!I35, Aug!I35, Sep!I35)</f>
        <v>-19441.560000000001</v>
      </c>
      <c r="J35" s="11">
        <f t="shared" si="2"/>
        <v>-0.2361861619621122</v>
      </c>
    </row>
    <row r="36" spans="1:10" ht="15.6">
      <c r="A36" s="24" t="str">
        <v>PR: Aguadilla - Coca Cola</v>
      </c>
      <c r="B36" s="25" t="str">
        <v>PR</v>
      </c>
      <c r="C36" s="25" t="str">
        <f>Sites[[#This Row],[SOL'#]]</f>
        <v>SOL-10072</v>
      </c>
      <c r="D36" s="7">
        <f>SUM(Jul!D36, Aug!D36, Sep!D36)</f>
        <v>39747</v>
      </c>
      <c r="E36" s="12">
        <f>SUM(Jul!E36, Aug!E36, Sep!E36)</f>
        <v>52433.287999999993</v>
      </c>
      <c r="F36" s="12">
        <f t="shared" si="3"/>
        <v>-12686.287999999993</v>
      </c>
      <c r="G36" s="13">
        <f t="shared" si="1"/>
        <v>-0.24195102927743145</v>
      </c>
      <c r="H36" s="14">
        <f>SUM(Jul!H36,Aug!H36,Sep!H36)</f>
        <v>63433.98599999999</v>
      </c>
      <c r="I36" s="14">
        <f>SUM(Jul!I36, Aug!I36, Sep!I36)</f>
        <v>-23686.985999999997</v>
      </c>
      <c r="J36" s="13">
        <f t="shared" si="2"/>
        <v>-0.37341159674247809</v>
      </c>
    </row>
    <row r="37" spans="1:10" ht="15.6">
      <c r="A37" s="22" t="str">
        <v>PR: Bayamon - Coca Cola</v>
      </c>
      <c r="B37" s="23" t="str">
        <v>PR</v>
      </c>
      <c r="C37" s="23" t="str">
        <f>Sites[[#This Row],[SOL'#]]</f>
        <v>SOL-10073</v>
      </c>
      <c r="D37" s="18">
        <f>SUM(Jul!D37, Aug!D37, Sep!D37)</f>
        <v>139785</v>
      </c>
      <c r="E37" s="8">
        <f>SUM(Jul!E37, Aug!E37, Sep!E37)</f>
        <v>230557.80599999998</v>
      </c>
      <c r="F37" s="8">
        <f t="shared" si="3"/>
        <v>-90772.805999999982</v>
      </c>
      <c r="G37" s="9">
        <f t="shared" si="1"/>
        <v>-0.39370953243717105</v>
      </c>
      <c r="H37" s="10">
        <f>SUM(Jul!H37,Aug!H37,Sep!H37)</f>
        <v>239482.76400000002</v>
      </c>
      <c r="I37" s="10">
        <f>SUM(Jul!I37, Aug!I37, Sep!I37)</f>
        <v>-99697.763999999996</v>
      </c>
      <c r="J37" s="11">
        <f t="shared" si="2"/>
        <v>-0.41630454874823469</v>
      </c>
    </row>
    <row r="38" spans="1:10" ht="15.6">
      <c r="A38" s="24" t="str">
        <v>PR: Carolina - St. Francis</v>
      </c>
      <c r="B38" s="25" t="str">
        <v>PR</v>
      </c>
      <c r="C38" s="25" t="str">
        <f>Sites[[#This Row],[SOL'#]]</f>
        <v>SOL-10034</v>
      </c>
      <c r="D38" s="7">
        <f>SUM(Jul!D38, Aug!D38, Sep!D38)</f>
        <v>51529.5</v>
      </c>
      <c r="E38" s="12">
        <f>SUM(Jul!E38, Aug!E38, Sep!E38)</f>
        <v>158682.10499999998</v>
      </c>
      <c r="F38" s="12">
        <f t="shared" ref="F38:F42" si="4">IF(AND(ISNUMBER(D38),ISNUMBER(E38)), D38-E38, "")</f>
        <v>-107152.60499999998</v>
      </c>
      <c r="G38" s="13">
        <f t="shared" si="1"/>
        <v>-0.67526584046764437</v>
      </c>
      <c r="H38" s="14">
        <f>SUM(Jul!H38,Aug!H38,Sep!H38)</f>
        <v>110532.02799999999</v>
      </c>
      <c r="I38" s="14">
        <f>SUM(Jul!I38, Aug!I38, Sep!I38)</f>
        <v>-59002.527999999998</v>
      </c>
      <c r="J38" s="13">
        <f t="shared" si="2"/>
        <v>-0.53380480814122044</v>
      </c>
    </row>
    <row r="39" spans="1:10" ht="15.6">
      <c r="A39" s="22" t="str">
        <v>DC: Chevy Chase -Sinai</v>
      </c>
      <c r="B39" s="23" t="str">
        <v>DC</v>
      </c>
      <c r="C39" s="23" t="str">
        <f>Sites[[#This Row],[SOL'#]]</f>
        <v>SOL-10028</v>
      </c>
      <c r="D39" s="18">
        <f>SUM(Jul!D39, Aug!D39, Sep!D39)</f>
        <v>26516.12000000005</v>
      </c>
      <c r="E39" s="8">
        <f>SUM(Jul!E39, Aug!E39, Sep!E39)</f>
        <v>39967.949999999997</v>
      </c>
      <c r="F39" s="8">
        <f t="shared" si="4"/>
        <v>-13451.829999999947</v>
      </c>
      <c r="G39" s="9">
        <f t="shared" si="1"/>
        <v>-0.3365654230452137</v>
      </c>
      <c r="H39" s="10">
        <f>SUM(Jul!H39,Aug!H39,Sep!H39)</f>
        <v>32059.843000000001</v>
      </c>
      <c r="I39" s="10">
        <f>SUM(Jul!I39, Aug!I39, Sep!I39)</f>
        <v>-5543.7229999999508</v>
      </c>
      <c r="J39" s="11">
        <f t="shared" si="2"/>
        <v>-0.17291797093329342</v>
      </c>
    </row>
    <row r="40" spans="1:10" ht="15.6">
      <c r="A40" s="24" t="str">
        <v>DC: Washington - Weinberg 1</v>
      </c>
      <c r="B40" s="25" t="str">
        <v>DC</v>
      </c>
      <c r="C40" s="25" t="str">
        <f>Sites[[#This Row],[SOL'#]]</f>
        <v>SOL-10039</v>
      </c>
      <c r="D40" s="7">
        <f>SUM(Jul!D40, Aug!D40, Sep!D40)</f>
        <v>4665</v>
      </c>
      <c r="E40" s="12">
        <f>SUM(Jul!E40, Aug!E40, Sep!E40)</f>
        <v>4724.6710000000003</v>
      </c>
      <c r="F40" s="12">
        <f t="shared" si="4"/>
        <v>-59.671000000000276</v>
      </c>
      <c r="G40" s="13">
        <f t="shared" si="1"/>
        <v>-1.2629662467503086E-2</v>
      </c>
      <c r="H40" s="14">
        <f>SUM(Jul!H40,Aug!H40,Sep!H40)</f>
        <v>4870.585</v>
      </c>
      <c r="I40" s="14">
        <f>SUM(Jul!I40, Aug!I40, Sep!I40)</f>
        <v>-205.58500000000004</v>
      </c>
      <c r="J40" s="13">
        <f t="shared" si="2"/>
        <v>-4.2209508714045649E-2</v>
      </c>
    </row>
    <row r="41" spans="1:10" ht="15.6">
      <c r="A41" s="22" t="str">
        <v>DC: Washington - Weinberg 2</v>
      </c>
      <c r="B41" s="23" t="str">
        <v>DC</v>
      </c>
      <c r="C41" s="23" t="str">
        <f>Sites[[#This Row],[SOL'#]]</f>
        <v>SOL-10045</v>
      </c>
      <c r="D41" s="18">
        <f>SUM(Jul!D41, Aug!D41, Sep!D41)</f>
        <v>4324</v>
      </c>
      <c r="E41" s="8">
        <f>SUM(Jul!E41, Aug!E41, Sep!E41)</f>
        <v>4227.74</v>
      </c>
      <c r="F41" s="8">
        <f t="shared" si="4"/>
        <v>96.260000000000218</v>
      </c>
      <c r="G41" s="9">
        <f t="shared" si="1"/>
        <v>2.2768666001220562E-2</v>
      </c>
      <c r="H41" s="10">
        <f>SUM(Jul!H41,Aug!H41,Sep!H41)</f>
        <v>4816.7880000000005</v>
      </c>
      <c r="I41" s="10">
        <f>SUM(Jul!I41, Aug!I41, Sep!I41)</f>
        <v>-492.78800000000001</v>
      </c>
      <c r="J41" s="11">
        <f t="shared" si="2"/>
        <v>-0.10230635020681832</v>
      </c>
    </row>
    <row r="42" spans="1:10" ht="15.6">
      <c r="A42" s="24" t="str">
        <v>DC: Washington - Weinberg 3</v>
      </c>
      <c r="B42" s="25" t="str">
        <v>DC</v>
      </c>
      <c r="C42" s="25" t="str">
        <f>Sites[[#This Row],[SOL'#]]</f>
        <v>SOL-10042</v>
      </c>
      <c r="D42" s="7">
        <f>SUM(Jul!D42, Aug!D42, Sep!D42)</f>
        <v>5209</v>
      </c>
      <c r="E42" s="12">
        <f>SUM(Jul!E42, Aug!E42, Sep!E42)</f>
        <v>4892.0479999999998</v>
      </c>
      <c r="F42" s="12">
        <f t="shared" si="4"/>
        <v>316.95200000000023</v>
      </c>
      <c r="G42" s="13">
        <f t="shared" si="1"/>
        <v>6.4789225289694677E-2</v>
      </c>
      <c r="H42" s="14">
        <f>SUM(Jul!H42,Aug!H42,Sep!H42)</f>
        <v>5216.49</v>
      </c>
      <c r="I42" s="14">
        <f>SUM(Jul!I42, Aug!I42, Sep!I42)</f>
        <v>-7.4900000000000091</v>
      </c>
      <c r="J42" s="13">
        <f t="shared" si="2"/>
        <v>-1.435831373203056E-3</v>
      </c>
    </row>
    <row r="43" spans="1:10">
      <c r="G43"/>
      <c r="J43"/>
    </row>
    <row r="44" spans="1:10">
      <c r="G44"/>
      <c r="J44"/>
    </row>
    <row r="45" spans="1:10">
      <c r="G45"/>
      <c r="J45"/>
    </row>
    <row r="46" spans="1:10">
      <c r="G46"/>
      <c r="J46"/>
    </row>
    <row r="47" spans="1:10">
      <c r="G47"/>
      <c r="J47"/>
    </row>
    <row r="48" spans="1:10">
      <c r="G48"/>
      <c r="J48"/>
    </row>
    <row r="49" spans="7:10">
      <c r="G49"/>
      <c r="J49"/>
    </row>
    <row r="50" spans="7:10">
      <c r="G50"/>
      <c r="J50"/>
    </row>
    <row r="51" spans="7:10">
      <c r="G51"/>
      <c r="J51"/>
    </row>
    <row r="52" spans="7:10">
      <c r="G52"/>
      <c r="J52"/>
    </row>
    <row r="53" spans="7:10">
      <c r="G53"/>
      <c r="J53"/>
    </row>
    <row r="54" spans="7:10">
      <c r="G54"/>
      <c r="J54"/>
    </row>
    <row r="55" spans="7:10">
      <c r="G55"/>
      <c r="J55"/>
    </row>
    <row r="56" spans="7:10">
      <c r="G56"/>
      <c r="J56"/>
    </row>
    <row r="57" spans="7:10">
      <c r="G57"/>
      <c r="J57"/>
    </row>
    <row r="58" spans="7:10">
      <c r="G58"/>
      <c r="J58"/>
    </row>
    <row r="59" spans="7:10">
      <c r="G59"/>
      <c r="J59"/>
    </row>
    <row r="60" spans="7:10">
      <c r="G60"/>
      <c r="J60"/>
    </row>
    <row r="61" spans="7:10">
      <c r="G61"/>
      <c r="J61"/>
    </row>
    <row r="62" spans="7:10">
      <c r="G62"/>
      <c r="J62"/>
    </row>
    <row r="63" spans="7:10">
      <c r="G63"/>
      <c r="J63"/>
    </row>
    <row r="64" spans="7:10">
      <c r="G64"/>
      <c r="J64"/>
    </row>
    <row r="65" spans="7:10">
      <c r="G65"/>
      <c r="J65"/>
    </row>
    <row r="66" spans="7:10">
      <c r="G66"/>
      <c r="J66"/>
    </row>
    <row r="67" spans="7:10">
      <c r="G67"/>
      <c r="J67"/>
    </row>
    <row r="68" spans="7:10">
      <c r="G68"/>
      <c r="J68"/>
    </row>
    <row r="69" spans="7:10">
      <c r="G69"/>
      <c r="J69"/>
    </row>
    <row r="70" spans="7:10">
      <c r="G70"/>
      <c r="J70"/>
    </row>
    <row r="71" spans="7:10">
      <c r="G71"/>
      <c r="J71"/>
    </row>
    <row r="72" spans="7:10">
      <c r="G72"/>
      <c r="J72"/>
    </row>
    <row r="73" spans="7:10">
      <c r="G73"/>
      <c r="J73"/>
    </row>
    <row r="74" spans="7:10">
      <c r="G74"/>
      <c r="J74"/>
    </row>
    <row r="75" spans="7:10">
      <c r="G75"/>
      <c r="J75"/>
    </row>
    <row r="76" spans="7:10">
      <c r="G76"/>
      <c r="J76"/>
    </row>
    <row r="77" spans="7:10">
      <c r="G77"/>
      <c r="J77"/>
    </row>
    <row r="78" spans="7:10">
      <c r="G78"/>
      <c r="J78"/>
    </row>
    <row r="79" spans="7:10">
      <c r="G79"/>
      <c r="J79"/>
    </row>
    <row r="80" spans="7:10">
      <c r="G80"/>
      <c r="J80"/>
    </row>
    <row r="81" spans="7:10">
      <c r="G81"/>
      <c r="J81"/>
    </row>
    <row r="82" spans="7:10">
      <c r="G82"/>
      <c r="J82"/>
    </row>
    <row r="83" spans="7:10">
      <c r="G83"/>
      <c r="J83"/>
    </row>
    <row r="84" spans="7:10">
      <c r="G84"/>
      <c r="J84"/>
    </row>
    <row r="85" spans="7:10">
      <c r="G85"/>
      <c r="J85"/>
    </row>
    <row r="86" spans="7:10">
      <c r="G86"/>
      <c r="J86"/>
    </row>
    <row r="87" spans="7:10">
      <c r="G87"/>
      <c r="J87"/>
    </row>
    <row r="88" spans="7:10">
      <c r="G88"/>
      <c r="J88"/>
    </row>
    <row r="89" spans="7:10">
      <c r="G89"/>
      <c r="J89"/>
    </row>
    <row r="90" spans="7:10">
      <c r="G90"/>
      <c r="J90"/>
    </row>
    <row r="91" spans="7:10">
      <c r="G91"/>
      <c r="J91"/>
    </row>
    <row r="92" spans="7:10">
      <c r="G92"/>
      <c r="J92"/>
    </row>
    <row r="93" spans="7:10">
      <c r="G93"/>
      <c r="J93"/>
    </row>
    <row r="94" spans="7:10">
      <c r="G94"/>
      <c r="J94"/>
    </row>
    <row r="95" spans="7:10">
      <c r="G95"/>
      <c r="J95"/>
    </row>
    <row r="96" spans="7:10">
      <c r="G96"/>
      <c r="J96"/>
    </row>
    <row r="97" spans="7:10">
      <c r="G97"/>
      <c r="J97"/>
    </row>
    <row r="98" spans="7:10">
      <c r="G98"/>
      <c r="J98"/>
    </row>
    <row r="99" spans="7:10">
      <c r="G99"/>
      <c r="J99"/>
    </row>
    <row r="100" spans="7:10">
      <c r="G100"/>
      <c r="J100"/>
    </row>
    <row r="101" spans="7:10">
      <c r="G101"/>
      <c r="J101"/>
    </row>
    <row r="102" spans="7:10">
      <c r="G102"/>
      <c r="J102"/>
    </row>
    <row r="103" spans="7:10">
      <c r="G103"/>
      <c r="J103"/>
    </row>
    <row r="104" spans="7:10">
      <c r="G104"/>
      <c r="J104"/>
    </row>
    <row r="105" spans="7:10">
      <c r="G105"/>
      <c r="J105"/>
    </row>
    <row r="106" spans="7:10">
      <c r="G106"/>
      <c r="J106"/>
    </row>
    <row r="107" spans="7:10">
      <c r="G107"/>
      <c r="J107"/>
    </row>
    <row r="108" spans="7:10">
      <c r="G108"/>
      <c r="J108"/>
    </row>
    <row r="109" spans="7:10">
      <c r="G109"/>
      <c r="J109"/>
    </row>
    <row r="110" spans="7:10">
      <c r="G110"/>
      <c r="J110"/>
    </row>
    <row r="111" spans="7:10">
      <c r="G111"/>
      <c r="J111"/>
    </row>
    <row r="112" spans="7:10">
      <c r="G112"/>
      <c r="J112"/>
    </row>
    <row r="113" spans="7:10">
      <c r="G113"/>
      <c r="J113"/>
    </row>
    <row r="114" spans="7:10">
      <c r="G114"/>
      <c r="J114"/>
    </row>
    <row r="115" spans="7:10">
      <c r="G115"/>
      <c r="J115"/>
    </row>
    <row r="116" spans="7:10">
      <c r="G116"/>
      <c r="J116"/>
    </row>
    <row r="117" spans="7:10">
      <c r="G117"/>
      <c r="J117"/>
    </row>
    <row r="118" spans="7:10">
      <c r="G118"/>
      <c r="J118"/>
    </row>
    <row r="119" spans="7:10">
      <c r="G119"/>
      <c r="J119"/>
    </row>
    <row r="120" spans="7:10">
      <c r="G120"/>
      <c r="J120"/>
    </row>
    <row r="121" spans="7:10">
      <c r="G121"/>
      <c r="J121"/>
    </row>
    <row r="122" spans="7:10">
      <c r="G122"/>
      <c r="J122"/>
    </row>
    <row r="123" spans="7:10">
      <c r="G123"/>
      <c r="J123"/>
    </row>
    <row r="124" spans="7:10">
      <c r="G124"/>
      <c r="J124"/>
    </row>
    <row r="125" spans="7:10">
      <c r="G125"/>
      <c r="J125"/>
    </row>
    <row r="126" spans="7:10">
      <c r="G126"/>
      <c r="J126"/>
    </row>
    <row r="127" spans="7:10">
      <c r="G127"/>
      <c r="J127"/>
    </row>
    <row r="128" spans="7:10">
      <c r="G128"/>
      <c r="J128"/>
    </row>
    <row r="129" spans="7:10">
      <c r="G129"/>
      <c r="J129"/>
    </row>
    <row r="130" spans="7:10">
      <c r="G130"/>
      <c r="J130"/>
    </row>
    <row r="131" spans="7:10">
      <c r="G131"/>
      <c r="J131"/>
    </row>
    <row r="132" spans="7:10">
      <c r="G132"/>
      <c r="J132"/>
    </row>
    <row r="133" spans="7:10">
      <c r="G133"/>
      <c r="J133"/>
    </row>
    <row r="134" spans="7:10">
      <c r="G134"/>
      <c r="J134"/>
    </row>
  </sheetData>
  <mergeCells count="4">
    <mergeCell ref="H1:J1"/>
    <mergeCell ref="A1:D1"/>
    <mergeCell ref="E1:G1"/>
    <mergeCell ref="A2:B2"/>
  </mergeCells>
  <conditionalFormatting sqref="G2 J2 G4:G42 J4:J42">
    <cfRule type="cellIs" dxfId="42" priority="21" stopIfTrue="1" operator="lessThanOrEqual">
      <formula>-0.1</formula>
    </cfRule>
    <cfRule type="expression" dxfId="41"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42"/>
  <sheetViews>
    <sheetView workbookViewId="0">
      <pane xSplit="2" ySplit="3" topLeftCell="C4" activePane="bottomRight" state="frozen"/>
      <selection pane="bottomRight" activeCell="I161" sqref="I16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8" t="str" cm="1">
        <f t="array" ref="A1">portfolio</f>
        <v>GoodFinch</v>
      </c>
      <c r="B1" s="138"/>
      <c r="C1" s="138"/>
      <c r="D1" s="138"/>
      <c r="E1" s="139" t="s">
        <v>17</v>
      </c>
      <c r="F1" s="139"/>
      <c r="G1" s="139"/>
      <c r="H1" s="137" t="s">
        <v>18</v>
      </c>
      <c r="I1" s="137"/>
      <c r="J1" s="137"/>
    </row>
    <row r="2" spans="1:10" ht="19.5" customHeight="1">
      <c r="A2" s="140" t="s">
        <v>2</v>
      </c>
      <c r="B2" s="140"/>
      <c r="C2" s="51"/>
      <c r="D2" s="3">
        <f>SUM(D4:D42)</f>
        <v>0</v>
      </c>
      <c r="E2" s="3">
        <f>SUM(E4:E66)</f>
        <v>0</v>
      </c>
      <c r="F2" s="3">
        <f>D2-E2</f>
        <v>0</v>
      </c>
      <c r="G2" s="4">
        <f>IFERROR(F2/E2, 0)</f>
        <v>0</v>
      </c>
      <c r="H2" s="3">
        <f>SUM(H4:H42)</f>
        <v>0</v>
      </c>
      <c r="I2" s="5">
        <f>D2-H2</f>
        <v>0</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SUM(Oct!D21, Nov!D21, Dec!D21)</f>
        <v>0</v>
      </c>
      <c r="E4" s="12">
        <f>SUM(Oct!E21, Nov!E21, Dec!E21)</f>
        <v>0</v>
      </c>
      <c r="F4" s="12">
        <f t="shared" ref="F4:F42" si="0">IF(AND(ISNUMBER(D4),ISNUMBER(E4)), D4-E4, "")</f>
        <v>0</v>
      </c>
      <c r="G4" s="13" t="str">
        <f t="shared" ref="G4:G42" si="1">IFERROR(F4/E4, "")</f>
        <v/>
      </c>
      <c r="H4" s="14">
        <f>SUM(Oct!H21,Nov!H21,Dec!H21)</f>
        <v>0</v>
      </c>
      <c r="I4" s="14">
        <f>SUM(Oct!I21, Nov!I21, Dec!I21)</f>
        <v>0</v>
      </c>
      <c r="J4" s="13" t="str">
        <f t="shared" ref="J4:J42" si="2">IFERROR(I4/H4, "")</f>
        <v/>
      </c>
    </row>
    <row r="5" spans="1:10" ht="15.6">
      <c r="A5" s="22" t="str">
        <v>AZ: Tempe - ASU - Fulton</v>
      </c>
      <c r="B5" s="23" t="str">
        <v>AZ</v>
      </c>
      <c r="C5" s="23" t="str">
        <f>Sites[[#This Row],[SOL'#]]</f>
        <v>SOL-10749</v>
      </c>
      <c r="D5" s="18">
        <f>SUM(Oct!D22, Nov!D22, Dec!D22)</f>
        <v>0</v>
      </c>
      <c r="E5" s="8">
        <f>SUM(Oct!E22, Nov!E22, Dec!E22)</f>
        <v>0</v>
      </c>
      <c r="F5" s="8">
        <f t="shared" si="0"/>
        <v>0</v>
      </c>
      <c r="G5" s="9" t="str">
        <f t="shared" si="1"/>
        <v/>
      </c>
      <c r="H5" s="10">
        <f>SUM(Oct!H22,Nov!H22,Dec!H22)</f>
        <v>0</v>
      </c>
      <c r="I5" s="10">
        <f>SUM(Oct!I22, Nov!I22, Dec!I22)</f>
        <v>0</v>
      </c>
      <c r="J5" s="11" t="str">
        <f t="shared" si="2"/>
        <v/>
      </c>
    </row>
    <row r="6" spans="1:10" ht="15.6">
      <c r="A6" s="24" t="str">
        <v>AZ: Superior - JFK Elementary</v>
      </c>
      <c r="B6" s="25" t="str">
        <v>AZ</v>
      </c>
      <c r="C6" s="25" t="str">
        <f>Sites[[#This Row],[SOL'#]]</f>
        <v>SOL-10758</v>
      </c>
      <c r="D6" s="7">
        <f>SUM(Oct!D23, Nov!D23, Dec!D23)</f>
        <v>0</v>
      </c>
      <c r="E6" s="12">
        <f>SUM(Oct!E23, Nov!E23, Dec!E23)</f>
        <v>0</v>
      </c>
      <c r="F6" s="12">
        <f t="shared" si="0"/>
        <v>0</v>
      </c>
      <c r="G6" s="13" t="str">
        <f t="shared" si="1"/>
        <v/>
      </c>
      <c r="H6" s="14">
        <f>SUM(Oct!H23,Nov!H23,Dec!H23)</f>
        <v>0</v>
      </c>
      <c r="I6" s="14">
        <f>SUM(Oct!I23, Nov!I23, Dec!I23)</f>
        <v>0</v>
      </c>
      <c r="J6" s="13" t="str">
        <f t="shared" si="2"/>
        <v/>
      </c>
    </row>
    <row r="7" spans="1:10" ht="15.6">
      <c r="A7" s="22" t="str">
        <v>AZ: Tempe - ASU - Noble</v>
      </c>
      <c r="B7" s="23" t="str">
        <v>AZ</v>
      </c>
      <c r="C7" s="23" t="str">
        <f>Sites[[#This Row],[SOL'#]]</f>
        <v>SOL-10750</v>
      </c>
      <c r="D7" s="18">
        <f>SUM(Oct!D24, Nov!D24, Dec!D24)</f>
        <v>0</v>
      </c>
      <c r="E7" s="8">
        <f>SUM(Oct!E24, Nov!E24, Dec!E24)</f>
        <v>0</v>
      </c>
      <c r="F7" s="8">
        <f t="shared" si="0"/>
        <v>0</v>
      </c>
      <c r="G7" s="9" t="str">
        <f t="shared" si="1"/>
        <v/>
      </c>
      <c r="H7" s="10">
        <f>SUM(Oct!H24,Nov!H24,Dec!H24)</f>
        <v>0</v>
      </c>
      <c r="I7" s="10">
        <f>SUM(Oct!I24, Nov!I24, Dec!I24)</f>
        <v>0</v>
      </c>
      <c r="J7" s="11" t="str">
        <f t="shared" si="2"/>
        <v/>
      </c>
    </row>
    <row r="8" spans="1:10" ht="15.6">
      <c r="A8" s="24" t="str">
        <v>AZ: Tempe - ASU - Parking #3</v>
      </c>
      <c r="B8" s="25" t="str">
        <v>AZ</v>
      </c>
      <c r="C8" s="25" t="str">
        <f>Sites[[#This Row],[SOL'#]]</f>
        <v>SOL-10751</v>
      </c>
      <c r="D8" s="7">
        <f>SUM(Oct!D25, Nov!D25, Dec!D25)</f>
        <v>0</v>
      </c>
      <c r="E8" s="12">
        <f>SUM(Oct!E25, Nov!E25, Dec!E25)</f>
        <v>0</v>
      </c>
      <c r="F8" s="12">
        <f t="shared" si="0"/>
        <v>0</v>
      </c>
      <c r="G8" s="13" t="str">
        <f t="shared" si="1"/>
        <v/>
      </c>
      <c r="H8" s="14">
        <f>SUM(Oct!H25,Nov!H25,Dec!H25)</f>
        <v>0</v>
      </c>
      <c r="I8" s="14">
        <f>SUM(Oct!I25, Nov!I25, Dec!I25)</f>
        <v>0</v>
      </c>
      <c r="J8" s="13" t="str">
        <f t="shared" si="2"/>
        <v/>
      </c>
    </row>
    <row r="9" spans="1:10" ht="15.6">
      <c r="A9" s="22" t="str">
        <v>AZ: Tempe - ASU - PE East</v>
      </c>
      <c r="B9" s="23" t="str">
        <v>AZ</v>
      </c>
      <c r="C9" s="23" t="str">
        <f>Sites[[#This Row],[SOL'#]]</f>
        <v>SOL-10752</v>
      </c>
      <c r="D9" s="18">
        <f>SUM(Oct!D26, Nov!D26, Dec!D26)</f>
        <v>0</v>
      </c>
      <c r="E9" s="8">
        <f>SUM(Oct!E26, Nov!E26, Dec!E26)</f>
        <v>0</v>
      </c>
      <c r="F9" s="8">
        <f t="shared" si="0"/>
        <v>0</v>
      </c>
      <c r="G9" s="9" t="str">
        <f t="shared" si="1"/>
        <v/>
      </c>
      <c r="H9" s="10">
        <f>SUM(Oct!H26,Nov!H26,Dec!H26)</f>
        <v>0</v>
      </c>
      <c r="I9" s="10">
        <f>SUM(Oct!I26, Nov!I26, Dec!I26)</f>
        <v>0</v>
      </c>
      <c r="J9" s="11" t="str">
        <f t="shared" si="2"/>
        <v/>
      </c>
    </row>
    <row r="10" spans="1:10" ht="15.6">
      <c r="A10" s="24" t="str">
        <v>AZ: Tempe - ASU - Schwada</v>
      </c>
      <c r="B10" s="25" t="str">
        <v>AZ</v>
      </c>
      <c r="C10" s="25" t="str">
        <f>Sites[[#This Row],[SOL'#]]</f>
        <v>SOL-10753</v>
      </c>
      <c r="D10" s="7">
        <f>SUM(Oct!D27, Nov!D27, Dec!D27)</f>
        <v>0</v>
      </c>
      <c r="E10" s="12">
        <f>SUM(Oct!E27, Nov!E27, Dec!E27)</f>
        <v>0</v>
      </c>
      <c r="F10" s="12">
        <f t="shared" si="0"/>
        <v>0</v>
      </c>
      <c r="G10" s="13" t="str">
        <f t="shared" si="1"/>
        <v/>
      </c>
      <c r="H10" s="14">
        <f>SUM(Oct!H27,Nov!H27,Dec!H27)</f>
        <v>0</v>
      </c>
      <c r="I10" s="14">
        <f>SUM(Oct!I27, Nov!I27, Dec!I27)</f>
        <v>0</v>
      </c>
      <c r="J10" s="13" t="str">
        <f t="shared" si="2"/>
        <v/>
      </c>
    </row>
    <row r="11" spans="1:10" ht="15.6">
      <c r="A11" s="22" t="str">
        <v>AZ: Phoenix - Starshine Academy</v>
      </c>
      <c r="B11" s="23" t="str">
        <v>AZ</v>
      </c>
      <c r="C11" s="23" t="str">
        <f>Sites[[#This Row],[SOL'#]]</f>
        <v>SOL-10757</v>
      </c>
      <c r="D11" s="18">
        <f>SUM(Oct!D28, Nov!D28, Dec!D28)</f>
        <v>0</v>
      </c>
      <c r="E11" s="8">
        <f>SUM(Oct!E28, Nov!E28, Dec!E28)</f>
        <v>0</v>
      </c>
      <c r="F11" s="8">
        <f t="shared" si="0"/>
        <v>0</v>
      </c>
      <c r="G11" s="9" t="str">
        <f t="shared" si="1"/>
        <v/>
      </c>
      <c r="H11" s="10">
        <f>SUM(Oct!H28,Nov!H28,Dec!H28)</f>
        <v>0</v>
      </c>
      <c r="I11" s="10">
        <f>SUM(Oct!I28, Nov!I28, Dec!I28)</f>
        <v>0</v>
      </c>
      <c r="J11" s="11" t="str">
        <f t="shared" si="2"/>
        <v/>
      </c>
    </row>
    <row r="12" spans="1:10" ht="15.6">
      <c r="A12" s="24" t="str">
        <v>AZ: Yuma Airport</v>
      </c>
      <c r="B12" s="25" t="str">
        <v>AZ</v>
      </c>
      <c r="C12" s="25" t="str">
        <f>Sites[[#This Row],[SOL'#]]</f>
        <v>SOL-10754</v>
      </c>
      <c r="D12" s="7">
        <f>SUM(Oct!D29, Nov!D29, Dec!D29)</f>
        <v>0</v>
      </c>
      <c r="E12" s="12">
        <f>SUM(Oct!E29, Nov!E29, Dec!E29)</f>
        <v>0</v>
      </c>
      <c r="F12" s="12">
        <f t="shared" si="0"/>
        <v>0</v>
      </c>
      <c r="G12" s="13" t="str">
        <f t="shared" si="1"/>
        <v/>
      </c>
      <c r="H12" s="14">
        <f>SUM(Oct!H29,Nov!H29,Dec!H29)</f>
        <v>0</v>
      </c>
      <c r="I12" s="14">
        <f>SUM(Oct!I29, Nov!I29, Dec!I29)</f>
        <v>0</v>
      </c>
      <c r="J12" s="13" t="str">
        <f t="shared" si="2"/>
        <v/>
      </c>
    </row>
    <row r="13" spans="1:10" ht="15.6">
      <c r="A13" s="22" t="str">
        <v>AZ: Globe - Gila CC</v>
      </c>
      <c r="B13" s="23" t="str">
        <v>AZ</v>
      </c>
      <c r="C13" s="23" t="str">
        <f>Sites[[#This Row],[SOL'#]]</f>
        <v>SOL-10751</v>
      </c>
      <c r="D13" s="18">
        <f>SUM(Oct!D30, Nov!D30, Dec!D30)</f>
        <v>0</v>
      </c>
      <c r="E13" s="8">
        <f>SUM(Oct!E30, Nov!E30, Dec!E30)</f>
        <v>0</v>
      </c>
      <c r="F13" s="8">
        <f t="shared" si="0"/>
        <v>0</v>
      </c>
      <c r="G13" s="9" t="str">
        <f t="shared" si="1"/>
        <v/>
      </c>
      <c r="H13" s="10">
        <f>SUM(Oct!H30,Nov!H30,Dec!H30)</f>
        <v>0</v>
      </c>
      <c r="I13" s="10">
        <f>SUM(Oct!I30, Nov!I30, Dec!I30)</f>
        <v>0</v>
      </c>
      <c r="J13" s="11" t="str">
        <f t="shared" si="2"/>
        <v/>
      </c>
    </row>
    <row r="14" spans="1:10" ht="15.6">
      <c r="A14" s="24" t="str">
        <v>AZ: Payson - Gila CC</v>
      </c>
      <c r="B14" s="25" t="str">
        <v>AZ</v>
      </c>
      <c r="C14" s="25" t="str">
        <f>Sites[[#This Row],[SOL'#]]</f>
        <v>SOL-10748</v>
      </c>
      <c r="D14" s="7">
        <f>SUM(Oct!D31, Nov!D31, Dec!D31)</f>
        <v>0</v>
      </c>
      <c r="E14" s="12">
        <f>SUM(Oct!E31, Nov!E31, Dec!E31)</f>
        <v>0</v>
      </c>
      <c r="F14" s="12">
        <f t="shared" si="0"/>
        <v>0</v>
      </c>
      <c r="G14" s="13" t="str">
        <f t="shared" si="1"/>
        <v/>
      </c>
      <c r="H14" s="14">
        <f>SUM(Oct!H31,Nov!H31,Dec!H31)</f>
        <v>0</v>
      </c>
      <c r="I14" s="14">
        <f>SUM(Oct!I31, Nov!I31, Dec!I31)</f>
        <v>0</v>
      </c>
      <c r="J14" s="13" t="str">
        <f t="shared" si="2"/>
        <v/>
      </c>
    </row>
    <row r="15" spans="1:10" ht="15.6">
      <c r="A15" s="22" t="str">
        <v>AZ: Mesa - Sequoia Charter School</v>
      </c>
      <c r="B15" s="23" t="str">
        <v>AZ</v>
      </c>
      <c r="C15" s="23" t="str">
        <f>Sites[[#This Row],[SOL'#]]</f>
        <v>SOL-10759</v>
      </c>
      <c r="D15" s="18">
        <f>SUM(Oct!D32, Nov!D32, Dec!D32)</f>
        <v>0</v>
      </c>
      <c r="E15" s="8">
        <f>SUM(Oct!E32, Nov!E32, Dec!E32)</f>
        <v>0</v>
      </c>
      <c r="F15" s="8">
        <f t="shared" si="0"/>
        <v>0</v>
      </c>
      <c r="G15" s="9" t="str">
        <f t="shared" si="1"/>
        <v/>
      </c>
      <c r="H15" s="10">
        <f>SUM(Oct!H32,Nov!H32,Dec!H32)</f>
        <v>0</v>
      </c>
      <c r="I15" s="10">
        <f>SUM(Oct!I32, Nov!I32, Dec!I32)</f>
        <v>0</v>
      </c>
      <c r="J15" s="11" t="str">
        <f t="shared" si="2"/>
        <v/>
      </c>
    </row>
    <row r="16" spans="1:10" ht="15.6">
      <c r="A16" s="24" t="str">
        <v>AZ: Tempe - SCNM</v>
      </c>
      <c r="B16" s="25" t="str">
        <v>AZ</v>
      </c>
      <c r="C16" s="25" t="str">
        <f>Sites[[#This Row],[SOL'#]]</f>
        <v>SOL-10760</v>
      </c>
      <c r="D16" s="7">
        <f>SUM(Oct!D33, Nov!D33, Dec!D33)</f>
        <v>0</v>
      </c>
      <c r="E16" s="12">
        <f>SUM(Oct!E33, Nov!E33, Dec!E33)</f>
        <v>0</v>
      </c>
      <c r="F16" s="12">
        <f t="shared" si="0"/>
        <v>0</v>
      </c>
      <c r="G16" s="13" t="str">
        <f t="shared" si="1"/>
        <v/>
      </c>
      <c r="H16" s="14">
        <f>SUM(Oct!H33,Nov!H33,Dec!H33)</f>
        <v>0</v>
      </c>
      <c r="I16" s="14">
        <f>SUM(Oct!I33, Nov!I33, Dec!I33)</f>
        <v>0</v>
      </c>
      <c r="J16" s="13" t="str">
        <f t="shared" si="2"/>
        <v/>
      </c>
    </row>
    <row r="17" spans="1:10" ht="15.6">
      <c r="A17" s="22" t="str">
        <v>DE: Newark - Clayton Hall</v>
      </c>
      <c r="B17" s="23" t="str">
        <v>DE</v>
      </c>
      <c r="C17" s="23" t="str">
        <f>Sites[[#This Row],[SOL'#]]</f>
        <v>SOL-10820</v>
      </c>
      <c r="D17" s="18">
        <f>SUM(Oct!D34, Nov!D34, Dec!D34)</f>
        <v>0</v>
      </c>
      <c r="E17" s="8">
        <f>SUM(Oct!E34, Nov!E34, Dec!E34)</f>
        <v>0</v>
      </c>
      <c r="F17" s="8">
        <f t="shared" si="0"/>
        <v>0</v>
      </c>
      <c r="G17" s="9" t="str">
        <f t="shared" si="1"/>
        <v/>
      </c>
      <c r="H17" s="10">
        <f>SUM(Oct!H34,Nov!H34,Dec!H34)</f>
        <v>0</v>
      </c>
      <c r="I17" s="10">
        <f>SUM(Oct!I34, Nov!I34, Dec!I34)</f>
        <v>0</v>
      </c>
      <c r="J17" s="11" t="str">
        <f t="shared" si="2"/>
        <v/>
      </c>
    </row>
    <row r="18" spans="1:10" ht="15.6">
      <c r="A18" s="24" t="str">
        <v>DE: Newark - UOD Field House</v>
      </c>
      <c r="B18" s="25" t="str">
        <v>DE</v>
      </c>
      <c r="C18" s="25" t="str">
        <f>Sites[[#This Row],[SOL'#]]</f>
        <v>SOL-10821</v>
      </c>
      <c r="D18" s="7">
        <f>SUM(Oct!D35, Nov!D35, Dec!D35)</f>
        <v>0</v>
      </c>
      <c r="E18" s="12">
        <f>SUM(Oct!E35, Nov!E35, Dec!E35)</f>
        <v>0</v>
      </c>
      <c r="F18" s="12">
        <f t="shared" si="0"/>
        <v>0</v>
      </c>
      <c r="G18" s="13" t="str">
        <f t="shared" si="1"/>
        <v/>
      </c>
      <c r="H18" s="14">
        <f>SUM(Oct!H35,Nov!H35,Dec!H35)</f>
        <v>0</v>
      </c>
      <c r="I18" s="14">
        <f>SUM(Oct!I35, Nov!I35, Dec!I35)</f>
        <v>0</v>
      </c>
      <c r="J18" s="13" t="str">
        <f t="shared" si="2"/>
        <v/>
      </c>
    </row>
    <row r="19" spans="1:10" ht="15.6">
      <c r="A19" s="22" t="str">
        <v>DE: Newark - UOD 461 Wyoming</v>
      </c>
      <c r="B19" s="23" t="str">
        <v>DE</v>
      </c>
      <c r="C19" s="23" t="str">
        <f>Sites[[#This Row],[SOL'#]]</f>
        <v>SOL-10819</v>
      </c>
      <c r="D19" s="18">
        <f>SUM(Oct!D36, Nov!D36, Dec!D36)</f>
        <v>0</v>
      </c>
      <c r="E19" s="8">
        <f>SUM(Oct!E36, Nov!E36, Dec!E36)</f>
        <v>0</v>
      </c>
      <c r="F19" s="8">
        <f t="shared" si="0"/>
        <v>0</v>
      </c>
      <c r="G19" s="9" t="str">
        <f t="shared" si="1"/>
        <v/>
      </c>
      <c r="H19" s="10">
        <f>SUM(Oct!H36,Nov!H36,Dec!H36)</f>
        <v>0</v>
      </c>
      <c r="I19" s="10">
        <f>SUM(Oct!I36, Nov!I36, Dec!I36)</f>
        <v>0</v>
      </c>
      <c r="J19" s="11" t="str">
        <f t="shared" si="2"/>
        <v/>
      </c>
    </row>
    <row r="20" spans="1:10" ht="15.6">
      <c r="A20" s="24" t="str">
        <v>MD: Presston - Bird-in-Hand</v>
      </c>
      <c r="B20" s="25" t="str">
        <v>MD</v>
      </c>
      <c r="C20" s="25" t="str">
        <f>Sites[[#This Row],[SOL'#]]</f>
        <v>SOL-10092</v>
      </c>
      <c r="D20" s="7">
        <f>SUM(Oct!D37, Nov!D37, Dec!D37)</f>
        <v>0</v>
      </c>
      <c r="E20" s="12">
        <f>SUM(Oct!E37, Nov!E37, Dec!E37)</f>
        <v>0</v>
      </c>
      <c r="F20" s="12">
        <f t="shared" si="0"/>
        <v>0</v>
      </c>
      <c r="G20" s="13" t="str">
        <f t="shared" si="1"/>
        <v/>
      </c>
      <c r="H20" s="14">
        <f>SUM(Oct!H37,Nov!H37,Dec!H37)</f>
        <v>0</v>
      </c>
      <c r="I20" s="14">
        <f>SUM(Oct!I37, Nov!I37, Dec!I37)</f>
        <v>0</v>
      </c>
      <c r="J20" s="13" t="str">
        <f t="shared" si="2"/>
        <v/>
      </c>
    </row>
    <row r="21" spans="1:10" ht="15.6">
      <c r="A21" s="22" t="str">
        <v>MD: Easton - Shortall</v>
      </c>
      <c r="B21" s="23" t="str">
        <v>MD</v>
      </c>
      <c r="C21" s="23" t="str">
        <f>Sites[[#This Row],[SOL'#]]</f>
        <v>SOL-10091</v>
      </c>
      <c r="D21" s="18">
        <f>SUM(Oct!D38, Nov!D38, Dec!D38)</f>
        <v>0</v>
      </c>
      <c r="E21" s="8">
        <f>SUM(Oct!E38, Nov!E38, Dec!E38)</f>
        <v>0</v>
      </c>
      <c r="F21" s="8">
        <f t="shared" si="0"/>
        <v>0</v>
      </c>
      <c r="G21" s="9" t="str">
        <f t="shared" si="1"/>
        <v/>
      </c>
      <c r="H21" s="10">
        <f>SUM(Oct!H38,Nov!H38,Dec!H38)</f>
        <v>0</v>
      </c>
      <c r="I21" s="10">
        <f>SUM(Oct!I38, Nov!I38, Dec!I38)</f>
        <v>0</v>
      </c>
      <c r="J21" s="11" t="str">
        <f t="shared" si="2"/>
        <v/>
      </c>
    </row>
    <row r="22" spans="1:10" ht="15.6">
      <c r="A22" s="24" t="str">
        <v>MA: Boston - Seaport Solar</v>
      </c>
      <c r="B22" s="25" t="str">
        <v>MA</v>
      </c>
      <c r="C22" s="25" t="str">
        <f>Sites[[#This Row],[SOL'#]]</f>
        <v>SOL-10772</v>
      </c>
      <c r="D22" s="7">
        <f>SUM(Oct!D39, Nov!D39, Dec!D39)</f>
        <v>0</v>
      </c>
      <c r="E22" s="12">
        <f>SUM(Oct!E39, Nov!E39, Dec!E39)</f>
        <v>0</v>
      </c>
      <c r="F22" s="12">
        <f t="shared" si="0"/>
        <v>0</v>
      </c>
      <c r="G22" s="13" t="str">
        <f t="shared" si="1"/>
        <v/>
      </c>
      <c r="H22" s="14">
        <f>SUM(Oct!H39,Nov!H39,Dec!H39)</f>
        <v>0</v>
      </c>
      <c r="I22" s="14">
        <f>SUM(Oct!I39, Nov!I39, Dec!I39)</f>
        <v>0</v>
      </c>
      <c r="J22" s="13" t="str">
        <f t="shared" si="2"/>
        <v/>
      </c>
    </row>
    <row r="23" spans="1:10" ht="15.6">
      <c r="A23" s="22" t="str">
        <v>MA: Dedham - Sprague Street</v>
      </c>
      <c r="B23" s="23" t="str">
        <v>MA</v>
      </c>
      <c r="C23" s="23" t="str">
        <f>Sites[[#This Row],[SOL'#]]</f>
        <v>SOL-10773</v>
      </c>
      <c r="D23" s="18">
        <f>SUM(Oct!D40, Nov!D40, Dec!D40)</f>
        <v>0</v>
      </c>
      <c r="E23" s="8">
        <f>SUM(Oct!E40, Nov!E40, Dec!E40)</f>
        <v>0</v>
      </c>
      <c r="F23" s="8">
        <f t="shared" si="0"/>
        <v>0</v>
      </c>
      <c r="G23" s="9" t="str">
        <f t="shared" si="1"/>
        <v/>
      </c>
      <c r="H23" s="10">
        <f>SUM(Oct!H40,Nov!H40,Dec!H40)</f>
        <v>0</v>
      </c>
      <c r="I23" s="10">
        <f>SUM(Oct!I40, Nov!I40, Dec!I40)</f>
        <v>0</v>
      </c>
      <c r="J23" s="11" t="str">
        <f t="shared" si="2"/>
        <v/>
      </c>
    </row>
    <row r="24" spans="1:10" ht="15.6">
      <c r="A24" s="24" t="str">
        <v>MA: Boston - Summer Street</v>
      </c>
      <c r="B24" s="25" t="str">
        <v>MA</v>
      </c>
      <c r="C24" s="25" t="str">
        <f>Sites[[#This Row],[SOL'#]]</f>
        <v>SOL-10764</v>
      </c>
      <c r="D24" s="7">
        <f>SUM(Oct!D41, Nov!D41, Dec!D41)</f>
        <v>0</v>
      </c>
      <c r="E24" s="12">
        <f>SUM(Oct!E41, Nov!E41, Dec!E41)</f>
        <v>0</v>
      </c>
      <c r="F24" s="12">
        <f t="shared" si="0"/>
        <v>0</v>
      </c>
      <c r="G24" s="13" t="str">
        <f t="shared" si="1"/>
        <v/>
      </c>
      <c r="H24" s="14">
        <f>SUM(Oct!H41,Nov!H41,Dec!H41)</f>
        <v>0</v>
      </c>
      <c r="I24" s="14">
        <f>SUM(Oct!I41, Nov!I41, Dec!I41)</f>
        <v>0</v>
      </c>
      <c r="J24" s="13" t="str">
        <f t="shared" si="2"/>
        <v/>
      </c>
    </row>
    <row r="25" spans="1:10" ht="15.6">
      <c r="A25" s="22" t="str">
        <v>MA: Leominster - Spectro Coatings</v>
      </c>
      <c r="B25" s="23" t="str">
        <v>MA</v>
      </c>
      <c r="C25" s="23" t="str">
        <f>Sites[[#This Row],[SOL'#]]</f>
        <v>SOL-10074</v>
      </c>
      <c r="D25" s="18">
        <f>SUM(Oct!D42, Nov!D42, Dec!D42)</f>
        <v>0</v>
      </c>
      <c r="E25" s="8">
        <f>SUM(Oct!E42, Nov!E42, Dec!E42)</f>
        <v>0</v>
      </c>
      <c r="F25" s="8">
        <f t="shared" si="0"/>
        <v>0</v>
      </c>
      <c r="G25" s="9" t="str">
        <f t="shared" si="1"/>
        <v/>
      </c>
      <c r="H25" s="10">
        <f>SUM(Oct!H42,Nov!H42,Dec!H42)</f>
        <v>0</v>
      </c>
      <c r="I25" s="10">
        <f>SUM(Oct!I42, Nov!I42, Dec!I42)</f>
        <v>0</v>
      </c>
      <c r="J25" s="11" t="str">
        <f t="shared" si="2"/>
        <v/>
      </c>
    </row>
    <row r="26" spans="1:10" ht="15.6">
      <c r="A26" s="24" t="str">
        <v>MA: Braintree - RCAB</v>
      </c>
      <c r="B26" s="25" t="str">
        <v>MA</v>
      </c>
      <c r="C26" s="25" t="str">
        <f>Sites[[#This Row],[SOL'#]]</f>
        <v>SOL-10838</v>
      </c>
      <c r="D26" s="7">
        <f>SUM(Oct!D43, Nov!D43, Dec!D43)</f>
        <v>0</v>
      </c>
      <c r="E26" s="12">
        <f>SUM(Oct!E43, Nov!E43, Dec!E43)</f>
        <v>0</v>
      </c>
      <c r="F26" s="12">
        <f t="shared" si="0"/>
        <v>0</v>
      </c>
      <c r="G26" s="13" t="str">
        <f t="shared" si="1"/>
        <v/>
      </c>
      <c r="H26" s="14">
        <f>SUM(Oct!H43,Nov!H43,Dec!H43)</f>
        <v>0</v>
      </c>
      <c r="I26" s="14">
        <f>SUM(Oct!I43, Nov!I43, Dec!I43)</f>
        <v>0</v>
      </c>
      <c r="J26" s="13" t="str">
        <f t="shared" si="2"/>
        <v/>
      </c>
    </row>
    <row r="27" spans="1:10" ht="15.6">
      <c r="A27" s="22" t="str">
        <v>NH: Rochester - Portland Street</v>
      </c>
      <c r="B27" s="23" t="str">
        <v>NH</v>
      </c>
      <c r="C27" s="23" t="str">
        <f>Sites[[#This Row],[SOL'#]]</f>
        <v>SOL-10771</v>
      </c>
      <c r="D27" s="18">
        <f>SUM(Oct!D44, Nov!D44, Dec!D44)</f>
        <v>0</v>
      </c>
      <c r="E27" s="8">
        <f>SUM(Oct!E44, Nov!E44, Dec!E44)</f>
        <v>0</v>
      </c>
      <c r="F27" s="8">
        <f t="shared" si="0"/>
        <v>0</v>
      </c>
      <c r="G27" s="9" t="str">
        <f t="shared" si="1"/>
        <v/>
      </c>
      <c r="H27" s="10">
        <f>SUM(Oct!H44,Nov!H44,Dec!H44)</f>
        <v>0</v>
      </c>
      <c r="I27" s="10">
        <f>SUM(Oct!I44, Nov!I44, Dec!I44)</f>
        <v>0</v>
      </c>
      <c r="J27" s="11" t="str">
        <f t="shared" si="2"/>
        <v/>
      </c>
    </row>
    <row r="28" spans="1:10" ht="15.6">
      <c r="A28" s="24" t="str">
        <v>NH: Portsmouth - Portsmouth HS</v>
      </c>
      <c r="B28" s="25" t="str">
        <v>NH</v>
      </c>
      <c r="C28" s="25" t="str">
        <f>Sites[[#This Row],[SOL'#]]</f>
        <v>SOL-10769</v>
      </c>
      <c r="D28" s="7">
        <f>SUM(Oct!D45, Nov!D45, Dec!D45)</f>
        <v>0</v>
      </c>
      <c r="E28" s="12">
        <f>SUM(Oct!E45, Nov!E45, Dec!E45)</f>
        <v>0</v>
      </c>
      <c r="F28" s="12">
        <f t="shared" si="0"/>
        <v>0</v>
      </c>
      <c r="G28" s="13" t="str">
        <f t="shared" si="1"/>
        <v/>
      </c>
      <c r="H28" s="14">
        <f>SUM(Oct!H45,Nov!H45,Dec!H45)</f>
        <v>0</v>
      </c>
      <c r="I28" s="14">
        <f>SUM(Oct!I45, Nov!I45, Dec!I45)</f>
        <v>0</v>
      </c>
      <c r="J28" s="13" t="str">
        <f t="shared" si="2"/>
        <v/>
      </c>
    </row>
    <row r="29" spans="1:10" ht="15.6">
      <c r="A29" s="22" t="str">
        <v>NH: Portsmouth - Portsmouth WTP</v>
      </c>
      <c r="B29" s="23" t="str">
        <v>NH</v>
      </c>
      <c r="C29" s="23" t="str">
        <f>Sites[[#This Row],[SOL'#]]</f>
        <v>SOL-10770</v>
      </c>
      <c r="D29" s="18">
        <f>SUM(Oct!D46, Nov!D46, Dec!D46)</f>
        <v>0</v>
      </c>
      <c r="E29" s="8">
        <f>SUM(Oct!E46, Nov!E46, Dec!E46)</f>
        <v>0</v>
      </c>
      <c r="F29" s="8">
        <f t="shared" si="0"/>
        <v>0</v>
      </c>
      <c r="G29" s="9" t="str">
        <f t="shared" si="1"/>
        <v/>
      </c>
      <c r="H29" s="10">
        <f>SUM(Oct!H46,Nov!H46,Dec!H46)</f>
        <v>0</v>
      </c>
      <c r="I29" s="10">
        <f>SUM(Oct!I46, Nov!I46, Dec!I46)</f>
        <v>0</v>
      </c>
      <c r="J29" s="11" t="str">
        <f t="shared" si="2"/>
        <v/>
      </c>
    </row>
    <row r="30" spans="1:10" ht="15.6">
      <c r="A30" s="24" t="str">
        <v>NH: Rochester - Rochester MS</v>
      </c>
      <c r="B30" s="25" t="str">
        <v>NH</v>
      </c>
      <c r="C30" s="25" t="str">
        <f>Sites[[#This Row],[SOL'#]]</f>
        <v>SOL-10765</v>
      </c>
      <c r="D30" s="7">
        <f>SUM(Oct!D47, Nov!D47, Dec!D47)</f>
        <v>0</v>
      </c>
      <c r="E30" s="12">
        <f>SUM(Oct!E47, Nov!E47, Dec!E47)</f>
        <v>0</v>
      </c>
      <c r="F30" s="12">
        <f t="shared" si="0"/>
        <v>0</v>
      </c>
      <c r="G30" s="13" t="str">
        <f t="shared" si="1"/>
        <v/>
      </c>
      <c r="H30" s="14">
        <f>SUM(Oct!H47,Nov!H47,Dec!H47)</f>
        <v>0</v>
      </c>
      <c r="I30" s="14">
        <f>SUM(Oct!I47, Nov!I47, Dec!I47)</f>
        <v>0</v>
      </c>
      <c r="J30" s="13" t="str">
        <f t="shared" si="2"/>
        <v/>
      </c>
    </row>
    <row r="31" spans="1:10" ht="15.6">
      <c r="A31" s="22" t="str">
        <v>NH Rochester - Spaulding HS</v>
      </c>
      <c r="B31" s="23" t="str">
        <v>NH</v>
      </c>
      <c r="C31" s="23" t="str">
        <f>Sites[[#This Row],[SOL'#]]</f>
        <v>SOL-10767</v>
      </c>
      <c r="D31" s="18">
        <f>SUM(Oct!D48, Nov!D48, Dec!D48)</f>
        <v>0</v>
      </c>
      <c r="E31" s="8">
        <f>SUM(Oct!E48, Nov!E48, Dec!E48)</f>
        <v>0</v>
      </c>
      <c r="F31" s="8">
        <f t="shared" si="0"/>
        <v>0</v>
      </c>
      <c r="G31" s="9" t="str">
        <f t="shared" si="1"/>
        <v/>
      </c>
      <c r="H31" s="10">
        <f>SUM(Oct!H48,Nov!H48,Dec!H48)</f>
        <v>0</v>
      </c>
      <c r="I31" s="10">
        <f>SUM(Oct!I48, Nov!I48, Dec!I48)</f>
        <v>0</v>
      </c>
      <c r="J31" s="11" t="str">
        <f t="shared" si="2"/>
        <v/>
      </c>
    </row>
    <row r="32" spans="1:10" ht="15.6">
      <c r="A32" s="24" t="str">
        <v>NH: Rochester - McClelland ES</v>
      </c>
      <c r="B32" s="25" t="str">
        <v>NH</v>
      </c>
      <c r="C32" s="25" t="str">
        <f>Sites[[#This Row],[SOL'#]]</f>
        <v>SOL-10766</v>
      </c>
      <c r="D32" s="7">
        <f>SUM(Oct!D49, Nov!D49, Dec!D49)</f>
        <v>0</v>
      </c>
      <c r="E32" s="12">
        <f>SUM(Oct!E49, Nov!E49, Dec!E49)</f>
        <v>0</v>
      </c>
      <c r="F32" s="12">
        <f t="shared" si="0"/>
        <v>0</v>
      </c>
      <c r="G32" s="13" t="str">
        <f t="shared" si="1"/>
        <v/>
      </c>
      <c r="H32" s="14">
        <f>SUM(Oct!H49,Nov!H49,Dec!H49)</f>
        <v>0</v>
      </c>
      <c r="I32" s="14">
        <f>SUM(Oct!I49, Nov!I49, Dec!I49)</f>
        <v>0</v>
      </c>
      <c r="J32" s="13" t="str">
        <f t="shared" si="2"/>
        <v/>
      </c>
    </row>
    <row r="33" spans="1:10" ht="15.6">
      <c r="A33" s="22" t="str">
        <v>NH: Rochester - Brock St Vocational</v>
      </c>
      <c r="B33" s="23" t="str">
        <v>NH</v>
      </c>
      <c r="C33" s="23" t="str">
        <f>Sites[[#This Row],[SOL'#]]</f>
        <v>SOL-10768</v>
      </c>
      <c r="D33" s="18">
        <f>SUM(Oct!D50, Nov!D50, Dec!D50)</f>
        <v>0</v>
      </c>
      <c r="E33" s="8">
        <f>SUM(Oct!E50, Nov!E50, Dec!E50)</f>
        <v>0</v>
      </c>
      <c r="F33" s="8">
        <f t="shared" si="0"/>
        <v>0</v>
      </c>
      <c r="G33" s="9" t="str">
        <f t="shared" si="1"/>
        <v/>
      </c>
      <c r="H33" s="10">
        <f>SUM(Oct!H50,Nov!H50,Dec!H50)</f>
        <v>0</v>
      </c>
      <c r="I33" s="10">
        <f>SUM(Oct!I50, Nov!I50, Dec!I50)</f>
        <v>0</v>
      </c>
      <c r="J33" s="11" t="str">
        <f t="shared" si="2"/>
        <v/>
      </c>
    </row>
    <row r="34" spans="1:10" ht="15.6">
      <c r="A34" s="24" t="str">
        <v>OH: Cleveland - CV Kinsman</v>
      </c>
      <c r="B34" s="25" t="str">
        <v>OH</v>
      </c>
      <c r="C34" s="25" t="str">
        <f>Sites[[#This Row],[SOL'#]]</f>
        <v>SOL-10762</v>
      </c>
      <c r="D34" s="7">
        <f>SUM(Oct!D51, Nov!D51, Dec!D51)</f>
        <v>0</v>
      </c>
      <c r="E34" s="12">
        <f>SUM(Oct!E51, Nov!E51, Dec!E51)</f>
        <v>0</v>
      </c>
      <c r="F34" s="12">
        <f t="shared" si="0"/>
        <v>0</v>
      </c>
      <c r="G34" s="13" t="str">
        <f t="shared" si="1"/>
        <v/>
      </c>
      <c r="H34" s="14">
        <f>SUM(Oct!H51,Nov!H51,Dec!H51)</f>
        <v>0</v>
      </c>
      <c r="I34" s="14">
        <f>SUM(Oct!I51, Nov!I51, Dec!I51)</f>
        <v>0</v>
      </c>
      <c r="J34" s="13" t="str">
        <f t="shared" si="2"/>
        <v/>
      </c>
    </row>
    <row r="35" spans="1:10" ht="15.6">
      <c r="A35" s="22" t="str">
        <v>OH: Cleveland - CV Wooster</v>
      </c>
      <c r="B35" s="23" t="str">
        <v>OH</v>
      </c>
      <c r="C35" s="23" t="str">
        <f>Sites[[#This Row],[SOL'#]]</f>
        <v>SOL-10763</v>
      </c>
      <c r="D35" s="18">
        <f>SUM(Oct!D52, Nov!D52, Dec!D52)</f>
        <v>0</v>
      </c>
      <c r="E35" s="8">
        <f>SUM(Oct!E52, Nov!E52, Dec!E52)</f>
        <v>0</v>
      </c>
      <c r="F35" s="8">
        <f t="shared" si="0"/>
        <v>0</v>
      </c>
      <c r="G35" s="9" t="str">
        <f t="shared" si="1"/>
        <v/>
      </c>
      <c r="H35" s="10">
        <f>SUM(Oct!H52,Nov!H52,Dec!H52)</f>
        <v>0</v>
      </c>
      <c r="I35" s="10">
        <f>SUM(Oct!I52, Nov!I52, Dec!I52)</f>
        <v>0</v>
      </c>
      <c r="J35" s="11" t="str">
        <f t="shared" si="2"/>
        <v/>
      </c>
    </row>
    <row r="36" spans="1:10" ht="15.6">
      <c r="A36" s="24" t="str">
        <v>PR: Aguadilla - Coca Cola</v>
      </c>
      <c r="B36" s="25" t="str">
        <v>PR</v>
      </c>
      <c r="C36" s="25" t="str">
        <f>Sites[[#This Row],[SOL'#]]</f>
        <v>SOL-10072</v>
      </c>
      <c r="D36" s="7">
        <f>SUM(Oct!D53, Nov!D53, Dec!D53)</f>
        <v>0</v>
      </c>
      <c r="E36" s="12">
        <f>SUM(Oct!E53, Nov!E53, Dec!E53)</f>
        <v>0</v>
      </c>
      <c r="F36" s="12">
        <f t="shared" si="0"/>
        <v>0</v>
      </c>
      <c r="G36" s="13" t="str">
        <f t="shared" si="1"/>
        <v/>
      </c>
      <c r="H36" s="14">
        <f>SUM(Oct!H53,Nov!H53,Dec!H53)</f>
        <v>0</v>
      </c>
      <c r="I36" s="14">
        <f>SUM(Oct!I53, Nov!I53, Dec!I53)</f>
        <v>0</v>
      </c>
      <c r="J36" s="13" t="str">
        <f t="shared" si="2"/>
        <v/>
      </c>
    </row>
    <row r="37" spans="1:10" ht="15.6">
      <c r="A37" s="22" t="str">
        <v>PR: Bayamon - Coca Cola</v>
      </c>
      <c r="B37" s="23" t="str">
        <v>PR</v>
      </c>
      <c r="C37" s="23" t="str">
        <f>Sites[[#This Row],[SOL'#]]</f>
        <v>SOL-10073</v>
      </c>
      <c r="D37" s="18">
        <f>SUM(Oct!D54, Nov!D54, Dec!D54)</f>
        <v>0</v>
      </c>
      <c r="E37" s="8">
        <f>SUM(Oct!E54, Nov!E54, Dec!E54)</f>
        <v>0</v>
      </c>
      <c r="F37" s="8">
        <f t="shared" si="0"/>
        <v>0</v>
      </c>
      <c r="G37" s="9" t="str">
        <f t="shared" si="1"/>
        <v/>
      </c>
      <c r="H37" s="10">
        <f>SUM(Oct!H54,Nov!H54,Dec!H54)</f>
        <v>0</v>
      </c>
      <c r="I37" s="10">
        <f>SUM(Oct!I54, Nov!I54, Dec!I54)</f>
        <v>0</v>
      </c>
      <c r="J37" s="11" t="str">
        <f t="shared" si="2"/>
        <v/>
      </c>
    </row>
    <row r="38" spans="1:10" ht="15.6">
      <c r="A38" s="24" t="str">
        <v>PR: Carolina - St. Francis</v>
      </c>
      <c r="B38" s="25" t="str">
        <v>PR</v>
      </c>
      <c r="C38" s="25" t="str">
        <f>Sites[[#This Row],[SOL'#]]</f>
        <v>SOL-10034</v>
      </c>
      <c r="D38" s="7">
        <f>SUM(Oct!D55, Nov!D55, Dec!D55)</f>
        <v>0</v>
      </c>
      <c r="E38" s="12">
        <f>SUM(Oct!E55, Nov!E55, Dec!E55)</f>
        <v>0</v>
      </c>
      <c r="F38" s="12">
        <f t="shared" si="0"/>
        <v>0</v>
      </c>
      <c r="G38" s="13" t="str">
        <f t="shared" si="1"/>
        <v/>
      </c>
      <c r="H38" s="14">
        <f>SUM(Oct!H55,Nov!H55,Dec!H55)</f>
        <v>0</v>
      </c>
      <c r="I38" s="14">
        <f>SUM(Oct!I55, Nov!I55, Dec!I55)</f>
        <v>0</v>
      </c>
      <c r="J38" s="13" t="str">
        <f t="shared" si="2"/>
        <v/>
      </c>
    </row>
    <row r="39" spans="1:10" ht="15.6">
      <c r="A39" s="22" t="str">
        <v>DC: Chevy Chase -Sinai</v>
      </c>
      <c r="B39" s="23" t="str">
        <v>DC</v>
      </c>
      <c r="C39" s="23" t="str">
        <f>Sites[[#This Row],[SOL'#]]</f>
        <v>SOL-10028</v>
      </c>
      <c r="D39" s="18">
        <f>SUM(Oct!D56, Nov!D56, Dec!D56)</f>
        <v>0</v>
      </c>
      <c r="E39" s="8">
        <f>SUM(Oct!E56, Nov!E56, Dec!E56)</f>
        <v>0</v>
      </c>
      <c r="F39" s="8">
        <f t="shared" si="0"/>
        <v>0</v>
      </c>
      <c r="G39" s="9" t="str">
        <f t="shared" si="1"/>
        <v/>
      </c>
      <c r="H39" s="10">
        <f>SUM(Oct!H56,Nov!H56,Dec!H56)</f>
        <v>0</v>
      </c>
      <c r="I39" s="10">
        <f>SUM(Oct!I56, Nov!I56, Dec!I56)</f>
        <v>0</v>
      </c>
      <c r="J39" s="11" t="str">
        <f t="shared" si="2"/>
        <v/>
      </c>
    </row>
    <row r="40" spans="1:10" ht="15.6">
      <c r="A40" s="24" t="str">
        <v>DC: Washington - Weinberg 1</v>
      </c>
      <c r="B40" s="25" t="str">
        <v>DC</v>
      </c>
      <c r="C40" s="25" t="str">
        <f>Sites[[#This Row],[SOL'#]]</f>
        <v>SOL-10039</v>
      </c>
      <c r="D40" s="7">
        <f>SUM(Oct!D57, Nov!D57, Dec!D57)</f>
        <v>0</v>
      </c>
      <c r="E40" s="12">
        <f>SUM(Oct!E57, Nov!E57, Dec!E57)</f>
        <v>0</v>
      </c>
      <c r="F40" s="12">
        <f t="shared" si="0"/>
        <v>0</v>
      </c>
      <c r="G40" s="13" t="str">
        <f t="shared" si="1"/>
        <v/>
      </c>
      <c r="H40" s="14">
        <f>SUM(Oct!H57,Nov!H57,Dec!H57)</f>
        <v>0</v>
      </c>
      <c r="I40" s="14">
        <f>SUM(Oct!I57, Nov!I57, Dec!I57)</f>
        <v>0</v>
      </c>
      <c r="J40" s="13" t="str">
        <f t="shared" si="2"/>
        <v/>
      </c>
    </row>
    <row r="41" spans="1:10" ht="15.6">
      <c r="A41" s="22" t="str">
        <v>DC: Washington - Weinberg 2</v>
      </c>
      <c r="B41" s="23" t="str">
        <v>DC</v>
      </c>
      <c r="C41" s="23" t="str">
        <f>Sites[[#This Row],[SOL'#]]</f>
        <v>SOL-10045</v>
      </c>
      <c r="D41" s="18">
        <f>SUM(Oct!D58, Nov!D58, Dec!D58)</f>
        <v>0</v>
      </c>
      <c r="E41" s="8">
        <f>SUM(Oct!E58, Nov!E58, Dec!E58)</f>
        <v>0</v>
      </c>
      <c r="F41" s="8">
        <f t="shared" si="0"/>
        <v>0</v>
      </c>
      <c r="G41" s="9" t="str">
        <f t="shared" si="1"/>
        <v/>
      </c>
      <c r="H41" s="10">
        <f>SUM(Oct!H58,Nov!H58,Dec!H58)</f>
        <v>0</v>
      </c>
      <c r="I41" s="10">
        <f>SUM(Oct!I58, Nov!I58, Dec!I58)</f>
        <v>0</v>
      </c>
      <c r="J41" s="11" t="str">
        <f t="shared" si="2"/>
        <v/>
      </c>
    </row>
    <row r="42" spans="1:10" ht="15.6">
      <c r="A42" s="24" t="str">
        <v>DC: Washington - Weinberg 3</v>
      </c>
      <c r="B42" s="25" t="str">
        <v>DC</v>
      </c>
      <c r="C42" s="25" t="str">
        <f>Sites[[#This Row],[SOL'#]]</f>
        <v>SOL-10042</v>
      </c>
      <c r="D42" s="7">
        <f>SUM(Oct!D59, Nov!D59, Dec!D59)</f>
        <v>0</v>
      </c>
      <c r="E42" s="12">
        <f>SUM(Oct!E59, Nov!E59, Dec!E59)</f>
        <v>0</v>
      </c>
      <c r="F42" s="12">
        <f t="shared" si="0"/>
        <v>0</v>
      </c>
      <c r="G42" s="13" t="str">
        <f t="shared" si="1"/>
        <v/>
      </c>
      <c r="H42" s="14">
        <f>SUM(Oct!H59,Nov!H59,Dec!H59)</f>
        <v>0</v>
      </c>
      <c r="I42" s="14">
        <f>SUM(Oct!I59, Nov!I59, Dec!I59)</f>
        <v>0</v>
      </c>
      <c r="J42" s="13" t="str">
        <f t="shared" si="2"/>
        <v/>
      </c>
    </row>
  </sheetData>
  <mergeCells count="4">
    <mergeCell ref="H1:J1"/>
    <mergeCell ref="A1:D1"/>
    <mergeCell ref="E1:G1"/>
    <mergeCell ref="A2:B2"/>
  </mergeCells>
  <conditionalFormatting sqref="G2 J2 G4:G42 J4:J42">
    <cfRule type="cellIs" dxfId="40" priority="23" stopIfTrue="1" operator="lessThanOrEqual">
      <formula>-0.1</formula>
    </cfRule>
    <cfRule type="expression" dxfId="39"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42"/>
  <sheetViews>
    <sheetView zoomScale="60" zoomScaleNormal="60" workbookViewId="0">
      <pane xSplit="2" ySplit="3" topLeftCell="C4" activePane="bottomRight" state="frozen"/>
      <selection pane="bottomRight" activeCell="K48" sqref="K48"/>
      <selection pane="bottomLeft" activeCell="C3" sqref="C3"/>
      <selection pane="topRight" activeCell="C3" sqref="C3"/>
    </sheetView>
  </sheetViews>
  <sheetFormatPr defaultRowHeight="13.9"/>
  <cols>
    <col min="1" max="1" width="35.85546875" bestFit="1" customWidth="1"/>
    <col min="2" max="2" width="8.42578125" style="28" customWidth="1"/>
    <col min="3" max="3" width="15.42578125" style="28"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38" t="str" cm="1">
        <f t="array" ref="A1">portfolio</f>
        <v>GoodFinch</v>
      </c>
      <c r="B1" s="138"/>
      <c r="C1" s="138"/>
      <c r="D1" s="138"/>
      <c r="E1" s="139" t="s">
        <v>19</v>
      </c>
      <c r="F1" s="139"/>
      <c r="G1" s="139"/>
      <c r="H1" s="137" t="s">
        <v>20</v>
      </c>
      <c r="I1" s="137"/>
      <c r="J1" s="137"/>
      <c r="K1" s="2"/>
      <c r="L1" s="2"/>
    </row>
    <row r="2" spans="1:20" ht="19.5" customHeight="1">
      <c r="A2" s="140" t="s">
        <v>2</v>
      </c>
      <c r="B2" s="140"/>
      <c r="C2" s="51"/>
      <c r="D2" s="3">
        <f>SUM(D4:D42)</f>
        <v>0</v>
      </c>
      <c r="E2" s="3">
        <f>SUM(E4:E42)</f>
        <v>0</v>
      </c>
      <c r="F2" s="3">
        <f>D2-E2</f>
        <v>0</v>
      </c>
      <c r="G2" s="4">
        <f>IFERROR(F2/E2, 0)</f>
        <v>0</v>
      </c>
      <c r="H2" s="3">
        <f>SUM(H4:H42)</f>
        <v>0</v>
      </c>
      <c r="I2" s="5">
        <f>D2-H2</f>
        <v>0</v>
      </c>
      <c r="J2" s="4">
        <f>IFERROR(I2/H2, 0)</f>
        <v>0</v>
      </c>
      <c r="K2" s="20"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21" t="s">
        <v>3</v>
      </c>
      <c r="B3" s="6" t="s">
        <v>4</v>
      </c>
      <c r="C3" s="6" t="s">
        <v>5</v>
      </c>
      <c r="D3" s="17" t="s">
        <v>6</v>
      </c>
      <c r="E3" s="29" t="s">
        <v>7</v>
      </c>
      <c r="F3" s="29" t="s">
        <v>8</v>
      </c>
      <c r="G3" s="30" t="s">
        <v>9</v>
      </c>
      <c r="H3" s="34"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44"/>
      <c r="L4" s="46"/>
      <c r="M4" s="88"/>
      <c r="N4" s="88"/>
      <c r="O4" s="88"/>
      <c r="P4" s="88"/>
      <c r="Q4" s="88"/>
      <c r="R4" s="88"/>
      <c r="S4" s="88"/>
      <c r="T4" s="88"/>
    </row>
    <row r="5" spans="1:20" ht="15.6">
      <c r="A5" s="22" t="str">
        <v>AZ: Tempe - ASU - Fulton</v>
      </c>
      <c r="B5" s="23" t="str">
        <v>AZ</v>
      </c>
      <c r="C5" s="23" t="str">
        <f>Sites[[#This Row],[SOL'#]]</f>
        <v>SOL-10749</v>
      </c>
      <c r="D5" s="18"/>
      <c r="E5" s="8"/>
      <c r="F5" s="8"/>
      <c r="G5" s="9"/>
      <c r="H5" s="10"/>
      <c r="I5" s="10"/>
      <c r="J5" s="11"/>
      <c r="K5" s="35"/>
      <c r="L5" s="47"/>
      <c r="M5" s="88"/>
      <c r="N5" s="88"/>
      <c r="O5" s="88"/>
      <c r="P5" s="88"/>
      <c r="Q5" s="88"/>
      <c r="R5" s="88"/>
      <c r="S5" s="88"/>
      <c r="T5" s="88"/>
    </row>
    <row r="6" spans="1:20" ht="15.6">
      <c r="A6" s="24" t="str">
        <v>AZ: Superior - JFK Elementary</v>
      </c>
      <c r="B6" s="25" t="str">
        <v>AZ</v>
      </c>
      <c r="C6" s="25" t="str">
        <f>Sites[[#This Row],[SOL'#]]</f>
        <v>SOL-10758</v>
      </c>
      <c r="D6" s="7"/>
      <c r="E6" s="12"/>
      <c r="F6" s="12"/>
      <c r="G6" s="13"/>
      <c r="H6" s="14"/>
      <c r="I6" s="14"/>
      <c r="J6" s="13"/>
      <c r="K6" s="44"/>
      <c r="L6" s="46"/>
      <c r="M6" s="88"/>
      <c r="N6" s="88"/>
      <c r="O6" s="88"/>
      <c r="P6" s="88"/>
      <c r="Q6" s="88"/>
      <c r="R6" s="88"/>
      <c r="S6" s="88"/>
      <c r="T6" s="88"/>
    </row>
    <row r="7" spans="1:20" ht="15.6">
      <c r="A7" s="22" t="str">
        <v>AZ: Tempe - ASU - Noble</v>
      </c>
      <c r="B7" s="23" t="str">
        <v>AZ</v>
      </c>
      <c r="C7" s="23" t="str">
        <f>Sites[[#This Row],[SOL'#]]</f>
        <v>SOL-10750</v>
      </c>
      <c r="D7" s="18"/>
      <c r="E7" s="8"/>
      <c r="F7" s="8"/>
      <c r="G7" s="9"/>
      <c r="H7" s="10"/>
      <c r="I7" s="10"/>
      <c r="J7" s="11"/>
      <c r="K7" s="43"/>
      <c r="L7" s="41"/>
      <c r="M7" s="88"/>
      <c r="N7" s="88"/>
      <c r="O7" s="88"/>
      <c r="P7" s="88"/>
      <c r="Q7" s="88"/>
      <c r="R7" s="88"/>
      <c r="S7" s="88"/>
      <c r="T7" s="88"/>
    </row>
    <row r="8" spans="1:20" ht="15.6">
      <c r="A8" s="24" t="str">
        <v>AZ: Tempe - ASU - Parking #3</v>
      </c>
      <c r="B8" s="25" t="str">
        <v>AZ</v>
      </c>
      <c r="C8" s="25" t="str">
        <f>Sites[[#This Row],[SOL'#]]</f>
        <v>SOL-10751</v>
      </c>
      <c r="D8" s="7"/>
      <c r="E8" s="12"/>
      <c r="F8" s="12"/>
      <c r="G8" s="13"/>
      <c r="H8" s="14"/>
      <c r="I8" s="14"/>
      <c r="J8" s="13"/>
      <c r="K8" s="109"/>
      <c r="L8" s="85"/>
      <c r="M8" s="88"/>
      <c r="N8" s="88"/>
      <c r="O8" s="88"/>
      <c r="P8" s="88"/>
      <c r="Q8" s="88"/>
      <c r="R8" s="88"/>
      <c r="S8" s="88"/>
      <c r="T8" s="88"/>
    </row>
    <row r="9" spans="1:20" ht="15.6">
      <c r="A9" s="22" t="str">
        <v>AZ: Tempe - ASU - PE East</v>
      </c>
      <c r="B9" s="23" t="str">
        <v>AZ</v>
      </c>
      <c r="C9" s="23" t="str">
        <f>Sites[[#This Row],[SOL'#]]</f>
        <v>SOL-10752</v>
      </c>
      <c r="D9" s="18"/>
      <c r="E9" s="8"/>
      <c r="F9" s="8"/>
      <c r="G9" s="9"/>
      <c r="H9" s="10"/>
      <c r="I9" s="10"/>
      <c r="J9" s="11"/>
      <c r="K9" s="35"/>
      <c r="L9" s="47"/>
      <c r="M9" s="88"/>
      <c r="N9" s="88"/>
      <c r="O9" s="88"/>
      <c r="P9" s="88"/>
      <c r="Q9" s="88"/>
      <c r="R9" s="88"/>
      <c r="S9" s="88"/>
      <c r="T9" s="88"/>
    </row>
    <row r="10" spans="1:20" ht="15.6">
      <c r="A10" s="24" t="str">
        <v>AZ: Tempe - ASU - Schwada</v>
      </c>
      <c r="B10" s="25" t="str">
        <v>AZ</v>
      </c>
      <c r="C10" s="25" t="str">
        <f>Sites[[#This Row],[SOL'#]]</f>
        <v>SOL-10753</v>
      </c>
      <c r="D10" s="7"/>
      <c r="E10" s="12"/>
      <c r="F10" s="12"/>
      <c r="G10" s="13"/>
      <c r="H10" s="14"/>
      <c r="I10" s="14"/>
      <c r="J10" s="13"/>
      <c r="K10" s="44"/>
      <c r="L10" s="46"/>
      <c r="M10" s="88"/>
      <c r="N10" s="88"/>
      <c r="O10" s="88"/>
      <c r="P10" s="88"/>
      <c r="Q10" s="88"/>
      <c r="R10" s="88"/>
      <c r="S10" s="88"/>
      <c r="T10" s="88"/>
    </row>
    <row r="11" spans="1:20" ht="15.6">
      <c r="A11" s="22" t="str">
        <v>AZ: Phoenix - Starshine Academy</v>
      </c>
      <c r="B11" s="23" t="str">
        <v>AZ</v>
      </c>
      <c r="C11" s="23" t="str">
        <f>Sites[[#This Row],[SOL'#]]</f>
        <v>SOL-10757</v>
      </c>
      <c r="D11" s="18"/>
      <c r="E11" s="8"/>
      <c r="F11" s="8"/>
      <c r="G11" s="9"/>
      <c r="H11" s="10"/>
      <c r="I11" s="10"/>
      <c r="J11" s="11"/>
      <c r="K11" s="35"/>
      <c r="L11" s="47"/>
      <c r="M11" s="88"/>
      <c r="N11" s="88"/>
      <c r="O11" s="88"/>
      <c r="P11" s="88"/>
      <c r="Q11" s="88"/>
      <c r="R11" s="88"/>
      <c r="S11" s="88"/>
      <c r="T11" s="88"/>
    </row>
    <row r="12" spans="1:20" ht="21" customHeight="1">
      <c r="A12" s="24" t="str">
        <v>AZ: Yuma Airport</v>
      </c>
      <c r="B12" s="25" t="str">
        <v>AZ</v>
      </c>
      <c r="C12" s="25" t="str">
        <f>Sites[[#This Row],[SOL'#]]</f>
        <v>SOL-10754</v>
      </c>
      <c r="D12" s="7"/>
      <c r="E12" s="12"/>
      <c r="F12" s="12"/>
      <c r="G12" s="13"/>
      <c r="H12" s="14"/>
      <c r="I12" s="14"/>
      <c r="J12" s="13"/>
      <c r="K12" s="83"/>
      <c r="L12" s="85"/>
      <c r="M12" s="88"/>
      <c r="N12" s="88"/>
      <c r="O12" s="88"/>
      <c r="P12" s="88"/>
      <c r="Q12" s="88"/>
      <c r="R12" s="88"/>
      <c r="S12" s="88"/>
      <c r="T12" s="88"/>
    </row>
    <row r="13" spans="1:20" ht="15.6">
      <c r="A13" s="22" t="str">
        <v>AZ: Globe - Gila CC</v>
      </c>
      <c r="B13" s="23" t="str">
        <v>AZ</v>
      </c>
      <c r="C13" s="23" t="str">
        <f>Sites[[#This Row],[SOL'#]]</f>
        <v>SOL-10751</v>
      </c>
      <c r="D13" s="18"/>
      <c r="E13" s="8"/>
      <c r="F13" s="8"/>
      <c r="G13" s="9"/>
      <c r="H13" s="10"/>
      <c r="I13" s="10"/>
      <c r="J13" s="11"/>
      <c r="K13" s="35"/>
      <c r="L13" s="47"/>
      <c r="M13" s="88"/>
      <c r="N13" s="88"/>
      <c r="O13" s="88"/>
      <c r="P13" s="88"/>
      <c r="Q13" s="88"/>
      <c r="R13" s="88"/>
      <c r="S13" s="88"/>
      <c r="T13" s="88"/>
    </row>
    <row r="14" spans="1:20" ht="15.6">
      <c r="A14" s="24" t="str">
        <v>AZ: Payson - Gila CC</v>
      </c>
      <c r="B14" s="25" t="str">
        <v>AZ</v>
      </c>
      <c r="C14" s="25" t="str">
        <f>Sites[[#This Row],[SOL'#]]</f>
        <v>SOL-10748</v>
      </c>
      <c r="D14" s="7"/>
      <c r="E14" s="12"/>
      <c r="F14" s="12"/>
      <c r="G14" s="13"/>
      <c r="H14" s="14"/>
      <c r="I14" s="14"/>
      <c r="J14" s="13"/>
      <c r="K14" s="44"/>
      <c r="L14" s="85"/>
      <c r="M14" s="87"/>
      <c r="N14" s="88"/>
      <c r="O14" s="88"/>
      <c r="P14" s="88"/>
      <c r="Q14" s="88"/>
      <c r="R14" s="88"/>
      <c r="S14" s="88"/>
      <c r="T14" s="88"/>
    </row>
    <row r="15" spans="1:20" ht="15.6">
      <c r="A15" s="22" t="str">
        <v>AZ: Mesa - Sequoia Charter School</v>
      </c>
      <c r="B15" s="23" t="str">
        <v>AZ</v>
      </c>
      <c r="C15" s="23" t="str">
        <f>Sites[[#This Row],[SOL'#]]</f>
        <v>SOL-10759</v>
      </c>
      <c r="D15" s="18"/>
      <c r="E15" s="8"/>
      <c r="F15" s="8"/>
      <c r="G15" s="9"/>
      <c r="H15" s="10"/>
      <c r="I15" s="10"/>
      <c r="J15" s="11"/>
      <c r="K15" s="35"/>
      <c r="L15" s="47"/>
      <c r="M15" s="88"/>
      <c r="N15" s="88"/>
      <c r="O15" s="88"/>
      <c r="P15" s="88"/>
      <c r="Q15" s="88"/>
      <c r="R15" s="88"/>
      <c r="S15" s="88"/>
      <c r="T15" s="88"/>
    </row>
    <row r="16" spans="1:20" ht="18" customHeight="1">
      <c r="A16" s="24" t="str">
        <v>AZ: Tempe - SCNM</v>
      </c>
      <c r="B16" s="25" t="str">
        <v>AZ</v>
      </c>
      <c r="C16" s="25" t="str">
        <f>Sites[[#This Row],[SOL'#]]</f>
        <v>SOL-10760</v>
      </c>
      <c r="D16" s="7"/>
      <c r="E16" s="12"/>
      <c r="F16" s="12"/>
      <c r="G16" s="13"/>
      <c r="H16" s="14"/>
      <c r="I16" s="14"/>
      <c r="J16" s="13"/>
      <c r="K16" s="107"/>
      <c r="L16" s="46"/>
      <c r="M16" s="88"/>
      <c r="N16" s="88"/>
      <c r="O16" s="88"/>
      <c r="P16" s="88"/>
      <c r="Q16" s="88"/>
      <c r="R16" s="88"/>
      <c r="S16" s="88"/>
      <c r="T16" s="88"/>
    </row>
    <row r="17" spans="1:20" ht="15.6">
      <c r="A17" s="22" t="str">
        <v>DE: Newark - Clayton Hall</v>
      </c>
      <c r="B17" s="23" t="str">
        <v>DE</v>
      </c>
      <c r="C17" s="23" t="str">
        <f>Sites[[#This Row],[SOL'#]]</f>
        <v>SOL-10820</v>
      </c>
      <c r="D17" s="18"/>
      <c r="E17" s="8"/>
      <c r="F17" s="8"/>
      <c r="G17" s="9"/>
      <c r="H17" s="10"/>
      <c r="I17" s="10"/>
      <c r="J17" s="11"/>
      <c r="K17" s="35"/>
      <c r="L17" s="47"/>
      <c r="M17" s="88"/>
      <c r="N17" s="88"/>
      <c r="O17" s="88"/>
      <c r="P17" s="88"/>
      <c r="Q17" s="88"/>
      <c r="R17" s="88"/>
      <c r="S17" s="88"/>
      <c r="T17" s="88"/>
    </row>
    <row r="18" spans="1:20" ht="15.6">
      <c r="A18" s="24" t="str">
        <v>DE: Newark - UOD Field House</v>
      </c>
      <c r="B18" s="25" t="str">
        <v>DE</v>
      </c>
      <c r="C18" s="25" t="str">
        <f>Sites[[#This Row],[SOL'#]]</f>
        <v>SOL-10821</v>
      </c>
      <c r="D18" s="7"/>
      <c r="E18" s="12"/>
      <c r="F18" s="12"/>
      <c r="G18" s="13"/>
      <c r="H18" s="14"/>
      <c r="I18" s="14"/>
      <c r="J18" s="13"/>
      <c r="K18" s="44"/>
      <c r="L18" s="46"/>
      <c r="M18" s="88"/>
      <c r="N18" s="88"/>
      <c r="O18" s="88"/>
      <c r="P18" s="88"/>
      <c r="Q18" s="88"/>
      <c r="R18" s="88"/>
      <c r="S18" s="88"/>
      <c r="T18" s="88"/>
    </row>
    <row r="19" spans="1:20" ht="15.6">
      <c r="A19" s="22" t="str">
        <v>DE: Newark - UOD 461 Wyoming</v>
      </c>
      <c r="B19" s="23" t="str">
        <v>DE</v>
      </c>
      <c r="C19" s="23" t="str">
        <f>Sites[[#This Row],[SOL'#]]</f>
        <v>SOL-10819</v>
      </c>
      <c r="D19" s="18"/>
      <c r="E19" s="8"/>
      <c r="F19" s="8"/>
      <c r="G19" s="9"/>
      <c r="H19" s="10"/>
      <c r="I19" s="10"/>
      <c r="J19" s="11"/>
      <c r="K19" s="35"/>
      <c r="L19" s="47"/>
      <c r="M19" s="88"/>
      <c r="N19" s="88"/>
      <c r="O19" s="88"/>
      <c r="P19" s="88"/>
      <c r="Q19" s="88"/>
      <c r="R19" s="88"/>
      <c r="S19" s="88"/>
      <c r="T19" s="88"/>
    </row>
    <row r="20" spans="1:20" ht="15.6">
      <c r="A20" s="24" t="str">
        <v>MD: Presston - Bird-in-Hand</v>
      </c>
      <c r="B20" s="25" t="str">
        <v>MD</v>
      </c>
      <c r="C20" s="25" t="str">
        <f>Sites[[#This Row],[SOL'#]]</f>
        <v>SOL-10092</v>
      </c>
      <c r="D20" s="7"/>
      <c r="E20" s="12"/>
      <c r="F20" s="12"/>
      <c r="G20" s="13"/>
      <c r="H20" s="14"/>
      <c r="I20" s="14"/>
      <c r="J20" s="13"/>
      <c r="K20" s="44"/>
      <c r="L20" s="85"/>
      <c r="M20" s="88"/>
      <c r="N20" s="88"/>
      <c r="O20" s="88"/>
      <c r="P20" s="88"/>
      <c r="Q20" s="88"/>
      <c r="R20" s="88"/>
      <c r="S20" s="88"/>
      <c r="T20" s="88"/>
    </row>
    <row r="21" spans="1:20" ht="15.6">
      <c r="A21" s="22" t="str">
        <v>MD: Easton - Shortall</v>
      </c>
      <c r="B21" s="23" t="str">
        <v>MD</v>
      </c>
      <c r="C21" s="23" t="str">
        <f>Sites[[#This Row],[SOL'#]]</f>
        <v>SOL-10091</v>
      </c>
      <c r="D21" s="18"/>
      <c r="E21" s="8"/>
      <c r="F21" s="8"/>
      <c r="G21" s="9"/>
      <c r="H21" s="10"/>
      <c r="I21" s="10"/>
      <c r="J21" s="11"/>
      <c r="K21" s="35"/>
      <c r="L21" s="47"/>
      <c r="M21" s="88"/>
      <c r="N21" s="88"/>
      <c r="O21" s="88"/>
      <c r="P21" s="88"/>
      <c r="Q21" s="88"/>
      <c r="R21" s="88"/>
      <c r="S21" s="88"/>
      <c r="T21" s="88"/>
    </row>
    <row r="22" spans="1:20" ht="15.6">
      <c r="A22" s="24" t="str">
        <v>MA: Boston - Seaport Solar</v>
      </c>
      <c r="B22" s="25" t="str">
        <v>MA</v>
      </c>
      <c r="C22" s="25" t="str">
        <f>Sites[[#This Row],[SOL'#]]</f>
        <v>SOL-10772</v>
      </c>
      <c r="D22" s="7"/>
      <c r="E22" s="12"/>
      <c r="F22" s="12"/>
      <c r="G22" s="13"/>
      <c r="H22" s="14"/>
      <c r="I22" s="14"/>
      <c r="J22" s="13"/>
      <c r="K22" s="44"/>
      <c r="L22" s="46"/>
      <c r="M22" s="88"/>
      <c r="N22" s="88"/>
      <c r="O22" s="88"/>
      <c r="P22" s="88"/>
      <c r="Q22" s="88"/>
      <c r="R22" s="88"/>
      <c r="S22" s="88"/>
      <c r="T22" s="88"/>
    </row>
    <row r="23" spans="1:20" ht="15.6">
      <c r="A23" s="22" t="str">
        <v>MA: Dedham - Sprague Street</v>
      </c>
      <c r="B23" s="23" t="str">
        <v>MA</v>
      </c>
      <c r="C23" s="23" t="str">
        <f>Sites[[#This Row],[SOL'#]]</f>
        <v>SOL-10773</v>
      </c>
      <c r="D23" s="18"/>
      <c r="E23" s="8"/>
      <c r="F23" s="8"/>
      <c r="G23" s="9"/>
      <c r="H23" s="10"/>
      <c r="I23" s="10"/>
      <c r="J23" s="11"/>
      <c r="K23" s="35"/>
      <c r="L23" s="47"/>
      <c r="M23" s="88"/>
      <c r="N23" s="88"/>
      <c r="O23" s="88"/>
      <c r="P23" s="88"/>
      <c r="Q23" s="88"/>
      <c r="R23" s="88"/>
      <c r="S23" s="88"/>
      <c r="T23" s="88"/>
    </row>
    <row r="24" spans="1:20" ht="15.6">
      <c r="A24" s="24" t="str">
        <v>MA: Boston - Summer Street</v>
      </c>
      <c r="B24" s="25" t="str">
        <v>MA</v>
      </c>
      <c r="C24" s="25" t="str">
        <f>Sites[[#This Row],[SOL'#]]</f>
        <v>SOL-10764</v>
      </c>
      <c r="D24" s="7"/>
      <c r="E24" s="12"/>
      <c r="F24" s="12"/>
      <c r="G24" s="13"/>
      <c r="H24" s="14"/>
      <c r="I24" s="14"/>
      <c r="J24" s="13"/>
      <c r="K24" s="44"/>
      <c r="L24" s="45"/>
      <c r="M24" s="88"/>
      <c r="N24" s="88"/>
      <c r="O24" s="88"/>
      <c r="P24" s="88"/>
      <c r="Q24" s="88"/>
      <c r="R24" s="88"/>
      <c r="S24" s="88"/>
      <c r="T24" s="88"/>
    </row>
    <row r="25" spans="1:20" ht="15.6">
      <c r="A25" s="22" t="str">
        <v>MA: Leominster - Spectro Coatings</v>
      </c>
      <c r="B25" s="23" t="str">
        <v>MA</v>
      </c>
      <c r="C25" s="23" t="str">
        <f>Sites[[#This Row],[SOL'#]]</f>
        <v>SOL-10074</v>
      </c>
      <c r="D25" s="18"/>
      <c r="E25" s="8"/>
      <c r="F25" s="8"/>
      <c r="G25" s="9"/>
      <c r="H25" s="10"/>
      <c r="I25" s="10"/>
      <c r="J25" s="11"/>
      <c r="K25" s="35"/>
      <c r="L25" s="47"/>
      <c r="M25" s="88"/>
      <c r="N25" s="88"/>
      <c r="O25" s="88"/>
      <c r="P25" s="88"/>
      <c r="Q25" s="88"/>
      <c r="R25" s="88"/>
      <c r="S25" s="88"/>
      <c r="T25" s="88"/>
    </row>
    <row r="26" spans="1:20" ht="15.6">
      <c r="A26" s="24" t="str">
        <v>MA: Braintree - RCAB</v>
      </c>
      <c r="B26" s="25" t="str">
        <v>MA</v>
      </c>
      <c r="C26" s="25" t="str">
        <f>Sites[[#This Row],[SOL'#]]</f>
        <v>SOL-10838</v>
      </c>
      <c r="D26" s="7"/>
      <c r="E26" s="12"/>
      <c r="F26" s="12"/>
      <c r="G26" s="13"/>
      <c r="H26" s="14"/>
      <c r="I26" s="14"/>
      <c r="J26" s="13"/>
      <c r="K26" s="44"/>
      <c r="L26" s="46"/>
      <c r="M26" s="88"/>
      <c r="N26" s="88"/>
      <c r="O26" s="88"/>
      <c r="P26" s="88"/>
      <c r="Q26" s="88"/>
      <c r="R26" s="88"/>
      <c r="S26" s="88"/>
      <c r="T26" s="88"/>
    </row>
    <row r="27" spans="1:20" ht="15.6">
      <c r="A27" s="22" t="str">
        <v>NH: Rochester - Portland Street</v>
      </c>
      <c r="B27" s="23" t="str">
        <v>NH</v>
      </c>
      <c r="C27" s="23" t="str">
        <f>Sites[[#This Row],[SOL'#]]</f>
        <v>SOL-10771</v>
      </c>
      <c r="D27" s="18"/>
      <c r="E27" s="8"/>
      <c r="F27" s="8"/>
      <c r="G27" s="9"/>
      <c r="H27" s="10"/>
      <c r="I27" s="10"/>
      <c r="J27" s="11"/>
      <c r="K27" s="35"/>
      <c r="L27" s="47"/>
      <c r="M27" s="88"/>
      <c r="N27" s="88"/>
      <c r="O27" s="88"/>
      <c r="P27" s="88"/>
      <c r="Q27" s="88"/>
      <c r="R27" s="88"/>
      <c r="S27" s="88"/>
      <c r="T27" s="88"/>
    </row>
    <row r="28" spans="1:20" ht="15.6">
      <c r="A28" s="24" t="str">
        <v>NH: Portsmouth - Portsmouth HS</v>
      </c>
      <c r="B28" s="25" t="str">
        <v>NH</v>
      </c>
      <c r="C28" s="25" t="str">
        <f>Sites[[#This Row],[SOL'#]]</f>
        <v>SOL-10769</v>
      </c>
      <c r="D28" s="7"/>
      <c r="E28" s="12"/>
      <c r="F28" s="12"/>
      <c r="G28" s="13"/>
      <c r="H28" s="14"/>
      <c r="I28" s="14"/>
      <c r="J28" s="13"/>
      <c r="K28" s="44"/>
      <c r="L28" s="46"/>
      <c r="M28" s="88"/>
      <c r="N28" s="88"/>
      <c r="O28" s="88"/>
      <c r="P28" s="88"/>
      <c r="Q28" s="88"/>
      <c r="R28" s="88"/>
      <c r="S28" s="88"/>
      <c r="T28" s="88"/>
    </row>
    <row r="29" spans="1:20" ht="15.6">
      <c r="A29" s="22" t="str">
        <v>NH: Portsmouth - Portsmouth WTP</v>
      </c>
      <c r="B29" s="23" t="str">
        <v>NH</v>
      </c>
      <c r="C29" s="23" t="str">
        <f>Sites[[#This Row],[SOL'#]]</f>
        <v>SOL-10770</v>
      </c>
      <c r="D29" s="18"/>
      <c r="E29" s="8"/>
      <c r="F29" s="8"/>
      <c r="G29" s="9"/>
      <c r="H29" s="10"/>
      <c r="I29" s="10"/>
      <c r="J29" s="11"/>
      <c r="K29" s="35"/>
      <c r="L29" s="47"/>
      <c r="M29" s="88"/>
      <c r="N29" s="88"/>
      <c r="O29" s="88"/>
      <c r="P29" s="88"/>
      <c r="Q29" s="88"/>
      <c r="R29" s="88"/>
      <c r="S29" s="88"/>
      <c r="T29" s="88"/>
    </row>
    <row r="30" spans="1:20" ht="15.6">
      <c r="A30" s="24" t="str">
        <v>NH: Rochester - Rochester MS</v>
      </c>
      <c r="B30" s="25" t="str">
        <v>NH</v>
      </c>
      <c r="C30" s="25" t="str">
        <f>Sites[[#This Row],[SOL'#]]</f>
        <v>SOL-10765</v>
      </c>
      <c r="D30" s="7"/>
      <c r="E30" s="12"/>
      <c r="F30" s="12"/>
      <c r="G30" s="13"/>
      <c r="H30" s="14"/>
      <c r="I30" s="14"/>
      <c r="J30" s="13"/>
      <c r="K30" s="44"/>
      <c r="L30" s="45"/>
      <c r="M30" s="88"/>
      <c r="N30" s="88"/>
      <c r="O30" s="88"/>
      <c r="P30" s="88"/>
      <c r="Q30" s="88"/>
      <c r="R30" s="88"/>
      <c r="S30" s="88"/>
      <c r="T30" s="88"/>
    </row>
    <row r="31" spans="1:20" ht="15.6">
      <c r="A31" s="22" t="str">
        <v>NH Rochester - Spaulding HS</v>
      </c>
      <c r="B31" s="23" t="str">
        <v>NH</v>
      </c>
      <c r="C31" s="23" t="str">
        <f>Sites[[#This Row],[SOL'#]]</f>
        <v>SOL-10767</v>
      </c>
      <c r="D31" s="18"/>
      <c r="E31" s="8"/>
      <c r="F31" s="8"/>
      <c r="G31" s="9"/>
      <c r="H31" s="10"/>
      <c r="I31" s="10"/>
      <c r="J31" s="11"/>
      <c r="K31" s="35"/>
      <c r="L31" s="47"/>
      <c r="M31" s="88"/>
      <c r="N31" s="88"/>
      <c r="O31" s="88"/>
      <c r="P31" s="88"/>
      <c r="Q31" s="88"/>
      <c r="R31" s="88"/>
      <c r="S31" s="88"/>
      <c r="T31" s="88"/>
    </row>
    <row r="32" spans="1:20" ht="15.6">
      <c r="A32" s="24" t="str">
        <v>NH: Rochester - McClelland ES</v>
      </c>
      <c r="B32" s="25" t="str">
        <v>NH</v>
      </c>
      <c r="C32" s="25" t="str">
        <f>Sites[[#This Row],[SOL'#]]</f>
        <v>SOL-10766</v>
      </c>
      <c r="D32" s="7"/>
      <c r="E32" s="12"/>
      <c r="F32" s="12"/>
      <c r="G32" s="13"/>
      <c r="H32" s="14"/>
      <c r="I32" s="14"/>
      <c r="J32" s="13"/>
      <c r="K32" s="44"/>
      <c r="L32" s="85"/>
      <c r="M32" s="88"/>
      <c r="N32" s="88"/>
      <c r="O32" s="88"/>
      <c r="P32" s="88"/>
      <c r="Q32" s="88"/>
      <c r="R32" s="88"/>
      <c r="S32" s="88"/>
      <c r="T32" s="88"/>
    </row>
    <row r="33" spans="1:20" ht="15.6">
      <c r="A33" s="22" t="str">
        <v>NH: Rochester - Brock St Vocational</v>
      </c>
      <c r="B33" s="23" t="str">
        <v>NH</v>
      </c>
      <c r="C33" s="23" t="str">
        <f>Sites[[#This Row],[SOL'#]]</f>
        <v>SOL-10768</v>
      </c>
      <c r="D33" s="18"/>
      <c r="E33" s="8"/>
      <c r="F33" s="8"/>
      <c r="G33" s="9"/>
      <c r="H33" s="10"/>
      <c r="I33" s="10"/>
      <c r="J33" s="11"/>
      <c r="K33" s="35"/>
      <c r="L33" s="47"/>
      <c r="M33" s="88"/>
      <c r="N33" s="88"/>
      <c r="O33" s="88"/>
      <c r="P33" s="88"/>
      <c r="Q33" s="88"/>
      <c r="R33" s="88"/>
      <c r="S33" s="88"/>
      <c r="T33" s="88"/>
    </row>
    <row r="34" spans="1:20" ht="15.6">
      <c r="A34" s="24" t="str">
        <v>OH: Cleveland - CV Kinsman</v>
      </c>
      <c r="B34" s="25" t="str">
        <v>OH</v>
      </c>
      <c r="C34" s="25" t="str">
        <f>Sites[[#This Row],[SOL'#]]</f>
        <v>SOL-10762</v>
      </c>
      <c r="D34" s="7"/>
      <c r="E34" s="12"/>
      <c r="F34" s="12"/>
      <c r="G34" s="13"/>
      <c r="H34" s="14"/>
      <c r="I34" s="14"/>
      <c r="J34" s="13"/>
      <c r="K34" s="44"/>
      <c r="L34" s="46"/>
      <c r="M34" s="88"/>
      <c r="N34" s="88"/>
      <c r="O34" s="88"/>
      <c r="P34" s="88"/>
      <c r="Q34" s="88"/>
      <c r="R34" s="88"/>
      <c r="S34" s="88"/>
      <c r="T34" s="88"/>
    </row>
    <row r="35" spans="1:20" ht="15.6">
      <c r="A35" s="22" t="str">
        <v>OH: Cleveland - CV Wooster</v>
      </c>
      <c r="B35" s="23" t="str">
        <v>OH</v>
      </c>
      <c r="C35" s="23" t="str">
        <f>Sites[[#This Row],[SOL'#]]</f>
        <v>SOL-10763</v>
      </c>
      <c r="D35" s="18"/>
      <c r="E35" s="8"/>
      <c r="F35" s="8"/>
      <c r="G35" s="9"/>
      <c r="H35" s="10"/>
      <c r="I35" s="10"/>
      <c r="J35" s="11"/>
      <c r="K35" s="35"/>
      <c r="L35" s="84"/>
      <c r="M35" s="87"/>
      <c r="N35" s="88"/>
      <c r="O35" s="88"/>
      <c r="P35" s="88"/>
      <c r="Q35" s="88"/>
      <c r="R35" s="88"/>
      <c r="S35" s="88"/>
      <c r="T35" s="88"/>
    </row>
    <row r="36" spans="1:20" ht="15.6">
      <c r="A36" s="24" t="str">
        <v>PR: Aguadilla - Coca Cola</v>
      </c>
      <c r="B36" s="25" t="str">
        <v>PR</v>
      </c>
      <c r="C36" s="25" t="str">
        <f>Sites[[#This Row],[SOL'#]]</f>
        <v>SOL-10072</v>
      </c>
      <c r="D36" s="7"/>
      <c r="E36" s="12"/>
      <c r="F36" s="12"/>
      <c r="G36" s="13"/>
      <c r="H36" s="14"/>
      <c r="I36" s="14"/>
      <c r="J36" s="13"/>
      <c r="K36" s="44"/>
      <c r="L36" s="45"/>
      <c r="M36" s="88"/>
      <c r="N36" s="88"/>
      <c r="O36" s="88"/>
      <c r="P36" s="88"/>
      <c r="Q36" s="88"/>
      <c r="R36" s="88"/>
      <c r="S36" s="88"/>
      <c r="T36" s="88"/>
    </row>
    <row r="37" spans="1:20" ht="15.6">
      <c r="A37" s="22" t="str">
        <v>PR: Bayamon - Coca Cola</v>
      </c>
      <c r="B37" s="23" t="str">
        <v>PR</v>
      </c>
      <c r="C37" s="23" t="str">
        <f>Sites[[#This Row],[SOL'#]]</f>
        <v>SOL-10073</v>
      </c>
      <c r="D37" s="18"/>
      <c r="E37" s="8"/>
      <c r="F37" s="8"/>
      <c r="G37" s="9"/>
      <c r="H37" s="10"/>
      <c r="I37" s="10"/>
      <c r="J37" s="11"/>
      <c r="K37" s="35"/>
      <c r="L37" s="47"/>
      <c r="M37" s="88"/>
      <c r="N37" s="88"/>
      <c r="O37" s="88"/>
      <c r="P37" s="88"/>
      <c r="Q37" s="88"/>
      <c r="R37" s="88"/>
      <c r="S37" s="88"/>
      <c r="T37" s="88"/>
    </row>
    <row r="38" spans="1:20" ht="15.6">
      <c r="A38" s="24" t="str">
        <v>PR: Carolina - St. Francis</v>
      </c>
      <c r="B38" s="25" t="str">
        <v>PR</v>
      </c>
      <c r="C38" s="25" t="str">
        <f>Sites[[#This Row],[SOL'#]]</f>
        <v>SOL-10034</v>
      </c>
      <c r="D38" s="7"/>
      <c r="E38" s="12"/>
      <c r="F38" s="12"/>
      <c r="G38" s="13"/>
      <c r="H38" s="14"/>
      <c r="I38" s="14"/>
      <c r="J38" s="13"/>
      <c r="K38" s="44"/>
      <c r="L38" s="46"/>
      <c r="M38" s="88"/>
      <c r="N38" s="88"/>
      <c r="O38" s="88"/>
      <c r="P38" s="88"/>
      <c r="Q38" s="88"/>
      <c r="R38" s="88"/>
      <c r="S38" s="88"/>
      <c r="T38" s="88"/>
    </row>
    <row r="39" spans="1:20" ht="15.6">
      <c r="A39" s="22" t="str">
        <v>DC: Chevy Chase -Sinai</v>
      </c>
      <c r="B39" s="23" t="str">
        <v>DC</v>
      </c>
      <c r="C39" s="23" t="str">
        <f>Sites[[#This Row],[SOL'#]]</f>
        <v>SOL-10028</v>
      </c>
      <c r="D39" s="18"/>
      <c r="E39" s="8"/>
      <c r="F39" s="8"/>
      <c r="G39" s="9"/>
      <c r="H39" s="10"/>
      <c r="I39" s="10"/>
      <c r="J39" s="11"/>
      <c r="K39" s="35"/>
      <c r="L39" s="47"/>
      <c r="M39" s="88"/>
      <c r="N39" s="88"/>
      <c r="O39" s="88"/>
      <c r="P39" s="88"/>
      <c r="Q39" s="88"/>
      <c r="R39" s="88"/>
      <c r="S39" s="88"/>
      <c r="T39" s="88"/>
    </row>
    <row r="40" spans="1:20" ht="15.6">
      <c r="A40" s="24" t="str">
        <v>DC: Washington - Weinberg 1</v>
      </c>
      <c r="B40" s="25" t="str">
        <v>DC</v>
      </c>
      <c r="C40" s="25" t="str">
        <f>Sites[[#This Row],[SOL'#]]</f>
        <v>SOL-10039</v>
      </c>
      <c r="D40" s="7"/>
      <c r="E40" s="12"/>
      <c r="F40" s="12"/>
      <c r="G40" s="13"/>
      <c r="H40" s="14"/>
      <c r="I40" s="14"/>
      <c r="J40" s="13"/>
      <c r="K40" s="44"/>
      <c r="L40" s="46"/>
      <c r="M40" s="88"/>
      <c r="N40" s="88"/>
      <c r="O40" s="88"/>
      <c r="P40" s="88"/>
      <c r="Q40" s="88"/>
      <c r="R40" s="88"/>
      <c r="S40" s="88"/>
      <c r="T40" s="88"/>
    </row>
    <row r="41" spans="1:20" ht="15.6">
      <c r="A41" s="22" t="str">
        <v>DC: Washington - Weinberg 2</v>
      </c>
      <c r="B41" s="23" t="str">
        <v>DC</v>
      </c>
      <c r="C41" s="23" t="str">
        <f>Sites[[#This Row],[SOL'#]]</f>
        <v>SOL-10045</v>
      </c>
      <c r="D41" s="18"/>
      <c r="E41" s="8"/>
      <c r="F41" s="8"/>
      <c r="G41" s="9"/>
      <c r="H41" s="10"/>
      <c r="I41" s="10"/>
      <c r="J41" s="11"/>
      <c r="K41" s="35"/>
      <c r="L41" s="47"/>
      <c r="M41" s="88"/>
      <c r="N41" s="88"/>
      <c r="O41" s="88"/>
      <c r="P41" s="88"/>
      <c r="Q41" s="88"/>
      <c r="R41" s="88"/>
      <c r="S41" s="88"/>
      <c r="T41" s="88"/>
    </row>
    <row r="42" spans="1:20" ht="15.6">
      <c r="A42" s="24" t="str">
        <v>DC: Washington - Weinberg 3</v>
      </c>
      <c r="B42" s="25" t="str">
        <v>DC</v>
      </c>
      <c r="C42" s="25" t="str">
        <f>Sites[[#This Row],[SOL'#]]</f>
        <v>SOL-10042</v>
      </c>
      <c r="D42" s="7"/>
      <c r="E42" s="12"/>
      <c r="F42" s="12"/>
      <c r="G42" s="13"/>
      <c r="H42" s="14"/>
      <c r="I42" s="14"/>
      <c r="J42" s="13"/>
      <c r="K42" s="44"/>
      <c r="L42" s="85"/>
      <c r="M42" s="88"/>
      <c r="N42" s="88"/>
      <c r="O42" s="88"/>
      <c r="P42" s="88"/>
      <c r="Q42" s="88"/>
      <c r="R42" s="88"/>
      <c r="S42" s="88"/>
      <c r="T42" s="88"/>
    </row>
  </sheetData>
  <mergeCells count="4">
    <mergeCell ref="E1:G1"/>
    <mergeCell ref="A1:D1"/>
    <mergeCell ref="H1:J1"/>
    <mergeCell ref="A2:B2"/>
  </mergeCells>
  <phoneticPr fontId="38" type="noConversion"/>
  <conditionalFormatting sqref="G2 J2 G4:G42 J4:J42">
    <cfRule type="cellIs" dxfId="38" priority="18" stopIfTrue="1" operator="lessThanOrEqual">
      <formula>-0.1</formula>
    </cfRule>
    <cfRule type="expression" dxfId="37" priority="19">
      <formula>AND(ISNUMBER(G2), G2&gt;=0.1)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42"/>
  <sheetViews>
    <sheetView zoomScale="40" zoomScaleNormal="40" workbookViewId="0">
      <pane xSplit="2" ySplit="3" topLeftCell="C11" activePane="bottomRight" state="frozen"/>
      <selection pane="bottomRight" activeCell="A43" sqref="A43:XFD161"/>
      <selection pane="bottomLeft" activeCell="D4" sqref="D4"/>
      <selection pane="topRight" activeCell="D4" sqref="D4"/>
    </sheetView>
  </sheetViews>
  <sheetFormatPr defaultRowHeight="14.45"/>
  <cols>
    <col min="1" max="1" width="26.7109375" customWidth="1"/>
    <col min="2" max="3" width="22.85546875" style="28" customWidth="1"/>
    <col min="4" max="6" width="22.85546875" customWidth="1"/>
    <col min="7" max="7" width="22.85546875" style="1" customWidth="1"/>
    <col min="8" max="9" width="22.85546875" customWidth="1"/>
    <col min="10" max="10" width="22.85546875" style="1" customWidth="1"/>
    <col min="11" max="11" width="85.28515625" style="42" customWidth="1"/>
    <col min="12" max="12" width="22.85546875" customWidth="1"/>
    <col min="13" max="15" width="22.85546875" style="88" customWidth="1"/>
    <col min="16" max="22" width="22.85546875" customWidth="1"/>
  </cols>
  <sheetData>
    <row r="1" spans="1:13" ht="15.6">
      <c r="A1" s="138" t="str" cm="1">
        <f t="array" ref="A1">portfolio</f>
        <v>GoodFinch</v>
      </c>
      <c r="B1" s="138"/>
      <c r="C1" s="138"/>
      <c r="D1" s="138"/>
      <c r="E1" s="139" t="s">
        <v>23</v>
      </c>
      <c r="F1" s="139"/>
      <c r="G1" s="139"/>
      <c r="H1" s="137" t="s">
        <v>24</v>
      </c>
      <c r="I1" s="137"/>
      <c r="J1" s="137"/>
      <c r="K1" s="38"/>
      <c r="L1" s="2"/>
    </row>
    <row r="2" spans="1:13" ht="15.6">
      <c r="A2" s="140" t="s">
        <v>2</v>
      </c>
      <c r="B2" s="140"/>
      <c r="C2" s="51"/>
      <c r="D2" s="3">
        <f>SUM(D4:D42)</f>
        <v>0</v>
      </c>
      <c r="E2" s="3">
        <f>SUM(E4:E42)</f>
        <v>0</v>
      </c>
      <c r="F2" s="3">
        <f>D2-E2</f>
        <v>0</v>
      </c>
      <c r="G2" s="4">
        <f>IFERROR(F2/E2, 0)</f>
        <v>0</v>
      </c>
      <c r="H2" s="3">
        <f>SUM(H4:H42)</f>
        <v>0</v>
      </c>
      <c r="I2" s="5">
        <f>D2-H2</f>
        <v>0</v>
      </c>
      <c r="J2" s="4">
        <f>IFERROR(I2/H2, 0)</f>
        <v>0</v>
      </c>
      <c r="K2" s="39"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3" ht="15.6">
      <c r="A3" s="6" t="s">
        <v>3</v>
      </c>
      <c r="B3" s="6" t="s">
        <v>4</v>
      </c>
      <c r="C3" s="6" t="s">
        <v>5</v>
      </c>
      <c r="D3" s="17" t="s">
        <v>6</v>
      </c>
      <c r="E3" s="29" t="s">
        <v>7</v>
      </c>
      <c r="F3" s="29" t="s">
        <v>8</v>
      </c>
      <c r="G3" s="30" t="s">
        <v>9</v>
      </c>
      <c r="H3" s="31" t="s">
        <v>10</v>
      </c>
      <c r="I3" s="32" t="s">
        <v>8</v>
      </c>
      <c r="J3" s="33" t="s">
        <v>9</v>
      </c>
      <c r="K3" s="40" t="s">
        <v>21</v>
      </c>
      <c r="L3" s="19" t="s">
        <v>22</v>
      </c>
    </row>
    <row r="4" spans="1:13" ht="15.6">
      <c r="A4" s="24" t="str" cm="1">
        <f t="array" ref="A4:A42">Sites[Site]</f>
        <v>AZ: Tempe - ASU - Farmer</v>
      </c>
      <c r="B4" s="25" t="str" cm="1">
        <f t="array" ref="B4:B42">Sites[State]</f>
        <v>AZ</v>
      </c>
      <c r="C4" s="25" t="str">
        <f>Sites[[#This Row],[SOL'#]]</f>
        <v>SOL-10748</v>
      </c>
      <c r="D4" s="7"/>
      <c r="E4" s="12"/>
      <c r="F4" s="12"/>
      <c r="G4" s="13"/>
      <c r="H4" s="14"/>
      <c r="I4" s="14"/>
      <c r="J4" s="13"/>
      <c r="K4" s="36"/>
      <c r="L4" s="110"/>
    </row>
    <row r="5" spans="1:13" ht="15.6">
      <c r="A5" s="22" t="str">
        <v>AZ: Tempe - ASU - Fulton</v>
      </c>
      <c r="B5" s="23" t="str">
        <v>AZ</v>
      </c>
      <c r="C5" s="23" t="str">
        <f>Sites[[#This Row],[SOL'#]]</f>
        <v>SOL-10749</v>
      </c>
      <c r="D5" s="18"/>
      <c r="E5" s="8"/>
      <c r="F5" s="8"/>
      <c r="G5" s="9"/>
      <c r="H5" s="10"/>
      <c r="I5" s="10"/>
      <c r="J5" s="11"/>
      <c r="K5" s="41"/>
      <c r="L5" s="43"/>
    </row>
    <row r="6" spans="1:13" ht="15.6">
      <c r="A6" s="24" t="str">
        <v>AZ: Superior - JFK Elementary</v>
      </c>
      <c r="B6" s="25" t="str">
        <v>AZ</v>
      </c>
      <c r="C6" s="25" t="str">
        <f>Sites[[#This Row],[SOL'#]]</f>
        <v>SOL-10758</v>
      </c>
      <c r="D6" s="7"/>
      <c r="E6" s="12"/>
      <c r="F6" s="12"/>
      <c r="G6" s="13"/>
      <c r="H6" s="14"/>
      <c r="I6" s="14"/>
      <c r="J6" s="13"/>
      <c r="K6" s="44"/>
      <c r="L6" s="110"/>
    </row>
    <row r="7" spans="1:13" ht="73.5" customHeight="1">
      <c r="A7" s="22" t="str">
        <v>AZ: Tempe - ASU - Noble</v>
      </c>
      <c r="B7" s="23" t="str">
        <v>AZ</v>
      </c>
      <c r="C7" s="23" t="str">
        <f>Sites[[#This Row],[SOL'#]]</f>
        <v>SOL-10750</v>
      </c>
      <c r="D7" s="18"/>
      <c r="E7" s="8"/>
      <c r="F7" s="8"/>
      <c r="G7" s="9"/>
      <c r="H7" s="10"/>
      <c r="I7" s="10"/>
      <c r="J7" s="11"/>
      <c r="K7" s="41"/>
      <c r="L7" s="94"/>
    </row>
    <row r="8" spans="1:13" ht="15.6">
      <c r="A8" s="24" t="str">
        <v>AZ: Tempe - ASU - Parking #3</v>
      </c>
      <c r="B8" s="25" t="str">
        <v>AZ</v>
      </c>
      <c r="C8" s="25" t="str">
        <f>Sites[[#This Row],[SOL'#]]</f>
        <v>SOL-10751</v>
      </c>
      <c r="D8" s="7"/>
      <c r="E8" s="12"/>
      <c r="F8" s="12"/>
      <c r="G8" s="13"/>
      <c r="H8" s="14"/>
      <c r="I8" s="14"/>
      <c r="J8" s="13"/>
      <c r="K8" s="108"/>
      <c r="L8" s="97"/>
    </row>
    <row r="9" spans="1:13" ht="15.6">
      <c r="A9" s="22" t="str">
        <v>AZ: Tempe - ASU - PE East</v>
      </c>
      <c r="B9" s="23" t="str">
        <v>AZ</v>
      </c>
      <c r="C9" s="23" t="str">
        <f>Sites[[#This Row],[SOL'#]]</f>
        <v>SOL-10752</v>
      </c>
      <c r="D9" s="18"/>
      <c r="E9" s="8"/>
      <c r="F9" s="8"/>
      <c r="G9" s="9"/>
      <c r="H9" s="10"/>
      <c r="I9" s="10"/>
      <c r="J9" s="11"/>
      <c r="K9" s="41"/>
      <c r="L9" s="43"/>
    </row>
    <row r="10" spans="1:13" ht="15.6">
      <c r="A10" s="24" t="str">
        <v>AZ: Tempe - ASU - Schwada</v>
      </c>
      <c r="B10" s="25" t="str">
        <v>AZ</v>
      </c>
      <c r="C10" s="25" t="str">
        <f>Sites[[#This Row],[SOL'#]]</f>
        <v>SOL-10753</v>
      </c>
      <c r="D10" s="7"/>
      <c r="E10" s="12"/>
      <c r="F10" s="12"/>
      <c r="G10" s="13"/>
      <c r="H10" s="14"/>
      <c r="I10" s="14"/>
      <c r="J10" s="13"/>
      <c r="K10" s="108"/>
      <c r="L10" s="110"/>
    </row>
    <row r="11" spans="1:13" ht="15.6">
      <c r="A11" s="22" t="str">
        <v>AZ: Phoenix - Starshine Academy</v>
      </c>
      <c r="B11" s="23" t="str">
        <v>AZ</v>
      </c>
      <c r="C11" s="23" t="str">
        <f>Sites[[#This Row],[SOL'#]]</f>
        <v>SOL-10757</v>
      </c>
      <c r="D11" s="18"/>
      <c r="E11" s="8"/>
      <c r="F11" s="8"/>
      <c r="G11" s="9"/>
      <c r="H11" s="10"/>
      <c r="I11" s="10"/>
      <c r="J11" s="11"/>
      <c r="K11" s="41"/>
      <c r="L11" s="43"/>
    </row>
    <row r="12" spans="1:13" ht="15.6">
      <c r="A12" s="24" t="str">
        <v>AZ: Yuma Airport</v>
      </c>
      <c r="B12" s="25" t="str">
        <v>AZ</v>
      </c>
      <c r="C12" s="25" t="str">
        <f>Sites[[#This Row],[SOL'#]]</f>
        <v>SOL-10754</v>
      </c>
      <c r="D12" s="7"/>
      <c r="E12" s="12"/>
      <c r="F12" s="12"/>
      <c r="G12" s="13"/>
      <c r="H12" s="14"/>
      <c r="I12" s="14"/>
      <c r="J12" s="13"/>
      <c r="K12" s="83"/>
      <c r="L12" s="98"/>
    </row>
    <row r="13" spans="1:13" ht="15.6">
      <c r="A13" s="22" t="str">
        <v>AZ: Globe - Gila CC</v>
      </c>
      <c r="B13" s="23" t="str">
        <v>AZ</v>
      </c>
      <c r="C13" s="23" t="str">
        <f>Sites[[#This Row],[SOL'#]]</f>
        <v>SOL-10751</v>
      </c>
      <c r="D13" s="18"/>
      <c r="E13" s="8"/>
      <c r="F13" s="8"/>
      <c r="G13" s="9"/>
      <c r="H13" s="10"/>
      <c r="I13" s="10"/>
      <c r="J13" s="11"/>
      <c r="K13" s="41"/>
      <c r="L13" s="43"/>
    </row>
    <row r="14" spans="1:13" ht="52.5" customHeight="1">
      <c r="A14" s="24" t="str">
        <v>AZ: Payson - Gila CC</v>
      </c>
      <c r="B14" s="25" t="str">
        <v>AZ</v>
      </c>
      <c r="C14" s="25" t="str">
        <f>Sites[[#This Row],[SOL'#]]</f>
        <v>SOL-10748</v>
      </c>
      <c r="D14" s="7"/>
      <c r="E14" s="12"/>
      <c r="F14" s="12"/>
      <c r="G14" s="13"/>
      <c r="H14" s="14"/>
      <c r="I14" s="14"/>
      <c r="J14" s="13"/>
      <c r="K14" s="44"/>
      <c r="L14" s="95"/>
      <c r="M14" s="87"/>
    </row>
    <row r="15" spans="1:13" ht="15.6">
      <c r="A15" s="22" t="str">
        <v>AZ: Mesa - Sequoia Charter School</v>
      </c>
      <c r="B15" s="23" t="str">
        <v>AZ</v>
      </c>
      <c r="C15" s="23" t="str">
        <f>Sites[[#This Row],[SOL'#]]</f>
        <v>SOL-10759</v>
      </c>
      <c r="D15" s="18"/>
      <c r="E15" s="8"/>
      <c r="F15" s="8"/>
      <c r="G15" s="9"/>
      <c r="H15" s="10"/>
      <c r="I15" s="10"/>
      <c r="J15" s="11"/>
      <c r="K15" s="41"/>
      <c r="L15" s="43"/>
    </row>
    <row r="16" spans="1:13" ht="15.6">
      <c r="A16" s="24" t="str">
        <v>AZ: Tempe - SCNM</v>
      </c>
      <c r="B16" s="25" t="str">
        <v>AZ</v>
      </c>
      <c r="C16" s="25" t="str">
        <f>Sites[[#This Row],[SOL'#]]</f>
        <v>SOL-10760</v>
      </c>
      <c r="D16" s="7"/>
      <c r="E16" s="12"/>
      <c r="F16" s="12"/>
      <c r="G16" s="13"/>
      <c r="H16" s="14"/>
      <c r="I16" s="14"/>
      <c r="J16" s="13"/>
      <c r="K16" s="89"/>
      <c r="L16" s="110"/>
    </row>
    <row r="17" spans="1:19" ht="15.6">
      <c r="A17" s="22" t="str">
        <v>DE: Newark - Clayton Hall</v>
      </c>
      <c r="B17" s="23" t="str">
        <v>DE</v>
      </c>
      <c r="C17" s="23" t="str">
        <f>Sites[[#This Row],[SOL'#]]</f>
        <v>SOL-10820</v>
      </c>
      <c r="D17" s="18"/>
      <c r="E17" s="8"/>
      <c r="F17" s="8"/>
      <c r="G17" s="9"/>
      <c r="H17" s="10"/>
      <c r="I17" s="10"/>
      <c r="J17" s="11"/>
      <c r="K17" s="41"/>
      <c r="L17" s="43"/>
    </row>
    <row r="18" spans="1:19" ht="15.6">
      <c r="A18" s="24" t="str">
        <v>DE: Newark - UOD Field House</v>
      </c>
      <c r="B18" s="25" t="str">
        <v>DE</v>
      </c>
      <c r="C18" s="25" t="str">
        <f>Sites[[#This Row],[SOL'#]]</f>
        <v>SOL-10821</v>
      </c>
      <c r="D18" s="7"/>
      <c r="E18" s="12"/>
      <c r="F18" s="12"/>
      <c r="G18" s="13"/>
      <c r="H18" s="14"/>
      <c r="I18" s="14"/>
      <c r="J18" s="13"/>
      <c r="K18" s="108"/>
      <c r="L18" s="110"/>
    </row>
    <row r="19" spans="1:19" ht="15.6">
      <c r="A19" s="22" t="str">
        <v>DE: Newark - UOD 461 Wyoming</v>
      </c>
      <c r="B19" s="23" t="str">
        <v>DE</v>
      </c>
      <c r="C19" s="23" t="str">
        <f>Sites[[#This Row],[SOL'#]]</f>
        <v>SOL-10819</v>
      </c>
      <c r="D19" s="18"/>
      <c r="E19" s="8"/>
      <c r="F19" s="8"/>
      <c r="G19" s="9"/>
      <c r="H19" s="10"/>
      <c r="I19" s="10"/>
      <c r="J19" s="11"/>
      <c r="K19" s="41"/>
      <c r="L19" s="43"/>
      <c r="P19" s="22"/>
      <c r="Q19" s="23"/>
      <c r="R19" s="23"/>
      <c r="S19" s="18"/>
    </row>
    <row r="20" spans="1:19" ht="66.75" customHeight="1">
      <c r="A20" s="24" t="str">
        <v>MD: Presston - Bird-in-Hand</v>
      </c>
      <c r="B20" s="25" t="str">
        <v>MD</v>
      </c>
      <c r="C20" s="25" t="str">
        <f>Sites[[#This Row],[SOL'#]]</f>
        <v>SOL-10092</v>
      </c>
      <c r="D20" s="7"/>
      <c r="E20" s="12"/>
      <c r="F20" s="12"/>
      <c r="G20" s="13"/>
      <c r="H20" s="14"/>
      <c r="I20" s="14"/>
      <c r="J20" s="13"/>
      <c r="K20" s="67"/>
      <c r="L20" s="95"/>
    </row>
    <row r="21" spans="1:19" ht="15.6">
      <c r="A21" s="22" t="str">
        <v>MD: Easton - Shortall</v>
      </c>
      <c r="B21" s="23" t="str">
        <v>MD</v>
      </c>
      <c r="C21" s="23" t="str">
        <f>Sites[[#This Row],[SOL'#]]</f>
        <v>SOL-10091</v>
      </c>
      <c r="D21" s="18"/>
      <c r="E21" s="8"/>
      <c r="F21" s="8"/>
      <c r="G21" s="9"/>
      <c r="H21" s="10"/>
      <c r="I21" s="10"/>
      <c r="J21" s="11"/>
      <c r="K21" s="41"/>
      <c r="L21" s="43"/>
    </row>
    <row r="22" spans="1:19" ht="15.6">
      <c r="A22" s="24" t="str">
        <v>MA: Boston - Seaport Solar</v>
      </c>
      <c r="B22" s="25" t="str">
        <v>MA</v>
      </c>
      <c r="C22" s="25" t="str">
        <f>Sites[[#This Row],[SOL'#]]</f>
        <v>SOL-10772</v>
      </c>
      <c r="D22" s="7"/>
      <c r="E22" s="12"/>
      <c r="F22" s="12"/>
      <c r="G22" s="13"/>
      <c r="H22" s="14"/>
      <c r="I22" s="14"/>
      <c r="J22" s="13"/>
      <c r="K22" s="36"/>
      <c r="L22" s="110"/>
    </row>
    <row r="23" spans="1:19" ht="15.6">
      <c r="A23" s="22" t="str">
        <v>MA: Dedham - Sprague Street</v>
      </c>
      <c r="B23" s="23" t="str">
        <v>MA</v>
      </c>
      <c r="C23" s="23" t="str">
        <f>Sites[[#This Row],[SOL'#]]</f>
        <v>SOL-10773</v>
      </c>
      <c r="D23" s="18"/>
      <c r="E23" s="8"/>
      <c r="F23" s="8"/>
      <c r="G23" s="9"/>
      <c r="H23" s="10"/>
      <c r="I23" s="10"/>
      <c r="J23" s="11"/>
      <c r="K23" s="41"/>
      <c r="L23" s="43"/>
    </row>
    <row r="24" spans="1:19" ht="15.6">
      <c r="A24" s="24" t="str">
        <v>MA: Boston - Summer Street</v>
      </c>
      <c r="B24" s="25" t="str">
        <v>MA</v>
      </c>
      <c r="C24" s="25" t="str">
        <f>Sites[[#This Row],[SOL'#]]</f>
        <v>SOL-10764</v>
      </c>
      <c r="D24" s="7"/>
      <c r="E24" s="12"/>
      <c r="F24" s="12"/>
      <c r="G24" s="13"/>
      <c r="H24" s="14"/>
      <c r="I24" s="14"/>
      <c r="J24" s="13"/>
      <c r="K24" s="108"/>
      <c r="L24" s="110"/>
    </row>
    <row r="25" spans="1:19" ht="15.6">
      <c r="A25" s="22" t="str">
        <v>MA: Leominster - Spectro Coatings</v>
      </c>
      <c r="B25" s="23" t="str">
        <v>MA</v>
      </c>
      <c r="C25" s="23" t="str">
        <f>Sites[[#This Row],[SOL'#]]</f>
        <v>SOL-10074</v>
      </c>
      <c r="D25" s="18"/>
      <c r="E25" s="8"/>
      <c r="F25" s="8"/>
      <c r="G25" s="9"/>
      <c r="H25" s="10"/>
      <c r="I25" s="10"/>
      <c r="J25" s="11"/>
      <c r="K25" s="41"/>
      <c r="L25" s="43"/>
    </row>
    <row r="26" spans="1:19" ht="15.6">
      <c r="A26" s="24" t="str">
        <v>MA: Braintree - RCAB</v>
      </c>
      <c r="B26" s="25" t="str">
        <v>MA</v>
      </c>
      <c r="C26" s="25" t="str">
        <f>Sites[[#This Row],[SOL'#]]</f>
        <v>SOL-10838</v>
      </c>
      <c r="D26" s="7"/>
      <c r="E26" s="12"/>
      <c r="F26" s="12"/>
      <c r="G26" s="13"/>
      <c r="H26" s="14"/>
      <c r="I26" s="14"/>
      <c r="J26" s="13"/>
      <c r="K26" s="108"/>
      <c r="L26" s="110"/>
    </row>
    <row r="27" spans="1:19" ht="15.6">
      <c r="A27" s="22" t="str">
        <v>NH: Rochester - Portland Street</v>
      </c>
      <c r="B27" s="23" t="str">
        <v>NH</v>
      </c>
      <c r="C27" s="23" t="str">
        <f>Sites[[#This Row],[SOL'#]]</f>
        <v>SOL-10771</v>
      </c>
      <c r="D27" s="18"/>
      <c r="E27" s="8"/>
      <c r="F27" s="8"/>
      <c r="G27" s="9"/>
      <c r="H27" s="10"/>
      <c r="I27" s="10"/>
      <c r="J27" s="11"/>
      <c r="K27" s="41"/>
      <c r="L27" s="43"/>
    </row>
    <row r="28" spans="1:19" ht="15.6">
      <c r="A28" s="24" t="str">
        <v>NH: Portsmouth - Portsmouth HS</v>
      </c>
      <c r="B28" s="25" t="str">
        <v>NH</v>
      </c>
      <c r="C28" s="25" t="str">
        <f>Sites[[#This Row],[SOL'#]]</f>
        <v>SOL-10769</v>
      </c>
      <c r="D28" s="7"/>
      <c r="E28" s="12"/>
      <c r="F28" s="12"/>
      <c r="G28" s="13"/>
      <c r="H28" s="14"/>
      <c r="I28" s="14"/>
      <c r="J28" s="13"/>
      <c r="K28" s="70"/>
      <c r="L28" s="95"/>
      <c r="M28" s="87"/>
    </row>
    <row r="29" spans="1:19" ht="15.6">
      <c r="A29" s="22" t="str">
        <v>NH: Portsmouth - Portsmouth WTP</v>
      </c>
      <c r="B29" s="23" t="str">
        <v>NH</v>
      </c>
      <c r="C29" s="23" t="str">
        <f>Sites[[#This Row],[SOL'#]]</f>
        <v>SOL-10770</v>
      </c>
      <c r="D29" s="18"/>
      <c r="E29" s="8"/>
      <c r="F29" s="8"/>
      <c r="G29" s="9"/>
      <c r="H29" s="10"/>
      <c r="I29" s="10"/>
      <c r="J29" s="11"/>
      <c r="K29" s="41"/>
      <c r="L29" s="43"/>
    </row>
    <row r="30" spans="1:19" ht="15.6">
      <c r="A30" s="24" t="str">
        <v>NH: Rochester - Rochester MS</v>
      </c>
      <c r="B30" s="25" t="str">
        <v>NH</v>
      </c>
      <c r="C30" s="25" t="str">
        <f>Sites[[#This Row],[SOL'#]]</f>
        <v>SOL-10765</v>
      </c>
      <c r="D30" s="7"/>
      <c r="E30" s="12"/>
      <c r="F30" s="12"/>
      <c r="G30" s="13"/>
      <c r="H30" s="14"/>
      <c r="I30" s="14"/>
      <c r="J30" s="13"/>
      <c r="K30" s="108"/>
      <c r="L30" s="110"/>
    </row>
    <row r="31" spans="1:19" ht="15.6">
      <c r="A31" s="22" t="str">
        <v>NH Rochester - Spaulding HS</v>
      </c>
      <c r="B31" s="23" t="str">
        <v>NH</v>
      </c>
      <c r="C31" s="23" t="str">
        <f>Sites[[#This Row],[SOL'#]]</f>
        <v>SOL-10767</v>
      </c>
      <c r="D31" s="18"/>
      <c r="E31" s="8"/>
      <c r="F31" s="8"/>
      <c r="G31" s="9"/>
      <c r="H31" s="10"/>
      <c r="I31" s="10"/>
      <c r="J31" s="11"/>
      <c r="K31" s="41"/>
      <c r="L31" s="43"/>
    </row>
    <row r="32" spans="1:19" ht="15.6">
      <c r="A32" s="24" t="str">
        <v>NH: Rochester - McClelland ES</v>
      </c>
      <c r="B32" s="25" t="str">
        <v>NH</v>
      </c>
      <c r="C32" s="25" t="str">
        <f>Sites[[#This Row],[SOL'#]]</f>
        <v>SOL-10766</v>
      </c>
      <c r="D32" s="7"/>
      <c r="E32" s="12"/>
      <c r="F32" s="12"/>
      <c r="G32" s="13"/>
      <c r="H32" s="14"/>
      <c r="I32" s="14"/>
      <c r="J32" s="13"/>
      <c r="K32" s="108"/>
      <c r="L32" s="108"/>
    </row>
    <row r="33" spans="1:12" ht="15.6">
      <c r="A33" s="22" t="str">
        <v>NH: Rochester - Brock St Vocational</v>
      </c>
      <c r="B33" s="23" t="str">
        <v>NH</v>
      </c>
      <c r="C33" s="23" t="str">
        <f>Sites[[#This Row],[SOL'#]]</f>
        <v>SOL-10768</v>
      </c>
      <c r="D33" s="18"/>
      <c r="E33" s="8"/>
      <c r="F33" s="8"/>
      <c r="G33" s="9"/>
      <c r="H33" s="10"/>
      <c r="I33" s="10"/>
      <c r="J33" s="11"/>
      <c r="K33" s="41"/>
      <c r="L33" s="43"/>
    </row>
    <row r="34" spans="1:12" ht="15.6">
      <c r="A34" s="24" t="str">
        <v>OH: Cleveland - CV Kinsman</v>
      </c>
      <c r="B34" s="25" t="str">
        <v>OH</v>
      </c>
      <c r="C34" s="25" t="str">
        <f>Sites[[#This Row],[SOL'#]]</f>
        <v>SOL-10762</v>
      </c>
      <c r="D34" s="7"/>
      <c r="E34" s="12"/>
      <c r="F34" s="12"/>
      <c r="G34" s="13"/>
      <c r="H34" s="14"/>
      <c r="I34" s="14"/>
      <c r="J34" s="13"/>
      <c r="K34" s="108"/>
      <c r="L34" s="110"/>
    </row>
    <row r="35" spans="1:12" ht="15.6">
      <c r="A35" s="22" t="str">
        <v>OH: Cleveland - CV Wooster</v>
      </c>
      <c r="B35" s="23" t="str">
        <v>OH</v>
      </c>
      <c r="C35" s="23" t="str">
        <f>Sites[[#This Row],[SOL'#]]</f>
        <v>SOL-10763</v>
      </c>
      <c r="D35" s="18"/>
      <c r="E35" s="8"/>
      <c r="F35" s="8"/>
      <c r="G35" s="9"/>
      <c r="H35" s="10"/>
      <c r="I35" s="10"/>
      <c r="J35" s="11"/>
      <c r="K35" s="41"/>
      <c r="L35" s="43"/>
    </row>
    <row r="36" spans="1:12" ht="15.6">
      <c r="A36" s="24" t="str">
        <v>PR: Aguadilla - Coca Cola</v>
      </c>
      <c r="B36" s="25" t="str">
        <v>PR</v>
      </c>
      <c r="C36" s="25" t="str">
        <f>Sites[[#This Row],[SOL'#]]</f>
        <v>SOL-10072</v>
      </c>
      <c r="D36" s="7"/>
      <c r="E36" s="12"/>
      <c r="F36" s="12"/>
      <c r="G36" s="13"/>
      <c r="H36" s="14"/>
      <c r="I36" s="14"/>
      <c r="J36" s="13"/>
      <c r="K36" s="108"/>
      <c r="L36" s="110"/>
    </row>
    <row r="37" spans="1:12" ht="15.6">
      <c r="A37" s="22" t="str">
        <v>PR: Bayamon - Coca Cola</v>
      </c>
      <c r="B37" s="23" t="str">
        <v>PR</v>
      </c>
      <c r="C37" s="23" t="str">
        <f>Sites[[#This Row],[SOL'#]]</f>
        <v>SOL-10073</v>
      </c>
      <c r="D37" s="18"/>
      <c r="E37" s="8"/>
      <c r="F37" s="8"/>
      <c r="G37" s="9"/>
      <c r="H37" s="10"/>
      <c r="I37" s="10"/>
      <c r="J37" s="11"/>
      <c r="K37" s="41"/>
      <c r="L37" s="43"/>
    </row>
    <row r="38" spans="1:12" ht="15.6">
      <c r="A38" s="24" t="str">
        <v>PR: Carolina - St. Francis</v>
      </c>
      <c r="B38" s="25" t="str">
        <v>PR</v>
      </c>
      <c r="C38" s="25" t="str">
        <f>Sites[[#This Row],[SOL'#]]</f>
        <v>SOL-10034</v>
      </c>
      <c r="D38" s="7"/>
      <c r="E38" s="12"/>
      <c r="F38" s="12"/>
      <c r="G38" s="13"/>
      <c r="H38" s="14"/>
      <c r="I38" s="14"/>
      <c r="J38" s="13"/>
      <c r="K38" s="36"/>
      <c r="L38" s="110"/>
    </row>
    <row r="39" spans="1:12" ht="15.6">
      <c r="A39" s="22" t="str">
        <v>DC: Chevy Chase -Sinai</v>
      </c>
      <c r="B39" s="23" t="str">
        <v>DC</v>
      </c>
      <c r="C39" s="23" t="str">
        <f>Sites[[#This Row],[SOL'#]]</f>
        <v>SOL-10028</v>
      </c>
      <c r="D39" s="18"/>
      <c r="E39" s="8"/>
      <c r="F39" s="8"/>
      <c r="G39" s="9"/>
      <c r="H39" s="10"/>
      <c r="I39" s="10"/>
      <c r="J39" s="11"/>
      <c r="K39" s="41"/>
      <c r="L39" s="43"/>
    </row>
    <row r="40" spans="1:12" ht="15.6">
      <c r="A40" s="24" t="str">
        <v>DC: Washington - Weinberg 1</v>
      </c>
      <c r="B40" s="25" t="str">
        <v>DC</v>
      </c>
      <c r="C40" s="25" t="str">
        <f>Sites[[#This Row],[SOL'#]]</f>
        <v>SOL-10039</v>
      </c>
      <c r="D40" s="7"/>
      <c r="E40" s="12"/>
      <c r="F40" s="12"/>
      <c r="G40" s="13"/>
      <c r="H40" s="14"/>
      <c r="I40" s="14"/>
      <c r="J40" s="13"/>
      <c r="K40" s="108"/>
      <c r="L40" s="110"/>
    </row>
    <row r="41" spans="1:12" ht="15.6">
      <c r="A41" s="22" t="str">
        <v>DC: Washington - Weinberg 2</v>
      </c>
      <c r="B41" s="23" t="str">
        <v>DC</v>
      </c>
      <c r="C41" s="23" t="str">
        <f>Sites[[#This Row],[SOL'#]]</f>
        <v>SOL-10045</v>
      </c>
      <c r="D41" s="18"/>
      <c r="E41" s="8"/>
      <c r="F41" s="8"/>
      <c r="G41" s="9"/>
      <c r="H41" s="10"/>
      <c r="I41" s="10"/>
      <c r="J41" s="11"/>
      <c r="K41" s="41"/>
      <c r="L41" s="43"/>
    </row>
    <row r="42" spans="1:12" ht="15.6">
      <c r="A42" s="24" t="str">
        <v>DC: Washington - Weinberg 3</v>
      </c>
      <c r="B42" s="25" t="str">
        <v>DC</v>
      </c>
      <c r="C42" s="25" t="str">
        <f>Sites[[#This Row],[SOL'#]]</f>
        <v>SOL-10042</v>
      </c>
      <c r="D42" s="7"/>
      <c r="E42" s="12"/>
      <c r="F42" s="12"/>
      <c r="G42" s="13"/>
      <c r="H42" s="14"/>
      <c r="I42" s="14"/>
      <c r="J42" s="13"/>
      <c r="K42" s="108"/>
      <c r="L42" s="85"/>
    </row>
  </sheetData>
  <mergeCells count="4">
    <mergeCell ref="H1:J1"/>
    <mergeCell ref="A1:D1"/>
    <mergeCell ref="E1:G1"/>
    <mergeCell ref="A2:B2"/>
  </mergeCells>
  <phoneticPr fontId="38" type="noConversion"/>
  <conditionalFormatting sqref="G2 J2 G4:G42 J4:J42">
    <cfRule type="cellIs" dxfId="36" priority="17" stopIfTrue="1" operator="lessThanOrEqual">
      <formula>-0.1</formula>
    </cfRule>
    <cfRule type="expression" dxfId="35" priority="18">
      <formula>AND(ISNUMBER(G2), G2&gt;=0.1)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58"/>
  <sheetViews>
    <sheetView zoomScale="60" zoomScaleNormal="70" workbookViewId="0">
      <pane xSplit="2" ySplit="3" topLeftCell="C4" activePane="bottomRight" state="frozen"/>
      <selection pane="bottomRight" activeCell="D4" sqref="D4"/>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38" t="str" cm="1">
        <f t="array" ref="A1">portfolio</f>
        <v>GoodFinch</v>
      </c>
      <c r="B1" s="138"/>
      <c r="C1" s="138"/>
      <c r="D1" s="138"/>
      <c r="E1" s="139" t="s">
        <v>25</v>
      </c>
      <c r="F1" s="139"/>
      <c r="G1" s="139"/>
      <c r="H1" s="137" t="s">
        <v>26</v>
      </c>
      <c r="I1" s="137"/>
      <c r="J1" s="137"/>
      <c r="K1" s="2"/>
      <c r="L1" s="2"/>
    </row>
    <row r="2" spans="1:17" ht="19.5" customHeight="1">
      <c r="A2" s="140" t="s">
        <v>2</v>
      </c>
      <c r="B2" s="140"/>
      <c r="C2" s="51"/>
      <c r="D2" s="3">
        <f>SUM(D4:D96)</f>
        <v>0</v>
      </c>
      <c r="E2" s="3">
        <f>SUM(E4:E96)</f>
        <v>0</v>
      </c>
      <c r="F2" s="3">
        <f>D2-E2</f>
        <v>0</v>
      </c>
      <c r="G2" s="4">
        <f>IFERROR(F2/E2, 0)</f>
        <v>0</v>
      </c>
      <c r="H2" s="3">
        <f>SUM(H4:H96)</f>
        <v>0</v>
      </c>
      <c r="I2" s="5">
        <f>D2-H2</f>
        <v>0</v>
      </c>
      <c r="J2" s="4">
        <f>IFERROR(I2/H2, 0)</f>
        <v>0</v>
      </c>
      <c r="K2" s="20"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7" ht="14.25" customHeight="1">
      <c r="A3" s="6" t="s">
        <v>3</v>
      </c>
      <c r="B3" s="6" t="s">
        <v>4</v>
      </c>
      <c r="C3" s="6" t="s">
        <v>5</v>
      </c>
      <c r="D3" s="17" t="s">
        <v>6</v>
      </c>
      <c r="E3" s="29" t="s">
        <v>7</v>
      </c>
      <c r="F3" s="29" t="s">
        <v>8</v>
      </c>
      <c r="G3" s="30" t="s">
        <v>9</v>
      </c>
      <c r="H3" s="31" t="s">
        <v>10</v>
      </c>
      <c r="I3" s="32" t="s">
        <v>8</v>
      </c>
      <c r="J3" s="33" t="s">
        <v>9</v>
      </c>
      <c r="K3" s="19" t="s">
        <v>21</v>
      </c>
      <c r="L3" s="19" t="s">
        <v>22</v>
      </c>
    </row>
    <row r="4" spans="1:17" ht="15.6">
      <c r="A4" s="24" t="str" cm="1">
        <f t="array" ref="A4:A42">Sites[Site]</f>
        <v>AZ: Tempe - ASU - Farmer</v>
      </c>
      <c r="B4" s="25" t="str" cm="1">
        <f t="array" ref="B4:B42">Sites[State]</f>
        <v>AZ</v>
      </c>
      <c r="C4" s="25" t="str">
        <f>Sites[[#This Row],[SOL'#]]</f>
        <v>SOL-10748</v>
      </c>
      <c r="D4" s="7"/>
      <c r="E4" s="12"/>
      <c r="F4" s="12"/>
      <c r="G4" s="13"/>
      <c r="H4" s="14"/>
      <c r="I4" s="14"/>
      <c r="J4" s="13"/>
      <c r="K4" s="36"/>
      <c r="L4" s="37"/>
      <c r="M4" s="88"/>
      <c r="N4" s="88"/>
      <c r="O4" s="88"/>
      <c r="P4" s="88"/>
      <c r="Q4" s="88"/>
    </row>
    <row r="5" spans="1:17" ht="15.6">
      <c r="A5" s="22" t="str">
        <v>AZ: Tempe - ASU - Fulton</v>
      </c>
      <c r="B5" s="23" t="str">
        <v>AZ</v>
      </c>
      <c r="C5" s="23" t="str">
        <f>Sites[[#This Row],[SOL'#]]</f>
        <v>SOL-10749</v>
      </c>
      <c r="D5" s="18"/>
      <c r="E5" s="8"/>
      <c r="F5" s="8"/>
      <c r="G5" s="9"/>
      <c r="H5" s="10"/>
      <c r="I5" s="10"/>
      <c r="J5" s="11"/>
      <c r="K5" s="35"/>
      <c r="L5" s="35"/>
      <c r="M5" s="88"/>
      <c r="N5" s="88"/>
      <c r="O5" s="88"/>
      <c r="P5" s="88"/>
      <c r="Q5" s="88"/>
    </row>
    <row r="6" spans="1:17" ht="66.75" customHeight="1">
      <c r="A6" s="24" t="str">
        <v>AZ: Superior - JFK Elementary</v>
      </c>
      <c r="B6" s="25" t="str">
        <v>AZ</v>
      </c>
      <c r="C6" s="25" t="str">
        <f>Sites[[#This Row],[SOL'#]]</f>
        <v>SOL-10758</v>
      </c>
      <c r="D6" s="7"/>
      <c r="E6" s="12"/>
      <c r="F6" s="12"/>
      <c r="G6" s="13"/>
      <c r="H6" s="14"/>
      <c r="I6" s="14"/>
      <c r="J6" s="13"/>
      <c r="K6" s="44"/>
      <c r="L6" s="97"/>
      <c r="M6" s="88"/>
      <c r="N6" s="88"/>
      <c r="O6" s="88"/>
      <c r="P6" s="88"/>
      <c r="Q6" s="88"/>
    </row>
    <row r="7" spans="1:17" ht="17.25" customHeight="1">
      <c r="A7" s="22" t="str">
        <v>AZ: Tempe - ASU - Noble</v>
      </c>
      <c r="B7" s="23" t="str">
        <v>AZ</v>
      </c>
      <c r="C7" s="23" t="str">
        <f>Sites[[#This Row],[SOL'#]]</f>
        <v>SOL-10750</v>
      </c>
      <c r="D7" s="18"/>
      <c r="E7" s="8"/>
      <c r="F7" s="8"/>
      <c r="G7" s="9"/>
      <c r="H7" s="10"/>
      <c r="I7" s="10"/>
      <c r="J7" s="11"/>
      <c r="K7" s="35"/>
      <c r="L7" s="94"/>
      <c r="M7" s="88"/>
      <c r="N7" s="88"/>
      <c r="O7" s="88"/>
      <c r="P7" s="88"/>
      <c r="Q7" s="88"/>
    </row>
    <row r="8" spans="1:17" ht="15.6">
      <c r="A8" s="24" t="str">
        <v>AZ: Tempe - ASU - Parking #3</v>
      </c>
      <c r="B8" s="25" t="str">
        <v>AZ</v>
      </c>
      <c r="C8" s="25" t="str">
        <f>Sites[[#This Row],[SOL'#]]</f>
        <v>SOL-10751</v>
      </c>
      <c r="D8" s="7"/>
      <c r="E8" s="12"/>
      <c r="F8" s="12"/>
      <c r="G8" s="13"/>
      <c r="H8" s="14"/>
      <c r="I8" s="14"/>
      <c r="J8" s="13"/>
      <c r="K8" s="36"/>
      <c r="L8" s="97"/>
      <c r="M8" s="88"/>
      <c r="N8" s="88"/>
      <c r="O8" s="88"/>
      <c r="P8" s="88"/>
      <c r="Q8" s="88"/>
    </row>
    <row r="9" spans="1:17" ht="15.6">
      <c r="A9" s="22" t="str">
        <v>AZ: Tempe - ASU - PE East</v>
      </c>
      <c r="B9" s="23" t="str">
        <v>AZ</v>
      </c>
      <c r="C9" s="23" t="str">
        <f>Sites[[#This Row],[SOL'#]]</f>
        <v>SOL-10752</v>
      </c>
      <c r="D9" s="18"/>
      <c r="E9" s="8"/>
      <c r="F9" s="8"/>
      <c r="G9" s="9"/>
      <c r="H9" s="10"/>
      <c r="I9" s="10"/>
      <c r="J9" s="11"/>
      <c r="K9" s="35"/>
      <c r="L9" s="35"/>
      <c r="M9" s="88"/>
      <c r="N9" s="88"/>
      <c r="O9" s="88"/>
      <c r="P9" s="88"/>
      <c r="Q9" s="88"/>
    </row>
    <row r="10" spans="1:17" ht="15.6">
      <c r="A10" s="24" t="str">
        <v>AZ: Tempe - ASU - Schwada</v>
      </c>
      <c r="B10" s="25" t="str">
        <v>AZ</v>
      </c>
      <c r="C10" s="25" t="str">
        <f>Sites[[#This Row],[SOL'#]]</f>
        <v>SOL-10753</v>
      </c>
      <c r="D10" s="7"/>
      <c r="E10" s="12"/>
      <c r="F10" s="12"/>
      <c r="G10" s="13"/>
      <c r="H10" s="14"/>
      <c r="I10" s="14"/>
      <c r="J10" s="13"/>
      <c r="K10" s="36"/>
      <c r="L10" s="37"/>
      <c r="M10" s="88"/>
      <c r="N10" s="88"/>
      <c r="O10" s="88"/>
      <c r="P10" s="88"/>
      <c r="Q10" s="88"/>
    </row>
    <row r="11" spans="1:17" ht="15.6">
      <c r="A11" s="22" t="str">
        <v>AZ: Phoenix - Starshine Academy</v>
      </c>
      <c r="B11" s="23" t="str">
        <v>AZ</v>
      </c>
      <c r="C11" s="23" t="str">
        <f>Sites[[#This Row],[SOL'#]]</f>
        <v>SOL-10757</v>
      </c>
      <c r="D11" s="18"/>
      <c r="E11" s="8"/>
      <c r="F11" s="8"/>
      <c r="G11" s="9"/>
      <c r="H11" s="10"/>
      <c r="I11" s="10"/>
      <c r="J11" s="11"/>
      <c r="K11" s="35"/>
      <c r="L11" s="35"/>
      <c r="M11" s="88"/>
      <c r="N11" s="88"/>
      <c r="O11" s="88"/>
      <c r="P11" s="88"/>
      <c r="Q11" s="88"/>
    </row>
    <row r="12" spans="1:17" ht="15.6">
      <c r="A12" s="24" t="str">
        <v>AZ: Yuma Airport</v>
      </c>
      <c r="B12" s="25" t="str">
        <v>AZ</v>
      </c>
      <c r="C12" s="25" t="str">
        <f>Sites[[#This Row],[SOL'#]]</f>
        <v>SOL-10754</v>
      </c>
      <c r="D12" s="7"/>
      <c r="E12" s="12"/>
      <c r="F12" s="12"/>
      <c r="G12" s="13"/>
      <c r="H12" s="14"/>
      <c r="I12" s="14"/>
      <c r="J12" s="13"/>
      <c r="K12" s="36"/>
      <c r="L12" s="97"/>
      <c r="M12" s="88"/>
      <c r="N12" s="88"/>
      <c r="O12" s="88"/>
      <c r="P12" s="88"/>
      <c r="Q12" s="88"/>
    </row>
    <row r="13" spans="1:17" ht="15.6">
      <c r="A13" s="22" t="str">
        <v>AZ: Globe - Gila CC</v>
      </c>
      <c r="B13" s="23" t="str">
        <v>AZ</v>
      </c>
      <c r="C13" s="23" t="str">
        <f>Sites[[#This Row],[SOL'#]]</f>
        <v>SOL-10751</v>
      </c>
      <c r="D13" s="18"/>
      <c r="E13" s="8"/>
      <c r="F13" s="8"/>
      <c r="G13" s="9"/>
      <c r="H13" s="10"/>
      <c r="I13" s="10"/>
      <c r="J13" s="11"/>
      <c r="K13" s="35"/>
      <c r="L13" s="35"/>
      <c r="M13" s="88"/>
      <c r="N13" s="88"/>
      <c r="O13" s="88"/>
      <c r="P13" s="88"/>
      <c r="Q13" s="88"/>
    </row>
    <row r="14" spans="1:17" ht="15.6">
      <c r="A14" s="24" t="str">
        <v>AZ: Payson - Gila CC</v>
      </c>
      <c r="B14" s="25" t="str">
        <v>AZ</v>
      </c>
      <c r="C14" s="25" t="str">
        <f>Sites[[#This Row],[SOL'#]]</f>
        <v>SOL-10748</v>
      </c>
      <c r="D14" s="7"/>
      <c r="E14" s="12"/>
      <c r="F14" s="12"/>
      <c r="G14" s="13"/>
      <c r="H14" s="14"/>
      <c r="I14" s="14"/>
      <c r="J14" s="13"/>
      <c r="K14" s="36"/>
      <c r="L14" s="97"/>
      <c r="M14" s="87"/>
      <c r="N14" s="87"/>
      <c r="O14" s="88"/>
      <c r="P14" s="88"/>
      <c r="Q14" s="88"/>
    </row>
    <row r="15" spans="1:17" ht="15.6">
      <c r="A15" s="22" t="str">
        <v>AZ: Mesa - Sequoia Charter School</v>
      </c>
      <c r="B15" s="23" t="str">
        <v>AZ</v>
      </c>
      <c r="C15" s="23" t="str">
        <f>Sites[[#This Row],[SOL'#]]</f>
        <v>SOL-10759</v>
      </c>
      <c r="D15" s="18"/>
      <c r="E15" s="8"/>
      <c r="F15" s="8"/>
      <c r="G15" s="9"/>
      <c r="H15" s="10"/>
      <c r="I15" s="10"/>
      <c r="J15" s="11"/>
      <c r="K15" s="35"/>
      <c r="L15" s="35"/>
      <c r="M15" s="88"/>
      <c r="N15" s="88"/>
      <c r="O15" s="88"/>
      <c r="P15" s="88"/>
      <c r="Q15" s="88"/>
    </row>
    <row r="16" spans="1:17" ht="15.6">
      <c r="A16" s="24" t="str">
        <v>AZ: Tempe - SCNM</v>
      </c>
      <c r="B16" s="25" t="str">
        <v>AZ</v>
      </c>
      <c r="C16" s="25" t="str">
        <f>Sites[[#This Row],[SOL'#]]</f>
        <v>SOL-10760</v>
      </c>
      <c r="D16" s="7"/>
      <c r="E16" s="12"/>
      <c r="F16" s="12"/>
      <c r="G16" s="13"/>
      <c r="H16" s="14"/>
      <c r="I16" s="14"/>
      <c r="J16" s="13"/>
      <c r="K16" s="36"/>
      <c r="L16" s="97"/>
      <c r="M16" s="87"/>
      <c r="N16" s="88"/>
      <c r="O16" s="88"/>
      <c r="P16" s="88"/>
      <c r="Q16" s="88"/>
    </row>
    <row r="17" spans="1:17" ht="15.6">
      <c r="A17" s="22" t="str">
        <v>DE: Newark - Clayton Hall</v>
      </c>
      <c r="B17" s="23" t="str">
        <v>DE</v>
      </c>
      <c r="C17" s="23" t="str">
        <f>Sites[[#This Row],[SOL'#]]</f>
        <v>SOL-10820</v>
      </c>
      <c r="D17" s="18"/>
      <c r="E17" s="8"/>
      <c r="F17" s="8"/>
      <c r="G17" s="9"/>
      <c r="H17" s="10"/>
      <c r="I17" s="10"/>
      <c r="J17" s="11"/>
      <c r="K17" s="35"/>
      <c r="L17" s="35"/>
      <c r="M17" s="88"/>
      <c r="N17" s="88"/>
      <c r="O17" s="88"/>
      <c r="P17" s="88"/>
      <c r="Q17" s="88"/>
    </row>
    <row r="18" spans="1:17" ht="15.6">
      <c r="A18" s="24" t="str">
        <v>DE: Newark - UOD Field House</v>
      </c>
      <c r="B18" s="25" t="str">
        <v>DE</v>
      </c>
      <c r="C18" s="25" t="str">
        <f>Sites[[#This Row],[SOL'#]]</f>
        <v>SOL-10821</v>
      </c>
      <c r="D18" s="7"/>
      <c r="E18" s="12"/>
      <c r="F18" s="12"/>
      <c r="G18" s="13"/>
      <c r="H18" s="14"/>
      <c r="I18" s="14"/>
      <c r="J18" s="13"/>
      <c r="K18" s="36"/>
      <c r="L18" s="37"/>
      <c r="M18" s="88"/>
      <c r="N18" s="88"/>
      <c r="O18" s="88"/>
      <c r="P18" s="88"/>
      <c r="Q18" s="88"/>
    </row>
    <row r="19" spans="1:17" ht="15.6">
      <c r="A19" s="22" t="str">
        <v>DE: Newark - UOD 461 Wyoming</v>
      </c>
      <c r="B19" s="23" t="str">
        <v>DE</v>
      </c>
      <c r="C19" s="23" t="str">
        <f>Sites[[#This Row],[SOL'#]]</f>
        <v>SOL-10819</v>
      </c>
      <c r="D19" s="18"/>
      <c r="E19" s="8"/>
      <c r="F19" s="8"/>
      <c r="G19" s="9"/>
      <c r="H19" s="10"/>
      <c r="I19" s="10"/>
      <c r="J19" s="11"/>
      <c r="K19" s="35"/>
      <c r="L19" s="35"/>
      <c r="M19" s="88"/>
      <c r="N19" s="88"/>
      <c r="O19" s="88"/>
      <c r="P19" s="88"/>
      <c r="Q19" s="88"/>
    </row>
    <row r="20" spans="1:17" ht="51" customHeight="1">
      <c r="A20" s="24" t="str">
        <v>MD: Presston - Bird-in-Hand</v>
      </c>
      <c r="B20" s="25" t="str">
        <v>MD</v>
      </c>
      <c r="C20" s="25" t="str">
        <f>Sites[[#This Row],[SOL'#]]</f>
        <v>SOL-10092</v>
      </c>
      <c r="D20" s="7"/>
      <c r="E20" s="12"/>
      <c r="F20" s="12"/>
      <c r="G20" s="13"/>
      <c r="H20" s="14"/>
      <c r="I20" s="14"/>
      <c r="J20" s="13"/>
      <c r="K20" s="45"/>
      <c r="L20" s="85"/>
      <c r="M20" s="88"/>
      <c r="N20" s="88"/>
      <c r="O20" s="88"/>
      <c r="P20" s="88"/>
      <c r="Q20" s="88"/>
    </row>
    <row r="21" spans="1:17" ht="15.6">
      <c r="A21" s="22" t="str">
        <v>MD: Easton - Shortall</v>
      </c>
      <c r="B21" s="23" t="str">
        <v>MD</v>
      </c>
      <c r="C21" s="23" t="str">
        <f>Sites[[#This Row],[SOL'#]]</f>
        <v>SOL-10091</v>
      </c>
      <c r="D21" s="18"/>
      <c r="E21" s="8"/>
      <c r="F21" s="8"/>
      <c r="G21" s="9"/>
      <c r="H21" s="10"/>
      <c r="I21" s="10"/>
      <c r="J21" s="11"/>
      <c r="K21" s="35"/>
      <c r="L21" s="35"/>
      <c r="M21" s="88"/>
      <c r="N21" s="88"/>
      <c r="O21" s="88"/>
      <c r="P21" s="88"/>
      <c r="Q21" s="88"/>
    </row>
    <row r="22" spans="1:17" ht="15.6">
      <c r="A22" s="24" t="str">
        <v>MA: Boston - Seaport Solar</v>
      </c>
      <c r="B22" s="25" t="str">
        <v>MA</v>
      </c>
      <c r="C22" s="25" t="str">
        <f>Sites[[#This Row],[SOL'#]]</f>
        <v>SOL-10772</v>
      </c>
      <c r="D22" s="7"/>
      <c r="E22" s="12"/>
      <c r="F22" s="12"/>
      <c r="G22" s="13"/>
      <c r="H22" s="14"/>
      <c r="I22" s="14"/>
      <c r="J22" s="13"/>
      <c r="K22" s="36"/>
      <c r="L22" s="37"/>
      <c r="M22" s="88"/>
      <c r="N22" s="88"/>
      <c r="O22" s="88"/>
      <c r="P22" s="88"/>
      <c r="Q22" s="88"/>
    </row>
    <row r="23" spans="1:17" ht="15.6">
      <c r="A23" s="22" t="str">
        <v>MA: Dedham - Sprague Street</v>
      </c>
      <c r="B23" s="23" t="str">
        <v>MA</v>
      </c>
      <c r="C23" s="23" t="str">
        <f>Sites[[#This Row],[SOL'#]]</f>
        <v>SOL-10773</v>
      </c>
      <c r="D23" s="18"/>
      <c r="E23" s="8"/>
      <c r="F23" s="8"/>
      <c r="G23" s="9"/>
      <c r="H23" s="10"/>
      <c r="I23" s="10"/>
      <c r="J23" s="11"/>
      <c r="K23" s="35"/>
      <c r="L23" s="35"/>
      <c r="M23" s="88"/>
      <c r="N23" s="88"/>
      <c r="O23" s="88"/>
      <c r="P23" s="88"/>
      <c r="Q23" s="88"/>
    </row>
    <row r="24" spans="1:17" ht="15.6">
      <c r="A24" s="24" t="str">
        <v>MA: Boston - Summer Street</v>
      </c>
      <c r="B24" s="25" t="str">
        <v>MA</v>
      </c>
      <c r="C24" s="25" t="str">
        <f>Sites[[#This Row],[SOL'#]]</f>
        <v>SOL-10764</v>
      </c>
      <c r="D24" s="7"/>
      <c r="E24" s="12"/>
      <c r="F24" s="12"/>
      <c r="G24" s="13"/>
      <c r="H24" s="14"/>
      <c r="I24" s="14"/>
      <c r="J24" s="13"/>
      <c r="K24" s="36"/>
      <c r="L24" s="36"/>
      <c r="M24" s="88"/>
      <c r="N24" s="88"/>
      <c r="O24" s="88"/>
      <c r="P24" s="88"/>
      <c r="Q24" s="88"/>
    </row>
    <row r="25" spans="1:17" ht="15.6">
      <c r="A25" s="22" t="str">
        <v>MA: Leominster - Spectro Coatings</v>
      </c>
      <c r="B25" s="23" t="str">
        <v>MA</v>
      </c>
      <c r="C25" s="23" t="str">
        <f>Sites[[#This Row],[SOL'#]]</f>
        <v>SOL-10074</v>
      </c>
      <c r="D25" s="18"/>
      <c r="E25" s="8"/>
      <c r="F25" s="8"/>
      <c r="G25" s="9"/>
      <c r="H25" s="10"/>
      <c r="I25" s="10"/>
      <c r="J25" s="11"/>
      <c r="K25" s="35"/>
      <c r="L25" s="35"/>
      <c r="M25" s="88"/>
      <c r="N25" s="88"/>
      <c r="O25" s="88"/>
      <c r="P25" s="88"/>
      <c r="Q25" s="88"/>
    </row>
    <row r="26" spans="1:17" ht="72" customHeight="1">
      <c r="A26" s="24" t="str">
        <v>MA: Braintree - RCAB</v>
      </c>
      <c r="B26" s="25" t="str">
        <v>MA</v>
      </c>
      <c r="C26" s="25" t="str">
        <f>Sites[[#This Row],[SOL'#]]</f>
        <v>SOL-10838</v>
      </c>
      <c r="D26" s="7"/>
      <c r="E26" s="12"/>
      <c r="F26" s="12"/>
      <c r="G26" s="13"/>
      <c r="H26" s="14"/>
      <c r="I26" s="14"/>
      <c r="J26" s="13"/>
      <c r="K26" s="36"/>
      <c r="L26" s="95"/>
      <c r="M26" s="87"/>
      <c r="N26" s="88"/>
      <c r="O26" s="88"/>
      <c r="P26" s="88"/>
      <c r="Q26" s="88"/>
    </row>
    <row r="27" spans="1:17" ht="15.6">
      <c r="A27" s="22" t="str">
        <v>NH: Rochester - Portland Street</v>
      </c>
      <c r="B27" s="23" t="str">
        <v>NH</v>
      </c>
      <c r="C27" s="23" t="str">
        <f>Sites[[#This Row],[SOL'#]]</f>
        <v>SOL-10771</v>
      </c>
      <c r="D27" s="18"/>
      <c r="E27" s="8"/>
      <c r="F27" s="8"/>
      <c r="G27" s="9"/>
      <c r="H27" s="10"/>
      <c r="I27" s="10"/>
      <c r="J27" s="11"/>
      <c r="K27" s="35"/>
      <c r="L27" s="35"/>
      <c r="M27" s="88"/>
      <c r="N27" s="88"/>
      <c r="O27" s="88"/>
      <c r="P27" s="88"/>
      <c r="Q27" s="88"/>
    </row>
    <row r="28" spans="1:17" ht="15.6">
      <c r="A28" s="24" t="str">
        <v>NH: Portsmouth - Portsmouth HS</v>
      </c>
      <c r="B28" s="25" t="str">
        <v>NH</v>
      </c>
      <c r="C28" s="25" t="str">
        <f>Sites[[#This Row],[SOL'#]]</f>
        <v>SOL-10769</v>
      </c>
      <c r="D28" s="7"/>
      <c r="E28" s="12"/>
      <c r="F28" s="12"/>
      <c r="G28" s="13"/>
      <c r="H28" s="14"/>
      <c r="I28" s="14"/>
      <c r="J28" s="13"/>
      <c r="K28" s="36"/>
      <c r="L28" s="95"/>
      <c r="M28" s="87"/>
      <c r="N28" s="88"/>
      <c r="O28" s="88"/>
      <c r="P28" s="88"/>
      <c r="Q28" s="88"/>
    </row>
    <row r="29" spans="1:17" ht="15.6">
      <c r="A29" s="22" t="str">
        <v>NH: Portsmouth - Portsmouth WTP</v>
      </c>
      <c r="B29" s="23" t="str">
        <v>NH</v>
      </c>
      <c r="C29" s="23" t="str">
        <f>Sites[[#This Row],[SOL'#]]</f>
        <v>SOL-10770</v>
      </c>
      <c r="D29" s="18"/>
      <c r="E29" s="8"/>
      <c r="F29" s="8"/>
      <c r="G29" s="9"/>
      <c r="H29" s="10"/>
      <c r="I29" s="10"/>
      <c r="J29" s="11"/>
      <c r="K29" s="35"/>
      <c r="L29" s="35"/>
      <c r="M29" s="88"/>
      <c r="N29" s="88"/>
      <c r="O29" s="88"/>
      <c r="P29" s="88"/>
      <c r="Q29" s="88"/>
    </row>
    <row r="30" spans="1:17" ht="15.6">
      <c r="A30" s="24" t="str">
        <v>NH: Rochester - Rochester MS</v>
      </c>
      <c r="B30" s="25" t="str">
        <v>NH</v>
      </c>
      <c r="C30" s="25" t="str">
        <f>Sites[[#This Row],[SOL'#]]</f>
        <v>SOL-10765</v>
      </c>
      <c r="D30" s="7"/>
      <c r="E30" s="12"/>
      <c r="F30" s="12"/>
      <c r="G30" s="13"/>
      <c r="H30" s="14"/>
      <c r="I30" s="14"/>
      <c r="J30" s="13"/>
      <c r="K30" s="36"/>
      <c r="L30" s="37"/>
      <c r="M30" s="88"/>
      <c r="N30" s="88"/>
      <c r="O30" s="88"/>
      <c r="P30" s="88"/>
      <c r="Q30" s="88"/>
    </row>
    <row r="31" spans="1:17" ht="15.6">
      <c r="A31" s="22" t="str">
        <v>NH Rochester - Spaulding HS</v>
      </c>
      <c r="B31" s="23" t="str">
        <v>NH</v>
      </c>
      <c r="C31" s="23" t="str">
        <f>Sites[[#This Row],[SOL'#]]</f>
        <v>SOL-10767</v>
      </c>
      <c r="D31" s="18"/>
      <c r="E31" s="8"/>
      <c r="F31" s="8"/>
      <c r="G31" s="9"/>
      <c r="H31" s="10"/>
      <c r="I31" s="10"/>
      <c r="J31" s="11"/>
      <c r="K31" s="35"/>
      <c r="L31" s="35"/>
      <c r="M31" s="88"/>
      <c r="N31" s="88"/>
      <c r="O31" s="88"/>
      <c r="P31" s="88"/>
      <c r="Q31" s="88"/>
    </row>
    <row r="32" spans="1:17" ht="15.6">
      <c r="A32" s="24" t="str">
        <v>NH: Rochester - McClelland ES</v>
      </c>
      <c r="B32" s="25" t="str">
        <v>NH</v>
      </c>
      <c r="C32" s="25" t="str">
        <f>Sites[[#This Row],[SOL'#]]</f>
        <v>SOL-10766</v>
      </c>
      <c r="D32" s="7"/>
      <c r="E32" s="12"/>
      <c r="F32" s="12"/>
      <c r="G32" s="13"/>
      <c r="H32" s="14"/>
      <c r="I32" s="14"/>
      <c r="J32" s="13"/>
      <c r="K32" s="36"/>
      <c r="L32" s="37"/>
      <c r="M32" s="88"/>
      <c r="N32" s="88"/>
      <c r="O32" s="88"/>
      <c r="P32" s="88"/>
      <c r="Q32" s="88"/>
    </row>
    <row r="33" spans="1:17" ht="15.6">
      <c r="A33" s="22" t="str">
        <v>NH: Rochester - Brock St Vocational</v>
      </c>
      <c r="B33" s="23" t="str">
        <v>NH</v>
      </c>
      <c r="C33" s="23" t="str">
        <f>Sites[[#This Row],[SOL'#]]</f>
        <v>SOL-10768</v>
      </c>
      <c r="D33" s="18"/>
      <c r="E33" s="8"/>
      <c r="F33" s="8"/>
      <c r="G33" s="9"/>
      <c r="H33" s="10"/>
      <c r="I33" s="10"/>
      <c r="J33" s="11"/>
      <c r="K33" s="35"/>
      <c r="L33" s="35"/>
      <c r="M33" s="88"/>
      <c r="N33" s="88"/>
      <c r="O33" s="88"/>
      <c r="P33" s="88"/>
      <c r="Q33" s="88"/>
    </row>
    <row r="34" spans="1:17" ht="15.6">
      <c r="A34" s="24" t="str">
        <v>OH: Cleveland - CV Kinsman</v>
      </c>
      <c r="B34" s="25" t="str">
        <v>OH</v>
      </c>
      <c r="C34" s="25" t="str">
        <f>Sites[[#This Row],[SOL'#]]</f>
        <v>SOL-10762</v>
      </c>
      <c r="D34" s="7"/>
      <c r="E34" s="12"/>
      <c r="F34" s="12"/>
      <c r="G34" s="13"/>
      <c r="H34" s="14"/>
      <c r="I34" s="14"/>
      <c r="J34" s="13"/>
      <c r="K34" s="36"/>
      <c r="L34" s="37"/>
      <c r="M34" s="88"/>
      <c r="N34" s="88"/>
      <c r="O34" s="88"/>
      <c r="P34" s="88"/>
      <c r="Q34" s="88"/>
    </row>
    <row r="35" spans="1:17" ht="114" customHeight="1">
      <c r="A35" s="22" t="str">
        <v>OH: Cleveland - CV Wooster</v>
      </c>
      <c r="B35" s="23" t="str">
        <v>OH</v>
      </c>
      <c r="C35" s="23" t="str">
        <f>Sites[[#This Row],[SOL'#]]</f>
        <v>SOL-10763</v>
      </c>
      <c r="D35" s="18"/>
      <c r="E35" s="8"/>
      <c r="F35" s="8"/>
      <c r="G35" s="9"/>
      <c r="H35" s="10"/>
      <c r="I35" s="10"/>
      <c r="J35" s="11"/>
      <c r="K35" s="35"/>
      <c r="L35" s="94"/>
      <c r="M35" s="87"/>
      <c r="N35" s="88"/>
      <c r="O35" s="88"/>
      <c r="P35" s="88"/>
      <c r="Q35" s="88"/>
    </row>
    <row r="36" spans="1:17" ht="15.6">
      <c r="A36" s="24" t="str">
        <v>PR: Aguadilla - Coca Cola</v>
      </c>
      <c r="B36" s="25" t="str">
        <v>PR</v>
      </c>
      <c r="C36" s="25" t="str">
        <f>Sites[[#This Row],[SOL'#]]</f>
        <v>SOL-10072</v>
      </c>
      <c r="D36" s="7"/>
      <c r="E36" s="12"/>
      <c r="F36" s="12"/>
      <c r="G36" s="13"/>
      <c r="H36" s="14"/>
      <c r="I36" s="14"/>
      <c r="J36" s="13"/>
      <c r="K36" s="36"/>
      <c r="L36" s="36"/>
      <c r="M36" s="88"/>
      <c r="N36" s="88"/>
      <c r="O36" s="88"/>
      <c r="P36" s="88"/>
      <c r="Q36" s="88"/>
    </row>
    <row r="37" spans="1:17" ht="15.6">
      <c r="A37" s="22" t="str">
        <v>PR: Bayamon - Coca Cola</v>
      </c>
      <c r="B37" s="23" t="str">
        <v>PR</v>
      </c>
      <c r="C37" s="23" t="str">
        <f>Sites[[#This Row],[SOL'#]]</f>
        <v>SOL-10073</v>
      </c>
      <c r="D37" s="18"/>
      <c r="E37" s="8"/>
      <c r="F37" s="8"/>
      <c r="G37" s="9"/>
      <c r="H37" s="10"/>
      <c r="I37" s="10"/>
      <c r="J37" s="11"/>
      <c r="K37" s="35"/>
      <c r="L37" s="35"/>
      <c r="M37" s="88"/>
      <c r="N37" s="88"/>
      <c r="O37" s="88"/>
      <c r="P37" s="88"/>
      <c r="Q37" s="88"/>
    </row>
    <row r="38" spans="1:17" ht="15.6">
      <c r="A38" s="24" t="str">
        <v>PR: Carolina - St. Francis</v>
      </c>
      <c r="B38" s="25" t="str">
        <v>PR</v>
      </c>
      <c r="C38" s="25" t="str">
        <f>Sites[[#This Row],[SOL'#]]</f>
        <v>SOL-10034</v>
      </c>
      <c r="D38" s="7"/>
      <c r="E38" s="12"/>
      <c r="F38" s="12"/>
      <c r="G38" s="13"/>
      <c r="H38" s="14"/>
      <c r="I38" s="14"/>
      <c r="J38" s="13"/>
      <c r="K38" s="36"/>
      <c r="L38" s="37"/>
      <c r="M38" s="88"/>
      <c r="N38" s="88"/>
      <c r="O38" s="88"/>
      <c r="P38" s="88"/>
      <c r="Q38" s="88"/>
    </row>
    <row r="39" spans="1:17" ht="15.6">
      <c r="A39" s="22" t="str">
        <v>DC: Chevy Chase -Sinai</v>
      </c>
      <c r="B39" s="23" t="str">
        <v>DC</v>
      </c>
      <c r="C39" s="23" t="str">
        <f>Sites[[#This Row],[SOL'#]]</f>
        <v>SOL-10028</v>
      </c>
      <c r="D39" s="18"/>
      <c r="E39" s="8"/>
      <c r="F39" s="8"/>
      <c r="G39" s="9"/>
      <c r="H39" s="10"/>
      <c r="I39" s="10"/>
      <c r="J39" s="11"/>
      <c r="K39" s="35"/>
      <c r="L39" s="35"/>
      <c r="M39" s="88"/>
      <c r="N39" s="88"/>
      <c r="O39" s="88"/>
      <c r="P39" s="88"/>
      <c r="Q39" s="88"/>
    </row>
    <row r="40" spans="1:17" ht="15.6">
      <c r="A40" s="24" t="str">
        <v>DC: Washington - Weinberg 1</v>
      </c>
      <c r="B40" s="25" t="str">
        <v>DC</v>
      </c>
      <c r="C40" s="25" t="str">
        <f>Sites[[#This Row],[SOL'#]]</f>
        <v>SOL-10039</v>
      </c>
      <c r="D40" s="7"/>
      <c r="E40" s="12"/>
      <c r="F40" s="12"/>
      <c r="G40" s="13"/>
      <c r="H40" s="14"/>
      <c r="I40" s="14"/>
      <c r="J40" s="13"/>
      <c r="K40" s="36"/>
      <c r="L40" s="37"/>
      <c r="M40" s="88"/>
      <c r="N40" s="88"/>
      <c r="O40" s="88"/>
      <c r="P40" s="88"/>
      <c r="Q40" s="88"/>
    </row>
    <row r="41" spans="1:17" ht="15.6">
      <c r="A41" s="22" t="str">
        <v>DC: Washington - Weinberg 2</v>
      </c>
      <c r="B41" s="23" t="str">
        <v>DC</v>
      </c>
      <c r="C41" s="23" t="str">
        <f>Sites[[#This Row],[SOL'#]]</f>
        <v>SOL-10045</v>
      </c>
      <c r="D41" s="18"/>
      <c r="E41" s="8"/>
      <c r="F41" s="8"/>
      <c r="G41" s="9"/>
      <c r="H41" s="10"/>
      <c r="I41" s="10"/>
      <c r="J41" s="11"/>
      <c r="K41" s="47"/>
      <c r="L41" s="84"/>
      <c r="M41" s="87"/>
      <c r="N41" s="87"/>
      <c r="O41" s="88"/>
      <c r="P41" s="88"/>
      <c r="Q41" s="88"/>
    </row>
    <row r="42" spans="1:17" ht="69" customHeight="1">
      <c r="A42" s="24" t="str">
        <v>DC: Washington - Weinberg 3</v>
      </c>
      <c r="B42" s="25" t="str">
        <v>DC</v>
      </c>
      <c r="C42" s="25" t="str">
        <f>Sites[[#This Row],[SOL'#]]</f>
        <v>SOL-10042</v>
      </c>
      <c r="D42" s="7"/>
      <c r="E42" s="12"/>
      <c r="F42" s="12"/>
      <c r="G42" s="13"/>
      <c r="H42" s="14"/>
      <c r="I42" s="14"/>
      <c r="J42" s="13"/>
      <c r="K42" s="36"/>
      <c r="L42" s="95"/>
      <c r="M42" s="87"/>
      <c r="N42" s="88"/>
      <c r="O42" s="88"/>
      <c r="P42" s="88"/>
      <c r="Q42" s="88"/>
    </row>
    <row r="43" spans="1:17" ht="48.75" customHeight="1">
      <c r="A43" s="22"/>
      <c r="B43" s="23"/>
      <c r="C43" s="23" t="e">
        <f>Sites[[#This Row],[SOL'#]]</f>
        <v>#VALUE!</v>
      </c>
      <c r="D43" s="18"/>
      <c r="E43" s="8"/>
      <c r="F43" s="8"/>
      <c r="G43" s="9"/>
      <c r="H43" s="10"/>
      <c r="I43" s="10"/>
      <c r="J43" s="11"/>
      <c r="K43" s="35"/>
      <c r="L43" s="94"/>
      <c r="M43" s="88"/>
      <c r="N43" s="88"/>
      <c r="O43" s="88"/>
      <c r="P43" s="88"/>
      <c r="Q43" s="88"/>
    </row>
    <row r="44" spans="1:17" ht="15.6">
      <c r="A44" s="24"/>
      <c r="B44" s="25"/>
      <c r="C44" s="25" t="e">
        <f>Sites[[#This Row],[SOL'#]]</f>
        <v>#VALUE!</v>
      </c>
      <c r="D44" s="7"/>
      <c r="E44" s="12"/>
      <c r="F44" s="12"/>
      <c r="G44" s="13"/>
      <c r="H44" s="14"/>
      <c r="I44" s="14"/>
      <c r="J44" s="13"/>
      <c r="K44" s="36"/>
      <c r="L44" s="37"/>
      <c r="M44" s="88"/>
      <c r="N44" s="88"/>
      <c r="O44" s="88"/>
      <c r="P44" s="88"/>
      <c r="Q44" s="88"/>
    </row>
    <row r="45" spans="1:17" ht="15.6">
      <c r="A45" s="22"/>
      <c r="B45" s="23"/>
      <c r="C45" s="23" t="e">
        <f>Sites[[#This Row],[SOL'#]]</f>
        <v>#VALUE!</v>
      </c>
      <c r="D45" s="18"/>
      <c r="E45" s="8"/>
      <c r="F45" s="8"/>
      <c r="G45" s="9"/>
      <c r="H45" s="10"/>
      <c r="I45" s="10"/>
      <c r="J45" s="11"/>
      <c r="K45" s="35"/>
      <c r="L45" s="35"/>
      <c r="M45" s="88"/>
      <c r="N45" s="88"/>
      <c r="O45" s="88"/>
      <c r="P45" s="88"/>
      <c r="Q45" s="88"/>
    </row>
    <row r="46" spans="1:17" ht="15.6">
      <c r="A46" s="24"/>
      <c r="B46" s="25"/>
      <c r="C46" s="25" t="e">
        <f>Sites[[#This Row],[SOL'#]]</f>
        <v>#VALUE!</v>
      </c>
      <c r="D46" s="7"/>
      <c r="E46" s="12"/>
      <c r="F46" s="12"/>
      <c r="G46" s="13"/>
      <c r="H46" s="14"/>
      <c r="I46" s="14"/>
      <c r="J46" s="13"/>
      <c r="K46" s="36"/>
      <c r="L46" s="37"/>
      <c r="M46" s="88"/>
      <c r="N46" s="88"/>
      <c r="O46" s="88"/>
      <c r="P46" s="88"/>
      <c r="Q46" s="88"/>
    </row>
    <row r="47" spans="1:17" ht="15.6">
      <c r="A47" s="22"/>
      <c r="B47" s="23"/>
      <c r="C47" s="23" t="e">
        <f>Sites[[#This Row],[SOL'#]]</f>
        <v>#VALUE!</v>
      </c>
      <c r="D47" s="18"/>
      <c r="E47" s="8"/>
      <c r="F47" s="8"/>
      <c r="G47" s="9"/>
      <c r="H47" s="10"/>
      <c r="I47" s="10"/>
      <c r="J47" s="11"/>
      <c r="K47" s="47"/>
      <c r="L47" s="47"/>
      <c r="M47" s="88"/>
      <c r="N47" s="88"/>
      <c r="O47" s="88"/>
      <c r="P47" s="88"/>
      <c r="Q47" s="88"/>
    </row>
    <row r="48" spans="1:17" ht="15.6">
      <c r="A48" s="24"/>
      <c r="B48" s="25"/>
      <c r="C48" s="25" t="e">
        <f>Sites[[#This Row],[SOL'#]]</f>
        <v>#VALUE!</v>
      </c>
      <c r="D48" s="7"/>
      <c r="E48" s="12"/>
      <c r="F48" s="12"/>
      <c r="G48" s="13"/>
      <c r="H48" s="14"/>
      <c r="I48" s="14"/>
      <c r="J48" s="13"/>
      <c r="K48" s="36"/>
      <c r="L48" s="36"/>
      <c r="M48" s="88"/>
      <c r="N48" s="88"/>
      <c r="O48" s="88"/>
      <c r="P48" s="88"/>
      <c r="Q48" s="88"/>
    </row>
    <row r="49" spans="1:17" ht="15.6">
      <c r="A49" s="22"/>
      <c r="B49" s="23"/>
      <c r="C49" s="23" t="e">
        <f>Sites[[#This Row],[SOL'#]]</f>
        <v>#VALUE!</v>
      </c>
      <c r="D49" s="18"/>
      <c r="E49" s="8"/>
      <c r="F49" s="8"/>
      <c r="G49" s="9"/>
      <c r="H49" s="10"/>
      <c r="I49" s="10"/>
      <c r="J49" s="11"/>
      <c r="K49" s="35"/>
      <c r="L49" s="35"/>
      <c r="M49" s="88"/>
      <c r="N49" s="88"/>
      <c r="O49" s="88"/>
      <c r="P49" s="88"/>
      <c r="Q49" s="88"/>
    </row>
    <row r="50" spans="1:17" ht="15.6">
      <c r="A50" s="24"/>
      <c r="B50" s="25"/>
      <c r="C50" s="25" t="e">
        <f>Sites[[#This Row],[SOL'#]]</f>
        <v>#VALUE!</v>
      </c>
      <c r="D50" s="7"/>
      <c r="E50" s="12"/>
      <c r="F50" s="12"/>
      <c r="G50" s="13"/>
      <c r="H50" s="14"/>
      <c r="I50" s="14"/>
      <c r="J50" s="13"/>
      <c r="K50" s="36"/>
      <c r="L50" s="37"/>
      <c r="M50" s="88"/>
      <c r="N50" s="88"/>
      <c r="O50" s="88"/>
      <c r="P50" s="88"/>
      <c r="Q50" s="88"/>
    </row>
    <row r="51" spans="1:17" ht="15.6">
      <c r="A51" s="22"/>
      <c r="B51" s="23"/>
      <c r="C51" s="23" t="e">
        <f>Sites[[#This Row],[SOL'#]]</f>
        <v>#VALUE!</v>
      </c>
      <c r="D51" s="18"/>
      <c r="E51" s="8"/>
      <c r="F51" s="8"/>
      <c r="G51" s="9"/>
      <c r="H51" s="10"/>
      <c r="I51" s="10"/>
      <c r="J51" s="11"/>
      <c r="K51" s="35"/>
      <c r="L51" s="35"/>
      <c r="M51" s="88"/>
      <c r="N51" s="88"/>
      <c r="O51" s="88"/>
      <c r="P51" s="88"/>
      <c r="Q51" s="88"/>
    </row>
    <row r="52" spans="1:17" ht="15.6">
      <c r="A52" s="24"/>
      <c r="B52" s="25"/>
      <c r="C52" s="25" t="e">
        <f>Sites[[#This Row],[SOL'#]]</f>
        <v>#VALUE!</v>
      </c>
      <c r="D52" s="7"/>
      <c r="E52" s="12"/>
      <c r="F52" s="12"/>
      <c r="G52" s="13"/>
      <c r="H52" s="14"/>
      <c r="I52" s="14"/>
      <c r="J52" s="13"/>
      <c r="K52" s="36"/>
      <c r="L52" s="97"/>
      <c r="M52" s="88"/>
      <c r="N52" s="88"/>
      <c r="O52" s="88"/>
      <c r="P52" s="88"/>
      <c r="Q52" s="88"/>
    </row>
    <row r="53" spans="1:17" ht="15.6">
      <c r="A53" s="22"/>
      <c r="B53" s="23"/>
      <c r="C53" s="23" t="e">
        <f>Sites[[#This Row],[SOL'#]]</f>
        <v>#VALUE!</v>
      </c>
      <c r="D53" s="18"/>
      <c r="E53" s="8"/>
      <c r="F53" s="8"/>
      <c r="G53" s="9"/>
      <c r="H53" s="10"/>
      <c r="I53" s="10"/>
      <c r="J53" s="11"/>
      <c r="K53" s="35"/>
      <c r="L53" s="35"/>
      <c r="M53" s="88"/>
      <c r="N53" s="88"/>
      <c r="O53" s="88"/>
      <c r="P53" s="88"/>
      <c r="Q53" s="88"/>
    </row>
    <row r="54" spans="1:17" ht="15.6">
      <c r="A54" s="24"/>
      <c r="B54" s="25"/>
      <c r="C54" s="25" t="e">
        <f>Sites[[#This Row],[SOL'#]]</f>
        <v>#VALUE!</v>
      </c>
      <c r="D54" s="7"/>
      <c r="E54" s="12"/>
      <c r="F54" s="12"/>
      <c r="G54" s="13"/>
      <c r="H54" s="14"/>
      <c r="I54" s="14"/>
      <c r="J54" s="13"/>
      <c r="K54" s="36"/>
      <c r="L54" s="97"/>
      <c r="M54" s="88"/>
      <c r="N54" s="88"/>
      <c r="O54" s="88"/>
      <c r="P54" s="88"/>
      <c r="Q54" s="88"/>
    </row>
    <row r="55" spans="1:17" ht="15.6">
      <c r="A55" s="22"/>
      <c r="B55" s="23"/>
      <c r="C55" s="23" t="e">
        <f>Sites[[#This Row],[SOL'#]]</f>
        <v>#VALUE!</v>
      </c>
      <c r="D55" s="18"/>
      <c r="E55" s="8"/>
      <c r="F55" s="8"/>
      <c r="G55" s="9"/>
      <c r="H55" s="10"/>
      <c r="I55" s="10"/>
      <c r="J55" s="11"/>
      <c r="K55" s="35"/>
      <c r="L55" s="35"/>
      <c r="M55" s="88"/>
      <c r="N55" s="88"/>
      <c r="O55" s="88"/>
      <c r="P55" s="88"/>
      <c r="Q55" s="88"/>
    </row>
    <row r="56" spans="1:17" ht="53.25" customHeight="1">
      <c r="A56" s="24"/>
      <c r="B56" s="25"/>
      <c r="C56" s="25" t="e">
        <f>Sites[[#This Row],[SOL'#]]</f>
        <v>#VALUE!</v>
      </c>
      <c r="D56" s="7"/>
      <c r="E56" s="12"/>
      <c r="F56" s="12"/>
      <c r="G56" s="13"/>
      <c r="H56" s="14"/>
      <c r="I56" s="14"/>
      <c r="J56" s="13"/>
      <c r="K56" s="65"/>
      <c r="L56" s="85"/>
      <c r="M56" s="88"/>
      <c r="N56" s="88"/>
      <c r="O56" s="88"/>
      <c r="P56" s="88"/>
      <c r="Q56" s="88"/>
    </row>
    <row r="57" spans="1:17" ht="15.6">
      <c r="A57" s="22"/>
      <c r="B57" s="23"/>
      <c r="C57" s="23" t="e">
        <f>Sites[[#This Row],[SOL'#]]</f>
        <v>#VALUE!</v>
      </c>
      <c r="D57" s="18"/>
      <c r="E57" s="8"/>
      <c r="F57" s="8"/>
      <c r="G57" s="9"/>
      <c r="H57" s="10"/>
      <c r="I57" s="10"/>
      <c r="J57" s="11"/>
      <c r="K57" s="35"/>
      <c r="L57" s="94"/>
      <c r="M57" s="87"/>
      <c r="N57" s="88"/>
      <c r="O57" s="88"/>
      <c r="P57" s="88"/>
      <c r="Q57" s="88"/>
    </row>
    <row r="58" spans="1:17" ht="15.6">
      <c r="A58" s="24"/>
      <c r="B58" s="25"/>
      <c r="C58" s="25" t="e">
        <f>Sites[[#This Row],[SOL'#]]</f>
        <v>#VALUE!</v>
      </c>
      <c r="D58" s="53"/>
      <c r="E58" s="103"/>
      <c r="F58" s="12"/>
      <c r="G58" s="13"/>
      <c r="H58" s="60"/>
      <c r="I58" s="14"/>
      <c r="J58" s="13"/>
      <c r="K58" s="36"/>
      <c r="L58" s="85"/>
      <c r="M58" s="87"/>
      <c r="N58" s="88"/>
      <c r="O58" s="88"/>
      <c r="P58" s="88"/>
      <c r="Q58" s="88"/>
    </row>
    <row r="59" spans="1:17" ht="171" customHeight="1">
      <c r="A59" s="22"/>
      <c r="B59" s="23"/>
      <c r="C59" s="23" t="e">
        <f>Sites[[#This Row],[SOL'#]]</f>
        <v>#VALUE!</v>
      </c>
      <c r="D59" s="18"/>
      <c r="E59" s="8"/>
      <c r="F59" s="8"/>
      <c r="G59" s="9"/>
      <c r="H59" s="10"/>
      <c r="I59" s="10"/>
      <c r="J59" s="11"/>
      <c r="K59" s="35"/>
      <c r="L59" s="94"/>
      <c r="M59" s="87"/>
      <c r="N59" s="87"/>
      <c r="O59" s="87"/>
      <c r="P59" s="88"/>
      <c r="Q59" s="88"/>
    </row>
    <row r="60" spans="1:17" ht="15.6">
      <c r="A60" s="24"/>
      <c r="B60" s="25"/>
      <c r="C60" s="25" t="e">
        <f>Sites[[#This Row],[SOL'#]]</f>
        <v>#VALUE!</v>
      </c>
      <c r="D60" s="62"/>
      <c r="E60" s="61"/>
      <c r="F60" s="12"/>
      <c r="G60" s="13"/>
      <c r="H60" s="62"/>
      <c r="I60" s="14"/>
      <c r="J60" s="13"/>
      <c r="K60" s="36"/>
      <c r="L60" s="36"/>
      <c r="M60" s="88"/>
      <c r="N60" s="88"/>
      <c r="O60" s="88"/>
      <c r="P60" s="88"/>
      <c r="Q60" s="88"/>
    </row>
    <row r="61" spans="1:17" ht="72.75" customHeight="1">
      <c r="A61" s="22"/>
      <c r="B61" s="23"/>
      <c r="C61" s="23" t="e">
        <f>Sites[[#This Row],[SOL'#]]</f>
        <v>#VALUE!</v>
      </c>
      <c r="D61" s="18"/>
      <c r="E61" s="8"/>
      <c r="F61" s="8"/>
      <c r="G61" s="9"/>
      <c r="H61" s="10"/>
      <c r="I61" s="10"/>
      <c r="J61" s="11"/>
      <c r="K61" s="35"/>
      <c r="L61" s="94"/>
      <c r="M61" s="88"/>
      <c r="N61" s="88"/>
      <c r="O61" s="88"/>
      <c r="P61" s="88"/>
      <c r="Q61" s="88"/>
    </row>
    <row r="62" spans="1:17" ht="166.5" customHeight="1">
      <c r="A62" s="24"/>
      <c r="B62" s="25"/>
      <c r="C62" s="25" t="e">
        <f>Sites[[#This Row],[SOL'#]]</f>
        <v>#VALUE!</v>
      </c>
      <c r="D62" s="7"/>
      <c r="E62" s="12"/>
      <c r="F62" s="12"/>
      <c r="G62" s="13"/>
      <c r="H62" s="14"/>
      <c r="I62" s="14"/>
      <c r="J62" s="13"/>
      <c r="K62" s="36"/>
      <c r="L62" s="85"/>
      <c r="M62" s="87"/>
      <c r="N62" s="87"/>
      <c r="O62" s="88"/>
      <c r="P62" s="88"/>
      <c r="Q62" s="88"/>
    </row>
    <row r="63" spans="1:17" ht="97.5" customHeight="1">
      <c r="A63" s="22"/>
      <c r="B63" s="23"/>
      <c r="C63" s="23" t="e">
        <f>Sites[[#This Row],[SOL'#]]</f>
        <v>#VALUE!</v>
      </c>
      <c r="D63" s="18"/>
      <c r="E63" s="8"/>
      <c r="F63" s="8"/>
      <c r="G63" s="9"/>
      <c r="H63" s="10"/>
      <c r="I63" s="10"/>
      <c r="J63" s="11"/>
      <c r="K63" s="35"/>
      <c r="L63" s="94"/>
      <c r="M63" s="87"/>
      <c r="N63" s="88"/>
      <c r="O63" s="88"/>
      <c r="P63" s="88"/>
      <c r="Q63" s="88"/>
    </row>
    <row r="64" spans="1:17" ht="15.6">
      <c r="A64" s="24"/>
      <c r="B64" s="25"/>
      <c r="C64" s="25" t="e">
        <f>Sites[[#This Row],[SOL'#]]</f>
        <v>#VALUE!</v>
      </c>
      <c r="D64" s="7"/>
      <c r="E64" s="12"/>
      <c r="F64" s="12"/>
      <c r="G64" s="13"/>
      <c r="H64" s="14"/>
      <c r="I64" s="14"/>
      <c r="J64" s="13"/>
      <c r="K64" s="36"/>
      <c r="L64" s="46"/>
      <c r="M64" s="88"/>
      <c r="N64" s="88"/>
      <c r="O64" s="88"/>
      <c r="P64" s="88"/>
      <c r="Q64" s="88"/>
    </row>
    <row r="65" spans="1:21" ht="15.6">
      <c r="A65" s="22"/>
      <c r="B65" s="23"/>
      <c r="C65" s="23" t="e">
        <f>Sites[[#This Row],[SOL'#]]</f>
        <v>#VALUE!</v>
      </c>
      <c r="D65" s="18"/>
      <c r="E65" s="8"/>
      <c r="F65" s="8"/>
      <c r="G65" s="9"/>
      <c r="H65" s="10"/>
      <c r="I65" s="10"/>
      <c r="J65" s="11"/>
      <c r="K65" s="35"/>
      <c r="L65" s="35"/>
      <c r="M65" s="88"/>
      <c r="N65" s="88"/>
      <c r="O65" s="88"/>
      <c r="P65" s="88"/>
      <c r="Q65" s="88"/>
    </row>
    <row r="66" spans="1:21" ht="79.5" customHeight="1">
      <c r="A66" s="24"/>
      <c r="B66" s="25"/>
      <c r="C66" s="25" t="e">
        <f>Sites[[#This Row],[SOL'#]]</f>
        <v>#VALUE!</v>
      </c>
      <c r="D66" s="7"/>
      <c r="E66" s="12"/>
      <c r="F66" s="12"/>
      <c r="G66" s="13"/>
      <c r="H66" s="14"/>
      <c r="I66" s="14"/>
      <c r="J66" s="13"/>
      <c r="K66" s="44"/>
      <c r="L66" s="95"/>
      <c r="M66" s="87"/>
      <c r="N66" s="88"/>
      <c r="O66" s="88"/>
      <c r="P66" s="88"/>
      <c r="Q66" s="88"/>
    </row>
    <row r="67" spans="1:21" ht="15.6">
      <c r="A67" s="22"/>
      <c r="B67" s="23"/>
      <c r="C67" s="23" t="e">
        <f>Sites[[#This Row],[SOL'#]]</f>
        <v>#VALUE!</v>
      </c>
      <c r="D67" s="18"/>
      <c r="E67" s="8"/>
      <c r="F67" s="8"/>
      <c r="G67" s="9"/>
      <c r="H67" s="10"/>
      <c r="I67" s="10"/>
      <c r="J67" s="11"/>
      <c r="K67" s="35"/>
      <c r="L67" s="35"/>
      <c r="M67" s="88"/>
      <c r="N67" s="88"/>
      <c r="O67" s="88"/>
      <c r="P67" s="88"/>
      <c r="Q67" s="88"/>
    </row>
    <row r="68" spans="1:21" ht="45.75" customHeight="1">
      <c r="A68" s="24"/>
      <c r="B68" s="25"/>
      <c r="C68" s="25" t="e">
        <f>Sites[[#This Row],[SOL'#]]</f>
        <v>#VALUE!</v>
      </c>
      <c r="D68" s="7"/>
      <c r="E68" s="12"/>
      <c r="F68" s="12"/>
      <c r="G68" s="13"/>
      <c r="H68" s="14"/>
      <c r="I68" s="14"/>
      <c r="J68" s="13"/>
      <c r="K68" s="44"/>
      <c r="L68" s="44"/>
      <c r="M68" s="88"/>
      <c r="N68" s="88"/>
      <c r="O68" s="88"/>
      <c r="P68" s="88"/>
      <c r="Q68" s="88"/>
    </row>
    <row r="69" spans="1:21" ht="277.5" customHeight="1">
      <c r="A69" s="22"/>
      <c r="B69" s="23"/>
      <c r="C69" s="23" t="e">
        <f>Sites[[#This Row],[SOL'#]]</f>
        <v>#VALUE!</v>
      </c>
      <c r="D69" s="18"/>
      <c r="E69" s="8"/>
      <c r="F69" s="8"/>
      <c r="G69" s="9"/>
      <c r="H69" s="10"/>
      <c r="I69" s="10"/>
      <c r="J69" s="11"/>
      <c r="K69" s="35"/>
      <c r="L69" s="94"/>
      <c r="M69" s="87"/>
      <c r="N69" s="87"/>
      <c r="O69" s="87"/>
      <c r="P69" s="87"/>
      <c r="Q69" s="87"/>
    </row>
    <row r="70" spans="1:21" ht="15.6">
      <c r="A70" s="24"/>
      <c r="B70" s="25"/>
      <c r="C70" s="25" t="e">
        <f>Sites[[#This Row],[SOL'#]]</f>
        <v>#VALUE!</v>
      </c>
      <c r="D70" s="7"/>
      <c r="E70" s="12"/>
      <c r="F70" s="12"/>
      <c r="G70" s="13"/>
      <c r="H70" s="14"/>
      <c r="I70" s="14"/>
      <c r="J70" s="13"/>
      <c r="K70" s="44"/>
      <c r="L70" s="95"/>
      <c r="M70" s="88"/>
      <c r="N70" s="88"/>
      <c r="O70" s="88"/>
      <c r="P70" s="88"/>
      <c r="Q70" s="88"/>
    </row>
    <row r="71" spans="1:21" ht="15.6">
      <c r="A71" s="22"/>
      <c r="B71" s="23"/>
      <c r="C71" s="23" t="e">
        <f>Sites[[#This Row],[SOL'#]]</f>
        <v>#VALUE!</v>
      </c>
      <c r="D71" s="18"/>
      <c r="E71" s="8"/>
      <c r="F71" s="8"/>
      <c r="G71" s="9"/>
      <c r="H71" s="10"/>
      <c r="I71" s="10"/>
      <c r="J71" s="11"/>
      <c r="K71" s="35"/>
      <c r="L71" s="94"/>
      <c r="M71" s="87"/>
      <c r="N71" s="87"/>
      <c r="O71" s="87"/>
      <c r="P71" s="87"/>
      <c r="Q71" s="87"/>
    </row>
    <row r="72" spans="1:21" ht="15.6">
      <c r="A72" s="24"/>
      <c r="B72" s="25"/>
      <c r="C72" s="25" t="e">
        <f>Sites[[#This Row],[SOL'#]]</f>
        <v>#VALUE!</v>
      </c>
      <c r="D72" s="7"/>
      <c r="E72" s="12"/>
      <c r="F72" s="12"/>
      <c r="G72" s="13"/>
      <c r="H72" s="14"/>
      <c r="I72" s="14"/>
      <c r="J72" s="13"/>
      <c r="K72" s="44"/>
      <c r="L72" s="44"/>
      <c r="M72" s="88"/>
      <c r="N72" s="88"/>
      <c r="O72" s="88"/>
      <c r="P72" s="88"/>
      <c r="Q72" s="88"/>
    </row>
    <row r="73" spans="1:21" ht="15.6">
      <c r="A73" s="22"/>
      <c r="B73" s="23"/>
      <c r="C73" s="23" t="e">
        <f>Sites[[#This Row],[SOL'#]]</f>
        <v>#VALUE!</v>
      </c>
      <c r="D73" s="18"/>
      <c r="E73" s="8"/>
      <c r="F73" s="8"/>
      <c r="G73" s="9"/>
      <c r="H73" s="10"/>
      <c r="I73" s="10"/>
      <c r="J73" s="11"/>
      <c r="K73" s="35"/>
      <c r="L73" s="94"/>
      <c r="M73" s="87"/>
      <c r="N73" s="87"/>
      <c r="O73" s="88"/>
      <c r="P73" s="88"/>
      <c r="Q73" s="88"/>
    </row>
    <row r="74" spans="1:21" ht="317.25" customHeight="1">
      <c r="A74" s="24"/>
      <c r="B74" s="25"/>
      <c r="C74" s="25" t="e">
        <f>Sites[[#This Row],[SOL'#]]</f>
        <v>#VALUE!</v>
      </c>
      <c r="D74" s="7"/>
      <c r="E74" s="12"/>
      <c r="F74" s="12"/>
      <c r="G74" s="13"/>
      <c r="H74" s="14"/>
      <c r="I74" s="14"/>
      <c r="J74" s="13"/>
      <c r="K74" s="45"/>
      <c r="L74" s="85"/>
      <c r="M74" s="87"/>
      <c r="N74" s="87"/>
      <c r="O74" s="87"/>
      <c r="P74" s="87"/>
      <c r="Q74" s="87"/>
      <c r="R74" s="96"/>
      <c r="S74" s="96" t="s">
        <v>27</v>
      </c>
      <c r="T74" s="96" t="s">
        <v>28</v>
      </c>
      <c r="U74" s="96" t="s">
        <v>29</v>
      </c>
    </row>
    <row r="75" spans="1:21" ht="15.6">
      <c r="A75" s="22"/>
      <c r="B75" s="23"/>
      <c r="C75" s="23" t="e">
        <f>Sites[[#This Row],[SOL'#]]</f>
        <v>#VALUE!</v>
      </c>
      <c r="D75" s="18"/>
      <c r="E75" s="8"/>
      <c r="F75" s="8"/>
      <c r="G75" s="9"/>
      <c r="H75" s="10"/>
      <c r="I75" s="10"/>
      <c r="J75" s="11"/>
      <c r="K75" s="35"/>
      <c r="L75" s="94"/>
      <c r="M75" s="87"/>
      <c r="N75" s="87"/>
      <c r="O75" s="87"/>
      <c r="P75" s="87"/>
      <c r="Q75" s="88"/>
    </row>
    <row r="76" spans="1:21" ht="15.6">
      <c r="A76" s="24"/>
      <c r="B76" s="25"/>
      <c r="C76" s="25" t="e">
        <f>Sites[[#This Row],[SOL'#]]</f>
        <v>#VALUE!</v>
      </c>
      <c r="D76" s="7"/>
      <c r="E76" s="12"/>
      <c r="F76" s="12"/>
      <c r="G76" s="13"/>
      <c r="H76" s="14"/>
      <c r="I76" s="14"/>
      <c r="J76" s="13"/>
      <c r="K76" s="45"/>
      <c r="L76" s="85"/>
      <c r="M76" s="88"/>
      <c r="N76" s="88"/>
      <c r="O76" s="88"/>
      <c r="P76" s="88"/>
      <c r="Q76" s="88"/>
    </row>
    <row r="77" spans="1:21" ht="15.6">
      <c r="A77" s="22"/>
      <c r="B77" s="23"/>
      <c r="C77" s="23" t="e">
        <f>Sites[[#This Row],[SOL'#]]</f>
        <v>#VALUE!</v>
      </c>
      <c r="D77" s="18"/>
      <c r="E77" s="8"/>
      <c r="F77" s="8"/>
      <c r="G77" s="9"/>
      <c r="H77" s="10"/>
      <c r="I77" s="10"/>
      <c r="J77" s="11"/>
      <c r="K77" s="35"/>
      <c r="L77" s="35"/>
      <c r="M77" s="88"/>
      <c r="N77" s="88"/>
      <c r="O77" s="88"/>
      <c r="P77" s="88"/>
      <c r="Q77" s="88"/>
    </row>
    <row r="78" spans="1:21" ht="15.6">
      <c r="A78" s="24"/>
      <c r="B78" s="25"/>
      <c r="C78" s="25" t="e">
        <f>Sites[[#This Row],[SOL'#]]</f>
        <v>#VALUE!</v>
      </c>
      <c r="D78" s="7"/>
      <c r="E78" s="12"/>
      <c r="F78" s="12"/>
      <c r="G78" s="13"/>
      <c r="H78" s="14"/>
      <c r="I78" s="14"/>
      <c r="J78" s="13"/>
      <c r="K78" s="45"/>
      <c r="L78" s="46"/>
      <c r="M78" s="88"/>
      <c r="N78" s="88"/>
      <c r="O78" s="88"/>
      <c r="P78" s="88"/>
      <c r="Q78" s="88"/>
    </row>
    <row r="79" spans="1:21" ht="114" customHeight="1">
      <c r="A79" s="22"/>
      <c r="B79" s="23"/>
      <c r="C79" s="23" t="e">
        <f>Sites[[#This Row],[SOL'#]]</f>
        <v>#VALUE!</v>
      </c>
      <c r="D79" s="18"/>
      <c r="E79" s="8"/>
      <c r="F79" s="8"/>
      <c r="G79" s="9"/>
      <c r="H79" s="10"/>
      <c r="I79" s="10"/>
      <c r="J79" s="11"/>
      <c r="K79" s="50"/>
      <c r="L79" s="101"/>
      <c r="M79" s="87"/>
      <c r="N79" s="88"/>
      <c r="O79" s="88"/>
      <c r="P79" s="88"/>
      <c r="Q79" s="88"/>
    </row>
    <row r="80" spans="1:21" ht="15.6">
      <c r="A80" s="24"/>
      <c r="B80" s="25"/>
      <c r="C80" s="25" t="e">
        <f>Sites[[#This Row],[SOL'#]]</f>
        <v>#VALUE!</v>
      </c>
      <c r="D80" s="7"/>
      <c r="E80" s="12"/>
      <c r="F80" s="12"/>
      <c r="G80" s="13"/>
      <c r="H80" s="14"/>
      <c r="I80" s="14"/>
      <c r="J80" s="13"/>
      <c r="K80" s="44"/>
      <c r="L80" s="44"/>
      <c r="M80" s="88"/>
      <c r="N80" s="88"/>
      <c r="O80" s="88"/>
      <c r="P80" s="88"/>
      <c r="Q80" s="88"/>
    </row>
    <row r="81" spans="1:17" ht="15.6">
      <c r="A81" s="22"/>
      <c r="B81" s="23"/>
      <c r="C81" s="23" t="e">
        <f>Sites[[#This Row],[SOL'#]]</f>
        <v>#VALUE!</v>
      </c>
      <c r="D81" s="18"/>
      <c r="E81" s="8"/>
      <c r="F81" s="8"/>
      <c r="G81" s="9"/>
      <c r="H81" s="10"/>
      <c r="I81" s="10"/>
      <c r="J81" s="11"/>
      <c r="K81" s="35"/>
      <c r="L81" s="35"/>
      <c r="M81" s="88"/>
      <c r="N81" s="88"/>
      <c r="O81" s="88"/>
      <c r="P81" s="88"/>
      <c r="Q81" s="88"/>
    </row>
    <row r="82" spans="1:17" ht="15.6">
      <c r="A82" s="24"/>
      <c r="B82" s="25"/>
      <c r="C82" s="25" t="e">
        <f>Sites[[#This Row],[SOL'#]]</f>
        <v>#VALUE!</v>
      </c>
      <c r="D82" s="7"/>
      <c r="E82" s="12"/>
      <c r="F82" s="12"/>
      <c r="G82" s="13"/>
      <c r="H82" s="14"/>
      <c r="I82" s="14"/>
      <c r="J82" s="13"/>
      <c r="K82" s="36"/>
      <c r="L82" s="85"/>
      <c r="M82" s="87"/>
      <c r="N82" s="88"/>
      <c r="O82" s="88"/>
      <c r="P82" s="88"/>
      <c r="Q82" s="88"/>
    </row>
    <row r="83" spans="1:17" ht="78.75" customHeight="1">
      <c r="A83" s="22"/>
      <c r="B83" s="23"/>
      <c r="C83" s="23" t="e">
        <f>Sites[[#This Row],[SOL'#]]</f>
        <v>#VALUE!</v>
      </c>
      <c r="D83" s="18"/>
      <c r="E83" s="8"/>
      <c r="F83" s="8"/>
      <c r="G83" s="9"/>
      <c r="H83" s="10"/>
      <c r="I83" s="10"/>
      <c r="J83" s="11"/>
      <c r="K83" s="50"/>
      <c r="L83" s="94"/>
      <c r="M83" s="87"/>
      <c r="N83" s="87"/>
      <c r="O83" s="88"/>
      <c r="P83" s="88"/>
      <c r="Q83" s="88"/>
    </row>
    <row r="84" spans="1:17" ht="15.6">
      <c r="A84" s="24"/>
      <c r="B84" s="25"/>
      <c r="C84" s="25" t="e">
        <f>Sites[[#This Row],[SOL'#]]</f>
        <v>#VALUE!</v>
      </c>
      <c r="D84" s="7"/>
      <c r="E84" s="12"/>
      <c r="F84" s="12"/>
      <c r="G84" s="13"/>
      <c r="H84" s="14"/>
      <c r="I84" s="14"/>
      <c r="J84" s="13"/>
      <c r="K84" s="36"/>
      <c r="L84" s="85"/>
      <c r="M84" s="88"/>
      <c r="N84" s="88"/>
      <c r="O84" s="88"/>
      <c r="P84" s="88"/>
      <c r="Q84" s="88"/>
    </row>
    <row r="85" spans="1:17" ht="15.6">
      <c r="A85" s="22"/>
      <c r="B85" s="23"/>
      <c r="C85" s="23" t="e">
        <f>Sites[[#This Row],[SOL'#]]</f>
        <v>#VALUE!</v>
      </c>
      <c r="D85" s="18"/>
      <c r="E85" s="8"/>
      <c r="F85" s="8"/>
      <c r="G85" s="9"/>
      <c r="H85" s="10"/>
      <c r="I85" s="10"/>
      <c r="J85" s="11"/>
      <c r="K85" s="35"/>
      <c r="L85" s="101"/>
      <c r="M85" s="87"/>
      <c r="N85" s="88"/>
      <c r="O85" s="88"/>
      <c r="P85" s="88"/>
      <c r="Q85" s="88"/>
    </row>
    <row r="86" spans="1:17" ht="15.6">
      <c r="A86" s="24"/>
      <c r="B86" s="25"/>
      <c r="C86" s="25" t="e">
        <f>Sites[[#This Row],[SOL'#]]</f>
        <v>#VALUE!</v>
      </c>
      <c r="D86" s="7"/>
      <c r="E86" s="12"/>
      <c r="F86" s="12"/>
      <c r="G86" s="13"/>
      <c r="H86" s="14"/>
      <c r="I86" s="14"/>
      <c r="J86" s="13"/>
      <c r="K86" s="36"/>
      <c r="L86" s="85"/>
      <c r="M86" s="87"/>
      <c r="N86" s="88"/>
      <c r="O86" s="88"/>
      <c r="P86" s="88"/>
      <c r="Q86" s="88"/>
    </row>
    <row r="87" spans="1:17" ht="15.6">
      <c r="A87" s="22"/>
      <c r="B87" s="23"/>
      <c r="C87" s="23" t="e">
        <f>Sites[[#This Row],[SOL'#]]</f>
        <v>#VALUE!</v>
      </c>
      <c r="D87" s="18"/>
      <c r="E87" s="8"/>
      <c r="F87" s="8"/>
      <c r="G87" s="9"/>
      <c r="H87" s="10"/>
      <c r="I87" s="10"/>
      <c r="J87" s="11"/>
      <c r="K87" s="35"/>
      <c r="L87" s="94"/>
      <c r="M87" s="87"/>
      <c r="N87" s="88"/>
      <c r="O87" s="88"/>
      <c r="P87" s="88"/>
      <c r="Q87" s="88"/>
    </row>
    <row r="88" spans="1:17" ht="15.6">
      <c r="A88" s="24"/>
      <c r="B88" s="25"/>
      <c r="C88" s="25" t="e">
        <f>Sites[[#This Row],[SOL'#]]</f>
        <v>#VALUE!</v>
      </c>
      <c r="D88" s="7"/>
      <c r="E88" s="12"/>
      <c r="F88" s="12"/>
      <c r="G88" s="13"/>
      <c r="H88" s="14"/>
      <c r="I88" s="14"/>
      <c r="J88" s="13"/>
      <c r="K88" s="44"/>
      <c r="L88" s="95"/>
      <c r="M88" s="87"/>
      <c r="N88" s="87"/>
      <c r="O88" s="88"/>
      <c r="P88" s="88"/>
      <c r="Q88" s="88"/>
    </row>
    <row r="89" spans="1:17" ht="52.5" customHeight="1">
      <c r="A89" s="22"/>
      <c r="B89" s="23"/>
      <c r="C89" s="23" t="e">
        <f>Sites[[#This Row],[SOL'#]]</f>
        <v>#VALUE!</v>
      </c>
      <c r="D89" s="18"/>
      <c r="E89" s="8"/>
      <c r="F89" s="8"/>
      <c r="G89" s="9"/>
      <c r="H89" s="10"/>
      <c r="I89" s="10"/>
      <c r="J89" s="11"/>
      <c r="K89" s="35"/>
      <c r="L89" s="94"/>
      <c r="M89" s="88"/>
      <c r="N89" s="88"/>
      <c r="O89" s="88"/>
      <c r="P89" s="88"/>
      <c r="Q89" s="88"/>
    </row>
    <row r="90" spans="1:17" ht="15.6">
      <c r="A90" s="24"/>
      <c r="B90" s="25"/>
      <c r="C90" s="25" t="e">
        <f>Sites[[#This Row],[SOL'#]]</f>
        <v>#VALUE!</v>
      </c>
      <c r="D90" s="7"/>
      <c r="E90" s="12"/>
      <c r="F90" s="12"/>
      <c r="G90" s="13"/>
      <c r="H90" s="14"/>
      <c r="I90" s="14"/>
      <c r="J90" s="13"/>
      <c r="K90" s="44"/>
      <c r="L90" s="95"/>
      <c r="M90" s="87"/>
      <c r="N90" s="88"/>
      <c r="O90" s="88"/>
      <c r="P90" s="88"/>
      <c r="Q90" s="88"/>
    </row>
    <row r="91" spans="1:17" ht="15.6">
      <c r="A91" s="22"/>
      <c r="B91" s="23"/>
      <c r="C91" s="23" t="e">
        <f>Sites[[#This Row],[SOL'#]]</f>
        <v>#VALUE!</v>
      </c>
      <c r="D91" s="18"/>
      <c r="E91" s="8"/>
      <c r="F91" s="8"/>
      <c r="G91" s="9"/>
      <c r="H91" s="10"/>
      <c r="I91" s="10"/>
      <c r="J91" s="11"/>
      <c r="K91" s="50"/>
      <c r="L91" s="101"/>
      <c r="M91" s="87"/>
      <c r="N91" s="88"/>
      <c r="O91" s="88"/>
      <c r="P91" s="88"/>
      <c r="Q91" s="88"/>
    </row>
    <row r="92" spans="1:17" ht="15.6">
      <c r="A92" s="24"/>
      <c r="B92" s="25"/>
      <c r="C92" s="25" t="e">
        <f>Sites[[#This Row],[SOL'#]]</f>
        <v>#VALUE!</v>
      </c>
      <c r="D92" s="7"/>
      <c r="E92" s="12"/>
      <c r="F92" s="12"/>
      <c r="G92" s="13"/>
      <c r="H92" s="14"/>
      <c r="I92" s="14"/>
      <c r="J92" s="13"/>
      <c r="K92" s="44"/>
      <c r="L92" s="44"/>
      <c r="M92" s="88"/>
      <c r="N92" s="88"/>
      <c r="O92" s="88"/>
      <c r="P92" s="88"/>
      <c r="Q92" s="88"/>
    </row>
    <row r="93" spans="1:17" ht="15.6">
      <c r="A93" s="22"/>
      <c r="B93" s="23"/>
      <c r="C93" s="23" t="e">
        <f>Sites[[#This Row],[SOL'#]]</f>
        <v>#VALUE!</v>
      </c>
      <c r="D93" s="18"/>
      <c r="E93" s="8"/>
      <c r="F93" s="8"/>
      <c r="G93" s="9"/>
      <c r="H93" s="10"/>
      <c r="I93" s="10"/>
      <c r="J93" s="11"/>
      <c r="K93" s="50"/>
      <c r="L93" s="50"/>
      <c r="M93" s="88"/>
      <c r="N93" s="88"/>
      <c r="O93" s="88"/>
      <c r="P93" s="88"/>
      <c r="Q93" s="88"/>
    </row>
    <row r="94" spans="1:17" ht="15.6">
      <c r="A94" s="24"/>
      <c r="B94" s="25"/>
      <c r="C94" s="25" t="e">
        <f>Sites[[#This Row],[SOL'#]]</f>
        <v>#VALUE!</v>
      </c>
      <c r="D94" s="7"/>
      <c r="E94" s="12"/>
      <c r="F94" s="12"/>
      <c r="G94" s="13"/>
      <c r="H94" s="14"/>
      <c r="I94" s="14"/>
      <c r="J94" s="13"/>
      <c r="K94" s="36"/>
      <c r="L94" s="95"/>
      <c r="M94" s="88"/>
      <c r="N94" s="88"/>
      <c r="O94" s="88"/>
      <c r="P94" s="88"/>
      <c r="Q94" s="88"/>
    </row>
    <row r="95" spans="1:17" ht="15.6">
      <c r="A95" s="22"/>
      <c r="B95" s="23"/>
      <c r="C95" s="23" t="e">
        <f>Sites[[#This Row],[SOL'#]]</f>
        <v>#VALUE!</v>
      </c>
      <c r="D95" s="18"/>
      <c r="E95" s="8"/>
      <c r="F95" s="8"/>
      <c r="G95" s="9"/>
      <c r="H95" s="10"/>
      <c r="I95" s="10"/>
      <c r="J95" s="11"/>
      <c r="K95" s="90"/>
      <c r="L95" s="94"/>
      <c r="M95" s="88"/>
      <c r="N95" s="88"/>
      <c r="O95" s="88"/>
      <c r="P95" s="88"/>
      <c r="Q95" s="88"/>
    </row>
    <row r="96" spans="1:17" ht="15.6">
      <c r="A96" s="22"/>
      <c r="B96" s="23"/>
      <c r="C96" s="23" t="e">
        <f>Sites[[#This Row],[SOL'#]]</f>
        <v>#VALUE!</v>
      </c>
      <c r="D96" s="18"/>
      <c r="E96" s="8"/>
      <c r="F96" s="8"/>
      <c r="G96" s="9"/>
      <c r="H96" s="10"/>
      <c r="I96" s="10"/>
      <c r="J96" s="11"/>
      <c r="K96" s="47"/>
      <c r="L96" s="84"/>
      <c r="M96" s="87"/>
      <c r="N96" s="88"/>
      <c r="O96" s="88"/>
      <c r="P96" s="88"/>
      <c r="Q96" s="88"/>
    </row>
    <row r="97" spans="1:17" ht="61.5" customHeight="1">
      <c r="A97" s="24"/>
      <c r="B97" s="25"/>
      <c r="C97" s="25" t="e">
        <f>Sites[[#This Row],[SOL'#]]</f>
        <v>#VALUE!</v>
      </c>
      <c r="D97" s="57"/>
      <c r="E97" s="12"/>
      <c r="F97" s="12"/>
      <c r="G97" s="13"/>
      <c r="H97" s="14"/>
      <c r="I97" s="14"/>
      <c r="J97" s="13"/>
      <c r="K97" s="36"/>
      <c r="L97" s="95"/>
      <c r="M97" s="87"/>
      <c r="N97" s="88"/>
      <c r="O97" s="88"/>
      <c r="P97" s="88"/>
      <c r="Q97" s="88"/>
    </row>
    <row r="98" spans="1:17" ht="15.6">
      <c r="A98" s="26"/>
      <c r="B98" s="23"/>
      <c r="C98" s="23" t="e">
        <f>Sites[[#This Row],[SOL'#]]</f>
        <v>#VALUE!</v>
      </c>
      <c r="D98" s="48"/>
      <c r="E98" s="8"/>
      <c r="F98" s="8"/>
      <c r="G98" s="9"/>
      <c r="H98" s="58"/>
      <c r="I98" s="10"/>
      <c r="J98" s="11"/>
      <c r="K98" s="50"/>
      <c r="L98" s="35"/>
      <c r="M98" s="88"/>
      <c r="N98" s="88"/>
      <c r="O98" s="88"/>
      <c r="P98" s="88"/>
      <c r="Q98" s="88"/>
    </row>
    <row r="99" spans="1:17" ht="73.5" customHeight="1">
      <c r="A99" s="24"/>
      <c r="B99" s="25"/>
      <c r="C99" s="25" t="e">
        <f>Sites[[#This Row],[SOL'#]]</f>
        <v>#VALUE!</v>
      </c>
      <c r="D99" s="57"/>
      <c r="E99" s="12"/>
      <c r="F99" s="12"/>
      <c r="G99" s="13"/>
      <c r="H99" s="60"/>
      <c r="I99" s="14"/>
      <c r="J99" s="13"/>
      <c r="K99" s="36"/>
      <c r="L99" s="104"/>
      <c r="M99" s="87"/>
      <c r="N99" s="88"/>
      <c r="O99" s="88"/>
      <c r="P99" s="88"/>
      <c r="Q99" s="88"/>
    </row>
    <row r="100" spans="1:17" ht="15.6">
      <c r="A100" s="22"/>
      <c r="B100" s="23"/>
      <c r="C100" s="23" t="e">
        <f>Sites[[#This Row],[SOL'#]]</f>
        <v>#VALUE!</v>
      </c>
      <c r="D100" s="48"/>
      <c r="E100" s="8"/>
      <c r="F100" s="8"/>
      <c r="G100" s="9"/>
      <c r="H100" s="58"/>
      <c r="I100" s="10"/>
      <c r="J100" s="11"/>
      <c r="K100" s="50"/>
      <c r="L100" s="94"/>
      <c r="M100" s="88"/>
      <c r="N100" s="88"/>
      <c r="O100" s="88"/>
      <c r="P100" s="88"/>
      <c r="Q100" s="88"/>
    </row>
    <row r="101" spans="1:17" ht="15.6">
      <c r="A101" s="24"/>
      <c r="B101" s="25"/>
      <c r="C101" s="25" t="e">
        <f>Sites[[#This Row],[SOL'#]]</f>
        <v>#VALUE!</v>
      </c>
      <c r="D101" s="57"/>
      <c r="E101" s="12"/>
      <c r="F101" s="12"/>
      <c r="G101" s="13"/>
      <c r="H101" s="60"/>
      <c r="I101" s="14"/>
      <c r="J101" s="13"/>
      <c r="K101" s="36"/>
      <c r="L101" s="104"/>
      <c r="M101" s="87"/>
      <c r="N101" s="87"/>
      <c r="O101" s="87"/>
      <c r="P101" s="88"/>
      <c r="Q101" s="88"/>
    </row>
    <row r="102" spans="1:17" ht="15.6">
      <c r="A102" s="22"/>
      <c r="B102" s="23"/>
      <c r="C102" s="23" t="e">
        <f>Sites[[#This Row],[SOL'#]]</f>
        <v>#VALUE!</v>
      </c>
      <c r="D102" s="48"/>
      <c r="E102" s="8"/>
      <c r="F102" s="8"/>
      <c r="G102" s="9"/>
      <c r="H102" s="58"/>
      <c r="I102" s="10"/>
      <c r="J102" s="11"/>
      <c r="K102" s="50"/>
      <c r="L102" s="35"/>
      <c r="M102" s="88"/>
      <c r="N102" s="88"/>
      <c r="O102" s="88"/>
      <c r="P102" s="88"/>
      <c r="Q102" s="88"/>
    </row>
    <row r="103" spans="1:17" ht="213.75" customHeight="1">
      <c r="A103" s="24"/>
      <c r="B103" s="25"/>
      <c r="C103" s="25" t="e">
        <f>Sites[[#This Row],[SOL'#]]</f>
        <v>#VALUE!</v>
      </c>
      <c r="D103" s="57"/>
      <c r="E103" s="12"/>
      <c r="F103" s="12"/>
      <c r="G103" s="13"/>
      <c r="H103" s="60"/>
      <c r="I103" s="14"/>
      <c r="J103" s="13"/>
      <c r="K103" s="36"/>
      <c r="L103" s="104"/>
      <c r="M103" s="87"/>
      <c r="N103" s="87"/>
      <c r="O103" s="87"/>
      <c r="P103" s="88"/>
      <c r="Q103" s="88"/>
    </row>
    <row r="104" spans="1:17" ht="15.6">
      <c r="A104" s="22"/>
      <c r="B104" s="23"/>
      <c r="C104" s="23" t="e">
        <f>Sites[[#This Row],[SOL'#]]</f>
        <v>#VALUE!</v>
      </c>
      <c r="D104" s="48"/>
      <c r="E104" s="8"/>
      <c r="F104" s="8"/>
      <c r="G104" s="9"/>
      <c r="H104" s="58"/>
      <c r="I104" s="10"/>
      <c r="J104" s="11"/>
      <c r="K104" s="50"/>
      <c r="L104" s="35"/>
      <c r="M104" s="88"/>
      <c r="N104" s="88"/>
      <c r="O104" s="88"/>
      <c r="P104" s="88"/>
      <c r="Q104" s="88"/>
    </row>
    <row r="105" spans="1:17" ht="20.25" customHeight="1">
      <c r="A105" s="24"/>
      <c r="B105" s="25"/>
      <c r="C105" s="25" t="e">
        <f>Sites[[#This Row],[SOL'#]]</f>
        <v>#VALUE!</v>
      </c>
      <c r="D105" s="57"/>
      <c r="E105" s="12"/>
      <c r="F105" s="12"/>
      <c r="G105" s="13"/>
      <c r="H105" s="60"/>
      <c r="I105" s="14"/>
      <c r="J105" s="13"/>
      <c r="K105" s="36"/>
      <c r="L105" s="15"/>
      <c r="M105" s="88"/>
      <c r="N105" s="88"/>
      <c r="O105" s="88"/>
      <c r="P105" s="88"/>
      <c r="Q105" s="88"/>
    </row>
    <row r="106" spans="1:17" ht="15.6">
      <c r="A106" s="22"/>
      <c r="B106" s="23"/>
      <c r="C106" s="23" t="e">
        <f>Sites[[#This Row],[SOL'#]]</f>
        <v>#VALUE!</v>
      </c>
      <c r="D106" s="48"/>
      <c r="E106" s="8"/>
      <c r="F106" s="8"/>
      <c r="G106" s="9"/>
      <c r="H106" s="58"/>
      <c r="I106" s="10"/>
      <c r="J106" s="11"/>
      <c r="K106" s="50"/>
      <c r="L106" s="94"/>
      <c r="M106" s="87"/>
      <c r="N106" s="88"/>
      <c r="O106" s="88"/>
      <c r="P106" s="88"/>
      <c r="Q106" s="88"/>
    </row>
    <row r="107" spans="1:17" ht="18.75" customHeight="1">
      <c r="A107" s="24"/>
      <c r="B107" s="25"/>
      <c r="C107" s="25" t="e">
        <f>Sites[[#This Row],[SOL'#]]</f>
        <v>#VALUE!</v>
      </c>
      <c r="D107" s="57"/>
      <c r="E107" s="12"/>
      <c r="F107" s="12"/>
      <c r="G107" s="13"/>
      <c r="H107" s="60"/>
      <c r="I107" s="14"/>
      <c r="J107" s="13"/>
      <c r="K107" s="36"/>
      <c r="L107" s="15"/>
      <c r="M107" s="88"/>
      <c r="N107" s="88"/>
      <c r="O107" s="88"/>
      <c r="P107" s="88"/>
      <c r="Q107" s="88"/>
    </row>
    <row r="108" spans="1:17" ht="175.5" customHeight="1">
      <c r="A108" s="22"/>
      <c r="B108" s="23"/>
      <c r="C108" s="23" t="e">
        <f>Sites[[#This Row],[SOL'#]]</f>
        <v>#VALUE!</v>
      </c>
      <c r="D108" s="48"/>
      <c r="E108" s="8"/>
      <c r="F108" s="8"/>
      <c r="G108" s="9"/>
      <c r="H108" s="58"/>
      <c r="I108" s="10"/>
      <c r="J108" s="11"/>
      <c r="K108" s="50"/>
      <c r="L108" s="94"/>
      <c r="M108" s="87"/>
      <c r="N108" s="87"/>
      <c r="O108" s="87"/>
      <c r="P108" s="88"/>
      <c r="Q108" s="88"/>
    </row>
    <row r="109" spans="1:17" ht="42" customHeight="1">
      <c r="A109" s="24"/>
      <c r="B109" s="25"/>
      <c r="C109" s="25" t="e">
        <f>Sites[[#This Row],[SOL'#]]</f>
        <v>#VALUE!</v>
      </c>
      <c r="D109" s="57"/>
      <c r="E109" s="12"/>
      <c r="F109" s="12"/>
      <c r="G109" s="13"/>
      <c r="H109" s="60"/>
      <c r="I109" s="14"/>
      <c r="J109" s="13"/>
      <c r="K109" s="36"/>
      <c r="L109" s="96"/>
      <c r="M109" s="88"/>
      <c r="N109" s="88"/>
      <c r="O109" s="88"/>
      <c r="P109" s="88"/>
      <c r="Q109" s="88"/>
    </row>
    <row r="110" spans="1:17" ht="15.6">
      <c r="A110" s="22"/>
      <c r="B110" s="23"/>
      <c r="C110" s="23" t="e">
        <f>Sites[[#This Row],[SOL'#]]</f>
        <v>#VALUE!</v>
      </c>
      <c r="D110" s="48"/>
      <c r="E110" s="8"/>
      <c r="F110" s="8"/>
      <c r="G110" s="9"/>
      <c r="H110" s="58"/>
      <c r="I110" s="10"/>
      <c r="J110" s="11"/>
      <c r="K110" s="50"/>
      <c r="L110" s="35"/>
      <c r="M110" s="88"/>
      <c r="N110" s="88"/>
      <c r="O110" s="88"/>
      <c r="P110" s="88"/>
      <c r="Q110" s="88"/>
    </row>
    <row r="111" spans="1:17" ht="15.6">
      <c r="A111" s="24"/>
      <c r="B111" s="25"/>
      <c r="C111" s="25" t="e">
        <f>Sites[[#This Row],[SOL'#]]</f>
        <v>#VALUE!</v>
      </c>
      <c r="D111" s="57"/>
      <c r="E111" s="12"/>
      <c r="F111" s="12"/>
      <c r="G111" s="13"/>
      <c r="H111" s="60"/>
      <c r="I111" s="14"/>
      <c r="J111" s="13"/>
      <c r="K111" s="108"/>
      <c r="L111" s="99"/>
      <c r="M111" s="88"/>
      <c r="N111" s="88"/>
      <c r="O111" s="88"/>
      <c r="P111" s="88"/>
      <c r="Q111" s="88"/>
    </row>
    <row r="112" spans="1:17" ht="126.75" customHeight="1">
      <c r="A112" s="22"/>
      <c r="B112" s="23"/>
      <c r="C112" s="23" t="e">
        <f>Sites[[#This Row],[SOL'#]]</f>
        <v>#VALUE!</v>
      </c>
      <c r="D112" s="48"/>
      <c r="E112" s="8"/>
      <c r="F112" s="8"/>
      <c r="G112" s="9"/>
      <c r="H112" s="58"/>
      <c r="I112" s="10"/>
      <c r="J112" s="11"/>
      <c r="K112" s="50"/>
      <c r="L112" s="94"/>
      <c r="M112" s="87"/>
      <c r="N112" s="88"/>
      <c r="O112" s="88"/>
      <c r="P112" s="88"/>
      <c r="Q112" s="88"/>
    </row>
    <row r="113" spans="1:17" ht="186" customHeight="1">
      <c r="A113" s="24"/>
      <c r="B113" s="25"/>
      <c r="C113" s="25" t="e">
        <f>Sites[[#This Row],[SOL'#]]</f>
        <v>#VALUE!</v>
      </c>
      <c r="D113" s="57"/>
      <c r="E113" s="12"/>
      <c r="F113" s="12"/>
      <c r="G113" s="13"/>
      <c r="H113" s="60"/>
      <c r="I113" s="14"/>
      <c r="J113" s="13"/>
      <c r="K113" s="45"/>
      <c r="L113" s="104"/>
      <c r="M113" s="87"/>
      <c r="N113" s="87"/>
      <c r="O113" s="87"/>
      <c r="P113" s="87"/>
      <c r="Q113" s="88"/>
    </row>
    <row r="114" spans="1:17" ht="15.6">
      <c r="A114" s="22"/>
      <c r="B114" s="23"/>
      <c r="C114" s="23" t="e">
        <f>Sites[[#This Row],[SOL'#]]</f>
        <v>#VALUE!</v>
      </c>
      <c r="D114" s="48"/>
      <c r="E114" s="8"/>
      <c r="F114" s="8"/>
      <c r="G114" s="9"/>
      <c r="H114" s="58"/>
      <c r="I114" s="10"/>
      <c r="J114" s="11"/>
      <c r="K114" s="50"/>
      <c r="L114" s="94"/>
      <c r="M114" s="87"/>
      <c r="N114" s="88"/>
      <c r="O114" s="88"/>
      <c r="P114" s="88"/>
      <c r="Q114" s="88"/>
    </row>
    <row r="115" spans="1:17" ht="15.6">
      <c r="A115" s="24"/>
      <c r="B115" s="25"/>
      <c r="C115" s="25" t="e">
        <f>Sites[[#This Row],[SOL'#]]</f>
        <v>#VALUE!</v>
      </c>
      <c r="D115" s="57"/>
      <c r="E115" s="12"/>
      <c r="F115" s="12"/>
      <c r="G115" s="13"/>
      <c r="H115" s="60"/>
      <c r="I115" s="14"/>
      <c r="J115" s="13"/>
      <c r="K115" s="36"/>
      <c r="L115" s="15"/>
      <c r="M115" s="88"/>
      <c r="N115" s="88"/>
      <c r="O115" s="88"/>
      <c r="P115" s="88"/>
      <c r="Q115" s="88"/>
    </row>
    <row r="116" spans="1:17" ht="15.6">
      <c r="A116" s="22"/>
      <c r="B116" s="23"/>
      <c r="C116" s="23" t="e">
        <f>Sites[[#This Row],[SOL'#]]</f>
        <v>#VALUE!</v>
      </c>
      <c r="D116" s="48"/>
      <c r="E116" s="8"/>
      <c r="F116" s="8"/>
      <c r="G116" s="9"/>
      <c r="H116" s="58"/>
      <c r="I116" s="10"/>
      <c r="J116" s="11"/>
      <c r="K116" s="50"/>
      <c r="L116" s="94"/>
      <c r="M116" s="88"/>
      <c r="N116" s="88"/>
      <c r="O116" s="88"/>
      <c r="P116" s="88"/>
      <c r="Q116" s="88"/>
    </row>
    <row r="117" spans="1:17" ht="15.6">
      <c r="A117" s="24"/>
      <c r="B117" s="25"/>
      <c r="C117" s="25" t="e">
        <f>Sites[[#This Row],[SOL'#]]</f>
        <v>#VALUE!</v>
      </c>
      <c r="D117" s="57"/>
      <c r="E117" s="12"/>
      <c r="F117" s="12"/>
      <c r="G117" s="13"/>
      <c r="H117" s="60"/>
      <c r="I117" s="14"/>
      <c r="J117" s="13"/>
      <c r="K117" s="36"/>
      <c r="L117" s="15"/>
      <c r="M117" s="88"/>
      <c r="N117" s="88"/>
      <c r="O117" s="88"/>
      <c r="P117" s="88"/>
      <c r="Q117" s="88"/>
    </row>
    <row r="118" spans="1:17" ht="15.6">
      <c r="A118" s="22"/>
      <c r="B118" s="23"/>
      <c r="C118" s="23" t="e">
        <f>Sites[[#This Row],[SOL'#]]</f>
        <v>#VALUE!</v>
      </c>
      <c r="D118" s="48"/>
      <c r="E118" s="8"/>
      <c r="F118" s="8"/>
      <c r="G118" s="9"/>
      <c r="H118" s="58"/>
      <c r="I118" s="10"/>
      <c r="J118" s="11"/>
      <c r="K118" s="50"/>
      <c r="L118" s="35"/>
      <c r="M118" s="88"/>
      <c r="N118" s="88"/>
      <c r="O118" s="88"/>
      <c r="P118" s="88"/>
      <c r="Q118" s="88"/>
    </row>
    <row r="119" spans="1:17" ht="15.6">
      <c r="A119" s="24"/>
      <c r="B119" s="25"/>
      <c r="C119" s="25" t="e">
        <f>Sites[[#This Row],[SOL'#]]</f>
        <v>#VALUE!</v>
      </c>
      <c r="D119" s="57"/>
      <c r="E119" s="12"/>
      <c r="F119" s="12"/>
      <c r="G119" s="13"/>
      <c r="H119" s="60"/>
      <c r="I119" s="14"/>
      <c r="J119" s="13"/>
      <c r="K119" s="36"/>
      <c r="L119" s="99"/>
      <c r="M119" s="88"/>
      <c r="N119" s="88"/>
      <c r="O119" s="88"/>
      <c r="P119" s="88"/>
      <c r="Q119" s="88"/>
    </row>
    <row r="120" spans="1:17" ht="19.5" customHeight="1">
      <c r="A120" s="22"/>
      <c r="B120" s="23"/>
      <c r="C120" s="23" t="e">
        <f>Sites[[#This Row],[SOL'#]]</f>
        <v>#VALUE!</v>
      </c>
      <c r="D120" s="48"/>
      <c r="E120" s="8"/>
      <c r="F120" s="8"/>
      <c r="G120" s="9"/>
      <c r="H120" s="58"/>
      <c r="I120" s="10"/>
      <c r="J120" s="11"/>
      <c r="K120" s="50"/>
      <c r="L120" s="35"/>
      <c r="M120" s="88"/>
      <c r="N120" s="88"/>
      <c r="O120" s="88"/>
      <c r="P120" s="88"/>
      <c r="Q120" s="88"/>
    </row>
    <row r="121" spans="1:17" ht="15.6">
      <c r="A121" s="24"/>
      <c r="B121" s="25"/>
      <c r="C121" s="25" t="e">
        <f>Sites[[#This Row],[SOL'#]]</f>
        <v>#VALUE!</v>
      </c>
      <c r="D121" s="57"/>
      <c r="E121" s="12"/>
      <c r="F121" s="12"/>
      <c r="G121" s="13"/>
      <c r="H121" s="60"/>
      <c r="I121" s="14"/>
      <c r="J121" s="13"/>
      <c r="K121" s="36"/>
      <c r="L121" s="15"/>
      <c r="M121" s="88"/>
      <c r="N121" s="88"/>
      <c r="O121" s="88"/>
      <c r="P121" s="88"/>
      <c r="Q121" s="88"/>
    </row>
    <row r="122" spans="1:17" ht="15.6">
      <c r="A122" s="22"/>
      <c r="B122" s="23"/>
      <c r="C122" s="23" t="e">
        <f>Sites[[#This Row],[SOL'#]]</f>
        <v>#VALUE!</v>
      </c>
      <c r="D122" s="48"/>
      <c r="E122" s="8"/>
      <c r="F122" s="8"/>
      <c r="G122" s="9"/>
      <c r="H122" s="58"/>
      <c r="I122" s="10"/>
      <c r="J122" s="11"/>
      <c r="K122" s="50"/>
      <c r="L122" s="35"/>
      <c r="M122" s="88"/>
      <c r="N122" s="88"/>
      <c r="O122" s="88"/>
      <c r="P122" s="88"/>
      <c r="Q122" s="88"/>
    </row>
    <row r="123" spans="1:17" ht="15.6">
      <c r="A123" s="24"/>
      <c r="B123" s="25"/>
      <c r="C123" s="25" t="e">
        <f>Sites[[#This Row],[SOL'#]]</f>
        <v>#VALUE!</v>
      </c>
      <c r="D123" s="57"/>
      <c r="E123" s="12"/>
      <c r="F123" s="12"/>
      <c r="G123" s="13"/>
      <c r="H123" s="60"/>
      <c r="I123" s="14"/>
      <c r="J123" s="13"/>
      <c r="K123" s="36"/>
      <c r="L123" s="104"/>
      <c r="M123" s="87"/>
      <c r="N123" s="87"/>
      <c r="O123" s="88"/>
      <c r="P123" s="88"/>
      <c r="Q123" s="88"/>
    </row>
    <row r="124" spans="1:17" ht="15.6">
      <c r="A124" s="22"/>
      <c r="B124" s="23"/>
      <c r="C124" s="23" t="e">
        <f>Sites[[#This Row],[SOL'#]]</f>
        <v>#VALUE!</v>
      </c>
      <c r="D124" s="48"/>
      <c r="E124" s="8"/>
      <c r="F124" s="8"/>
      <c r="G124" s="9"/>
      <c r="H124" s="58"/>
      <c r="I124" s="10"/>
      <c r="J124" s="11"/>
      <c r="K124" s="50"/>
      <c r="L124" s="94"/>
      <c r="M124" s="87"/>
      <c r="N124" s="88"/>
      <c r="O124" s="88"/>
      <c r="P124" s="88"/>
      <c r="Q124" s="88"/>
    </row>
    <row r="125" spans="1:17" ht="15.6">
      <c r="A125" s="24"/>
      <c r="B125" s="25"/>
      <c r="C125" s="25" t="e">
        <f>Sites[[#This Row],[SOL'#]]</f>
        <v>#VALUE!</v>
      </c>
      <c r="D125" s="57"/>
      <c r="E125" s="12"/>
      <c r="F125" s="12"/>
      <c r="G125" s="13"/>
      <c r="H125" s="60"/>
      <c r="I125" s="14"/>
      <c r="J125" s="13"/>
      <c r="K125" s="44"/>
      <c r="L125" s="100"/>
      <c r="M125" s="88"/>
      <c r="N125" s="88"/>
      <c r="O125" s="88"/>
      <c r="P125" s="88"/>
      <c r="Q125" s="88"/>
    </row>
    <row r="126" spans="1:17" ht="15.6">
      <c r="A126" s="22"/>
      <c r="B126" s="23"/>
      <c r="C126" s="23" t="e">
        <f>Sites[[#This Row],[SOL'#]]</f>
        <v>#VALUE!</v>
      </c>
      <c r="D126" s="48"/>
      <c r="E126" s="8"/>
      <c r="F126" s="8"/>
      <c r="G126" s="9"/>
      <c r="H126" s="58"/>
      <c r="I126" s="10"/>
      <c r="J126" s="11"/>
      <c r="K126" s="50"/>
      <c r="L126" s="94"/>
      <c r="M126" s="88"/>
      <c r="N126" s="88"/>
      <c r="O126" s="88"/>
      <c r="P126" s="88"/>
      <c r="Q126" s="88"/>
    </row>
    <row r="127" spans="1:17" ht="15.6">
      <c r="A127" s="24"/>
      <c r="B127" s="25"/>
      <c r="C127" s="25" t="e">
        <f>Sites[[#This Row],[SOL'#]]</f>
        <v>#VALUE!</v>
      </c>
      <c r="D127" s="57"/>
      <c r="E127" s="12"/>
      <c r="F127" s="12"/>
      <c r="G127" s="13"/>
      <c r="H127" s="60"/>
      <c r="I127" s="14"/>
      <c r="J127" s="13"/>
      <c r="K127" s="36"/>
      <c r="L127" s="96"/>
      <c r="M127" s="88"/>
      <c r="N127" s="88"/>
      <c r="O127" s="88"/>
      <c r="P127" s="88"/>
      <c r="Q127" s="88"/>
    </row>
    <row r="128" spans="1:17" ht="40.5" customHeight="1">
      <c r="A128" s="22"/>
      <c r="B128" s="23"/>
      <c r="C128" s="23" t="e">
        <f>Sites[[#This Row],[SOL'#]]</f>
        <v>#VALUE!</v>
      </c>
      <c r="D128" s="48"/>
      <c r="E128" s="8"/>
      <c r="F128" s="8"/>
      <c r="G128" s="9"/>
      <c r="H128" s="58"/>
      <c r="I128" s="10"/>
      <c r="J128" s="11"/>
      <c r="K128" s="50"/>
      <c r="L128" s="94"/>
      <c r="M128" s="88"/>
      <c r="N128" s="88"/>
      <c r="O128" s="88"/>
      <c r="P128" s="88"/>
      <c r="Q128" s="88"/>
    </row>
    <row r="129" spans="1:17" ht="40.5" customHeight="1">
      <c r="A129" s="24"/>
      <c r="B129" s="25"/>
      <c r="C129" s="25" t="e">
        <f>Sites[[#This Row],[SOL'#]]</f>
        <v>#VALUE!</v>
      </c>
      <c r="D129" s="57"/>
      <c r="E129" s="12"/>
      <c r="F129" s="12"/>
      <c r="G129" s="13"/>
      <c r="H129" s="60"/>
      <c r="I129" s="14"/>
      <c r="J129" s="13"/>
      <c r="K129" s="36"/>
      <c r="L129" s="86"/>
      <c r="M129" s="88"/>
      <c r="N129" s="88"/>
      <c r="O129" s="88"/>
      <c r="P129" s="88"/>
      <c r="Q129" s="88"/>
    </row>
    <row r="130" spans="1:17" ht="15.6">
      <c r="A130" s="22"/>
      <c r="B130" s="23"/>
      <c r="C130" s="23" t="e">
        <f>Sites[[#This Row],[SOL'#]]</f>
        <v>#VALUE!</v>
      </c>
      <c r="D130" s="48"/>
      <c r="E130" s="8"/>
      <c r="F130" s="8"/>
      <c r="G130" s="9"/>
      <c r="H130" s="58"/>
      <c r="I130" s="10"/>
      <c r="J130" s="11"/>
      <c r="K130" s="50"/>
      <c r="L130" s="94"/>
      <c r="M130" s="88"/>
      <c r="N130" s="88"/>
      <c r="O130" s="88"/>
      <c r="P130" s="88"/>
      <c r="Q130" s="88"/>
    </row>
    <row r="131" spans="1:17" ht="15.6">
      <c r="A131" s="24"/>
      <c r="B131" s="25"/>
      <c r="C131" s="25" t="e">
        <f>Sites[[#This Row],[SOL'#]]</f>
        <v>#VALUE!</v>
      </c>
      <c r="D131" s="57"/>
      <c r="E131" s="12"/>
      <c r="F131" s="12"/>
      <c r="G131" s="13"/>
      <c r="H131" s="60"/>
      <c r="I131" s="14"/>
      <c r="J131" s="13"/>
      <c r="K131" s="36"/>
      <c r="L131" s="15"/>
      <c r="M131" s="88"/>
      <c r="N131" s="88"/>
      <c r="O131" s="88"/>
      <c r="P131" s="88"/>
      <c r="Q131" s="88"/>
    </row>
    <row r="132" spans="1:17" ht="15.6">
      <c r="A132" s="22"/>
      <c r="B132" s="23"/>
      <c r="C132" s="23" t="e">
        <f>Sites[[#This Row],[SOL'#]]</f>
        <v>#VALUE!</v>
      </c>
      <c r="D132" s="48"/>
      <c r="E132" s="8"/>
      <c r="F132" s="8"/>
      <c r="G132" s="9"/>
      <c r="H132" s="58"/>
      <c r="I132" s="10"/>
      <c r="J132" s="11"/>
      <c r="K132" s="50"/>
      <c r="L132" s="35"/>
      <c r="M132" s="88"/>
      <c r="N132" s="88"/>
      <c r="O132" s="88"/>
      <c r="P132" s="88"/>
      <c r="Q132" s="88"/>
    </row>
    <row r="133" spans="1:17" ht="84.75" customHeight="1">
      <c r="A133" s="24"/>
      <c r="B133" s="25"/>
      <c r="C133" s="25" t="e">
        <f>Sites[[#This Row],[SOL'#]]</f>
        <v>#VALUE!</v>
      </c>
      <c r="D133" s="57"/>
      <c r="E133" s="12"/>
      <c r="F133" s="12"/>
      <c r="G133" s="13"/>
      <c r="H133" s="60"/>
      <c r="I133" s="14"/>
      <c r="J133" s="13"/>
      <c r="K133" s="36"/>
      <c r="L133" s="104"/>
      <c r="M133" s="87"/>
      <c r="N133" s="87"/>
      <c r="O133" s="88"/>
      <c r="P133" s="88"/>
      <c r="Q133" s="88"/>
    </row>
    <row r="134" spans="1:17" ht="15.6">
      <c r="A134" s="22"/>
      <c r="B134" s="23"/>
      <c r="C134" s="23" t="e">
        <f>Sites[[#This Row],[SOL'#]]</f>
        <v>#VALUE!</v>
      </c>
      <c r="D134" s="48"/>
      <c r="E134" s="8"/>
      <c r="F134" s="8"/>
      <c r="G134" s="9"/>
      <c r="H134" s="58"/>
      <c r="I134" s="10"/>
      <c r="J134" s="11"/>
      <c r="K134" s="50"/>
      <c r="L134" s="94"/>
      <c r="M134" s="88"/>
      <c r="N134" s="88"/>
      <c r="O134" s="88"/>
      <c r="P134" s="88"/>
      <c r="Q134" s="88"/>
    </row>
    <row r="135" spans="1:17" ht="15.6">
      <c r="A135" s="24"/>
      <c r="B135" s="25"/>
      <c r="C135" s="25" t="e">
        <f>Sites[[#This Row],[SOL'#]]</f>
        <v>#VALUE!</v>
      </c>
      <c r="D135" s="57"/>
      <c r="E135" s="12"/>
      <c r="F135" s="12"/>
      <c r="G135" s="13"/>
      <c r="H135" s="60"/>
      <c r="I135" s="14"/>
      <c r="J135" s="13"/>
      <c r="K135" s="36"/>
      <c r="L135" s="15"/>
      <c r="M135" s="88"/>
      <c r="N135" s="88"/>
      <c r="O135" s="88"/>
      <c r="P135" s="88"/>
      <c r="Q135" s="88"/>
    </row>
    <row r="136" spans="1:17" ht="15.6">
      <c r="A136" s="22"/>
      <c r="B136" s="23"/>
      <c r="C136" s="23" t="e">
        <f>Sites[[#This Row],[SOL'#]]</f>
        <v>#VALUE!</v>
      </c>
      <c r="D136" s="48"/>
      <c r="E136" s="8"/>
      <c r="F136" s="8"/>
      <c r="G136" s="9"/>
      <c r="H136" s="58"/>
      <c r="I136" s="10"/>
      <c r="J136" s="11"/>
      <c r="K136" s="50"/>
      <c r="L136" s="94"/>
      <c r="M136" s="88"/>
      <c r="N136" s="88"/>
      <c r="O136" s="88"/>
      <c r="P136" s="88"/>
      <c r="Q136" s="88"/>
    </row>
    <row r="137" spans="1:17" ht="15.6">
      <c r="A137" s="24"/>
      <c r="B137" s="25"/>
      <c r="C137" s="25" t="e">
        <f>Sites[[#This Row],[SOL'#]]</f>
        <v>#VALUE!</v>
      </c>
      <c r="D137" s="57"/>
      <c r="E137" s="12"/>
      <c r="F137" s="12"/>
      <c r="G137" s="13"/>
      <c r="H137" s="60"/>
      <c r="I137" s="14"/>
      <c r="J137" s="13"/>
      <c r="K137" s="36"/>
      <c r="L137" s="96"/>
      <c r="M137" s="88"/>
      <c r="N137" s="88"/>
      <c r="O137" s="88"/>
      <c r="P137" s="88"/>
      <c r="Q137" s="88"/>
    </row>
    <row r="138" spans="1:17" ht="15.6">
      <c r="A138" s="22"/>
      <c r="B138" s="23"/>
      <c r="C138" s="23" t="e">
        <f>Sites[[#This Row],[SOL'#]]</f>
        <v>#VALUE!</v>
      </c>
      <c r="D138" s="48"/>
      <c r="E138" s="8"/>
      <c r="F138" s="8"/>
      <c r="G138" s="9"/>
      <c r="H138" s="58"/>
      <c r="I138" s="10"/>
      <c r="J138" s="11"/>
      <c r="K138" s="50"/>
      <c r="L138" s="94"/>
      <c r="M138" s="88"/>
      <c r="N138" s="88"/>
      <c r="O138" s="88"/>
      <c r="P138" s="88"/>
      <c r="Q138" s="88"/>
    </row>
    <row r="139" spans="1:17" ht="15.6">
      <c r="A139" s="24"/>
      <c r="B139" s="25"/>
      <c r="C139" s="25" t="e">
        <f>Sites[[#This Row],[SOL'#]]</f>
        <v>#VALUE!</v>
      </c>
      <c r="D139" s="57"/>
      <c r="E139" s="12"/>
      <c r="F139" s="12"/>
      <c r="G139" s="13"/>
      <c r="H139" s="60"/>
      <c r="I139" s="14"/>
      <c r="J139" s="13"/>
      <c r="K139" s="36"/>
      <c r="L139" s="99"/>
      <c r="M139" s="88"/>
      <c r="N139" s="88"/>
      <c r="O139" s="88"/>
      <c r="P139" s="88"/>
      <c r="Q139" s="88"/>
    </row>
    <row r="140" spans="1:17" ht="99.75" customHeight="1">
      <c r="A140" s="22"/>
      <c r="B140" s="23"/>
      <c r="C140" s="23" t="e">
        <f>Sites[[#This Row],[SOL'#]]</f>
        <v>#VALUE!</v>
      </c>
      <c r="D140" s="48"/>
      <c r="E140" s="8"/>
      <c r="F140" s="8"/>
      <c r="G140" s="9"/>
      <c r="H140" s="58"/>
      <c r="I140" s="10"/>
      <c r="J140" s="11"/>
      <c r="K140" s="50"/>
      <c r="L140" s="94"/>
      <c r="M140" s="87"/>
      <c r="N140" s="87"/>
      <c r="O140" s="87"/>
      <c r="P140" s="87"/>
      <c r="Q140" s="87"/>
    </row>
    <row r="141" spans="1:17" ht="15.6">
      <c r="A141" s="24"/>
      <c r="B141" s="25"/>
      <c r="C141" s="25" t="e">
        <f>Sites[[#This Row],[SOL'#]]</f>
        <v>#VALUE!</v>
      </c>
      <c r="D141" s="57"/>
      <c r="E141" s="12"/>
      <c r="F141" s="12"/>
      <c r="G141" s="13"/>
      <c r="H141" s="60"/>
      <c r="I141" s="14"/>
      <c r="J141" s="13"/>
      <c r="K141" s="36"/>
      <c r="L141" s="96"/>
      <c r="M141" s="88"/>
      <c r="N141" s="88"/>
      <c r="O141" s="88"/>
      <c r="P141" s="88"/>
      <c r="Q141" s="88"/>
    </row>
    <row r="142" spans="1:17" ht="15.6">
      <c r="A142" s="22"/>
      <c r="B142" s="23"/>
      <c r="C142" s="23" t="e">
        <f>Sites[[#This Row],[SOL'#]]</f>
        <v>#VALUE!</v>
      </c>
      <c r="D142" s="48"/>
      <c r="E142" s="8"/>
      <c r="F142" s="8"/>
      <c r="G142" s="9"/>
      <c r="H142" s="58"/>
      <c r="I142" s="10"/>
      <c r="J142" s="11"/>
      <c r="K142" s="50"/>
      <c r="L142" s="35"/>
      <c r="M142" s="88"/>
      <c r="N142" s="88"/>
      <c r="O142" s="88"/>
      <c r="P142" s="88"/>
      <c r="Q142" s="88"/>
    </row>
    <row r="143" spans="1:17" ht="15.6">
      <c r="A143" s="24"/>
      <c r="B143" s="25"/>
      <c r="C143" s="25" t="e">
        <f>Sites[[#This Row],[SOL'#]]</f>
        <v>#VALUE!</v>
      </c>
      <c r="D143" s="57"/>
      <c r="E143" s="12"/>
      <c r="F143" s="12"/>
      <c r="G143" s="13"/>
      <c r="H143" s="60"/>
      <c r="I143" s="14"/>
      <c r="J143" s="13"/>
      <c r="K143" s="36"/>
      <c r="L143" s="104"/>
      <c r="M143" s="87"/>
      <c r="N143" s="88"/>
      <c r="O143" s="88"/>
      <c r="P143" s="88"/>
      <c r="Q143" s="88"/>
    </row>
    <row r="144" spans="1:17" ht="15.6">
      <c r="A144" s="22"/>
      <c r="B144" s="23"/>
      <c r="C144" s="23" t="e">
        <f>Sites[[#This Row],[SOL'#]]</f>
        <v>#VALUE!</v>
      </c>
      <c r="D144" s="48"/>
      <c r="E144" s="8"/>
      <c r="F144" s="8"/>
      <c r="G144" s="9"/>
      <c r="H144" s="58"/>
      <c r="I144" s="10"/>
      <c r="J144" s="11"/>
      <c r="K144" s="50"/>
      <c r="L144" s="94"/>
      <c r="M144" s="87"/>
      <c r="N144" s="88"/>
      <c r="O144" s="88"/>
      <c r="P144" s="88"/>
      <c r="Q144" s="88"/>
    </row>
    <row r="145" spans="1:17" ht="15.6">
      <c r="A145" s="24"/>
      <c r="B145" s="25"/>
      <c r="C145" s="25" t="e">
        <f>Sites[[#This Row],[SOL'#]]</f>
        <v>#VALUE!</v>
      </c>
      <c r="D145" s="57"/>
      <c r="E145" s="12"/>
      <c r="F145" s="12"/>
      <c r="G145" s="13"/>
      <c r="H145" s="60"/>
      <c r="I145" s="14"/>
      <c r="J145" s="13"/>
      <c r="K145" s="36"/>
      <c r="L145" s="104"/>
      <c r="M145" s="87"/>
      <c r="N145" s="88"/>
      <c r="O145" s="88"/>
      <c r="P145" s="88"/>
      <c r="Q145" s="88"/>
    </row>
    <row r="146" spans="1:17" ht="15.6">
      <c r="A146" s="22"/>
      <c r="B146" s="23"/>
      <c r="C146" s="23" t="e">
        <f>Sites[[#This Row],[SOL'#]]</f>
        <v>#VALUE!</v>
      </c>
      <c r="D146" s="48"/>
      <c r="E146" s="8"/>
      <c r="F146" s="8"/>
      <c r="G146" s="9"/>
      <c r="H146" s="58"/>
      <c r="I146" s="10"/>
      <c r="J146" s="11"/>
      <c r="K146" s="50"/>
      <c r="L146" s="94"/>
      <c r="M146" s="87"/>
      <c r="N146" s="88"/>
      <c r="O146" s="88"/>
      <c r="P146" s="88"/>
      <c r="Q146" s="88"/>
    </row>
    <row r="147" spans="1:17" ht="15.6">
      <c r="A147" s="24"/>
      <c r="B147" s="25"/>
      <c r="C147" s="25" t="e">
        <f>Sites[[#This Row],[SOL'#]]</f>
        <v>#VALUE!</v>
      </c>
      <c r="D147" s="57"/>
      <c r="E147" s="12"/>
      <c r="F147" s="12"/>
      <c r="G147" s="13"/>
      <c r="H147" s="60"/>
      <c r="I147" s="14"/>
      <c r="J147" s="13"/>
      <c r="K147" s="36"/>
      <c r="L147" s="104"/>
      <c r="M147" s="87"/>
      <c r="N147" s="88"/>
      <c r="O147" s="88"/>
      <c r="P147" s="88"/>
      <c r="Q147" s="88"/>
    </row>
    <row r="148" spans="1:17" ht="15.6">
      <c r="A148" s="22"/>
      <c r="B148" s="23"/>
      <c r="C148" s="23" t="e">
        <f>Sites[[#This Row],[SOL'#]]</f>
        <v>#VALUE!</v>
      </c>
      <c r="D148" s="48"/>
      <c r="E148" s="8"/>
      <c r="F148" s="8"/>
      <c r="G148" s="9"/>
      <c r="H148" s="58"/>
      <c r="I148" s="10"/>
      <c r="J148" s="11"/>
      <c r="K148" s="50"/>
      <c r="L148" s="94"/>
      <c r="M148" s="87"/>
      <c r="N148" s="88"/>
      <c r="O148" s="88"/>
      <c r="P148" s="88"/>
      <c r="Q148" s="88"/>
    </row>
    <row r="149" spans="1:17" ht="15.6">
      <c r="A149" s="24"/>
      <c r="B149" s="25"/>
      <c r="C149" s="25" t="e">
        <f>Sites[[#This Row],[SOL'#]]</f>
        <v>#VALUE!</v>
      </c>
      <c r="D149" s="57"/>
      <c r="E149" s="12"/>
      <c r="F149" s="12"/>
      <c r="G149" s="13"/>
      <c r="H149" s="60"/>
      <c r="I149" s="14"/>
      <c r="J149" s="13"/>
      <c r="K149" s="36"/>
      <c r="L149" s="99"/>
      <c r="M149" s="88"/>
      <c r="N149" s="88"/>
      <c r="O149" s="88"/>
      <c r="P149" s="88"/>
      <c r="Q149" s="88"/>
    </row>
    <row r="150" spans="1:17" ht="100.5" customHeight="1">
      <c r="A150" s="22"/>
      <c r="B150" s="23"/>
      <c r="C150" s="23" t="e">
        <f>Sites[[#This Row],[SOL'#]]</f>
        <v>#VALUE!</v>
      </c>
      <c r="D150" s="48"/>
      <c r="E150" s="8"/>
      <c r="F150" s="8"/>
      <c r="G150" s="9"/>
      <c r="H150" s="58"/>
      <c r="I150" s="10"/>
      <c r="J150" s="11"/>
      <c r="K150" s="50"/>
      <c r="L150" s="94"/>
      <c r="M150" s="87"/>
      <c r="N150" s="87"/>
      <c r="O150" s="88"/>
      <c r="P150" s="88"/>
      <c r="Q150" s="88"/>
    </row>
    <row r="151" spans="1:17" ht="15.6">
      <c r="A151" s="24"/>
      <c r="B151" s="25"/>
      <c r="C151" s="25" t="e">
        <f>Sites[[#This Row],[SOL'#]]</f>
        <v>#VALUE!</v>
      </c>
      <c r="D151" s="57"/>
      <c r="E151" s="12"/>
      <c r="F151" s="12"/>
      <c r="G151" s="13"/>
      <c r="H151" s="60"/>
      <c r="I151" s="14"/>
      <c r="J151" s="13"/>
      <c r="K151" s="36"/>
      <c r="L151" s="15"/>
      <c r="M151" s="88"/>
      <c r="N151" s="88"/>
      <c r="O151" s="88"/>
      <c r="P151" s="88"/>
      <c r="Q151" s="88"/>
    </row>
    <row r="152" spans="1:17" ht="15.6">
      <c r="A152" s="22"/>
      <c r="B152" s="23"/>
      <c r="C152" s="23" t="e">
        <f>Sites[[#This Row],[SOL'#]]</f>
        <v>#VALUE!</v>
      </c>
      <c r="D152" s="48"/>
      <c r="E152" s="8"/>
      <c r="F152" s="8"/>
      <c r="G152" s="9"/>
      <c r="H152" s="58"/>
      <c r="I152" s="10"/>
      <c r="J152" s="11"/>
      <c r="K152" s="50"/>
      <c r="L152" s="94"/>
      <c r="M152" s="87"/>
      <c r="N152" s="87"/>
      <c r="O152" s="88"/>
      <c r="P152" s="88"/>
      <c r="Q152" s="88"/>
    </row>
    <row r="153" spans="1:17" ht="15.6">
      <c r="A153" s="24"/>
      <c r="B153" s="25"/>
      <c r="C153" s="25" t="e">
        <f>Sites[[#This Row],[SOL'#]]</f>
        <v>#VALUE!</v>
      </c>
      <c r="D153" s="57"/>
      <c r="E153" s="12"/>
      <c r="F153" s="12"/>
      <c r="G153" s="13"/>
      <c r="H153" s="60"/>
      <c r="I153" s="14"/>
      <c r="J153" s="13"/>
      <c r="K153" s="36"/>
      <c r="L153" s="99"/>
      <c r="M153" s="88"/>
      <c r="N153" s="88"/>
      <c r="O153" s="88"/>
      <c r="P153" s="88"/>
      <c r="Q153" s="88"/>
    </row>
    <row r="154" spans="1:17" ht="15.6">
      <c r="A154" s="22"/>
      <c r="B154" s="23"/>
      <c r="C154" s="23" t="e">
        <f>Sites[[#This Row],[SOL'#]]</f>
        <v>#VALUE!</v>
      </c>
      <c r="D154" s="48"/>
      <c r="E154" s="8"/>
      <c r="F154" s="8"/>
      <c r="G154" s="9"/>
      <c r="H154" s="58"/>
      <c r="I154" s="10"/>
      <c r="J154" s="11"/>
      <c r="K154" s="50"/>
      <c r="L154" s="94"/>
      <c r="M154" s="88"/>
      <c r="N154" s="88"/>
      <c r="O154" s="88"/>
      <c r="P154" s="88"/>
      <c r="Q154" s="88"/>
    </row>
    <row r="155" spans="1:17" ht="15.6">
      <c r="A155" s="24"/>
      <c r="B155" s="25"/>
      <c r="C155" s="25" t="e">
        <f>Sites[[#This Row],[SOL'#]]</f>
        <v>#VALUE!</v>
      </c>
      <c r="D155" s="57"/>
      <c r="E155" s="12"/>
      <c r="F155" s="12"/>
      <c r="G155" s="13"/>
      <c r="H155" s="60"/>
      <c r="I155" s="14"/>
      <c r="J155" s="13"/>
      <c r="K155" s="36"/>
      <c r="L155" s="104"/>
      <c r="M155" s="87"/>
      <c r="N155" s="88"/>
      <c r="O155" s="88"/>
      <c r="P155" s="88"/>
      <c r="Q155" s="88"/>
    </row>
    <row r="156" spans="1:17" ht="15.6">
      <c r="A156" s="22"/>
      <c r="B156" s="23"/>
      <c r="C156" s="23" t="e">
        <f>Sites[[#This Row],[SOL'#]]</f>
        <v>#VALUE!</v>
      </c>
      <c r="D156" s="48"/>
      <c r="E156" s="8"/>
      <c r="F156" s="8"/>
      <c r="G156" s="9"/>
      <c r="H156" s="58"/>
      <c r="I156" s="10"/>
      <c r="J156" s="11"/>
      <c r="K156" s="50"/>
      <c r="L156" s="94"/>
      <c r="M156" s="87"/>
      <c r="N156" s="88"/>
      <c r="O156" s="88"/>
      <c r="P156" s="88"/>
      <c r="Q156" s="88"/>
    </row>
    <row r="157" spans="1:17" ht="15.6">
      <c r="A157" s="24"/>
      <c r="B157" s="25"/>
      <c r="C157" s="25" t="e">
        <f>Sites[[#This Row],[SOL'#]]</f>
        <v>#VALUE!</v>
      </c>
      <c r="D157" s="57"/>
      <c r="E157" s="12"/>
      <c r="F157" s="12"/>
      <c r="G157" s="13"/>
      <c r="H157" s="60"/>
      <c r="I157" s="14"/>
      <c r="J157" s="13"/>
      <c r="K157" s="36"/>
      <c r="L157" s="104"/>
      <c r="M157" s="88"/>
      <c r="N157" s="88"/>
      <c r="O157" s="88"/>
      <c r="P157" s="88"/>
      <c r="Q157" s="88"/>
    </row>
    <row r="158" spans="1:17" ht="15.6">
      <c r="A158" s="22"/>
      <c r="B158" s="23"/>
      <c r="C158" s="23" t="e">
        <f>Sites[[#This Row],[SOL'#]]</f>
        <v>#VALUE!</v>
      </c>
      <c r="D158" s="48"/>
      <c r="E158" s="8"/>
      <c r="F158" s="8"/>
      <c r="G158" s="9"/>
      <c r="H158" s="58"/>
      <c r="I158" s="10"/>
      <c r="J158" s="11"/>
      <c r="K158" s="50"/>
      <c r="L158" s="94"/>
      <c r="M158" s="88"/>
      <c r="N158" s="88"/>
      <c r="O158" s="88"/>
      <c r="P158" s="88"/>
      <c r="Q158" s="88"/>
    </row>
  </sheetData>
  <mergeCells count="4">
    <mergeCell ref="H1:J1"/>
    <mergeCell ref="A1:D1"/>
    <mergeCell ref="E1:G1"/>
    <mergeCell ref="A2:B2"/>
  </mergeCells>
  <phoneticPr fontId="38" type="noConversion"/>
  <conditionalFormatting sqref="G2 J2 G4:G158 J4:J158">
    <cfRule type="cellIs" dxfId="34" priority="35" stopIfTrue="1" operator="lessThanOrEqual">
      <formula>-0.1</formula>
    </cfRule>
    <cfRule type="expression" dxfId="33" priority="36">
      <formula>AND(ISNUMBER(G2), G2&gt;=0.1)</formula>
    </cfRule>
  </conditionalFormatting>
  <hyperlinks>
    <hyperlink ref="S74" r:id="rId1" display="https://us3.assetplanner.com/service_request?ID=098594" xr:uid="{EEADDCD6-EA20-4596-AF2C-369655F36EA1}"/>
    <hyperlink ref="T74" r:id="rId2" display="https://us3.assetplanner.com/service_request?ID=098779" xr:uid="{5FF14E2E-F774-4DD6-87F2-602DF01B1AD7}"/>
    <hyperlink ref="U74" r:id="rId3" display="https://us3.assetplanner.com/service_request?ID=098902" xr:uid="{8CDED041-EE62-4DB7-BB47-4EA0838E39B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43"/>
  <sheetViews>
    <sheetView zoomScale="70" zoomScaleNormal="70" workbookViewId="0">
      <pane xSplit="2" ySplit="3" topLeftCell="C36" activePane="bottomRight" state="frozen"/>
      <selection pane="bottomRight" activeCell="K59" sqref="K59"/>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38" t="str" cm="1">
        <f t="array" ref="A1">portfolio</f>
        <v>GoodFinch</v>
      </c>
      <c r="B1" s="138"/>
      <c r="C1" s="138"/>
      <c r="D1" s="138"/>
      <c r="E1" s="139" t="s">
        <v>30</v>
      </c>
      <c r="F1" s="139"/>
      <c r="G1" s="139"/>
      <c r="H1" s="137" t="s">
        <v>31</v>
      </c>
      <c r="I1" s="137"/>
      <c r="J1" s="137"/>
      <c r="K1" s="2"/>
      <c r="L1" s="2"/>
    </row>
    <row r="2" spans="1:20" ht="19.5" customHeight="1">
      <c r="A2" s="140" t="s">
        <v>2</v>
      </c>
      <c r="B2" s="140"/>
      <c r="C2" s="51"/>
      <c r="D2" s="3">
        <f>SUM(D4:D42)</f>
        <v>0</v>
      </c>
      <c r="E2" s="3">
        <f>SUM(E4:E42)</f>
        <v>0</v>
      </c>
      <c r="F2" s="3">
        <f>D2-E2</f>
        <v>0</v>
      </c>
      <c r="G2" s="4">
        <f>IFERROR(F2/E2, 0)</f>
        <v>0</v>
      </c>
      <c r="H2" s="3">
        <f>SUM(H4:H42)</f>
        <v>0</v>
      </c>
      <c r="I2" s="5">
        <f>D2-H2</f>
        <v>0</v>
      </c>
      <c r="J2" s="4">
        <f>IFERROR(I2/H2, 0)</f>
        <v>0</v>
      </c>
      <c r="K2" s="20"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6" t="s">
        <v>3</v>
      </c>
      <c r="B3" s="6" t="s">
        <v>4</v>
      </c>
      <c r="C3" s="6" t="s">
        <v>5</v>
      </c>
      <c r="D3" s="17" t="s">
        <v>6</v>
      </c>
      <c r="E3" s="29" t="s">
        <v>7</v>
      </c>
      <c r="F3" s="29" t="s">
        <v>8</v>
      </c>
      <c r="G3" s="30" t="s">
        <v>9</v>
      </c>
      <c r="H3" s="31"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36"/>
      <c r="L4" s="37"/>
      <c r="M4" s="88"/>
      <c r="N4" s="88"/>
      <c r="O4" s="88"/>
      <c r="P4" s="88"/>
      <c r="Q4" s="88"/>
      <c r="R4" s="88"/>
      <c r="S4" s="88"/>
      <c r="T4" s="88"/>
    </row>
    <row r="5" spans="1:20" ht="15.6">
      <c r="A5" s="22" t="str">
        <v>AZ: Tempe - ASU - Fulton</v>
      </c>
      <c r="B5" s="23" t="str">
        <v>AZ</v>
      </c>
      <c r="C5" s="23" t="str">
        <f>Sites[[#This Row],[SOL'#]]</f>
        <v>SOL-10749</v>
      </c>
      <c r="D5" s="18"/>
      <c r="E5" s="8"/>
      <c r="F5" s="8"/>
      <c r="G5" s="9"/>
      <c r="H5" s="10"/>
      <c r="I5" s="10"/>
      <c r="J5" s="56"/>
      <c r="K5" s="52"/>
      <c r="L5" s="52"/>
      <c r="M5" s="88"/>
      <c r="N5" s="88"/>
      <c r="O5" s="88"/>
      <c r="P5" s="88"/>
      <c r="Q5" s="88"/>
      <c r="R5" s="88"/>
      <c r="S5" s="88"/>
      <c r="T5" s="88"/>
    </row>
    <row r="6" spans="1:20" ht="15.6">
      <c r="A6" s="24" t="str">
        <v>AZ: Superior - JFK Elementary</v>
      </c>
      <c r="B6" s="25" t="str">
        <v>AZ</v>
      </c>
      <c r="C6" s="25" t="str">
        <f>Sites[[#This Row],[SOL'#]]</f>
        <v>SOL-10758</v>
      </c>
      <c r="D6" s="7"/>
      <c r="E6" s="12"/>
      <c r="F6" s="12"/>
      <c r="G6" s="13"/>
      <c r="H6" s="14"/>
      <c r="I6" s="14"/>
      <c r="J6" s="13"/>
      <c r="K6" s="44"/>
      <c r="L6" s="37"/>
      <c r="M6" s="88"/>
      <c r="N6" s="88"/>
      <c r="O6" s="88"/>
      <c r="P6" s="88"/>
      <c r="Q6" s="88"/>
      <c r="R6" s="88"/>
      <c r="S6" s="88"/>
      <c r="T6" s="88"/>
    </row>
    <row r="7" spans="1:20" ht="15.6">
      <c r="A7" s="22" t="str">
        <v>AZ: Tempe - ASU - Noble</v>
      </c>
      <c r="B7" s="23" t="str">
        <v>AZ</v>
      </c>
      <c r="C7" s="23" t="str">
        <f>Sites[[#This Row],[SOL'#]]</f>
        <v>SOL-10750</v>
      </c>
      <c r="D7" s="18"/>
      <c r="E7" s="8"/>
      <c r="F7" s="8"/>
      <c r="G7" s="9"/>
      <c r="H7" s="10"/>
      <c r="I7" s="10"/>
      <c r="J7" s="56"/>
      <c r="K7" s="35"/>
      <c r="L7" s="94"/>
      <c r="M7" s="88"/>
      <c r="N7" s="88"/>
      <c r="O7" s="88"/>
      <c r="P7" s="88"/>
      <c r="Q7" s="88"/>
      <c r="R7" s="88"/>
      <c r="S7" s="88"/>
      <c r="T7" s="88"/>
    </row>
    <row r="8" spans="1:20" ht="15.6">
      <c r="A8" s="24" t="str">
        <v>AZ: Tempe - ASU - Parking #3</v>
      </c>
      <c r="B8" s="25" t="str">
        <v>AZ</v>
      </c>
      <c r="C8" s="25" t="str">
        <f>Sites[[#This Row],[SOL'#]]</f>
        <v>SOL-10751</v>
      </c>
      <c r="D8" s="7"/>
      <c r="E8" s="12"/>
      <c r="F8" s="12"/>
      <c r="G8" s="13"/>
      <c r="H8" s="14"/>
      <c r="I8" s="14"/>
      <c r="J8" s="13"/>
      <c r="K8" s="55"/>
      <c r="L8" s="106"/>
      <c r="M8" s="88"/>
      <c r="N8" s="88"/>
      <c r="O8" s="88"/>
      <c r="P8" s="88"/>
      <c r="Q8" s="88"/>
      <c r="R8" s="88"/>
      <c r="S8" s="88"/>
      <c r="T8" s="88"/>
    </row>
    <row r="9" spans="1:20" ht="15.6">
      <c r="A9" s="22" t="str">
        <v>AZ: Tempe - ASU - PE East</v>
      </c>
      <c r="B9" s="23" t="str">
        <v>AZ</v>
      </c>
      <c r="C9" s="23" t="str">
        <f>Sites[[#This Row],[SOL'#]]</f>
        <v>SOL-10752</v>
      </c>
      <c r="D9" s="18"/>
      <c r="E9" s="8"/>
      <c r="F9" s="8"/>
      <c r="G9" s="9"/>
      <c r="H9" s="10"/>
      <c r="I9" s="10"/>
      <c r="J9" s="56"/>
      <c r="K9" s="35"/>
      <c r="L9" s="35"/>
      <c r="M9" s="88"/>
      <c r="N9" s="88"/>
      <c r="O9" s="88"/>
      <c r="P9" s="88"/>
      <c r="Q9" s="88"/>
      <c r="R9" s="88"/>
      <c r="S9" s="88"/>
      <c r="T9" s="88"/>
    </row>
    <row r="10" spans="1:20" ht="15.6">
      <c r="A10" s="24" t="str">
        <v>AZ: Tempe - ASU - Schwada</v>
      </c>
      <c r="B10" s="25" t="str">
        <v>AZ</v>
      </c>
      <c r="C10" s="25" t="str">
        <f>Sites[[#This Row],[SOL'#]]</f>
        <v>SOL-10753</v>
      </c>
      <c r="D10" s="7"/>
      <c r="E10" s="12"/>
      <c r="F10" s="12"/>
      <c r="G10" s="13"/>
      <c r="H10" s="14"/>
      <c r="I10" s="14"/>
      <c r="J10" s="13"/>
      <c r="K10" s="36"/>
      <c r="L10" s="37"/>
      <c r="M10" s="88"/>
      <c r="N10" s="88"/>
      <c r="O10" s="88"/>
      <c r="P10" s="88"/>
      <c r="Q10" s="88"/>
      <c r="R10" s="88"/>
      <c r="S10" s="88"/>
      <c r="T10" s="88"/>
    </row>
    <row r="11" spans="1:20" ht="15.6">
      <c r="A11" s="22" t="str">
        <v>AZ: Phoenix - Starshine Academy</v>
      </c>
      <c r="B11" s="23" t="str">
        <v>AZ</v>
      </c>
      <c r="C11" s="23" t="str">
        <f>Sites[[#This Row],[SOL'#]]</f>
        <v>SOL-10757</v>
      </c>
      <c r="D11" s="18"/>
      <c r="E11" s="8"/>
      <c r="F11" s="8"/>
      <c r="G11" s="9"/>
      <c r="H11" s="10"/>
      <c r="I11" s="10"/>
      <c r="J11" s="56"/>
      <c r="K11" s="35"/>
      <c r="L11" s="35"/>
      <c r="M11" s="88"/>
      <c r="N11" s="88"/>
      <c r="O11" s="88"/>
      <c r="P11" s="88"/>
      <c r="Q11" s="88"/>
      <c r="R11" s="88"/>
      <c r="S11" s="88"/>
      <c r="T11" s="88"/>
    </row>
    <row r="12" spans="1:20" ht="15.6">
      <c r="A12" s="24" t="str">
        <v>AZ: Yuma Airport</v>
      </c>
      <c r="B12" s="25" t="str">
        <v>AZ</v>
      </c>
      <c r="C12" s="25" t="str">
        <f>Sites[[#This Row],[SOL'#]]</f>
        <v>SOL-10754</v>
      </c>
      <c r="D12" s="7"/>
      <c r="E12" s="12"/>
      <c r="F12" s="12"/>
      <c r="G12" s="13"/>
      <c r="H12" s="14"/>
      <c r="I12" s="14"/>
      <c r="J12" s="13"/>
      <c r="K12" s="53"/>
      <c r="L12" s="106"/>
      <c r="M12" s="88"/>
      <c r="N12" s="88"/>
      <c r="O12" s="88"/>
      <c r="P12" s="88"/>
      <c r="Q12" s="88"/>
      <c r="R12" s="88"/>
      <c r="S12" s="88"/>
      <c r="T12" s="88"/>
    </row>
    <row r="13" spans="1:20" ht="15.6">
      <c r="A13" s="22" t="str">
        <v>AZ: Globe - Gila CC</v>
      </c>
      <c r="B13" s="23" t="str">
        <v>AZ</v>
      </c>
      <c r="C13" s="23" t="str">
        <f>Sites[[#This Row],[SOL'#]]</f>
        <v>SOL-10751</v>
      </c>
      <c r="D13" s="18"/>
      <c r="E13" s="8"/>
      <c r="F13" s="8"/>
      <c r="G13" s="9"/>
      <c r="H13" s="10"/>
      <c r="I13" s="10"/>
      <c r="J13" s="56"/>
      <c r="K13" s="35"/>
      <c r="L13" s="35"/>
      <c r="M13" s="88"/>
      <c r="N13" s="88"/>
      <c r="O13" s="88"/>
      <c r="P13" s="88"/>
      <c r="Q13" s="88"/>
      <c r="R13" s="88"/>
      <c r="S13" s="88"/>
      <c r="T13" s="88"/>
    </row>
    <row r="14" spans="1:20" ht="15.6">
      <c r="A14" s="24" t="str">
        <v>AZ: Payson - Gila CC</v>
      </c>
      <c r="B14" s="25" t="str">
        <v>AZ</v>
      </c>
      <c r="C14" s="25" t="str">
        <f>Sites[[#This Row],[SOL'#]]</f>
        <v>SOL-10748</v>
      </c>
      <c r="D14" s="7"/>
      <c r="E14" s="12"/>
      <c r="F14" s="12"/>
      <c r="G14" s="13"/>
      <c r="H14" s="14"/>
      <c r="I14" s="14"/>
      <c r="J14" s="13"/>
      <c r="K14" s="53"/>
      <c r="L14" s="106"/>
      <c r="M14" s="87"/>
      <c r="N14" s="87"/>
      <c r="O14" s="88"/>
      <c r="P14" s="88"/>
      <c r="Q14" s="88"/>
      <c r="R14" s="88"/>
      <c r="S14" s="88"/>
      <c r="T14" s="88"/>
    </row>
    <row r="15" spans="1:20" ht="15.6">
      <c r="A15" s="22" t="str">
        <v>AZ: Mesa - Sequoia Charter School</v>
      </c>
      <c r="B15" s="23" t="str">
        <v>AZ</v>
      </c>
      <c r="C15" s="23" t="str">
        <f>Sites[[#This Row],[SOL'#]]</f>
        <v>SOL-10759</v>
      </c>
      <c r="D15" s="18"/>
      <c r="E15" s="8"/>
      <c r="F15" s="8"/>
      <c r="G15" s="9"/>
      <c r="H15" s="10"/>
      <c r="I15" s="10"/>
      <c r="J15" s="56"/>
      <c r="K15" s="35"/>
      <c r="L15" s="35"/>
      <c r="M15" s="88"/>
      <c r="N15" s="88"/>
      <c r="O15" s="88"/>
      <c r="P15" s="88"/>
      <c r="Q15" s="88"/>
      <c r="R15" s="88"/>
      <c r="S15" s="88"/>
      <c r="T15" s="88"/>
    </row>
    <row r="16" spans="1:20" ht="28.5" customHeight="1">
      <c r="A16" s="24" t="str">
        <v>AZ: Tempe - SCNM</v>
      </c>
      <c r="B16" s="25" t="str">
        <v>AZ</v>
      </c>
      <c r="C16" s="25" t="str">
        <f>Sites[[#This Row],[SOL'#]]</f>
        <v>SOL-10760</v>
      </c>
      <c r="D16" s="7"/>
      <c r="E16" s="12"/>
      <c r="F16" s="12"/>
      <c r="G16" s="13"/>
      <c r="H16" s="14"/>
      <c r="I16" s="14"/>
      <c r="J16" s="13"/>
      <c r="K16" s="44"/>
      <c r="L16" s="95"/>
      <c r="M16" s="88"/>
      <c r="N16" s="88"/>
      <c r="O16" s="88"/>
      <c r="P16" s="88"/>
      <c r="Q16" s="88"/>
      <c r="R16" s="88"/>
      <c r="S16" s="88"/>
      <c r="T16" s="88"/>
    </row>
    <row r="17" spans="1:20" ht="15.6">
      <c r="A17" s="22" t="str">
        <v>DE: Newark - Clayton Hall</v>
      </c>
      <c r="B17" s="23" t="str">
        <v>DE</v>
      </c>
      <c r="C17" s="23" t="str">
        <f>Sites[[#This Row],[SOL'#]]</f>
        <v>SOL-10820</v>
      </c>
      <c r="D17" s="18"/>
      <c r="E17" s="8"/>
      <c r="F17" s="8"/>
      <c r="G17" s="9"/>
      <c r="H17" s="10"/>
      <c r="I17" s="10"/>
      <c r="J17" s="56"/>
      <c r="K17" s="52"/>
      <c r="L17" s="52"/>
      <c r="M17" s="88"/>
      <c r="N17" s="88"/>
      <c r="O17" s="88"/>
      <c r="P17" s="88"/>
      <c r="Q17" s="88"/>
      <c r="R17" s="88"/>
      <c r="S17" s="88"/>
      <c r="T17" s="88"/>
    </row>
    <row r="18" spans="1:20" ht="15.6">
      <c r="A18" s="24" t="str">
        <v>DE: Newark - UOD Field House</v>
      </c>
      <c r="B18" s="25" t="str">
        <v>DE</v>
      </c>
      <c r="C18" s="25" t="str">
        <f>Sites[[#This Row],[SOL'#]]</f>
        <v>SOL-10821</v>
      </c>
      <c r="D18" s="7"/>
      <c r="E18" s="12"/>
      <c r="F18" s="12"/>
      <c r="G18" s="13"/>
      <c r="H18" s="14"/>
      <c r="I18" s="14"/>
      <c r="J18" s="13"/>
      <c r="K18" s="53"/>
      <c r="L18" s="54"/>
      <c r="M18" s="88"/>
      <c r="N18" s="88"/>
      <c r="O18" s="88"/>
      <c r="P18" s="88"/>
      <c r="Q18" s="88"/>
      <c r="R18" s="88"/>
      <c r="S18" s="88"/>
      <c r="T18" s="88"/>
    </row>
    <row r="19" spans="1:20" ht="15.6">
      <c r="A19" s="22" t="str">
        <v>DE: Newark - UOD 461 Wyoming</v>
      </c>
      <c r="B19" s="23" t="str">
        <v>DE</v>
      </c>
      <c r="C19" s="23" t="str">
        <f>Sites[[#This Row],[SOL'#]]</f>
        <v>SOL-10819</v>
      </c>
      <c r="D19" s="18"/>
      <c r="E19" s="8"/>
      <c r="F19" s="8"/>
      <c r="G19" s="9"/>
      <c r="H19" s="10"/>
      <c r="I19" s="10"/>
      <c r="J19" s="56"/>
      <c r="K19" s="35"/>
      <c r="L19" s="35"/>
      <c r="M19" s="88"/>
      <c r="N19" s="88"/>
      <c r="O19" s="88"/>
      <c r="P19" s="88"/>
      <c r="Q19" s="88"/>
      <c r="R19" s="88"/>
      <c r="S19" s="88"/>
      <c r="T19" s="88"/>
    </row>
    <row r="20" spans="1:20" ht="172.5" customHeight="1">
      <c r="A20" s="24" t="str">
        <v>MD: Presston - Bird-in-Hand</v>
      </c>
      <c r="B20" s="25" t="str">
        <v>MD</v>
      </c>
      <c r="C20" s="25" t="str">
        <f>Sites[[#This Row],[SOL'#]]</f>
        <v>SOL-10092</v>
      </c>
      <c r="D20" s="7"/>
      <c r="E20" s="12"/>
      <c r="F20" s="12"/>
      <c r="G20" s="13"/>
      <c r="H20" s="14"/>
      <c r="I20" s="14"/>
      <c r="J20" s="13"/>
      <c r="K20" s="44"/>
      <c r="L20" s="95"/>
      <c r="M20" s="87"/>
      <c r="N20" s="87"/>
      <c r="O20" s="88"/>
      <c r="P20" s="88"/>
      <c r="Q20" s="88"/>
      <c r="R20" s="88"/>
      <c r="S20" s="88"/>
      <c r="T20" s="88"/>
    </row>
    <row r="21" spans="1:20" ht="15.6">
      <c r="A21" s="22" t="str">
        <v>MD: Easton - Shortall</v>
      </c>
      <c r="B21" s="23" t="str">
        <v>MD</v>
      </c>
      <c r="C21" s="23" t="str">
        <f>Sites[[#This Row],[SOL'#]]</f>
        <v>SOL-10091</v>
      </c>
      <c r="D21" s="18"/>
      <c r="E21" s="8"/>
      <c r="F21" s="8"/>
      <c r="G21" s="9"/>
      <c r="H21" s="10"/>
      <c r="I21" s="10"/>
      <c r="J21" s="56"/>
      <c r="K21" s="35"/>
      <c r="L21" s="94"/>
      <c r="M21" s="88"/>
      <c r="N21" s="88"/>
      <c r="O21" s="88"/>
      <c r="P21" s="88"/>
      <c r="Q21" s="88"/>
      <c r="R21" s="88"/>
      <c r="S21" s="88"/>
      <c r="T21" s="88"/>
    </row>
    <row r="22" spans="1:20" ht="15.6">
      <c r="A22" s="24" t="str">
        <v>MA: Boston - Seaport Solar</v>
      </c>
      <c r="B22" s="25" t="str">
        <v>MA</v>
      </c>
      <c r="C22" s="25" t="str">
        <f>Sites[[#This Row],[SOL'#]]</f>
        <v>SOL-10772</v>
      </c>
      <c r="D22" s="7"/>
      <c r="E22" s="12"/>
      <c r="F22" s="12"/>
      <c r="G22" s="13"/>
      <c r="H22" s="14"/>
      <c r="I22" s="14"/>
      <c r="J22" s="13"/>
      <c r="K22" s="36"/>
      <c r="L22" s="37"/>
      <c r="M22" s="88"/>
      <c r="N22" s="88"/>
      <c r="O22" s="88"/>
      <c r="P22" s="88"/>
      <c r="Q22" s="88"/>
      <c r="R22" s="88"/>
      <c r="S22" s="88"/>
      <c r="T22" s="88"/>
    </row>
    <row r="23" spans="1:20" ht="15.6">
      <c r="A23" s="22" t="str">
        <v>MA: Dedham - Sprague Street</v>
      </c>
      <c r="B23" s="23" t="str">
        <v>MA</v>
      </c>
      <c r="C23" s="23" t="str">
        <f>Sites[[#This Row],[SOL'#]]</f>
        <v>SOL-10773</v>
      </c>
      <c r="D23" s="18"/>
      <c r="E23" s="8"/>
      <c r="F23" s="8"/>
      <c r="G23" s="9"/>
      <c r="H23" s="10"/>
      <c r="I23" s="10"/>
      <c r="J23" s="56"/>
      <c r="K23" s="35"/>
      <c r="L23" s="94"/>
      <c r="M23" s="88"/>
      <c r="N23" s="88"/>
      <c r="O23" s="88"/>
      <c r="P23" s="88"/>
      <c r="Q23" s="88"/>
      <c r="R23" s="88"/>
      <c r="S23" s="88"/>
      <c r="T23" s="88"/>
    </row>
    <row r="24" spans="1:20" ht="15.6">
      <c r="A24" s="24" t="str">
        <v>MA: Boston - Summer Street</v>
      </c>
      <c r="B24" s="25" t="str">
        <v>MA</v>
      </c>
      <c r="C24" s="25" t="str">
        <f>Sites[[#This Row],[SOL'#]]</f>
        <v>SOL-10764</v>
      </c>
      <c r="D24" s="7"/>
      <c r="E24" s="12"/>
      <c r="F24" s="12"/>
      <c r="G24" s="13"/>
      <c r="H24" s="14"/>
      <c r="I24" s="14"/>
      <c r="J24" s="13"/>
      <c r="K24" s="36"/>
      <c r="L24" s="36"/>
      <c r="M24" s="88"/>
      <c r="N24" s="88"/>
      <c r="O24" s="88"/>
      <c r="P24" s="88"/>
      <c r="Q24" s="88"/>
      <c r="R24" s="88"/>
      <c r="S24" s="88"/>
      <c r="T24" s="88"/>
    </row>
    <row r="25" spans="1:20" ht="15.6">
      <c r="A25" s="22" t="str">
        <v>MA: Leominster - Spectro Coatings</v>
      </c>
      <c r="B25" s="23" t="str">
        <v>MA</v>
      </c>
      <c r="C25" s="23" t="str">
        <f>Sites[[#This Row],[SOL'#]]</f>
        <v>SOL-10074</v>
      </c>
      <c r="D25" s="18"/>
      <c r="E25" s="8"/>
      <c r="F25" s="8"/>
      <c r="G25" s="9"/>
      <c r="H25" s="10"/>
      <c r="I25" s="10"/>
      <c r="J25" s="56"/>
      <c r="K25" s="52"/>
      <c r="L25" s="52"/>
      <c r="M25" s="88"/>
      <c r="N25" s="88"/>
      <c r="O25" s="88"/>
      <c r="P25" s="88"/>
      <c r="Q25" s="88"/>
      <c r="R25" s="88"/>
      <c r="S25" s="88"/>
      <c r="T25" s="88"/>
    </row>
    <row r="26" spans="1:20" ht="155.25" customHeight="1">
      <c r="A26" s="24" t="str">
        <v>MA: Braintree - RCAB</v>
      </c>
      <c r="B26" s="25" t="str">
        <v>MA</v>
      </c>
      <c r="C26" s="25" t="str">
        <f>Sites[[#This Row],[SOL'#]]</f>
        <v>SOL-10838</v>
      </c>
      <c r="D26" s="7"/>
      <c r="E26" s="12"/>
      <c r="F26" s="12"/>
      <c r="G26" s="13"/>
      <c r="H26" s="14"/>
      <c r="I26" s="14"/>
      <c r="J26" s="13"/>
      <c r="K26" s="45"/>
      <c r="L26" s="95"/>
      <c r="M26" s="87"/>
      <c r="N26" s="87"/>
      <c r="O26" s="87"/>
      <c r="P26" s="88"/>
      <c r="Q26" s="88"/>
      <c r="R26" s="88"/>
      <c r="S26" s="88"/>
      <c r="T26" s="88"/>
    </row>
    <row r="27" spans="1:20" ht="15.75" customHeight="1">
      <c r="A27" s="22" t="str">
        <v>NH: Rochester - Portland Street</v>
      </c>
      <c r="B27" s="23" t="str">
        <v>NH</v>
      </c>
      <c r="C27" s="23" t="str">
        <f>Sites[[#This Row],[SOL'#]]</f>
        <v>SOL-10771</v>
      </c>
      <c r="D27" s="18"/>
      <c r="E27" s="8"/>
      <c r="F27" s="8"/>
      <c r="G27" s="9"/>
      <c r="H27" s="10"/>
      <c r="I27" s="10"/>
      <c r="J27" s="56"/>
      <c r="K27" s="35"/>
      <c r="L27" s="94"/>
      <c r="M27" s="88"/>
      <c r="N27" s="88"/>
      <c r="O27" s="88"/>
      <c r="P27" s="88"/>
      <c r="Q27" s="88"/>
      <c r="R27" s="88"/>
      <c r="S27" s="88"/>
      <c r="T27" s="88"/>
    </row>
    <row r="28" spans="1:20" ht="15.6">
      <c r="A28" s="24" t="str">
        <v>NH: Portsmouth - Portsmouth HS</v>
      </c>
      <c r="B28" s="25" t="str">
        <v>NH</v>
      </c>
      <c r="C28" s="25" t="str">
        <f>Sites[[#This Row],[SOL'#]]</f>
        <v>SOL-10769</v>
      </c>
      <c r="D28" s="7"/>
      <c r="E28" s="12"/>
      <c r="F28" s="12"/>
      <c r="G28" s="13"/>
      <c r="H28" s="14"/>
      <c r="I28" s="14"/>
      <c r="J28" s="13"/>
      <c r="K28" s="36"/>
      <c r="L28" s="97"/>
      <c r="M28" s="88"/>
      <c r="N28" s="88"/>
      <c r="O28" s="88"/>
      <c r="P28" s="88"/>
      <c r="Q28" s="88"/>
      <c r="R28" s="88"/>
      <c r="S28" s="88"/>
      <c r="T28" s="88"/>
    </row>
    <row r="29" spans="1:20" ht="15.6">
      <c r="A29" s="22" t="str">
        <v>NH: Portsmouth - Portsmouth WTP</v>
      </c>
      <c r="B29" s="23" t="str">
        <v>NH</v>
      </c>
      <c r="C29" s="23" t="str">
        <f>Sites[[#This Row],[SOL'#]]</f>
        <v>SOL-10770</v>
      </c>
      <c r="D29" s="18"/>
      <c r="E29" s="8"/>
      <c r="F29" s="8"/>
      <c r="G29" s="9"/>
      <c r="H29" s="10"/>
      <c r="I29" s="10"/>
      <c r="J29" s="56"/>
      <c r="K29" s="35"/>
      <c r="L29" s="35"/>
      <c r="M29" s="88"/>
      <c r="N29" s="88"/>
      <c r="O29" s="88"/>
      <c r="P29" s="88"/>
      <c r="Q29" s="88"/>
      <c r="R29" s="88"/>
      <c r="S29" s="88"/>
      <c r="T29" s="88"/>
    </row>
    <row r="30" spans="1:20" ht="15.6">
      <c r="A30" s="24" t="str">
        <v>NH: Rochester - Rochester MS</v>
      </c>
      <c r="B30" s="25" t="str">
        <v>NH</v>
      </c>
      <c r="C30" s="25" t="str">
        <f>Sites[[#This Row],[SOL'#]]</f>
        <v>SOL-10765</v>
      </c>
      <c r="D30" s="7"/>
      <c r="E30" s="12"/>
      <c r="F30" s="12"/>
      <c r="G30" s="13"/>
      <c r="H30" s="14"/>
      <c r="I30" s="14"/>
      <c r="J30" s="13"/>
      <c r="K30" s="36"/>
      <c r="L30" s="37"/>
      <c r="M30" s="88"/>
      <c r="N30" s="88"/>
      <c r="O30" s="88"/>
      <c r="P30" s="88"/>
      <c r="Q30" s="88"/>
      <c r="R30" s="88"/>
      <c r="S30" s="88"/>
      <c r="T30" s="88"/>
    </row>
    <row r="31" spans="1:20" ht="15.6">
      <c r="A31" s="22" t="str">
        <v>NH Rochester - Spaulding HS</v>
      </c>
      <c r="B31" s="23" t="str">
        <v>NH</v>
      </c>
      <c r="C31" s="23" t="str">
        <f>Sites[[#This Row],[SOL'#]]</f>
        <v>SOL-10767</v>
      </c>
      <c r="D31" s="18"/>
      <c r="E31" s="8"/>
      <c r="F31" s="8"/>
      <c r="G31" s="9"/>
      <c r="H31" s="10"/>
      <c r="I31" s="10"/>
      <c r="J31" s="56"/>
      <c r="K31" s="52"/>
      <c r="L31" s="52"/>
      <c r="M31" s="88"/>
      <c r="N31" s="88"/>
      <c r="O31" s="88"/>
      <c r="P31" s="88"/>
      <c r="Q31" s="88"/>
      <c r="R31" s="88"/>
      <c r="S31" s="88"/>
      <c r="T31" s="88"/>
    </row>
    <row r="32" spans="1:20" ht="15.6">
      <c r="A32" s="24" t="str">
        <v>NH: Rochester - McClelland ES</v>
      </c>
      <c r="B32" s="25" t="str">
        <v>NH</v>
      </c>
      <c r="C32" s="25" t="str">
        <f>Sites[[#This Row],[SOL'#]]</f>
        <v>SOL-10766</v>
      </c>
      <c r="D32" s="7"/>
      <c r="E32" s="12"/>
      <c r="F32" s="12"/>
      <c r="G32" s="13"/>
      <c r="H32" s="14"/>
      <c r="I32" s="14"/>
      <c r="J32" s="13"/>
      <c r="K32" s="36"/>
      <c r="L32" s="37"/>
      <c r="M32" s="88"/>
      <c r="N32" s="88"/>
      <c r="O32" s="88"/>
      <c r="P32" s="88"/>
      <c r="Q32" s="88"/>
      <c r="R32" s="88"/>
      <c r="S32" s="88"/>
      <c r="T32" s="88"/>
    </row>
    <row r="33" spans="1:20" ht="15.6">
      <c r="A33" s="22" t="str">
        <v>NH: Rochester - Brock St Vocational</v>
      </c>
      <c r="B33" s="23" t="str">
        <v>NH</v>
      </c>
      <c r="C33" s="23" t="str">
        <f>Sites[[#This Row],[SOL'#]]</f>
        <v>SOL-10768</v>
      </c>
      <c r="D33" s="18"/>
      <c r="E33" s="8"/>
      <c r="F33" s="8"/>
      <c r="G33" s="9"/>
      <c r="H33" s="10"/>
      <c r="I33" s="10"/>
      <c r="J33" s="56"/>
      <c r="K33" s="35"/>
      <c r="L33" s="35"/>
      <c r="M33" s="88"/>
      <c r="N33" s="88"/>
      <c r="O33" s="88"/>
      <c r="P33" s="88"/>
      <c r="Q33" s="88"/>
      <c r="R33" s="88"/>
      <c r="S33" s="88"/>
      <c r="T33" s="88"/>
    </row>
    <row r="34" spans="1:20" ht="15.6">
      <c r="A34" s="24" t="str">
        <v>OH: Cleveland - CV Kinsman</v>
      </c>
      <c r="B34" s="25" t="str">
        <v>OH</v>
      </c>
      <c r="C34" s="25" t="str">
        <f>Sites[[#This Row],[SOL'#]]</f>
        <v>SOL-10762</v>
      </c>
      <c r="D34" s="7"/>
      <c r="E34" s="12"/>
      <c r="F34" s="12"/>
      <c r="G34" s="13"/>
      <c r="H34" s="14"/>
      <c r="I34" s="14"/>
      <c r="J34" s="13"/>
      <c r="K34" s="36"/>
      <c r="L34" s="37"/>
      <c r="M34" s="88"/>
      <c r="N34" s="88"/>
      <c r="O34" s="88"/>
      <c r="P34" s="88"/>
      <c r="Q34" s="88"/>
      <c r="R34" s="88"/>
      <c r="S34" s="88"/>
      <c r="T34" s="88"/>
    </row>
    <row r="35" spans="1:20" ht="121.5" customHeight="1">
      <c r="A35" s="22" t="str">
        <v>OH: Cleveland - CV Wooster</v>
      </c>
      <c r="B35" s="23" t="str">
        <v>OH</v>
      </c>
      <c r="C35" s="23" t="str">
        <f>Sites[[#This Row],[SOL'#]]</f>
        <v>SOL-10763</v>
      </c>
      <c r="D35" s="18"/>
      <c r="E35" s="8"/>
      <c r="F35" s="8"/>
      <c r="G35" s="9"/>
      <c r="H35" s="10"/>
      <c r="I35" s="10"/>
      <c r="J35" s="56"/>
      <c r="K35" s="35"/>
      <c r="L35" s="94"/>
      <c r="M35" s="87"/>
      <c r="N35" s="87"/>
      <c r="O35" s="88"/>
      <c r="P35" s="88"/>
      <c r="Q35" s="88"/>
      <c r="R35" s="88"/>
      <c r="S35" s="88"/>
      <c r="T35" s="88"/>
    </row>
    <row r="36" spans="1:20" ht="15.6">
      <c r="A36" s="24" t="str">
        <v>PR: Aguadilla - Coca Cola</v>
      </c>
      <c r="B36" s="25" t="str">
        <v>PR</v>
      </c>
      <c r="C36" s="25" t="str">
        <f>Sites[[#This Row],[SOL'#]]</f>
        <v>SOL-10072</v>
      </c>
      <c r="D36" s="7"/>
      <c r="E36" s="12"/>
      <c r="F36" s="12"/>
      <c r="G36" s="13"/>
      <c r="H36" s="14"/>
      <c r="I36" s="14"/>
      <c r="J36" s="13"/>
      <c r="K36" s="36"/>
      <c r="L36" s="36"/>
      <c r="M36" s="88"/>
      <c r="N36" s="88"/>
      <c r="O36" s="88"/>
      <c r="P36" s="88"/>
      <c r="Q36" s="88"/>
      <c r="R36" s="88"/>
      <c r="S36" s="88"/>
      <c r="T36" s="88"/>
    </row>
    <row r="37" spans="1:20" ht="15.6">
      <c r="A37" s="22" t="str">
        <v>PR: Bayamon - Coca Cola</v>
      </c>
      <c r="B37" s="23" t="str">
        <v>PR</v>
      </c>
      <c r="C37" s="23" t="str">
        <f>Sites[[#This Row],[SOL'#]]</f>
        <v>SOL-10073</v>
      </c>
      <c r="D37" s="18"/>
      <c r="E37" s="8"/>
      <c r="F37" s="8"/>
      <c r="G37" s="9"/>
      <c r="H37" s="10"/>
      <c r="I37" s="10"/>
      <c r="J37" s="56"/>
      <c r="K37" s="52"/>
      <c r="L37" s="52"/>
      <c r="M37" s="88"/>
      <c r="N37" s="88"/>
      <c r="O37" s="88"/>
      <c r="P37" s="88"/>
      <c r="Q37" s="88"/>
      <c r="R37" s="88"/>
      <c r="S37" s="88"/>
      <c r="T37" s="88"/>
    </row>
    <row r="38" spans="1:20" ht="15.6">
      <c r="A38" s="24" t="str">
        <v>PR: Carolina - St. Francis</v>
      </c>
      <c r="B38" s="25" t="str">
        <v>PR</v>
      </c>
      <c r="C38" s="25" t="str">
        <f>Sites[[#This Row],[SOL'#]]</f>
        <v>SOL-10034</v>
      </c>
      <c r="D38" s="7"/>
      <c r="E38" s="12"/>
      <c r="F38" s="12"/>
      <c r="G38" s="13"/>
      <c r="H38" s="14"/>
      <c r="I38" s="14"/>
      <c r="J38" s="13"/>
      <c r="K38" s="36"/>
      <c r="L38" s="85"/>
      <c r="M38" s="88"/>
      <c r="N38" s="88"/>
      <c r="O38" s="88"/>
      <c r="P38" s="88"/>
      <c r="Q38" s="88"/>
      <c r="R38" s="88"/>
      <c r="S38" s="88"/>
      <c r="T38" s="88"/>
    </row>
    <row r="39" spans="1:20" ht="15.6">
      <c r="A39" s="22" t="str">
        <v>DC: Chevy Chase -Sinai</v>
      </c>
      <c r="B39" s="23" t="str">
        <v>DC</v>
      </c>
      <c r="C39" s="23" t="str">
        <f>Sites[[#This Row],[SOL'#]]</f>
        <v>SOL-10028</v>
      </c>
      <c r="D39" s="18"/>
      <c r="E39" s="8"/>
      <c r="F39" s="8"/>
      <c r="G39" s="9"/>
      <c r="H39" s="10"/>
      <c r="I39" s="10"/>
      <c r="J39" s="56"/>
      <c r="K39" s="35"/>
      <c r="L39" s="35"/>
      <c r="M39" s="88"/>
      <c r="N39" s="88"/>
      <c r="O39" s="88"/>
      <c r="P39" s="88"/>
      <c r="Q39" s="88"/>
      <c r="R39" s="88"/>
      <c r="S39" s="88"/>
      <c r="T39" s="88"/>
    </row>
    <row r="40" spans="1:20" ht="15.6">
      <c r="A40" s="24" t="str">
        <v>DC: Washington - Weinberg 1</v>
      </c>
      <c r="B40" s="25" t="str">
        <v>DC</v>
      </c>
      <c r="C40" s="25" t="str">
        <f>Sites[[#This Row],[SOL'#]]</f>
        <v>SOL-10039</v>
      </c>
      <c r="D40" s="7"/>
      <c r="E40" s="12"/>
      <c r="F40" s="12"/>
      <c r="G40" s="13"/>
      <c r="H40" s="14"/>
      <c r="I40" s="14"/>
      <c r="J40" s="13"/>
      <c r="K40" s="53"/>
      <c r="L40" s="106"/>
      <c r="M40" s="88"/>
      <c r="N40" s="88"/>
      <c r="O40" s="88"/>
      <c r="P40" s="88"/>
      <c r="Q40" s="88"/>
      <c r="R40" s="88"/>
      <c r="S40" s="88"/>
      <c r="T40" s="88"/>
    </row>
    <row r="41" spans="1:20" ht="15.6">
      <c r="A41" s="22" t="str">
        <v>DC: Washington - Weinberg 2</v>
      </c>
      <c r="B41" s="23" t="str">
        <v>DC</v>
      </c>
      <c r="C41" s="23" t="str">
        <f>Sites[[#This Row],[SOL'#]]</f>
        <v>SOL-10045</v>
      </c>
      <c r="D41" s="18"/>
      <c r="E41" s="8"/>
      <c r="F41" s="8"/>
      <c r="G41" s="9"/>
      <c r="H41" s="10"/>
      <c r="I41" s="10"/>
      <c r="J41" s="56"/>
      <c r="K41" s="35"/>
      <c r="L41" s="94"/>
      <c r="M41" s="87"/>
      <c r="N41" s="87"/>
      <c r="O41" s="88"/>
      <c r="P41" s="88"/>
      <c r="Q41" s="88"/>
      <c r="R41" s="88"/>
      <c r="S41" s="88"/>
      <c r="T41" s="88"/>
    </row>
    <row r="42" spans="1:20" ht="15.6">
      <c r="A42" s="24" t="str">
        <v>DC: Washington - Weinberg 3</v>
      </c>
      <c r="B42" s="25" t="str">
        <v>DC</v>
      </c>
      <c r="C42" s="25" t="str">
        <f>Sites[[#This Row],[SOL'#]]</f>
        <v>SOL-10042</v>
      </c>
      <c r="D42" s="7"/>
      <c r="E42" s="12"/>
      <c r="F42" s="12"/>
      <c r="G42" s="13"/>
      <c r="H42" s="14"/>
      <c r="I42" s="14"/>
      <c r="J42" s="13"/>
      <c r="K42" s="53"/>
      <c r="L42" s="95"/>
      <c r="M42" s="87"/>
      <c r="N42" s="88"/>
      <c r="O42" s="88"/>
      <c r="P42" s="88"/>
      <c r="Q42" s="88"/>
      <c r="R42" s="88"/>
      <c r="S42" s="88"/>
      <c r="T42" s="88"/>
    </row>
    <row r="43" spans="1:20">
      <c r="J43" s="105"/>
    </row>
  </sheetData>
  <mergeCells count="4">
    <mergeCell ref="H1:J1"/>
    <mergeCell ref="A1:D1"/>
    <mergeCell ref="E1:G1"/>
    <mergeCell ref="A2:B2"/>
  </mergeCells>
  <phoneticPr fontId="38" type="noConversion"/>
  <conditionalFormatting sqref="G2 J2 G4:G42 J4:J42">
    <cfRule type="cellIs" dxfId="32" priority="27" stopIfTrue="1" operator="lessThanOrEqual">
      <formula>-0.1</formula>
    </cfRule>
    <cfRule type="expression" dxfId="31" priority="28">
      <formula>AND(ISNUMBER(G2), G2&gt;=0.1)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42"/>
  <sheetViews>
    <sheetView zoomScale="60" zoomScaleNormal="60" workbookViewId="0">
      <pane xSplit="2" ySplit="3" topLeftCell="C27" activePane="bottomRight" state="frozen"/>
      <selection pane="bottomRight" activeCell="A43" sqref="A43:XFD159"/>
      <selection pane="bottomLeft" activeCell="D4" sqref="D4"/>
      <selection pane="topRight" activeCell="D4" sqref="D4"/>
    </sheetView>
  </sheetViews>
  <sheetFormatPr defaultRowHeight="13.9"/>
  <cols>
    <col min="1" max="1" width="35.85546875" bestFit="1" customWidth="1"/>
    <col min="2" max="2" width="8.42578125" style="28" customWidth="1"/>
    <col min="3" max="3" width="12.140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38" t="str" cm="1">
        <f t="array" ref="A1">portfolio</f>
        <v>GoodFinch</v>
      </c>
      <c r="B1" s="138"/>
      <c r="C1" s="138"/>
      <c r="D1" s="138"/>
      <c r="E1" s="139" t="s">
        <v>32</v>
      </c>
      <c r="F1" s="139"/>
      <c r="G1" s="139"/>
      <c r="H1" s="137" t="s">
        <v>33</v>
      </c>
      <c r="I1" s="137"/>
      <c r="J1" s="137"/>
      <c r="K1" s="2"/>
      <c r="L1" s="2"/>
    </row>
    <row r="2" spans="1:27" ht="15.6">
      <c r="A2" s="140" t="s">
        <v>2</v>
      </c>
      <c r="B2" s="140"/>
      <c r="C2" s="51"/>
      <c r="D2" s="3">
        <f>SUM(D4:D42)</f>
        <v>0</v>
      </c>
      <c r="E2" s="3">
        <f>SUM(E4:E42)</f>
        <v>0</v>
      </c>
      <c r="F2" s="3">
        <f>D2-E2</f>
        <v>0</v>
      </c>
      <c r="G2" s="4">
        <f>IFERROR(F2/E2, 0)</f>
        <v>0</v>
      </c>
      <c r="H2" s="3">
        <f>SUM(H4:H42)</f>
        <v>0</v>
      </c>
      <c r="I2" s="5">
        <f>D2-H2</f>
        <v>0</v>
      </c>
      <c r="J2" s="4">
        <f>IFERROR(I2/H2, 0)</f>
        <v>0</v>
      </c>
      <c r="K2" s="20"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7" ht="15.6">
      <c r="A3" s="6" t="s">
        <v>3</v>
      </c>
      <c r="B3" s="6" t="s">
        <v>4</v>
      </c>
      <c r="C3" s="6" t="s">
        <v>5</v>
      </c>
      <c r="D3" s="17" t="s">
        <v>6</v>
      </c>
      <c r="E3" s="29" t="s">
        <v>7</v>
      </c>
      <c r="F3" s="29" t="s">
        <v>8</v>
      </c>
      <c r="G3" s="30" t="s">
        <v>9</v>
      </c>
      <c r="H3" s="31" t="s">
        <v>10</v>
      </c>
      <c r="I3" s="32" t="s">
        <v>8</v>
      </c>
      <c r="J3" s="33" t="s">
        <v>9</v>
      </c>
      <c r="K3" s="19" t="s">
        <v>21</v>
      </c>
      <c r="L3" s="19" t="s">
        <v>22</v>
      </c>
    </row>
    <row r="4" spans="1:27" ht="15.6">
      <c r="A4" s="24" t="str" cm="1">
        <f t="array" ref="A4:A42">Sites[Site]</f>
        <v>AZ: Tempe - ASU - Farmer</v>
      </c>
      <c r="B4" s="25" t="str" cm="1">
        <f t="array" ref="B4:B42">Sites[State]</f>
        <v>AZ</v>
      </c>
      <c r="C4" s="7" t="str">
        <f>Sites[[#This Row],[SOL'#]]</f>
        <v>SOL-10748</v>
      </c>
      <c r="D4" s="7"/>
      <c r="E4" s="12"/>
      <c r="F4" s="12"/>
      <c r="G4" s="13"/>
      <c r="H4" s="14"/>
      <c r="I4" s="14"/>
      <c r="J4" s="13"/>
      <c r="K4" s="45"/>
      <c r="L4" s="46"/>
      <c r="M4" s="88"/>
      <c r="N4" s="88"/>
      <c r="O4" s="88"/>
      <c r="P4" s="88"/>
      <c r="Q4" s="88"/>
      <c r="R4" s="88"/>
      <c r="S4" s="88"/>
      <c r="T4" s="88"/>
      <c r="U4" s="88"/>
      <c r="V4" s="88"/>
      <c r="W4" s="88"/>
      <c r="X4" s="88"/>
      <c r="Y4" s="88"/>
      <c r="Z4" s="88"/>
      <c r="AA4" s="88"/>
    </row>
    <row r="5" spans="1:27" ht="15.6">
      <c r="A5" s="22" t="str">
        <v>AZ: Tempe - ASU - Fulton</v>
      </c>
      <c r="B5" s="23" t="str">
        <v>AZ</v>
      </c>
      <c r="C5" s="23" t="str">
        <f>Sites[[#This Row],[SOL'#]]</f>
        <v>SOL-10749</v>
      </c>
      <c r="D5" s="18"/>
      <c r="E5" s="8"/>
      <c r="F5" s="8"/>
      <c r="G5" s="9"/>
      <c r="H5" s="10"/>
      <c r="I5" s="10"/>
      <c r="J5" s="11"/>
      <c r="K5" s="47"/>
      <c r="L5" s="84"/>
      <c r="M5" s="88"/>
      <c r="N5" s="88"/>
      <c r="O5" s="88"/>
      <c r="P5" s="88"/>
      <c r="Q5" s="88"/>
      <c r="R5" s="88"/>
      <c r="S5" s="88"/>
      <c r="T5" s="88"/>
      <c r="U5" s="88"/>
      <c r="V5" s="88"/>
      <c r="W5" s="88"/>
      <c r="X5" s="88"/>
      <c r="Y5" s="88"/>
      <c r="Z5" s="88"/>
      <c r="AA5" s="88"/>
    </row>
    <row r="6" spans="1:27" ht="17.25" customHeight="1">
      <c r="A6" s="24" t="str">
        <v>AZ: Superior - JFK Elementary</v>
      </c>
      <c r="B6" s="25" t="str">
        <v>AZ</v>
      </c>
      <c r="C6" s="7" t="str">
        <f>Sites[[#This Row],[SOL'#]]</f>
        <v>SOL-10758</v>
      </c>
      <c r="D6" s="7"/>
      <c r="E6" s="12"/>
      <c r="F6" s="12"/>
      <c r="G6" s="13"/>
      <c r="H6" s="14"/>
      <c r="I6" s="14"/>
      <c r="J6" s="13"/>
      <c r="K6" s="45"/>
      <c r="L6" s="46"/>
      <c r="M6" s="88"/>
      <c r="N6" s="88"/>
      <c r="O6" s="88"/>
      <c r="P6" s="88"/>
      <c r="Q6" s="88"/>
      <c r="R6" s="88"/>
      <c r="S6" s="88"/>
      <c r="T6" s="88"/>
      <c r="U6" s="88"/>
      <c r="V6" s="88"/>
      <c r="W6" s="88"/>
      <c r="X6" s="88"/>
      <c r="Y6" s="88"/>
      <c r="Z6" s="88"/>
      <c r="AA6" s="88"/>
    </row>
    <row r="7" spans="1:27" ht="15.6">
      <c r="A7" s="22" t="str">
        <v>AZ: Tempe - ASU - Noble</v>
      </c>
      <c r="B7" s="23" t="str">
        <v>AZ</v>
      </c>
      <c r="C7" s="23" t="str">
        <f>Sites[[#This Row],[SOL'#]]</f>
        <v>SOL-10750</v>
      </c>
      <c r="D7" s="18"/>
      <c r="E7" s="8"/>
      <c r="F7" s="8"/>
      <c r="G7" s="9"/>
      <c r="H7" s="10"/>
      <c r="I7" s="10"/>
      <c r="J7" s="11"/>
      <c r="K7" s="47"/>
      <c r="L7" s="84"/>
      <c r="M7" s="88"/>
      <c r="N7" s="88"/>
      <c r="O7" s="88"/>
      <c r="P7" s="88"/>
      <c r="Q7" s="88"/>
      <c r="R7" s="88"/>
      <c r="S7" s="88"/>
      <c r="T7" s="88"/>
      <c r="U7" s="88"/>
      <c r="V7" s="88"/>
      <c r="W7" s="88"/>
      <c r="X7" s="88"/>
      <c r="Y7" s="88"/>
      <c r="Z7" s="88"/>
      <c r="AA7" s="88"/>
    </row>
    <row r="8" spans="1:27" ht="15.6">
      <c r="A8" s="24" t="str">
        <v>AZ: Tempe - ASU - Parking #3</v>
      </c>
      <c r="B8" s="25" t="str">
        <v>AZ</v>
      </c>
      <c r="C8" s="7" t="str">
        <f>Sites[[#This Row],[SOL'#]]</f>
        <v>SOL-10751</v>
      </c>
      <c r="D8" s="7"/>
      <c r="E8" s="12"/>
      <c r="F8" s="12"/>
      <c r="G8" s="13"/>
      <c r="H8" s="14"/>
      <c r="I8" s="14"/>
      <c r="J8" s="13"/>
      <c r="K8" s="45"/>
      <c r="L8" s="85"/>
      <c r="M8" s="88"/>
      <c r="N8" s="88"/>
      <c r="O8" s="88"/>
      <c r="P8" s="88"/>
      <c r="Q8" s="88"/>
      <c r="R8" s="88"/>
      <c r="S8" s="88"/>
      <c r="T8" s="88"/>
      <c r="U8" s="88"/>
      <c r="V8" s="88"/>
      <c r="W8" s="88"/>
      <c r="X8" s="88"/>
      <c r="Y8" s="88"/>
      <c r="Z8" s="88"/>
      <c r="AA8" s="88"/>
    </row>
    <row r="9" spans="1:27" ht="15.6">
      <c r="A9" s="22" t="str">
        <v>AZ: Tempe - ASU - PE East</v>
      </c>
      <c r="B9" s="23" t="str">
        <v>AZ</v>
      </c>
      <c r="C9" s="23" t="str">
        <f>Sites[[#This Row],[SOL'#]]</f>
        <v>SOL-10752</v>
      </c>
      <c r="D9" s="18"/>
      <c r="E9" s="8"/>
      <c r="F9" s="8"/>
      <c r="G9" s="9"/>
      <c r="H9" s="10"/>
      <c r="I9" s="10"/>
      <c r="J9" s="11"/>
      <c r="K9" s="47"/>
      <c r="L9" s="47"/>
      <c r="M9" s="88"/>
      <c r="N9" s="88"/>
      <c r="O9" s="88"/>
      <c r="P9" s="88"/>
      <c r="Q9" s="88"/>
      <c r="R9" s="88"/>
      <c r="S9" s="88"/>
      <c r="T9" s="88"/>
      <c r="U9" s="88"/>
      <c r="V9" s="88"/>
      <c r="W9" s="88"/>
      <c r="X9" s="88"/>
      <c r="Y9" s="88"/>
      <c r="Z9" s="88"/>
      <c r="AA9" s="88"/>
    </row>
    <row r="10" spans="1:27" ht="15.6">
      <c r="A10" s="24" t="str">
        <v>AZ: Tempe - ASU - Schwada</v>
      </c>
      <c r="B10" s="25" t="str">
        <v>AZ</v>
      </c>
      <c r="C10" s="7" t="str">
        <f>Sites[[#This Row],[SOL'#]]</f>
        <v>SOL-10753</v>
      </c>
      <c r="D10" s="7"/>
      <c r="E10" s="12"/>
      <c r="F10" s="12"/>
      <c r="G10" s="13"/>
      <c r="H10" s="14"/>
      <c r="I10" s="14"/>
      <c r="J10" s="13"/>
      <c r="K10" s="45"/>
      <c r="L10" s="46"/>
      <c r="M10" s="88"/>
      <c r="N10" s="88"/>
      <c r="O10" s="88"/>
      <c r="P10" s="88"/>
      <c r="Q10" s="88"/>
      <c r="R10" s="88"/>
      <c r="S10" s="88"/>
      <c r="T10" s="88"/>
      <c r="U10" s="88"/>
      <c r="V10" s="88"/>
      <c r="W10" s="88"/>
      <c r="X10" s="88"/>
      <c r="Y10" s="88"/>
      <c r="Z10" s="88"/>
      <c r="AA10" s="88"/>
    </row>
    <row r="11" spans="1:27" ht="15.6">
      <c r="A11" s="22" t="str">
        <v>AZ: Phoenix - Starshine Academy</v>
      </c>
      <c r="B11" s="23" t="str">
        <v>AZ</v>
      </c>
      <c r="C11" s="23" t="str">
        <f>Sites[[#This Row],[SOL'#]]</f>
        <v>SOL-10757</v>
      </c>
      <c r="D11" s="18"/>
      <c r="E11" s="8"/>
      <c r="F11" s="8"/>
      <c r="G11" s="9"/>
      <c r="H11" s="10"/>
      <c r="I11" s="10"/>
      <c r="J11" s="11"/>
      <c r="K11" s="47"/>
      <c r="L11" s="47"/>
      <c r="M11" s="88"/>
      <c r="N11" s="88"/>
      <c r="O11" s="88"/>
      <c r="P11" s="88"/>
      <c r="Q11" s="88"/>
      <c r="R11" s="88"/>
      <c r="S11" s="88"/>
      <c r="T11" s="88"/>
      <c r="U11" s="88"/>
      <c r="V11" s="88"/>
      <c r="W11" s="88"/>
      <c r="X11" s="88"/>
      <c r="Y11" s="88"/>
      <c r="Z11" s="88"/>
      <c r="AA11" s="88"/>
    </row>
    <row r="12" spans="1:27" ht="16.5" customHeight="1">
      <c r="A12" s="24" t="str">
        <v>AZ: Yuma Airport</v>
      </c>
      <c r="B12" s="25" t="str">
        <v>AZ</v>
      </c>
      <c r="C12" s="7" t="str">
        <f>Sites[[#This Row],[SOL'#]]</f>
        <v>SOL-10754</v>
      </c>
      <c r="D12" s="7"/>
      <c r="E12" s="12"/>
      <c r="F12" s="12"/>
      <c r="G12" s="13"/>
      <c r="H12" s="14"/>
      <c r="I12" s="14"/>
      <c r="J12" s="13"/>
      <c r="K12" s="45"/>
      <c r="L12" s="85"/>
      <c r="M12" s="88"/>
      <c r="N12" s="88"/>
      <c r="O12" s="88"/>
      <c r="P12" s="88"/>
      <c r="Q12" s="88"/>
      <c r="R12" s="88"/>
      <c r="S12" s="88"/>
      <c r="T12" s="88"/>
      <c r="U12" s="88"/>
      <c r="V12" s="88"/>
      <c r="W12" s="88"/>
      <c r="X12" s="88"/>
      <c r="Y12" s="88"/>
      <c r="Z12" s="88"/>
      <c r="AA12" s="88"/>
    </row>
    <row r="13" spans="1:27" ht="15.6">
      <c r="A13" s="22" t="str">
        <v>AZ: Globe - Gila CC</v>
      </c>
      <c r="B13" s="23" t="str">
        <v>AZ</v>
      </c>
      <c r="C13" s="23" t="str">
        <f>Sites[[#This Row],[SOL'#]]</f>
        <v>SOL-10751</v>
      </c>
      <c r="D13" s="18"/>
      <c r="E13" s="8"/>
      <c r="F13" s="8"/>
      <c r="G13" s="9"/>
      <c r="H13" s="10"/>
      <c r="I13" s="10"/>
      <c r="J13" s="11"/>
      <c r="K13" s="47"/>
      <c r="L13" s="47"/>
      <c r="M13" s="88"/>
      <c r="N13" s="88"/>
      <c r="O13" s="88"/>
      <c r="P13" s="88"/>
      <c r="Q13" s="88"/>
      <c r="R13" s="88"/>
      <c r="S13" s="88"/>
      <c r="T13" s="88"/>
      <c r="U13" s="88"/>
      <c r="V13" s="88"/>
      <c r="W13" s="88"/>
      <c r="X13" s="88"/>
      <c r="Y13" s="88"/>
      <c r="Z13" s="88"/>
      <c r="AA13" s="88"/>
    </row>
    <row r="14" spans="1:27" ht="15.6">
      <c r="A14" s="24" t="str">
        <v>AZ: Payson - Gila CC</v>
      </c>
      <c r="B14" s="25" t="str">
        <v>AZ</v>
      </c>
      <c r="C14" s="7" t="str">
        <f>Sites[[#This Row],[SOL'#]]</f>
        <v>SOL-10748</v>
      </c>
      <c r="D14" s="7"/>
      <c r="E14" s="12"/>
      <c r="F14" s="12"/>
      <c r="G14" s="13"/>
      <c r="H14" s="14"/>
      <c r="I14" s="14"/>
      <c r="J14" s="13"/>
      <c r="K14" s="55"/>
      <c r="L14" s="86"/>
      <c r="M14" s="87"/>
      <c r="N14" s="87"/>
      <c r="O14" s="88"/>
      <c r="P14" s="88"/>
      <c r="Q14" s="88"/>
      <c r="R14" s="88"/>
      <c r="S14" s="88"/>
      <c r="T14" s="88"/>
      <c r="U14" s="88"/>
      <c r="V14" s="88"/>
      <c r="W14" s="88"/>
      <c r="X14" s="88"/>
      <c r="Y14" s="88"/>
      <c r="Z14" s="88"/>
      <c r="AA14" s="88"/>
    </row>
    <row r="15" spans="1:27" ht="15.6">
      <c r="A15" s="22" t="str">
        <v>AZ: Mesa - Sequoia Charter School</v>
      </c>
      <c r="B15" s="23" t="str">
        <v>AZ</v>
      </c>
      <c r="C15" s="23" t="str">
        <f>Sites[[#This Row],[SOL'#]]</f>
        <v>SOL-10759</v>
      </c>
      <c r="D15" s="18"/>
      <c r="E15" s="8"/>
      <c r="F15" s="8"/>
      <c r="G15" s="9"/>
      <c r="H15" s="10"/>
      <c r="I15" s="10"/>
      <c r="J15" s="11"/>
      <c r="K15" s="47"/>
      <c r="L15" s="47"/>
      <c r="M15" s="88"/>
      <c r="N15" s="88"/>
      <c r="O15" s="88"/>
      <c r="P15" s="88"/>
      <c r="Q15" s="88"/>
      <c r="R15" s="88"/>
      <c r="S15" s="88"/>
      <c r="T15" s="88"/>
      <c r="U15" s="88"/>
      <c r="V15" s="88"/>
      <c r="W15" s="88"/>
      <c r="X15" s="88"/>
      <c r="Y15" s="88"/>
      <c r="Z15" s="88"/>
      <c r="AA15" s="88"/>
    </row>
    <row r="16" spans="1:27" ht="15.6">
      <c r="A16" s="24" t="str">
        <v>AZ: Tempe - SCNM</v>
      </c>
      <c r="B16" s="25" t="str">
        <v>AZ</v>
      </c>
      <c r="C16" s="7" t="str">
        <f>Sites[[#This Row],[SOL'#]]</f>
        <v>SOL-10760</v>
      </c>
      <c r="D16" s="7"/>
      <c r="E16" s="12"/>
      <c r="F16" s="12"/>
      <c r="G16" s="13"/>
      <c r="H16" s="14"/>
      <c r="I16" s="14"/>
      <c r="J16" s="13"/>
      <c r="K16" s="45"/>
      <c r="L16" s="46"/>
      <c r="M16" s="88"/>
      <c r="N16" s="88"/>
      <c r="O16" s="88"/>
      <c r="P16" s="88"/>
      <c r="Q16" s="88"/>
      <c r="R16" s="88"/>
      <c r="S16" s="88"/>
      <c r="T16" s="88"/>
      <c r="U16" s="88"/>
      <c r="V16" s="88"/>
      <c r="W16" s="88"/>
      <c r="X16" s="88"/>
      <c r="Y16" s="88"/>
      <c r="Z16" s="88"/>
      <c r="AA16" s="88"/>
    </row>
    <row r="17" spans="1:27" ht="15.6">
      <c r="A17" s="22" t="str">
        <v>DE: Newark - Clayton Hall</v>
      </c>
      <c r="B17" s="23" t="str">
        <v>DE</v>
      </c>
      <c r="C17" s="23" t="str">
        <f>Sites[[#This Row],[SOL'#]]</f>
        <v>SOL-10820</v>
      </c>
      <c r="D17" s="18"/>
      <c r="E17" s="8"/>
      <c r="F17" s="8"/>
      <c r="G17" s="9"/>
      <c r="H17" s="10"/>
      <c r="I17" s="10"/>
      <c r="J17" s="11"/>
      <c r="K17" s="47"/>
      <c r="L17" s="47"/>
      <c r="M17" s="88"/>
      <c r="N17" s="88"/>
      <c r="O17" s="88"/>
      <c r="P17" s="88"/>
      <c r="Q17" s="88"/>
      <c r="R17" s="88"/>
      <c r="S17" s="88"/>
      <c r="T17" s="88"/>
      <c r="U17" s="88"/>
      <c r="V17" s="88"/>
      <c r="W17" s="88"/>
      <c r="X17" s="88"/>
      <c r="Y17" s="88"/>
      <c r="Z17" s="88"/>
      <c r="AA17" s="88"/>
    </row>
    <row r="18" spans="1:27" ht="15.6">
      <c r="A18" s="24" t="str">
        <v>DE: Newark - UOD Field House</v>
      </c>
      <c r="B18" s="25" t="str">
        <v>DE</v>
      </c>
      <c r="C18" s="7" t="str">
        <f>Sites[[#This Row],[SOL'#]]</f>
        <v>SOL-10821</v>
      </c>
      <c r="D18" s="7"/>
      <c r="E18" s="12"/>
      <c r="F18" s="12"/>
      <c r="G18" s="13"/>
      <c r="H18" s="14"/>
      <c r="I18" s="14"/>
      <c r="J18" s="13"/>
      <c r="K18" s="45"/>
      <c r="L18" s="46"/>
      <c r="M18" s="88"/>
      <c r="N18" s="88"/>
      <c r="O18" s="88"/>
      <c r="P18" s="88"/>
      <c r="Q18" s="88"/>
      <c r="R18" s="88"/>
      <c r="S18" s="88"/>
      <c r="T18" s="88"/>
      <c r="U18" s="88"/>
      <c r="V18" s="88"/>
      <c r="W18" s="88"/>
      <c r="X18" s="88"/>
      <c r="Y18" s="88"/>
      <c r="Z18" s="88"/>
      <c r="AA18" s="88"/>
    </row>
    <row r="19" spans="1:27" ht="15.6">
      <c r="A19" s="22" t="str">
        <v>DE: Newark - UOD 461 Wyoming</v>
      </c>
      <c r="B19" s="23" t="str">
        <v>DE</v>
      </c>
      <c r="C19" s="23" t="str">
        <f>Sites[[#This Row],[SOL'#]]</f>
        <v>SOL-10819</v>
      </c>
      <c r="D19" s="18"/>
      <c r="E19" s="8"/>
      <c r="F19" s="8"/>
      <c r="G19" s="9"/>
      <c r="H19" s="10"/>
      <c r="I19" s="10"/>
      <c r="J19" s="11"/>
      <c r="K19" s="47"/>
      <c r="L19" s="47"/>
      <c r="M19" s="88"/>
      <c r="N19" s="88"/>
      <c r="O19" s="88"/>
      <c r="P19" s="88"/>
      <c r="Q19" s="88"/>
      <c r="R19" s="88"/>
      <c r="S19" s="88"/>
      <c r="T19" s="88"/>
      <c r="U19" s="88"/>
      <c r="V19" s="88"/>
      <c r="W19" s="88"/>
      <c r="X19" s="88"/>
      <c r="Y19" s="88"/>
      <c r="Z19" s="88"/>
      <c r="AA19" s="88"/>
    </row>
    <row r="20" spans="1:27" ht="49.5" customHeight="1">
      <c r="A20" s="24" t="str">
        <v>MD: Presston - Bird-in-Hand</v>
      </c>
      <c r="B20" s="25" t="str">
        <v>MD</v>
      </c>
      <c r="C20" s="7" t="str">
        <f>Sites[[#This Row],[SOL'#]]</f>
        <v>SOL-10092</v>
      </c>
      <c r="D20" s="7"/>
      <c r="E20" s="12"/>
      <c r="F20" s="12"/>
      <c r="G20" s="13"/>
      <c r="H20" s="14"/>
      <c r="I20" s="14"/>
      <c r="J20" s="13"/>
      <c r="K20" s="45"/>
      <c r="L20" s="85"/>
      <c r="M20" s="88"/>
      <c r="N20" s="88"/>
      <c r="O20" s="88"/>
      <c r="P20" s="88"/>
      <c r="Q20" s="88"/>
      <c r="R20" s="88"/>
      <c r="S20" s="88"/>
      <c r="T20" s="88"/>
      <c r="U20" s="88"/>
      <c r="V20" s="88"/>
      <c r="W20" s="88"/>
      <c r="X20" s="88"/>
      <c r="Y20" s="88"/>
      <c r="Z20" s="88"/>
      <c r="AA20" s="88"/>
    </row>
    <row r="21" spans="1:27" ht="15.6">
      <c r="A21" s="22" t="str">
        <v>MD: Easton - Shortall</v>
      </c>
      <c r="B21" s="23" t="str">
        <v>MD</v>
      </c>
      <c r="C21" s="23" t="str">
        <f>Sites[[#This Row],[SOL'#]]</f>
        <v>SOL-10091</v>
      </c>
      <c r="D21" s="18"/>
      <c r="E21" s="8"/>
      <c r="F21" s="8"/>
      <c r="G21" s="9"/>
      <c r="H21" s="10"/>
      <c r="I21" s="10"/>
      <c r="J21" s="11"/>
      <c r="K21" s="47"/>
      <c r="L21" s="84"/>
      <c r="M21" s="88"/>
      <c r="N21" s="88"/>
      <c r="O21" s="88"/>
      <c r="P21" s="88"/>
      <c r="Q21" s="88"/>
      <c r="R21" s="88"/>
      <c r="S21" s="88"/>
      <c r="T21" s="88"/>
      <c r="U21" s="88"/>
      <c r="V21" s="88"/>
      <c r="W21" s="88"/>
      <c r="X21" s="88"/>
      <c r="Y21" s="88"/>
      <c r="Z21" s="88"/>
      <c r="AA21" s="88"/>
    </row>
    <row r="22" spans="1:27" ht="15.6">
      <c r="A22" s="24" t="str">
        <v>MA: Boston - Seaport Solar</v>
      </c>
      <c r="B22" s="25" t="str">
        <v>MA</v>
      </c>
      <c r="C22" s="7" t="str">
        <f>Sites[[#This Row],[SOL'#]]</f>
        <v>SOL-10772</v>
      </c>
      <c r="D22" s="7"/>
      <c r="E22" s="12"/>
      <c r="F22" s="12"/>
      <c r="G22" s="13"/>
      <c r="H22" s="14"/>
      <c r="I22" s="14"/>
      <c r="J22" s="13"/>
      <c r="K22" s="45"/>
      <c r="L22" s="45"/>
      <c r="M22" s="88"/>
      <c r="N22" s="88"/>
      <c r="O22" s="88"/>
      <c r="P22" s="88"/>
      <c r="Q22" s="88"/>
      <c r="R22" s="88"/>
      <c r="S22" s="88"/>
      <c r="T22" s="88"/>
      <c r="U22" s="88"/>
      <c r="V22" s="88"/>
      <c r="W22" s="88"/>
      <c r="X22" s="88"/>
      <c r="Y22" s="88"/>
      <c r="Z22" s="88"/>
      <c r="AA22" s="88"/>
    </row>
    <row r="23" spans="1:27" ht="15.6">
      <c r="A23" s="22" t="str">
        <v>MA: Dedham - Sprague Street</v>
      </c>
      <c r="B23" s="23" t="str">
        <v>MA</v>
      </c>
      <c r="C23" s="23" t="str">
        <f>Sites[[#This Row],[SOL'#]]</f>
        <v>SOL-10773</v>
      </c>
      <c r="D23" s="18"/>
      <c r="E23" s="8"/>
      <c r="F23" s="8"/>
      <c r="G23" s="9"/>
      <c r="H23" s="10"/>
      <c r="I23" s="10"/>
      <c r="J23" s="11"/>
      <c r="K23" s="47"/>
      <c r="L23" s="84"/>
      <c r="M23" s="88"/>
      <c r="N23" s="88"/>
      <c r="O23" s="88"/>
      <c r="P23" s="88"/>
      <c r="Q23" s="88"/>
      <c r="R23" s="88"/>
      <c r="S23" s="88"/>
      <c r="T23" s="88"/>
      <c r="U23" s="88"/>
      <c r="V23" s="88"/>
      <c r="W23" s="88"/>
      <c r="X23" s="88"/>
      <c r="Y23" s="88"/>
      <c r="Z23" s="88"/>
      <c r="AA23" s="88"/>
    </row>
    <row r="24" spans="1:27" ht="15.6">
      <c r="A24" s="24" t="str">
        <v>MA: Boston - Summer Street</v>
      </c>
      <c r="B24" s="25" t="str">
        <v>MA</v>
      </c>
      <c r="C24" s="7" t="str">
        <f>Sites[[#This Row],[SOL'#]]</f>
        <v>SOL-10764</v>
      </c>
      <c r="D24" s="7"/>
      <c r="E24" s="12"/>
      <c r="F24" s="12"/>
      <c r="G24" s="13"/>
      <c r="H24" s="14"/>
      <c r="I24" s="14"/>
      <c r="J24" s="13"/>
      <c r="K24" s="45"/>
      <c r="L24" s="45"/>
      <c r="M24" s="88"/>
      <c r="N24" s="88"/>
      <c r="O24" s="88"/>
      <c r="P24" s="88"/>
      <c r="Q24" s="88"/>
      <c r="R24" s="88"/>
      <c r="S24" s="88"/>
      <c r="T24" s="88"/>
      <c r="U24" s="88"/>
      <c r="V24" s="88"/>
      <c r="W24" s="88"/>
      <c r="X24" s="88"/>
      <c r="Y24" s="88"/>
      <c r="Z24" s="88"/>
      <c r="AA24" s="88"/>
    </row>
    <row r="25" spans="1:27" ht="15.6">
      <c r="A25" s="22" t="str">
        <v>MA: Leominster - Spectro Coatings</v>
      </c>
      <c r="B25" s="23" t="str">
        <v>MA</v>
      </c>
      <c r="C25" s="23" t="str">
        <f>Sites[[#This Row],[SOL'#]]</f>
        <v>SOL-10074</v>
      </c>
      <c r="D25" s="18"/>
      <c r="E25" s="8"/>
      <c r="F25" s="8"/>
      <c r="G25" s="9"/>
      <c r="H25" s="10"/>
      <c r="I25" s="10"/>
      <c r="J25" s="11"/>
      <c r="K25" s="47"/>
      <c r="L25" s="47"/>
      <c r="M25" s="88"/>
      <c r="N25" s="88"/>
      <c r="O25" s="88"/>
      <c r="P25" s="88"/>
      <c r="Q25" s="88"/>
      <c r="R25" s="88"/>
      <c r="S25" s="88"/>
      <c r="T25" s="88"/>
      <c r="U25" s="88"/>
      <c r="V25" s="88"/>
      <c r="W25" s="88"/>
      <c r="X25" s="88"/>
      <c r="Y25" s="88"/>
      <c r="Z25" s="88"/>
      <c r="AA25" s="88"/>
    </row>
    <row r="26" spans="1:27" ht="45.75" customHeight="1">
      <c r="A26" s="24" t="str">
        <v>MA: Braintree - RCAB</v>
      </c>
      <c r="B26" s="25" t="str">
        <v>MA</v>
      </c>
      <c r="C26" s="7" t="str">
        <f>Sites[[#This Row],[SOL'#]]</f>
        <v>SOL-10838</v>
      </c>
      <c r="D26" s="7"/>
      <c r="E26" s="12"/>
      <c r="F26" s="12"/>
      <c r="G26" s="13"/>
      <c r="H26" s="14"/>
      <c r="I26" s="14"/>
      <c r="J26" s="13"/>
      <c r="K26" s="45"/>
      <c r="L26" s="85"/>
      <c r="M26" s="87"/>
      <c r="N26" s="88"/>
      <c r="O26" s="88"/>
      <c r="P26" s="88"/>
      <c r="Q26" s="88"/>
      <c r="R26" s="88"/>
      <c r="S26" s="88"/>
      <c r="T26" s="88"/>
      <c r="U26" s="88"/>
      <c r="V26" s="88"/>
      <c r="W26" s="88"/>
      <c r="X26" s="88"/>
      <c r="Y26" s="88"/>
      <c r="Z26" s="88"/>
      <c r="AA26" s="88"/>
    </row>
    <row r="27" spans="1:27" ht="15.6">
      <c r="A27" s="22" t="str">
        <v>NH: Rochester - Portland Street</v>
      </c>
      <c r="B27" s="23" t="str">
        <v>NH</v>
      </c>
      <c r="C27" s="23" t="str">
        <f>Sites[[#This Row],[SOL'#]]</f>
        <v>SOL-10771</v>
      </c>
      <c r="D27" s="18"/>
      <c r="E27" s="8"/>
      <c r="F27" s="8"/>
      <c r="G27" s="9"/>
      <c r="H27" s="10"/>
      <c r="I27" s="10"/>
      <c r="J27" s="11"/>
      <c r="K27" s="47"/>
      <c r="L27" s="47"/>
      <c r="M27" s="88"/>
      <c r="N27" s="88"/>
      <c r="O27" s="88"/>
      <c r="P27" s="88"/>
      <c r="Q27" s="88"/>
      <c r="R27" s="88"/>
      <c r="S27" s="88"/>
      <c r="T27" s="88"/>
      <c r="U27" s="88"/>
      <c r="V27" s="88"/>
      <c r="W27" s="88"/>
      <c r="X27" s="88"/>
      <c r="Y27" s="88"/>
      <c r="Z27" s="88"/>
      <c r="AA27" s="88"/>
    </row>
    <row r="28" spans="1:27" ht="15.6">
      <c r="A28" s="24" t="str">
        <v>NH: Portsmouth - Portsmouth HS</v>
      </c>
      <c r="B28" s="25" t="str">
        <v>NH</v>
      </c>
      <c r="C28" s="7" t="str">
        <f>Sites[[#This Row],[SOL'#]]</f>
        <v>SOL-10769</v>
      </c>
      <c r="D28" s="7"/>
      <c r="E28" s="12"/>
      <c r="F28" s="12"/>
      <c r="G28" s="13"/>
      <c r="H28" s="14"/>
      <c r="I28" s="10"/>
      <c r="J28" s="13"/>
      <c r="K28" s="45"/>
      <c r="L28" s="85"/>
      <c r="M28" s="88"/>
      <c r="N28" s="88"/>
      <c r="O28" s="88"/>
      <c r="P28" s="88"/>
      <c r="Q28" s="88"/>
      <c r="R28" s="88"/>
      <c r="S28" s="88"/>
      <c r="T28" s="88"/>
      <c r="U28" s="88"/>
      <c r="V28" s="88"/>
      <c r="W28" s="88"/>
      <c r="X28" s="88"/>
      <c r="Y28" s="88"/>
      <c r="Z28" s="88"/>
      <c r="AA28" s="88"/>
    </row>
    <row r="29" spans="1:27" ht="15.6">
      <c r="A29" s="22" t="str">
        <v>NH: Portsmouth - Portsmouth WTP</v>
      </c>
      <c r="B29" s="23" t="str">
        <v>NH</v>
      </c>
      <c r="C29" s="23" t="str">
        <f>Sites[[#This Row],[SOL'#]]</f>
        <v>SOL-10770</v>
      </c>
      <c r="D29" s="18"/>
      <c r="E29" s="8"/>
      <c r="F29" s="8"/>
      <c r="G29" s="9"/>
      <c r="H29" s="10"/>
      <c r="I29" s="10"/>
      <c r="J29" s="11"/>
      <c r="K29" s="47"/>
      <c r="L29" s="47"/>
      <c r="M29" s="88"/>
      <c r="N29" s="88"/>
      <c r="O29" s="88"/>
      <c r="P29" s="88"/>
      <c r="Q29" s="88"/>
      <c r="R29" s="88"/>
      <c r="S29" s="88"/>
      <c r="T29" s="88"/>
      <c r="U29" s="88"/>
      <c r="V29" s="88"/>
      <c r="W29" s="88"/>
      <c r="X29" s="88"/>
      <c r="Y29" s="88"/>
      <c r="Z29" s="88"/>
      <c r="AA29" s="88"/>
    </row>
    <row r="30" spans="1:27" ht="15.6">
      <c r="A30" s="24" t="str">
        <v>NH: Rochester - Rochester MS</v>
      </c>
      <c r="B30" s="25" t="str">
        <v>NH</v>
      </c>
      <c r="C30" s="7" t="str">
        <f>Sites[[#This Row],[SOL'#]]</f>
        <v>SOL-10765</v>
      </c>
      <c r="D30" s="7"/>
      <c r="E30" s="12"/>
      <c r="F30" s="12"/>
      <c r="G30" s="13"/>
      <c r="H30" s="14"/>
      <c r="I30" s="14"/>
      <c r="J30" s="13"/>
      <c r="K30" s="45"/>
      <c r="L30" s="46"/>
      <c r="M30" s="88"/>
      <c r="N30" s="88"/>
      <c r="O30" s="88"/>
      <c r="P30" s="88"/>
      <c r="Q30" s="88"/>
      <c r="R30" s="88"/>
      <c r="S30" s="88"/>
      <c r="T30" s="88"/>
      <c r="U30" s="88"/>
      <c r="V30" s="88"/>
      <c r="W30" s="88"/>
      <c r="X30" s="88"/>
      <c r="Y30" s="88"/>
      <c r="Z30" s="88"/>
      <c r="AA30" s="88"/>
    </row>
    <row r="31" spans="1:27" ht="15.75" customHeight="1">
      <c r="A31" s="22" t="str">
        <v>NH Rochester - Spaulding HS</v>
      </c>
      <c r="B31" s="23" t="str">
        <v>NH</v>
      </c>
      <c r="C31" s="23" t="str">
        <f>Sites[[#This Row],[SOL'#]]</f>
        <v>SOL-10767</v>
      </c>
      <c r="D31" s="18"/>
      <c r="E31" s="8"/>
      <c r="F31" s="8"/>
      <c r="G31" s="9"/>
      <c r="H31" s="10"/>
      <c r="I31" s="10"/>
      <c r="J31" s="11"/>
      <c r="K31" s="47"/>
      <c r="L31" s="47"/>
      <c r="M31" s="88"/>
      <c r="N31" s="88"/>
      <c r="O31" s="88"/>
      <c r="P31" s="88"/>
      <c r="Q31" s="88"/>
      <c r="R31" s="88"/>
      <c r="S31" s="88"/>
      <c r="T31" s="88"/>
      <c r="U31" s="88"/>
      <c r="V31" s="88"/>
      <c r="W31" s="88"/>
      <c r="X31" s="88"/>
      <c r="Y31" s="88"/>
      <c r="Z31" s="88"/>
      <c r="AA31" s="88"/>
    </row>
    <row r="32" spans="1:27" ht="15.6">
      <c r="A32" s="24" t="str">
        <v>NH: Rochester - McClelland ES</v>
      </c>
      <c r="B32" s="25" t="str">
        <v>NH</v>
      </c>
      <c r="C32" s="7" t="str">
        <f>Sites[[#This Row],[SOL'#]]</f>
        <v>SOL-10766</v>
      </c>
      <c r="D32" s="7"/>
      <c r="E32" s="12"/>
      <c r="F32" s="12"/>
      <c r="G32" s="13"/>
      <c r="H32" s="14"/>
      <c r="I32" s="14"/>
      <c r="J32" s="13"/>
      <c r="K32" s="89"/>
      <c r="L32" s="46"/>
      <c r="M32" s="88"/>
      <c r="N32" s="88"/>
      <c r="O32" s="88"/>
      <c r="P32" s="88"/>
      <c r="Q32" s="88"/>
      <c r="R32" s="88"/>
      <c r="S32" s="88"/>
      <c r="T32" s="88"/>
      <c r="U32" s="88"/>
      <c r="V32" s="88"/>
      <c r="W32" s="88"/>
      <c r="X32" s="88"/>
      <c r="Y32" s="88"/>
      <c r="Z32" s="88"/>
      <c r="AA32" s="88"/>
    </row>
    <row r="33" spans="1:27" ht="15.6">
      <c r="A33" s="22" t="str">
        <v>NH: Rochester - Brock St Vocational</v>
      </c>
      <c r="B33" s="23" t="str">
        <v>NH</v>
      </c>
      <c r="C33" s="23" t="str">
        <f>Sites[[#This Row],[SOL'#]]</f>
        <v>SOL-10768</v>
      </c>
      <c r="D33" s="18"/>
      <c r="E33" s="8"/>
      <c r="F33" s="8"/>
      <c r="G33" s="9"/>
      <c r="H33" s="10"/>
      <c r="I33" s="10"/>
      <c r="J33" s="11"/>
      <c r="K33" s="47"/>
      <c r="L33" s="47"/>
      <c r="M33" s="88"/>
      <c r="N33" s="88"/>
      <c r="O33" s="88"/>
      <c r="P33" s="88"/>
      <c r="Q33" s="88"/>
      <c r="R33" s="88"/>
      <c r="S33" s="88"/>
      <c r="T33" s="88"/>
      <c r="U33" s="88"/>
      <c r="V33" s="88"/>
      <c r="W33" s="88"/>
      <c r="X33" s="88"/>
      <c r="Y33" s="88"/>
      <c r="Z33" s="88"/>
      <c r="AA33" s="88"/>
    </row>
    <row r="34" spans="1:27" ht="15.6">
      <c r="A34" s="24" t="str">
        <v>OH: Cleveland - CV Kinsman</v>
      </c>
      <c r="B34" s="25" t="str">
        <v>OH</v>
      </c>
      <c r="C34" s="7" t="str">
        <f>Sites[[#This Row],[SOL'#]]</f>
        <v>SOL-10762</v>
      </c>
      <c r="D34" s="7"/>
      <c r="E34" s="12"/>
      <c r="F34" s="12"/>
      <c r="G34" s="13"/>
      <c r="H34" s="14"/>
      <c r="I34" s="14"/>
      <c r="J34" s="13"/>
      <c r="K34" s="89"/>
      <c r="L34" s="46"/>
      <c r="M34" s="88"/>
      <c r="N34" s="88"/>
      <c r="O34" s="88"/>
      <c r="P34" s="88"/>
      <c r="Q34" s="88"/>
      <c r="R34" s="88"/>
      <c r="S34" s="88"/>
      <c r="T34" s="88"/>
      <c r="U34" s="88"/>
      <c r="V34" s="88"/>
      <c r="W34" s="88"/>
      <c r="X34" s="88"/>
      <c r="Y34" s="88"/>
      <c r="Z34" s="88"/>
      <c r="AA34" s="88"/>
    </row>
    <row r="35" spans="1:27" ht="15.6">
      <c r="A35" s="22" t="str">
        <v>OH: Cleveland - CV Wooster</v>
      </c>
      <c r="B35" s="23" t="str">
        <v>OH</v>
      </c>
      <c r="C35" s="23" t="str">
        <f>Sites[[#This Row],[SOL'#]]</f>
        <v>SOL-10763</v>
      </c>
      <c r="D35" s="18"/>
      <c r="E35" s="8"/>
      <c r="F35" s="8"/>
      <c r="G35" s="9"/>
      <c r="H35" s="10"/>
      <c r="I35" s="10"/>
      <c r="J35" s="11"/>
      <c r="K35" s="47"/>
      <c r="L35" s="47"/>
      <c r="M35" s="88"/>
      <c r="N35" s="88"/>
      <c r="O35" s="88"/>
      <c r="P35" s="88"/>
      <c r="Q35" s="88"/>
      <c r="R35" s="88"/>
      <c r="S35" s="88"/>
      <c r="T35" s="88"/>
      <c r="U35" s="88"/>
      <c r="V35" s="88"/>
      <c r="W35" s="88"/>
      <c r="X35" s="88"/>
      <c r="Y35" s="88"/>
      <c r="Z35" s="88"/>
      <c r="AA35" s="88"/>
    </row>
    <row r="36" spans="1:27" ht="15.6">
      <c r="A36" s="24" t="str">
        <v>PR: Aguadilla - Coca Cola</v>
      </c>
      <c r="B36" s="25" t="str">
        <v>PR</v>
      </c>
      <c r="C36" s="7" t="str">
        <f>Sites[[#This Row],[SOL'#]]</f>
        <v>SOL-10072</v>
      </c>
      <c r="D36" s="7"/>
      <c r="E36" s="12"/>
      <c r="F36" s="12"/>
      <c r="G36" s="13"/>
      <c r="H36" s="14"/>
      <c r="I36" s="14"/>
      <c r="J36" s="13"/>
      <c r="K36" s="45"/>
      <c r="L36" s="45"/>
      <c r="M36" s="88"/>
      <c r="N36" s="88"/>
      <c r="O36" s="88"/>
      <c r="P36" s="88"/>
      <c r="Q36" s="88"/>
      <c r="R36" s="88"/>
      <c r="S36" s="88"/>
      <c r="T36" s="88"/>
      <c r="U36" s="88"/>
      <c r="V36" s="88"/>
      <c r="W36" s="88"/>
      <c r="X36" s="88"/>
      <c r="Y36" s="88"/>
      <c r="Z36" s="88"/>
      <c r="AA36" s="88"/>
    </row>
    <row r="37" spans="1:27" ht="34.5" customHeight="1">
      <c r="A37" s="22" t="str">
        <v>PR: Bayamon - Coca Cola</v>
      </c>
      <c r="B37" s="23" t="str">
        <v>PR</v>
      </c>
      <c r="C37" s="23" t="str">
        <f>Sites[[#This Row],[SOL'#]]</f>
        <v>SOL-10073</v>
      </c>
      <c r="D37" s="18"/>
      <c r="E37" s="8"/>
      <c r="F37" s="8"/>
      <c r="G37" s="9"/>
      <c r="H37" s="10"/>
      <c r="I37" s="10"/>
      <c r="J37" s="11"/>
      <c r="K37" s="47"/>
      <c r="L37" s="47"/>
      <c r="M37" s="88"/>
      <c r="N37" s="88"/>
      <c r="O37" s="88"/>
      <c r="P37" s="88"/>
      <c r="Q37" s="88"/>
      <c r="R37" s="88"/>
      <c r="S37" s="88"/>
      <c r="T37" s="88"/>
      <c r="U37" s="88"/>
      <c r="V37" s="88"/>
      <c r="W37" s="88"/>
      <c r="X37" s="88"/>
      <c r="Y37" s="88"/>
      <c r="Z37" s="88"/>
      <c r="AA37" s="88"/>
    </row>
    <row r="38" spans="1:27" ht="15.6">
      <c r="A38" s="24" t="str">
        <v>PR: Carolina - St. Francis</v>
      </c>
      <c r="B38" s="25" t="str">
        <v>PR</v>
      </c>
      <c r="C38" s="7" t="str">
        <f>Sites[[#This Row],[SOL'#]]</f>
        <v>SOL-10034</v>
      </c>
      <c r="D38" s="7"/>
      <c r="E38" s="12"/>
      <c r="F38" s="12"/>
      <c r="G38" s="13"/>
      <c r="H38" s="14"/>
      <c r="I38" s="14"/>
      <c r="J38" s="13"/>
      <c r="K38" s="45"/>
      <c r="L38" s="85"/>
      <c r="M38" s="88"/>
      <c r="N38" s="88"/>
      <c r="O38" s="88"/>
      <c r="P38" s="88"/>
      <c r="Q38" s="88"/>
      <c r="R38" s="88"/>
      <c r="S38" s="88"/>
      <c r="T38" s="88"/>
      <c r="U38" s="88"/>
      <c r="V38" s="88"/>
      <c r="W38" s="88"/>
      <c r="X38" s="88"/>
      <c r="Y38" s="88"/>
      <c r="Z38" s="88"/>
      <c r="AA38" s="88"/>
    </row>
    <row r="39" spans="1:27" ht="15.6">
      <c r="A39" s="22" t="str">
        <v>DC: Chevy Chase -Sinai</v>
      </c>
      <c r="B39" s="23" t="str">
        <v>DC</v>
      </c>
      <c r="C39" s="23" t="str">
        <f>Sites[[#This Row],[SOL'#]]</f>
        <v>SOL-10028</v>
      </c>
      <c r="D39" s="18"/>
      <c r="E39" s="8"/>
      <c r="F39" s="8"/>
      <c r="G39" s="9"/>
      <c r="H39" s="10"/>
      <c r="I39" s="10"/>
      <c r="J39" s="11"/>
      <c r="K39" s="47"/>
      <c r="L39" s="47"/>
      <c r="M39" s="88"/>
      <c r="N39" s="88"/>
      <c r="O39" s="88"/>
      <c r="P39" s="88"/>
      <c r="Q39" s="88"/>
      <c r="R39" s="88"/>
      <c r="S39" s="88"/>
      <c r="T39" s="88"/>
      <c r="U39" s="88"/>
      <c r="V39" s="88"/>
      <c r="W39" s="88"/>
      <c r="X39" s="88"/>
      <c r="Y39" s="88"/>
      <c r="Z39" s="88"/>
      <c r="AA39" s="88"/>
    </row>
    <row r="40" spans="1:27" ht="15.6">
      <c r="A40" s="24" t="str">
        <v>DC: Washington - Weinberg 1</v>
      </c>
      <c r="B40" s="25" t="str">
        <v>DC</v>
      </c>
      <c r="C40" s="7" t="str">
        <f>Sites[[#This Row],[SOL'#]]</f>
        <v>SOL-10039</v>
      </c>
      <c r="D40" s="7"/>
      <c r="E40" s="12"/>
      <c r="F40" s="12"/>
      <c r="G40" s="13"/>
      <c r="H40" s="14"/>
      <c r="I40" s="14"/>
      <c r="J40" s="13"/>
      <c r="K40" s="45"/>
      <c r="L40" s="85"/>
      <c r="M40" s="88"/>
      <c r="N40" s="88"/>
      <c r="O40" s="88"/>
      <c r="P40" s="88"/>
      <c r="Q40" s="88"/>
      <c r="R40" s="88"/>
      <c r="S40" s="88"/>
      <c r="T40" s="88"/>
      <c r="U40" s="88"/>
      <c r="V40" s="88"/>
      <c r="W40" s="88"/>
      <c r="X40" s="88"/>
      <c r="Y40" s="88"/>
      <c r="Z40" s="88"/>
      <c r="AA40" s="88"/>
    </row>
    <row r="41" spans="1:27" ht="15.6">
      <c r="A41" s="22" t="str">
        <v>DC: Washington - Weinberg 2</v>
      </c>
      <c r="B41" s="23" t="str">
        <v>DC</v>
      </c>
      <c r="C41" s="23" t="str">
        <f>Sites[[#This Row],[SOL'#]]</f>
        <v>SOL-10045</v>
      </c>
      <c r="D41" s="18"/>
      <c r="E41" s="8"/>
      <c r="F41" s="8"/>
      <c r="G41" s="9"/>
      <c r="H41" s="10"/>
      <c r="I41" s="10"/>
      <c r="J41" s="11"/>
      <c r="K41" s="47"/>
      <c r="L41" s="84"/>
      <c r="M41" s="87"/>
      <c r="N41" s="88"/>
      <c r="O41" s="88"/>
      <c r="P41" s="88"/>
      <c r="Q41" s="88"/>
      <c r="R41" s="88"/>
      <c r="S41" s="88"/>
      <c r="T41" s="88"/>
      <c r="U41" s="88"/>
      <c r="V41" s="88"/>
      <c r="W41" s="88"/>
      <c r="X41" s="88"/>
      <c r="Y41" s="88"/>
      <c r="Z41" s="88"/>
      <c r="AA41" s="88"/>
    </row>
    <row r="42" spans="1:27" ht="93.75" customHeight="1">
      <c r="A42" s="24" t="str">
        <v>DC: Washington - Weinberg 3</v>
      </c>
      <c r="B42" s="25" t="str">
        <v>DC</v>
      </c>
      <c r="C42" s="7" t="str">
        <f>Sites[[#This Row],[SOL'#]]</f>
        <v>SOL-10042</v>
      </c>
      <c r="D42" s="7"/>
      <c r="E42" s="12"/>
      <c r="F42" s="12"/>
      <c r="G42" s="13"/>
      <c r="H42" s="14"/>
      <c r="I42" s="14"/>
      <c r="J42" s="13"/>
      <c r="K42" s="45"/>
      <c r="L42" s="85"/>
      <c r="M42" s="87"/>
      <c r="N42" s="88"/>
      <c r="O42" s="88"/>
      <c r="P42" s="88"/>
      <c r="Q42" s="88"/>
      <c r="R42" s="88"/>
      <c r="S42" s="88"/>
      <c r="T42" s="88"/>
      <c r="U42" s="88"/>
      <c r="V42" s="88"/>
      <c r="W42" s="88"/>
      <c r="X42" s="88"/>
      <c r="Y42" s="88"/>
      <c r="Z42" s="88"/>
      <c r="AA42" s="88"/>
    </row>
  </sheetData>
  <mergeCells count="4">
    <mergeCell ref="H1:J1"/>
    <mergeCell ref="A1:D1"/>
    <mergeCell ref="E1:G1"/>
    <mergeCell ref="A2:B2"/>
  </mergeCells>
  <phoneticPr fontId="38" type="noConversion"/>
  <conditionalFormatting sqref="G2 J2 G4:G42 J4:J42">
    <cfRule type="cellIs" dxfId="30" priority="15" stopIfTrue="1" operator="lessThanOrEqual">
      <formula>-0.1</formula>
    </cfRule>
    <cfRule type="expression" dxfId="29" priority="16">
      <formula>AND(ISNUMBER(G2), G2&gt;=0.1)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46"/>
  <sheetViews>
    <sheetView zoomScale="70" zoomScaleNormal="70" workbookViewId="0">
      <pane xSplit="2" ySplit="3" topLeftCell="C19" activePane="bottomRight" state="frozen"/>
      <selection pane="bottomRight" activeCell="A43" sqref="A43:XFD158"/>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38" t="str" cm="1">
        <f t="array" ref="A1">portfolio</f>
        <v>GoodFinch</v>
      </c>
      <c r="B1" s="138"/>
      <c r="C1" s="138"/>
      <c r="D1" s="138"/>
      <c r="E1" s="139" t="s">
        <v>34</v>
      </c>
      <c r="F1" s="139"/>
      <c r="G1" s="139"/>
      <c r="H1" s="137" t="s">
        <v>35</v>
      </c>
      <c r="I1" s="137"/>
      <c r="J1" s="137"/>
      <c r="K1" s="2"/>
      <c r="L1" s="2"/>
    </row>
    <row r="2" spans="1:18" ht="19.5" customHeight="1">
      <c r="A2" s="140" t="s">
        <v>2</v>
      </c>
      <c r="B2" s="140"/>
      <c r="C2" s="51"/>
      <c r="D2" s="3">
        <f>SUM(D4:D42)</f>
        <v>0</v>
      </c>
      <c r="E2" s="3">
        <f>SUM(E4:E42)</f>
        <v>0</v>
      </c>
      <c r="F2" s="3">
        <f>D2-E2</f>
        <v>0</v>
      </c>
      <c r="G2" s="4">
        <f>IFERROR(F2/E2, 0)</f>
        <v>0</v>
      </c>
      <c r="H2" s="3">
        <f>SUM(H4:H42)</f>
        <v>0</v>
      </c>
      <c r="I2" s="5">
        <f>D2-H2</f>
        <v>0</v>
      </c>
      <c r="J2" s="4">
        <f>IFERROR(I2/H2, 0)</f>
        <v>0</v>
      </c>
      <c r="K2" s="20"/>
      <c r="L2" s="2"/>
    </row>
    <row r="3" spans="1:18" ht="14.25" customHeight="1">
      <c r="A3" s="6" t="s">
        <v>3</v>
      </c>
      <c r="B3" s="6" t="s">
        <v>4</v>
      </c>
      <c r="C3" s="6" t="s">
        <v>5</v>
      </c>
      <c r="D3" s="17" t="s">
        <v>6</v>
      </c>
      <c r="E3" s="29" t="s">
        <v>7</v>
      </c>
      <c r="F3" s="29" t="s">
        <v>8</v>
      </c>
      <c r="G3" s="30" t="s">
        <v>9</v>
      </c>
      <c r="H3" s="31" t="s">
        <v>10</v>
      </c>
      <c r="I3" s="32" t="s">
        <v>8</v>
      </c>
      <c r="J3" s="33" t="s">
        <v>9</v>
      </c>
      <c r="K3" s="19" t="s">
        <v>21</v>
      </c>
      <c r="L3" s="19" t="s">
        <v>22</v>
      </c>
    </row>
    <row r="4" spans="1:18" ht="15.6">
      <c r="A4" s="24" t="str" cm="1">
        <f t="array" ref="A4:A42">Sites[Site]</f>
        <v>AZ: Tempe - ASU - Farmer</v>
      </c>
      <c r="B4" s="25" t="str" cm="1">
        <f t="array" ref="B4:B42">Sites[State]</f>
        <v>AZ</v>
      </c>
      <c r="C4" s="7" t="str">
        <f>Sites[[#This Row],[SOL'#]]</f>
        <v>SOL-10748</v>
      </c>
      <c r="D4" s="7"/>
      <c r="E4" s="12"/>
      <c r="F4" s="12"/>
      <c r="G4" s="13"/>
      <c r="H4" s="14"/>
      <c r="I4" s="14"/>
      <c r="J4" s="13"/>
      <c r="K4" s="108"/>
      <c r="L4" s="85"/>
      <c r="M4" s="87"/>
      <c r="N4" s="87"/>
      <c r="O4" s="88"/>
      <c r="P4" s="88"/>
      <c r="Q4" s="88"/>
      <c r="R4" s="88"/>
    </row>
    <row r="5" spans="1:18" ht="86.25" customHeight="1">
      <c r="A5" s="22" t="str">
        <v>AZ: Tempe - ASU - Fulton</v>
      </c>
      <c r="B5" s="23" t="str">
        <v>AZ</v>
      </c>
      <c r="C5" s="23" t="str">
        <f>Sites[[#This Row],[SOL'#]]</f>
        <v>SOL-10749</v>
      </c>
      <c r="D5" s="18"/>
      <c r="E5" s="8"/>
      <c r="F5" s="8"/>
      <c r="G5" s="9"/>
      <c r="H5" s="10"/>
      <c r="I5" s="10"/>
      <c r="J5" s="11"/>
      <c r="K5" s="41"/>
      <c r="L5" s="84"/>
      <c r="M5" s="88"/>
      <c r="N5" s="88"/>
      <c r="O5" s="88"/>
      <c r="P5" s="88"/>
      <c r="Q5" s="88"/>
      <c r="R5" s="88"/>
    </row>
    <row r="6" spans="1:18" ht="64.5" customHeight="1">
      <c r="A6" s="24" t="str">
        <v>AZ: Superior - JFK Elementary</v>
      </c>
      <c r="B6" s="25" t="str">
        <v>AZ</v>
      </c>
      <c r="C6" s="7" t="str">
        <f>Sites[[#This Row],[SOL'#]]</f>
        <v>SOL-10758</v>
      </c>
      <c r="D6" s="7"/>
      <c r="E6" s="12"/>
      <c r="F6" s="12"/>
      <c r="G6" s="13"/>
      <c r="H6" s="14"/>
      <c r="I6" s="14"/>
      <c r="J6" s="13"/>
      <c r="K6" s="108"/>
      <c r="L6" s="85"/>
      <c r="M6" s="88"/>
      <c r="N6" s="88"/>
      <c r="O6" s="88"/>
      <c r="P6" s="88"/>
      <c r="Q6" s="88"/>
      <c r="R6" s="88"/>
    </row>
    <row r="7" spans="1:18" ht="15.6">
      <c r="A7" s="22" t="str">
        <v>AZ: Tempe - ASU - Noble</v>
      </c>
      <c r="B7" s="23" t="str">
        <v>AZ</v>
      </c>
      <c r="C7" s="23" t="str">
        <f>Sites[[#This Row],[SOL'#]]</f>
        <v>SOL-10750</v>
      </c>
      <c r="D7" s="18"/>
      <c r="E7" s="8"/>
      <c r="F7" s="8"/>
      <c r="G7" s="9"/>
      <c r="H7" s="10"/>
      <c r="I7" s="10"/>
      <c r="J7" s="11"/>
      <c r="K7" s="41"/>
      <c r="L7" s="84"/>
      <c r="M7" s="88"/>
      <c r="N7" s="88"/>
      <c r="O7" s="88"/>
      <c r="P7" s="88"/>
      <c r="Q7" s="88"/>
      <c r="R7" s="88"/>
    </row>
    <row r="8" spans="1:18" ht="15.6">
      <c r="A8" s="24" t="str">
        <v>AZ: Tempe - ASU - Parking #3</v>
      </c>
      <c r="B8" s="25" t="str">
        <v>AZ</v>
      </c>
      <c r="C8" s="7" t="str">
        <f>Sites[[#This Row],[SOL'#]]</f>
        <v>SOL-10751</v>
      </c>
      <c r="D8" s="7"/>
      <c r="E8" s="12"/>
      <c r="F8" s="12"/>
      <c r="G8" s="13"/>
      <c r="H8" s="14"/>
      <c r="I8" s="14"/>
      <c r="J8" s="13"/>
      <c r="K8" s="74"/>
      <c r="L8" s="86"/>
      <c r="M8" s="88"/>
      <c r="N8" s="88"/>
      <c r="O8" s="88"/>
      <c r="P8" s="88"/>
      <c r="Q8" s="88"/>
      <c r="R8" s="88"/>
    </row>
    <row r="9" spans="1:18" ht="15.6">
      <c r="A9" s="22" t="str">
        <v>AZ: Tempe - ASU - PE East</v>
      </c>
      <c r="B9" s="23" t="str">
        <v>AZ</v>
      </c>
      <c r="C9" s="23" t="str">
        <f>Sites[[#This Row],[SOL'#]]</f>
        <v>SOL-10752</v>
      </c>
      <c r="D9" s="18"/>
      <c r="E9" s="8"/>
      <c r="F9" s="8"/>
      <c r="G9" s="9"/>
      <c r="H9" s="10"/>
      <c r="I9" s="10"/>
      <c r="J9" s="11"/>
      <c r="K9" s="41"/>
      <c r="L9" s="41"/>
      <c r="M9" s="88"/>
      <c r="N9" s="88"/>
      <c r="O9" s="88"/>
      <c r="P9" s="88"/>
      <c r="Q9" s="88"/>
      <c r="R9" s="88"/>
    </row>
    <row r="10" spans="1:18" ht="15.6">
      <c r="A10" s="24" t="str">
        <v>AZ: Tempe - ASU - Schwada</v>
      </c>
      <c r="B10" s="25" t="str">
        <v>AZ</v>
      </c>
      <c r="C10" s="7" t="str">
        <f>Sites[[#This Row],[SOL'#]]</f>
        <v>SOL-10753</v>
      </c>
      <c r="D10" s="7"/>
      <c r="E10" s="12"/>
      <c r="F10" s="12"/>
      <c r="G10" s="13"/>
      <c r="H10" s="14"/>
      <c r="I10" s="14"/>
      <c r="J10" s="13"/>
      <c r="K10" s="108"/>
      <c r="L10" s="85"/>
      <c r="M10" s="88"/>
      <c r="N10" s="88"/>
      <c r="O10" s="88"/>
      <c r="P10" s="88"/>
      <c r="Q10" s="88"/>
      <c r="R10" s="88"/>
    </row>
    <row r="11" spans="1:18" ht="15.6">
      <c r="A11" s="22" t="str">
        <v>AZ: Phoenix - Starshine Academy</v>
      </c>
      <c r="B11" s="23" t="str">
        <v>AZ</v>
      </c>
      <c r="C11" s="23" t="str">
        <f>Sites[[#This Row],[SOL'#]]</f>
        <v>SOL-10757</v>
      </c>
      <c r="D11" s="18"/>
      <c r="E11" s="8"/>
      <c r="F11" s="8"/>
      <c r="G11" s="9"/>
      <c r="H11" s="10"/>
      <c r="I11" s="10"/>
      <c r="J11" s="11"/>
      <c r="K11" s="41"/>
      <c r="L11" s="41"/>
      <c r="M11" s="88"/>
      <c r="N11" s="88"/>
      <c r="O11" s="88"/>
      <c r="P11" s="88"/>
      <c r="Q11" s="88"/>
      <c r="R11" s="88"/>
    </row>
    <row r="12" spans="1:18" ht="15.6">
      <c r="A12" s="24" t="str">
        <v>AZ: Yuma Airport</v>
      </c>
      <c r="B12" s="25" t="str">
        <v>AZ</v>
      </c>
      <c r="C12" s="7" t="str">
        <f>Sites[[#This Row],[SOL'#]]</f>
        <v>SOL-10754</v>
      </c>
      <c r="D12" s="7"/>
      <c r="E12" s="12"/>
      <c r="F12" s="12"/>
      <c r="G12" s="13"/>
      <c r="H12" s="14"/>
      <c r="I12" s="14"/>
      <c r="J12" s="13"/>
      <c r="K12" s="108"/>
      <c r="L12" s="85"/>
      <c r="M12" s="87"/>
      <c r="N12" s="87"/>
      <c r="O12" s="88"/>
      <c r="P12" s="88"/>
      <c r="Q12" s="88"/>
      <c r="R12" s="88"/>
    </row>
    <row r="13" spans="1:18" ht="46.5" customHeight="1">
      <c r="A13" s="22" t="str">
        <v>AZ: Globe - Gila CC</v>
      </c>
      <c r="B13" s="23" t="str">
        <v>AZ</v>
      </c>
      <c r="C13" s="23" t="str">
        <f>Sites[[#This Row],[SOL'#]]</f>
        <v>SOL-10751</v>
      </c>
      <c r="D13" s="18"/>
      <c r="E13" s="8"/>
      <c r="F13" s="8"/>
      <c r="G13" s="9"/>
      <c r="H13" s="10"/>
      <c r="I13" s="10"/>
      <c r="J13" s="11"/>
      <c r="K13" s="41"/>
      <c r="L13" s="41"/>
      <c r="M13" s="88"/>
      <c r="N13" s="88"/>
      <c r="O13" s="88"/>
      <c r="P13" s="88"/>
      <c r="Q13" s="88"/>
      <c r="R13" s="88"/>
    </row>
    <row r="14" spans="1:18" ht="15.6">
      <c r="A14" s="24" t="str">
        <v>AZ: Payson - Gila CC</v>
      </c>
      <c r="B14" s="25" t="str">
        <v>AZ</v>
      </c>
      <c r="C14" s="7" t="str">
        <f>Sites[[#This Row],[SOL'#]]</f>
        <v>SOL-10748</v>
      </c>
      <c r="D14" s="7"/>
      <c r="E14" s="12"/>
      <c r="F14" s="12"/>
      <c r="G14" s="13"/>
      <c r="H14" s="14"/>
      <c r="I14" s="14"/>
      <c r="J14" s="13"/>
      <c r="K14" s="108"/>
      <c r="L14" s="85"/>
      <c r="M14" s="88"/>
      <c r="N14" s="88"/>
      <c r="O14" s="88"/>
      <c r="P14" s="88"/>
      <c r="Q14" s="88"/>
      <c r="R14" s="88"/>
    </row>
    <row r="15" spans="1:18" ht="15.6">
      <c r="A15" s="22" t="str">
        <v>AZ: Mesa - Sequoia Charter School</v>
      </c>
      <c r="B15" s="23" t="str">
        <v>AZ</v>
      </c>
      <c r="C15" s="23" t="str">
        <f>Sites[[#This Row],[SOL'#]]</f>
        <v>SOL-10759</v>
      </c>
      <c r="D15" s="18"/>
      <c r="E15" s="8"/>
      <c r="F15" s="8"/>
      <c r="G15" s="9"/>
      <c r="H15" s="10"/>
      <c r="I15" s="10"/>
      <c r="J15" s="11"/>
      <c r="K15" s="41"/>
      <c r="L15" s="41"/>
      <c r="M15" s="88"/>
      <c r="N15" s="88"/>
      <c r="O15" s="88"/>
      <c r="P15" s="88"/>
      <c r="Q15" s="88"/>
      <c r="R15" s="88"/>
    </row>
    <row r="16" spans="1:18" ht="15.6">
      <c r="A16" s="24" t="str">
        <v>AZ: Tempe - SCNM</v>
      </c>
      <c r="B16" s="25" t="str">
        <v>AZ</v>
      </c>
      <c r="C16" s="7" t="str">
        <f>Sites[[#This Row],[SOL'#]]</f>
        <v>SOL-10760</v>
      </c>
      <c r="D16" s="7"/>
      <c r="E16" s="12"/>
      <c r="F16" s="12"/>
      <c r="G16" s="13"/>
      <c r="H16" s="14"/>
      <c r="I16" s="14"/>
      <c r="J16" s="13"/>
      <c r="K16" s="108"/>
      <c r="L16" s="70"/>
      <c r="M16" s="88"/>
      <c r="N16" s="88"/>
      <c r="O16" s="88"/>
      <c r="P16" s="88"/>
      <c r="Q16" s="88"/>
      <c r="R16" s="88"/>
    </row>
    <row r="17" spans="1:18" ht="15.6">
      <c r="A17" s="22" t="str">
        <v>DE: Newark - Clayton Hall</v>
      </c>
      <c r="B17" s="23" t="str">
        <v>DE</v>
      </c>
      <c r="C17" s="23" t="str">
        <f>Sites[[#This Row],[SOL'#]]</f>
        <v>SOL-10820</v>
      </c>
      <c r="D17" s="18"/>
      <c r="E17" s="8"/>
      <c r="F17" s="8"/>
      <c r="G17" s="9"/>
      <c r="H17" s="10"/>
      <c r="I17" s="10"/>
      <c r="J17" s="11"/>
      <c r="K17" s="41"/>
      <c r="L17" s="84"/>
      <c r="M17" s="88"/>
      <c r="N17" s="88"/>
      <c r="O17" s="88"/>
      <c r="P17" s="88"/>
      <c r="Q17" s="88"/>
      <c r="R17" s="88"/>
    </row>
    <row r="18" spans="1:18" ht="43.5" customHeight="1">
      <c r="A18" s="24" t="str">
        <v>DE: Newark - UOD Field House</v>
      </c>
      <c r="B18" s="25" t="str">
        <v>DE</v>
      </c>
      <c r="C18" s="7" t="str">
        <f>Sites[[#This Row],[SOL'#]]</f>
        <v>SOL-10821</v>
      </c>
      <c r="D18" s="7"/>
      <c r="E18" s="12"/>
      <c r="F18" s="12"/>
      <c r="G18" s="13"/>
      <c r="H18" s="14"/>
      <c r="I18" s="14"/>
      <c r="J18" s="13"/>
      <c r="K18" s="108"/>
      <c r="L18" s="85"/>
      <c r="M18" s="88"/>
      <c r="N18" s="88"/>
      <c r="O18" s="88"/>
      <c r="P18" s="88"/>
      <c r="Q18" s="88"/>
      <c r="R18" s="88"/>
    </row>
    <row r="19" spans="1:18" ht="15.6">
      <c r="A19" s="22" t="str">
        <v>DE: Newark - UOD 461 Wyoming</v>
      </c>
      <c r="B19" s="23" t="str">
        <v>DE</v>
      </c>
      <c r="C19" s="23" t="str">
        <f>Sites[[#This Row],[SOL'#]]</f>
        <v>SOL-10819</v>
      </c>
      <c r="D19" s="18"/>
      <c r="E19" s="8"/>
      <c r="F19" s="8"/>
      <c r="G19" s="9"/>
      <c r="H19" s="10"/>
      <c r="I19" s="10"/>
      <c r="J19" s="11"/>
      <c r="K19" s="41"/>
      <c r="L19" s="41"/>
      <c r="M19" s="88"/>
      <c r="N19" s="88"/>
      <c r="O19" s="88"/>
      <c r="P19" s="88"/>
      <c r="Q19" s="88"/>
      <c r="R19" s="88"/>
    </row>
    <row r="20" spans="1:18" ht="15.6">
      <c r="A20" s="24" t="str">
        <v>MD: Presston - Bird-in-Hand</v>
      </c>
      <c r="B20" s="25" t="str">
        <v>MD</v>
      </c>
      <c r="C20" s="7" t="str">
        <f>Sites[[#This Row],[SOL'#]]</f>
        <v>SOL-10092</v>
      </c>
      <c r="D20" s="7"/>
      <c r="E20" s="12"/>
      <c r="F20" s="12"/>
      <c r="G20" s="13"/>
      <c r="H20" s="14"/>
      <c r="I20" s="14"/>
      <c r="J20" s="13"/>
      <c r="K20" s="108"/>
      <c r="L20" s="85"/>
      <c r="M20" s="88"/>
      <c r="N20" s="88"/>
      <c r="O20" s="88"/>
      <c r="P20" s="88"/>
      <c r="Q20" s="88"/>
      <c r="R20" s="88"/>
    </row>
    <row r="21" spans="1:18" ht="15.6">
      <c r="A21" s="22" t="str">
        <v>MD: Easton - Shortall</v>
      </c>
      <c r="B21" s="23" t="str">
        <v>MD</v>
      </c>
      <c r="C21" s="23" t="str">
        <f>Sites[[#This Row],[SOL'#]]</f>
        <v>SOL-10091</v>
      </c>
      <c r="D21" s="18"/>
      <c r="E21" s="8"/>
      <c r="F21" s="8"/>
      <c r="G21" s="9"/>
      <c r="H21" s="10"/>
      <c r="I21" s="10"/>
      <c r="J21" s="11"/>
      <c r="K21" s="41"/>
      <c r="L21" s="41"/>
      <c r="M21" s="88"/>
      <c r="N21" s="88"/>
      <c r="O21" s="88"/>
      <c r="P21" s="88"/>
      <c r="Q21" s="88"/>
      <c r="R21" s="88"/>
    </row>
    <row r="22" spans="1:18" ht="15.6">
      <c r="A22" s="24" t="str">
        <v>MA: Boston - Seaport Solar</v>
      </c>
      <c r="B22" s="25" t="str">
        <v>MA</v>
      </c>
      <c r="C22" s="7" t="str">
        <f>Sites[[#This Row],[SOL'#]]</f>
        <v>SOL-10772</v>
      </c>
      <c r="D22" s="7"/>
      <c r="E22" s="12"/>
      <c r="F22" s="12"/>
      <c r="G22" s="13"/>
      <c r="H22" s="14"/>
      <c r="I22" s="14"/>
      <c r="J22" s="13"/>
      <c r="K22" s="108"/>
      <c r="L22" s="70"/>
      <c r="M22" s="88"/>
      <c r="N22" s="88"/>
      <c r="O22" s="88"/>
      <c r="P22" s="88"/>
      <c r="Q22" s="88"/>
      <c r="R22" s="88"/>
    </row>
    <row r="23" spans="1:18" ht="15.6">
      <c r="A23" s="22" t="str">
        <v>MA: Dedham - Sprague Street</v>
      </c>
      <c r="B23" s="23" t="str">
        <v>MA</v>
      </c>
      <c r="C23" s="23" t="str">
        <f>Sites[[#This Row],[SOL'#]]</f>
        <v>SOL-10773</v>
      </c>
      <c r="D23" s="18"/>
      <c r="E23" s="8"/>
      <c r="F23" s="8"/>
      <c r="G23" s="9"/>
      <c r="H23" s="10"/>
      <c r="I23" s="10"/>
      <c r="J23" s="11"/>
      <c r="K23" s="41"/>
      <c r="L23" s="84"/>
      <c r="M23" s="88"/>
      <c r="N23" s="88"/>
      <c r="O23" s="88"/>
      <c r="P23" s="88"/>
      <c r="Q23" s="88"/>
      <c r="R23" s="88"/>
    </row>
    <row r="24" spans="1:18" ht="15.6">
      <c r="A24" s="24" t="str">
        <v>MA: Boston - Summer Street</v>
      </c>
      <c r="B24" s="25" t="str">
        <v>MA</v>
      </c>
      <c r="C24" s="7" t="str">
        <f>Sites[[#This Row],[SOL'#]]</f>
        <v>SOL-10764</v>
      </c>
      <c r="D24" s="7"/>
      <c r="E24" s="12"/>
      <c r="F24" s="12"/>
      <c r="G24" s="13"/>
      <c r="H24" s="14"/>
      <c r="I24" s="14"/>
      <c r="J24" s="13"/>
      <c r="K24" s="108"/>
      <c r="L24" s="108"/>
      <c r="M24" s="88"/>
      <c r="N24" s="88"/>
      <c r="O24" s="88"/>
      <c r="P24" s="88"/>
      <c r="Q24" s="88"/>
      <c r="R24" s="88"/>
    </row>
    <row r="25" spans="1:18" ht="15.6">
      <c r="A25" s="22" t="str">
        <v>MA: Leominster - Spectro Coatings</v>
      </c>
      <c r="B25" s="23" t="str">
        <v>MA</v>
      </c>
      <c r="C25" s="23" t="str">
        <f>Sites[[#This Row],[SOL'#]]</f>
        <v>SOL-10074</v>
      </c>
      <c r="D25" s="18"/>
      <c r="E25" s="8"/>
      <c r="F25" s="8"/>
      <c r="G25" s="9"/>
      <c r="H25" s="10"/>
      <c r="I25" s="10"/>
      <c r="J25" s="11"/>
      <c r="K25" s="41"/>
      <c r="L25" s="41"/>
      <c r="M25" s="88"/>
      <c r="N25" s="88"/>
      <c r="O25" s="88"/>
      <c r="P25" s="88"/>
      <c r="Q25" s="88"/>
      <c r="R25" s="88"/>
    </row>
    <row r="26" spans="1:18" ht="15.6">
      <c r="A26" s="24" t="str">
        <v>MA: Braintree - RCAB</v>
      </c>
      <c r="B26" s="25" t="str">
        <v>MA</v>
      </c>
      <c r="C26" s="7" t="str">
        <f>Sites[[#This Row],[SOL'#]]</f>
        <v>SOL-10838</v>
      </c>
      <c r="D26" s="7"/>
      <c r="E26" s="12"/>
      <c r="F26" s="12"/>
      <c r="G26" s="13"/>
      <c r="H26" s="14"/>
      <c r="I26" s="14"/>
      <c r="J26" s="13"/>
      <c r="K26" s="108"/>
      <c r="L26" s="70"/>
      <c r="M26" s="88"/>
      <c r="N26" s="88"/>
      <c r="O26" s="88"/>
      <c r="P26" s="88"/>
      <c r="Q26" s="88"/>
      <c r="R26" s="88"/>
    </row>
    <row r="27" spans="1:18" ht="15.6">
      <c r="A27" s="22" t="str">
        <v>NH: Rochester - Portland Street</v>
      </c>
      <c r="B27" s="23" t="str">
        <v>NH</v>
      </c>
      <c r="C27" s="23" t="str">
        <f>Sites[[#This Row],[SOL'#]]</f>
        <v>SOL-10771</v>
      </c>
      <c r="D27" s="18"/>
      <c r="E27" s="8"/>
      <c r="F27" s="8"/>
      <c r="G27" s="9"/>
      <c r="H27" s="10"/>
      <c r="I27" s="10"/>
      <c r="J27" s="11"/>
      <c r="K27" s="41"/>
      <c r="L27" s="41"/>
      <c r="M27" s="88"/>
      <c r="N27" s="88"/>
      <c r="O27" s="88"/>
      <c r="P27" s="88"/>
      <c r="Q27" s="88"/>
      <c r="R27" s="88"/>
    </row>
    <row r="28" spans="1:18" ht="15.6">
      <c r="A28" s="24" t="str">
        <v>NH: Portsmouth - Portsmouth HS</v>
      </c>
      <c r="B28" s="25" t="str">
        <v>NH</v>
      </c>
      <c r="C28" s="7" t="str">
        <f>Sites[[#This Row],[SOL'#]]</f>
        <v>SOL-10769</v>
      </c>
      <c r="D28" s="7"/>
      <c r="E28" s="12"/>
      <c r="F28" s="12"/>
      <c r="G28" s="13"/>
      <c r="H28" s="14"/>
      <c r="I28" s="14"/>
      <c r="J28" s="13"/>
      <c r="K28" s="108"/>
      <c r="L28" s="85"/>
      <c r="M28" s="88"/>
      <c r="N28" s="88"/>
      <c r="O28" s="88"/>
      <c r="P28" s="88"/>
      <c r="Q28" s="88"/>
      <c r="R28" s="88"/>
    </row>
    <row r="29" spans="1:18" ht="15.6">
      <c r="A29" s="22" t="str">
        <v>NH: Portsmouth - Portsmouth WTP</v>
      </c>
      <c r="B29" s="23" t="str">
        <v>NH</v>
      </c>
      <c r="C29" s="23" t="str">
        <f>Sites[[#This Row],[SOL'#]]</f>
        <v>SOL-10770</v>
      </c>
      <c r="D29" s="18"/>
      <c r="E29" s="8"/>
      <c r="F29" s="8"/>
      <c r="G29" s="9"/>
      <c r="H29" s="10"/>
      <c r="I29" s="10"/>
      <c r="J29" s="11"/>
      <c r="K29" s="41"/>
      <c r="L29" s="84"/>
      <c r="M29" s="88"/>
      <c r="N29" s="88"/>
      <c r="O29" s="88"/>
      <c r="P29" s="88"/>
      <c r="Q29" s="88"/>
      <c r="R29" s="88"/>
    </row>
    <row r="30" spans="1:18" ht="15.6">
      <c r="A30" s="24" t="str">
        <v>NH: Rochester - Rochester MS</v>
      </c>
      <c r="B30" s="25" t="str">
        <v>NH</v>
      </c>
      <c r="C30" s="7" t="str">
        <f>Sites[[#This Row],[SOL'#]]</f>
        <v>SOL-10765</v>
      </c>
      <c r="D30" s="7"/>
      <c r="E30" s="12"/>
      <c r="F30" s="12"/>
      <c r="G30" s="13"/>
      <c r="H30" s="14"/>
      <c r="I30" s="14"/>
      <c r="J30" s="13"/>
      <c r="K30" s="108"/>
      <c r="L30" s="70"/>
      <c r="M30" s="88"/>
      <c r="N30" s="88"/>
      <c r="O30" s="88"/>
      <c r="P30" s="88"/>
      <c r="Q30" s="88"/>
      <c r="R30" s="88"/>
    </row>
    <row r="31" spans="1:18" ht="15.6">
      <c r="A31" s="22" t="str">
        <v>NH Rochester - Spaulding HS</v>
      </c>
      <c r="B31" s="23" t="str">
        <v>NH</v>
      </c>
      <c r="C31" s="23" t="str">
        <f>Sites[[#This Row],[SOL'#]]</f>
        <v>SOL-10767</v>
      </c>
      <c r="D31" s="18"/>
      <c r="E31" s="8"/>
      <c r="F31" s="8"/>
      <c r="G31" s="9"/>
      <c r="H31" s="10"/>
      <c r="I31" s="10"/>
      <c r="J31" s="11"/>
      <c r="K31" s="41"/>
      <c r="L31" s="41"/>
      <c r="M31" s="88"/>
      <c r="N31" s="88"/>
      <c r="O31" s="88"/>
      <c r="P31" s="88"/>
      <c r="Q31" s="88"/>
      <c r="R31" s="88"/>
    </row>
    <row r="32" spans="1:18" ht="15.6">
      <c r="A32" s="24" t="str">
        <v>NH: Rochester - McClelland ES</v>
      </c>
      <c r="B32" s="25" t="str">
        <v>NH</v>
      </c>
      <c r="C32" s="7" t="str">
        <f>Sites[[#This Row],[SOL'#]]</f>
        <v>SOL-10766</v>
      </c>
      <c r="D32" s="7"/>
      <c r="E32" s="12"/>
      <c r="F32" s="12"/>
      <c r="G32" s="13"/>
      <c r="H32" s="14"/>
      <c r="I32" s="14"/>
      <c r="J32" s="13"/>
      <c r="K32" s="108"/>
      <c r="L32" s="70"/>
      <c r="M32" s="88"/>
      <c r="N32" s="88"/>
      <c r="O32" s="88"/>
      <c r="P32" s="88"/>
      <c r="Q32" s="88"/>
      <c r="R32" s="88"/>
    </row>
    <row r="33" spans="1:18" ht="15.6">
      <c r="A33" s="22" t="str">
        <v>NH: Rochester - Brock St Vocational</v>
      </c>
      <c r="B33" s="23" t="str">
        <v>NH</v>
      </c>
      <c r="C33" s="23" t="str">
        <f>Sites[[#This Row],[SOL'#]]</f>
        <v>SOL-10768</v>
      </c>
      <c r="D33" s="18"/>
      <c r="E33" s="8"/>
      <c r="F33" s="8"/>
      <c r="G33" s="9"/>
      <c r="H33" s="10"/>
      <c r="I33" s="10"/>
      <c r="J33" s="11"/>
      <c r="K33" s="41"/>
      <c r="L33" s="41"/>
      <c r="M33" s="88"/>
      <c r="N33" s="88"/>
      <c r="O33" s="88"/>
      <c r="P33" s="88"/>
      <c r="Q33" s="88"/>
      <c r="R33" s="88"/>
    </row>
    <row r="34" spans="1:18" ht="15.6">
      <c r="A34" s="24" t="str">
        <v>OH: Cleveland - CV Kinsman</v>
      </c>
      <c r="B34" s="25" t="str">
        <v>OH</v>
      </c>
      <c r="C34" s="7" t="str">
        <f>Sites[[#This Row],[SOL'#]]</f>
        <v>SOL-10762</v>
      </c>
      <c r="D34" s="7"/>
      <c r="E34" s="12"/>
      <c r="F34" s="12"/>
      <c r="G34" s="13"/>
      <c r="H34" s="14"/>
      <c r="I34" s="14"/>
      <c r="J34" s="13"/>
      <c r="K34" s="108"/>
      <c r="L34" s="70"/>
      <c r="M34" s="88"/>
      <c r="N34" s="88"/>
      <c r="O34" s="88"/>
      <c r="P34" s="88"/>
      <c r="Q34" s="88"/>
      <c r="R34" s="88"/>
    </row>
    <row r="35" spans="1:18" ht="15.6">
      <c r="A35" s="22" t="str">
        <v>OH: Cleveland - CV Wooster</v>
      </c>
      <c r="B35" s="23" t="str">
        <v>OH</v>
      </c>
      <c r="C35" s="23" t="str">
        <f>Sites[[#This Row],[SOL'#]]</f>
        <v>SOL-10763</v>
      </c>
      <c r="D35" s="18"/>
      <c r="E35" s="8"/>
      <c r="F35" s="8"/>
      <c r="G35" s="9"/>
      <c r="H35" s="10"/>
      <c r="I35" s="10"/>
      <c r="J35" s="11"/>
      <c r="K35" s="41"/>
      <c r="L35" s="84"/>
      <c r="M35" s="88"/>
      <c r="N35" s="88"/>
      <c r="O35" s="88"/>
      <c r="P35" s="88"/>
      <c r="Q35" s="88"/>
      <c r="R35" s="88"/>
    </row>
    <row r="36" spans="1:18" ht="15.6">
      <c r="A36" s="24" t="str">
        <v>PR: Aguadilla - Coca Cola</v>
      </c>
      <c r="B36" s="25" t="str">
        <v>PR</v>
      </c>
      <c r="C36" s="7" t="str">
        <f>Sites[[#This Row],[SOL'#]]</f>
        <v>SOL-10072</v>
      </c>
      <c r="D36" s="7"/>
      <c r="E36" s="12"/>
      <c r="F36" s="12"/>
      <c r="G36" s="13"/>
      <c r="H36" s="14"/>
      <c r="I36" s="14"/>
      <c r="J36" s="13"/>
      <c r="K36" s="108"/>
      <c r="L36" s="108"/>
      <c r="M36" s="88"/>
      <c r="N36" s="88"/>
      <c r="O36" s="88"/>
      <c r="P36" s="88"/>
      <c r="Q36" s="88"/>
      <c r="R36" s="88"/>
    </row>
    <row r="37" spans="1:18" ht="15.6">
      <c r="A37" s="22" t="str">
        <v>PR: Bayamon - Coca Cola</v>
      </c>
      <c r="B37" s="23" t="str">
        <v>PR</v>
      </c>
      <c r="C37" s="23" t="str">
        <f>Sites[[#This Row],[SOL'#]]</f>
        <v>SOL-10073</v>
      </c>
      <c r="D37" s="18"/>
      <c r="E37" s="8"/>
      <c r="F37" s="8"/>
      <c r="G37" s="9"/>
      <c r="H37" s="10"/>
      <c r="I37" s="10"/>
      <c r="J37" s="11"/>
      <c r="K37" s="41"/>
      <c r="L37" s="84"/>
      <c r="M37" s="88"/>
      <c r="N37" s="88"/>
      <c r="O37" s="88"/>
      <c r="P37" s="88"/>
      <c r="Q37" s="88"/>
      <c r="R37" s="88"/>
    </row>
    <row r="38" spans="1:18" ht="15.6">
      <c r="A38" s="24" t="str">
        <v>PR: Carolina - St. Francis</v>
      </c>
      <c r="B38" s="25" t="str">
        <v>PR</v>
      </c>
      <c r="C38" s="7" t="str">
        <f>Sites[[#This Row],[SOL'#]]</f>
        <v>SOL-10034</v>
      </c>
      <c r="D38" s="7"/>
      <c r="E38" s="12"/>
      <c r="F38" s="12"/>
      <c r="G38" s="13"/>
      <c r="H38" s="14"/>
      <c r="I38" s="14"/>
      <c r="J38" s="13"/>
      <c r="K38" s="108"/>
      <c r="L38" s="85"/>
      <c r="M38" s="88"/>
      <c r="N38" s="88"/>
      <c r="O38" s="88"/>
      <c r="P38" s="88"/>
      <c r="Q38" s="88"/>
      <c r="R38" s="88"/>
    </row>
    <row r="39" spans="1:18" ht="15.6">
      <c r="A39" s="22" t="str">
        <v>DC: Chevy Chase -Sinai</v>
      </c>
      <c r="B39" s="23" t="str">
        <v>DC</v>
      </c>
      <c r="C39" s="23" t="str">
        <f>Sites[[#This Row],[SOL'#]]</f>
        <v>SOL-10028</v>
      </c>
      <c r="D39" s="18"/>
      <c r="E39" s="8"/>
      <c r="F39" s="8"/>
      <c r="G39" s="9"/>
      <c r="H39" s="10"/>
      <c r="I39" s="10"/>
      <c r="J39" s="11"/>
      <c r="K39" s="41"/>
      <c r="L39" s="41"/>
      <c r="M39" s="88"/>
      <c r="N39" s="88"/>
      <c r="O39" s="88"/>
      <c r="P39" s="88"/>
      <c r="Q39" s="88"/>
      <c r="R39" s="88"/>
    </row>
    <row r="40" spans="1:18" ht="15.6">
      <c r="A40" s="24" t="str">
        <v>DC: Washington - Weinberg 1</v>
      </c>
      <c r="B40" s="25" t="str">
        <v>DC</v>
      </c>
      <c r="C40" s="7" t="str">
        <f>Sites[[#This Row],[SOL'#]]</f>
        <v>SOL-10039</v>
      </c>
      <c r="D40" s="7"/>
      <c r="E40" s="12"/>
      <c r="F40" s="12"/>
      <c r="G40" s="13"/>
      <c r="H40" s="14"/>
      <c r="I40" s="14"/>
      <c r="J40" s="13"/>
      <c r="K40" s="108"/>
      <c r="L40" s="85"/>
      <c r="M40" s="88"/>
      <c r="N40" s="88"/>
      <c r="O40" s="88"/>
      <c r="P40" s="88"/>
      <c r="Q40" s="88"/>
      <c r="R40" s="88"/>
    </row>
    <row r="41" spans="1:18" ht="48" customHeight="1">
      <c r="A41" s="22" t="str">
        <v>DC: Washington - Weinberg 2</v>
      </c>
      <c r="B41" s="23" t="str">
        <v>DC</v>
      </c>
      <c r="C41" s="23" t="str">
        <f>Sites[[#This Row],[SOL'#]]</f>
        <v>SOL-10045</v>
      </c>
      <c r="D41" s="18"/>
      <c r="E41" s="8"/>
      <c r="F41" s="8"/>
      <c r="G41" s="9"/>
      <c r="H41" s="10"/>
      <c r="I41" s="10"/>
      <c r="J41" s="11"/>
      <c r="K41" s="41"/>
      <c r="L41" s="84"/>
      <c r="M41" s="88"/>
      <c r="N41" s="88"/>
      <c r="O41" s="88"/>
      <c r="P41" s="88"/>
      <c r="Q41" s="88"/>
      <c r="R41" s="88"/>
    </row>
    <row r="42" spans="1:18" ht="63" customHeight="1">
      <c r="A42" s="24" t="str">
        <v>DC: Washington - Weinberg 3</v>
      </c>
      <c r="B42" s="25" t="str">
        <v>DC</v>
      </c>
      <c r="C42" s="7" t="str">
        <f>Sites[[#This Row],[SOL'#]]</f>
        <v>SOL-10042</v>
      </c>
      <c r="D42" s="7"/>
      <c r="E42" s="12"/>
      <c r="F42" s="12"/>
      <c r="G42" s="13"/>
      <c r="H42" s="14"/>
      <c r="I42" s="14"/>
      <c r="J42" s="13"/>
      <c r="K42" s="108"/>
      <c r="L42" s="85"/>
      <c r="M42" s="88"/>
      <c r="N42" s="88"/>
      <c r="O42" s="88"/>
      <c r="P42" s="88"/>
      <c r="Q42" s="88"/>
      <c r="R42" s="88"/>
    </row>
    <row r="43" spans="1:18">
      <c r="M43" s="88"/>
      <c r="N43" s="88"/>
      <c r="O43" s="88"/>
      <c r="P43" s="88"/>
      <c r="Q43" s="88"/>
      <c r="R43" s="88"/>
    </row>
    <row r="44" spans="1:18">
      <c r="M44" s="88"/>
      <c r="N44" s="88"/>
      <c r="O44" s="88"/>
      <c r="P44" s="88"/>
      <c r="Q44" s="88"/>
      <c r="R44" s="88"/>
    </row>
    <row r="45" spans="1:18">
      <c r="M45" s="88"/>
      <c r="N45" s="88"/>
      <c r="O45" s="88"/>
      <c r="P45" s="88"/>
      <c r="Q45" s="88"/>
      <c r="R45" s="88"/>
    </row>
    <row r="46" spans="1:18">
      <c r="M46" s="88"/>
      <c r="N46" s="88"/>
      <c r="O46" s="88"/>
      <c r="P46" s="88"/>
      <c r="Q46" s="88"/>
      <c r="R46" s="88"/>
    </row>
  </sheetData>
  <mergeCells count="4">
    <mergeCell ref="H1:J1"/>
    <mergeCell ref="A1:D1"/>
    <mergeCell ref="E1:G1"/>
    <mergeCell ref="A2:B2"/>
  </mergeCells>
  <phoneticPr fontId="38" type="noConversion"/>
  <conditionalFormatting sqref="G2 J2 G4:G42 J4:J42">
    <cfRule type="cellIs" dxfId="28" priority="39" stopIfTrue="1" operator="lessThanOrEqual">
      <formula>-0.1</formula>
    </cfRule>
    <cfRule type="expression" dxfId="27" priority="40">
      <formula>AND(ISNUMBER(G2), G2&gt;=0.1)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X42"/>
  <sheetViews>
    <sheetView zoomScale="70" zoomScaleNormal="70" workbookViewId="0">
      <pane xSplit="2" ySplit="3" topLeftCell="C11" activePane="bottomRight" state="frozen"/>
      <selection pane="bottomRight" activeCell="A14" sqref="A14:XFD14"/>
      <selection pane="bottomLeft" activeCell="D4" sqref="D4"/>
      <selection pane="topRight" activeCell="D4" sqref="D4"/>
    </sheetView>
  </sheetViews>
  <sheetFormatPr defaultRowHeight="13.9"/>
  <cols>
    <col min="1" max="1" width="35.85546875" bestFit="1" customWidth="1"/>
    <col min="2" max="2" width="8.42578125" style="28" customWidth="1"/>
    <col min="3" max="3" width="17.7109375" style="28"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38" t="str" cm="1">
        <f t="array" ref="A1">portfolio</f>
        <v>GoodFinch</v>
      </c>
      <c r="B1" s="138"/>
      <c r="C1" s="138"/>
      <c r="D1" s="138"/>
      <c r="E1" s="139" t="s">
        <v>36</v>
      </c>
      <c r="F1" s="139"/>
      <c r="G1" s="139"/>
      <c r="H1" s="137" t="s">
        <v>37</v>
      </c>
      <c r="I1" s="137"/>
      <c r="J1" s="137"/>
      <c r="K1" s="2"/>
      <c r="L1" s="2"/>
    </row>
    <row r="2" spans="1:24" ht="19.5" customHeight="1">
      <c r="A2" s="140" t="s">
        <v>2</v>
      </c>
      <c r="B2" s="140"/>
      <c r="C2" s="51"/>
      <c r="D2" s="3">
        <f>SUM(D4:D42)</f>
        <v>1510344</v>
      </c>
      <c r="E2" s="3">
        <f>SUM(E4:E42)</f>
        <v>1434979.737</v>
      </c>
      <c r="F2" s="3">
        <f>D2-E2</f>
        <v>75364.263000000035</v>
      </c>
      <c r="G2" s="4">
        <f>IFERROR(F2/E2, 0)</f>
        <v>5.2519391777307051E-2</v>
      </c>
      <c r="H2" s="3">
        <f>SUM(H4:H42)</f>
        <v>2234725</v>
      </c>
      <c r="I2" s="5">
        <f>D2-H2</f>
        <v>-724381</v>
      </c>
      <c r="J2" s="4">
        <f>IFERROR(I2/H2, 0)</f>
        <v>-0.32414771392453212</v>
      </c>
      <c r="K2" s="20"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4" ht="14.25" customHeight="1">
      <c r="A3" s="6" t="s">
        <v>3</v>
      </c>
      <c r="B3" s="6" t="s">
        <v>4</v>
      </c>
      <c r="C3" s="6" t="s">
        <v>5</v>
      </c>
      <c r="D3" s="17" t="s">
        <v>6</v>
      </c>
      <c r="E3" s="29" t="s">
        <v>7</v>
      </c>
      <c r="F3" s="29" t="s">
        <v>8</v>
      </c>
      <c r="G3" s="30" t="s">
        <v>9</v>
      </c>
      <c r="H3" s="31" t="s">
        <v>10</v>
      </c>
      <c r="I3" s="32" t="s">
        <v>8</v>
      </c>
      <c r="J3" s="33" t="s">
        <v>9</v>
      </c>
      <c r="K3" s="19" t="s">
        <v>21</v>
      </c>
      <c r="L3" s="19" t="s">
        <v>22</v>
      </c>
    </row>
    <row r="4" spans="1:24" ht="15.6">
      <c r="A4" s="24" t="str" cm="1">
        <f t="array" ref="A4:A42">Sites[Site]</f>
        <v>AZ: Tempe - ASU - Farmer</v>
      </c>
      <c r="B4" s="25" t="str" cm="1">
        <f t="array" ref="B4:B42">Sites[State]</f>
        <v>AZ</v>
      </c>
      <c r="C4" s="25" t="str">
        <f>Sites[[#This Row],[SOL'#]]</f>
        <v>SOL-10748</v>
      </c>
      <c r="D4" s="57">
        <v>13735</v>
      </c>
      <c r="E4" s="12">
        <v>8817</v>
      </c>
      <c r="F4" s="121">
        <f>IF(AND(ISNUMBER(D4),ISNUMBER(E4)), D4-E4, "")</f>
        <v>4918</v>
      </c>
      <c r="G4" s="13">
        <f>IFERROR(F4/E4, "")</f>
        <v>0.55778609504366561</v>
      </c>
      <c r="H4" s="14">
        <v>13565</v>
      </c>
      <c r="I4" s="14">
        <f>IF(AND(ISNUMBER(D4),ISNUMBER(H4)), D4-H4, "")</f>
        <v>170</v>
      </c>
      <c r="J4" s="13">
        <f>IFERROR(I4/H4, "")</f>
        <v>1.2532252119424991E-2</v>
      </c>
      <c r="K4" s="45"/>
      <c r="L4" s="85"/>
      <c r="M4" s="88"/>
      <c r="N4" s="88"/>
      <c r="O4" s="88"/>
      <c r="P4" s="88"/>
      <c r="Q4" s="88"/>
      <c r="R4" s="88"/>
      <c r="S4" s="88"/>
      <c r="T4" s="88"/>
      <c r="U4" s="88"/>
      <c r="V4" s="88"/>
      <c r="W4" s="88"/>
      <c r="X4" s="88"/>
    </row>
    <row r="5" spans="1:24" ht="63" customHeight="1">
      <c r="A5" s="26" t="str">
        <v>AZ: Tempe - ASU - Fulton</v>
      </c>
      <c r="B5" s="23" t="str">
        <v>AZ</v>
      </c>
      <c r="C5" s="23" t="str">
        <f>Sites[[#This Row],[SOL'#]]</f>
        <v>SOL-10749</v>
      </c>
      <c r="D5" s="18">
        <v>51105</v>
      </c>
      <c r="E5" s="8">
        <v>60590</v>
      </c>
      <c r="F5" s="8">
        <f t="shared" ref="F5:F42" si="0">IF(AND(ISNUMBER(D5),ISNUMBER(E5)), D5-E5, "")</f>
        <v>-9485</v>
      </c>
      <c r="G5" s="9">
        <f>IFERROR(F5/E5, "")</f>
        <v>-0.15654398415580129</v>
      </c>
      <c r="H5" s="10">
        <v>68756</v>
      </c>
      <c r="I5" s="10">
        <f>IF(AND(ISNUMBER(D5),ISNUMBER(H5)), D5-H5, "")</f>
        <v>-17651</v>
      </c>
      <c r="J5" s="11">
        <f>IFERROR(I5/H5, "")</f>
        <v>-0.25671941357845135</v>
      </c>
      <c r="K5" s="47" t="s">
        <v>38</v>
      </c>
      <c r="L5" s="111" t="s">
        <v>39</v>
      </c>
      <c r="M5" s="87"/>
      <c r="N5" s="88"/>
      <c r="O5" s="88"/>
      <c r="P5" s="88"/>
      <c r="Q5" s="88"/>
      <c r="R5" s="88"/>
      <c r="S5" s="88"/>
      <c r="T5" s="88"/>
      <c r="U5" s="88"/>
      <c r="V5" s="88"/>
      <c r="W5" s="88"/>
      <c r="X5" s="88"/>
    </row>
    <row r="6" spans="1:24" ht="57.6">
      <c r="A6" s="24" t="str">
        <v>AZ: Superior - JFK Elementary</v>
      </c>
      <c r="B6" s="25" t="str">
        <v>AZ</v>
      </c>
      <c r="C6" s="25" t="str">
        <f>Sites[[#This Row],[SOL'#]]</f>
        <v>SOL-10758</v>
      </c>
      <c r="D6" s="7">
        <v>12132</v>
      </c>
      <c r="E6" s="12" t="s">
        <v>40</v>
      </c>
      <c r="F6" s="121" t="str">
        <f t="shared" si="0"/>
        <v/>
      </c>
      <c r="G6" s="13" t="str">
        <f t="shared" ref="G6:G42" si="1">IFERROR(F6/E6, "")</f>
        <v/>
      </c>
      <c r="H6" s="14">
        <v>18696</v>
      </c>
      <c r="I6" s="14">
        <f t="shared" ref="I6:I42" si="2">IF(AND(ISNUMBER(D6),ISNUMBER(H6)), D6-H6, "")</f>
        <v>-6564</v>
      </c>
      <c r="J6" s="13">
        <f t="shared" ref="J6:J42" si="3">IFERROR(I6/H6, "")</f>
        <v>-0.35109114249037227</v>
      </c>
      <c r="K6" s="45" t="s">
        <v>41</v>
      </c>
      <c r="L6" s="85" t="s">
        <v>42</v>
      </c>
      <c r="M6" s="87"/>
      <c r="N6" s="88"/>
      <c r="O6" s="88"/>
      <c r="P6" s="88"/>
      <c r="Q6" s="88"/>
      <c r="R6" s="88"/>
      <c r="S6" s="88"/>
      <c r="T6" s="88"/>
      <c r="U6" s="88"/>
      <c r="V6" s="88"/>
      <c r="W6" s="88"/>
      <c r="X6" s="88"/>
    </row>
    <row r="7" spans="1:24" ht="27" customHeight="1">
      <c r="A7" s="26" t="str">
        <v>AZ: Tempe - ASU - Noble</v>
      </c>
      <c r="B7" s="23" t="str">
        <v>AZ</v>
      </c>
      <c r="C7" s="23" t="str">
        <f>Sites[[#This Row],[SOL'#]]</f>
        <v>SOL-10750</v>
      </c>
      <c r="D7" s="18">
        <v>12583</v>
      </c>
      <c r="E7" s="8">
        <v>15025</v>
      </c>
      <c r="F7" s="8">
        <f t="shared" si="0"/>
        <v>-2442</v>
      </c>
      <c r="G7" s="9">
        <f t="shared" si="1"/>
        <v>-0.16252911813643928</v>
      </c>
      <c r="H7" s="10">
        <v>15254</v>
      </c>
      <c r="I7" s="10">
        <f t="shared" si="2"/>
        <v>-2671</v>
      </c>
      <c r="J7" s="11">
        <f t="shared" si="3"/>
        <v>-0.17510161269175298</v>
      </c>
      <c r="K7" s="47" t="s">
        <v>43</v>
      </c>
      <c r="L7" s="111"/>
      <c r="M7" s="87"/>
      <c r="N7" s="88"/>
      <c r="O7" s="88"/>
      <c r="P7" s="88"/>
      <c r="Q7" s="88"/>
      <c r="R7" s="88"/>
      <c r="S7" s="88"/>
      <c r="T7" s="88"/>
      <c r="U7" s="88"/>
      <c r="V7" s="88"/>
      <c r="W7" s="88"/>
      <c r="X7" s="88"/>
    </row>
    <row r="8" spans="1:24" ht="48" customHeight="1">
      <c r="A8" s="24" t="str">
        <v>AZ: Tempe - ASU - Parking #3</v>
      </c>
      <c r="B8" s="25" t="str">
        <v>AZ</v>
      </c>
      <c r="C8" s="25" t="str">
        <f>Sites[[#This Row],[SOL'#]]</f>
        <v>SOL-10751</v>
      </c>
      <c r="D8" s="7">
        <v>34338</v>
      </c>
      <c r="E8" s="12">
        <v>35478</v>
      </c>
      <c r="F8" s="121">
        <f t="shared" si="0"/>
        <v>-1140</v>
      </c>
      <c r="G8" s="13">
        <f t="shared" si="1"/>
        <v>-3.2132589210214779E-2</v>
      </c>
      <c r="H8" s="14">
        <v>31619</v>
      </c>
      <c r="I8" s="14">
        <f t="shared" si="2"/>
        <v>2719</v>
      </c>
      <c r="J8" s="13">
        <f t="shared" si="3"/>
        <v>8.5992599386444865E-2</v>
      </c>
      <c r="K8" s="45" t="s">
        <v>44</v>
      </c>
      <c r="L8" s="85" t="s">
        <v>45</v>
      </c>
      <c r="M8" s="87"/>
      <c r="N8" s="88"/>
      <c r="O8" s="88"/>
      <c r="P8" s="88"/>
      <c r="Q8" s="88"/>
      <c r="R8" s="88"/>
      <c r="S8" s="88"/>
      <c r="T8" s="88"/>
      <c r="U8" s="88"/>
      <c r="V8" s="88"/>
      <c r="W8" s="88"/>
      <c r="X8" s="88"/>
    </row>
    <row r="9" spans="1:24" ht="15.6">
      <c r="A9" s="26" t="str">
        <v>AZ: Tempe - ASU - PE East</v>
      </c>
      <c r="B9" s="23" t="str">
        <v>AZ</v>
      </c>
      <c r="C9" s="23" t="str">
        <f>Sites[[#This Row],[SOL'#]]</f>
        <v>SOL-10752</v>
      </c>
      <c r="D9" s="18">
        <v>30212</v>
      </c>
      <c r="E9" s="8">
        <v>25953</v>
      </c>
      <c r="F9" s="8">
        <f t="shared" si="0"/>
        <v>4259</v>
      </c>
      <c r="G9" s="9">
        <f t="shared" si="1"/>
        <v>0.16410434246522559</v>
      </c>
      <c r="H9" s="10">
        <v>31935</v>
      </c>
      <c r="I9" s="10">
        <f t="shared" si="2"/>
        <v>-1723</v>
      </c>
      <c r="J9" s="11">
        <f t="shared" si="3"/>
        <v>-5.395334272741506E-2</v>
      </c>
      <c r="K9" s="47"/>
      <c r="L9" s="47"/>
      <c r="M9" s="88"/>
      <c r="N9" s="88"/>
      <c r="O9" s="88"/>
      <c r="P9" s="88"/>
      <c r="Q9" s="88"/>
      <c r="R9" s="88"/>
      <c r="S9" s="88"/>
      <c r="T9" s="88"/>
      <c r="U9" s="88"/>
      <c r="V9" s="88"/>
      <c r="W9" s="88"/>
      <c r="X9" s="88"/>
    </row>
    <row r="10" spans="1:24" ht="28.9">
      <c r="A10" s="24" t="str">
        <v>AZ: Tempe - ASU - Schwada</v>
      </c>
      <c r="B10" s="25" t="str">
        <v>AZ</v>
      </c>
      <c r="C10" s="25" t="str">
        <f>Sites[[#This Row],[SOL'#]]</f>
        <v>SOL-10753</v>
      </c>
      <c r="D10" s="7">
        <v>9177</v>
      </c>
      <c r="E10" s="12">
        <v>10685</v>
      </c>
      <c r="F10" s="121">
        <f t="shared" si="0"/>
        <v>-1508</v>
      </c>
      <c r="G10" s="13">
        <f t="shared" si="1"/>
        <v>-0.14113242863827796</v>
      </c>
      <c r="H10" s="14">
        <v>13894</v>
      </c>
      <c r="I10" s="14">
        <f t="shared" si="2"/>
        <v>-4717</v>
      </c>
      <c r="J10" s="13">
        <f t="shared" si="3"/>
        <v>-0.33949906434432131</v>
      </c>
      <c r="K10" s="45" t="s">
        <v>46</v>
      </c>
      <c r="L10" s="45" t="s">
        <v>47</v>
      </c>
      <c r="M10" s="88"/>
      <c r="N10" s="88"/>
      <c r="O10" s="88"/>
      <c r="P10" s="88"/>
      <c r="Q10" s="88"/>
      <c r="R10" s="88"/>
      <c r="S10" s="88"/>
      <c r="T10" s="88"/>
      <c r="U10" s="88"/>
      <c r="V10" s="88"/>
      <c r="W10" s="88"/>
      <c r="X10" s="88"/>
    </row>
    <row r="11" spans="1:24" ht="43.15">
      <c r="A11" s="26" t="str">
        <v>AZ: Phoenix - Starshine Academy</v>
      </c>
      <c r="B11" s="23" t="str">
        <v>AZ</v>
      </c>
      <c r="C11" s="23" t="str">
        <f>Sites[[#This Row],[SOL'#]]</f>
        <v>SOL-10757</v>
      </c>
      <c r="D11" s="18">
        <v>6048</v>
      </c>
      <c r="E11" s="8" t="s">
        <v>40</v>
      </c>
      <c r="F11" s="8" t="str">
        <f t="shared" si="0"/>
        <v/>
      </c>
      <c r="G11" s="9" t="str">
        <f t="shared" si="1"/>
        <v/>
      </c>
      <c r="H11" s="10">
        <v>11002</v>
      </c>
      <c r="I11" s="10">
        <f t="shared" si="2"/>
        <v>-4954</v>
      </c>
      <c r="J11" s="11">
        <f t="shared" si="3"/>
        <v>-0.45028176695146338</v>
      </c>
      <c r="K11" s="47" t="s">
        <v>48</v>
      </c>
      <c r="L11" s="47" t="s">
        <v>49</v>
      </c>
      <c r="M11" s="88"/>
      <c r="N11" s="88"/>
      <c r="O11" s="88"/>
      <c r="P11" s="88"/>
      <c r="Q11" s="88"/>
      <c r="R11" s="88"/>
      <c r="S11" s="88"/>
      <c r="T11" s="88"/>
      <c r="U11" s="88"/>
      <c r="V11" s="88"/>
      <c r="W11" s="88"/>
      <c r="X11" s="88"/>
    </row>
    <row r="12" spans="1:24" ht="28.9">
      <c r="A12" s="24" t="str">
        <v>AZ: Yuma Airport</v>
      </c>
      <c r="B12" s="25" t="str">
        <v>AZ</v>
      </c>
      <c r="C12" s="25" t="str">
        <f>Sites[[#This Row],[SOL'#]]</f>
        <v>SOL-10754</v>
      </c>
      <c r="D12" s="7">
        <v>66601</v>
      </c>
      <c r="E12" s="12">
        <v>94130</v>
      </c>
      <c r="F12" s="121">
        <f t="shared" si="0"/>
        <v>-27529</v>
      </c>
      <c r="G12" s="13">
        <f t="shared" si="1"/>
        <v>-0.29245723998725165</v>
      </c>
      <c r="H12" s="14">
        <v>82137</v>
      </c>
      <c r="I12" s="14">
        <f t="shared" si="2"/>
        <v>-15536</v>
      </c>
      <c r="J12" s="13">
        <f t="shared" si="3"/>
        <v>-0.18914740007548364</v>
      </c>
      <c r="K12" s="45" t="s">
        <v>50</v>
      </c>
      <c r="L12" s="85" t="s">
        <v>51</v>
      </c>
      <c r="M12" s="87"/>
      <c r="N12" s="87"/>
      <c r="O12" s="88"/>
      <c r="P12" s="88"/>
      <c r="Q12" s="88"/>
      <c r="R12" s="88"/>
      <c r="S12" s="88"/>
      <c r="T12" s="88"/>
      <c r="U12" s="88"/>
      <c r="V12" s="88"/>
      <c r="W12" s="88"/>
      <c r="X12" s="88"/>
    </row>
    <row r="13" spans="1:24" ht="43.15">
      <c r="A13" s="26" t="str">
        <v>AZ: Globe - Gila CC</v>
      </c>
      <c r="B13" s="23" t="str">
        <v>AZ</v>
      </c>
      <c r="C13" s="23" t="str">
        <f>Sites[[#This Row],[SOL'#]]</f>
        <v>SOL-10751</v>
      </c>
      <c r="D13" s="18">
        <v>20373</v>
      </c>
      <c r="E13" s="8">
        <v>8836.7369999999992</v>
      </c>
      <c r="F13" s="8">
        <f t="shared" si="0"/>
        <v>11536.263000000001</v>
      </c>
      <c r="G13" s="9">
        <f t="shared" si="1"/>
        <v>1.305489005726888</v>
      </c>
      <c r="H13" s="10">
        <v>18652</v>
      </c>
      <c r="I13" s="10">
        <f t="shared" si="2"/>
        <v>1721</v>
      </c>
      <c r="J13" s="11">
        <f t="shared" si="3"/>
        <v>9.2268925584387734E-2</v>
      </c>
      <c r="K13" s="47" t="s">
        <v>52</v>
      </c>
      <c r="L13" s="47" t="s">
        <v>53</v>
      </c>
      <c r="M13" s="88"/>
      <c r="N13" s="88"/>
      <c r="O13" s="88"/>
      <c r="P13" s="88"/>
      <c r="Q13" s="88"/>
      <c r="R13" s="88"/>
      <c r="S13" s="88"/>
      <c r="T13" s="88"/>
      <c r="U13" s="88"/>
      <c r="V13" s="88"/>
      <c r="W13" s="88"/>
      <c r="X13" s="88"/>
    </row>
    <row r="14" spans="1:24" ht="15.6">
      <c r="A14" s="24" t="str">
        <v>AZ: Payson - Gila CC</v>
      </c>
      <c r="B14" s="25" t="str">
        <v>AZ</v>
      </c>
      <c r="C14" s="25" t="str">
        <f>Sites[[#This Row],[SOL'#]]</f>
        <v>SOL-10748</v>
      </c>
      <c r="D14" s="7">
        <v>15206</v>
      </c>
      <c r="E14" s="12">
        <v>6559</v>
      </c>
      <c r="F14" s="121">
        <f t="shared" si="0"/>
        <v>8647</v>
      </c>
      <c r="G14" s="13">
        <f t="shared" si="1"/>
        <v>1.3183412105503889</v>
      </c>
      <c r="H14" s="14">
        <v>15449</v>
      </c>
      <c r="I14" s="14">
        <f t="shared" si="2"/>
        <v>-243</v>
      </c>
      <c r="J14" s="13">
        <f t="shared" si="3"/>
        <v>-1.5729173409282156E-2</v>
      </c>
      <c r="K14" s="45"/>
      <c r="L14" s="85"/>
      <c r="M14" s="87"/>
      <c r="N14" s="88"/>
      <c r="O14" s="88"/>
      <c r="P14" s="88"/>
      <c r="Q14" s="88"/>
      <c r="R14" s="88"/>
      <c r="S14" s="88"/>
      <c r="T14" s="88"/>
      <c r="U14" s="88"/>
      <c r="V14" s="88"/>
      <c r="W14" s="88"/>
      <c r="X14" s="88"/>
    </row>
    <row r="15" spans="1:24" ht="28.9">
      <c r="A15" s="26" t="str">
        <v>AZ: Mesa - Sequoia Charter School</v>
      </c>
      <c r="B15" s="23" t="str">
        <v>AZ</v>
      </c>
      <c r="C15" s="23" t="str">
        <f>Sites[[#This Row],[SOL'#]]</f>
        <v>SOL-10759</v>
      </c>
      <c r="D15" s="18">
        <v>32820</v>
      </c>
      <c r="E15" s="8" t="s">
        <v>40</v>
      </c>
      <c r="F15" s="8" t="str">
        <f t="shared" si="0"/>
        <v/>
      </c>
      <c r="G15" s="9" t="str">
        <f t="shared" si="1"/>
        <v/>
      </c>
      <c r="H15" s="10">
        <v>52037</v>
      </c>
      <c r="I15" s="10">
        <f t="shared" si="2"/>
        <v>-19217</v>
      </c>
      <c r="J15" s="11">
        <f t="shared" si="3"/>
        <v>-0.36929492476507103</v>
      </c>
      <c r="K15" s="47" t="s">
        <v>54</v>
      </c>
      <c r="L15" s="47" t="s">
        <v>55</v>
      </c>
      <c r="M15" s="88"/>
      <c r="N15" s="88"/>
      <c r="O15" s="88"/>
      <c r="P15" s="88"/>
      <c r="Q15" s="88"/>
      <c r="R15" s="88"/>
      <c r="S15" s="88"/>
      <c r="T15" s="88"/>
      <c r="U15" s="88"/>
      <c r="V15" s="88"/>
      <c r="W15" s="88"/>
      <c r="X15" s="88"/>
    </row>
    <row r="16" spans="1:24" ht="28.9">
      <c r="A16" s="24" t="str">
        <v>AZ: Tempe - SCNM</v>
      </c>
      <c r="B16" s="25" t="str">
        <v>AZ</v>
      </c>
      <c r="C16" s="25" t="str">
        <f>Sites[[#This Row],[SOL'#]]</f>
        <v>SOL-10760</v>
      </c>
      <c r="D16" s="7">
        <v>67508</v>
      </c>
      <c r="E16" s="12">
        <v>49080</v>
      </c>
      <c r="F16" s="121">
        <f t="shared" si="0"/>
        <v>18428</v>
      </c>
      <c r="G16" s="13">
        <f t="shared" si="1"/>
        <v>0.37546862265688674</v>
      </c>
      <c r="H16" s="14">
        <v>91007</v>
      </c>
      <c r="I16" s="14">
        <f t="shared" si="2"/>
        <v>-23499</v>
      </c>
      <c r="J16" s="13">
        <f t="shared" si="3"/>
        <v>-0.25821090685331899</v>
      </c>
      <c r="K16" s="45" t="s">
        <v>56</v>
      </c>
      <c r="L16" s="85" t="s">
        <v>57</v>
      </c>
      <c r="M16" s="88"/>
      <c r="N16" s="88"/>
      <c r="O16" s="88"/>
      <c r="P16" s="88"/>
      <c r="Q16" s="88"/>
      <c r="R16" s="88"/>
      <c r="S16" s="88"/>
      <c r="T16" s="88"/>
      <c r="U16" s="88"/>
      <c r="V16" s="88"/>
      <c r="W16" s="88"/>
      <c r="X16" s="88"/>
    </row>
    <row r="17" spans="1:24" ht="15.6">
      <c r="A17" s="26" t="str">
        <v>DE: Newark - Clayton Hall</v>
      </c>
      <c r="B17" s="23" t="str">
        <v>DE</v>
      </c>
      <c r="C17" s="23" t="str">
        <f>Sites[[#This Row],[SOL'#]]</f>
        <v>SOL-10820</v>
      </c>
      <c r="D17" s="18">
        <v>21726</v>
      </c>
      <c r="E17" s="8">
        <v>23827</v>
      </c>
      <c r="F17" s="8">
        <f t="shared" si="0"/>
        <v>-2101</v>
      </c>
      <c r="G17" s="9">
        <f t="shared" si="1"/>
        <v>-8.8177277878037516E-2</v>
      </c>
      <c r="H17" s="10">
        <v>20228</v>
      </c>
      <c r="I17" s="10">
        <f t="shared" si="2"/>
        <v>1498</v>
      </c>
      <c r="J17" s="11">
        <f t="shared" si="3"/>
        <v>7.4055764287126749E-2</v>
      </c>
      <c r="K17" s="47" t="s">
        <v>58</v>
      </c>
      <c r="L17" s="84" t="s">
        <v>59</v>
      </c>
      <c r="M17" s="88"/>
      <c r="N17" s="88"/>
      <c r="O17" s="88"/>
      <c r="P17" s="88"/>
      <c r="Q17" s="88"/>
      <c r="R17" s="88"/>
      <c r="S17" s="88"/>
      <c r="T17" s="88"/>
      <c r="U17" s="88"/>
      <c r="V17" s="88"/>
      <c r="W17" s="88"/>
      <c r="X17" s="88"/>
    </row>
    <row r="18" spans="1:24" ht="15.6">
      <c r="A18" s="24" t="str">
        <v>DE: Newark - UOD Field House</v>
      </c>
      <c r="B18" s="25" t="str">
        <v>DE</v>
      </c>
      <c r="C18" s="25" t="str">
        <f>Sites[[#This Row],[SOL'#]]</f>
        <v>SOL-10821</v>
      </c>
      <c r="D18" s="7">
        <v>55764</v>
      </c>
      <c r="E18" s="12" t="s">
        <v>40</v>
      </c>
      <c r="F18" s="121" t="str">
        <f t="shared" si="0"/>
        <v/>
      </c>
      <c r="G18" s="13" t="str">
        <f t="shared" si="1"/>
        <v/>
      </c>
      <c r="H18" s="14">
        <v>49697</v>
      </c>
      <c r="I18" s="14">
        <f t="shared" si="2"/>
        <v>6067</v>
      </c>
      <c r="J18" s="13">
        <f t="shared" si="3"/>
        <v>0.12207980360987584</v>
      </c>
      <c r="K18" s="45" t="s">
        <v>60</v>
      </c>
      <c r="L18" s="85" t="s">
        <v>61</v>
      </c>
      <c r="M18" s="88"/>
      <c r="N18" s="88"/>
      <c r="O18" s="88"/>
      <c r="P18" s="88"/>
      <c r="Q18" s="88"/>
      <c r="R18" s="88"/>
      <c r="S18" s="88"/>
      <c r="T18" s="88"/>
      <c r="U18" s="88"/>
      <c r="V18" s="88"/>
      <c r="W18" s="88"/>
      <c r="X18" s="88"/>
    </row>
    <row r="19" spans="1:24" ht="57.6">
      <c r="A19" s="26" t="str">
        <v>DE: Newark - UOD 461 Wyoming</v>
      </c>
      <c r="B19" s="23" t="str">
        <v>DE</v>
      </c>
      <c r="C19" s="23" t="str">
        <f>Sites[[#This Row],[SOL'#]]</f>
        <v>SOL-10819</v>
      </c>
      <c r="D19" s="18" t="s">
        <v>62</v>
      </c>
      <c r="E19" s="8">
        <v>36217</v>
      </c>
      <c r="F19" s="8" t="str">
        <f t="shared" si="0"/>
        <v/>
      </c>
      <c r="G19" s="9" t="str">
        <f t="shared" si="1"/>
        <v/>
      </c>
      <c r="H19" s="10">
        <v>37583</v>
      </c>
      <c r="I19" s="10" t="str">
        <f t="shared" si="2"/>
        <v/>
      </c>
      <c r="J19" s="11" t="str">
        <f t="shared" si="3"/>
        <v/>
      </c>
      <c r="K19" s="47" t="s">
        <v>63</v>
      </c>
      <c r="L19" s="47" t="s">
        <v>64</v>
      </c>
      <c r="M19" s="88"/>
      <c r="N19" s="88"/>
      <c r="O19" s="88"/>
      <c r="P19" s="88"/>
      <c r="Q19" s="88"/>
      <c r="R19" s="88"/>
      <c r="S19" s="88"/>
      <c r="T19" s="88"/>
      <c r="U19" s="88"/>
      <c r="V19" s="88"/>
      <c r="W19" s="88"/>
      <c r="X19" s="88"/>
    </row>
    <row r="20" spans="1:24" ht="115.15">
      <c r="A20" s="24" t="str">
        <v>MD: Presston - Bird-in-Hand</v>
      </c>
      <c r="B20" s="25" t="str">
        <v>MD</v>
      </c>
      <c r="C20" s="25" t="str">
        <f>Sites[[#This Row],[SOL'#]]</f>
        <v>SOL-10092</v>
      </c>
      <c r="D20" s="7">
        <v>145779</v>
      </c>
      <c r="E20" s="12">
        <v>144639</v>
      </c>
      <c r="F20" s="121">
        <f t="shared" si="0"/>
        <v>1140</v>
      </c>
      <c r="G20" s="13">
        <f t="shared" si="1"/>
        <v>7.8816916599257457E-3</v>
      </c>
      <c r="H20" s="14">
        <v>179659</v>
      </c>
      <c r="I20" s="14">
        <f t="shared" si="2"/>
        <v>-33880</v>
      </c>
      <c r="J20" s="13">
        <f t="shared" si="3"/>
        <v>-0.18857947556203697</v>
      </c>
      <c r="K20" s="45" t="s">
        <v>65</v>
      </c>
      <c r="L20" s="85" t="s">
        <v>66</v>
      </c>
      <c r="M20" s="88"/>
      <c r="N20" s="88"/>
      <c r="O20" s="88"/>
      <c r="P20" s="88"/>
      <c r="Q20" s="88"/>
      <c r="R20" s="88"/>
      <c r="S20" s="88"/>
      <c r="T20" s="88"/>
      <c r="U20" s="88"/>
      <c r="V20" s="88"/>
      <c r="W20" s="88"/>
      <c r="X20" s="88"/>
    </row>
    <row r="21" spans="1:24" ht="28.9">
      <c r="A21" s="26" t="str">
        <v>MD: Easton - Shortall</v>
      </c>
      <c r="B21" s="23" t="str">
        <v>MD</v>
      </c>
      <c r="C21" s="23" t="str">
        <f>Sites[[#This Row],[SOL'#]]</f>
        <v>SOL-10091</v>
      </c>
      <c r="D21" s="18">
        <v>188462</v>
      </c>
      <c r="E21" s="8">
        <v>193997</v>
      </c>
      <c r="F21" s="8">
        <f t="shared" si="0"/>
        <v>-5535</v>
      </c>
      <c r="G21" s="9">
        <f t="shared" si="1"/>
        <v>-2.8531369041789306E-2</v>
      </c>
      <c r="H21" s="10">
        <v>158876</v>
      </c>
      <c r="I21" s="10">
        <f t="shared" si="2"/>
        <v>29586</v>
      </c>
      <c r="J21" s="11">
        <f t="shared" si="3"/>
        <v>0.18622070042045369</v>
      </c>
      <c r="K21" s="47" t="s">
        <v>67</v>
      </c>
      <c r="L21" s="47" t="s">
        <v>68</v>
      </c>
      <c r="M21" s="88"/>
      <c r="N21" s="88"/>
      <c r="O21" s="88"/>
      <c r="P21" s="88"/>
      <c r="Q21" s="88"/>
      <c r="R21" s="88"/>
      <c r="S21" s="88"/>
      <c r="T21" s="88"/>
      <c r="U21" s="88"/>
      <c r="V21" s="88"/>
      <c r="W21" s="88"/>
      <c r="X21" s="88"/>
    </row>
    <row r="22" spans="1:24" ht="28.9">
      <c r="A22" s="24" t="str">
        <v>MA: Boston - Seaport Solar</v>
      </c>
      <c r="B22" s="25" t="str">
        <v>MA</v>
      </c>
      <c r="C22" s="25" t="str">
        <f>Sites[[#This Row],[SOL'#]]</f>
        <v>SOL-10772</v>
      </c>
      <c r="D22" s="7">
        <v>85398</v>
      </c>
      <c r="E22" s="12">
        <v>14366</v>
      </c>
      <c r="F22" s="121">
        <f t="shared" si="0"/>
        <v>71032</v>
      </c>
      <c r="G22" s="13">
        <f t="shared" si="1"/>
        <v>4.9444521787553946</v>
      </c>
      <c r="H22" s="14">
        <v>86009</v>
      </c>
      <c r="I22" s="14">
        <f t="shared" si="2"/>
        <v>-611</v>
      </c>
      <c r="J22" s="13">
        <f t="shared" si="3"/>
        <v>-7.1039077305863341E-3</v>
      </c>
      <c r="K22" s="45" t="s">
        <v>69</v>
      </c>
      <c r="L22" s="45" t="s">
        <v>70</v>
      </c>
      <c r="M22" s="88"/>
      <c r="N22" s="88"/>
      <c r="O22" s="88"/>
      <c r="P22" s="88"/>
      <c r="Q22" s="88"/>
      <c r="R22" s="88"/>
      <c r="S22" s="88"/>
      <c r="T22" s="88"/>
      <c r="U22" s="88"/>
      <c r="V22" s="88"/>
      <c r="W22" s="88"/>
      <c r="X22" s="88"/>
    </row>
    <row r="23" spans="1:24" ht="28.9">
      <c r="A23" s="26" t="str">
        <v>MA: Dedham - Sprague Street</v>
      </c>
      <c r="B23" s="23" t="str">
        <v>MA</v>
      </c>
      <c r="C23" s="23" t="str">
        <f>Sites[[#This Row],[SOL'#]]</f>
        <v>SOL-10773</v>
      </c>
      <c r="D23" s="18">
        <v>185825</v>
      </c>
      <c r="E23" s="8">
        <v>0</v>
      </c>
      <c r="F23" s="8">
        <f t="shared" si="0"/>
        <v>185825</v>
      </c>
      <c r="G23" s="9" t="str">
        <f t="shared" si="1"/>
        <v/>
      </c>
      <c r="H23" s="10">
        <v>193251</v>
      </c>
      <c r="I23" s="10">
        <f t="shared" si="2"/>
        <v>-7426</v>
      </c>
      <c r="J23" s="11">
        <f t="shared" si="3"/>
        <v>-3.8426709305514589E-2</v>
      </c>
      <c r="K23" s="47" t="s">
        <v>71</v>
      </c>
      <c r="L23" s="84" t="s">
        <v>72</v>
      </c>
      <c r="M23" s="88"/>
      <c r="N23" s="88"/>
      <c r="O23" s="88"/>
      <c r="P23" s="88"/>
      <c r="Q23" s="88"/>
      <c r="R23" s="88"/>
      <c r="S23" s="88"/>
      <c r="T23" s="88"/>
      <c r="U23" s="88"/>
      <c r="V23" s="88"/>
      <c r="W23" s="88"/>
      <c r="X23" s="88"/>
    </row>
    <row r="24" spans="1:24" ht="15.6">
      <c r="A24" s="24" t="str">
        <v>MA: Boston - Summer Street</v>
      </c>
      <c r="B24" s="25" t="str">
        <v>MA</v>
      </c>
      <c r="C24" s="25" t="str">
        <f>Sites[[#This Row],[SOL'#]]</f>
        <v>SOL-10764</v>
      </c>
      <c r="D24" s="7" t="s">
        <v>62</v>
      </c>
      <c r="E24" s="12">
        <v>64248</v>
      </c>
      <c r="F24" s="121" t="str">
        <f t="shared" si="0"/>
        <v/>
      </c>
      <c r="G24" s="13" t="str">
        <f t="shared" si="1"/>
        <v/>
      </c>
      <c r="H24" s="14">
        <v>409224</v>
      </c>
      <c r="I24" s="14" t="str">
        <f t="shared" si="2"/>
        <v/>
      </c>
      <c r="J24" s="13" t="str">
        <f t="shared" si="3"/>
        <v/>
      </c>
      <c r="K24" s="108"/>
      <c r="L24" s="45"/>
      <c r="M24" s="88"/>
      <c r="N24" s="88"/>
      <c r="O24" s="88"/>
      <c r="P24" s="88"/>
      <c r="Q24" s="88"/>
      <c r="R24" s="88"/>
      <c r="S24" s="88"/>
      <c r="T24" s="88"/>
      <c r="U24" s="88"/>
      <c r="V24" s="88"/>
      <c r="W24" s="88"/>
      <c r="X24" s="88"/>
    </row>
    <row r="25" spans="1:24" ht="15.6">
      <c r="A25" s="26" t="str">
        <v>MA: Leominster - Spectro Coatings</v>
      </c>
      <c r="B25" s="23" t="str">
        <v>MA</v>
      </c>
      <c r="C25" s="23" t="str">
        <f>Sites[[#This Row],[SOL'#]]</f>
        <v>SOL-10074</v>
      </c>
      <c r="D25" s="18">
        <v>38127</v>
      </c>
      <c r="E25" s="8">
        <v>39200</v>
      </c>
      <c r="F25" s="8">
        <f t="shared" si="0"/>
        <v>-1073</v>
      </c>
      <c r="G25" s="9">
        <f t="shared" si="1"/>
        <v>-2.7372448979591835E-2</v>
      </c>
      <c r="H25" s="10">
        <v>38211</v>
      </c>
      <c r="I25" s="10">
        <f t="shared" si="2"/>
        <v>-84</v>
      </c>
      <c r="J25" s="11">
        <f t="shared" si="3"/>
        <v>-2.198319855538981E-3</v>
      </c>
      <c r="K25" s="47"/>
      <c r="L25" s="47"/>
      <c r="M25" s="88"/>
      <c r="N25" s="88"/>
      <c r="O25" s="88"/>
      <c r="P25" s="88"/>
      <c r="Q25" s="88"/>
      <c r="R25" s="88"/>
      <c r="S25" s="88"/>
      <c r="T25" s="88"/>
      <c r="U25" s="88"/>
      <c r="V25" s="88"/>
      <c r="W25" s="88"/>
      <c r="X25" s="88"/>
    </row>
    <row r="26" spans="1:24" ht="28.9">
      <c r="A26" s="24" t="str">
        <v>MA: Braintree - RCAB</v>
      </c>
      <c r="B26" s="25" t="str">
        <v>MA</v>
      </c>
      <c r="C26" s="25" t="str">
        <f>Sites[[#This Row],[SOL'#]]</f>
        <v>SOL-10838</v>
      </c>
      <c r="D26" s="7">
        <v>147058</v>
      </c>
      <c r="E26" s="12">
        <v>182019</v>
      </c>
      <c r="F26" s="121">
        <f t="shared" si="0"/>
        <v>-34961</v>
      </c>
      <c r="G26" s="13">
        <f t="shared" si="1"/>
        <v>-0.19207335497942524</v>
      </c>
      <c r="H26" s="14">
        <v>146483</v>
      </c>
      <c r="I26" s="14">
        <f t="shared" si="2"/>
        <v>575</v>
      </c>
      <c r="J26" s="13">
        <f t="shared" si="3"/>
        <v>3.9253701794747511E-3</v>
      </c>
      <c r="K26" s="45" t="s">
        <v>73</v>
      </c>
      <c r="L26" s="45" t="s">
        <v>74</v>
      </c>
      <c r="M26" s="88"/>
      <c r="N26" s="88"/>
      <c r="O26" s="88"/>
      <c r="P26" s="88"/>
      <c r="Q26" s="88"/>
      <c r="R26" s="88"/>
      <c r="S26" s="88"/>
      <c r="T26" s="88"/>
      <c r="U26" s="88"/>
      <c r="V26" s="88"/>
      <c r="W26" s="88"/>
      <c r="X26" s="88"/>
    </row>
    <row r="27" spans="1:24" ht="15.6">
      <c r="A27" s="26" t="str">
        <v>NH: Rochester - Portland Street</v>
      </c>
      <c r="B27" s="23" t="str">
        <v>NH</v>
      </c>
      <c r="C27" s="23" t="str">
        <f>Sites[[#This Row],[SOL'#]]</f>
        <v>SOL-10771</v>
      </c>
      <c r="D27" s="18">
        <v>11536</v>
      </c>
      <c r="E27" s="8">
        <v>8216</v>
      </c>
      <c r="F27" s="8">
        <f t="shared" si="0"/>
        <v>3320</v>
      </c>
      <c r="G27" s="9">
        <f t="shared" si="1"/>
        <v>0.40408958130477118</v>
      </c>
      <c r="H27" s="10">
        <v>9369</v>
      </c>
      <c r="I27" s="10">
        <f t="shared" si="2"/>
        <v>2167</v>
      </c>
      <c r="J27" s="11">
        <f t="shared" si="3"/>
        <v>0.23129469527164051</v>
      </c>
      <c r="K27" s="47"/>
      <c r="L27" s="84"/>
      <c r="M27" s="88"/>
      <c r="N27" s="88"/>
      <c r="O27" s="88"/>
      <c r="P27" s="88"/>
      <c r="Q27" s="88"/>
      <c r="R27" s="88"/>
      <c r="S27" s="88"/>
      <c r="T27" s="88"/>
      <c r="U27" s="88"/>
      <c r="V27" s="88"/>
      <c r="W27" s="88"/>
      <c r="X27" s="88"/>
    </row>
    <row r="28" spans="1:24" ht="15.6">
      <c r="A28" s="24" t="str">
        <v>NH: Portsmouth - Portsmouth HS</v>
      </c>
      <c r="B28" s="25" t="str">
        <v>NH</v>
      </c>
      <c r="C28" s="25" t="str">
        <f>Sites[[#This Row],[SOL'#]]</f>
        <v>SOL-10769</v>
      </c>
      <c r="D28" s="7">
        <v>44412</v>
      </c>
      <c r="E28" s="12" t="s">
        <v>40</v>
      </c>
      <c r="F28" s="121" t="str">
        <f t="shared" si="0"/>
        <v/>
      </c>
      <c r="G28" s="13" t="str">
        <f t="shared" si="1"/>
        <v/>
      </c>
      <c r="H28" s="14">
        <v>35518</v>
      </c>
      <c r="I28" s="14">
        <f t="shared" si="2"/>
        <v>8894</v>
      </c>
      <c r="J28" s="13">
        <f t="shared" si="3"/>
        <v>0.25040824370741593</v>
      </c>
      <c r="K28" s="45" t="s">
        <v>75</v>
      </c>
      <c r="L28" s="85" t="s">
        <v>76</v>
      </c>
      <c r="M28" s="87"/>
      <c r="N28" s="88"/>
      <c r="O28" s="88"/>
      <c r="P28" s="88"/>
      <c r="Q28" s="88"/>
      <c r="R28" s="88"/>
      <c r="S28" s="88"/>
      <c r="T28" s="88"/>
      <c r="U28" s="88"/>
      <c r="V28" s="88"/>
      <c r="W28" s="88"/>
      <c r="X28" s="88"/>
    </row>
    <row r="29" spans="1:24" ht="15.6">
      <c r="A29" s="26" t="str">
        <v>NH: Portsmouth - Portsmouth WTP</v>
      </c>
      <c r="B29" s="23" t="str">
        <v>NH</v>
      </c>
      <c r="C29" s="23" t="str">
        <f>Sites[[#This Row],[SOL'#]]</f>
        <v>SOL-10770</v>
      </c>
      <c r="D29" s="18" t="s">
        <v>62</v>
      </c>
      <c r="E29" s="8">
        <v>0</v>
      </c>
      <c r="F29" s="8" t="str">
        <f t="shared" si="0"/>
        <v/>
      </c>
      <c r="G29" s="9" t="str">
        <f t="shared" si="1"/>
        <v/>
      </c>
      <c r="H29" s="10">
        <v>0</v>
      </c>
      <c r="I29" s="10" t="str">
        <f t="shared" si="2"/>
        <v/>
      </c>
      <c r="J29" s="11" t="str">
        <f t="shared" si="3"/>
        <v/>
      </c>
      <c r="K29" s="47"/>
      <c r="L29" s="47"/>
      <c r="M29" s="88"/>
      <c r="N29" s="88"/>
      <c r="O29" s="88"/>
      <c r="P29" s="88"/>
      <c r="Q29" s="88"/>
      <c r="R29" s="88"/>
      <c r="S29" s="88"/>
      <c r="T29" s="88"/>
      <c r="U29" s="88"/>
      <c r="V29" s="88"/>
      <c r="W29" s="88"/>
      <c r="X29" s="88"/>
    </row>
    <row r="30" spans="1:24" ht="15.6">
      <c r="A30" s="24" t="str">
        <v>NH: Rochester - Rochester MS</v>
      </c>
      <c r="B30" s="25" t="str">
        <v>NH</v>
      </c>
      <c r="C30" s="25" t="str">
        <f>Sites[[#This Row],[SOL'#]]</f>
        <v>SOL-10765</v>
      </c>
      <c r="D30" s="7">
        <v>38048</v>
      </c>
      <c r="E30" s="12">
        <v>40396</v>
      </c>
      <c r="F30" s="121">
        <f t="shared" si="0"/>
        <v>-2348</v>
      </c>
      <c r="G30" s="13">
        <f t="shared" si="1"/>
        <v>-5.8124566788790973E-2</v>
      </c>
      <c r="H30" s="14">
        <v>30355</v>
      </c>
      <c r="I30" s="14">
        <f t="shared" si="2"/>
        <v>7693</v>
      </c>
      <c r="J30" s="13">
        <f t="shared" si="3"/>
        <v>0.25343436007247572</v>
      </c>
      <c r="K30" s="45"/>
      <c r="L30" s="45"/>
      <c r="M30" s="88"/>
      <c r="N30" s="88"/>
      <c r="O30" s="88"/>
      <c r="P30" s="88"/>
      <c r="Q30" s="88"/>
      <c r="R30" s="88"/>
      <c r="S30" s="88"/>
      <c r="T30" s="88"/>
      <c r="U30" s="88"/>
      <c r="V30" s="88"/>
      <c r="W30" s="88"/>
      <c r="X30" s="88"/>
    </row>
    <row r="31" spans="1:24" ht="15.6">
      <c r="A31" s="26" t="str">
        <v>NH Rochester - Spaulding HS</v>
      </c>
      <c r="B31" s="23" t="str">
        <v>NH</v>
      </c>
      <c r="C31" s="23" t="str">
        <f>Sites[[#This Row],[SOL'#]]</f>
        <v>SOL-10767</v>
      </c>
      <c r="D31" s="18">
        <v>19595</v>
      </c>
      <c r="E31" s="8">
        <v>16446</v>
      </c>
      <c r="F31" s="8">
        <f t="shared" si="0"/>
        <v>3149</v>
      </c>
      <c r="G31" s="9">
        <f t="shared" si="1"/>
        <v>0.1914751307308768</v>
      </c>
      <c r="H31" s="10">
        <v>15033</v>
      </c>
      <c r="I31" s="10">
        <f t="shared" si="2"/>
        <v>4562</v>
      </c>
      <c r="J31" s="11">
        <f t="shared" si="3"/>
        <v>0.30346570877403045</v>
      </c>
      <c r="K31" s="47"/>
      <c r="L31" s="47"/>
      <c r="M31" s="88"/>
      <c r="N31" s="88"/>
      <c r="O31" s="88"/>
      <c r="P31" s="88"/>
      <c r="Q31" s="88"/>
      <c r="R31" s="88"/>
      <c r="S31" s="88"/>
      <c r="T31" s="88"/>
      <c r="U31" s="88"/>
      <c r="V31" s="88"/>
      <c r="W31" s="88"/>
      <c r="X31" s="88"/>
    </row>
    <row r="32" spans="1:24" ht="15.6">
      <c r="A32" s="24" t="str">
        <v>NH: Rochester - McClelland ES</v>
      </c>
      <c r="B32" s="25" t="str">
        <v>NH</v>
      </c>
      <c r="C32" s="25" t="str">
        <f>Sites[[#This Row],[SOL'#]]</f>
        <v>SOL-10766</v>
      </c>
      <c r="D32" s="7">
        <v>13247</v>
      </c>
      <c r="E32" s="12">
        <v>13989</v>
      </c>
      <c r="F32" s="121">
        <f t="shared" si="0"/>
        <v>-742</v>
      </c>
      <c r="G32" s="13">
        <f t="shared" si="1"/>
        <v>-5.304167560225892E-2</v>
      </c>
      <c r="H32" s="14">
        <v>9804</v>
      </c>
      <c r="I32" s="14">
        <f t="shared" si="2"/>
        <v>3443</v>
      </c>
      <c r="J32" s="13">
        <f t="shared" si="3"/>
        <v>0.35118319053447572</v>
      </c>
      <c r="K32" s="45"/>
      <c r="L32" s="45"/>
      <c r="M32" s="88"/>
      <c r="N32" s="88"/>
      <c r="O32" s="88"/>
      <c r="P32" s="88"/>
      <c r="Q32" s="88"/>
      <c r="R32" s="88"/>
      <c r="S32" s="88"/>
      <c r="T32" s="88"/>
      <c r="U32" s="88"/>
      <c r="V32" s="88"/>
      <c r="W32" s="88"/>
      <c r="X32" s="88"/>
    </row>
    <row r="33" spans="1:24" ht="15.6">
      <c r="A33" s="26" t="str">
        <v>NH: Rochester - Brock St Vocational</v>
      </c>
      <c r="B33" s="23" t="str">
        <v>NH</v>
      </c>
      <c r="C33" s="23" t="str">
        <f>Sites[[#This Row],[SOL'#]]</f>
        <v>SOL-10768</v>
      </c>
      <c r="D33" s="18">
        <v>17978</v>
      </c>
      <c r="E33" s="8">
        <v>17518</v>
      </c>
      <c r="F33" s="8">
        <f t="shared" si="0"/>
        <v>460</v>
      </c>
      <c r="G33" s="9">
        <f t="shared" si="1"/>
        <v>2.6258705331658864E-2</v>
      </c>
      <c r="H33" s="10">
        <v>13220</v>
      </c>
      <c r="I33" s="10">
        <f t="shared" si="2"/>
        <v>4758</v>
      </c>
      <c r="J33" s="11">
        <f t="shared" si="3"/>
        <v>0.35990922844175494</v>
      </c>
      <c r="K33" s="47"/>
      <c r="L33" s="47"/>
      <c r="M33" s="88"/>
      <c r="N33" s="88"/>
      <c r="O33" s="88"/>
      <c r="P33" s="88"/>
      <c r="Q33" s="88"/>
      <c r="R33" s="88"/>
      <c r="S33" s="88"/>
      <c r="T33" s="88"/>
      <c r="U33" s="88"/>
      <c r="V33" s="88"/>
      <c r="W33" s="88"/>
      <c r="X33" s="88"/>
    </row>
    <row r="34" spans="1:24" ht="48.75" customHeight="1">
      <c r="A34" s="24" t="str">
        <v>OH: Cleveland - CV Kinsman</v>
      </c>
      <c r="B34" s="25" t="str">
        <v>OH</v>
      </c>
      <c r="C34" s="25" t="str">
        <f>Sites[[#This Row],[SOL'#]]</f>
        <v>SOL-10762</v>
      </c>
      <c r="D34" s="7">
        <v>714</v>
      </c>
      <c r="E34" s="12">
        <v>138037</v>
      </c>
      <c r="F34" s="121">
        <f t="shared" si="0"/>
        <v>-137323</v>
      </c>
      <c r="G34" s="13">
        <f t="shared" si="1"/>
        <v>-0.99482747379325831</v>
      </c>
      <c r="H34" s="14">
        <v>133750</v>
      </c>
      <c r="I34" s="14">
        <f t="shared" si="2"/>
        <v>-133036</v>
      </c>
      <c r="J34" s="13">
        <f t="shared" si="3"/>
        <v>-0.99466168224299067</v>
      </c>
      <c r="K34" s="45" t="s">
        <v>77</v>
      </c>
      <c r="L34" s="85" t="s">
        <v>78</v>
      </c>
      <c r="M34" s="88"/>
      <c r="N34" s="88"/>
      <c r="O34" s="88"/>
      <c r="P34" s="88"/>
      <c r="Q34" s="88"/>
      <c r="R34" s="88"/>
      <c r="S34" s="88"/>
      <c r="T34" s="88"/>
      <c r="U34" s="88"/>
      <c r="V34" s="88"/>
      <c r="W34" s="88"/>
      <c r="X34" s="88"/>
    </row>
    <row r="35" spans="1:24" ht="28.9">
      <c r="A35" s="26" t="str">
        <v>OH: Cleveland - CV Wooster</v>
      </c>
      <c r="B35" s="23" t="str">
        <v>OH</v>
      </c>
      <c r="C35" s="23" t="str">
        <f>Sites[[#This Row],[SOL'#]]</f>
        <v>SOL-10763</v>
      </c>
      <c r="D35" s="18">
        <v>21528</v>
      </c>
      <c r="E35" s="8" t="s">
        <v>40</v>
      </c>
      <c r="F35" s="8" t="str">
        <f t="shared" si="0"/>
        <v/>
      </c>
      <c r="G35" s="9" t="str">
        <f t="shared" si="1"/>
        <v/>
      </c>
      <c r="H35" s="10">
        <v>32092</v>
      </c>
      <c r="I35" s="10">
        <f t="shared" si="2"/>
        <v>-10564</v>
      </c>
      <c r="J35" s="11">
        <f t="shared" si="3"/>
        <v>-0.32917861149196059</v>
      </c>
      <c r="K35" s="47" t="s">
        <v>79</v>
      </c>
      <c r="L35" s="84" t="s">
        <v>80</v>
      </c>
      <c r="M35" s="88"/>
      <c r="N35" s="88"/>
      <c r="O35" s="88"/>
      <c r="P35" s="88"/>
      <c r="Q35" s="88"/>
      <c r="R35" s="88"/>
      <c r="S35" s="88"/>
      <c r="T35" s="88"/>
      <c r="U35" s="88"/>
      <c r="V35" s="88"/>
      <c r="W35" s="88"/>
      <c r="X35" s="88"/>
    </row>
    <row r="36" spans="1:24" ht="40.9" customHeight="1">
      <c r="A36" s="24" t="str">
        <v>PR: Aguadilla - Coca Cola</v>
      </c>
      <c r="B36" s="25" t="str">
        <v>PR</v>
      </c>
      <c r="C36" s="25" t="str">
        <f>Sites[[#This Row],[SOL'#]]</f>
        <v>SOL-10072</v>
      </c>
      <c r="D36" s="7">
        <v>15714</v>
      </c>
      <c r="E36" s="12">
        <v>20086</v>
      </c>
      <c r="F36" s="121">
        <f t="shared" si="0"/>
        <v>-4372</v>
      </c>
      <c r="G36" s="13">
        <f t="shared" si="1"/>
        <v>-0.21766404460818481</v>
      </c>
      <c r="H36" s="14">
        <v>23213</v>
      </c>
      <c r="I36" s="14">
        <f t="shared" si="2"/>
        <v>-7499</v>
      </c>
      <c r="J36" s="13">
        <f t="shared" si="3"/>
        <v>-0.32305173825011846</v>
      </c>
      <c r="K36" s="45" t="s">
        <v>81</v>
      </c>
      <c r="L36" s="45" t="s">
        <v>82</v>
      </c>
      <c r="M36" s="88"/>
      <c r="N36" s="88"/>
      <c r="O36" s="88"/>
      <c r="P36" s="88"/>
      <c r="Q36" s="88"/>
      <c r="R36" s="88"/>
      <c r="S36" s="88"/>
      <c r="T36" s="88"/>
      <c r="U36" s="88"/>
      <c r="V36" s="88"/>
      <c r="W36" s="88"/>
      <c r="X36" s="88"/>
    </row>
    <row r="37" spans="1:24" ht="103.5" customHeight="1">
      <c r="A37" s="26" t="str">
        <v>PR: Bayamon - Coca Cola</v>
      </c>
      <c r="B37" s="23" t="str">
        <v>PR</v>
      </c>
      <c r="C37" s="23" t="str">
        <f>Sites[[#This Row],[SOL'#]]</f>
        <v>SOL-10073</v>
      </c>
      <c r="D37" s="18">
        <v>53577</v>
      </c>
      <c r="E37" s="8">
        <v>82117</v>
      </c>
      <c r="F37" s="8">
        <f t="shared" si="0"/>
        <v>-28540</v>
      </c>
      <c r="G37" s="9">
        <f t="shared" si="1"/>
        <v>-0.34755288186368233</v>
      </c>
      <c r="H37" s="10">
        <v>86974</v>
      </c>
      <c r="I37" s="10">
        <f t="shared" si="2"/>
        <v>-33397</v>
      </c>
      <c r="J37" s="11">
        <f t="shared" si="3"/>
        <v>-0.38398831834801206</v>
      </c>
      <c r="K37" s="47" t="s">
        <v>83</v>
      </c>
      <c r="L37" s="84" t="s">
        <v>84</v>
      </c>
      <c r="M37" s="88"/>
      <c r="N37" s="88"/>
      <c r="O37" s="88"/>
      <c r="P37" s="88"/>
      <c r="Q37" s="88"/>
      <c r="R37" s="88"/>
      <c r="S37" s="88"/>
      <c r="T37" s="88"/>
      <c r="U37" s="88"/>
      <c r="V37" s="88"/>
      <c r="W37" s="88"/>
      <c r="X37" s="88"/>
    </row>
    <row r="38" spans="1:24" ht="158.44999999999999">
      <c r="A38" s="24" t="str">
        <v>PR: Carolina - St. Francis</v>
      </c>
      <c r="B38" s="25" t="str">
        <v>PR</v>
      </c>
      <c r="C38" s="25" t="str">
        <f>Sites[[#This Row],[SOL'#]]</f>
        <v>SOL-10034</v>
      </c>
      <c r="D38" s="7">
        <v>18667</v>
      </c>
      <c r="E38" s="12">
        <v>64279</v>
      </c>
      <c r="F38" s="121">
        <f t="shared" si="0"/>
        <v>-45612</v>
      </c>
      <c r="G38" s="13">
        <f t="shared" si="1"/>
        <v>-0.70959411316293031</v>
      </c>
      <c r="H38" s="14">
        <v>44155</v>
      </c>
      <c r="I38" s="14">
        <f t="shared" si="2"/>
        <v>-25488</v>
      </c>
      <c r="J38" s="13">
        <f t="shared" si="3"/>
        <v>-0.57723927075076431</v>
      </c>
      <c r="K38" s="45" t="s">
        <v>85</v>
      </c>
      <c r="L38" s="85" t="s">
        <v>86</v>
      </c>
      <c r="M38" s="88"/>
      <c r="N38" s="88"/>
      <c r="O38" s="88"/>
      <c r="P38" s="88"/>
      <c r="Q38" s="88"/>
      <c r="R38" s="88"/>
      <c r="S38" s="88"/>
      <c r="T38" s="88"/>
      <c r="U38" s="88"/>
      <c r="V38" s="88"/>
      <c r="W38" s="88"/>
      <c r="X38" s="88"/>
    </row>
    <row r="39" spans="1:24" ht="15.6">
      <c r="A39" s="26" t="str">
        <v>DC: Chevy Chase -Sinai</v>
      </c>
      <c r="B39" s="23" t="str">
        <v>DC</v>
      </c>
      <c r="C39" s="23" t="str">
        <f>Sites[[#This Row],[SOL'#]]</f>
        <v>SOL-10028</v>
      </c>
      <c r="D39" s="18">
        <v>10029</v>
      </c>
      <c r="E39" s="8">
        <v>14969</v>
      </c>
      <c r="F39" s="8">
        <f t="shared" si="0"/>
        <v>-4940</v>
      </c>
      <c r="G39" s="9">
        <f t="shared" si="1"/>
        <v>-0.33001536508784823</v>
      </c>
      <c r="H39" s="10">
        <v>12371</v>
      </c>
      <c r="I39" s="10">
        <f t="shared" si="2"/>
        <v>-2342</v>
      </c>
      <c r="J39" s="11">
        <f t="shared" si="3"/>
        <v>-0.18931371756527363</v>
      </c>
      <c r="K39" s="47" t="s">
        <v>87</v>
      </c>
      <c r="L39" s="84" t="s">
        <v>88</v>
      </c>
      <c r="M39" s="88"/>
      <c r="N39" s="88"/>
      <c r="O39" s="88"/>
      <c r="P39" s="88"/>
      <c r="Q39" s="88"/>
      <c r="R39" s="88"/>
      <c r="S39" s="88"/>
      <c r="T39" s="88"/>
      <c r="U39" s="88"/>
      <c r="V39" s="88"/>
      <c r="W39" s="88"/>
      <c r="X39" s="88"/>
    </row>
    <row r="40" spans="1:24" ht="15.6">
      <c r="A40" s="24" t="str">
        <v>DC: Washington - Weinberg 1</v>
      </c>
      <c r="B40" s="25" t="str">
        <v>DC</v>
      </c>
      <c r="C40" s="25" t="str">
        <f>Sites[[#This Row],[SOL'#]]</f>
        <v>SOL-10039</v>
      </c>
      <c r="D40" s="7">
        <v>1770</v>
      </c>
      <c r="E40" s="12">
        <v>1824</v>
      </c>
      <c r="F40" s="121">
        <f t="shared" si="0"/>
        <v>-54</v>
      </c>
      <c r="G40" s="13">
        <f t="shared" si="1"/>
        <v>-2.9605263157894735E-2</v>
      </c>
      <c r="H40" s="14">
        <v>1844</v>
      </c>
      <c r="I40" s="14">
        <f t="shared" si="2"/>
        <v>-74</v>
      </c>
      <c r="J40" s="13">
        <f t="shared" si="3"/>
        <v>-4.0130151843817789E-2</v>
      </c>
      <c r="K40" s="45"/>
      <c r="L40" s="85"/>
      <c r="M40" s="88"/>
      <c r="N40" s="88"/>
      <c r="O40" s="88"/>
      <c r="P40" s="88"/>
      <c r="Q40" s="88"/>
      <c r="R40" s="88"/>
      <c r="S40" s="88"/>
      <c r="T40" s="88"/>
      <c r="U40" s="88"/>
      <c r="V40" s="88"/>
      <c r="W40" s="88"/>
      <c r="X40" s="88"/>
    </row>
    <row r="41" spans="1:24" ht="15.6">
      <c r="A41" s="26" t="str">
        <v>DC: Washington - Weinberg 2</v>
      </c>
      <c r="B41" s="23" t="str">
        <v>DC</v>
      </c>
      <c r="C41" s="23" t="str">
        <f>Sites[[#This Row],[SOL'#]]</f>
        <v>SOL-10045</v>
      </c>
      <c r="D41" s="18">
        <v>1604</v>
      </c>
      <c r="E41" s="8">
        <v>1600</v>
      </c>
      <c r="F41" s="8">
        <f t="shared" si="0"/>
        <v>4</v>
      </c>
      <c r="G41" s="9">
        <f t="shared" si="1"/>
        <v>2.5000000000000001E-3</v>
      </c>
      <c r="H41" s="10">
        <v>1861</v>
      </c>
      <c r="I41" s="10">
        <f t="shared" si="2"/>
        <v>-257</v>
      </c>
      <c r="J41" s="11">
        <f t="shared" si="3"/>
        <v>-0.13809779688339602</v>
      </c>
      <c r="K41" s="47" t="s">
        <v>89</v>
      </c>
      <c r="L41" s="47"/>
      <c r="M41" s="88"/>
      <c r="N41" s="88"/>
      <c r="O41" s="88"/>
      <c r="P41" s="88"/>
      <c r="Q41" s="88"/>
      <c r="R41" s="88"/>
      <c r="S41" s="88"/>
      <c r="T41" s="88"/>
      <c r="U41" s="88"/>
      <c r="V41" s="88"/>
      <c r="W41" s="88"/>
      <c r="X41" s="88"/>
    </row>
    <row r="42" spans="1:24" ht="15.6">
      <c r="A42" s="24" t="str">
        <v>DC: Washington - Weinberg 3</v>
      </c>
      <c r="B42" s="25" t="str">
        <v>DC</v>
      </c>
      <c r="C42" s="25" t="str">
        <f>Sites[[#This Row],[SOL'#]]</f>
        <v>SOL-10042</v>
      </c>
      <c r="D42" s="7">
        <v>1948</v>
      </c>
      <c r="E42" s="12">
        <v>1836</v>
      </c>
      <c r="F42" s="121">
        <f t="shared" si="0"/>
        <v>112</v>
      </c>
      <c r="G42" s="13">
        <f t="shared" si="1"/>
        <v>6.1002178649237473E-2</v>
      </c>
      <c r="H42" s="14">
        <v>1942</v>
      </c>
      <c r="I42" s="14">
        <f t="shared" si="2"/>
        <v>6</v>
      </c>
      <c r="J42" s="13">
        <f t="shared" si="3"/>
        <v>3.089598352214212E-3</v>
      </c>
      <c r="K42" s="45"/>
      <c r="L42" s="85"/>
      <c r="M42" s="88"/>
      <c r="N42" s="88"/>
      <c r="O42" s="88"/>
      <c r="P42" s="88"/>
      <c r="Q42" s="88"/>
      <c r="R42" s="88"/>
      <c r="S42" s="88"/>
      <c r="T42" s="88"/>
      <c r="U42" s="88"/>
      <c r="V42" s="88"/>
      <c r="W42" s="88"/>
      <c r="X42" s="88"/>
    </row>
  </sheetData>
  <sortState xmlns:xlrd2="http://schemas.microsoft.com/office/spreadsheetml/2017/richdata2" ref="A3:L3">
    <sortCondition ref="A3"/>
  </sortState>
  <mergeCells count="4">
    <mergeCell ref="H1:J1"/>
    <mergeCell ref="A1:D1"/>
    <mergeCell ref="E1:G1"/>
    <mergeCell ref="A2:B2"/>
  </mergeCells>
  <phoneticPr fontId="38" type="noConversion"/>
  <conditionalFormatting sqref="G2 J2 G4:G42 J4:J42">
    <cfRule type="cellIs" dxfId="26" priority="31" stopIfTrue="1" operator="lessThanOrEqual">
      <formula>-0.1</formula>
    </cfRule>
    <cfRule type="expression" dxfId="25" priority="32">
      <formula>AND(ISNUMBER(G2), G2&gt;=0.1)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W57"/>
  <sheetViews>
    <sheetView tabSelected="1" zoomScale="60" zoomScaleNormal="60" workbookViewId="0">
      <pane xSplit="2" ySplit="3" topLeftCell="C11" activePane="bottomRight" state="frozen"/>
      <selection pane="bottomRight" activeCell="K28" sqref="K28"/>
      <selection pane="bottomLeft" activeCell="D4" sqref="D4"/>
      <selection pane="topRight" activeCell="D4" sqref="D4"/>
    </sheetView>
  </sheetViews>
  <sheetFormatPr defaultRowHeight="13.9"/>
  <cols>
    <col min="1" max="1" width="35.85546875" bestFit="1" customWidth="1"/>
    <col min="2" max="2" width="8.42578125" style="28" customWidth="1"/>
    <col min="3" max="3" width="18"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3" ht="19.5" customHeight="1">
      <c r="A1" s="138" t="str" cm="1">
        <f t="array" ref="A1">portfolio</f>
        <v>GoodFinch</v>
      </c>
      <c r="B1" s="138"/>
      <c r="C1" s="138"/>
      <c r="D1" s="138"/>
      <c r="E1" s="139" t="s">
        <v>90</v>
      </c>
      <c r="F1" s="139"/>
      <c r="G1" s="139"/>
      <c r="H1" s="137" t="s">
        <v>91</v>
      </c>
      <c r="I1" s="137"/>
      <c r="J1" s="137"/>
      <c r="K1" s="2"/>
      <c r="L1" s="2"/>
    </row>
    <row r="2" spans="1:23" ht="19.5" customHeight="1">
      <c r="A2" s="140" t="s">
        <v>2</v>
      </c>
      <c r="B2" s="140"/>
      <c r="C2" s="51"/>
      <c r="D2" s="3">
        <f>SUM(D4:D57)</f>
        <v>1713881.4446003642</v>
      </c>
      <c r="E2" s="3">
        <f>SUM(E4:E42)</f>
        <v>1550150.4110000001</v>
      </c>
      <c r="F2" s="3">
        <f>D2-E2</f>
        <v>163731.03360036411</v>
      </c>
      <c r="G2" s="4">
        <f>IFERROR(F2/E2, 0)</f>
        <v>0.10562267534718868</v>
      </c>
      <c r="H2" s="3">
        <f>SUM(H4:H57)</f>
        <v>2191029.3380000009</v>
      </c>
      <c r="I2" s="5">
        <f>D2-H2</f>
        <v>-477147.89339963673</v>
      </c>
      <c r="J2" s="4">
        <f>IFERROR(I2/H2, 0)</f>
        <v>-0.21777339313730198</v>
      </c>
      <c r="K2" s="20" t="str">
        <f ca="1">IF(AND(TODAY()&gt;DATE(2024, 8, 1), COUNTA(Sites[Site])&lt;&gt;(COUNT(D:D)-1)), "Some sites are missing actual data; if new sites were added, make sure they are aligned correctly (including prior months!)", "")</f>
        <v/>
      </c>
      <c r="L2" s="2"/>
    </row>
    <row r="3" spans="1:23" ht="14.25" customHeight="1">
      <c r="A3" s="6" t="s">
        <v>3</v>
      </c>
      <c r="B3" s="6" t="s">
        <v>4</v>
      </c>
      <c r="C3" s="6" t="s">
        <v>5</v>
      </c>
      <c r="D3" s="17" t="s">
        <v>6</v>
      </c>
      <c r="E3" s="29" t="s">
        <v>7</v>
      </c>
      <c r="F3" s="29" t="s">
        <v>8</v>
      </c>
      <c r="G3" s="30" t="s">
        <v>9</v>
      </c>
      <c r="H3" s="31" t="s">
        <v>10</v>
      </c>
      <c r="I3" s="32" t="s">
        <v>8</v>
      </c>
      <c r="J3" s="33" t="s">
        <v>9</v>
      </c>
      <c r="K3" s="19" t="s">
        <v>21</v>
      </c>
      <c r="L3" s="19" t="s">
        <v>22</v>
      </c>
    </row>
    <row r="4" spans="1:23" ht="15.6">
      <c r="A4" s="26" t="str" cm="1">
        <f t="array" ref="A4:A42">Sites[Site]</f>
        <v>AZ: Tempe - ASU - Farmer</v>
      </c>
      <c r="B4" s="23" t="str" cm="1">
        <f t="array" ref="B4:B42">Sites[State]</f>
        <v>AZ</v>
      </c>
      <c r="C4" s="23" t="str">
        <f>Sites[[#This Row],[SOL'#]]</f>
        <v>SOL-10748</v>
      </c>
      <c r="D4" s="133">
        <v>13453.4608054316</v>
      </c>
      <c r="E4" s="134">
        <v>8419.7099999999991</v>
      </c>
      <c r="F4" s="127">
        <f>IF(AND(ISNUMBER(D4),ISNUMBER(E4)), D4-E4, "")</f>
        <v>5033.7508054316004</v>
      </c>
      <c r="G4" s="9">
        <f>IFERROR(F4/E4, "")</f>
        <v>0.59785322836910071</v>
      </c>
      <c r="H4" s="128">
        <v>13509.58</v>
      </c>
      <c r="I4" s="129">
        <f>IF(AND(ISNUMBER(D4),ISNUMBER(H4)), D4-H4, "")</f>
        <v>-56.119194568400417</v>
      </c>
      <c r="J4" s="11">
        <f>IFERROR(I4/H4, "")</f>
        <v>-4.1540295529839131E-3</v>
      </c>
      <c r="K4" s="47"/>
      <c r="L4" s="47"/>
      <c r="M4" s="88"/>
      <c r="N4" s="88"/>
      <c r="O4" s="88"/>
      <c r="P4" s="88"/>
      <c r="Q4" s="88"/>
      <c r="R4" s="88"/>
      <c r="S4" s="88"/>
      <c r="T4" s="88"/>
      <c r="U4" s="88"/>
      <c r="V4" s="88"/>
      <c r="W4" s="88"/>
    </row>
    <row r="5" spans="1:23" ht="15.6">
      <c r="A5" s="24" t="str">
        <v>AZ: Tempe - ASU - Fulton</v>
      </c>
      <c r="B5" s="25" t="str">
        <v>AZ</v>
      </c>
      <c r="C5" s="25" t="str">
        <f>Sites[[#This Row],[SOL'#]]</f>
        <v>SOL-10749</v>
      </c>
      <c r="D5" s="126">
        <v>43846.5</v>
      </c>
      <c r="E5" s="132">
        <v>55652.46</v>
      </c>
      <c r="F5" s="126">
        <f t="shared" ref="F5:F42" si="0">IF(AND(ISNUMBER(D5),ISNUMBER(E5)), D5-E5, "")</f>
        <v>-11805.96</v>
      </c>
      <c r="G5" s="13">
        <f t="shared" ref="G5:G42" si="1">IFERROR(F5/E5, "")</f>
        <v>-0.21213725323193258</v>
      </c>
      <c r="H5" s="130">
        <v>65198.07</v>
      </c>
      <c r="I5" s="131">
        <f>IF(AND(ISNUMBER(D5),ISNUMBER(H5)), D5-H5, "")</f>
        <v>-21351.57</v>
      </c>
      <c r="J5" s="13">
        <f>IFERROR(I5/H5, "")</f>
        <v>-0.32748776152422915</v>
      </c>
      <c r="K5" s="45" t="s">
        <v>92</v>
      </c>
      <c r="L5" s="85" t="s">
        <v>93</v>
      </c>
      <c r="M5" s="88"/>
      <c r="N5" s="88"/>
      <c r="O5" s="88"/>
      <c r="P5" s="88"/>
      <c r="Q5" s="88"/>
      <c r="R5" s="88"/>
      <c r="S5" s="88"/>
      <c r="T5" s="88"/>
      <c r="U5" s="88"/>
      <c r="V5" s="88"/>
      <c r="W5" s="88"/>
    </row>
    <row r="6" spans="1:23" ht="15.6">
      <c r="A6" s="22" t="str">
        <v>AZ: Superior - JFK Elementary</v>
      </c>
      <c r="B6" s="23" t="str">
        <v>AZ</v>
      </c>
      <c r="C6" s="23" t="str">
        <f>Sites[[#This Row],[SOL'#]]</f>
        <v>SOL-10758</v>
      </c>
      <c r="D6" s="133">
        <v>19620.986492239699</v>
      </c>
      <c r="E6" s="134" t="s">
        <v>40</v>
      </c>
      <c r="F6" s="127" t="str">
        <f t="shared" si="0"/>
        <v/>
      </c>
      <c r="G6" s="9" t="str">
        <f t="shared" si="1"/>
        <v/>
      </c>
      <c r="H6" s="128">
        <v>19123</v>
      </c>
      <c r="I6" s="129">
        <f t="shared" ref="I6:I42" si="2">IF(AND(ISNUMBER(D6),ISNUMBER(H6)), D6-H6, "")</f>
        <v>497.98649223969915</v>
      </c>
      <c r="J6" s="11">
        <f t="shared" ref="J6:J43" si="3">IFERROR(I6/H6, "")</f>
        <v>2.6041232664315177E-2</v>
      </c>
      <c r="K6" s="47" t="s">
        <v>94</v>
      </c>
      <c r="L6" s="84" t="s">
        <v>95</v>
      </c>
      <c r="M6" s="88"/>
      <c r="N6" s="88"/>
      <c r="O6" s="88"/>
      <c r="P6" s="88"/>
      <c r="Q6" s="88"/>
      <c r="R6" s="88"/>
      <c r="S6" s="88"/>
      <c r="T6" s="88"/>
      <c r="U6" s="88"/>
      <c r="V6" s="88"/>
      <c r="W6" s="88"/>
    </row>
    <row r="7" spans="1:23" ht="72">
      <c r="A7" s="24" t="str">
        <v>AZ: Tempe - ASU - Noble</v>
      </c>
      <c r="B7" s="25" t="str">
        <v>AZ</v>
      </c>
      <c r="C7" s="25" t="str">
        <f>Sites[[#This Row],[SOL'#]]</f>
        <v>SOL-10750</v>
      </c>
      <c r="D7" s="126">
        <v>12185.0833806054</v>
      </c>
      <c r="E7" s="132">
        <v>14256.47</v>
      </c>
      <c r="F7" s="126">
        <f t="shared" si="0"/>
        <v>-2071.3866193945996</v>
      </c>
      <c r="G7" s="13">
        <f t="shared" si="1"/>
        <v>-0.14529449571981001</v>
      </c>
      <c r="H7" s="130">
        <v>15176.2</v>
      </c>
      <c r="I7" s="131">
        <f t="shared" si="2"/>
        <v>-2991.116619394601</v>
      </c>
      <c r="J7" s="13">
        <f t="shared" si="3"/>
        <v>-0.19709259362650736</v>
      </c>
      <c r="K7" s="45" t="s">
        <v>96</v>
      </c>
      <c r="L7" s="46"/>
      <c r="M7" s="88"/>
      <c r="N7" s="88"/>
      <c r="O7" s="88"/>
      <c r="P7" s="88"/>
      <c r="Q7" s="88"/>
      <c r="R7" s="88"/>
      <c r="S7" s="88"/>
      <c r="T7" s="88"/>
      <c r="U7" s="88"/>
      <c r="V7" s="88"/>
      <c r="W7" s="88"/>
    </row>
    <row r="8" spans="1:23" ht="15.6">
      <c r="A8" s="22" t="str">
        <v>AZ: Tempe - ASU - Parking #3</v>
      </c>
      <c r="B8" s="23" t="str">
        <v>AZ</v>
      </c>
      <c r="C8" s="23" t="str">
        <f>Sites[[#This Row],[SOL'#]]</f>
        <v>SOL-10751</v>
      </c>
      <c r="D8" s="133">
        <v>32020.837500000001</v>
      </c>
      <c r="E8" s="134">
        <v>32669.119999999999</v>
      </c>
      <c r="F8" s="127">
        <f t="shared" si="0"/>
        <v>-648.28249999999753</v>
      </c>
      <c r="G8" s="9">
        <f t="shared" si="1"/>
        <v>-1.9843892336248958E-2</v>
      </c>
      <c r="H8" s="128">
        <v>32554.21</v>
      </c>
      <c r="I8" s="129">
        <f t="shared" si="2"/>
        <v>-533.37249999999767</v>
      </c>
      <c r="J8" s="11">
        <f t="shared" si="3"/>
        <v>-1.6384132804942823E-2</v>
      </c>
      <c r="K8" s="47" t="s">
        <v>97</v>
      </c>
      <c r="L8" s="84" t="s">
        <v>98</v>
      </c>
      <c r="M8" s="88"/>
      <c r="N8" s="88"/>
      <c r="O8" s="88"/>
      <c r="P8" s="88"/>
      <c r="Q8" s="88"/>
      <c r="R8" s="88"/>
      <c r="S8" s="88"/>
      <c r="T8" s="88"/>
      <c r="U8" s="88"/>
      <c r="V8" s="88"/>
      <c r="W8" s="88"/>
    </row>
    <row r="9" spans="1:23" ht="15.6">
      <c r="A9" s="24" t="str">
        <v>AZ: Tempe - ASU - PE East</v>
      </c>
      <c r="B9" s="25" t="str">
        <v>AZ</v>
      </c>
      <c r="C9" s="25" t="str">
        <f>Sites[[#This Row],[SOL'#]]</f>
        <v>SOL-10752</v>
      </c>
      <c r="D9" s="126">
        <v>29607.664886544899</v>
      </c>
      <c r="E9" s="132">
        <v>23582.18</v>
      </c>
      <c r="F9" s="126">
        <f t="shared" si="0"/>
        <v>6025.4848865448985</v>
      </c>
      <c r="G9" s="13">
        <f t="shared" si="1"/>
        <v>0.25551008797935126</v>
      </c>
      <c r="H9" s="130">
        <v>29931.18</v>
      </c>
      <c r="I9" s="131">
        <f t="shared" si="2"/>
        <v>-323.51511345510153</v>
      </c>
      <c r="J9" s="13">
        <f t="shared" si="3"/>
        <v>-1.0808632117247016E-2</v>
      </c>
      <c r="K9" s="45"/>
      <c r="L9" s="46"/>
      <c r="M9" s="88"/>
      <c r="N9" s="88"/>
      <c r="O9" s="88"/>
      <c r="P9" s="88"/>
      <c r="Q9" s="88"/>
      <c r="R9" s="88"/>
      <c r="S9" s="88"/>
      <c r="T9" s="88"/>
      <c r="U9" s="88"/>
      <c r="V9" s="88"/>
      <c r="W9" s="88"/>
    </row>
    <row r="10" spans="1:23" ht="15.6">
      <c r="A10" s="22" t="str">
        <v>AZ: Tempe - ASU - Schwada</v>
      </c>
      <c r="B10" s="23" t="str">
        <v>AZ</v>
      </c>
      <c r="C10" s="23" t="str">
        <f>Sites[[#This Row],[SOL'#]]</f>
        <v>SOL-10753</v>
      </c>
      <c r="D10" s="133">
        <v>13603.301698056201</v>
      </c>
      <c r="E10" s="134">
        <v>9708.9660000000003</v>
      </c>
      <c r="F10" s="127">
        <f t="shared" si="0"/>
        <v>3894.3356980562003</v>
      </c>
      <c r="G10" s="9">
        <f t="shared" si="1"/>
        <v>0.40110715168393835</v>
      </c>
      <c r="H10" s="128">
        <v>13115</v>
      </c>
      <c r="I10" s="129">
        <f t="shared" si="2"/>
        <v>488.30169805620062</v>
      </c>
      <c r="J10" s="11">
        <f t="shared" si="3"/>
        <v>3.7232306371040844E-2</v>
      </c>
      <c r="K10" s="63"/>
      <c r="L10" s="63"/>
      <c r="M10" s="88"/>
      <c r="N10" s="88"/>
      <c r="O10" s="88"/>
      <c r="P10" s="88"/>
      <c r="Q10" s="88"/>
      <c r="R10" s="88"/>
      <c r="S10" s="88"/>
      <c r="T10" s="88"/>
      <c r="U10" s="88"/>
      <c r="V10" s="88"/>
      <c r="W10" s="88"/>
    </row>
    <row r="11" spans="1:23" ht="75.75" customHeight="1">
      <c r="A11" s="24" t="str">
        <v>AZ: Phoenix - Starshine Academy</v>
      </c>
      <c r="B11" s="25" t="str">
        <v>AZ</v>
      </c>
      <c r="C11" s="25" t="str">
        <f>Sites[[#This Row],[SOL'#]]</f>
        <v>SOL-10757</v>
      </c>
      <c r="D11" s="126">
        <v>4902.1034916368098</v>
      </c>
      <c r="E11" s="132" t="s">
        <v>40</v>
      </c>
      <c r="F11" s="126" t="str">
        <f t="shared" si="0"/>
        <v/>
      </c>
      <c r="G11" s="13" t="str">
        <f t="shared" si="1"/>
        <v/>
      </c>
      <c r="H11" s="130">
        <v>9502</v>
      </c>
      <c r="I11" s="131">
        <f t="shared" si="2"/>
        <v>-4599.8965083631902</v>
      </c>
      <c r="J11" s="13">
        <f t="shared" si="3"/>
        <v>-0.48409771715040939</v>
      </c>
      <c r="K11" s="45" t="s">
        <v>99</v>
      </c>
      <c r="L11" s="85" t="s">
        <v>100</v>
      </c>
      <c r="M11" s="87" t="s">
        <v>101</v>
      </c>
      <c r="N11" s="87" t="s">
        <v>102</v>
      </c>
      <c r="O11" s="88"/>
      <c r="P11" s="88"/>
      <c r="Q11" s="88"/>
      <c r="R11" s="88"/>
      <c r="S11" s="88"/>
      <c r="T11" s="88"/>
      <c r="U11" s="88"/>
      <c r="V11" s="88"/>
      <c r="W11" s="88"/>
    </row>
    <row r="12" spans="1:23" ht="26.45">
      <c r="A12" s="22" t="str">
        <v>AZ: Yuma Airport</v>
      </c>
      <c r="B12" s="23" t="str">
        <v>AZ</v>
      </c>
      <c r="C12" s="23" t="str">
        <f>Sites[[#This Row],[SOL'#]]</f>
        <v>SOL-10754</v>
      </c>
      <c r="D12" s="133">
        <v>59016</v>
      </c>
      <c r="E12" s="134">
        <v>88791.13</v>
      </c>
      <c r="F12" s="127">
        <f t="shared" si="0"/>
        <v>-29775.130000000005</v>
      </c>
      <c r="G12" s="9">
        <f t="shared" si="1"/>
        <v>-0.33533901415603118</v>
      </c>
      <c r="H12" s="128">
        <v>74541</v>
      </c>
      <c r="I12" s="129">
        <f t="shared" si="2"/>
        <v>-15525</v>
      </c>
      <c r="J12" s="11">
        <f t="shared" si="3"/>
        <v>-0.20827464080170643</v>
      </c>
      <c r="K12" s="63" t="s">
        <v>103</v>
      </c>
      <c r="L12" s="136" t="s">
        <v>104</v>
      </c>
      <c r="M12" s="87" t="s">
        <v>105</v>
      </c>
      <c r="N12" s="88"/>
      <c r="O12" s="88"/>
      <c r="P12" s="88"/>
      <c r="Q12" s="88"/>
      <c r="R12" s="88"/>
      <c r="S12" s="88"/>
      <c r="T12" s="88"/>
      <c r="U12" s="88"/>
      <c r="V12" s="88"/>
      <c r="W12" s="88"/>
    </row>
    <row r="13" spans="1:23" ht="43.15">
      <c r="A13" s="24" t="str">
        <v>AZ: Globe - Gila CC</v>
      </c>
      <c r="B13" s="25" t="str">
        <v>AZ</v>
      </c>
      <c r="C13" s="25" t="str">
        <f>Sites[[#This Row],[SOL'#]]</f>
        <v>SOL-10751</v>
      </c>
      <c r="D13" s="126">
        <v>18359.078434886502</v>
      </c>
      <c r="E13" s="132">
        <v>7005.1220000000003</v>
      </c>
      <c r="F13" s="126">
        <f t="shared" si="0"/>
        <v>11353.956434886502</v>
      </c>
      <c r="G13" s="13">
        <f t="shared" si="1"/>
        <v>1.6208078081847115</v>
      </c>
      <c r="H13" s="130">
        <v>18272</v>
      </c>
      <c r="I13" s="131">
        <f t="shared" si="2"/>
        <v>87.078434886501782</v>
      </c>
      <c r="J13" s="13">
        <f t="shared" si="3"/>
        <v>4.765676164979301E-3</v>
      </c>
      <c r="K13" s="45" t="s">
        <v>52</v>
      </c>
      <c r="L13" s="85" t="s">
        <v>106</v>
      </c>
      <c r="M13" s="88"/>
      <c r="N13" s="88"/>
      <c r="O13" s="88"/>
      <c r="P13" s="88"/>
      <c r="Q13" s="88"/>
      <c r="R13" s="88"/>
      <c r="S13" s="88"/>
      <c r="T13" s="88"/>
      <c r="U13" s="88"/>
      <c r="V13" s="88"/>
      <c r="W13" s="88"/>
    </row>
    <row r="14" spans="1:23" ht="15.6">
      <c r="A14" s="22" t="str">
        <v>AZ: Payson - Gila CC</v>
      </c>
      <c r="B14" s="23" t="str">
        <v>AZ</v>
      </c>
      <c r="C14" s="23" t="str">
        <f>Sites[[#This Row],[SOL'#]]</f>
        <v>SOL-10748</v>
      </c>
      <c r="D14" s="133">
        <v>10693.886943691599</v>
      </c>
      <c r="E14" s="134">
        <v>5876.6049999999996</v>
      </c>
      <c r="F14" s="127">
        <f t="shared" si="0"/>
        <v>4817.2819436915997</v>
      </c>
      <c r="G14" s="9">
        <f t="shared" si="1"/>
        <v>0.81973893833116229</v>
      </c>
      <c r="H14" s="128">
        <v>13721</v>
      </c>
      <c r="I14" s="129">
        <f t="shared" si="2"/>
        <v>-3027.1130563084007</v>
      </c>
      <c r="J14" s="11">
        <f t="shared" si="3"/>
        <v>-0.2206189823123971</v>
      </c>
      <c r="K14" s="63" t="s">
        <v>107</v>
      </c>
      <c r="L14" s="136" t="s">
        <v>108</v>
      </c>
      <c r="M14" s="88"/>
      <c r="N14" s="88"/>
      <c r="O14" s="88"/>
      <c r="P14" s="88"/>
      <c r="Q14" s="88"/>
      <c r="R14" s="88"/>
      <c r="S14" s="88"/>
      <c r="T14" s="88"/>
      <c r="U14" s="88"/>
      <c r="V14" s="88"/>
      <c r="W14" s="88"/>
    </row>
    <row r="15" spans="1:23" ht="63" customHeight="1">
      <c r="A15" s="24" t="str">
        <v>AZ: Mesa - Sequoia Charter School</v>
      </c>
      <c r="B15" s="25" t="str">
        <v>AZ</v>
      </c>
      <c r="C15" s="25" t="str">
        <f>Sites[[#This Row],[SOL'#]]</f>
        <v>SOL-10759</v>
      </c>
      <c r="D15" s="126">
        <v>29948.0099999999</v>
      </c>
      <c r="E15" s="12" t="s">
        <v>40</v>
      </c>
      <c r="F15" s="126" t="str">
        <f t="shared" si="0"/>
        <v/>
      </c>
      <c r="G15" s="13" t="str">
        <f t="shared" si="1"/>
        <v/>
      </c>
      <c r="H15" s="130">
        <v>50610</v>
      </c>
      <c r="I15" s="131">
        <f t="shared" si="2"/>
        <v>-20661.9900000001</v>
      </c>
      <c r="J15" s="13">
        <f t="shared" si="3"/>
        <v>-0.40825903971547323</v>
      </c>
      <c r="K15" s="45" t="s">
        <v>109</v>
      </c>
      <c r="L15" s="85" t="s">
        <v>110</v>
      </c>
      <c r="M15" s="88"/>
      <c r="N15" s="88"/>
      <c r="O15" s="88"/>
      <c r="P15" s="88"/>
      <c r="Q15" s="88"/>
      <c r="R15" s="88"/>
      <c r="S15" s="88"/>
      <c r="T15" s="88"/>
      <c r="U15" s="88"/>
      <c r="V15" s="88"/>
      <c r="W15" s="88"/>
    </row>
    <row r="16" spans="1:23" ht="36" customHeight="1">
      <c r="A16" s="22" t="str">
        <v>AZ: Tempe - SCNM</v>
      </c>
      <c r="B16" s="23" t="str">
        <v>AZ</v>
      </c>
      <c r="C16" s="23" t="str">
        <f>Sites[[#This Row],[SOL'#]]</f>
        <v>SOL-10760</v>
      </c>
      <c r="D16" s="133">
        <v>66706.5</v>
      </c>
      <c r="E16" s="134">
        <v>43347.96</v>
      </c>
      <c r="F16" s="127">
        <f t="shared" si="0"/>
        <v>23358.54</v>
      </c>
      <c r="G16" s="9">
        <f t="shared" si="1"/>
        <v>0.53886134434007971</v>
      </c>
      <c r="H16" s="128">
        <v>83780</v>
      </c>
      <c r="I16" s="129">
        <f t="shared" si="2"/>
        <v>-17073.5</v>
      </c>
      <c r="J16" s="11">
        <f t="shared" si="3"/>
        <v>-0.20378968727619956</v>
      </c>
      <c r="K16" s="63" t="s">
        <v>111</v>
      </c>
      <c r="L16" s="136" t="s">
        <v>112</v>
      </c>
      <c r="M16" s="87" t="s">
        <v>113</v>
      </c>
      <c r="N16" s="88"/>
      <c r="O16" s="88"/>
      <c r="P16" s="88"/>
      <c r="Q16" s="88"/>
      <c r="R16" s="88"/>
      <c r="S16" s="88"/>
      <c r="T16" s="88"/>
      <c r="U16" s="88"/>
      <c r="V16" s="88"/>
      <c r="W16" s="88"/>
    </row>
    <row r="17" spans="1:23" ht="15.6">
      <c r="A17" s="24" t="str">
        <v>DE: Newark - Clayton Hall</v>
      </c>
      <c r="B17" s="25" t="str">
        <v>DE</v>
      </c>
      <c r="C17" s="25" t="str">
        <f>Sites[[#This Row],[SOL'#]]</f>
        <v>SOL-10820</v>
      </c>
      <c r="D17" s="126">
        <v>20330</v>
      </c>
      <c r="E17" s="132">
        <v>21883.225999999999</v>
      </c>
      <c r="F17" s="126">
        <f t="shared" si="0"/>
        <v>-1553.2259999999987</v>
      </c>
      <c r="G17" s="13">
        <f t="shared" si="1"/>
        <v>-7.0977926197901484E-2</v>
      </c>
      <c r="H17" s="130">
        <v>18905</v>
      </c>
      <c r="I17" s="131">
        <f t="shared" si="2"/>
        <v>1425</v>
      </c>
      <c r="J17" s="13">
        <f t="shared" si="3"/>
        <v>7.5376884422110546E-2</v>
      </c>
      <c r="K17" s="45"/>
      <c r="L17" s="46"/>
      <c r="M17" s="88"/>
      <c r="N17" s="88"/>
      <c r="O17" s="88"/>
      <c r="P17" s="88"/>
      <c r="Q17" s="88"/>
      <c r="R17" s="88"/>
      <c r="S17" s="88"/>
      <c r="T17" s="88"/>
      <c r="U17" s="88"/>
      <c r="V17" s="88"/>
      <c r="W17" s="88"/>
    </row>
    <row r="18" spans="1:23" ht="70.349999999999994" customHeight="1">
      <c r="A18" s="22" t="str">
        <v>DE: Newark - UOD Field House</v>
      </c>
      <c r="B18" s="23" t="str">
        <v>DE</v>
      </c>
      <c r="C18" s="23" t="str">
        <f>Sites[[#This Row],[SOL'#]]</f>
        <v>SOL-10821</v>
      </c>
      <c r="D18" s="133">
        <v>53343</v>
      </c>
      <c r="E18" s="135" t="s">
        <v>40</v>
      </c>
      <c r="F18" s="127" t="str">
        <f t="shared" si="0"/>
        <v/>
      </c>
      <c r="G18" s="9" t="str">
        <f t="shared" si="1"/>
        <v/>
      </c>
      <c r="H18" s="128">
        <v>48292</v>
      </c>
      <c r="I18" s="129">
        <f t="shared" si="2"/>
        <v>5051</v>
      </c>
      <c r="J18" s="11">
        <f t="shared" si="3"/>
        <v>0.10459289323283359</v>
      </c>
      <c r="K18" s="63"/>
      <c r="L18" s="63"/>
      <c r="M18" s="88"/>
      <c r="N18" s="88"/>
      <c r="O18" s="88"/>
      <c r="P18" s="88"/>
      <c r="Q18" s="88"/>
      <c r="R18" s="88"/>
      <c r="S18" s="88"/>
      <c r="T18" s="88"/>
      <c r="U18" s="88"/>
      <c r="V18" s="88"/>
      <c r="W18" s="88"/>
    </row>
    <row r="19" spans="1:23" ht="26.45">
      <c r="A19" s="24" t="str">
        <v>DE: Newark - UOD 461 Wyoming</v>
      </c>
      <c r="B19" s="25" t="str">
        <v>DE</v>
      </c>
      <c r="C19" s="25" t="str">
        <f>Sites[[#This Row],[SOL'#]]</f>
        <v>SOL-10819</v>
      </c>
      <c r="D19" s="126">
        <v>0</v>
      </c>
      <c r="E19" s="132">
        <v>33703.362000000001</v>
      </c>
      <c r="F19" s="126">
        <f t="shared" si="0"/>
        <v>-33703.362000000001</v>
      </c>
      <c r="G19" s="13">
        <f t="shared" si="1"/>
        <v>-1</v>
      </c>
      <c r="H19" s="130">
        <v>36430</v>
      </c>
      <c r="I19" s="131">
        <f t="shared" si="2"/>
        <v>-36430</v>
      </c>
      <c r="J19" s="13">
        <f t="shared" si="3"/>
        <v>-1</v>
      </c>
      <c r="K19" s="45" t="s">
        <v>114</v>
      </c>
      <c r="L19" s="85" t="s">
        <v>115</v>
      </c>
      <c r="M19" s="87" t="s">
        <v>116</v>
      </c>
      <c r="N19" s="88"/>
      <c r="O19" s="88"/>
      <c r="P19" s="88"/>
      <c r="Q19" s="88"/>
      <c r="R19" s="88"/>
      <c r="S19" s="88"/>
      <c r="T19" s="88"/>
      <c r="U19" s="88"/>
      <c r="V19" s="88"/>
      <c r="W19" s="88"/>
    </row>
    <row r="20" spans="1:23" ht="15.6">
      <c r="A20" s="22" t="str">
        <v>MD: Presston - Bird-in-Hand</v>
      </c>
      <c r="B20" s="23" t="str">
        <v>MD</v>
      </c>
      <c r="C20" s="23" t="str">
        <f>Sites[[#This Row],[SOL'#]]</f>
        <v>SOL-10092</v>
      </c>
      <c r="D20" s="133">
        <v>178144</v>
      </c>
      <c r="E20" s="134">
        <v>177085.386</v>
      </c>
      <c r="F20" s="127">
        <f t="shared" si="0"/>
        <v>1058.6140000000014</v>
      </c>
      <c r="G20" s="9">
        <f t="shared" si="1"/>
        <v>5.977986235408502E-3</v>
      </c>
      <c r="H20" s="128">
        <v>167217.481</v>
      </c>
      <c r="I20" s="129">
        <f t="shared" si="2"/>
        <v>10926.519</v>
      </c>
      <c r="J20" s="11">
        <f t="shared" si="3"/>
        <v>6.534316229772652E-2</v>
      </c>
      <c r="K20" s="63"/>
      <c r="L20" s="63"/>
      <c r="M20" s="88"/>
      <c r="N20" s="88"/>
      <c r="O20" s="88"/>
      <c r="P20" s="88"/>
      <c r="Q20" s="88"/>
      <c r="R20" s="88"/>
      <c r="S20" s="88"/>
      <c r="T20" s="88"/>
      <c r="U20" s="88"/>
      <c r="V20" s="88"/>
      <c r="W20" s="88"/>
    </row>
    <row r="21" spans="1:23" ht="15.6">
      <c r="A21" s="24" t="str">
        <v>MD: Easton - Shortall</v>
      </c>
      <c r="B21" s="25" t="str">
        <v>MD</v>
      </c>
      <c r="C21" s="25" t="str">
        <f>Sites[[#This Row],[SOL'#]]</f>
        <v>SOL-10091</v>
      </c>
      <c r="D21" s="126">
        <v>183791</v>
      </c>
      <c r="E21" s="132">
        <v>172267.59</v>
      </c>
      <c r="F21" s="126">
        <f t="shared" si="0"/>
        <v>11523.410000000003</v>
      </c>
      <c r="G21" s="13">
        <f t="shared" si="1"/>
        <v>6.6892501369526347E-2</v>
      </c>
      <c r="H21" s="130">
        <v>172138.87299999999</v>
      </c>
      <c r="I21" s="131">
        <f t="shared" si="2"/>
        <v>11652.127000000008</v>
      </c>
      <c r="J21" s="13">
        <f t="shared" si="3"/>
        <v>6.7690271214916164E-2</v>
      </c>
      <c r="K21" s="45" t="s">
        <v>117</v>
      </c>
      <c r="L21" s="85" t="s">
        <v>118</v>
      </c>
      <c r="M21" s="88"/>
      <c r="N21" s="88"/>
      <c r="O21" s="88"/>
      <c r="P21" s="88"/>
      <c r="Q21" s="88"/>
      <c r="R21" s="88"/>
      <c r="S21" s="88"/>
      <c r="T21" s="88"/>
      <c r="U21" s="88"/>
      <c r="V21" s="88"/>
      <c r="W21" s="88"/>
    </row>
    <row r="22" spans="1:23" ht="28.9">
      <c r="A22" s="22" t="str">
        <v>MA: Boston - Seaport Solar</v>
      </c>
      <c r="B22" s="23" t="str">
        <v>MA</v>
      </c>
      <c r="C22" s="23" t="str">
        <f>Sites[[#This Row],[SOL'#]]</f>
        <v>SOL-10772</v>
      </c>
      <c r="D22" s="133">
        <v>85433</v>
      </c>
      <c r="E22" s="134">
        <v>16867.238000000001</v>
      </c>
      <c r="F22" s="127">
        <f t="shared" si="0"/>
        <v>68565.762000000002</v>
      </c>
      <c r="G22" s="9">
        <f t="shared" si="1"/>
        <v>4.0650260582082254</v>
      </c>
      <c r="H22" s="128">
        <v>78282.81</v>
      </c>
      <c r="I22" s="129">
        <f t="shared" si="2"/>
        <v>7150.1900000000023</v>
      </c>
      <c r="J22" s="11">
        <f t="shared" si="3"/>
        <v>9.1337932299568741E-2</v>
      </c>
      <c r="K22" s="63" t="s">
        <v>119</v>
      </c>
      <c r="L22" s="136" t="s">
        <v>120</v>
      </c>
      <c r="M22" s="88"/>
      <c r="N22" s="88"/>
      <c r="O22" s="88"/>
      <c r="P22" s="88"/>
      <c r="Q22" s="88"/>
      <c r="R22" s="88"/>
      <c r="S22" s="88"/>
      <c r="T22" s="88"/>
      <c r="U22" s="88"/>
      <c r="V22" s="88"/>
      <c r="W22" s="88"/>
    </row>
    <row r="23" spans="1:23" ht="15.6">
      <c r="A23" s="24" t="str">
        <v>MA: Dedham - Sprague Street</v>
      </c>
      <c r="B23" s="25" t="str">
        <v>MA</v>
      </c>
      <c r="C23" s="25" t="str">
        <f>Sites[[#This Row],[SOL'#]]</f>
        <v>SOL-10773</v>
      </c>
      <c r="D23" s="126">
        <v>188559</v>
      </c>
      <c r="E23" s="132">
        <v>0</v>
      </c>
      <c r="F23" s="126">
        <f t="shared" si="0"/>
        <v>188559</v>
      </c>
      <c r="G23" s="13" t="str">
        <f>IFERROR(F23/E23, "")</f>
        <v/>
      </c>
      <c r="H23" s="130">
        <v>171041.622</v>
      </c>
      <c r="I23" s="131">
        <f t="shared" si="2"/>
        <v>17517.377999999997</v>
      </c>
      <c r="J23" s="13">
        <f t="shared" si="3"/>
        <v>0.10241587863333053</v>
      </c>
      <c r="K23" s="45"/>
      <c r="L23" s="46"/>
      <c r="M23" s="88"/>
      <c r="N23" s="88"/>
      <c r="O23" s="88"/>
      <c r="P23" s="88"/>
      <c r="Q23" s="88"/>
      <c r="R23" s="88"/>
      <c r="S23" s="88"/>
      <c r="T23" s="88"/>
      <c r="U23" s="88"/>
      <c r="V23" s="88"/>
      <c r="W23" s="88"/>
    </row>
    <row r="24" spans="1:23" ht="15.6">
      <c r="A24" s="22" t="str">
        <v>MA: Boston - Summer Street</v>
      </c>
      <c r="B24" s="23" t="str">
        <v>MA</v>
      </c>
      <c r="C24" s="23" t="str">
        <f>Sites[[#This Row],[SOL'#]]</f>
        <v>SOL-10764</v>
      </c>
      <c r="D24" s="133">
        <v>0</v>
      </c>
      <c r="E24" s="134">
        <v>75812.516000000003</v>
      </c>
      <c r="F24" s="127">
        <f t="shared" si="0"/>
        <v>-75812.516000000003</v>
      </c>
      <c r="G24" s="9">
        <f t="shared" si="1"/>
        <v>-1</v>
      </c>
      <c r="H24" s="128">
        <v>366886.89</v>
      </c>
      <c r="I24" s="129">
        <f t="shared" si="2"/>
        <v>-366886.89</v>
      </c>
      <c r="J24" s="11">
        <f t="shared" si="3"/>
        <v>-1</v>
      </c>
      <c r="K24" s="63" t="s">
        <v>114</v>
      </c>
      <c r="L24" s="136" t="s">
        <v>121</v>
      </c>
      <c r="M24" s="88"/>
      <c r="N24" s="88"/>
      <c r="O24" s="88"/>
      <c r="P24" s="88"/>
      <c r="Q24" s="88"/>
      <c r="R24" s="88"/>
      <c r="S24" s="88"/>
      <c r="T24" s="88"/>
      <c r="U24" s="88"/>
      <c r="V24" s="88"/>
      <c r="W24" s="88"/>
    </row>
    <row r="25" spans="1:23" ht="28.9">
      <c r="A25" s="24" t="str">
        <v>MA: Leominster - Spectro Coatings</v>
      </c>
      <c r="B25" s="25" t="str">
        <v>MA</v>
      </c>
      <c r="C25" s="25" t="str">
        <f>Sites[[#This Row],[SOL'#]]</f>
        <v>SOL-10074</v>
      </c>
      <c r="D25" s="126">
        <v>144747.5</v>
      </c>
      <c r="E25" s="132">
        <v>179328.21</v>
      </c>
      <c r="F25" s="126">
        <f t="shared" si="0"/>
        <v>-34580.709999999992</v>
      </c>
      <c r="G25" s="13">
        <f t="shared" si="1"/>
        <v>-0.19283474697037345</v>
      </c>
      <c r="H25" s="130">
        <v>127995.38400000001</v>
      </c>
      <c r="I25" s="131">
        <f t="shared" si="2"/>
        <v>16752.115999999995</v>
      </c>
      <c r="J25" s="13">
        <f t="shared" si="3"/>
        <v>0.13088062613257986</v>
      </c>
      <c r="K25" s="45" t="s">
        <v>122</v>
      </c>
      <c r="L25" s="85" t="s">
        <v>123</v>
      </c>
      <c r="M25" s="87" t="s">
        <v>124</v>
      </c>
      <c r="N25" s="88"/>
      <c r="O25" s="88"/>
      <c r="P25" s="88"/>
      <c r="Q25" s="88"/>
      <c r="R25" s="88"/>
      <c r="S25" s="88"/>
      <c r="T25" s="88"/>
      <c r="U25" s="88"/>
      <c r="V25" s="88"/>
      <c r="W25" s="88"/>
    </row>
    <row r="26" spans="1:23" ht="15.6">
      <c r="A26" s="22" t="str">
        <v>MA: Braintree - RCAB</v>
      </c>
      <c r="B26" s="23" t="str">
        <v>MA</v>
      </c>
      <c r="C26" s="23" t="str">
        <f>Sites[[#This Row],[SOL'#]]</f>
        <v>SOL-10838</v>
      </c>
      <c r="D26" s="133">
        <v>144747.5</v>
      </c>
      <c r="E26" s="134">
        <v>179332.6</v>
      </c>
      <c r="F26" s="127">
        <f t="shared" si="0"/>
        <v>-34585.100000000006</v>
      </c>
      <c r="G26" s="9">
        <f t="shared" si="1"/>
        <v>-0.19285450609649335</v>
      </c>
      <c r="H26" s="128">
        <v>129127.6</v>
      </c>
      <c r="I26" s="129">
        <f t="shared" si="2"/>
        <v>15619.899999999994</v>
      </c>
      <c r="J26" s="11">
        <f t="shared" si="3"/>
        <v>0.12096484407671167</v>
      </c>
      <c r="K26" s="63" t="s">
        <v>125</v>
      </c>
      <c r="L26" s="136" t="s">
        <v>126</v>
      </c>
      <c r="M26" s="88"/>
      <c r="N26" s="88"/>
      <c r="O26" s="88"/>
      <c r="P26" s="88"/>
      <c r="Q26" s="88"/>
      <c r="R26" s="88"/>
      <c r="S26" s="88"/>
      <c r="T26" s="88"/>
      <c r="U26" s="88"/>
      <c r="V26" s="88"/>
      <c r="W26" s="88"/>
    </row>
    <row r="27" spans="1:23" ht="15.6">
      <c r="A27" s="24" t="str">
        <v>NH: Rochester - Portland Street</v>
      </c>
      <c r="B27" s="25" t="str">
        <v>NH</v>
      </c>
      <c r="C27" s="25" t="str">
        <f>Sites[[#This Row],[SOL'#]]</f>
        <v>SOL-10771</v>
      </c>
      <c r="D27" s="126">
        <v>11197.531000000001</v>
      </c>
      <c r="E27" s="132">
        <v>8246.57</v>
      </c>
      <c r="F27" s="126">
        <f t="shared" si="0"/>
        <v>2950.9610000000011</v>
      </c>
      <c r="G27" s="13">
        <f t="shared" si="1"/>
        <v>0.35784101753820086</v>
      </c>
      <c r="H27" s="130">
        <v>8679.6</v>
      </c>
      <c r="I27" s="131">
        <f t="shared" si="2"/>
        <v>2517.9310000000005</v>
      </c>
      <c r="J27" s="13">
        <f t="shared" si="3"/>
        <v>0.29009758514217249</v>
      </c>
      <c r="K27" s="45"/>
      <c r="L27" s="46"/>
      <c r="M27" s="88"/>
      <c r="N27" s="88"/>
      <c r="O27" s="88"/>
      <c r="P27" s="88"/>
      <c r="Q27" s="88"/>
      <c r="R27" s="88"/>
      <c r="S27" s="88"/>
      <c r="T27" s="88"/>
      <c r="U27" s="88"/>
      <c r="V27" s="88"/>
      <c r="W27" s="88"/>
    </row>
    <row r="28" spans="1:23" ht="28.9">
      <c r="A28" s="22" t="str">
        <v>NH: Portsmouth - Portsmouth HS</v>
      </c>
      <c r="B28" s="23" t="str">
        <v>NH</v>
      </c>
      <c r="C28" s="23" t="str">
        <f>Sites[[#This Row],[SOL'#]]</f>
        <v>SOL-10769</v>
      </c>
      <c r="D28" s="133">
        <v>44509</v>
      </c>
      <c r="E28" s="134">
        <v>0</v>
      </c>
      <c r="F28" s="127">
        <f t="shared" si="0"/>
        <v>44509</v>
      </c>
      <c r="G28" s="9" t="str">
        <f t="shared" si="1"/>
        <v/>
      </c>
      <c r="H28" s="128">
        <v>31822.458999999999</v>
      </c>
      <c r="I28" s="129">
        <f t="shared" si="2"/>
        <v>12686.541000000001</v>
      </c>
      <c r="J28" s="11">
        <f t="shared" si="3"/>
        <v>0.39866626900202784</v>
      </c>
      <c r="K28" s="63" t="s">
        <v>127</v>
      </c>
      <c r="L28" s="136" t="s">
        <v>128</v>
      </c>
      <c r="M28" s="88"/>
      <c r="N28" s="88"/>
      <c r="O28" s="88"/>
      <c r="P28" s="88"/>
      <c r="Q28" s="88"/>
      <c r="R28" s="88"/>
      <c r="S28" s="88"/>
      <c r="T28" s="88"/>
      <c r="U28" s="88"/>
      <c r="V28" s="88"/>
      <c r="W28" s="88"/>
    </row>
    <row r="29" spans="1:23" ht="15.6">
      <c r="A29" s="24" t="str">
        <v>NH: Portsmouth - Portsmouth WTP</v>
      </c>
      <c r="B29" s="25" t="str">
        <v>NH</v>
      </c>
      <c r="C29" s="25" t="str">
        <f>Sites[[#This Row],[SOL'#]]</f>
        <v>SOL-10770</v>
      </c>
      <c r="D29" s="126">
        <v>0</v>
      </c>
      <c r="E29" s="132">
        <v>0</v>
      </c>
      <c r="F29" s="126">
        <f t="shared" si="0"/>
        <v>0</v>
      </c>
      <c r="G29" s="13" t="str">
        <f t="shared" si="1"/>
        <v/>
      </c>
      <c r="H29" s="130">
        <v>0</v>
      </c>
      <c r="I29" s="131">
        <f t="shared" si="2"/>
        <v>0</v>
      </c>
      <c r="J29" s="13" t="str">
        <f t="shared" si="3"/>
        <v/>
      </c>
      <c r="K29" s="45" t="s">
        <v>129</v>
      </c>
      <c r="L29" s="85" t="s">
        <v>130</v>
      </c>
      <c r="M29" s="88"/>
      <c r="N29" s="88"/>
      <c r="O29" s="88"/>
      <c r="P29" s="88"/>
      <c r="Q29" s="88"/>
      <c r="R29" s="88"/>
      <c r="S29" s="88"/>
      <c r="T29" s="88"/>
      <c r="U29" s="88"/>
      <c r="V29" s="88"/>
      <c r="W29" s="88"/>
    </row>
    <row r="30" spans="1:23" ht="15.6">
      <c r="A30" s="22" t="str">
        <v>NH: Rochester - Rochester MS</v>
      </c>
      <c r="B30" s="23" t="str">
        <v>NH</v>
      </c>
      <c r="C30" s="23" t="str">
        <f>Sites[[#This Row],[SOL'#]]</f>
        <v>SOL-10765</v>
      </c>
      <c r="D30" s="133">
        <v>38689.5</v>
      </c>
      <c r="E30" s="134">
        <v>41629.519999999997</v>
      </c>
      <c r="F30" s="127">
        <f t="shared" si="0"/>
        <v>-2940.0199999999968</v>
      </c>
      <c r="G30" s="9">
        <f t="shared" si="1"/>
        <v>-7.0623442211200052E-2</v>
      </c>
      <c r="H30" s="128">
        <v>28169.78</v>
      </c>
      <c r="I30" s="129">
        <f t="shared" si="2"/>
        <v>10519.720000000001</v>
      </c>
      <c r="J30" s="11">
        <f t="shared" si="3"/>
        <v>0.37343990616895134</v>
      </c>
      <c r="K30" s="63" t="s">
        <v>131</v>
      </c>
      <c r="L30" s="136" t="s">
        <v>132</v>
      </c>
      <c r="M30" s="88"/>
      <c r="N30" s="88"/>
      <c r="O30" s="88"/>
      <c r="P30" s="88"/>
      <c r="Q30" s="88"/>
      <c r="R30" s="88"/>
      <c r="S30" s="88"/>
      <c r="T30" s="88"/>
      <c r="U30" s="88"/>
      <c r="V30" s="88"/>
      <c r="W30" s="88"/>
    </row>
    <row r="31" spans="1:23" ht="15.6">
      <c r="A31" s="24" t="str">
        <v>NH Rochester - Spaulding HS</v>
      </c>
      <c r="B31" s="25" t="str">
        <v>NH</v>
      </c>
      <c r="C31" s="25" t="str">
        <f>Sites[[#This Row],[SOL'#]]</f>
        <v>SOL-10767</v>
      </c>
      <c r="D31" s="126">
        <v>19684.121999999999</v>
      </c>
      <c r="E31" s="132">
        <v>16540.346000000001</v>
      </c>
      <c r="F31" s="126">
        <f t="shared" si="0"/>
        <v>3143.775999999998</v>
      </c>
      <c r="G31" s="13">
        <f t="shared" si="1"/>
        <v>0.19006712435157025</v>
      </c>
      <c r="H31" s="130">
        <v>13854.861000000001</v>
      </c>
      <c r="I31" s="131">
        <f t="shared" si="2"/>
        <v>5829.2609999999986</v>
      </c>
      <c r="J31" s="13">
        <f t="shared" si="3"/>
        <v>0.42073760249200609</v>
      </c>
      <c r="K31" s="45"/>
      <c r="L31" s="46"/>
      <c r="M31" s="88"/>
      <c r="N31" s="88"/>
      <c r="O31" s="88"/>
      <c r="P31" s="88"/>
      <c r="Q31" s="88"/>
      <c r="R31" s="88"/>
      <c r="S31" s="88"/>
      <c r="T31" s="88"/>
      <c r="U31" s="88"/>
      <c r="V31" s="88"/>
      <c r="W31" s="88"/>
    </row>
    <row r="32" spans="1:23" ht="15.6">
      <c r="A32" s="22" t="str">
        <v>NH: Rochester - McClelland ES</v>
      </c>
      <c r="B32" s="23" t="str">
        <v>NH</v>
      </c>
      <c r="C32" s="23" t="str">
        <f>Sites[[#This Row],[SOL'#]]</f>
        <v>SOL-10766</v>
      </c>
      <c r="D32" s="133">
        <v>13213.871999999999</v>
      </c>
      <c r="E32" s="134">
        <v>14178.234</v>
      </c>
      <c r="F32" s="127">
        <f t="shared" si="0"/>
        <v>-964.36200000000099</v>
      </c>
      <c r="G32" s="9">
        <f t="shared" si="1"/>
        <v>-6.8017074622974974E-2</v>
      </c>
      <c r="H32" s="128">
        <v>9061.1200000000008</v>
      </c>
      <c r="I32" s="129">
        <f t="shared" si="2"/>
        <v>4152.7519999999986</v>
      </c>
      <c r="J32" s="11">
        <f t="shared" si="3"/>
        <v>0.45830449215990937</v>
      </c>
      <c r="K32" s="63"/>
      <c r="L32" s="63"/>
      <c r="M32" s="88"/>
      <c r="N32" s="88"/>
      <c r="O32" s="88"/>
      <c r="P32" s="88"/>
      <c r="Q32" s="88"/>
      <c r="R32" s="88"/>
      <c r="S32" s="88"/>
      <c r="T32" s="88"/>
      <c r="U32" s="88"/>
      <c r="V32" s="88"/>
      <c r="W32" s="88"/>
    </row>
    <row r="33" spans="1:23" ht="15.6">
      <c r="A33" s="24" t="str">
        <v>NH: Rochester - Brock St Vocational</v>
      </c>
      <c r="B33" s="25" t="str">
        <v>NH</v>
      </c>
      <c r="C33" s="25" t="str">
        <f>Sites[[#This Row],[SOL'#]]</f>
        <v>SOL-10768</v>
      </c>
      <c r="D33" s="126">
        <v>18102.130654771699</v>
      </c>
      <c r="E33" s="132">
        <v>17306.580000000002</v>
      </c>
      <c r="F33" s="126">
        <f t="shared" si="0"/>
        <v>795.55065477169774</v>
      </c>
      <c r="G33" s="13">
        <f t="shared" si="1"/>
        <v>4.5968103159127777E-2</v>
      </c>
      <c r="H33" s="130">
        <v>12184.97</v>
      </c>
      <c r="I33" s="131">
        <f t="shared" si="2"/>
        <v>5917.1606547717001</v>
      </c>
      <c r="J33" s="13">
        <f t="shared" si="3"/>
        <v>0.48561142577878325</v>
      </c>
      <c r="K33" s="45"/>
      <c r="L33" s="46"/>
      <c r="M33" s="88"/>
      <c r="N33" s="88"/>
      <c r="O33" s="88"/>
      <c r="P33" s="88"/>
      <c r="Q33" s="88"/>
      <c r="R33" s="88"/>
      <c r="S33" s="88"/>
      <c r="T33" s="88"/>
      <c r="U33" s="88"/>
      <c r="V33" s="88"/>
      <c r="W33" s="88"/>
    </row>
    <row r="34" spans="1:23" ht="15.6">
      <c r="A34" s="22" t="str">
        <v>OH: Cleveland - CV Kinsman</v>
      </c>
      <c r="B34" s="23" t="str">
        <v>OH</v>
      </c>
      <c r="C34" s="23" t="str">
        <f>Sites[[#This Row],[SOL'#]]</f>
        <v>SOL-10762</v>
      </c>
      <c r="D34" s="133">
        <v>101319.1953125</v>
      </c>
      <c r="E34" s="134">
        <v>138778.20000000001</v>
      </c>
      <c r="F34" s="127">
        <f t="shared" si="0"/>
        <v>-37459.004687500012</v>
      </c>
      <c r="G34" s="9">
        <f t="shared" si="1"/>
        <v>-0.26991994915267675</v>
      </c>
      <c r="H34" s="128">
        <v>128225</v>
      </c>
      <c r="I34" s="129">
        <f t="shared" si="2"/>
        <v>-26905.8046875</v>
      </c>
      <c r="J34" s="11">
        <f t="shared" si="3"/>
        <v>-0.20983275248586469</v>
      </c>
      <c r="K34" s="63" t="s">
        <v>133</v>
      </c>
      <c r="L34" s="136" t="s">
        <v>134</v>
      </c>
      <c r="M34" s="88"/>
      <c r="N34" s="88"/>
      <c r="O34" s="88"/>
      <c r="P34" s="88"/>
      <c r="Q34" s="88"/>
      <c r="R34" s="88"/>
      <c r="S34" s="88"/>
      <c r="T34" s="88"/>
      <c r="U34" s="88"/>
      <c r="V34" s="88"/>
      <c r="W34" s="88"/>
    </row>
    <row r="35" spans="1:23" ht="28.9">
      <c r="A35" s="24" t="str">
        <v>OH: Cleveland - CV Wooster</v>
      </c>
      <c r="B35" s="25" t="str">
        <v>OH</v>
      </c>
      <c r="C35" s="25" t="str">
        <f>Sites[[#This Row],[SOL'#]]</f>
        <v>SOL-10763</v>
      </c>
      <c r="D35" s="126">
        <v>21737.5</v>
      </c>
      <c r="E35" s="132"/>
      <c r="F35" s="126" t="str">
        <f t="shared" si="0"/>
        <v/>
      </c>
      <c r="G35" s="13" t="str">
        <f t="shared" si="1"/>
        <v/>
      </c>
      <c r="H35" s="130">
        <v>30332</v>
      </c>
      <c r="I35" s="131">
        <f t="shared" si="2"/>
        <v>-8594.5</v>
      </c>
      <c r="J35" s="13">
        <f t="shared" si="3"/>
        <v>-0.28334761967559013</v>
      </c>
      <c r="K35" s="45" t="s">
        <v>79</v>
      </c>
      <c r="L35" s="85" t="s">
        <v>135</v>
      </c>
      <c r="M35" s="88"/>
      <c r="N35" s="88"/>
      <c r="O35" s="88"/>
      <c r="P35" s="88"/>
      <c r="Q35" s="88"/>
      <c r="R35" s="88"/>
      <c r="S35" s="88"/>
      <c r="T35" s="88"/>
      <c r="U35" s="88"/>
      <c r="V35" s="88"/>
      <c r="W35" s="88"/>
    </row>
    <row r="36" spans="1:23" ht="84.75" customHeight="1">
      <c r="A36" s="22" t="str">
        <v>PR: Aguadilla - Coca Cola</v>
      </c>
      <c r="B36" s="23" t="str">
        <v>PR</v>
      </c>
      <c r="C36" s="23" t="str">
        <f>Sites[[#This Row],[SOL'#]]</f>
        <v>SOL-10072</v>
      </c>
      <c r="D36" s="133">
        <v>12965</v>
      </c>
      <c r="E36" s="134">
        <v>17397.657999999999</v>
      </c>
      <c r="F36" s="127">
        <f t="shared" si="0"/>
        <v>-4432.6579999999994</v>
      </c>
      <c r="G36" s="9">
        <f t="shared" si="1"/>
        <v>-0.25478475321218519</v>
      </c>
      <c r="H36" s="128">
        <v>22936.725999999999</v>
      </c>
      <c r="I36" s="129">
        <f t="shared" si="2"/>
        <v>-9971.7259999999987</v>
      </c>
      <c r="J36" s="11">
        <f t="shared" si="3"/>
        <v>-0.43474931862550914</v>
      </c>
      <c r="K36" s="63" t="s">
        <v>136</v>
      </c>
      <c r="L36" s="136" t="s">
        <v>137</v>
      </c>
      <c r="M36" s="87" t="s">
        <v>138</v>
      </c>
      <c r="N36" s="87" t="s">
        <v>139</v>
      </c>
      <c r="O36" s="87" t="s">
        <v>140</v>
      </c>
      <c r="P36" s="88"/>
      <c r="Q36" s="88"/>
      <c r="R36" s="88"/>
      <c r="S36" s="88"/>
      <c r="T36" s="88"/>
      <c r="U36" s="88"/>
      <c r="V36" s="88"/>
      <c r="W36" s="88"/>
    </row>
    <row r="37" spans="1:23" ht="171.75" customHeight="1">
      <c r="A37" s="24" t="str">
        <v>PR: Bayamon - Coca Cola</v>
      </c>
      <c r="B37" s="25" t="str">
        <v>PR</v>
      </c>
      <c r="C37" s="25" t="str">
        <f>Sites[[#This Row],[SOL'#]]</f>
        <v>SOL-10073</v>
      </c>
      <c r="D37" s="126">
        <v>47380</v>
      </c>
      <c r="E37" s="132">
        <v>79425.635999999999</v>
      </c>
      <c r="F37" s="126">
        <f t="shared" si="0"/>
        <v>-32045.635999999999</v>
      </c>
      <c r="G37" s="13">
        <f t="shared" si="1"/>
        <v>-0.40346716266773108</v>
      </c>
      <c r="H37" s="130">
        <v>90261.694000000003</v>
      </c>
      <c r="I37" s="131">
        <f t="shared" si="2"/>
        <v>-42881.694000000003</v>
      </c>
      <c r="J37" s="13">
        <f t="shared" si="3"/>
        <v>-0.47508186584665696</v>
      </c>
      <c r="K37" s="45" t="s">
        <v>141</v>
      </c>
      <c r="L37" s="85" t="s">
        <v>142</v>
      </c>
      <c r="M37" s="87" t="s">
        <v>143</v>
      </c>
      <c r="N37" s="87" t="s">
        <v>144</v>
      </c>
      <c r="O37" s="87" t="s">
        <v>145</v>
      </c>
      <c r="P37" s="87" t="s">
        <v>146</v>
      </c>
      <c r="Q37" s="87" t="s">
        <v>147</v>
      </c>
      <c r="R37" s="87" t="s">
        <v>148</v>
      </c>
      <c r="S37" s="87" t="s">
        <v>149</v>
      </c>
      <c r="T37" s="88"/>
      <c r="U37" s="88"/>
      <c r="V37" s="88"/>
      <c r="W37" s="88"/>
    </row>
    <row r="38" spans="1:23" ht="138" customHeight="1">
      <c r="A38" s="22" t="str">
        <v>PR: Carolina - St. Francis</v>
      </c>
      <c r="B38" s="23" t="str">
        <v>PR</v>
      </c>
      <c r="C38" s="23" t="str">
        <f>Sites[[#This Row],[SOL'#]]</f>
        <v>SOL-10034</v>
      </c>
      <c r="D38" s="133">
        <v>17876.75</v>
      </c>
      <c r="E38" s="134">
        <v>52391.864999999998</v>
      </c>
      <c r="F38" s="127">
        <f t="shared" si="0"/>
        <v>-34515.114999999998</v>
      </c>
      <c r="G38" s="9">
        <f t="shared" si="1"/>
        <v>-0.65878767629287482</v>
      </c>
      <c r="H38" s="128">
        <v>43455.597999999998</v>
      </c>
      <c r="I38" s="129">
        <f t="shared" si="2"/>
        <v>-25578.847999999998</v>
      </c>
      <c r="J38" s="11">
        <f t="shared" si="3"/>
        <v>-0.58862031998731212</v>
      </c>
      <c r="K38" s="63" t="s">
        <v>150</v>
      </c>
      <c r="L38" s="136" t="s">
        <v>151</v>
      </c>
      <c r="M38" s="87" t="s">
        <v>152</v>
      </c>
      <c r="N38" s="87" t="s">
        <v>153</v>
      </c>
      <c r="O38" s="87" t="s">
        <v>154</v>
      </c>
      <c r="P38" s="87" t="s">
        <v>155</v>
      </c>
      <c r="Q38" s="87" t="s">
        <v>156</v>
      </c>
      <c r="R38" s="87" t="s">
        <v>157</v>
      </c>
      <c r="S38" s="87" t="s">
        <v>158</v>
      </c>
      <c r="T38" s="87" t="s">
        <v>159</v>
      </c>
      <c r="U38" s="88"/>
      <c r="V38" s="88"/>
      <c r="W38" s="88"/>
    </row>
    <row r="39" spans="1:23" ht="15.6">
      <c r="A39" s="24" t="str">
        <v>DC: Chevy Chase -Sinai</v>
      </c>
      <c r="B39" s="25" t="str">
        <v>DC</v>
      </c>
      <c r="C39" s="25" t="str">
        <f>Sites[[#This Row],[SOL'#]]</f>
        <v>SOL-10028</v>
      </c>
      <c r="D39" s="126">
        <v>9264.4300000000494</v>
      </c>
      <c r="E39" s="132">
        <v>13922.36</v>
      </c>
      <c r="F39" s="126">
        <f t="shared" si="0"/>
        <v>-4657.9299999999512</v>
      </c>
      <c r="G39" s="13">
        <f t="shared" si="1"/>
        <v>-0.33456468587221927</v>
      </c>
      <c r="H39" s="130">
        <v>11511.16</v>
      </c>
      <c r="I39" s="131">
        <f t="shared" si="2"/>
        <v>-2246.7299999999505</v>
      </c>
      <c r="J39" s="13">
        <f t="shared" si="3"/>
        <v>-0.19517841816115408</v>
      </c>
      <c r="K39" s="45" t="s">
        <v>160</v>
      </c>
      <c r="L39" s="85" t="s">
        <v>88</v>
      </c>
      <c r="M39" s="88"/>
      <c r="N39" s="88"/>
      <c r="O39" s="88"/>
      <c r="P39" s="88"/>
      <c r="Q39" s="88"/>
      <c r="R39" s="88"/>
      <c r="S39" s="88"/>
      <c r="T39" s="88"/>
      <c r="U39" s="88"/>
      <c r="V39" s="88"/>
      <c r="W39" s="88"/>
    </row>
    <row r="40" spans="1:23" ht="15.6">
      <c r="A40" s="22" t="str">
        <v>DC: Washington - Weinberg 1</v>
      </c>
      <c r="B40" s="23" t="str">
        <v>DC</v>
      </c>
      <c r="C40" s="23" t="str">
        <f>Sites[[#This Row],[SOL'#]]</f>
        <v>SOL-10039</v>
      </c>
      <c r="D40" s="133">
        <v>1604</v>
      </c>
      <c r="E40" s="134">
        <v>1618.0319999999999</v>
      </c>
      <c r="F40" s="127">
        <f t="shared" si="0"/>
        <v>-14.031999999999925</v>
      </c>
      <c r="G40" s="9">
        <f t="shared" si="1"/>
        <v>-8.6722635893480022E-3</v>
      </c>
      <c r="H40" s="128">
        <v>1700.0160000000001</v>
      </c>
      <c r="I40" s="129">
        <f t="shared" si="2"/>
        <v>-96.016000000000076</v>
      </c>
      <c r="J40" s="11">
        <f t="shared" si="3"/>
        <v>-5.6479468428532478E-2</v>
      </c>
      <c r="K40" s="63"/>
      <c r="L40" s="63"/>
      <c r="M40" s="88"/>
      <c r="N40" s="88"/>
      <c r="O40" s="88"/>
      <c r="P40" s="88"/>
      <c r="Q40" s="88"/>
      <c r="R40" s="88"/>
      <c r="S40" s="88"/>
      <c r="T40" s="88"/>
      <c r="U40" s="88"/>
      <c r="V40" s="88"/>
      <c r="W40" s="88"/>
    </row>
    <row r="41" spans="1:23" ht="15.6">
      <c r="A41" s="24" t="str">
        <v>DC: Washington - Weinberg 2</v>
      </c>
      <c r="B41" s="25" t="str">
        <v>DC</v>
      </c>
      <c r="C41" s="25" t="str">
        <f>Sites[[#This Row],[SOL'#]]</f>
        <v>SOL-10045</v>
      </c>
      <c r="D41" s="126">
        <v>1482</v>
      </c>
      <c r="E41" s="132">
        <v>1436.4</v>
      </c>
      <c r="F41" s="126">
        <f t="shared" si="0"/>
        <v>45.599999999999909</v>
      </c>
      <c r="G41" s="13">
        <f t="shared" si="1"/>
        <v>3.1746031746031682E-2</v>
      </c>
      <c r="H41" s="130">
        <v>1703.97</v>
      </c>
      <c r="I41" s="131">
        <f t="shared" si="2"/>
        <v>-221.97000000000003</v>
      </c>
      <c r="J41" s="13">
        <f t="shared" si="3"/>
        <v>-0.13026637792918891</v>
      </c>
      <c r="K41" s="45" t="s">
        <v>161</v>
      </c>
      <c r="L41" s="46"/>
      <c r="M41" s="88"/>
      <c r="N41" s="88"/>
      <c r="O41" s="88"/>
      <c r="P41" s="88"/>
      <c r="Q41" s="88"/>
      <c r="R41" s="88"/>
      <c r="S41" s="88"/>
      <c r="T41" s="88"/>
      <c r="U41" s="88"/>
      <c r="V41" s="88"/>
      <c r="W41" s="88"/>
    </row>
    <row r="42" spans="1:23" ht="15.6">
      <c r="A42" s="22" t="str">
        <v>DC: Washington - Weinberg 3</v>
      </c>
      <c r="B42" s="23" t="str">
        <v>DC</v>
      </c>
      <c r="C42" s="23" t="str">
        <f>Sites[[#This Row],[SOL'#]]</f>
        <v>SOL-10042</v>
      </c>
      <c r="D42" s="133">
        <v>1798</v>
      </c>
      <c r="E42" s="134">
        <v>1689.1590000000001</v>
      </c>
      <c r="F42" s="127">
        <f t="shared" si="0"/>
        <v>108.84099999999989</v>
      </c>
      <c r="G42" s="9">
        <f t="shared" si="1"/>
        <v>6.4435023582741405E-2</v>
      </c>
      <c r="H42" s="128">
        <v>1779.4839999999999</v>
      </c>
      <c r="I42" s="129">
        <f t="shared" si="2"/>
        <v>18.516000000000076</v>
      </c>
      <c r="J42" s="11">
        <f t="shared" si="3"/>
        <v>1.0405263548309554E-2</v>
      </c>
      <c r="K42" s="63"/>
      <c r="L42" s="63"/>
      <c r="M42" s="88"/>
      <c r="N42" s="88"/>
      <c r="O42" s="88"/>
      <c r="P42" s="88"/>
      <c r="Q42" s="88"/>
      <c r="R42" s="88"/>
      <c r="S42" s="88"/>
      <c r="T42" s="88"/>
      <c r="U42" s="88"/>
      <c r="V42" s="88"/>
      <c r="W42" s="88"/>
    </row>
    <row r="43" spans="1:23" ht="15.6">
      <c r="A43" s="15"/>
      <c r="B43" s="27"/>
      <c r="C43" s="27"/>
      <c r="D43" s="15"/>
      <c r="E43" s="15"/>
      <c r="F43" s="15"/>
      <c r="G43" s="16"/>
      <c r="H43" s="15"/>
      <c r="I43" s="15"/>
      <c r="J43" s="13" t="str">
        <f t="shared" si="3"/>
        <v/>
      </c>
      <c r="K43" s="45"/>
      <c r="L43" s="46"/>
    </row>
    <row r="44" spans="1:23" ht="14.45">
      <c r="A44" s="15"/>
      <c r="B44" s="27"/>
      <c r="C44" s="27"/>
      <c r="D44" s="15"/>
      <c r="E44" s="15"/>
      <c r="F44" s="15"/>
      <c r="G44" s="16"/>
      <c r="H44" s="15"/>
      <c r="I44" s="15"/>
      <c r="J44" s="16"/>
      <c r="K44" s="45"/>
      <c r="L44" s="45"/>
    </row>
    <row r="45" spans="1:23" ht="14.45">
      <c r="A45" s="15"/>
      <c r="B45" s="27"/>
      <c r="C45" s="27"/>
      <c r="D45" s="15"/>
      <c r="E45" s="15"/>
      <c r="F45" s="15"/>
      <c r="G45" s="16"/>
      <c r="H45" s="15"/>
      <c r="I45" s="15"/>
      <c r="J45" s="16"/>
      <c r="K45" s="15"/>
      <c r="L45" s="15"/>
    </row>
    <row r="46" spans="1:23" ht="14.45">
      <c r="A46" s="15"/>
      <c r="B46" s="27"/>
      <c r="C46" s="27"/>
      <c r="D46" s="15"/>
      <c r="E46" s="15"/>
      <c r="F46" s="15"/>
      <c r="G46" s="16"/>
      <c r="H46" s="15"/>
      <c r="I46" s="15"/>
      <c r="J46" s="16"/>
      <c r="K46" s="15"/>
      <c r="L46" s="15"/>
    </row>
    <row r="47" spans="1:23" ht="14.45">
      <c r="A47" s="15"/>
      <c r="B47" s="27"/>
      <c r="C47" s="27"/>
      <c r="D47" s="15"/>
      <c r="E47" s="15"/>
      <c r="F47" s="15"/>
      <c r="G47" s="16"/>
      <c r="H47" s="15"/>
      <c r="I47" s="15"/>
      <c r="J47" s="16"/>
      <c r="K47" s="15"/>
      <c r="L47" s="15"/>
    </row>
    <row r="48" spans="1:23"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row r="56" spans="1:12" ht="14.45">
      <c r="A56" s="15"/>
      <c r="B56" s="27"/>
      <c r="C56" s="27"/>
      <c r="D56" s="15"/>
      <c r="E56" s="15"/>
      <c r="F56" s="15"/>
      <c r="G56" s="16"/>
      <c r="H56" s="15"/>
      <c r="I56" s="15"/>
      <c r="J56" s="16"/>
      <c r="K56" s="15"/>
      <c r="L56" s="15"/>
    </row>
    <row r="57" spans="1:12" ht="14.45">
      <c r="A57" s="15"/>
      <c r="B57" s="27"/>
      <c r="C57" s="27"/>
      <c r="D57" s="15"/>
      <c r="E57" s="15"/>
      <c r="F57" s="15"/>
      <c r="G57" s="16"/>
      <c r="H57" s="15"/>
      <c r="I57" s="15"/>
      <c r="J57" s="16"/>
      <c r="K57" s="15"/>
      <c r="L57" s="15"/>
    </row>
  </sheetData>
  <mergeCells count="4">
    <mergeCell ref="H1:J1"/>
    <mergeCell ref="A1:D1"/>
    <mergeCell ref="E1:G1"/>
    <mergeCell ref="A2:B2"/>
  </mergeCells>
  <phoneticPr fontId="38" type="noConversion"/>
  <conditionalFormatting sqref="G2 J2">
    <cfRule type="cellIs" dxfId="24" priority="17" stopIfTrue="1" operator="lessThanOrEqual">
      <formula>-0.1</formula>
    </cfRule>
    <cfRule type="expression" dxfId="23" priority="18">
      <formula>AND(ISNUMBER(G2), G2&gt;=0.1)</formula>
    </cfRule>
  </conditionalFormatting>
  <conditionalFormatting sqref="G4:G42">
    <cfRule type="cellIs" dxfId="22" priority="1" stopIfTrue="1" operator="lessThanOrEqual">
      <formula>-0.1</formula>
    </cfRule>
    <cfRule type="expression" dxfId="21" priority="2">
      <formula>AND(ISNUMBER(G4), G4&gt;=0.1)</formula>
    </cfRule>
  </conditionalFormatting>
  <conditionalFormatting sqref="J4:J43">
    <cfRule type="cellIs" dxfId="20" priority="3" stopIfTrue="1" operator="lessThanOrEqual">
      <formula>-0.1</formula>
    </cfRule>
    <cfRule type="expression" dxfId="19" priority="4">
      <formula>AND(ISNUMBER(J4), J4&gt;=0.1)</formula>
    </cfRule>
  </conditionalFormatting>
  <hyperlinks>
    <hyperlink ref="L5" r:id="rId1" display="https://us3.assetplanner.com/service_request?ID=106525" xr:uid="{E6B562ED-542E-4E8F-A0F5-D537EF5B3A8B}"/>
    <hyperlink ref="L6" r:id="rId2" display="https://us3.assetplanner.com/service_request?ID=106306" xr:uid="{2C41DC5A-36C6-4763-A97D-6AEB4F4C9C82}"/>
    <hyperlink ref="L8" r:id="rId3" display="https://us3.assetplanner.com/service_request?ID=106940" xr:uid="{58CCB187-7EBC-4BE7-A772-EBA5D540F19D}"/>
    <hyperlink ref="L11" r:id="rId4" display="https://us3.assetplanner.com/service_request?ID=106366" xr:uid="{8672C6F5-95F0-4C80-8510-B0CA04A64A4B}"/>
    <hyperlink ref="M11" r:id="rId5" display="https://us3.assetplanner.com/service_request?ID=105842" xr:uid="{C0AA17CF-25C7-49AF-BBBC-0CB02EA5EBDC}"/>
    <hyperlink ref="N11" r:id="rId6" display="https://us3.assetplanner.com/service_request?ID=105159" xr:uid="{95381EA8-1B9B-42AB-9A8F-877B962785FF}"/>
    <hyperlink ref="L12" r:id="rId7" display="https://us3.assetplanner.com/service_request?ID=105838" xr:uid="{1E8F51EA-1BFE-4E13-8762-90B13CFC0C46}"/>
    <hyperlink ref="M12" r:id="rId8" display="https://us3.assetplanner.com/service_request?ID=099310" xr:uid="{1775030D-13C4-4E95-A7DE-A54FD29EE488}"/>
    <hyperlink ref="L13" r:id="rId9" display="https://us3.assetplanner.com/service_request?ID=101037" xr:uid="{F9912BE1-FE81-4B20-BC6B-4DED21113770}"/>
    <hyperlink ref="L14" r:id="rId10" display="https://us3.assetplanner.com/service_request?ID=106134" xr:uid="{F4704CB5-74F1-442C-ADEA-BC37DA931D7A}"/>
    <hyperlink ref="L15" r:id="rId11" display="https://us3.assetplanner.com/service_request?ID=103804" xr:uid="{F38D579C-456E-4302-8975-8B85783106A5}"/>
    <hyperlink ref="L16" r:id="rId12" display="https://us3.assetplanner.com/service_request?ID=105841" xr:uid="{8F9D53A9-5CB5-4E5E-833C-556FBFA0165C}"/>
    <hyperlink ref="M16" r:id="rId13" display="https://us3.assetplanner.com/service_request?ID=106733" xr:uid="{60412BE9-DBAA-4727-B265-52175932A8ED}"/>
    <hyperlink ref="L19" r:id="rId14" display="https://us3.assetplanner.com/service_request?ID=106006" xr:uid="{55D56F16-06D5-491A-8D53-FAAC822D05DB}"/>
    <hyperlink ref="M19" r:id="rId15" display="https://us3.assetplanner.com/service_request?ID=103078" xr:uid="{5E519764-ABB2-4D24-9A38-B2868E5EB8AA}"/>
    <hyperlink ref="L21" r:id="rId16" display="https://us3.assetplanner.com/service_request?ID=103711" xr:uid="{11639B3D-570A-4ED8-82AB-49F531BF24FC}"/>
    <hyperlink ref="L22" r:id="rId17" display="https://us3.assetplanner.com/service_request?ID=095305" xr:uid="{7E2C8E68-5211-4ABD-B196-A07ED27EB873}"/>
    <hyperlink ref="L24" r:id="rId18" display="https://us3.assetplanner.com/service_request?ID=105609" xr:uid="{1E59CB59-5305-48FE-BD4F-AF8AF0CAFB72}"/>
    <hyperlink ref="L25" r:id="rId19" display="https://us3.assetplanner.com/service_request?ID=105910" xr:uid="{B4F89E5B-22DB-4FFD-A6E2-1BFFC8B22F66}"/>
    <hyperlink ref="M25" r:id="rId20" display="https://us3.assetplanner.com/service_request?ID=106165" xr:uid="{93E357D2-99AF-4486-8762-E6526C815436}"/>
    <hyperlink ref="L26" r:id="rId21" display="https://us3.assetplanner.com/service_request?ID=106696" xr:uid="{DD76E1F0-C3DB-41D9-943B-C663933787AE}"/>
    <hyperlink ref="L28" r:id="rId22" display="https://us3.assetplanner.com/service_request?ID=104785" xr:uid="{DE9DF52D-9E39-4496-B8F6-7A38C391A7DB}"/>
    <hyperlink ref="L29" r:id="rId23" display="https://us3.assetplanner.com/service_request?ID=106017" xr:uid="{16E69CA6-BC5D-4928-8411-A1535ECC5EFA}"/>
    <hyperlink ref="L30" r:id="rId24" display="https://us3.assetplanner.com/service_request?ID=103898" xr:uid="{73B76F8F-D294-49E7-AC5A-100CE38E7FA9}"/>
    <hyperlink ref="L34" r:id="rId25" display="https://us3.assetplanner.com/service_request?ID=104748" xr:uid="{E83ECA94-DD1B-4C61-87FA-C8B98E9A545E}"/>
    <hyperlink ref="L35" r:id="rId26" display="https://us3.assetplanner.com/service_request?ID=092556" xr:uid="{1E8BE2FB-91BA-4AD0-933A-3EF1885F39A2}"/>
    <hyperlink ref="L36" r:id="rId27" display="https://us3.assetplanner.com/service_request?ID=106775" xr:uid="{23D63AD7-EC99-44F4-A8D3-DD3A0DE437CA}"/>
    <hyperlink ref="M36" r:id="rId28" display="https://us3.assetplanner.com/service_request?ID=106303" xr:uid="{74DA0F6D-7686-4522-B64D-313505A03F5E}"/>
    <hyperlink ref="N36" r:id="rId29" display="https://us3.assetplanner.com/service_request?ID=099268" xr:uid="{47C59F34-4C0D-41B6-84AD-55757D23932F}"/>
    <hyperlink ref="O36" r:id="rId30" display="https://us3.assetplanner.com/service_request?ID=093354" xr:uid="{4B176899-8AF3-4D7F-865D-47117729D3F9}"/>
    <hyperlink ref="L37" r:id="rId31" display="https://us3.assetplanner.com/service_request?ID=101102" xr:uid="{BE243470-FF39-478C-9ABE-0734003767D2}"/>
    <hyperlink ref="M37" r:id="rId32" display="https://us3.assetplanner.com/service_request?ID=101744" xr:uid="{EC57CDCC-2CF2-4DC7-8538-1757961BAAD5}"/>
    <hyperlink ref="N37" r:id="rId33" display="https://us3.assetplanner.com/service_request?ID=104348" xr:uid="{BE6793C4-8393-4482-AB04-1EC09A3F910C}"/>
    <hyperlink ref="O37" r:id="rId34" display="https://us3.assetplanner.com/service_request?ID=100464" xr:uid="{221373B0-26DF-4181-A134-BCDFA3BE733B}"/>
    <hyperlink ref="P37" r:id="rId35" display="https://us3.assetplanner.com/service_request?ID=098883" xr:uid="{B35B24F4-BFA9-41CB-A93C-C0DC3B121A1A}"/>
    <hyperlink ref="Q37" r:id="rId36" display="https://us3.assetplanner.com/service_request?ID=095649" xr:uid="{B6788E74-BEF0-4C15-A74C-692BB1ECBFC2}"/>
    <hyperlink ref="R37" r:id="rId37" display="https://us3.assetplanner.com/service_request?ID=092332" xr:uid="{5676773D-B4B4-4B06-B172-5B91E42031B9}"/>
    <hyperlink ref="S37" r:id="rId38" display="https://us3.assetplanner.com/service_request?ID=098311" xr:uid="{0ADDC259-3304-40A6-8585-C024B0641F7F}"/>
    <hyperlink ref="L38" r:id="rId39" display="https://us3.assetplanner.com/service_request?ID=092255" xr:uid="{3DEE1E11-424D-49CC-B6E5-87D5813F7A3D}"/>
    <hyperlink ref="M38" r:id="rId40" display="https://us3.assetplanner.com/service_request?ID=092209" xr:uid="{79A31A8B-2BBB-4FDA-9C55-5350E634955C}"/>
    <hyperlink ref="N38" r:id="rId41" display="https://us3.assetplanner.com/service_request?ID=092095" xr:uid="{F575BA4C-7DB8-412B-893D-BF7E134722C2}"/>
    <hyperlink ref="O38" r:id="rId42" display="https://us3.assetplanner.com/service_request?ID=103021" xr:uid="{5E539AB7-F816-4F1C-BF0D-3754C15D7825}"/>
    <hyperlink ref="P38" r:id="rId43" display="https://us3.assetplanner.com/service_request?ID=102198" xr:uid="{E29444E9-506E-4D76-887E-849C736AC34B}"/>
    <hyperlink ref="Q38" r:id="rId44" display="https://us3.assetplanner.com/service_request?ID=101997" xr:uid="{F9A00EBC-DDBD-4A94-9867-E41813B0B7A8}"/>
    <hyperlink ref="R38" r:id="rId45" display="https://us3.assetplanner.com/service_request?ID=101998" xr:uid="{798D4A51-B80E-481D-8A20-03DC14E91B64}"/>
    <hyperlink ref="S38" r:id="rId46" display="https://us3.assetplanner.com/service_request?ID=092751" xr:uid="{0076081A-DF77-4B75-98A8-DC41E52E59DA}"/>
    <hyperlink ref="T38" r:id="rId47" display="https://us3.assetplanner.com/service_request?ID=106747" xr:uid="{51220D40-A4FA-4DD6-A5D1-02C11E40CE72}"/>
    <hyperlink ref="L39" r:id="rId48" display="https://us3.assetplanner.com/service_request?ID=104194" xr:uid="{4B8B85C5-449D-457A-8B24-075C57329A38}"/>
  </hyperlinks>
  <pageMargins left="0.4" right="0.7" top="0.25" bottom="0.25" header="0.3" footer="0.3"/>
  <pageSetup fitToHeight="99" orientation="landscape" r:id="rId4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T55"/>
  <sheetViews>
    <sheetView zoomScale="70" zoomScaleNormal="70" workbookViewId="0">
      <pane xSplit="2" ySplit="3" topLeftCell="D15" activePane="bottomRight" state="frozen"/>
      <selection pane="bottomRight" activeCell="M1" sqref="M1:Q1048576"/>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 min="13" max="17" width="8.85546875" style="88"/>
  </cols>
  <sheetData>
    <row r="1" spans="1:14" ht="19.5" customHeight="1">
      <c r="A1" s="138" t="str" cm="1">
        <f t="array" ref="A1">portfolio</f>
        <v>GoodFinch</v>
      </c>
      <c r="B1" s="138"/>
      <c r="C1" s="138"/>
      <c r="D1" s="138"/>
      <c r="E1" s="139" t="s">
        <v>162</v>
      </c>
      <c r="F1" s="139"/>
      <c r="G1" s="139"/>
      <c r="H1" s="137" t="s">
        <v>163</v>
      </c>
      <c r="I1" s="137"/>
      <c r="J1" s="137"/>
      <c r="K1" s="2"/>
      <c r="L1" s="2"/>
    </row>
    <row r="2" spans="1:14" ht="19.5" customHeight="1">
      <c r="A2" s="140" t="s">
        <v>2</v>
      </c>
      <c r="B2" s="140"/>
      <c r="C2" s="51"/>
      <c r="D2" s="3">
        <f>SUM(D4:D55)</f>
        <v>1327999.1274820208</v>
      </c>
      <c r="E2" s="3">
        <f>SUM(E4:E42)</f>
        <v>1142953.5390000001</v>
      </c>
      <c r="F2" s="3">
        <f>D2-E2</f>
        <v>185045.58848202066</v>
      </c>
      <c r="G2" s="4">
        <f>IFERROR(F2/E2, 0)</f>
        <v>0.16190123409908846</v>
      </c>
      <c r="H2" s="3">
        <f>SUM(H4:H55)</f>
        <v>1649166.344</v>
      </c>
      <c r="I2" s="5">
        <f>D2-H2</f>
        <v>-321167.21651797928</v>
      </c>
      <c r="J2" s="4">
        <f>IFERROR(I2/H2, 0)</f>
        <v>-0.19474519213083047</v>
      </c>
      <c r="K2" s="20" t="str">
        <f ca="1">IF(AND(TODAY()&gt;DATE(2024, 9, 1), COUNTA(Sites[Site])&lt;&gt;(COUNT(D:D)-1)), "Some sites are missing actual data; if new sites were added, make sure they are aligned correctly (including prior months!)", "")</f>
        <v/>
      </c>
      <c r="L2" s="2"/>
    </row>
    <row r="3" spans="1:14" ht="14.25" customHeight="1">
      <c r="A3" s="6" t="s">
        <v>3</v>
      </c>
      <c r="B3" s="6" t="s">
        <v>4</v>
      </c>
      <c r="C3" s="6" t="s">
        <v>5</v>
      </c>
      <c r="D3" s="17" t="s">
        <v>6</v>
      </c>
      <c r="E3" s="29" t="s">
        <v>7</v>
      </c>
      <c r="F3" s="29" t="s">
        <v>8</v>
      </c>
      <c r="G3" s="30" t="s">
        <v>9</v>
      </c>
      <c r="H3" s="31" t="s">
        <v>10</v>
      </c>
      <c r="I3" s="32" t="s">
        <v>8</v>
      </c>
      <c r="J3" s="33" t="s">
        <v>9</v>
      </c>
      <c r="K3" s="19" t="s">
        <v>21</v>
      </c>
      <c r="L3" s="19" t="s">
        <v>22</v>
      </c>
    </row>
    <row r="4" spans="1:14" ht="15.6">
      <c r="A4" s="26" t="str" cm="1">
        <f t="array" ref="A4:A42">Sites[Site]</f>
        <v>AZ: Tempe - ASU - Farmer</v>
      </c>
      <c r="B4" s="23" t="str" cm="1">
        <f t="array" ref="B4:B42">Sites[State]</f>
        <v>AZ</v>
      </c>
      <c r="C4" s="23" t="str">
        <f>Sites[[#This Row],[SOL'#]]</f>
        <v>SOL-10748</v>
      </c>
      <c r="D4" s="18">
        <v>11511.75129</v>
      </c>
      <c r="E4" s="8">
        <v>7558.4489999999996</v>
      </c>
      <c r="F4" s="8">
        <f>IF(AND(ISNUMBER(D4),ISNUMBER(E4)), D4-E4, "")</f>
        <v>3953.3022900000005</v>
      </c>
      <c r="G4" s="9">
        <f>IFERROR(F4/E4, "")</f>
        <v>0.52303088768608486</v>
      </c>
      <c r="H4" s="10">
        <v>12700.58</v>
      </c>
      <c r="I4" s="10">
        <f>IF(AND(ISNUMBER(D4),ISNUMBER(H4)), D4-H4, "")</f>
        <v>-1188.8287099999998</v>
      </c>
      <c r="J4" s="11">
        <f>IFERROR(I4/H4, "")</f>
        <v>-9.3604285001157417E-2</v>
      </c>
      <c r="K4" s="35"/>
      <c r="L4" s="35"/>
    </row>
    <row r="5" spans="1:14" ht="28.9">
      <c r="A5" s="24" t="str">
        <v>AZ: Tempe - ASU - Fulton</v>
      </c>
      <c r="B5" s="25" t="str">
        <v>AZ</v>
      </c>
      <c r="C5" s="25" t="str">
        <f>Sites[[#This Row],[SOL'#]]</f>
        <v>SOL-10749</v>
      </c>
      <c r="D5" s="7">
        <v>37451.5</v>
      </c>
      <c r="E5" s="12">
        <v>46549.2</v>
      </c>
      <c r="F5" s="12">
        <f t="shared" ref="F5:F42" si="0">IF(AND(ISNUMBER(D5),ISNUMBER(E5)), D5-E5, "")</f>
        <v>-9097.6999999999971</v>
      </c>
      <c r="G5" s="13">
        <f>IFERROR(F5/E5, "")</f>
        <v>-0.19544267141003493</v>
      </c>
      <c r="H5" s="14">
        <v>55270.38</v>
      </c>
      <c r="I5" s="14">
        <f t="shared" ref="I5:I42" si="1">IF(AND(ISNUMBER(D5),ISNUMBER(H5)), D5-H5, "")</f>
        <v>-17818.879999999997</v>
      </c>
      <c r="J5" s="13">
        <f t="shared" ref="J5:J42" si="2">IFERROR(I5/H5, "")</f>
        <v>-0.32239474380310029</v>
      </c>
      <c r="K5" s="36" t="s">
        <v>38</v>
      </c>
      <c r="L5" s="36"/>
    </row>
    <row r="6" spans="1:14" ht="15.6">
      <c r="A6" s="22" t="str">
        <v>AZ: Superior - JFK Elementary</v>
      </c>
      <c r="B6" s="23" t="str">
        <v>AZ</v>
      </c>
      <c r="C6" s="23" t="str">
        <f>Sites[[#This Row],[SOL'#]]</f>
        <v>SOL-10758</v>
      </c>
      <c r="D6" s="18">
        <v>17412.392910899602</v>
      </c>
      <c r="E6" s="8" t="s">
        <v>40</v>
      </c>
      <c r="F6" s="8" t="str">
        <f t="shared" si="0"/>
        <v/>
      </c>
      <c r="G6" s="9" t="str">
        <f t="shared" ref="G6:G17" si="3">IFERROR(F6/E6, "")</f>
        <v/>
      </c>
      <c r="H6" s="10">
        <v>18638.740000000002</v>
      </c>
      <c r="I6" s="10">
        <f t="shared" si="1"/>
        <v>-1226.3470891003999</v>
      </c>
      <c r="J6" s="11">
        <f t="shared" si="2"/>
        <v>-6.5795600405413657E-2</v>
      </c>
      <c r="K6" s="47" t="s">
        <v>164</v>
      </c>
      <c r="L6" s="94" t="s">
        <v>165</v>
      </c>
    </row>
    <row r="7" spans="1:14" ht="72">
      <c r="A7" s="24" t="str">
        <v>AZ: Tempe - ASU - Noble</v>
      </c>
      <c r="B7" s="25" t="str">
        <v>AZ</v>
      </c>
      <c r="C7" s="25" t="str">
        <f>Sites[[#This Row],[SOL'#]]</f>
        <v>SOL-10750</v>
      </c>
      <c r="D7" s="7">
        <v>10873.185860351699</v>
      </c>
      <c r="E7" s="12">
        <v>12767.09</v>
      </c>
      <c r="F7" s="12">
        <f t="shared" si="0"/>
        <v>-1893.9041396483008</v>
      </c>
      <c r="G7" s="13">
        <f t="shared" si="3"/>
        <v>-0.14834266380579292</v>
      </c>
      <c r="H7" s="14">
        <v>9956.74</v>
      </c>
      <c r="I7" s="14">
        <f t="shared" si="1"/>
        <v>916.44586035169959</v>
      </c>
      <c r="J7" s="13">
        <f t="shared" si="2"/>
        <v>9.2042763028029217E-2</v>
      </c>
      <c r="K7" s="45" t="s">
        <v>96</v>
      </c>
      <c r="L7" s="37"/>
    </row>
    <row r="8" spans="1:14" ht="28.9">
      <c r="A8" s="22" t="str">
        <v>AZ: Tempe - ASU - Parking #3</v>
      </c>
      <c r="B8" s="23" t="str">
        <v>AZ</v>
      </c>
      <c r="C8" s="23" t="str">
        <f>Sites[[#This Row],[SOL'#]]</f>
        <v>SOL-10751</v>
      </c>
      <c r="D8" s="18">
        <v>21826.712500000001</v>
      </c>
      <c r="E8" s="8">
        <v>25979.11</v>
      </c>
      <c r="F8" s="8">
        <f t="shared" si="0"/>
        <v>-4152.3974999999991</v>
      </c>
      <c r="G8" s="9">
        <f t="shared" si="3"/>
        <v>-0.15983601824696839</v>
      </c>
      <c r="H8" s="10">
        <v>30239.99</v>
      </c>
      <c r="I8" s="10">
        <f t="shared" si="1"/>
        <v>-8413.2775000000001</v>
      </c>
      <c r="J8" s="11">
        <f t="shared" si="2"/>
        <v>-0.27821694054793006</v>
      </c>
      <c r="K8" s="35" t="s">
        <v>166</v>
      </c>
      <c r="L8" s="94" t="s">
        <v>167</v>
      </c>
      <c r="M8" s="87" t="s">
        <v>168</v>
      </c>
    </row>
    <row r="9" spans="1:14" ht="15.6">
      <c r="A9" s="24" t="str">
        <v>AZ: Tempe - ASU - PE East</v>
      </c>
      <c r="B9" s="25" t="str">
        <v>AZ</v>
      </c>
      <c r="C9" s="25" t="str">
        <f>Sites[[#This Row],[SOL'#]]</f>
        <v>SOL-10752</v>
      </c>
      <c r="D9" s="7">
        <v>25376.001233094401</v>
      </c>
      <c r="E9" s="12">
        <v>19006.919999999998</v>
      </c>
      <c r="F9" s="12">
        <f t="shared" si="0"/>
        <v>6369.0812330944027</v>
      </c>
      <c r="G9" s="13">
        <f t="shared" si="3"/>
        <v>0.33509275743226169</v>
      </c>
      <c r="H9" s="14">
        <v>31693.13</v>
      </c>
      <c r="I9" s="14">
        <f t="shared" si="1"/>
        <v>-6317.1287669056001</v>
      </c>
      <c r="J9" s="13">
        <f t="shared" si="2"/>
        <v>-0.19932170684642381</v>
      </c>
      <c r="K9" s="36"/>
      <c r="L9" s="37"/>
    </row>
    <row r="10" spans="1:14" ht="15.6">
      <c r="A10" s="22" t="str">
        <v>AZ: Tempe - ASU - Schwada</v>
      </c>
      <c r="B10" s="23" t="str">
        <v>AZ</v>
      </c>
      <c r="C10" s="23" t="str">
        <f>Sites[[#This Row],[SOL'#]]</f>
        <v>SOL-10753</v>
      </c>
      <c r="D10" s="18">
        <v>11884.707910675101</v>
      </c>
      <c r="E10" s="8">
        <v>7825.2979999999998</v>
      </c>
      <c r="F10" s="8">
        <f t="shared" si="0"/>
        <v>4059.4099106751009</v>
      </c>
      <c r="G10" s="9">
        <f t="shared" si="3"/>
        <v>0.51875467371020256</v>
      </c>
      <c r="H10" s="10">
        <v>14512.52</v>
      </c>
      <c r="I10" s="10">
        <f t="shared" si="1"/>
        <v>-2627.8120893248997</v>
      </c>
      <c r="J10" s="11">
        <f t="shared" si="2"/>
        <v>-0.18107207358369873</v>
      </c>
      <c r="K10" s="35"/>
      <c r="L10" s="35"/>
    </row>
    <row r="11" spans="1:14" ht="86.45">
      <c r="A11" s="24" t="str">
        <v>AZ: Phoenix - Starshine Academy</v>
      </c>
      <c r="B11" s="25" t="str">
        <v>AZ</v>
      </c>
      <c r="C11" s="25" t="str">
        <f>Sites[[#This Row],[SOL'#]]</f>
        <v>SOL-10757</v>
      </c>
      <c r="D11" s="7">
        <v>6874.2061169999997</v>
      </c>
      <c r="E11" s="12" t="s">
        <v>40</v>
      </c>
      <c r="F11" s="12" t="str">
        <f t="shared" si="0"/>
        <v/>
      </c>
      <c r="G11" s="13" t="str">
        <f t="shared" si="3"/>
        <v/>
      </c>
      <c r="H11" s="14">
        <v>8508.5779999999995</v>
      </c>
      <c r="I11" s="14">
        <f t="shared" si="1"/>
        <v>-1634.3718829999998</v>
      </c>
      <c r="J11" s="13">
        <f t="shared" si="2"/>
        <v>-0.19208519719746353</v>
      </c>
      <c r="K11" s="36" t="s">
        <v>169</v>
      </c>
      <c r="L11" s="97" t="s">
        <v>170</v>
      </c>
    </row>
    <row r="12" spans="1:14" ht="43.15">
      <c r="A12" s="22" t="str">
        <v>AZ: Yuma Airport</v>
      </c>
      <c r="B12" s="23" t="str">
        <v>AZ</v>
      </c>
      <c r="C12" s="23" t="str">
        <f>Sites[[#This Row],[SOL'#]]</f>
        <v>SOL-10754</v>
      </c>
      <c r="D12" s="18">
        <v>56130</v>
      </c>
      <c r="E12" s="8">
        <v>83104.55</v>
      </c>
      <c r="F12" s="8">
        <f>IF(AND(ISNUMBER(D12),ISNUMBER(E12)), D12-E12, "")</f>
        <v>-26974.550000000003</v>
      </c>
      <c r="G12" s="9">
        <f t="shared" si="3"/>
        <v>-0.32458571762917915</v>
      </c>
      <c r="H12" s="10">
        <v>67383</v>
      </c>
      <c r="I12" s="10">
        <f t="shared" si="1"/>
        <v>-11253</v>
      </c>
      <c r="J12" s="11">
        <f t="shared" si="2"/>
        <v>-0.16700057878099817</v>
      </c>
      <c r="K12" s="35" t="s">
        <v>171</v>
      </c>
      <c r="L12" s="94" t="s">
        <v>172</v>
      </c>
      <c r="M12" s="87" t="s">
        <v>173</v>
      </c>
    </row>
    <row r="13" spans="1:14" ht="28.9">
      <c r="A13" s="24" t="str">
        <v>AZ: Globe - Gila CC</v>
      </c>
      <c r="B13" s="25" t="str">
        <v>AZ</v>
      </c>
      <c r="C13" s="25" t="str">
        <f>Sites[[#This Row],[SOL'#]]</f>
        <v>SOL-10751</v>
      </c>
      <c r="D13" s="7">
        <v>15774.998</v>
      </c>
      <c r="E13" s="12">
        <v>7644.9610000000002</v>
      </c>
      <c r="F13" s="12">
        <f>IF(AND(ISNUMBER(D13),ISNUMBER(E13)), D13-E13, "")</f>
        <v>8130.0369999999994</v>
      </c>
      <c r="G13" s="13">
        <f t="shared" si="3"/>
        <v>1.0634504217876324</v>
      </c>
      <c r="H13" s="14">
        <v>14585.5</v>
      </c>
      <c r="I13" s="14">
        <f t="shared" si="1"/>
        <v>1189.4979999999996</v>
      </c>
      <c r="J13" s="13">
        <f t="shared" si="2"/>
        <v>8.1553460628706567E-2</v>
      </c>
      <c r="K13" s="45" t="s">
        <v>52</v>
      </c>
      <c r="L13" s="95" t="s">
        <v>174</v>
      </c>
    </row>
    <row r="14" spans="1:14" ht="15.6">
      <c r="A14" s="22" t="str">
        <v>AZ: Payson - Gila CC</v>
      </c>
      <c r="B14" s="23" t="str">
        <v>AZ</v>
      </c>
      <c r="C14" s="23" t="str">
        <f>Sites[[#This Row],[SOL'#]]</f>
        <v>SOL-10748</v>
      </c>
      <c r="D14" s="18">
        <v>11346.19188</v>
      </c>
      <c r="E14" s="8">
        <v>4899.0609999999997</v>
      </c>
      <c r="F14" s="8">
        <f t="shared" si="0"/>
        <v>6447.1308800000006</v>
      </c>
      <c r="G14" s="9">
        <f t="shared" si="3"/>
        <v>1.3159931831834715</v>
      </c>
      <c r="H14" s="10">
        <v>8954</v>
      </c>
      <c r="I14" s="10">
        <f t="shared" si="1"/>
        <v>2392.1918800000003</v>
      </c>
      <c r="J14" s="11">
        <f t="shared" si="2"/>
        <v>0.26716460576278761</v>
      </c>
      <c r="K14" s="35" t="s">
        <v>107</v>
      </c>
      <c r="L14" s="94" t="s">
        <v>175</v>
      </c>
    </row>
    <row r="15" spans="1:14" ht="43.15">
      <c r="A15" s="24" t="str">
        <v>AZ: Mesa - Sequoia Charter School</v>
      </c>
      <c r="B15" s="25" t="str">
        <v>AZ</v>
      </c>
      <c r="C15" s="25" t="str">
        <f>Sites[[#This Row],[SOL'#]]</f>
        <v>SOL-10759</v>
      </c>
      <c r="D15" s="7">
        <v>23986.69</v>
      </c>
      <c r="E15" s="12" t="s">
        <v>40</v>
      </c>
      <c r="F15" s="12" t="str">
        <f t="shared" si="0"/>
        <v/>
      </c>
      <c r="G15" s="13" t="str">
        <f t="shared" si="3"/>
        <v/>
      </c>
      <c r="H15" s="14">
        <v>36700.410000000003</v>
      </c>
      <c r="I15" s="14">
        <f t="shared" si="1"/>
        <v>-12713.720000000005</v>
      </c>
      <c r="J15" s="13">
        <f t="shared" si="2"/>
        <v>-0.34641901820715365</v>
      </c>
      <c r="K15" s="45" t="s">
        <v>176</v>
      </c>
      <c r="L15" s="85" t="s">
        <v>177</v>
      </c>
      <c r="M15" s="87" t="s">
        <v>178</v>
      </c>
      <c r="N15" s="87" t="s">
        <v>179</v>
      </c>
    </row>
    <row r="16" spans="1:14" ht="28.9">
      <c r="A16" s="22" t="str">
        <v>AZ: Tempe - SCNM</v>
      </c>
      <c r="B16" s="23" t="str">
        <v>AZ</v>
      </c>
      <c r="C16" s="23" t="str">
        <f>Sites[[#This Row],[SOL'#]]</f>
        <v>SOL-10760</v>
      </c>
      <c r="D16" s="18">
        <v>75053.5</v>
      </c>
      <c r="E16" s="8">
        <v>35345.79</v>
      </c>
      <c r="F16" s="8">
        <f t="shared" si="0"/>
        <v>39707.71</v>
      </c>
      <c r="G16" s="9">
        <f t="shared" si="3"/>
        <v>1.1234070592282701</v>
      </c>
      <c r="H16" s="10">
        <v>76055.95</v>
      </c>
      <c r="I16" s="10">
        <f t="shared" si="1"/>
        <v>-1002.4499999999971</v>
      </c>
      <c r="J16" s="11">
        <f t="shared" si="2"/>
        <v>-1.3180428355703887E-2</v>
      </c>
      <c r="K16" s="35" t="s">
        <v>111</v>
      </c>
      <c r="L16" s="94" t="s">
        <v>180</v>
      </c>
      <c r="M16" s="87" t="s">
        <v>113</v>
      </c>
    </row>
    <row r="17" spans="1:13" ht="15.6">
      <c r="A17" s="24" t="str">
        <v>DE: Newark - Clayton Hall</v>
      </c>
      <c r="B17" s="25" t="str">
        <v>DE</v>
      </c>
      <c r="C17" s="25" t="str">
        <f>Sites[[#This Row],[SOL'#]]</f>
        <v>SOL-10820</v>
      </c>
      <c r="D17" s="7">
        <v>16183</v>
      </c>
      <c r="E17" s="12">
        <v>17098.795999999998</v>
      </c>
      <c r="F17" s="12">
        <f t="shared" si="0"/>
        <v>-915.79599999999846</v>
      </c>
      <c r="G17" s="13">
        <f t="shared" si="3"/>
        <v>-5.3559092698690511E-2</v>
      </c>
      <c r="H17" s="14">
        <v>15004.888000000001</v>
      </c>
      <c r="I17" s="14">
        <f t="shared" si="1"/>
        <v>1178.1119999999992</v>
      </c>
      <c r="J17" s="13">
        <f t="shared" si="2"/>
        <v>7.8515214508765349E-2</v>
      </c>
      <c r="K17" s="36"/>
      <c r="L17" s="36"/>
    </row>
    <row r="18" spans="1:13" ht="12.75" customHeight="1">
      <c r="A18" s="22" t="str">
        <v>DE: Newark - UOD Field House</v>
      </c>
      <c r="B18" s="23" t="str">
        <v>DE</v>
      </c>
      <c r="C18" s="23" t="str">
        <f>Sites[[#This Row],[SOL'#]]</f>
        <v>SOL-10821</v>
      </c>
      <c r="D18" s="18">
        <v>46205</v>
      </c>
      <c r="E18" s="8" t="s">
        <v>40</v>
      </c>
      <c r="F18" s="8" t="str">
        <f t="shared" si="0"/>
        <v/>
      </c>
      <c r="G18" s="9" t="str">
        <f t="shared" ref="G18:G42" si="4">IFERROR(F18/E18, "")</f>
        <v/>
      </c>
      <c r="H18" s="10">
        <v>36615.392999999996</v>
      </c>
      <c r="I18" s="10">
        <f t="shared" si="1"/>
        <v>9589.6070000000036</v>
      </c>
      <c r="J18" s="11">
        <f t="shared" si="2"/>
        <v>0.26190097153948355</v>
      </c>
      <c r="K18" s="35"/>
      <c r="L18" s="35"/>
    </row>
    <row r="19" spans="1:13" ht="28.9">
      <c r="A19" s="24" t="str">
        <v>DE: Newark - UOD 461 Wyoming</v>
      </c>
      <c r="B19" s="25" t="str">
        <v>DE</v>
      </c>
      <c r="C19" s="25" t="str">
        <f>Sites[[#This Row],[SOL'#]]</f>
        <v>SOL-10819</v>
      </c>
      <c r="D19" s="7">
        <v>14362</v>
      </c>
      <c r="E19" s="12">
        <v>26808.934000000001</v>
      </c>
      <c r="F19" s="12">
        <f t="shared" si="0"/>
        <v>-12446.934000000001</v>
      </c>
      <c r="G19" s="13">
        <f t="shared" si="4"/>
        <v>-0.46428306325048213</v>
      </c>
      <c r="H19" s="14">
        <v>28156.337</v>
      </c>
      <c r="I19" s="14">
        <f t="shared" si="1"/>
        <v>-13794.337</v>
      </c>
      <c r="J19" s="13">
        <f t="shared" si="2"/>
        <v>-0.48991944513236929</v>
      </c>
      <c r="K19" s="36" t="s">
        <v>181</v>
      </c>
      <c r="L19" s="95" t="s">
        <v>182</v>
      </c>
      <c r="M19" s="87" t="s">
        <v>183</v>
      </c>
    </row>
    <row r="20" spans="1:13" ht="15.6">
      <c r="A20" s="22" t="str">
        <v>MD: Presston - Bird-in-Hand</v>
      </c>
      <c r="B20" s="23" t="str">
        <v>MD</v>
      </c>
      <c r="C20" s="23" t="str">
        <f>Sites[[#This Row],[SOL'#]]</f>
        <v>SOL-10092</v>
      </c>
      <c r="D20" s="18">
        <v>137574</v>
      </c>
      <c r="E20" s="8">
        <v>137810.1</v>
      </c>
      <c r="F20" s="8">
        <f t="shared" si="0"/>
        <v>-236.10000000000582</v>
      </c>
      <c r="G20" s="9">
        <f t="shared" si="4"/>
        <v>-1.7132271147035363E-3</v>
      </c>
      <c r="H20" s="10">
        <v>126103.8</v>
      </c>
      <c r="I20" s="10">
        <f t="shared" si="1"/>
        <v>11470.199999999997</v>
      </c>
      <c r="J20" s="11">
        <f t="shared" si="2"/>
        <v>9.0958400936371434E-2</v>
      </c>
      <c r="K20" s="35" t="s">
        <v>184</v>
      </c>
      <c r="L20" s="94" t="s">
        <v>185</v>
      </c>
    </row>
    <row r="21" spans="1:13" ht="15.6">
      <c r="A21" s="24" t="str">
        <v>MD: Easton - Shortall</v>
      </c>
      <c r="B21" s="25" t="str">
        <v>MD</v>
      </c>
      <c r="C21" s="25" t="str">
        <f>Sites[[#This Row],[SOL'#]]</f>
        <v>SOL-10091</v>
      </c>
      <c r="D21" s="7">
        <v>140979</v>
      </c>
      <c r="E21" s="12">
        <v>125441.4</v>
      </c>
      <c r="F21" s="12">
        <f t="shared" si="0"/>
        <v>15537.600000000006</v>
      </c>
      <c r="G21" s="13">
        <f t="shared" si="4"/>
        <v>0.12386341351419872</v>
      </c>
      <c r="H21" s="14">
        <v>138939.9</v>
      </c>
      <c r="I21" s="14">
        <f t="shared" si="1"/>
        <v>2039.1000000000058</v>
      </c>
      <c r="J21" s="13">
        <f t="shared" si="2"/>
        <v>1.4676129751065071E-2</v>
      </c>
      <c r="K21" s="36"/>
      <c r="L21" s="36"/>
    </row>
    <row r="22" spans="1:13" ht="28.9">
      <c r="A22" s="22" t="str">
        <v>MA: Boston - Seaport Solar</v>
      </c>
      <c r="B22" s="23" t="str">
        <v>MA</v>
      </c>
      <c r="C22" s="23" t="str">
        <f>Sites[[#This Row],[SOL'#]]</f>
        <v>SOL-10772</v>
      </c>
      <c r="D22" s="18">
        <v>63205.5</v>
      </c>
      <c r="E22" s="8">
        <v>12445.11</v>
      </c>
      <c r="F22" s="8">
        <f t="shared" si="0"/>
        <v>50760.39</v>
      </c>
      <c r="G22" s="9">
        <f t="shared" si="4"/>
        <v>4.0787417708642186</v>
      </c>
      <c r="H22" s="10">
        <v>52795.64</v>
      </c>
      <c r="I22" s="10">
        <f t="shared" si="1"/>
        <v>10409.86</v>
      </c>
      <c r="J22" s="11">
        <f t="shared" si="2"/>
        <v>0.19717272108075592</v>
      </c>
      <c r="K22" s="35" t="s">
        <v>119</v>
      </c>
      <c r="L22" s="94" t="s">
        <v>70</v>
      </c>
    </row>
    <row r="23" spans="1:13" ht="28.9">
      <c r="A23" s="24" t="str">
        <v>MA: Dedham - Sprague Street</v>
      </c>
      <c r="B23" s="25" t="str">
        <v>MA</v>
      </c>
      <c r="C23" s="25" t="str">
        <f>Sites[[#This Row],[SOL'#]]</f>
        <v>SOL-10773</v>
      </c>
      <c r="D23" s="7">
        <v>129530</v>
      </c>
      <c r="E23" s="12">
        <v>0</v>
      </c>
      <c r="F23" s="12">
        <f t="shared" si="0"/>
        <v>129530</v>
      </c>
      <c r="G23" s="13" t="str">
        <f t="shared" si="4"/>
        <v/>
      </c>
      <c r="H23" s="14">
        <v>119790.9</v>
      </c>
      <c r="I23" s="14">
        <f t="shared" si="1"/>
        <v>9739.1000000000058</v>
      </c>
      <c r="J23" s="13">
        <f t="shared" si="2"/>
        <v>8.1300833368811873E-2</v>
      </c>
      <c r="K23" s="36" t="s">
        <v>186</v>
      </c>
      <c r="L23" s="97" t="s">
        <v>187</v>
      </c>
      <c r="M23" s="87" t="s">
        <v>188</v>
      </c>
    </row>
    <row r="24" spans="1:13" ht="15.6">
      <c r="A24" s="22" t="str">
        <v>MA: Boston - Summer Street</v>
      </c>
      <c r="B24" s="23" t="str">
        <v>MA</v>
      </c>
      <c r="C24" s="23" t="str">
        <f>Sites[[#This Row],[SOL'#]]</f>
        <v>SOL-10764</v>
      </c>
      <c r="D24" s="18">
        <v>0</v>
      </c>
      <c r="E24" s="8">
        <v>55274.92</v>
      </c>
      <c r="F24" s="8">
        <f t="shared" si="0"/>
        <v>-55274.92</v>
      </c>
      <c r="G24" s="9">
        <f t="shared" si="4"/>
        <v>-1</v>
      </c>
      <c r="H24" s="10">
        <v>257642.4</v>
      </c>
      <c r="I24" s="10">
        <f t="shared" si="1"/>
        <v>-257642.4</v>
      </c>
      <c r="J24" s="11">
        <f t="shared" si="2"/>
        <v>-1</v>
      </c>
      <c r="K24" s="35" t="s">
        <v>114</v>
      </c>
      <c r="L24" s="94" t="s">
        <v>189</v>
      </c>
    </row>
    <row r="25" spans="1:13" ht="35.25" customHeight="1">
      <c r="A25" s="24" t="str">
        <v>MA: Leominster - Spectro Coatings</v>
      </c>
      <c r="B25" s="25" t="str">
        <v>MA</v>
      </c>
      <c r="C25" s="25" t="str">
        <f>Sites[[#This Row],[SOL'#]]</f>
        <v>SOL-10074</v>
      </c>
      <c r="D25" s="7">
        <v>30451.875</v>
      </c>
      <c r="E25" s="12">
        <v>30797.03</v>
      </c>
      <c r="F25" s="12">
        <f>IF(AND(ISNUMBER(D25),ISNUMBER(E25)), D25-E25, "")</f>
        <v>-345.15499999999884</v>
      </c>
      <c r="G25" s="13">
        <f t="shared" si="4"/>
        <v>-1.1207411883548474E-2</v>
      </c>
      <c r="H25" s="14">
        <v>22701.17</v>
      </c>
      <c r="I25" s="14">
        <f t="shared" si="1"/>
        <v>7750.7050000000017</v>
      </c>
      <c r="J25" s="13">
        <f t="shared" si="2"/>
        <v>0.34142315131775158</v>
      </c>
      <c r="K25" s="45" t="s">
        <v>190</v>
      </c>
      <c r="L25" s="85" t="s">
        <v>191</v>
      </c>
    </row>
    <row r="26" spans="1:13" ht="15.6">
      <c r="A26" s="22" t="str">
        <v>MA: Braintree - RCAB</v>
      </c>
      <c r="B26" s="23" t="str">
        <v>MA</v>
      </c>
      <c r="C26" s="23" t="str">
        <f>Sites[[#This Row],[SOL'#]]</f>
        <v>SOL-10838</v>
      </c>
      <c r="D26" s="18">
        <v>103921</v>
      </c>
      <c r="E26" s="8">
        <v>107148.6</v>
      </c>
      <c r="F26" s="8">
        <f t="shared" si="0"/>
        <v>-3227.6000000000058</v>
      </c>
      <c r="G26" s="9">
        <f t="shared" si="4"/>
        <v>-3.0122652092514562E-2</v>
      </c>
      <c r="H26" s="10">
        <v>98355.45</v>
      </c>
      <c r="I26" s="10">
        <f t="shared" si="1"/>
        <v>5565.5500000000029</v>
      </c>
      <c r="J26" s="11">
        <f t="shared" si="2"/>
        <v>5.6586086485293931E-2</v>
      </c>
      <c r="K26" s="35" t="s">
        <v>125</v>
      </c>
      <c r="L26" s="94" t="s">
        <v>192</v>
      </c>
    </row>
    <row r="27" spans="1:13" ht="15.6">
      <c r="A27" s="24" t="str">
        <v>NH: Rochester - Portland Street</v>
      </c>
      <c r="B27" s="25" t="str">
        <v>NH</v>
      </c>
      <c r="C27" s="25" t="str">
        <f>Sites[[#This Row],[SOL'#]]</f>
        <v>SOL-10771</v>
      </c>
      <c r="D27" s="7">
        <v>8387.2209999999995</v>
      </c>
      <c r="E27" s="12">
        <v>6672.6319999999996</v>
      </c>
      <c r="F27" s="12">
        <f t="shared" si="0"/>
        <v>1714.5889999999999</v>
      </c>
      <c r="G27" s="13">
        <f t="shared" si="4"/>
        <v>0.25695842360256044</v>
      </c>
      <c r="H27" s="14">
        <v>8430.6460000000006</v>
      </c>
      <c r="I27" s="14">
        <f t="shared" si="1"/>
        <v>-43.425000000001091</v>
      </c>
      <c r="J27" s="13">
        <f t="shared" si="2"/>
        <v>-5.1508508363417331E-3</v>
      </c>
      <c r="K27" s="36"/>
      <c r="L27" s="36"/>
    </row>
    <row r="28" spans="1:13" ht="28.9">
      <c r="A28" s="22" t="str">
        <v>NH: Portsmouth - Portsmouth HS</v>
      </c>
      <c r="B28" s="23" t="str">
        <v>NH</v>
      </c>
      <c r="C28" s="23" t="str">
        <f>Sites[[#This Row],[SOL'#]]</f>
        <v>SOL-10769</v>
      </c>
      <c r="D28" s="18">
        <v>35293.625</v>
      </c>
      <c r="E28" s="8">
        <v>12514.94</v>
      </c>
      <c r="F28" s="8">
        <f>IF(AND(ISNUMBER(D28),ISNUMBER(E28)), D28-E28, "")</f>
        <v>22778.684999999998</v>
      </c>
      <c r="G28" s="9">
        <f t="shared" si="4"/>
        <v>1.8201193933011262</v>
      </c>
      <c r="H28" s="10">
        <v>31092.14</v>
      </c>
      <c r="I28" s="10">
        <f t="shared" si="1"/>
        <v>4201.4850000000006</v>
      </c>
      <c r="J28" s="11">
        <f t="shared" si="2"/>
        <v>0.13513013256726622</v>
      </c>
      <c r="K28" s="35" t="s">
        <v>193</v>
      </c>
      <c r="L28" s="94" t="s">
        <v>194</v>
      </c>
      <c r="M28" s="87" t="s">
        <v>195</v>
      </c>
    </row>
    <row r="29" spans="1:13" ht="72">
      <c r="A29" s="24" t="str">
        <v>NH: Portsmouth - Portsmouth WTP</v>
      </c>
      <c r="B29" s="25" t="str">
        <v>NH</v>
      </c>
      <c r="C29" s="25" t="str">
        <f>Sites[[#This Row],[SOL'#]]</f>
        <v>SOL-10770</v>
      </c>
      <c r="D29" s="7">
        <v>13129</v>
      </c>
      <c r="E29" s="12">
        <v>14176.25</v>
      </c>
      <c r="F29" s="12">
        <f>IF(AND(ISNUMBER(D29),ISNUMBER(E29)), D29-E29, "")</f>
        <v>-1047.25</v>
      </c>
      <c r="G29" s="13">
        <f t="shared" si="4"/>
        <v>-7.3873556123798603E-2</v>
      </c>
      <c r="H29" s="14">
        <v>30672</v>
      </c>
      <c r="I29" s="14">
        <f t="shared" si="1"/>
        <v>-17543</v>
      </c>
      <c r="J29" s="13">
        <f t="shared" si="2"/>
        <v>-0.57195487741262385</v>
      </c>
      <c r="K29" s="45" t="s">
        <v>96</v>
      </c>
      <c r="L29" s="36"/>
    </row>
    <row r="30" spans="1:13" ht="15.6">
      <c r="A30" s="22" t="str">
        <v>NH: Rochester - Rochester MS</v>
      </c>
      <c r="B30" s="23" t="str">
        <v>NH</v>
      </c>
      <c r="C30" s="23" t="str">
        <f>Sites[[#This Row],[SOL'#]]</f>
        <v>SOL-10765</v>
      </c>
      <c r="D30" s="18">
        <v>31604.621449999999</v>
      </c>
      <c r="E30" s="8">
        <v>34632.639999999999</v>
      </c>
      <c r="F30" s="8">
        <f t="shared" si="0"/>
        <v>-3028.0185500000007</v>
      </c>
      <c r="G30" s="9">
        <f t="shared" si="4"/>
        <v>-8.7432507311022228E-2</v>
      </c>
      <c r="H30" s="10">
        <v>27291.83</v>
      </c>
      <c r="I30" s="10">
        <f t="shared" si="1"/>
        <v>4312.791449999997</v>
      </c>
      <c r="J30" s="11">
        <f t="shared" si="2"/>
        <v>0.15802500052213417</v>
      </c>
      <c r="K30" s="35" t="s">
        <v>196</v>
      </c>
      <c r="L30" s="94" t="s">
        <v>197</v>
      </c>
    </row>
    <row r="31" spans="1:13" ht="15.6">
      <c r="A31" s="24" t="str">
        <v>NH Rochester - Spaulding HS</v>
      </c>
      <c r="B31" s="25" t="str">
        <v>NH</v>
      </c>
      <c r="C31" s="25" t="str">
        <f>Sites[[#This Row],[SOL'#]]</f>
        <v>SOL-10767</v>
      </c>
      <c r="D31" s="7">
        <v>15442.06424</v>
      </c>
      <c r="E31" s="12">
        <v>13033.06</v>
      </c>
      <c r="F31" s="12">
        <f t="shared" si="0"/>
        <v>2409.0042400000002</v>
      </c>
      <c r="G31" s="13">
        <f t="shared" si="4"/>
        <v>0.18483796130762847</v>
      </c>
      <c r="H31" s="14">
        <v>14117.84</v>
      </c>
      <c r="I31" s="14">
        <f t="shared" si="1"/>
        <v>1324.2242399999996</v>
      </c>
      <c r="J31" s="13">
        <f t="shared" si="2"/>
        <v>9.3797935094887E-2</v>
      </c>
      <c r="K31" s="36"/>
      <c r="L31" s="37"/>
    </row>
    <row r="32" spans="1:13" ht="15.6">
      <c r="A32" s="22" t="str">
        <v>NH: Rochester - McClelland ES</v>
      </c>
      <c r="B32" s="23" t="str">
        <v>NH</v>
      </c>
      <c r="C32" s="23" t="str">
        <f>Sites[[#This Row],[SOL'#]]</f>
        <v>SOL-10766</v>
      </c>
      <c r="D32" s="18">
        <v>10491.5026</v>
      </c>
      <c r="E32" s="8">
        <v>11440.56</v>
      </c>
      <c r="F32" s="8">
        <f t="shared" si="0"/>
        <v>-949.05739999999969</v>
      </c>
      <c r="G32" s="9">
        <f t="shared" si="4"/>
        <v>-8.2955502178215026E-2</v>
      </c>
      <c r="H32" s="10">
        <v>9727.5059999999994</v>
      </c>
      <c r="I32" s="10">
        <f t="shared" si="1"/>
        <v>763.9966000000004</v>
      </c>
      <c r="J32" s="11">
        <f t="shared" si="2"/>
        <v>7.8539823054336891E-2</v>
      </c>
      <c r="K32" s="35"/>
      <c r="L32" s="35"/>
    </row>
    <row r="33" spans="1:20" ht="15.6">
      <c r="A33" s="24" t="str">
        <v>NH: Rochester - Brock St Vocational</v>
      </c>
      <c r="B33" s="25" t="str">
        <v>NH</v>
      </c>
      <c r="C33" s="25" t="str">
        <f>Sites[[#This Row],[SOL'#]]</f>
        <v>SOL-10768</v>
      </c>
      <c r="D33" s="7">
        <v>13896.940490000001</v>
      </c>
      <c r="E33" s="12">
        <v>13459.94</v>
      </c>
      <c r="F33" s="12">
        <f t="shared" si="0"/>
        <v>437.00049000000035</v>
      </c>
      <c r="G33" s="13">
        <f t="shared" si="4"/>
        <v>3.2466748737364381E-2</v>
      </c>
      <c r="H33" s="14">
        <v>11036.59</v>
      </c>
      <c r="I33" s="14">
        <f t="shared" si="1"/>
        <v>2860.3504900000007</v>
      </c>
      <c r="J33" s="13">
        <f t="shared" si="2"/>
        <v>0.25916976982926798</v>
      </c>
      <c r="K33" s="36" t="s">
        <v>198</v>
      </c>
      <c r="L33" s="97" t="s">
        <v>199</v>
      </c>
    </row>
    <row r="34" spans="1:20" ht="28.9">
      <c r="A34" s="22" t="str">
        <v>OH: Cleveland - CV Kinsman</v>
      </c>
      <c r="B34" s="23" t="str">
        <v>OH</v>
      </c>
      <c r="C34" s="23" t="str">
        <f>Sites[[#This Row],[SOL'#]]</f>
        <v>SOL-10762</v>
      </c>
      <c r="D34" s="18">
        <v>96137</v>
      </c>
      <c r="E34" s="8">
        <v>132624.70000000001</v>
      </c>
      <c r="F34" s="8">
        <f t="shared" si="0"/>
        <v>-36487.700000000012</v>
      </c>
      <c r="G34" s="9">
        <f t="shared" si="4"/>
        <v>-0.27511994372089066</v>
      </c>
      <c r="H34" s="10">
        <v>100898</v>
      </c>
      <c r="I34" s="10">
        <f t="shared" si="1"/>
        <v>-4761</v>
      </c>
      <c r="J34" s="11">
        <f t="shared" si="2"/>
        <v>-4.7186267319471148E-2</v>
      </c>
      <c r="K34" s="35" t="s">
        <v>200</v>
      </c>
      <c r="L34" s="94" t="s">
        <v>201</v>
      </c>
      <c r="M34" s="87" t="s">
        <v>202</v>
      </c>
    </row>
    <row r="35" spans="1:20" ht="28.9">
      <c r="A35" s="24" t="str">
        <v>OH: Cleveland - CV Wooster</v>
      </c>
      <c r="B35" s="25" t="str">
        <v>OH</v>
      </c>
      <c r="C35" s="25" t="str">
        <f>Sites[[#This Row],[SOL'#]]</f>
        <v>SOL-10763</v>
      </c>
      <c r="D35" s="7">
        <v>19607.5</v>
      </c>
      <c r="E35" s="12"/>
      <c r="F35" s="12" t="str">
        <f t="shared" si="0"/>
        <v/>
      </c>
      <c r="G35" s="13" t="str">
        <f t="shared" si="4"/>
        <v/>
      </c>
      <c r="H35" s="14">
        <v>19890.560000000001</v>
      </c>
      <c r="I35" s="14">
        <f t="shared" si="1"/>
        <v>-283.06000000000131</v>
      </c>
      <c r="J35" s="13">
        <f t="shared" si="2"/>
        <v>-1.4230871327906368E-2</v>
      </c>
      <c r="K35" s="36" t="s">
        <v>79</v>
      </c>
      <c r="L35" s="85" t="s">
        <v>203</v>
      </c>
    </row>
    <row r="36" spans="1:20" ht="57.6">
      <c r="A36" s="22" t="str">
        <v>PR: Aguadilla - Coca Cola</v>
      </c>
      <c r="B36" s="23" t="str">
        <v>PR</v>
      </c>
      <c r="C36" s="23" t="str">
        <f>Sites[[#This Row],[SOL'#]]</f>
        <v>SOL-10072</v>
      </c>
      <c r="D36" s="48">
        <v>11068</v>
      </c>
      <c r="E36" s="8">
        <v>14949.63</v>
      </c>
      <c r="F36" s="8">
        <f t="shared" si="0"/>
        <v>-3881.6299999999992</v>
      </c>
      <c r="G36" s="49">
        <f t="shared" si="4"/>
        <v>-0.25964722872739993</v>
      </c>
      <c r="H36" s="58">
        <v>17284.259999999998</v>
      </c>
      <c r="I36" s="58">
        <f t="shared" si="1"/>
        <v>-6216.2599999999984</v>
      </c>
      <c r="J36" s="56">
        <f t="shared" si="2"/>
        <v>-0.35964860514711067</v>
      </c>
      <c r="K36" s="50" t="s">
        <v>136</v>
      </c>
      <c r="L36" s="101" t="s">
        <v>137</v>
      </c>
      <c r="M36" s="87" t="s">
        <v>138</v>
      </c>
      <c r="N36" s="87" t="s">
        <v>139</v>
      </c>
      <c r="O36" s="87" t="s">
        <v>140</v>
      </c>
    </row>
    <row r="37" spans="1:20" ht="178.5" customHeight="1">
      <c r="A37" s="24" t="str">
        <v>PR: Bayamon - Coca Cola</v>
      </c>
      <c r="B37" s="25" t="str">
        <v>PR</v>
      </c>
      <c r="C37" s="25" t="str">
        <f>Sites[[#This Row],[SOL'#]]</f>
        <v>SOL-10073</v>
      </c>
      <c r="D37" s="7">
        <v>38828</v>
      </c>
      <c r="E37" s="12">
        <v>69015.17</v>
      </c>
      <c r="F37" s="12">
        <f t="shared" si="0"/>
        <v>-30187.17</v>
      </c>
      <c r="G37" s="13">
        <f t="shared" si="4"/>
        <v>-0.43739905299081344</v>
      </c>
      <c r="H37" s="14">
        <v>62247.07</v>
      </c>
      <c r="I37" s="14">
        <f t="shared" si="1"/>
        <v>-23419.07</v>
      </c>
      <c r="J37" s="13">
        <f t="shared" si="2"/>
        <v>-0.37622766822599041</v>
      </c>
      <c r="K37" s="44" t="s">
        <v>204</v>
      </c>
      <c r="L37" s="95" t="s">
        <v>205</v>
      </c>
      <c r="M37" s="87" t="s">
        <v>143</v>
      </c>
      <c r="N37" s="87" t="s">
        <v>144</v>
      </c>
      <c r="O37" s="87" t="s">
        <v>145</v>
      </c>
      <c r="P37" s="87" t="s">
        <v>146</v>
      </c>
      <c r="Q37" s="87" t="s">
        <v>147</v>
      </c>
      <c r="R37" s="96" t="s">
        <v>148</v>
      </c>
      <c r="S37" s="96" t="s">
        <v>149</v>
      </c>
      <c r="T37" s="96" t="s">
        <v>206</v>
      </c>
    </row>
    <row r="38" spans="1:20" ht="129.6">
      <c r="A38" s="22" t="str">
        <v>PR: Carolina - St. Francis</v>
      </c>
      <c r="B38" s="23" t="str">
        <v>PR</v>
      </c>
      <c r="C38" s="23" t="str">
        <f>Sites[[#This Row],[SOL'#]]</f>
        <v>SOL-10034</v>
      </c>
      <c r="D38" s="48">
        <v>14985.75</v>
      </c>
      <c r="E38" s="8">
        <v>42011.24</v>
      </c>
      <c r="F38" s="8">
        <f t="shared" si="0"/>
        <v>-27025.489999999998</v>
      </c>
      <c r="G38" s="49">
        <f t="shared" si="4"/>
        <v>-0.64329189045598267</v>
      </c>
      <c r="H38" s="58">
        <v>22921.43</v>
      </c>
      <c r="I38" s="58">
        <f t="shared" si="1"/>
        <v>-7935.68</v>
      </c>
      <c r="J38" s="56">
        <f t="shared" si="2"/>
        <v>-0.3462122563906353</v>
      </c>
      <c r="K38" s="50" t="s">
        <v>207</v>
      </c>
      <c r="L38" s="101" t="s">
        <v>208</v>
      </c>
      <c r="M38" s="87" t="s">
        <v>152</v>
      </c>
      <c r="N38" s="87" t="s">
        <v>153</v>
      </c>
      <c r="O38" s="87" t="s">
        <v>154</v>
      </c>
      <c r="P38" s="87" t="s">
        <v>155</v>
      </c>
      <c r="Q38" s="87" t="s">
        <v>156</v>
      </c>
      <c r="R38" s="96" t="s">
        <v>157</v>
      </c>
      <c r="S38" s="96" t="s">
        <v>158</v>
      </c>
      <c r="T38" s="96" t="s">
        <v>209</v>
      </c>
    </row>
    <row r="39" spans="1:20" ht="15.6">
      <c r="A39" s="24" t="str">
        <v>DC: Chevy Chase -Sinai</v>
      </c>
      <c r="B39" s="25" t="str">
        <v>DC</v>
      </c>
      <c r="C39" s="25" t="str">
        <f>Sites[[#This Row],[SOL'#]]</f>
        <v>SOL-10028</v>
      </c>
      <c r="D39" s="7">
        <v>7222.69</v>
      </c>
      <c r="E39" s="12">
        <v>11076.59</v>
      </c>
      <c r="F39" s="12">
        <f t="shared" si="0"/>
        <v>-3853.9000000000005</v>
      </c>
      <c r="G39" s="13">
        <f t="shared" si="4"/>
        <v>-0.34793198989941854</v>
      </c>
      <c r="H39" s="14">
        <v>8177.683</v>
      </c>
      <c r="I39" s="14">
        <f t="shared" si="1"/>
        <v>-954.99300000000039</v>
      </c>
      <c r="J39" s="13">
        <f t="shared" si="2"/>
        <v>-0.11678038877271232</v>
      </c>
      <c r="K39" s="36" t="s">
        <v>210</v>
      </c>
      <c r="L39" s="97" t="s">
        <v>211</v>
      </c>
    </row>
    <row r="40" spans="1:20" ht="15.6">
      <c r="A40" s="22" t="str">
        <v>DC: Washington - Weinberg 1</v>
      </c>
      <c r="B40" s="23" t="str">
        <v>DC</v>
      </c>
      <c r="C40" s="23" t="str">
        <f>Sites[[#This Row],[SOL'#]]</f>
        <v>SOL-10039</v>
      </c>
      <c r="D40" s="48">
        <v>1291</v>
      </c>
      <c r="E40" s="8">
        <v>1282.6389999999999</v>
      </c>
      <c r="F40" s="8">
        <f t="shared" si="0"/>
        <v>8.3610000000001037</v>
      </c>
      <c r="G40" s="49">
        <f t="shared" si="4"/>
        <v>6.5185917471713428E-3</v>
      </c>
      <c r="H40" s="58">
        <v>1326.569</v>
      </c>
      <c r="I40" s="58">
        <f t="shared" si="1"/>
        <v>-35.56899999999996</v>
      </c>
      <c r="J40" s="56">
        <f t="shared" si="2"/>
        <v>-2.6812777925611077E-2</v>
      </c>
      <c r="K40" s="50"/>
      <c r="L40" s="50"/>
    </row>
    <row r="41" spans="1:20" ht="15.6">
      <c r="A41" s="24" t="str">
        <v>DC: Washington - Weinberg 2</v>
      </c>
      <c r="B41" s="25" t="str">
        <v>DC</v>
      </c>
      <c r="C41" s="25" t="str">
        <f>Sites[[#This Row],[SOL'#]]</f>
        <v>SOL-10045</v>
      </c>
      <c r="D41" s="7">
        <v>1238</v>
      </c>
      <c r="E41" s="12">
        <v>1191.3399999999999</v>
      </c>
      <c r="F41" s="12">
        <f t="shared" si="0"/>
        <v>46.660000000000082</v>
      </c>
      <c r="G41" s="13">
        <f t="shared" si="4"/>
        <v>3.9165981164067422E-2</v>
      </c>
      <c r="H41" s="14">
        <v>1251.818</v>
      </c>
      <c r="I41" s="14">
        <f t="shared" si="1"/>
        <v>-13.817999999999984</v>
      </c>
      <c r="J41" s="13">
        <f t="shared" si="2"/>
        <v>-1.1038345829825089E-2</v>
      </c>
      <c r="K41" s="36"/>
      <c r="L41" s="36"/>
    </row>
    <row r="42" spans="1:20" ht="15.6">
      <c r="A42" s="22" t="str">
        <v>DC: Washington - Weinberg 3</v>
      </c>
      <c r="B42" s="23" t="str">
        <v>DC</v>
      </c>
      <c r="C42" s="23" t="str">
        <f>Sites[[#This Row],[SOL'#]]</f>
        <v>SOL-10042</v>
      </c>
      <c r="D42" s="48">
        <v>1463</v>
      </c>
      <c r="E42" s="8">
        <v>1366.8889999999999</v>
      </c>
      <c r="F42" s="8">
        <f t="shared" si="0"/>
        <v>96.111000000000104</v>
      </c>
      <c r="G42" s="49">
        <f t="shared" si="4"/>
        <v>7.0313683115454231E-2</v>
      </c>
      <c r="H42" s="58">
        <v>1495.0060000000001</v>
      </c>
      <c r="I42" s="58">
        <f t="shared" si="1"/>
        <v>-32.006000000000085</v>
      </c>
      <c r="J42" s="56">
        <f t="shared" si="2"/>
        <v>-2.1408609731332236E-2</v>
      </c>
      <c r="K42" s="50"/>
      <c r="L42" s="50"/>
    </row>
    <row r="43" spans="1:20" ht="14.45">
      <c r="A43" s="15"/>
      <c r="B43" s="27"/>
      <c r="C43" s="27"/>
      <c r="D43" s="15"/>
      <c r="E43" s="15"/>
      <c r="F43" s="15"/>
      <c r="G43" s="16"/>
      <c r="H43" s="15"/>
      <c r="I43" s="15"/>
      <c r="J43" s="16"/>
      <c r="K43" s="15"/>
      <c r="L43" s="15"/>
    </row>
    <row r="44" spans="1:20" ht="14.45">
      <c r="A44" s="15"/>
      <c r="B44" s="27"/>
      <c r="C44" s="27"/>
      <c r="D44" s="15"/>
      <c r="E44" s="15"/>
      <c r="F44" s="15"/>
      <c r="G44" s="16"/>
      <c r="H44" s="15"/>
      <c r="I44" s="15"/>
      <c r="J44" s="16"/>
      <c r="K44" s="15"/>
      <c r="L44" s="15"/>
    </row>
    <row r="45" spans="1:20" ht="14.45">
      <c r="A45" s="15"/>
      <c r="B45" s="27"/>
      <c r="C45" s="27"/>
      <c r="D45" s="15"/>
      <c r="E45" s="15"/>
      <c r="F45" s="15"/>
      <c r="G45" s="16"/>
      <c r="H45" s="15"/>
      <c r="I45" s="15"/>
      <c r="J45" s="16"/>
      <c r="K45" s="15"/>
      <c r="L45" s="15"/>
    </row>
    <row r="46" spans="1:20" ht="14.45">
      <c r="A46" s="15"/>
      <c r="B46" s="27"/>
      <c r="C46" s="27"/>
      <c r="D46" s="15"/>
      <c r="E46" s="15"/>
      <c r="F46" s="15"/>
      <c r="G46" s="16"/>
      <c r="H46" s="15"/>
      <c r="I46" s="15"/>
      <c r="J46" s="16"/>
      <c r="K46" s="15"/>
      <c r="L46" s="15"/>
    </row>
    <row r="47" spans="1:20" ht="14.45">
      <c r="A47" s="15"/>
      <c r="B47" s="27"/>
      <c r="C47" s="27"/>
      <c r="D47" s="15"/>
      <c r="E47" s="15"/>
      <c r="F47" s="15"/>
      <c r="G47" s="16"/>
      <c r="H47" s="15"/>
      <c r="I47" s="15"/>
      <c r="J47" s="16"/>
      <c r="K47" s="15"/>
      <c r="L47" s="15"/>
    </row>
    <row r="48" spans="1:20"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sheetData>
  <mergeCells count="4">
    <mergeCell ref="H1:J1"/>
    <mergeCell ref="A1:D1"/>
    <mergeCell ref="E1:G1"/>
    <mergeCell ref="A2:B2"/>
  </mergeCells>
  <phoneticPr fontId="38"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42 J4:J42">
    <cfRule type="cellIs" dxfId="16" priority="1" stopIfTrue="1" operator="lessThanOrEqual">
      <formula>-0.1</formula>
    </cfRule>
    <cfRule type="expression" dxfId="15" priority="2">
      <formula>AND(ISNUMBER(G4), G4&gt;=0.1)</formula>
    </cfRule>
  </conditionalFormatting>
  <hyperlinks>
    <hyperlink ref="L6" r:id="rId1" display="https://us3.assetplanner.com/service_request?ID=108802" xr:uid="{77563324-6D96-44E6-AA5F-D566017964E1}"/>
    <hyperlink ref="L8" r:id="rId2" display="https://us3.assetplanner.com/service_request?ID=106940" xr:uid="{6BF6F923-E92B-453D-A8B3-AFD942AB75B1}"/>
    <hyperlink ref="M8" r:id="rId3" display="https://us3.assetplanner.com/service_request?ID=107729" xr:uid="{BEFB8684-B9AA-47A3-8FFD-BBFC00BBAFAD}"/>
    <hyperlink ref="L11" r:id="rId4" display="https://us3.assetplanner.com/service_request?ID=107222" xr:uid="{7C89A02C-6F55-4060-B62C-D46FD12CE46A}"/>
    <hyperlink ref="L12" r:id="rId5" display="https://us3.assetplanner.com/service_request?ID=099310" xr:uid="{D905FF5C-965B-497B-AE8B-CE603C784350}"/>
    <hyperlink ref="M12" r:id="rId6" display="https://us3.assetplanner.com/service_request?ID=101037" xr:uid="{E9814F97-6447-4661-B28E-32AC0A03F45C}"/>
    <hyperlink ref="L13" r:id="rId7" display="https://us3.assetplanner.com/service_request?ID=101037" xr:uid="{4668CCBB-D02D-4287-8891-BD98D72A0085}"/>
    <hyperlink ref="L14" r:id="rId8" display="https://us3.assetplanner.com/service_request?ID=106134" xr:uid="{DCAAF1E8-2B00-478A-9123-E39770CFF3A4}"/>
    <hyperlink ref="L15" r:id="rId9" display="https://us3.assetplanner.com/service_request?ID=107481" xr:uid="{BB45089B-CA91-4EE9-B025-84A1B5BD37DB}"/>
    <hyperlink ref="M15" r:id="rId10" display="https://us3.assetplanner.com/service_request?ID=107139" xr:uid="{77A493AA-981F-4E55-9AB4-BE02B254ACF5}"/>
    <hyperlink ref="N15" r:id="rId11" display="https://us3.assetplanner.com/service_request?ID=108009" xr:uid="{141B1D70-75ED-4220-81E5-95ACC0B974C2}"/>
    <hyperlink ref="L16" r:id="rId12" display="https://us3.assetplanner.com/service_request?ID=105841" xr:uid="{BA71E4AC-2555-4F29-AC63-9067D5A24B14}"/>
    <hyperlink ref="M16" r:id="rId13" display="https://us3.assetplanner.com/service_request?ID=106733" xr:uid="{6C54EC90-42DD-43A8-A48C-C22601E88DAF}"/>
    <hyperlink ref="L19" r:id="rId14" display="https://us3.assetplanner.com/service_request?ID=106006" xr:uid="{E5A2DDE9-B100-4B96-9FC0-70AE0A0D770B}"/>
    <hyperlink ref="M19" r:id="rId15" display="https://us3.assetplanner.com/service_request?ID=107629" xr:uid="{51FA9031-FB81-4442-86F4-49E8D01FD671}"/>
    <hyperlink ref="L20" r:id="rId16" display="https://us3.assetplanner.com/service_request?ID=108036" xr:uid="{D967819C-01D8-45C2-8005-1983F134DAF7}"/>
    <hyperlink ref="L22" r:id="rId17" display="https://us3.assetplanner.com/service_request?ID=095305" xr:uid="{3F5A2853-9F03-4D8B-8198-91DDE09B4E8D}"/>
    <hyperlink ref="L23" r:id="rId18" display="https://us3.assetplanner.com/service_request?ID=107632" xr:uid="{F899B0CB-E01A-4935-8461-7A14D0705AC6}"/>
    <hyperlink ref="M23" r:id="rId19" display="https://us3.assetplanner.com/service_request?ID=108300" xr:uid="{6291A667-15EB-4A72-A5CA-F67B2F6CB6D1}"/>
    <hyperlink ref="L24" r:id="rId20" display="https://us3.assetplanner.com/service_request?ID=105609" xr:uid="{3465B1C3-B798-4A69-A3DF-4B233E547FA2}"/>
    <hyperlink ref="L25" r:id="rId21" display="https://us3.assetplanner.com/service_request?ID=106165" xr:uid="{83A469ED-A6B9-4817-907A-3AEB9286F80A}"/>
    <hyperlink ref="L26" r:id="rId22" display="https://us3.assetplanner.com/service_request?ID=106696" xr:uid="{ADEFF645-CF02-444C-8E1B-0D9BBCFEFAD0}"/>
    <hyperlink ref="L28" r:id="rId23" display="https://us3.assetplanner.com/service_request?ID=104785" xr:uid="{148C8B25-2ABF-4C49-BCA3-948E38C497FB}"/>
    <hyperlink ref="M28" r:id="rId24" display="https://us3.assetplanner.com/service_request?ID=095643" xr:uid="{92D513A6-DC64-4699-A44F-8941B725EE56}"/>
    <hyperlink ref="L30" r:id="rId25" display="https://us3.assetplanner.com/service_request?ID=103898" xr:uid="{38CA5B7C-8972-4DD1-AFE1-F6C8C99AE6AB}"/>
    <hyperlink ref="L33" r:id="rId26" display="https://us3.assetplanner.com/service_request?ID=107718" xr:uid="{35A98A1A-EE3F-4252-A8A7-742E7230B869}"/>
    <hyperlink ref="L34" r:id="rId27" display="https://us3.assetplanner.com/service_request?ID=091707" xr:uid="{1D90E8D1-1E05-4AA9-8040-B4EFB0809C5D}"/>
    <hyperlink ref="M34" r:id="rId28" display="https://us3.assetplanner.com/service_request?ID=092555" xr:uid="{D58E84DD-416E-492F-849E-352384814244}"/>
    <hyperlink ref="L35" r:id="rId29" display="https://us3.assetplanner.com/service_request?ID=092556" xr:uid="{18A0D773-9626-43F2-AF10-F3DFE4788F8D}"/>
    <hyperlink ref="L36" r:id="rId30" display="https://us3.assetplanner.com/service_request?ID=106775" xr:uid="{6410413B-F4EC-42D9-8990-3A7EC42AEA7E}"/>
    <hyperlink ref="M36" r:id="rId31" display="https://us3.assetplanner.com/service_request?ID=106303" xr:uid="{17CA8B90-736D-41E0-9AA6-EA250D601919}"/>
    <hyperlink ref="N36" r:id="rId32" display="https://us3.assetplanner.com/service_request?ID=099268" xr:uid="{A18D984C-6CD1-438D-9F19-9F6E7A608356}"/>
    <hyperlink ref="O36" r:id="rId33" display="https://us3.assetplanner.com/service_request?ID=093354" xr:uid="{B1B1DF23-BD44-45EB-A4B2-AF2E87F59419}"/>
    <hyperlink ref="L37" r:id="rId34" display="https://us3.assetplanner.com/service_request?ID=101102" xr:uid="{6DFBC197-6222-4B47-900B-132CF65C03E9}"/>
    <hyperlink ref="M37" r:id="rId35" display="https://us3.assetplanner.com/service_request?ID=101744" xr:uid="{B4F9DE7E-A065-415D-B3F1-A9BC7BAAB571}"/>
    <hyperlink ref="N37" r:id="rId36" display="https://us3.assetplanner.com/service_request?ID=104348" xr:uid="{4482B00D-2FC6-422F-8B4B-EB098A81FA5D}"/>
    <hyperlink ref="O37" r:id="rId37" display="https://us3.assetplanner.com/service_request?ID=100464" xr:uid="{B9A61BD8-2EAC-44B4-AE86-63BB91A00ECB}"/>
    <hyperlink ref="P37" r:id="rId38" display="https://us3.assetplanner.com/service_request?ID=098883" xr:uid="{DDF92DF1-CFBB-4630-B4EE-4282B1DBFC98}"/>
    <hyperlink ref="Q37" r:id="rId39" display="https://us3.assetplanner.com/service_request?ID=095649" xr:uid="{05098DD9-56C4-4C79-BEED-691F7DAEB11D}"/>
    <hyperlink ref="R37" r:id="rId40" display="https://us3.assetplanner.com/service_request?ID=092332" xr:uid="{F0502BE2-5578-4323-8E83-85F6FD06B923}"/>
    <hyperlink ref="S37" r:id="rId41" display="https://us3.assetplanner.com/service_request?ID=098311" xr:uid="{02B2A7D3-EF9B-4ECE-A99E-5AAA7B007973}"/>
    <hyperlink ref="T37" r:id="rId42" display="https://us3.assetplanner.com/service_request?ID=108548" xr:uid="{B0F3808A-2CED-4FFA-A4D1-D8D77C4D793F}"/>
    <hyperlink ref="L38" r:id="rId43" display="https://us3.assetplanner.com/service_request?ID=092255" xr:uid="{F3CFE99C-57A4-4E05-97DC-C66820D5FB8B}"/>
    <hyperlink ref="M38" r:id="rId44" display="https://us3.assetplanner.com/service_request?ID=092209" xr:uid="{C3858F88-671E-4B09-90FB-97AB01506C33}"/>
    <hyperlink ref="N38" r:id="rId45" display="https://us3.assetplanner.com/service_request?ID=092095" xr:uid="{EDF1E161-C2BB-42CA-9F9D-D42FA5387D10}"/>
    <hyperlink ref="O38" r:id="rId46" display="https://us3.assetplanner.com/service_request?ID=103021" xr:uid="{B0FA735B-362F-4FD6-8403-F95862326542}"/>
    <hyperlink ref="P38" r:id="rId47" display="https://us3.assetplanner.com/service_request?ID=102198" xr:uid="{728A7213-D905-4124-A46C-3A7CF64B425E}"/>
    <hyperlink ref="Q38" r:id="rId48" display="https://us3.assetplanner.com/service_request?ID=101997" xr:uid="{25B3493C-1E76-4817-81AE-34DE1F93878F}"/>
    <hyperlink ref="R38" r:id="rId49" display="https://us3.assetplanner.com/service_request?ID=101998" xr:uid="{EFCBEAD5-D5E1-4661-924D-DC9C7102A1CE}"/>
    <hyperlink ref="S38" r:id="rId50" display="https://us3.assetplanner.com/service_request?ID=092751" xr:uid="{EDC0409D-CFAD-4CE8-9830-CCE03CD44538}"/>
    <hyperlink ref="T38" r:id="rId51" display="https://us3.assetplanner.com/service_request?ID=108270" xr:uid="{BA1DD54F-4EEB-4A7D-876E-6717CD9B54B5}"/>
    <hyperlink ref="L39" r:id="rId52" display="https://us3.assetplanner.com/service_request?ID=107355" xr:uid="{A0794D36-32BE-43BF-BA26-30366CC497C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172"/>
  <sheetViews>
    <sheetView zoomScale="60" zoomScaleNormal="60" workbookViewId="0">
      <pane xSplit="2" ySplit="3" topLeftCell="C146" activePane="bottomRight" state="frozen"/>
      <selection pane="bottomRight" activeCell="A159" sqref="A159:XFD186"/>
      <selection pane="bottomLeft" activeCell="K164" sqref="K164"/>
      <selection pane="topRight" activeCell="K164" sqref="K164"/>
    </sheetView>
  </sheetViews>
  <sheetFormatPr defaultRowHeight="13.9"/>
  <cols>
    <col min="1" max="1" width="35.85546875" bestFit="1" customWidth="1"/>
    <col min="2" max="2" width="16" style="28" customWidth="1"/>
    <col min="3" max="3" width="10.5703125" style="28"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38" t="str" cm="1">
        <f t="array" ref="A1">portfolio</f>
        <v>GoodFinch</v>
      </c>
      <c r="B1" s="138"/>
      <c r="C1" s="138"/>
      <c r="D1" s="138"/>
      <c r="E1" s="139" t="s">
        <v>212</v>
      </c>
      <c r="F1" s="139"/>
      <c r="G1" s="139"/>
      <c r="H1" s="137" t="s">
        <v>213</v>
      </c>
      <c r="I1" s="137"/>
      <c r="J1" s="137"/>
      <c r="K1" s="2"/>
      <c r="L1" s="2"/>
    </row>
    <row r="2" spans="1:12" ht="19.5" customHeight="1">
      <c r="A2" s="140" t="s">
        <v>2</v>
      </c>
      <c r="B2" s="140"/>
      <c r="C2" s="51"/>
      <c r="D2" s="3">
        <f>SUM(D4:D172)</f>
        <v>0</v>
      </c>
      <c r="E2" s="3">
        <f>SUM(E4:E100)</f>
        <v>0</v>
      </c>
      <c r="F2" s="3">
        <f>D2-E2</f>
        <v>0</v>
      </c>
      <c r="G2" s="4">
        <f>IFERROR(F2/E2, 0)</f>
        <v>0</v>
      </c>
      <c r="H2" s="3">
        <f>SUM(H4:H172)</f>
        <v>0</v>
      </c>
      <c r="I2" s="5">
        <f>D2-H2</f>
        <v>0</v>
      </c>
      <c r="J2" s="4">
        <f>IFERROR(I2/H2, 0)</f>
        <v>0</v>
      </c>
      <c r="K2" s="20"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47"/>
      <c r="L4" s="41"/>
    </row>
    <row r="5" spans="1:12" ht="15.6">
      <c r="A5" s="24" t="str">
        <v>AZ: Tempe - ASU - Fulton</v>
      </c>
      <c r="B5" s="25" t="str">
        <v>AZ</v>
      </c>
      <c r="C5" s="23" t="str">
        <f>Sites[[#This Row],[SOL'#]]</f>
        <v>SOL-10749</v>
      </c>
      <c r="D5" s="7"/>
      <c r="E5" s="12"/>
      <c r="F5" s="12" t="str">
        <f t="shared" ref="F5:F17" si="0">IF(AND(ISNUMBER(D5),ISNUMBER(E5)), D5-E5, "")</f>
        <v/>
      </c>
      <c r="G5" s="13" t="str">
        <f>IFERROR(F5/E5, "")</f>
        <v/>
      </c>
      <c r="H5" s="14"/>
      <c r="I5" s="14" t="str">
        <f t="shared" ref="I5:I17" si="1">IF(AND(ISNUMBER(D5),ISNUMBER(H5)), D5-H5, "")</f>
        <v/>
      </c>
      <c r="J5" s="13" t="str">
        <f t="shared" ref="J5:J17" si="2">IFERROR(I5/H5, "")</f>
        <v/>
      </c>
      <c r="K5" s="45"/>
      <c r="L5" s="108"/>
    </row>
    <row r="6" spans="1:12" ht="15.6">
      <c r="A6" s="22" t="str">
        <v>AZ: Superior - JFK Elementary</v>
      </c>
      <c r="B6" s="23" t="str">
        <v>AZ</v>
      </c>
      <c r="C6" s="23" t="str">
        <f>Sites[[#This Row],[SOL'#]]</f>
        <v>SOL-10758</v>
      </c>
      <c r="D6" s="18"/>
      <c r="E6" s="8"/>
      <c r="F6" s="8" t="str">
        <f t="shared" si="0"/>
        <v/>
      </c>
      <c r="G6" s="9" t="str">
        <f t="shared" ref="G6:G17" si="3">IFERROR(F6/E6, "")</f>
        <v/>
      </c>
      <c r="H6" s="10"/>
      <c r="I6" s="10" t="str">
        <f t="shared" si="1"/>
        <v/>
      </c>
      <c r="J6" s="11" t="str">
        <f t="shared" si="2"/>
        <v/>
      </c>
      <c r="K6" s="47"/>
      <c r="L6" s="41"/>
    </row>
    <row r="7" spans="1:12" ht="15.6">
      <c r="A7" s="24" t="str">
        <v>AZ: Tempe - ASU - Noble</v>
      </c>
      <c r="B7" s="25" t="str">
        <v>AZ</v>
      </c>
      <c r="C7" s="23" t="str">
        <f>Sites[[#This Row],[SOL'#]]</f>
        <v>SOL-10750</v>
      </c>
      <c r="D7" s="7"/>
      <c r="E7" s="12"/>
      <c r="F7" s="12" t="str">
        <f t="shared" si="0"/>
        <v/>
      </c>
      <c r="G7" s="13" t="str">
        <f t="shared" si="3"/>
        <v/>
      </c>
      <c r="H7" s="14"/>
      <c r="I7" s="14" t="str">
        <f t="shared" si="1"/>
        <v/>
      </c>
      <c r="J7" s="13" t="str">
        <f t="shared" si="2"/>
        <v/>
      </c>
      <c r="K7" s="45"/>
      <c r="L7" s="108"/>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47"/>
      <c r="L8" s="41"/>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45"/>
      <c r="L9" s="70"/>
    </row>
    <row r="10" spans="1:12" ht="15.6">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47"/>
      <c r="L10" s="41"/>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45"/>
      <c r="L11" s="71"/>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47"/>
      <c r="L12" s="41"/>
    </row>
    <row r="13" spans="1:12" ht="15.6">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45"/>
      <c r="L13" s="108"/>
    </row>
    <row r="14" spans="1:12" ht="15.6">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47"/>
      <c r="L14" s="41"/>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45"/>
      <c r="L15" s="108"/>
    </row>
    <row r="16" spans="1:12" ht="15.6">
      <c r="A16" s="22" t="str">
        <v>AZ: Tempe - SCNM</v>
      </c>
      <c r="B16" s="23" t="str">
        <v>AZ</v>
      </c>
      <c r="C16" s="23" t="str">
        <f>Sites[[#This Row],[SOL'#]]</f>
        <v>SOL-10760</v>
      </c>
      <c r="D16" s="18"/>
      <c r="E16" s="8"/>
      <c r="F16" s="8" t="str">
        <f t="shared" si="0"/>
        <v/>
      </c>
      <c r="G16" s="9" t="str">
        <f t="shared" si="3"/>
        <v/>
      </c>
      <c r="H16" s="10"/>
      <c r="I16" s="10" t="str">
        <f t="shared" si="1"/>
        <v/>
      </c>
      <c r="J16" s="11" t="str">
        <f t="shared" si="2"/>
        <v/>
      </c>
      <c r="K16" s="47"/>
      <c r="L16" s="41"/>
    </row>
    <row r="17" spans="1:12" ht="15.6">
      <c r="A17" s="24" t="str">
        <v>DE: Newark - Clayton Hall</v>
      </c>
      <c r="B17" s="25" t="str">
        <v>DE</v>
      </c>
      <c r="C17" s="23" t="str">
        <f>Sites[[#This Row],[SOL'#]]</f>
        <v>SOL-10820</v>
      </c>
      <c r="D17" s="7"/>
      <c r="E17" s="12"/>
      <c r="F17" s="12" t="str">
        <f t="shared" si="0"/>
        <v/>
      </c>
      <c r="G17" s="13" t="str">
        <f t="shared" si="3"/>
        <v/>
      </c>
      <c r="H17" s="14"/>
      <c r="I17" s="14" t="str">
        <f t="shared" si="1"/>
        <v/>
      </c>
      <c r="J17" s="13" t="str">
        <f t="shared" si="2"/>
        <v/>
      </c>
      <c r="K17" s="45"/>
      <c r="L17" s="108"/>
    </row>
    <row r="18" spans="1:12" ht="24" customHeight="1">
      <c r="A18" s="22" t="str">
        <v>DE: Newark - UOD Field House</v>
      </c>
      <c r="B18" s="23" t="str">
        <v>DE</v>
      </c>
      <c r="C18" s="23" t="str">
        <f>Sites[[#This Row],[SOL'#]]</f>
        <v>SOL-10821</v>
      </c>
      <c r="D18" s="18"/>
      <c r="E18" s="8"/>
      <c r="F18" s="8" t="str">
        <f t="shared" ref="F18:F81" si="4">IF(AND(ISNUMBER(D18),ISNUMBER(E18)), D18-E18, "")</f>
        <v/>
      </c>
      <c r="G18" s="9" t="str">
        <f t="shared" ref="G18:G81" si="5">IFERROR(F18/E18, "")</f>
        <v/>
      </c>
      <c r="H18" s="10"/>
      <c r="I18" s="10" t="str">
        <f t="shared" ref="I18:I81" si="6">IF(AND(ISNUMBER(D18),ISNUMBER(H18)), D18-H18, "")</f>
        <v/>
      </c>
      <c r="J18" s="11" t="str">
        <f t="shared" ref="J18:J81" si="7">IFERROR(I18/H18, "")</f>
        <v/>
      </c>
      <c r="K18" s="47"/>
      <c r="L18" s="41"/>
    </row>
    <row r="19" spans="1:12" ht="15.6">
      <c r="A19" s="24" t="str">
        <v>DE: Newark - UOD 461 Wyoming</v>
      </c>
      <c r="B19" s="25" t="str">
        <v>DE</v>
      </c>
      <c r="C19" s="23" t="str">
        <f>Sites[[#This Row],[SOL'#]]</f>
        <v>SOL-10819</v>
      </c>
      <c r="D19" s="7"/>
      <c r="E19" s="12"/>
      <c r="F19" s="12" t="str">
        <f t="shared" si="4"/>
        <v/>
      </c>
      <c r="G19" s="13" t="str">
        <f t="shared" si="5"/>
        <v/>
      </c>
      <c r="H19" s="14"/>
      <c r="I19" s="14" t="str">
        <f t="shared" si="6"/>
        <v/>
      </c>
      <c r="J19" s="13" t="str">
        <f t="shared" si="7"/>
        <v/>
      </c>
      <c r="K19" s="45"/>
      <c r="L19" s="70"/>
    </row>
    <row r="20" spans="1:12" ht="15.6">
      <c r="A20" s="22" t="str">
        <v>MD: Presston - Bird-in-Hand</v>
      </c>
      <c r="B20" s="23" t="str">
        <v>MD</v>
      </c>
      <c r="C20" s="23" t="str">
        <f>Sites[[#This Row],[SOL'#]]</f>
        <v>SOL-10092</v>
      </c>
      <c r="D20" s="18"/>
      <c r="E20" s="8"/>
      <c r="F20" s="8" t="str">
        <f t="shared" si="4"/>
        <v/>
      </c>
      <c r="G20" s="9" t="str">
        <f t="shared" si="5"/>
        <v/>
      </c>
      <c r="H20" s="10"/>
      <c r="I20" s="10" t="str">
        <f t="shared" si="6"/>
        <v/>
      </c>
      <c r="J20" s="11" t="str">
        <f t="shared" si="7"/>
        <v/>
      </c>
      <c r="K20" s="47"/>
      <c r="L20" s="41"/>
    </row>
    <row r="21" spans="1:12" ht="15.6">
      <c r="A21" s="24" t="str">
        <v>MD: Easton - Shortall</v>
      </c>
      <c r="B21" s="25" t="str">
        <v>MD</v>
      </c>
      <c r="C21" s="23" t="str">
        <f>Sites[[#This Row],[SOL'#]]</f>
        <v>SOL-10091</v>
      </c>
      <c r="D21" s="7"/>
      <c r="E21" s="12"/>
      <c r="F21" s="12" t="str">
        <f t="shared" si="4"/>
        <v/>
      </c>
      <c r="G21" s="13" t="str">
        <f t="shared" si="5"/>
        <v/>
      </c>
      <c r="H21" s="14"/>
      <c r="I21" s="14" t="str">
        <f t="shared" si="6"/>
        <v/>
      </c>
      <c r="J21" s="13" t="str">
        <f t="shared" si="7"/>
        <v/>
      </c>
      <c r="K21" s="45"/>
      <c r="L21" s="70"/>
    </row>
    <row r="22" spans="1:12" ht="15.6">
      <c r="A22" s="22" t="str">
        <v>MA: Boston - Seaport Solar</v>
      </c>
      <c r="B22" s="23" t="str">
        <v>MA</v>
      </c>
      <c r="C22" s="23" t="str">
        <f>Sites[[#This Row],[SOL'#]]</f>
        <v>SOL-10772</v>
      </c>
      <c r="D22" s="18"/>
      <c r="E22" s="8"/>
      <c r="F22" s="8" t="str">
        <f t="shared" si="4"/>
        <v/>
      </c>
      <c r="G22" s="9" t="str">
        <f t="shared" si="5"/>
        <v/>
      </c>
      <c r="H22" s="10"/>
      <c r="I22" s="10" t="str">
        <f t="shared" si="6"/>
        <v/>
      </c>
      <c r="J22" s="11" t="str">
        <f t="shared" si="7"/>
        <v/>
      </c>
      <c r="K22" s="47"/>
      <c r="L22" s="41"/>
    </row>
    <row r="23" spans="1:12" ht="15.6">
      <c r="A23" s="24" t="str">
        <v>MA: Dedham - Sprague Street</v>
      </c>
      <c r="B23" s="25" t="str">
        <v>MA</v>
      </c>
      <c r="C23" s="23" t="str">
        <f>Sites[[#This Row],[SOL'#]]</f>
        <v>SOL-10773</v>
      </c>
      <c r="D23" s="7"/>
      <c r="E23" s="12"/>
      <c r="F23" s="12" t="str">
        <f t="shared" si="4"/>
        <v/>
      </c>
      <c r="G23" s="13" t="str">
        <f t="shared" si="5"/>
        <v/>
      </c>
      <c r="H23" s="14"/>
      <c r="I23" s="14" t="str">
        <f t="shared" si="6"/>
        <v/>
      </c>
      <c r="J23" s="13" t="str">
        <f t="shared" si="7"/>
        <v/>
      </c>
      <c r="K23" s="45"/>
      <c r="L23" s="70"/>
    </row>
    <row r="24" spans="1:12" ht="15.6">
      <c r="A24" s="22" t="str">
        <v>MA: Boston - Summer Street</v>
      </c>
      <c r="B24" s="23" t="str">
        <v>MA</v>
      </c>
      <c r="C24" s="23" t="str">
        <f>Sites[[#This Row],[SOL'#]]</f>
        <v>SOL-10764</v>
      </c>
      <c r="D24" s="18"/>
      <c r="E24" s="8"/>
      <c r="F24" s="8" t="str">
        <f t="shared" si="4"/>
        <v/>
      </c>
      <c r="G24" s="9" t="str">
        <f t="shared" si="5"/>
        <v/>
      </c>
      <c r="H24" s="10"/>
      <c r="I24" s="10" t="str">
        <f t="shared" si="6"/>
        <v/>
      </c>
      <c r="J24" s="11" t="str">
        <f t="shared" si="7"/>
        <v/>
      </c>
      <c r="K24" s="47"/>
      <c r="L24" s="41"/>
    </row>
    <row r="25" spans="1:12" ht="15.6">
      <c r="A25" s="24" t="str">
        <v>MA: Leominster - Spectro Coatings</v>
      </c>
      <c r="B25" s="25" t="str">
        <v>MA</v>
      </c>
      <c r="C25" s="23" t="str">
        <f>Sites[[#This Row],[SOL'#]]</f>
        <v>SOL-10074</v>
      </c>
      <c r="D25" s="7"/>
      <c r="E25" s="12"/>
      <c r="F25" s="12" t="str">
        <f t="shared" si="4"/>
        <v/>
      </c>
      <c r="G25" s="13" t="str">
        <f t="shared" si="5"/>
        <v/>
      </c>
      <c r="H25" s="14"/>
      <c r="I25" s="14" t="str">
        <f t="shared" si="6"/>
        <v/>
      </c>
      <c r="J25" s="13" t="str">
        <f t="shared" si="7"/>
        <v/>
      </c>
      <c r="K25" s="45"/>
      <c r="L25" s="70"/>
    </row>
    <row r="26" spans="1:12" ht="15.6">
      <c r="A26" s="22" t="str">
        <v>MA: Braintree - RCAB</v>
      </c>
      <c r="B26" s="23" t="str">
        <v>MA</v>
      </c>
      <c r="C26" s="23" t="str">
        <f>Sites[[#This Row],[SOL'#]]</f>
        <v>SOL-10838</v>
      </c>
      <c r="D26" s="18"/>
      <c r="E26" s="8"/>
      <c r="F26" s="8" t="str">
        <f t="shared" si="4"/>
        <v/>
      </c>
      <c r="G26" s="9" t="str">
        <f t="shared" si="5"/>
        <v/>
      </c>
      <c r="H26" s="10"/>
      <c r="I26" s="10" t="str">
        <f t="shared" si="6"/>
        <v/>
      </c>
      <c r="J26" s="11" t="str">
        <f t="shared" si="7"/>
        <v/>
      </c>
      <c r="K26" s="47"/>
      <c r="L26" s="41"/>
    </row>
    <row r="27" spans="1:12" ht="15.6">
      <c r="A27" s="24" t="str">
        <v>NH: Rochester - Portland Street</v>
      </c>
      <c r="B27" s="25" t="str">
        <v>NH</v>
      </c>
      <c r="C27" s="23" t="str">
        <f>Sites[[#This Row],[SOL'#]]</f>
        <v>SOL-10771</v>
      </c>
      <c r="D27" s="7"/>
      <c r="E27" s="12"/>
      <c r="F27" s="12" t="str">
        <f t="shared" si="4"/>
        <v/>
      </c>
      <c r="G27" s="13" t="str">
        <f t="shared" si="5"/>
        <v/>
      </c>
      <c r="H27" s="14"/>
      <c r="I27" s="14" t="str">
        <f t="shared" si="6"/>
        <v/>
      </c>
      <c r="J27" s="13" t="str">
        <f t="shared" si="7"/>
        <v/>
      </c>
      <c r="K27" s="45"/>
      <c r="L27" s="70"/>
    </row>
    <row r="28" spans="1:12" ht="15.6">
      <c r="A28" s="22" t="str">
        <v>NH: Portsmouth - Portsmouth HS</v>
      </c>
      <c r="B28" s="23" t="str">
        <v>NH</v>
      </c>
      <c r="C28" s="23" t="str">
        <f>Sites[[#This Row],[SOL'#]]</f>
        <v>SOL-10769</v>
      </c>
      <c r="D28" s="18"/>
      <c r="E28" s="8"/>
      <c r="F28" s="8" t="str">
        <f t="shared" si="4"/>
        <v/>
      </c>
      <c r="G28" s="9" t="str">
        <f t="shared" si="5"/>
        <v/>
      </c>
      <c r="H28" s="10"/>
      <c r="I28" s="10" t="str">
        <f t="shared" si="6"/>
        <v/>
      </c>
      <c r="J28" s="11" t="str">
        <f t="shared" si="7"/>
        <v/>
      </c>
      <c r="K28" s="47"/>
      <c r="L28" s="41"/>
    </row>
    <row r="29" spans="1:12" ht="15.6">
      <c r="A29" s="24" t="str">
        <v>NH: Portsmouth - Portsmouth WTP</v>
      </c>
      <c r="B29" s="25" t="str">
        <v>NH</v>
      </c>
      <c r="C29" s="23" t="str">
        <f>Sites[[#This Row],[SOL'#]]</f>
        <v>SOL-10770</v>
      </c>
      <c r="D29" s="7"/>
      <c r="E29" s="12"/>
      <c r="F29" s="12" t="str">
        <f t="shared" si="4"/>
        <v/>
      </c>
      <c r="G29" s="13" t="str">
        <f t="shared" si="5"/>
        <v/>
      </c>
      <c r="H29" s="14"/>
      <c r="I29" s="14" t="str">
        <f t="shared" si="6"/>
        <v/>
      </c>
      <c r="J29" s="13" t="str">
        <f t="shared" si="7"/>
        <v/>
      </c>
      <c r="K29" s="45"/>
      <c r="L29" s="108"/>
    </row>
    <row r="30" spans="1:12" ht="15.6">
      <c r="A30" s="22" t="str">
        <v>NH: Rochester - Rochester MS</v>
      </c>
      <c r="B30" s="23" t="str">
        <v>NH</v>
      </c>
      <c r="C30" s="23" t="str">
        <f>Sites[[#This Row],[SOL'#]]</f>
        <v>SOL-10765</v>
      </c>
      <c r="D30" s="18"/>
      <c r="E30" s="8"/>
      <c r="F30" s="8" t="str">
        <f t="shared" si="4"/>
        <v/>
      </c>
      <c r="G30" s="9" t="str">
        <f t="shared" si="5"/>
        <v/>
      </c>
      <c r="H30" s="10"/>
      <c r="I30" s="10" t="str">
        <f t="shared" si="6"/>
        <v/>
      </c>
      <c r="J30" s="11" t="str">
        <f t="shared" si="7"/>
        <v/>
      </c>
      <c r="K30" s="47"/>
      <c r="L30" s="41"/>
    </row>
    <row r="31" spans="1:12" ht="15.6">
      <c r="A31" s="24" t="str">
        <v>NH Rochester - Spaulding HS</v>
      </c>
      <c r="B31" s="25" t="str">
        <v>NH</v>
      </c>
      <c r="C31" s="23" t="str">
        <f>Sites[[#This Row],[SOL'#]]</f>
        <v>SOL-10767</v>
      </c>
      <c r="D31" s="7"/>
      <c r="E31" s="12"/>
      <c r="F31" s="12" t="str">
        <f t="shared" si="4"/>
        <v/>
      </c>
      <c r="G31" s="13" t="str">
        <f t="shared" si="5"/>
        <v/>
      </c>
      <c r="H31" s="14"/>
      <c r="I31" s="14" t="str">
        <f t="shared" si="6"/>
        <v/>
      </c>
      <c r="J31" s="13" t="str">
        <f t="shared" si="7"/>
        <v/>
      </c>
      <c r="K31" s="45"/>
      <c r="L31" s="108"/>
    </row>
    <row r="32" spans="1:12" ht="15.6">
      <c r="A32" s="22" t="str">
        <v>NH: Rochester - McClelland ES</v>
      </c>
      <c r="B32" s="23" t="str">
        <v>NH</v>
      </c>
      <c r="C32" s="23" t="str">
        <f>Sites[[#This Row],[SOL'#]]</f>
        <v>SOL-10766</v>
      </c>
      <c r="D32" s="18"/>
      <c r="E32" s="8"/>
      <c r="F32" s="8" t="str">
        <f t="shared" si="4"/>
        <v/>
      </c>
      <c r="G32" s="9" t="str">
        <f t="shared" si="5"/>
        <v/>
      </c>
      <c r="H32" s="10"/>
      <c r="I32" s="10" t="str">
        <f t="shared" si="6"/>
        <v/>
      </c>
      <c r="J32" s="11" t="str">
        <f t="shared" si="7"/>
        <v/>
      </c>
      <c r="K32" s="47"/>
      <c r="L32" s="41"/>
    </row>
    <row r="33" spans="1:12" ht="15.6">
      <c r="A33" s="24" t="str">
        <v>NH: Rochester - Brock St Vocational</v>
      </c>
      <c r="B33" s="25" t="str">
        <v>NH</v>
      </c>
      <c r="C33" s="23" t="str">
        <f>Sites[[#This Row],[SOL'#]]</f>
        <v>SOL-10768</v>
      </c>
      <c r="D33" s="7"/>
      <c r="E33" s="12"/>
      <c r="F33" s="12" t="str">
        <f t="shared" si="4"/>
        <v/>
      </c>
      <c r="G33" s="13" t="str">
        <f t="shared" si="5"/>
        <v/>
      </c>
      <c r="H33" s="14"/>
      <c r="I33" s="14" t="str">
        <f t="shared" si="6"/>
        <v/>
      </c>
      <c r="J33" s="13" t="str">
        <f t="shared" si="7"/>
        <v/>
      </c>
      <c r="K33" s="45"/>
      <c r="L33" s="70"/>
    </row>
    <row r="34" spans="1:12" ht="15.6">
      <c r="A34" s="22" t="str">
        <v>OH: Cleveland - CV Kinsman</v>
      </c>
      <c r="B34" s="23" t="str">
        <v>OH</v>
      </c>
      <c r="C34" s="23" t="str">
        <f>Sites[[#This Row],[SOL'#]]</f>
        <v>SOL-10762</v>
      </c>
      <c r="D34" s="18"/>
      <c r="E34" s="8"/>
      <c r="F34" s="8" t="str">
        <f t="shared" si="4"/>
        <v/>
      </c>
      <c r="G34" s="9" t="str">
        <f t="shared" si="5"/>
        <v/>
      </c>
      <c r="H34" s="10"/>
      <c r="I34" s="10" t="str">
        <f t="shared" si="6"/>
        <v/>
      </c>
      <c r="J34" s="11" t="str">
        <f t="shared" si="7"/>
        <v/>
      </c>
      <c r="K34" s="47"/>
      <c r="L34" s="41"/>
    </row>
    <row r="35" spans="1:12" ht="15.6">
      <c r="A35" s="24" t="str">
        <v>OH: Cleveland - CV Wooster</v>
      </c>
      <c r="B35" s="25" t="str">
        <v>OH</v>
      </c>
      <c r="C35" s="23" t="str">
        <f>Sites[[#This Row],[SOL'#]]</f>
        <v>SOL-10763</v>
      </c>
      <c r="D35" s="7"/>
      <c r="E35" s="12"/>
      <c r="F35" s="12" t="str">
        <f t="shared" si="4"/>
        <v/>
      </c>
      <c r="G35" s="13" t="str">
        <f t="shared" si="5"/>
        <v/>
      </c>
      <c r="H35" s="14"/>
      <c r="I35" s="14" t="str">
        <f t="shared" si="6"/>
        <v/>
      </c>
      <c r="J35" s="13" t="str">
        <f t="shared" si="7"/>
        <v/>
      </c>
      <c r="K35" s="45"/>
      <c r="L35" s="70"/>
    </row>
    <row r="36" spans="1:12" ht="15.6">
      <c r="A36" s="22" t="str">
        <v>PR: Aguadilla - Coca Cola</v>
      </c>
      <c r="B36" s="23" t="str">
        <v>PR</v>
      </c>
      <c r="C36" s="23" t="str">
        <f>Sites[[#This Row],[SOL'#]]</f>
        <v>SOL-10072</v>
      </c>
      <c r="D36" s="18"/>
      <c r="E36" s="8"/>
      <c r="F36" s="8" t="str">
        <f t="shared" si="4"/>
        <v/>
      </c>
      <c r="G36" s="9" t="str">
        <f t="shared" si="5"/>
        <v/>
      </c>
      <c r="H36" s="10"/>
      <c r="I36" s="10" t="str">
        <f t="shared" si="6"/>
        <v/>
      </c>
      <c r="J36" s="11" t="str">
        <f t="shared" si="7"/>
        <v/>
      </c>
      <c r="K36" s="47"/>
      <c r="L36" s="41"/>
    </row>
    <row r="37" spans="1:12" ht="15.6">
      <c r="A37" s="24" t="str">
        <v>PR: Bayamon - Coca Cola</v>
      </c>
      <c r="B37" s="25" t="str">
        <v>PR</v>
      </c>
      <c r="C37" s="23" t="str">
        <f>Sites[[#This Row],[SOL'#]]</f>
        <v>SOL-10073</v>
      </c>
      <c r="D37" s="7"/>
      <c r="E37" s="12"/>
      <c r="F37" s="12" t="str">
        <f t="shared" si="4"/>
        <v/>
      </c>
      <c r="G37" s="13" t="str">
        <f t="shared" si="5"/>
        <v/>
      </c>
      <c r="H37" s="14"/>
      <c r="I37" s="14" t="str">
        <f t="shared" si="6"/>
        <v/>
      </c>
      <c r="J37" s="13" t="str">
        <f t="shared" si="7"/>
        <v/>
      </c>
      <c r="K37" s="45"/>
      <c r="L37" s="108"/>
    </row>
    <row r="38" spans="1:12" ht="15.6">
      <c r="A38" s="22" t="str">
        <v>PR: Carolina - St. Francis</v>
      </c>
      <c r="B38" s="23" t="str">
        <v>PR</v>
      </c>
      <c r="C38" s="23" t="str">
        <f>Sites[[#This Row],[SOL'#]]</f>
        <v>SOL-10034</v>
      </c>
      <c r="D38" s="18"/>
      <c r="E38" s="8"/>
      <c r="F38" s="8" t="str">
        <f t="shared" si="4"/>
        <v/>
      </c>
      <c r="G38" s="9" t="str">
        <f t="shared" si="5"/>
        <v/>
      </c>
      <c r="H38" s="10"/>
      <c r="I38" s="10" t="str">
        <f t="shared" si="6"/>
        <v/>
      </c>
      <c r="J38" s="11" t="str">
        <f t="shared" si="7"/>
        <v/>
      </c>
      <c r="K38" s="47"/>
      <c r="L38" s="41"/>
    </row>
    <row r="39" spans="1:12" ht="15.6">
      <c r="A39" s="24" t="str">
        <v>DC: Chevy Chase -Sinai</v>
      </c>
      <c r="B39" s="25" t="str">
        <v>DC</v>
      </c>
      <c r="C39" s="23" t="str">
        <f>Sites[[#This Row],[SOL'#]]</f>
        <v>SOL-10028</v>
      </c>
      <c r="D39" s="7"/>
      <c r="E39" s="12"/>
      <c r="F39" s="12" t="str">
        <f t="shared" si="4"/>
        <v/>
      </c>
      <c r="G39" s="13" t="str">
        <f t="shared" si="5"/>
        <v/>
      </c>
      <c r="H39" s="14"/>
      <c r="I39" s="14" t="str">
        <f t="shared" si="6"/>
        <v/>
      </c>
      <c r="J39" s="13" t="str">
        <f t="shared" si="7"/>
        <v/>
      </c>
      <c r="K39" s="45"/>
      <c r="L39" s="70"/>
    </row>
    <row r="40" spans="1:12" ht="15.6">
      <c r="A40" s="22" t="str">
        <v>DC: Washington - Weinberg 1</v>
      </c>
      <c r="B40" s="23" t="str">
        <v>DC</v>
      </c>
      <c r="C40" s="23" t="str">
        <f>Sites[[#This Row],[SOL'#]]</f>
        <v>SOL-10039</v>
      </c>
      <c r="D40" s="18"/>
      <c r="E40" s="8"/>
      <c r="F40" s="8" t="str">
        <f t="shared" si="4"/>
        <v/>
      </c>
      <c r="G40" s="9" t="str">
        <f t="shared" si="5"/>
        <v/>
      </c>
      <c r="H40" s="10"/>
      <c r="I40" s="10" t="str">
        <f t="shared" si="6"/>
        <v/>
      </c>
      <c r="J40" s="11" t="str">
        <f t="shared" si="7"/>
        <v/>
      </c>
      <c r="K40" s="47"/>
      <c r="L40" s="41"/>
    </row>
    <row r="41" spans="1:12" ht="15.6">
      <c r="A41" s="24" t="str">
        <v>DC: Washington - Weinberg 2</v>
      </c>
      <c r="B41" s="25" t="str">
        <v>DC</v>
      </c>
      <c r="C41" s="23" t="str">
        <f>Sites[[#This Row],[SOL'#]]</f>
        <v>SOL-10045</v>
      </c>
      <c r="D41" s="7"/>
      <c r="E41" s="12"/>
      <c r="F41" s="12" t="str">
        <f t="shared" si="4"/>
        <v/>
      </c>
      <c r="G41" s="13" t="str">
        <f t="shared" si="5"/>
        <v/>
      </c>
      <c r="H41" s="14"/>
      <c r="I41" s="14" t="str">
        <f t="shared" si="6"/>
        <v/>
      </c>
      <c r="J41" s="13" t="str">
        <f t="shared" si="7"/>
        <v/>
      </c>
      <c r="K41" s="45"/>
      <c r="L41" s="108"/>
    </row>
    <row r="42" spans="1:12" ht="15.6">
      <c r="A42" s="22" t="str">
        <v>DC: Washington - Weinberg 3</v>
      </c>
      <c r="B42" s="23" t="str">
        <v>DC</v>
      </c>
      <c r="C42" s="23" t="str">
        <f>Sites[[#This Row],[SOL'#]]</f>
        <v>SOL-10042</v>
      </c>
      <c r="D42" s="18"/>
      <c r="E42" s="8"/>
      <c r="F42" s="8" t="str">
        <f t="shared" si="4"/>
        <v/>
      </c>
      <c r="G42" s="9" t="str">
        <f t="shared" si="5"/>
        <v/>
      </c>
      <c r="H42" s="10"/>
      <c r="I42" s="10" t="str">
        <f t="shared" si="6"/>
        <v/>
      </c>
      <c r="J42" s="11" t="str">
        <f t="shared" si="7"/>
        <v/>
      </c>
      <c r="K42" s="47"/>
      <c r="L42" s="41"/>
    </row>
    <row r="43" spans="1:12" ht="15.6">
      <c r="A43" s="24"/>
      <c r="B43" s="25"/>
      <c r="C43" s="23" t="e">
        <f>Sites[[#This Row],[SOL'#]]</f>
        <v>#VALUE!</v>
      </c>
      <c r="D43" s="7"/>
      <c r="E43" s="12"/>
      <c r="F43" s="12" t="str">
        <f t="shared" si="4"/>
        <v/>
      </c>
      <c r="G43" s="13" t="str">
        <f t="shared" si="5"/>
        <v/>
      </c>
      <c r="H43" s="14"/>
      <c r="I43" s="14" t="str">
        <f t="shared" si="6"/>
        <v/>
      </c>
      <c r="J43" s="13" t="str">
        <f t="shared" si="7"/>
        <v/>
      </c>
      <c r="K43" s="45"/>
      <c r="L43" s="70"/>
    </row>
    <row r="44" spans="1:12" ht="15.6">
      <c r="A44" s="22"/>
      <c r="B44" s="23"/>
      <c r="C44" s="23" t="e">
        <f>Sites[[#This Row],[SOL'#]]</f>
        <v>#VALUE!</v>
      </c>
      <c r="D44" s="18"/>
      <c r="E44" s="8"/>
      <c r="F44" s="8" t="str">
        <f t="shared" si="4"/>
        <v/>
      </c>
      <c r="G44" s="9" t="str">
        <f t="shared" si="5"/>
        <v/>
      </c>
      <c r="H44" s="10"/>
      <c r="I44" s="10" t="str">
        <f t="shared" si="6"/>
        <v/>
      </c>
      <c r="J44" s="11" t="str">
        <f t="shared" si="7"/>
        <v/>
      </c>
      <c r="K44" s="47"/>
      <c r="L44" s="41"/>
    </row>
    <row r="45" spans="1:12" ht="15.6">
      <c r="A45" s="24"/>
      <c r="B45" s="25"/>
      <c r="C45" s="23" t="e">
        <f>Sites[[#This Row],[SOL'#]]</f>
        <v>#VALUE!</v>
      </c>
      <c r="D45" s="7"/>
      <c r="E45" s="12"/>
      <c r="F45" s="12" t="str">
        <f t="shared" si="4"/>
        <v/>
      </c>
      <c r="G45" s="13" t="str">
        <f t="shared" si="5"/>
        <v/>
      </c>
      <c r="H45" s="14"/>
      <c r="I45" s="14" t="str">
        <f t="shared" si="6"/>
        <v/>
      </c>
      <c r="J45" s="13" t="str">
        <f t="shared" si="7"/>
        <v/>
      </c>
      <c r="K45" s="45"/>
      <c r="L45" s="70"/>
    </row>
    <row r="46" spans="1:12" ht="15.6">
      <c r="A46" s="22"/>
      <c r="B46" s="23"/>
      <c r="C46" s="23" t="e">
        <f>Sites[[#This Row],[SOL'#]]</f>
        <v>#VALUE!</v>
      </c>
      <c r="D46" s="18"/>
      <c r="E46" s="8"/>
      <c r="F46" s="8" t="str">
        <f t="shared" si="4"/>
        <v/>
      </c>
      <c r="G46" s="9" t="str">
        <f t="shared" si="5"/>
        <v/>
      </c>
      <c r="H46" s="10"/>
      <c r="I46" s="10" t="str">
        <f t="shared" si="6"/>
        <v/>
      </c>
      <c r="J46" s="11" t="str">
        <f t="shared" si="7"/>
        <v/>
      </c>
      <c r="K46" s="47"/>
      <c r="L46" s="41"/>
    </row>
    <row r="47" spans="1:12" ht="15.6">
      <c r="A47" s="24"/>
      <c r="B47" s="25"/>
      <c r="C47" s="23" t="e">
        <f>Sites[[#This Row],[SOL'#]]</f>
        <v>#VALUE!</v>
      </c>
      <c r="D47" s="7"/>
      <c r="E47" s="12"/>
      <c r="F47" s="12" t="str">
        <f t="shared" si="4"/>
        <v/>
      </c>
      <c r="G47" s="13" t="str">
        <f t="shared" si="5"/>
        <v/>
      </c>
      <c r="H47" s="14"/>
      <c r="I47" s="14" t="str">
        <f t="shared" si="6"/>
        <v/>
      </c>
      <c r="J47" s="13" t="str">
        <f t="shared" si="7"/>
        <v/>
      </c>
      <c r="K47" s="45"/>
      <c r="L47" s="108"/>
    </row>
    <row r="48" spans="1:12" ht="15.6">
      <c r="A48" s="22"/>
      <c r="B48" s="23"/>
      <c r="C48" s="23" t="e">
        <f>Sites[[#This Row],[SOL'#]]</f>
        <v>#VALUE!</v>
      </c>
      <c r="D48" s="18"/>
      <c r="E48" s="8"/>
      <c r="F48" s="8" t="str">
        <f t="shared" si="4"/>
        <v/>
      </c>
      <c r="G48" s="9" t="str">
        <f t="shared" si="5"/>
        <v/>
      </c>
      <c r="H48" s="10"/>
      <c r="I48" s="10" t="str">
        <f t="shared" si="6"/>
        <v/>
      </c>
      <c r="J48" s="11" t="str">
        <f t="shared" si="7"/>
        <v/>
      </c>
      <c r="K48" s="47"/>
      <c r="L48" s="41"/>
    </row>
    <row r="49" spans="1:12" ht="15.6">
      <c r="A49" s="24"/>
      <c r="B49" s="25"/>
      <c r="C49" s="23" t="e">
        <f>Sites[[#This Row],[SOL'#]]</f>
        <v>#VALUE!</v>
      </c>
      <c r="D49" s="7"/>
      <c r="E49" s="12"/>
      <c r="F49" s="12" t="str">
        <f t="shared" si="4"/>
        <v/>
      </c>
      <c r="G49" s="13" t="str">
        <f t="shared" si="5"/>
        <v/>
      </c>
      <c r="H49" s="14"/>
      <c r="I49" s="14" t="str">
        <f t="shared" si="6"/>
        <v/>
      </c>
      <c r="J49" s="13" t="str">
        <f t="shared" si="7"/>
        <v/>
      </c>
      <c r="K49" s="45"/>
      <c r="L49" s="70"/>
    </row>
    <row r="50" spans="1:12" ht="15.6">
      <c r="A50" s="22"/>
      <c r="B50" s="23"/>
      <c r="C50" s="23" t="e">
        <f>Sites[[#This Row],[SOL'#]]</f>
        <v>#VALUE!</v>
      </c>
      <c r="D50" s="18"/>
      <c r="E50" s="8"/>
      <c r="F50" s="8" t="str">
        <f t="shared" si="4"/>
        <v/>
      </c>
      <c r="G50" s="9" t="str">
        <f t="shared" si="5"/>
        <v/>
      </c>
      <c r="H50" s="10"/>
      <c r="I50" s="10" t="str">
        <f t="shared" si="6"/>
        <v/>
      </c>
      <c r="J50" s="11" t="str">
        <f t="shared" si="7"/>
        <v/>
      </c>
      <c r="K50" s="47"/>
      <c r="L50" s="41"/>
    </row>
    <row r="51" spans="1:12" ht="15.6">
      <c r="A51" s="24"/>
      <c r="B51" s="25"/>
      <c r="C51" s="23" t="e">
        <f>Sites[[#This Row],[SOL'#]]</f>
        <v>#VALUE!</v>
      </c>
      <c r="D51" s="7"/>
      <c r="E51" s="12"/>
      <c r="F51" s="12" t="str">
        <f t="shared" si="4"/>
        <v/>
      </c>
      <c r="G51" s="13" t="str">
        <f t="shared" si="5"/>
        <v/>
      </c>
      <c r="H51" s="14"/>
      <c r="I51" s="14" t="str">
        <f t="shared" si="6"/>
        <v/>
      </c>
      <c r="J51" s="13" t="str">
        <f t="shared" si="7"/>
        <v/>
      </c>
      <c r="K51" s="45"/>
      <c r="L51" s="108"/>
    </row>
    <row r="52" spans="1:12" ht="15.6">
      <c r="A52" s="22"/>
      <c r="B52" s="23"/>
      <c r="C52" s="23" t="e">
        <f>Sites[[#This Row],[SOL'#]]</f>
        <v>#VALUE!</v>
      </c>
      <c r="D52" s="18"/>
      <c r="E52" s="8"/>
      <c r="F52" s="8" t="str">
        <f t="shared" si="4"/>
        <v/>
      </c>
      <c r="G52" s="9" t="str">
        <f t="shared" si="5"/>
        <v/>
      </c>
      <c r="H52" s="10"/>
      <c r="I52" s="10" t="str">
        <f t="shared" si="6"/>
        <v/>
      </c>
      <c r="J52" s="11" t="str">
        <f t="shared" si="7"/>
        <v/>
      </c>
      <c r="K52" s="63"/>
      <c r="L52" s="90"/>
    </row>
    <row r="53" spans="1:12" ht="15.6">
      <c r="A53" s="24"/>
      <c r="B53" s="25"/>
      <c r="C53" s="23" t="e">
        <f>Sites[[#This Row],[SOL'#]]</f>
        <v>#VALUE!</v>
      </c>
      <c r="D53" s="7"/>
      <c r="E53" s="12"/>
      <c r="F53" s="12" t="str">
        <f t="shared" si="4"/>
        <v/>
      </c>
      <c r="G53" s="13" t="str">
        <f t="shared" si="5"/>
        <v/>
      </c>
      <c r="H53" s="14"/>
      <c r="I53" s="14" t="str">
        <f t="shared" si="6"/>
        <v/>
      </c>
      <c r="J53" s="13" t="str">
        <f t="shared" si="7"/>
        <v/>
      </c>
      <c r="K53" s="45"/>
      <c r="L53" s="108"/>
    </row>
    <row r="54" spans="1:12" ht="15.6">
      <c r="A54" s="22"/>
      <c r="B54" s="23"/>
      <c r="C54" s="23" t="e">
        <f>Sites[[#This Row],[SOL'#]]</f>
        <v>#VALUE!</v>
      </c>
      <c r="D54" s="18"/>
      <c r="E54" s="8"/>
      <c r="F54" s="8" t="str">
        <f t="shared" si="4"/>
        <v/>
      </c>
      <c r="G54" s="9" t="str">
        <f t="shared" si="5"/>
        <v/>
      </c>
      <c r="H54" s="10"/>
      <c r="I54" s="10" t="str">
        <f t="shared" si="6"/>
        <v/>
      </c>
      <c r="J54" s="11" t="str">
        <f t="shared" si="7"/>
        <v/>
      </c>
      <c r="K54" s="47"/>
      <c r="L54" s="41"/>
    </row>
    <row r="55" spans="1:12" ht="15.6">
      <c r="A55" s="24"/>
      <c r="B55" s="25"/>
      <c r="C55" s="23" t="e">
        <f>Sites[[#This Row],[SOL'#]]</f>
        <v>#VALUE!</v>
      </c>
      <c r="D55" s="7"/>
      <c r="E55" s="12"/>
      <c r="F55" s="12" t="str">
        <f t="shared" si="4"/>
        <v/>
      </c>
      <c r="G55" s="13" t="str">
        <f t="shared" si="5"/>
        <v/>
      </c>
      <c r="H55" s="14"/>
      <c r="I55" s="14" t="str">
        <f t="shared" si="6"/>
        <v/>
      </c>
      <c r="J55" s="13" t="str">
        <f t="shared" si="7"/>
        <v/>
      </c>
      <c r="K55" s="45"/>
      <c r="L55" s="70"/>
    </row>
    <row r="56" spans="1:12" ht="15.6">
      <c r="A56" s="22"/>
      <c r="B56" s="23"/>
      <c r="C56" s="23" t="e">
        <f>Sites[[#This Row],[SOL'#]]</f>
        <v>#VALUE!</v>
      </c>
      <c r="D56" s="18"/>
      <c r="E56" s="8"/>
      <c r="F56" s="8" t="str">
        <f t="shared" si="4"/>
        <v/>
      </c>
      <c r="G56" s="9" t="str">
        <f t="shared" si="5"/>
        <v/>
      </c>
      <c r="H56" s="10"/>
      <c r="I56" s="10" t="str">
        <f t="shared" si="6"/>
        <v/>
      </c>
      <c r="J56" s="11" t="str">
        <f t="shared" si="7"/>
        <v/>
      </c>
      <c r="K56" s="47"/>
      <c r="L56" s="41"/>
    </row>
    <row r="57" spans="1:12" ht="15.6">
      <c r="A57" s="24"/>
      <c r="B57" s="25"/>
      <c r="C57" s="23" t="e">
        <f>Sites[[#This Row],[SOL'#]]</f>
        <v>#VALUE!</v>
      </c>
      <c r="D57" s="7"/>
      <c r="E57" s="12"/>
      <c r="F57" s="12" t="str">
        <f t="shared" si="4"/>
        <v/>
      </c>
      <c r="G57" s="13" t="str">
        <f t="shared" si="5"/>
        <v/>
      </c>
      <c r="H57" s="14"/>
      <c r="I57" s="14" t="str">
        <f t="shared" si="6"/>
        <v/>
      </c>
      <c r="J57" s="13" t="str">
        <f t="shared" si="7"/>
        <v/>
      </c>
      <c r="K57" s="45"/>
      <c r="L57" s="70"/>
    </row>
    <row r="58" spans="1:12" ht="15.6">
      <c r="A58" s="22"/>
      <c r="B58" s="23"/>
      <c r="C58" s="23" t="e">
        <f>Sites[[#This Row],[SOL'#]]</f>
        <v>#VALUE!</v>
      </c>
      <c r="D58" s="18"/>
      <c r="E58" s="8"/>
      <c r="F58" s="8" t="str">
        <f t="shared" si="4"/>
        <v/>
      </c>
      <c r="G58" s="9" t="str">
        <f t="shared" si="5"/>
        <v/>
      </c>
      <c r="H58" s="10"/>
      <c r="I58" s="10" t="str">
        <f t="shared" si="6"/>
        <v/>
      </c>
      <c r="J58" s="11" t="str">
        <f t="shared" si="7"/>
        <v/>
      </c>
      <c r="K58" s="47"/>
      <c r="L58" s="41"/>
    </row>
    <row r="59" spans="1:12" ht="15.6">
      <c r="A59" s="24"/>
      <c r="B59" s="25"/>
      <c r="C59" s="23" t="e">
        <f>Sites[[#This Row],[SOL'#]]</f>
        <v>#VALUE!</v>
      </c>
      <c r="D59" s="7"/>
      <c r="E59" s="12"/>
      <c r="F59" s="12" t="str">
        <f t="shared" si="4"/>
        <v/>
      </c>
      <c r="G59" s="13" t="str">
        <f t="shared" si="5"/>
        <v/>
      </c>
      <c r="H59" s="14"/>
      <c r="I59" s="14" t="str">
        <f t="shared" si="6"/>
        <v/>
      </c>
      <c r="J59" s="13" t="str">
        <f t="shared" si="7"/>
        <v/>
      </c>
      <c r="K59" s="45"/>
      <c r="L59" s="70"/>
    </row>
    <row r="60" spans="1:12" ht="15.6">
      <c r="A60" s="22"/>
      <c r="B60" s="23"/>
      <c r="C60" s="23" t="e">
        <f>Sites[[#This Row],[SOL'#]]</f>
        <v>#VALUE!</v>
      </c>
      <c r="D60" s="18"/>
      <c r="E60" s="8"/>
      <c r="F60" s="8" t="str">
        <f t="shared" si="4"/>
        <v/>
      </c>
      <c r="G60" s="9" t="str">
        <f t="shared" si="5"/>
        <v/>
      </c>
      <c r="H60" s="10"/>
      <c r="I60" s="10" t="str">
        <f t="shared" si="6"/>
        <v/>
      </c>
      <c r="J60" s="11" t="str">
        <f t="shared" si="7"/>
        <v/>
      </c>
      <c r="K60" s="47"/>
      <c r="L60" s="41"/>
    </row>
    <row r="61" spans="1:12" ht="15.6">
      <c r="A61" s="24"/>
      <c r="B61" s="25"/>
      <c r="C61" s="23" t="e">
        <f>Sites[[#This Row],[SOL'#]]</f>
        <v>#VALUE!</v>
      </c>
      <c r="D61" s="7"/>
      <c r="E61" s="12"/>
      <c r="F61" s="12" t="str">
        <f t="shared" si="4"/>
        <v/>
      </c>
      <c r="G61" s="13" t="str">
        <f t="shared" si="5"/>
        <v/>
      </c>
      <c r="H61" s="14"/>
      <c r="I61" s="14" t="str">
        <f t="shared" si="6"/>
        <v/>
      </c>
      <c r="J61" s="13" t="str">
        <f t="shared" si="7"/>
        <v/>
      </c>
      <c r="K61" s="45"/>
      <c r="L61" s="70"/>
    </row>
    <row r="62" spans="1:12" ht="15.6">
      <c r="A62" s="22"/>
      <c r="B62" s="23"/>
      <c r="C62" s="23" t="e">
        <f>Sites[[#This Row],[SOL'#]]</f>
        <v>#VALUE!</v>
      </c>
      <c r="D62" s="18"/>
      <c r="E62" s="8"/>
      <c r="F62" s="8" t="str">
        <f t="shared" si="4"/>
        <v/>
      </c>
      <c r="G62" s="9" t="str">
        <f t="shared" si="5"/>
        <v/>
      </c>
      <c r="H62" s="10"/>
      <c r="I62" s="10" t="str">
        <f t="shared" si="6"/>
        <v/>
      </c>
      <c r="J62" s="11" t="str">
        <f t="shared" si="7"/>
        <v/>
      </c>
      <c r="K62" s="47"/>
      <c r="L62" s="41"/>
    </row>
    <row r="63" spans="1:12" ht="15.6">
      <c r="A63" s="24"/>
      <c r="B63" s="25"/>
      <c r="C63" s="23" t="e">
        <f>Sites[[#This Row],[SOL'#]]</f>
        <v>#VALUE!</v>
      </c>
      <c r="D63" s="7"/>
      <c r="E63" s="12"/>
      <c r="F63" s="12" t="str">
        <f t="shared" si="4"/>
        <v/>
      </c>
      <c r="G63" s="13" t="str">
        <f t="shared" si="5"/>
        <v/>
      </c>
      <c r="H63" s="14"/>
      <c r="I63" s="14" t="str">
        <f t="shared" si="6"/>
        <v/>
      </c>
      <c r="J63" s="13" t="str">
        <f t="shared" si="7"/>
        <v/>
      </c>
      <c r="K63" s="45"/>
      <c r="L63" s="72"/>
    </row>
    <row r="64" spans="1:12" ht="15.6">
      <c r="A64" s="22"/>
      <c r="B64" s="23"/>
      <c r="C64" s="23" t="e">
        <f>Sites[[#This Row],[SOL'#]]</f>
        <v>#VALUE!</v>
      </c>
      <c r="D64" s="18"/>
      <c r="E64" s="8"/>
      <c r="F64" s="8" t="str">
        <f t="shared" si="4"/>
        <v/>
      </c>
      <c r="G64" s="9" t="str">
        <f t="shared" si="5"/>
        <v/>
      </c>
      <c r="H64" s="10"/>
      <c r="I64" s="10" t="str">
        <f t="shared" si="6"/>
        <v/>
      </c>
      <c r="J64" s="11" t="str">
        <f t="shared" si="7"/>
        <v/>
      </c>
      <c r="K64" s="47"/>
      <c r="L64" s="41"/>
    </row>
    <row r="65" spans="1:12" ht="15.6">
      <c r="A65" s="24"/>
      <c r="B65" s="25"/>
      <c r="C65" s="23" t="e">
        <f>Sites[[#This Row],[SOL'#]]</f>
        <v>#VALUE!</v>
      </c>
      <c r="D65" s="7"/>
      <c r="E65" s="12"/>
      <c r="F65" s="12" t="str">
        <f t="shared" si="4"/>
        <v/>
      </c>
      <c r="G65" s="13" t="str">
        <f t="shared" si="5"/>
        <v/>
      </c>
      <c r="H65" s="14"/>
      <c r="I65" s="14" t="str">
        <f t="shared" si="6"/>
        <v/>
      </c>
      <c r="J65" s="13" t="str">
        <f t="shared" si="7"/>
        <v/>
      </c>
      <c r="K65" s="45"/>
      <c r="L65" s="108"/>
    </row>
    <row r="66" spans="1:12" ht="15.6">
      <c r="A66" s="22"/>
      <c r="B66" s="23"/>
      <c r="C66" s="23" t="e">
        <f>Sites[[#This Row],[SOL'#]]</f>
        <v>#VALUE!</v>
      </c>
      <c r="D66" s="18"/>
      <c r="E66" s="8"/>
      <c r="F66" s="8" t="str">
        <f t="shared" si="4"/>
        <v/>
      </c>
      <c r="G66" s="9" t="str">
        <f t="shared" si="5"/>
        <v/>
      </c>
      <c r="H66" s="10"/>
      <c r="I66" s="10" t="str">
        <f t="shared" si="6"/>
        <v/>
      </c>
      <c r="J66" s="11" t="str">
        <f t="shared" si="7"/>
        <v/>
      </c>
      <c r="K66" s="47"/>
      <c r="L66" s="41"/>
    </row>
    <row r="67" spans="1:12" ht="15.6">
      <c r="A67" s="24"/>
      <c r="B67" s="25"/>
      <c r="C67" s="23" t="e">
        <f>Sites[[#This Row],[SOL'#]]</f>
        <v>#VALUE!</v>
      </c>
      <c r="D67" s="7"/>
      <c r="E67" s="12"/>
      <c r="F67" s="12" t="str">
        <f t="shared" si="4"/>
        <v/>
      </c>
      <c r="G67" s="13" t="str">
        <f t="shared" si="5"/>
        <v/>
      </c>
      <c r="H67" s="14"/>
      <c r="I67" s="14" t="str">
        <f t="shared" si="6"/>
        <v/>
      </c>
      <c r="J67" s="13" t="str">
        <f t="shared" si="7"/>
        <v/>
      </c>
      <c r="K67" s="45"/>
      <c r="L67" s="70"/>
    </row>
    <row r="68" spans="1:12" ht="15.6">
      <c r="A68" s="22"/>
      <c r="B68" s="23"/>
      <c r="C68" s="23" t="e">
        <f>Sites[[#This Row],[SOL'#]]</f>
        <v>#VALUE!</v>
      </c>
      <c r="D68" s="18"/>
      <c r="E68" s="8"/>
      <c r="F68" s="8" t="str">
        <f t="shared" si="4"/>
        <v/>
      </c>
      <c r="G68" s="9" t="str">
        <f t="shared" si="5"/>
        <v/>
      </c>
      <c r="H68" s="10"/>
      <c r="I68" s="10" t="str">
        <f t="shared" si="6"/>
        <v/>
      </c>
      <c r="J68" s="11" t="str">
        <f t="shared" si="7"/>
        <v/>
      </c>
      <c r="K68" s="47"/>
      <c r="L68" s="41"/>
    </row>
    <row r="69" spans="1:12" ht="15.6">
      <c r="A69" s="24"/>
      <c r="B69" s="25"/>
      <c r="C69" s="23" t="e">
        <f>Sites[[#This Row],[SOL'#]]</f>
        <v>#VALUE!</v>
      </c>
      <c r="D69" s="7"/>
      <c r="E69" s="12"/>
      <c r="F69" s="12" t="str">
        <f t="shared" si="4"/>
        <v/>
      </c>
      <c r="G69" s="13" t="str">
        <f t="shared" si="5"/>
        <v/>
      </c>
      <c r="H69" s="14"/>
      <c r="I69" s="14" t="str">
        <f t="shared" si="6"/>
        <v/>
      </c>
      <c r="J69" s="13" t="str">
        <f t="shared" si="7"/>
        <v/>
      </c>
      <c r="K69" s="45"/>
      <c r="L69" s="108"/>
    </row>
    <row r="70" spans="1:12" ht="15.6">
      <c r="A70" s="22"/>
      <c r="B70" s="23"/>
      <c r="C70" s="23" t="e">
        <f>Sites[[#This Row],[SOL'#]]</f>
        <v>#VALUE!</v>
      </c>
      <c r="D70" s="18"/>
      <c r="E70" s="8"/>
      <c r="F70" s="8" t="str">
        <f t="shared" si="4"/>
        <v/>
      </c>
      <c r="G70" s="9" t="str">
        <f t="shared" si="5"/>
        <v/>
      </c>
      <c r="H70" s="10"/>
      <c r="I70" s="10" t="str">
        <f t="shared" si="6"/>
        <v/>
      </c>
      <c r="J70" s="11" t="str">
        <f t="shared" si="7"/>
        <v/>
      </c>
      <c r="K70" s="47"/>
      <c r="L70" s="41"/>
    </row>
    <row r="71" spans="1:12" ht="15.6">
      <c r="A71" s="24"/>
      <c r="B71" s="25"/>
      <c r="C71" s="23" t="e">
        <f>Sites[[#This Row],[SOL'#]]</f>
        <v>#VALUE!</v>
      </c>
      <c r="D71" s="7"/>
      <c r="E71" s="12"/>
      <c r="F71" s="12" t="str">
        <f t="shared" si="4"/>
        <v/>
      </c>
      <c r="G71" s="13" t="str">
        <f t="shared" si="5"/>
        <v/>
      </c>
      <c r="H71" s="14"/>
      <c r="I71" s="14" t="str">
        <f t="shared" si="6"/>
        <v/>
      </c>
      <c r="J71" s="13" t="str">
        <f t="shared" si="7"/>
        <v/>
      </c>
      <c r="K71" s="45"/>
      <c r="L71" s="70"/>
    </row>
    <row r="72" spans="1:12" ht="15.6">
      <c r="A72" s="22"/>
      <c r="B72" s="23"/>
      <c r="C72" s="23" t="e">
        <f>Sites[[#This Row],[SOL'#]]</f>
        <v>#VALUE!</v>
      </c>
      <c r="D72" s="18"/>
      <c r="E72" s="8"/>
      <c r="F72" s="8" t="str">
        <f t="shared" si="4"/>
        <v/>
      </c>
      <c r="G72" s="9" t="str">
        <f t="shared" si="5"/>
        <v/>
      </c>
      <c r="H72" s="10"/>
      <c r="I72" s="10" t="str">
        <f t="shared" si="6"/>
        <v/>
      </c>
      <c r="J72" s="11" t="str">
        <f t="shared" si="7"/>
        <v/>
      </c>
      <c r="K72" s="47"/>
      <c r="L72" s="41"/>
    </row>
    <row r="73" spans="1:12" ht="15.6">
      <c r="A73" s="24"/>
      <c r="B73" s="25"/>
      <c r="C73" s="23" t="e">
        <f>Sites[[#This Row],[SOL'#]]</f>
        <v>#VALUE!</v>
      </c>
      <c r="D73" s="7"/>
      <c r="E73" s="12"/>
      <c r="F73" s="12" t="str">
        <f t="shared" si="4"/>
        <v/>
      </c>
      <c r="G73" s="13" t="str">
        <f t="shared" si="5"/>
        <v/>
      </c>
      <c r="H73" s="14"/>
      <c r="I73" s="14" t="str">
        <f t="shared" si="6"/>
        <v/>
      </c>
      <c r="J73" s="13" t="str">
        <f t="shared" si="7"/>
        <v/>
      </c>
      <c r="K73" s="45"/>
      <c r="L73" s="70"/>
    </row>
    <row r="74" spans="1:12" ht="15.6">
      <c r="A74" s="22"/>
      <c r="B74" s="23"/>
      <c r="C74" s="23" t="e">
        <f>Sites[[#This Row],[SOL'#]]</f>
        <v>#VALUE!</v>
      </c>
      <c r="D74" s="18"/>
      <c r="E74" s="8"/>
      <c r="F74" s="8" t="str">
        <f t="shared" si="4"/>
        <v/>
      </c>
      <c r="G74" s="9" t="str">
        <f t="shared" si="5"/>
        <v/>
      </c>
      <c r="H74" s="10"/>
      <c r="I74" s="10" t="str">
        <f t="shared" si="6"/>
        <v/>
      </c>
      <c r="J74" s="11" t="str">
        <f t="shared" si="7"/>
        <v/>
      </c>
      <c r="K74" s="47"/>
      <c r="L74" s="41"/>
    </row>
    <row r="75" spans="1:12" ht="15.6">
      <c r="A75" s="24"/>
      <c r="B75" s="25"/>
      <c r="C75" s="23" t="e">
        <f>Sites[[#This Row],[SOL'#]]</f>
        <v>#VALUE!</v>
      </c>
      <c r="D75" s="7"/>
      <c r="E75" s="12"/>
      <c r="F75" s="12" t="str">
        <f t="shared" si="4"/>
        <v/>
      </c>
      <c r="G75" s="13" t="str">
        <f t="shared" si="5"/>
        <v/>
      </c>
      <c r="H75" s="14"/>
      <c r="I75" s="14" t="str">
        <f t="shared" si="6"/>
        <v/>
      </c>
      <c r="J75" s="13" t="str">
        <f t="shared" si="7"/>
        <v/>
      </c>
      <c r="K75" s="45"/>
      <c r="L75" s="70"/>
    </row>
    <row r="76" spans="1:12" ht="15.6">
      <c r="A76" s="22"/>
      <c r="B76" s="23"/>
      <c r="C76" s="23" t="e">
        <f>Sites[[#This Row],[SOL'#]]</f>
        <v>#VALUE!</v>
      </c>
      <c r="D76" s="18"/>
      <c r="E76" s="8"/>
      <c r="F76" s="8" t="str">
        <f t="shared" si="4"/>
        <v/>
      </c>
      <c r="G76" s="9" t="str">
        <f t="shared" si="5"/>
        <v/>
      </c>
      <c r="H76" s="10"/>
      <c r="I76" s="10" t="str">
        <f t="shared" si="6"/>
        <v/>
      </c>
      <c r="J76" s="11" t="str">
        <f t="shared" si="7"/>
        <v/>
      </c>
      <c r="K76" s="47"/>
      <c r="L76" s="41"/>
    </row>
    <row r="77" spans="1:12" ht="42" customHeight="1">
      <c r="A77" s="24"/>
      <c r="B77" s="25"/>
      <c r="C77" s="23" t="e">
        <f>Sites[[#This Row],[SOL'#]]</f>
        <v>#VALUE!</v>
      </c>
      <c r="D77" s="7"/>
      <c r="E77" s="12"/>
      <c r="F77" s="12" t="str">
        <f t="shared" si="4"/>
        <v/>
      </c>
      <c r="G77" s="13" t="str">
        <f t="shared" si="5"/>
        <v/>
      </c>
      <c r="H77" s="14"/>
      <c r="I77" s="14" t="str">
        <f t="shared" si="6"/>
        <v/>
      </c>
      <c r="J77" s="13" t="str">
        <f t="shared" si="7"/>
        <v/>
      </c>
      <c r="K77" s="45"/>
      <c r="L77" s="108"/>
    </row>
    <row r="78" spans="1:12" ht="15.6">
      <c r="A78" s="22"/>
      <c r="B78" s="23"/>
      <c r="C78" s="23" t="e">
        <f>Sites[[#This Row],[SOL'#]]</f>
        <v>#VALUE!</v>
      </c>
      <c r="D78" s="18"/>
      <c r="E78" s="8"/>
      <c r="F78" s="8" t="str">
        <f t="shared" si="4"/>
        <v/>
      </c>
      <c r="G78" s="9" t="str">
        <f t="shared" si="5"/>
        <v/>
      </c>
      <c r="H78" s="10"/>
      <c r="I78" s="10" t="str">
        <f t="shared" si="6"/>
        <v/>
      </c>
      <c r="J78" s="11" t="str">
        <f t="shared" si="7"/>
        <v/>
      </c>
      <c r="K78" s="47"/>
      <c r="L78" s="41"/>
    </row>
    <row r="79" spans="1:12" ht="15.6">
      <c r="A79" s="24"/>
      <c r="B79" s="25"/>
      <c r="C79" s="23" t="e">
        <f>Sites[[#This Row],[SOL'#]]</f>
        <v>#VALUE!</v>
      </c>
      <c r="D79" s="7"/>
      <c r="E79" s="12"/>
      <c r="F79" s="12" t="str">
        <f t="shared" si="4"/>
        <v/>
      </c>
      <c r="G79" s="13" t="str">
        <f t="shared" si="5"/>
        <v/>
      </c>
      <c r="H79" s="14"/>
      <c r="I79" s="14" t="str">
        <f t="shared" si="6"/>
        <v/>
      </c>
      <c r="J79" s="13" t="str">
        <f t="shared" si="7"/>
        <v/>
      </c>
      <c r="K79" s="45"/>
      <c r="L79" s="70"/>
    </row>
    <row r="80" spans="1:12" ht="15.6">
      <c r="A80" s="22"/>
      <c r="B80" s="23"/>
      <c r="C80" s="23" t="e">
        <f>Sites[[#This Row],[SOL'#]]</f>
        <v>#VALUE!</v>
      </c>
      <c r="D80" s="18"/>
      <c r="E80" s="8"/>
      <c r="F80" s="8" t="str">
        <f t="shared" si="4"/>
        <v/>
      </c>
      <c r="G80" s="9" t="str">
        <f t="shared" si="5"/>
        <v/>
      </c>
      <c r="H80" s="10"/>
      <c r="I80" s="10" t="str">
        <f t="shared" si="6"/>
        <v/>
      </c>
      <c r="J80" s="11" t="str">
        <f t="shared" si="7"/>
        <v/>
      </c>
      <c r="K80" s="47"/>
      <c r="L80" s="41"/>
    </row>
    <row r="81" spans="1:12" ht="94.5" customHeight="1">
      <c r="A81" s="24"/>
      <c r="B81" s="25"/>
      <c r="C81" s="23" t="e">
        <f>Sites[[#This Row],[SOL'#]]</f>
        <v>#VALUE!</v>
      </c>
      <c r="D81" s="7"/>
      <c r="E81" s="12"/>
      <c r="F81" s="12" t="str">
        <f t="shared" si="4"/>
        <v/>
      </c>
      <c r="G81" s="13" t="str">
        <f t="shared" si="5"/>
        <v/>
      </c>
      <c r="H81" s="14"/>
      <c r="I81" s="14" t="str">
        <f t="shared" si="6"/>
        <v/>
      </c>
      <c r="J81" s="13" t="str">
        <f t="shared" si="7"/>
        <v/>
      </c>
      <c r="K81" s="45"/>
      <c r="L81" s="72"/>
    </row>
    <row r="82" spans="1:12" ht="15.6">
      <c r="A82" s="22"/>
      <c r="B82" s="23"/>
      <c r="C82" s="23" t="e">
        <f>Sites[[#This Row],[SOL'#]]</f>
        <v>#VALUE!</v>
      </c>
      <c r="D82" s="18"/>
      <c r="E82" s="8"/>
      <c r="F82" s="8" t="str">
        <f t="shared" ref="F82:F145" si="8">IF(AND(ISNUMBER(D82),ISNUMBER(E82)), D82-E82, "")</f>
        <v/>
      </c>
      <c r="G82" s="9" t="str">
        <f t="shared" ref="G82:G145" si="9">IFERROR(F82/E82, "")</f>
        <v/>
      </c>
      <c r="H82" s="10"/>
      <c r="I82" s="10" t="str">
        <f t="shared" ref="I82:I145" si="10">IF(AND(ISNUMBER(D82),ISNUMBER(H82)), D82-H82, "")</f>
        <v/>
      </c>
      <c r="J82" s="11" t="str">
        <f t="shared" ref="J82:J145" si="11">IFERROR(I82/H82, "")</f>
        <v/>
      </c>
      <c r="K82" s="47"/>
      <c r="L82" s="41"/>
    </row>
    <row r="83" spans="1:12" ht="121.5" customHeight="1">
      <c r="A83" s="24"/>
      <c r="B83" s="25"/>
      <c r="C83" s="23" t="e">
        <f>Sites[[#This Row],[SOL'#]]</f>
        <v>#VALUE!</v>
      </c>
      <c r="D83" s="7"/>
      <c r="E83" s="12"/>
      <c r="F83" s="12" t="str">
        <f t="shared" si="8"/>
        <v/>
      </c>
      <c r="G83" s="13" t="str">
        <f t="shared" si="9"/>
        <v/>
      </c>
      <c r="H83" s="14"/>
      <c r="I83" s="14" t="str">
        <f t="shared" si="10"/>
        <v/>
      </c>
      <c r="J83" s="13" t="str">
        <f t="shared" si="11"/>
        <v/>
      </c>
      <c r="K83" s="45"/>
      <c r="L83" s="108"/>
    </row>
    <row r="84" spans="1:12" ht="15.6">
      <c r="A84" s="22"/>
      <c r="B84" s="23"/>
      <c r="C84" s="23" t="e">
        <f>Sites[[#This Row],[SOL'#]]</f>
        <v>#VALUE!</v>
      </c>
      <c r="D84" s="18"/>
      <c r="E84" s="8"/>
      <c r="F84" s="8" t="str">
        <f t="shared" si="8"/>
        <v/>
      </c>
      <c r="G84" s="9" t="str">
        <f t="shared" si="9"/>
        <v/>
      </c>
      <c r="H84" s="10"/>
      <c r="I84" s="10" t="str">
        <f t="shared" si="10"/>
        <v/>
      </c>
      <c r="J84" s="11" t="str">
        <f t="shared" si="11"/>
        <v/>
      </c>
      <c r="K84" s="47"/>
      <c r="L84" s="41"/>
    </row>
    <row r="85" spans="1:12" ht="15.6">
      <c r="A85" s="24"/>
      <c r="B85" s="25"/>
      <c r="C85" s="23" t="e">
        <f>Sites[[#This Row],[SOL'#]]</f>
        <v>#VALUE!</v>
      </c>
      <c r="D85" s="7"/>
      <c r="E85" s="12"/>
      <c r="F85" s="12" t="str">
        <f t="shared" si="8"/>
        <v/>
      </c>
      <c r="G85" s="13" t="str">
        <f t="shared" si="9"/>
        <v/>
      </c>
      <c r="H85" s="14"/>
      <c r="I85" s="14" t="str">
        <f t="shared" si="10"/>
        <v/>
      </c>
      <c r="J85" s="13" t="str">
        <f t="shared" si="11"/>
        <v/>
      </c>
      <c r="K85" s="45"/>
      <c r="L85" s="70"/>
    </row>
    <row r="86" spans="1:12" ht="15.6">
      <c r="A86" s="22"/>
      <c r="B86" s="23"/>
      <c r="C86" s="23" t="e">
        <f>Sites[[#This Row],[SOL'#]]</f>
        <v>#VALUE!</v>
      </c>
      <c r="D86" s="18"/>
      <c r="E86" s="8"/>
      <c r="F86" s="8" t="str">
        <f t="shared" si="8"/>
        <v/>
      </c>
      <c r="G86" s="9" t="str">
        <f t="shared" si="9"/>
        <v/>
      </c>
      <c r="H86" s="10"/>
      <c r="I86" s="10" t="str">
        <f t="shared" si="10"/>
        <v/>
      </c>
      <c r="J86" s="11" t="str">
        <f t="shared" si="11"/>
        <v/>
      </c>
      <c r="K86" s="47"/>
      <c r="L86" s="41"/>
    </row>
    <row r="87" spans="1:12" ht="15.6">
      <c r="A87" s="24"/>
      <c r="B87" s="25"/>
      <c r="C87" s="23" t="e">
        <f>Sites[[#This Row],[SOL'#]]</f>
        <v>#VALUE!</v>
      </c>
      <c r="D87" s="7"/>
      <c r="E87" s="12"/>
      <c r="F87" s="12" t="str">
        <f t="shared" si="8"/>
        <v/>
      </c>
      <c r="G87" s="13" t="str">
        <f t="shared" si="9"/>
        <v/>
      </c>
      <c r="H87" s="14"/>
      <c r="I87" s="14" t="str">
        <f t="shared" si="10"/>
        <v/>
      </c>
      <c r="J87" s="13" t="str">
        <f t="shared" si="11"/>
        <v/>
      </c>
      <c r="K87" s="45"/>
      <c r="L87" s="72"/>
    </row>
    <row r="88" spans="1:12" ht="15.6">
      <c r="A88" s="22"/>
      <c r="B88" s="23"/>
      <c r="C88" s="23" t="e">
        <f>Sites[[#This Row],[SOL'#]]</f>
        <v>#VALUE!</v>
      </c>
      <c r="D88" s="18"/>
      <c r="E88" s="8"/>
      <c r="F88" s="8" t="str">
        <f t="shared" si="8"/>
        <v/>
      </c>
      <c r="G88" s="9" t="str">
        <f t="shared" si="9"/>
        <v/>
      </c>
      <c r="H88" s="10"/>
      <c r="I88" s="10" t="str">
        <f t="shared" si="10"/>
        <v/>
      </c>
      <c r="J88" s="11" t="str">
        <f t="shared" si="11"/>
        <v/>
      </c>
      <c r="K88" s="47"/>
      <c r="L88" s="41"/>
    </row>
    <row r="89" spans="1:12" ht="15.6">
      <c r="A89" s="24"/>
      <c r="B89" s="25"/>
      <c r="C89" s="23" t="e">
        <f>Sites[[#This Row],[SOL'#]]</f>
        <v>#VALUE!</v>
      </c>
      <c r="D89" s="7"/>
      <c r="E89" s="12"/>
      <c r="F89" s="12" t="str">
        <f t="shared" si="8"/>
        <v/>
      </c>
      <c r="G89" s="13" t="str">
        <f t="shared" si="9"/>
        <v/>
      </c>
      <c r="H89" s="14"/>
      <c r="I89" s="14" t="str">
        <f t="shared" si="10"/>
        <v/>
      </c>
      <c r="J89" s="13" t="str">
        <f t="shared" si="11"/>
        <v/>
      </c>
      <c r="K89" s="45"/>
      <c r="L89" s="108"/>
    </row>
    <row r="90" spans="1:12" ht="15.6">
      <c r="A90" s="22"/>
      <c r="B90" s="23"/>
      <c r="C90" s="23" t="e">
        <f>Sites[[#This Row],[SOL'#]]</f>
        <v>#VALUE!</v>
      </c>
      <c r="D90" s="18"/>
      <c r="E90" s="8"/>
      <c r="F90" s="8" t="str">
        <f t="shared" si="8"/>
        <v/>
      </c>
      <c r="G90" s="9" t="str">
        <f t="shared" si="9"/>
        <v/>
      </c>
      <c r="H90" s="10"/>
      <c r="I90" s="10" t="str">
        <f t="shared" si="10"/>
        <v/>
      </c>
      <c r="J90" s="11" t="str">
        <f t="shared" si="11"/>
        <v/>
      </c>
      <c r="K90" s="47"/>
      <c r="L90" s="41"/>
    </row>
    <row r="91" spans="1:12" ht="15.6">
      <c r="A91" s="24"/>
      <c r="B91" s="25"/>
      <c r="C91" s="23" t="e">
        <f>Sites[[#This Row],[SOL'#]]</f>
        <v>#VALUE!</v>
      </c>
      <c r="D91" s="7"/>
      <c r="E91" s="12"/>
      <c r="F91" s="12" t="str">
        <f t="shared" si="8"/>
        <v/>
      </c>
      <c r="G91" s="13" t="str">
        <f t="shared" si="9"/>
        <v/>
      </c>
      <c r="H91" s="14"/>
      <c r="I91" s="14" t="str">
        <f t="shared" si="10"/>
        <v/>
      </c>
      <c r="J91" s="13" t="str">
        <f t="shared" si="11"/>
        <v/>
      </c>
      <c r="K91" s="45"/>
      <c r="L91" s="72"/>
    </row>
    <row r="92" spans="1:12" ht="15.6">
      <c r="A92" s="22"/>
      <c r="B92" s="23"/>
      <c r="C92" s="23" t="e">
        <f>Sites[[#This Row],[SOL'#]]</f>
        <v>#VALUE!</v>
      </c>
      <c r="D92" s="18"/>
      <c r="E92" s="8"/>
      <c r="F92" s="8" t="str">
        <f t="shared" si="8"/>
        <v/>
      </c>
      <c r="G92" s="9" t="str">
        <f t="shared" si="9"/>
        <v/>
      </c>
      <c r="H92" s="10"/>
      <c r="I92" s="10" t="str">
        <f t="shared" si="10"/>
        <v/>
      </c>
      <c r="J92" s="11" t="str">
        <f t="shared" si="11"/>
        <v/>
      </c>
      <c r="K92" s="47"/>
      <c r="L92" s="41"/>
    </row>
    <row r="93" spans="1:12" ht="93" customHeight="1">
      <c r="A93" s="24"/>
      <c r="B93" s="25"/>
      <c r="C93" s="23" t="e">
        <f>Sites[[#This Row],[SOL'#]]</f>
        <v>#VALUE!</v>
      </c>
      <c r="D93" s="7"/>
      <c r="E93" s="12"/>
      <c r="F93" s="12" t="str">
        <f t="shared" si="8"/>
        <v/>
      </c>
      <c r="G93" s="13" t="str">
        <f t="shared" si="9"/>
        <v/>
      </c>
      <c r="H93" s="14"/>
      <c r="I93" s="14" t="str">
        <f t="shared" si="10"/>
        <v/>
      </c>
      <c r="J93" s="13" t="str">
        <f t="shared" si="11"/>
        <v/>
      </c>
      <c r="K93" s="45"/>
      <c r="L93" s="108"/>
    </row>
    <row r="94" spans="1:12" ht="15.6">
      <c r="A94" s="22"/>
      <c r="B94" s="23"/>
      <c r="C94" s="23" t="e">
        <f>Sites[[#This Row],[SOL'#]]</f>
        <v>#VALUE!</v>
      </c>
      <c r="D94" s="18"/>
      <c r="E94" s="8"/>
      <c r="F94" s="8" t="str">
        <f t="shared" si="8"/>
        <v/>
      </c>
      <c r="G94" s="9" t="str">
        <f t="shared" si="9"/>
        <v/>
      </c>
      <c r="H94" s="10"/>
      <c r="I94" s="10" t="str">
        <f t="shared" si="10"/>
        <v/>
      </c>
      <c r="J94" s="11" t="str">
        <f t="shared" si="11"/>
        <v/>
      </c>
      <c r="K94" s="63"/>
      <c r="L94" s="41"/>
    </row>
    <row r="95" spans="1:12" ht="15.6">
      <c r="A95" s="24"/>
      <c r="B95" s="25"/>
      <c r="C95" s="23" t="e">
        <f>Sites[[#This Row],[SOL'#]]</f>
        <v>#VALUE!</v>
      </c>
      <c r="D95" s="7"/>
      <c r="E95" s="12"/>
      <c r="F95" s="12" t="str">
        <f t="shared" si="8"/>
        <v/>
      </c>
      <c r="G95" s="13" t="str">
        <f t="shared" si="9"/>
        <v/>
      </c>
      <c r="H95" s="14"/>
      <c r="I95" s="14" t="str">
        <f t="shared" si="10"/>
        <v/>
      </c>
      <c r="J95" s="13" t="str">
        <f t="shared" si="11"/>
        <v/>
      </c>
      <c r="K95" s="45"/>
      <c r="L95" s="72"/>
    </row>
    <row r="96" spans="1:12" ht="15.6">
      <c r="A96" s="22"/>
      <c r="B96" s="23"/>
      <c r="C96" s="23" t="e">
        <f>Sites[[#This Row],[SOL'#]]</f>
        <v>#VALUE!</v>
      </c>
      <c r="D96" s="18"/>
      <c r="E96" s="8"/>
      <c r="F96" s="8" t="str">
        <f t="shared" si="8"/>
        <v/>
      </c>
      <c r="G96" s="9" t="str">
        <f t="shared" si="9"/>
        <v/>
      </c>
      <c r="H96" s="10"/>
      <c r="I96" s="10" t="str">
        <f t="shared" si="10"/>
        <v/>
      </c>
      <c r="J96" s="11" t="str">
        <f t="shared" si="11"/>
        <v/>
      </c>
      <c r="K96" s="47"/>
      <c r="L96" s="41"/>
    </row>
    <row r="97" spans="1:12" ht="15.6">
      <c r="A97" s="24"/>
      <c r="B97" s="25"/>
      <c r="C97" s="23" t="e">
        <f>Sites[[#This Row],[SOL'#]]</f>
        <v>#VALUE!</v>
      </c>
      <c r="D97" s="7"/>
      <c r="E97" s="12"/>
      <c r="F97" s="12" t="str">
        <f t="shared" si="8"/>
        <v/>
      </c>
      <c r="G97" s="13" t="str">
        <f t="shared" si="9"/>
        <v/>
      </c>
      <c r="H97" s="14"/>
      <c r="I97" s="14" t="str">
        <f t="shared" si="10"/>
        <v/>
      </c>
      <c r="J97" s="13" t="str">
        <f t="shared" si="11"/>
        <v/>
      </c>
      <c r="K97" s="45"/>
      <c r="L97" s="72"/>
    </row>
    <row r="98" spans="1:12" ht="15.6">
      <c r="A98" s="22"/>
      <c r="B98" s="23"/>
      <c r="C98" s="23" t="e">
        <f>Sites[[#This Row],[SOL'#]]</f>
        <v>#VALUE!</v>
      </c>
      <c r="D98" s="18"/>
      <c r="E98" s="8"/>
      <c r="F98" s="8" t="str">
        <f t="shared" si="8"/>
        <v/>
      </c>
      <c r="G98" s="9" t="str">
        <f t="shared" si="9"/>
        <v/>
      </c>
      <c r="H98" s="10"/>
      <c r="I98" s="10" t="str">
        <f t="shared" si="10"/>
        <v/>
      </c>
      <c r="J98" s="11" t="str">
        <f t="shared" si="11"/>
        <v/>
      </c>
      <c r="K98" s="47"/>
      <c r="L98" s="41"/>
    </row>
    <row r="99" spans="1:12" ht="15.6">
      <c r="A99" s="24"/>
      <c r="B99" s="25"/>
      <c r="C99" s="23" t="e">
        <f>Sites[[#This Row],[SOL'#]]</f>
        <v>#VALUE!</v>
      </c>
      <c r="D99" s="7"/>
      <c r="E99" s="12"/>
      <c r="F99" s="12" t="str">
        <f t="shared" si="8"/>
        <v/>
      </c>
      <c r="G99" s="13" t="str">
        <f t="shared" si="9"/>
        <v/>
      </c>
      <c r="H99" s="14"/>
      <c r="I99" s="14" t="str">
        <f t="shared" si="10"/>
        <v/>
      </c>
      <c r="J99" s="13" t="str">
        <f t="shared" si="11"/>
        <v/>
      </c>
      <c r="K99" s="45"/>
      <c r="L99" s="70"/>
    </row>
    <row r="100" spans="1:12" ht="15.6">
      <c r="A100" s="22"/>
      <c r="B100" s="23"/>
      <c r="C100" s="23" t="e">
        <f>Sites[[#This Row],[SOL'#]]</f>
        <v>#VALUE!</v>
      </c>
      <c r="D100" s="18"/>
      <c r="E100" s="8"/>
      <c r="F100" s="8" t="str">
        <f t="shared" si="8"/>
        <v/>
      </c>
      <c r="G100" s="9" t="str">
        <f t="shared" si="9"/>
        <v/>
      </c>
      <c r="H100" s="10"/>
      <c r="I100" s="10" t="str">
        <f t="shared" si="10"/>
        <v/>
      </c>
      <c r="J100" s="11" t="str">
        <f t="shared" si="11"/>
        <v/>
      </c>
      <c r="K100" s="47"/>
      <c r="L100" s="41"/>
    </row>
    <row r="101" spans="1:12" ht="15.6">
      <c r="A101" s="24"/>
      <c r="B101" s="25"/>
      <c r="C101" s="23" t="e">
        <f>Sites[[#This Row],[SOL'#]]</f>
        <v>#VALUE!</v>
      </c>
      <c r="D101" s="7"/>
      <c r="E101" s="12"/>
      <c r="F101" s="12" t="str">
        <f t="shared" si="8"/>
        <v/>
      </c>
      <c r="G101" s="13" t="str">
        <f t="shared" si="9"/>
        <v/>
      </c>
      <c r="H101" s="14"/>
      <c r="I101" s="14" t="str">
        <f t="shared" si="10"/>
        <v/>
      </c>
      <c r="J101" s="13" t="str">
        <f t="shared" si="11"/>
        <v/>
      </c>
      <c r="K101" s="45"/>
      <c r="L101" s="108"/>
    </row>
    <row r="102" spans="1:12" ht="15.6">
      <c r="A102" s="22"/>
      <c r="B102" s="23"/>
      <c r="C102" s="23" t="e">
        <f>Sites[[#This Row],[SOL'#]]</f>
        <v>#VALUE!</v>
      </c>
      <c r="D102" s="18"/>
      <c r="E102" s="8"/>
      <c r="F102" s="8" t="str">
        <f t="shared" si="8"/>
        <v/>
      </c>
      <c r="G102" s="9" t="str">
        <f t="shared" si="9"/>
        <v/>
      </c>
      <c r="H102" s="10"/>
      <c r="I102" s="10" t="str">
        <f t="shared" si="10"/>
        <v/>
      </c>
      <c r="J102" s="11" t="str">
        <f t="shared" si="11"/>
        <v/>
      </c>
      <c r="K102" s="47"/>
      <c r="L102" s="41"/>
    </row>
    <row r="103" spans="1:12" ht="15.6">
      <c r="A103" s="24"/>
      <c r="B103" s="25"/>
      <c r="C103" s="23" t="e">
        <f>Sites[[#This Row],[SOL'#]]</f>
        <v>#VALUE!</v>
      </c>
      <c r="D103" s="7"/>
      <c r="E103" s="12"/>
      <c r="F103" s="12" t="str">
        <f t="shared" si="8"/>
        <v/>
      </c>
      <c r="G103" s="13" t="str">
        <f t="shared" si="9"/>
        <v/>
      </c>
      <c r="H103" s="14"/>
      <c r="I103" s="14" t="str">
        <f t="shared" si="10"/>
        <v/>
      </c>
      <c r="J103" s="13" t="str">
        <f t="shared" si="11"/>
        <v/>
      </c>
      <c r="K103" s="45"/>
      <c r="L103" s="70"/>
    </row>
    <row r="104" spans="1:12" ht="105" customHeight="1">
      <c r="A104" s="22"/>
      <c r="B104" s="23"/>
      <c r="C104" s="23" t="e">
        <f>Sites[[#This Row],[SOL'#]]</f>
        <v>#VALUE!</v>
      </c>
      <c r="D104" s="18"/>
      <c r="E104" s="8"/>
      <c r="F104" s="8" t="str">
        <f t="shared" si="8"/>
        <v/>
      </c>
      <c r="G104" s="9" t="str">
        <f t="shared" si="9"/>
        <v/>
      </c>
      <c r="H104" s="10"/>
      <c r="I104" s="10" t="str">
        <f t="shared" si="10"/>
        <v/>
      </c>
      <c r="J104" s="11" t="str">
        <f t="shared" si="11"/>
        <v/>
      </c>
      <c r="K104" s="47"/>
      <c r="L104" s="41"/>
    </row>
    <row r="105" spans="1:12" ht="15.6">
      <c r="A105" s="24"/>
      <c r="B105" s="25"/>
      <c r="C105" s="23" t="e">
        <f>Sites[[#This Row],[SOL'#]]</f>
        <v>#VALUE!</v>
      </c>
      <c r="D105" s="7"/>
      <c r="E105" s="12"/>
      <c r="F105" s="12" t="str">
        <f t="shared" si="8"/>
        <v/>
      </c>
      <c r="G105" s="13" t="str">
        <f t="shared" si="9"/>
        <v/>
      </c>
      <c r="H105" s="14"/>
      <c r="I105" s="14" t="str">
        <f t="shared" si="10"/>
        <v/>
      </c>
      <c r="J105" s="13" t="str">
        <f t="shared" si="11"/>
        <v/>
      </c>
      <c r="K105" s="45"/>
      <c r="L105" s="108"/>
    </row>
    <row r="106" spans="1:12" ht="15.6">
      <c r="A106" s="22"/>
      <c r="B106" s="23"/>
      <c r="C106" s="23" t="e">
        <f>Sites[[#This Row],[SOL'#]]</f>
        <v>#VALUE!</v>
      </c>
      <c r="D106" s="18"/>
      <c r="E106" s="8"/>
      <c r="F106" s="8" t="str">
        <f t="shared" si="8"/>
        <v/>
      </c>
      <c r="G106" s="9" t="str">
        <f t="shared" si="9"/>
        <v/>
      </c>
      <c r="H106" s="10"/>
      <c r="I106" s="10" t="str">
        <f t="shared" si="10"/>
        <v/>
      </c>
      <c r="J106" s="11" t="str">
        <f t="shared" si="11"/>
        <v/>
      </c>
      <c r="K106" s="47"/>
      <c r="L106" s="41"/>
    </row>
    <row r="107" spans="1:12" ht="15.6">
      <c r="A107" s="24"/>
      <c r="B107" s="25"/>
      <c r="C107" s="23" t="e">
        <f>Sites[[#This Row],[SOL'#]]</f>
        <v>#VALUE!</v>
      </c>
      <c r="D107" s="7"/>
      <c r="E107" s="12"/>
      <c r="F107" s="12" t="str">
        <f t="shared" si="8"/>
        <v/>
      </c>
      <c r="G107" s="13" t="str">
        <f t="shared" si="9"/>
        <v/>
      </c>
      <c r="H107" s="14"/>
      <c r="I107" s="14" t="str">
        <f t="shared" si="10"/>
        <v/>
      </c>
      <c r="J107" s="13" t="str">
        <f t="shared" si="11"/>
        <v/>
      </c>
      <c r="K107" s="45"/>
      <c r="L107" s="70"/>
    </row>
    <row r="108" spans="1:12" ht="108.75" customHeight="1">
      <c r="A108" s="22"/>
      <c r="B108" s="23"/>
      <c r="C108" s="23" t="e">
        <f>Sites[[#This Row],[SOL'#]]</f>
        <v>#VALUE!</v>
      </c>
      <c r="D108" s="18"/>
      <c r="E108" s="8"/>
      <c r="F108" s="8" t="str">
        <f t="shared" si="8"/>
        <v/>
      </c>
      <c r="G108" s="9" t="str">
        <f t="shared" si="9"/>
        <v/>
      </c>
      <c r="H108" s="10"/>
      <c r="I108" s="10" t="str">
        <f t="shared" si="10"/>
        <v/>
      </c>
      <c r="J108" s="11" t="str">
        <f t="shared" si="11"/>
        <v/>
      </c>
      <c r="K108" s="47"/>
      <c r="L108" s="41"/>
    </row>
    <row r="109" spans="1:12" ht="15.6">
      <c r="A109" s="24"/>
      <c r="B109" s="25"/>
      <c r="C109" s="23" t="e">
        <f>Sites[[#This Row],[SOL'#]]</f>
        <v>#VALUE!</v>
      </c>
      <c r="D109" s="7"/>
      <c r="E109" s="12"/>
      <c r="F109" s="12" t="str">
        <f t="shared" si="8"/>
        <v/>
      </c>
      <c r="G109" s="13" t="str">
        <f t="shared" si="9"/>
        <v/>
      </c>
      <c r="H109" s="14"/>
      <c r="I109" s="14" t="str">
        <f t="shared" si="10"/>
        <v/>
      </c>
      <c r="J109" s="13" t="str">
        <f t="shared" si="11"/>
        <v/>
      </c>
      <c r="K109" s="45"/>
      <c r="L109" s="72"/>
    </row>
    <row r="110" spans="1:12" ht="15.6">
      <c r="A110" s="22"/>
      <c r="B110" s="23"/>
      <c r="C110" s="23" t="e">
        <f>Sites[[#This Row],[SOL'#]]</f>
        <v>#VALUE!</v>
      </c>
      <c r="D110" s="18"/>
      <c r="E110" s="8"/>
      <c r="F110" s="8" t="str">
        <f t="shared" si="8"/>
        <v/>
      </c>
      <c r="G110" s="9" t="str">
        <f t="shared" si="9"/>
        <v/>
      </c>
      <c r="H110" s="10"/>
      <c r="I110" s="10" t="str">
        <f t="shared" si="10"/>
        <v/>
      </c>
      <c r="J110" s="11" t="str">
        <f t="shared" si="11"/>
        <v/>
      </c>
      <c r="K110" s="47"/>
      <c r="L110" s="41"/>
    </row>
    <row r="111" spans="1:12" ht="63.75" customHeight="1">
      <c r="A111" s="24"/>
      <c r="B111" s="25"/>
      <c r="C111" s="23" t="e">
        <f>Sites[[#This Row],[SOL'#]]</f>
        <v>#VALUE!</v>
      </c>
      <c r="D111" s="7"/>
      <c r="E111" s="12"/>
      <c r="F111" s="12" t="str">
        <f t="shared" si="8"/>
        <v/>
      </c>
      <c r="G111" s="13" t="str">
        <f t="shared" si="9"/>
        <v/>
      </c>
      <c r="H111" s="14"/>
      <c r="I111" s="14" t="str">
        <f t="shared" si="10"/>
        <v/>
      </c>
      <c r="J111" s="13" t="str">
        <f t="shared" si="11"/>
        <v/>
      </c>
      <c r="K111" s="45"/>
      <c r="L111" s="108"/>
    </row>
    <row r="112" spans="1:12" ht="84.75" customHeight="1">
      <c r="A112" s="22"/>
      <c r="B112" s="23"/>
      <c r="C112" s="23" t="e">
        <f>Sites[[#This Row],[SOL'#]]</f>
        <v>#VALUE!</v>
      </c>
      <c r="D112" s="18"/>
      <c r="E112" s="8"/>
      <c r="F112" s="8" t="str">
        <f t="shared" si="8"/>
        <v/>
      </c>
      <c r="G112" s="9" t="str">
        <f t="shared" si="9"/>
        <v/>
      </c>
      <c r="H112" s="10"/>
      <c r="I112" s="10" t="str">
        <f t="shared" si="10"/>
        <v/>
      </c>
      <c r="J112" s="11" t="str">
        <f t="shared" si="11"/>
        <v/>
      </c>
      <c r="K112" s="47"/>
      <c r="L112" s="41"/>
    </row>
    <row r="113" spans="1:12" ht="15.6">
      <c r="A113" s="24"/>
      <c r="B113" s="25"/>
      <c r="C113" s="23" t="e">
        <f>Sites[[#This Row],[SOL'#]]</f>
        <v>#VALUE!</v>
      </c>
      <c r="D113" s="7"/>
      <c r="E113" s="12"/>
      <c r="F113" s="12" t="str">
        <f t="shared" si="8"/>
        <v/>
      </c>
      <c r="G113" s="13" t="str">
        <f t="shared" si="9"/>
        <v/>
      </c>
      <c r="H113" s="14"/>
      <c r="I113" s="14" t="str">
        <f t="shared" si="10"/>
        <v/>
      </c>
      <c r="J113" s="13" t="str">
        <f t="shared" si="11"/>
        <v/>
      </c>
      <c r="K113" s="45"/>
      <c r="L113" s="108"/>
    </row>
    <row r="114" spans="1:12" ht="15.6">
      <c r="A114" s="22"/>
      <c r="B114" s="23"/>
      <c r="C114" s="23" t="e">
        <f>Sites[[#This Row],[SOL'#]]</f>
        <v>#VALUE!</v>
      </c>
      <c r="D114" s="18"/>
      <c r="E114" s="8"/>
      <c r="F114" s="8" t="str">
        <f t="shared" si="8"/>
        <v/>
      </c>
      <c r="G114" s="9" t="str">
        <f t="shared" si="9"/>
        <v/>
      </c>
      <c r="H114" s="10"/>
      <c r="I114" s="10" t="str">
        <f t="shared" si="10"/>
        <v/>
      </c>
      <c r="J114" s="11" t="str">
        <f t="shared" si="11"/>
        <v/>
      </c>
      <c r="K114" s="47"/>
      <c r="L114" s="41"/>
    </row>
    <row r="115" spans="1:12" ht="15.6">
      <c r="A115" s="24"/>
      <c r="B115" s="25"/>
      <c r="C115" s="23" t="e">
        <f>Sites[[#This Row],[SOL'#]]</f>
        <v>#VALUE!</v>
      </c>
      <c r="D115" s="7"/>
      <c r="E115" s="12"/>
      <c r="F115" s="12" t="str">
        <f t="shared" si="8"/>
        <v/>
      </c>
      <c r="G115" s="13" t="str">
        <f t="shared" si="9"/>
        <v/>
      </c>
      <c r="H115" s="14"/>
      <c r="I115" s="14" t="str">
        <f t="shared" si="10"/>
        <v/>
      </c>
      <c r="J115" s="13" t="str">
        <f t="shared" si="11"/>
        <v/>
      </c>
      <c r="K115" s="45"/>
      <c r="L115" s="70"/>
    </row>
    <row r="116" spans="1:12" ht="15.6">
      <c r="A116" s="22"/>
      <c r="B116" s="23"/>
      <c r="C116" s="23" t="e">
        <f>Sites[[#This Row],[SOL'#]]</f>
        <v>#VALUE!</v>
      </c>
      <c r="D116" s="18"/>
      <c r="E116" s="8"/>
      <c r="F116" s="8" t="str">
        <f t="shared" si="8"/>
        <v/>
      </c>
      <c r="G116" s="9" t="str">
        <f t="shared" si="9"/>
        <v/>
      </c>
      <c r="H116" s="10"/>
      <c r="I116" s="10" t="str">
        <f t="shared" si="10"/>
        <v/>
      </c>
      <c r="J116" s="11" t="str">
        <f t="shared" si="11"/>
        <v/>
      </c>
      <c r="K116" s="47"/>
      <c r="L116" s="41"/>
    </row>
    <row r="117" spans="1:12" ht="15.6">
      <c r="A117" s="24"/>
      <c r="B117" s="25"/>
      <c r="C117" s="23" t="e">
        <f>Sites[[#This Row],[SOL'#]]</f>
        <v>#VALUE!</v>
      </c>
      <c r="D117" s="7"/>
      <c r="E117" s="12"/>
      <c r="F117" s="12" t="str">
        <f t="shared" si="8"/>
        <v/>
      </c>
      <c r="G117" s="13" t="str">
        <f t="shared" si="9"/>
        <v/>
      </c>
      <c r="H117" s="14"/>
      <c r="I117" s="14" t="str">
        <f t="shared" si="10"/>
        <v/>
      </c>
      <c r="J117" s="13" t="str">
        <f t="shared" si="11"/>
        <v/>
      </c>
      <c r="K117" s="45"/>
      <c r="L117" s="70"/>
    </row>
    <row r="118" spans="1:12" ht="15.6">
      <c r="A118" s="22"/>
      <c r="B118" s="23"/>
      <c r="C118" s="23" t="e">
        <f>Sites[[#This Row],[SOL'#]]</f>
        <v>#VALUE!</v>
      </c>
      <c r="D118" s="18"/>
      <c r="E118" s="8"/>
      <c r="F118" s="8" t="str">
        <f t="shared" si="8"/>
        <v/>
      </c>
      <c r="G118" s="9" t="str">
        <f t="shared" si="9"/>
        <v/>
      </c>
      <c r="H118" s="10"/>
      <c r="I118" s="10" t="str">
        <f t="shared" si="10"/>
        <v/>
      </c>
      <c r="J118" s="11" t="str">
        <f t="shared" si="11"/>
        <v/>
      </c>
      <c r="K118" s="47"/>
      <c r="L118" s="41"/>
    </row>
    <row r="119" spans="1:12" ht="15.6">
      <c r="A119" s="24"/>
      <c r="B119" s="25"/>
      <c r="C119" s="23" t="e">
        <f>Sites[[#This Row],[SOL'#]]</f>
        <v>#VALUE!</v>
      </c>
      <c r="D119" s="7"/>
      <c r="E119" s="12"/>
      <c r="F119" s="12" t="str">
        <f t="shared" si="8"/>
        <v/>
      </c>
      <c r="G119" s="13" t="str">
        <f t="shared" si="9"/>
        <v/>
      </c>
      <c r="H119" s="14"/>
      <c r="I119" s="14" t="str">
        <f t="shared" si="10"/>
        <v/>
      </c>
      <c r="J119" s="13" t="str">
        <f t="shared" si="11"/>
        <v/>
      </c>
      <c r="K119" s="45"/>
      <c r="L119" s="108"/>
    </row>
    <row r="120" spans="1:12" ht="15.6">
      <c r="A120" s="22"/>
      <c r="B120" s="23"/>
      <c r="C120" s="23" t="e">
        <f>Sites[[#This Row],[SOL'#]]</f>
        <v>#VALUE!</v>
      </c>
      <c r="D120" s="18"/>
      <c r="E120" s="8"/>
      <c r="F120" s="8" t="str">
        <f t="shared" si="8"/>
        <v/>
      </c>
      <c r="G120" s="9" t="str">
        <f t="shared" si="9"/>
        <v/>
      </c>
      <c r="H120" s="10"/>
      <c r="I120" s="10" t="str">
        <f t="shared" si="10"/>
        <v/>
      </c>
      <c r="J120" s="11" t="str">
        <f t="shared" si="11"/>
        <v/>
      </c>
      <c r="K120" s="47"/>
      <c r="L120" s="41"/>
    </row>
    <row r="121" spans="1:12" ht="15.6">
      <c r="A121" s="24"/>
      <c r="B121" s="25"/>
      <c r="C121" s="23" t="e">
        <f>Sites[[#This Row],[SOL'#]]</f>
        <v>#VALUE!</v>
      </c>
      <c r="D121" s="7"/>
      <c r="E121" s="12"/>
      <c r="F121" s="12" t="str">
        <f t="shared" si="8"/>
        <v/>
      </c>
      <c r="G121" s="13" t="str">
        <f t="shared" si="9"/>
        <v/>
      </c>
      <c r="H121" s="14"/>
      <c r="I121" s="14" t="str">
        <f t="shared" si="10"/>
        <v/>
      </c>
      <c r="J121" s="13" t="str">
        <f t="shared" si="11"/>
        <v/>
      </c>
      <c r="K121" s="45"/>
      <c r="L121" s="108"/>
    </row>
    <row r="122" spans="1:12" ht="15.6">
      <c r="A122" s="22"/>
      <c r="B122" s="23"/>
      <c r="C122" s="23" t="e">
        <f>Sites[[#This Row],[SOL'#]]</f>
        <v>#VALUE!</v>
      </c>
      <c r="D122" s="18"/>
      <c r="E122" s="8"/>
      <c r="F122" s="8" t="str">
        <f t="shared" si="8"/>
        <v/>
      </c>
      <c r="G122" s="9" t="str">
        <f t="shared" si="9"/>
        <v/>
      </c>
      <c r="H122" s="10"/>
      <c r="I122" s="10" t="str">
        <f t="shared" si="10"/>
        <v/>
      </c>
      <c r="J122" s="11" t="str">
        <f t="shared" si="11"/>
        <v/>
      </c>
      <c r="K122" s="47"/>
      <c r="L122" s="41"/>
    </row>
    <row r="123" spans="1:12" ht="15.6">
      <c r="A123" s="24"/>
      <c r="B123" s="25"/>
      <c r="C123" s="23" t="e">
        <f>Sites[[#This Row],[SOL'#]]</f>
        <v>#VALUE!</v>
      </c>
      <c r="D123" s="7"/>
      <c r="E123" s="12"/>
      <c r="F123" s="12" t="str">
        <f t="shared" si="8"/>
        <v/>
      </c>
      <c r="G123" s="13" t="str">
        <f t="shared" si="9"/>
        <v/>
      </c>
      <c r="H123" s="14"/>
      <c r="I123" s="14" t="str">
        <f t="shared" si="10"/>
        <v/>
      </c>
      <c r="J123" s="13" t="str">
        <f t="shared" si="11"/>
        <v/>
      </c>
      <c r="K123" s="45"/>
      <c r="L123" s="70"/>
    </row>
    <row r="124" spans="1:12" ht="15.6">
      <c r="A124" s="22"/>
      <c r="B124" s="23"/>
      <c r="C124" s="23" t="e">
        <f>Sites[[#This Row],[SOL'#]]</f>
        <v>#VALUE!</v>
      </c>
      <c r="D124" s="18"/>
      <c r="E124" s="8"/>
      <c r="F124" s="8" t="str">
        <f t="shared" si="8"/>
        <v/>
      </c>
      <c r="G124" s="9" t="str">
        <f t="shared" si="9"/>
        <v/>
      </c>
      <c r="H124" s="10"/>
      <c r="I124" s="10" t="str">
        <f t="shared" si="10"/>
        <v/>
      </c>
      <c r="J124" s="11" t="str">
        <f t="shared" si="11"/>
        <v/>
      </c>
      <c r="K124" s="47"/>
      <c r="L124" s="41"/>
    </row>
    <row r="125" spans="1:12" ht="15.6">
      <c r="A125" s="24"/>
      <c r="B125" s="25"/>
      <c r="C125" s="23" t="e">
        <f>Sites[[#This Row],[SOL'#]]</f>
        <v>#VALUE!</v>
      </c>
      <c r="D125" s="7"/>
      <c r="E125" s="12"/>
      <c r="F125" s="12" t="str">
        <f t="shared" si="8"/>
        <v/>
      </c>
      <c r="G125" s="13" t="str">
        <f t="shared" si="9"/>
        <v/>
      </c>
      <c r="H125" s="14"/>
      <c r="I125" s="14" t="str">
        <f t="shared" si="10"/>
        <v/>
      </c>
      <c r="J125" s="13" t="str">
        <f t="shared" si="11"/>
        <v/>
      </c>
      <c r="K125" s="45"/>
      <c r="L125" s="108"/>
    </row>
    <row r="126" spans="1:12" ht="61.5" customHeight="1">
      <c r="A126" s="22"/>
      <c r="B126" s="23"/>
      <c r="C126" s="23" t="e">
        <f>Sites[[#This Row],[SOL'#]]</f>
        <v>#VALUE!</v>
      </c>
      <c r="D126" s="18"/>
      <c r="E126" s="8"/>
      <c r="F126" s="8" t="str">
        <f t="shared" si="8"/>
        <v/>
      </c>
      <c r="G126" s="9" t="str">
        <f t="shared" si="9"/>
        <v/>
      </c>
      <c r="H126" s="10"/>
      <c r="I126" s="10" t="str">
        <f t="shared" si="10"/>
        <v/>
      </c>
      <c r="J126" s="11" t="str">
        <f t="shared" si="11"/>
        <v/>
      </c>
      <c r="K126" s="47"/>
      <c r="L126" s="41"/>
    </row>
    <row r="127" spans="1:12" ht="249.75" customHeight="1">
      <c r="A127" s="24"/>
      <c r="B127" s="25"/>
      <c r="C127" s="23" t="e">
        <f>Sites[[#This Row],[SOL'#]]</f>
        <v>#VALUE!</v>
      </c>
      <c r="D127" s="7"/>
      <c r="E127" s="12"/>
      <c r="F127" s="12" t="str">
        <f t="shared" si="8"/>
        <v/>
      </c>
      <c r="G127" s="13" t="str">
        <f t="shared" si="9"/>
        <v/>
      </c>
      <c r="H127" s="14"/>
      <c r="I127" s="14" t="str">
        <f t="shared" si="10"/>
        <v/>
      </c>
      <c r="J127" s="13" t="str">
        <f t="shared" si="11"/>
        <v/>
      </c>
      <c r="K127" s="45"/>
      <c r="L127" s="108"/>
    </row>
    <row r="128" spans="1:12" ht="15.6">
      <c r="A128" s="22"/>
      <c r="B128" s="23"/>
      <c r="C128" s="23" t="e">
        <f>Sites[[#This Row],[SOL'#]]</f>
        <v>#VALUE!</v>
      </c>
      <c r="D128" s="18"/>
      <c r="E128" s="8"/>
      <c r="F128" s="8" t="str">
        <f t="shared" si="8"/>
        <v/>
      </c>
      <c r="G128" s="9" t="str">
        <f t="shared" si="9"/>
        <v/>
      </c>
      <c r="H128" s="10"/>
      <c r="I128" s="10" t="str">
        <f t="shared" si="10"/>
        <v/>
      </c>
      <c r="J128" s="11" t="str">
        <f t="shared" si="11"/>
        <v/>
      </c>
      <c r="K128" s="47"/>
      <c r="L128" s="41"/>
    </row>
    <row r="129" spans="1:12" ht="15.6">
      <c r="A129" s="24"/>
      <c r="B129" s="25"/>
      <c r="C129" s="23" t="e">
        <f>Sites[[#This Row],[SOL'#]]</f>
        <v>#VALUE!</v>
      </c>
      <c r="D129" s="7"/>
      <c r="E129" s="12"/>
      <c r="F129" s="12" t="str">
        <f t="shared" si="8"/>
        <v/>
      </c>
      <c r="G129" s="13" t="str">
        <f t="shared" si="9"/>
        <v/>
      </c>
      <c r="H129" s="14"/>
      <c r="I129" s="14" t="str">
        <f t="shared" si="10"/>
        <v/>
      </c>
      <c r="J129" s="13" t="str">
        <f t="shared" si="11"/>
        <v/>
      </c>
      <c r="K129" s="45"/>
      <c r="L129" s="70"/>
    </row>
    <row r="130" spans="1:12" ht="15.6">
      <c r="A130" s="22"/>
      <c r="B130" s="23"/>
      <c r="C130" s="23" t="e">
        <f>Sites[[#This Row],[SOL'#]]</f>
        <v>#VALUE!</v>
      </c>
      <c r="D130" s="18"/>
      <c r="E130" s="8"/>
      <c r="F130" s="8" t="str">
        <f t="shared" si="8"/>
        <v/>
      </c>
      <c r="G130" s="9" t="str">
        <f t="shared" si="9"/>
        <v/>
      </c>
      <c r="H130" s="10"/>
      <c r="I130" s="10" t="str">
        <f t="shared" si="10"/>
        <v/>
      </c>
      <c r="J130" s="11" t="str">
        <f t="shared" si="11"/>
        <v/>
      </c>
      <c r="K130" s="47"/>
      <c r="L130" s="41"/>
    </row>
    <row r="131" spans="1:12" ht="15.6">
      <c r="A131" s="24"/>
      <c r="B131" s="25"/>
      <c r="C131" s="23" t="e">
        <f>Sites[[#This Row],[SOL'#]]</f>
        <v>#VALUE!</v>
      </c>
      <c r="D131" s="7"/>
      <c r="E131" s="12"/>
      <c r="F131" s="12" t="str">
        <f t="shared" si="8"/>
        <v/>
      </c>
      <c r="G131" s="13" t="str">
        <f t="shared" si="9"/>
        <v/>
      </c>
      <c r="H131" s="14"/>
      <c r="I131" s="14" t="str">
        <f t="shared" si="10"/>
        <v/>
      </c>
      <c r="J131" s="13" t="str">
        <f t="shared" si="11"/>
        <v/>
      </c>
      <c r="K131" s="45"/>
      <c r="L131" s="72"/>
    </row>
    <row r="132" spans="1:12" ht="15.6">
      <c r="A132" s="22"/>
      <c r="B132" s="23"/>
      <c r="C132" s="23" t="e">
        <f>Sites[[#This Row],[SOL'#]]</f>
        <v>#VALUE!</v>
      </c>
      <c r="D132" s="18"/>
      <c r="E132" s="8"/>
      <c r="F132" s="8" t="str">
        <f t="shared" si="8"/>
        <v/>
      </c>
      <c r="G132" s="9" t="str">
        <f t="shared" si="9"/>
        <v/>
      </c>
      <c r="H132" s="10"/>
      <c r="I132" s="10" t="str">
        <f t="shared" si="10"/>
        <v/>
      </c>
      <c r="J132" s="11" t="str">
        <f t="shared" si="11"/>
        <v/>
      </c>
      <c r="K132" s="47"/>
      <c r="L132" s="41"/>
    </row>
    <row r="133" spans="1:12" ht="15.6">
      <c r="A133" s="24"/>
      <c r="B133" s="25"/>
      <c r="C133" s="23" t="e">
        <f>Sites[[#This Row],[SOL'#]]</f>
        <v>#VALUE!</v>
      </c>
      <c r="D133" s="7"/>
      <c r="E133" s="12"/>
      <c r="F133" s="12" t="str">
        <f t="shared" si="8"/>
        <v/>
      </c>
      <c r="G133" s="13" t="str">
        <f t="shared" si="9"/>
        <v/>
      </c>
      <c r="H133" s="14"/>
      <c r="I133" s="14" t="str">
        <f t="shared" si="10"/>
        <v/>
      </c>
      <c r="J133" s="13" t="str">
        <f t="shared" si="11"/>
        <v/>
      </c>
      <c r="K133" s="45"/>
      <c r="L133" s="70"/>
    </row>
    <row r="134" spans="1:12" ht="15.6">
      <c r="A134" s="22"/>
      <c r="B134" s="23"/>
      <c r="C134" s="23" t="e">
        <f>Sites[[#This Row],[SOL'#]]</f>
        <v>#VALUE!</v>
      </c>
      <c r="D134" s="18"/>
      <c r="E134" s="8"/>
      <c r="F134" s="8" t="str">
        <f t="shared" si="8"/>
        <v/>
      </c>
      <c r="G134" s="9" t="str">
        <f t="shared" si="9"/>
        <v/>
      </c>
      <c r="H134" s="10"/>
      <c r="I134" s="10" t="str">
        <f t="shared" si="10"/>
        <v/>
      </c>
      <c r="J134" s="11" t="str">
        <f t="shared" si="11"/>
        <v/>
      </c>
      <c r="K134" s="47"/>
      <c r="L134" s="41"/>
    </row>
    <row r="135" spans="1:12" ht="15.6">
      <c r="A135" s="24"/>
      <c r="B135" s="25"/>
      <c r="C135" s="23" t="e">
        <f>Sites[[#This Row],[SOL'#]]</f>
        <v>#VALUE!</v>
      </c>
      <c r="D135" s="7"/>
      <c r="E135" s="12"/>
      <c r="F135" s="12" t="str">
        <f t="shared" si="8"/>
        <v/>
      </c>
      <c r="G135" s="13" t="str">
        <f t="shared" si="9"/>
        <v/>
      </c>
      <c r="H135" s="14"/>
      <c r="I135" s="14" t="str">
        <f t="shared" si="10"/>
        <v/>
      </c>
      <c r="J135" s="13" t="str">
        <f t="shared" si="11"/>
        <v/>
      </c>
      <c r="K135" s="45"/>
      <c r="L135" s="70"/>
    </row>
    <row r="136" spans="1:12" ht="15.6">
      <c r="A136" s="22"/>
      <c r="B136" s="23"/>
      <c r="C136" s="23" t="e">
        <f>Sites[[#This Row],[SOL'#]]</f>
        <v>#VALUE!</v>
      </c>
      <c r="D136" s="18"/>
      <c r="E136" s="8"/>
      <c r="F136" s="8" t="str">
        <f t="shared" si="8"/>
        <v/>
      </c>
      <c r="G136" s="9" t="str">
        <f t="shared" si="9"/>
        <v/>
      </c>
      <c r="H136" s="10"/>
      <c r="I136" s="10" t="str">
        <f t="shared" si="10"/>
        <v/>
      </c>
      <c r="J136" s="11" t="str">
        <f t="shared" si="11"/>
        <v/>
      </c>
      <c r="K136" s="47"/>
      <c r="L136" s="41"/>
    </row>
    <row r="137" spans="1:12" ht="15.6">
      <c r="A137" s="24"/>
      <c r="B137" s="25"/>
      <c r="C137" s="23" t="e">
        <f>Sites[[#This Row],[SOL'#]]</f>
        <v>#VALUE!</v>
      </c>
      <c r="D137" s="7"/>
      <c r="E137" s="12"/>
      <c r="F137" s="12" t="str">
        <f t="shared" si="8"/>
        <v/>
      </c>
      <c r="G137" s="13" t="str">
        <f t="shared" si="9"/>
        <v/>
      </c>
      <c r="H137" s="14"/>
      <c r="I137" s="14" t="str">
        <f t="shared" si="10"/>
        <v/>
      </c>
      <c r="J137" s="13" t="str">
        <f t="shared" si="11"/>
        <v/>
      </c>
      <c r="K137" s="45"/>
      <c r="L137" s="70"/>
    </row>
    <row r="138" spans="1:12" ht="15.6">
      <c r="A138" s="22"/>
      <c r="B138" s="23"/>
      <c r="C138" s="23" t="e">
        <f>Sites[[#This Row],[SOL'#]]</f>
        <v>#VALUE!</v>
      </c>
      <c r="D138" s="18"/>
      <c r="E138" s="8"/>
      <c r="F138" s="8" t="str">
        <f t="shared" si="8"/>
        <v/>
      </c>
      <c r="G138" s="9" t="str">
        <f t="shared" si="9"/>
        <v/>
      </c>
      <c r="H138" s="10"/>
      <c r="I138" s="10" t="str">
        <f t="shared" si="10"/>
        <v/>
      </c>
      <c r="J138" s="11" t="str">
        <f t="shared" si="11"/>
        <v/>
      </c>
      <c r="K138" s="47"/>
      <c r="L138" s="90"/>
    </row>
    <row r="139" spans="1:12" ht="15.6">
      <c r="A139" s="24"/>
      <c r="B139" s="25"/>
      <c r="C139" s="23" t="e">
        <f>Sites[[#This Row],[SOL'#]]</f>
        <v>#VALUE!</v>
      </c>
      <c r="D139" s="7"/>
      <c r="E139" s="12"/>
      <c r="F139" s="12" t="str">
        <f t="shared" si="8"/>
        <v/>
      </c>
      <c r="G139" s="13" t="str">
        <f t="shared" si="9"/>
        <v/>
      </c>
      <c r="H139" s="14"/>
      <c r="I139" s="14" t="str">
        <f t="shared" si="10"/>
        <v/>
      </c>
      <c r="J139" s="13" t="str">
        <f t="shared" si="11"/>
        <v/>
      </c>
      <c r="K139" s="45"/>
      <c r="L139" s="70"/>
    </row>
    <row r="140" spans="1:12" ht="15.6">
      <c r="A140" s="26"/>
      <c r="B140" s="23"/>
      <c r="C140" s="23" t="e">
        <f>Sites[[#This Row],[SOL'#]]</f>
        <v>#VALUE!</v>
      </c>
      <c r="D140" s="48"/>
      <c r="E140" s="8"/>
      <c r="F140" s="8" t="str">
        <f t="shared" si="8"/>
        <v/>
      </c>
      <c r="G140" s="49" t="str">
        <f t="shared" si="9"/>
        <v/>
      </c>
      <c r="H140" s="58"/>
      <c r="I140" s="58" t="str">
        <f t="shared" si="10"/>
        <v/>
      </c>
      <c r="J140" s="56" t="str">
        <f t="shared" si="11"/>
        <v/>
      </c>
      <c r="K140" s="63"/>
      <c r="L140" s="41"/>
    </row>
    <row r="141" spans="1:12" ht="15.6">
      <c r="A141" s="24"/>
      <c r="B141" s="25"/>
      <c r="C141" s="23" t="e">
        <f>Sites[[#This Row],[SOL'#]]</f>
        <v>#VALUE!</v>
      </c>
      <c r="D141" s="57"/>
      <c r="E141" s="12"/>
      <c r="F141" s="12" t="str">
        <f t="shared" si="8"/>
        <v/>
      </c>
      <c r="G141" s="59" t="str">
        <f t="shared" si="9"/>
        <v/>
      </c>
      <c r="H141" s="60"/>
      <c r="I141" s="60" t="str">
        <f t="shared" si="10"/>
        <v/>
      </c>
      <c r="J141" s="59" t="str">
        <f t="shared" si="11"/>
        <v/>
      </c>
      <c r="K141" s="45"/>
      <c r="L141" s="73"/>
    </row>
    <row r="142" spans="1:12" ht="51.75" customHeight="1">
      <c r="A142" s="22"/>
      <c r="B142" s="23"/>
      <c r="C142" s="23" t="e">
        <f>Sites[[#This Row],[SOL'#]]</f>
        <v>#VALUE!</v>
      </c>
      <c r="D142" s="48"/>
      <c r="E142" s="8"/>
      <c r="F142" s="8" t="str">
        <f t="shared" si="8"/>
        <v/>
      </c>
      <c r="G142" s="49" t="str">
        <f t="shared" si="9"/>
        <v/>
      </c>
      <c r="H142" s="58"/>
      <c r="I142" s="58" t="str">
        <f t="shared" si="10"/>
        <v/>
      </c>
      <c r="J142" s="56" t="str">
        <f t="shared" si="11"/>
        <v/>
      </c>
      <c r="K142" s="63"/>
      <c r="L142" s="41"/>
    </row>
    <row r="143" spans="1:12" ht="15.6">
      <c r="A143" s="24"/>
      <c r="B143" s="25"/>
      <c r="C143" s="23" t="e">
        <f>Sites[[#This Row],[SOL'#]]</f>
        <v>#VALUE!</v>
      </c>
      <c r="D143" s="57"/>
      <c r="E143" s="12"/>
      <c r="F143" s="12" t="str">
        <f t="shared" si="8"/>
        <v/>
      </c>
      <c r="G143" s="59" t="str">
        <f t="shared" si="9"/>
        <v/>
      </c>
      <c r="H143" s="60"/>
      <c r="I143" s="60" t="str">
        <f t="shared" si="10"/>
        <v/>
      </c>
      <c r="J143" s="59" t="str">
        <f t="shared" si="11"/>
        <v/>
      </c>
      <c r="K143" s="45"/>
      <c r="L143" s="74"/>
    </row>
    <row r="144" spans="1:12" ht="15.6">
      <c r="A144" s="22"/>
      <c r="B144" s="23"/>
      <c r="C144" s="23" t="e">
        <f>Sites[[#This Row],[SOL'#]]</f>
        <v>#VALUE!</v>
      </c>
      <c r="D144" s="48"/>
      <c r="E144" s="8"/>
      <c r="F144" s="8" t="str">
        <f t="shared" si="8"/>
        <v/>
      </c>
      <c r="G144" s="49" t="str">
        <f t="shared" si="9"/>
        <v/>
      </c>
      <c r="H144" s="58"/>
      <c r="I144" s="58" t="str">
        <f t="shared" si="10"/>
        <v/>
      </c>
      <c r="J144" s="56" t="str">
        <f t="shared" si="11"/>
        <v/>
      </c>
      <c r="K144" s="63"/>
      <c r="L144" s="41"/>
    </row>
    <row r="145" spans="1:12" ht="84.75" customHeight="1">
      <c r="A145" s="24"/>
      <c r="B145" s="25"/>
      <c r="C145" s="23" t="e">
        <f>Sites[[#This Row],[SOL'#]]</f>
        <v>#VALUE!</v>
      </c>
      <c r="D145" s="57"/>
      <c r="E145" s="12"/>
      <c r="F145" s="12" t="str">
        <f t="shared" si="8"/>
        <v/>
      </c>
      <c r="G145" s="59" t="str">
        <f t="shared" si="9"/>
        <v/>
      </c>
      <c r="H145" s="60"/>
      <c r="I145" s="60" t="str">
        <f t="shared" si="10"/>
        <v/>
      </c>
      <c r="J145" s="59" t="str">
        <f t="shared" si="11"/>
        <v/>
      </c>
      <c r="K145" s="45"/>
      <c r="L145" s="74"/>
    </row>
    <row r="146" spans="1:12" ht="15.6">
      <c r="A146" s="22"/>
      <c r="B146" s="23"/>
      <c r="C146" s="23" t="e">
        <f>Sites[[#This Row],[SOL'#]]</f>
        <v>#VALUE!</v>
      </c>
      <c r="D146" s="48"/>
      <c r="E146" s="8"/>
      <c r="F146" s="8" t="str">
        <f t="shared" ref="F146:F158" si="12">IF(AND(ISNUMBER(D146),ISNUMBER(E146)), D146-E146, "")</f>
        <v/>
      </c>
      <c r="G146" s="49" t="str">
        <f t="shared" ref="G146:G158" si="13">IFERROR(F146/E146, "")</f>
        <v/>
      </c>
      <c r="H146" s="58"/>
      <c r="I146" s="58" t="str">
        <f t="shared" ref="I146:I158" si="14">IF(AND(ISNUMBER(D146),ISNUMBER(H146)), D146-H146, "")</f>
        <v/>
      </c>
      <c r="J146" s="56" t="str">
        <f t="shared" ref="J146:J158" si="15">IFERROR(I146/H146, "")</f>
        <v/>
      </c>
      <c r="K146" s="63"/>
      <c r="L146" s="41"/>
    </row>
    <row r="147" spans="1:12" ht="15.6">
      <c r="A147" s="24"/>
      <c r="B147" s="25"/>
      <c r="C147" s="23" t="e">
        <f>Sites[[#This Row],[SOL'#]]</f>
        <v>#VALUE!</v>
      </c>
      <c r="D147" s="57"/>
      <c r="E147" s="12"/>
      <c r="F147" s="12" t="str">
        <f t="shared" si="12"/>
        <v/>
      </c>
      <c r="G147" s="59" t="str">
        <f t="shared" si="13"/>
        <v/>
      </c>
      <c r="H147" s="60"/>
      <c r="I147" s="60" t="str">
        <f t="shared" si="14"/>
        <v/>
      </c>
      <c r="J147" s="59" t="str">
        <f t="shared" si="15"/>
        <v/>
      </c>
      <c r="K147" s="45"/>
      <c r="L147" s="73"/>
    </row>
    <row r="148" spans="1:12" ht="15.6">
      <c r="A148" s="22"/>
      <c r="B148" s="23"/>
      <c r="C148" s="23" t="e">
        <f>Sites[[#This Row],[SOL'#]]</f>
        <v>#VALUE!</v>
      </c>
      <c r="D148" s="48"/>
      <c r="E148" s="8"/>
      <c r="F148" s="8" t="str">
        <f t="shared" si="12"/>
        <v/>
      </c>
      <c r="G148" s="49" t="str">
        <f t="shared" si="13"/>
        <v/>
      </c>
      <c r="H148" s="58"/>
      <c r="I148" s="58" t="str">
        <f t="shared" si="14"/>
        <v/>
      </c>
      <c r="J148" s="56" t="str">
        <f t="shared" si="15"/>
        <v/>
      </c>
      <c r="K148" s="63"/>
      <c r="L148" s="41"/>
    </row>
    <row r="149" spans="1:12" ht="15.6">
      <c r="A149" s="24"/>
      <c r="B149" s="25"/>
      <c r="C149" s="23" t="e">
        <f>Sites[[#This Row],[SOL'#]]</f>
        <v>#VALUE!</v>
      </c>
      <c r="D149" s="57"/>
      <c r="E149" s="12"/>
      <c r="F149" s="12" t="str">
        <f t="shared" si="12"/>
        <v/>
      </c>
      <c r="G149" s="59" t="str">
        <f t="shared" si="13"/>
        <v/>
      </c>
      <c r="H149" s="60"/>
      <c r="I149" s="60" t="str">
        <f t="shared" si="14"/>
        <v/>
      </c>
      <c r="J149" s="59" t="str">
        <f t="shared" si="15"/>
        <v/>
      </c>
      <c r="K149" s="45"/>
      <c r="L149" s="74"/>
    </row>
    <row r="150" spans="1:12" ht="15.6">
      <c r="A150" s="22"/>
      <c r="B150" s="23"/>
      <c r="C150" s="23" t="e">
        <f>Sites[[#This Row],[SOL'#]]</f>
        <v>#VALUE!</v>
      </c>
      <c r="D150" s="48"/>
      <c r="E150" s="8"/>
      <c r="F150" s="8" t="str">
        <f t="shared" si="12"/>
        <v/>
      </c>
      <c r="G150" s="49" t="str">
        <f t="shared" si="13"/>
        <v/>
      </c>
      <c r="H150" s="58"/>
      <c r="I150" s="58" t="str">
        <f t="shared" si="14"/>
        <v/>
      </c>
      <c r="J150" s="56" t="str">
        <f t="shared" si="15"/>
        <v/>
      </c>
      <c r="K150" s="63"/>
      <c r="L150" s="41"/>
    </row>
    <row r="151" spans="1:12" ht="15.6">
      <c r="A151" s="24"/>
      <c r="B151" s="25"/>
      <c r="C151" s="23" t="e">
        <f>Sites[[#This Row],[SOL'#]]</f>
        <v>#VALUE!</v>
      </c>
      <c r="D151" s="57"/>
      <c r="E151" s="12"/>
      <c r="F151" s="12" t="str">
        <f t="shared" si="12"/>
        <v/>
      </c>
      <c r="G151" s="59" t="str">
        <f t="shared" si="13"/>
        <v/>
      </c>
      <c r="H151" s="60"/>
      <c r="I151" s="60" t="str">
        <f t="shared" si="14"/>
        <v/>
      </c>
      <c r="J151" s="59" t="str">
        <f t="shared" si="15"/>
        <v/>
      </c>
      <c r="K151" s="45"/>
      <c r="L151" s="75"/>
    </row>
    <row r="152" spans="1:12" ht="15.6">
      <c r="A152" s="22"/>
      <c r="B152" s="23"/>
      <c r="C152" s="23" t="e">
        <f>Sites[[#This Row],[SOL'#]]</f>
        <v>#VALUE!</v>
      </c>
      <c r="D152" s="48"/>
      <c r="E152" s="8"/>
      <c r="F152" s="8" t="str">
        <f t="shared" si="12"/>
        <v/>
      </c>
      <c r="G152" s="49" t="str">
        <f t="shared" si="13"/>
        <v/>
      </c>
      <c r="H152" s="58"/>
      <c r="I152" s="58" t="str">
        <f t="shared" si="14"/>
        <v/>
      </c>
      <c r="J152" s="56" t="str">
        <f t="shared" si="15"/>
        <v/>
      </c>
      <c r="K152" s="63"/>
      <c r="L152" s="41"/>
    </row>
    <row r="153" spans="1:12" ht="15.6">
      <c r="A153" s="24"/>
      <c r="B153" s="25"/>
      <c r="C153" s="23" t="e">
        <f>Sites[[#This Row],[SOL'#]]</f>
        <v>#VALUE!</v>
      </c>
      <c r="D153" s="57"/>
      <c r="E153" s="12"/>
      <c r="F153" s="12" t="str">
        <f t="shared" si="12"/>
        <v/>
      </c>
      <c r="G153" s="59" t="str">
        <f t="shared" si="13"/>
        <v/>
      </c>
      <c r="H153" s="60"/>
      <c r="I153" s="60" t="str">
        <f t="shared" si="14"/>
        <v/>
      </c>
      <c r="J153" s="59" t="str">
        <f t="shared" si="15"/>
        <v/>
      </c>
      <c r="K153" s="108"/>
      <c r="L153" s="73"/>
    </row>
    <row r="154" spans="1:12" ht="15.6">
      <c r="A154" s="22"/>
      <c r="B154" s="23"/>
      <c r="C154" s="23" t="e">
        <f>Sites[[#This Row],[SOL'#]]</f>
        <v>#VALUE!</v>
      </c>
      <c r="D154" s="48"/>
      <c r="E154" s="8"/>
      <c r="F154" s="8" t="str">
        <f t="shared" si="12"/>
        <v/>
      </c>
      <c r="G154" s="49" t="str">
        <f t="shared" si="13"/>
        <v/>
      </c>
      <c r="H154" s="58"/>
      <c r="I154" s="58" t="str">
        <f t="shared" si="14"/>
        <v/>
      </c>
      <c r="J154" s="56" t="str">
        <f t="shared" si="15"/>
        <v/>
      </c>
      <c r="K154" s="63"/>
      <c r="L154" s="41"/>
    </row>
    <row r="155" spans="1:12" ht="15.6">
      <c r="A155" s="24"/>
      <c r="B155" s="25"/>
      <c r="C155" s="23" t="e">
        <f>Sites[[#This Row],[SOL'#]]</f>
        <v>#VALUE!</v>
      </c>
      <c r="D155" s="57"/>
      <c r="E155" s="12"/>
      <c r="F155" s="12" t="str">
        <f t="shared" si="12"/>
        <v/>
      </c>
      <c r="G155" s="59" t="str">
        <f t="shared" si="13"/>
        <v/>
      </c>
      <c r="H155" s="60"/>
      <c r="I155" s="60" t="str">
        <f t="shared" si="14"/>
        <v/>
      </c>
      <c r="J155" s="59" t="str">
        <f t="shared" si="15"/>
        <v/>
      </c>
      <c r="K155" s="45"/>
      <c r="L155" s="73"/>
    </row>
    <row r="156" spans="1:12" ht="15.6">
      <c r="A156" s="22"/>
      <c r="B156" s="23"/>
      <c r="C156" s="23" t="e">
        <f>Sites[[#This Row],[SOL'#]]</f>
        <v>#VALUE!</v>
      </c>
      <c r="D156" s="48"/>
      <c r="E156" s="8"/>
      <c r="F156" s="8" t="str">
        <f t="shared" si="12"/>
        <v/>
      </c>
      <c r="G156" s="49" t="str">
        <f t="shared" si="13"/>
        <v/>
      </c>
      <c r="H156" s="58"/>
      <c r="I156" s="58" t="str">
        <f t="shared" si="14"/>
        <v/>
      </c>
      <c r="J156" s="56" t="str">
        <f t="shared" si="15"/>
        <v/>
      </c>
      <c r="K156" s="63"/>
      <c r="L156" s="41"/>
    </row>
    <row r="157" spans="1:12" ht="15.6">
      <c r="A157" s="24"/>
      <c r="B157" s="25"/>
      <c r="C157" s="23" t="e">
        <f>Sites[[#This Row],[SOL'#]]</f>
        <v>#VALUE!</v>
      </c>
      <c r="D157" s="57"/>
      <c r="E157" s="12"/>
      <c r="F157" s="12" t="str">
        <f t="shared" si="12"/>
        <v/>
      </c>
      <c r="G157" s="59" t="str">
        <f t="shared" si="13"/>
        <v/>
      </c>
      <c r="H157" s="60"/>
      <c r="I157" s="60" t="str">
        <f t="shared" si="14"/>
        <v/>
      </c>
      <c r="J157" s="59" t="str">
        <f t="shared" si="15"/>
        <v/>
      </c>
      <c r="K157" s="45"/>
      <c r="L157" s="73"/>
    </row>
    <row r="158" spans="1:12" ht="15.6">
      <c r="A158" s="22"/>
      <c r="B158" s="23"/>
      <c r="C158" s="23" t="e">
        <f>Sites[[#This Row],[SOL'#]]</f>
        <v>#VALUE!</v>
      </c>
      <c r="D158" s="48"/>
      <c r="E158" s="8"/>
      <c r="F158" s="8" t="str">
        <f t="shared" si="12"/>
        <v/>
      </c>
      <c r="G158" s="49" t="str">
        <f t="shared" si="13"/>
        <v/>
      </c>
      <c r="H158" s="58"/>
      <c r="I158" s="58" t="str">
        <f t="shared" si="14"/>
        <v/>
      </c>
      <c r="J158" s="56" t="str">
        <f t="shared" si="15"/>
        <v/>
      </c>
      <c r="K158" s="63"/>
      <c r="L158" s="41"/>
    </row>
    <row r="159" spans="1:12" ht="14.45">
      <c r="A159" s="15"/>
      <c r="B159" s="27"/>
      <c r="C159" s="27"/>
      <c r="D159" s="15"/>
      <c r="E159" s="15"/>
      <c r="F159" s="15"/>
      <c r="G159" s="16"/>
      <c r="H159" s="15"/>
      <c r="I159" s="15"/>
      <c r="J159" s="16"/>
      <c r="K159" s="15"/>
      <c r="L159" s="15"/>
    </row>
    <row r="160" spans="1:12" ht="14.45">
      <c r="A160" s="15"/>
      <c r="B160" s="27"/>
      <c r="C160" s="27"/>
      <c r="D160" s="15"/>
      <c r="E160" s="15"/>
      <c r="F160" s="15"/>
      <c r="G160" s="16"/>
      <c r="H160" s="15"/>
      <c r="I160" s="15"/>
      <c r="J160" s="16"/>
      <c r="K160" s="15"/>
      <c r="L160" s="15"/>
    </row>
    <row r="161" spans="1:12" ht="14.45">
      <c r="A161" s="15"/>
      <c r="B161" s="27"/>
      <c r="C161" s="27"/>
      <c r="D161" s="15"/>
      <c r="E161" s="15"/>
      <c r="F161" s="15"/>
      <c r="G161" s="16"/>
      <c r="H161" s="15"/>
      <c r="I161" s="15"/>
      <c r="J161" s="16"/>
      <c r="K161" s="15"/>
      <c r="L161" s="15"/>
    </row>
    <row r="162" spans="1:12" ht="14.45">
      <c r="A162" s="15"/>
      <c r="B162" s="27"/>
      <c r="C162" s="27"/>
      <c r="D162" s="15"/>
      <c r="E162" s="15"/>
      <c r="F162" s="15"/>
      <c r="G162" s="16"/>
      <c r="H162" s="15"/>
      <c r="I162" s="15"/>
      <c r="J162" s="16"/>
      <c r="K162" s="15"/>
      <c r="L162" s="15"/>
    </row>
    <row r="163" spans="1:12" ht="14.45">
      <c r="A163" s="15"/>
      <c r="B163" s="27"/>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row r="169" spans="1:12" ht="14.45">
      <c r="A169" s="15"/>
      <c r="B169" s="27"/>
      <c r="C169" s="27"/>
      <c r="D169" s="15"/>
      <c r="E169" s="15"/>
      <c r="F169" s="15"/>
      <c r="G169" s="16"/>
      <c r="H169" s="15"/>
      <c r="I169" s="15"/>
      <c r="J169" s="16"/>
      <c r="K169" s="15"/>
      <c r="L169" s="15"/>
    </row>
    <row r="170" spans="1:12" ht="14.45">
      <c r="A170" s="15"/>
      <c r="B170" s="27"/>
      <c r="C170" s="27"/>
      <c r="D170" s="15"/>
      <c r="E170" s="15"/>
      <c r="F170" s="15"/>
      <c r="G170" s="16"/>
      <c r="H170" s="15"/>
      <c r="I170" s="15"/>
      <c r="J170" s="16"/>
      <c r="K170" s="15"/>
      <c r="L170" s="15"/>
    </row>
    <row r="171" spans="1:12" ht="14.45">
      <c r="A171" s="15"/>
      <c r="B171" s="27"/>
      <c r="C171" s="27"/>
      <c r="D171" s="15"/>
      <c r="E171" s="15"/>
      <c r="F171" s="15"/>
      <c r="G171" s="16"/>
      <c r="H171" s="15"/>
      <c r="I171" s="15"/>
      <c r="J171" s="16"/>
      <c r="K171" s="15"/>
      <c r="L171" s="15"/>
    </row>
    <row r="172" spans="1:12" ht="14.4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58 J4:J158">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172"/>
  <sheetViews>
    <sheetView zoomScale="70" zoomScaleNormal="70" workbookViewId="0">
      <pane xSplit="2" ySplit="3" topLeftCell="C148" activePane="bottomRight" state="frozen"/>
      <selection pane="bottomRight" activeCell="A159" sqref="A159:XFD186"/>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2.28515625" style="28"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38" t="str" cm="1">
        <f t="array" ref="A1">portfolio</f>
        <v>GoodFinch</v>
      </c>
      <c r="B1" s="138"/>
      <c r="C1" s="138"/>
      <c r="D1" s="138"/>
      <c r="E1" s="139" t="s">
        <v>214</v>
      </c>
      <c r="F1" s="139"/>
      <c r="G1" s="139"/>
      <c r="H1" s="137" t="s">
        <v>215</v>
      </c>
      <c r="I1" s="137"/>
      <c r="J1" s="137"/>
      <c r="K1" s="2"/>
      <c r="L1" s="2"/>
    </row>
    <row r="2" spans="1:12" ht="19.5" customHeight="1">
      <c r="A2" s="140" t="s">
        <v>2</v>
      </c>
      <c r="B2" s="140"/>
      <c r="C2" s="51"/>
      <c r="D2" s="3">
        <f>SUM(D4:D100)</f>
        <v>0</v>
      </c>
      <c r="E2" s="3">
        <f>SUM(E4:E100)</f>
        <v>0</v>
      </c>
      <c r="F2" s="3">
        <f>D2-E2</f>
        <v>0</v>
      </c>
      <c r="G2" s="4">
        <f>IFERROR(F2/E2, 0)</f>
        <v>0</v>
      </c>
      <c r="H2" s="3">
        <f>SUM(H4:H100)</f>
        <v>0</v>
      </c>
      <c r="I2" s="5">
        <f>D2-H2</f>
        <v>0</v>
      </c>
      <c r="J2" s="4">
        <f>IFERROR(I2/H2, 0)</f>
        <v>0</v>
      </c>
      <c r="K2" s="20"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43"/>
      <c r="L4" s="43"/>
    </row>
    <row r="5" spans="1:12" ht="15.6">
      <c r="A5" s="24" t="str">
        <v>AZ: Tempe - ASU - Fulton</v>
      </c>
      <c r="B5" s="25" t="str">
        <v>AZ</v>
      </c>
      <c r="C5" s="23" t="str">
        <f>Sites[[#This Row],[SOL'#]]</f>
        <v>SOL-10749</v>
      </c>
      <c r="D5" s="7"/>
      <c r="E5" s="12"/>
      <c r="F5" s="12" t="str">
        <f t="shared" ref="F5:F17" si="0">IF(AND(ISNUMBER(D5),ISNUMBER(E5)), D5-E5, "")</f>
        <v/>
      </c>
      <c r="G5" s="13" t="str">
        <f>IFERROR(F5/E5, "")</f>
        <v/>
      </c>
      <c r="H5" s="14"/>
      <c r="I5" s="14" t="str">
        <f t="shared" ref="I5:I17" si="1">IF(AND(ISNUMBER(D5),ISNUMBER(H5)), D5-H5, "")</f>
        <v/>
      </c>
      <c r="J5" s="13" t="str">
        <f t="shared" ref="J5:J17" si="2">IFERROR(I5/H5, "")</f>
        <v/>
      </c>
      <c r="K5" s="109"/>
      <c r="L5" s="109"/>
    </row>
    <row r="6" spans="1:12" ht="15.6">
      <c r="A6" s="22" t="str">
        <v>AZ: Superior - JFK Elementary</v>
      </c>
      <c r="B6" s="23" t="str">
        <v>AZ</v>
      </c>
      <c r="C6" s="23" t="str">
        <f>Sites[[#This Row],[SOL'#]]</f>
        <v>SOL-10758</v>
      </c>
      <c r="D6" s="18"/>
      <c r="E6" s="8"/>
      <c r="F6" s="8" t="str">
        <f t="shared" si="0"/>
        <v/>
      </c>
      <c r="G6" s="9" t="str">
        <f t="shared" ref="G6:G16" si="3">IFERROR(F6/E6, "")</f>
        <v/>
      </c>
      <c r="H6" s="10"/>
      <c r="I6" s="10" t="str">
        <f t="shared" si="1"/>
        <v/>
      </c>
      <c r="J6" s="11" t="str">
        <f t="shared" si="2"/>
        <v/>
      </c>
      <c r="K6" s="43"/>
      <c r="L6" s="43"/>
    </row>
    <row r="7" spans="1:12" ht="24.75" customHeight="1">
      <c r="A7" s="24" t="str">
        <v>AZ: Tempe - ASU - Noble</v>
      </c>
      <c r="B7" s="25" t="str">
        <v>AZ</v>
      </c>
      <c r="C7" s="23" t="str">
        <f>Sites[[#This Row],[SOL'#]]</f>
        <v>SOL-10750</v>
      </c>
      <c r="D7" s="7"/>
      <c r="E7" s="12"/>
      <c r="F7" s="12" t="str">
        <f t="shared" si="0"/>
        <v/>
      </c>
      <c r="G7" s="13" t="str">
        <f t="shared" si="3"/>
        <v/>
      </c>
      <c r="H7" s="14"/>
      <c r="I7" s="14" t="str">
        <f t="shared" si="1"/>
        <v/>
      </c>
      <c r="J7" s="13" t="str">
        <f t="shared" si="2"/>
        <v/>
      </c>
      <c r="K7" s="109"/>
      <c r="L7" s="77"/>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43"/>
      <c r="L8" s="43"/>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109"/>
      <c r="L9" s="78"/>
    </row>
    <row r="10" spans="1:12" ht="64.5" customHeight="1">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43"/>
      <c r="L10" s="43"/>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109"/>
      <c r="L11" s="77"/>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43"/>
      <c r="L12" s="43"/>
    </row>
    <row r="13" spans="1:12" ht="39" customHeight="1">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109"/>
      <c r="L13" s="77"/>
    </row>
    <row r="14" spans="1:12" ht="19.5" customHeight="1">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43"/>
      <c r="L14" s="91"/>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109"/>
      <c r="L15" s="77"/>
    </row>
    <row r="16" spans="1:12" ht="42" customHeight="1">
      <c r="A16" s="22" t="str">
        <v>AZ: Tempe - SCNM</v>
      </c>
      <c r="B16" s="23" t="str">
        <v>AZ</v>
      </c>
      <c r="C16" s="23" t="str">
        <f>Sites[[#This Row],[SOL'#]]</f>
        <v>SOL-10760</v>
      </c>
      <c r="D16" s="18"/>
      <c r="E16" s="8"/>
      <c r="F16" s="8" t="str">
        <f>IF(AND(ISNUMBER(D16),ISNUMBER(E16)), D16-E16, "")</f>
        <v/>
      </c>
      <c r="G16" s="9" t="str">
        <f t="shared" si="3"/>
        <v/>
      </c>
      <c r="H16" s="10"/>
      <c r="I16" s="10" t="str">
        <f t="shared" si="1"/>
        <v/>
      </c>
      <c r="J16" s="11" t="str">
        <f>IFERROR(I16/H16, "")</f>
        <v/>
      </c>
      <c r="K16" s="43"/>
      <c r="L16" s="43"/>
    </row>
    <row r="17" spans="1:12" ht="15.6">
      <c r="A17" s="24" t="str">
        <v>DE: Newark - Clayton Hall</v>
      </c>
      <c r="B17" s="25" t="str">
        <v>DE</v>
      </c>
      <c r="C17" s="23" t="str">
        <f>Sites[[#This Row],[SOL'#]]</f>
        <v>SOL-10820</v>
      </c>
      <c r="D17" s="7"/>
      <c r="E17" s="12"/>
      <c r="F17" s="12" t="str">
        <f t="shared" si="0"/>
        <v/>
      </c>
      <c r="G17" s="13" t="str">
        <f t="shared" ref="G17:G48" si="4">IFERROR(F17/E17, "")</f>
        <v/>
      </c>
      <c r="H17" s="14"/>
      <c r="I17" s="14" t="str">
        <f t="shared" si="1"/>
        <v/>
      </c>
      <c r="J17" s="13" t="str">
        <f t="shared" si="2"/>
        <v/>
      </c>
      <c r="K17" s="109"/>
      <c r="L17" s="77"/>
    </row>
    <row r="18" spans="1:12" ht="18" customHeight="1">
      <c r="A18" s="22" t="str">
        <v>DE: Newark - UOD Field House</v>
      </c>
      <c r="B18" s="23" t="str">
        <v>DE</v>
      </c>
      <c r="C18" s="23" t="str">
        <f>Sites[[#This Row],[SOL'#]]</f>
        <v>SOL-10821</v>
      </c>
      <c r="D18" s="18"/>
      <c r="E18" s="8"/>
      <c r="F18" s="8" t="str">
        <f t="shared" ref="F18:F49" si="5">IF(AND(ISNUMBER(D18),ISNUMBER(E18)), D18-E18, "")</f>
        <v/>
      </c>
      <c r="G18" s="9" t="str">
        <f t="shared" si="4"/>
        <v/>
      </c>
      <c r="H18" s="10"/>
      <c r="I18" s="10" t="str">
        <f t="shared" ref="I18:I49" si="6">IF(AND(ISNUMBER(D18),ISNUMBER(H18)), D18-H18, "")</f>
        <v/>
      </c>
      <c r="J18" s="11" t="str">
        <f t="shared" ref="J18:J49" si="7">IFERROR(I18/H18, "")</f>
        <v/>
      </c>
      <c r="K18" s="43"/>
      <c r="L18" s="43"/>
    </row>
    <row r="19" spans="1:12" ht="15.6">
      <c r="A19" s="24" t="str">
        <v>DE: Newark - UOD 461 Wyoming</v>
      </c>
      <c r="B19" s="25" t="str">
        <v>DE</v>
      </c>
      <c r="C19" s="23" t="str">
        <f>Sites[[#This Row],[SOL'#]]</f>
        <v>SOL-10819</v>
      </c>
      <c r="D19" s="7"/>
      <c r="E19" s="12"/>
      <c r="F19" s="12" t="str">
        <f t="shared" si="5"/>
        <v/>
      </c>
      <c r="G19" s="13" t="str">
        <f t="shared" si="4"/>
        <v/>
      </c>
      <c r="H19" s="14"/>
      <c r="I19" s="14" t="str">
        <f t="shared" si="6"/>
        <v/>
      </c>
      <c r="J19" s="13" t="str">
        <f t="shared" si="7"/>
        <v/>
      </c>
      <c r="K19" s="109"/>
      <c r="L19" s="77"/>
    </row>
    <row r="20" spans="1:12" ht="24.75" customHeight="1">
      <c r="A20" s="22" t="str">
        <v>MD: Presston - Bird-in-Hand</v>
      </c>
      <c r="B20" s="23" t="str">
        <v>MD</v>
      </c>
      <c r="C20" s="23" t="str">
        <f>Sites[[#This Row],[SOL'#]]</f>
        <v>SOL-10092</v>
      </c>
      <c r="D20" s="18"/>
      <c r="E20" s="8"/>
      <c r="F20" s="8" t="str">
        <f t="shared" si="5"/>
        <v/>
      </c>
      <c r="G20" s="9" t="str">
        <f t="shared" si="4"/>
        <v/>
      </c>
      <c r="H20" s="10"/>
      <c r="I20" s="10" t="str">
        <f t="shared" si="6"/>
        <v/>
      </c>
      <c r="J20" s="11" t="str">
        <f t="shared" si="7"/>
        <v/>
      </c>
      <c r="K20" s="43"/>
      <c r="L20" s="43"/>
    </row>
    <row r="21" spans="1:12" ht="15.6">
      <c r="A21" s="24" t="str">
        <v>MD: Easton - Shortall</v>
      </c>
      <c r="B21" s="25" t="str">
        <v>MD</v>
      </c>
      <c r="C21" s="23" t="str">
        <f>Sites[[#This Row],[SOL'#]]</f>
        <v>SOL-10091</v>
      </c>
      <c r="D21" s="7"/>
      <c r="E21" s="12"/>
      <c r="F21" s="12" t="str">
        <f t="shared" si="5"/>
        <v/>
      </c>
      <c r="G21" s="13" t="str">
        <f t="shared" si="4"/>
        <v/>
      </c>
      <c r="H21" s="14"/>
      <c r="I21" s="14" t="str">
        <f t="shared" si="6"/>
        <v/>
      </c>
      <c r="J21" s="13" t="str">
        <f t="shared" si="7"/>
        <v/>
      </c>
      <c r="K21" s="109"/>
      <c r="L21" s="78"/>
    </row>
    <row r="22" spans="1:12" ht="15.6">
      <c r="A22" s="22" t="str">
        <v>MA: Boston - Seaport Solar</v>
      </c>
      <c r="B22" s="23" t="str">
        <v>MA</v>
      </c>
      <c r="C22" s="23" t="str">
        <f>Sites[[#This Row],[SOL'#]]</f>
        <v>SOL-10772</v>
      </c>
      <c r="D22" s="18"/>
      <c r="E22" s="8"/>
      <c r="F22" s="8" t="str">
        <f t="shared" si="5"/>
        <v/>
      </c>
      <c r="G22" s="9" t="str">
        <f t="shared" si="4"/>
        <v/>
      </c>
      <c r="H22" s="10"/>
      <c r="I22" s="10" t="str">
        <f t="shared" si="6"/>
        <v/>
      </c>
      <c r="J22" s="11" t="str">
        <f t="shared" si="7"/>
        <v/>
      </c>
      <c r="K22" s="43"/>
      <c r="L22" s="43"/>
    </row>
    <row r="23" spans="1:12" ht="27" customHeight="1">
      <c r="A23" s="24" t="str">
        <v>MA: Dedham - Sprague Street</v>
      </c>
      <c r="B23" s="25" t="str">
        <v>MA</v>
      </c>
      <c r="C23" s="23" t="str">
        <f>Sites[[#This Row],[SOL'#]]</f>
        <v>SOL-10773</v>
      </c>
      <c r="D23" s="7"/>
      <c r="E23" s="12"/>
      <c r="F23" s="12" t="str">
        <f t="shared" si="5"/>
        <v/>
      </c>
      <c r="G23" s="13" t="str">
        <f t="shared" si="4"/>
        <v/>
      </c>
      <c r="H23" s="14"/>
      <c r="I23" s="14" t="str">
        <f t="shared" si="6"/>
        <v/>
      </c>
      <c r="J23" s="13" t="str">
        <f t="shared" si="7"/>
        <v/>
      </c>
      <c r="K23" s="109"/>
      <c r="L23" s="78"/>
    </row>
    <row r="24" spans="1:12" ht="15.6">
      <c r="A24" s="22" t="str">
        <v>MA: Boston - Summer Street</v>
      </c>
      <c r="B24" s="23" t="str">
        <v>MA</v>
      </c>
      <c r="C24" s="23" t="str">
        <f>Sites[[#This Row],[SOL'#]]</f>
        <v>SOL-10764</v>
      </c>
      <c r="D24" s="18"/>
      <c r="E24" s="8"/>
      <c r="F24" s="8" t="str">
        <f t="shared" si="5"/>
        <v/>
      </c>
      <c r="G24" s="9" t="str">
        <f t="shared" si="4"/>
        <v/>
      </c>
      <c r="H24" s="10"/>
      <c r="I24" s="10" t="str">
        <f t="shared" si="6"/>
        <v/>
      </c>
      <c r="J24" s="11" t="str">
        <f t="shared" si="7"/>
        <v/>
      </c>
      <c r="K24" s="43"/>
      <c r="L24" s="43"/>
    </row>
    <row r="25" spans="1:12" ht="15.6">
      <c r="A25" s="24" t="str">
        <v>MA: Leominster - Spectro Coatings</v>
      </c>
      <c r="B25" s="25" t="str">
        <v>MA</v>
      </c>
      <c r="C25" s="23" t="str">
        <f>Sites[[#This Row],[SOL'#]]</f>
        <v>SOL-10074</v>
      </c>
      <c r="D25" s="7"/>
      <c r="E25" s="12"/>
      <c r="F25" s="12" t="str">
        <f t="shared" si="5"/>
        <v/>
      </c>
      <c r="G25" s="13" t="str">
        <f t="shared" si="4"/>
        <v/>
      </c>
      <c r="H25" s="14"/>
      <c r="I25" s="14" t="str">
        <f t="shared" si="6"/>
        <v/>
      </c>
      <c r="J25" s="13" t="str">
        <f t="shared" si="7"/>
        <v/>
      </c>
      <c r="K25" s="109"/>
      <c r="L25" s="79"/>
    </row>
    <row r="26" spans="1:12" ht="15.6">
      <c r="A26" s="22" t="str">
        <v>MA: Braintree - RCAB</v>
      </c>
      <c r="B26" s="23" t="str">
        <v>MA</v>
      </c>
      <c r="C26" s="23" t="str">
        <f>Sites[[#This Row],[SOL'#]]</f>
        <v>SOL-10838</v>
      </c>
      <c r="D26" s="18"/>
      <c r="E26" s="8"/>
      <c r="F26" s="8" t="str">
        <f t="shared" si="5"/>
        <v/>
      </c>
      <c r="G26" s="9" t="str">
        <f t="shared" si="4"/>
        <v/>
      </c>
      <c r="H26" s="10"/>
      <c r="I26" s="10" t="str">
        <f t="shared" si="6"/>
        <v/>
      </c>
      <c r="J26" s="11" t="str">
        <f t="shared" si="7"/>
        <v/>
      </c>
      <c r="K26" s="43"/>
      <c r="L26" s="43"/>
    </row>
    <row r="27" spans="1:12" ht="15.6">
      <c r="A27" s="24" t="str">
        <v>NH: Rochester - Portland Street</v>
      </c>
      <c r="B27" s="25" t="str">
        <v>NH</v>
      </c>
      <c r="C27" s="23" t="str">
        <f>Sites[[#This Row],[SOL'#]]</f>
        <v>SOL-10771</v>
      </c>
      <c r="D27" s="7"/>
      <c r="E27" s="12"/>
      <c r="F27" s="12" t="str">
        <f t="shared" si="5"/>
        <v/>
      </c>
      <c r="G27" s="13" t="str">
        <f t="shared" si="4"/>
        <v/>
      </c>
      <c r="H27" s="14"/>
      <c r="I27" s="14" t="str">
        <f t="shared" si="6"/>
        <v/>
      </c>
      <c r="J27" s="13" t="str">
        <f t="shared" si="7"/>
        <v/>
      </c>
      <c r="K27" s="109"/>
      <c r="L27" s="78"/>
    </row>
    <row r="28" spans="1:12" ht="15.6">
      <c r="A28" s="22" t="str">
        <v>NH: Portsmouth - Portsmouth HS</v>
      </c>
      <c r="B28" s="23" t="str">
        <v>NH</v>
      </c>
      <c r="C28" s="23" t="str">
        <f>Sites[[#This Row],[SOL'#]]</f>
        <v>SOL-10769</v>
      </c>
      <c r="D28" s="18"/>
      <c r="E28" s="8"/>
      <c r="F28" s="8" t="str">
        <f t="shared" si="5"/>
        <v/>
      </c>
      <c r="G28" s="9" t="str">
        <f t="shared" si="4"/>
        <v/>
      </c>
      <c r="H28" s="10"/>
      <c r="I28" s="10" t="str">
        <f t="shared" si="6"/>
        <v/>
      </c>
      <c r="J28" s="11" t="str">
        <f t="shared" si="7"/>
        <v/>
      </c>
      <c r="K28" s="43"/>
      <c r="L28" s="43"/>
    </row>
    <row r="29" spans="1:12" ht="15.6">
      <c r="A29" s="24" t="str">
        <v>NH: Portsmouth - Portsmouth WTP</v>
      </c>
      <c r="B29" s="25" t="str">
        <v>NH</v>
      </c>
      <c r="C29" s="23" t="str">
        <f>Sites[[#This Row],[SOL'#]]</f>
        <v>SOL-10770</v>
      </c>
      <c r="D29" s="7"/>
      <c r="E29" s="12"/>
      <c r="F29" s="12" t="str">
        <f t="shared" si="5"/>
        <v/>
      </c>
      <c r="G29" s="13" t="str">
        <f t="shared" si="4"/>
        <v/>
      </c>
      <c r="H29" s="14"/>
      <c r="I29" s="14" t="str">
        <f t="shared" si="6"/>
        <v/>
      </c>
      <c r="J29" s="13" t="str">
        <f t="shared" si="7"/>
        <v/>
      </c>
      <c r="K29" s="109"/>
      <c r="L29" s="109"/>
    </row>
    <row r="30" spans="1:12" ht="15.6">
      <c r="A30" s="22" t="str">
        <v>NH: Rochester - Rochester MS</v>
      </c>
      <c r="B30" s="23" t="str">
        <v>NH</v>
      </c>
      <c r="C30" s="23" t="str">
        <f>Sites[[#This Row],[SOL'#]]</f>
        <v>SOL-10765</v>
      </c>
      <c r="D30" s="18"/>
      <c r="E30" s="8"/>
      <c r="F30" s="8" t="str">
        <f t="shared" si="5"/>
        <v/>
      </c>
      <c r="G30" s="9" t="str">
        <f t="shared" si="4"/>
        <v/>
      </c>
      <c r="H30" s="10"/>
      <c r="I30" s="10" t="str">
        <f t="shared" si="6"/>
        <v/>
      </c>
      <c r="J30" s="11" t="str">
        <f t="shared" si="7"/>
        <v/>
      </c>
      <c r="K30" s="43"/>
      <c r="L30" s="43"/>
    </row>
    <row r="31" spans="1:12" ht="15.6">
      <c r="A31" s="24" t="str">
        <v>NH Rochester - Spaulding HS</v>
      </c>
      <c r="B31" s="25" t="str">
        <v>NH</v>
      </c>
      <c r="C31" s="23" t="str">
        <f>Sites[[#This Row],[SOL'#]]</f>
        <v>SOL-10767</v>
      </c>
      <c r="D31" s="7"/>
      <c r="E31" s="12"/>
      <c r="F31" s="12" t="str">
        <f t="shared" si="5"/>
        <v/>
      </c>
      <c r="G31" s="13" t="str">
        <f t="shared" si="4"/>
        <v/>
      </c>
      <c r="H31" s="14"/>
      <c r="I31" s="14" t="str">
        <f t="shared" si="6"/>
        <v/>
      </c>
      <c r="J31" s="13" t="str">
        <f t="shared" si="7"/>
        <v/>
      </c>
      <c r="K31" s="109"/>
      <c r="L31" s="109"/>
    </row>
    <row r="32" spans="1:12" ht="15.6">
      <c r="A32" s="22" t="str">
        <v>NH: Rochester - McClelland ES</v>
      </c>
      <c r="B32" s="23" t="str">
        <v>NH</v>
      </c>
      <c r="C32" s="23" t="str">
        <f>Sites[[#This Row],[SOL'#]]</f>
        <v>SOL-10766</v>
      </c>
      <c r="D32" s="18"/>
      <c r="E32" s="8"/>
      <c r="F32" s="8" t="str">
        <f t="shared" si="5"/>
        <v/>
      </c>
      <c r="G32" s="9" t="str">
        <f t="shared" si="4"/>
        <v/>
      </c>
      <c r="H32" s="10"/>
      <c r="I32" s="10" t="str">
        <f t="shared" si="6"/>
        <v/>
      </c>
      <c r="J32" s="11" t="str">
        <f t="shared" si="7"/>
        <v/>
      </c>
      <c r="K32" s="43"/>
      <c r="L32" s="43"/>
    </row>
    <row r="33" spans="1:12" ht="15.6">
      <c r="A33" s="24" t="str">
        <v>NH: Rochester - Brock St Vocational</v>
      </c>
      <c r="B33" s="25" t="str">
        <v>NH</v>
      </c>
      <c r="C33" s="23" t="str">
        <f>Sites[[#This Row],[SOL'#]]</f>
        <v>SOL-10768</v>
      </c>
      <c r="D33" s="7"/>
      <c r="E33" s="12"/>
      <c r="F33" s="12" t="str">
        <f t="shared" si="5"/>
        <v/>
      </c>
      <c r="G33" s="13" t="str">
        <f t="shared" si="4"/>
        <v/>
      </c>
      <c r="H33" s="14"/>
      <c r="I33" s="14" t="str">
        <f t="shared" si="6"/>
        <v/>
      </c>
      <c r="J33" s="13" t="str">
        <f t="shared" si="7"/>
        <v/>
      </c>
      <c r="K33" s="109"/>
      <c r="L33" s="109"/>
    </row>
    <row r="34" spans="1:12" ht="15.6">
      <c r="A34" s="22" t="str">
        <v>OH: Cleveland - CV Kinsman</v>
      </c>
      <c r="B34" s="23" t="str">
        <v>OH</v>
      </c>
      <c r="C34" s="23" t="str">
        <f>Sites[[#This Row],[SOL'#]]</f>
        <v>SOL-10762</v>
      </c>
      <c r="D34" s="18"/>
      <c r="E34" s="8"/>
      <c r="F34" s="8" t="str">
        <f t="shared" si="5"/>
        <v/>
      </c>
      <c r="G34" s="9" t="str">
        <f t="shared" si="4"/>
        <v/>
      </c>
      <c r="H34" s="10"/>
      <c r="I34" s="10" t="str">
        <f t="shared" si="6"/>
        <v/>
      </c>
      <c r="J34" s="11" t="str">
        <f t="shared" si="7"/>
        <v/>
      </c>
      <c r="K34" s="43"/>
      <c r="L34" s="43"/>
    </row>
    <row r="35" spans="1:12" ht="15.6">
      <c r="A35" s="24" t="str">
        <v>OH: Cleveland - CV Wooster</v>
      </c>
      <c r="B35" s="25" t="str">
        <v>OH</v>
      </c>
      <c r="C35" s="23" t="str">
        <f>Sites[[#This Row],[SOL'#]]</f>
        <v>SOL-10763</v>
      </c>
      <c r="D35" s="7"/>
      <c r="E35" s="12"/>
      <c r="F35" s="12" t="str">
        <f t="shared" si="5"/>
        <v/>
      </c>
      <c r="G35" s="13" t="str">
        <f t="shared" si="4"/>
        <v/>
      </c>
      <c r="H35" s="14"/>
      <c r="I35" s="14" t="str">
        <f t="shared" si="6"/>
        <v/>
      </c>
      <c r="J35" s="13" t="str">
        <f t="shared" si="7"/>
        <v/>
      </c>
      <c r="K35" s="109"/>
      <c r="L35" s="78"/>
    </row>
    <row r="36" spans="1:12" ht="15.6">
      <c r="A36" s="22" t="str">
        <v>PR: Aguadilla - Coca Cola</v>
      </c>
      <c r="B36" s="23" t="str">
        <v>PR</v>
      </c>
      <c r="C36" s="23" t="str">
        <f>Sites[[#This Row],[SOL'#]]</f>
        <v>SOL-10072</v>
      </c>
      <c r="D36" s="18"/>
      <c r="E36" s="8"/>
      <c r="F36" s="8" t="str">
        <f t="shared" si="5"/>
        <v/>
      </c>
      <c r="G36" s="9" t="str">
        <f t="shared" si="4"/>
        <v/>
      </c>
      <c r="H36" s="10"/>
      <c r="I36" s="10" t="str">
        <f t="shared" si="6"/>
        <v/>
      </c>
      <c r="J36" s="11" t="str">
        <f t="shared" si="7"/>
        <v/>
      </c>
      <c r="K36" s="43"/>
      <c r="L36" s="43"/>
    </row>
    <row r="37" spans="1:12" ht="15.6">
      <c r="A37" s="24" t="str">
        <v>PR: Bayamon - Coca Cola</v>
      </c>
      <c r="B37" s="25" t="str">
        <v>PR</v>
      </c>
      <c r="C37" s="23" t="str">
        <f>Sites[[#This Row],[SOL'#]]</f>
        <v>SOL-10073</v>
      </c>
      <c r="D37" s="7"/>
      <c r="E37" s="12"/>
      <c r="F37" s="12" t="str">
        <f t="shared" si="5"/>
        <v/>
      </c>
      <c r="G37" s="13" t="str">
        <f t="shared" si="4"/>
        <v/>
      </c>
      <c r="H37" s="14"/>
      <c r="I37" s="14" t="str">
        <f t="shared" si="6"/>
        <v/>
      </c>
      <c r="J37" s="13" t="str">
        <f t="shared" si="7"/>
        <v/>
      </c>
      <c r="K37" s="109"/>
      <c r="L37" s="78"/>
    </row>
    <row r="38" spans="1:12" ht="15.6">
      <c r="A38" s="22" t="str">
        <v>PR: Carolina - St. Francis</v>
      </c>
      <c r="B38" s="23" t="str">
        <v>PR</v>
      </c>
      <c r="C38" s="23" t="str">
        <f>Sites[[#This Row],[SOL'#]]</f>
        <v>SOL-10034</v>
      </c>
      <c r="D38" s="18"/>
      <c r="E38" s="8"/>
      <c r="F38" s="8" t="str">
        <f t="shared" si="5"/>
        <v/>
      </c>
      <c r="G38" s="9" t="str">
        <f t="shared" si="4"/>
        <v/>
      </c>
      <c r="H38" s="10"/>
      <c r="I38" s="10" t="str">
        <f t="shared" si="6"/>
        <v/>
      </c>
      <c r="J38" s="11" t="str">
        <f t="shared" si="7"/>
        <v/>
      </c>
      <c r="K38" s="43"/>
      <c r="L38" s="43"/>
    </row>
    <row r="39" spans="1:12" ht="15.6">
      <c r="A39" s="24" t="str">
        <v>DC: Chevy Chase -Sinai</v>
      </c>
      <c r="B39" s="25" t="str">
        <v>DC</v>
      </c>
      <c r="C39" s="23" t="str">
        <f>Sites[[#This Row],[SOL'#]]</f>
        <v>SOL-10028</v>
      </c>
      <c r="D39" s="7"/>
      <c r="E39" s="12"/>
      <c r="F39" s="12" t="str">
        <f t="shared" si="5"/>
        <v/>
      </c>
      <c r="G39" s="13" t="str">
        <f t="shared" si="4"/>
        <v/>
      </c>
      <c r="H39" s="14"/>
      <c r="I39" s="14" t="str">
        <f t="shared" si="6"/>
        <v/>
      </c>
      <c r="J39" s="13" t="str">
        <f t="shared" si="7"/>
        <v/>
      </c>
      <c r="K39" s="109"/>
      <c r="L39" s="78"/>
    </row>
    <row r="40" spans="1:12" ht="15.6">
      <c r="A40" s="22" t="str">
        <v>DC: Washington - Weinberg 1</v>
      </c>
      <c r="B40" s="23" t="str">
        <v>DC</v>
      </c>
      <c r="C40" s="23" t="str">
        <f>Sites[[#This Row],[SOL'#]]</f>
        <v>SOL-10039</v>
      </c>
      <c r="D40" s="18"/>
      <c r="E40" s="8"/>
      <c r="F40" s="8" t="str">
        <f t="shared" si="5"/>
        <v/>
      </c>
      <c r="G40" s="9" t="str">
        <f t="shared" si="4"/>
        <v/>
      </c>
      <c r="H40" s="10"/>
      <c r="I40" s="10" t="str">
        <f t="shared" si="6"/>
        <v/>
      </c>
      <c r="J40" s="11" t="str">
        <f t="shared" si="7"/>
        <v/>
      </c>
      <c r="K40" s="43"/>
      <c r="L40" s="43"/>
    </row>
    <row r="41" spans="1:12" ht="15.6">
      <c r="A41" s="24" t="str">
        <v>DC: Washington - Weinberg 2</v>
      </c>
      <c r="B41" s="25" t="str">
        <v>DC</v>
      </c>
      <c r="C41" s="23" t="str">
        <f>Sites[[#This Row],[SOL'#]]</f>
        <v>SOL-10045</v>
      </c>
      <c r="D41" s="7"/>
      <c r="E41" s="12"/>
      <c r="F41" s="12" t="str">
        <f t="shared" si="5"/>
        <v/>
      </c>
      <c r="G41" s="13" t="str">
        <f t="shared" si="4"/>
        <v/>
      </c>
      <c r="H41" s="14"/>
      <c r="I41" s="14" t="str">
        <f t="shared" si="6"/>
        <v/>
      </c>
      <c r="J41" s="13" t="str">
        <f t="shared" si="7"/>
        <v/>
      </c>
      <c r="K41" s="109"/>
      <c r="L41" s="109"/>
    </row>
    <row r="42" spans="1:12" ht="15.6">
      <c r="A42" s="22" t="str">
        <v>DC: Washington - Weinberg 3</v>
      </c>
      <c r="B42" s="23" t="str">
        <v>DC</v>
      </c>
      <c r="C42" s="23" t="str">
        <f>Sites[[#This Row],[SOL'#]]</f>
        <v>SOL-10042</v>
      </c>
      <c r="D42" s="18"/>
      <c r="E42" s="8"/>
      <c r="F42" s="8" t="str">
        <f t="shared" si="5"/>
        <v/>
      </c>
      <c r="G42" s="9" t="str">
        <f t="shared" si="4"/>
        <v/>
      </c>
      <c r="H42" s="10"/>
      <c r="I42" s="10" t="str">
        <f t="shared" si="6"/>
        <v/>
      </c>
      <c r="J42" s="11" t="str">
        <f t="shared" si="7"/>
        <v/>
      </c>
      <c r="K42" s="43"/>
      <c r="L42" s="43"/>
    </row>
    <row r="43" spans="1:12" ht="15.6">
      <c r="A43" s="24"/>
      <c r="B43" s="25"/>
      <c r="C43" s="23" t="e">
        <f>Sites[[#This Row],[SOL'#]]</f>
        <v>#VALUE!</v>
      </c>
      <c r="D43" s="7"/>
      <c r="E43" s="12"/>
      <c r="F43" s="12" t="str">
        <f t="shared" si="5"/>
        <v/>
      </c>
      <c r="G43" s="13" t="str">
        <f t="shared" si="4"/>
        <v/>
      </c>
      <c r="H43" s="14"/>
      <c r="I43" s="14" t="str">
        <f t="shared" si="6"/>
        <v/>
      </c>
      <c r="J43" s="13" t="str">
        <f t="shared" si="7"/>
        <v/>
      </c>
      <c r="K43" s="109"/>
      <c r="L43" s="79"/>
    </row>
    <row r="44" spans="1:12" ht="15.6">
      <c r="A44" s="22"/>
      <c r="B44" s="23"/>
      <c r="C44" s="23" t="e">
        <f>Sites[[#This Row],[SOL'#]]</f>
        <v>#VALUE!</v>
      </c>
      <c r="D44" s="18"/>
      <c r="E44" s="8"/>
      <c r="F44" s="8" t="str">
        <f t="shared" si="5"/>
        <v/>
      </c>
      <c r="G44" s="9" t="str">
        <f t="shared" si="4"/>
        <v/>
      </c>
      <c r="H44" s="10"/>
      <c r="I44" s="10" t="str">
        <f t="shared" si="6"/>
        <v/>
      </c>
      <c r="J44" s="11" t="str">
        <f t="shared" si="7"/>
        <v/>
      </c>
      <c r="K44" s="43"/>
      <c r="L44" s="43"/>
    </row>
    <row r="45" spans="1:12" ht="15.6">
      <c r="A45" s="24"/>
      <c r="B45" s="25"/>
      <c r="C45" s="23" t="e">
        <f>Sites[[#This Row],[SOL'#]]</f>
        <v>#VALUE!</v>
      </c>
      <c r="D45" s="7"/>
      <c r="E45" s="12"/>
      <c r="F45" s="12" t="str">
        <f t="shared" si="5"/>
        <v/>
      </c>
      <c r="G45" s="13" t="str">
        <f t="shared" si="4"/>
        <v/>
      </c>
      <c r="H45" s="14"/>
      <c r="I45" s="14" t="str">
        <f t="shared" si="6"/>
        <v/>
      </c>
      <c r="J45" s="13" t="str">
        <f t="shared" si="7"/>
        <v/>
      </c>
      <c r="K45" s="109"/>
      <c r="L45" s="78"/>
    </row>
    <row r="46" spans="1:12" ht="15.6">
      <c r="A46" s="22"/>
      <c r="B46" s="23"/>
      <c r="C46" s="23" t="e">
        <f>Sites[[#This Row],[SOL'#]]</f>
        <v>#VALUE!</v>
      </c>
      <c r="D46" s="18"/>
      <c r="E46" s="8"/>
      <c r="F46" s="8" t="str">
        <f t="shared" si="5"/>
        <v/>
      </c>
      <c r="G46" s="9" t="str">
        <f t="shared" si="4"/>
        <v/>
      </c>
      <c r="H46" s="10"/>
      <c r="I46" s="10" t="str">
        <f t="shared" si="6"/>
        <v/>
      </c>
      <c r="J46" s="11" t="str">
        <f t="shared" si="7"/>
        <v/>
      </c>
      <c r="K46" s="43"/>
      <c r="L46" s="43"/>
    </row>
    <row r="47" spans="1:12" ht="15.6">
      <c r="A47" s="24"/>
      <c r="B47" s="25"/>
      <c r="C47" s="23" t="e">
        <f>Sites[[#This Row],[SOL'#]]</f>
        <v>#VALUE!</v>
      </c>
      <c r="D47" s="7"/>
      <c r="E47" s="12"/>
      <c r="F47" s="12" t="str">
        <f t="shared" si="5"/>
        <v/>
      </c>
      <c r="G47" s="13" t="str">
        <f t="shared" si="4"/>
        <v/>
      </c>
      <c r="H47" s="14"/>
      <c r="I47" s="14" t="str">
        <f t="shared" si="6"/>
        <v/>
      </c>
      <c r="J47" s="13" t="str">
        <f t="shared" si="7"/>
        <v/>
      </c>
      <c r="K47" s="109"/>
      <c r="L47" s="77"/>
    </row>
    <row r="48" spans="1:12" ht="63.75" customHeight="1">
      <c r="A48" s="22"/>
      <c r="B48" s="23"/>
      <c r="C48" s="23" t="e">
        <f>Sites[[#This Row],[SOL'#]]</f>
        <v>#VALUE!</v>
      </c>
      <c r="D48" s="18"/>
      <c r="E48" s="8"/>
      <c r="F48" s="8" t="str">
        <f t="shared" si="5"/>
        <v/>
      </c>
      <c r="G48" s="9" t="str">
        <f t="shared" si="4"/>
        <v/>
      </c>
      <c r="H48" s="10"/>
      <c r="I48" s="10" t="str">
        <f t="shared" si="6"/>
        <v/>
      </c>
      <c r="J48" s="11" t="str">
        <f t="shared" si="7"/>
        <v/>
      </c>
      <c r="K48" s="43"/>
      <c r="L48" s="43"/>
    </row>
    <row r="49" spans="1:12" ht="15.6">
      <c r="A49" s="24"/>
      <c r="B49" s="25"/>
      <c r="C49" s="23" t="e">
        <f>Sites[[#This Row],[SOL'#]]</f>
        <v>#VALUE!</v>
      </c>
      <c r="D49" s="7"/>
      <c r="E49" s="12"/>
      <c r="F49" s="12" t="str">
        <f t="shared" si="5"/>
        <v/>
      </c>
      <c r="G49" s="13" t="str">
        <f t="shared" ref="G49:G80" si="8">IFERROR(F49/E49, "")</f>
        <v/>
      </c>
      <c r="H49" s="14"/>
      <c r="I49" s="14" t="str">
        <f t="shared" si="6"/>
        <v/>
      </c>
      <c r="J49" s="13" t="str">
        <f t="shared" si="7"/>
        <v/>
      </c>
      <c r="K49" s="109"/>
      <c r="L49" s="77"/>
    </row>
    <row r="50" spans="1:12" ht="15.6">
      <c r="A50" s="22"/>
      <c r="B50" s="23"/>
      <c r="C50" s="23" t="e">
        <f>Sites[[#This Row],[SOL'#]]</f>
        <v>#VALUE!</v>
      </c>
      <c r="D50" s="18"/>
      <c r="E50" s="8"/>
      <c r="F50" s="8" t="str">
        <f t="shared" ref="F50:F81" si="9">IF(AND(ISNUMBER(D50),ISNUMBER(E50)), D50-E50, "")</f>
        <v/>
      </c>
      <c r="G50" s="9" t="str">
        <f t="shared" si="8"/>
        <v/>
      </c>
      <c r="H50" s="10"/>
      <c r="I50" s="10" t="str">
        <f t="shared" ref="I50:I81" si="10">IF(AND(ISNUMBER(D50),ISNUMBER(H50)), D50-H50, "")</f>
        <v/>
      </c>
      <c r="J50" s="11" t="str">
        <f t="shared" ref="J50:J81" si="11">IFERROR(I50/H50, "")</f>
        <v/>
      </c>
      <c r="K50" s="43"/>
      <c r="L50" s="43"/>
    </row>
    <row r="51" spans="1:12" ht="39.75" customHeight="1">
      <c r="A51" s="24"/>
      <c r="B51" s="25"/>
      <c r="C51" s="23" t="e">
        <f>Sites[[#This Row],[SOL'#]]</f>
        <v>#VALUE!</v>
      </c>
      <c r="D51" s="7"/>
      <c r="E51" s="12"/>
      <c r="F51" s="12" t="str">
        <f t="shared" si="9"/>
        <v/>
      </c>
      <c r="G51" s="13" t="str">
        <f t="shared" si="8"/>
        <v/>
      </c>
      <c r="H51" s="14"/>
      <c r="I51" s="14" t="str">
        <f t="shared" si="10"/>
        <v/>
      </c>
      <c r="J51" s="13" t="str">
        <f t="shared" si="11"/>
        <v/>
      </c>
      <c r="K51" s="109"/>
      <c r="L51" s="77"/>
    </row>
    <row r="52" spans="1:12" ht="15.6">
      <c r="A52" s="22"/>
      <c r="B52" s="23"/>
      <c r="C52" s="23" t="e">
        <f>Sites[[#This Row],[SOL'#]]</f>
        <v>#VALUE!</v>
      </c>
      <c r="D52" s="18"/>
      <c r="E52" s="8"/>
      <c r="F52" s="8" t="str">
        <f t="shared" si="9"/>
        <v/>
      </c>
      <c r="G52" s="9" t="str">
        <f t="shared" si="8"/>
        <v/>
      </c>
      <c r="H52" s="10"/>
      <c r="I52" s="10" t="str">
        <f t="shared" si="10"/>
        <v/>
      </c>
      <c r="J52" s="11" t="str">
        <f t="shared" si="11"/>
        <v/>
      </c>
      <c r="K52" s="43"/>
      <c r="L52" s="43"/>
    </row>
    <row r="53" spans="1:12" ht="15.6">
      <c r="A53" s="24"/>
      <c r="B53" s="25"/>
      <c r="C53" s="23" t="e">
        <f>Sites[[#This Row],[SOL'#]]</f>
        <v>#VALUE!</v>
      </c>
      <c r="D53" s="7"/>
      <c r="E53" s="12"/>
      <c r="F53" s="12" t="str">
        <f t="shared" si="9"/>
        <v/>
      </c>
      <c r="G53" s="13" t="str">
        <f t="shared" si="8"/>
        <v/>
      </c>
      <c r="H53" s="14"/>
      <c r="I53" s="14" t="str">
        <f t="shared" si="10"/>
        <v/>
      </c>
      <c r="J53" s="13" t="str">
        <f t="shared" si="11"/>
        <v/>
      </c>
      <c r="K53" s="109"/>
      <c r="L53" s="109"/>
    </row>
    <row r="54" spans="1:12" ht="15.6">
      <c r="A54" s="22"/>
      <c r="B54" s="23"/>
      <c r="C54" s="23" t="e">
        <f>Sites[[#This Row],[SOL'#]]</f>
        <v>#VALUE!</v>
      </c>
      <c r="D54" s="18"/>
      <c r="E54" s="8"/>
      <c r="F54" s="8" t="str">
        <f t="shared" si="9"/>
        <v/>
      </c>
      <c r="G54" s="9" t="str">
        <f t="shared" si="8"/>
        <v/>
      </c>
      <c r="H54" s="10"/>
      <c r="I54" s="10" t="str">
        <f t="shared" si="10"/>
        <v/>
      </c>
      <c r="J54" s="11" t="str">
        <f t="shared" si="11"/>
        <v/>
      </c>
      <c r="K54" s="43"/>
      <c r="L54" s="43"/>
    </row>
    <row r="55" spans="1:12" ht="15.6">
      <c r="A55" s="24"/>
      <c r="B55" s="25"/>
      <c r="C55" s="23" t="e">
        <f>Sites[[#This Row],[SOL'#]]</f>
        <v>#VALUE!</v>
      </c>
      <c r="D55" s="7"/>
      <c r="E55" s="12"/>
      <c r="F55" s="12" t="str">
        <f t="shared" si="9"/>
        <v/>
      </c>
      <c r="G55" s="13" t="str">
        <f t="shared" si="8"/>
        <v/>
      </c>
      <c r="H55" s="14"/>
      <c r="I55" s="14" t="str">
        <f t="shared" si="10"/>
        <v/>
      </c>
      <c r="J55" s="13" t="str">
        <f t="shared" si="11"/>
        <v/>
      </c>
      <c r="K55" s="109"/>
      <c r="L55" s="77"/>
    </row>
    <row r="56" spans="1:12" ht="15.6">
      <c r="A56" s="22"/>
      <c r="B56" s="23"/>
      <c r="C56" s="23" t="e">
        <f>Sites[[#This Row],[SOL'#]]</f>
        <v>#VALUE!</v>
      </c>
      <c r="D56" s="18"/>
      <c r="E56" s="8"/>
      <c r="F56" s="8" t="str">
        <f t="shared" si="9"/>
        <v/>
      </c>
      <c r="G56" s="9" t="str">
        <f t="shared" si="8"/>
        <v/>
      </c>
      <c r="H56" s="10"/>
      <c r="I56" s="10" t="str">
        <f t="shared" si="10"/>
        <v/>
      </c>
      <c r="J56" s="11" t="str">
        <f t="shared" si="11"/>
        <v/>
      </c>
      <c r="K56" s="43"/>
      <c r="L56" s="43"/>
    </row>
    <row r="57" spans="1:12" ht="15.6">
      <c r="A57" s="24"/>
      <c r="B57" s="25"/>
      <c r="C57" s="23" t="e">
        <f>Sites[[#This Row],[SOL'#]]</f>
        <v>#VALUE!</v>
      </c>
      <c r="D57" s="7"/>
      <c r="E57" s="12"/>
      <c r="F57" s="12" t="str">
        <f t="shared" si="9"/>
        <v/>
      </c>
      <c r="G57" s="13" t="str">
        <f t="shared" si="8"/>
        <v/>
      </c>
      <c r="H57" s="14"/>
      <c r="I57" s="14" t="str">
        <f t="shared" si="10"/>
        <v/>
      </c>
      <c r="J57" s="13" t="str">
        <f t="shared" si="11"/>
        <v/>
      </c>
      <c r="K57" s="80"/>
      <c r="L57" s="77"/>
    </row>
    <row r="58" spans="1:12" ht="15.6">
      <c r="A58" s="22"/>
      <c r="B58" s="23"/>
      <c r="C58" s="23" t="e">
        <f>Sites[[#This Row],[SOL'#]]</f>
        <v>#VALUE!</v>
      </c>
      <c r="D58" s="18"/>
      <c r="E58" s="8"/>
      <c r="F58" s="8" t="str">
        <f t="shared" si="9"/>
        <v/>
      </c>
      <c r="G58" s="9" t="str">
        <f t="shared" si="8"/>
        <v/>
      </c>
      <c r="H58" s="10"/>
      <c r="I58" s="10" t="str">
        <f t="shared" si="10"/>
        <v/>
      </c>
      <c r="J58" s="11" t="str">
        <f t="shared" si="11"/>
        <v/>
      </c>
      <c r="K58" s="92"/>
      <c r="L58" s="43"/>
    </row>
    <row r="59" spans="1:12" ht="15.6">
      <c r="A59" s="24"/>
      <c r="B59" s="25"/>
      <c r="C59" s="23" t="e">
        <f>Sites[[#This Row],[SOL'#]]</f>
        <v>#VALUE!</v>
      </c>
      <c r="D59" s="7"/>
      <c r="E59" s="12"/>
      <c r="F59" s="12" t="str">
        <f t="shared" si="9"/>
        <v/>
      </c>
      <c r="G59" s="13" t="str">
        <f t="shared" si="8"/>
        <v/>
      </c>
      <c r="H59" s="14"/>
      <c r="I59" s="14" t="str">
        <f t="shared" si="10"/>
        <v/>
      </c>
      <c r="J59" s="13" t="str">
        <f t="shared" si="11"/>
        <v/>
      </c>
      <c r="K59" s="109"/>
      <c r="L59" s="79"/>
    </row>
    <row r="60" spans="1:12" ht="15.6">
      <c r="A60" s="22"/>
      <c r="B60" s="23"/>
      <c r="C60" s="23" t="e">
        <f>Sites[[#This Row],[SOL'#]]</f>
        <v>#VALUE!</v>
      </c>
      <c r="D60" s="18"/>
      <c r="E60" s="8"/>
      <c r="F60" s="8" t="str">
        <f t="shared" si="9"/>
        <v/>
      </c>
      <c r="G60" s="9" t="str">
        <f t="shared" si="8"/>
        <v/>
      </c>
      <c r="H60" s="10"/>
      <c r="I60" s="10" t="str">
        <f t="shared" si="10"/>
        <v/>
      </c>
      <c r="J60" s="11" t="str">
        <f t="shared" si="11"/>
        <v/>
      </c>
      <c r="K60" s="43"/>
      <c r="L60" s="43"/>
    </row>
    <row r="61" spans="1:12" ht="15.6">
      <c r="A61" s="24"/>
      <c r="B61" s="25"/>
      <c r="C61" s="23" t="e">
        <f>Sites[[#This Row],[SOL'#]]</f>
        <v>#VALUE!</v>
      </c>
      <c r="D61" s="7"/>
      <c r="E61" s="12"/>
      <c r="F61" s="12" t="str">
        <f t="shared" si="9"/>
        <v/>
      </c>
      <c r="G61" s="13" t="str">
        <f t="shared" si="8"/>
        <v/>
      </c>
      <c r="H61" s="14"/>
      <c r="I61" s="14" t="str">
        <f t="shared" si="10"/>
        <v/>
      </c>
      <c r="J61" s="13" t="str">
        <f t="shared" si="11"/>
        <v/>
      </c>
      <c r="K61" s="109"/>
      <c r="L61" s="78"/>
    </row>
    <row r="62" spans="1:12" ht="15.6">
      <c r="A62" s="22"/>
      <c r="B62" s="23"/>
      <c r="C62" s="23" t="e">
        <f>Sites[[#This Row],[SOL'#]]</f>
        <v>#VALUE!</v>
      </c>
      <c r="D62" s="18"/>
      <c r="E62" s="8"/>
      <c r="F62" s="8" t="str">
        <f t="shared" si="9"/>
        <v/>
      </c>
      <c r="G62" s="9" t="str">
        <f t="shared" si="8"/>
        <v/>
      </c>
      <c r="H62" s="10"/>
      <c r="I62" s="10" t="str">
        <f t="shared" si="10"/>
        <v/>
      </c>
      <c r="J62" s="11" t="str">
        <f t="shared" si="11"/>
        <v/>
      </c>
      <c r="K62" s="43"/>
      <c r="L62" s="43"/>
    </row>
    <row r="63" spans="1:12" ht="15.6">
      <c r="A63" s="24"/>
      <c r="B63" s="25"/>
      <c r="C63" s="23" t="e">
        <f>Sites[[#This Row],[SOL'#]]</f>
        <v>#VALUE!</v>
      </c>
      <c r="D63" s="7"/>
      <c r="E63" s="12"/>
      <c r="F63" s="12" t="str">
        <f t="shared" si="9"/>
        <v/>
      </c>
      <c r="G63" s="13" t="str">
        <f t="shared" si="8"/>
        <v/>
      </c>
      <c r="H63" s="14"/>
      <c r="I63" s="14" t="str">
        <f t="shared" si="10"/>
        <v/>
      </c>
      <c r="J63" s="13" t="str">
        <f t="shared" si="11"/>
        <v/>
      </c>
      <c r="K63" s="109"/>
      <c r="L63" s="77"/>
    </row>
    <row r="64" spans="1:12" ht="15.6">
      <c r="A64" s="22"/>
      <c r="B64" s="23"/>
      <c r="C64" s="23" t="e">
        <f>Sites[[#This Row],[SOL'#]]</f>
        <v>#VALUE!</v>
      </c>
      <c r="D64" s="18"/>
      <c r="E64" s="8"/>
      <c r="F64" s="8" t="str">
        <f t="shared" si="9"/>
        <v/>
      </c>
      <c r="G64" s="9" t="str">
        <f t="shared" si="8"/>
        <v/>
      </c>
      <c r="H64" s="10"/>
      <c r="I64" s="10" t="str">
        <f t="shared" si="10"/>
        <v/>
      </c>
      <c r="J64" s="11" t="str">
        <f t="shared" si="11"/>
        <v/>
      </c>
      <c r="K64" s="43"/>
      <c r="L64" s="43"/>
    </row>
    <row r="65" spans="1:12" ht="15.6">
      <c r="A65" s="24"/>
      <c r="B65" s="25"/>
      <c r="C65" s="23" t="e">
        <f>Sites[[#This Row],[SOL'#]]</f>
        <v>#VALUE!</v>
      </c>
      <c r="D65" s="7"/>
      <c r="E65" s="12"/>
      <c r="F65" s="12" t="str">
        <f t="shared" si="9"/>
        <v/>
      </c>
      <c r="G65" s="13" t="str">
        <f t="shared" si="8"/>
        <v/>
      </c>
      <c r="H65" s="14"/>
      <c r="I65" s="14" t="str">
        <f t="shared" si="10"/>
        <v/>
      </c>
      <c r="J65" s="13" t="str">
        <f t="shared" si="11"/>
        <v/>
      </c>
      <c r="K65" s="109"/>
      <c r="L65" s="109"/>
    </row>
    <row r="66" spans="1:12" ht="15.6">
      <c r="A66" s="22"/>
      <c r="B66" s="23"/>
      <c r="C66" s="23" t="e">
        <f>Sites[[#This Row],[SOL'#]]</f>
        <v>#VALUE!</v>
      </c>
      <c r="D66" s="18"/>
      <c r="E66" s="8"/>
      <c r="F66" s="8" t="str">
        <f t="shared" si="9"/>
        <v/>
      </c>
      <c r="G66" s="9" t="str">
        <f t="shared" si="8"/>
        <v/>
      </c>
      <c r="H66" s="10"/>
      <c r="I66" s="10" t="str">
        <f t="shared" si="10"/>
        <v/>
      </c>
      <c r="J66" s="11" t="str">
        <f t="shared" si="11"/>
        <v/>
      </c>
      <c r="K66" s="43"/>
      <c r="L66" s="43"/>
    </row>
    <row r="67" spans="1:12" ht="42" customHeight="1">
      <c r="A67" s="24"/>
      <c r="B67" s="25"/>
      <c r="C67" s="23" t="e">
        <f>Sites[[#This Row],[SOL'#]]</f>
        <v>#VALUE!</v>
      </c>
      <c r="D67" s="7"/>
      <c r="E67" s="12"/>
      <c r="F67" s="12" t="str">
        <f t="shared" si="9"/>
        <v/>
      </c>
      <c r="G67" s="13" t="str">
        <f t="shared" si="8"/>
        <v/>
      </c>
      <c r="H67" s="14"/>
      <c r="I67" s="14" t="str">
        <f t="shared" si="10"/>
        <v/>
      </c>
      <c r="J67" s="13" t="str">
        <f t="shared" si="11"/>
        <v/>
      </c>
      <c r="K67" s="109"/>
      <c r="L67" s="109"/>
    </row>
    <row r="68" spans="1:12" ht="15.6">
      <c r="A68" s="22"/>
      <c r="B68" s="23"/>
      <c r="C68" s="23" t="e">
        <f>Sites[[#This Row],[SOL'#]]</f>
        <v>#VALUE!</v>
      </c>
      <c r="D68" s="18"/>
      <c r="E68" s="8"/>
      <c r="F68" s="8" t="str">
        <f t="shared" si="9"/>
        <v/>
      </c>
      <c r="G68" s="9" t="str">
        <f t="shared" si="8"/>
        <v/>
      </c>
      <c r="H68" s="10"/>
      <c r="I68" s="10" t="str">
        <f t="shared" si="10"/>
        <v/>
      </c>
      <c r="J68" s="11" t="str">
        <f t="shared" si="11"/>
        <v/>
      </c>
      <c r="K68" s="43"/>
      <c r="L68" s="43"/>
    </row>
    <row r="69" spans="1:12" ht="15.6">
      <c r="A69" s="24"/>
      <c r="B69" s="25"/>
      <c r="C69" s="23" t="e">
        <f>Sites[[#This Row],[SOL'#]]</f>
        <v>#VALUE!</v>
      </c>
      <c r="D69" s="7"/>
      <c r="E69" s="12"/>
      <c r="F69" s="12" t="str">
        <f t="shared" si="9"/>
        <v/>
      </c>
      <c r="G69" s="13" t="str">
        <f t="shared" si="8"/>
        <v/>
      </c>
      <c r="H69" s="14"/>
      <c r="I69" s="14" t="str">
        <f t="shared" si="10"/>
        <v/>
      </c>
      <c r="J69" s="13" t="str">
        <f t="shared" si="11"/>
        <v/>
      </c>
      <c r="K69" s="109"/>
      <c r="L69" s="78"/>
    </row>
    <row r="70" spans="1:12" ht="42" customHeight="1">
      <c r="A70" s="22"/>
      <c r="B70" s="23"/>
      <c r="C70" s="23" t="e">
        <f>Sites[[#This Row],[SOL'#]]</f>
        <v>#VALUE!</v>
      </c>
      <c r="D70" s="18"/>
      <c r="E70" s="8"/>
      <c r="F70" s="8" t="str">
        <f t="shared" si="9"/>
        <v/>
      </c>
      <c r="G70" s="9" t="str">
        <f t="shared" si="8"/>
        <v/>
      </c>
      <c r="H70" s="10"/>
      <c r="I70" s="10" t="str">
        <f t="shared" si="10"/>
        <v/>
      </c>
      <c r="J70" s="11" t="str">
        <f t="shared" si="11"/>
        <v/>
      </c>
      <c r="K70" s="43"/>
      <c r="L70" s="92"/>
    </row>
    <row r="71" spans="1:12" ht="15.6">
      <c r="A71" s="24"/>
      <c r="B71" s="25"/>
      <c r="C71" s="23" t="e">
        <f>Sites[[#This Row],[SOL'#]]</f>
        <v>#VALUE!</v>
      </c>
      <c r="D71" s="7"/>
      <c r="E71" s="12"/>
      <c r="F71" s="12" t="str">
        <f t="shared" si="9"/>
        <v/>
      </c>
      <c r="G71" s="13" t="str">
        <f t="shared" si="8"/>
        <v/>
      </c>
      <c r="H71" s="14"/>
      <c r="I71" s="14" t="str">
        <f t="shared" si="10"/>
        <v/>
      </c>
      <c r="J71" s="13" t="str">
        <f t="shared" si="11"/>
        <v/>
      </c>
      <c r="K71" s="109"/>
      <c r="L71" s="78"/>
    </row>
    <row r="72" spans="1:12" ht="15.6">
      <c r="A72" s="22"/>
      <c r="B72" s="23"/>
      <c r="C72" s="23" t="e">
        <f>Sites[[#This Row],[SOL'#]]</f>
        <v>#VALUE!</v>
      </c>
      <c r="D72" s="18"/>
      <c r="E72" s="8"/>
      <c r="F72" s="8" t="str">
        <f t="shared" si="9"/>
        <v/>
      </c>
      <c r="G72" s="9" t="str">
        <f t="shared" si="8"/>
        <v/>
      </c>
      <c r="H72" s="10"/>
      <c r="I72" s="10" t="str">
        <f t="shared" si="10"/>
        <v/>
      </c>
      <c r="J72" s="11" t="str">
        <f t="shared" si="11"/>
        <v/>
      </c>
      <c r="K72" s="43"/>
      <c r="L72" s="43"/>
    </row>
    <row r="73" spans="1:12" ht="15.6">
      <c r="A73" s="24"/>
      <c r="B73" s="25"/>
      <c r="C73" s="23" t="e">
        <f>Sites[[#This Row],[SOL'#]]</f>
        <v>#VALUE!</v>
      </c>
      <c r="D73" s="7"/>
      <c r="E73" s="12"/>
      <c r="F73" s="12" t="str">
        <f t="shared" si="9"/>
        <v/>
      </c>
      <c r="G73" s="13" t="str">
        <f t="shared" si="8"/>
        <v/>
      </c>
      <c r="H73" s="14"/>
      <c r="I73" s="14" t="str">
        <f t="shared" si="10"/>
        <v/>
      </c>
      <c r="J73" s="13" t="str">
        <f t="shared" si="11"/>
        <v/>
      </c>
      <c r="K73" s="109"/>
      <c r="L73" s="77"/>
    </row>
    <row r="74" spans="1:12" ht="15.6">
      <c r="A74" s="22"/>
      <c r="B74" s="23"/>
      <c r="C74" s="23" t="e">
        <f>Sites[[#This Row],[SOL'#]]</f>
        <v>#VALUE!</v>
      </c>
      <c r="D74" s="18"/>
      <c r="E74" s="8"/>
      <c r="F74" s="8" t="str">
        <f t="shared" si="9"/>
        <v/>
      </c>
      <c r="G74" s="9" t="str">
        <f t="shared" si="8"/>
        <v/>
      </c>
      <c r="H74" s="10"/>
      <c r="I74" s="10" t="str">
        <f t="shared" si="10"/>
        <v/>
      </c>
      <c r="J74" s="11" t="str">
        <f t="shared" si="11"/>
        <v/>
      </c>
      <c r="K74" s="43"/>
      <c r="L74" s="43"/>
    </row>
    <row r="75" spans="1:12" ht="66.75" customHeight="1">
      <c r="A75" s="24"/>
      <c r="B75" s="25"/>
      <c r="C75" s="23" t="e">
        <f>Sites[[#This Row],[SOL'#]]</f>
        <v>#VALUE!</v>
      </c>
      <c r="D75" s="7"/>
      <c r="E75" s="12"/>
      <c r="F75" s="12" t="str">
        <f t="shared" si="9"/>
        <v/>
      </c>
      <c r="G75" s="13" t="str">
        <f t="shared" si="8"/>
        <v/>
      </c>
      <c r="H75" s="14"/>
      <c r="I75" s="14" t="str">
        <f t="shared" si="10"/>
        <v/>
      </c>
      <c r="J75" s="13" t="str">
        <f t="shared" si="11"/>
        <v/>
      </c>
      <c r="K75" s="109"/>
      <c r="L75" s="77"/>
    </row>
    <row r="76" spans="1:12" ht="30.75" customHeight="1">
      <c r="A76" s="22"/>
      <c r="B76" s="23"/>
      <c r="C76" s="23" t="e">
        <f>Sites[[#This Row],[SOL'#]]</f>
        <v>#VALUE!</v>
      </c>
      <c r="D76" s="18"/>
      <c r="E76" s="8"/>
      <c r="F76" s="8" t="str">
        <f t="shared" si="9"/>
        <v/>
      </c>
      <c r="G76" s="9" t="str">
        <f t="shared" si="8"/>
        <v/>
      </c>
      <c r="H76" s="10"/>
      <c r="I76" s="10" t="str">
        <f t="shared" si="10"/>
        <v/>
      </c>
      <c r="J76" s="11" t="str">
        <f t="shared" si="11"/>
        <v/>
      </c>
      <c r="K76" s="43"/>
      <c r="L76" s="43"/>
    </row>
    <row r="77" spans="1:12" ht="15.6">
      <c r="A77" s="24"/>
      <c r="B77" s="25"/>
      <c r="C77" s="23" t="e">
        <f>Sites[[#This Row],[SOL'#]]</f>
        <v>#VALUE!</v>
      </c>
      <c r="D77" s="7"/>
      <c r="E77" s="12"/>
      <c r="F77" s="12" t="str">
        <f t="shared" si="9"/>
        <v/>
      </c>
      <c r="G77" s="13" t="str">
        <f t="shared" si="8"/>
        <v/>
      </c>
      <c r="H77" s="14"/>
      <c r="I77" s="14" t="str">
        <f t="shared" si="10"/>
        <v/>
      </c>
      <c r="J77" s="13" t="str">
        <f t="shared" si="11"/>
        <v/>
      </c>
      <c r="K77" s="109"/>
      <c r="L77" s="109"/>
    </row>
    <row r="78" spans="1:12" ht="15.6">
      <c r="A78" s="22"/>
      <c r="B78" s="23"/>
      <c r="C78" s="23" t="e">
        <f>Sites[[#This Row],[SOL'#]]</f>
        <v>#VALUE!</v>
      </c>
      <c r="D78" s="18"/>
      <c r="E78" s="8"/>
      <c r="F78" s="8" t="str">
        <f t="shared" si="9"/>
        <v/>
      </c>
      <c r="G78" s="9" t="str">
        <f t="shared" si="8"/>
        <v/>
      </c>
      <c r="H78" s="10"/>
      <c r="I78" s="10" t="str">
        <f t="shared" si="10"/>
        <v/>
      </c>
      <c r="J78" s="11" t="str">
        <f t="shared" si="11"/>
        <v/>
      </c>
      <c r="K78" s="43"/>
      <c r="L78" s="43"/>
    </row>
    <row r="79" spans="1:12" ht="15.6">
      <c r="A79" s="24"/>
      <c r="B79" s="25"/>
      <c r="C79" s="23" t="e">
        <f>Sites[[#This Row],[SOL'#]]</f>
        <v>#VALUE!</v>
      </c>
      <c r="D79" s="7"/>
      <c r="E79" s="12"/>
      <c r="F79" s="12" t="str">
        <f t="shared" si="9"/>
        <v/>
      </c>
      <c r="G79" s="13" t="str">
        <f t="shared" si="8"/>
        <v/>
      </c>
      <c r="H79" s="14"/>
      <c r="I79" s="14" t="str">
        <f t="shared" si="10"/>
        <v/>
      </c>
      <c r="J79" s="13" t="str">
        <f t="shared" si="11"/>
        <v/>
      </c>
      <c r="K79" s="109"/>
      <c r="L79" s="78"/>
    </row>
    <row r="80" spans="1:12" ht="80.25" customHeight="1">
      <c r="A80" s="22"/>
      <c r="B80" s="23"/>
      <c r="C80" s="23" t="e">
        <f>Sites[[#This Row],[SOL'#]]</f>
        <v>#VALUE!</v>
      </c>
      <c r="D80" s="18"/>
      <c r="E80" s="8"/>
      <c r="F80" s="8" t="str">
        <f t="shared" si="9"/>
        <v/>
      </c>
      <c r="G80" s="9" t="str">
        <f t="shared" si="8"/>
        <v/>
      </c>
      <c r="H80" s="10"/>
      <c r="I80" s="10" t="str">
        <f t="shared" si="10"/>
        <v/>
      </c>
      <c r="J80" s="11" t="str">
        <f t="shared" si="11"/>
        <v/>
      </c>
      <c r="K80" s="43"/>
      <c r="L80" s="43"/>
    </row>
    <row r="81" spans="1:12" ht="71.25" customHeight="1">
      <c r="A81" s="24"/>
      <c r="B81" s="25"/>
      <c r="C81" s="23" t="e">
        <f>Sites[[#This Row],[SOL'#]]</f>
        <v>#VALUE!</v>
      </c>
      <c r="D81" s="7"/>
      <c r="E81" s="12"/>
      <c r="F81" s="12" t="str">
        <f t="shared" si="9"/>
        <v/>
      </c>
      <c r="G81" s="13" t="str">
        <f t="shared" ref="G81:G83" si="12">IFERROR(F81/E81, "")</f>
        <v/>
      </c>
      <c r="H81" s="14"/>
      <c r="I81" s="14" t="str">
        <f t="shared" si="10"/>
        <v/>
      </c>
      <c r="J81" s="13" t="str">
        <f t="shared" si="11"/>
        <v/>
      </c>
      <c r="K81" s="109"/>
      <c r="L81" s="77"/>
    </row>
    <row r="82" spans="1:12" ht="15.6">
      <c r="A82" s="22"/>
      <c r="B82" s="23"/>
      <c r="C82" s="23" t="e">
        <f>Sites[[#This Row],[SOL'#]]</f>
        <v>#VALUE!</v>
      </c>
      <c r="D82" s="18"/>
      <c r="E82" s="8"/>
      <c r="F82" s="8" t="str">
        <f t="shared" ref="F82:F113" si="13">IF(AND(ISNUMBER(D82),ISNUMBER(E82)), D82-E82, "")</f>
        <v/>
      </c>
      <c r="G82" s="9" t="str">
        <f t="shared" si="12"/>
        <v/>
      </c>
      <c r="H82" s="10"/>
      <c r="I82" s="10" t="str">
        <f t="shared" ref="I82:I113" si="14">IF(AND(ISNUMBER(D82),ISNUMBER(H82)), D82-H82, "")</f>
        <v/>
      </c>
      <c r="J82" s="11" t="str">
        <f t="shared" ref="J82:J113" si="15">IFERROR(I82/H82, "")</f>
        <v/>
      </c>
      <c r="K82" s="43"/>
      <c r="L82" s="43"/>
    </row>
    <row r="83" spans="1:12" ht="59.25" customHeight="1">
      <c r="A83" s="24"/>
      <c r="B83" s="25"/>
      <c r="C83" s="23" t="e">
        <f>Sites[[#This Row],[SOL'#]]</f>
        <v>#VALUE!</v>
      </c>
      <c r="D83" s="7"/>
      <c r="E83" s="12"/>
      <c r="F83" s="12" t="str">
        <f t="shared" si="13"/>
        <v/>
      </c>
      <c r="G83" s="13" t="str">
        <f t="shared" si="12"/>
        <v/>
      </c>
      <c r="H83" s="14"/>
      <c r="I83" s="14" t="str">
        <f t="shared" si="14"/>
        <v/>
      </c>
      <c r="J83" s="13" t="str">
        <f t="shared" si="15"/>
        <v/>
      </c>
      <c r="K83" s="109"/>
      <c r="L83" s="77"/>
    </row>
    <row r="84" spans="1:12" ht="71.25" customHeight="1">
      <c r="A84" s="22"/>
      <c r="B84" s="23"/>
      <c r="C84" s="23" t="e">
        <f>Sites[[#This Row],[SOL'#]]</f>
        <v>#VALUE!</v>
      </c>
      <c r="D84" s="18"/>
      <c r="E84" s="8"/>
      <c r="F84" s="8" t="str">
        <f t="shared" si="13"/>
        <v/>
      </c>
      <c r="G84" s="9" t="str">
        <f t="shared" ref="G84:G90" si="16">IFERROR(F84/E84, "")</f>
        <v/>
      </c>
      <c r="H84" s="10"/>
      <c r="I84" s="10" t="str">
        <f t="shared" si="14"/>
        <v/>
      </c>
      <c r="J84" s="11" t="str">
        <f t="shared" si="15"/>
        <v/>
      </c>
      <c r="K84" s="43"/>
      <c r="L84" s="43"/>
    </row>
    <row r="85" spans="1:12" ht="15.6">
      <c r="A85" s="24"/>
      <c r="B85" s="25"/>
      <c r="C85" s="23" t="e">
        <f>Sites[[#This Row],[SOL'#]]</f>
        <v>#VALUE!</v>
      </c>
      <c r="D85" s="7"/>
      <c r="E85" s="12"/>
      <c r="F85" s="12" t="str">
        <f t="shared" si="13"/>
        <v/>
      </c>
      <c r="G85" s="13" t="str">
        <f t="shared" si="16"/>
        <v/>
      </c>
      <c r="H85" s="14"/>
      <c r="I85" s="14" t="str">
        <f t="shared" si="14"/>
        <v/>
      </c>
      <c r="J85" s="13" t="str">
        <f t="shared" si="15"/>
        <v/>
      </c>
      <c r="K85" s="109"/>
      <c r="L85" s="78"/>
    </row>
    <row r="86" spans="1:12" ht="80.25" customHeight="1">
      <c r="A86" s="22"/>
      <c r="B86" s="23"/>
      <c r="C86" s="23" t="e">
        <f>Sites[[#This Row],[SOL'#]]</f>
        <v>#VALUE!</v>
      </c>
      <c r="D86" s="18"/>
      <c r="E86" s="8"/>
      <c r="F86" s="8" t="str">
        <f t="shared" si="13"/>
        <v/>
      </c>
      <c r="G86" s="9" t="str">
        <f t="shared" si="16"/>
        <v/>
      </c>
      <c r="H86" s="10"/>
      <c r="I86" s="10" t="str">
        <f t="shared" si="14"/>
        <v/>
      </c>
      <c r="J86" s="11" t="str">
        <f t="shared" si="15"/>
        <v/>
      </c>
      <c r="K86" s="43"/>
      <c r="L86" s="43"/>
    </row>
    <row r="87" spans="1:12" ht="15.6">
      <c r="A87" s="24"/>
      <c r="B87" s="25"/>
      <c r="C87" s="23" t="e">
        <f>Sites[[#This Row],[SOL'#]]</f>
        <v>#VALUE!</v>
      </c>
      <c r="D87" s="7"/>
      <c r="E87" s="12"/>
      <c r="F87" s="12" t="str">
        <f t="shared" si="13"/>
        <v/>
      </c>
      <c r="G87" s="13" t="str">
        <f t="shared" si="16"/>
        <v/>
      </c>
      <c r="H87" s="14"/>
      <c r="I87" s="14" t="str">
        <f t="shared" si="14"/>
        <v/>
      </c>
      <c r="J87" s="13" t="str">
        <f t="shared" si="15"/>
        <v/>
      </c>
      <c r="K87" s="109"/>
      <c r="L87" s="78"/>
    </row>
    <row r="88" spans="1:12" ht="15.6">
      <c r="A88" s="22"/>
      <c r="B88" s="23"/>
      <c r="C88" s="23" t="e">
        <f>Sites[[#This Row],[SOL'#]]</f>
        <v>#VALUE!</v>
      </c>
      <c r="D88" s="18"/>
      <c r="E88" s="8"/>
      <c r="F88" s="8" t="str">
        <f t="shared" si="13"/>
        <v/>
      </c>
      <c r="G88" s="9" t="str">
        <f t="shared" si="16"/>
        <v/>
      </c>
      <c r="H88" s="10"/>
      <c r="I88" s="10" t="str">
        <f t="shared" si="14"/>
        <v/>
      </c>
      <c r="J88" s="11" t="str">
        <f t="shared" si="15"/>
        <v/>
      </c>
      <c r="K88" s="43"/>
      <c r="L88" s="43"/>
    </row>
    <row r="89" spans="1:12" ht="15.6">
      <c r="A89" s="24"/>
      <c r="B89" s="25"/>
      <c r="C89" s="23" t="e">
        <f>Sites[[#This Row],[SOL'#]]</f>
        <v>#VALUE!</v>
      </c>
      <c r="D89" s="7"/>
      <c r="E89" s="12"/>
      <c r="F89" s="12" t="str">
        <f t="shared" si="13"/>
        <v/>
      </c>
      <c r="G89" s="13" t="str">
        <f t="shared" si="16"/>
        <v/>
      </c>
      <c r="H89" s="14"/>
      <c r="I89" s="14" t="str">
        <f t="shared" si="14"/>
        <v/>
      </c>
      <c r="J89" s="13" t="str">
        <f t="shared" si="15"/>
        <v/>
      </c>
      <c r="K89" s="109"/>
      <c r="L89" s="109"/>
    </row>
    <row r="90" spans="1:12" ht="15.6">
      <c r="A90" s="22"/>
      <c r="B90" s="23"/>
      <c r="C90" s="23" t="e">
        <f>Sites[[#This Row],[SOL'#]]</f>
        <v>#VALUE!</v>
      </c>
      <c r="D90" s="18"/>
      <c r="E90" s="8"/>
      <c r="F90" s="8" t="str">
        <f t="shared" si="13"/>
        <v/>
      </c>
      <c r="G90" s="9" t="str">
        <f t="shared" si="16"/>
        <v/>
      </c>
      <c r="H90" s="10"/>
      <c r="I90" s="10" t="str">
        <f t="shared" si="14"/>
        <v/>
      </c>
      <c r="J90" s="11" t="str">
        <f t="shared" si="15"/>
        <v/>
      </c>
      <c r="K90" s="43"/>
      <c r="L90" s="43"/>
    </row>
    <row r="91" spans="1:12" ht="15.6">
      <c r="A91" s="24"/>
      <c r="B91" s="25"/>
      <c r="C91" s="23" t="e">
        <f>Sites[[#This Row],[SOL'#]]</f>
        <v>#VALUE!</v>
      </c>
      <c r="D91" s="7"/>
      <c r="E91" s="12"/>
      <c r="F91" s="12" t="str">
        <f t="shared" si="13"/>
        <v/>
      </c>
      <c r="G91" s="13" t="str">
        <f t="shared" ref="G91:G122" si="17">IFERROR(F91/E91, "")</f>
        <v/>
      </c>
      <c r="H91" s="14"/>
      <c r="I91" s="14" t="str">
        <f t="shared" si="14"/>
        <v/>
      </c>
      <c r="J91" s="13" t="str">
        <f t="shared" si="15"/>
        <v/>
      </c>
      <c r="K91" s="109"/>
      <c r="L91" s="78"/>
    </row>
    <row r="92" spans="1:12" ht="15.6">
      <c r="A92" s="22"/>
      <c r="B92" s="23"/>
      <c r="C92" s="23" t="e">
        <f>Sites[[#This Row],[SOL'#]]</f>
        <v>#VALUE!</v>
      </c>
      <c r="D92" s="18"/>
      <c r="E92" s="8"/>
      <c r="F92" s="8" t="str">
        <f t="shared" si="13"/>
        <v/>
      </c>
      <c r="G92" s="9" t="str">
        <f t="shared" si="17"/>
        <v/>
      </c>
      <c r="H92" s="10"/>
      <c r="I92" s="10" t="str">
        <f t="shared" si="14"/>
        <v/>
      </c>
      <c r="J92" s="11" t="str">
        <f t="shared" si="15"/>
        <v/>
      </c>
      <c r="K92" s="43"/>
      <c r="L92" s="43"/>
    </row>
    <row r="93" spans="1:12" ht="15.6">
      <c r="A93" s="24"/>
      <c r="B93" s="25"/>
      <c r="C93" s="23" t="e">
        <f>Sites[[#This Row],[SOL'#]]</f>
        <v>#VALUE!</v>
      </c>
      <c r="D93" s="7"/>
      <c r="E93" s="12"/>
      <c r="F93" s="12" t="str">
        <f t="shared" si="13"/>
        <v/>
      </c>
      <c r="G93" s="13" t="str">
        <f t="shared" si="17"/>
        <v/>
      </c>
      <c r="H93" s="14"/>
      <c r="I93" s="14" t="str">
        <f t="shared" si="14"/>
        <v/>
      </c>
      <c r="J93" s="13" t="str">
        <f t="shared" si="15"/>
        <v/>
      </c>
      <c r="K93" s="109"/>
      <c r="L93" s="109"/>
    </row>
    <row r="94" spans="1:12" ht="39.75" customHeight="1">
      <c r="A94" s="22"/>
      <c r="B94" s="23"/>
      <c r="C94" s="23" t="e">
        <f>Sites[[#This Row],[SOL'#]]</f>
        <v>#VALUE!</v>
      </c>
      <c r="D94" s="18"/>
      <c r="E94" s="8"/>
      <c r="F94" s="8" t="str">
        <f t="shared" si="13"/>
        <v/>
      </c>
      <c r="G94" s="9" t="str">
        <f t="shared" si="17"/>
        <v/>
      </c>
      <c r="H94" s="10"/>
      <c r="I94" s="10" t="str">
        <f t="shared" si="14"/>
        <v/>
      </c>
      <c r="J94" s="11" t="str">
        <f t="shared" si="15"/>
        <v/>
      </c>
      <c r="K94" s="43"/>
      <c r="L94" s="43"/>
    </row>
    <row r="95" spans="1:12" ht="15.6">
      <c r="A95" s="24"/>
      <c r="B95" s="25"/>
      <c r="C95" s="23" t="e">
        <f>Sites[[#This Row],[SOL'#]]</f>
        <v>#VALUE!</v>
      </c>
      <c r="D95" s="7"/>
      <c r="E95" s="12"/>
      <c r="F95" s="12" t="str">
        <f t="shared" si="13"/>
        <v/>
      </c>
      <c r="G95" s="13" t="str">
        <f t="shared" si="17"/>
        <v/>
      </c>
      <c r="H95" s="14"/>
      <c r="I95" s="14" t="str">
        <f t="shared" si="14"/>
        <v/>
      </c>
      <c r="J95" s="13" t="str">
        <f t="shared" si="15"/>
        <v/>
      </c>
      <c r="K95" s="109"/>
      <c r="L95" s="78"/>
    </row>
    <row r="96" spans="1:12" ht="15.6">
      <c r="A96" s="22"/>
      <c r="B96" s="23"/>
      <c r="C96" s="23" t="e">
        <f>Sites[[#This Row],[SOL'#]]</f>
        <v>#VALUE!</v>
      </c>
      <c r="D96" s="18"/>
      <c r="E96" s="8"/>
      <c r="F96" s="8" t="str">
        <f t="shared" si="13"/>
        <v/>
      </c>
      <c r="G96" s="9" t="str">
        <f t="shared" si="17"/>
        <v/>
      </c>
      <c r="H96" s="10"/>
      <c r="I96" s="10" t="str">
        <f t="shared" si="14"/>
        <v/>
      </c>
      <c r="J96" s="11" t="str">
        <f t="shared" si="15"/>
        <v/>
      </c>
      <c r="K96" s="43"/>
      <c r="L96" s="43"/>
    </row>
    <row r="97" spans="1:12" ht="15.6">
      <c r="A97" s="24"/>
      <c r="B97" s="25"/>
      <c r="C97" s="23" t="e">
        <f>Sites[[#This Row],[SOL'#]]</f>
        <v>#VALUE!</v>
      </c>
      <c r="D97" s="7"/>
      <c r="E97" s="12"/>
      <c r="F97" s="12" t="str">
        <f t="shared" si="13"/>
        <v/>
      </c>
      <c r="G97" s="13" t="str">
        <f t="shared" si="17"/>
        <v/>
      </c>
      <c r="H97" s="14"/>
      <c r="I97" s="14" t="str">
        <f t="shared" si="14"/>
        <v/>
      </c>
      <c r="J97" s="13" t="str">
        <f t="shared" si="15"/>
        <v/>
      </c>
      <c r="K97" s="109"/>
      <c r="L97" s="78"/>
    </row>
    <row r="98" spans="1:12" ht="15.6">
      <c r="A98" s="22"/>
      <c r="B98" s="23"/>
      <c r="C98" s="23" t="e">
        <f>Sites[[#This Row],[SOL'#]]</f>
        <v>#VALUE!</v>
      </c>
      <c r="D98" s="18"/>
      <c r="E98" s="8"/>
      <c r="F98" s="8" t="str">
        <f t="shared" si="13"/>
        <v/>
      </c>
      <c r="G98" s="9" t="str">
        <f t="shared" si="17"/>
        <v/>
      </c>
      <c r="H98" s="10"/>
      <c r="I98" s="10" t="str">
        <f t="shared" si="14"/>
        <v/>
      </c>
      <c r="J98" s="11" t="str">
        <f t="shared" si="15"/>
        <v/>
      </c>
      <c r="K98" s="43"/>
      <c r="L98" s="43"/>
    </row>
    <row r="99" spans="1:12" ht="15.6">
      <c r="A99" s="24"/>
      <c r="B99" s="25"/>
      <c r="C99" s="23" t="e">
        <f>Sites[[#This Row],[SOL'#]]</f>
        <v>#VALUE!</v>
      </c>
      <c r="D99" s="7"/>
      <c r="E99" s="12"/>
      <c r="F99" s="12" t="str">
        <f t="shared" si="13"/>
        <v/>
      </c>
      <c r="G99" s="13" t="str">
        <f t="shared" si="17"/>
        <v/>
      </c>
      <c r="H99" s="14"/>
      <c r="I99" s="14" t="str">
        <f t="shared" si="14"/>
        <v/>
      </c>
      <c r="J99" s="13" t="str">
        <f t="shared" si="15"/>
        <v/>
      </c>
      <c r="K99" s="109"/>
      <c r="L99" s="78"/>
    </row>
    <row r="100" spans="1:12" ht="15.6">
      <c r="A100" s="22"/>
      <c r="B100" s="23"/>
      <c r="C100" s="23" t="e">
        <f>Sites[[#This Row],[SOL'#]]</f>
        <v>#VALUE!</v>
      </c>
      <c r="D100" s="18"/>
      <c r="E100" s="8"/>
      <c r="F100" s="8" t="str">
        <f t="shared" si="13"/>
        <v/>
      </c>
      <c r="G100" s="9" t="str">
        <f t="shared" si="17"/>
        <v/>
      </c>
      <c r="H100" s="10"/>
      <c r="I100" s="10" t="str">
        <f t="shared" si="14"/>
        <v/>
      </c>
      <c r="J100" s="11" t="str">
        <f t="shared" si="15"/>
        <v/>
      </c>
      <c r="K100" s="43"/>
      <c r="L100" s="43"/>
    </row>
    <row r="101" spans="1:12" ht="15.6">
      <c r="A101" s="24"/>
      <c r="B101" s="25"/>
      <c r="C101" s="23" t="e">
        <f>Sites[[#This Row],[SOL'#]]</f>
        <v>#VALUE!</v>
      </c>
      <c r="D101" s="7"/>
      <c r="E101" s="12"/>
      <c r="F101" s="12" t="str">
        <f t="shared" si="13"/>
        <v/>
      </c>
      <c r="G101" s="13" t="str">
        <f t="shared" si="17"/>
        <v/>
      </c>
      <c r="H101" s="14"/>
      <c r="I101" s="14" t="str">
        <f t="shared" si="14"/>
        <v/>
      </c>
      <c r="J101" s="13" t="str">
        <f t="shared" si="15"/>
        <v/>
      </c>
      <c r="K101" s="109"/>
      <c r="L101" s="109"/>
    </row>
    <row r="102" spans="1:12" ht="15.6">
      <c r="A102" s="22"/>
      <c r="B102" s="23"/>
      <c r="C102" s="23" t="e">
        <f>Sites[[#This Row],[SOL'#]]</f>
        <v>#VALUE!</v>
      </c>
      <c r="D102" s="18"/>
      <c r="E102" s="8"/>
      <c r="F102" s="8" t="str">
        <f t="shared" si="13"/>
        <v/>
      </c>
      <c r="G102" s="9" t="str">
        <f t="shared" si="17"/>
        <v/>
      </c>
      <c r="H102" s="10"/>
      <c r="I102" s="10" t="str">
        <f t="shared" si="14"/>
        <v/>
      </c>
      <c r="J102" s="11" t="str">
        <f t="shared" si="15"/>
        <v/>
      </c>
      <c r="K102" s="43"/>
      <c r="L102" s="43"/>
    </row>
    <row r="103" spans="1:12" ht="15.6">
      <c r="A103" s="24"/>
      <c r="B103" s="25"/>
      <c r="C103" s="23" t="e">
        <f>Sites[[#This Row],[SOL'#]]</f>
        <v>#VALUE!</v>
      </c>
      <c r="D103" s="7"/>
      <c r="E103" s="12"/>
      <c r="F103" s="12" t="str">
        <f t="shared" si="13"/>
        <v/>
      </c>
      <c r="G103" s="13" t="str">
        <f t="shared" si="17"/>
        <v/>
      </c>
      <c r="H103" s="14"/>
      <c r="I103" s="14" t="str">
        <f t="shared" si="14"/>
        <v/>
      </c>
      <c r="J103" s="13" t="str">
        <f t="shared" si="15"/>
        <v/>
      </c>
      <c r="K103" s="109"/>
      <c r="L103" s="78"/>
    </row>
    <row r="104" spans="1:12" ht="104.25" customHeight="1">
      <c r="A104" s="22"/>
      <c r="B104" s="23"/>
      <c r="C104" s="23" t="e">
        <f>Sites[[#This Row],[SOL'#]]</f>
        <v>#VALUE!</v>
      </c>
      <c r="D104" s="18"/>
      <c r="E104" s="8"/>
      <c r="F104" s="8" t="str">
        <f t="shared" si="13"/>
        <v/>
      </c>
      <c r="G104" s="9" t="str">
        <f t="shared" si="17"/>
        <v/>
      </c>
      <c r="H104" s="10"/>
      <c r="I104" s="10" t="str">
        <f t="shared" si="14"/>
        <v/>
      </c>
      <c r="J104" s="11" t="str">
        <f t="shared" si="15"/>
        <v/>
      </c>
      <c r="K104" s="43"/>
      <c r="L104" s="43"/>
    </row>
    <row r="105" spans="1:12" ht="15.6">
      <c r="A105" s="24"/>
      <c r="B105" s="25"/>
      <c r="C105" s="23" t="e">
        <f>Sites[[#This Row],[SOL'#]]</f>
        <v>#VALUE!</v>
      </c>
      <c r="D105" s="7"/>
      <c r="E105" s="12"/>
      <c r="F105" s="12" t="str">
        <f t="shared" si="13"/>
        <v/>
      </c>
      <c r="G105" s="13" t="str">
        <f t="shared" si="17"/>
        <v/>
      </c>
      <c r="H105" s="14"/>
      <c r="I105" s="14" t="str">
        <f t="shared" si="14"/>
        <v/>
      </c>
      <c r="J105" s="13" t="str">
        <f t="shared" si="15"/>
        <v/>
      </c>
      <c r="K105" s="109"/>
      <c r="L105" s="78"/>
    </row>
    <row r="106" spans="1:12" ht="15.6">
      <c r="A106" s="22"/>
      <c r="B106" s="23"/>
      <c r="C106" s="23" t="e">
        <f>Sites[[#This Row],[SOL'#]]</f>
        <v>#VALUE!</v>
      </c>
      <c r="D106" s="18"/>
      <c r="E106" s="8"/>
      <c r="F106" s="8" t="str">
        <f t="shared" si="13"/>
        <v/>
      </c>
      <c r="G106" s="9" t="str">
        <f t="shared" si="17"/>
        <v/>
      </c>
      <c r="H106" s="10"/>
      <c r="I106" s="10" t="str">
        <f t="shared" si="14"/>
        <v/>
      </c>
      <c r="J106" s="11" t="str">
        <f t="shared" si="15"/>
        <v/>
      </c>
      <c r="K106" s="43"/>
      <c r="L106" s="43"/>
    </row>
    <row r="107" spans="1:12" ht="15.6">
      <c r="A107" s="24"/>
      <c r="B107" s="25"/>
      <c r="C107" s="23" t="e">
        <f>Sites[[#This Row],[SOL'#]]</f>
        <v>#VALUE!</v>
      </c>
      <c r="D107" s="7"/>
      <c r="E107" s="12"/>
      <c r="F107" s="12" t="str">
        <f t="shared" si="13"/>
        <v/>
      </c>
      <c r="G107" s="13" t="str">
        <f t="shared" si="17"/>
        <v/>
      </c>
      <c r="H107" s="14"/>
      <c r="I107" s="14" t="str">
        <f t="shared" si="14"/>
        <v/>
      </c>
      <c r="J107" s="13" t="str">
        <f t="shared" si="15"/>
        <v/>
      </c>
      <c r="K107" s="109"/>
      <c r="L107" s="78"/>
    </row>
    <row r="108" spans="1:12" ht="15.6">
      <c r="A108" s="22"/>
      <c r="B108" s="23"/>
      <c r="C108" s="23" t="e">
        <f>Sites[[#This Row],[SOL'#]]</f>
        <v>#VALUE!</v>
      </c>
      <c r="D108" s="18"/>
      <c r="E108" s="8"/>
      <c r="F108" s="8" t="str">
        <f t="shared" si="13"/>
        <v/>
      </c>
      <c r="G108" s="9" t="str">
        <f t="shared" si="17"/>
        <v/>
      </c>
      <c r="H108" s="10"/>
      <c r="I108" s="10" t="str">
        <f t="shared" si="14"/>
        <v/>
      </c>
      <c r="J108" s="11" t="str">
        <f t="shared" si="15"/>
        <v/>
      </c>
      <c r="K108" s="43"/>
      <c r="L108" s="43"/>
    </row>
    <row r="109" spans="1:12" ht="15.6">
      <c r="A109" s="24"/>
      <c r="B109" s="25"/>
      <c r="C109" s="23" t="e">
        <f>Sites[[#This Row],[SOL'#]]</f>
        <v>#VALUE!</v>
      </c>
      <c r="D109" s="7"/>
      <c r="E109" s="12"/>
      <c r="F109" s="12" t="str">
        <f t="shared" si="13"/>
        <v/>
      </c>
      <c r="G109" s="13" t="str">
        <f t="shared" si="17"/>
        <v/>
      </c>
      <c r="H109" s="14"/>
      <c r="I109" s="14" t="str">
        <f t="shared" si="14"/>
        <v/>
      </c>
      <c r="J109" s="13" t="str">
        <f t="shared" si="15"/>
        <v/>
      </c>
      <c r="K109" s="109"/>
      <c r="L109" s="78"/>
    </row>
    <row r="110" spans="1:12" ht="15.6">
      <c r="A110" s="22"/>
      <c r="B110" s="23"/>
      <c r="C110" s="23" t="e">
        <f>Sites[[#This Row],[SOL'#]]</f>
        <v>#VALUE!</v>
      </c>
      <c r="D110" s="18"/>
      <c r="E110" s="8"/>
      <c r="F110" s="8" t="str">
        <f t="shared" si="13"/>
        <v/>
      </c>
      <c r="G110" s="9" t="str">
        <f t="shared" si="17"/>
        <v/>
      </c>
      <c r="H110" s="10"/>
      <c r="I110" s="10" t="str">
        <f t="shared" si="14"/>
        <v/>
      </c>
      <c r="J110" s="11" t="str">
        <f t="shared" si="15"/>
        <v/>
      </c>
      <c r="K110" s="43"/>
      <c r="L110" s="43"/>
    </row>
    <row r="111" spans="1:12" ht="15.6">
      <c r="A111" s="24"/>
      <c r="B111" s="25"/>
      <c r="C111" s="23" t="e">
        <f>Sites[[#This Row],[SOL'#]]</f>
        <v>#VALUE!</v>
      </c>
      <c r="D111" s="7"/>
      <c r="E111" s="12"/>
      <c r="F111" s="12" t="str">
        <f t="shared" si="13"/>
        <v/>
      </c>
      <c r="G111" s="13" t="str">
        <f t="shared" si="17"/>
        <v/>
      </c>
      <c r="H111" s="14"/>
      <c r="I111" s="14" t="str">
        <f t="shared" si="14"/>
        <v/>
      </c>
      <c r="J111" s="13" t="str">
        <f t="shared" si="15"/>
        <v/>
      </c>
      <c r="K111" s="109"/>
      <c r="L111" s="79"/>
    </row>
    <row r="112" spans="1:12" ht="15.6">
      <c r="A112" s="22"/>
      <c r="B112" s="23"/>
      <c r="C112" s="23" t="e">
        <f>Sites[[#This Row],[SOL'#]]</f>
        <v>#VALUE!</v>
      </c>
      <c r="D112" s="18"/>
      <c r="E112" s="8"/>
      <c r="F112" s="8" t="str">
        <f t="shared" si="13"/>
        <v/>
      </c>
      <c r="G112" s="9" t="str">
        <f t="shared" si="17"/>
        <v/>
      </c>
      <c r="H112" s="10"/>
      <c r="I112" s="10" t="str">
        <f t="shared" si="14"/>
        <v/>
      </c>
      <c r="J112" s="11" t="str">
        <f t="shared" si="15"/>
        <v/>
      </c>
      <c r="K112" s="43"/>
      <c r="L112" s="43"/>
    </row>
    <row r="113" spans="1:12" ht="15.6">
      <c r="A113" s="24"/>
      <c r="B113" s="25"/>
      <c r="C113" s="23" t="e">
        <f>Sites[[#This Row],[SOL'#]]</f>
        <v>#VALUE!</v>
      </c>
      <c r="D113" s="7"/>
      <c r="E113" s="12"/>
      <c r="F113" s="12" t="str">
        <f t="shared" si="13"/>
        <v/>
      </c>
      <c r="G113" s="13" t="str">
        <f t="shared" si="17"/>
        <v/>
      </c>
      <c r="H113" s="14"/>
      <c r="I113" s="14" t="str">
        <f t="shared" si="14"/>
        <v/>
      </c>
      <c r="J113" s="13" t="str">
        <f t="shared" si="15"/>
        <v/>
      </c>
      <c r="K113" s="109"/>
      <c r="L113" s="109"/>
    </row>
    <row r="114" spans="1:12" ht="15.6">
      <c r="A114" s="22"/>
      <c r="B114" s="23"/>
      <c r="C114" s="23" t="e">
        <f>Sites[[#This Row],[SOL'#]]</f>
        <v>#VALUE!</v>
      </c>
      <c r="D114" s="18"/>
      <c r="E114" s="8"/>
      <c r="F114" s="8" t="str">
        <f t="shared" ref="F114:F145" si="18">IF(AND(ISNUMBER(D114),ISNUMBER(E114)), D114-E114, "")</f>
        <v/>
      </c>
      <c r="G114" s="9" t="str">
        <f t="shared" si="17"/>
        <v/>
      </c>
      <c r="H114" s="10"/>
      <c r="I114" s="10" t="str">
        <f t="shared" ref="I114:I145" si="19">IF(AND(ISNUMBER(D114),ISNUMBER(H114)), D114-H114, "")</f>
        <v/>
      </c>
      <c r="J114" s="11" t="str">
        <f t="shared" ref="J114:J145" si="20">IFERROR(I114/H114, "")</f>
        <v/>
      </c>
      <c r="K114" s="43"/>
      <c r="L114" s="43"/>
    </row>
    <row r="115" spans="1:12" ht="15.6">
      <c r="A115" s="24"/>
      <c r="B115" s="25"/>
      <c r="C115" s="23" t="e">
        <f>Sites[[#This Row],[SOL'#]]</f>
        <v>#VALUE!</v>
      </c>
      <c r="D115" s="7"/>
      <c r="E115" s="12"/>
      <c r="F115" s="12" t="str">
        <f t="shared" si="18"/>
        <v/>
      </c>
      <c r="G115" s="13" t="str">
        <f t="shared" si="17"/>
        <v/>
      </c>
      <c r="H115" s="14"/>
      <c r="I115" s="14" t="str">
        <f t="shared" si="19"/>
        <v/>
      </c>
      <c r="J115" s="13" t="str">
        <f t="shared" si="20"/>
        <v/>
      </c>
      <c r="K115" s="109"/>
      <c r="L115" s="78"/>
    </row>
    <row r="116" spans="1:12" ht="15.6">
      <c r="A116" s="22"/>
      <c r="B116" s="23"/>
      <c r="C116" s="23" t="e">
        <f>Sites[[#This Row],[SOL'#]]</f>
        <v>#VALUE!</v>
      </c>
      <c r="D116" s="18"/>
      <c r="E116" s="8"/>
      <c r="F116" s="8" t="str">
        <f t="shared" si="18"/>
        <v/>
      </c>
      <c r="G116" s="9" t="str">
        <f t="shared" si="17"/>
        <v/>
      </c>
      <c r="H116" s="10"/>
      <c r="I116" s="10" t="str">
        <f t="shared" si="19"/>
        <v/>
      </c>
      <c r="J116" s="11" t="str">
        <f t="shared" si="20"/>
        <v/>
      </c>
      <c r="K116" s="43"/>
      <c r="L116" s="43"/>
    </row>
    <row r="117" spans="1:12" ht="15.6">
      <c r="A117" s="24"/>
      <c r="B117" s="25"/>
      <c r="C117" s="23" t="e">
        <f>Sites[[#This Row],[SOL'#]]</f>
        <v>#VALUE!</v>
      </c>
      <c r="D117" s="7"/>
      <c r="E117" s="12"/>
      <c r="F117" s="12" t="str">
        <f t="shared" si="18"/>
        <v/>
      </c>
      <c r="G117" s="13" t="str">
        <f t="shared" si="17"/>
        <v/>
      </c>
      <c r="H117" s="14"/>
      <c r="I117" s="14" t="str">
        <f t="shared" si="19"/>
        <v/>
      </c>
      <c r="J117" s="13" t="str">
        <f t="shared" si="20"/>
        <v/>
      </c>
      <c r="K117" s="109"/>
      <c r="L117" s="78"/>
    </row>
    <row r="118" spans="1:12" ht="15.6">
      <c r="A118" s="22"/>
      <c r="B118" s="23"/>
      <c r="C118" s="23" t="e">
        <f>Sites[[#This Row],[SOL'#]]</f>
        <v>#VALUE!</v>
      </c>
      <c r="D118" s="18"/>
      <c r="E118" s="8"/>
      <c r="F118" s="8" t="str">
        <f t="shared" si="18"/>
        <v/>
      </c>
      <c r="G118" s="9" t="str">
        <f t="shared" si="17"/>
        <v/>
      </c>
      <c r="H118" s="10"/>
      <c r="I118" s="10" t="str">
        <f t="shared" si="19"/>
        <v/>
      </c>
      <c r="J118" s="11" t="str">
        <f t="shared" si="20"/>
        <v/>
      </c>
      <c r="K118" s="43"/>
      <c r="L118" s="43"/>
    </row>
    <row r="119" spans="1:12" ht="15.6">
      <c r="A119" s="24"/>
      <c r="B119" s="25"/>
      <c r="C119" s="23" t="e">
        <f>Sites[[#This Row],[SOL'#]]</f>
        <v>#VALUE!</v>
      </c>
      <c r="D119" s="7"/>
      <c r="E119" s="12"/>
      <c r="F119" s="12" t="str">
        <f t="shared" si="18"/>
        <v/>
      </c>
      <c r="G119" s="13" t="str">
        <f t="shared" si="17"/>
        <v/>
      </c>
      <c r="H119" s="76"/>
      <c r="I119" s="14" t="str">
        <f t="shared" si="19"/>
        <v/>
      </c>
      <c r="J119" s="13" t="str">
        <f t="shared" si="20"/>
        <v/>
      </c>
      <c r="K119" s="109"/>
      <c r="L119" s="78"/>
    </row>
    <row r="120" spans="1:12" ht="15.6">
      <c r="A120" s="22"/>
      <c r="B120" s="23"/>
      <c r="C120" s="23" t="e">
        <f>Sites[[#This Row],[SOL'#]]</f>
        <v>#VALUE!</v>
      </c>
      <c r="D120" s="18"/>
      <c r="E120" s="8"/>
      <c r="F120" s="8" t="str">
        <f t="shared" si="18"/>
        <v/>
      </c>
      <c r="G120" s="9" t="str">
        <f t="shared" si="17"/>
        <v/>
      </c>
      <c r="H120" s="10"/>
      <c r="I120" s="10" t="str">
        <f t="shared" si="19"/>
        <v/>
      </c>
      <c r="J120" s="11" t="str">
        <f t="shared" si="20"/>
        <v/>
      </c>
      <c r="K120" s="43"/>
      <c r="L120" s="43"/>
    </row>
    <row r="121" spans="1:12" ht="61.5" customHeight="1">
      <c r="A121" s="24"/>
      <c r="B121" s="25"/>
      <c r="C121" s="23" t="e">
        <f>Sites[[#This Row],[SOL'#]]</f>
        <v>#VALUE!</v>
      </c>
      <c r="D121" s="7"/>
      <c r="E121" s="12"/>
      <c r="F121" s="12" t="str">
        <f t="shared" si="18"/>
        <v/>
      </c>
      <c r="G121" s="13" t="str">
        <f t="shared" si="17"/>
        <v/>
      </c>
      <c r="H121" s="14"/>
      <c r="I121" s="14" t="str">
        <f t="shared" si="19"/>
        <v/>
      </c>
      <c r="J121" s="13" t="str">
        <f t="shared" si="20"/>
        <v/>
      </c>
      <c r="K121" s="109"/>
      <c r="L121" s="78"/>
    </row>
    <row r="122" spans="1:12" ht="15.6">
      <c r="A122" s="22"/>
      <c r="B122" s="23"/>
      <c r="C122" s="23" t="e">
        <f>Sites[[#This Row],[SOL'#]]</f>
        <v>#VALUE!</v>
      </c>
      <c r="D122" s="18"/>
      <c r="E122" s="8"/>
      <c r="F122" s="8" t="str">
        <f t="shared" si="18"/>
        <v/>
      </c>
      <c r="G122" s="9" t="str">
        <f t="shared" si="17"/>
        <v/>
      </c>
      <c r="H122" s="10"/>
      <c r="I122" s="10" t="str">
        <f t="shared" si="19"/>
        <v/>
      </c>
      <c r="J122" s="11" t="str">
        <f t="shared" si="20"/>
        <v/>
      </c>
      <c r="K122" s="43"/>
      <c r="L122" s="43"/>
    </row>
    <row r="123" spans="1:12" ht="15.6">
      <c r="A123" s="24"/>
      <c r="B123" s="25"/>
      <c r="C123" s="23" t="e">
        <f>Sites[[#This Row],[SOL'#]]</f>
        <v>#VALUE!</v>
      </c>
      <c r="D123" s="7"/>
      <c r="E123" s="12"/>
      <c r="F123" s="12" t="str">
        <f t="shared" si="18"/>
        <v/>
      </c>
      <c r="G123" s="13" t="str">
        <f t="shared" ref="G123:G154" si="21">IFERROR(F123/E123, "")</f>
        <v/>
      </c>
      <c r="H123" s="14"/>
      <c r="I123" s="14" t="str">
        <f t="shared" si="19"/>
        <v/>
      </c>
      <c r="J123" s="13" t="str">
        <f t="shared" si="20"/>
        <v/>
      </c>
      <c r="K123" s="109"/>
      <c r="L123" s="78"/>
    </row>
    <row r="124" spans="1:12" ht="15.6">
      <c r="A124" s="22"/>
      <c r="B124" s="23"/>
      <c r="C124" s="23" t="e">
        <f>Sites[[#This Row],[SOL'#]]</f>
        <v>#VALUE!</v>
      </c>
      <c r="D124" s="18"/>
      <c r="E124" s="8"/>
      <c r="F124" s="8" t="str">
        <f t="shared" si="18"/>
        <v/>
      </c>
      <c r="G124" s="9" t="str">
        <f t="shared" si="21"/>
        <v/>
      </c>
      <c r="H124" s="10"/>
      <c r="I124" s="10" t="str">
        <f t="shared" si="19"/>
        <v/>
      </c>
      <c r="J124" s="11" t="str">
        <f t="shared" si="20"/>
        <v/>
      </c>
      <c r="K124" s="43"/>
      <c r="L124" s="43"/>
    </row>
    <row r="125" spans="1:12" ht="89.25" customHeight="1">
      <c r="A125" s="24"/>
      <c r="B125" s="25"/>
      <c r="C125" s="23" t="e">
        <f>Sites[[#This Row],[SOL'#]]</f>
        <v>#VALUE!</v>
      </c>
      <c r="D125" s="7"/>
      <c r="E125" s="12"/>
      <c r="F125" s="12" t="str">
        <f t="shared" si="18"/>
        <v/>
      </c>
      <c r="G125" s="13" t="str">
        <f t="shared" si="21"/>
        <v/>
      </c>
      <c r="H125" s="14"/>
      <c r="I125" s="14" t="str">
        <f t="shared" si="19"/>
        <v/>
      </c>
      <c r="J125" s="13" t="str">
        <f t="shared" si="20"/>
        <v/>
      </c>
      <c r="K125" s="109"/>
      <c r="L125" s="109"/>
    </row>
    <row r="126" spans="1:12" ht="15.6">
      <c r="A126" s="22"/>
      <c r="B126" s="23"/>
      <c r="C126" s="23" t="e">
        <f>Sites[[#This Row],[SOL'#]]</f>
        <v>#VALUE!</v>
      </c>
      <c r="D126" s="18"/>
      <c r="E126" s="8"/>
      <c r="F126" s="8" t="str">
        <f t="shared" si="18"/>
        <v/>
      </c>
      <c r="G126" s="9" t="str">
        <f t="shared" si="21"/>
        <v/>
      </c>
      <c r="H126" s="10"/>
      <c r="I126" s="10" t="str">
        <f t="shared" si="19"/>
        <v/>
      </c>
      <c r="J126" s="11" t="str">
        <f t="shared" si="20"/>
        <v/>
      </c>
      <c r="K126" s="43"/>
      <c r="L126" s="43"/>
    </row>
    <row r="127" spans="1:12" ht="15.6">
      <c r="A127" s="24"/>
      <c r="B127" s="25"/>
      <c r="C127" s="23" t="e">
        <f>Sites[[#This Row],[SOL'#]]</f>
        <v>#VALUE!</v>
      </c>
      <c r="D127" s="7"/>
      <c r="E127" s="12"/>
      <c r="F127" s="12" t="str">
        <f t="shared" si="18"/>
        <v/>
      </c>
      <c r="G127" s="13" t="str">
        <f t="shared" si="21"/>
        <v/>
      </c>
      <c r="H127" s="14"/>
      <c r="I127" s="14" t="str">
        <f t="shared" si="19"/>
        <v/>
      </c>
      <c r="J127" s="13" t="str">
        <f t="shared" si="20"/>
        <v/>
      </c>
      <c r="K127" s="109"/>
      <c r="L127" s="78"/>
    </row>
    <row r="128" spans="1:12" ht="15.6">
      <c r="A128" s="22"/>
      <c r="B128" s="23"/>
      <c r="C128" s="23" t="e">
        <f>Sites[[#This Row],[SOL'#]]</f>
        <v>#VALUE!</v>
      </c>
      <c r="D128" s="18"/>
      <c r="E128" s="8"/>
      <c r="F128" s="8" t="str">
        <f t="shared" si="18"/>
        <v/>
      </c>
      <c r="G128" s="9" t="str">
        <f t="shared" si="21"/>
        <v/>
      </c>
      <c r="H128" s="10"/>
      <c r="I128" s="10" t="str">
        <f t="shared" si="19"/>
        <v/>
      </c>
      <c r="J128" s="11" t="str">
        <f t="shared" si="20"/>
        <v/>
      </c>
      <c r="K128" s="43"/>
      <c r="L128" s="43"/>
    </row>
    <row r="129" spans="1:12" ht="15.6">
      <c r="A129" s="24"/>
      <c r="B129" s="25"/>
      <c r="C129" s="23" t="e">
        <f>Sites[[#This Row],[SOL'#]]</f>
        <v>#VALUE!</v>
      </c>
      <c r="D129" s="7"/>
      <c r="E129" s="12"/>
      <c r="F129" s="12" t="str">
        <f t="shared" si="18"/>
        <v/>
      </c>
      <c r="G129" s="13" t="str">
        <f t="shared" si="21"/>
        <v/>
      </c>
      <c r="H129" s="14"/>
      <c r="I129" s="14" t="str">
        <f t="shared" si="19"/>
        <v/>
      </c>
      <c r="J129" s="13" t="str">
        <f t="shared" si="20"/>
        <v/>
      </c>
      <c r="K129" s="109"/>
      <c r="L129" s="78"/>
    </row>
    <row r="130" spans="1:12" ht="15.6">
      <c r="A130" s="22"/>
      <c r="B130" s="23"/>
      <c r="C130" s="23" t="e">
        <f>Sites[[#This Row],[SOL'#]]</f>
        <v>#VALUE!</v>
      </c>
      <c r="D130" s="18"/>
      <c r="E130" s="8"/>
      <c r="F130" s="8" t="str">
        <f t="shared" si="18"/>
        <v/>
      </c>
      <c r="G130" s="9" t="str">
        <f t="shared" si="21"/>
        <v/>
      </c>
      <c r="H130" s="10"/>
      <c r="I130" s="10" t="str">
        <f t="shared" si="19"/>
        <v/>
      </c>
      <c r="J130" s="11" t="str">
        <f t="shared" si="20"/>
        <v/>
      </c>
      <c r="K130" s="43"/>
      <c r="L130" s="43"/>
    </row>
    <row r="131" spans="1:12" ht="15.6">
      <c r="A131" s="24"/>
      <c r="B131" s="25"/>
      <c r="C131" s="23" t="e">
        <f>Sites[[#This Row],[SOL'#]]</f>
        <v>#VALUE!</v>
      </c>
      <c r="D131" s="7"/>
      <c r="E131" s="12"/>
      <c r="F131" s="12" t="str">
        <f t="shared" si="18"/>
        <v/>
      </c>
      <c r="G131" s="13" t="str">
        <f t="shared" si="21"/>
        <v/>
      </c>
      <c r="H131" s="14"/>
      <c r="I131" s="14" t="str">
        <f t="shared" si="19"/>
        <v/>
      </c>
      <c r="J131" s="13" t="str">
        <f t="shared" si="20"/>
        <v/>
      </c>
      <c r="K131" s="109"/>
      <c r="L131" s="78"/>
    </row>
    <row r="132" spans="1:12" ht="15.6">
      <c r="A132" s="22"/>
      <c r="B132" s="23"/>
      <c r="C132" s="23" t="e">
        <f>Sites[[#This Row],[SOL'#]]</f>
        <v>#VALUE!</v>
      </c>
      <c r="D132" s="18"/>
      <c r="E132" s="8"/>
      <c r="F132" s="8" t="str">
        <f t="shared" si="18"/>
        <v/>
      </c>
      <c r="G132" s="9" t="str">
        <f t="shared" si="21"/>
        <v/>
      </c>
      <c r="H132" s="10"/>
      <c r="I132" s="10" t="str">
        <f t="shared" si="19"/>
        <v/>
      </c>
      <c r="J132" s="11" t="str">
        <f t="shared" si="20"/>
        <v/>
      </c>
      <c r="K132" s="43"/>
      <c r="L132" s="43"/>
    </row>
    <row r="133" spans="1:12" ht="15.6">
      <c r="A133" s="24"/>
      <c r="B133" s="25"/>
      <c r="C133" s="23" t="e">
        <f>Sites[[#This Row],[SOL'#]]</f>
        <v>#VALUE!</v>
      </c>
      <c r="D133" s="7"/>
      <c r="E133" s="12"/>
      <c r="F133" s="12" t="str">
        <f t="shared" si="18"/>
        <v/>
      </c>
      <c r="G133" s="13" t="str">
        <f t="shared" si="21"/>
        <v/>
      </c>
      <c r="H133" s="14"/>
      <c r="I133" s="14" t="str">
        <f t="shared" si="19"/>
        <v/>
      </c>
      <c r="J133" s="13" t="str">
        <f t="shared" si="20"/>
        <v/>
      </c>
      <c r="K133" s="109"/>
      <c r="L133" s="78"/>
    </row>
    <row r="134" spans="1:12" ht="15.6">
      <c r="A134" s="22"/>
      <c r="B134" s="23"/>
      <c r="C134" s="23" t="e">
        <f>Sites[[#This Row],[SOL'#]]</f>
        <v>#VALUE!</v>
      </c>
      <c r="D134" s="18"/>
      <c r="E134" s="8"/>
      <c r="F134" s="8" t="str">
        <f t="shared" si="18"/>
        <v/>
      </c>
      <c r="G134" s="9" t="str">
        <f t="shared" si="21"/>
        <v/>
      </c>
      <c r="H134" s="10"/>
      <c r="I134" s="10" t="str">
        <f t="shared" si="19"/>
        <v/>
      </c>
      <c r="J134" s="11" t="str">
        <f t="shared" si="20"/>
        <v/>
      </c>
      <c r="K134" s="43"/>
      <c r="L134" s="43"/>
    </row>
    <row r="135" spans="1:12" ht="15.6">
      <c r="A135" s="24"/>
      <c r="B135" s="25"/>
      <c r="C135" s="23" t="e">
        <f>Sites[[#This Row],[SOL'#]]</f>
        <v>#VALUE!</v>
      </c>
      <c r="D135" s="7"/>
      <c r="E135" s="12"/>
      <c r="F135" s="12" t="str">
        <f t="shared" si="18"/>
        <v/>
      </c>
      <c r="G135" s="13" t="str">
        <f t="shared" si="21"/>
        <v/>
      </c>
      <c r="H135" s="14"/>
      <c r="I135" s="14" t="str">
        <f t="shared" si="19"/>
        <v/>
      </c>
      <c r="J135" s="13" t="str">
        <f t="shared" si="20"/>
        <v/>
      </c>
      <c r="K135" s="109"/>
      <c r="L135" s="78"/>
    </row>
    <row r="136" spans="1:12" ht="15.6">
      <c r="A136" s="22"/>
      <c r="B136" s="23"/>
      <c r="C136" s="23" t="e">
        <f>Sites[[#This Row],[SOL'#]]</f>
        <v>#VALUE!</v>
      </c>
      <c r="D136" s="18"/>
      <c r="E136" s="8"/>
      <c r="F136" s="8" t="str">
        <f t="shared" si="18"/>
        <v/>
      </c>
      <c r="G136" s="9" t="str">
        <f t="shared" si="21"/>
        <v/>
      </c>
      <c r="H136" s="10"/>
      <c r="I136" s="10" t="str">
        <f t="shared" si="19"/>
        <v/>
      </c>
      <c r="J136" s="11" t="str">
        <f t="shared" si="20"/>
        <v/>
      </c>
      <c r="K136" s="43"/>
      <c r="L136" s="43"/>
    </row>
    <row r="137" spans="1:12" ht="15.6">
      <c r="A137" s="24"/>
      <c r="B137" s="25"/>
      <c r="C137" s="23" t="e">
        <f>Sites[[#This Row],[SOL'#]]</f>
        <v>#VALUE!</v>
      </c>
      <c r="D137" s="7"/>
      <c r="E137" s="12"/>
      <c r="F137" s="12" t="str">
        <f t="shared" si="18"/>
        <v/>
      </c>
      <c r="G137" s="13" t="str">
        <f t="shared" si="21"/>
        <v/>
      </c>
      <c r="H137" s="14"/>
      <c r="I137" s="14" t="str">
        <f t="shared" si="19"/>
        <v/>
      </c>
      <c r="J137" s="13" t="str">
        <f t="shared" si="20"/>
        <v/>
      </c>
      <c r="K137" s="109"/>
      <c r="L137" s="78"/>
    </row>
    <row r="138" spans="1:12" ht="15.6">
      <c r="A138" s="22"/>
      <c r="B138" s="23"/>
      <c r="C138" s="23" t="e">
        <f>Sites[[#This Row],[SOL'#]]</f>
        <v>#VALUE!</v>
      </c>
      <c r="D138" s="18"/>
      <c r="E138" s="8"/>
      <c r="F138" s="8" t="str">
        <f t="shared" si="18"/>
        <v/>
      </c>
      <c r="G138" s="9" t="str">
        <f t="shared" si="21"/>
        <v/>
      </c>
      <c r="H138" s="10"/>
      <c r="I138" s="10" t="str">
        <f t="shared" si="19"/>
        <v/>
      </c>
      <c r="J138" s="11" t="str">
        <f t="shared" si="20"/>
        <v/>
      </c>
      <c r="K138" s="43"/>
      <c r="L138" s="43"/>
    </row>
    <row r="139" spans="1:12" ht="15.6">
      <c r="A139" s="24"/>
      <c r="B139" s="25"/>
      <c r="C139" s="23" t="e">
        <f>Sites[[#This Row],[SOL'#]]</f>
        <v>#VALUE!</v>
      </c>
      <c r="D139" s="7"/>
      <c r="E139" s="12"/>
      <c r="F139" s="12" t="str">
        <f t="shared" si="18"/>
        <v/>
      </c>
      <c r="G139" s="13" t="str">
        <f t="shared" si="21"/>
        <v/>
      </c>
      <c r="H139" s="14"/>
      <c r="I139" s="14" t="str">
        <f t="shared" si="19"/>
        <v/>
      </c>
      <c r="J139" s="13" t="str">
        <f t="shared" si="20"/>
        <v/>
      </c>
      <c r="K139" s="109"/>
      <c r="L139" s="78"/>
    </row>
    <row r="140" spans="1:12" ht="15.6">
      <c r="A140" s="26"/>
      <c r="B140" s="23"/>
      <c r="C140" s="23" t="e">
        <f>Sites[[#This Row],[SOL'#]]</f>
        <v>#VALUE!</v>
      </c>
      <c r="D140" s="48"/>
      <c r="E140" s="8"/>
      <c r="F140" s="8" t="str">
        <f t="shared" si="18"/>
        <v/>
      </c>
      <c r="G140" s="49" t="str">
        <f t="shared" si="21"/>
        <v/>
      </c>
      <c r="H140" s="58"/>
      <c r="I140" s="58" t="str">
        <f t="shared" si="19"/>
        <v/>
      </c>
      <c r="J140" s="56" t="str">
        <f t="shared" si="20"/>
        <v/>
      </c>
      <c r="K140" s="92"/>
      <c r="L140" s="43"/>
    </row>
    <row r="141" spans="1:12" ht="15.6">
      <c r="A141" s="24"/>
      <c r="B141" s="25"/>
      <c r="C141" s="23" t="e">
        <f>Sites[[#This Row],[SOL'#]]</f>
        <v>#VALUE!</v>
      </c>
      <c r="D141" s="57"/>
      <c r="E141" s="12"/>
      <c r="F141" s="12" t="str">
        <f t="shared" si="18"/>
        <v/>
      </c>
      <c r="G141" s="59" t="str">
        <f t="shared" si="21"/>
        <v/>
      </c>
      <c r="H141" s="60"/>
      <c r="I141" s="60" t="str">
        <f t="shared" si="19"/>
        <v/>
      </c>
      <c r="J141" s="59" t="str">
        <f t="shared" si="20"/>
        <v/>
      </c>
      <c r="K141" s="109"/>
      <c r="L141" s="80"/>
    </row>
    <row r="142" spans="1:12" ht="15.6">
      <c r="A142" s="22"/>
      <c r="B142" s="23"/>
      <c r="C142" s="23" t="e">
        <f>Sites[[#This Row],[SOL'#]]</f>
        <v>#VALUE!</v>
      </c>
      <c r="D142" s="48"/>
      <c r="E142" s="8"/>
      <c r="F142" s="8" t="str">
        <f t="shared" si="18"/>
        <v/>
      </c>
      <c r="G142" s="49" t="str">
        <f t="shared" si="21"/>
        <v/>
      </c>
      <c r="H142" s="58"/>
      <c r="I142" s="58" t="str">
        <f t="shared" si="19"/>
        <v/>
      </c>
      <c r="J142" s="56" t="str">
        <f t="shared" si="20"/>
        <v/>
      </c>
      <c r="K142" s="92"/>
      <c r="L142" s="43"/>
    </row>
    <row r="143" spans="1:12" ht="15.6">
      <c r="A143" s="24"/>
      <c r="B143" s="25"/>
      <c r="C143" s="23" t="e">
        <f>Sites[[#This Row],[SOL'#]]</f>
        <v>#VALUE!</v>
      </c>
      <c r="D143" s="57"/>
      <c r="E143" s="12"/>
      <c r="F143" s="12" t="str">
        <f t="shared" si="18"/>
        <v/>
      </c>
      <c r="G143" s="59" t="str">
        <f t="shared" si="21"/>
        <v/>
      </c>
      <c r="H143" s="60"/>
      <c r="I143" s="60" t="str">
        <f t="shared" si="19"/>
        <v/>
      </c>
      <c r="J143" s="59" t="str">
        <f t="shared" si="20"/>
        <v/>
      </c>
      <c r="K143" s="109"/>
      <c r="L143" s="80"/>
    </row>
    <row r="144" spans="1:12" ht="15.6">
      <c r="A144" s="22"/>
      <c r="B144" s="23"/>
      <c r="C144" s="23" t="e">
        <f>Sites[[#This Row],[SOL'#]]</f>
        <v>#VALUE!</v>
      </c>
      <c r="D144" s="48"/>
      <c r="E144" s="8"/>
      <c r="F144" s="8" t="str">
        <f t="shared" si="18"/>
        <v/>
      </c>
      <c r="G144" s="49" t="str">
        <f t="shared" si="21"/>
        <v/>
      </c>
      <c r="H144" s="58"/>
      <c r="I144" s="58" t="str">
        <f t="shared" si="19"/>
        <v/>
      </c>
      <c r="J144" s="56" t="str">
        <f t="shared" si="20"/>
        <v/>
      </c>
      <c r="K144" s="92"/>
      <c r="L144" s="43"/>
    </row>
    <row r="145" spans="1:12" ht="48" customHeight="1">
      <c r="A145" s="24"/>
      <c r="B145" s="25"/>
      <c r="C145" s="23" t="e">
        <f>Sites[[#This Row],[SOL'#]]</f>
        <v>#VALUE!</v>
      </c>
      <c r="D145" s="57"/>
      <c r="E145" s="12"/>
      <c r="F145" s="12" t="str">
        <f t="shared" si="18"/>
        <v/>
      </c>
      <c r="G145" s="59" t="str">
        <f t="shared" si="21"/>
        <v/>
      </c>
      <c r="H145" s="60"/>
      <c r="I145" s="60" t="str">
        <f t="shared" si="19"/>
        <v/>
      </c>
      <c r="J145" s="59" t="str">
        <f t="shared" si="20"/>
        <v/>
      </c>
      <c r="K145" s="109"/>
      <c r="L145" s="93"/>
    </row>
    <row r="146" spans="1:12" ht="15.6">
      <c r="A146" s="22"/>
      <c r="B146" s="23"/>
      <c r="C146" s="23" t="e">
        <f>Sites[[#This Row],[SOL'#]]</f>
        <v>#VALUE!</v>
      </c>
      <c r="D146" s="48"/>
      <c r="E146" s="8"/>
      <c r="F146" s="8" t="str">
        <f t="shared" ref="F146:F154" si="22">IF(AND(ISNUMBER(D146),ISNUMBER(E146)), D146-E146, "")</f>
        <v/>
      </c>
      <c r="G146" s="49" t="str">
        <f t="shared" si="21"/>
        <v/>
      </c>
      <c r="H146" s="58"/>
      <c r="I146" s="58" t="str">
        <f t="shared" ref="I146:I158" si="23">IF(AND(ISNUMBER(D146),ISNUMBER(H146)), D146-H146, "")</f>
        <v/>
      </c>
      <c r="J146" s="56" t="str">
        <f t="shared" ref="J146:J158" si="24">IFERROR(I146/H146, "")</f>
        <v/>
      </c>
      <c r="K146" s="92"/>
      <c r="L146" s="43"/>
    </row>
    <row r="147" spans="1:12" ht="15.6">
      <c r="A147" s="24"/>
      <c r="B147" s="25"/>
      <c r="C147" s="23" t="e">
        <f>Sites[[#This Row],[SOL'#]]</f>
        <v>#VALUE!</v>
      </c>
      <c r="D147" s="57"/>
      <c r="E147" s="12"/>
      <c r="F147" s="12" t="str">
        <f t="shared" si="22"/>
        <v/>
      </c>
      <c r="G147" s="59" t="str">
        <f t="shared" si="21"/>
        <v/>
      </c>
      <c r="H147" s="60"/>
      <c r="I147" s="60" t="str">
        <f t="shared" si="23"/>
        <v/>
      </c>
      <c r="J147" s="59" t="str">
        <f t="shared" si="24"/>
        <v/>
      </c>
      <c r="K147" s="109"/>
      <c r="L147" s="80"/>
    </row>
    <row r="148" spans="1:12" ht="15.6">
      <c r="A148" s="22"/>
      <c r="B148" s="23"/>
      <c r="C148" s="23" t="e">
        <f>Sites[[#This Row],[SOL'#]]</f>
        <v>#VALUE!</v>
      </c>
      <c r="D148" s="48"/>
      <c r="E148" s="8"/>
      <c r="F148" s="8" t="str">
        <f t="shared" si="22"/>
        <v/>
      </c>
      <c r="G148" s="49" t="str">
        <f t="shared" si="21"/>
        <v/>
      </c>
      <c r="H148" s="58"/>
      <c r="I148" s="58" t="str">
        <f t="shared" si="23"/>
        <v/>
      </c>
      <c r="J148" s="56" t="str">
        <f t="shared" si="24"/>
        <v/>
      </c>
      <c r="K148" s="92"/>
      <c r="L148" s="43"/>
    </row>
    <row r="149" spans="1:12" ht="15.6">
      <c r="A149" s="24"/>
      <c r="B149" s="25"/>
      <c r="C149" s="23" t="e">
        <f>Sites[[#This Row],[SOL'#]]</f>
        <v>#VALUE!</v>
      </c>
      <c r="D149" s="57"/>
      <c r="E149" s="12"/>
      <c r="F149" s="12" t="str">
        <f t="shared" si="22"/>
        <v/>
      </c>
      <c r="G149" s="59" t="str">
        <f t="shared" si="21"/>
        <v/>
      </c>
      <c r="H149" s="60"/>
      <c r="I149" s="60" t="str">
        <f t="shared" si="23"/>
        <v/>
      </c>
      <c r="J149" s="59" t="str">
        <f t="shared" si="24"/>
        <v/>
      </c>
      <c r="K149" s="109"/>
      <c r="L149" s="81"/>
    </row>
    <row r="150" spans="1:12" ht="15.6">
      <c r="A150" s="22"/>
      <c r="B150" s="23"/>
      <c r="C150" s="23" t="e">
        <f>Sites[[#This Row],[SOL'#]]</f>
        <v>#VALUE!</v>
      </c>
      <c r="D150" s="48"/>
      <c r="E150" s="8"/>
      <c r="F150" s="8" t="str">
        <f t="shared" si="22"/>
        <v/>
      </c>
      <c r="G150" s="49" t="str">
        <f t="shared" si="21"/>
        <v/>
      </c>
      <c r="H150" s="58"/>
      <c r="I150" s="58" t="str">
        <f t="shared" si="23"/>
        <v/>
      </c>
      <c r="J150" s="56" t="str">
        <f t="shared" si="24"/>
        <v/>
      </c>
      <c r="K150" s="92"/>
      <c r="L150" s="43"/>
    </row>
    <row r="151" spans="1:12" ht="15.6">
      <c r="A151" s="24"/>
      <c r="B151" s="25"/>
      <c r="C151" s="23" t="e">
        <f>Sites[[#This Row],[SOL'#]]</f>
        <v>#VALUE!</v>
      </c>
      <c r="D151" s="57"/>
      <c r="E151" s="12"/>
      <c r="F151" s="12" t="str">
        <f t="shared" si="22"/>
        <v/>
      </c>
      <c r="G151" s="59" t="str">
        <f t="shared" si="21"/>
        <v/>
      </c>
      <c r="H151" s="60"/>
      <c r="I151" s="60" t="str">
        <f t="shared" si="23"/>
        <v/>
      </c>
      <c r="J151" s="59" t="str">
        <f t="shared" si="24"/>
        <v/>
      </c>
      <c r="K151" s="109"/>
      <c r="L151" s="80"/>
    </row>
    <row r="152" spans="1:12" ht="15.6">
      <c r="A152" s="22"/>
      <c r="B152" s="23"/>
      <c r="C152" s="23" t="e">
        <f>Sites[[#This Row],[SOL'#]]</f>
        <v>#VALUE!</v>
      </c>
      <c r="D152" s="48"/>
      <c r="E152" s="8"/>
      <c r="F152" s="8" t="str">
        <f t="shared" si="22"/>
        <v/>
      </c>
      <c r="G152" s="49" t="str">
        <f t="shared" si="21"/>
        <v/>
      </c>
      <c r="H152" s="58"/>
      <c r="I152" s="58" t="str">
        <f t="shared" si="23"/>
        <v/>
      </c>
      <c r="J152" s="56" t="str">
        <f t="shared" si="24"/>
        <v/>
      </c>
      <c r="K152" s="92"/>
      <c r="L152" s="43"/>
    </row>
    <row r="153" spans="1:12" ht="15.6">
      <c r="A153" s="24"/>
      <c r="B153" s="25"/>
      <c r="C153" s="23" t="e">
        <f>Sites[[#This Row],[SOL'#]]</f>
        <v>#VALUE!</v>
      </c>
      <c r="D153" s="57"/>
      <c r="E153" s="12"/>
      <c r="F153" s="12" t="str">
        <f t="shared" si="22"/>
        <v/>
      </c>
      <c r="G153" s="59" t="str">
        <f t="shared" si="21"/>
        <v/>
      </c>
      <c r="H153" s="60"/>
      <c r="I153" s="60" t="str">
        <f t="shared" si="23"/>
        <v/>
      </c>
      <c r="J153" s="59" t="str">
        <f t="shared" si="24"/>
        <v/>
      </c>
      <c r="K153" s="109"/>
      <c r="L153" s="93"/>
    </row>
    <row r="154" spans="1:12" ht="15.6">
      <c r="A154" s="22"/>
      <c r="B154" s="23"/>
      <c r="C154" s="23" t="e">
        <f>Sites[[#This Row],[SOL'#]]</f>
        <v>#VALUE!</v>
      </c>
      <c r="D154" s="48"/>
      <c r="E154" s="8"/>
      <c r="F154" s="8" t="str">
        <f t="shared" si="22"/>
        <v/>
      </c>
      <c r="G154" s="49" t="str">
        <f t="shared" si="21"/>
        <v/>
      </c>
      <c r="H154" s="58"/>
      <c r="I154" s="58" t="str">
        <f t="shared" si="23"/>
        <v/>
      </c>
      <c r="J154" s="56" t="str">
        <f t="shared" si="24"/>
        <v/>
      </c>
      <c r="K154" s="92"/>
      <c r="L154" s="43"/>
    </row>
    <row r="155" spans="1:12" ht="15.6">
      <c r="A155" s="24"/>
      <c r="B155" s="25"/>
      <c r="C155" s="23" t="e">
        <f>Sites[[#This Row],[SOL'#]]</f>
        <v>#VALUE!</v>
      </c>
      <c r="D155" s="57"/>
      <c r="E155" s="12"/>
      <c r="F155" s="12">
        <v>0</v>
      </c>
      <c r="G155" s="59" t="str">
        <f t="shared" ref="G155:G158" si="25">IFERROR(F155/E155, "")</f>
        <v/>
      </c>
      <c r="H155" s="60"/>
      <c r="I155" s="60" t="str">
        <f t="shared" si="23"/>
        <v/>
      </c>
      <c r="J155" s="59" t="str">
        <f t="shared" si="24"/>
        <v/>
      </c>
      <c r="K155" s="109"/>
      <c r="L155" s="93"/>
    </row>
    <row r="156" spans="1:12" ht="15.6">
      <c r="A156" s="22"/>
      <c r="B156" s="23"/>
      <c r="C156" s="23" t="e">
        <f>Sites[[#This Row],[SOL'#]]</f>
        <v>#VALUE!</v>
      </c>
      <c r="D156" s="48"/>
      <c r="E156" s="8"/>
      <c r="F156" s="8" t="str">
        <f t="shared" ref="F156:F158" si="26">IF(AND(ISNUMBER(D156),ISNUMBER(E156)), D156-E156, "")</f>
        <v/>
      </c>
      <c r="G156" s="49" t="str">
        <f t="shared" si="25"/>
        <v/>
      </c>
      <c r="H156" s="58"/>
      <c r="I156" s="58" t="str">
        <f t="shared" si="23"/>
        <v/>
      </c>
      <c r="J156" s="56" t="str">
        <f t="shared" si="24"/>
        <v/>
      </c>
      <c r="K156" s="92"/>
      <c r="L156" s="43"/>
    </row>
    <row r="157" spans="1:12" ht="15.6">
      <c r="A157" s="24"/>
      <c r="B157" s="25"/>
      <c r="C157" s="23" t="e">
        <f>Sites[[#This Row],[SOL'#]]</f>
        <v>#VALUE!</v>
      </c>
      <c r="D157" s="57"/>
      <c r="E157" s="12"/>
      <c r="F157" s="12" t="str">
        <f t="shared" si="26"/>
        <v/>
      </c>
      <c r="G157" s="59" t="str">
        <f t="shared" si="25"/>
        <v/>
      </c>
      <c r="H157" s="60"/>
      <c r="I157" s="60" t="str">
        <f t="shared" si="23"/>
        <v/>
      </c>
      <c r="J157" s="59" t="str">
        <f t="shared" si="24"/>
        <v/>
      </c>
      <c r="K157" s="109"/>
      <c r="L157" s="80"/>
    </row>
    <row r="158" spans="1:12" ht="15.6">
      <c r="A158" s="22"/>
      <c r="B158" s="23"/>
      <c r="C158" s="23" t="e">
        <f>Sites[[#This Row],[SOL'#]]</f>
        <v>#VALUE!</v>
      </c>
      <c r="D158" s="48"/>
      <c r="E158" s="8"/>
      <c r="F158" s="8" t="str">
        <f t="shared" si="26"/>
        <v/>
      </c>
      <c r="G158" s="49" t="str">
        <f t="shared" si="25"/>
        <v/>
      </c>
      <c r="H158" s="58"/>
      <c r="I158" s="58" t="str">
        <f t="shared" si="23"/>
        <v/>
      </c>
      <c r="J158" s="56" t="str">
        <f t="shared" si="24"/>
        <v/>
      </c>
      <c r="K158" s="92"/>
      <c r="L158" s="92"/>
    </row>
    <row r="159" spans="1:12" ht="14.45">
      <c r="A159" s="15"/>
      <c r="B159" s="27"/>
      <c r="C159" s="27"/>
      <c r="D159" s="15"/>
      <c r="E159" s="15"/>
      <c r="F159" s="15"/>
      <c r="G159" s="16"/>
      <c r="H159" s="15"/>
      <c r="I159" s="15"/>
      <c r="J159" s="16"/>
      <c r="K159" s="15"/>
      <c r="L159" s="15"/>
    </row>
    <row r="160" spans="1:12" ht="14.45">
      <c r="A160" s="15"/>
      <c r="B160" s="27"/>
      <c r="C160" s="27"/>
      <c r="D160" s="15"/>
      <c r="E160" s="15"/>
      <c r="F160" s="15"/>
      <c r="G160" s="16"/>
      <c r="H160" s="15"/>
      <c r="I160" s="15"/>
      <c r="J160" s="16"/>
      <c r="K160" s="15"/>
      <c r="L160" s="15"/>
    </row>
    <row r="161" spans="1:12" ht="14.45">
      <c r="A161" s="15"/>
      <c r="B161" s="27"/>
      <c r="C161" s="27"/>
      <c r="D161" s="15"/>
      <c r="E161" s="15"/>
      <c r="F161" s="15"/>
      <c r="G161" s="16"/>
      <c r="H161" s="15"/>
      <c r="I161" s="15"/>
      <c r="J161" s="16"/>
      <c r="K161" s="15"/>
      <c r="L161" s="15"/>
    </row>
    <row r="162" spans="1:12" ht="14.45">
      <c r="A162" s="15"/>
      <c r="B162" s="27"/>
      <c r="C162" s="27"/>
      <c r="D162" s="15"/>
      <c r="E162" s="15"/>
      <c r="F162" s="15"/>
      <c r="G162" s="16"/>
      <c r="H162" s="15"/>
      <c r="I162" s="15"/>
      <c r="J162" s="16"/>
      <c r="K162" s="15"/>
      <c r="L162" s="15"/>
    </row>
    <row r="163" spans="1:12" ht="14.45">
      <c r="A163" s="15"/>
      <c r="B163" s="27"/>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row r="169" spans="1:12" ht="14.45">
      <c r="A169" s="15"/>
      <c r="B169" s="27"/>
      <c r="C169" s="27"/>
      <c r="D169" s="15"/>
      <c r="E169" s="15"/>
      <c r="F169" s="15"/>
      <c r="G169" s="16"/>
      <c r="H169" s="15"/>
      <c r="I169" s="15"/>
      <c r="J169" s="16"/>
      <c r="K169" s="15"/>
      <c r="L169" s="15"/>
    </row>
    <row r="170" spans="1:12" ht="14.45">
      <c r="A170" s="15"/>
      <c r="B170" s="27"/>
      <c r="C170" s="27"/>
      <c r="D170" s="15"/>
      <c r="E170" s="15"/>
      <c r="F170" s="15"/>
      <c r="G170" s="16"/>
      <c r="H170" s="15"/>
      <c r="I170" s="15"/>
      <c r="J170" s="16"/>
      <c r="K170" s="15"/>
      <c r="L170" s="15"/>
    </row>
    <row r="171" spans="1:12" ht="14.45">
      <c r="A171" s="15"/>
      <c r="B171" s="27"/>
      <c r="C171" s="27"/>
      <c r="D171" s="15"/>
      <c r="E171" s="15"/>
      <c r="F171" s="15"/>
      <c r="G171" s="16"/>
      <c r="H171" s="15"/>
      <c r="I171" s="15"/>
      <c r="J171" s="16"/>
      <c r="K171" s="15"/>
      <c r="L171" s="15"/>
    </row>
    <row r="172" spans="1:12" ht="14.4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58 J4:J158">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68"/>
  <sheetViews>
    <sheetView zoomScale="70" zoomScaleNormal="70" workbookViewId="0">
      <pane xSplit="2" ySplit="3" topLeftCell="J153"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5.140625"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8" t="str" cm="1">
        <f t="array" ref="A1">portfolio</f>
        <v>GoodFinch</v>
      </c>
      <c r="B1" s="138"/>
      <c r="C1" s="138"/>
      <c r="D1" s="138"/>
      <c r="E1" s="139" t="s">
        <v>216</v>
      </c>
      <c r="F1" s="139"/>
      <c r="G1" s="139"/>
      <c r="H1" s="137" t="s">
        <v>217</v>
      </c>
      <c r="I1" s="137"/>
      <c r="J1" s="137"/>
      <c r="K1" s="2"/>
      <c r="L1" s="2"/>
    </row>
    <row r="2" spans="1:12" ht="19.5" customHeight="1">
      <c r="A2" s="140" t="s">
        <v>2</v>
      </c>
      <c r="B2" s="140"/>
      <c r="C2" s="51"/>
      <c r="D2" s="3">
        <f>SUM(D4:D100)</f>
        <v>0</v>
      </c>
      <c r="E2" s="3">
        <f>SUM(E4:E100)</f>
        <v>0</v>
      </c>
      <c r="F2" s="3">
        <f>D2-E2</f>
        <v>0</v>
      </c>
      <c r="G2" s="4">
        <f>IFERROR(F2/E2, 0)</f>
        <v>0</v>
      </c>
      <c r="H2" s="3">
        <f>SUM(H4:H100)</f>
        <v>0</v>
      </c>
      <c r="I2" s="5">
        <f>D2-H2</f>
        <v>0</v>
      </c>
      <c r="J2" s="4">
        <f>IFERROR(I2/H2, 0)</f>
        <v>0</v>
      </c>
      <c r="K2" s="20"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35"/>
      <c r="L4" s="35"/>
    </row>
    <row r="5" spans="1:12" ht="15.6">
      <c r="A5" s="24" t="str">
        <v>AZ: Tempe - ASU - Fulton</v>
      </c>
      <c r="B5" s="25" t="str">
        <v>AZ</v>
      </c>
      <c r="C5" s="23" t="str">
        <f>Sites[[#This Row],[SOL'#]]</f>
        <v>SOL-10749</v>
      </c>
      <c r="D5" s="7"/>
      <c r="E5" s="12"/>
      <c r="F5" s="12" t="str">
        <f t="shared" ref="F5:F68" si="0">IF(AND(ISNUMBER(D5),ISNUMBER(E5)), D5-E5, "")</f>
        <v/>
      </c>
      <c r="G5" s="13" t="str">
        <f>IFERROR(F5/E5, "")</f>
        <v/>
      </c>
      <c r="H5" s="14"/>
      <c r="I5" s="14" t="str">
        <f t="shared" ref="I5:I68" si="1">IF(AND(ISNUMBER(D5),ISNUMBER(H5)), D5-H5, "")</f>
        <v/>
      </c>
      <c r="J5" s="13" t="str">
        <f t="shared" ref="J5:J68" si="2">IFERROR(I5/H5, "")</f>
        <v/>
      </c>
      <c r="K5" s="36"/>
      <c r="L5" s="36"/>
    </row>
    <row r="6" spans="1:12" ht="15.6">
      <c r="A6" s="22" t="str">
        <v>AZ: Superior - JFK Elementary</v>
      </c>
      <c r="B6" s="23" t="str">
        <v>AZ</v>
      </c>
      <c r="C6" s="23" t="str">
        <f>Sites[[#This Row],[SOL'#]]</f>
        <v>SOL-10758</v>
      </c>
      <c r="D6" s="18"/>
      <c r="E6" s="8"/>
      <c r="F6" s="8" t="str">
        <f t="shared" si="0"/>
        <v/>
      </c>
      <c r="G6" s="9" t="str">
        <f t="shared" ref="G6:G69" si="3">IFERROR(F6/E6, "")</f>
        <v/>
      </c>
      <c r="H6" s="10"/>
      <c r="I6" s="10" t="str">
        <f t="shared" si="1"/>
        <v/>
      </c>
      <c r="J6" s="11" t="str">
        <f t="shared" si="2"/>
        <v/>
      </c>
      <c r="K6" s="35"/>
      <c r="L6" s="35"/>
    </row>
    <row r="7" spans="1:12" ht="15.6">
      <c r="A7" s="24" t="str">
        <v>AZ: Tempe - ASU - Noble</v>
      </c>
      <c r="B7" s="25" t="str">
        <v>AZ</v>
      </c>
      <c r="C7" s="23" t="str">
        <f>Sites[[#This Row],[SOL'#]]</f>
        <v>SOL-10750</v>
      </c>
      <c r="D7" s="7"/>
      <c r="E7" s="12"/>
      <c r="F7" s="12" t="str">
        <f t="shared" si="0"/>
        <v/>
      </c>
      <c r="G7" s="13" t="str">
        <f t="shared" si="3"/>
        <v/>
      </c>
      <c r="H7" s="14"/>
      <c r="I7" s="14" t="str">
        <f t="shared" si="1"/>
        <v/>
      </c>
      <c r="J7" s="13" t="str">
        <f t="shared" si="2"/>
        <v/>
      </c>
      <c r="K7" s="36"/>
      <c r="L7" s="36"/>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35"/>
      <c r="L8" s="35"/>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36"/>
      <c r="L9" s="36"/>
    </row>
    <row r="10" spans="1:12" ht="15.6">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35"/>
      <c r="L10" s="35"/>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36"/>
      <c r="L11" s="68"/>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35"/>
      <c r="L12" s="35"/>
    </row>
    <row r="13" spans="1:12" ht="15.6">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36"/>
      <c r="L13" s="68"/>
    </row>
    <row r="14" spans="1:12" ht="22.5" customHeight="1">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35"/>
      <c r="L14" s="35"/>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36"/>
      <c r="L15" s="36"/>
    </row>
    <row r="16" spans="1:12" ht="15.6">
      <c r="A16" s="22" t="str">
        <v>AZ: Tempe - SCNM</v>
      </c>
      <c r="B16" s="23" t="str">
        <v>AZ</v>
      </c>
      <c r="C16" s="23" t="str">
        <f>Sites[[#This Row],[SOL'#]]</f>
        <v>SOL-10760</v>
      </c>
      <c r="D16" s="18"/>
      <c r="E16" s="8"/>
      <c r="F16" s="8" t="str">
        <f t="shared" si="0"/>
        <v/>
      </c>
      <c r="G16" s="9" t="str">
        <f t="shared" si="3"/>
        <v/>
      </c>
      <c r="H16" s="10"/>
      <c r="I16" s="10" t="str">
        <f>IF(AND(ISNUMBER(D16),ISNUMBER(H16)), D16-H16, "")</f>
        <v/>
      </c>
      <c r="J16" s="11" t="str">
        <f t="shared" si="2"/>
        <v/>
      </c>
      <c r="K16" s="35"/>
      <c r="L16" s="35"/>
    </row>
    <row r="17" spans="1:12" ht="15.6">
      <c r="A17" s="24" t="str">
        <v>DE: Newark - Clayton Hall</v>
      </c>
      <c r="B17" s="25" t="str">
        <v>DE</v>
      </c>
      <c r="C17" s="23" t="str">
        <f>Sites[[#This Row],[SOL'#]]</f>
        <v>SOL-10820</v>
      </c>
      <c r="D17" s="7"/>
      <c r="E17" s="12"/>
      <c r="F17" s="12" t="str">
        <f t="shared" si="0"/>
        <v/>
      </c>
      <c r="G17" s="13" t="str">
        <f t="shared" si="3"/>
        <v/>
      </c>
      <c r="H17" s="14"/>
      <c r="I17" s="14" t="str">
        <f t="shared" si="1"/>
        <v/>
      </c>
      <c r="J17" s="13" t="str">
        <f t="shared" si="2"/>
        <v/>
      </c>
      <c r="K17" s="36"/>
      <c r="L17" s="36"/>
    </row>
    <row r="18" spans="1:12" ht="46.5" customHeight="1">
      <c r="A18" s="22" t="str">
        <v>DE: Newark - UOD Field House</v>
      </c>
      <c r="B18" s="23" t="str">
        <v>DE</v>
      </c>
      <c r="C18" s="23" t="str">
        <f>Sites[[#This Row],[SOL'#]]</f>
        <v>SOL-10821</v>
      </c>
      <c r="D18" s="18"/>
      <c r="E18" s="8"/>
      <c r="F18" s="8" t="str">
        <f t="shared" si="0"/>
        <v/>
      </c>
      <c r="G18" s="9" t="str">
        <f t="shared" si="3"/>
        <v/>
      </c>
      <c r="H18" s="10"/>
      <c r="I18" s="10" t="str">
        <f t="shared" si="1"/>
        <v/>
      </c>
      <c r="J18" s="11" t="str">
        <f t="shared" si="2"/>
        <v/>
      </c>
      <c r="K18" s="35"/>
      <c r="L18" s="35"/>
    </row>
    <row r="19" spans="1:12" ht="15.6">
      <c r="A19" s="24" t="str">
        <v>DE: Newark - UOD 461 Wyoming</v>
      </c>
      <c r="B19" s="25" t="str">
        <v>DE</v>
      </c>
      <c r="C19" s="23" t="str">
        <f>Sites[[#This Row],[SOL'#]]</f>
        <v>SOL-10819</v>
      </c>
      <c r="D19" s="7"/>
      <c r="E19" s="12"/>
      <c r="F19" s="12" t="str">
        <f t="shared" si="0"/>
        <v/>
      </c>
      <c r="G19" s="13" t="str">
        <f t="shared" si="3"/>
        <v/>
      </c>
      <c r="H19" s="14"/>
      <c r="I19" s="14" t="str">
        <f t="shared" si="1"/>
        <v/>
      </c>
      <c r="J19" s="13" t="str">
        <f t="shared" si="2"/>
        <v/>
      </c>
      <c r="K19" s="36"/>
      <c r="L19" s="69"/>
    </row>
    <row r="20" spans="1:12" ht="20.25" customHeight="1">
      <c r="A20" s="22" t="str">
        <v>MD: Presston - Bird-in-Hand</v>
      </c>
      <c r="B20" s="23" t="str">
        <v>MD</v>
      </c>
      <c r="C20" s="23" t="str">
        <f>Sites[[#This Row],[SOL'#]]</f>
        <v>SOL-10092</v>
      </c>
      <c r="D20" s="18"/>
      <c r="E20" s="8"/>
      <c r="F20" s="8" t="str">
        <f t="shared" si="0"/>
        <v/>
      </c>
      <c r="G20" s="9" t="str">
        <f t="shared" si="3"/>
        <v/>
      </c>
      <c r="H20" s="10"/>
      <c r="I20" s="10" t="str">
        <f t="shared" si="1"/>
        <v/>
      </c>
      <c r="J20" s="11" t="str">
        <f t="shared" si="2"/>
        <v/>
      </c>
      <c r="K20" s="35"/>
      <c r="L20" s="35"/>
    </row>
    <row r="21" spans="1:12" ht="15.6">
      <c r="A21" s="24" t="str">
        <v>MD: Easton - Shortall</v>
      </c>
      <c r="B21" s="25" t="str">
        <v>MD</v>
      </c>
      <c r="C21" s="23" t="str">
        <f>Sites[[#This Row],[SOL'#]]</f>
        <v>SOL-10091</v>
      </c>
      <c r="D21" s="7"/>
      <c r="E21" s="12"/>
      <c r="F21" s="12" t="str">
        <f t="shared" si="0"/>
        <v/>
      </c>
      <c r="G21" s="13" t="str">
        <f t="shared" si="3"/>
        <v/>
      </c>
      <c r="H21" s="14"/>
      <c r="I21" s="14" t="str">
        <f t="shared" si="1"/>
        <v/>
      </c>
      <c r="J21" s="13" t="str">
        <f t="shared" si="2"/>
        <v/>
      </c>
      <c r="K21" s="36"/>
      <c r="L21" s="36"/>
    </row>
    <row r="22" spans="1:12" ht="15.6">
      <c r="A22" s="22" t="str">
        <v>MA: Boston - Seaport Solar</v>
      </c>
      <c r="B22" s="23" t="str">
        <v>MA</v>
      </c>
      <c r="C22" s="23" t="str">
        <f>Sites[[#This Row],[SOL'#]]</f>
        <v>SOL-10772</v>
      </c>
      <c r="D22" s="18"/>
      <c r="E22" s="8"/>
      <c r="F22" s="8" t="str">
        <f t="shared" si="0"/>
        <v/>
      </c>
      <c r="G22" s="9" t="str">
        <f t="shared" si="3"/>
        <v/>
      </c>
      <c r="H22" s="10"/>
      <c r="I22" s="10" t="str">
        <f t="shared" si="1"/>
        <v/>
      </c>
      <c r="J22" s="11" t="str">
        <f t="shared" si="2"/>
        <v/>
      </c>
      <c r="K22" s="35"/>
      <c r="L22" s="35"/>
    </row>
    <row r="23" spans="1:12" ht="25.5" customHeight="1">
      <c r="A23" s="24" t="str">
        <v>MA: Dedham - Sprague Street</v>
      </c>
      <c r="B23" s="25" t="str">
        <v>MA</v>
      </c>
      <c r="C23" s="23" t="str">
        <f>Sites[[#This Row],[SOL'#]]</f>
        <v>SOL-10773</v>
      </c>
      <c r="D23" s="7"/>
      <c r="E23" s="12"/>
      <c r="F23" s="12" t="str">
        <f t="shared" si="0"/>
        <v/>
      </c>
      <c r="G23" s="13" t="str">
        <f t="shared" si="3"/>
        <v/>
      </c>
      <c r="H23" s="14"/>
      <c r="I23" s="14" t="str">
        <f t="shared" si="1"/>
        <v/>
      </c>
      <c r="J23" s="13" t="str">
        <f t="shared" si="2"/>
        <v/>
      </c>
      <c r="K23" s="44"/>
      <c r="L23" s="36"/>
    </row>
    <row r="24" spans="1:12" ht="15.6">
      <c r="A24" s="22" t="str">
        <v>MA: Boston - Summer Street</v>
      </c>
      <c r="B24" s="23" t="str">
        <v>MA</v>
      </c>
      <c r="C24" s="23" t="str">
        <f>Sites[[#This Row],[SOL'#]]</f>
        <v>SOL-10764</v>
      </c>
      <c r="D24" s="18"/>
      <c r="E24" s="8"/>
      <c r="F24" s="8" t="str">
        <f t="shared" si="0"/>
        <v/>
      </c>
      <c r="G24" s="9" t="str">
        <f t="shared" si="3"/>
        <v/>
      </c>
      <c r="H24" s="10"/>
      <c r="I24" s="10" t="str">
        <f t="shared" si="1"/>
        <v/>
      </c>
      <c r="J24" s="11" t="str">
        <f t="shared" si="2"/>
        <v/>
      </c>
      <c r="K24" s="35"/>
      <c r="L24" s="35"/>
    </row>
    <row r="25" spans="1:12" ht="15.6">
      <c r="A25" s="24" t="str">
        <v>MA: Leominster - Spectro Coatings</v>
      </c>
      <c r="B25" s="25" t="str">
        <v>MA</v>
      </c>
      <c r="C25" s="23" t="str">
        <f>Sites[[#This Row],[SOL'#]]</f>
        <v>SOL-10074</v>
      </c>
      <c r="D25" s="7"/>
      <c r="E25" s="12"/>
      <c r="F25" s="12" t="str">
        <f t="shared" si="0"/>
        <v/>
      </c>
      <c r="G25" s="13" t="str">
        <f t="shared" si="3"/>
        <v/>
      </c>
      <c r="H25" s="14"/>
      <c r="I25" s="14" t="str">
        <f t="shared" si="1"/>
        <v/>
      </c>
      <c r="J25" s="13" t="str">
        <f t="shared" si="2"/>
        <v/>
      </c>
      <c r="K25" s="36"/>
      <c r="L25" s="36"/>
    </row>
    <row r="26" spans="1:12" ht="15.6">
      <c r="A26" s="22" t="str">
        <v>MA: Braintree - RCAB</v>
      </c>
      <c r="B26" s="23" t="str">
        <v>MA</v>
      </c>
      <c r="C26" s="23" t="str">
        <f>Sites[[#This Row],[SOL'#]]</f>
        <v>SOL-10838</v>
      </c>
      <c r="D26" s="18"/>
      <c r="E26" s="8"/>
      <c r="F26" s="8" t="str">
        <f t="shared" si="0"/>
        <v/>
      </c>
      <c r="G26" s="9" t="str">
        <f t="shared" si="3"/>
        <v/>
      </c>
      <c r="H26" s="10"/>
      <c r="I26" s="10" t="str">
        <f t="shared" si="1"/>
        <v/>
      </c>
      <c r="J26" s="11" t="str">
        <f t="shared" si="2"/>
        <v/>
      </c>
      <c r="K26" s="35"/>
      <c r="L26" s="35"/>
    </row>
    <row r="27" spans="1:12" ht="15.6">
      <c r="A27" s="24" t="str">
        <v>NH: Rochester - Portland Street</v>
      </c>
      <c r="B27" s="25" t="str">
        <v>NH</v>
      </c>
      <c r="C27" s="23" t="str">
        <f>Sites[[#This Row],[SOL'#]]</f>
        <v>SOL-10771</v>
      </c>
      <c r="D27" s="7"/>
      <c r="E27" s="12"/>
      <c r="F27" s="12" t="str">
        <f t="shared" si="0"/>
        <v/>
      </c>
      <c r="G27" s="13" t="str">
        <f t="shared" si="3"/>
        <v/>
      </c>
      <c r="H27" s="14"/>
      <c r="I27" s="14" t="str">
        <f t="shared" si="1"/>
        <v/>
      </c>
      <c r="J27" s="13" t="str">
        <f t="shared" si="2"/>
        <v/>
      </c>
      <c r="K27" s="36"/>
      <c r="L27" s="36"/>
    </row>
    <row r="28" spans="1:12" ht="15.6">
      <c r="A28" s="22" t="str">
        <v>NH: Portsmouth - Portsmouth HS</v>
      </c>
      <c r="B28" s="23" t="str">
        <v>NH</v>
      </c>
      <c r="C28" s="23" t="str">
        <f>Sites[[#This Row],[SOL'#]]</f>
        <v>SOL-10769</v>
      </c>
      <c r="D28" s="18"/>
      <c r="E28" s="8"/>
      <c r="F28" s="8" t="str">
        <f t="shared" si="0"/>
        <v/>
      </c>
      <c r="G28" s="9" t="str">
        <f t="shared" si="3"/>
        <v/>
      </c>
      <c r="H28" s="10"/>
      <c r="I28" s="10" t="str">
        <f t="shared" si="1"/>
        <v/>
      </c>
      <c r="J28" s="11" t="str">
        <f t="shared" si="2"/>
        <v/>
      </c>
      <c r="K28" s="35"/>
      <c r="L28" s="35"/>
    </row>
    <row r="29" spans="1:12" ht="27" customHeight="1">
      <c r="A29" s="24" t="str">
        <v>NH: Portsmouth - Portsmouth WTP</v>
      </c>
      <c r="B29" s="25" t="str">
        <v>NH</v>
      </c>
      <c r="C29" s="23" t="str">
        <f>Sites[[#This Row],[SOL'#]]</f>
        <v>SOL-10770</v>
      </c>
      <c r="D29" s="7"/>
      <c r="E29" s="12"/>
      <c r="F29" s="12" t="str">
        <f t="shared" si="0"/>
        <v/>
      </c>
      <c r="G29" s="13" t="str">
        <f t="shared" si="3"/>
        <v/>
      </c>
      <c r="H29" s="14"/>
      <c r="I29" s="14" t="str">
        <f t="shared" si="1"/>
        <v/>
      </c>
      <c r="J29" s="13" t="str">
        <f t="shared" si="2"/>
        <v/>
      </c>
      <c r="K29" s="36"/>
      <c r="L29" s="45"/>
    </row>
    <row r="30" spans="1:12" ht="15.6">
      <c r="A30" s="22" t="str">
        <v>NH: Rochester - Rochester MS</v>
      </c>
      <c r="B30" s="23" t="str">
        <v>NH</v>
      </c>
      <c r="C30" s="23" t="str">
        <f>Sites[[#This Row],[SOL'#]]</f>
        <v>SOL-10765</v>
      </c>
      <c r="D30" s="18"/>
      <c r="E30" s="8"/>
      <c r="F30" s="8" t="str">
        <f t="shared" si="0"/>
        <v/>
      </c>
      <c r="G30" s="9" t="str">
        <f t="shared" si="3"/>
        <v/>
      </c>
      <c r="H30" s="10"/>
      <c r="I30" s="10" t="str">
        <f t="shared" si="1"/>
        <v/>
      </c>
      <c r="J30" s="11" t="str">
        <f t="shared" si="2"/>
        <v/>
      </c>
      <c r="K30" s="35"/>
      <c r="L30" s="35"/>
    </row>
    <row r="31" spans="1:12" ht="15.6">
      <c r="A31" s="24" t="str">
        <v>NH Rochester - Spaulding HS</v>
      </c>
      <c r="B31" s="25" t="str">
        <v>NH</v>
      </c>
      <c r="C31" s="23" t="str">
        <f>Sites[[#This Row],[SOL'#]]</f>
        <v>SOL-10767</v>
      </c>
      <c r="D31" s="7"/>
      <c r="E31" s="12"/>
      <c r="F31" s="12" t="str">
        <f t="shared" si="0"/>
        <v/>
      </c>
      <c r="G31" s="13" t="str">
        <f t="shared" si="3"/>
        <v/>
      </c>
      <c r="H31" s="14"/>
      <c r="I31" s="14" t="str">
        <f t="shared" si="1"/>
        <v/>
      </c>
      <c r="J31" s="13" t="str">
        <f t="shared" si="2"/>
        <v/>
      </c>
      <c r="K31" s="109"/>
      <c r="L31" s="109"/>
    </row>
    <row r="32" spans="1:12" ht="15.6">
      <c r="A32" s="22" t="str">
        <v>NH: Rochester - McClelland ES</v>
      </c>
      <c r="B32" s="23" t="str">
        <v>NH</v>
      </c>
      <c r="C32" s="23" t="str">
        <f>Sites[[#This Row],[SOL'#]]</f>
        <v>SOL-10766</v>
      </c>
      <c r="D32" s="18"/>
      <c r="E32" s="8"/>
      <c r="F32" s="8" t="str">
        <f t="shared" si="0"/>
        <v/>
      </c>
      <c r="G32" s="9" t="str">
        <f t="shared" si="3"/>
        <v/>
      </c>
      <c r="H32" s="10"/>
      <c r="I32" s="10" t="str">
        <f t="shared" si="1"/>
        <v/>
      </c>
      <c r="J32" s="11" t="str">
        <f t="shared" si="2"/>
        <v/>
      </c>
      <c r="K32" s="35"/>
      <c r="L32" s="35"/>
    </row>
    <row r="33" spans="1:12" ht="15.6">
      <c r="A33" s="24" t="str">
        <v>NH: Rochester - Brock St Vocational</v>
      </c>
      <c r="B33" s="25" t="str">
        <v>NH</v>
      </c>
      <c r="C33" s="23" t="str">
        <f>Sites[[#This Row],[SOL'#]]</f>
        <v>SOL-10768</v>
      </c>
      <c r="D33" s="7"/>
      <c r="E33" s="12"/>
      <c r="F33" s="12" t="str">
        <f t="shared" si="0"/>
        <v/>
      </c>
      <c r="G33" s="13" t="str">
        <f t="shared" si="3"/>
        <v/>
      </c>
      <c r="H33" s="14"/>
      <c r="I33" s="14" t="str">
        <f t="shared" si="1"/>
        <v/>
      </c>
      <c r="J33" s="13" t="str">
        <f t="shared" si="2"/>
        <v/>
      </c>
      <c r="K33" s="36"/>
      <c r="L33" s="36"/>
    </row>
    <row r="34" spans="1:12" ht="15.6">
      <c r="A34" s="22" t="str">
        <v>OH: Cleveland - CV Kinsman</v>
      </c>
      <c r="B34" s="23" t="str">
        <v>OH</v>
      </c>
      <c r="C34" s="23" t="str">
        <f>Sites[[#This Row],[SOL'#]]</f>
        <v>SOL-10762</v>
      </c>
      <c r="D34" s="18"/>
      <c r="E34" s="8"/>
      <c r="F34" s="8" t="str">
        <f t="shared" si="0"/>
        <v/>
      </c>
      <c r="G34" s="9" t="str">
        <f t="shared" si="3"/>
        <v/>
      </c>
      <c r="H34" s="10"/>
      <c r="I34" s="10" t="str">
        <f t="shared" si="1"/>
        <v/>
      </c>
      <c r="J34" s="11" t="str">
        <f t="shared" si="2"/>
        <v/>
      </c>
      <c r="K34" s="35"/>
      <c r="L34" s="35"/>
    </row>
    <row r="35" spans="1:12" ht="15.6">
      <c r="A35" s="24" t="str">
        <v>OH: Cleveland - CV Wooster</v>
      </c>
      <c r="B35" s="25" t="str">
        <v>OH</v>
      </c>
      <c r="C35" s="23" t="str">
        <f>Sites[[#This Row],[SOL'#]]</f>
        <v>SOL-10763</v>
      </c>
      <c r="D35" s="7"/>
      <c r="E35" s="12"/>
      <c r="F35" s="12" t="str">
        <f t="shared" si="0"/>
        <v/>
      </c>
      <c r="G35" s="13" t="str">
        <f t="shared" si="3"/>
        <v/>
      </c>
      <c r="H35" s="14"/>
      <c r="I35" s="14" t="str">
        <f t="shared" si="1"/>
        <v/>
      </c>
      <c r="J35" s="13" t="str">
        <f t="shared" si="2"/>
        <v/>
      </c>
      <c r="K35" s="36"/>
      <c r="L35" s="36"/>
    </row>
    <row r="36" spans="1:12" ht="15.6">
      <c r="A36" s="22" t="str">
        <v>PR: Aguadilla - Coca Cola</v>
      </c>
      <c r="B36" s="23" t="str">
        <v>PR</v>
      </c>
      <c r="C36" s="23" t="str">
        <f>Sites[[#This Row],[SOL'#]]</f>
        <v>SOL-10072</v>
      </c>
      <c r="D36" s="18"/>
      <c r="E36" s="8"/>
      <c r="F36" s="8" t="str">
        <f t="shared" si="0"/>
        <v/>
      </c>
      <c r="G36" s="9" t="str">
        <f t="shared" si="3"/>
        <v/>
      </c>
      <c r="H36" s="10"/>
      <c r="I36" s="10" t="str">
        <f t="shared" si="1"/>
        <v/>
      </c>
      <c r="J36" s="11" t="str">
        <f t="shared" si="2"/>
        <v/>
      </c>
      <c r="K36" s="35"/>
      <c r="L36" s="35"/>
    </row>
    <row r="37" spans="1:12" ht="15.6">
      <c r="A37" s="24" t="str">
        <v>PR: Bayamon - Coca Cola</v>
      </c>
      <c r="B37" s="25" t="str">
        <v>PR</v>
      </c>
      <c r="C37" s="23" t="str">
        <f>Sites[[#This Row],[SOL'#]]</f>
        <v>SOL-10073</v>
      </c>
      <c r="D37" s="7"/>
      <c r="E37" s="12"/>
      <c r="F37" s="12" t="str">
        <f t="shared" si="0"/>
        <v/>
      </c>
      <c r="G37" s="13" t="str">
        <f t="shared" si="3"/>
        <v/>
      </c>
      <c r="H37" s="14"/>
      <c r="I37" s="14" t="str">
        <f t="shared" si="1"/>
        <v/>
      </c>
      <c r="J37" s="13" t="str">
        <f t="shared" si="2"/>
        <v/>
      </c>
      <c r="K37" s="36"/>
      <c r="L37" s="36"/>
    </row>
    <row r="38" spans="1:12" ht="15.6">
      <c r="A38" s="22" t="str">
        <v>PR: Carolina - St. Francis</v>
      </c>
      <c r="B38" s="23" t="str">
        <v>PR</v>
      </c>
      <c r="C38" s="23" t="str">
        <f>Sites[[#This Row],[SOL'#]]</f>
        <v>SOL-10034</v>
      </c>
      <c r="D38" s="18"/>
      <c r="E38" s="8"/>
      <c r="F38" s="8" t="str">
        <f t="shared" si="0"/>
        <v/>
      </c>
      <c r="G38" s="9" t="str">
        <f t="shared" si="3"/>
        <v/>
      </c>
      <c r="H38" s="10"/>
      <c r="I38" s="10" t="str">
        <f t="shared" si="1"/>
        <v/>
      </c>
      <c r="J38" s="11" t="str">
        <f t="shared" si="2"/>
        <v/>
      </c>
      <c r="K38" s="35"/>
      <c r="L38" s="35"/>
    </row>
    <row r="39" spans="1:12" ht="15.6">
      <c r="A39" s="24" t="str">
        <v>DC: Chevy Chase -Sinai</v>
      </c>
      <c r="B39" s="25" t="str">
        <v>DC</v>
      </c>
      <c r="C39" s="23" t="str">
        <f>Sites[[#This Row],[SOL'#]]</f>
        <v>SOL-10028</v>
      </c>
      <c r="D39" s="7"/>
      <c r="E39" s="12"/>
      <c r="F39" s="12" t="str">
        <f t="shared" si="0"/>
        <v/>
      </c>
      <c r="G39" s="13" t="str">
        <f t="shared" si="3"/>
        <v/>
      </c>
      <c r="H39" s="14"/>
      <c r="I39" s="14" t="str">
        <f t="shared" si="1"/>
        <v/>
      </c>
      <c r="J39" s="13" t="str">
        <f t="shared" si="2"/>
        <v/>
      </c>
      <c r="K39" s="36"/>
      <c r="L39" s="36"/>
    </row>
    <row r="40" spans="1:12" ht="15.6">
      <c r="A40" s="22" t="str">
        <v>DC: Washington - Weinberg 1</v>
      </c>
      <c r="B40" s="23" t="str">
        <v>DC</v>
      </c>
      <c r="C40" s="23" t="str">
        <f>Sites[[#This Row],[SOL'#]]</f>
        <v>SOL-10039</v>
      </c>
      <c r="D40" s="18"/>
      <c r="E40" s="8"/>
      <c r="F40" s="8" t="str">
        <f t="shared" si="0"/>
        <v/>
      </c>
      <c r="G40" s="9" t="str">
        <f t="shared" si="3"/>
        <v/>
      </c>
      <c r="H40" s="10"/>
      <c r="I40" s="10" t="str">
        <f t="shared" si="1"/>
        <v/>
      </c>
      <c r="J40" s="11" t="str">
        <f t="shared" si="2"/>
        <v/>
      </c>
      <c r="K40" s="35"/>
      <c r="L40" s="35"/>
    </row>
    <row r="41" spans="1:12" ht="15.6">
      <c r="A41" s="24" t="str">
        <v>DC: Washington - Weinberg 2</v>
      </c>
      <c r="B41" s="25" t="str">
        <v>DC</v>
      </c>
      <c r="C41" s="23" t="str">
        <f>Sites[[#This Row],[SOL'#]]</f>
        <v>SOL-10045</v>
      </c>
      <c r="D41" s="7"/>
      <c r="E41" s="12"/>
      <c r="F41" s="12" t="str">
        <f t="shared" si="0"/>
        <v/>
      </c>
      <c r="G41" s="13" t="str">
        <f t="shared" si="3"/>
        <v/>
      </c>
      <c r="H41" s="14"/>
      <c r="I41" s="14" t="str">
        <f t="shared" si="1"/>
        <v/>
      </c>
      <c r="J41" s="13" t="str">
        <f t="shared" si="2"/>
        <v/>
      </c>
      <c r="K41" s="36"/>
      <c r="L41" s="36"/>
    </row>
    <row r="42" spans="1:12" ht="15.6">
      <c r="A42" s="22" t="str">
        <v>DC: Washington - Weinberg 3</v>
      </c>
      <c r="B42" s="23" t="str">
        <v>DC</v>
      </c>
      <c r="C42" s="23" t="str">
        <f>Sites[[#This Row],[SOL'#]]</f>
        <v>SOL-10042</v>
      </c>
      <c r="D42" s="18"/>
      <c r="E42" s="8"/>
      <c r="F42" s="8" t="str">
        <f t="shared" si="0"/>
        <v/>
      </c>
      <c r="G42" s="9" t="str">
        <f t="shared" si="3"/>
        <v/>
      </c>
      <c r="H42" s="10"/>
      <c r="I42" s="10" t="str">
        <f t="shared" si="1"/>
        <v/>
      </c>
      <c r="J42" s="11" t="str">
        <f t="shared" si="2"/>
        <v/>
      </c>
      <c r="K42" s="35"/>
      <c r="L42" s="35"/>
    </row>
    <row r="43" spans="1:12" ht="15.6">
      <c r="A43" s="24"/>
      <c r="B43" s="25"/>
      <c r="C43" s="23" t="e">
        <f>Sites[[#This Row],[SOL'#]]</f>
        <v>#VALUE!</v>
      </c>
      <c r="D43" s="7"/>
      <c r="E43" s="12"/>
      <c r="F43" s="12" t="str">
        <f t="shared" si="0"/>
        <v/>
      </c>
      <c r="G43" s="13" t="str">
        <f t="shared" si="3"/>
        <v/>
      </c>
      <c r="H43" s="14"/>
      <c r="I43" s="14" t="str">
        <f t="shared" si="1"/>
        <v/>
      </c>
      <c r="J43" s="13" t="str">
        <f t="shared" si="2"/>
        <v/>
      </c>
      <c r="K43" s="36"/>
      <c r="L43" s="44"/>
    </row>
    <row r="44" spans="1:12" ht="15.6">
      <c r="A44" s="22"/>
      <c r="B44" s="23"/>
      <c r="C44" s="23" t="e">
        <f>Sites[[#This Row],[SOL'#]]</f>
        <v>#VALUE!</v>
      </c>
      <c r="D44" s="18"/>
      <c r="E44" s="8"/>
      <c r="F44" s="8" t="str">
        <f t="shared" si="0"/>
        <v/>
      </c>
      <c r="G44" s="9" t="str">
        <f t="shared" si="3"/>
        <v/>
      </c>
      <c r="H44" s="10"/>
      <c r="I44" s="10" t="str">
        <f t="shared" si="1"/>
        <v/>
      </c>
      <c r="J44" s="11" t="str">
        <f t="shared" si="2"/>
        <v/>
      </c>
      <c r="K44" s="35"/>
      <c r="L44" s="35"/>
    </row>
    <row r="45" spans="1:12" ht="15.6">
      <c r="A45" s="24"/>
      <c r="B45" s="25"/>
      <c r="C45" s="23" t="e">
        <f>Sites[[#This Row],[SOL'#]]</f>
        <v>#VALUE!</v>
      </c>
      <c r="D45" s="7"/>
      <c r="E45" s="12"/>
      <c r="F45" s="12" t="str">
        <f t="shared" si="0"/>
        <v/>
      </c>
      <c r="G45" s="13" t="str">
        <f t="shared" si="3"/>
        <v/>
      </c>
      <c r="H45" s="14"/>
      <c r="I45" s="14" t="str">
        <f t="shared" si="1"/>
        <v/>
      </c>
      <c r="J45" s="13" t="str">
        <f t="shared" si="2"/>
        <v/>
      </c>
      <c r="K45" s="36"/>
      <c r="L45" s="36"/>
    </row>
    <row r="46" spans="1:12" ht="15.6">
      <c r="A46" s="22"/>
      <c r="B46" s="23"/>
      <c r="C46" s="23" t="e">
        <f>Sites[[#This Row],[SOL'#]]</f>
        <v>#VALUE!</v>
      </c>
      <c r="D46" s="18"/>
      <c r="E46" s="8"/>
      <c r="F46" s="8" t="str">
        <f t="shared" si="0"/>
        <v/>
      </c>
      <c r="G46" s="9" t="str">
        <f t="shared" si="3"/>
        <v/>
      </c>
      <c r="H46" s="10"/>
      <c r="I46" s="10" t="str">
        <f t="shared" si="1"/>
        <v/>
      </c>
      <c r="J46" s="11" t="str">
        <f t="shared" si="2"/>
        <v/>
      </c>
      <c r="K46" s="35"/>
      <c r="L46" s="35"/>
    </row>
    <row r="47" spans="1:12" ht="15.6">
      <c r="A47" s="24"/>
      <c r="B47" s="25"/>
      <c r="C47" s="23" t="e">
        <f>Sites[[#This Row],[SOL'#]]</f>
        <v>#VALUE!</v>
      </c>
      <c r="D47" s="7"/>
      <c r="E47" s="12"/>
      <c r="F47" s="12" t="str">
        <f t="shared" si="0"/>
        <v/>
      </c>
      <c r="G47" s="13" t="str">
        <f t="shared" si="3"/>
        <v/>
      </c>
      <c r="H47" s="14"/>
      <c r="I47" s="14" t="str">
        <f t="shared" si="1"/>
        <v/>
      </c>
      <c r="J47" s="13" t="str">
        <f t="shared" si="2"/>
        <v/>
      </c>
      <c r="K47" s="36"/>
      <c r="L47" s="36"/>
    </row>
    <row r="48" spans="1:12" ht="21" customHeight="1">
      <c r="A48" s="22"/>
      <c r="B48" s="23"/>
      <c r="C48" s="23" t="e">
        <f>Sites[[#This Row],[SOL'#]]</f>
        <v>#VALUE!</v>
      </c>
      <c r="D48" s="18"/>
      <c r="E48" s="8"/>
      <c r="F48" s="8" t="str">
        <f t="shared" si="0"/>
        <v/>
      </c>
      <c r="G48" s="9" t="str">
        <f t="shared" si="3"/>
        <v/>
      </c>
      <c r="H48" s="10"/>
      <c r="I48" s="10" t="str">
        <f t="shared" si="1"/>
        <v/>
      </c>
      <c r="J48" s="11" t="str">
        <f t="shared" si="2"/>
        <v/>
      </c>
      <c r="K48" s="35"/>
      <c r="L48" s="35"/>
    </row>
    <row r="49" spans="1:12" ht="15.6">
      <c r="A49" s="24"/>
      <c r="B49" s="25"/>
      <c r="C49" s="23" t="e">
        <f>Sites[[#This Row],[SOL'#]]</f>
        <v>#VALUE!</v>
      </c>
      <c r="D49" s="7"/>
      <c r="E49" s="12"/>
      <c r="F49" s="12" t="str">
        <f t="shared" si="0"/>
        <v/>
      </c>
      <c r="G49" s="13" t="str">
        <f t="shared" si="3"/>
        <v/>
      </c>
      <c r="H49" s="14"/>
      <c r="I49" s="14" t="str">
        <f t="shared" si="1"/>
        <v/>
      </c>
      <c r="J49" s="13" t="str">
        <f t="shared" si="2"/>
        <v/>
      </c>
      <c r="K49" s="36"/>
      <c r="L49" s="44"/>
    </row>
    <row r="50" spans="1:12" ht="15.6">
      <c r="A50" s="22"/>
      <c r="B50" s="23"/>
      <c r="C50" s="23" t="e">
        <f>Sites[[#This Row],[SOL'#]]</f>
        <v>#VALUE!</v>
      </c>
      <c r="D50" s="18"/>
      <c r="E50" s="8"/>
      <c r="F50" s="8" t="str">
        <f t="shared" si="0"/>
        <v/>
      </c>
      <c r="G50" s="9" t="str">
        <f t="shared" si="3"/>
        <v/>
      </c>
      <c r="H50" s="10"/>
      <c r="I50" s="10" t="str">
        <f t="shared" si="1"/>
        <v/>
      </c>
      <c r="J50" s="11" t="str">
        <f t="shared" si="2"/>
        <v/>
      </c>
      <c r="K50" s="35"/>
      <c r="L50" s="35"/>
    </row>
    <row r="51" spans="1:12" ht="15.6">
      <c r="A51" s="24"/>
      <c r="B51" s="25"/>
      <c r="C51" s="23" t="e">
        <f>Sites[[#This Row],[SOL'#]]</f>
        <v>#VALUE!</v>
      </c>
      <c r="D51" s="7"/>
      <c r="E51" s="12"/>
      <c r="F51" s="12" t="str">
        <f t="shared" si="0"/>
        <v/>
      </c>
      <c r="G51" s="13" t="str">
        <f t="shared" si="3"/>
        <v/>
      </c>
      <c r="H51" s="14"/>
      <c r="I51" s="14" t="str">
        <f t="shared" si="1"/>
        <v/>
      </c>
      <c r="J51" s="13" t="str">
        <f t="shared" si="2"/>
        <v/>
      </c>
      <c r="K51" s="36"/>
      <c r="L51" s="36"/>
    </row>
    <row r="52" spans="1:12" ht="15.6">
      <c r="A52" s="22"/>
      <c r="B52" s="23"/>
      <c r="C52" s="23" t="e">
        <f>Sites[[#This Row],[SOL'#]]</f>
        <v>#VALUE!</v>
      </c>
      <c r="D52" s="18"/>
      <c r="E52" s="8"/>
      <c r="F52" s="8" t="str">
        <f t="shared" si="0"/>
        <v/>
      </c>
      <c r="G52" s="9" t="str">
        <f t="shared" si="3"/>
        <v/>
      </c>
      <c r="H52" s="10"/>
      <c r="I52" s="10" t="str">
        <f t="shared" si="1"/>
        <v/>
      </c>
      <c r="J52" s="11" t="str">
        <f t="shared" si="2"/>
        <v/>
      </c>
      <c r="K52" s="35"/>
      <c r="L52" s="35"/>
    </row>
    <row r="53" spans="1:12" ht="15.6">
      <c r="A53" s="24"/>
      <c r="B53" s="25"/>
      <c r="C53" s="23" t="e">
        <f>Sites[[#This Row],[SOL'#]]</f>
        <v>#VALUE!</v>
      </c>
      <c r="D53" s="7"/>
      <c r="E53" s="12"/>
      <c r="F53" s="12" t="str">
        <f t="shared" si="0"/>
        <v/>
      </c>
      <c r="G53" s="13" t="str">
        <f t="shared" si="3"/>
        <v/>
      </c>
      <c r="H53" s="14"/>
      <c r="I53" s="14" t="str">
        <f t="shared" si="1"/>
        <v/>
      </c>
      <c r="J53" s="13" t="str">
        <f t="shared" si="2"/>
        <v/>
      </c>
      <c r="K53" s="36"/>
      <c r="L53" s="36"/>
    </row>
    <row r="54" spans="1:12" ht="15.6">
      <c r="A54" s="22"/>
      <c r="B54" s="23"/>
      <c r="C54" s="23" t="e">
        <f>Sites[[#This Row],[SOL'#]]</f>
        <v>#VALUE!</v>
      </c>
      <c r="D54" s="18"/>
      <c r="E54" s="8"/>
      <c r="F54" s="8" t="str">
        <f t="shared" si="0"/>
        <v/>
      </c>
      <c r="G54" s="9" t="str">
        <f t="shared" si="3"/>
        <v/>
      </c>
      <c r="H54" s="10"/>
      <c r="I54" s="10" t="str">
        <f t="shared" si="1"/>
        <v/>
      </c>
      <c r="J54" s="11" t="str">
        <f t="shared" si="2"/>
        <v/>
      </c>
      <c r="K54" s="35"/>
      <c r="L54" s="35"/>
    </row>
    <row r="55" spans="1:12" ht="15.6">
      <c r="A55" s="24"/>
      <c r="B55" s="25"/>
      <c r="C55" s="23" t="e">
        <f>Sites[[#This Row],[SOL'#]]</f>
        <v>#VALUE!</v>
      </c>
      <c r="D55" s="7"/>
      <c r="E55" s="12"/>
      <c r="F55" s="12" t="str">
        <f t="shared" si="0"/>
        <v/>
      </c>
      <c r="G55" s="13" t="str">
        <f t="shared" si="3"/>
        <v/>
      </c>
      <c r="H55" s="14"/>
      <c r="I55" s="14" t="str">
        <f t="shared" si="1"/>
        <v/>
      </c>
      <c r="J55" s="13" t="str">
        <f t="shared" si="2"/>
        <v/>
      </c>
      <c r="K55" s="36"/>
      <c r="L55" s="36"/>
    </row>
    <row r="56" spans="1:12" ht="15.6">
      <c r="A56" s="22"/>
      <c r="B56" s="23"/>
      <c r="C56" s="23" t="e">
        <f>Sites[[#This Row],[SOL'#]]</f>
        <v>#VALUE!</v>
      </c>
      <c r="D56" s="18"/>
      <c r="E56" s="8"/>
      <c r="F56" s="8" t="str">
        <f t="shared" si="0"/>
        <v/>
      </c>
      <c r="G56" s="9" t="str">
        <f t="shared" si="3"/>
        <v/>
      </c>
      <c r="H56" s="10"/>
      <c r="I56" s="10" t="str">
        <f t="shared" si="1"/>
        <v/>
      </c>
      <c r="J56" s="11" t="str">
        <f t="shared" si="2"/>
        <v/>
      </c>
      <c r="K56" s="35"/>
      <c r="L56" s="35"/>
    </row>
    <row r="57" spans="1:12" ht="15.6">
      <c r="A57" s="24"/>
      <c r="B57" s="25"/>
      <c r="C57" s="23" t="e">
        <f>Sites[[#This Row],[SOL'#]]</f>
        <v>#VALUE!</v>
      </c>
      <c r="D57" s="7"/>
      <c r="E57" s="12"/>
      <c r="F57" s="12" t="str">
        <f t="shared" si="0"/>
        <v/>
      </c>
      <c r="G57" s="13" t="str">
        <f t="shared" si="3"/>
        <v/>
      </c>
      <c r="H57" s="14"/>
      <c r="I57" s="14" t="str">
        <f t="shared" si="1"/>
        <v/>
      </c>
      <c r="J57" s="13" t="str">
        <f t="shared" si="2"/>
        <v/>
      </c>
      <c r="K57" s="36"/>
      <c r="L57" s="36"/>
    </row>
    <row r="58" spans="1:12" ht="15.6">
      <c r="A58" s="22"/>
      <c r="B58" s="23"/>
      <c r="C58" s="23" t="e">
        <f>Sites[[#This Row],[SOL'#]]</f>
        <v>#VALUE!</v>
      </c>
      <c r="D58" s="18"/>
      <c r="E58" s="8"/>
      <c r="F58" s="8" t="str">
        <f t="shared" si="0"/>
        <v/>
      </c>
      <c r="G58" s="9" t="str">
        <f t="shared" si="3"/>
        <v/>
      </c>
      <c r="H58" s="10"/>
      <c r="I58" s="10" t="str">
        <f t="shared" si="1"/>
        <v/>
      </c>
      <c r="J58" s="11" t="str">
        <f t="shared" si="2"/>
        <v/>
      </c>
      <c r="K58" s="35"/>
      <c r="L58" s="35"/>
    </row>
    <row r="59" spans="1:12" ht="25.5" customHeight="1">
      <c r="A59" s="24"/>
      <c r="B59" s="25"/>
      <c r="C59" s="23" t="e">
        <f>Sites[[#This Row],[SOL'#]]</f>
        <v>#VALUE!</v>
      </c>
      <c r="D59" s="7"/>
      <c r="E59" s="12"/>
      <c r="F59" s="12" t="str">
        <f t="shared" si="0"/>
        <v/>
      </c>
      <c r="G59" s="13" t="str">
        <f t="shared" si="3"/>
        <v/>
      </c>
      <c r="H59" s="14"/>
      <c r="I59" s="14" t="str">
        <f t="shared" si="1"/>
        <v/>
      </c>
      <c r="J59" s="13" t="str">
        <f t="shared" si="2"/>
        <v/>
      </c>
      <c r="K59" s="45"/>
      <c r="L59" s="44"/>
    </row>
    <row r="60" spans="1:12" ht="15.6">
      <c r="A60" s="22"/>
      <c r="B60" s="23"/>
      <c r="C60" s="23" t="e">
        <f>Sites[[#This Row],[SOL'#]]</f>
        <v>#VALUE!</v>
      </c>
      <c r="D60" s="18"/>
      <c r="E60" s="8"/>
      <c r="F60" s="8" t="str">
        <f t="shared" si="0"/>
        <v/>
      </c>
      <c r="G60" s="9" t="str">
        <f t="shared" si="3"/>
        <v/>
      </c>
      <c r="H60" s="10"/>
      <c r="I60" s="10" t="str">
        <f t="shared" si="1"/>
        <v/>
      </c>
      <c r="J60" s="11" t="str">
        <f t="shared" si="2"/>
        <v/>
      </c>
      <c r="K60" s="35"/>
      <c r="L60" s="35"/>
    </row>
    <row r="61" spans="1:12" ht="15.6">
      <c r="A61" s="24"/>
      <c r="B61" s="25"/>
      <c r="C61" s="23" t="e">
        <f>Sites[[#This Row],[SOL'#]]</f>
        <v>#VALUE!</v>
      </c>
      <c r="D61" s="7"/>
      <c r="E61" s="12"/>
      <c r="F61" s="12" t="str">
        <f t="shared" si="0"/>
        <v/>
      </c>
      <c r="G61" s="13" t="str">
        <f t="shared" si="3"/>
        <v/>
      </c>
      <c r="H61" s="14"/>
      <c r="I61" s="14" t="str">
        <f t="shared" si="1"/>
        <v/>
      </c>
      <c r="J61" s="13" t="str">
        <f t="shared" si="2"/>
        <v/>
      </c>
      <c r="K61" s="36"/>
      <c r="L61" s="36"/>
    </row>
    <row r="62" spans="1:12" ht="15.6">
      <c r="A62" s="22"/>
      <c r="B62" s="23"/>
      <c r="C62" s="23" t="e">
        <f>Sites[[#This Row],[SOL'#]]</f>
        <v>#VALUE!</v>
      </c>
      <c r="D62" s="18"/>
      <c r="E62" s="8"/>
      <c r="F62" s="8" t="str">
        <f t="shared" si="0"/>
        <v/>
      </c>
      <c r="G62" s="9" t="str">
        <f t="shared" si="3"/>
        <v/>
      </c>
      <c r="H62" s="10"/>
      <c r="I62" s="10" t="str">
        <f t="shared" si="1"/>
        <v/>
      </c>
      <c r="J62" s="11" t="str">
        <f t="shared" si="2"/>
        <v/>
      </c>
      <c r="K62" s="35"/>
      <c r="L62" s="35"/>
    </row>
    <row r="63" spans="1:12" ht="15.6">
      <c r="A63" s="24"/>
      <c r="B63" s="25"/>
      <c r="C63" s="23" t="e">
        <f>Sites[[#This Row],[SOL'#]]</f>
        <v>#VALUE!</v>
      </c>
      <c r="D63" s="7"/>
      <c r="E63" s="12"/>
      <c r="F63" s="12" t="str">
        <f t="shared" si="0"/>
        <v/>
      </c>
      <c r="G63" s="13" t="str">
        <f t="shared" si="3"/>
        <v/>
      </c>
      <c r="H63" s="14"/>
      <c r="I63" s="14" t="str">
        <f t="shared" si="1"/>
        <v/>
      </c>
      <c r="J63" s="13" t="str">
        <f t="shared" si="2"/>
        <v/>
      </c>
      <c r="K63" s="36"/>
      <c r="L63" s="44"/>
    </row>
    <row r="64" spans="1:12" ht="15.6">
      <c r="A64" s="22"/>
      <c r="B64" s="23"/>
      <c r="C64" s="23" t="e">
        <f>Sites[[#This Row],[SOL'#]]</f>
        <v>#VALUE!</v>
      </c>
      <c r="D64" s="18"/>
      <c r="E64" s="8"/>
      <c r="F64" s="8" t="str">
        <f t="shared" si="0"/>
        <v/>
      </c>
      <c r="G64" s="9" t="str">
        <f t="shared" si="3"/>
        <v/>
      </c>
      <c r="H64" s="10"/>
      <c r="I64" s="10" t="str">
        <f t="shared" si="1"/>
        <v/>
      </c>
      <c r="J64" s="11" t="str">
        <f t="shared" si="2"/>
        <v/>
      </c>
      <c r="K64" s="35"/>
      <c r="L64" s="35"/>
    </row>
    <row r="65" spans="1:12" ht="15.6">
      <c r="A65" s="24"/>
      <c r="B65" s="25"/>
      <c r="C65" s="23" t="e">
        <f>Sites[[#This Row],[SOL'#]]</f>
        <v>#VALUE!</v>
      </c>
      <c r="D65" s="7"/>
      <c r="E65" s="12"/>
      <c r="F65" s="12" t="str">
        <f t="shared" si="0"/>
        <v/>
      </c>
      <c r="G65" s="13" t="str">
        <f t="shared" si="3"/>
        <v/>
      </c>
      <c r="H65" s="14"/>
      <c r="I65" s="14" t="str">
        <f t="shared" si="1"/>
        <v/>
      </c>
      <c r="J65" s="13" t="str">
        <f t="shared" si="2"/>
        <v/>
      </c>
      <c r="K65" s="36"/>
      <c r="L65" s="36"/>
    </row>
    <row r="66" spans="1:12" ht="15.6">
      <c r="A66" s="22"/>
      <c r="B66" s="23"/>
      <c r="C66" s="23" t="e">
        <f>Sites[[#This Row],[SOL'#]]</f>
        <v>#VALUE!</v>
      </c>
      <c r="D66" s="18"/>
      <c r="E66" s="8"/>
      <c r="F66" s="8" t="str">
        <f t="shared" si="0"/>
        <v/>
      </c>
      <c r="G66" s="9" t="str">
        <f t="shared" si="3"/>
        <v/>
      </c>
      <c r="H66" s="10"/>
      <c r="I66" s="10" t="str">
        <f t="shared" si="1"/>
        <v/>
      </c>
      <c r="J66" s="11" t="str">
        <f t="shared" si="2"/>
        <v/>
      </c>
      <c r="K66" s="35"/>
      <c r="L66" s="35"/>
    </row>
    <row r="67" spans="1:12" ht="15.6">
      <c r="A67" s="24"/>
      <c r="B67" s="25"/>
      <c r="C67" s="23" t="e">
        <f>Sites[[#This Row],[SOL'#]]</f>
        <v>#VALUE!</v>
      </c>
      <c r="D67" s="7"/>
      <c r="E67" s="12"/>
      <c r="F67" s="12" t="str">
        <f t="shared" si="0"/>
        <v/>
      </c>
      <c r="G67" s="13" t="str">
        <f t="shared" si="3"/>
        <v/>
      </c>
      <c r="H67" s="14"/>
      <c r="I67" s="14" t="str">
        <f t="shared" si="1"/>
        <v/>
      </c>
      <c r="J67" s="13" t="str">
        <f t="shared" si="2"/>
        <v/>
      </c>
      <c r="K67" s="44"/>
      <c r="L67" s="36"/>
    </row>
    <row r="68" spans="1:12" ht="15.6">
      <c r="A68" s="22"/>
      <c r="B68" s="23"/>
      <c r="C68" s="23" t="e">
        <f>Sites[[#This Row],[SOL'#]]</f>
        <v>#VALUE!</v>
      </c>
      <c r="D68" s="18"/>
      <c r="E68" s="8"/>
      <c r="F68" s="8" t="str">
        <f t="shared" si="0"/>
        <v/>
      </c>
      <c r="G68" s="9" t="str">
        <f t="shared" si="3"/>
        <v/>
      </c>
      <c r="H68" s="10"/>
      <c r="I68" s="10" t="str">
        <f t="shared" si="1"/>
        <v/>
      </c>
      <c r="J68" s="11" t="str">
        <f t="shared" si="2"/>
        <v/>
      </c>
      <c r="K68" s="35"/>
      <c r="L68" s="35"/>
    </row>
    <row r="69" spans="1:12" ht="15.6">
      <c r="A69" s="24"/>
      <c r="B69" s="25"/>
      <c r="C69" s="23" t="e">
        <f>Sites[[#This Row],[SOL'#]]</f>
        <v>#VALUE!</v>
      </c>
      <c r="D69" s="7"/>
      <c r="E69" s="12"/>
      <c r="F69" s="12" t="str">
        <f t="shared" ref="F69:F133" si="4">IF(AND(ISNUMBER(D69),ISNUMBER(E69)), D69-E69, "")</f>
        <v/>
      </c>
      <c r="G69" s="13" t="str">
        <f t="shared" si="3"/>
        <v/>
      </c>
      <c r="H69" s="14"/>
      <c r="I69" s="14" t="str">
        <f t="shared" ref="I69:I132" si="5">IF(AND(ISNUMBER(D69),ISNUMBER(H69)), D69-H69, "")</f>
        <v/>
      </c>
      <c r="J69" s="13" t="str">
        <f t="shared" ref="J69:J132" si="6">IFERROR(I69/H69, "")</f>
        <v/>
      </c>
      <c r="K69" s="36"/>
      <c r="L69" s="36"/>
    </row>
    <row r="70" spans="1:12" ht="15.6">
      <c r="A70" s="22"/>
      <c r="B70" s="23"/>
      <c r="C70" s="23" t="e">
        <f>Sites[[#This Row],[SOL'#]]</f>
        <v>#VALUE!</v>
      </c>
      <c r="D70" s="18"/>
      <c r="E70" s="8"/>
      <c r="F70" s="8" t="str">
        <f t="shared" si="4"/>
        <v/>
      </c>
      <c r="G70" s="9" t="str">
        <f t="shared" ref="G70:G133" si="7">IFERROR(F70/E70, "")</f>
        <v/>
      </c>
      <c r="H70" s="10"/>
      <c r="I70" s="10" t="str">
        <f t="shared" si="5"/>
        <v/>
      </c>
      <c r="J70" s="11" t="str">
        <f t="shared" si="6"/>
        <v/>
      </c>
      <c r="K70" s="35"/>
      <c r="L70" s="35"/>
    </row>
    <row r="71" spans="1:12" ht="15.6">
      <c r="A71" s="24"/>
      <c r="B71" s="25"/>
      <c r="C71" s="23" t="e">
        <f>Sites[[#This Row],[SOL'#]]</f>
        <v>#VALUE!</v>
      </c>
      <c r="D71" s="7"/>
      <c r="E71" s="12"/>
      <c r="F71" s="12" t="str">
        <f t="shared" si="4"/>
        <v/>
      </c>
      <c r="G71" s="13" t="str">
        <f t="shared" si="7"/>
        <v/>
      </c>
      <c r="H71" s="14"/>
      <c r="I71" s="14" t="str">
        <f t="shared" si="5"/>
        <v/>
      </c>
      <c r="J71" s="13" t="str">
        <f t="shared" si="6"/>
        <v/>
      </c>
      <c r="K71" s="36"/>
      <c r="L71" s="36"/>
    </row>
    <row r="72" spans="1:12" ht="15.6">
      <c r="A72" s="22"/>
      <c r="B72" s="23"/>
      <c r="C72" s="23" t="e">
        <f>Sites[[#This Row],[SOL'#]]</f>
        <v>#VALUE!</v>
      </c>
      <c r="D72" s="18"/>
      <c r="E72" s="8"/>
      <c r="F72" s="8" t="str">
        <f t="shared" si="4"/>
        <v/>
      </c>
      <c r="G72" s="9" t="str">
        <f t="shared" si="7"/>
        <v/>
      </c>
      <c r="H72" s="10"/>
      <c r="I72" s="10" t="str">
        <f t="shared" si="5"/>
        <v/>
      </c>
      <c r="J72" s="11" t="str">
        <f t="shared" si="6"/>
        <v/>
      </c>
      <c r="K72" s="35"/>
      <c r="L72" s="35"/>
    </row>
    <row r="73" spans="1:12" ht="15.6">
      <c r="A73" s="24"/>
      <c r="B73" s="25"/>
      <c r="C73" s="23" t="e">
        <f>Sites[[#This Row],[SOL'#]]</f>
        <v>#VALUE!</v>
      </c>
      <c r="D73" s="7"/>
      <c r="E73" s="12"/>
      <c r="F73" s="12" t="str">
        <f t="shared" si="4"/>
        <v/>
      </c>
      <c r="G73" s="13" t="str">
        <f t="shared" si="7"/>
        <v/>
      </c>
      <c r="H73" s="14"/>
      <c r="I73" s="14" t="str">
        <f t="shared" si="5"/>
        <v/>
      </c>
      <c r="J73" s="13" t="str">
        <f t="shared" si="6"/>
        <v/>
      </c>
      <c r="K73" s="36"/>
      <c r="L73" s="36"/>
    </row>
    <row r="74" spans="1:12" ht="15.6">
      <c r="A74" s="22"/>
      <c r="B74" s="23"/>
      <c r="C74" s="23" t="e">
        <f>Sites[[#This Row],[SOL'#]]</f>
        <v>#VALUE!</v>
      </c>
      <c r="D74" s="18"/>
      <c r="E74" s="8"/>
      <c r="F74" s="8" t="str">
        <f t="shared" si="4"/>
        <v/>
      </c>
      <c r="G74" s="9" t="str">
        <f t="shared" si="7"/>
        <v/>
      </c>
      <c r="H74" s="10"/>
      <c r="I74" s="10" t="str">
        <f t="shared" si="5"/>
        <v/>
      </c>
      <c r="J74" s="11" t="str">
        <f t="shared" si="6"/>
        <v/>
      </c>
      <c r="K74" s="35"/>
      <c r="L74" s="35"/>
    </row>
    <row r="75" spans="1:12" ht="45" customHeight="1">
      <c r="A75" s="24"/>
      <c r="B75" s="25"/>
      <c r="C75" s="23" t="e">
        <f>Sites[[#This Row],[SOL'#]]</f>
        <v>#VALUE!</v>
      </c>
      <c r="D75" s="7"/>
      <c r="E75" s="12"/>
      <c r="F75" s="12" t="str">
        <f t="shared" si="4"/>
        <v/>
      </c>
      <c r="G75" s="13" t="str">
        <f t="shared" si="7"/>
        <v/>
      </c>
      <c r="H75" s="14"/>
      <c r="I75" s="14" t="str">
        <f t="shared" si="5"/>
        <v/>
      </c>
      <c r="J75" s="13" t="str">
        <f t="shared" si="6"/>
        <v/>
      </c>
      <c r="K75" s="44"/>
      <c r="L75" s="44"/>
    </row>
    <row r="76" spans="1:12" ht="15.6">
      <c r="A76" s="22"/>
      <c r="B76" s="23"/>
      <c r="C76" s="23" t="e">
        <f>Sites[[#This Row],[SOL'#]]</f>
        <v>#VALUE!</v>
      </c>
      <c r="D76" s="48"/>
      <c r="E76" s="8"/>
      <c r="F76" s="8" t="str">
        <f t="shared" si="4"/>
        <v/>
      </c>
      <c r="G76" s="9" t="str">
        <f t="shared" si="7"/>
        <v/>
      </c>
      <c r="H76" s="10"/>
      <c r="I76" s="10" t="str">
        <f t="shared" si="5"/>
        <v/>
      </c>
      <c r="J76" s="11" t="str">
        <f t="shared" si="6"/>
        <v/>
      </c>
      <c r="K76" s="35"/>
      <c r="L76" s="35"/>
    </row>
    <row r="77" spans="1:12" ht="21.75" customHeight="1">
      <c r="A77" s="24"/>
      <c r="B77" s="25"/>
      <c r="C77" s="23" t="e">
        <f>Sites[[#This Row],[SOL'#]]</f>
        <v>#VALUE!</v>
      </c>
      <c r="D77" s="7"/>
      <c r="E77" s="12"/>
      <c r="F77" s="12" t="str">
        <f t="shared" si="4"/>
        <v/>
      </c>
      <c r="G77" s="13" t="str">
        <f t="shared" si="7"/>
        <v/>
      </c>
      <c r="H77" s="14"/>
      <c r="I77" s="14" t="str">
        <f t="shared" si="5"/>
        <v/>
      </c>
      <c r="J77" s="13" t="str">
        <f t="shared" si="6"/>
        <v/>
      </c>
      <c r="K77" s="36"/>
      <c r="L77" s="36"/>
    </row>
    <row r="78" spans="1:12" ht="15.6">
      <c r="A78" s="22"/>
      <c r="B78" s="23"/>
      <c r="C78" s="23" t="e">
        <f>Sites[[#This Row],[SOL'#]]</f>
        <v>#VALUE!</v>
      </c>
      <c r="D78" s="18"/>
      <c r="E78" s="8"/>
      <c r="F78" s="8" t="str">
        <f t="shared" si="4"/>
        <v/>
      </c>
      <c r="G78" s="9" t="str">
        <f t="shared" si="7"/>
        <v/>
      </c>
      <c r="H78" s="10"/>
      <c r="I78" s="10" t="str">
        <f t="shared" si="5"/>
        <v/>
      </c>
      <c r="J78" s="11" t="str">
        <f t="shared" si="6"/>
        <v/>
      </c>
      <c r="K78" s="35"/>
      <c r="L78" s="35"/>
    </row>
    <row r="79" spans="1:12" ht="15.6">
      <c r="A79" s="24"/>
      <c r="B79" s="25"/>
      <c r="C79" s="23" t="e">
        <f>Sites[[#This Row],[SOL'#]]</f>
        <v>#VALUE!</v>
      </c>
      <c r="D79" s="7"/>
      <c r="E79" s="12"/>
      <c r="F79" s="12" t="str">
        <f t="shared" si="4"/>
        <v/>
      </c>
      <c r="G79" s="13" t="str">
        <f t="shared" si="7"/>
        <v/>
      </c>
      <c r="H79" s="14"/>
      <c r="I79" s="14" t="str">
        <f t="shared" si="5"/>
        <v/>
      </c>
      <c r="J79" s="13" t="str">
        <f t="shared" si="6"/>
        <v/>
      </c>
      <c r="K79" s="36"/>
      <c r="L79" s="69"/>
    </row>
    <row r="80" spans="1:12" ht="15.6">
      <c r="A80" s="22"/>
      <c r="B80" s="23"/>
      <c r="C80" s="23" t="e">
        <f>Sites[[#This Row],[SOL'#]]</f>
        <v>#VALUE!</v>
      </c>
      <c r="D80" s="18"/>
      <c r="E80" s="8"/>
      <c r="F80" s="8" t="str">
        <f t="shared" si="4"/>
        <v/>
      </c>
      <c r="G80" s="9" t="str">
        <f t="shared" si="7"/>
        <v/>
      </c>
      <c r="H80" s="10"/>
      <c r="I80" s="10" t="str">
        <f t="shared" si="5"/>
        <v/>
      </c>
      <c r="J80" s="11" t="str">
        <f t="shared" si="6"/>
        <v/>
      </c>
      <c r="K80" s="35"/>
      <c r="L80" s="35"/>
    </row>
    <row r="81" spans="1:12" ht="15.6">
      <c r="A81" s="24"/>
      <c r="B81" s="25"/>
      <c r="C81" s="23" t="e">
        <f>Sites[[#This Row],[SOL'#]]</f>
        <v>#VALUE!</v>
      </c>
      <c r="D81" s="7"/>
      <c r="E81" s="12"/>
      <c r="F81" s="12" t="str">
        <f t="shared" si="4"/>
        <v/>
      </c>
      <c r="G81" s="13" t="str">
        <f t="shared" si="7"/>
        <v/>
      </c>
      <c r="H81" s="14"/>
      <c r="I81" s="14" t="str">
        <f t="shared" si="5"/>
        <v/>
      </c>
      <c r="J81" s="13" t="str">
        <f t="shared" si="6"/>
        <v/>
      </c>
      <c r="K81" s="36"/>
      <c r="L81" s="68"/>
    </row>
    <row r="82" spans="1:12" ht="19.5" customHeight="1">
      <c r="A82" s="22"/>
      <c r="B82" s="23"/>
      <c r="C82" s="23" t="e">
        <f>Sites[[#This Row],[SOL'#]]</f>
        <v>#VALUE!</v>
      </c>
      <c r="D82" s="18"/>
      <c r="E82" s="8"/>
      <c r="F82" s="8" t="str">
        <f t="shared" si="4"/>
        <v/>
      </c>
      <c r="G82" s="9" t="str">
        <f t="shared" si="7"/>
        <v/>
      </c>
      <c r="H82" s="10"/>
      <c r="I82" s="10" t="str">
        <f t="shared" si="5"/>
        <v/>
      </c>
      <c r="J82" s="11" t="str">
        <f t="shared" si="6"/>
        <v/>
      </c>
      <c r="K82" s="35"/>
      <c r="L82" s="35"/>
    </row>
    <row r="83" spans="1:12" ht="15.6">
      <c r="A83" s="24"/>
      <c r="B83" s="25"/>
      <c r="C83" s="23" t="e">
        <f>Sites[[#This Row],[SOL'#]]</f>
        <v>#VALUE!</v>
      </c>
      <c r="D83" s="7"/>
      <c r="E83" s="12"/>
      <c r="F83" s="12" t="str">
        <f t="shared" si="4"/>
        <v/>
      </c>
      <c r="G83" s="13" t="str">
        <f t="shared" si="7"/>
        <v/>
      </c>
      <c r="H83" s="14"/>
      <c r="I83" s="14" t="str">
        <f t="shared" si="5"/>
        <v/>
      </c>
      <c r="J83" s="13" t="str">
        <f t="shared" si="6"/>
        <v/>
      </c>
      <c r="K83" s="36"/>
      <c r="L83" s="82"/>
    </row>
    <row r="84" spans="1:12" ht="15.6">
      <c r="A84" s="22"/>
      <c r="B84" s="23"/>
      <c r="C84" s="23" t="e">
        <f>Sites[[#This Row],[SOL'#]]</f>
        <v>#VALUE!</v>
      </c>
      <c r="D84" s="18"/>
      <c r="E84" s="8"/>
      <c r="F84" s="8" t="str">
        <f t="shared" si="4"/>
        <v/>
      </c>
      <c r="G84" s="9" t="str">
        <f t="shared" si="7"/>
        <v/>
      </c>
      <c r="H84" s="10"/>
      <c r="I84" s="10" t="str">
        <f t="shared" si="5"/>
        <v/>
      </c>
      <c r="J84" s="11" t="str">
        <f t="shared" si="6"/>
        <v/>
      </c>
      <c r="K84" s="35"/>
      <c r="L84" s="35"/>
    </row>
    <row r="85" spans="1:12" ht="15.6">
      <c r="A85" s="24"/>
      <c r="B85" s="25"/>
      <c r="C85" s="23" t="e">
        <f>Sites[[#This Row],[SOL'#]]</f>
        <v>#VALUE!</v>
      </c>
      <c r="D85" s="7"/>
      <c r="E85" s="12"/>
      <c r="F85" s="12" t="str">
        <f t="shared" si="4"/>
        <v/>
      </c>
      <c r="G85" s="13" t="str">
        <f t="shared" si="7"/>
        <v/>
      </c>
      <c r="H85" s="14"/>
      <c r="I85" s="14" t="str">
        <f t="shared" si="5"/>
        <v/>
      </c>
      <c r="J85" s="13" t="str">
        <f t="shared" si="6"/>
        <v/>
      </c>
      <c r="K85" s="36"/>
      <c r="L85" s="68"/>
    </row>
    <row r="86" spans="1:12" ht="47.25" customHeight="1">
      <c r="A86" s="22"/>
      <c r="B86" s="23"/>
      <c r="C86" s="23" t="e">
        <f>Sites[[#This Row],[SOL'#]]</f>
        <v>#VALUE!</v>
      </c>
      <c r="D86" s="18"/>
      <c r="E86" s="8"/>
      <c r="F86" s="8" t="str">
        <f t="shared" si="4"/>
        <v/>
      </c>
      <c r="G86" s="9" t="str">
        <f t="shared" si="7"/>
        <v/>
      </c>
      <c r="H86" s="10"/>
      <c r="I86" s="10" t="str">
        <f t="shared" si="5"/>
        <v/>
      </c>
      <c r="J86" s="11" t="str">
        <f t="shared" si="6"/>
        <v/>
      </c>
      <c r="K86" s="35"/>
      <c r="L86" s="35"/>
    </row>
    <row r="87" spans="1:12" ht="15.6">
      <c r="A87" s="24"/>
      <c r="B87" s="25"/>
      <c r="C87" s="23" t="e">
        <f>Sites[[#This Row],[SOL'#]]</f>
        <v>#VALUE!</v>
      </c>
      <c r="D87" s="7"/>
      <c r="E87" s="12"/>
      <c r="F87" s="12" t="str">
        <f t="shared" si="4"/>
        <v/>
      </c>
      <c r="G87" s="13" t="str">
        <f t="shared" si="7"/>
        <v/>
      </c>
      <c r="H87" s="14"/>
      <c r="I87" s="14" t="str">
        <f t="shared" si="5"/>
        <v/>
      </c>
      <c r="J87" s="13" t="str">
        <f t="shared" si="6"/>
        <v/>
      </c>
      <c r="K87" s="36"/>
      <c r="L87" s="82"/>
    </row>
    <row r="88" spans="1:12" ht="15.6">
      <c r="A88" s="22"/>
      <c r="B88" s="23"/>
      <c r="C88" s="23" t="e">
        <f>Sites[[#This Row],[SOL'#]]</f>
        <v>#VALUE!</v>
      </c>
      <c r="D88" s="18"/>
      <c r="E88" s="8"/>
      <c r="F88" s="8" t="str">
        <f t="shared" si="4"/>
        <v/>
      </c>
      <c r="G88" s="9" t="str">
        <f t="shared" si="7"/>
        <v/>
      </c>
      <c r="H88" s="10"/>
      <c r="I88" s="10" t="str">
        <f t="shared" si="5"/>
        <v/>
      </c>
      <c r="J88" s="11" t="str">
        <f t="shared" si="6"/>
        <v/>
      </c>
      <c r="K88" s="35"/>
      <c r="L88" s="35"/>
    </row>
    <row r="89" spans="1:12" ht="15.6">
      <c r="A89" s="24"/>
      <c r="B89" s="25"/>
      <c r="C89" s="23" t="e">
        <f>Sites[[#This Row],[SOL'#]]</f>
        <v>#VALUE!</v>
      </c>
      <c r="D89" s="7"/>
      <c r="E89" s="12"/>
      <c r="F89" s="12" t="str">
        <f t="shared" si="4"/>
        <v/>
      </c>
      <c r="G89" s="13" t="str">
        <f t="shared" si="7"/>
        <v/>
      </c>
      <c r="H89" s="14"/>
      <c r="I89" s="14" t="str">
        <f t="shared" si="5"/>
        <v/>
      </c>
      <c r="J89" s="13" t="str">
        <f t="shared" si="6"/>
        <v/>
      </c>
      <c r="K89" s="36"/>
      <c r="L89" s="36"/>
    </row>
    <row r="90" spans="1:12" ht="15.6">
      <c r="A90" s="22"/>
      <c r="B90" s="23"/>
      <c r="C90" s="23" t="e">
        <f>Sites[[#This Row],[SOL'#]]</f>
        <v>#VALUE!</v>
      </c>
      <c r="D90" s="18"/>
      <c r="E90" s="8"/>
      <c r="F90" s="8" t="str">
        <f t="shared" si="4"/>
        <v/>
      </c>
      <c r="G90" s="9" t="str">
        <f t="shared" si="7"/>
        <v/>
      </c>
      <c r="H90" s="10"/>
      <c r="I90" s="10" t="str">
        <f t="shared" si="5"/>
        <v/>
      </c>
      <c r="J90" s="11" t="str">
        <f t="shared" si="6"/>
        <v/>
      </c>
      <c r="K90" s="35"/>
      <c r="L90" s="35"/>
    </row>
    <row r="91" spans="1:12" ht="15.6">
      <c r="A91" s="24"/>
      <c r="B91" s="25"/>
      <c r="C91" s="23" t="e">
        <f>Sites[[#This Row],[SOL'#]]</f>
        <v>#VALUE!</v>
      </c>
      <c r="D91" s="7"/>
      <c r="E91" s="12"/>
      <c r="F91" s="12" t="str">
        <f t="shared" si="4"/>
        <v/>
      </c>
      <c r="G91" s="13" t="str">
        <f t="shared" si="7"/>
        <v/>
      </c>
      <c r="H91" s="14"/>
      <c r="I91" s="14" t="str">
        <f t="shared" si="5"/>
        <v/>
      </c>
      <c r="J91" s="13" t="str">
        <f t="shared" si="6"/>
        <v/>
      </c>
      <c r="K91" s="36"/>
      <c r="L91" s="36"/>
    </row>
    <row r="92" spans="1:12" ht="15.6">
      <c r="A92" s="22"/>
      <c r="B92" s="23"/>
      <c r="C92" s="23" t="e">
        <f>Sites[[#This Row],[SOL'#]]</f>
        <v>#VALUE!</v>
      </c>
      <c r="D92" s="18"/>
      <c r="E92" s="8"/>
      <c r="F92" s="8" t="str">
        <f t="shared" si="4"/>
        <v/>
      </c>
      <c r="G92" s="9" t="str">
        <f t="shared" si="7"/>
        <v/>
      </c>
      <c r="H92" s="10"/>
      <c r="I92" s="10" t="str">
        <f t="shared" si="5"/>
        <v/>
      </c>
      <c r="J92" s="11" t="str">
        <f t="shared" si="6"/>
        <v/>
      </c>
      <c r="K92" s="35"/>
      <c r="L92" s="35"/>
    </row>
    <row r="93" spans="1:12" ht="15.6">
      <c r="A93" s="24"/>
      <c r="B93" s="25"/>
      <c r="C93" s="23" t="e">
        <f>Sites[[#This Row],[SOL'#]]</f>
        <v>#VALUE!</v>
      </c>
      <c r="D93" s="7"/>
      <c r="E93" s="12"/>
      <c r="F93" s="12" t="str">
        <f t="shared" si="4"/>
        <v/>
      </c>
      <c r="G93" s="13" t="str">
        <f t="shared" si="7"/>
        <v/>
      </c>
      <c r="H93" s="14"/>
      <c r="I93" s="14" t="str">
        <f t="shared" si="5"/>
        <v/>
      </c>
      <c r="J93" s="13" t="str">
        <f t="shared" si="6"/>
        <v/>
      </c>
      <c r="K93" s="36"/>
      <c r="L93" s="45"/>
    </row>
    <row r="94" spans="1:12" ht="15.6">
      <c r="A94" s="22"/>
      <c r="B94" s="23"/>
      <c r="C94" s="23" t="e">
        <f>Sites[[#This Row],[SOL'#]]</f>
        <v>#VALUE!</v>
      </c>
      <c r="D94" s="18"/>
      <c r="E94" s="8"/>
      <c r="F94" s="8" t="str">
        <f t="shared" si="4"/>
        <v/>
      </c>
      <c r="G94" s="9" t="str">
        <f t="shared" si="7"/>
        <v/>
      </c>
      <c r="H94" s="10"/>
      <c r="I94" s="10" t="str">
        <f t="shared" si="5"/>
        <v/>
      </c>
      <c r="J94" s="11" t="str">
        <f t="shared" si="6"/>
        <v/>
      </c>
      <c r="K94" s="35"/>
      <c r="L94" s="35"/>
    </row>
    <row r="95" spans="1:12" ht="15.6">
      <c r="A95" s="24"/>
      <c r="B95" s="25"/>
      <c r="C95" s="23" t="e">
        <f>Sites[[#This Row],[SOL'#]]</f>
        <v>#VALUE!</v>
      </c>
      <c r="D95" s="7"/>
      <c r="E95" s="12"/>
      <c r="F95" s="12" t="str">
        <f t="shared" si="4"/>
        <v/>
      </c>
      <c r="G95" s="13" t="str">
        <f t="shared" si="7"/>
        <v/>
      </c>
      <c r="H95" s="14"/>
      <c r="I95" s="14" t="str">
        <f t="shared" si="5"/>
        <v/>
      </c>
      <c r="J95" s="13" t="str">
        <f t="shared" si="6"/>
        <v/>
      </c>
      <c r="K95" s="36"/>
      <c r="L95" s="36"/>
    </row>
    <row r="96" spans="1:12" ht="15.6">
      <c r="A96" s="22"/>
      <c r="B96" s="23"/>
      <c r="C96" s="23" t="e">
        <f>Sites[[#This Row],[SOL'#]]</f>
        <v>#VALUE!</v>
      </c>
      <c r="D96" s="18"/>
      <c r="E96" s="8"/>
      <c r="F96" s="8" t="str">
        <f t="shared" si="4"/>
        <v/>
      </c>
      <c r="G96" s="9" t="str">
        <f t="shared" si="7"/>
        <v/>
      </c>
      <c r="H96" s="10"/>
      <c r="I96" s="10" t="str">
        <f t="shared" si="5"/>
        <v/>
      </c>
      <c r="J96" s="11" t="str">
        <f t="shared" si="6"/>
        <v/>
      </c>
      <c r="K96" s="35"/>
      <c r="L96" s="35"/>
    </row>
    <row r="97" spans="1:12" ht="15.6">
      <c r="A97" s="24"/>
      <c r="B97" s="25"/>
      <c r="C97" s="23" t="e">
        <f>Sites[[#This Row],[SOL'#]]</f>
        <v>#VALUE!</v>
      </c>
      <c r="D97" s="7"/>
      <c r="E97" s="12"/>
      <c r="F97" s="12" t="str">
        <f t="shared" si="4"/>
        <v/>
      </c>
      <c r="G97" s="13" t="str">
        <f t="shared" si="7"/>
        <v/>
      </c>
      <c r="H97" s="14"/>
      <c r="I97" s="14" t="str">
        <f t="shared" si="5"/>
        <v/>
      </c>
      <c r="J97" s="13" t="str">
        <f t="shared" si="6"/>
        <v/>
      </c>
      <c r="K97" s="36"/>
      <c r="L97" s="36"/>
    </row>
    <row r="98" spans="1:12" ht="15.6">
      <c r="A98" s="22"/>
      <c r="B98" s="23"/>
      <c r="C98" s="23" t="e">
        <f>Sites[[#This Row],[SOL'#]]</f>
        <v>#VALUE!</v>
      </c>
      <c r="D98" s="18"/>
      <c r="E98" s="8"/>
      <c r="F98" s="8" t="str">
        <f t="shared" si="4"/>
        <v/>
      </c>
      <c r="G98" s="9" t="str">
        <f t="shared" si="7"/>
        <v/>
      </c>
      <c r="H98" s="10"/>
      <c r="I98" s="10" t="str">
        <f t="shared" si="5"/>
        <v/>
      </c>
      <c r="J98" s="11" t="str">
        <f t="shared" si="6"/>
        <v/>
      </c>
      <c r="K98" s="35"/>
      <c r="L98" s="35"/>
    </row>
    <row r="99" spans="1:12" ht="15.6">
      <c r="A99" s="24"/>
      <c r="B99" s="25"/>
      <c r="C99" s="23" t="e">
        <f>Sites[[#This Row],[SOL'#]]</f>
        <v>#VALUE!</v>
      </c>
      <c r="D99" s="7"/>
      <c r="E99" s="12"/>
      <c r="F99" s="12" t="str">
        <f t="shared" si="4"/>
        <v/>
      </c>
      <c r="G99" s="13" t="str">
        <f t="shared" si="7"/>
        <v/>
      </c>
      <c r="H99" s="14"/>
      <c r="I99" s="14" t="str">
        <f t="shared" si="5"/>
        <v/>
      </c>
      <c r="J99" s="13" t="str">
        <f t="shared" si="6"/>
        <v/>
      </c>
      <c r="K99" s="45"/>
      <c r="L99" s="45"/>
    </row>
    <row r="100" spans="1:12" ht="15.6">
      <c r="A100" s="22"/>
      <c r="B100" s="23"/>
      <c r="C100" s="23" t="e">
        <f>Sites[[#This Row],[SOL'#]]</f>
        <v>#VALUE!</v>
      </c>
      <c r="D100" s="18"/>
      <c r="E100" s="8"/>
      <c r="F100" s="8" t="str">
        <f t="shared" si="4"/>
        <v/>
      </c>
      <c r="G100" s="9" t="str">
        <f t="shared" si="7"/>
        <v/>
      </c>
      <c r="H100" s="10"/>
      <c r="I100" s="10" t="str">
        <f t="shared" si="5"/>
        <v/>
      </c>
      <c r="J100" s="11" t="str">
        <f t="shared" si="6"/>
        <v/>
      </c>
      <c r="K100" s="35"/>
      <c r="L100" s="35"/>
    </row>
    <row r="101" spans="1:12" ht="15.6">
      <c r="A101" s="24"/>
      <c r="B101" s="25"/>
      <c r="C101" s="23" t="e">
        <f>Sites[[#This Row],[SOL'#]]</f>
        <v>#VALUE!</v>
      </c>
      <c r="D101" s="7"/>
      <c r="E101" s="12"/>
      <c r="F101" s="12" t="str">
        <f t="shared" si="4"/>
        <v/>
      </c>
      <c r="G101" s="13" t="str">
        <f t="shared" si="7"/>
        <v/>
      </c>
      <c r="H101" s="14"/>
      <c r="I101" s="14" t="str">
        <f t="shared" si="5"/>
        <v/>
      </c>
      <c r="J101" s="13" t="str">
        <f t="shared" si="6"/>
        <v/>
      </c>
      <c r="K101" s="36"/>
      <c r="L101" s="45"/>
    </row>
    <row r="102" spans="1:12" ht="15.6">
      <c r="A102" s="22"/>
      <c r="B102" s="23"/>
      <c r="C102" s="23" t="e">
        <f>Sites[[#This Row],[SOL'#]]</f>
        <v>#VALUE!</v>
      </c>
      <c r="D102" s="18"/>
      <c r="E102" s="8"/>
      <c r="F102" s="8" t="str">
        <f t="shared" si="4"/>
        <v/>
      </c>
      <c r="G102" s="9" t="str">
        <f t="shared" si="7"/>
        <v/>
      </c>
      <c r="H102" s="10"/>
      <c r="I102" s="10" t="str">
        <f t="shared" si="5"/>
        <v/>
      </c>
      <c r="J102" s="11" t="str">
        <f t="shared" si="6"/>
        <v/>
      </c>
      <c r="K102" s="35"/>
      <c r="L102" s="35"/>
    </row>
    <row r="103" spans="1:12" ht="15.6">
      <c r="A103" s="24"/>
      <c r="B103" s="25"/>
      <c r="C103" s="23" t="e">
        <f>Sites[[#This Row],[SOL'#]]</f>
        <v>#VALUE!</v>
      </c>
      <c r="D103" s="7"/>
      <c r="E103" s="12"/>
      <c r="F103" s="12" t="str">
        <f t="shared" si="4"/>
        <v/>
      </c>
      <c r="G103" s="13" t="str">
        <f t="shared" si="7"/>
        <v/>
      </c>
      <c r="H103" s="14"/>
      <c r="I103" s="14" t="str">
        <f t="shared" si="5"/>
        <v/>
      </c>
      <c r="J103" s="13" t="str">
        <f t="shared" si="6"/>
        <v/>
      </c>
      <c r="K103" s="36"/>
      <c r="L103" s="45"/>
    </row>
    <row r="104" spans="1:12" ht="15.6">
      <c r="A104" s="22"/>
      <c r="B104" s="23"/>
      <c r="C104" s="23" t="e">
        <f>Sites[[#This Row],[SOL'#]]</f>
        <v>#VALUE!</v>
      </c>
      <c r="D104" s="18"/>
      <c r="E104" s="8"/>
      <c r="F104" s="8" t="str">
        <f t="shared" si="4"/>
        <v/>
      </c>
      <c r="G104" s="9" t="str">
        <f t="shared" si="7"/>
        <v/>
      </c>
      <c r="H104" s="10"/>
      <c r="I104" s="10" t="str">
        <f t="shared" si="5"/>
        <v/>
      </c>
      <c r="J104" s="11" t="str">
        <f t="shared" si="6"/>
        <v/>
      </c>
      <c r="K104" s="35"/>
      <c r="L104" s="35"/>
    </row>
    <row r="105" spans="1:12" ht="15.6">
      <c r="A105" s="24"/>
      <c r="B105" s="25"/>
      <c r="C105" s="23" t="e">
        <f>Sites[[#This Row],[SOL'#]]</f>
        <v>#VALUE!</v>
      </c>
      <c r="D105" s="7"/>
      <c r="E105" s="12"/>
      <c r="F105" s="12" t="str">
        <f t="shared" si="4"/>
        <v/>
      </c>
      <c r="G105" s="13" t="str">
        <f t="shared" si="7"/>
        <v/>
      </c>
      <c r="H105" s="14"/>
      <c r="I105" s="14" t="str">
        <f t="shared" si="5"/>
        <v/>
      </c>
      <c r="J105" s="13" t="str">
        <f t="shared" si="6"/>
        <v/>
      </c>
      <c r="K105" s="36"/>
      <c r="L105" s="36"/>
    </row>
    <row r="106" spans="1:12" ht="15.6">
      <c r="A106" s="22"/>
      <c r="B106" s="23"/>
      <c r="C106" s="23" t="e">
        <f>Sites[[#This Row],[SOL'#]]</f>
        <v>#VALUE!</v>
      </c>
      <c r="D106" s="18"/>
      <c r="E106" s="8"/>
      <c r="F106" s="8" t="str">
        <f t="shared" si="4"/>
        <v/>
      </c>
      <c r="G106" s="9" t="str">
        <f t="shared" si="7"/>
        <v/>
      </c>
      <c r="H106" s="10"/>
      <c r="I106" s="10" t="str">
        <f t="shared" si="5"/>
        <v/>
      </c>
      <c r="J106" s="11" t="str">
        <f t="shared" si="6"/>
        <v/>
      </c>
      <c r="K106" s="35"/>
      <c r="L106" s="35"/>
    </row>
    <row r="107" spans="1:12" ht="15.6">
      <c r="A107" s="24"/>
      <c r="B107" s="25"/>
      <c r="C107" s="23" t="e">
        <f>Sites[[#This Row],[SOL'#]]</f>
        <v>#VALUE!</v>
      </c>
      <c r="D107" s="7"/>
      <c r="E107" s="12"/>
      <c r="F107" s="12" t="str">
        <f t="shared" si="4"/>
        <v/>
      </c>
      <c r="G107" s="13" t="str">
        <f t="shared" si="7"/>
        <v/>
      </c>
      <c r="H107" s="14"/>
      <c r="I107" s="14" t="str">
        <f t="shared" si="5"/>
        <v/>
      </c>
      <c r="J107" s="13" t="str">
        <f t="shared" si="6"/>
        <v/>
      </c>
      <c r="K107" s="36"/>
      <c r="L107" s="45"/>
    </row>
    <row r="108" spans="1:12" ht="15.6">
      <c r="A108" s="22"/>
      <c r="B108" s="23"/>
      <c r="C108" s="23" t="e">
        <f>Sites[[#This Row],[SOL'#]]</f>
        <v>#VALUE!</v>
      </c>
      <c r="D108" s="18"/>
      <c r="E108" s="8"/>
      <c r="F108" s="8" t="str">
        <f t="shared" si="4"/>
        <v/>
      </c>
      <c r="G108" s="9" t="str">
        <f t="shared" si="7"/>
        <v/>
      </c>
      <c r="H108" s="10"/>
      <c r="I108" s="10" t="str">
        <f t="shared" si="5"/>
        <v/>
      </c>
      <c r="J108" s="11" t="str">
        <f t="shared" si="6"/>
        <v/>
      </c>
      <c r="K108" s="35"/>
      <c r="L108" s="35"/>
    </row>
    <row r="109" spans="1:12" ht="15.6">
      <c r="A109" s="24"/>
      <c r="B109" s="25"/>
      <c r="C109" s="23" t="e">
        <f>Sites[[#This Row],[SOL'#]]</f>
        <v>#VALUE!</v>
      </c>
      <c r="D109" s="7"/>
      <c r="E109" s="12"/>
      <c r="F109" s="12" t="str">
        <f t="shared" si="4"/>
        <v/>
      </c>
      <c r="G109" s="13" t="str">
        <f t="shared" si="7"/>
        <v/>
      </c>
      <c r="H109" s="14"/>
      <c r="I109" s="14" t="str">
        <f t="shared" si="5"/>
        <v/>
      </c>
      <c r="J109" s="13" t="str">
        <f t="shared" si="6"/>
        <v/>
      </c>
      <c r="K109" s="36"/>
      <c r="L109" s="45"/>
    </row>
    <row r="110" spans="1:12" ht="15.6">
      <c r="A110" s="22"/>
      <c r="B110" s="23"/>
      <c r="C110" s="23" t="e">
        <f>Sites[[#This Row],[SOL'#]]</f>
        <v>#VALUE!</v>
      </c>
      <c r="D110" s="18"/>
      <c r="E110" s="8"/>
      <c r="F110" s="8" t="str">
        <f t="shared" si="4"/>
        <v/>
      </c>
      <c r="G110" s="9" t="str">
        <f t="shared" si="7"/>
        <v/>
      </c>
      <c r="H110" s="10"/>
      <c r="I110" s="10" t="str">
        <f t="shared" si="5"/>
        <v/>
      </c>
      <c r="J110" s="11" t="str">
        <f t="shared" si="6"/>
        <v/>
      </c>
      <c r="K110" s="35"/>
      <c r="L110" s="35"/>
    </row>
    <row r="111" spans="1:12" ht="15.6">
      <c r="A111" s="24"/>
      <c r="B111" s="25"/>
      <c r="C111" s="23" t="e">
        <f>Sites[[#This Row],[SOL'#]]</f>
        <v>#VALUE!</v>
      </c>
      <c r="D111" s="7"/>
      <c r="E111" s="12"/>
      <c r="F111" s="12" t="str">
        <f t="shared" si="4"/>
        <v/>
      </c>
      <c r="G111" s="13" t="str">
        <f t="shared" si="7"/>
        <v/>
      </c>
      <c r="H111" s="14"/>
      <c r="I111" s="14" t="str">
        <f t="shared" si="5"/>
        <v/>
      </c>
      <c r="J111" s="13" t="str">
        <f t="shared" si="6"/>
        <v/>
      </c>
      <c r="K111" s="36"/>
      <c r="L111" s="36"/>
    </row>
    <row r="112" spans="1:12" ht="15.6">
      <c r="A112" s="22"/>
      <c r="B112" s="23"/>
      <c r="C112" s="23" t="e">
        <f>Sites[[#This Row],[SOL'#]]</f>
        <v>#VALUE!</v>
      </c>
      <c r="D112" s="18"/>
      <c r="E112" s="8"/>
      <c r="F112" s="8" t="str">
        <f t="shared" si="4"/>
        <v/>
      </c>
      <c r="G112" s="9" t="str">
        <f t="shared" si="7"/>
        <v/>
      </c>
      <c r="H112" s="10"/>
      <c r="I112" s="10" t="str">
        <f t="shared" si="5"/>
        <v/>
      </c>
      <c r="J112" s="11" t="str">
        <f t="shared" si="6"/>
        <v/>
      </c>
      <c r="K112" s="35"/>
      <c r="L112" s="35"/>
    </row>
    <row r="113" spans="1:12" ht="15.6">
      <c r="A113" s="24"/>
      <c r="B113" s="25"/>
      <c r="C113" s="23" t="e">
        <f>Sites[[#This Row],[SOL'#]]</f>
        <v>#VALUE!</v>
      </c>
      <c r="D113" s="7"/>
      <c r="E113" s="12"/>
      <c r="F113" s="12" t="str">
        <f t="shared" si="4"/>
        <v/>
      </c>
      <c r="G113" s="13" t="str">
        <f t="shared" si="7"/>
        <v/>
      </c>
      <c r="H113" s="14"/>
      <c r="I113" s="14" t="str">
        <f t="shared" si="5"/>
        <v/>
      </c>
      <c r="J113" s="13" t="str">
        <f t="shared" si="6"/>
        <v/>
      </c>
      <c r="K113" s="36"/>
      <c r="L113" s="36"/>
    </row>
    <row r="114" spans="1:12" ht="15.6">
      <c r="A114" s="22"/>
      <c r="B114" s="23"/>
      <c r="C114" s="23" t="e">
        <f>Sites[[#This Row],[SOL'#]]</f>
        <v>#VALUE!</v>
      </c>
      <c r="D114" s="18"/>
      <c r="E114" s="8"/>
      <c r="F114" s="8" t="str">
        <f t="shared" si="4"/>
        <v/>
      </c>
      <c r="G114" s="9" t="str">
        <f t="shared" si="7"/>
        <v/>
      </c>
      <c r="H114" s="10"/>
      <c r="I114" s="10" t="str">
        <f t="shared" si="5"/>
        <v/>
      </c>
      <c r="J114" s="11" t="str">
        <f t="shared" si="6"/>
        <v/>
      </c>
      <c r="K114" s="35"/>
      <c r="L114" s="35"/>
    </row>
    <row r="115" spans="1:12" ht="15.6">
      <c r="A115" s="24"/>
      <c r="B115" s="25"/>
      <c r="C115" s="23" t="e">
        <f>Sites[[#This Row],[SOL'#]]</f>
        <v>#VALUE!</v>
      </c>
      <c r="D115" s="7"/>
      <c r="E115" s="12"/>
      <c r="F115" s="12" t="str">
        <f t="shared" si="4"/>
        <v/>
      </c>
      <c r="G115" s="13" t="str">
        <f t="shared" si="7"/>
        <v/>
      </c>
      <c r="H115" s="14"/>
      <c r="I115" s="14" t="str">
        <f t="shared" si="5"/>
        <v/>
      </c>
      <c r="J115" s="13" t="str">
        <f t="shared" si="6"/>
        <v/>
      </c>
      <c r="K115" s="36"/>
      <c r="L115" s="36"/>
    </row>
    <row r="116" spans="1:12" ht="15.6">
      <c r="A116" s="22"/>
      <c r="B116" s="23"/>
      <c r="C116" s="23" t="e">
        <f>Sites[[#This Row],[SOL'#]]</f>
        <v>#VALUE!</v>
      </c>
      <c r="D116" s="18"/>
      <c r="E116" s="8"/>
      <c r="F116" s="8" t="str">
        <f t="shared" si="4"/>
        <v/>
      </c>
      <c r="G116" s="9" t="str">
        <f t="shared" si="7"/>
        <v/>
      </c>
      <c r="H116" s="10"/>
      <c r="I116" s="10" t="str">
        <f t="shared" si="5"/>
        <v/>
      </c>
      <c r="J116" s="11" t="str">
        <f t="shared" si="6"/>
        <v/>
      </c>
      <c r="K116" s="35"/>
      <c r="L116" s="35"/>
    </row>
    <row r="117" spans="1:12" ht="15.6">
      <c r="A117" s="24"/>
      <c r="B117" s="25"/>
      <c r="C117" s="23" t="e">
        <f>Sites[[#This Row],[SOL'#]]</f>
        <v>#VALUE!</v>
      </c>
      <c r="D117" s="7"/>
      <c r="E117" s="12"/>
      <c r="F117" s="12" t="str">
        <f t="shared" si="4"/>
        <v/>
      </c>
      <c r="G117" s="13" t="str">
        <f t="shared" si="7"/>
        <v/>
      </c>
      <c r="H117" s="14"/>
      <c r="I117" s="14" t="str">
        <f t="shared" si="5"/>
        <v/>
      </c>
      <c r="J117" s="13" t="str">
        <f t="shared" si="6"/>
        <v/>
      </c>
      <c r="K117" s="36"/>
      <c r="L117" s="36"/>
    </row>
    <row r="118" spans="1:12" ht="15.6">
      <c r="A118" s="22"/>
      <c r="B118" s="23"/>
      <c r="C118" s="23" t="e">
        <f>Sites[[#This Row],[SOL'#]]</f>
        <v>#VALUE!</v>
      </c>
      <c r="D118" s="18"/>
      <c r="E118" s="8"/>
      <c r="F118" s="8" t="str">
        <f t="shared" si="4"/>
        <v/>
      </c>
      <c r="G118" s="9" t="str">
        <f t="shared" si="7"/>
        <v/>
      </c>
      <c r="H118" s="10"/>
      <c r="I118" s="10" t="str">
        <f t="shared" si="5"/>
        <v/>
      </c>
      <c r="J118" s="11" t="str">
        <f t="shared" si="6"/>
        <v/>
      </c>
      <c r="K118" s="35"/>
      <c r="L118" s="35"/>
    </row>
    <row r="119" spans="1:12" ht="15.6">
      <c r="A119" s="24"/>
      <c r="B119" s="25"/>
      <c r="C119" s="23" t="e">
        <f>Sites[[#This Row],[SOL'#]]</f>
        <v>#VALUE!</v>
      </c>
      <c r="D119" s="7"/>
      <c r="E119" s="12"/>
      <c r="F119" s="12" t="str">
        <f t="shared" si="4"/>
        <v/>
      </c>
      <c r="G119" s="13" t="str">
        <f t="shared" si="7"/>
        <v/>
      </c>
      <c r="H119" s="14"/>
      <c r="I119" s="14" t="str">
        <f t="shared" si="5"/>
        <v/>
      </c>
      <c r="J119" s="13" t="str">
        <f t="shared" si="6"/>
        <v/>
      </c>
      <c r="K119" s="36"/>
      <c r="L119" s="68"/>
    </row>
    <row r="120" spans="1:12" ht="15.6">
      <c r="A120" s="22"/>
      <c r="B120" s="23"/>
      <c r="C120" s="23" t="e">
        <f>Sites[[#This Row],[SOL'#]]</f>
        <v>#VALUE!</v>
      </c>
      <c r="D120" s="18"/>
      <c r="E120" s="8"/>
      <c r="F120" s="8" t="str">
        <f t="shared" si="4"/>
        <v/>
      </c>
      <c r="G120" s="9" t="str">
        <f t="shared" si="7"/>
        <v/>
      </c>
      <c r="H120" s="10"/>
      <c r="I120" s="10" t="str">
        <f t="shared" si="5"/>
        <v/>
      </c>
      <c r="J120" s="11" t="str">
        <f t="shared" si="6"/>
        <v/>
      </c>
      <c r="K120" s="35"/>
      <c r="L120" s="35"/>
    </row>
    <row r="121" spans="1:12" ht="15.6">
      <c r="A121" s="24"/>
      <c r="B121" s="25"/>
      <c r="C121" s="23" t="e">
        <f>Sites[[#This Row],[SOL'#]]</f>
        <v>#VALUE!</v>
      </c>
      <c r="D121" s="7"/>
      <c r="E121" s="12"/>
      <c r="F121" s="12" t="str">
        <f t="shared" si="4"/>
        <v/>
      </c>
      <c r="G121" s="13" t="str">
        <f t="shared" si="7"/>
        <v/>
      </c>
      <c r="H121" s="14"/>
      <c r="I121" s="14" t="str">
        <f t="shared" si="5"/>
        <v/>
      </c>
      <c r="J121" s="13" t="str">
        <f t="shared" si="6"/>
        <v/>
      </c>
      <c r="K121" s="44"/>
      <c r="L121" s="36"/>
    </row>
    <row r="122" spans="1:12" ht="15.6">
      <c r="A122" s="22"/>
      <c r="B122" s="23"/>
      <c r="C122" s="23" t="e">
        <f>Sites[[#This Row],[SOL'#]]</f>
        <v>#VALUE!</v>
      </c>
      <c r="D122" s="18"/>
      <c r="E122" s="8"/>
      <c r="F122" s="8" t="str">
        <f t="shared" si="4"/>
        <v/>
      </c>
      <c r="G122" s="9" t="str">
        <f t="shared" si="7"/>
        <v/>
      </c>
      <c r="H122" s="10"/>
      <c r="I122" s="10" t="str">
        <f t="shared" si="5"/>
        <v/>
      </c>
      <c r="J122" s="11" t="str">
        <f t="shared" si="6"/>
        <v/>
      </c>
      <c r="K122" s="35"/>
      <c r="L122" s="35"/>
    </row>
    <row r="123" spans="1:12" ht="15.6">
      <c r="A123" s="24"/>
      <c r="B123" s="25"/>
      <c r="C123" s="23" t="e">
        <f>Sites[[#This Row],[SOL'#]]</f>
        <v>#VALUE!</v>
      </c>
      <c r="D123" s="7"/>
      <c r="E123" s="12"/>
      <c r="F123" s="12" t="str">
        <f t="shared" si="4"/>
        <v/>
      </c>
      <c r="G123" s="13" t="str">
        <f t="shared" si="7"/>
        <v/>
      </c>
      <c r="H123" s="14"/>
      <c r="I123" s="14" t="str">
        <f t="shared" si="5"/>
        <v/>
      </c>
      <c r="J123" s="13" t="str">
        <f t="shared" si="6"/>
        <v/>
      </c>
      <c r="K123" s="36"/>
      <c r="L123" s="36"/>
    </row>
    <row r="124" spans="1:12" ht="15.6">
      <c r="A124" s="22"/>
      <c r="B124" s="23"/>
      <c r="C124" s="23" t="e">
        <f>Sites[[#This Row],[SOL'#]]</f>
        <v>#VALUE!</v>
      </c>
      <c r="D124" s="18"/>
      <c r="E124" s="8"/>
      <c r="F124" s="8" t="str">
        <f t="shared" si="4"/>
        <v/>
      </c>
      <c r="G124" s="9" t="str">
        <f t="shared" si="7"/>
        <v/>
      </c>
      <c r="H124" s="10"/>
      <c r="I124" s="10" t="str">
        <f t="shared" si="5"/>
        <v/>
      </c>
      <c r="J124" s="11" t="str">
        <f t="shared" si="6"/>
        <v/>
      </c>
      <c r="K124" s="35"/>
      <c r="L124" s="35"/>
    </row>
    <row r="125" spans="1:12" ht="15.6">
      <c r="A125" s="24"/>
      <c r="B125" s="25"/>
      <c r="C125" s="23" t="e">
        <f>Sites[[#This Row],[SOL'#]]</f>
        <v>#VALUE!</v>
      </c>
      <c r="D125" s="7"/>
      <c r="E125" s="12"/>
      <c r="F125" s="12" t="str">
        <f t="shared" si="4"/>
        <v/>
      </c>
      <c r="G125" s="13" t="str">
        <f t="shared" si="7"/>
        <v/>
      </c>
      <c r="H125" s="14"/>
      <c r="I125" s="14" t="str">
        <f t="shared" si="5"/>
        <v/>
      </c>
      <c r="J125" s="13" t="str">
        <f t="shared" si="6"/>
        <v/>
      </c>
      <c r="K125" s="36"/>
      <c r="L125" s="44"/>
    </row>
    <row r="126" spans="1:12" ht="15.6">
      <c r="A126" s="22"/>
      <c r="B126" s="23"/>
      <c r="C126" s="23" t="e">
        <f>Sites[[#This Row],[SOL'#]]</f>
        <v>#VALUE!</v>
      </c>
      <c r="D126" s="18"/>
      <c r="E126" s="8"/>
      <c r="F126" s="8" t="str">
        <f t="shared" si="4"/>
        <v/>
      </c>
      <c r="G126" s="9" t="str">
        <f t="shared" si="7"/>
        <v/>
      </c>
      <c r="H126" s="10"/>
      <c r="I126" s="10" t="str">
        <f t="shared" si="5"/>
        <v/>
      </c>
      <c r="J126" s="11" t="str">
        <f t="shared" si="6"/>
        <v/>
      </c>
      <c r="K126" s="35"/>
      <c r="L126" s="35"/>
    </row>
    <row r="127" spans="1:12" ht="15.6">
      <c r="A127" s="24"/>
      <c r="B127" s="25"/>
      <c r="C127" s="23" t="e">
        <f>Sites[[#This Row],[SOL'#]]</f>
        <v>#VALUE!</v>
      </c>
      <c r="D127" s="7"/>
      <c r="E127" s="12"/>
      <c r="F127" s="12" t="str">
        <f t="shared" si="4"/>
        <v/>
      </c>
      <c r="G127" s="13" t="str">
        <f t="shared" si="7"/>
        <v/>
      </c>
      <c r="H127" s="14"/>
      <c r="I127" s="14" t="str">
        <f t="shared" si="5"/>
        <v/>
      </c>
      <c r="J127" s="13" t="str">
        <f t="shared" si="6"/>
        <v/>
      </c>
      <c r="K127" s="36"/>
      <c r="L127" s="69"/>
    </row>
    <row r="128" spans="1:12" ht="15.6">
      <c r="A128" s="22"/>
      <c r="B128" s="23"/>
      <c r="C128" s="23" t="e">
        <f>Sites[[#This Row],[SOL'#]]</f>
        <v>#VALUE!</v>
      </c>
      <c r="D128" s="18"/>
      <c r="E128" s="8"/>
      <c r="F128" s="8" t="str">
        <f t="shared" si="4"/>
        <v/>
      </c>
      <c r="G128" s="9" t="str">
        <f t="shared" si="7"/>
        <v/>
      </c>
      <c r="H128" s="10"/>
      <c r="I128" s="10" t="str">
        <f t="shared" si="5"/>
        <v/>
      </c>
      <c r="J128" s="11" t="str">
        <f t="shared" si="6"/>
        <v/>
      </c>
      <c r="K128" s="35"/>
      <c r="L128" s="35"/>
    </row>
    <row r="129" spans="1:12" ht="15.6">
      <c r="A129" s="24"/>
      <c r="B129" s="25"/>
      <c r="C129" s="23" t="e">
        <f>Sites[[#This Row],[SOL'#]]</f>
        <v>#VALUE!</v>
      </c>
      <c r="D129" s="7"/>
      <c r="E129" s="12"/>
      <c r="F129" s="12" t="str">
        <f t="shared" si="4"/>
        <v/>
      </c>
      <c r="G129" s="13" t="str">
        <f t="shared" si="7"/>
        <v/>
      </c>
      <c r="H129" s="14"/>
      <c r="I129" s="14" t="str">
        <f t="shared" si="5"/>
        <v/>
      </c>
      <c r="J129" s="13" t="str">
        <f t="shared" si="6"/>
        <v/>
      </c>
      <c r="K129" s="36"/>
      <c r="L129" s="36"/>
    </row>
    <row r="130" spans="1:12" ht="15.6">
      <c r="A130" s="22"/>
      <c r="B130" s="23"/>
      <c r="C130" s="23" t="e">
        <f>Sites[[#This Row],[SOL'#]]</f>
        <v>#VALUE!</v>
      </c>
      <c r="D130" s="18"/>
      <c r="E130" s="8"/>
      <c r="F130" s="8" t="str">
        <f t="shared" si="4"/>
        <v/>
      </c>
      <c r="G130" s="9" t="str">
        <f t="shared" si="7"/>
        <v/>
      </c>
      <c r="H130" s="10"/>
      <c r="I130" s="10" t="str">
        <f t="shared" si="5"/>
        <v/>
      </c>
      <c r="J130" s="11" t="str">
        <f t="shared" si="6"/>
        <v/>
      </c>
      <c r="K130" s="35"/>
      <c r="L130" s="35"/>
    </row>
    <row r="131" spans="1:12" ht="15.6">
      <c r="A131" s="24"/>
      <c r="B131" s="25"/>
      <c r="C131" s="23" t="e">
        <f>Sites[[#This Row],[SOL'#]]</f>
        <v>#VALUE!</v>
      </c>
      <c r="D131" s="7"/>
      <c r="E131" s="12"/>
      <c r="F131" s="12" t="str">
        <f t="shared" si="4"/>
        <v/>
      </c>
      <c r="G131" s="13" t="str">
        <f t="shared" si="7"/>
        <v/>
      </c>
      <c r="H131" s="14"/>
      <c r="I131" s="14" t="str">
        <f t="shared" si="5"/>
        <v/>
      </c>
      <c r="J131" s="13" t="str">
        <f t="shared" si="6"/>
        <v/>
      </c>
      <c r="K131" s="36"/>
      <c r="L131" s="36"/>
    </row>
    <row r="132" spans="1:12" ht="15.6">
      <c r="A132" s="22"/>
      <c r="B132" s="23"/>
      <c r="C132" s="23" t="e">
        <f>Sites[[#This Row],[SOL'#]]</f>
        <v>#VALUE!</v>
      </c>
      <c r="D132" s="18"/>
      <c r="E132" s="8"/>
      <c r="F132" s="8" t="str">
        <f t="shared" si="4"/>
        <v/>
      </c>
      <c r="G132" s="9" t="str">
        <f t="shared" si="7"/>
        <v/>
      </c>
      <c r="H132" s="10"/>
      <c r="I132" s="10" t="str">
        <f t="shared" si="5"/>
        <v/>
      </c>
      <c r="J132" s="11" t="str">
        <f t="shared" si="6"/>
        <v/>
      </c>
      <c r="K132" s="35"/>
      <c r="L132" s="35"/>
    </row>
    <row r="133" spans="1:12" ht="15.6">
      <c r="A133" s="24"/>
      <c r="B133" s="25"/>
      <c r="C133" s="23" t="e">
        <f>Sites[[#This Row],[SOL'#]]</f>
        <v>#VALUE!</v>
      </c>
      <c r="D133" s="7"/>
      <c r="E133" s="12"/>
      <c r="F133" s="12" t="str">
        <f t="shared" si="4"/>
        <v/>
      </c>
      <c r="G133" s="13" t="str">
        <f t="shared" si="7"/>
        <v/>
      </c>
      <c r="H133" s="14"/>
      <c r="I133" s="14" t="str">
        <f t="shared" ref="I133:I158" si="8">IF(AND(ISNUMBER(D133),ISNUMBER(H133)), D133-H133, "")</f>
        <v/>
      </c>
      <c r="J133" s="13" t="str">
        <f t="shared" ref="J133:J158" si="9">IFERROR(I133/H133, "")</f>
        <v/>
      </c>
      <c r="K133" s="36"/>
      <c r="L133" s="36"/>
    </row>
    <row r="134" spans="1:12" ht="15.6">
      <c r="A134" s="22"/>
      <c r="B134" s="23"/>
      <c r="C134" s="23" t="e">
        <f>Sites[[#This Row],[SOL'#]]</f>
        <v>#VALUE!</v>
      </c>
      <c r="D134" s="18"/>
      <c r="E134" s="8"/>
      <c r="F134" s="8" t="str">
        <f t="shared" ref="F134:F158" si="10">IF(AND(ISNUMBER(D134),ISNUMBER(E134)), D134-E134, "")</f>
        <v/>
      </c>
      <c r="G134" s="9" t="str">
        <f t="shared" ref="G134:G158" si="11">IFERROR(F134/E134, "")</f>
        <v/>
      </c>
      <c r="H134" s="10"/>
      <c r="I134" s="10" t="str">
        <f t="shared" si="8"/>
        <v/>
      </c>
      <c r="J134" s="11" t="str">
        <f t="shared" si="9"/>
        <v/>
      </c>
      <c r="K134" s="35"/>
      <c r="L134" s="35"/>
    </row>
    <row r="135" spans="1:12" ht="15.6">
      <c r="A135" s="24"/>
      <c r="B135" s="25"/>
      <c r="C135" s="23" t="e">
        <f>Sites[[#This Row],[SOL'#]]</f>
        <v>#VALUE!</v>
      </c>
      <c r="D135" s="7"/>
      <c r="E135" s="12"/>
      <c r="F135" s="12" t="str">
        <f t="shared" si="10"/>
        <v/>
      </c>
      <c r="G135" s="13" t="str">
        <f t="shared" si="11"/>
        <v/>
      </c>
      <c r="H135" s="14"/>
      <c r="I135" s="14" t="str">
        <f t="shared" si="8"/>
        <v/>
      </c>
      <c r="J135" s="13" t="str">
        <f t="shared" si="9"/>
        <v/>
      </c>
      <c r="K135" s="36"/>
      <c r="L135" s="36"/>
    </row>
    <row r="136" spans="1:12" ht="15.6">
      <c r="A136" s="22"/>
      <c r="B136" s="23"/>
      <c r="C136" s="23" t="e">
        <f>Sites[[#This Row],[SOL'#]]</f>
        <v>#VALUE!</v>
      </c>
      <c r="D136" s="18"/>
      <c r="E136" s="8"/>
      <c r="F136" s="8" t="str">
        <f t="shared" si="10"/>
        <v/>
      </c>
      <c r="G136" s="9" t="str">
        <f t="shared" si="11"/>
        <v/>
      </c>
      <c r="H136" s="10"/>
      <c r="I136" s="10" t="str">
        <f t="shared" si="8"/>
        <v/>
      </c>
      <c r="J136" s="11" t="str">
        <f t="shared" si="9"/>
        <v/>
      </c>
      <c r="K136" s="35"/>
      <c r="L136" s="35"/>
    </row>
    <row r="137" spans="1:12" ht="15.6">
      <c r="A137" s="24"/>
      <c r="B137" s="25"/>
      <c r="C137" s="23" t="e">
        <f>Sites[[#This Row],[SOL'#]]</f>
        <v>#VALUE!</v>
      </c>
      <c r="D137" s="7"/>
      <c r="E137" s="12"/>
      <c r="F137" s="12" t="str">
        <f t="shared" si="10"/>
        <v/>
      </c>
      <c r="G137" s="13" t="str">
        <f t="shared" si="11"/>
        <v/>
      </c>
      <c r="H137" s="14"/>
      <c r="I137" s="14" t="str">
        <f t="shared" si="8"/>
        <v/>
      </c>
      <c r="J137" s="13" t="str">
        <f t="shared" si="9"/>
        <v/>
      </c>
      <c r="K137" s="36"/>
      <c r="L137" s="36"/>
    </row>
    <row r="138" spans="1:12" ht="15.6">
      <c r="A138" s="22"/>
      <c r="B138" s="23"/>
      <c r="C138" s="23" t="e">
        <f>Sites[[#This Row],[SOL'#]]</f>
        <v>#VALUE!</v>
      </c>
      <c r="D138" s="18"/>
      <c r="E138" s="8"/>
      <c r="F138" s="8" t="str">
        <f t="shared" si="10"/>
        <v/>
      </c>
      <c r="G138" s="9" t="str">
        <f t="shared" si="11"/>
        <v/>
      </c>
      <c r="H138" s="10"/>
      <c r="I138" s="10" t="str">
        <f t="shared" si="8"/>
        <v/>
      </c>
      <c r="J138" s="11" t="str">
        <f t="shared" si="9"/>
        <v/>
      </c>
      <c r="K138" s="35"/>
      <c r="L138" s="35"/>
    </row>
    <row r="139" spans="1:12" ht="15.6">
      <c r="A139" s="24"/>
      <c r="B139" s="25"/>
      <c r="C139" s="23" t="e">
        <f>Sites[[#This Row],[SOL'#]]</f>
        <v>#VALUE!</v>
      </c>
      <c r="D139" s="7"/>
      <c r="E139" s="12"/>
      <c r="F139" s="12" t="str">
        <f t="shared" si="10"/>
        <v/>
      </c>
      <c r="G139" s="13" t="str">
        <f t="shared" si="11"/>
        <v/>
      </c>
      <c r="H139" s="14"/>
      <c r="I139" s="14" t="str">
        <f t="shared" si="8"/>
        <v/>
      </c>
      <c r="J139" s="13" t="str">
        <f t="shared" si="9"/>
        <v/>
      </c>
      <c r="K139" s="36"/>
      <c r="L139" s="82"/>
    </row>
    <row r="140" spans="1:12" ht="15.6">
      <c r="A140" s="26"/>
      <c r="B140" s="23"/>
      <c r="C140" s="23" t="e">
        <f>Sites[[#This Row],[SOL'#]]</f>
        <v>#VALUE!</v>
      </c>
      <c r="D140" s="48"/>
      <c r="E140" s="8"/>
      <c r="F140" s="8" t="str">
        <f t="shared" si="10"/>
        <v/>
      </c>
      <c r="G140" s="9" t="str">
        <f t="shared" si="11"/>
        <v/>
      </c>
      <c r="H140" s="58"/>
      <c r="I140" s="10" t="str">
        <f t="shared" si="8"/>
        <v/>
      </c>
      <c r="J140" s="11" t="str">
        <f t="shared" si="9"/>
        <v/>
      </c>
      <c r="K140" s="50"/>
      <c r="L140" s="35"/>
    </row>
    <row r="141" spans="1:12" ht="15.6">
      <c r="A141" s="24"/>
      <c r="B141" s="25"/>
      <c r="C141" s="23" t="e">
        <f>Sites[[#This Row],[SOL'#]]</f>
        <v>#VALUE!</v>
      </c>
      <c r="D141" s="57"/>
      <c r="E141" s="12"/>
      <c r="F141" s="12" t="str">
        <f t="shared" si="10"/>
        <v/>
      </c>
      <c r="G141" s="13" t="str">
        <f t="shared" si="11"/>
        <v/>
      </c>
      <c r="H141" s="60"/>
      <c r="I141" s="14" t="str">
        <f t="shared" si="8"/>
        <v/>
      </c>
      <c r="J141" s="13" t="str">
        <f t="shared" si="9"/>
        <v/>
      </c>
      <c r="K141" s="36"/>
      <c r="L141" s="27"/>
    </row>
    <row r="142" spans="1:12" ht="15.6">
      <c r="A142" s="22"/>
      <c r="B142" s="23"/>
      <c r="C142" s="23" t="e">
        <f>Sites[[#This Row],[SOL'#]]</f>
        <v>#VALUE!</v>
      </c>
      <c r="D142" s="48"/>
      <c r="E142" s="8"/>
      <c r="F142" s="8" t="str">
        <f t="shared" si="10"/>
        <v/>
      </c>
      <c r="G142" s="9" t="str">
        <f t="shared" si="11"/>
        <v/>
      </c>
      <c r="H142" s="58"/>
      <c r="I142" s="10" t="str">
        <f t="shared" si="8"/>
        <v/>
      </c>
      <c r="J142" s="11" t="str">
        <f t="shared" si="9"/>
        <v/>
      </c>
      <c r="K142" s="50"/>
      <c r="L142" s="35"/>
    </row>
    <row r="143" spans="1:12" ht="15.6">
      <c r="A143" s="24"/>
      <c r="B143" s="25"/>
      <c r="C143" s="23" t="e">
        <f>Sites[[#This Row],[SOL'#]]</f>
        <v>#VALUE!</v>
      </c>
      <c r="D143" s="57"/>
      <c r="E143" s="12"/>
      <c r="F143" s="12" t="str">
        <f t="shared" si="10"/>
        <v/>
      </c>
      <c r="G143" s="13" t="str">
        <f t="shared" si="11"/>
        <v/>
      </c>
      <c r="H143" s="60"/>
      <c r="I143" s="14" t="str">
        <f t="shared" si="8"/>
        <v/>
      </c>
      <c r="J143" s="13" t="str">
        <f t="shared" si="9"/>
        <v/>
      </c>
      <c r="K143" s="36"/>
      <c r="L143" s="27"/>
    </row>
    <row r="144" spans="1:12" ht="15.6">
      <c r="A144" s="22"/>
      <c r="B144" s="23"/>
      <c r="C144" s="23" t="e">
        <f>Sites[[#This Row],[SOL'#]]</f>
        <v>#VALUE!</v>
      </c>
      <c r="D144" s="48"/>
      <c r="E144" s="8"/>
      <c r="F144" s="8" t="str">
        <f t="shared" si="10"/>
        <v/>
      </c>
      <c r="G144" s="9" t="str">
        <f t="shared" si="11"/>
        <v/>
      </c>
      <c r="H144" s="58"/>
      <c r="I144" s="10" t="str">
        <f t="shared" si="8"/>
        <v/>
      </c>
      <c r="J144" s="11" t="str">
        <f t="shared" si="9"/>
        <v/>
      </c>
      <c r="K144" s="50"/>
      <c r="L144" s="35"/>
    </row>
    <row r="145" spans="1:12" ht="15.6">
      <c r="A145" s="24"/>
      <c r="B145" s="25"/>
      <c r="C145" s="23" t="e">
        <f>Sites[[#This Row],[SOL'#]]</f>
        <v>#VALUE!</v>
      </c>
      <c r="D145" s="57"/>
      <c r="E145" s="12"/>
      <c r="F145" s="12" t="str">
        <f t="shared" si="10"/>
        <v/>
      </c>
      <c r="G145" s="13" t="str">
        <f t="shared" si="11"/>
        <v/>
      </c>
      <c r="H145" s="60"/>
      <c r="I145" s="14" t="str">
        <f t="shared" si="8"/>
        <v/>
      </c>
      <c r="J145" s="13" t="str">
        <f t="shared" si="9"/>
        <v/>
      </c>
      <c r="K145" s="45"/>
      <c r="L145" s="66"/>
    </row>
    <row r="146" spans="1:12" ht="15.6">
      <c r="A146" s="22"/>
      <c r="B146" s="23"/>
      <c r="C146" s="23" t="e">
        <f>Sites[[#This Row],[SOL'#]]</f>
        <v>#VALUE!</v>
      </c>
      <c r="D146" s="48"/>
      <c r="E146" s="8"/>
      <c r="F146" s="8" t="str">
        <f t="shared" si="10"/>
        <v/>
      </c>
      <c r="G146" s="9" t="str">
        <f t="shared" si="11"/>
        <v/>
      </c>
      <c r="H146" s="58"/>
      <c r="I146" s="10" t="str">
        <f t="shared" si="8"/>
        <v/>
      </c>
      <c r="J146" s="11" t="str">
        <f t="shared" si="9"/>
        <v/>
      </c>
      <c r="K146" s="50"/>
      <c r="L146" s="35"/>
    </row>
    <row r="147" spans="1:12" ht="15.6">
      <c r="A147" s="24"/>
      <c r="B147" s="25"/>
      <c r="C147" s="23" t="e">
        <f>Sites[[#This Row],[SOL'#]]</f>
        <v>#VALUE!</v>
      </c>
      <c r="D147" s="57"/>
      <c r="E147" s="12"/>
      <c r="F147" s="12" t="str">
        <f t="shared" si="10"/>
        <v/>
      </c>
      <c r="G147" s="13" t="str">
        <f t="shared" si="11"/>
        <v/>
      </c>
      <c r="H147" s="60"/>
      <c r="I147" s="14" t="str">
        <f t="shared" si="8"/>
        <v/>
      </c>
      <c r="J147" s="13" t="str">
        <f t="shared" si="9"/>
        <v/>
      </c>
      <c r="K147" s="36"/>
      <c r="L147" s="27"/>
    </row>
    <row r="148" spans="1:12" ht="15.6">
      <c r="A148" s="22"/>
      <c r="B148" s="23"/>
      <c r="C148" s="23" t="e">
        <f>Sites[[#This Row],[SOL'#]]</f>
        <v>#VALUE!</v>
      </c>
      <c r="D148" s="48"/>
      <c r="E148" s="8"/>
      <c r="F148" s="8" t="str">
        <f t="shared" si="10"/>
        <v/>
      </c>
      <c r="G148" s="9" t="str">
        <f t="shared" si="11"/>
        <v/>
      </c>
      <c r="H148" s="58"/>
      <c r="I148" s="10" t="str">
        <f t="shared" si="8"/>
        <v/>
      </c>
      <c r="J148" s="11" t="str">
        <f t="shared" si="9"/>
        <v/>
      </c>
      <c r="K148" s="50"/>
      <c r="L148" s="35"/>
    </row>
    <row r="149" spans="1:12" ht="15.6">
      <c r="A149" s="24"/>
      <c r="B149" s="25"/>
      <c r="C149" s="23" t="e">
        <f>Sites[[#This Row],[SOL'#]]</f>
        <v>#VALUE!</v>
      </c>
      <c r="D149" s="57"/>
      <c r="E149" s="12"/>
      <c r="F149" s="12" t="str">
        <f t="shared" si="10"/>
        <v/>
      </c>
      <c r="G149" s="13" t="str">
        <f t="shared" si="11"/>
        <v/>
      </c>
      <c r="H149" s="60"/>
      <c r="I149" s="14" t="str">
        <f t="shared" si="8"/>
        <v/>
      </c>
      <c r="J149" s="13" t="str">
        <f t="shared" si="9"/>
        <v/>
      </c>
      <c r="K149" s="36"/>
      <c r="L149" s="64"/>
    </row>
    <row r="150" spans="1:12" ht="15.6">
      <c r="A150" s="22"/>
      <c r="B150" s="23"/>
      <c r="C150" s="23" t="e">
        <f>Sites[[#This Row],[SOL'#]]</f>
        <v>#VALUE!</v>
      </c>
      <c r="D150" s="48"/>
      <c r="E150" s="8"/>
      <c r="F150" s="8" t="str">
        <f t="shared" si="10"/>
        <v/>
      </c>
      <c r="G150" s="9" t="str">
        <f t="shared" si="11"/>
        <v/>
      </c>
      <c r="H150" s="58"/>
      <c r="I150" s="10" t="str">
        <f t="shared" si="8"/>
        <v/>
      </c>
      <c r="J150" s="11" t="str">
        <f t="shared" si="9"/>
        <v/>
      </c>
      <c r="K150" s="50"/>
      <c r="L150" s="35"/>
    </row>
    <row r="151" spans="1:12" ht="15.6">
      <c r="A151" s="24"/>
      <c r="B151" s="25"/>
      <c r="C151" s="23" t="e">
        <f>Sites[[#This Row],[SOL'#]]</f>
        <v>#VALUE!</v>
      </c>
      <c r="D151" s="57"/>
      <c r="E151" s="12"/>
      <c r="F151" s="12" t="str">
        <f t="shared" si="10"/>
        <v/>
      </c>
      <c r="G151" s="13" t="str">
        <f t="shared" si="11"/>
        <v/>
      </c>
      <c r="H151" s="60"/>
      <c r="I151" s="14" t="str">
        <f t="shared" si="8"/>
        <v/>
      </c>
      <c r="J151" s="13" t="str">
        <f t="shared" si="9"/>
        <v/>
      </c>
      <c r="K151" s="36"/>
      <c r="L151" s="27"/>
    </row>
    <row r="152" spans="1:12" ht="78" customHeight="1">
      <c r="A152" s="22"/>
      <c r="B152" s="23"/>
      <c r="C152" s="23" t="e">
        <f>Sites[[#This Row],[SOL'#]]</f>
        <v>#VALUE!</v>
      </c>
      <c r="D152" s="48"/>
      <c r="E152" s="8"/>
      <c r="F152" s="8" t="str">
        <f t="shared" si="10"/>
        <v/>
      </c>
      <c r="G152" s="9" t="str">
        <f t="shared" si="11"/>
        <v/>
      </c>
      <c r="H152" s="58"/>
      <c r="I152" s="10" t="str">
        <f t="shared" si="8"/>
        <v/>
      </c>
      <c r="J152" s="11" t="str">
        <f t="shared" si="9"/>
        <v/>
      </c>
      <c r="K152" s="50"/>
      <c r="L152" s="35"/>
    </row>
    <row r="153" spans="1:12" ht="15.6">
      <c r="A153" s="24"/>
      <c r="B153" s="25"/>
      <c r="C153" s="23" t="e">
        <f>Sites[[#This Row],[SOL'#]]</f>
        <v>#VALUE!</v>
      </c>
      <c r="D153" s="57"/>
      <c r="E153" s="12"/>
      <c r="F153" s="12" t="str">
        <f t="shared" si="10"/>
        <v/>
      </c>
      <c r="G153" s="13" t="str">
        <f t="shared" si="11"/>
        <v/>
      </c>
      <c r="H153" s="60"/>
      <c r="I153" s="14" t="str">
        <f t="shared" si="8"/>
        <v/>
      </c>
      <c r="J153" s="13" t="str">
        <f t="shared" si="9"/>
        <v/>
      </c>
      <c r="K153" s="108"/>
      <c r="L153" s="27"/>
    </row>
    <row r="154" spans="1:12" ht="15.6">
      <c r="A154" s="22"/>
      <c r="B154" s="23"/>
      <c r="C154" s="23" t="e">
        <f>Sites[[#This Row],[SOL'#]]</f>
        <v>#VALUE!</v>
      </c>
      <c r="D154" s="48"/>
      <c r="E154" s="8"/>
      <c r="F154" s="8" t="str">
        <f t="shared" si="10"/>
        <v/>
      </c>
      <c r="G154" s="9" t="str">
        <f t="shared" si="11"/>
        <v/>
      </c>
      <c r="H154" s="58"/>
      <c r="I154" s="10" t="str">
        <f t="shared" si="8"/>
        <v/>
      </c>
      <c r="J154" s="11" t="str">
        <f t="shared" si="9"/>
        <v/>
      </c>
      <c r="K154" s="50"/>
      <c r="L154" s="35"/>
    </row>
    <row r="155" spans="1:12" ht="15.6">
      <c r="A155" s="24"/>
      <c r="B155" s="25"/>
      <c r="C155" s="23" t="e">
        <f>Sites[[#This Row],[SOL'#]]</f>
        <v>#VALUE!</v>
      </c>
      <c r="D155" s="57"/>
      <c r="E155" s="12"/>
      <c r="F155" s="12" t="str">
        <f t="shared" si="10"/>
        <v/>
      </c>
      <c r="G155" s="13" t="str">
        <f t="shared" si="11"/>
        <v/>
      </c>
      <c r="H155" s="60"/>
      <c r="I155" s="14" t="str">
        <f t="shared" si="8"/>
        <v/>
      </c>
      <c r="J155" s="13" t="str">
        <f t="shared" si="9"/>
        <v/>
      </c>
      <c r="K155" s="36"/>
      <c r="L155" s="36"/>
    </row>
    <row r="156" spans="1:12" ht="15.6">
      <c r="A156" s="22"/>
      <c r="B156" s="23"/>
      <c r="C156" s="23" t="e">
        <f>Sites[[#This Row],[SOL'#]]</f>
        <v>#VALUE!</v>
      </c>
      <c r="D156" s="48"/>
      <c r="E156" s="8"/>
      <c r="F156" s="8" t="str">
        <f t="shared" si="10"/>
        <v/>
      </c>
      <c r="G156" s="9" t="str">
        <f t="shared" si="11"/>
        <v/>
      </c>
      <c r="H156" s="58"/>
      <c r="I156" s="10" t="str">
        <f t="shared" si="8"/>
        <v/>
      </c>
      <c r="J156" s="11" t="str">
        <f t="shared" si="9"/>
        <v/>
      </c>
      <c r="K156" s="50"/>
      <c r="L156" s="35"/>
    </row>
    <row r="157" spans="1:12" ht="15.6">
      <c r="A157" s="24"/>
      <c r="B157" s="25"/>
      <c r="C157" s="23" t="e">
        <f>Sites[[#This Row],[SOL'#]]</f>
        <v>#VALUE!</v>
      </c>
      <c r="D157" s="57"/>
      <c r="E157" s="12"/>
      <c r="F157" s="12" t="str">
        <f t="shared" si="10"/>
        <v/>
      </c>
      <c r="G157" s="13" t="str">
        <f t="shared" si="11"/>
        <v/>
      </c>
      <c r="H157" s="60"/>
      <c r="I157" s="14" t="str">
        <f t="shared" si="8"/>
        <v/>
      </c>
      <c r="J157" s="13" t="str">
        <f t="shared" si="9"/>
        <v/>
      </c>
      <c r="K157" s="36"/>
      <c r="L157" s="27"/>
    </row>
    <row r="158" spans="1:12" ht="15.6">
      <c r="A158" s="22"/>
      <c r="B158" s="23"/>
      <c r="C158" s="23" t="e">
        <f>Sites[[#This Row],[SOL'#]]</f>
        <v>#VALUE!</v>
      </c>
      <c r="D158" s="48"/>
      <c r="E158" s="8"/>
      <c r="F158" s="8" t="str">
        <f t="shared" si="10"/>
        <v/>
      </c>
      <c r="G158" s="9" t="str">
        <f t="shared" si="11"/>
        <v/>
      </c>
      <c r="H158" s="58"/>
      <c r="I158" s="10" t="str">
        <f t="shared" si="8"/>
        <v/>
      </c>
      <c r="J158" s="11" t="str">
        <f t="shared" si="9"/>
        <v/>
      </c>
      <c r="K158" s="50"/>
      <c r="L158" s="35"/>
    </row>
    <row r="159" spans="1:12" ht="14.45">
      <c r="A159" s="15"/>
      <c r="B159" s="102"/>
      <c r="C159" s="27"/>
      <c r="D159" s="15"/>
      <c r="E159" s="15"/>
      <c r="F159" s="15"/>
      <c r="G159" s="16"/>
      <c r="H159" s="15"/>
      <c r="I159" s="15"/>
      <c r="J159" s="16"/>
      <c r="K159" s="15"/>
      <c r="L159" s="15"/>
    </row>
    <row r="160" spans="1:12" ht="14.45">
      <c r="A160" s="15"/>
      <c r="B160" s="102"/>
      <c r="C160" s="27"/>
      <c r="D160" s="15"/>
      <c r="E160" s="15"/>
      <c r="F160" s="15"/>
      <c r="G160" s="16"/>
      <c r="H160" s="15"/>
      <c r="I160" s="15"/>
      <c r="J160" s="16"/>
      <c r="K160" s="15"/>
      <c r="L160" s="15"/>
    </row>
    <row r="161" spans="1:12" ht="14.45">
      <c r="A161" s="15"/>
      <c r="B161" s="102"/>
      <c r="C161" s="27"/>
      <c r="D161" s="15"/>
      <c r="E161" s="15"/>
      <c r="F161" s="15"/>
      <c r="G161" s="16"/>
      <c r="H161" s="15"/>
      <c r="I161" s="15"/>
      <c r="J161" s="16"/>
      <c r="K161" s="15"/>
      <c r="L161" s="15"/>
    </row>
    <row r="162" spans="1:12" ht="14.45">
      <c r="A162" s="15"/>
      <c r="B162" s="102"/>
      <c r="C162" s="27"/>
      <c r="D162" s="15"/>
      <c r="E162" s="15"/>
      <c r="F162" s="15"/>
      <c r="G162" s="16"/>
      <c r="H162" s="15"/>
      <c r="I162" s="15"/>
      <c r="J162" s="16"/>
      <c r="K162" s="15"/>
      <c r="L162" s="15"/>
    </row>
    <row r="163" spans="1:12" ht="14.45">
      <c r="A163" s="15"/>
      <c r="B163" s="102"/>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sheetData>
  <mergeCells count="4">
    <mergeCell ref="H1:J1"/>
    <mergeCell ref="A1:D1"/>
    <mergeCell ref="E1:G1"/>
    <mergeCell ref="A2:B2"/>
  </mergeCells>
  <phoneticPr fontId="38"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2"/>
  <sheetViews>
    <sheetView zoomScale="90" zoomScaleNormal="90" workbookViewId="0">
      <pane ySplit="3" topLeftCell="A4" activePane="bottomLeft" state="frozen"/>
      <selection pane="bottomLeft" activeCell="A29" sqref="A29:XFD29"/>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12" ht="12.75" customHeight="1">
      <c r="A1" t="s">
        <v>218</v>
      </c>
      <c r="B1" t="s">
        <v>219</v>
      </c>
    </row>
    <row r="3" spans="1:12" ht="13.15">
      <c r="A3" s="122" t="s">
        <v>220</v>
      </c>
      <c r="B3" s="122" t="s">
        <v>3</v>
      </c>
      <c r="C3" s="122" t="s">
        <v>4</v>
      </c>
      <c r="D3" s="122" t="s">
        <v>221</v>
      </c>
      <c r="E3" s="123" t="s">
        <v>222</v>
      </c>
      <c r="F3" s="122" t="s">
        <v>5</v>
      </c>
    </row>
    <row r="4" spans="1:12" ht="12.75" customHeight="1">
      <c r="A4" s="112" t="s">
        <v>223</v>
      </c>
      <c r="B4" s="113" t="s">
        <v>224</v>
      </c>
      <c r="C4" s="115" t="s">
        <v>225</v>
      </c>
      <c r="D4" s="115"/>
      <c r="E4" s="113" t="s">
        <v>226</v>
      </c>
      <c r="F4" s="113" t="s">
        <v>227</v>
      </c>
      <c r="G4" s="119"/>
    </row>
    <row r="5" spans="1:12" ht="12.75" customHeight="1">
      <c r="A5" s="116" t="s">
        <v>228</v>
      </c>
      <c r="B5" s="114" t="s">
        <v>229</v>
      </c>
      <c r="C5" s="117" t="s">
        <v>225</v>
      </c>
      <c r="D5" s="117" t="s">
        <v>230</v>
      </c>
      <c r="E5" s="114" t="s">
        <v>226</v>
      </c>
      <c r="F5" s="114" t="s">
        <v>231</v>
      </c>
      <c r="G5" s="119"/>
    </row>
    <row r="6" spans="1:12" ht="12.75" customHeight="1">
      <c r="A6" s="112" t="s">
        <v>232</v>
      </c>
      <c r="B6" s="113" t="s">
        <v>233</v>
      </c>
      <c r="C6" s="115" t="s">
        <v>225</v>
      </c>
      <c r="D6" s="115" t="s">
        <v>234</v>
      </c>
      <c r="E6" s="113" t="s">
        <v>226</v>
      </c>
      <c r="F6" s="113" t="s">
        <v>235</v>
      </c>
      <c r="G6" s="119"/>
    </row>
    <row r="7" spans="1:12" ht="12.75" customHeight="1">
      <c r="A7" s="116" t="s">
        <v>236</v>
      </c>
      <c r="B7" s="114" t="s">
        <v>237</v>
      </c>
      <c r="C7" s="117" t="s">
        <v>225</v>
      </c>
      <c r="D7" s="117" t="s">
        <v>230</v>
      </c>
      <c r="E7" s="114" t="s">
        <v>226</v>
      </c>
      <c r="F7" s="114" t="s">
        <v>238</v>
      </c>
    </row>
    <row r="8" spans="1:12" ht="12.75" customHeight="1">
      <c r="A8" s="112" t="s">
        <v>239</v>
      </c>
      <c r="B8" s="113" t="s">
        <v>240</v>
      </c>
      <c r="C8" s="115" t="s">
        <v>225</v>
      </c>
      <c r="D8" s="115" t="s">
        <v>230</v>
      </c>
      <c r="E8" s="113" t="s">
        <v>226</v>
      </c>
      <c r="F8" s="113" t="s">
        <v>241</v>
      </c>
    </row>
    <row r="9" spans="1:12" ht="12.75" customHeight="1">
      <c r="A9" s="116" t="s">
        <v>242</v>
      </c>
      <c r="B9" s="114" t="s">
        <v>243</v>
      </c>
      <c r="C9" s="117" t="s">
        <v>225</v>
      </c>
      <c r="D9" s="114" t="s">
        <v>230</v>
      </c>
      <c r="E9" s="114" t="s">
        <v>226</v>
      </c>
      <c r="F9" s="114" t="s">
        <v>244</v>
      </c>
      <c r="K9" s="120"/>
      <c r="L9" s="120"/>
    </row>
    <row r="10" spans="1:12" ht="12.75" customHeight="1">
      <c r="A10" s="112" t="s">
        <v>245</v>
      </c>
      <c r="B10" s="113" t="s">
        <v>246</v>
      </c>
      <c r="C10" s="115" t="s">
        <v>225</v>
      </c>
      <c r="D10" s="113" t="s">
        <v>230</v>
      </c>
      <c r="E10" s="113" t="s">
        <v>226</v>
      </c>
      <c r="F10" s="113" t="s">
        <v>247</v>
      </c>
      <c r="K10" s="120"/>
      <c r="L10" s="120"/>
    </row>
    <row r="11" spans="1:12" ht="12.75" customHeight="1">
      <c r="A11" s="116" t="s">
        <v>248</v>
      </c>
      <c r="B11" s="114" t="s">
        <v>249</v>
      </c>
      <c r="C11" s="117" t="s">
        <v>225</v>
      </c>
      <c r="D11" s="114"/>
      <c r="E11" s="114" t="s">
        <v>226</v>
      </c>
      <c r="F11" s="114" t="s">
        <v>250</v>
      </c>
      <c r="K11" s="120"/>
      <c r="L11" s="120"/>
    </row>
    <row r="12" spans="1:12" ht="12.75" customHeight="1">
      <c r="A12" s="112" t="s">
        <v>251</v>
      </c>
      <c r="B12" s="113" t="s">
        <v>252</v>
      </c>
      <c r="C12" s="115" t="s">
        <v>225</v>
      </c>
      <c r="D12" s="113" t="s">
        <v>230</v>
      </c>
      <c r="E12" s="113" t="s">
        <v>226</v>
      </c>
      <c r="F12" s="113" t="s">
        <v>253</v>
      </c>
      <c r="K12" s="120"/>
      <c r="L12" s="120"/>
    </row>
    <row r="13" spans="1:12" ht="12.75" customHeight="1">
      <c r="A13" s="116" t="s">
        <v>254</v>
      </c>
      <c r="B13" s="114" t="s">
        <v>255</v>
      </c>
      <c r="C13" s="117" t="s">
        <v>225</v>
      </c>
      <c r="D13" s="114"/>
      <c r="E13" s="114" t="s">
        <v>226</v>
      </c>
      <c r="F13" s="114" t="s">
        <v>241</v>
      </c>
      <c r="K13" s="120"/>
      <c r="L13" s="120"/>
    </row>
    <row r="14" spans="1:12" ht="12.75" customHeight="1">
      <c r="A14" s="112" t="s">
        <v>256</v>
      </c>
      <c r="B14" s="113" t="s">
        <v>257</v>
      </c>
      <c r="C14" s="115" t="s">
        <v>225</v>
      </c>
      <c r="D14" s="113"/>
      <c r="E14" s="113" t="s">
        <v>226</v>
      </c>
      <c r="F14" s="113" t="s">
        <v>227</v>
      </c>
    </row>
    <row r="15" spans="1:12" ht="12.75" customHeight="1">
      <c r="A15" s="116" t="s">
        <v>258</v>
      </c>
      <c r="B15" s="114" t="s">
        <v>259</v>
      </c>
      <c r="C15" s="117" t="s">
        <v>225</v>
      </c>
      <c r="D15" s="114"/>
      <c r="E15" s="114" t="s">
        <v>226</v>
      </c>
      <c r="F15" s="124" t="s">
        <v>260</v>
      </c>
      <c r="G15" s="114"/>
      <c r="H15" s="117"/>
      <c r="I15" s="114"/>
      <c r="J15" s="114"/>
      <c r="K15" s="116"/>
      <c r="L15" s="114"/>
    </row>
    <row r="16" spans="1:12" ht="12.75" customHeight="1">
      <c r="A16" s="112" t="s">
        <v>261</v>
      </c>
      <c r="B16" s="113" t="s">
        <v>262</v>
      </c>
      <c r="C16" s="115" t="s">
        <v>225</v>
      </c>
      <c r="D16" s="113"/>
      <c r="E16" s="113" t="s">
        <v>226</v>
      </c>
      <c r="F16" s="113" t="s">
        <v>263</v>
      </c>
    </row>
    <row r="17" spans="1:12" ht="12.75" customHeight="1">
      <c r="A17" s="116" t="s">
        <v>264</v>
      </c>
      <c r="B17" s="114" t="s">
        <v>265</v>
      </c>
      <c r="C17" s="117" t="s">
        <v>266</v>
      </c>
      <c r="D17" s="114"/>
      <c r="E17" s="114" t="s">
        <v>226</v>
      </c>
      <c r="F17" s="114" t="s">
        <v>267</v>
      </c>
    </row>
    <row r="18" spans="1:12" ht="12.75" customHeight="1">
      <c r="A18" s="112" t="s">
        <v>268</v>
      </c>
      <c r="B18" s="113" t="s">
        <v>269</v>
      </c>
      <c r="C18" s="115" t="s">
        <v>266</v>
      </c>
      <c r="D18" s="113"/>
      <c r="E18" s="113" t="s">
        <v>226</v>
      </c>
      <c r="F18" s="113" t="s">
        <v>270</v>
      </c>
      <c r="K18" s="120"/>
      <c r="L18" s="120"/>
    </row>
    <row r="19" spans="1:12" ht="12.75" customHeight="1">
      <c r="A19" s="116" t="s">
        <v>271</v>
      </c>
      <c r="B19" s="114" t="s">
        <v>272</v>
      </c>
      <c r="C19" s="117" t="s">
        <v>266</v>
      </c>
      <c r="D19" s="114"/>
      <c r="E19" s="114" t="s">
        <v>226</v>
      </c>
      <c r="F19" s="114" t="s">
        <v>273</v>
      </c>
    </row>
    <row r="20" spans="1:12" ht="12.75" customHeight="1">
      <c r="A20" s="112" t="s">
        <v>274</v>
      </c>
      <c r="B20" s="113" t="s">
        <v>275</v>
      </c>
      <c r="C20" s="115" t="s">
        <v>276</v>
      </c>
      <c r="D20" s="118"/>
      <c r="E20" s="118" t="s">
        <v>226</v>
      </c>
      <c r="F20" s="113" t="s">
        <v>277</v>
      </c>
    </row>
    <row r="21" spans="1:12" ht="12.75" customHeight="1">
      <c r="A21" s="116" t="s">
        <v>278</v>
      </c>
      <c r="B21" s="114" t="s">
        <v>279</v>
      </c>
      <c r="C21" s="117" t="s">
        <v>276</v>
      </c>
      <c r="D21" s="114"/>
      <c r="E21" s="114" t="s">
        <v>226</v>
      </c>
      <c r="F21" s="114" t="s">
        <v>280</v>
      </c>
    </row>
    <row r="22" spans="1:12" ht="12.75" customHeight="1">
      <c r="A22" s="112" t="s">
        <v>281</v>
      </c>
      <c r="B22" s="113" t="s">
        <v>282</v>
      </c>
      <c r="C22" s="115" t="s">
        <v>283</v>
      </c>
      <c r="D22" s="113"/>
      <c r="E22" s="113" t="s">
        <v>226</v>
      </c>
      <c r="F22" s="113" t="s">
        <v>284</v>
      </c>
    </row>
    <row r="23" spans="1:12" ht="12.75" customHeight="1">
      <c r="A23" s="116" t="s">
        <v>285</v>
      </c>
      <c r="B23" s="114" t="s">
        <v>286</v>
      </c>
      <c r="C23" s="117" t="s">
        <v>283</v>
      </c>
      <c r="D23" s="114"/>
      <c r="E23" s="114" t="s">
        <v>226</v>
      </c>
      <c r="F23" s="114" t="s">
        <v>287</v>
      </c>
      <c r="G23" s="116"/>
      <c r="H23" s="114"/>
      <c r="I23" s="117"/>
    </row>
    <row r="24" spans="1:12" ht="12.75" customHeight="1">
      <c r="A24" s="112" t="s">
        <v>288</v>
      </c>
      <c r="B24" s="113" t="s">
        <v>289</v>
      </c>
      <c r="C24" s="115" t="s">
        <v>283</v>
      </c>
      <c r="D24" s="113"/>
      <c r="E24" s="113" t="s">
        <v>226</v>
      </c>
      <c r="F24" s="113" t="s">
        <v>290</v>
      </c>
    </row>
    <row r="25" spans="1:12" ht="12.75" customHeight="1">
      <c r="A25" s="116" t="s">
        <v>291</v>
      </c>
      <c r="B25" s="114" t="s">
        <v>292</v>
      </c>
      <c r="C25" s="117" t="s">
        <v>283</v>
      </c>
      <c r="D25" s="114"/>
      <c r="E25" s="114" t="s">
        <v>226</v>
      </c>
      <c r="F25" s="114" t="s">
        <v>293</v>
      </c>
      <c r="G25" s="116"/>
      <c r="H25" s="114"/>
      <c r="I25" s="117"/>
    </row>
    <row r="26" spans="1:12" ht="12.75" customHeight="1">
      <c r="A26" s="113" t="s">
        <v>294</v>
      </c>
      <c r="B26" s="113" t="s">
        <v>295</v>
      </c>
      <c r="C26" s="115" t="s">
        <v>283</v>
      </c>
      <c r="D26" s="113"/>
      <c r="E26" s="113" t="s">
        <v>226</v>
      </c>
      <c r="F26" s="113" t="s">
        <v>296</v>
      </c>
      <c r="G26" s="116"/>
      <c r="H26" s="114"/>
      <c r="I26" s="117"/>
    </row>
    <row r="27" spans="1:12" ht="12.75" customHeight="1">
      <c r="A27" s="116" t="s">
        <v>297</v>
      </c>
      <c r="B27" s="114" t="s">
        <v>298</v>
      </c>
      <c r="C27" s="117" t="s">
        <v>299</v>
      </c>
      <c r="D27" s="114"/>
      <c r="E27" s="114" t="s">
        <v>226</v>
      </c>
      <c r="F27" s="114" t="s">
        <v>300</v>
      </c>
    </row>
    <row r="28" spans="1:12" ht="12.75" customHeight="1">
      <c r="A28" s="112" t="s">
        <v>301</v>
      </c>
      <c r="B28" s="113" t="s">
        <v>302</v>
      </c>
      <c r="C28" s="115" t="s">
        <v>299</v>
      </c>
      <c r="D28" s="113"/>
      <c r="E28" s="113" t="s">
        <v>226</v>
      </c>
      <c r="F28" s="113" t="s">
        <v>303</v>
      </c>
    </row>
    <row r="29" spans="1:12" ht="12.75" customHeight="1">
      <c r="A29" s="116" t="s">
        <v>304</v>
      </c>
      <c r="B29" s="114" t="s">
        <v>305</v>
      </c>
      <c r="C29" s="117" t="s">
        <v>299</v>
      </c>
      <c r="D29" s="114"/>
      <c r="E29" s="114" t="s">
        <v>226</v>
      </c>
      <c r="F29" s="114" t="s">
        <v>306</v>
      </c>
    </row>
    <row r="30" spans="1:12" ht="12.75" customHeight="1">
      <c r="A30" s="112" t="s">
        <v>307</v>
      </c>
      <c r="B30" s="113" t="s">
        <v>308</v>
      </c>
      <c r="C30" s="115" t="s">
        <v>299</v>
      </c>
      <c r="D30" s="113"/>
      <c r="E30" s="113" t="s">
        <v>226</v>
      </c>
      <c r="F30" s="113" t="s">
        <v>309</v>
      </c>
    </row>
    <row r="31" spans="1:12" ht="12.75" customHeight="1">
      <c r="A31" s="116" t="s">
        <v>310</v>
      </c>
      <c r="B31" s="114" t="s">
        <v>311</v>
      </c>
      <c r="C31" s="117" t="s">
        <v>299</v>
      </c>
      <c r="D31" s="114"/>
      <c r="E31" s="114" t="s">
        <v>226</v>
      </c>
      <c r="F31" s="114" t="s">
        <v>312</v>
      </c>
    </row>
    <row r="32" spans="1:12" ht="12.75" customHeight="1">
      <c r="A32" s="112" t="s">
        <v>313</v>
      </c>
      <c r="B32" s="113" t="s">
        <v>314</v>
      </c>
      <c r="C32" s="115" t="s">
        <v>299</v>
      </c>
      <c r="D32" s="113"/>
      <c r="E32" s="113" t="s">
        <v>226</v>
      </c>
      <c r="F32" s="113" t="s">
        <v>315</v>
      </c>
    </row>
    <row r="33" spans="1:6" ht="12.75" customHeight="1">
      <c r="A33" s="116" t="s">
        <v>316</v>
      </c>
      <c r="B33" s="114" t="s">
        <v>317</v>
      </c>
      <c r="C33" s="117" t="s">
        <v>299</v>
      </c>
      <c r="D33" s="114"/>
      <c r="E33" s="114" t="s">
        <v>226</v>
      </c>
      <c r="F33" s="114" t="s">
        <v>318</v>
      </c>
    </row>
    <row r="34" spans="1:6" ht="12.75" customHeight="1">
      <c r="A34" s="112" t="s">
        <v>319</v>
      </c>
      <c r="B34" s="113" t="s">
        <v>320</v>
      </c>
      <c r="C34" s="115" t="s">
        <v>321</v>
      </c>
      <c r="D34" s="113" t="s">
        <v>230</v>
      </c>
      <c r="E34" s="113" t="s">
        <v>226</v>
      </c>
      <c r="F34" s="113" t="s">
        <v>322</v>
      </c>
    </row>
    <row r="35" spans="1:6" ht="12.75" customHeight="1">
      <c r="A35" s="116" t="s">
        <v>323</v>
      </c>
      <c r="B35" s="114" t="s">
        <v>324</v>
      </c>
      <c r="C35" s="117" t="s">
        <v>321</v>
      </c>
      <c r="D35" s="114" t="s">
        <v>234</v>
      </c>
      <c r="E35" s="114" t="s">
        <v>226</v>
      </c>
      <c r="F35" s="114" t="s">
        <v>325</v>
      </c>
    </row>
    <row r="36" spans="1:6" ht="12.75" customHeight="1">
      <c r="A36" s="112" t="s">
        <v>326</v>
      </c>
      <c r="B36" s="113" t="s">
        <v>327</v>
      </c>
      <c r="C36" s="115" t="s">
        <v>328</v>
      </c>
      <c r="D36" s="113"/>
      <c r="E36" s="113" t="s">
        <v>226</v>
      </c>
      <c r="F36" s="113" t="s">
        <v>329</v>
      </c>
    </row>
    <row r="37" spans="1:6" ht="12.75" customHeight="1">
      <c r="A37" s="116" t="s">
        <v>330</v>
      </c>
      <c r="B37" s="114" t="s">
        <v>331</v>
      </c>
      <c r="C37" s="117" t="s">
        <v>328</v>
      </c>
      <c r="D37" s="114"/>
      <c r="E37" s="114" t="s">
        <v>226</v>
      </c>
      <c r="F37" s="114" t="s">
        <v>332</v>
      </c>
    </row>
    <row r="38" spans="1:6" ht="12.75" customHeight="1">
      <c r="A38" s="112" t="s">
        <v>333</v>
      </c>
      <c r="B38" s="113" t="s">
        <v>334</v>
      </c>
      <c r="C38" s="115" t="s">
        <v>328</v>
      </c>
      <c r="D38" s="113"/>
      <c r="E38" s="113" t="s">
        <v>226</v>
      </c>
      <c r="F38" s="113" t="s">
        <v>335</v>
      </c>
    </row>
    <row r="39" spans="1:6" ht="12.75" customHeight="1">
      <c r="A39" s="116" t="s">
        <v>336</v>
      </c>
      <c r="B39" s="114" t="s">
        <v>337</v>
      </c>
      <c r="C39" s="117" t="s">
        <v>338</v>
      </c>
      <c r="D39" s="114"/>
      <c r="E39" s="114" t="s">
        <v>226</v>
      </c>
      <c r="F39" s="114" t="s">
        <v>339</v>
      </c>
    </row>
    <row r="40" spans="1:6" ht="12.75" customHeight="1">
      <c r="A40" s="113" t="s">
        <v>340</v>
      </c>
      <c r="B40" s="113" t="s">
        <v>341</v>
      </c>
      <c r="C40" s="125" t="s">
        <v>338</v>
      </c>
      <c r="D40" s="113" t="s">
        <v>230</v>
      </c>
      <c r="E40" s="113" t="s">
        <v>226</v>
      </c>
      <c r="F40" s="113" t="s">
        <v>342</v>
      </c>
    </row>
    <row r="41" spans="1:6" ht="12.75" customHeight="1">
      <c r="A41" s="116" t="s">
        <v>343</v>
      </c>
      <c r="B41" s="114" t="s">
        <v>344</v>
      </c>
      <c r="C41" s="117" t="s">
        <v>338</v>
      </c>
      <c r="D41" s="114" t="s">
        <v>230</v>
      </c>
      <c r="E41" s="114" t="s">
        <v>226</v>
      </c>
      <c r="F41" s="114" t="s">
        <v>345</v>
      </c>
    </row>
    <row r="42" spans="1:6" ht="12.75" customHeight="1">
      <c r="A42" s="112" t="s">
        <v>346</v>
      </c>
      <c r="B42" s="113" t="s">
        <v>347</v>
      </c>
      <c r="C42" s="115" t="s">
        <v>338</v>
      </c>
      <c r="D42" s="113" t="s">
        <v>230</v>
      </c>
      <c r="E42" s="113" t="s">
        <v>226</v>
      </c>
      <c r="F42" s="113" t="s">
        <v>348</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CB52044A-5C0B-44A2-99D0-C1C315EC302D}"/>
</file>

<file path=customXml/itemProps18.xml><?xml version="1.0" encoding="utf-8"?>
<ds:datastoreItem xmlns:ds="http://schemas.openxmlformats.org/officeDocument/2006/customXml" ds:itemID="{425CE9BE-88F6-476A-BD8D-40E7BAC5D29B}"/>
</file>

<file path=customXml/itemProps19.xml><?xml version="1.0" encoding="utf-8"?>
<ds:datastoreItem xmlns:ds="http://schemas.openxmlformats.org/officeDocument/2006/customXml" ds:itemID="{14966E4F-347B-477B-B74C-9DAC05405806}"/>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2025-10-15T12:44:17Z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