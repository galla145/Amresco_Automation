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4BD0EF05-DB05-443D-933D-74C2269D0856}" xr6:coauthVersionLast="47" xr6:coauthVersionMax="47" xr10:uidLastSave="{D964E890-E905-4F32-8DEB-994678ECB171}"/>
  <bookViews>
    <workbookView xWindow="-108" yWindow="-108" windowWidth="23256" windowHeight="12456" tabRatio="866" firstSheet="17"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8" l="1"/>
  <c r="H10" i="28"/>
  <c r="H11" i="28"/>
  <c r="I11" i="28" s="1"/>
  <c r="F10" i="28"/>
  <c r="F11" i="28"/>
  <c r="H5" i="28"/>
  <c r="E6" i="28"/>
  <c r="E7" i="28"/>
  <c r="E8" i="28"/>
  <c r="E9" i="28"/>
  <c r="F9" i="28" s="1"/>
  <c r="E10" i="28"/>
  <c r="E11" i="28"/>
  <c r="E5" i="28"/>
  <c r="E7" i="27"/>
  <c r="F11" i="27"/>
  <c r="I11" i="27"/>
  <c r="H9" i="27"/>
  <c r="I9" i="27" s="1"/>
  <c r="H10" i="27"/>
  <c r="I10" i="27" s="1"/>
  <c r="H11" i="27"/>
  <c r="E8" i="27"/>
  <c r="F8" i="27" s="1"/>
  <c r="E9" i="27"/>
  <c r="F9" i="27" s="1"/>
  <c r="E10" i="27"/>
  <c r="F10" i="27" s="1"/>
  <c r="E11" i="27"/>
  <c r="C11" i="30"/>
  <c r="E11" i="30" s="1"/>
  <c r="F11" i="30" s="1"/>
  <c r="D11" i="30"/>
  <c r="G11" i="30"/>
  <c r="H11" i="30"/>
  <c r="I11" i="30"/>
  <c r="D11" i="29"/>
  <c r="G11" i="29"/>
  <c r="G11" i="34" s="1"/>
  <c r="C11" i="29"/>
  <c r="F10" i="26"/>
  <c r="I11" i="26"/>
  <c r="H9" i="26"/>
  <c r="I9" i="26" s="1"/>
  <c r="H10" i="26"/>
  <c r="H11" i="26"/>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G10" i="29"/>
  <c r="D10" i="29"/>
  <c r="C10" i="29"/>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G5" i="29"/>
  <c r="G6" i="29"/>
  <c r="G7" i="29"/>
  <c r="G8" i="29"/>
  <c r="G4" i="29"/>
  <c r="H9" i="28"/>
  <c r="I9" i="28" s="1"/>
  <c r="E6" i="26"/>
  <c r="G4" i="18"/>
  <c r="G5" i="18"/>
  <c r="G6" i="18"/>
  <c r="G7" i="18"/>
  <c r="E4" i="4"/>
  <c r="E5" i="72"/>
  <c r="F5" i="72" s="1"/>
  <c r="E6" i="72"/>
  <c r="F6" i="72" s="1"/>
  <c r="E7" i="72"/>
  <c r="F7" i="72" s="1"/>
  <c r="E8" i="72"/>
  <c r="F8" i="72" s="1"/>
  <c r="H11" i="29" l="1"/>
  <c r="I11" i="29" s="1"/>
  <c r="E10" i="29"/>
  <c r="F10" i="29" s="1"/>
  <c r="G10" i="34"/>
  <c r="H10" i="29"/>
  <c r="I10" i="29" s="1"/>
  <c r="E9" i="29"/>
  <c r="F9" i="29" s="1"/>
  <c r="E11" i="29"/>
  <c r="F11" i="29" s="1"/>
  <c r="I10" i="26"/>
  <c r="D11" i="34"/>
  <c r="E11" i="18"/>
  <c r="F11" i="18" s="1"/>
  <c r="I11" i="21"/>
  <c r="H11" i="18"/>
  <c r="I11" i="18" s="1"/>
  <c r="C11" i="34"/>
  <c r="E11" i="1"/>
  <c r="F11" i="1" s="1"/>
  <c r="I11" i="34"/>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E11" i="34" l="1"/>
  <c r="F11" i="34" s="1"/>
  <c r="H10" i="34"/>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F8" i="28"/>
  <c r="H7" i="28"/>
  <c r="I7" i="28" s="1"/>
  <c r="F7" i="28"/>
  <c r="H6" i="28"/>
  <c r="I6" i="28" s="1"/>
  <c r="F6" i="28"/>
  <c r="I5" i="28"/>
  <c r="F5" i="28"/>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6" i="29" l="1"/>
  <c r="F6" i="29" s="1"/>
  <c r="H6" i="29"/>
  <c r="I6" i="29" s="1"/>
  <c r="I8" i="32"/>
  <c r="H8" i="30"/>
  <c r="H7" i="29"/>
  <c r="I7" i="29" s="1"/>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<sst xmlns="http://schemas.openxmlformats.org/spreadsheetml/2006/main" count="359" uniqueCount="141">
  <si>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</si>
  <si>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</si>
  <si>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</si>
  <si>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</si>
  <si>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</si>
  <si>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</si>
  <si>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</si>
  <si>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</si>
  <si>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</si>
  <si>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</si>
  <si>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</si>
  <si>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</si>
  <si>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</si>
  <si>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</si>
  <si>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</si>
  <si>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</si>
  <si>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</si>
  <si>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</si>
  <si>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</si>
  <si>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</si>
  <si>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</si>
  <si>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</si>
  <si>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</si>
  <si>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</si>
  <si>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</si>
  <si>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</si>
  <si>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</si>
  <si>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</si>
  <si>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</si>
  <si>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</si>
  <si>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</si>
  <si>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</si>
  <si>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</si>
  <si>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</si>
  <si>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</si>
  <si>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</si>
  <si>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</si>
  <si>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</si>
  <si>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</si>
  <si>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</si>
  <si>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</si>
  <si>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</si>
  <si>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</si>
  <si>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</si>
  <si>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</si>
  <si>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</si>
  <si>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</si>
  <si>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</si>
  <si>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</si>
  <si>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</si>
  <si>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</si>
  <si>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</si>
  <si>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</si>
  <si>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</si>
  <si>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</si>
  <si>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</si>
  <si>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</si>
  <si>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</si>
  <si>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</si>
  <si>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</si>
  <si>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</si>
  <si>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</si>
  <si>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</si>
  <si>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</si>
  <si>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</si>
  <si>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</si>
  <si>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</si>
  <si>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</si>
  <si>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</si>
  <si>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</si>
  <si>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</si>
  <si>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</si>
  <si>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</si>
  <si>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</si>
  <si>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</si>
  <si>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</si>
  <si>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</si>
  <si>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</si>
  <si>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</si>
  <si>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</si>
  <si>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</si>
  <si>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</si>
  <si>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</si>
  <si>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</si>
  <si>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</si>
  <si>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</si>
  <si>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</si>
  <si>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</si>
  <si>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</si>
  <si>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</si>
  <si>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</si>
  <si>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</si>
  <si>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</si>
  <si>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</si>
  <si>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</si>
  <si>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</si>
  <si>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</si>
  <si>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1.Site was producing as expected and Actual vs forecasted delta is showing 19% due to forecatsed energy recording low possibly due to data glitch (similar event observe last years).</t>
  </si>
  <si>
    <t>1. Inverter 7 was underproducing by 5kW for whole month.
2. Inverter 7 tripped offline at 12:45 on 09/28</t>
  </si>
  <si>
    <t>1. SR107532
2. SR108700</t>
  </si>
  <si>
    <t>SR108700</t>
  </si>
  <si>
    <t>1. The meter is not reporting the full production of the inverters because the Phase C current has dropped to 3 amps since 11:45 on 09/26.</t>
  </si>
  <si>
    <t>1. SR108749</t>
  </si>
  <si>
    <t xml:space="preserve">1. Inverter 7 was derating by 10kW for whole month.
2.Meter Phase - 1 power dropping intermittently possibly due to CT heating issues, which is preventing the meter from capturing the total inverter production. On 09/10 technician  Underperformance appears linked to high vegetation. </t>
  </si>
  <si>
    <t>1. SR108729
2.	SR103834</t>
  </si>
  <si>
    <t>SR103834</t>
  </si>
  <si>
    <t>1.Site was producing as expected and Actual vs forecasted delta is showing 13% due to forecatsed energy recording low possibly due to data glitch (similar event observe last years).</t>
  </si>
  <si>
    <t>October Actual v. Expected</t>
  </si>
  <si>
    <t>October Actual v. Forecasted</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</si>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</sst>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b/>
      <sz val="11"/>
      <name val="Calibri"/>
      <family val="2"/>
      <scheme val="minor"/>
    </font>
    <font>
      <sz val="11"/>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0" fillId="46" borderId="0" xfId="0" applyFill="1"/>
    <xf numFmtId="0" fontId="0" fillId="46" borderId="0" xfId="0" applyFill="1" applyAlignment="1">
      <alignment horizontal="left" vertical="top"/>
    </xf>
    <xf numFmtId="49" fontId="37" fillId="0" borderId="0" xfId="45" applyNumberFormat="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00" TargetMode="External"/><Relationship Id="rId7" Type="http://schemas.openxmlformats.org/officeDocument/2006/relationships/hyperlink" Target="https://us3.assetplanner.com/service_request?ID=103834" TargetMode="External"/><Relationship Id="rId2" Type="http://schemas.openxmlformats.org/officeDocument/2006/relationships/hyperlink" Target="https://us3.assetplanner.com/service_request?ID=107532" TargetMode="External"/><Relationship Id="rId1" Type="http://schemas.openxmlformats.org/officeDocument/2006/relationships/hyperlink" Target="https://us3.assetplanner.com/service_request?ID=100634" TargetMode="External"/><Relationship Id="rId6" Type="http://schemas.openxmlformats.org/officeDocument/2006/relationships/hyperlink" Target="https://us3.assetplanner.com/service_request?ID=108729" TargetMode="External"/><Relationship Id="rId5" Type="http://schemas.openxmlformats.org/officeDocument/2006/relationships/hyperlink" Target="https://us3.assetplanner.com/service_request?ID=100633" TargetMode="External"/><Relationship Id="rId4" Type="http://schemas.openxmlformats.org/officeDocument/2006/relationships/hyperlink" Target="https://us3.assetplanner.com/service_request?ID=10874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D25" sqref="D25"/>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0</v>
      </c>
      <c r="E1" s="88"/>
      <c r="F1" s="88"/>
      <c r="G1" s="86" t="s">
        <v>1</v>
      </c>
      <c r="H1" s="86"/>
      <c r="I1" s="86"/>
    </row>
    <row r="2" spans="1:9" ht="19.5" customHeight="1">
      <c r="A2" s="89" t="s">
        <v>2</v>
      </c>
      <c r="B2" s="89"/>
      <c r="C2" s="5">
        <f>SUM(C4:C80)</f>
        <v>8138811.5799999973</v>
      </c>
      <c r="D2" s="5">
        <f>SUM(D4:D80)</f>
        <v>7306261.534</v>
      </c>
      <c r="E2" s="5">
        <f>C2-D2</f>
        <v>832550.0459999973</v>
      </c>
      <c r="F2" s="6">
        <f>IFERROR(E2/D2, 0)</f>
        <v>0.11395021135305521</v>
      </c>
      <c r="G2" s="5">
        <f>SUM(G4:G80)</f>
        <v>8645918.5480000004</v>
      </c>
      <c r="H2" s="7">
        <f>C2-G2</f>
        <v>-507106.96800000314</v>
      </c>
      <c r="I2" s="6">
        <f>IFERROR(H2/G2, 0)</f>
        <v>-5.8652757967203914E-2</v>
      </c>
    </row>
    <row r="3" spans="1:9" ht="14.25" customHeight="1">
      <c r="A3" s="8" t="s">
        <v>3</v>
      </c>
      <c r="B3" s="8" t="s">
        <v>4</v>
      </c>
      <c r="C3" s="21" t="s">
        <v>5</v>
      </c>
      <c r="D3" s="33" t="s">
        <v>6</v>
      </c>
      <c r="E3" s="33" t="s">
        <v>7</v>
      </c>
      <c r="F3" s="34" t="s">
        <v>8</v>
      </c>
      <c r="G3" s="35" t="s">
        <v>9</v>
      </c>
      <c r="H3" s="36" t="s">
        <v>7</v>
      </c>
      <c r="I3" s="37" t="s">
        <v>8</v>
      </c>
    </row>
    <row r="4" spans="1:9" ht="15.6">
      <c r="A4" s="49" t="str" cm="1">
        <f t="array" ref="A4:A11">Sites[Site]</f>
        <v>Barre - 56 Bridge St</v>
      </c>
      <c r="B4" s="30" t="str" cm="1">
        <f t="array" ref="B4:B11">Sites[State]</f>
        <v>VT</v>
      </c>
      <c r="C4" s="22">
        <f>SUM('1st Qtr'!C4, '2nd Qtr'!C4, '3rd Qtr'!C4, '4th Qtr'!C4)</f>
        <v>564765.5</v>
      </c>
      <c r="D4" s="12">
        <f>SUM('1st Qtr'!D4, '2nd Qtr'!D4, '3rd Qtr'!D4, '4th Qtr'!D4)</f>
        <v>570980.82300000009</v>
      </c>
      <c r="E4" s="12">
        <f>IF(AND(ISNUMBER(C4),ISNUMBER(D4)), C4-D4, "")</f>
        <v>-6215.3230000000913</v>
      </c>
      <c r="F4" s="13">
        <f>IFERROR(E4/D4, "")</f>
        <v>-1.0885344567868421E-2</v>
      </c>
      <c r="G4" s="14">
        <f>SUM('1st Qtr'!G4, '2nd Qtr'!G4, '3rd Qtr'!G4, '4th Qtr'!G4)</f>
        <v>587211.81400000001</v>
      </c>
      <c r="H4" s="14">
        <f>SUM('1st Qtr'!H4, '2nd Qtr'!H4, '3rd Qtr'!H4, '4th Qtr'!H4)</f>
        <v>-22446.314000000013</v>
      </c>
      <c r="I4" s="15">
        <f>IFERROR(H4/G4, "")</f>
        <v>-3.822524251870725E-2</v>
      </c>
    </row>
    <row r="5" spans="1:9" ht="15.6">
      <c r="A5" s="50" t="str">
        <v>Barre - 181 Allen St</v>
      </c>
      <c r="B5" s="28" t="str">
        <v>VT</v>
      </c>
      <c r="C5" s="16">
        <f>SUM('1st Qtr'!C5, '2nd Qtr'!C5, '3rd Qtr'!C5, '4th Qtr'!C5)</f>
        <v>550829</v>
      </c>
      <c r="D5" s="16">
        <f>SUM('1st Qtr'!D5, '2nd Qtr'!D5, '3rd Qtr'!D5, '4th Qtr'!D5)</f>
        <v>563997.08499999996</v>
      </c>
      <c r="E5" s="16">
        <f t="shared" ref="E5:E10" si="0">IF(AND(ISNUMBER(C5),ISNUMBER(D5)), C5-D5, "")</f>
        <v>-13168.084999999963</v>
      </c>
      <c r="F5" s="17">
        <f>IFERROR(E5/D5, "")</f>
        <v>-2.3347789111356779E-2</v>
      </c>
      <c r="G5" s="18">
        <f>SUM('1st Qtr'!G5, '2nd Qtr'!G5, '3rd Qtr'!G5, '4th Qtr'!G5)</f>
        <v>546599.21600000001</v>
      </c>
      <c r="H5" s="18">
        <f>SUM(Jan!H5, Feb!H5, Mar!H5)</f>
        <v>0</v>
      </c>
      <c r="I5" s="17">
        <f>IFERROR(H5/G5, "")</f>
        <v>0</v>
      </c>
    </row>
    <row r="6" spans="1:9" ht="15.6">
      <c r="A6" s="51" t="str">
        <v>West Greenwich - 200 Robin Hollow Rd</v>
      </c>
      <c r="B6" s="26" t="str">
        <v>RI</v>
      </c>
      <c r="C6" s="22">
        <f>SUM('1st Qtr'!C6, '2nd Qtr'!C6, '3rd Qtr'!C6, '4th Qtr'!C6)</f>
        <v>3065001.0799999973</v>
      </c>
      <c r="D6" s="12">
        <f>SUM('1st Qtr'!D6, '2nd Qtr'!D6, '3rd Qtr'!D6, '4th Qtr'!D6)</f>
        <v>4012887.7390000001</v>
      </c>
      <c r="E6" s="12">
        <f t="shared" si="0"/>
        <v>-947886.65900000278</v>
      </c>
      <c r="F6" s="13">
        <f t="shared" ref="F6:F10" si="1">IFERROR(E6/D6, "")</f>
        <v>-0.23621060957868045</v>
      </c>
      <c r="G6" s="14">
        <f>SUM('1st Qtr'!G6, '2nd Qtr'!G6, '3rd Qtr'!G6, '4th Qtr'!G6)</f>
        <v>4199346.7699999996</v>
      </c>
      <c r="H6" s="14">
        <f>SUM('1st Qtr'!H6, '2nd Qtr'!H6, '3rd Qtr'!H6, '4th Qtr'!H6)</f>
        <v>-1134345.690000003</v>
      </c>
      <c r="I6" s="15">
        <f t="shared" ref="I6:I10" si="2">IFERROR(H6/G6, "")</f>
        <v>-0.27012431983558316</v>
      </c>
    </row>
    <row r="7" spans="1:9" ht="15.6">
      <c r="A7" s="50" t="str">
        <v>Rockingham - 25 Jackson Rd</v>
      </c>
      <c r="B7" s="28" t="str">
        <v>VT</v>
      </c>
      <c r="C7" s="16">
        <f>SUM('1st Qtr'!C7, '2nd Qtr'!C7, '3rd Qtr'!C7, '4th Qtr'!C7)</f>
        <v>488752</v>
      </c>
      <c r="D7" s="16">
        <f>SUM('1st Qtr'!D7, '2nd Qtr'!D7, '3rd Qtr'!D7, '4th Qtr'!D7)</f>
        <v>543117</v>
      </c>
      <c r="E7" s="16">
        <f t="shared" si="0"/>
        <v>-54365</v>
      </c>
      <c r="F7" s="17">
        <f t="shared" si="1"/>
        <v>-0.10009813723378204</v>
      </c>
      <c r="G7" s="18">
        <f>SUM('1st Qtr'!G7, '2nd Qtr'!G7, '3rd Qtr'!G7, '4th Qtr'!G7)</f>
        <v>578597.90100000007</v>
      </c>
      <c r="H7" s="18">
        <f>SUM(Jan!H7, Feb!H7, Mar!H7)</f>
        <v>0</v>
      </c>
      <c r="I7" s="17">
        <f t="shared" si="2"/>
        <v>0</v>
      </c>
    </row>
    <row r="8" spans="1:9" ht="15.6">
      <c r="A8" s="51" t="str">
        <v>East Hardwick - 55 Arsene Ave</v>
      </c>
      <c r="B8" s="26" t="str">
        <v>VT</v>
      </c>
      <c r="C8" s="22">
        <f>SUM('1st Qtr'!C8, '2nd Qtr'!C8, '3rd Qtr'!C8, '4th Qtr'!C8)</f>
        <v>517599.5</v>
      </c>
      <c r="D8" s="12">
        <f>SUM('1st Qtr'!D8, '2nd Qtr'!D8, '3rd Qtr'!D8, '4th Qtr'!D8)</f>
        <v>537625.38199999998</v>
      </c>
      <c r="E8" s="12">
        <f t="shared" si="0"/>
        <v>-20025.881999999983</v>
      </c>
      <c r="F8" s="13">
        <f t="shared" si="1"/>
        <v>-3.7248765907410199E-2</v>
      </c>
      <c r="G8" s="14">
        <f>SUM('1st Qtr'!G8, '2nd Qtr'!G8, '3rd Qtr'!G8, '4th Qtr'!G8)</f>
        <v>527855.04200000002</v>
      </c>
      <c r="H8" s="14">
        <f>SUM('1st Qtr'!H8, '2nd Qtr'!H8, '3rd Qtr'!H8, '4th Qtr'!H8)</f>
        <v>-10255.541999999987</v>
      </c>
      <c r="I8" s="15">
        <f t="shared" si="2"/>
        <v>-1.9428708990147311E-2</v>
      </c>
    </row>
    <row r="9" spans="1:9" ht="15.6">
      <c r="A9" s="50" t="str">
        <v>Red Hook - 44 MM Ham Memorial Firehouse Ln</v>
      </c>
      <c r="B9" s="28" t="str">
        <v>NY</v>
      </c>
      <c r="C9" s="16">
        <f>SUM('1st Qtr'!C9, '2nd Qtr'!C9, '3rd Qtr'!C9, '4th Qtr'!C9)</f>
        <v>1875881</v>
      </c>
      <c r="D9" s="16">
        <f>SUM('1st Qtr'!D9, '2nd Qtr'!D9, '3rd Qtr'!D9, '4th Qtr'!D9)</f>
        <v>0</v>
      </c>
      <c r="E9" s="16">
        <f t="shared" si="0"/>
        <v>1875881</v>
      </c>
      <c r="F9" s="17" t="str">
        <f t="shared" si="1"/>
        <v/>
      </c>
      <c r="G9" s="18">
        <f>SUM('1st Qtr'!G9, '2nd Qtr'!G9, '3rd Qtr'!G9, '4th Qtr'!G9)</f>
        <v>1625912.8350000002</v>
      </c>
      <c r="H9" s="18">
        <f>SUM(Jan!H9, Feb!H9, Mar!H9)</f>
        <v>0</v>
      </c>
      <c r="I9" s="17">
        <f t="shared" si="2"/>
        <v>0</v>
      </c>
    </row>
    <row r="10" spans="1:9" ht="15.6">
      <c r="A10" s="51" t="str">
        <v>Millbrook - Bacon Triangle (Cary Institute)</v>
      </c>
      <c r="B10" s="26" t="str">
        <v>NY</v>
      </c>
      <c r="C10" s="22">
        <f>SUM('1st Qtr'!C10, '2nd Qtr'!C10, '3rd Qtr'!C10, '4th Qtr'!C10)</f>
        <v>512046</v>
      </c>
      <c r="D10" s="12">
        <f>SUM('1st Qtr'!D10, '2nd Qtr'!D10, '3rd Qtr'!D10, '4th Qtr'!D10)</f>
        <v>512011.15</v>
      </c>
      <c r="E10" s="12">
        <f t="shared" si="0"/>
        <v>34.849999999976717</v>
      </c>
      <c r="F10" s="13">
        <f t="shared" si="1"/>
        <v>6.8064923976707758E-5</v>
      </c>
      <c r="G10" s="14">
        <f>SUM('1st Qtr'!G10, '2nd Qtr'!G10, '3rd Qtr'!G10, '4th Qtr'!G10)</f>
        <v>0</v>
      </c>
      <c r="H10" s="14">
        <f>SUM('1st Qtr'!H10, '2nd Qtr'!H10, '3rd Qtr'!H10, '4th Qtr'!H10)</f>
        <v>252969</v>
      </c>
      <c r="I10" s="15" t="str">
        <f t="shared" si="2"/>
        <v/>
      </c>
    </row>
    <row r="11" spans="1:9" ht="15.6">
      <c r="A11" s="50" t="str">
        <v>Rockingham - 2029 Rockingham Rd</v>
      </c>
      <c r="B11" s="28" t="str">
        <v>VT</v>
      </c>
      <c r="C11" s="16">
        <f>SUM('1st Qtr'!C11, '2nd Qtr'!C11, '3rd Qtr'!C11, '4th Qtr'!C11)</f>
        <v>563937.5</v>
      </c>
      <c r="D11" s="16">
        <f>SUM('1st Qtr'!D11, '2nd Qtr'!D11, '3rd Qtr'!D11, '4th Qtr'!D11)</f>
        <v>565642.35499999998</v>
      </c>
      <c r="E11" s="16">
        <f>IF(AND(ISNUMBER(C11),ISNUMBER(D11)), C11-D11, "")</f>
        <v>-1704.8549999999814</v>
      </c>
      <c r="F11" s="72">
        <f>IFERROR(E11/D11, "")</f>
        <v>-3.0140158086287253E-3</v>
      </c>
      <c r="G11" s="73">
        <f>SUM('1st Qtr'!G11, '2nd Qtr'!G11, '3rd Qtr'!G11, '4th Qtr'!G11)</f>
        <v>580394.97</v>
      </c>
      <c r="H11" s="73">
        <f>SUM(Jan!H11, Feb!H11, Mar!H11)</f>
        <v>0</v>
      </c>
      <c r="I11" s="72">
        <f>IFERROR(H11/G11, "")</f>
        <v>0</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10</v>
      </c>
      <c r="E1" s="88"/>
      <c r="F1" s="88"/>
      <c r="G1" s="86" t="s">
        <v>11</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7" sqref="H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12</v>
      </c>
      <c r="E1" s="88"/>
      <c r="F1" s="88"/>
      <c r="G1" s="86" t="s">
        <v>13</v>
      </c>
      <c r="H1" s="86"/>
      <c r="I1" s="86"/>
    </row>
    <row r="2" spans="1:9" ht="19.5" customHeight="1">
      <c r="A2" s="89" t="s">
        <v>2</v>
      </c>
      <c r="B2" s="89"/>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14</v>
      </c>
      <c r="E1" s="88"/>
      <c r="F1" s="88"/>
      <c r="G1" s="86" t="s">
        <v>15</v>
      </c>
      <c r="H1" s="86"/>
      <c r="I1" s="86"/>
    </row>
    <row r="2" spans="1:9" ht="19.5" customHeight="1">
      <c r="A2" s="89" t="s">
        <v>2</v>
      </c>
      <c r="B2" s="89"/>
      <c r="C2" s="5">
        <f>SUM(C4:C79)</f>
        <v>4313564.2949999971</v>
      </c>
      <c r="D2" s="5">
        <f>SUM(D4:D79)</f>
        <v>3811864.4920000001</v>
      </c>
      <c r="E2" s="5">
        <f>C2-D2</f>
        <v>501699.80299999705</v>
      </c>
      <c r="F2" s="6">
        <f>IFERROR(E2/D2, 0)</f>
        <v>0.13161532999216516</v>
      </c>
      <c r="G2" s="5">
        <f>SUM(G4:G79)</f>
        <v>4568899.5859999992</v>
      </c>
      <c r="H2" s="7">
        <f>C2-G2</f>
        <v>-255335.29100000206</v>
      </c>
      <c r="I2" s="6">
        <f>IFERROR(H2/G2, 0)</f>
        <v>-5.5885511641008544E-2</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SUM(Jul!C4, Aug!C4, Sep!C4)</f>
        <v>307412.125</v>
      </c>
      <c r="D4" s="12">
        <f>SUM(Jul!D4, Aug!D4, Sep!D4)</f>
        <v>310707.03300000005</v>
      </c>
      <c r="E4" s="12">
        <f>IF(AND(ISNUMBER(C4),ISNUMBER(D4)), C4-D4, "")</f>
        <v>-3294.908000000054</v>
      </c>
      <c r="F4" s="13">
        <f>IFERROR(E4/D4, "")</f>
        <v>-1.0604549141312978E-2</v>
      </c>
      <c r="G4" s="14">
        <f>SUM(Jul!G4,Aug!G4,Sep!G4)</f>
        <v>312500.364</v>
      </c>
      <c r="H4" s="14">
        <f>SUM(Jul!H4, Aug!H4, Sep!H4)</f>
        <v>-5088.2390000000014</v>
      </c>
      <c r="I4" s="15">
        <f t="shared" ref="I4:I11" si="0">IFERROR(H4/G4, "")</f>
        <v>-1.6282345834323576E-2</v>
      </c>
    </row>
    <row r="5" spans="1:9" ht="15.6">
      <c r="A5" s="47" t="str">
        <v>Barre - 181 Allen St</v>
      </c>
      <c r="B5" s="10" t="str">
        <v>VT</v>
      </c>
      <c r="C5" s="11">
        <f>SUM(Jul!C5, Aug!C5, Sep!C5)</f>
        <v>297868</v>
      </c>
      <c r="D5" s="16">
        <f>SUM(Jul!D5, Aug!D5, Sep!D5)</f>
        <v>307592.41499999998</v>
      </c>
      <c r="E5" s="16">
        <f t="shared" ref="E5:E10" si="1">IF(AND(ISNUMBER(C5),ISNUMBER(D5)), C5-D5, "")</f>
        <v>-9724.414999999979</v>
      </c>
      <c r="F5" s="17">
        <f>IFERROR(E5/D5, "")</f>
        <v>-3.1614612473457711E-2</v>
      </c>
      <c r="G5" s="16">
        <f>SUM(Jul!G5,Aug!G5,Sep!G5)</f>
        <v>271335.33600000001</v>
      </c>
      <c r="H5" s="18">
        <f>SUM(Jul!H5, Aug!H5, Sep!H5)</f>
        <v>26532.664000000004</v>
      </c>
      <c r="I5" s="17">
        <f t="shared" si="0"/>
        <v>9.7785509219484784E-2</v>
      </c>
    </row>
    <row r="6" spans="1:9" ht="15.6">
      <c r="A6" s="46" t="str">
        <v>West Greenwich - 200 Robin Hollow Rd</v>
      </c>
      <c r="B6" s="9" t="str">
        <v>RI</v>
      </c>
      <c r="C6" s="22">
        <f>SUM(Jul!C6, Aug!C6, Sep!C6)</f>
        <v>1571509.9199999971</v>
      </c>
      <c r="D6" s="12">
        <f>SUM(Jul!D6, Aug!D6, Sep!D6)</f>
        <v>2093367.139</v>
      </c>
      <c r="E6" s="12">
        <f t="shared" si="1"/>
        <v>-521857.21900000283</v>
      </c>
      <c r="F6" s="13">
        <f t="shared" ref="F6:F10" si="2">IFERROR(E6/D6, "")</f>
        <v>-0.24929082399243815</v>
      </c>
      <c r="G6" s="14">
        <f>SUM(Jul!G6,Aug!G6,Sep!G6)</f>
        <v>2038142.77</v>
      </c>
      <c r="H6" s="14">
        <f>SUM(Jul!H6, Aug!H6, Sep!H6)</f>
        <v>-466632.850000003</v>
      </c>
      <c r="I6" s="15">
        <f t="shared" si="0"/>
        <v>-0.22895003081653745</v>
      </c>
    </row>
    <row r="7" spans="1:9" ht="15.6">
      <c r="A7" s="47" t="str">
        <v>Rockingham - 25 Jackson Rd</v>
      </c>
      <c r="B7" s="10" t="str">
        <v>VT</v>
      </c>
      <c r="C7" s="11">
        <f>SUM(Jul!C7, Aug!C7, Sep!C7)</f>
        <v>267546.5</v>
      </c>
      <c r="D7" s="16">
        <f>SUM(Jul!D7, Aug!D7, Sep!D7)</f>
        <v>268114</v>
      </c>
      <c r="E7" s="16">
        <f t="shared" si="1"/>
        <v>-567.5</v>
      </c>
      <c r="F7" s="17">
        <f t="shared" si="2"/>
        <v>-2.1166369529379294E-3</v>
      </c>
      <c r="G7" s="16">
        <f>SUM(Jul!G7,Aug!G7,Sep!G7)</f>
        <v>315670.38</v>
      </c>
      <c r="H7" s="18">
        <f>SUM(Jul!H7, Aug!H7, Sep!H7)</f>
        <v>-48123.87999999999</v>
      </c>
      <c r="I7" s="17">
        <f t="shared" si="0"/>
        <v>-0.15244978005221774</v>
      </c>
    </row>
    <row r="8" spans="1:9" ht="15.6">
      <c r="A8" s="46" t="str">
        <v>East Hardwick - 55 Arsene Ave</v>
      </c>
      <c r="B8" s="9" t="str">
        <v>VT</v>
      </c>
      <c r="C8" s="22">
        <f>SUM(Jul!C8, Aug!C8, Sep!C8)</f>
        <v>284527.5</v>
      </c>
      <c r="D8" s="12">
        <f>SUM(Jul!D8, Aug!D8, Sep!D8)</f>
        <v>262488.19999999995</v>
      </c>
      <c r="E8" s="12">
        <f t="shared" si="1"/>
        <v>22039.300000000047</v>
      </c>
      <c r="F8" s="13">
        <f t="shared" si="2"/>
        <v>8.3963012432559062E-2</v>
      </c>
      <c r="G8" s="14">
        <f>SUM(Jul!G8,Aug!G8,Sep!G8)</f>
        <v>288314.72399999999</v>
      </c>
      <c r="H8" s="14">
        <f>SUM(Jul!H8, Aug!H8, Sep!H8)</f>
        <v>-3787.2239999999874</v>
      </c>
      <c r="I8" s="15">
        <f t="shared" si="0"/>
        <v>-1.3135728718454169E-2</v>
      </c>
    </row>
    <row r="9" spans="1:9" ht="15.6">
      <c r="A9" s="47" t="str">
        <v>Red Hook - 44 MM Ham Memorial Firehouse Ln</v>
      </c>
      <c r="B9" s="10" t="str">
        <v>NY</v>
      </c>
      <c r="C9" s="11">
        <f>SUM(Jul!C9, Aug!C9, Sep!C9)</f>
        <v>1020235</v>
      </c>
      <c r="D9" s="16">
        <f>SUM(Jul!D9, Aug!D9, Sep!D9)</f>
        <v>0</v>
      </c>
      <c r="E9" s="16">
        <f t="shared" si="1"/>
        <v>1020235</v>
      </c>
      <c r="F9" s="17" t="str">
        <f t="shared" si="2"/>
        <v/>
      </c>
      <c r="G9" s="16">
        <f>SUM(Jul!G9,Aug!G9,Sep!G9)</f>
        <v>1055124.5320000001</v>
      </c>
      <c r="H9" s="18">
        <f>SUM(Jul!H9, Aug!H9, Sep!H9)</f>
        <v>-34889.532000000007</v>
      </c>
      <c r="I9" s="17">
        <f t="shared" si="0"/>
        <v>-3.306674325339258E-2</v>
      </c>
    </row>
    <row r="10" spans="1:9" ht="15.6">
      <c r="A10" s="46" t="str">
        <v>Millbrook - Bacon Triangle (Cary Institute)</v>
      </c>
      <c r="B10" s="9" t="str">
        <v>NY</v>
      </c>
      <c r="C10" s="22">
        <f>SUM(Jul!C10, Aug!C10, Sep!C10)</f>
        <v>259077</v>
      </c>
      <c r="D10" s="12">
        <f>SUM(Jul!D10, Aug!D10, Sep!D10)</f>
        <v>261026.25999999998</v>
      </c>
      <c r="E10" s="16">
        <f t="shared" si="1"/>
        <v>-1949.2599999999802</v>
      </c>
      <c r="F10" s="13">
        <f t="shared" si="2"/>
        <v>-7.4676777731098026E-3</v>
      </c>
      <c r="G10" s="14">
        <f>SUM(Jul!G10,Aug!G10,Sep!G10)</f>
        <v>0</v>
      </c>
      <c r="H10" s="14">
        <f>SUM(Jul!H10, Aug!H10, Sep!H10)</f>
        <v>0</v>
      </c>
      <c r="I10" s="15" t="str">
        <f t="shared" si="0"/>
        <v/>
      </c>
    </row>
    <row r="11" spans="1:9" ht="15.6">
      <c r="A11" s="47" t="str">
        <v>Rockingham - 2029 Rockingham Rd</v>
      </c>
      <c r="B11" s="10" t="str">
        <v>VT</v>
      </c>
      <c r="C11" s="71">
        <f>SUM(Jul!C11, Aug!C11, Sep!C11)</f>
        <v>305388.25</v>
      </c>
      <c r="D11" s="16">
        <f>SUM(Jul!D11, Aug!D11, Sep!D11)</f>
        <v>308569.44500000001</v>
      </c>
      <c r="E11" s="16">
        <f>IF(AND(ISNUMBER(C11),ISNUMBER(D11)), C11-D11, "")</f>
        <v>-3181.195000000007</v>
      </c>
      <c r="F11" s="72">
        <f>IFERROR(E11/D11, "")</f>
        <v>-1.0309494512653406E-2</v>
      </c>
      <c r="G11" s="16">
        <f>SUM(Jul!G11,Aug!G11,Sep!G11)</f>
        <v>287811.48</v>
      </c>
      <c r="H11" s="73">
        <f>SUM(Jul!H11, Aug!H11, Sep!H11)</f>
        <v>17576.76999999999</v>
      </c>
      <c r="I11" s="17">
        <f t="shared" si="0"/>
        <v>6.1070427072610137E-2</v>
      </c>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16</v>
      </c>
      <c r="E1" s="88"/>
      <c r="F1" s="88"/>
      <c r="G1" s="86" t="s">
        <v>17</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Barre - 181 Allen St</v>
      </c>
      <c r="B5" s="10" t="str">
        <v>VT</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West Greenwich - 200 Robin Hollow Rd</v>
      </c>
      <c r="B6" s="9" t="str">
        <v>RI</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Rockingham - 25 Jackson Rd</v>
      </c>
      <c r="B7" s="10" t="str">
        <v>VT</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East Hardwick - 55 Arsene Ave</v>
      </c>
      <c r="B8" s="9" t="str">
        <v>VT</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Red Hook - 44 MM Ham Memorial Firehouse Ln</v>
      </c>
      <c r="B9" s="10" t="str">
        <v>NY</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Millbrook - Bacon Triangle (Cary Institute)</v>
      </c>
      <c r="B10" s="9" t="str">
        <v>NY</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5.6">
      <c r="A11" s="47" t="str">
        <v>Rockingham - 2029 Rockingham Rd</v>
      </c>
      <c r="B11" s="10" t="str">
        <v>VT</v>
      </c>
      <c r="C11" s="71">
        <f>SUM(Oct!C11, Nov!C11, Dec!C11)</f>
        <v>0</v>
      </c>
      <c r="D11" s="16">
        <f>SUM(Oct!D11, Nov!D11, Dec!D11)</f>
        <v>0</v>
      </c>
      <c r="E11" s="16">
        <f>IF(AND(ISNUMBER(C11),ISNUMBER(D11)), C11-D11, "")</f>
        <v>0</v>
      </c>
      <c r="F11" s="72" t="str">
        <f>IFERROR(E11/D11, "")</f>
        <v/>
      </c>
      <c r="G11" s="16">
        <f>SUM(Oct!G11,Nov!G11,Dec!G11)</f>
        <v>0</v>
      </c>
      <c r="H11" s="73">
        <f>SUM(Oct!H11,Nov!H11,Dec!H11)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7" t="str" cm="1">
        <f t="array" ref="A1">portfolio</f>
        <v>Kendall Sustainable Infrastructure, LLC</v>
      </c>
      <c r="B1" s="87"/>
      <c r="C1" s="87"/>
      <c r="D1" s="88" t="s">
        <v>18</v>
      </c>
      <c r="E1" s="88"/>
      <c r="F1" s="88"/>
      <c r="G1" s="86" t="s">
        <v>19</v>
      </c>
      <c r="H1" s="86"/>
      <c r="I1" s="86"/>
      <c r="J1" s="4"/>
      <c r="K1" s="4"/>
    </row>
    <row r="2" spans="1:13" ht="19.5" customHeight="1">
      <c r="A2" s="89" t="s">
        <v>2</v>
      </c>
      <c r="B2" s="89"/>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Kendall Sustainable Infrastructure, LLC</v>
      </c>
      <c r="B1" s="87"/>
      <c r="C1" s="87"/>
      <c r="D1" s="88" t="s">
        <v>22</v>
      </c>
      <c r="E1" s="88"/>
      <c r="F1" s="88"/>
      <c r="G1" s="86" t="s">
        <v>23</v>
      </c>
      <c r="H1" s="86"/>
      <c r="I1" s="86"/>
      <c r="J1" s="4"/>
      <c r="K1" s="4"/>
    </row>
    <row r="2" spans="1:14" ht="19.5" customHeight="1">
      <c r="A2" s="89" t="s">
        <v>2</v>
      </c>
      <c r="B2" s="89"/>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7" t="str" cm="1">
        <f t="array" ref="A1">portfolio</f>
        <v>Kendall Sustainable Infrastructure, LLC</v>
      </c>
      <c r="B1" s="87"/>
      <c r="C1" s="87"/>
      <c r="D1" s="88" t="s">
        <v>24</v>
      </c>
      <c r="E1" s="88"/>
      <c r="F1" s="88"/>
      <c r="G1" s="86" t="s">
        <v>25</v>
      </c>
      <c r="H1" s="86"/>
      <c r="I1" s="86"/>
      <c r="J1" s="4"/>
      <c r="K1" s="4"/>
    </row>
    <row r="2" spans="1:17" ht="19.5" customHeight="1">
      <c r="A2" s="89" t="s">
        <v>2</v>
      </c>
      <c r="B2" s="89"/>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7" t="str" cm="1">
        <f t="array" ref="A1">portfolio</f>
        <v>Kendall Sustainable Infrastructure, LLC</v>
      </c>
      <c r="B1" s="87"/>
      <c r="C1" s="87"/>
      <c r="D1" s="88" t="s">
        <v>26</v>
      </c>
      <c r="E1" s="88"/>
      <c r="F1" s="88"/>
      <c r="G1" s="86" t="s">
        <v>27</v>
      </c>
      <c r="H1" s="86"/>
      <c r="I1" s="86"/>
      <c r="J1" s="4"/>
      <c r="K1" s="4"/>
    </row>
    <row r="2" spans="1:15" ht="19.5" customHeight="1">
      <c r="A2" s="89" t="s">
        <v>2</v>
      </c>
      <c r="B2" s="89"/>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c r="B12" s="31"/>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87" t="str" cm="1">
        <f t="array" ref="A1">portfolio</f>
        <v>Kendall Sustainable Infrastructure, LLC</v>
      </c>
      <c r="B1" s="87"/>
      <c r="C1" s="87"/>
      <c r="D1" s="88" t="s">
        <v>39</v>
      </c>
      <c r="E1" s="88"/>
      <c r="F1" s="88"/>
      <c r="G1" s="86" t="s">
        <v>40</v>
      </c>
      <c r="H1" s="86"/>
      <c r="I1" s="86"/>
      <c r="J1" s="4"/>
      <c r="K1" s="78"/>
    </row>
    <row r="2" spans="1:14" ht="19.5" customHeight="1">
      <c r="A2" s="89" t="s">
        <v>2</v>
      </c>
      <c r="B2" s="89"/>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86.4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4" activePane="bottomRight" state="frozen"/>
      <selection pane="bottomRight" activeCell="F6" sqref="F6"/>
      <selection pane="bottomLeft" activeCell="J21" sqref="J21"/>
      <selection pane="topRight" activeCell="J21" sqref="J21"/>
    </sheetView>
  </sheetViews>
  <sheetFormatPr defaultRowHeight="13.9"/>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87" t="str" cm="1">
        <f t="array" ref="A1">portfolio</f>
        <v>Kendall Sustainable Infrastructure, LLC</v>
      </c>
      <c r="B1" s="87"/>
      <c r="C1" s="87"/>
      <c r="D1" s="88" t="s">
        <v>53</v>
      </c>
      <c r="E1" s="88"/>
      <c r="F1" s="88"/>
      <c r="G1" s="86" t="s">
        <v>54</v>
      </c>
      <c r="H1" s="86"/>
      <c r="I1" s="86"/>
      <c r="J1" s="4"/>
      <c r="K1" s="4"/>
    </row>
    <row r="2" spans="1:13" ht="19.5" customHeight="1">
      <c r="A2" s="89" t="s">
        <v>2</v>
      </c>
      <c r="B2" s="89"/>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70"/>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tabSelected="1" zoomScale="60" zoomScaleNormal="60" workbookViewId="0">
      <pane xSplit="2" ySplit="3" topLeftCell="C7" activePane="bottomRight" state="frozen"/>
      <selection pane="bottomRight" activeCell="L7" sqref="L7"/>
      <selection pane="bottomLeft" activeCell="J21" sqref="J21"/>
      <selection pane="topRight" activeCell="J21" sqref="J21"/>
    </sheetView>
  </sheetViews>
  <sheetFormatPr defaultRowHeight="13.9"/>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87" t="str" cm="1">
        <f t="array" ref="A1">portfolio</f>
        <v>Kendall Sustainable Infrastructure, LLC</v>
      </c>
      <c r="B1" s="87"/>
      <c r="C1" s="87"/>
      <c r="D1" s="88" t="s">
        <v>64</v>
      </c>
      <c r="E1" s="88"/>
      <c r="F1" s="88"/>
      <c r="G1" s="86" t="s">
        <v>65</v>
      </c>
      <c r="H1" s="86"/>
      <c r="I1" s="86"/>
      <c r="J1" s="4"/>
      <c r="K1" s="4"/>
    </row>
    <row r="2" spans="1:15" ht="19.5" customHeight="1">
      <c r="A2" s="89" t="s">
        <v>2</v>
      </c>
      <c r="B2" s="89"/>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1">Sites[Site]</f>
        <v>Barre - 56 Bridge St</v>
      </c>
      <c r="B4" s="27" t="str" cm="1">
        <f t="array" ref="B4:B11">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6">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28.9">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57.6">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57.6">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6">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zoomScale="70" zoomScaleNormal="70" workbookViewId="0">
      <pane xSplit="2" ySplit="3" topLeftCell="C4" activePane="bottomRight" state="frozen"/>
      <selection pane="bottomRight" activeCell="F18" sqref="F18"/>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7" t="str" cm="1">
        <f t="array" ref="A1">portfolio</f>
        <v>Kendall Sustainable Infrastructure, LLC</v>
      </c>
      <c r="B1" s="87"/>
      <c r="C1" s="87"/>
      <c r="D1" s="88" t="s">
        <v>83</v>
      </c>
      <c r="E1" s="88"/>
      <c r="F1" s="88"/>
      <c r="G1" s="86" t="s">
        <v>84</v>
      </c>
      <c r="H1" s="86"/>
      <c r="I1" s="86"/>
      <c r="J1" s="4"/>
      <c r="K1" s="4"/>
    </row>
    <row r="2" spans="1:15" ht="19.5" customHeight="1">
      <c r="A2" s="89" t="s">
        <v>2</v>
      </c>
      <c r="B2" s="89"/>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1">Sites[Site]</f>
        <v>Barre - 56 Bridge St</v>
      </c>
      <c r="B4" s="27" t="str" cm="1">
        <f t="array" ref="B4:B11">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6">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3.1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6">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57.6">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4"/>
      <c r="N9" s="69"/>
      <c r="O9" s="69"/>
    </row>
    <row r="10" spans="1:15" ht="57.6">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6">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c r="M13" s="83"/>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zoomScale="70" zoomScaleNormal="70" workbookViewId="0">
      <pane xSplit="2" ySplit="3" topLeftCell="C4" activePane="bottomRight" state="frozen"/>
      <selection pane="bottomRight" activeCell="A7" sqref="A7"/>
      <selection pane="bottomLeft" activeCell="J21" sqref="J21"/>
      <selection pane="topRight" activeCell="J21" sqref="J21"/>
    </sheetView>
  </sheetViews>
  <sheetFormatPr defaultRowHeight="13.9"/>
  <cols>
    <col min="1" max="1" width="42.425781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87" t="str" cm="1">
        <f t="array" ref="A1">portfolio</f>
        <v>Kendall Sustainable Infrastructure, LLC</v>
      </c>
      <c r="B1" s="87"/>
      <c r="C1" s="87"/>
      <c r="D1" s="88" t="s">
        <v>95</v>
      </c>
      <c r="E1" s="88"/>
      <c r="F1" s="88"/>
      <c r="G1" s="86" t="s">
        <v>96</v>
      </c>
      <c r="H1" s="86"/>
      <c r="I1" s="86"/>
      <c r="J1" s="4"/>
      <c r="K1" s="4"/>
    </row>
    <row r="2" spans="1:12" ht="19.5" customHeight="1">
      <c r="A2" s="89" t="s">
        <v>2</v>
      </c>
      <c r="B2" s="89"/>
      <c r="C2" s="5">
        <f>SUM(C4:C80)</f>
        <v>1408603.3</v>
      </c>
      <c r="D2" s="5">
        <f>SUM(D4:D80)</f>
        <v>1091304.0419999999</v>
      </c>
      <c r="E2" s="5">
        <f>C2-D2</f>
        <v>317299.25800000015</v>
      </c>
      <c r="F2" s="6">
        <f>IFERROR(E2/D2, 0)</f>
        <v>0.29075238960766187</v>
      </c>
      <c r="G2" s="5">
        <f>SUM(G4:G80)</f>
        <v>1337078.5699999998</v>
      </c>
      <c r="H2" s="7">
        <f>C2-G2</f>
        <v>71524.730000000214</v>
      </c>
      <c r="I2" s="6">
        <f>IFERROR(H2/G2, 0)</f>
        <v>5.3493288730220412E-2</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1">Sites[Site]</f>
        <v>Barre - 56 Bridge St</v>
      </c>
      <c r="B4" s="27" t="str" cm="1">
        <f t="array" ref="B4:B11">Sites[State]</f>
        <v>VT</v>
      </c>
      <c r="C4" s="22">
        <v>96246.5</v>
      </c>
      <c r="D4" s="12">
        <v>96483.133000000002</v>
      </c>
      <c r="E4" s="12">
        <f>IF(AND(ISNUMBER(C4),ISNUMBER(D4)), C4-D4, "")</f>
        <v>-236.63300000000163</v>
      </c>
      <c r="F4" s="13">
        <f>IFERROR(E4/D4, "")</f>
        <v>-2.4525841216205286E-3</v>
      </c>
      <c r="G4" s="14">
        <v>88011.864000000001</v>
      </c>
      <c r="H4" s="14">
        <f>IF(AND(ISNUMBER(C4),ISNUMBER(G4)), C4-G4, "")</f>
        <v>8234.6359999999986</v>
      </c>
      <c r="I4" s="15">
        <f>IFERROR(H4/G4, "")</f>
        <v>9.3562795124984499E-2</v>
      </c>
      <c r="J4" s="39"/>
      <c r="K4" s="39"/>
    </row>
    <row r="5" spans="1:12" ht="43.15">
      <c r="A5" s="28" t="str">
        <v>Barre - 181 Allen St</v>
      </c>
      <c r="B5" s="29" t="str">
        <v>VT</v>
      </c>
      <c r="C5" s="11">
        <v>92654</v>
      </c>
      <c r="D5" s="16">
        <v>96742.115000000005</v>
      </c>
      <c r="E5" s="16">
        <f>IF(AND(ISNUMBER(C5),ISNUMBER(D5)), C5-D5, "")</f>
        <v>-4088.1150000000052</v>
      </c>
      <c r="F5" s="17">
        <f>IFERROR(E5/D5, "")</f>
        <v>-4.2257862565853607E-2</v>
      </c>
      <c r="G5" s="18">
        <v>77856.145999999993</v>
      </c>
      <c r="H5" s="18">
        <f>IF(AND(ISNUMBER(C5),ISNUMBER(G5)), C5-G5, "")</f>
        <v>14797.854000000007</v>
      </c>
      <c r="I5" s="17">
        <f t="shared" ref="I5:I11" si="0">IFERROR(H5/G5, "")</f>
        <v>0.19006661336665712</v>
      </c>
      <c r="J5" s="40" t="s">
        <v>97</v>
      </c>
      <c r="K5" s="40"/>
    </row>
    <row r="6" spans="1:12" ht="15.6">
      <c r="A6" s="26" t="str">
        <v>West Greenwich - 200 Robin Hollow Rd</v>
      </c>
      <c r="B6" s="27" t="str">
        <v>RI</v>
      </c>
      <c r="C6" s="22">
        <v>569490.55000000005</v>
      </c>
      <c r="D6" s="12">
        <v>578756.33900000004</v>
      </c>
      <c r="E6" s="12">
        <f t="shared" ref="E6:E11" si="1">IF(AND(ISNUMBER(C6),ISNUMBER(D6)), C6-D6, "")</f>
        <v>-9265.7889999999898</v>
      </c>
      <c r="F6" s="13">
        <f t="shared" ref="F6:F11" si="2">IFERROR(E6/D6, "")</f>
        <v>-1.6009827237503466E-2</v>
      </c>
      <c r="G6" s="14">
        <v>575974.56999999995</v>
      </c>
      <c r="H6" s="14">
        <f t="shared" ref="H6:H11" si="3">IF(AND(ISNUMBER(C6),ISNUMBER(G6)), C6-G6, "")</f>
        <v>-6484.0199999999022</v>
      </c>
      <c r="I6" s="15">
        <f t="shared" si="0"/>
        <v>-1.1257476176421996E-2</v>
      </c>
      <c r="J6" s="39"/>
      <c r="K6" s="39"/>
    </row>
    <row r="7" spans="1:12" ht="28.9">
      <c r="A7" s="28" t="str">
        <v>Rockingham - 25 Jackson Rd</v>
      </c>
      <c r="B7" s="29" t="str">
        <v>VT</v>
      </c>
      <c r="C7" s="11">
        <v>86114.5</v>
      </c>
      <c r="D7" s="16">
        <v>75495</v>
      </c>
      <c r="E7" s="16">
        <f t="shared" si="1"/>
        <v>10619.5</v>
      </c>
      <c r="F7" s="17">
        <f t="shared" si="2"/>
        <v>0.14066494469832438</v>
      </c>
      <c r="G7" s="18">
        <v>96561.84</v>
      </c>
      <c r="H7" s="18">
        <f t="shared" si="3"/>
        <v>-10447.339999999997</v>
      </c>
      <c r="I7" s="17">
        <f t="shared" si="0"/>
        <v>-0.10819325729501424</v>
      </c>
      <c r="J7" s="40" t="s">
        <v>98</v>
      </c>
      <c r="K7" s="85" t="s">
        <v>99</v>
      </c>
      <c r="L7" s="62" t="s">
        <v>100</v>
      </c>
    </row>
    <row r="8" spans="1:12" ht="28.9">
      <c r="A8" s="26" t="str">
        <v>East Hardwick - 55 Arsene Ave</v>
      </c>
      <c r="B8" s="27" t="str">
        <v>VT</v>
      </c>
      <c r="C8" s="22">
        <v>86480</v>
      </c>
      <c r="D8" s="12">
        <v>71944.100000000006</v>
      </c>
      <c r="E8" s="12">
        <f t="shared" si="1"/>
        <v>14535.899999999994</v>
      </c>
      <c r="F8" s="13">
        <f t="shared" si="2"/>
        <v>0.20204436500004855</v>
      </c>
      <c r="G8" s="14">
        <v>90776.65</v>
      </c>
      <c r="H8" s="14">
        <f t="shared" si="3"/>
        <v>-4296.6499999999942</v>
      </c>
      <c r="I8" s="15">
        <f t="shared" si="0"/>
        <v>-4.733210577830306E-2</v>
      </c>
      <c r="J8" s="39" t="s">
        <v>101</v>
      </c>
      <c r="K8" s="59" t="s">
        <v>102</v>
      </c>
    </row>
    <row r="9" spans="1:12" ht="48" customHeight="1">
      <c r="A9" s="28" t="str">
        <v>Red Hook - 44 MM Ham Memorial Firehouse Ln</v>
      </c>
      <c r="B9" s="29" t="str">
        <v>NY</v>
      </c>
      <c r="C9" s="11">
        <v>311321</v>
      </c>
      <c r="D9" s="16">
        <v>0</v>
      </c>
      <c r="E9" s="16">
        <f t="shared" si="1"/>
        <v>311321</v>
      </c>
      <c r="F9" s="17" t="str">
        <f t="shared" si="2"/>
        <v/>
      </c>
      <c r="G9" s="18">
        <v>325179.62</v>
      </c>
      <c r="H9" s="18">
        <f t="shared" si="3"/>
        <v>-13858.619999999995</v>
      </c>
      <c r="I9" s="17">
        <f t="shared" si="0"/>
        <v>-4.2618353511822159E-2</v>
      </c>
      <c r="J9" s="52" t="s">
        <v>76</v>
      </c>
      <c r="K9" s="85" t="s">
        <v>91</v>
      </c>
      <c r="L9" s="62" t="s">
        <v>78</v>
      </c>
    </row>
    <row r="10" spans="1:12" ht="57.6">
      <c r="A10" s="26" t="str">
        <v>Millbrook - Bacon Triangle (Cary Institute)</v>
      </c>
      <c r="B10" s="27" t="str">
        <v>NY</v>
      </c>
      <c r="C10" s="22">
        <v>72692</v>
      </c>
      <c r="D10" s="12">
        <v>76821.81</v>
      </c>
      <c r="E10" s="12">
        <f t="shared" si="1"/>
        <v>-4129.8099999999977</v>
      </c>
      <c r="F10" s="13">
        <f t="shared" si="2"/>
        <v>-5.3758301190768583E-2</v>
      </c>
      <c r="G10" s="68" t="s">
        <v>79</v>
      </c>
      <c r="H10" s="14" t="str">
        <f t="shared" si="3"/>
        <v/>
      </c>
      <c r="I10" s="15" t="str">
        <f t="shared" si="0"/>
        <v/>
      </c>
      <c r="J10" s="39" t="s">
        <v>103</v>
      </c>
      <c r="K10" s="59" t="s">
        <v>104</v>
      </c>
      <c r="L10" s="62" t="s">
        <v>105</v>
      </c>
    </row>
    <row r="11" spans="1:12" ht="43.15">
      <c r="A11" s="28" t="str">
        <v>Rockingham - 2029 Rockingham Rd</v>
      </c>
      <c r="B11" s="29" t="str">
        <v>VT</v>
      </c>
      <c r="C11" s="11">
        <v>93604.75</v>
      </c>
      <c r="D11" s="16">
        <v>95061.544999999998</v>
      </c>
      <c r="E11" s="16">
        <f t="shared" si="1"/>
        <v>-1456.7949999999983</v>
      </c>
      <c r="F11" s="17">
        <f t="shared" si="2"/>
        <v>-1.532475618821468E-2</v>
      </c>
      <c r="G11" s="18">
        <v>82717.88</v>
      </c>
      <c r="H11" s="18">
        <f t="shared" si="3"/>
        <v>10886.869999999995</v>
      </c>
      <c r="I11" s="17">
        <f t="shared" si="0"/>
        <v>0.13161447077705563</v>
      </c>
      <c r="J11" s="40" t="s">
        <v>106</v>
      </c>
      <c r="K11" s="41"/>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9" r:id="rId1" display="https://us3.assetplanner.com/service_request?ID=100634" xr:uid="{D1E4564E-DBFE-4043-AFAB-380C5F4079CF}"/>
    <hyperlink ref="K7" r:id="rId2" display="https://us3.assetplanner.com/service_request?ID=107532" xr:uid="{FCFCDC6A-7FB7-4FF0-89D9-FD13583868D4}"/>
    <hyperlink ref="L7" r:id="rId3" display="https://us3.assetplanner.com/service_request?ID=108700" xr:uid="{A8C477AA-CED0-4CFA-881C-D8032A200BA5}"/>
    <hyperlink ref="K8" r:id="rId4" display="https://us3.assetplanner.com/service_request?ID=108749" xr:uid="{67FC55E1-1BD9-4F13-8131-55706BB7CEEB}"/>
    <hyperlink ref="L9" r:id="rId5" display="https://us3.assetplanner.com/service_request?ID=100633" xr:uid="{6BED145D-43D3-4228-B872-4A0E2C980666}"/>
    <hyperlink ref="K10" r:id="rId6" display="https://us3.assetplanner.com/service_request?ID=108729" xr:uid="{5142C0A2-D01D-4973-97CA-B44858B9CBAE}"/>
    <hyperlink ref="L10" r:id="rId7" display="https://us3.assetplanner.com/service_request?ID=103834" xr:uid="{FB79773F-B534-4085-A2CC-7DE0414D2C3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Kendall Sustainable Infrastructure, LLC</v>
      </c>
      <c r="B1" s="87"/>
      <c r="C1" s="87"/>
      <c r="D1" s="88" t="s">
        <v>107</v>
      </c>
      <c r="E1" s="88"/>
      <c r="F1" s="88"/>
      <c r="G1" s="86" t="s">
        <v>108</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West Greenwich - 200 Robin Hollow Rd</v>
      </c>
      <c r="B6" s="27" t="str">
        <v>RI</v>
      </c>
      <c r="C6" s="22"/>
      <c r="D6" s="12"/>
      <c r="E6" s="12" t="str">
        <f>IF(AND(ISNUMBER(C6),ISNUMBER(D6)), C6-D6, "")</f>
        <v/>
      </c>
      <c r="F6" s="13" t="str">
        <f t="shared" ref="F6:F9" si="1">IFERROR(E6/D6, "")</f>
        <v/>
      </c>
      <c r="G6" s="14"/>
      <c r="H6" s="14"/>
      <c r="I6" s="15" t="str">
        <f t="shared" ref="I6" si="2">IFERROR(H6/G6, "")</f>
        <v/>
      </c>
      <c r="J6" s="39"/>
      <c r="K6" s="39"/>
    </row>
    <row r="7" spans="1:11" ht="15.6">
      <c r="A7" s="28" t="str">
        <v>Rockingham - 25 Jackson Rd</v>
      </c>
      <c r="B7" s="29" t="str">
        <v>VT</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East Hardwick - 55 Arsene Ave</v>
      </c>
      <c r="B8" s="27" t="str">
        <v>VT</v>
      </c>
      <c r="C8" s="22"/>
      <c r="D8" s="12"/>
      <c r="E8" s="12" t="str">
        <f t="shared" si="0"/>
        <v/>
      </c>
      <c r="F8" s="13" t="str">
        <f t="shared" si="1"/>
        <v/>
      </c>
      <c r="G8" s="14"/>
      <c r="H8" s="14"/>
      <c r="I8" s="15" t="str">
        <f t="shared" ref="I8" si="5">IFERROR(H8/G8, "")</f>
        <v/>
      </c>
      <c r="J8" s="39"/>
      <c r="K8" s="39"/>
    </row>
    <row r="9" spans="1:11" ht="15.6">
      <c r="A9" s="28" t="str">
        <v>Red Hook - 44 MM Ham Memorial Firehouse Ln</v>
      </c>
      <c r="B9" s="29" t="str">
        <v>NY</v>
      </c>
      <c r="C9" s="11"/>
      <c r="D9" s="16"/>
      <c r="E9" s="16" t="str">
        <f t="shared" si="0"/>
        <v/>
      </c>
      <c r="F9" s="17" t="str">
        <f t="shared" si="1"/>
        <v/>
      </c>
      <c r="G9" s="18"/>
      <c r="H9" s="18" t="str">
        <f t="shared" si="3"/>
        <v/>
      </c>
      <c r="I9" s="17" t="str">
        <f>IFERROR(H9/G9, "")</f>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7" t="str" cm="1">
        <f t="array" ref="A1">portfolio</f>
        <v>Kendall Sustainable Infrastructure, LLC</v>
      </c>
      <c r="B1" s="87"/>
      <c r="C1" s="87"/>
      <c r="D1" s="88" t="s">
        <v>109</v>
      </c>
      <c r="E1" s="88"/>
      <c r="F1" s="88"/>
      <c r="G1" s="86" t="s">
        <v>110</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Kendall Sustainable Infrastructure, LLC</v>
      </c>
      <c r="B1" s="87"/>
      <c r="C1" s="87"/>
      <c r="D1" s="88" t="s">
        <v>111</v>
      </c>
      <c r="E1" s="88"/>
      <c r="F1" s="88"/>
      <c r="G1" s="86" t="s">
        <v>112</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B4" activePane="bottomLeft" state="frozen"/>
      <selection pane="bottomLeft" activeCell="B7" sqref="B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113</v>
      </c>
      <c r="B1" t="s">
        <v>114</v>
      </c>
    </row>
    <row r="3" spans="1:12" ht="13.15">
      <c r="A3" t="s">
        <v>115</v>
      </c>
      <c r="B3" t="s">
        <v>3</v>
      </c>
      <c r="C3" t="s">
        <v>4</v>
      </c>
      <c r="D3" t="s">
        <v>116</v>
      </c>
      <c r="E3" s="2" t="s">
        <v>117</v>
      </c>
    </row>
    <row r="4" spans="1:12" ht="14.45">
      <c r="A4" s="48" t="s">
        <v>118</v>
      </c>
      <c r="B4" t="s">
        <v>119</v>
      </c>
      <c r="C4" s="45" t="s">
        <v>120</v>
      </c>
      <c r="D4" s="44" t="s">
        <v>121</v>
      </c>
      <c r="E4" t="s">
        <v>122</v>
      </c>
      <c r="G4" s="3"/>
    </row>
    <row r="5" spans="1:12" ht="14.45">
      <c r="A5" s="48" t="s">
        <v>123</v>
      </c>
      <c r="B5" t="s">
        <v>124</v>
      </c>
      <c r="C5" s="45" t="s">
        <v>120</v>
      </c>
      <c r="D5" s="44" t="s">
        <v>121</v>
      </c>
      <c r="E5" t="s">
        <v>122</v>
      </c>
      <c r="G5" s="3"/>
    </row>
    <row r="6" spans="1:12" ht="14.45">
      <c r="A6" s="48" t="s">
        <v>125</v>
      </c>
      <c r="B6" t="s">
        <v>126</v>
      </c>
      <c r="C6" s="45" t="s">
        <v>127</v>
      </c>
      <c r="D6" s="44" t="s">
        <v>121</v>
      </c>
      <c r="E6" t="s">
        <v>122</v>
      </c>
      <c r="G6" s="3"/>
    </row>
    <row r="7" spans="1:12" ht="12.75" customHeight="1">
      <c r="A7" s="48" t="s">
        <v>128</v>
      </c>
      <c r="B7" t="s">
        <v>129</v>
      </c>
      <c r="C7" s="45" t="s">
        <v>120</v>
      </c>
      <c r="D7" s="44"/>
      <c r="E7" t="s">
        <v>130</v>
      </c>
    </row>
    <row r="8" spans="1:12" ht="12.75" customHeight="1">
      <c r="A8" s="48" t="s">
        <v>131</v>
      </c>
      <c r="B8" t="s">
        <v>132</v>
      </c>
      <c r="C8" s="45" t="s">
        <v>120</v>
      </c>
      <c r="D8" s="44"/>
      <c r="E8" t="s">
        <v>130</v>
      </c>
    </row>
    <row r="9" spans="1:12" ht="12.75" customHeight="1">
      <c r="A9" s="54" t="s">
        <v>133</v>
      </c>
      <c r="B9" s="55" t="s">
        <v>134</v>
      </c>
      <c r="C9" s="45" t="s">
        <v>135</v>
      </c>
      <c r="D9" s="44"/>
      <c r="E9" t="s">
        <v>130</v>
      </c>
      <c r="K9" s="42"/>
      <c r="L9" s="42"/>
    </row>
    <row r="10" spans="1:12" ht="12.75" customHeight="1">
      <c r="A10" s="54" t="s">
        <v>136</v>
      </c>
      <c r="B10" s="55" t="s">
        <v>137</v>
      </c>
      <c r="C10" s="45" t="s">
        <v>135</v>
      </c>
      <c r="D10" s="44"/>
      <c r="E10" t="s">
        <v>138</v>
      </c>
      <c r="K10" s="42"/>
      <c r="L10" s="42"/>
    </row>
    <row r="11" spans="1:12" ht="12.75" customHeight="1">
      <c r="A11" s="54" t="s">
        <v>139</v>
      </c>
      <c r="B11" s="55" t="s">
        <v>140</v>
      </c>
      <c r="C11" s="45" t="s">
        <v>120</v>
      </c>
      <c r="D11" s="44" t="s">
        <v>121</v>
      </c>
      <c r="E11" t="s">
        <v>122</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A0C1FFE0-2BC7-4984-811B-2CF2C5EA71E3}"/>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2025-10-24T15:46:17Z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