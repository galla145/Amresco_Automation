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66925"/>
  <mc:AlternateContent xmlns:mc="http://schemas.openxmlformats.org/markup-compatibility/2006">
    <mc:Choice Requires="x15">
      <x15ac:absPath xmlns:x15ac="http://schemas.microsoft.com/office/spreadsheetml/2010/11/ac" url="C:\Users\LibsysAdmin\Downloads\"/>
    </mc:Choice>
  </mc:AlternateContent>
  <xr:revisionPtr revIDLastSave="0" documentId="13_ncr:1_{EC1ED0FF-C310-4F1F-81A7-F39ED93226C0}" xr6:coauthVersionLast="47" xr6:coauthVersionMax="47" xr10:uidLastSave="{00000000-0000-0000-0000-000000000000}"/>
  <bookViews>
    <workbookView xWindow="-108" yWindow="-108" windowWidth="23256" windowHeight="12456" tabRatio="866" firstSheet="12" activeTab="13"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 i="28" l="1"/>
  <c r="H6" i="28"/>
  <c r="E6" i="28"/>
  <c r="E7" i="28"/>
  <c r="E8" i="28"/>
  <c r="E9" i="28"/>
  <c r="E10" i="28"/>
  <c r="E11" i="28"/>
  <c r="E12" i="28"/>
  <c r="E13" i="28"/>
  <c r="E6" i="27"/>
  <c r="H4" i="19"/>
  <c r="I4" i="19" s="1"/>
  <c r="H5" i="19"/>
  <c r="I5" i="19" s="1"/>
  <c r="E4" i="19"/>
  <c r="F4" i="19" s="1"/>
  <c r="E5" i="19"/>
  <c r="E6" i="19"/>
  <c r="E7" i="19"/>
  <c r="F7" i="19" s="1"/>
  <c r="E8" i="19"/>
  <c r="E4" i="20"/>
  <c r="E7" i="21"/>
  <c r="E13" i="21"/>
  <c r="F13" i="21" s="1"/>
  <c r="H4" i="4"/>
  <c r="I4" i="4" s="1"/>
  <c r="E7" i="4"/>
  <c r="F13" i="4"/>
  <c r="E13" i="4"/>
  <c r="I10" i="4"/>
  <c r="I11" i="4"/>
  <c r="I12" i="4"/>
  <c r="I13" i="4"/>
  <c r="H10" i="4"/>
  <c r="H10" i="1" s="1"/>
  <c r="H11" i="4"/>
  <c r="H11" i="1" s="1"/>
  <c r="H12" i="4"/>
  <c r="H13" i="4"/>
  <c r="F9" i="4"/>
  <c r="F10" i="4"/>
  <c r="F11" i="4"/>
  <c r="F12" i="4"/>
  <c r="E9" i="4"/>
  <c r="E10" i="4"/>
  <c r="E11" i="4"/>
  <c r="E12" i="4"/>
  <c r="I6" i="3"/>
  <c r="I7" i="3"/>
  <c r="I8" i="3"/>
  <c r="I9" i="3"/>
  <c r="I10" i="3"/>
  <c r="I11" i="3"/>
  <c r="I12" i="3"/>
  <c r="I13" i="3"/>
  <c r="E5" i="3"/>
  <c r="E8" i="3"/>
  <c r="F10" i="3"/>
  <c r="F11" i="3"/>
  <c r="F12" i="3"/>
  <c r="F13" i="3"/>
  <c r="H9" i="3"/>
  <c r="H10" i="3"/>
  <c r="H11" i="3"/>
  <c r="H12" i="3"/>
  <c r="H13" i="3"/>
  <c r="E9" i="3"/>
  <c r="F9" i="3" s="1"/>
  <c r="E10" i="3"/>
  <c r="E11" i="3"/>
  <c r="E12" i="3"/>
  <c r="E13" i="3"/>
  <c r="H9" i="72"/>
  <c r="I9" i="72" s="1"/>
  <c r="H10" i="72"/>
  <c r="I10" i="72" s="1"/>
  <c r="H11" i="72"/>
  <c r="I11" i="72" s="1"/>
  <c r="H12" i="72"/>
  <c r="I12" i="72" s="1"/>
  <c r="H13" i="72"/>
  <c r="I13" i="72" s="1"/>
  <c r="E9" i="72"/>
  <c r="F9" i="72" s="1"/>
  <c r="E10" i="72"/>
  <c r="F10" i="72" s="1"/>
  <c r="E11" i="72"/>
  <c r="F11" i="72" s="1"/>
  <c r="E12" i="72"/>
  <c r="F12" i="72" s="1"/>
  <c r="E13" i="72"/>
  <c r="F13" i="72" s="1"/>
  <c r="G6" i="29"/>
  <c r="G7" i="29"/>
  <c r="G8" i="29"/>
  <c r="G9" i="29"/>
  <c r="G10" i="29"/>
  <c r="G11" i="29"/>
  <c r="G12" i="29"/>
  <c r="G13" i="29"/>
  <c r="H17" i="31"/>
  <c r="I17" i="31" s="1"/>
  <c r="G2" i="31"/>
  <c r="G6" i="30"/>
  <c r="G7" i="30"/>
  <c r="G8" i="30"/>
  <c r="G9" i="30"/>
  <c r="G10" i="30"/>
  <c r="G11" i="30"/>
  <c r="G12" i="30"/>
  <c r="G13" i="30"/>
  <c r="G5" i="30"/>
  <c r="G4" i="30"/>
  <c r="A4" i="28" a="1"/>
  <c r="A4" i="28"/>
  <c r="G5" i="29"/>
  <c r="G4" i="29"/>
  <c r="E12" i="27"/>
  <c r="F12" i="27" s="1"/>
  <c r="E5" i="27"/>
  <c r="F5" i="27" s="1"/>
  <c r="H11" i="19"/>
  <c r="E11" i="19"/>
  <c r="H10" i="19"/>
  <c r="E10" i="19"/>
  <c r="H9" i="19"/>
  <c r="E9" i="19"/>
  <c r="F9" i="19" s="1"/>
  <c r="H8" i="19"/>
  <c r="I8" i="19" s="1"/>
  <c r="H7" i="19"/>
  <c r="I7" i="19" s="1"/>
  <c r="H6" i="19"/>
  <c r="I6" i="19" s="1"/>
  <c r="F6" i="19"/>
  <c r="H17" i="19"/>
  <c r="E17" i="19"/>
  <c r="H16" i="19"/>
  <c r="E16" i="19"/>
  <c r="H15" i="19"/>
  <c r="E15" i="19"/>
  <c r="H14" i="19"/>
  <c r="E14" i="19"/>
  <c r="H13" i="19"/>
  <c r="E13" i="19"/>
  <c r="F13" i="19" s="1"/>
  <c r="H12" i="19"/>
  <c r="E12" i="19"/>
  <c r="H9" i="21"/>
  <c r="I9" i="21" s="1"/>
  <c r="H10" i="21"/>
  <c r="I10" i="21" s="1"/>
  <c r="H11" i="21"/>
  <c r="I11" i="21" s="1"/>
  <c r="H12" i="21"/>
  <c r="I12" i="21" s="1"/>
  <c r="F9" i="21"/>
  <c r="E9" i="21"/>
  <c r="E10" i="21"/>
  <c r="F10" i="21" s="1"/>
  <c r="E11" i="21"/>
  <c r="F11" i="21" s="1"/>
  <c r="E12" i="21"/>
  <c r="F12" i="21" s="1"/>
  <c r="A4" i="19" a="1"/>
  <c r="A4" i="19" s="1"/>
  <c r="E6" i="72"/>
  <c r="F6" i="72" s="1"/>
  <c r="H6" i="72"/>
  <c r="E7" i="72"/>
  <c r="F7" i="72"/>
  <c r="H7" i="72"/>
  <c r="I7" i="72" s="1"/>
  <c r="E8" i="72"/>
  <c r="F8" i="72" s="1"/>
  <c r="H8" i="72"/>
  <c r="C6" i="30"/>
  <c r="D6" i="30"/>
  <c r="C7" i="30"/>
  <c r="D7" i="30"/>
  <c r="C8" i="30"/>
  <c r="D8" i="30"/>
  <c r="C9" i="30"/>
  <c r="D9" i="30"/>
  <c r="C10" i="30"/>
  <c r="D10" i="30"/>
  <c r="C11" i="30"/>
  <c r="D11" i="30"/>
  <c r="C12" i="30"/>
  <c r="D12" i="30"/>
  <c r="C13" i="30"/>
  <c r="D13" i="30"/>
  <c r="C6" i="29"/>
  <c r="D6" i="29"/>
  <c r="C7" i="29"/>
  <c r="D7" i="29"/>
  <c r="C8" i="29"/>
  <c r="D8" i="29"/>
  <c r="C9" i="29"/>
  <c r="D9" i="29"/>
  <c r="C10" i="29"/>
  <c r="D10" i="29"/>
  <c r="C11" i="29"/>
  <c r="D11" i="29"/>
  <c r="C12" i="29"/>
  <c r="D12" i="29"/>
  <c r="C13" i="29"/>
  <c r="D13" i="29"/>
  <c r="C6" i="18"/>
  <c r="D6" i="18"/>
  <c r="G6" i="18"/>
  <c r="C7" i="18"/>
  <c r="D7" i="18"/>
  <c r="G7" i="18"/>
  <c r="C8" i="18"/>
  <c r="D8" i="18"/>
  <c r="G8" i="18"/>
  <c r="C9" i="18"/>
  <c r="D9" i="18"/>
  <c r="G9" i="18"/>
  <c r="C10" i="18"/>
  <c r="D10" i="18"/>
  <c r="G10" i="18"/>
  <c r="C11" i="18"/>
  <c r="D11" i="18"/>
  <c r="G11" i="18"/>
  <c r="C12" i="18"/>
  <c r="D12" i="18"/>
  <c r="G12" i="18"/>
  <c r="C13" i="18"/>
  <c r="D13" i="18"/>
  <c r="G13" i="18"/>
  <c r="H13" i="1"/>
  <c r="G13" i="1"/>
  <c r="D13" i="1"/>
  <c r="C13" i="1"/>
  <c r="H12" i="1"/>
  <c r="G12" i="1"/>
  <c r="D12" i="1"/>
  <c r="C12" i="1"/>
  <c r="G11" i="1"/>
  <c r="D11" i="1"/>
  <c r="C11" i="1"/>
  <c r="G10" i="1"/>
  <c r="D10" i="1"/>
  <c r="C10" i="1"/>
  <c r="G9" i="1"/>
  <c r="D9" i="1"/>
  <c r="C9" i="1"/>
  <c r="G8" i="1"/>
  <c r="D8" i="1"/>
  <c r="C8" i="1"/>
  <c r="E8" i="1" s="1"/>
  <c r="F8" i="1" s="1"/>
  <c r="G7" i="1"/>
  <c r="D7" i="1"/>
  <c r="C7" i="1"/>
  <c r="G6" i="1"/>
  <c r="D6" i="1"/>
  <c r="C6" i="1"/>
  <c r="E6" i="32"/>
  <c r="F6" i="32" s="1"/>
  <c r="H6" i="32"/>
  <c r="I6" i="32" s="1"/>
  <c r="E7" i="32"/>
  <c r="F7" i="32" s="1"/>
  <c r="H7" i="32"/>
  <c r="I7" i="32" s="1"/>
  <c r="E8" i="32"/>
  <c r="F8" i="32" s="1"/>
  <c r="H8" i="32"/>
  <c r="I8" i="32" s="1"/>
  <c r="E9" i="32"/>
  <c r="F9" i="32" s="1"/>
  <c r="H9" i="32"/>
  <c r="I9" i="32"/>
  <c r="E10" i="32"/>
  <c r="F10" i="32" s="1"/>
  <c r="H10" i="32"/>
  <c r="I10" i="32" s="1"/>
  <c r="E11" i="32"/>
  <c r="F11" i="32" s="1"/>
  <c r="H11" i="32"/>
  <c r="I11" i="32" s="1"/>
  <c r="E12" i="32"/>
  <c r="F12" i="32" s="1"/>
  <c r="H12" i="32"/>
  <c r="I12" i="32" s="1"/>
  <c r="E13" i="32"/>
  <c r="F13" i="32" s="1"/>
  <c r="H13" i="32"/>
  <c r="I13" i="32" s="1"/>
  <c r="E6" i="33"/>
  <c r="F6" i="33" s="1"/>
  <c r="H6" i="33"/>
  <c r="I6" i="33" s="1"/>
  <c r="E7" i="33"/>
  <c r="F7" i="33" s="1"/>
  <c r="H7" i="33"/>
  <c r="I7" i="33"/>
  <c r="E8" i="33"/>
  <c r="F8" i="33" s="1"/>
  <c r="H8" i="33"/>
  <c r="I8" i="33" s="1"/>
  <c r="E9" i="33"/>
  <c r="F9" i="33" s="1"/>
  <c r="H9" i="33"/>
  <c r="I9" i="33" s="1"/>
  <c r="E10" i="33"/>
  <c r="F10" i="33" s="1"/>
  <c r="H10" i="33"/>
  <c r="I10" i="33" s="1"/>
  <c r="E11" i="33"/>
  <c r="F11" i="33"/>
  <c r="H11" i="33"/>
  <c r="I11" i="33" s="1"/>
  <c r="E12" i="33"/>
  <c r="F12" i="33" s="1"/>
  <c r="H12" i="33"/>
  <c r="I12" i="33" s="1"/>
  <c r="E13" i="33"/>
  <c r="F13" i="33" s="1"/>
  <c r="H13" i="33"/>
  <c r="I13" i="33"/>
  <c r="H5" i="20"/>
  <c r="I5" i="20" s="1"/>
  <c r="H6" i="20"/>
  <c r="I6" i="20" s="1"/>
  <c r="H7" i="20"/>
  <c r="I7" i="20" s="1"/>
  <c r="H8" i="20"/>
  <c r="I8" i="20" s="1"/>
  <c r="H9" i="20"/>
  <c r="I9" i="20" s="1"/>
  <c r="H10" i="20"/>
  <c r="I10" i="20" s="1"/>
  <c r="E5" i="20"/>
  <c r="F5" i="20" s="1"/>
  <c r="E6" i="20"/>
  <c r="F6" i="20" s="1"/>
  <c r="E7" i="20"/>
  <c r="F7" i="20" s="1"/>
  <c r="E8" i="20"/>
  <c r="F8" i="20" s="1"/>
  <c r="E9" i="20"/>
  <c r="F9" i="20" s="1"/>
  <c r="E10" i="20"/>
  <c r="F10" i="20" s="1"/>
  <c r="G5" i="18"/>
  <c r="G4" i="18"/>
  <c r="H17" i="33"/>
  <c r="I17" i="33" s="1"/>
  <c r="E17" i="33"/>
  <c r="F17" i="33" s="1"/>
  <c r="H16" i="33"/>
  <c r="I16" i="33" s="1"/>
  <c r="E16" i="33"/>
  <c r="F16" i="33" s="1"/>
  <c r="H17" i="32"/>
  <c r="I17" i="32" s="1"/>
  <c r="E17" i="32"/>
  <c r="F17" i="32" s="1"/>
  <c r="H16" i="32"/>
  <c r="I16" i="32" s="1"/>
  <c r="E16" i="32"/>
  <c r="F16" i="32" s="1"/>
  <c r="E17" i="31"/>
  <c r="F17" i="31" s="1"/>
  <c r="H16" i="31"/>
  <c r="I16" i="31" s="1"/>
  <c r="E16" i="31"/>
  <c r="F16" i="31" s="1"/>
  <c r="H17" i="28"/>
  <c r="I17" i="28" s="1"/>
  <c r="E17" i="28"/>
  <c r="F17" i="28" s="1"/>
  <c r="H16" i="28"/>
  <c r="I16" i="28" s="1"/>
  <c r="E16" i="28"/>
  <c r="F16" i="28" s="1"/>
  <c r="H17" i="27"/>
  <c r="I17" i="27" s="1"/>
  <c r="E17" i="27"/>
  <c r="F17" i="27" s="1"/>
  <c r="H16" i="27"/>
  <c r="I16" i="27" s="1"/>
  <c r="E16" i="27"/>
  <c r="F16" i="27" s="1"/>
  <c r="H17" i="26"/>
  <c r="I17" i="26" s="1"/>
  <c r="E17" i="26"/>
  <c r="F17" i="26" s="1"/>
  <c r="H16" i="26"/>
  <c r="I16" i="26" s="1"/>
  <c r="E16" i="26"/>
  <c r="F16" i="26" s="1"/>
  <c r="I17" i="19"/>
  <c r="F17" i="19"/>
  <c r="I16" i="19"/>
  <c r="F16" i="19"/>
  <c r="H9" i="4"/>
  <c r="I9" i="4" s="1"/>
  <c r="E5" i="72"/>
  <c r="F5" i="72" s="1"/>
  <c r="E4" i="72"/>
  <c r="F4" i="72" s="1"/>
  <c r="B4" i="33" a="1"/>
  <c r="B4" i="33" s="1"/>
  <c r="A4" i="33" a="1"/>
  <c r="A4" i="33" s="1"/>
  <c r="B4" i="32" a="1"/>
  <c r="B4" i="32" s="1"/>
  <c r="A4" i="32" a="1"/>
  <c r="A4" i="32" s="1"/>
  <c r="B4" i="31" a="1"/>
  <c r="B4" i="31" s="1"/>
  <c r="A4" i="31" a="1"/>
  <c r="A4" i="31" s="1"/>
  <c r="B4" i="19" a="1"/>
  <c r="B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s="1"/>
  <c r="H4" i="3"/>
  <c r="I4" i="3" s="1"/>
  <c r="F5" i="3"/>
  <c r="H5" i="3"/>
  <c r="I5" i="3" s="1"/>
  <c r="E6" i="3"/>
  <c r="F6" i="3" s="1"/>
  <c r="H6" i="3"/>
  <c r="E7" i="3"/>
  <c r="F7" i="3" s="1"/>
  <c r="H7" i="3"/>
  <c r="F8" i="3"/>
  <c r="H8" i="3"/>
  <c r="G5" i="1"/>
  <c r="G4" i="1"/>
  <c r="B4" i="34" a="1"/>
  <c r="B4" i="34" s="1"/>
  <c r="A4" i="34" a="1"/>
  <c r="A4" i="34" s="1"/>
  <c r="A1" i="34" a="1"/>
  <c r="A1" i="34" s="1"/>
  <c r="D5" i="30"/>
  <c r="C5" i="30"/>
  <c r="D4" i="30"/>
  <c r="C4" i="30"/>
  <c r="D5" i="29"/>
  <c r="C5" i="29"/>
  <c r="E5" i="29" s="1"/>
  <c r="F5" i="29" s="1"/>
  <c r="D4" i="29"/>
  <c r="C4" i="29"/>
  <c r="D5" i="18"/>
  <c r="C5" i="18"/>
  <c r="D4" i="18"/>
  <c r="C4" i="18"/>
  <c r="B4" i="30" a="1"/>
  <c r="B4" i="30" s="1"/>
  <c r="A1" i="30" a="1"/>
  <c r="A1" i="30" s="1"/>
  <c r="B4" i="29" a="1"/>
  <c r="B4" i="29" s="1"/>
  <c r="A4" i="29" a="1"/>
  <c r="A4" i="29" s="1"/>
  <c r="A1" i="29" a="1"/>
  <c r="A1" i="29" s="1"/>
  <c r="B4" i="18" a="1"/>
  <c r="B4" i="18" s="1"/>
  <c r="A4" i="18" a="1"/>
  <c r="A4" i="18" s="1"/>
  <c r="A1" i="18" a="1"/>
  <c r="A1" i="18" s="1"/>
  <c r="C5" i="1"/>
  <c r="C4" i="1"/>
  <c r="D5" i="1"/>
  <c r="D4" i="1"/>
  <c r="B4" i="1" a="1"/>
  <c r="B4" i="1" s="1"/>
  <c r="A4" i="1" a="1"/>
  <c r="A4" i="1" s="1"/>
  <c r="A1" i="1" a="1"/>
  <c r="A1" i="1" s="1"/>
  <c r="H15" i="33"/>
  <c r="I15" i="33" s="1"/>
  <c r="E15" i="33"/>
  <c r="F15" i="33" s="1"/>
  <c r="I14" i="33"/>
  <c r="H14" i="33"/>
  <c r="E14" i="33"/>
  <c r="F14" i="33" s="1"/>
  <c r="H5" i="33"/>
  <c r="I5" i="33" s="1"/>
  <c r="E5" i="33"/>
  <c r="F5" i="33" s="1"/>
  <c r="H4" i="33"/>
  <c r="I4" i="33" s="1"/>
  <c r="E4" i="33"/>
  <c r="F4" i="33" s="1"/>
  <c r="G2" i="33"/>
  <c r="D2" i="33"/>
  <c r="C2" i="33"/>
  <c r="A1" i="33" a="1"/>
  <c r="A1" i="33" s="1"/>
  <c r="H15" i="32"/>
  <c r="I15" i="32" s="1"/>
  <c r="F15" i="32"/>
  <c r="E15" i="32"/>
  <c r="H14" i="32"/>
  <c r="I14" i="32" s="1"/>
  <c r="E14" i="32"/>
  <c r="F14" i="32" s="1"/>
  <c r="H5" i="32"/>
  <c r="I5" i="32" s="1"/>
  <c r="E5" i="32"/>
  <c r="F5" i="32" s="1"/>
  <c r="H4" i="32"/>
  <c r="I4" i="32" s="1"/>
  <c r="E4" i="32"/>
  <c r="F4" i="32" s="1"/>
  <c r="G2" i="32"/>
  <c r="D2" i="32"/>
  <c r="C2" i="32"/>
  <c r="A1" i="32" a="1"/>
  <c r="A1" i="32" s="1"/>
  <c r="H15" i="31"/>
  <c r="I15" i="31" s="1"/>
  <c r="E15" i="31"/>
  <c r="F15" i="31"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D2" i="31"/>
  <c r="C2" i="31"/>
  <c r="A1" i="31" a="1"/>
  <c r="A1" i="31" s="1"/>
  <c r="H15" i="28"/>
  <c r="I15" i="28" s="1"/>
  <c r="E15" i="28"/>
  <c r="F15" i="28" s="1"/>
  <c r="H14" i="28"/>
  <c r="I14" i="28" s="1"/>
  <c r="E14" i="28"/>
  <c r="F14" i="28" s="1"/>
  <c r="H13" i="28"/>
  <c r="I13" i="28" s="1"/>
  <c r="F13" i="28"/>
  <c r="H12" i="28"/>
  <c r="I12" i="28" s="1"/>
  <c r="F12" i="28"/>
  <c r="H11" i="28"/>
  <c r="I11" i="28" s="1"/>
  <c r="F11" i="28"/>
  <c r="H10" i="28"/>
  <c r="I10" i="28" s="1"/>
  <c r="F10" i="28"/>
  <c r="H9" i="28"/>
  <c r="I9" i="28" s="1"/>
  <c r="F9" i="28"/>
  <c r="H8" i="28"/>
  <c r="I8" i="28" s="1"/>
  <c r="F8" i="28"/>
  <c r="H7" i="28"/>
  <c r="I7" i="28" s="1"/>
  <c r="F7" i="28"/>
  <c r="I6" i="28"/>
  <c r="F6" i="28"/>
  <c r="I5" i="28"/>
  <c r="E5" i="28"/>
  <c r="F5" i="28" s="1"/>
  <c r="H4" i="28"/>
  <c r="I4" i="28" s="1"/>
  <c r="E4" i="28"/>
  <c r="F4" i="28" s="1"/>
  <c r="B4" i="28" a="1"/>
  <c r="B4" i="28" s="1"/>
  <c r="G2" i="28"/>
  <c r="D2" i="28"/>
  <c r="C2" i="28"/>
  <c r="A1" i="28" a="1"/>
  <c r="A1" i="28" s="1"/>
  <c r="H15" i="27"/>
  <c r="I15" i="27" s="1"/>
  <c r="E15" i="27"/>
  <c r="F15" i="27" s="1"/>
  <c r="H14" i="27"/>
  <c r="I14" i="27" s="1"/>
  <c r="E14" i="27"/>
  <c r="F14" i="27" s="1"/>
  <c r="H13" i="27"/>
  <c r="I13" i="27" s="1"/>
  <c r="E13" i="27"/>
  <c r="F13" i="27" s="1"/>
  <c r="H12" i="27"/>
  <c r="I12" i="27" s="1"/>
  <c r="H11" i="27"/>
  <c r="I11" i="27" s="1"/>
  <c r="E11" i="27"/>
  <c r="F11" i="27" s="1"/>
  <c r="H10" i="27"/>
  <c r="I10" i="27" s="1"/>
  <c r="E10" i="27"/>
  <c r="F10" i="27" s="1"/>
  <c r="H9" i="27"/>
  <c r="I9" i="27" s="1"/>
  <c r="E9" i="27"/>
  <c r="F9" i="27" s="1"/>
  <c r="H8" i="27"/>
  <c r="I8" i="27" s="1"/>
  <c r="E8" i="27"/>
  <c r="F8" i="27" s="1"/>
  <c r="H7" i="27"/>
  <c r="I7" i="27" s="1"/>
  <c r="E7" i="27"/>
  <c r="F7" i="27" s="1"/>
  <c r="H6" i="27"/>
  <c r="I6" i="27" s="1"/>
  <c r="F6" i="27"/>
  <c r="H5" i="27"/>
  <c r="I5" i="27" s="1"/>
  <c r="H4" i="27"/>
  <c r="I4" i="27" s="1"/>
  <c r="E4" i="27"/>
  <c r="F4" i="27" s="1"/>
  <c r="G2" i="27"/>
  <c r="D2" i="27"/>
  <c r="C2" i="27"/>
  <c r="A1" i="27" a="1"/>
  <c r="A1" i="27" s="1"/>
  <c r="H15" i="26"/>
  <c r="E15" i="26"/>
  <c r="F15" i="26"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H7" i="29" s="1"/>
  <c r="I7" i="29" s="1"/>
  <c r="E7" i="26"/>
  <c r="F7" i="26" s="1"/>
  <c r="H6" i="26"/>
  <c r="E6" i="26"/>
  <c r="F6" i="26" s="1"/>
  <c r="H5" i="26"/>
  <c r="I5" i="26" s="1"/>
  <c r="E5" i="26"/>
  <c r="F5" i="26" s="1"/>
  <c r="H4" i="26"/>
  <c r="I4" i="26" s="1"/>
  <c r="E4" i="26"/>
  <c r="F4" i="26" s="1"/>
  <c r="G2" i="26"/>
  <c r="D2" i="26"/>
  <c r="C2" i="26"/>
  <c r="A1" i="26" a="1"/>
  <c r="A1" i="26" s="1"/>
  <c r="I15" i="19"/>
  <c r="F15" i="19"/>
  <c r="I14" i="19"/>
  <c r="F14" i="19"/>
  <c r="I13" i="19"/>
  <c r="I12" i="19"/>
  <c r="F12" i="19"/>
  <c r="I11" i="19"/>
  <c r="F11" i="19"/>
  <c r="I10" i="19"/>
  <c r="F10" i="19"/>
  <c r="I9" i="19"/>
  <c r="F8" i="19"/>
  <c r="F5" i="19"/>
  <c r="G2" i="19"/>
  <c r="D2" i="19"/>
  <c r="C2" i="19"/>
  <c r="J2" i="19" s="1"/>
  <c r="A1" i="19" a="1"/>
  <c r="A1" i="19" s="1"/>
  <c r="H4" i="20"/>
  <c r="I4" i="20" s="1"/>
  <c r="F4" i="20"/>
  <c r="G2" i="20"/>
  <c r="D2" i="20"/>
  <c r="C2" i="20"/>
  <c r="A1" i="20" a="1"/>
  <c r="A1" i="20" s="1"/>
  <c r="H8" i="21"/>
  <c r="I8" i="21" s="1"/>
  <c r="E8" i="21"/>
  <c r="F8" i="21" s="1"/>
  <c r="H7" i="21"/>
  <c r="I7" i="21" s="1"/>
  <c r="H6" i="21"/>
  <c r="I6" i="21" s="1"/>
  <c r="E6" i="21"/>
  <c r="F6" i="21" s="1"/>
  <c r="H5" i="21"/>
  <c r="I5" i="21" s="1"/>
  <c r="E5" i="21"/>
  <c r="F5" i="21" s="1"/>
  <c r="H4" i="21"/>
  <c r="I4" i="21" s="1"/>
  <c r="E4" i="21"/>
  <c r="F4" i="21" s="1"/>
  <c r="G2" i="21"/>
  <c r="D2" i="21"/>
  <c r="C2" i="21"/>
  <c r="A1" i="21" a="1"/>
  <c r="A1" i="21" s="1"/>
  <c r="H8" i="4"/>
  <c r="I8" i="4" s="1"/>
  <c r="E8" i="4"/>
  <c r="F8" i="4" s="1"/>
  <c r="H7" i="4"/>
  <c r="I7" i="4" s="1"/>
  <c r="F7" i="4"/>
  <c r="H6" i="4"/>
  <c r="I6" i="4" s="1"/>
  <c r="E6" i="4"/>
  <c r="F6" i="4" s="1"/>
  <c r="H5" i="4"/>
  <c r="I5" i="4" s="1"/>
  <c r="E5" i="4"/>
  <c r="F5" i="4" s="1"/>
  <c r="E4" i="4"/>
  <c r="F4" i="4" s="1"/>
  <c r="G2" i="4"/>
  <c r="D2" i="4"/>
  <c r="C2" i="4"/>
  <c r="A1" i="4" a="1"/>
  <c r="A1" i="4" s="1"/>
  <c r="G2" i="3"/>
  <c r="D2" i="3"/>
  <c r="C2" i="3"/>
  <c r="J2" i="3" s="1"/>
  <c r="A1" i="3" a="1"/>
  <c r="A1" i="3" s="1"/>
  <c r="H5" i="72"/>
  <c r="I5" i="72" s="1"/>
  <c r="H4" i="72"/>
  <c r="I4" i="72" s="1"/>
  <c r="G2" i="72"/>
  <c r="D2" i="72"/>
  <c r="C2" i="72"/>
  <c r="J2" i="72" s="1"/>
  <c r="A1" i="72" a="1"/>
  <c r="A1" i="72" s="1"/>
  <c r="C5" i="34" l="1"/>
  <c r="C13" i="34"/>
  <c r="C7" i="34"/>
  <c r="G11" i="34"/>
  <c r="G7" i="34"/>
  <c r="G2" i="29"/>
  <c r="G6" i="34"/>
  <c r="D8" i="34"/>
  <c r="G5" i="34"/>
  <c r="C8" i="34"/>
  <c r="G13" i="34"/>
  <c r="C11" i="34"/>
  <c r="D9" i="34"/>
  <c r="D13" i="34"/>
  <c r="G12" i="34"/>
  <c r="D12" i="34"/>
  <c r="H12" i="29"/>
  <c r="I12" i="29" s="1"/>
  <c r="D5" i="34"/>
  <c r="C12" i="34"/>
  <c r="G9" i="34"/>
  <c r="D11" i="34"/>
  <c r="G8" i="34"/>
  <c r="G2" i="30"/>
  <c r="D6" i="34"/>
  <c r="C6" i="34"/>
  <c r="G4" i="34"/>
  <c r="G10" i="34"/>
  <c r="D10" i="34"/>
  <c r="C10" i="34"/>
  <c r="E7" i="30"/>
  <c r="F7" i="30" s="1"/>
  <c r="D7" i="34"/>
  <c r="E9" i="30"/>
  <c r="F9" i="30" s="1"/>
  <c r="C9" i="34"/>
  <c r="E6" i="30"/>
  <c r="F6" i="30" s="1"/>
  <c r="E10" i="30"/>
  <c r="F10" i="30" s="1"/>
  <c r="E11" i="29"/>
  <c r="F11" i="29" s="1"/>
  <c r="E9" i="29"/>
  <c r="F9" i="29" s="1"/>
  <c r="E12" i="29"/>
  <c r="F12" i="29" s="1"/>
  <c r="E7" i="29"/>
  <c r="F7" i="29" s="1"/>
  <c r="E8" i="29"/>
  <c r="F8" i="29" s="1"/>
  <c r="E10" i="29"/>
  <c r="F10" i="29" s="1"/>
  <c r="E11" i="18"/>
  <c r="F11" i="18" s="1"/>
  <c r="E13" i="18"/>
  <c r="F13" i="18" s="1"/>
  <c r="E9" i="18"/>
  <c r="F9" i="18" s="1"/>
  <c r="H10" i="18"/>
  <c r="I10" i="18" s="1"/>
  <c r="E13" i="30"/>
  <c r="F13" i="30" s="1"/>
  <c r="E12" i="30"/>
  <c r="F12" i="30" s="1"/>
  <c r="H12" i="30"/>
  <c r="E8" i="30"/>
  <c r="F8" i="30" s="1"/>
  <c r="H7" i="30"/>
  <c r="H11" i="30"/>
  <c r="H9" i="30"/>
  <c r="E11" i="30"/>
  <c r="F11" i="30" s="1"/>
  <c r="H6" i="30"/>
  <c r="I6" i="30" s="1"/>
  <c r="H13" i="30"/>
  <c r="H10" i="30"/>
  <c r="H8" i="30"/>
  <c r="E6" i="29"/>
  <c r="F6" i="29" s="1"/>
  <c r="H9" i="29"/>
  <c r="I9" i="29" s="1"/>
  <c r="H11" i="29"/>
  <c r="I11" i="29" s="1"/>
  <c r="H6" i="29"/>
  <c r="H13" i="29"/>
  <c r="I13" i="29" s="1"/>
  <c r="E13" i="29"/>
  <c r="F13" i="29" s="1"/>
  <c r="H8" i="29"/>
  <c r="I8" i="29" s="1"/>
  <c r="H10" i="29"/>
  <c r="I10" i="29" s="1"/>
  <c r="H7" i="18"/>
  <c r="I7" i="18" s="1"/>
  <c r="E10" i="18"/>
  <c r="F10" i="18" s="1"/>
  <c r="H12" i="18"/>
  <c r="H13" i="18"/>
  <c r="I13" i="18" s="1"/>
  <c r="H11" i="18"/>
  <c r="I11" i="18" s="1"/>
  <c r="E6" i="18"/>
  <c r="F6" i="18" s="1"/>
  <c r="H9" i="18"/>
  <c r="I9" i="18" s="1"/>
  <c r="E12" i="18"/>
  <c r="F12" i="18" s="1"/>
  <c r="E7" i="18"/>
  <c r="F7" i="18" s="1"/>
  <c r="H8" i="18"/>
  <c r="I8" i="18" s="1"/>
  <c r="H6" i="18"/>
  <c r="I6" i="18" s="1"/>
  <c r="E8" i="18"/>
  <c r="F8" i="18" s="1"/>
  <c r="H9" i="1"/>
  <c r="I9" i="1" s="1"/>
  <c r="E13" i="1"/>
  <c r="F13" i="1" s="1"/>
  <c r="H6" i="1"/>
  <c r="I6" i="1" s="1"/>
  <c r="H7" i="1"/>
  <c r="I7" i="1" s="1"/>
  <c r="H8" i="1"/>
  <c r="I12" i="1"/>
  <c r="I11" i="1"/>
  <c r="E10" i="1"/>
  <c r="F10" i="1" s="1"/>
  <c r="I8" i="72"/>
  <c r="I6" i="72"/>
  <c r="I10" i="1"/>
  <c r="E9" i="1"/>
  <c r="F9" i="1" s="1"/>
  <c r="E6" i="1"/>
  <c r="F6" i="1" s="1"/>
  <c r="E11" i="1"/>
  <c r="F11" i="1" s="1"/>
  <c r="E7" i="1"/>
  <c r="F7" i="1" s="1"/>
  <c r="E12" i="1"/>
  <c r="F12" i="1" s="1"/>
  <c r="I13" i="1"/>
  <c r="G2" i="18"/>
  <c r="D2" i="30"/>
  <c r="D2" i="18"/>
  <c r="E5" i="18"/>
  <c r="F5" i="18" s="1"/>
  <c r="E4" i="18"/>
  <c r="F4" i="18" s="1"/>
  <c r="D4" i="34"/>
  <c r="E4" i="30"/>
  <c r="F4" i="30" s="1"/>
  <c r="E5" i="30"/>
  <c r="F5" i="30" s="1"/>
  <c r="D2" i="29"/>
  <c r="H2" i="33"/>
  <c r="I2" i="33" s="1"/>
  <c r="J2" i="33"/>
  <c r="H2" i="32"/>
  <c r="I2" i="32" s="1"/>
  <c r="J2" i="32"/>
  <c r="H2" i="31"/>
  <c r="I2" i="31" s="1"/>
  <c r="J2" i="31"/>
  <c r="H2" i="28"/>
  <c r="I2" i="28" s="1"/>
  <c r="J2" i="28"/>
  <c r="E2" i="28"/>
  <c r="F2" i="28" s="1"/>
  <c r="H2" i="27"/>
  <c r="I2" i="27" s="1"/>
  <c r="J2" i="27"/>
  <c r="H2" i="26"/>
  <c r="I2" i="26" s="1"/>
  <c r="J2" i="26"/>
  <c r="H2" i="19"/>
  <c r="I2" i="19" s="1"/>
  <c r="E2" i="20"/>
  <c r="F2" i="20" s="1"/>
  <c r="J2" i="20"/>
  <c r="H2" i="20"/>
  <c r="I2" i="20" s="1"/>
  <c r="H2" i="21"/>
  <c r="I2" i="21" s="1"/>
  <c r="J2" i="21"/>
  <c r="H2" i="4"/>
  <c r="I2" i="4" s="1"/>
  <c r="J2" i="4"/>
  <c r="H2" i="3"/>
  <c r="I2" i="3" s="1"/>
  <c r="G2" i="1"/>
  <c r="E5" i="1"/>
  <c r="F5" i="1" s="1"/>
  <c r="H4" i="30"/>
  <c r="I4" i="30" s="1"/>
  <c r="H5" i="30"/>
  <c r="I6" i="26"/>
  <c r="I9" i="26"/>
  <c r="I12" i="26"/>
  <c r="I15" i="26"/>
  <c r="H4" i="29"/>
  <c r="I4" i="29" s="1"/>
  <c r="H5" i="29"/>
  <c r="I5" i="29" s="1"/>
  <c r="I7" i="26"/>
  <c r="H4" i="18"/>
  <c r="I4" i="18" s="1"/>
  <c r="C4" i="34"/>
  <c r="H5" i="18"/>
  <c r="I5" i="18" s="1"/>
  <c r="C2" i="29"/>
  <c r="C2" i="30"/>
  <c r="E4" i="29"/>
  <c r="F4" i="29" s="1"/>
  <c r="C2" i="18"/>
  <c r="H4" i="1"/>
  <c r="H5" i="1"/>
  <c r="I5" i="1" s="1"/>
  <c r="C2" i="1"/>
  <c r="E2" i="3"/>
  <c r="F2" i="3" s="1"/>
  <c r="E4" i="1"/>
  <c r="F4" i="1" s="1"/>
  <c r="D2" i="1"/>
  <c r="E2" i="33"/>
  <c r="F2" i="33" s="1"/>
  <c r="E2" i="32"/>
  <c r="F2" i="32" s="1"/>
  <c r="E2" i="31"/>
  <c r="F2" i="31" s="1"/>
  <c r="E2" i="27"/>
  <c r="F2" i="27" s="1"/>
  <c r="E2" i="26"/>
  <c r="F2" i="26" s="1"/>
  <c r="E2" i="19"/>
  <c r="F2" i="19" s="1"/>
  <c r="E2" i="21"/>
  <c r="F2" i="21" s="1"/>
  <c r="E2" i="4"/>
  <c r="F2" i="4" s="1"/>
  <c r="H2" i="72"/>
  <c r="E13" i="34" l="1"/>
  <c r="F13" i="34" s="1"/>
  <c r="E7" i="34"/>
  <c r="F7" i="34" s="1"/>
  <c r="E5" i="34"/>
  <c r="F5" i="34" s="1"/>
  <c r="E11" i="34"/>
  <c r="F11" i="34" s="1"/>
  <c r="G2" i="34"/>
  <c r="E9" i="34"/>
  <c r="F9" i="34" s="1"/>
  <c r="I5" i="30"/>
  <c r="H5" i="34"/>
  <c r="I5" i="34" s="1"/>
  <c r="I9" i="30"/>
  <c r="H9" i="34"/>
  <c r="I9" i="34" s="1"/>
  <c r="I12" i="30"/>
  <c r="H12" i="34"/>
  <c r="I12" i="34" s="1"/>
  <c r="I13" i="30"/>
  <c r="H13" i="34"/>
  <c r="I13" i="34" s="1"/>
  <c r="I8" i="30"/>
  <c r="H8" i="34"/>
  <c r="I8" i="34" s="1"/>
  <c r="I7" i="30"/>
  <c r="H7" i="34"/>
  <c r="I7" i="34" s="1"/>
  <c r="I11" i="30"/>
  <c r="H11" i="34"/>
  <c r="I11" i="34" s="1"/>
  <c r="I10" i="30"/>
  <c r="H10" i="34"/>
  <c r="I10" i="34" s="1"/>
  <c r="I6" i="29"/>
  <c r="H6" i="34"/>
  <c r="I6" i="34" s="1"/>
  <c r="E6" i="34"/>
  <c r="F6" i="34" s="1"/>
  <c r="E2" i="29"/>
  <c r="F2" i="29" s="1"/>
  <c r="E10" i="34"/>
  <c r="F10" i="34" s="1"/>
  <c r="I12" i="18"/>
  <c r="E12" i="34"/>
  <c r="F12" i="34" s="1"/>
  <c r="I8" i="1"/>
  <c r="E8" i="34"/>
  <c r="F8" i="34" s="1"/>
  <c r="D2" i="34"/>
  <c r="E4" i="34"/>
  <c r="F4" i="34" s="1"/>
  <c r="H2" i="1"/>
  <c r="I2" i="1" s="1"/>
  <c r="C2" i="34"/>
  <c r="I4" i="1"/>
  <c r="H4" i="34"/>
  <c r="I4" i="34" s="1"/>
  <c r="H2" i="29"/>
  <c r="I2" i="29" s="1"/>
  <c r="H2" i="30"/>
  <c r="I2" i="30" s="1"/>
  <c r="E2" i="30"/>
  <c r="F2" i="30" s="1"/>
  <c r="H2" i="18"/>
  <c r="I2" i="18" s="1"/>
  <c r="E2" i="18"/>
  <c r="F2" i="18" s="1"/>
  <c r="E2" i="1"/>
  <c r="F2" i="1" s="1"/>
  <c r="I2" i="72"/>
  <c r="E2" i="72"/>
  <c r="F2" i="72"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<sst xmlns="http://schemas.openxmlformats.org/spreadsheetml/2006/main" count="421" uniqueCount="192">
  <si>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</si>
  <si>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</si>
  <si>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</si>
  <si>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</si>
  <si>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</si>
  <si>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</si>
  <si>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</si>
  <si>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</si>
  <si>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</si>
  <si>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</si>
  <si>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</si>
  <si>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</si>
  <si>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</si>
  <si>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</si>
  <si>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</si>
  <si>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</si>
  <si>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</si>
  <si>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</si>
  <si>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</si>
  <si>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</si>
  <si>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</si>
  <si>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</si>
  <si>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 Inverter 1 was offline on 01/10 and back online on 1/11 and again inverter 1 was offline from 01/21 to 01/25 Inverter 1 will hard starts with low IR., Inverter 2 started late on 01/21 at 12:30pm and inverter 2 tripping on and offline throughout the month due to  ZERO SEQUENCE fault</t>
  </si>
  <si>
    <t>1.SR095491,	SR095824</t>
  </si>
  <si>
    <t>SR095824</t>
  </si>
  <si>
    <t>1.Inverter 1 has been offline since 12/02 due to a common-mode fault. Bold Renewables advised replacing the AC contactor, which was replaced on 01/29, and the inverter was brought back online.</t>
  </si>
  <si>
    <t>1. 	SR093905</t>
  </si>
  <si>
    <t>1.Low generation due to weather/snow.</t>
  </si>
  <si>
    <t>1. As per the meter, 1 inverter is offline and also according to the meter, some trackers do appear to be stuck.</t>
  </si>
  <si>
    <t>1. SR096263</t>
  </si>
  <si>
    <t>1. Inverter 1 is derating by 1000kW due to Impulsion fan comms issue from 11/20</t>
  </si>
  <si>
    <t>1. SR093458</t>
  </si>
  <si>
    <t>1. Inverter 57 was offline throughout the month due to fault permanent power module failure. 
2.  Inverters 29, 30, 32, 64, 68, 69, 78, and 80 are offline due to a hunt. The LOTO has been applied to the inverters, and all trackers are stuck.</t>
  </si>
  <si>
    <t>1. SR094033
2. SR095849</t>
  </si>
  <si>
    <t>SR095849</t>
  </si>
  <si>
    <t>1.  Trackers group A to J are currently in wind stow status for whole month.</t>
  </si>
  <si>
    <t>1. SR096181</t>
  </si>
  <si>
    <t>1. Site tripped offline on 12/30 due to a squirrel climbing the utility pole and shorting the phase B fuse after installing cut out fuse on 01/21 the site was back online at 11:00am on 01/21.
2. Site was tripped offline at 14:15 on 01/29 due to inverter voltages was dropped &amp; reported "Grid Phase Voltage Out of Range" and site was back online at 16:20 on 01/21.
3. Inverter 23 is underproducing due to FTC tracker - network control unit 2: tracker motor 7 is not tracking.</t>
  </si>
  <si>
    <t>1. SR095130
2. SR096122
3. SR096074</t>
  </si>
  <si>
    <t>SR096122</t>
  </si>
  <si>
    <t>SR096074</t>
  </si>
  <si>
    <t>1.Trackers D28, A27, and C26 are stuck for whole month due to defective batteries.</t>
  </si>
  <si>
    <t>1. 	SR091277</t>
  </si>
  <si>
    <t>1. Site was not communicated for whole month due to bad modem.</t>
  </si>
  <si>
    <t>1. SR094062</t>
  </si>
  <si>
    <t>February Actual v. Expected</t>
  </si>
  <si>
    <t>February Actual v. Forecasted</t>
  </si>
  <si>
    <t>1. Inverter 2 was tripping offline for several hours in the middle of the day throughout the month. A synchronization card is required to bring the inverter back to normal.</t>
  </si>
  <si>
    <t>1. SR095824</t>
  </si>
  <si>
    <t>1. Low generation due to weather/snow.</t>
  </si>
  <si>
    <t>1. As per meter data, 1 inverter was offline. Additionally few trackers were struck. Working with NREL for dispatch.</t>
  </si>
  <si>
    <t>1. Inverter 1 is derating by 1000kW due to Impulsion fan comms issue since 11/20. Waiting on DGA syringe to group with the dispatch.</t>
  </si>
  <si>
    <t xml:space="preserve"> 1. Inverter 2 tripped offline at 09:04 AM on 02/06/25, reporting a Permanent fault of power module. On 02/07/25, the technician reset the inverter, but the same fault occurred. Chint confirmed a power head failure, and a ticket was issued for replacement. On 02/27/25, the technician replaced the malfunctioning inverter with a new one brought back online at 10:15AM the same day.
2. Inverter 57 back online at 11:45AM on 02/07/25 after technician replaced old powerhead with new.
3.Inverter 9 tripped offline at 09:30 AM on 02/18/25 due to a permanent power module failure. Parts are required to bring it back online, and it remained offline throughout the month
4. Inverter 65 is derated by 50 kW due to an external fan error on 02/21, 02/22. On 02/24/25, a technician found no faults, compared output with nearby inverters (which were similar), and confirmed with Chint that no issues were detected.
5.  Inverter 42 was derated by approximately 54 kW compared to its peers due to an external fan error on 02/21 to 02/23. On 02/24/25, a technician discovered a string wrapped around the fans, removed the old pull from the unit, and brought it to the expected production level the same day.
6. Inverter 60 was derating by approximately 50 kW due to an external fan fault issue from 02/27/25.
7. Inverters 29, 30, 64, 68, 69, 78,79 and 80 are offline and confirmed with Hunt these inverters are LOTOd. Additionally all trackers were struck.</t>
  </si>
  <si>
    <t>1.SR096391
2. SR094033
3. SR097304
4. SR097622
5. SR097663
6. SR097884
7. SR095849, SR083529, SR085269</t>
  </si>
  <si>
    <t>SR094033</t>
  </si>
  <si>
    <t>SR097304</t>
  </si>
  <si>
    <t>SR097622</t>
  </si>
  <si>
    <t>SR097663</t>
  </si>
  <si>
    <t>SR097884</t>
  </si>
  <si>
    <t>SR083529</t>
  </si>
  <si>
    <t>SR085269</t>
  </si>
  <si>
    <t>1. Inverter 21 was derating by 50kW from 02/24 due to External Fan fault.
2. Trackers A to J have been stuck since 01/31/25. On 02/04/25, a technician found 56 stuck trackers across the site. On 02/13/25, the technician removed the fuse and power-cycled each tracker, restoring tracking on most of the site. However, 22 trackers remained stuck, and a ticket was submitted to meet with Soltec technicians to diagnose the recurring communication issue. On 02/18/25, the technician found some trackers were not communicating with RSUs. After installing a new tracker, 12 trackers still required additional troubleshooting.</t>
  </si>
  <si>
    <t>1. SR097728
2. SR096181</t>
  </si>
  <si>
    <t>SR096181</t>
  </si>
  <si>
    <t>1. Inverter 23 is underproducing due to FTC tracker - network control unit 2 and tracker motor 7 are not tracking. On 02/03/25, the technician found 3 trackers stuck and power-cycled them. After 30 minutes, they resumed tracking, but tracker motor 7 requires additional troubleshooting. On 02/19/25, the technician confirmed with steven and RMA'd the motor.
2. Trackers 8, 10, 45, and 46 have been stuck since 02/16/25. On 02/19/25, the technician found them in the stow position due to defective batteries, requiring additional troubleshooting. By 02/27/25, motors 8 and 45 self-resolved, while 10 and 46 remain stuck.</t>
  </si>
  <si>
    <t>1. SR096074, SR096778
2. SR097433, 	SR097757</t>
  </si>
  <si>
    <t>SR096778</t>
  </si>
  <si>
    <t>SR097433</t>
  </si>
  <si>
    <t>SR097757</t>
  </si>
  <si>
    <t xml:space="preserve"> 1.The Hukseflux SR15-D1 - POA is missing communication since 02/14/25. GHI, double mod, and BPOA are currently communicating.
2. Trackers D28, A27, and C26 are stuck for whole month due to defective batteries.
3. Multiple tracker motors have been stuck since 02/11/25 due to snow</t>
  </si>
  <si>
    <t>1. SR097908
2. SR091277
3. SR096700</t>
  </si>
  <si>
    <t>SR091277</t>
  </si>
  <si>
    <t>SR096700</t>
  </si>
  <si>
    <t>March Actual v. Expected</t>
  </si>
  <si>
    <t>March Actual v. Forecasted</t>
  </si>
  <si>
    <t>1.Inverter 2 was tripping offline for several hours in the middle of the day throughout the month. A synchronization card and logic board are required to bring the inverter back to normal.</t>
  </si>
  <si>
    <t>1.SR095824</t>
  </si>
  <si>
    <t>1.Meter power dropped to zero from 13:15 to 15:30 on 03/06.</t>
  </si>
  <si>
    <t>1.SR098228</t>
  </si>
  <si>
    <t>1.SR096263</t>
  </si>
  <si>
    <t>1.Inverter 1 was derating by 1000kw due to Impulsion fan Comms issue since 11/20/24. On 03/04, technician replaced bad exhaust fan with new fan and re-energized the inverter but didn't have the required software needed to configure it for proper operation. Again inverter started derating by 1.7MW due to fan fault from 03/29.
2.Inverter 1 tripped offline at 13:45 on 03/15 due to  Fault:197 and back online at 11AM on 03/16 again tripped offline at 12:30 on 03/16 and back online by remote reset at 10:15AM on 03/17. Again tripped offline at 12PM on 03/21 and self resolved and back online on 03/24.
3.Inverter 2 was offline from 03/07 due to Isolation fault and was offline through out the month.</t>
  </si>
  <si>
    <t>1.SR093458 &amp; SR099185
2.SR098335
3.SR098248</t>
  </si>
  <si>
    <t>SR099185</t>
  </si>
  <si>
    <t>SR098335</t>
  </si>
  <si>
    <t>SR098248</t>
  </si>
  <si>
    <t xml:space="preserve">1.Inverter 9 was offline from 02/18 due to Bus (sum) Over Voltage fault and inverter power head was being RMA'D from 02/24. On 03/07, the technician replaced the RMA'd inverter power head with a new unit, and the inverter is now operating in line with peer inverters.
2.Inverter 60 was derating by approximately 50 kW due to an external fan fault issue from 02/27/25 and producing normal after technician replaced RMA'D fan with new fan on 03/10.
3.Inverter 13 has been underproducing by approximately 30 kW compared to its peers since the MC4 connectors were replaced in early December 2024 to resolve ongoing tripping issues. 
4.Inverter 64 was offline from 12/18/24 which was LOTO'd.
5.Inverters 29, 30, 64, 68, 69, 78,79 and 80 are offline from 12/26/24 and confirmed with Hunt these inverters are LOTOd.
6.Soltec Tracker Full T01: Motors 22, 77, 138 were stuck.
Soltec Tracker Full T02: Motors 4, 21, 23, 32, 37, 58, 61, 83 were stuck.
Soltec Tracker Full T03: Motors 13, 52 were stuck.
Soltec Tracker Full T04: Motors 1, 11, 27, 28, 29, 32, 39, 51, 57, 65, 75, 88, 94, 112, 113 were stuck through out the month.
7.Energy values are updated till 03/10, and from 03/11 the data is in TrueGreen client templete. </t>
  </si>
  <si>
    <t>1.SR097304
2.SR097884
3.SR098364
4.SR099221
5.SR095849
6.SR099224</t>
  </si>
  <si>
    <t>SR098364</t>
  </si>
  <si>
    <t>SR099221</t>
  </si>
  <si>
    <t>SR099224</t>
  </si>
  <si>
    <t xml:space="preserve">1.Inverter 21 was derating by 50kW on high irradiance days from 02/24 due to External Fan fault. 
2.12 trackers were stuck from 02/18. On 03/10 technician checked in and worked with erika and brought back 5 trackers back online and 4 trackers were still truck.  One new tracker has no lights good fuse and module is only putting out 30 V. Will need a new module.
3.Energy values are updated till 03/10 , and from 03/11 the data is in TrueGreen client templete. </t>
  </si>
  <si>
    <t>1.SR097728
2.SR096181</t>
  </si>
  <si>
    <t xml:space="preserve">1.Inverter 18 tripped offline at 11:45AM on 03/01 due to Inverter Over Current and self resolved and back online on 03/02.
2.Inverter 15 tripped offline at 13:30 on 03/08 due to Inverter Over Current and self resolved and back online on 03/09.
3.NCU 1 motors 10, &amp; 46 were stuck from 02/16.
4.NCU 2 motor 7 was stuck and motor was being RMA'd from 02/19.
5. Energy values are updated till 03/10, and from 03/11 the data is in TrueGreen client templete. </t>
  </si>
  <si>
    <t xml:space="preserve">1.SR097945
2.SR098302
3.SR097757
4.SR096778 &amp;SR098566
</t>
  </si>
  <si>
    <t>SR098302</t>
  </si>
  <si>
    <t>SR098566</t>
  </si>
  <si>
    <t xml:space="preserve">1.The Hukseflux SR15-D1 - POA is missing communication since 02/14/25 and resumed communication at 16:00 on 03/03.
2.Trackers D28, A27, and C26 have been stuck all month due to bad batteries. On March 3, tech installed 2 new batteries, but 5 trackers remain stuck—3 not yet added, 2 showing low voltage. HMI login failed due to system error.
3.Multiple tracker motors have been stuck since 02/11/25. Shared SPS info with Soltec; awaiting response. Unable to access Soltec internal HMI onsite due to server connection issue.
4.Energy values are updated till 03/10 ,  and from 03/11 the data is in TrueGreen client templete. </t>
  </si>
  <si>
    <t>1.SR097908
2.SR091277 
3.SR096700</t>
  </si>
  <si>
    <t>1.SR097305</t>
  </si>
  <si>
    <t>April Actual v. Expected</t>
  </si>
  <si>
    <t>April Actual v. Forecasted</t>
  </si>
  <si>
    <t>1.  Inverter 1 was tripped offline at 03:45pm on 04/14 due to damage to the internal components from a thermal event. 
2. Bold and ameresco technicians were on site on 04/01 to troubleshoot inverters. Inverter 2 remained offline on 04/01 after installing the new AC contactor and its feeders inverter 2 was back online on 04/02 at 02:25pm.</t>
  </si>
  <si>
    <t>1. SR099790
2. SR095824</t>
  </si>
  <si>
    <t xml:space="preserve">1. Meter dropped production upto 219kW on 04/08 and later on 04/11 technician found inverter 4 was offline and was able to reenergize the inverter. </t>
  </si>
  <si>
    <t>1. SR099593</t>
  </si>
  <si>
    <t>1. On 04/18 and 04/19 the production was low due to bad weather.</t>
  </si>
  <si>
    <t>1.As per the meter 1 inverter was offline and also there were struck trackers. Additionally, meter was down about another 146KW and likely 1 inveter offline and another inverter at half production.Working with NREL for dispatch.</t>
  </si>
  <si>
    <t>1. Inverter 1 was derating for whole month fan being replaced and during visit on 04/14 technician found twelve AC capacitors requiring replacement.
2. Inverter 2 was tripped offline on 04/06 at 18:00 due to GFDI. inverter 2 needs DC contactors and possibly capacitors.</t>
  </si>
  <si>
    <t>1. SR099994, 	SR099185
2. SR099478</t>
  </si>
  <si>
    <t>SR099478</t>
  </si>
  <si>
    <t>1.These sites are moved to true green portifolio</t>
  </si>
  <si>
    <t>May Actual v. Expected</t>
  </si>
  <si>
    <t>May Actual v. Forecasted</t>
  </si>
  <si>
    <t xml:space="preserve">1.Inverter 1 was offline due to damage to internal components caused by a thermal event. On 05/13, a Bold Renewables technician inspected both inverters and site was remained offline from 05/13 to End of the month due to exposed wires and safety concerns and the inverters need further troubleshooting due to faulty parts.
</t>
  </si>
  <si>
    <t xml:space="preserve">1.SR101579, SR099790, SR101399
</t>
  </si>
  <si>
    <t>SR099790</t>
  </si>
  <si>
    <t>SR101399</t>
  </si>
  <si>
    <t>1. The site was taken offline at 12:35 on 05/27 while a technician was on-site performing a DAS retrofit to the power track, and it was brought back online at 14:21 on 05/28.</t>
  </si>
  <si>
    <t>1. SR093280</t>
  </si>
  <si>
    <t>1. As per the meter 1 inverter was offline for whole month and also there were struck trackers. Additionally, meter was down about another 146KW and likely 1 inveter offline and another inverter at half production.Working with NREL for dispatch.</t>
  </si>
  <si>
    <t xml:space="preserve">1. Inverter B tripped offline on 04/06 at 18:00 due to a GFDI fault. The inverter requires new DC contactors and possibly capacitors. A technician visited the site on 05/15, installed a new LS filter, and de-energized the inverter; it came back online at 12:00 the same day.Later, on 05/21 at 07:00, Inverter B tripped offline again, reporting an F45 insulation fault. It was remotely reset and came back online at 14:00. Additionally, on 05/22, Inverter B was offline again from 08:45 to 10:30 due to Pratt being on site to replace the SEL-651R reclosing relay on the inverter.
2. Inverter A was derated by 1000KW down on 05/15 at 09:15 technician took the inverter offline to replace capacitors and exhaust fan. later inverter was re-energized at EOD. Additionally, Inverter A was offline from 15:30 to 17:15 on 05/17 while a technician was on site and performing preventive maintenance inspection. Inverter A was intermittently tripping on and off throughout the day on 05/30.
</t>
  </si>
  <si>
    <t>1. SR099478 
SR101785, SR101822
2. SR099994, SR099185, SR102003, SR102210
PM8642</t>
  </si>
  <si>
    <t>SR101785</t>
  </si>
  <si>
    <t>SR101822</t>
  </si>
  <si>
    <t>SR099994</t>
  </si>
  <si>
    <t>SR102003</t>
  </si>
  <si>
    <t>SR102210</t>
  </si>
  <si>
    <t>1. These sites are moved to true green portifolio</t>
  </si>
  <si>
    <t>June Actual v. Expected</t>
  </si>
  <si>
    <t>June Actual v. Forecasted</t>
  </si>
  <si>
    <t>1. Inverter 1 was offline from 06/01 to 17:30 on 06/04
2.  Inverter 2 was offline from 06/01 to 17:30 on 06/04</t>
  </si>
  <si>
    <t>1. SR099790, SR101579
2. SR101399, PM9684</t>
  </si>
  <si>
    <t>SR101579</t>
  </si>
  <si>
    <t>1. Site production was low on 06/03, 06/17 due to low irradiance.</t>
  </si>
  <si>
    <t>1. As per meter 1 inverter was offline for whole month.</t>
  </si>
  <si>
    <t>1. These sites are moved to Altus portifolio</t>
  </si>
  <si>
    <t>July Actual v. Expected</t>
  </si>
  <si>
    <t>July Actual v. Forecasted</t>
  </si>
  <si>
    <t>1. Inverter 2 was underproducing for whole month.</t>
  </si>
  <si>
    <t>1. SR102730</t>
  </si>
  <si>
    <t xml:space="preserve">1. Site was taken offline from 14:00 to 15:45 on 07/24 due to transformer work.
</t>
  </si>
  <si>
    <t>1. SR103430, PM13367</t>
  </si>
  <si>
    <t>1. Site production was low on 07/14, 07/29</t>
  </si>
  <si>
    <t>1.  Inverter 3 was offline from 07/01 to 07/29 and inverter 2 was offline for whole month. About 30 strings were down and needed connector replacements across the entire site.</t>
  </si>
  <si>
    <t>August Actual v. Expected</t>
  </si>
  <si>
    <t>August Actual v. Forecasted</t>
  </si>
  <si>
    <t>1. Inverter 2 was underproducing by 20 kW since 06/09.</t>
  </si>
  <si>
    <t>1. As per site weather station data, the plant is performing as expected. The forecasted (theoretical) values appear higher because they are based on long-term average weather data (typically 10–15 years). In contrast, actual vs expected generation reflects real-time weather conditions during the period, providing a more accurate measure of current performance.</t>
  </si>
  <si>
    <t>1.  Inverter 2 was offline for whole month. About 30 strings were down and needed connector replacements across the entire site.</t>
  </si>
  <si>
    <t>September Actual v. Expected</t>
  </si>
  <si>
    <t>September Actual v. Forecasted</t>
  </si>
  <si>
    <t>1. Inverter 2 was underperforming by 20kW for whole month.</t>
  </si>
  <si>
    <t>1. Few modules need to be replaced.</t>
  </si>
  <si>
    <t>1. SR106365</t>
  </si>
  <si>
    <t>1. Inverter 3 was offline from 09/01 to 09/26.
2. Inverter 2 was offline for whole month.</t>
  </si>
  <si>
    <t>1. SR107074
2. SR107072</t>
  </si>
  <si>
    <t>October Actual v. Expected</t>
  </si>
  <si>
    <t>October Actual v. Forecasted</t>
  </si>
  <si>
    <t>November Actual v. Expected</t>
  </si>
  <si>
    <t>November Actual v. Forecasted</t>
  </si>
  <si>
    <t>December Actual v. Expected</t>
  </si>
  <si>
    <t>December Actual v. Forecasted</t>
  </si>
  <si>
    <t>Portfolio:</t>
  </si>
  <si>
    <t>Tortoise</t>
  </si>
  <si>
    <t>Site DAS Name</t>
  </si>
  <si>
    <t>Update</t>
  </si>
  <si>
    <t>DAS</t>
  </si>
  <si>
    <t>003 - Alamosa School District</t>
  </si>
  <si>
    <t>Alamosa School District</t>
  </si>
  <si>
    <t>CO</t>
  </si>
  <si>
    <t>002 - San Luis Valley Regional MC</t>
  </si>
  <si>
    <t>San Luis Valley</t>
  </si>
  <si>
    <t>002 - NREL 2</t>
  </si>
  <si>
    <t>Golden NREL 2</t>
  </si>
  <si>
    <t>004 - NREL Wind 3</t>
  </si>
  <si>
    <t>Golden NREL Wind 3</t>
  </si>
  <si>
    <t>Kenyon Energy KS Solar</t>
  </si>
  <si>
    <t>Pratt Solar Farm</t>
  </si>
  <si>
    <t>KS</t>
  </si>
  <si>
    <t>MN WestSide Solar</t>
  </si>
  <si>
    <t>Rochester - 5516 Valleyhigh NW</t>
  </si>
  <si>
    <t>MN</t>
  </si>
  <si>
    <t>Hemings (VA) - ODEC</t>
  </si>
  <si>
    <t>Warsaw - 2201 Richmond</t>
  </si>
  <si>
    <t>VA</t>
  </si>
  <si>
    <t>Randolf (VA) - ODEC</t>
  </si>
  <si>
    <t>Mount Jackson - Randolf</t>
  </si>
  <si>
    <t>Monroe Solar (MEC) - ODEC</t>
  </si>
  <si>
    <t>Callands Gretna - Monroe</t>
  </si>
  <si>
    <t>Smallmouth Bass (BARC) - ODEC</t>
  </si>
  <si>
    <t>Rockbridge Baths - Small Mouth Bass</t>
  </si>
  <si>
    <t>SR107072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</si>
</sst>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00_);_(* \(#,##0.00\);_(* &quot;-&quot;??_);_(@_)"/>
    <numFmt numFmtId="165" formatCode="_(* #,##0_);_(* \(#,##0\);_(* &quot;-&quot;??_);_(@_)"/>
  </numFmts>
  <fonts count="40" x14ac:knownFonts="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2"/>
      <name val="Calibri"/>
      <family val="2"/>
    </font>
    <font>
      <sz val="11"/>
      <name val="Calibri"/>
      <family val="2"/>
      <scheme val="minor"/>
    </font>
    <font>
      <sz val="8"/>
      <name val="Arial"/>
      <family val="2"/>
    </font>
    <font>
      <u/>
      <sz val="10"/>
      <color theme="10"/>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2">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s>
  <cellStyleXfs count="46">
    <xf numFmtId="0" fontId="0" fillId="0" borderId="0"/>
    <xf numFmtId="164"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9" fillId="0" borderId="0" applyNumberFormat="0" applyFill="0" applyBorder="0" applyAlignment="0" applyProtection="0"/>
  </cellStyleXfs>
  <cellXfs count="78">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23" fillId="0" borderId="0" xfId="43" applyFont="1"/>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5"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5"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0" fontId="25" fillId="42" borderId="1" xfId="0" applyFont="1" applyFill="1" applyBorder="1" applyAlignment="1">
      <alignment horizontal="center" vertical="center"/>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3" fillId="0" borderId="0" xfId="0" applyFont="1"/>
    <xf numFmtId="0" fontId="36" fillId="0" borderId="0" xfId="0" applyFont="1"/>
    <xf numFmtId="49" fontId="37" fillId="38" borderId="0" xfId="2" applyNumberFormat="1" applyFont="1" applyFill="1" applyBorder="1" applyAlignment="1">
      <alignment horizontal="left" vertical="top" wrapText="1"/>
    </xf>
    <xf numFmtId="165" fontId="29" fillId="44" borderId="0" xfId="1" applyNumberFormat="1" applyFont="1" applyFill="1" applyAlignment="1">
      <alignment horizontal="center" vertical="center"/>
    </xf>
    <xf numFmtId="3" fontId="31" fillId="4" borderId="0" xfId="1" applyNumberFormat="1" applyFont="1" applyFill="1" applyBorder="1" applyAlignment="1">
      <alignment vertical="center" wrapText="1"/>
    </xf>
    <xf numFmtId="49" fontId="29" fillId="0" borderId="0" xfId="0" applyNumberFormat="1" applyFont="1" applyAlignment="1">
      <alignment horizontal="left" vertical="top" wrapText="1"/>
    </xf>
    <xf numFmtId="49" fontId="1" fillId="0" borderId="0" xfId="0" applyNumberFormat="1" applyFont="1" applyAlignment="1">
      <alignment horizontal="left" vertical="center" wrapText="1"/>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center"/>
    </xf>
    <xf numFmtId="165" fontId="29" fillId="0" borderId="0" xfId="1" applyNumberFormat="1" applyFont="1" applyAlignment="1">
      <alignment horizontal="center" vertical="center"/>
    </xf>
    <xf numFmtId="9" fontId="31" fillId="0" borderId="0" xfId="2" applyFont="1" applyAlignment="1">
      <alignment horizontal="center" vertical="center"/>
    </xf>
    <xf numFmtId="3" fontId="31" fillId="0" borderId="0" xfId="1" applyNumberFormat="1" applyFont="1" applyFill="1" applyBorder="1" applyAlignment="1">
      <alignment vertical="center" wrapText="1"/>
    </xf>
    <xf numFmtId="49" fontId="29" fillId="0" borderId="0" xfId="0" applyNumberFormat="1" applyFont="1" applyAlignment="1">
      <alignment vertical="top" wrapText="1"/>
    </xf>
    <xf numFmtId="9" fontId="31" fillId="37" borderId="0" xfId="2" applyFont="1" applyFill="1" applyAlignment="1">
      <alignment horizontal="center" vertical="center"/>
    </xf>
    <xf numFmtId="3" fontId="31" fillId="0" borderId="0" xfId="1" applyNumberFormat="1" applyFont="1" applyAlignment="1">
      <alignment vertical="center"/>
    </xf>
    <xf numFmtId="0" fontId="6" fillId="45" borderId="1" xfId="0" applyFont="1" applyFill="1" applyBorder="1" applyAlignment="1">
      <alignment horizontal="left" vertical="top"/>
    </xf>
    <xf numFmtId="49" fontId="39" fillId="38" borderId="0" xfId="45" applyNumberFormat="1" applyFill="1" applyBorder="1" applyAlignment="1">
      <alignment horizontal="left" vertical="top" wrapText="1"/>
    </xf>
    <xf numFmtId="49" fontId="39" fillId="0" borderId="0" xfId="45" applyNumberFormat="1" applyAlignment="1">
      <alignment horizontal="left" vertical="top" wrapText="1"/>
    </xf>
    <xf numFmtId="0" fontId="39" fillId="0" borderId="0" xfId="45" applyAlignment="1">
      <alignment horizontal="left" vertical="top"/>
    </xf>
    <xf numFmtId="0" fontId="0" fillId="0" borderId="0" xfId="0" applyAlignment="1">
      <alignment horizontal="left" vertical="top"/>
    </xf>
    <xf numFmtId="49" fontId="31" fillId="38" borderId="0" xfId="2" applyNumberFormat="1" applyFont="1" applyFill="1" applyAlignment="1">
      <alignment horizontal="left" vertical="top" wrapText="1"/>
    </xf>
    <xf numFmtId="49" fontId="1" fillId="0" borderId="0" xfId="0" applyNumberFormat="1" applyFont="1" applyAlignment="1">
      <alignment horizontal="left" vertical="top" wrapText="1"/>
    </xf>
    <xf numFmtId="0" fontId="31" fillId="0" borderId="0" xfId="0" applyFont="1" applyAlignment="1">
      <alignment vertical="center"/>
    </xf>
    <xf numFmtId="0" fontId="36" fillId="0" borderId="0" xfId="0" applyFont="1" applyAlignment="1">
      <alignment horizontal="center" vertical="center"/>
    </xf>
    <xf numFmtId="49" fontId="39" fillId="0" borderId="0" xfId="45" applyNumberFormat="1" applyAlignment="1">
      <alignment horizontal="left" vertical="center" wrapText="1"/>
    </xf>
    <xf numFmtId="49" fontId="39" fillId="38" borderId="0" xfId="45" applyNumberFormat="1" applyFill="1" applyBorder="1" applyAlignment="1">
      <alignment vertical="top" wrapText="1"/>
    </xf>
    <xf numFmtId="3" fontId="31" fillId="0" borderId="0" xfId="1" applyNumberFormat="1" applyFont="1" applyFill="1" applyBorder="1" applyAlignment="1">
      <alignment horizontal="right" vertical="center"/>
    </xf>
    <xf numFmtId="0" fontId="39" fillId="0" borderId="0" xfId="45" applyAlignment="1">
      <alignment vertical="top"/>
    </xf>
    <xf numFmtId="3" fontId="31" fillId="0" borderId="0" xfId="1" applyNumberFormat="1" applyFont="1" applyFill="1" applyBorder="1" applyAlignment="1">
      <alignment horizontal="right"/>
    </xf>
    <xf numFmtId="0" fontId="33" fillId="0" borderId="0" xfId="0" applyFont="1" applyAlignment="1">
      <alignment horizontal="left" vertical="top"/>
    </xf>
    <xf numFmtId="49" fontId="39" fillId="0" borderId="0" xfId="45" applyNumberFormat="1" applyAlignment="1">
      <alignment vertical="center"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1">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13" totalsRowShown="0">
  <autoFilter ref="A3:E13" xr:uid="{C9C95D9E-67ED-41E0-9F41-9C3DA4ACF4CD}"/>
  <sortState xmlns:xlrd2="http://schemas.microsoft.com/office/spreadsheetml/2017/richdata2" ref="A4:D6">
    <sortCondition ref="C3:C6"/>
  </sortState>
  <tableColumns count="5">
    <tableColumn id="3" xr3:uid="{3FB6FBC9-911C-415A-89D1-91E602B41CD0}" name="Site DAS Name" dataDxfId="50" dataCellStyle="Normal 2"/>
    <tableColumn id="1" xr3:uid="{9A753695-C18C-437C-AD9C-C2CE5C1A806E}" name="Site" dataDxfId="49" dataCellStyle="Normal 2"/>
    <tableColumn id="2" xr3:uid="{250F229D-34D2-4043-BE8F-6D9C210E223F}" name="State" dataDxfId="48"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6181" TargetMode="External"/><Relationship Id="rId13" Type="http://schemas.openxmlformats.org/officeDocument/2006/relationships/hyperlink" Target="https://us3.assetplanner.com/service_request?ID=094062" TargetMode="External"/><Relationship Id="rId3" Type="http://schemas.openxmlformats.org/officeDocument/2006/relationships/hyperlink" Target="https://us3.assetplanner.com/service_request?ID=093905" TargetMode="External"/><Relationship Id="rId7" Type="http://schemas.openxmlformats.org/officeDocument/2006/relationships/hyperlink" Target="https://us3.assetplanner.com/service_request?ID=095849" TargetMode="External"/><Relationship Id="rId12" Type="http://schemas.openxmlformats.org/officeDocument/2006/relationships/hyperlink" Target="https://us3.assetplanner.com/service_request?ID=091277"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5491" TargetMode="External"/><Relationship Id="rId6" Type="http://schemas.openxmlformats.org/officeDocument/2006/relationships/hyperlink" Target="https://us3.assetplanner.com/service_request?ID=094033" TargetMode="External"/><Relationship Id="rId11" Type="http://schemas.openxmlformats.org/officeDocument/2006/relationships/hyperlink" Target="https://us3.assetplanner.com/service_request?ID=096074" TargetMode="External"/><Relationship Id="rId5" Type="http://schemas.openxmlformats.org/officeDocument/2006/relationships/hyperlink" Target="https://us3.assetplanner.com/service_request?ID=093458" TargetMode="External"/><Relationship Id="rId10" Type="http://schemas.openxmlformats.org/officeDocument/2006/relationships/hyperlink" Target="https://us3.assetplanner.com/service_request?ID=096122" TargetMode="External"/><Relationship Id="rId4" Type="http://schemas.openxmlformats.org/officeDocument/2006/relationships/hyperlink" Target="https://us3.assetplanner.com/service_request?ID=096263" TargetMode="External"/><Relationship Id="rId9" Type="http://schemas.openxmlformats.org/officeDocument/2006/relationships/hyperlink" Target="https://us3.assetplanner.com/service_request?ID=095130" TargetMode="External"/><Relationship Id="rId14" Type="http://schemas.openxmlformats.org/officeDocument/2006/relationships/printerSettings" Target="../printerSettings/printerSettings3.bin"/></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97663" TargetMode="External"/><Relationship Id="rId13" Type="http://schemas.openxmlformats.org/officeDocument/2006/relationships/hyperlink" Target="https://us3.assetplanner.com/service_request?ID=097728"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3458" TargetMode="External"/><Relationship Id="rId21" Type="http://schemas.openxmlformats.org/officeDocument/2006/relationships/hyperlink" Target="https://us3.assetplanner.com/service_request?ID=096700" TargetMode="External"/><Relationship Id="rId7" Type="http://schemas.openxmlformats.org/officeDocument/2006/relationships/hyperlink" Target="https://us3.assetplanner.com/service_request?ID=097622" TargetMode="External"/><Relationship Id="rId12" Type="http://schemas.openxmlformats.org/officeDocument/2006/relationships/hyperlink" Target="https://us3.assetplanner.com/service_request?ID=085269" TargetMode="External"/><Relationship Id="rId17" Type="http://schemas.openxmlformats.org/officeDocument/2006/relationships/hyperlink" Target="https://us3.assetplanner.com/service_request?ID=097433" TargetMode="External"/><Relationship Id="rId2" Type="http://schemas.openxmlformats.org/officeDocument/2006/relationships/hyperlink" Target="https://us3.assetplanner.com/service_request?ID=096263" TargetMode="External"/><Relationship Id="rId16" Type="http://schemas.openxmlformats.org/officeDocument/2006/relationships/hyperlink" Target="https://us3.assetplanner.com/service_request?ID=096778" TargetMode="External"/><Relationship Id="rId20" Type="http://schemas.openxmlformats.org/officeDocument/2006/relationships/hyperlink" Target="https://us3.assetplanner.com/service_request?ID=091277"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7304" TargetMode="External"/><Relationship Id="rId11" Type="http://schemas.openxmlformats.org/officeDocument/2006/relationships/hyperlink" Target="https://us3.assetplanner.com/service_request?ID=083529" TargetMode="External"/><Relationship Id="rId5" Type="http://schemas.openxmlformats.org/officeDocument/2006/relationships/hyperlink" Target="https://us3.assetplanner.com/service_request?ID=094033" TargetMode="External"/><Relationship Id="rId15" Type="http://schemas.openxmlformats.org/officeDocument/2006/relationships/hyperlink" Target="https://us3.assetplanner.com/service_request?ID=096074" TargetMode="External"/><Relationship Id="rId10" Type="http://schemas.openxmlformats.org/officeDocument/2006/relationships/hyperlink" Target="https://us3.assetplanner.com/service_request?ID=095849" TargetMode="External"/><Relationship Id="rId19" Type="http://schemas.openxmlformats.org/officeDocument/2006/relationships/hyperlink" Target="https://us3.assetplanner.com/service_request?ID=097908" TargetMode="External"/><Relationship Id="rId4" Type="http://schemas.openxmlformats.org/officeDocument/2006/relationships/hyperlink" Target="https://us3.assetplanner.com/service_request?ID=096391"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6181" TargetMode="External"/><Relationship Id="rId22" Type="http://schemas.openxmlformats.org/officeDocument/2006/relationships/hyperlink" Target="https://us3.assetplanner.com/service_request?ID=094062"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https://us3.assetplanner.com/service_request?ID=097304" TargetMode="External"/><Relationship Id="rId13" Type="http://schemas.openxmlformats.org/officeDocument/2006/relationships/hyperlink" Target="https://us3.assetplanner.com/service_request?ID=099224" TargetMode="External"/><Relationship Id="rId18" Type="http://schemas.openxmlformats.org/officeDocument/2006/relationships/hyperlink" Target="https://us3.assetplanner.com/service_request?ID=097757" TargetMode="External"/><Relationship Id="rId3" Type="http://schemas.openxmlformats.org/officeDocument/2006/relationships/hyperlink" Target="https://us3.assetplanner.com/service_request?ID=096263" TargetMode="External"/><Relationship Id="rId21" Type="http://schemas.openxmlformats.org/officeDocument/2006/relationships/hyperlink" Target="https://us3.assetplanner.com/service_request?ID=097908" TargetMode="External"/><Relationship Id="rId7" Type="http://schemas.openxmlformats.org/officeDocument/2006/relationships/hyperlink" Target="https://us3.assetplanner.com/service_request?ID=098248" TargetMode="External"/><Relationship Id="rId12" Type="http://schemas.openxmlformats.org/officeDocument/2006/relationships/hyperlink" Target="https://us3.assetplanner.com/service_request?ID=095849" TargetMode="External"/><Relationship Id="rId17" Type="http://schemas.openxmlformats.org/officeDocument/2006/relationships/hyperlink" Target="https://us3.assetplanner.com/service_request?ID=098302" TargetMode="External"/><Relationship Id="rId2" Type="http://schemas.openxmlformats.org/officeDocument/2006/relationships/hyperlink" Target="https://us3.assetplanner.com/service_request?ID=098228" TargetMode="External"/><Relationship Id="rId16" Type="http://schemas.openxmlformats.org/officeDocument/2006/relationships/hyperlink" Target="https://us3.assetplanner.com/service_request?ID=097945" TargetMode="External"/><Relationship Id="rId20" Type="http://schemas.openxmlformats.org/officeDocument/2006/relationships/hyperlink" Target="https://us3.assetplanner.com/service_request?ID=098566" TargetMode="External"/><Relationship Id="rId1" Type="http://schemas.openxmlformats.org/officeDocument/2006/relationships/hyperlink" Target="https://us3.assetplanner.com/service_request?ID=095824" TargetMode="External"/><Relationship Id="rId6" Type="http://schemas.openxmlformats.org/officeDocument/2006/relationships/hyperlink" Target="https://us3.assetplanner.com/service_request?ID=098335" TargetMode="External"/><Relationship Id="rId11" Type="http://schemas.openxmlformats.org/officeDocument/2006/relationships/hyperlink" Target="https://us3.assetplanner.com/service_request?ID=099221" TargetMode="External"/><Relationship Id="rId24" Type="http://schemas.openxmlformats.org/officeDocument/2006/relationships/hyperlink" Target="https://us3.assetplanner.com/service_request?ID=097305" TargetMode="External"/><Relationship Id="rId5" Type="http://schemas.openxmlformats.org/officeDocument/2006/relationships/hyperlink" Target="https://us3.assetplanner.com/service_request?ID=099185" TargetMode="External"/><Relationship Id="rId15" Type="http://schemas.openxmlformats.org/officeDocument/2006/relationships/hyperlink" Target="https://us3.assetplanner.com/service_request?ID=096181" TargetMode="External"/><Relationship Id="rId23" Type="http://schemas.openxmlformats.org/officeDocument/2006/relationships/hyperlink" Target="https://us3.assetplanner.com/service_request?ID=096700" TargetMode="External"/><Relationship Id="rId10" Type="http://schemas.openxmlformats.org/officeDocument/2006/relationships/hyperlink" Target="https://us3.assetplanner.com/service_request?ID=098364" TargetMode="External"/><Relationship Id="rId19" Type="http://schemas.openxmlformats.org/officeDocument/2006/relationships/hyperlink" Target="https://us3.assetplanner.com/service_request?ID=096778" TargetMode="External"/><Relationship Id="rId4" Type="http://schemas.openxmlformats.org/officeDocument/2006/relationships/hyperlink" Target="https://us3.assetplanner.com/service_request?ID=093458" TargetMode="External"/><Relationship Id="rId9" Type="http://schemas.openxmlformats.org/officeDocument/2006/relationships/hyperlink" Target="https://us3.assetplanner.com/service_request?ID=097884" TargetMode="External"/><Relationship Id="rId14" Type="http://schemas.openxmlformats.org/officeDocument/2006/relationships/hyperlink" Target="https://us3.assetplanner.com/service_request?ID=097728" TargetMode="External"/><Relationship Id="rId22" Type="http://schemas.openxmlformats.org/officeDocument/2006/relationships/hyperlink" Target="https://us3.assetplanner.com/service_request?ID=091277" TargetMode="External"/></Relationships>
</file>

<file path=xl/worksheets/_rels/sheet9.xml.rels><?xml version="1.0" encoding="UTF-8" standalone="yes"?>
<Relationships xmlns="http://schemas.openxmlformats.org/package/2006/relationships"><Relationship Id="rId3" Type="http://schemas.openxmlformats.org/officeDocument/2006/relationships/hyperlink" Target="https://us3.assetplanner.com/service_request?ID=099593" TargetMode="External"/><Relationship Id="rId7" Type="http://schemas.openxmlformats.org/officeDocument/2006/relationships/hyperlink" Target="https://us3.assetplanner.com/service_request?ID=099478" TargetMode="External"/><Relationship Id="rId2" Type="http://schemas.openxmlformats.org/officeDocument/2006/relationships/hyperlink" Target="https://us3.assetplanner.com/service_request?ID=095824" TargetMode="External"/><Relationship Id="rId1" Type="http://schemas.openxmlformats.org/officeDocument/2006/relationships/hyperlink" Target="https://us3.assetplanner.com/service_request?ID=099790" TargetMode="External"/><Relationship Id="rId6" Type="http://schemas.openxmlformats.org/officeDocument/2006/relationships/hyperlink" Target="https://us3.assetplanner.com/service_request?ID=099185" TargetMode="External"/><Relationship Id="rId5" Type="http://schemas.openxmlformats.org/officeDocument/2006/relationships/hyperlink" Target="https://us3.assetplanner.com/service_request?ID=099994" TargetMode="External"/><Relationship Id="rId4" Type="http://schemas.openxmlformats.org/officeDocument/2006/relationships/hyperlink" Target="https://us3.assetplanner.com/service_request?ID=096263" TargetMode="External"/></Relationships>
</file>

<file path=xl/worksheets/_rels/sheet10.xml.rels><?xml version="1.0" encoding="UTF-8" standalone="yes"?>
<Relationships xmlns="http://schemas.openxmlformats.org/package/2006/relationships"><Relationship Id="rId8" Type="http://schemas.openxmlformats.org/officeDocument/2006/relationships/hyperlink" Target="https://us3.assetplanner.com/service_request?ID=101822" TargetMode="External"/><Relationship Id="rId3" Type="http://schemas.openxmlformats.org/officeDocument/2006/relationships/hyperlink" Target="https://us3.assetplanner.com/service_request?ID=101399" TargetMode="External"/><Relationship Id="rId7" Type="http://schemas.openxmlformats.org/officeDocument/2006/relationships/hyperlink" Target="https://us3.assetplanner.com/service_request?ID=101785" TargetMode="External"/><Relationship Id="rId12" Type="http://schemas.openxmlformats.org/officeDocument/2006/relationships/hyperlink" Target="https://us3.assetplanner.com/service_request?ID=102210" TargetMode="External"/><Relationship Id="rId2" Type="http://schemas.openxmlformats.org/officeDocument/2006/relationships/hyperlink" Target="https://us3.assetplanner.com/service_request?ID=099790" TargetMode="External"/><Relationship Id="rId1" Type="http://schemas.openxmlformats.org/officeDocument/2006/relationships/hyperlink" Target="https://us3.assetplanner.com/service_request?ID=101579" TargetMode="External"/><Relationship Id="rId6" Type="http://schemas.openxmlformats.org/officeDocument/2006/relationships/hyperlink" Target="https://us3.assetplanner.com/service_request?ID=099478" TargetMode="External"/><Relationship Id="rId11" Type="http://schemas.openxmlformats.org/officeDocument/2006/relationships/hyperlink" Target="https://us3.assetplanner.com/service_request?ID=102003" TargetMode="External"/><Relationship Id="rId5" Type="http://schemas.openxmlformats.org/officeDocument/2006/relationships/hyperlink" Target="https://us3.assetplanner.com/service_request?ID=096263" TargetMode="External"/><Relationship Id="rId10" Type="http://schemas.openxmlformats.org/officeDocument/2006/relationships/hyperlink" Target="https://us3.assetplanner.com/service_request?ID=099185" TargetMode="External"/><Relationship Id="rId4" Type="http://schemas.openxmlformats.org/officeDocument/2006/relationships/hyperlink" Target="https://us3.assetplanner.com/service_request?ID=093280" TargetMode="External"/><Relationship Id="rId9" Type="http://schemas.openxmlformats.org/officeDocument/2006/relationships/hyperlink" Target="https://us3.assetplanner.com/service_request?ID=099994"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us3.assetplanner.com/service_request?ID=101399" TargetMode="External"/><Relationship Id="rId2" Type="http://schemas.openxmlformats.org/officeDocument/2006/relationships/hyperlink" Target="https://us3.assetplanner.com/service_request?ID=101579" TargetMode="External"/><Relationship Id="rId1" Type="http://schemas.openxmlformats.org/officeDocument/2006/relationships/hyperlink" Target="https://us3.assetplanner.com/service_request?ID=099790" TargetMode="External"/><Relationship Id="rId4" Type="http://schemas.openxmlformats.org/officeDocument/2006/relationships/hyperlink" Target="https://us3.assetplanner.com/service_request?ID=096263" TargetMode="External"/></Relationships>
</file>

<file path=xl/worksheets/_rels/sheet12.xml.rels><?xml version="1.0" encoding="UTF-8" standalone="yes"?>
<Relationships xmlns="http://schemas.openxmlformats.org/package/2006/relationships"><Relationship Id="rId3" Type="http://schemas.openxmlformats.org/officeDocument/2006/relationships/hyperlink" Target="https://us3.assetplanner.com/service_request?ID=096263" TargetMode="External"/><Relationship Id="rId2" Type="http://schemas.openxmlformats.org/officeDocument/2006/relationships/hyperlink" Target="https://us3.assetplanner.com/service_request?ID=103430" TargetMode="External"/><Relationship Id="rId1" Type="http://schemas.openxmlformats.org/officeDocument/2006/relationships/hyperlink" Target="https://us3.assetplanner.com/service_request?ID=102730" TargetMode="External"/></Relationships>
</file>

<file path=xl/worksheets/_rels/sheet13.xml.rels><?xml version="1.0" encoding="UTF-8" standalone="yes"?>
<Relationships xmlns="http://schemas.openxmlformats.org/package/2006/relationships"><Relationship Id="rId2" Type="http://schemas.openxmlformats.org/officeDocument/2006/relationships/hyperlink" Target="https://us3.assetplanner.com/service_request?ID=096263" TargetMode="External"/><Relationship Id="rId1" Type="http://schemas.openxmlformats.org/officeDocument/2006/relationships/hyperlink" Target="https://us3.assetplanner.com/service_request?ID=102730" TargetMode="External"/></Relationships>
</file>

<file path=xl/worksheets/_rels/sheet14.xml.rels><?xml version="1.0" encoding="UTF-8" standalone="yes"?>
<Relationships xmlns="http://schemas.openxmlformats.org/package/2006/relationships"><Relationship Id="rId3" Type="http://schemas.openxmlformats.org/officeDocument/2006/relationships/hyperlink" Target="https://us3.assetplanner.com/service_request?ID=107074" TargetMode="External"/><Relationship Id="rId2" Type="http://schemas.openxmlformats.org/officeDocument/2006/relationships/hyperlink" Target="https://us3.assetplanner.com/service_request?ID=106365" TargetMode="External"/><Relationship Id="rId1" Type="http://schemas.openxmlformats.org/officeDocument/2006/relationships/hyperlink" Target="https://us3.assetplanner.com/service_request?ID=102730" TargetMode="External"/><Relationship Id="rId4" Type="http://schemas.openxmlformats.org/officeDocument/2006/relationships/hyperlink" Target="https://us3.assetplanner.com/service_request?ID=107072"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3"/>
  <sheetViews>
    <sheetView workbookViewId="0">
      <pane xSplit="2" ySplit="3" topLeftCell="D4" activePane="bottomRight" state="frozen"/>
      <selection pane="topRight"/>
      <selection pane="bottomLeft"/>
      <selection pane="bottomRight" sqref="A1:C1"/>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5" t="str" cm="1">
        <f t="array" ref="A1">portfolio</f>
        <v>Tortoise</v>
      </c>
      <c r="B1" s="75"/>
      <c r="C1" s="75"/>
      <c r="D1" s="76" t="s">
        <v>0</v>
      </c>
      <c r="E1" s="76"/>
      <c r="F1" s="76"/>
      <c r="G1" s="74" t="s">
        <v>1</v>
      </c>
      <c r="H1" s="74"/>
      <c r="I1" s="74"/>
    </row>
    <row r="2" spans="1:9" ht="19.5" customHeight="1" x14ac:dyDescent="0.25">
      <c r="A2" s="77" t="s">
        <v>2</v>
      </c>
      <c r="B2" s="77"/>
      <c r="C2" s="6">
        <f>SUM(C4:C91)</f>
        <v>11175676.816886414</v>
      </c>
      <c r="D2" s="6">
        <f>SUM(D4:D91)</f>
        <v>14582161.426469838</v>
      </c>
      <c r="E2" s="6">
        <f>C2-D2</f>
        <v>-3406484.6095834244</v>
      </c>
      <c r="F2" s="7">
        <f>IFERROR(E2/D2, 0)</f>
        <v>-0.23360628853003257</v>
      </c>
      <c r="G2" s="6">
        <f>SUM(G4:G91)</f>
        <v>13050053.973899998</v>
      </c>
      <c r="H2" s="8">
        <f>C2-G2</f>
        <v>-1874377.1570135839</v>
      </c>
      <c r="I2" s="7">
        <f>IFERROR(H2/G2, 0)</f>
        <v>-0.14362983944452054</v>
      </c>
    </row>
    <row r="3" spans="1:9" ht="14.25" customHeight="1" x14ac:dyDescent="0.25">
      <c r="A3" s="9" t="s">
        <v>3</v>
      </c>
      <c r="B3" s="9" t="s">
        <v>4</v>
      </c>
      <c r="C3" s="24" t="s">
        <v>5</v>
      </c>
      <c r="D3" s="35" t="s">
        <v>6</v>
      </c>
      <c r="E3" s="35" t="s">
        <v>7</v>
      </c>
      <c r="F3" s="36" t="s">
        <v>8</v>
      </c>
      <c r="G3" s="37" t="s">
        <v>9</v>
      </c>
      <c r="H3" s="38" t="s">
        <v>7</v>
      </c>
      <c r="I3" s="39" t="s">
        <v>8</v>
      </c>
    </row>
    <row r="4" spans="1:9" ht="15.6" x14ac:dyDescent="0.25">
      <c r="A4" s="13" t="str" cm="1">
        <f t="array" ref="A4:A13">Sites[Site]</f>
        <v>Alamosa School District</v>
      </c>
      <c r="B4" s="10" t="str" cm="1">
        <f t="array" ref="B4:B13">Sites[State]</f>
        <v>CO</v>
      </c>
      <c r="C4" s="25">
        <f>SUM('1st Qtr'!C4, '2nd Qtr'!C4, '3rd Qtr'!C4, '4th Qtr'!C4)</f>
        <v>738281.06801399146</v>
      </c>
      <c r="D4" s="14">
        <f>SUM('1st Qtr'!D4, '2nd Qtr'!D4, '3rd Qtr'!D4, '4th Qtr'!D4)</f>
        <v>969137.98622935824</v>
      </c>
      <c r="E4" s="14">
        <f>IF(AND(ISNUMBER(C4),ISNUMBER(D4)), C4-D4, "")</f>
        <v>-230856.91821536678</v>
      </c>
      <c r="F4" s="15">
        <f>IFERROR(E4/D4, "")</f>
        <v>-0.23820851261187867</v>
      </c>
      <c r="G4" s="16">
        <f>SUM('1st Qtr'!G4, '2nd Qtr'!G4, '3rd Qtr'!G4, '4th Qtr'!G4)</f>
        <v>1001653.6758999998</v>
      </c>
      <c r="H4" s="16">
        <f>SUM('1st Qtr'!H4, '2nd Qtr'!H4, '3rd Qtr'!H4, '4th Qtr'!H4)</f>
        <v>-263372.60788600834</v>
      </c>
      <c r="I4" s="56">
        <f>IFERROR(H4/G4, "")</f>
        <v>-0.2629377939928832</v>
      </c>
    </row>
    <row r="5" spans="1:9" ht="15.6" x14ac:dyDescent="0.25">
      <c r="A5" s="18" t="str">
        <v>San Luis Valley</v>
      </c>
      <c r="B5" s="11" t="str">
        <v>CO</v>
      </c>
      <c r="C5" s="19">
        <f>SUM('1st Qtr'!C5, '2nd Qtr'!C5, '3rd Qtr'!C5, '4th Qtr'!C5)</f>
        <v>1953809.875</v>
      </c>
      <c r="D5" s="19">
        <f>SUM('1st Qtr'!D5, '2nd Qtr'!D5, '3rd Qtr'!D5, '4th Qtr'!D5)</f>
        <v>1845980.2960000001</v>
      </c>
      <c r="E5" s="19">
        <f t="shared" ref="E5:E6" si="0">IF(AND(ISNUMBER(C5),ISNUMBER(D5)), C5-D5, "")</f>
        <v>107829.57899999991</v>
      </c>
      <c r="F5" s="20">
        <f>IFERROR(E5/D5, "")</f>
        <v>5.8413179833854467E-2</v>
      </c>
      <c r="G5" s="21">
        <f>SUM('1st Qtr'!G5, '2nd Qtr'!G5, '3rd Qtr'!G5, '4th Qtr'!G5)</f>
        <v>762465</v>
      </c>
      <c r="H5" s="57">
        <f>SUM('1st Qtr'!H5, '2nd Qtr'!H5, '3rd Qtr'!H5, '4th Qtr'!H5)</f>
        <v>1191344.875</v>
      </c>
      <c r="I5" s="20">
        <f>IFERROR(H5/G5, "")</f>
        <v>1.5624912291055983</v>
      </c>
    </row>
    <row r="6" spans="1:9" ht="15.6" x14ac:dyDescent="0.25">
      <c r="A6" s="13" t="str">
        <v>Golden NREL 2</v>
      </c>
      <c r="B6" s="10" t="str">
        <v>CO</v>
      </c>
      <c r="C6" s="25">
        <f>SUM('1st Qtr'!C6, '2nd Qtr'!C6, '3rd Qtr'!C6, '4th Qtr'!C6)</f>
        <v>96923.752000000008</v>
      </c>
      <c r="D6" s="14">
        <f>SUM('1st Qtr'!D6, '2nd Qtr'!D6, '3rd Qtr'!D6, '4th Qtr'!D6)</f>
        <v>96138.942240478995</v>
      </c>
      <c r="E6" s="14">
        <f t="shared" si="0"/>
        <v>784.80975952101289</v>
      </c>
      <c r="F6" s="15">
        <f t="shared" ref="F6:F13" si="1">IFERROR(E6/D6, "")</f>
        <v>8.16328681418102E-3</v>
      </c>
      <c r="G6" s="16">
        <f>SUM('1st Qtr'!G6, '2nd Qtr'!G6, '3rd Qtr'!G6, '4th Qtr'!G6)</f>
        <v>112057.41800000001</v>
      </c>
      <c r="H6" s="16">
        <f>SUM('1st Qtr'!H6, '2nd Qtr'!H6, '3rd Qtr'!H6, '4th Qtr'!H6)</f>
        <v>-15133.666000000003</v>
      </c>
      <c r="I6" s="17">
        <f t="shared" ref="I6:I13" si="2">IFERROR(H6/G6, "")</f>
        <v>-0.1350527816016607</v>
      </c>
    </row>
    <row r="7" spans="1:9" ht="15.6" x14ac:dyDescent="0.25">
      <c r="A7" s="18" t="str">
        <v>Golden NREL Wind 3</v>
      </c>
      <c r="B7" s="11" t="str">
        <v>CO</v>
      </c>
      <c r="C7" s="19">
        <f>SUM('1st Qtr'!C7, '2nd Qtr'!C7, '3rd Qtr'!C7, '4th Qtr'!C7)</f>
        <v>596667.21864124993</v>
      </c>
      <c r="D7" s="19">
        <f>SUM('1st Qtr'!D7, '2nd Qtr'!D7, '3rd Qtr'!D7, '4th Qtr'!D7)</f>
        <v>1119820.6639999999</v>
      </c>
      <c r="E7" s="19">
        <f t="shared" ref="E7:E13" si="3">IF(AND(ISNUMBER(C7),ISNUMBER(D7)), C7-D7, "")</f>
        <v>-523153.44535874994</v>
      </c>
      <c r="F7" s="20">
        <f t="shared" si="1"/>
        <v>-0.46717609540267424</v>
      </c>
      <c r="G7" s="21">
        <f>SUM('1st Qtr'!G7, '2nd Qtr'!G7, '3rd Qtr'!G7, '4th Qtr'!G7)</f>
        <v>475659</v>
      </c>
      <c r="H7" s="21">
        <f>SUM('1st Qtr'!H7, '2nd Qtr'!H7, '3rd Qtr'!H7, '4th Qtr'!H7)</f>
        <v>121008.21864124993</v>
      </c>
      <c r="I7" s="20">
        <f t="shared" si="2"/>
        <v>0.25440119632183966</v>
      </c>
    </row>
    <row r="8" spans="1:9" ht="15.6" x14ac:dyDescent="0.25">
      <c r="A8" s="13" t="str">
        <v>Pratt Solar Farm</v>
      </c>
      <c r="B8" s="10" t="str">
        <v>KS</v>
      </c>
      <c r="C8" s="25">
        <f>SUM('1st Qtr'!C8, '2nd Qtr'!C8, '3rd Qtr'!C8, '4th Qtr'!C8)</f>
        <v>2589150</v>
      </c>
      <c r="D8" s="14">
        <f>SUM('1st Qtr'!D8, '2nd Qtr'!D8, '3rd Qtr'!D8, '4th Qtr'!D8)</f>
        <v>5187681.909</v>
      </c>
      <c r="E8" s="14">
        <f t="shared" si="3"/>
        <v>-2598531.909</v>
      </c>
      <c r="F8" s="15">
        <f t="shared" si="1"/>
        <v>-0.50090424867643901</v>
      </c>
      <c r="G8" s="16">
        <f>SUM('1st Qtr'!G8, '2nd Qtr'!G8, '3rd Qtr'!G8, '4th Qtr'!G8)</f>
        <v>4981086.93</v>
      </c>
      <c r="H8" s="16">
        <f>SUM('1st Qtr'!H8, '2nd Qtr'!H8, '3rd Qtr'!H8, '4th Qtr'!H8)</f>
        <v>-2391936.9300000002</v>
      </c>
      <c r="I8" s="17">
        <f t="shared" si="2"/>
        <v>-0.48020381166084175</v>
      </c>
    </row>
    <row r="9" spans="1:9" ht="12.75" customHeight="1" x14ac:dyDescent="0.25">
      <c r="A9" s="18" t="str">
        <v>Rochester - 5516 Valleyhigh NW</v>
      </c>
      <c r="B9" s="11" t="str">
        <v>MN</v>
      </c>
      <c r="C9" s="19">
        <f>SUM('1st Qtr'!C9, '2nd Qtr'!C9, '3rd Qtr'!C9, '4th Qtr'!C9)</f>
        <v>2374799</v>
      </c>
      <c r="D9" s="19">
        <f>SUM('1st Qtr'!D9, '2nd Qtr'!D9, '3rd Qtr'!D9, '4th Qtr'!D9)</f>
        <v>2609126.2000000002</v>
      </c>
      <c r="E9" s="19">
        <f t="shared" si="3"/>
        <v>-234327.20000000019</v>
      </c>
      <c r="F9" s="20">
        <f t="shared" si="1"/>
        <v>-8.9810604025209725E-2</v>
      </c>
      <c r="G9" s="21">
        <f>SUM('1st Qtr'!G9, '2nd Qtr'!G9, '3rd Qtr'!G9, '4th Qtr'!G9)</f>
        <v>2510275.5</v>
      </c>
      <c r="H9" s="21">
        <f>SUM('1st Qtr'!H9, '2nd Qtr'!H9, '3rd Qtr'!H9, '4th Qtr'!H9)</f>
        <v>-135476.5</v>
      </c>
      <c r="I9" s="20">
        <f t="shared" si="2"/>
        <v>-5.3968777530593752E-2</v>
      </c>
    </row>
    <row r="10" spans="1:9" ht="15.6" x14ac:dyDescent="0.25">
      <c r="A10" s="13" t="str">
        <v>Warsaw - 2201 Richmond</v>
      </c>
      <c r="B10" s="10" t="str">
        <v>VA</v>
      </c>
      <c r="C10" s="25">
        <f>SUM('1st Qtr'!C10, '2nd Qtr'!C10, '3rd Qtr'!C10, '4th Qtr'!C10)</f>
        <v>1384836.0999999989</v>
      </c>
      <c r="D10" s="14">
        <f>SUM('1st Qtr'!D10, '2nd Qtr'!D10, '3rd Qtr'!D10, '4th Qtr'!D10)</f>
        <v>1541238.5</v>
      </c>
      <c r="E10" s="14">
        <f t="shared" si="3"/>
        <v>-156402.40000000107</v>
      </c>
      <c r="F10" s="15">
        <f t="shared" si="1"/>
        <v>-0.10147838897094841</v>
      </c>
      <c r="G10" s="16">
        <f>SUM('1st Qtr'!G10, '2nd Qtr'!G10, '3rd Qtr'!G10, '4th Qtr'!G10)</f>
        <v>1483119.35</v>
      </c>
      <c r="H10" s="16">
        <f>SUM('1st Qtr'!H10, '2nd Qtr'!H10, '3rd Qtr'!H10, '4th Qtr'!H10)</f>
        <v>-98283.25000000099</v>
      </c>
      <c r="I10" s="17">
        <f t="shared" si="2"/>
        <v>-6.6267930493928887E-2</v>
      </c>
    </row>
    <row r="11" spans="1:9" ht="15.6" x14ac:dyDescent="0.25">
      <c r="A11" s="18" t="str">
        <v>Mount Jackson - Randolf</v>
      </c>
      <c r="B11" s="11" t="str">
        <v>VA</v>
      </c>
      <c r="C11" s="19">
        <f>SUM('1st Qtr'!C11, '2nd Qtr'!C11, '3rd Qtr'!C11, '4th Qtr'!C11)</f>
        <v>775388.80323117494</v>
      </c>
      <c r="D11" s="19">
        <f>SUM('1st Qtr'!D11, '2nd Qtr'!D11, '3rd Qtr'!D11, '4th Qtr'!D11)</f>
        <v>778421.83899999992</v>
      </c>
      <c r="E11" s="19">
        <f t="shared" si="3"/>
        <v>-3033.0357688249787</v>
      </c>
      <c r="F11" s="20">
        <f t="shared" si="1"/>
        <v>-3.8963908986949414E-3</v>
      </c>
      <c r="G11" s="21">
        <f>SUM('1st Qtr'!G11, '2nd Qtr'!G11, '3rd Qtr'!G11, '4th Qtr'!G11)</f>
        <v>1000099.6</v>
      </c>
      <c r="H11" s="21">
        <f>SUM('1st Qtr'!H11, '2nd Qtr'!H11, '3rd Qtr'!H11, '4th Qtr'!H11)</f>
        <v>-224710.79676882501</v>
      </c>
      <c r="I11" s="20">
        <f t="shared" si="2"/>
        <v>-0.22468841780241189</v>
      </c>
    </row>
    <row r="12" spans="1:9" ht="15.6" x14ac:dyDescent="0.25">
      <c r="A12" s="13" t="str">
        <v>Callands Gretna - Monroe</v>
      </c>
      <c r="B12" s="10" t="str">
        <v>VA</v>
      </c>
      <c r="C12" s="25">
        <f>SUM('1st Qtr'!C12, '2nd Qtr'!C12, '3rd Qtr'!C12, '4th Qtr'!C12)</f>
        <v>665821</v>
      </c>
      <c r="D12" s="14">
        <f>SUM('1st Qtr'!D12, '2nd Qtr'!D12, '3rd Qtr'!D12, '4th Qtr'!D12)</f>
        <v>434615.08999999997</v>
      </c>
      <c r="E12" s="14">
        <f t="shared" si="3"/>
        <v>231205.91000000003</v>
      </c>
      <c r="F12" s="15">
        <f t="shared" si="1"/>
        <v>0.53197856061555537</v>
      </c>
      <c r="G12" s="16">
        <f>SUM('1st Qtr'!G12, '2nd Qtr'!G12, '3rd Qtr'!G12, '4th Qtr'!G12)</f>
        <v>723637.5</v>
      </c>
      <c r="H12" s="16">
        <f>SUM('1st Qtr'!H12, '2nd Qtr'!H12, '3rd Qtr'!H12, '4th Qtr'!H12)</f>
        <v>-57816.5</v>
      </c>
      <c r="I12" s="17">
        <f t="shared" si="2"/>
        <v>-7.9897047900364476E-2</v>
      </c>
    </row>
    <row r="13" spans="1:9" ht="15.6" x14ac:dyDescent="0.25">
      <c r="A13" s="18" t="str">
        <v>Rockbridge Baths - Small Mouth Bass</v>
      </c>
      <c r="B13" s="11" t="str">
        <v>VA</v>
      </c>
      <c r="C13" s="19">
        <f>SUM('1st Qtr'!C13, '2nd Qtr'!C13, '3rd Qtr'!C13, '4th Qtr'!C13)</f>
        <v>0</v>
      </c>
      <c r="D13" s="19">
        <f>SUM('1st Qtr'!D13, '2nd Qtr'!D13, '3rd Qtr'!D13, '4th Qtr'!D13)</f>
        <v>0</v>
      </c>
      <c r="E13" s="19">
        <f t="shared" si="3"/>
        <v>0</v>
      </c>
      <c r="F13" s="20" t="str">
        <f t="shared" si="1"/>
        <v/>
      </c>
      <c r="G13" s="21">
        <f>SUM('1st Qtr'!G13, '2nd Qtr'!G13, '3rd Qtr'!G13, '4th Qtr'!G13)</f>
        <v>0</v>
      </c>
      <c r="H13" s="21">
        <f>SUM('1st Qtr'!H13, '2nd Qtr'!H13, '3rd Qtr'!H13, '4th Qtr'!H13)</f>
        <v>0</v>
      </c>
      <c r="I13" s="20" t="str">
        <f t="shared" si="2"/>
        <v/>
      </c>
    </row>
    <row r="14" spans="1:9" ht="13.8" x14ac:dyDescent="0.3">
      <c r="A14" s="22"/>
      <c r="B14" s="22"/>
      <c r="C14" s="22"/>
      <c r="D14" s="22"/>
      <c r="E14" s="22"/>
      <c r="F14" s="22"/>
      <c r="G14" s="22"/>
      <c r="H14" s="22"/>
      <c r="I14" s="22"/>
    </row>
    <row r="15" spans="1:9" ht="13.8" x14ac:dyDescent="0.3">
      <c r="A15" s="22"/>
      <c r="B15" s="22"/>
      <c r="C15" s="22"/>
      <c r="D15" s="22"/>
      <c r="E15" s="22"/>
      <c r="F15" s="22"/>
      <c r="G15" s="22"/>
      <c r="H15" s="22"/>
      <c r="I15" s="22"/>
    </row>
    <row r="16" spans="1:9" ht="13.8" x14ac:dyDescent="0.3">
      <c r="A16" s="22"/>
      <c r="B16" s="22"/>
      <c r="C16" s="22"/>
      <c r="D16" s="22"/>
      <c r="E16" s="22"/>
      <c r="F16" s="22"/>
      <c r="G16" s="22"/>
      <c r="H16" s="22"/>
      <c r="I16" s="22"/>
    </row>
    <row r="17" spans="1:9" ht="13.8" x14ac:dyDescent="0.3">
      <c r="A17" s="22"/>
      <c r="B17" s="22"/>
      <c r="C17" s="22"/>
      <c r="D17" s="22"/>
      <c r="E17" s="22"/>
      <c r="F17" s="22"/>
      <c r="G17" s="22"/>
      <c r="H17" s="22"/>
      <c r="I17" s="22"/>
    </row>
    <row r="18" spans="1:9" ht="13.8" x14ac:dyDescent="0.3">
      <c r="A18" s="22"/>
      <c r="B18" s="22"/>
      <c r="C18" s="22"/>
      <c r="D18" s="22"/>
      <c r="E18" s="22"/>
      <c r="F18" s="22"/>
      <c r="G18" s="22"/>
      <c r="H18" s="22"/>
      <c r="I18" s="22"/>
    </row>
    <row r="19" spans="1:9" ht="13.8" x14ac:dyDescent="0.3">
      <c r="A19" s="22"/>
      <c r="B19" s="22"/>
      <c r="C19" s="22"/>
      <c r="D19" s="22"/>
      <c r="E19" s="22"/>
      <c r="F19" s="22"/>
      <c r="G19" s="22"/>
      <c r="H19" s="22"/>
      <c r="I19" s="22"/>
    </row>
    <row r="20" spans="1:9" ht="13.8" x14ac:dyDescent="0.3">
      <c r="A20" s="22"/>
      <c r="B20" s="22"/>
      <c r="C20" s="22"/>
      <c r="D20" s="22"/>
      <c r="E20" s="22"/>
      <c r="F20" s="22"/>
      <c r="G20" s="22"/>
      <c r="H20" s="22"/>
      <c r="I20" s="22"/>
    </row>
    <row r="21" spans="1:9" ht="13.8" x14ac:dyDescent="0.3">
      <c r="A21" s="22"/>
      <c r="B21" s="22"/>
      <c r="C21" s="22"/>
      <c r="D21" s="22"/>
      <c r="E21" s="22"/>
      <c r="F21" s="22"/>
      <c r="G21" s="22"/>
      <c r="H21" s="22"/>
      <c r="I21" s="22"/>
    </row>
    <row r="22" spans="1:9" ht="13.8" x14ac:dyDescent="0.3">
      <c r="A22" s="22"/>
      <c r="B22" s="22"/>
      <c r="C22" s="22"/>
      <c r="D22" s="22"/>
      <c r="E22" s="22"/>
      <c r="F22" s="22"/>
      <c r="G22" s="22"/>
      <c r="H22" s="22"/>
      <c r="I22" s="22"/>
    </row>
    <row r="23" spans="1:9" ht="13.8" x14ac:dyDescent="0.3">
      <c r="A23" s="22"/>
      <c r="B23" s="22"/>
      <c r="C23" s="22"/>
      <c r="D23" s="22"/>
      <c r="E23" s="22"/>
      <c r="F23" s="22"/>
      <c r="G23" s="22"/>
      <c r="H23" s="22"/>
      <c r="I23" s="22"/>
    </row>
    <row r="24" spans="1:9" ht="13.8" x14ac:dyDescent="0.3">
      <c r="A24" s="22"/>
      <c r="B24" s="22"/>
      <c r="C24" s="22"/>
      <c r="D24" s="22"/>
      <c r="E24" s="22"/>
      <c r="F24" s="23"/>
      <c r="G24" s="22"/>
      <c r="H24" s="22"/>
      <c r="I24" s="23"/>
    </row>
    <row r="25" spans="1:9" ht="13.8" x14ac:dyDescent="0.3">
      <c r="A25" s="22"/>
      <c r="B25" s="22"/>
      <c r="C25" s="22"/>
      <c r="D25" s="22"/>
      <c r="E25" s="22"/>
      <c r="F25" s="23"/>
      <c r="G25" s="22"/>
      <c r="H25" s="22"/>
      <c r="I25" s="23"/>
    </row>
    <row r="26" spans="1:9" ht="13.8" x14ac:dyDescent="0.3">
      <c r="A26" s="22"/>
      <c r="B26" s="22"/>
      <c r="C26" s="22"/>
      <c r="D26" s="22"/>
      <c r="E26" s="22"/>
      <c r="F26" s="23"/>
      <c r="G26" s="22"/>
      <c r="H26" s="22"/>
      <c r="I26" s="23"/>
    </row>
    <row r="27" spans="1:9" ht="13.8" x14ac:dyDescent="0.3">
      <c r="A27" s="22"/>
      <c r="B27" s="22"/>
      <c r="C27" s="22"/>
      <c r="D27" s="22"/>
      <c r="E27" s="22"/>
      <c r="F27" s="23"/>
      <c r="G27" s="22"/>
      <c r="H27" s="22"/>
      <c r="I27" s="23"/>
    </row>
    <row r="28" spans="1:9" ht="13.8" x14ac:dyDescent="0.3">
      <c r="A28" s="22"/>
      <c r="B28" s="22"/>
      <c r="C28" s="22"/>
      <c r="D28" s="22"/>
      <c r="E28" s="22"/>
      <c r="F28" s="23"/>
      <c r="G28" s="22"/>
      <c r="H28" s="22"/>
      <c r="I28" s="23"/>
    </row>
    <row r="29" spans="1:9" ht="13.8" x14ac:dyDescent="0.3">
      <c r="A29" s="22"/>
      <c r="B29" s="22"/>
      <c r="C29" s="22"/>
      <c r="D29" s="22"/>
      <c r="E29" s="22"/>
      <c r="F29" s="23"/>
      <c r="G29" s="22"/>
      <c r="H29" s="22"/>
      <c r="I29" s="23"/>
    </row>
    <row r="30" spans="1:9" ht="13.8" x14ac:dyDescent="0.3">
      <c r="A30" s="22"/>
      <c r="B30" s="22"/>
      <c r="C30" s="22"/>
      <c r="D30" s="22"/>
      <c r="E30" s="22"/>
      <c r="F30" s="23"/>
      <c r="G30" s="22"/>
      <c r="H30" s="22"/>
      <c r="I30" s="23"/>
    </row>
    <row r="31" spans="1:9" ht="13.8" x14ac:dyDescent="0.3">
      <c r="A31" s="22"/>
      <c r="B31" s="22"/>
      <c r="C31" s="22"/>
      <c r="D31" s="22"/>
      <c r="E31" s="22"/>
      <c r="F31" s="23"/>
      <c r="G31" s="22"/>
      <c r="H31" s="22"/>
      <c r="I31" s="23"/>
    </row>
    <row r="32" spans="1:9" ht="13.8" x14ac:dyDescent="0.3">
      <c r="A32" s="22"/>
      <c r="B32" s="22"/>
      <c r="C32" s="22"/>
      <c r="D32" s="22"/>
      <c r="E32" s="22"/>
      <c r="F32" s="23"/>
      <c r="G32" s="22"/>
      <c r="H32" s="22"/>
      <c r="I32" s="23"/>
    </row>
    <row r="33" spans="1:9" ht="13.8" x14ac:dyDescent="0.3">
      <c r="A33" s="22"/>
      <c r="B33" s="22"/>
      <c r="C33" s="22"/>
      <c r="D33" s="22"/>
      <c r="E33" s="22"/>
      <c r="F33" s="23"/>
      <c r="G33" s="22"/>
      <c r="H33" s="22"/>
      <c r="I33" s="23"/>
    </row>
    <row r="34" spans="1:9" ht="13.8" x14ac:dyDescent="0.3">
      <c r="A34" s="22"/>
      <c r="B34" s="22"/>
      <c r="C34" s="22"/>
      <c r="D34" s="22"/>
      <c r="E34" s="22"/>
      <c r="F34" s="23"/>
      <c r="G34" s="22"/>
      <c r="H34" s="22"/>
      <c r="I34" s="23"/>
    </row>
    <row r="35" spans="1:9" ht="13.8" x14ac:dyDescent="0.3">
      <c r="A35" s="22"/>
      <c r="B35" s="22"/>
      <c r="C35" s="22"/>
      <c r="D35" s="22"/>
      <c r="E35" s="22"/>
      <c r="F35" s="23"/>
      <c r="G35" s="22"/>
      <c r="H35" s="22"/>
      <c r="I35" s="23"/>
    </row>
    <row r="36" spans="1:9" ht="13.8" x14ac:dyDescent="0.3">
      <c r="A36" s="22"/>
      <c r="B36" s="22"/>
      <c r="C36" s="22"/>
      <c r="D36" s="22"/>
      <c r="E36" s="22"/>
      <c r="F36" s="23"/>
      <c r="G36" s="22"/>
      <c r="H36" s="22"/>
      <c r="I36" s="23"/>
    </row>
    <row r="37" spans="1:9" ht="13.8" x14ac:dyDescent="0.3">
      <c r="A37" s="22"/>
      <c r="B37" s="22"/>
      <c r="C37" s="22"/>
      <c r="D37" s="22"/>
      <c r="E37" s="22"/>
      <c r="F37" s="23"/>
      <c r="G37" s="22"/>
      <c r="H37" s="22"/>
      <c r="I37" s="23"/>
    </row>
    <row r="38" spans="1:9" ht="13.8" x14ac:dyDescent="0.3">
      <c r="A38" s="22"/>
      <c r="B38" s="22"/>
      <c r="C38" s="22"/>
      <c r="D38" s="22"/>
      <c r="E38" s="22"/>
      <c r="F38" s="23"/>
      <c r="G38" s="22"/>
      <c r="H38" s="22"/>
      <c r="I38" s="23"/>
    </row>
    <row r="39" spans="1:9" ht="13.8" x14ac:dyDescent="0.3">
      <c r="A39" s="22"/>
      <c r="B39" s="22"/>
      <c r="C39" s="22"/>
      <c r="D39" s="22"/>
      <c r="E39" s="22"/>
      <c r="F39" s="23"/>
      <c r="G39" s="22"/>
      <c r="H39" s="22"/>
      <c r="I39" s="23"/>
    </row>
    <row r="40" spans="1:9" ht="13.8" x14ac:dyDescent="0.3">
      <c r="A40" s="22"/>
      <c r="B40" s="22"/>
      <c r="C40" s="22"/>
      <c r="D40" s="22"/>
      <c r="E40" s="22"/>
      <c r="F40" s="23"/>
      <c r="G40" s="22"/>
      <c r="H40" s="22"/>
      <c r="I40" s="23"/>
    </row>
    <row r="41" spans="1:9" ht="13.8" x14ac:dyDescent="0.3">
      <c r="A41" s="22"/>
      <c r="B41" s="22"/>
      <c r="C41" s="22"/>
      <c r="D41" s="22"/>
      <c r="E41" s="22"/>
      <c r="F41" s="23"/>
      <c r="G41" s="22"/>
      <c r="H41" s="22"/>
      <c r="I41" s="23"/>
    </row>
    <row r="42" spans="1:9" ht="13.8" x14ac:dyDescent="0.3">
      <c r="A42" s="22"/>
      <c r="B42" s="22"/>
      <c r="C42" s="22"/>
      <c r="D42" s="22"/>
      <c r="E42" s="22"/>
      <c r="F42" s="23"/>
      <c r="G42" s="22"/>
      <c r="H42" s="22"/>
      <c r="I42" s="23"/>
    </row>
    <row r="43" spans="1:9" ht="13.8" x14ac:dyDescent="0.3">
      <c r="A43" s="22"/>
      <c r="B43" s="22"/>
      <c r="C43" s="22"/>
      <c r="D43" s="22"/>
      <c r="E43" s="22"/>
      <c r="F43" s="23"/>
      <c r="G43" s="22"/>
      <c r="H43" s="22"/>
      <c r="I43" s="23"/>
    </row>
    <row r="44" spans="1:9" ht="13.8" x14ac:dyDescent="0.3">
      <c r="A44" s="22"/>
      <c r="B44" s="22"/>
      <c r="C44" s="22"/>
      <c r="D44" s="22"/>
      <c r="E44" s="22"/>
      <c r="F44" s="23"/>
      <c r="G44" s="22"/>
      <c r="H44" s="22"/>
      <c r="I44" s="23"/>
    </row>
    <row r="45" spans="1:9" ht="13.8" x14ac:dyDescent="0.3">
      <c r="A45" s="22"/>
      <c r="B45" s="22"/>
      <c r="C45" s="22"/>
      <c r="D45" s="22"/>
      <c r="E45" s="22"/>
      <c r="F45" s="23"/>
      <c r="G45" s="22"/>
      <c r="H45" s="22"/>
      <c r="I45" s="23"/>
    </row>
    <row r="46" spans="1:9" ht="13.8" x14ac:dyDescent="0.3">
      <c r="A46" s="22"/>
      <c r="B46" s="22"/>
      <c r="C46" s="22"/>
      <c r="D46" s="22"/>
      <c r="E46" s="22"/>
      <c r="F46" s="23"/>
      <c r="G46" s="22"/>
      <c r="H46" s="22"/>
      <c r="I46" s="23"/>
    </row>
    <row r="47" spans="1:9" ht="13.8" x14ac:dyDescent="0.3">
      <c r="A47" s="22"/>
      <c r="B47" s="22"/>
      <c r="C47" s="22"/>
      <c r="D47" s="22"/>
      <c r="E47" s="22"/>
      <c r="F47" s="23"/>
      <c r="G47" s="22"/>
      <c r="H47" s="22"/>
      <c r="I47" s="23"/>
    </row>
    <row r="48" spans="1:9" ht="13.8" x14ac:dyDescent="0.3">
      <c r="A48" s="22"/>
      <c r="B48" s="22"/>
      <c r="C48" s="22"/>
      <c r="D48" s="22"/>
      <c r="E48" s="22"/>
      <c r="F48" s="23"/>
      <c r="G48" s="22"/>
      <c r="H48" s="22"/>
      <c r="I48" s="23"/>
    </row>
    <row r="49" spans="1:9" ht="13.8" x14ac:dyDescent="0.3">
      <c r="A49" s="22"/>
      <c r="B49" s="22"/>
      <c r="C49" s="22"/>
      <c r="D49" s="22"/>
      <c r="E49" s="22"/>
      <c r="F49" s="23"/>
      <c r="G49" s="22"/>
      <c r="H49" s="22"/>
      <c r="I49" s="23"/>
    </row>
    <row r="50" spans="1:9" ht="13.8" x14ac:dyDescent="0.3">
      <c r="A50" s="22"/>
      <c r="B50" s="22"/>
      <c r="C50" s="22"/>
      <c r="D50" s="22"/>
      <c r="E50" s="22"/>
      <c r="F50" s="23"/>
      <c r="G50" s="22"/>
      <c r="H50" s="22"/>
      <c r="I50" s="23"/>
    </row>
    <row r="51" spans="1:9" ht="13.8" x14ac:dyDescent="0.3">
      <c r="A51" s="22"/>
      <c r="B51" s="22"/>
      <c r="C51" s="22"/>
      <c r="D51" s="22"/>
      <c r="E51" s="22"/>
      <c r="F51" s="23"/>
      <c r="G51" s="22"/>
      <c r="H51" s="22"/>
      <c r="I51" s="23"/>
    </row>
    <row r="52" spans="1:9" ht="13.8" x14ac:dyDescent="0.3">
      <c r="A52" s="22"/>
      <c r="B52" s="22"/>
      <c r="C52" s="22"/>
      <c r="D52" s="22"/>
      <c r="E52" s="22"/>
      <c r="F52" s="23"/>
      <c r="G52" s="22"/>
      <c r="H52" s="22"/>
      <c r="I52" s="23"/>
    </row>
    <row r="53" spans="1:9" ht="13.8" x14ac:dyDescent="0.3">
      <c r="A53" s="22"/>
      <c r="B53" s="22"/>
      <c r="C53" s="22"/>
      <c r="D53" s="22"/>
      <c r="E53" s="22"/>
      <c r="F53" s="23"/>
      <c r="G53" s="22"/>
      <c r="H53" s="22"/>
      <c r="I53" s="23"/>
    </row>
    <row r="54" spans="1:9" ht="13.8" x14ac:dyDescent="0.3">
      <c r="A54" s="22"/>
      <c r="B54" s="22"/>
      <c r="C54" s="22"/>
      <c r="D54" s="22"/>
      <c r="E54" s="22"/>
      <c r="F54" s="23"/>
      <c r="G54" s="22"/>
      <c r="H54" s="22"/>
      <c r="I54" s="23"/>
    </row>
    <row r="55" spans="1:9" ht="13.8" x14ac:dyDescent="0.3">
      <c r="A55" s="22"/>
      <c r="B55" s="22"/>
      <c r="C55" s="22"/>
      <c r="D55" s="22"/>
      <c r="E55" s="22"/>
      <c r="F55" s="23"/>
      <c r="G55" s="22"/>
      <c r="H55" s="22"/>
      <c r="I55" s="23"/>
    </row>
    <row r="56" spans="1:9" ht="13.8" x14ac:dyDescent="0.3">
      <c r="A56" s="22"/>
      <c r="B56" s="22"/>
      <c r="C56" s="22"/>
      <c r="D56" s="22"/>
      <c r="E56" s="22"/>
      <c r="F56" s="23"/>
      <c r="G56" s="22"/>
      <c r="H56" s="22"/>
      <c r="I56" s="23"/>
    </row>
    <row r="57" spans="1:9" ht="13.8" x14ac:dyDescent="0.3">
      <c r="A57" s="22"/>
      <c r="B57" s="22"/>
      <c r="C57" s="22"/>
      <c r="D57" s="22"/>
      <c r="E57" s="22"/>
      <c r="F57" s="23"/>
      <c r="G57" s="22"/>
      <c r="H57" s="22"/>
      <c r="I57" s="23"/>
    </row>
    <row r="58" spans="1:9" ht="13.8" x14ac:dyDescent="0.3">
      <c r="A58" s="22"/>
      <c r="B58" s="22"/>
      <c r="C58" s="22"/>
      <c r="D58" s="22"/>
      <c r="E58" s="22"/>
      <c r="F58" s="23"/>
      <c r="G58" s="22"/>
      <c r="H58" s="22"/>
      <c r="I58" s="23"/>
    </row>
    <row r="59" spans="1:9" ht="13.8" x14ac:dyDescent="0.3">
      <c r="A59" s="22"/>
      <c r="B59" s="22"/>
      <c r="C59" s="22"/>
      <c r="D59" s="22"/>
      <c r="E59" s="22"/>
      <c r="F59" s="23"/>
      <c r="G59" s="22"/>
      <c r="H59" s="22"/>
      <c r="I59" s="23"/>
    </row>
    <row r="60" spans="1:9" ht="13.8" x14ac:dyDescent="0.3">
      <c r="A60" s="22"/>
      <c r="B60" s="22"/>
      <c r="C60" s="22"/>
      <c r="D60" s="22"/>
      <c r="E60" s="22"/>
      <c r="F60" s="23"/>
      <c r="G60" s="22"/>
      <c r="H60" s="22"/>
      <c r="I60" s="23"/>
    </row>
    <row r="61" spans="1:9" ht="13.8" x14ac:dyDescent="0.3">
      <c r="A61" s="22"/>
      <c r="B61" s="22"/>
      <c r="C61" s="22"/>
      <c r="D61" s="22"/>
      <c r="E61" s="22"/>
      <c r="F61" s="23"/>
      <c r="G61" s="22"/>
      <c r="H61" s="22"/>
      <c r="I61" s="23"/>
    </row>
    <row r="62" spans="1:9" ht="13.8" x14ac:dyDescent="0.3">
      <c r="A62" s="22"/>
      <c r="B62" s="22"/>
      <c r="C62" s="22"/>
      <c r="D62" s="22"/>
      <c r="E62" s="22"/>
      <c r="F62" s="23"/>
      <c r="G62" s="22"/>
      <c r="H62" s="22"/>
      <c r="I62" s="23"/>
    </row>
    <row r="63" spans="1:9" ht="13.8" x14ac:dyDescent="0.3">
      <c r="A63" s="22"/>
      <c r="B63" s="22"/>
      <c r="C63" s="22"/>
      <c r="D63" s="22"/>
      <c r="E63" s="22"/>
      <c r="F63" s="23"/>
      <c r="G63" s="22"/>
      <c r="H63" s="22"/>
      <c r="I63" s="23"/>
    </row>
    <row r="64" spans="1:9" ht="13.8" x14ac:dyDescent="0.3">
      <c r="A64" s="22"/>
      <c r="B64" s="22"/>
      <c r="C64" s="22"/>
      <c r="D64" s="22"/>
      <c r="E64" s="22"/>
      <c r="F64" s="23"/>
      <c r="G64" s="22"/>
      <c r="H64" s="22"/>
      <c r="I64" s="23"/>
    </row>
    <row r="65" spans="1:9" ht="13.8" x14ac:dyDescent="0.3">
      <c r="A65" s="22"/>
      <c r="B65" s="22"/>
      <c r="C65" s="22"/>
      <c r="D65" s="22"/>
      <c r="E65" s="22"/>
      <c r="F65" s="23"/>
      <c r="G65" s="22"/>
      <c r="H65" s="22"/>
      <c r="I65" s="23"/>
    </row>
    <row r="66" spans="1:9" ht="13.8" x14ac:dyDescent="0.3">
      <c r="A66" s="22"/>
      <c r="B66" s="22"/>
      <c r="C66" s="22"/>
      <c r="D66" s="22"/>
      <c r="E66" s="22"/>
      <c r="F66" s="23"/>
      <c r="G66" s="22"/>
      <c r="H66" s="22"/>
      <c r="I66" s="23"/>
    </row>
    <row r="67" spans="1:9" ht="13.8" x14ac:dyDescent="0.3">
      <c r="A67" s="22"/>
      <c r="B67" s="22"/>
      <c r="C67" s="22"/>
      <c r="D67" s="22"/>
      <c r="E67" s="22"/>
      <c r="F67" s="23"/>
      <c r="G67" s="22"/>
      <c r="H67" s="22"/>
      <c r="I67" s="23"/>
    </row>
    <row r="68" spans="1:9" ht="13.8" x14ac:dyDescent="0.3">
      <c r="A68" s="22"/>
      <c r="B68" s="22"/>
      <c r="C68" s="22"/>
      <c r="D68" s="22"/>
      <c r="E68" s="22"/>
      <c r="F68" s="23"/>
      <c r="G68" s="22"/>
      <c r="H68" s="22"/>
      <c r="I68" s="23"/>
    </row>
    <row r="69" spans="1:9" ht="13.8" x14ac:dyDescent="0.3">
      <c r="A69" s="22"/>
      <c r="B69" s="22"/>
      <c r="C69" s="22"/>
      <c r="D69" s="22"/>
      <c r="E69" s="22"/>
      <c r="F69" s="23"/>
      <c r="G69" s="22"/>
      <c r="H69" s="22"/>
      <c r="I69" s="23"/>
    </row>
    <row r="70" spans="1:9" ht="13.8" x14ac:dyDescent="0.3">
      <c r="A70" s="22"/>
      <c r="B70" s="22"/>
      <c r="C70" s="22"/>
      <c r="D70" s="22"/>
      <c r="E70" s="22"/>
      <c r="F70" s="23"/>
      <c r="G70" s="22"/>
      <c r="H70" s="22"/>
      <c r="I70" s="23"/>
    </row>
    <row r="71" spans="1:9" ht="13.8" x14ac:dyDescent="0.3">
      <c r="A71" s="22"/>
      <c r="B71" s="22"/>
      <c r="C71" s="22"/>
      <c r="D71" s="22"/>
      <c r="E71" s="22"/>
      <c r="F71" s="23"/>
      <c r="G71" s="22"/>
      <c r="H71" s="22"/>
      <c r="I71" s="23"/>
    </row>
    <row r="72" spans="1:9" ht="13.8" x14ac:dyDescent="0.3">
      <c r="A72" s="22"/>
      <c r="B72" s="22"/>
      <c r="C72" s="22"/>
      <c r="D72" s="22"/>
      <c r="E72" s="22"/>
      <c r="F72" s="23"/>
      <c r="G72" s="22"/>
      <c r="H72" s="22"/>
      <c r="I72" s="23"/>
    </row>
    <row r="73" spans="1:9" ht="13.8" x14ac:dyDescent="0.3">
      <c r="A73" s="22"/>
      <c r="B73" s="22"/>
      <c r="C73" s="22"/>
      <c r="D73" s="22"/>
      <c r="E73" s="22"/>
      <c r="F73" s="23"/>
      <c r="G73" s="22"/>
      <c r="H73" s="22"/>
      <c r="I73" s="23"/>
    </row>
    <row r="74" spans="1:9" ht="13.8" x14ac:dyDescent="0.3">
      <c r="A74" s="22"/>
      <c r="B74" s="22"/>
      <c r="C74" s="22"/>
      <c r="D74" s="22"/>
      <c r="E74" s="22"/>
      <c r="F74" s="23"/>
      <c r="G74" s="22"/>
      <c r="H74" s="22"/>
      <c r="I74" s="23"/>
    </row>
    <row r="75" spans="1:9" ht="13.8" x14ac:dyDescent="0.3">
      <c r="A75" s="22"/>
      <c r="B75" s="22"/>
      <c r="C75" s="22"/>
      <c r="D75" s="22"/>
      <c r="E75" s="22"/>
      <c r="F75" s="23"/>
      <c r="G75" s="22"/>
      <c r="H75" s="22"/>
      <c r="I75" s="23"/>
    </row>
    <row r="76" spans="1:9" ht="13.8" x14ac:dyDescent="0.3">
      <c r="A76" s="22"/>
      <c r="B76" s="22"/>
      <c r="C76" s="22"/>
      <c r="D76" s="22"/>
      <c r="E76" s="22"/>
      <c r="F76" s="23"/>
      <c r="G76" s="22"/>
      <c r="H76" s="22"/>
      <c r="I76" s="23"/>
    </row>
    <row r="77" spans="1:9" ht="13.8" x14ac:dyDescent="0.3">
      <c r="A77" s="22"/>
      <c r="B77" s="22"/>
      <c r="C77" s="22"/>
      <c r="D77" s="22"/>
      <c r="E77" s="22"/>
      <c r="F77" s="23"/>
      <c r="G77" s="22"/>
      <c r="H77" s="22"/>
      <c r="I77" s="23"/>
    </row>
    <row r="78" spans="1:9" ht="13.8" x14ac:dyDescent="0.3">
      <c r="A78" s="22"/>
      <c r="B78" s="22"/>
      <c r="C78" s="22"/>
      <c r="D78" s="22"/>
      <c r="E78" s="22"/>
      <c r="F78" s="23"/>
      <c r="G78" s="22"/>
      <c r="H78" s="22"/>
      <c r="I78" s="23"/>
    </row>
    <row r="79" spans="1:9" ht="13.8" x14ac:dyDescent="0.3">
      <c r="A79" s="22"/>
      <c r="B79" s="22"/>
      <c r="C79" s="22"/>
      <c r="D79" s="22"/>
      <c r="E79" s="22"/>
      <c r="F79" s="23"/>
      <c r="G79" s="22"/>
      <c r="H79" s="22"/>
      <c r="I79" s="23"/>
    </row>
    <row r="80" spans="1:9" ht="13.8" x14ac:dyDescent="0.3">
      <c r="A80" s="22"/>
      <c r="B80" s="22"/>
      <c r="C80" s="22"/>
      <c r="D80" s="22"/>
      <c r="E80" s="22"/>
      <c r="F80" s="23"/>
      <c r="G80" s="22"/>
      <c r="H80" s="22"/>
      <c r="I80" s="23"/>
    </row>
    <row r="81" spans="1:9" ht="13.8" x14ac:dyDescent="0.3">
      <c r="A81" s="22"/>
      <c r="B81" s="22"/>
      <c r="C81" s="22"/>
      <c r="D81" s="22"/>
      <c r="E81" s="22"/>
      <c r="F81" s="23"/>
      <c r="G81" s="22"/>
      <c r="H81" s="22"/>
      <c r="I81" s="23"/>
    </row>
    <row r="82" spans="1:9" ht="13.8" x14ac:dyDescent="0.3">
      <c r="A82" s="22"/>
      <c r="B82" s="22"/>
      <c r="C82" s="22"/>
      <c r="D82" s="22"/>
      <c r="E82" s="22"/>
      <c r="F82" s="23"/>
      <c r="G82" s="22"/>
      <c r="H82" s="22"/>
      <c r="I82" s="23"/>
    </row>
    <row r="83" spans="1:9" ht="13.8" x14ac:dyDescent="0.3">
      <c r="A83" s="22"/>
      <c r="B83" s="22"/>
      <c r="C83" s="22"/>
      <c r="D83" s="22"/>
      <c r="E83" s="22"/>
      <c r="F83" s="23"/>
      <c r="G83" s="22"/>
      <c r="H83" s="22"/>
      <c r="I83" s="23"/>
    </row>
    <row r="84" spans="1:9" ht="13.8" x14ac:dyDescent="0.3">
      <c r="A84" s="22"/>
      <c r="B84" s="22"/>
      <c r="C84" s="22"/>
      <c r="D84" s="22"/>
      <c r="E84" s="22"/>
      <c r="F84" s="23"/>
      <c r="G84" s="22"/>
      <c r="H84" s="22"/>
      <c r="I84" s="23"/>
    </row>
    <row r="85" spans="1:9" ht="13.8" x14ac:dyDescent="0.3">
      <c r="A85" s="22"/>
      <c r="B85" s="22"/>
      <c r="C85" s="22"/>
      <c r="D85" s="22"/>
      <c r="E85" s="22"/>
      <c r="F85" s="23"/>
      <c r="G85" s="22"/>
      <c r="H85" s="22"/>
      <c r="I85" s="23"/>
    </row>
    <row r="86" spans="1:9" ht="13.8" x14ac:dyDescent="0.3">
      <c r="A86" s="22"/>
      <c r="B86" s="22"/>
      <c r="C86" s="22"/>
      <c r="D86" s="22"/>
      <c r="E86" s="22"/>
      <c r="F86" s="23"/>
      <c r="G86" s="22"/>
      <c r="H86" s="22"/>
      <c r="I86" s="23"/>
    </row>
    <row r="87" spans="1:9" ht="13.8" x14ac:dyDescent="0.3">
      <c r="A87" s="22"/>
      <c r="B87" s="22"/>
      <c r="C87" s="22"/>
      <c r="D87" s="22"/>
      <c r="E87" s="22"/>
      <c r="F87" s="23"/>
      <c r="G87" s="22"/>
      <c r="H87" s="22"/>
      <c r="I87" s="23"/>
    </row>
    <row r="88" spans="1:9" ht="13.8" x14ac:dyDescent="0.3">
      <c r="A88" s="22"/>
      <c r="B88" s="22"/>
      <c r="C88" s="22"/>
      <c r="D88" s="22"/>
      <c r="E88" s="22"/>
      <c r="F88" s="23"/>
      <c r="G88" s="22"/>
      <c r="H88" s="22"/>
      <c r="I88" s="23"/>
    </row>
    <row r="89" spans="1:9" ht="13.8" x14ac:dyDescent="0.3">
      <c r="A89" s="22"/>
      <c r="B89" s="22"/>
      <c r="C89" s="22"/>
      <c r="D89" s="22"/>
      <c r="E89" s="22"/>
      <c r="F89" s="23"/>
      <c r="G89" s="22"/>
      <c r="H89" s="22"/>
      <c r="I89" s="23"/>
    </row>
    <row r="90" spans="1:9" ht="13.8" x14ac:dyDescent="0.3">
      <c r="A90" s="22"/>
      <c r="B90" s="22"/>
      <c r="C90" s="22"/>
      <c r="D90" s="22"/>
      <c r="E90" s="22"/>
      <c r="F90" s="23"/>
      <c r="G90" s="22"/>
      <c r="H90" s="22"/>
      <c r="I90" s="23"/>
    </row>
    <row r="91" spans="1:9" ht="13.8" x14ac:dyDescent="0.3">
      <c r="A91" s="22"/>
      <c r="B91" s="22"/>
      <c r="C91" s="22"/>
      <c r="D91" s="22"/>
      <c r="E91" s="22"/>
      <c r="F91" s="23"/>
      <c r="G91" s="22"/>
      <c r="H91" s="22"/>
      <c r="I91" s="23"/>
    </row>
    <row r="92" spans="1:9" ht="13.8" x14ac:dyDescent="0.3">
      <c r="A92" s="22"/>
      <c r="B92" s="22"/>
      <c r="C92" s="22"/>
      <c r="D92" s="22"/>
      <c r="E92" s="22"/>
      <c r="F92" s="23"/>
      <c r="G92" s="22"/>
      <c r="H92" s="22"/>
      <c r="I92" s="23"/>
    </row>
    <row r="93" spans="1:9" ht="13.8" x14ac:dyDescent="0.3">
      <c r="A93" s="22"/>
      <c r="B93" s="22"/>
      <c r="C93" s="22"/>
      <c r="D93" s="22"/>
      <c r="E93" s="22"/>
      <c r="F93" s="23"/>
      <c r="G93" s="22"/>
      <c r="H93" s="22"/>
      <c r="I93" s="23"/>
    </row>
    <row r="94" spans="1:9" ht="13.8" x14ac:dyDescent="0.3">
      <c r="A94" s="22"/>
      <c r="B94" s="22"/>
      <c r="C94" s="22"/>
      <c r="D94" s="22"/>
      <c r="E94" s="22"/>
      <c r="F94" s="23"/>
      <c r="G94" s="22"/>
      <c r="H94" s="22"/>
      <c r="I94" s="23"/>
    </row>
    <row r="95" spans="1:9" ht="13.8" x14ac:dyDescent="0.3">
      <c r="A95" s="22"/>
      <c r="B95" s="22"/>
      <c r="C95" s="22"/>
      <c r="D95" s="22"/>
      <c r="E95" s="22"/>
      <c r="F95" s="23"/>
      <c r="G95" s="22"/>
      <c r="H95" s="22"/>
      <c r="I95" s="23"/>
    </row>
    <row r="96" spans="1:9" ht="13.8" x14ac:dyDescent="0.3">
      <c r="A96" s="22"/>
      <c r="B96" s="22"/>
      <c r="C96" s="22"/>
      <c r="D96" s="22"/>
      <c r="E96" s="22"/>
      <c r="F96" s="23"/>
      <c r="G96" s="22"/>
      <c r="H96" s="22"/>
      <c r="I96" s="23"/>
    </row>
    <row r="97" spans="1:9" ht="13.8" x14ac:dyDescent="0.3">
      <c r="A97" s="22"/>
      <c r="B97" s="22"/>
      <c r="C97" s="22"/>
      <c r="D97" s="22"/>
      <c r="E97" s="22"/>
      <c r="F97" s="23"/>
      <c r="G97" s="22"/>
      <c r="H97" s="22"/>
      <c r="I97" s="23"/>
    </row>
    <row r="98" spans="1:9" ht="13.8" x14ac:dyDescent="0.3">
      <c r="A98" s="22"/>
      <c r="B98" s="22"/>
      <c r="C98" s="22"/>
      <c r="D98" s="22"/>
      <c r="E98" s="22"/>
      <c r="F98" s="23"/>
      <c r="G98" s="22"/>
      <c r="H98" s="22"/>
      <c r="I98" s="23"/>
    </row>
    <row r="99" spans="1:9" ht="13.8" x14ac:dyDescent="0.3">
      <c r="A99" s="22"/>
      <c r="B99" s="22"/>
      <c r="C99" s="22"/>
      <c r="D99" s="22"/>
      <c r="E99" s="22"/>
      <c r="F99" s="23"/>
      <c r="G99" s="22"/>
      <c r="H99" s="22"/>
      <c r="I99" s="23"/>
    </row>
    <row r="100" spans="1:9" ht="13.8" x14ac:dyDescent="0.3">
      <c r="A100" s="22"/>
      <c r="B100" s="22"/>
      <c r="C100" s="22"/>
      <c r="D100" s="22"/>
      <c r="E100" s="22"/>
      <c r="F100" s="23"/>
      <c r="G100" s="22"/>
      <c r="H100" s="22"/>
      <c r="I100" s="23"/>
    </row>
    <row r="101" spans="1:9" ht="13.8" x14ac:dyDescent="0.3">
      <c r="A101" s="22"/>
      <c r="B101" s="22"/>
      <c r="C101" s="22"/>
      <c r="D101" s="22"/>
      <c r="E101" s="22"/>
      <c r="F101" s="23"/>
      <c r="G101" s="22"/>
      <c r="H101" s="22"/>
      <c r="I101" s="23"/>
    </row>
    <row r="102" spans="1:9" ht="13.8" x14ac:dyDescent="0.3">
      <c r="A102" s="22"/>
      <c r="B102" s="22"/>
      <c r="C102" s="22"/>
      <c r="D102" s="22"/>
      <c r="E102" s="22"/>
      <c r="F102" s="23"/>
      <c r="G102" s="22"/>
      <c r="H102" s="22"/>
      <c r="I102" s="23"/>
    </row>
    <row r="103" spans="1:9" ht="13.8" x14ac:dyDescent="0.3">
      <c r="A103" s="22"/>
      <c r="B103" s="22"/>
      <c r="C103" s="22"/>
      <c r="D103" s="22"/>
      <c r="E103" s="22"/>
      <c r="F103" s="23"/>
      <c r="G103" s="22"/>
      <c r="H103" s="22"/>
      <c r="I103" s="23"/>
    </row>
    <row r="104" spans="1:9" ht="13.8" x14ac:dyDescent="0.3">
      <c r="A104" s="22"/>
      <c r="B104" s="22"/>
      <c r="C104" s="22"/>
      <c r="D104" s="22"/>
      <c r="E104" s="22"/>
      <c r="F104" s="23"/>
      <c r="G104" s="22"/>
      <c r="H104" s="22"/>
      <c r="I104" s="23"/>
    </row>
    <row r="105" spans="1:9" ht="13.8" x14ac:dyDescent="0.3">
      <c r="A105" s="22"/>
      <c r="B105" s="22"/>
      <c r="C105" s="22"/>
      <c r="D105" s="22"/>
      <c r="E105" s="22"/>
      <c r="F105" s="23"/>
      <c r="G105" s="22"/>
      <c r="H105" s="22"/>
      <c r="I105" s="23"/>
    </row>
    <row r="106" spans="1:9" ht="13.8" x14ac:dyDescent="0.3">
      <c r="A106" s="22"/>
      <c r="B106" s="22"/>
      <c r="C106" s="22"/>
      <c r="D106" s="22"/>
      <c r="E106" s="22"/>
      <c r="F106" s="23"/>
      <c r="G106" s="22"/>
      <c r="H106" s="22"/>
      <c r="I106" s="23"/>
    </row>
    <row r="107" spans="1:9" ht="13.8" x14ac:dyDescent="0.3">
      <c r="A107" s="22"/>
      <c r="B107" s="22"/>
      <c r="C107" s="22"/>
      <c r="D107" s="22"/>
      <c r="E107" s="22"/>
      <c r="F107" s="23"/>
      <c r="G107" s="22"/>
      <c r="H107" s="22"/>
      <c r="I107" s="23"/>
    </row>
    <row r="108" spans="1:9" ht="13.8" x14ac:dyDescent="0.3">
      <c r="A108" s="22"/>
      <c r="B108" s="22"/>
      <c r="C108" s="22"/>
      <c r="D108" s="22"/>
      <c r="E108" s="22"/>
      <c r="F108" s="23"/>
      <c r="G108" s="22"/>
      <c r="H108" s="22"/>
      <c r="I108" s="23"/>
    </row>
    <row r="109" spans="1:9" ht="13.8" x14ac:dyDescent="0.3">
      <c r="A109" s="22"/>
      <c r="B109" s="22"/>
      <c r="C109" s="22"/>
      <c r="D109" s="22"/>
      <c r="E109" s="22"/>
      <c r="F109" s="23"/>
      <c r="G109" s="22"/>
      <c r="H109" s="22"/>
      <c r="I109" s="23"/>
    </row>
    <row r="110" spans="1:9" ht="13.8" x14ac:dyDescent="0.3">
      <c r="A110" s="22"/>
      <c r="B110" s="22"/>
      <c r="C110" s="22"/>
      <c r="D110" s="22"/>
      <c r="E110" s="22"/>
      <c r="F110" s="23"/>
      <c r="G110" s="22"/>
      <c r="H110" s="22"/>
      <c r="I110" s="23"/>
    </row>
    <row r="111" spans="1:9" ht="13.8" x14ac:dyDescent="0.3">
      <c r="A111" s="22"/>
      <c r="B111" s="22"/>
      <c r="C111" s="22"/>
      <c r="D111" s="22"/>
      <c r="E111" s="22"/>
      <c r="F111" s="23"/>
      <c r="G111" s="22"/>
      <c r="H111" s="22"/>
      <c r="I111" s="23"/>
    </row>
    <row r="112" spans="1:9" ht="13.8" x14ac:dyDescent="0.3">
      <c r="A112" s="22"/>
      <c r="B112" s="22"/>
      <c r="C112" s="22"/>
      <c r="D112" s="22"/>
      <c r="E112" s="22"/>
      <c r="F112" s="23"/>
      <c r="G112" s="22"/>
      <c r="H112" s="22"/>
      <c r="I112" s="23"/>
    </row>
    <row r="113" spans="1:9" ht="13.8" x14ac:dyDescent="0.3">
      <c r="A113" s="22"/>
      <c r="B113" s="22"/>
      <c r="C113" s="22"/>
      <c r="D113" s="22"/>
      <c r="E113" s="22"/>
      <c r="F113" s="23"/>
      <c r="G113" s="22"/>
      <c r="H113" s="22"/>
      <c r="I113" s="23"/>
    </row>
    <row r="114" spans="1:9" ht="13.8" x14ac:dyDescent="0.3">
      <c r="A114" s="22"/>
      <c r="B114" s="22"/>
      <c r="C114" s="22"/>
      <c r="D114" s="22"/>
      <c r="E114" s="22"/>
      <c r="F114" s="23"/>
      <c r="G114" s="22"/>
      <c r="H114" s="22"/>
      <c r="I114" s="23"/>
    </row>
    <row r="115" spans="1:9" ht="13.8" x14ac:dyDescent="0.3">
      <c r="A115" s="22"/>
      <c r="B115" s="22"/>
      <c r="C115" s="22"/>
      <c r="D115" s="22"/>
      <c r="E115" s="22"/>
      <c r="F115" s="23"/>
      <c r="G115" s="22"/>
      <c r="H115" s="22"/>
      <c r="I115" s="23"/>
    </row>
    <row r="116" spans="1:9" ht="13.8" x14ac:dyDescent="0.3">
      <c r="A116" s="22"/>
      <c r="B116" s="22"/>
      <c r="C116" s="22"/>
      <c r="D116" s="22"/>
      <c r="E116" s="22"/>
      <c r="F116" s="23"/>
      <c r="G116" s="22"/>
      <c r="H116" s="22"/>
      <c r="I116" s="23"/>
    </row>
    <row r="117" spans="1:9" ht="13.8" x14ac:dyDescent="0.3">
      <c r="A117" s="22"/>
      <c r="B117" s="22"/>
      <c r="C117" s="22"/>
      <c r="D117" s="22"/>
      <c r="E117" s="22"/>
      <c r="F117" s="23"/>
      <c r="G117" s="22"/>
      <c r="H117" s="22"/>
      <c r="I117" s="23"/>
    </row>
    <row r="118" spans="1:9" ht="13.8" x14ac:dyDescent="0.3">
      <c r="A118" s="22"/>
      <c r="B118" s="22"/>
      <c r="C118" s="22"/>
      <c r="D118" s="22"/>
      <c r="E118" s="22"/>
      <c r="F118" s="23"/>
      <c r="G118" s="22"/>
      <c r="H118" s="22"/>
      <c r="I118" s="23"/>
    </row>
    <row r="119" spans="1:9" ht="13.8" x14ac:dyDescent="0.3">
      <c r="A119" s="22"/>
      <c r="B119" s="22"/>
      <c r="C119" s="22"/>
      <c r="D119" s="22"/>
      <c r="E119" s="22"/>
      <c r="F119" s="23"/>
      <c r="G119" s="22"/>
      <c r="H119" s="22"/>
      <c r="I119" s="23"/>
    </row>
    <row r="120" spans="1:9" ht="13.8" x14ac:dyDescent="0.3">
      <c r="A120" s="22"/>
      <c r="B120" s="22"/>
      <c r="C120" s="22"/>
      <c r="D120" s="22"/>
      <c r="E120" s="22"/>
      <c r="F120" s="23"/>
      <c r="G120" s="22"/>
      <c r="H120" s="22"/>
      <c r="I120" s="23"/>
    </row>
    <row r="121" spans="1:9" ht="13.8" x14ac:dyDescent="0.3">
      <c r="A121" s="22"/>
      <c r="B121" s="22"/>
      <c r="C121" s="22"/>
      <c r="D121" s="22"/>
      <c r="E121" s="22"/>
      <c r="F121" s="23"/>
      <c r="G121" s="22"/>
      <c r="H121" s="22"/>
      <c r="I121" s="23"/>
    </row>
    <row r="122" spans="1:9" ht="13.8" x14ac:dyDescent="0.3">
      <c r="A122" s="22"/>
      <c r="B122" s="22"/>
      <c r="C122" s="22"/>
      <c r="D122" s="22"/>
      <c r="E122" s="22"/>
      <c r="F122" s="23"/>
      <c r="G122" s="22"/>
      <c r="H122" s="22"/>
      <c r="I122" s="23"/>
    </row>
    <row r="123" spans="1:9" ht="13.8" x14ac:dyDescent="0.3">
      <c r="A123" s="22"/>
      <c r="B123" s="22"/>
      <c r="C123" s="22"/>
      <c r="D123" s="22"/>
      <c r="E123" s="22"/>
      <c r="F123" s="23"/>
      <c r="G123" s="22"/>
      <c r="H123" s="22"/>
      <c r="I123" s="23"/>
    </row>
    <row r="124" spans="1:9" ht="13.8" x14ac:dyDescent="0.3">
      <c r="A124" s="22"/>
      <c r="B124" s="22"/>
      <c r="C124" s="22"/>
      <c r="D124" s="22"/>
      <c r="E124" s="22"/>
      <c r="F124" s="23"/>
      <c r="G124" s="22"/>
      <c r="H124" s="22"/>
      <c r="I124" s="23"/>
    </row>
    <row r="125" spans="1:9" ht="13.8" x14ac:dyDescent="0.3">
      <c r="A125" s="22"/>
      <c r="B125" s="22"/>
      <c r="C125" s="22"/>
      <c r="D125" s="22"/>
      <c r="E125" s="22"/>
      <c r="F125" s="23"/>
      <c r="G125" s="22"/>
      <c r="H125" s="22"/>
      <c r="I125" s="23"/>
    </row>
    <row r="126" spans="1:9" ht="13.8" x14ac:dyDescent="0.3">
      <c r="A126" s="22"/>
      <c r="B126" s="22"/>
      <c r="C126" s="22"/>
      <c r="D126" s="22"/>
      <c r="E126" s="22"/>
      <c r="F126" s="23"/>
      <c r="G126" s="22"/>
      <c r="H126" s="22"/>
      <c r="I126" s="23"/>
    </row>
    <row r="127" spans="1:9" ht="13.8" x14ac:dyDescent="0.3">
      <c r="A127" s="22"/>
      <c r="B127" s="22"/>
      <c r="C127" s="22"/>
      <c r="D127" s="22"/>
      <c r="E127" s="22"/>
      <c r="F127" s="23"/>
      <c r="G127" s="22"/>
      <c r="H127" s="22"/>
      <c r="I127" s="23"/>
    </row>
    <row r="128" spans="1:9" ht="13.8" x14ac:dyDescent="0.3">
      <c r="A128" s="22"/>
      <c r="B128" s="22"/>
      <c r="C128" s="22"/>
      <c r="D128" s="22"/>
      <c r="E128" s="22"/>
      <c r="F128" s="23"/>
      <c r="G128" s="22"/>
      <c r="H128" s="22"/>
      <c r="I128" s="23"/>
    </row>
    <row r="129" spans="1:9" ht="13.8" x14ac:dyDescent="0.3">
      <c r="A129" s="22"/>
      <c r="B129" s="22"/>
      <c r="C129" s="22"/>
      <c r="D129" s="22"/>
      <c r="E129" s="22"/>
      <c r="F129" s="23"/>
      <c r="G129" s="22"/>
      <c r="H129" s="22"/>
      <c r="I129" s="23"/>
    </row>
    <row r="130" spans="1:9" ht="13.8" x14ac:dyDescent="0.3">
      <c r="A130" s="22"/>
      <c r="B130" s="22"/>
      <c r="C130" s="22"/>
      <c r="D130" s="22"/>
      <c r="E130" s="22"/>
      <c r="F130" s="23"/>
      <c r="G130" s="22"/>
      <c r="H130" s="22"/>
      <c r="I130" s="23"/>
    </row>
    <row r="131" spans="1:9" ht="13.8" x14ac:dyDescent="0.3">
      <c r="A131" s="22"/>
      <c r="B131" s="22"/>
      <c r="C131" s="22"/>
      <c r="D131" s="22"/>
      <c r="E131" s="22"/>
      <c r="F131" s="23"/>
      <c r="G131" s="22"/>
      <c r="H131" s="22"/>
      <c r="I131" s="23"/>
    </row>
    <row r="132" spans="1:9" ht="13.8" x14ac:dyDescent="0.3">
      <c r="A132" s="22"/>
      <c r="B132" s="22"/>
      <c r="C132" s="22"/>
      <c r="D132" s="22"/>
      <c r="E132" s="22"/>
      <c r="F132" s="23"/>
      <c r="G132" s="22"/>
      <c r="H132" s="22"/>
      <c r="I132" s="23"/>
    </row>
    <row r="133" spans="1:9" ht="13.8" x14ac:dyDescent="0.3">
      <c r="A133" s="22"/>
      <c r="B133" s="22"/>
      <c r="C133" s="22"/>
      <c r="D133" s="22"/>
      <c r="E133" s="22"/>
      <c r="F133" s="23"/>
      <c r="G133" s="22"/>
      <c r="H133" s="22"/>
      <c r="I133" s="23"/>
    </row>
    <row r="134" spans="1:9" ht="13.8" x14ac:dyDescent="0.3">
      <c r="A134" s="22"/>
      <c r="B134" s="22"/>
      <c r="C134" s="22"/>
      <c r="D134" s="22"/>
      <c r="E134" s="22"/>
      <c r="F134" s="23"/>
      <c r="G134" s="22"/>
      <c r="H134" s="22"/>
      <c r="I134" s="23"/>
    </row>
    <row r="135" spans="1:9" ht="13.8" x14ac:dyDescent="0.3">
      <c r="A135" s="22"/>
      <c r="B135" s="22"/>
      <c r="C135" s="22"/>
      <c r="D135" s="22"/>
      <c r="E135" s="22"/>
      <c r="F135" s="23"/>
      <c r="G135" s="22"/>
      <c r="H135" s="22"/>
      <c r="I135" s="23"/>
    </row>
    <row r="136" spans="1:9" ht="13.8" x14ac:dyDescent="0.3">
      <c r="A136" s="22"/>
      <c r="B136" s="22"/>
      <c r="C136" s="22"/>
      <c r="D136" s="22"/>
      <c r="E136" s="22"/>
      <c r="F136" s="23"/>
      <c r="G136" s="22"/>
      <c r="H136" s="22"/>
      <c r="I136" s="23"/>
    </row>
    <row r="137" spans="1:9" ht="13.8" x14ac:dyDescent="0.3">
      <c r="A137" s="22"/>
      <c r="B137" s="22"/>
      <c r="C137" s="22"/>
      <c r="D137" s="22"/>
      <c r="E137" s="22"/>
      <c r="F137" s="23"/>
      <c r="G137" s="22"/>
      <c r="H137" s="22"/>
      <c r="I137" s="23"/>
    </row>
    <row r="138" spans="1:9" ht="13.8" x14ac:dyDescent="0.3">
      <c r="A138" s="22"/>
      <c r="B138" s="22"/>
      <c r="C138" s="22"/>
      <c r="D138" s="22"/>
      <c r="E138" s="22"/>
      <c r="F138" s="23"/>
      <c r="G138" s="22"/>
      <c r="H138" s="22"/>
      <c r="I138" s="23"/>
    </row>
    <row r="139" spans="1:9" ht="13.8" x14ac:dyDescent="0.3">
      <c r="A139" s="22"/>
      <c r="B139" s="22"/>
      <c r="C139" s="22"/>
      <c r="D139" s="22"/>
      <c r="E139" s="22"/>
      <c r="F139" s="23"/>
      <c r="G139" s="22"/>
      <c r="H139" s="22"/>
      <c r="I139" s="23"/>
    </row>
    <row r="140" spans="1:9" ht="13.8" x14ac:dyDescent="0.3">
      <c r="A140" s="22"/>
      <c r="B140" s="22"/>
      <c r="C140" s="22"/>
      <c r="D140" s="22"/>
      <c r="E140" s="22"/>
      <c r="F140" s="23"/>
      <c r="G140" s="22"/>
      <c r="H140" s="22"/>
      <c r="I140" s="23"/>
    </row>
    <row r="141" spans="1:9" ht="13.8" x14ac:dyDescent="0.3">
      <c r="A141" s="22"/>
      <c r="B141" s="22"/>
      <c r="C141" s="22"/>
      <c r="D141" s="22"/>
      <c r="E141" s="22"/>
      <c r="F141" s="23"/>
      <c r="G141" s="22"/>
      <c r="H141" s="22"/>
      <c r="I141" s="23"/>
    </row>
    <row r="142" spans="1:9" ht="13.8" x14ac:dyDescent="0.3">
      <c r="A142" s="22"/>
      <c r="B142" s="22"/>
      <c r="C142" s="22"/>
      <c r="D142" s="22"/>
      <c r="E142" s="22"/>
      <c r="F142" s="23"/>
      <c r="G142" s="22"/>
      <c r="H142" s="22"/>
      <c r="I142" s="23"/>
    </row>
    <row r="143" spans="1:9" ht="13.8" x14ac:dyDescent="0.3">
      <c r="A143" s="22"/>
      <c r="B143" s="22"/>
      <c r="C143" s="22"/>
      <c r="D143" s="22"/>
      <c r="E143" s="22"/>
      <c r="F143" s="23"/>
      <c r="G143" s="22"/>
      <c r="H143" s="22"/>
      <c r="I143" s="23"/>
    </row>
    <row r="144" spans="1:9" ht="13.8" x14ac:dyDescent="0.3">
      <c r="A144" s="22"/>
      <c r="B144" s="22"/>
      <c r="C144" s="22"/>
      <c r="D144" s="22"/>
      <c r="E144" s="22"/>
      <c r="F144" s="23"/>
      <c r="G144" s="22"/>
      <c r="H144" s="22"/>
      <c r="I144" s="23"/>
    </row>
    <row r="145" spans="1:9" ht="13.8" x14ac:dyDescent="0.3">
      <c r="A145" s="22"/>
      <c r="B145" s="22"/>
      <c r="C145" s="22"/>
      <c r="D145" s="22"/>
      <c r="E145" s="22"/>
      <c r="F145" s="23"/>
      <c r="G145" s="22"/>
      <c r="H145" s="22"/>
      <c r="I145" s="23"/>
    </row>
    <row r="146" spans="1:9" ht="13.8" x14ac:dyDescent="0.3">
      <c r="A146" s="22"/>
      <c r="B146" s="22"/>
      <c r="C146" s="22"/>
      <c r="D146" s="22"/>
      <c r="E146" s="22"/>
      <c r="F146" s="23"/>
      <c r="G146" s="22"/>
      <c r="H146" s="22"/>
      <c r="I146" s="23"/>
    </row>
    <row r="147" spans="1:9" ht="13.8" x14ac:dyDescent="0.3">
      <c r="A147" s="22"/>
      <c r="B147" s="22"/>
      <c r="C147" s="22"/>
      <c r="D147" s="22"/>
      <c r="E147" s="22"/>
      <c r="F147" s="23"/>
      <c r="G147" s="22"/>
      <c r="H147" s="22"/>
      <c r="I147" s="23"/>
    </row>
    <row r="148" spans="1:9" ht="13.8" x14ac:dyDescent="0.3">
      <c r="A148" s="22"/>
      <c r="B148" s="22"/>
      <c r="C148" s="22"/>
      <c r="D148" s="22"/>
      <c r="E148" s="22"/>
      <c r="F148" s="23"/>
      <c r="G148" s="22"/>
      <c r="H148" s="22"/>
      <c r="I148" s="23"/>
    </row>
    <row r="149" spans="1:9" ht="13.8" x14ac:dyDescent="0.3">
      <c r="A149" s="22"/>
      <c r="B149" s="22"/>
      <c r="C149" s="22"/>
      <c r="D149" s="22"/>
      <c r="E149" s="22"/>
      <c r="F149" s="23"/>
      <c r="G149" s="22"/>
      <c r="H149" s="22"/>
      <c r="I149" s="23"/>
    </row>
    <row r="150" spans="1:9" ht="13.8" x14ac:dyDescent="0.3">
      <c r="A150" s="22"/>
      <c r="B150" s="22"/>
      <c r="C150" s="22"/>
      <c r="D150" s="22"/>
      <c r="E150" s="22"/>
      <c r="F150" s="23"/>
      <c r="G150" s="22"/>
      <c r="H150" s="22"/>
      <c r="I150" s="23"/>
    </row>
    <row r="151" spans="1:9" ht="13.8" x14ac:dyDescent="0.3">
      <c r="A151" s="22"/>
      <c r="B151" s="22"/>
      <c r="C151" s="22"/>
      <c r="D151" s="22"/>
      <c r="E151" s="22"/>
      <c r="F151" s="23"/>
      <c r="G151" s="22"/>
      <c r="H151" s="22"/>
      <c r="I151" s="23"/>
    </row>
    <row r="152" spans="1:9" ht="13.8" x14ac:dyDescent="0.3">
      <c r="A152" s="22"/>
      <c r="B152" s="22"/>
      <c r="C152" s="22"/>
      <c r="D152" s="22"/>
      <c r="E152" s="22"/>
      <c r="F152" s="23"/>
      <c r="G152" s="22"/>
      <c r="H152" s="22"/>
      <c r="I152" s="23"/>
    </row>
    <row r="153" spans="1:9" ht="13.8" x14ac:dyDescent="0.3">
      <c r="A153" s="22"/>
      <c r="B153" s="22"/>
      <c r="C153" s="22"/>
      <c r="D153" s="22"/>
      <c r="E153" s="22"/>
      <c r="F153" s="23"/>
      <c r="G153" s="22"/>
      <c r="H153" s="22"/>
      <c r="I153" s="23"/>
    </row>
    <row r="154" spans="1:9" ht="13.8" x14ac:dyDescent="0.3">
      <c r="A154" s="22"/>
      <c r="B154" s="22"/>
      <c r="C154" s="22"/>
      <c r="D154" s="22"/>
      <c r="E154" s="22"/>
      <c r="F154" s="23"/>
      <c r="G154" s="22"/>
      <c r="H154" s="22"/>
      <c r="I154" s="23"/>
    </row>
    <row r="155" spans="1:9" ht="13.8" x14ac:dyDescent="0.3">
      <c r="A155" s="22"/>
      <c r="B155" s="22"/>
      <c r="C155" s="22"/>
      <c r="D155" s="22"/>
      <c r="E155" s="22"/>
      <c r="F155" s="23"/>
      <c r="G155" s="22"/>
      <c r="H155" s="22"/>
      <c r="I155" s="23"/>
    </row>
    <row r="156" spans="1:9" ht="13.8" x14ac:dyDescent="0.3">
      <c r="A156" s="22"/>
      <c r="B156" s="22"/>
      <c r="C156" s="22"/>
      <c r="D156" s="22"/>
      <c r="E156" s="22"/>
      <c r="F156" s="23"/>
      <c r="G156" s="22"/>
      <c r="H156" s="22"/>
      <c r="I156" s="23"/>
    </row>
    <row r="157" spans="1:9" ht="13.8" x14ac:dyDescent="0.3">
      <c r="A157" s="22"/>
      <c r="B157" s="22"/>
      <c r="C157" s="22"/>
      <c r="D157" s="22"/>
      <c r="E157" s="22"/>
      <c r="F157" s="23"/>
      <c r="G157" s="22"/>
      <c r="H157" s="22"/>
      <c r="I157" s="23"/>
    </row>
    <row r="158" spans="1:9" ht="13.8" x14ac:dyDescent="0.3">
      <c r="A158" s="22"/>
      <c r="B158" s="22"/>
      <c r="C158" s="22"/>
      <c r="D158" s="22"/>
      <c r="E158" s="22"/>
      <c r="F158" s="23"/>
      <c r="G158" s="22"/>
      <c r="H158" s="22"/>
      <c r="I158" s="23"/>
    </row>
    <row r="159" spans="1:9" ht="13.8" x14ac:dyDescent="0.3">
      <c r="A159" s="22"/>
      <c r="B159" s="22"/>
      <c r="C159" s="22"/>
      <c r="D159" s="22"/>
      <c r="E159" s="22"/>
      <c r="F159" s="23"/>
      <c r="G159" s="22"/>
      <c r="H159" s="22"/>
      <c r="I159" s="23"/>
    </row>
    <row r="160" spans="1:9" ht="13.8" x14ac:dyDescent="0.3">
      <c r="A160" s="22"/>
      <c r="B160" s="22"/>
      <c r="C160" s="22"/>
      <c r="D160" s="22"/>
      <c r="E160" s="22"/>
      <c r="F160" s="23"/>
      <c r="G160" s="22"/>
      <c r="H160" s="22"/>
      <c r="I160" s="23"/>
    </row>
    <row r="161" spans="1:9" ht="13.8" x14ac:dyDescent="0.3">
      <c r="A161" s="22"/>
      <c r="B161" s="22"/>
      <c r="C161" s="22"/>
      <c r="D161" s="22"/>
      <c r="E161" s="22"/>
      <c r="F161" s="23"/>
      <c r="G161" s="22"/>
      <c r="H161" s="22"/>
      <c r="I161" s="23"/>
    </row>
    <row r="162" spans="1:9" ht="13.8" x14ac:dyDescent="0.3">
      <c r="A162" s="22"/>
      <c r="B162" s="22"/>
      <c r="C162" s="22"/>
      <c r="D162" s="22"/>
      <c r="E162" s="22"/>
      <c r="F162" s="23"/>
      <c r="G162" s="22"/>
      <c r="H162" s="22"/>
      <c r="I162" s="23"/>
    </row>
    <row r="163" spans="1:9" ht="13.8" x14ac:dyDescent="0.3">
      <c r="A163" s="22"/>
      <c r="B163" s="22"/>
      <c r="C163" s="22"/>
      <c r="D163" s="22"/>
      <c r="E163" s="22"/>
      <c r="F163" s="23"/>
      <c r="G163" s="22"/>
      <c r="H163" s="22"/>
      <c r="I163" s="23"/>
    </row>
    <row r="164" spans="1:9" ht="13.8" x14ac:dyDescent="0.3">
      <c r="A164" s="22"/>
      <c r="B164" s="22"/>
      <c r="C164" s="22"/>
      <c r="D164" s="22"/>
      <c r="E164" s="22"/>
      <c r="F164" s="23"/>
      <c r="G164" s="22"/>
      <c r="H164" s="22"/>
      <c r="I164" s="23"/>
    </row>
    <row r="165" spans="1:9" ht="13.8" x14ac:dyDescent="0.3">
      <c r="A165" s="22"/>
      <c r="B165" s="22"/>
      <c r="C165" s="22"/>
      <c r="D165" s="22"/>
      <c r="E165" s="22"/>
      <c r="F165" s="23"/>
      <c r="G165" s="22"/>
      <c r="H165" s="22"/>
      <c r="I165" s="23"/>
    </row>
    <row r="166" spans="1:9" ht="13.8" x14ac:dyDescent="0.3">
      <c r="A166" s="22"/>
      <c r="B166" s="22"/>
      <c r="C166" s="22"/>
      <c r="D166" s="22"/>
      <c r="E166" s="22"/>
      <c r="F166" s="23"/>
      <c r="G166" s="22"/>
      <c r="H166" s="22"/>
      <c r="I166" s="23"/>
    </row>
    <row r="167" spans="1:9" ht="13.8" x14ac:dyDescent="0.3">
      <c r="A167" s="22"/>
      <c r="B167" s="22"/>
      <c r="C167" s="22"/>
      <c r="D167" s="22"/>
      <c r="E167" s="22"/>
      <c r="F167" s="23"/>
      <c r="G167" s="22"/>
      <c r="H167" s="22"/>
      <c r="I167" s="23"/>
    </row>
    <row r="168" spans="1:9" ht="13.8" x14ac:dyDescent="0.3">
      <c r="A168" s="22"/>
      <c r="B168" s="22"/>
      <c r="C168" s="22"/>
      <c r="D168" s="22"/>
      <c r="E168" s="22"/>
      <c r="F168" s="23"/>
      <c r="G168" s="22"/>
      <c r="H168" s="22"/>
      <c r="I168" s="23"/>
    </row>
    <row r="169" spans="1:9" ht="13.8" x14ac:dyDescent="0.3">
      <c r="A169" s="22"/>
      <c r="B169" s="22"/>
      <c r="C169" s="22"/>
      <c r="D169" s="22"/>
      <c r="E169" s="22"/>
      <c r="F169" s="23"/>
      <c r="G169" s="22"/>
      <c r="H169" s="22"/>
      <c r="I169" s="23"/>
    </row>
    <row r="170" spans="1:9" ht="13.8" x14ac:dyDescent="0.3">
      <c r="A170" s="22"/>
      <c r="B170" s="22"/>
      <c r="C170" s="22"/>
      <c r="D170" s="22"/>
      <c r="E170" s="22"/>
      <c r="F170" s="23"/>
      <c r="G170" s="22"/>
      <c r="H170" s="22"/>
      <c r="I170" s="23"/>
    </row>
    <row r="171" spans="1:9" ht="13.8" x14ac:dyDescent="0.3">
      <c r="A171" s="22"/>
      <c r="B171" s="22"/>
      <c r="C171" s="22"/>
      <c r="D171" s="22"/>
      <c r="E171" s="22"/>
      <c r="F171" s="23"/>
      <c r="G171" s="22"/>
      <c r="H171" s="22"/>
      <c r="I171" s="23"/>
    </row>
    <row r="172" spans="1:9" ht="13.8" x14ac:dyDescent="0.3">
      <c r="A172" s="22"/>
      <c r="B172" s="22"/>
      <c r="C172" s="22"/>
      <c r="D172" s="22"/>
      <c r="E172" s="22"/>
      <c r="F172" s="23"/>
      <c r="G172" s="22"/>
      <c r="H172" s="22"/>
      <c r="I172" s="23"/>
    </row>
    <row r="173" spans="1:9" ht="13.8" x14ac:dyDescent="0.3">
      <c r="A173" s="22"/>
      <c r="B173" s="22"/>
      <c r="C173" s="22"/>
      <c r="D173" s="22"/>
      <c r="E173" s="22"/>
      <c r="F173" s="23"/>
      <c r="G173" s="22"/>
      <c r="H173" s="22"/>
      <c r="I173" s="23"/>
    </row>
    <row r="174" spans="1:9" ht="13.8" x14ac:dyDescent="0.3">
      <c r="A174" s="22"/>
      <c r="B174" s="22"/>
      <c r="C174" s="22"/>
      <c r="D174" s="22"/>
      <c r="E174" s="22"/>
      <c r="F174" s="23"/>
      <c r="G174" s="22"/>
      <c r="H174" s="22"/>
      <c r="I174" s="23"/>
    </row>
    <row r="175" spans="1:9" ht="13.8" x14ac:dyDescent="0.3">
      <c r="A175" s="22"/>
      <c r="B175" s="22"/>
      <c r="C175" s="22"/>
      <c r="D175" s="22"/>
      <c r="E175" s="22"/>
      <c r="F175" s="23"/>
      <c r="G175" s="22"/>
      <c r="H175" s="22"/>
      <c r="I175" s="23"/>
    </row>
    <row r="176" spans="1:9" ht="13.8" x14ac:dyDescent="0.3">
      <c r="A176" s="22"/>
      <c r="B176" s="22"/>
      <c r="C176" s="22"/>
      <c r="D176" s="22"/>
      <c r="E176" s="22"/>
      <c r="F176" s="23"/>
      <c r="G176" s="22"/>
      <c r="H176" s="22"/>
      <c r="I176" s="23"/>
    </row>
    <row r="177" spans="1:9" ht="13.8" x14ac:dyDescent="0.3">
      <c r="A177" s="22"/>
      <c r="B177" s="22"/>
      <c r="C177" s="22"/>
      <c r="D177" s="22"/>
      <c r="E177" s="22"/>
      <c r="F177" s="23"/>
      <c r="G177" s="22"/>
      <c r="H177" s="22"/>
      <c r="I177" s="23"/>
    </row>
    <row r="178" spans="1:9" ht="13.8" x14ac:dyDescent="0.3">
      <c r="A178" s="22"/>
      <c r="B178" s="22"/>
      <c r="C178" s="22"/>
      <c r="D178" s="22"/>
      <c r="E178" s="22"/>
      <c r="F178" s="23"/>
      <c r="G178" s="22"/>
      <c r="H178" s="22"/>
      <c r="I178" s="23"/>
    </row>
    <row r="179" spans="1:9" ht="13.8" x14ac:dyDescent="0.3">
      <c r="A179" s="22"/>
      <c r="B179" s="22"/>
      <c r="C179" s="22"/>
      <c r="D179" s="22"/>
      <c r="E179" s="22"/>
      <c r="F179" s="23"/>
      <c r="G179" s="22"/>
      <c r="H179" s="22"/>
      <c r="I179" s="23"/>
    </row>
    <row r="180" spans="1:9" ht="13.8" x14ac:dyDescent="0.3">
      <c r="A180" s="22"/>
      <c r="B180" s="22"/>
      <c r="C180" s="22"/>
      <c r="D180" s="22"/>
      <c r="E180" s="22"/>
      <c r="F180" s="23"/>
      <c r="G180" s="22"/>
      <c r="H180" s="22"/>
      <c r="I180" s="23"/>
    </row>
    <row r="181" spans="1:9" ht="13.8" x14ac:dyDescent="0.3">
      <c r="A181" s="22"/>
      <c r="B181" s="22"/>
      <c r="C181" s="22"/>
      <c r="D181" s="22"/>
      <c r="E181" s="22"/>
      <c r="F181" s="23"/>
      <c r="G181" s="22"/>
      <c r="H181" s="22"/>
      <c r="I181" s="23"/>
    </row>
    <row r="182" spans="1:9" ht="13.8" x14ac:dyDescent="0.3">
      <c r="A182" s="22"/>
      <c r="B182" s="22"/>
      <c r="C182" s="22"/>
      <c r="D182" s="22"/>
      <c r="E182" s="22"/>
      <c r="F182" s="23"/>
      <c r="G182" s="22"/>
      <c r="H182" s="22"/>
      <c r="I182" s="23"/>
    </row>
    <row r="183" spans="1:9" ht="13.8" x14ac:dyDescent="0.3">
      <c r="A183" s="22"/>
      <c r="B183" s="22"/>
      <c r="C183" s="22"/>
      <c r="D183" s="22"/>
      <c r="E183" s="22"/>
      <c r="F183" s="23"/>
      <c r="G183" s="22"/>
      <c r="H183" s="22"/>
      <c r="I183" s="23"/>
    </row>
    <row r="184" spans="1:9" ht="13.8" x14ac:dyDescent="0.3">
      <c r="A184" s="22"/>
      <c r="B184" s="22"/>
      <c r="C184" s="22"/>
      <c r="D184" s="22"/>
      <c r="E184" s="22"/>
      <c r="F184" s="23"/>
      <c r="G184" s="22"/>
      <c r="H184" s="22"/>
      <c r="I184" s="23"/>
    </row>
    <row r="185" spans="1:9" ht="13.8" x14ac:dyDescent="0.3">
      <c r="A185" s="22"/>
      <c r="B185" s="22"/>
      <c r="C185" s="22"/>
      <c r="D185" s="22"/>
      <c r="E185" s="22"/>
      <c r="F185" s="23"/>
      <c r="G185" s="22"/>
      <c r="H185" s="22"/>
      <c r="I185" s="23"/>
    </row>
    <row r="186" spans="1:9" ht="13.8" x14ac:dyDescent="0.3">
      <c r="A186" s="22"/>
      <c r="B186" s="22"/>
      <c r="C186" s="22"/>
      <c r="D186" s="22"/>
      <c r="E186" s="22"/>
      <c r="F186" s="23"/>
      <c r="G186" s="22"/>
      <c r="H186" s="22"/>
      <c r="I186" s="23"/>
    </row>
    <row r="187" spans="1:9" ht="13.8" x14ac:dyDescent="0.3">
      <c r="A187" s="22"/>
      <c r="B187" s="22"/>
      <c r="C187" s="22"/>
      <c r="D187" s="22"/>
      <c r="E187" s="22"/>
      <c r="F187" s="23"/>
      <c r="G187" s="22"/>
      <c r="H187" s="22"/>
      <c r="I187" s="23"/>
    </row>
    <row r="188" spans="1:9" ht="13.8" x14ac:dyDescent="0.3">
      <c r="A188" s="22"/>
      <c r="B188" s="22"/>
      <c r="C188" s="22"/>
      <c r="D188" s="22"/>
      <c r="E188" s="22"/>
      <c r="F188" s="23"/>
      <c r="G188" s="22"/>
      <c r="H188" s="22"/>
      <c r="I188" s="23"/>
    </row>
    <row r="189" spans="1:9" ht="13.8" x14ac:dyDescent="0.3">
      <c r="A189" s="22"/>
      <c r="B189" s="22"/>
      <c r="C189" s="22"/>
      <c r="D189" s="22"/>
      <c r="E189" s="22"/>
      <c r="F189" s="23"/>
      <c r="G189" s="22"/>
      <c r="H189" s="22"/>
      <c r="I189" s="23"/>
    </row>
    <row r="190" spans="1:9" ht="13.8" x14ac:dyDescent="0.3">
      <c r="A190" s="22"/>
      <c r="B190" s="22"/>
      <c r="C190" s="22"/>
      <c r="D190" s="22"/>
      <c r="E190" s="22"/>
      <c r="F190" s="23"/>
      <c r="G190" s="22"/>
      <c r="H190" s="22"/>
      <c r="I190" s="23"/>
    </row>
    <row r="191" spans="1:9" ht="13.8" x14ac:dyDescent="0.3">
      <c r="A191" s="22"/>
      <c r="B191" s="22"/>
      <c r="C191" s="22"/>
      <c r="D191" s="22"/>
      <c r="E191" s="22"/>
      <c r="F191" s="23"/>
      <c r="G191" s="22"/>
      <c r="H191" s="22"/>
      <c r="I191" s="23"/>
    </row>
    <row r="192" spans="1:9" ht="13.8" x14ac:dyDescent="0.3">
      <c r="A192" s="22"/>
      <c r="B192" s="22"/>
      <c r="C192" s="22"/>
      <c r="D192" s="22"/>
      <c r="E192" s="22"/>
      <c r="F192" s="23"/>
      <c r="G192" s="22"/>
      <c r="H192" s="22"/>
      <c r="I192" s="23"/>
    </row>
    <row r="193" spans="1:9" ht="13.8" x14ac:dyDescent="0.3">
      <c r="A193" s="22"/>
      <c r="B193" s="22"/>
      <c r="C193" s="22"/>
      <c r="D193" s="22"/>
      <c r="E193" s="22"/>
      <c r="F193" s="23"/>
      <c r="G193" s="22"/>
      <c r="H193" s="22"/>
      <c r="I193" s="23"/>
    </row>
    <row r="194" spans="1:9" ht="13.8" x14ac:dyDescent="0.3">
      <c r="A194" s="22"/>
      <c r="B194" s="22"/>
      <c r="C194" s="22"/>
      <c r="D194" s="22"/>
      <c r="E194" s="22"/>
      <c r="F194" s="23"/>
      <c r="G194" s="22"/>
      <c r="H194" s="22"/>
      <c r="I194" s="23"/>
    </row>
    <row r="195" spans="1:9" ht="13.8" x14ac:dyDescent="0.3">
      <c r="A195" s="22"/>
      <c r="B195" s="22"/>
      <c r="C195" s="22"/>
      <c r="D195" s="22"/>
      <c r="E195" s="22"/>
      <c r="F195" s="23"/>
      <c r="G195" s="22"/>
      <c r="H195" s="22"/>
      <c r="I195" s="23"/>
    </row>
    <row r="196" spans="1:9" ht="13.8" x14ac:dyDescent="0.3">
      <c r="A196" s="22"/>
      <c r="B196" s="22"/>
      <c r="C196" s="22"/>
      <c r="D196" s="22"/>
      <c r="E196" s="22"/>
      <c r="F196" s="23"/>
      <c r="G196" s="22"/>
      <c r="H196" s="22"/>
      <c r="I196" s="23"/>
    </row>
    <row r="197" spans="1:9" ht="13.8" x14ac:dyDescent="0.3">
      <c r="A197" s="22"/>
      <c r="B197" s="22"/>
      <c r="C197" s="22"/>
      <c r="D197" s="22"/>
      <c r="E197" s="22"/>
      <c r="F197" s="23"/>
      <c r="G197" s="22"/>
      <c r="H197" s="22"/>
      <c r="I197" s="23"/>
    </row>
    <row r="198" spans="1:9" ht="13.8" x14ac:dyDescent="0.3">
      <c r="A198" s="22"/>
      <c r="B198" s="22"/>
      <c r="C198" s="22"/>
      <c r="D198" s="22"/>
      <c r="E198" s="22"/>
      <c r="F198" s="23"/>
      <c r="G198" s="22"/>
      <c r="H198" s="22"/>
      <c r="I198" s="23"/>
    </row>
    <row r="199" spans="1:9" ht="13.8" x14ac:dyDescent="0.3">
      <c r="A199" s="22"/>
      <c r="B199" s="22"/>
      <c r="C199" s="22"/>
      <c r="D199" s="22"/>
      <c r="E199" s="22"/>
      <c r="F199" s="23"/>
      <c r="G199" s="22"/>
      <c r="H199" s="22"/>
      <c r="I199" s="23"/>
    </row>
    <row r="200" spans="1:9" ht="13.8" x14ac:dyDescent="0.3">
      <c r="A200" s="22"/>
      <c r="B200" s="22"/>
      <c r="C200" s="22"/>
      <c r="D200" s="22"/>
      <c r="E200" s="22"/>
      <c r="F200" s="23"/>
      <c r="G200" s="22"/>
      <c r="H200" s="22"/>
      <c r="I200" s="23"/>
    </row>
    <row r="201" spans="1:9" ht="13.8" x14ac:dyDescent="0.3">
      <c r="A201" s="22"/>
      <c r="B201" s="22"/>
      <c r="C201" s="22"/>
      <c r="D201" s="22"/>
      <c r="E201" s="22"/>
      <c r="F201" s="23"/>
      <c r="G201" s="22"/>
      <c r="H201" s="22"/>
      <c r="I201" s="23"/>
    </row>
    <row r="202" spans="1:9" ht="13.8" x14ac:dyDescent="0.3">
      <c r="A202" s="22"/>
      <c r="B202" s="22"/>
      <c r="C202" s="22"/>
      <c r="D202" s="22"/>
      <c r="E202" s="22"/>
      <c r="F202" s="23"/>
      <c r="G202" s="22"/>
      <c r="H202" s="22"/>
      <c r="I202" s="23"/>
    </row>
    <row r="203" spans="1:9" ht="13.8" x14ac:dyDescent="0.3">
      <c r="A203" s="22"/>
      <c r="B203" s="22"/>
      <c r="C203" s="22"/>
      <c r="D203" s="22"/>
      <c r="E203" s="22"/>
      <c r="F203" s="23"/>
      <c r="G203" s="22"/>
      <c r="H203" s="22"/>
      <c r="I203" s="23"/>
    </row>
    <row r="204" spans="1:9" ht="13.8" x14ac:dyDescent="0.3">
      <c r="A204" s="22"/>
      <c r="B204" s="22"/>
      <c r="C204" s="22"/>
      <c r="D204" s="22"/>
      <c r="E204" s="22"/>
      <c r="F204" s="23"/>
      <c r="G204" s="22"/>
      <c r="H204" s="22"/>
      <c r="I204" s="23"/>
    </row>
    <row r="205" spans="1:9" ht="13.8" x14ac:dyDescent="0.3">
      <c r="A205" s="22"/>
      <c r="B205" s="22"/>
      <c r="C205" s="22"/>
      <c r="D205" s="22"/>
      <c r="E205" s="22"/>
      <c r="F205" s="23"/>
      <c r="G205" s="22"/>
      <c r="H205" s="22"/>
      <c r="I205" s="23"/>
    </row>
    <row r="206" spans="1:9" ht="13.8" x14ac:dyDescent="0.3">
      <c r="A206" s="22"/>
      <c r="B206" s="22"/>
      <c r="C206" s="22"/>
      <c r="D206" s="22"/>
      <c r="E206" s="22"/>
      <c r="F206" s="23"/>
      <c r="G206" s="22"/>
      <c r="H206" s="22"/>
      <c r="I206" s="23"/>
    </row>
    <row r="207" spans="1:9" ht="13.8" x14ac:dyDescent="0.3">
      <c r="A207" s="22"/>
      <c r="B207" s="22"/>
      <c r="C207" s="22"/>
      <c r="D207" s="22"/>
      <c r="E207" s="22"/>
      <c r="F207" s="23"/>
      <c r="G207" s="22"/>
      <c r="H207" s="22"/>
      <c r="I207" s="23"/>
    </row>
    <row r="208" spans="1:9" ht="13.8" x14ac:dyDescent="0.3">
      <c r="A208" s="22"/>
      <c r="B208" s="22"/>
      <c r="C208" s="22"/>
      <c r="D208" s="22"/>
      <c r="E208" s="22"/>
      <c r="F208" s="23"/>
      <c r="G208" s="22"/>
      <c r="H208" s="22"/>
      <c r="I208" s="23"/>
    </row>
    <row r="209" spans="1:9" ht="13.8" x14ac:dyDescent="0.3">
      <c r="A209" s="22"/>
      <c r="B209" s="22"/>
      <c r="C209" s="22"/>
      <c r="D209" s="22"/>
      <c r="E209" s="22"/>
      <c r="F209" s="23"/>
      <c r="G209" s="22"/>
      <c r="H209" s="22"/>
      <c r="I209" s="23"/>
    </row>
    <row r="210" spans="1:9" ht="13.8" x14ac:dyDescent="0.3">
      <c r="A210" s="22"/>
      <c r="B210" s="22"/>
      <c r="C210" s="22"/>
      <c r="D210" s="22"/>
      <c r="E210" s="22"/>
      <c r="F210" s="23"/>
      <c r="G210" s="22"/>
      <c r="H210" s="22"/>
      <c r="I210" s="23"/>
    </row>
    <row r="211" spans="1:9" ht="13.8" x14ac:dyDescent="0.3">
      <c r="A211" s="22"/>
      <c r="B211" s="22"/>
      <c r="C211" s="22"/>
      <c r="D211" s="22"/>
      <c r="E211" s="22"/>
      <c r="F211" s="23"/>
      <c r="G211" s="22"/>
      <c r="H211" s="22"/>
      <c r="I211" s="23"/>
    </row>
    <row r="212" spans="1:9" ht="13.8" x14ac:dyDescent="0.3">
      <c r="A212" s="22"/>
      <c r="B212" s="22"/>
      <c r="C212" s="22"/>
      <c r="D212" s="22"/>
      <c r="E212" s="22"/>
      <c r="F212" s="23"/>
      <c r="G212" s="22"/>
      <c r="H212" s="22"/>
      <c r="I212" s="23"/>
    </row>
    <row r="213" spans="1:9" ht="13.8" x14ac:dyDescent="0.3">
      <c r="A213" s="22"/>
      <c r="B213" s="22"/>
      <c r="C213" s="22"/>
      <c r="D213" s="22"/>
      <c r="E213" s="22"/>
      <c r="F213" s="23"/>
      <c r="G213" s="22"/>
      <c r="H213" s="22"/>
      <c r="I213" s="23"/>
    </row>
    <row r="214" spans="1:9" ht="13.8" x14ac:dyDescent="0.3">
      <c r="A214" s="22"/>
      <c r="B214" s="22"/>
      <c r="C214" s="22"/>
      <c r="D214" s="22"/>
      <c r="E214" s="22"/>
      <c r="F214" s="23"/>
      <c r="G214" s="22"/>
      <c r="H214" s="22"/>
      <c r="I214" s="23"/>
    </row>
    <row r="215" spans="1:9" ht="13.8" x14ac:dyDescent="0.3">
      <c r="A215" s="22"/>
      <c r="B215" s="22"/>
      <c r="C215" s="22"/>
      <c r="D215" s="22"/>
      <c r="E215" s="22"/>
      <c r="F215" s="23"/>
      <c r="G215" s="22"/>
      <c r="H215" s="22"/>
      <c r="I215" s="23"/>
    </row>
    <row r="216" spans="1:9" ht="13.8" x14ac:dyDescent="0.3">
      <c r="A216" s="22"/>
      <c r="B216" s="22"/>
      <c r="C216" s="22"/>
      <c r="D216" s="22"/>
      <c r="E216" s="22"/>
      <c r="F216" s="23"/>
      <c r="G216" s="22"/>
      <c r="H216" s="22"/>
      <c r="I216" s="23"/>
    </row>
    <row r="217" spans="1:9" ht="13.8" x14ac:dyDescent="0.3">
      <c r="A217" s="22"/>
      <c r="B217" s="22"/>
      <c r="C217" s="22"/>
      <c r="D217" s="22"/>
      <c r="E217" s="22"/>
      <c r="F217" s="23"/>
      <c r="G217" s="22"/>
      <c r="H217" s="22"/>
      <c r="I217" s="23"/>
    </row>
    <row r="218" spans="1:9" ht="13.8" x14ac:dyDescent="0.3">
      <c r="A218" s="22"/>
      <c r="B218" s="22"/>
      <c r="C218" s="22"/>
      <c r="D218" s="22"/>
      <c r="E218" s="22"/>
      <c r="F218" s="23"/>
      <c r="G218" s="22"/>
      <c r="H218" s="22"/>
      <c r="I218" s="23"/>
    </row>
    <row r="219" spans="1:9" ht="13.8" x14ac:dyDescent="0.3">
      <c r="A219" s="22"/>
      <c r="B219" s="22"/>
      <c r="C219" s="22"/>
      <c r="D219" s="22"/>
      <c r="E219" s="22"/>
      <c r="F219" s="23"/>
      <c r="G219" s="22"/>
      <c r="H219" s="22"/>
      <c r="I219" s="23"/>
    </row>
    <row r="220" spans="1:9" ht="13.8" x14ac:dyDescent="0.3">
      <c r="A220" s="22"/>
      <c r="B220" s="22"/>
      <c r="C220" s="22"/>
      <c r="D220" s="22"/>
      <c r="E220" s="22"/>
      <c r="F220" s="23"/>
      <c r="G220" s="22"/>
      <c r="H220" s="22"/>
      <c r="I220" s="23"/>
    </row>
    <row r="221" spans="1:9" ht="13.8" x14ac:dyDescent="0.3">
      <c r="A221" s="22"/>
      <c r="B221" s="22"/>
      <c r="C221" s="22"/>
      <c r="D221" s="22"/>
      <c r="E221" s="22"/>
      <c r="F221" s="23"/>
      <c r="G221" s="22"/>
      <c r="H221" s="22"/>
      <c r="I221" s="23"/>
    </row>
    <row r="222" spans="1:9" ht="13.8" x14ac:dyDescent="0.3">
      <c r="A222" s="22"/>
      <c r="B222" s="22"/>
      <c r="C222" s="22"/>
      <c r="D222" s="22"/>
      <c r="E222" s="22"/>
      <c r="F222" s="23"/>
      <c r="G222" s="22"/>
      <c r="H222" s="22"/>
      <c r="I222" s="23"/>
    </row>
    <row r="223" spans="1:9" ht="13.8" x14ac:dyDescent="0.3">
      <c r="A223" s="22"/>
      <c r="B223" s="22"/>
      <c r="C223" s="22"/>
      <c r="D223" s="22"/>
      <c r="E223" s="22"/>
      <c r="F223" s="23"/>
      <c r="G223" s="22"/>
      <c r="H223" s="22"/>
      <c r="I223" s="23"/>
    </row>
    <row r="224" spans="1:9" ht="13.8" x14ac:dyDescent="0.3">
      <c r="A224" s="22"/>
      <c r="B224" s="22"/>
      <c r="C224" s="22"/>
      <c r="D224" s="22"/>
      <c r="E224" s="22"/>
      <c r="F224" s="23"/>
      <c r="G224" s="22"/>
      <c r="H224" s="22"/>
      <c r="I224" s="23"/>
    </row>
    <row r="225" spans="1:9" ht="13.8" x14ac:dyDescent="0.3">
      <c r="A225" s="22"/>
      <c r="B225" s="22"/>
      <c r="C225" s="22"/>
      <c r="D225" s="22"/>
      <c r="E225" s="22"/>
      <c r="F225" s="23"/>
      <c r="G225" s="22"/>
      <c r="H225" s="22"/>
      <c r="I225" s="23"/>
    </row>
    <row r="226" spans="1:9" ht="13.8" x14ac:dyDescent="0.3">
      <c r="A226" s="22"/>
      <c r="B226" s="22"/>
      <c r="C226" s="22"/>
      <c r="D226" s="22"/>
      <c r="E226" s="22"/>
      <c r="F226" s="23"/>
      <c r="G226" s="22"/>
      <c r="H226" s="22"/>
      <c r="I226" s="23"/>
    </row>
    <row r="227" spans="1:9" ht="13.8" x14ac:dyDescent="0.3">
      <c r="A227" s="22"/>
      <c r="B227" s="22"/>
      <c r="C227" s="22"/>
      <c r="D227" s="22"/>
      <c r="E227" s="22"/>
      <c r="F227" s="23"/>
      <c r="G227" s="22"/>
      <c r="H227" s="22"/>
      <c r="I227" s="23"/>
    </row>
    <row r="228" spans="1:9" ht="13.8" x14ac:dyDescent="0.3">
      <c r="A228" s="22"/>
      <c r="B228" s="22"/>
      <c r="C228" s="22"/>
      <c r="D228" s="22"/>
      <c r="E228" s="22"/>
      <c r="F228" s="23"/>
      <c r="G228" s="22"/>
      <c r="H228" s="22"/>
      <c r="I228" s="23"/>
    </row>
    <row r="229" spans="1:9" ht="13.8" x14ac:dyDescent="0.3">
      <c r="A229" s="22"/>
      <c r="B229" s="22"/>
      <c r="C229" s="22"/>
      <c r="D229" s="22"/>
      <c r="E229" s="22"/>
      <c r="F229" s="23"/>
      <c r="G229" s="22"/>
      <c r="H229" s="22"/>
      <c r="I229" s="23"/>
    </row>
    <row r="230" spans="1:9" ht="13.8" x14ac:dyDescent="0.3">
      <c r="A230" s="22"/>
      <c r="B230" s="22"/>
      <c r="C230" s="22"/>
      <c r="D230" s="22"/>
      <c r="E230" s="22"/>
      <c r="F230" s="23"/>
      <c r="G230" s="22"/>
      <c r="H230" s="22"/>
      <c r="I230" s="23"/>
    </row>
    <row r="231" spans="1:9" ht="13.8" x14ac:dyDescent="0.3">
      <c r="A231" s="22"/>
      <c r="B231" s="22"/>
      <c r="C231" s="22"/>
      <c r="D231" s="22"/>
      <c r="E231" s="22"/>
      <c r="F231" s="23"/>
      <c r="G231" s="22"/>
      <c r="H231" s="22"/>
      <c r="I231" s="23"/>
    </row>
    <row r="232" spans="1:9" ht="13.8" x14ac:dyDescent="0.3">
      <c r="A232" s="22"/>
      <c r="B232" s="22"/>
      <c r="C232" s="22"/>
      <c r="D232" s="22"/>
      <c r="E232" s="22"/>
      <c r="F232" s="23"/>
      <c r="G232" s="22"/>
      <c r="H232" s="22"/>
      <c r="I232" s="23"/>
    </row>
    <row r="233" spans="1:9" ht="13.8" x14ac:dyDescent="0.3">
      <c r="A233" s="22"/>
      <c r="B233" s="22"/>
      <c r="C233" s="22"/>
      <c r="D233" s="22"/>
      <c r="E233" s="22"/>
      <c r="F233" s="23"/>
      <c r="G233" s="22"/>
      <c r="H233" s="22"/>
      <c r="I233" s="23"/>
    </row>
    <row r="234" spans="1:9" ht="13.8" x14ac:dyDescent="0.3">
      <c r="A234" s="22"/>
      <c r="B234" s="22"/>
      <c r="C234" s="22"/>
      <c r="D234" s="22"/>
      <c r="E234" s="22"/>
      <c r="F234" s="23"/>
      <c r="G234" s="22"/>
      <c r="H234" s="22"/>
      <c r="I234" s="23"/>
    </row>
    <row r="235" spans="1:9" ht="13.8" x14ac:dyDescent="0.3">
      <c r="A235" s="22"/>
      <c r="B235" s="22"/>
      <c r="C235" s="22"/>
      <c r="D235" s="22"/>
      <c r="E235" s="22"/>
      <c r="F235" s="23"/>
      <c r="G235" s="22"/>
      <c r="H235" s="22"/>
      <c r="I235" s="23"/>
    </row>
    <row r="236" spans="1:9" ht="13.8" x14ac:dyDescent="0.3">
      <c r="A236" s="22"/>
      <c r="B236" s="22"/>
      <c r="C236" s="22"/>
      <c r="D236" s="22"/>
      <c r="E236" s="22"/>
      <c r="F236" s="23"/>
      <c r="G236" s="22"/>
      <c r="H236" s="22"/>
      <c r="I236" s="23"/>
    </row>
    <row r="237" spans="1:9" ht="13.8" x14ac:dyDescent="0.3">
      <c r="A237" s="22"/>
      <c r="B237" s="22"/>
      <c r="C237" s="22"/>
      <c r="D237" s="22"/>
      <c r="E237" s="22"/>
      <c r="F237" s="23"/>
      <c r="G237" s="22"/>
      <c r="H237" s="22"/>
      <c r="I237" s="23"/>
    </row>
    <row r="238" spans="1:9" ht="13.8" x14ac:dyDescent="0.3">
      <c r="A238" s="22"/>
      <c r="B238" s="22"/>
      <c r="C238" s="22"/>
      <c r="D238" s="22"/>
      <c r="E238" s="22"/>
      <c r="F238" s="23"/>
      <c r="G238" s="22"/>
      <c r="H238" s="22"/>
      <c r="I238" s="23"/>
    </row>
    <row r="239" spans="1:9" ht="13.8" x14ac:dyDescent="0.3">
      <c r="A239" s="22"/>
      <c r="B239" s="22"/>
      <c r="C239" s="22"/>
      <c r="D239" s="22"/>
      <c r="E239" s="22"/>
      <c r="F239" s="23"/>
      <c r="G239" s="22"/>
      <c r="H239" s="22"/>
      <c r="I239" s="23"/>
    </row>
    <row r="240" spans="1:9" ht="13.8" x14ac:dyDescent="0.3">
      <c r="A240" s="22"/>
      <c r="B240" s="22"/>
      <c r="C240" s="22"/>
      <c r="D240" s="22"/>
      <c r="E240" s="22"/>
      <c r="F240" s="23"/>
      <c r="G240" s="22"/>
      <c r="H240" s="22"/>
      <c r="I240" s="23"/>
    </row>
    <row r="241" spans="1:9" ht="13.8" x14ac:dyDescent="0.3">
      <c r="A241" s="22"/>
      <c r="B241" s="22"/>
      <c r="C241" s="22"/>
      <c r="D241" s="22"/>
      <c r="E241" s="22"/>
      <c r="F241" s="23"/>
      <c r="G241" s="22"/>
      <c r="H241" s="22"/>
      <c r="I241" s="23"/>
    </row>
    <row r="242" spans="1:9" ht="13.8" x14ac:dyDescent="0.3">
      <c r="A242" s="22"/>
      <c r="B242" s="22"/>
      <c r="C242" s="22"/>
      <c r="D242" s="22"/>
      <c r="E242" s="22"/>
      <c r="F242" s="23"/>
      <c r="G242" s="22"/>
      <c r="H242" s="22"/>
      <c r="I242" s="23"/>
    </row>
    <row r="243" spans="1:9" ht="13.8" x14ac:dyDescent="0.3">
      <c r="A243" s="22"/>
      <c r="B243" s="22"/>
      <c r="C243" s="22"/>
      <c r="D243" s="22"/>
      <c r="E243" s="22"/>
      <c r="F243" s="23"/>
      <c r="G243" s="22"/>
      <c r="H243" s="22"/>
      <c r="I243" s="23"/>
    </row>
    <row r="244" spans="1:9" ht="13.8" x14ac:dyDescent="0.3">
      <c r="A244" s="22"/>
      <c r="B244" s="22"/>
      <c r="C244" s="22"/>
      <c r="D244" s="22"/>
      <c r="E244" s="22"/>
      <c r="F244" s="23"/>
      <c r="G244" s="22"/>
      <c r="H244" s="22"/>
      <c r="I244" s="23"/>
    </row>
    <row r="245" spans="1:9" ht="13.8" x14ac:dyDescent="0.3">
      <c r="A245" s="22"/>
      <c r="B245" s="22"/>
      <c r="C245" s="22"/>
      <c r="D245" s="22"/>
      <c r="E245" s="22"/>
      <c r="F245" s="23"/>
      <c r="G245" s="22"/>
      <c r="H245" s="22"/>
      <c r="I245" s="23"/>
    </row>
    <row r="246" spans="1:9" ht="13.8" x14ac:dyDescent="0.3">
      <c r="A246" s="22"/>
      <c r="B246" s="22"/>
      <c r="C246" s="22"/>
      <c r="D246" s="22"/>
      <c r="E246" s="22"/>
      <c r="F246" s="23"/>
      <c r="G246" s="22"/>
      <c r="H246" s="22"/>
      <c r="I246" s="23"/>
    </row>
    <row r="247" spans="1:9" ht="13.8" x14ac:dyDescent="0.3">
      <c r="A247" s="22"/>
      <c r="B247" s="22"/>
      <c r="C247" s="22"/>
      <c r="D247" s="22"/>
      <c r="E247" s="22"/>
      <c r="F247" s="23"/>
      <c r="G247" s="22"/>
      <c r="H247" s="22"/>
      <c r="I247" s="23"/>
    </row>
    <row r="248" spans="1:9" ht="13.8" x14ac:dyDescent="0.3">
      <c r="A248" s="22"/>
      <c r="B248" s="22"/>
      <c r="C248" s="22"/>
      <c r="D248" s="22"/>
      <c r="E248" s="22"/>
      <c r="F248" s="23"/>
      <c r="G248" s="22"/>
      <c r="H248" s="22"/>
      <c r="I248" s="23"/>
    </row>
    <row r="249" spans="1:9" ht="13.8" x14ac:dyDescent="0.3">
      <c r="A249" s="22"/>
      <c r="B249" s="22"/>
      <c r="C249" s="22"/>
      <c r="D249" s="22"/>
      <c r="E249" s="22"/>
      <c r="F249" s="23"/>
      <c r="G249" s="22"/>
      <c r="H249" s="22"/>
      <c r="I249" s="23"/>
    </row>
    <row r="250" spans="1:9" ht="13.8" x14ac:dyDescent="0.3">
      <c r="A250" s="22"/>
      <c r="B250" s="22"/>
      <c r="C250" s="22"/>
      <c r="D250" s="22"/>
      <c r="E250" s="22"/>
      <c r="F250" s="23"/>
      <c r="G250" s="22"/>
      <c r="H250" s="22"/>
      <c r="I250" s="23"/>
    </row>
    <row r="251" spans="1:9" ht="13.8" x14ac:dyDescent="0.3">
      <c r="A251" s="22"/>
      <c r="B251" s="22"/>
      <c r="C251" s="22"/>
      <c r="D251" s="22"/>
      <c r="E251" s="22"/>
      <c r="F251" s="23"/>
      <c r="G251" s="22"/>
      <c r="H251" s="22"/>
      <c r="I251" s="23"/>
    </row>
    <row r="252" spans="1:9" ht="13.8" x14ac:dyDescent="0.3">
      <c r="A252" s="22"/>
      <c r="B252" s="22"/>
      <c r="C252" s="22"/>
      <c r="D252" s="22"/>
      <c r="E252" s="22"/>
      <c r="F252" s="23"/>
      <c r="G252" s="22"/>
      <c r="H252" s="22"/>
      <c r="I252" s="23"/>
    </row>
    <row r="253" spans="1:9" ht="13.8" x14ac:dyDescent="0.3">
      <c r="A253" s="22"/>
      <c r="B253" s="22"/>
      <c r="C253" s="22"/>
      <c r="D253" s="22"/>
      <c r="E253" s="22"/>
      <c r="F253" s="23"/>
      <c r="G253" s="22"/>
      <c r="H253" s="22"/>
      <c r="I253" s="23"/>
    </row>
    <row r="254" spans="1:9" ht="13.8" x14ac:dyDescent="0.3">
      <c r="A254" s="22"/>
      <c r="B254" s="22"/>
      <c r="C254" s="22"/>
      <c r="D254" s="22"/>
      <c r="E254" s="22"/>
      <c r="F254" s="23"/>
      <c r="G254" s="22"/>
      <c r="H254" s="22"/>
      <c r="I254" s="23"/>
    </row>
    <row r="255" spans="1:9" ht="13.8" x14ac:dyDescent="0.3">
      <c r="A255" s="22"/>
      <c r="B255" s="22"/>
      <c r="C255" s="22"/>
      <c r="D255" s="22"/>
      <c r="E255" s="22"/>
      <c r="F255" s="23"/>
      <c r="G255" s="22"/>
      <c r="H255" s="22"/>
      <c r="I255" s="23"/>
    </row>
    <row r="256" spans="1:9" ht="13.8" x14ac:dyDescent="0.3">
      <c r="A256" s="22"/>
      <c r="B256" s="22"/>
      <c r="C256" s="22"/>
      <c r="D256" s="22"/>
      <c r="E256" s="22"/>
      <c r="F256" s="23"/>
      <c r="G256" s="22"/>
      <c r="H256" s="22"/>
      <c r="I256" s="23"/>
    </row>
    <row r="257" spans="1:9" ht="13.8" x14ac:dyDescent="0.3">
      <c r="A257" s="22"/>
      <c r="B257" s="22"/>
      <c r="C257" s="22"/>
      <c r="D257" s="22"/>
      <c r="E257" s="22"/>
      <c r="F257" s="23"/>
      <c r="G257" s="22"/>
      <c r="H257" s="22"/>
      <c r="I257" s="23"/>
    </row>
    <row r="258" spans="1:9" ht="13.8" x14ac:dyDescent="0.3">
      <c r="A258" s="22"/>
      <c r="B258" s="22"/>
      <c r="C258" s="22"/>
      <c r="D258" s="22"/>
      <c r="E258" s="22"/>
      <c r="F258" s="23"/>
      <c r="G258" s="22"/>
      <c r="H258" s="22"/>
      <c r="I258" s="23"/>
    </row>
    <row r="259" spans="1:9" ht="13.8" x14ac:dyDescent="0.3">
      <c r="A259" s="22"/>
      <c r="B259" s="22"/>
      <c r="C259" s="22"/>
      <c r="D259" s="22"/>
      <c r="E259" s="22"/>
      <c r="F259" s="23"/>
      <c r="G259" s="22"/>
      <c r="H259" s="22"/>
      <c r="I259" s="23"/>
    </row>
    <row r="260" spans="1:9" ht="13.8" x14ac:dyDescent="0.3">
      <c r="A260" s="22"/>
      <c r="B260" s="22"/>
      <c r="C260" s="22"/>
      <c r="D260" s="22"/>
      <c r="E260" s="22"/>
      <c r="F260" s="23"/>
      <c r="G260" s="22"/>
      <c r="H260" s="22"/>
      <c r="I260" s="23"/>
    </row>
    <row r="261" spans="1:9" ht="13.8" x14ac:dyDescent="0.3">
      <c r="A261" s="22"/>
      <c r="B261" s="22"/>
      <c r="C261" s="22"/>
      <c r="D261" s="22"/>
      <c r="E261" s="22"/>
      <c r="F261" s="23"/>
      <c r="G261" s="22"/>
      <c r="H261" s="22"/>
      <c r="I261" s="23"/>
    </row>
    <row r="262" spans="1:9" ht="13.8" x14ac:dyDescent="0.3">
      <c r="A262" s="22"/>
      <c r="B262" s="22"/>
      <c r="C262" s="22"/>
      <c r="D262" s="22"/>
      <c r="E262" s="22"/>
      <c r="F262" s="23"/>
      <c r="G262" s="22"/>
      <c r="H262" s="22"/>
      <c r="I262" s="23"/>
    </row>
    <row r="263" spans="1:9" ht="13.8" x14ac:dyDescent="0.3">
      <c r="A263" s="22"/>
      <c r="B263" s="22"/>
      <c r="C263" s="22"/>
      <c r="D263" s="22"/>
      <c r="E263" s="22"/>
      <c r="F263" s="23"/>
      <c r="G263" s="22"/>
      <c r="H263" s="22"/>
      <c r="I263" s="23"/>
    </row>
    <row r="264" spans="1:9" ht="13.8" x14ac:dyDescent="0.3">
      <c r="A264" s="22"/>
      <c r="B264" s="22"/>
      <c r="C264" s="22"/>
      <c r="D264" s="22"/>
      <c r="E264" s="22"/>
      <c r="F264" s="23"/>
      <c r="G264" s="22"/>
      <c r="H264" s="22"/>
      <c r="I264" s="23"/>
    </row>
    <row r="265" spans="1:9" ht="13.8" x14ac:dyDescent="0.3">
      <c r="A265" s="22"/>
      <c r="B265" s="22"/>
      <c r="C265" s="22"/>
      <c r="D265" s="22"/>
      <c r="E265" s="22"/>
      <c r="F265" s="23"/>
      <c r="G265" s="22"/>
      <c r="H265" s="22"/>
      <c r="I265" s="23"/>
    </row>
    <row r="266" spans="1:9" ht="13.8" x14ac:dyDescent="0.3">
      <c r="A266" s="22"/>
      <c r="B266" s="22"/>
      <c r="C266" s="22"/>
      <c r="D266" s="22"/>
      <c r="E266" s="22"/>
      <c r="F266" s="23"/>
      <c r="G266" s="22"/>
      <c r="H266" s="22"/>
      <c r="I266" s="23"/>
    </row>
    <row r="267" spans="1:9" ht="13.8" x14ac:dyDescent="0.3">
      <c r="A267" s="22"/>
      <c r="B267" s="22"/>
      <c r="C267" s="22"/>
      <c r="D267" s="22"/>
      <c r="E267" s="22"/>
      <c r="F267" s="23"/>
      <c r="G267" s="22"/>
      <c r="H267" s="22"/>
      <c r="I267" s="23"/>
    </row>
    <row r="268" spans="1:9" ht="13.8" x14ac:dyDescent="0.3">
      <c r="A268" s="22"/>
      <c r="B268" s="22"/>
      <c r="C268" s="22"/>
      <c r="D268" s="22"/>
      <c r="E268" s="22"/>
      <c r="F268" s="23"/>
      <c r="G268" s="22"/>
      <c r="H268" s="22"/>
      <c r="I268" s="23"/>
    </row>
    <row r="269" spans="1:9" ht="13.8" x14ac:dyDescent="0.3">
      <c r="A269" s="22"/>
      <c r="B269" s="22"/>
      <c r="C269" s="22"/>
      <c r="D269" s="22"/>
      <c r="E269" s="22"/>
      <c r="F269" s="23"/>
      <c r="G269" s="22"/>
      <c r="H269" s="22"/>
      <c r="I269" s="23"/>
    </row>
    <row r="270" spans="1:9" ht="13.8" x14ac:dyDescent="0.3">
      <c r="A270" s="22"/>
      <c r="B270" s="22"/>
      <c r="C270" s="22"/>
      <c r="D270" s="22"/>
      <c r="E270" s="22"/>
      <c r="F270" s="23"/>
      <c r="G270" s="22"/>
      <c r="H270" s="22"/>
      <c r="I270" s="23"/>
    </row>
    <row r="271" spans="1:9" ht="13.8" x14ac:dyDescent="0.3">
      <c r="A271" s="22"/>
      <c r="B271" s="22"/>
      <c r="C271" s="22"/>
      <c r="D271" s="22"/>
      <c r="E271" s="22"/>
      <c r="F271" s="23"/>
      <c r="G271" s="22"/>
      <c r="H271" s="22"/>
      <c r="I271" s="23"/>
    </row>
    <row r="272" spans="1:9" ht="13.8" x14ac:dyDescent="0.3">
      <c r="A272" s="22"/>
      <c r="B272" s="22"/>
      <c r="C272" s="22"/>
      <c r="D272" s="22"/>
      <c r="E272" s="22"/>
      <c r="F272" s="23"/>
      <c r="G272" s="22"/>
      <c r="H272" s="22"/>
      <c r="I272" s="23"/>
    </row>
    <row r="273" spans="1:9" ht="13.8" x14ac:dyDescent="0.3">
      <c r="A273" s="22"/>
      <c r="B273" s="22"/>
      <c r="C273" s="22"/>
      <c r="D273" s="22"/>
      <c r="E273" s="22"/>
      <c r="F273" s="23"/>
      <c r="G273" s="22"/>
      <c r="H273" s="22"/>
      <c r="I273" s="23"/>
    </row>
    <row r="274" spans="1:9" ht="13.8" x14ac:dyDescent="0.3">
      <c r="A274" s="22"/>
      <c r="B274" s="22"/>
      <c r="C274" s="22"/>
      <c r="D274" s="22"/>
      <c r="E274" s="22"/>
      <c r="F274" s="23"/>
      <c r="G274" s="22"/>
      <c r="H274" s="22"/>
      <c r="I274" s="23"/>
    </row>
    <row r="275" spans="1:9" ht="13.8" x14ac:dyDescent="0.3">
      <c r="A275" s="22"/>
      <c r="B275" s="22"/>
      <c r="C275" s="22"/>
      <c r="D275" s="22"/>
      <c r="E275" s="22"/>
      <c r="F275" s="23"/>
      <c r="G275" s="22"/>
      <c r="H275" s="22"/>
      <c r="I275" s="23"/>
    </row>
    <row r="276" spans="1:9" ht="13.8" x14ac:dyDescent="0.3">
      <c r="A276" s="22"/>
      <c r="B276" s="22"/>
      <c r="C276" s="22"/>
      <c r="D276" s="22"/>
      <c r="E276" s="22"/>
      <c r="F276" s="23"/>
      <c r="G276" s="22"/>
      <c r="H276" s="22"/>
      <c r="I276" s="23"/>
    </row>
    <row r="277" spans="1:9" ht="13.8" x14ac:dyDescent="0.3">
      <c r="A277" s="22"/>
      <c r="B277" s="22"/>
      <c r="C277" s="22"/>
      <c r="D277" s="22"/>
      <c r="E277" s="22"/>
      <c r="F277" s="23"/>
      <c r="G277" s="22"/>
      <c r="H277" s="22"/>
      <c r="I277" s="23"/>
    </row>
    <row r="278" spans="1:9" ht="13.8" x14ac:dyDescent="0.3">
      <c r="A278" s="22"/>
      <c r="B278" s="22"/>
      <c r="C278" s="22"/>
      <c r="D278" s="22"/>
      <c r="E278" s="22"/>
      <c r="F278" s="23"/>
      <c r="G278" s="22"/>
      <c r="H278" s="22"/>
      <c r="I278" s="23"/>
    </row>
    <row r="279" spans="1:9" ht="13.8" x14ac:dyDescent="0.3">
      <c r="A279" s="22"/>
      <c r="B279" s="22"/>
      <c r="C279" s="22"/>
      <c r="D279" s="22"/>
      <c r="E279" s="22"/>
      <c r="F279" s="23"/>
      <c r="G279" s="22"/>
      <c r="H279" s="22"/>
      <c r="I279" s="23"/>
    </row>
    <row r="280" spans="1:9" ht="13.8" x14ac:dyDescent="0.3">
      <c r="A280" s="22"/>
      <c r="B280" s="22"/>
      <c r="C280" s="22"/>
      <c r="D280" s="22"/>
      <c r="E280" s="22"/>
      <c r="F280" s="23"/>
      <c r="G280" s="22"/>
      <c r="H280" s="22"/>
      <c r="I280" s="23"/>
    </row>
    <row r="281" spans="1:9" ht="13.8" x14ac:dyDescent="0.3">
      <c r="A281" s="22"/>
      <c r="B281" s="22"/>
      <c r="C281" s="22"/>
      <c r="D281" s="22"/>
      <c r="E281" s="22"/>
      <c r="F281" s="23"/>
      <c r="G281" s="22"/>
      <c r="H281" s="22"/>
      <c r="I281" s="23"/>
    </row>
    <row r="282" spans="1:9" ht="13.8" x14ac:dyDescent="0.3">
      <c r="A282" s="22"/>
      <c r="B282" s="22"/>
      <c r="C282" s="22"/>
      <c r="D282" s="22"/>
      <c r="E282" s="22"/>
      <c r="F282" s="23"/>
      <c r="G282" s="22"/>
      <c r="H282" s="22"/>
      <c r="I282" s="23"/>
    </row>
    <row r="283" spans="1:9" ht="13.8" x14ac:dyDescent="0.3">
      <c r="A283" s="22"/>
      <c r="B283" s="22"/>
      <c r="C283" s="22"/>
      <c r="D283" s="22"/>
      <c r="E283" s="22"/>
      <c r="F283" s="23"/>
      <c r="G283" s="22"/>
      <c r="H283" s="22"/>
      <c r="I283" s="23"/>
    </row>
    <row r="284" spans="1:9" ht="13.8" x14ac:dyDescent="0.3">
      <c r="A284" s="22"/>
      <c r="B284" s="22"/>
      <c r="C284" s="22"/>
      <c r="D284" s="22"/>
      <c r="E284" s="22"/>
      <c r="F284" s="23"/>
      <c r="G284" s="22"/>
      <c r="H284" s="22"/>
      <c r="I284" s="23"/>
    </row>
    <row r="285" spans="1:9" ht="13.8" x14ac:dyDescent="0.3">
      <c r="A285" s="22"/>
      <c r="B285" s="22"/>
      <c r="C285" s="22"/>
      <c r="D285" s="22"/>
      <c r="E285" s="22"/>
      <c r="F285" s="23"/>
      <c r="G285" s="22"/>
      <c r="H285" s="22"/>
      <c r="I285" s="23"/>
    </row>
    <row r="286" spans="1:9" ht="13.8" x14ac:dyDescent="0.3">
      <c r="A286" s="22"/>
      <c r="B286" s="22"/>
      <c r="C286" s="22"/>
      <c r="D286" s="22"/>
      <c r="E286" s="22"/>
      <c r="F286" s="23"/>
      <c r="G286" s="22"/>
      <c r="H286" s="22"/>
      <c r="I286" s="23"/>
    </row>
    <row r="287" spans="1:9" ht="13.8" x14ac:dyDescent="0.3">
      <c r="A287" s="22"/>
      <c r="B287" s="22"/>
      <c r="C287" s="22"/>
      <c r="D287" s="22"/>
      <c r="E287" s="22"/>
      <c r="F287" s="23"/>
      <c r="G287" s="22"/>
      <c r="H287" s="22"/>
      <c r="I287" s="23"/>
    </row>
    <row r="288" spans="1:9" ht="13.8" x14ac:dyDescent="0.3">
      <c r="A288" s="22"/>
      <c r="B288" s="22"/>
      <c r="C288" s="22"/>
      <c r="D288" s="22"/>
      <c r="E288" s="22"/>
      <c r="F288" s="23"/>
      <c r="G288" s="22"/>
      <c r="H288" s="22"/>
      <c r="I288" s="23"/>
    </row>
    <row r="289" spans="1:9" ht="13.8" x14ac:dyDescent="0.3">
      <c r="A289" s="22"/>
      <c r="B289" s="22"/>
      <c r="C289" s="22"/>
      <c r="D289" s="22"/>
      <c r="E289" s="22"/>
      <c r="F289" s="23"/>
      <c r="G289" s="22"/>
      <c r="H289" s="22"/>
      <c r="I289" s="23"/>
    </row>
    <row r="290" spans="1:9" ht="13.8" x14ac:dyDescent="0.3">
      <c r="A290" s="22"/>
      <c r="B290" s="22"/>
      <c r="C290" s="22"/>
      <c r="D290" s="22"/>
      <c r="E290" s="22"/>
      <c r="F290" s="23"/>
      <c r="G290" s="22"/>
      <c r="H290" s="22"/>
      <c r="I290" s="23"/>
    </row>
    <row r="291" spans="1:9" ht="13.8" x14ac:dyDescent="0.3">
      <c r="A291" s="22"/>
      <c r="B291" s="22"/>
      <c r="C291" s="22"/>
      <c r="D291" s="22"/>
      <c r="E291" s="22"/>
      <c r="F291" s="23"/>
      <c r="G291" s="22"/>
      <c r="H291" s="22"/>
      <c r="I291" s="23"/>
    </row>
    <row r="292" spans="1:9" ht="13.8" x14ac:dyDescent="0.3">
      <c r="A292" s="22"/>
      <c r="B292" s="22"/>
      <c r="C292" s="22"/>
      <c r="D292" s="22"/>
      <c r="E292" s="22"/>
      <c r="F292" s="23"/>
      <c r="G292" s="22"/>
      <c r="H292" s="22"/>
      <c r="I292" s="23"/>
    </row>
    <row r="293" spans="1:9" ht="13.8" x14ac:dyDescent="0.3">
      <c r="A293" s="22"/>
      <c r="B293" s="22"/>
      <c r="C293" s="22"/>
      <c r="D293" s="22"/>
      <c r="E293" s="22"/>
      <c r="F293" s="23"/>
      <c r="G293" s="22"/>
      <c r="H293" s="22"/>
      <c r="I293" s="23"/>
    </row>
    <row r="294" spans="1:9" ht="13.8" x14ac:dyDescent="0.3">
      <c r="A294" s="22"/>
      <c r="B294" s="22"/>
      <c r="C294" s="22"/>
      <c r="D294" s="22"/>
      <c r="E294" s="22"/>
      <c r="F294" s="23"/>
      <c r="G294" s="22"/>
      <c r="H294" s="22"/>
      <c r="I294" s="23"/>
    </row>
    <row r="295" spans="1:9" ht="13.8" x14ac:dyDescent="0.3">
      <c r="A295" s="22"/>
      <c r="B295" s="22"/>
      <c r="C295" s="22"/>
      <c r="D295" s="22"/>
      <c r="E295" s="22"/>
      <c r="F295" s="23"/>
      <c r="G295" s="22"/>
      <c r="H295" s="22"/>
      <c r="I295" s="23"/>
    </row>
    <row r="296" spans="1:9" ht="13.8" x14ac:dyDescent="0.3">
      <c r="A296" s="22"/>
      <c r="B296" s="22"/>
      <c r="C296" s="22"/>
      <c r="D296" s="22"/>
      <c r="E296" s="22"/>
      <c r="F296" s="23"/>
      <c r="G296" s="22"/>
      <c r="H296" s="22"/>
      <c r="I296" s="23"/>
    </row>
    <row r="297" spans="1:9" ht="13.8" x14ac:dyDescent="0.3">
      <c r="A297" s="22"/>
      <c r="B297" s="22"/>
      <c r="C297" s="22"/>
      <c r="D297" s="22"/>
      <c r="E297" s="22"/>
      <c r="F297" s="23"/>
      <c r="G297" s="22"/>
      <c r="H297" s="22"/>
      <c r="I297" s="23"/>
    </row>
    <row r="298" spans="1:9" ht="13.8" x14ac:dyDescent="0.3">
      <c r="A298" s="22"/>
      <c r="B298" s="22"/>
      <c r="C298" s="22"/>
      <c r="D298" s="22"/>
      <c r="E298" s="22"/>
      <c r="F298" s="23"/>
      <c r="G298" s="22"/>
      <c r="H298" s="22"/>
      <c r="I298" s="23"/>
    </row>
    <row r="299" spans="1:9" ht="13.8" x14ac:dyDescent="0.3">
      <c r="A299" s="22"/>
      <c r="B299" s="22"/>
      <c r="C299" s="22"/>
      <c r="D299" s="22"/>
      <c r="E299" s="22"/>
      <c r="F299" s="23"/>
      <c r="G299" s="22"/>
      <c r="H299" s="22"/>
      <c r="I299" s="23"/>
    </row>
    <row r="300" spans="1:9" ht="13.8" x14ac:dyDescent="0.3">
      <c r="A300" s="22"/>
      <c r="B300" s="22"/>
      <c r="C300" s="22"/>
      <c r="D300" s="22"/>
      <c r="E300" s="22"/>
      <c r="F300" s="23"/>
      <c r="G300" s="22"/>
      <c r="H300" s="22"/>
      <c r="I300" s="23"/>
    </row>
    <row r="301" spans="1:9" ht="13.8" x14ac:dyDescent="0.3">
      <c r="A301" s="22"/>
      <c r="B301" s="22"/>
      <c r="C301" s="22"/>
      <c r="D301" s="22"/>
      <c r="E301" s="22"/>
      <c r="F301" s="23"/>
      <c r="G301" s="22"/>
      <c r="H301" s="22"/>
      <c r="I301" s="23"/>
    </row>
    <row r="302" spans="1:9" ht="13.8" x14ac:dyDescent="0.3">
      <c r="A302" s="22"/>
      <c r="B302" s="22"/>
      <c r="C302" s="22"/>
      <c r="D302" s="22"/>
      <c r="E302" s="22"/>
      <c r="F302" s="23"/>
      <c r="G302" s="22"/>
      <c r="H302" s="22"/>
      <c r="I302" s="23"/>
    </row>
    <row r="303" spans="1:9" ht="13.8" x14ac:dyDescent="0.3">
      <c r="A303" s="22"/>
      <c r="B303" s="22"/>
      <c r="C303" s="22"/>
      <c r="D303" s="22"/>
      <c r="E303" s="22"/>
      <c r="F303" s="23"/>
      <c r="G303" s="22"/>
      <c r="H303" s="22"/>
      <c r="I303" s="23"/>
    </row>
    <row r="304" spans="1:9" ht="13.8" x14ac:dyDescent="0.3">
      <c r="A304" s="22"/>
      <c r="B304" s="22"/>
      <c r="C304" s="22"/>
      <c r="D304" s="22"/>
      <c r="E304" s="22"/>
      <c r="F304" s="23"/>
      <c r="G304" s="22"/>
      <c r="H304" s="22"/>
      <c r="I304" s="23"/>
    </row>
    <row r="305" spans="1:9" ht="13.8" x14ac:dyDescent="0.3">
      <c r="A305" s="22"/>
      <c r="B305" s="22"/>
      <c r="C305" s="22"/>
      <c r="D305" s="22"/>
      <c r="E305" s="22"/>
      <c r="F305" s="23"/>
      <c r="G305" s="22"/>
      <c r="H305" s="22"/>
      <c r="I305" s="23"/>
    </row>
    <row r="306" spans="1:9" ht="13.8" x14ac:dyDescent="0.3">
      <c r="A306" s="22"/>
      <c r="B306" s="22"/>
      <c r="C306" s="22"/>
      <c r="D306" s="22"/>
      <c r="E306" s="22"/>
      <c r="F306" s="23"/>
      <c r="G306" s="22"/>
      <c r="H306" s="22"/>
      <c r="I306" s="23"/>
    </row>
    <row r="307" spans="1:9" ht="13.8" x14ac:dyDescent="0.3">
      <c r="A307" s="22"/>
      <c r="B307" s="22"/>
      <c r="C307" s="22"/>
      <c r="D307" s="22"/>
      <c r="E307" s="22"/>
      <c r="F307" s="23"/>
      <c r="G307" s="22"/>
      <c r="H307" s="22"/>
      <c r="I307" s="23"/>
    </row>
    <row r="308" spans="1:9" ht="13.8" x14ac:dyDescent="0.3">
      <c r="A308" s="22"/>
      <c r="B308" s="22"/>
      <c r="C308" s="22"/>
      <c r="D308" s="22"/>
      <c r="E308" s="22"/>
      <c r="F308" s="23"/>
      <c r="G308" s="22"/>
      <c r="H308" s="22"/>
      <c r="I308" s="23"/>
    </row>
    <row r="309" spans="1:9" ht="13.8" x14ac:dyDescent="0.3">
      <c r="A309" s="22"/>
      <c r="B309" s="22"/>
      <c r="C309" s="22"/>
      <c r="D309" s="22"/>
      <c r="E309" s="22"/>
      <c r="F309" s="23"/>
      <c r="G309" s="22"/>
      <c r="H309" s="22"/>
      <c r="I309" s="23"/>
    </row>
    <row r="310" spans="1:9" ht="13.8" x14ac:dyDescent="0.3">
      <c r="A310" s="22"/>
      <c r="B310" s="22"/>
      <c r="C310" s="22"/>
      <c r="D310" s="22"/>
      <c r="E310" s="22"/>
      <c r="F310" s="23"/>
      <c r="G310" s="22"/>
      <c r="H310" s="22"/>
      <c r="I310" s="23"/>
    </row>
    <row r="311" spans="1:9" ht="13.8" x14ac:dyDescent="0.3">
      <c r="A311" s="22"/>
      <c r="B311" s="22"/>
      <c r="C311" s="22"/>
      <c r="D311" s="22"/>
      <c r="E311" s="22"/>
      <c r="F311" s="23"/>
      <c r="G311" s="22"/>
      <c r="H311" s="22"/>
      <c r="I311" s="23"/>
    </row>
    <row r="312" spans="1:9" ht="13.8" x14ac:dyDescent="0.3">
      <c r="A312" s="22"/>
      <c r="B312" s="22"/>
      <c r="C312" s="22"/>
      <c r="D312" s="22"/>
      <c r="E312" s="22"/>
      <c r="F312" s="23"/>
      <c r="G312" s="22"/>
      <c r="H312" s="22"/>
      <c r="I312" s="23"/>
    </row>
    <row r="313" spans="1:9" ht="13.8" x14ac:dyDescent="0.3">
      <c r="A313" s="22"/>
      <c r="B313" s="22"/>
      <c r="C313" s="22"/>
      <c r="D313" s="22"/>
      <c r="E313" s="22"/>
      <c r="F313" s="23"/>
      <c r="G313" s="22"/>
      <c r="H313" s="22"/>
      <c r="I313" s="23"/>
    </row>
    <row r="314" spans="1:9" ht="13.8" x14ac:dyDescent="0.3">
      <c r="A314" s="22"/>
      <c r="B314" s="22"/>
      <c r="C314" s="22"/>
      <c r="D314" s="22"/>
      <c r="E314" s="22"/>
      <c r="F314" s="23"/>
      <c r="G314" s="22"/>
      <c r="H314" s="22"/>
      <c r="I314" s="23"/>
    </row>
    <row r="315" spans="1:9" ht="13.8" x14ac:dyDescent="0.3">
      <c r="A315" s="22"/>
      <c r="B315" s="22"/>
      <c r="C315" s="22"/>
      <c r="D315" s="22"/>
      <c r="E315" s="22"/>
      <c r="F315" s="23"/>
      <c r="G315" s="22"/>
      <c r="H315" s="22"/>
      <c r="I315" s="23"/>
    </row>
    <row r="316" spans="1:9" ht="13.8" x14ac:dyDescent="0.3">
      <c r="A316" s="22"/>
      <c r="B316" s="22"/>
      <c r="C316" s="22"/>
      <c r="D316" s="22"/>
      <c r="E316" s="22"/>
      <c r="F316" s="23"/>
      <c r="G316" s="22"/>
      <c r="H316" s="22"/>
      <c r="I316" s="23"/>
    </row>
    <row r="317" spans="1:9" ht="13.8" x14ac:dyDescent="0.3">
      <c r="A317" s="22"/>
      <c r="B317" s="22"/>
      <c r="C317" s="22"/>
      <c r="D317" s="22"/>
      <c r="E317" s="22"/>
      <c r="F317" s="23"/>
      <c r="G317" s="22"/>
      <c r="H317" s="22"/>
      <c r="I317" s="23"/>
    </row>
    <row r="318" spans="1:9" ht="13.8" x14ac:dyDescent="0.3">
      <c r="A318" s="22"/>
      <c r="B318" s="22"/>
      <c r="C318" s="22"/>
      <c r="D318" s="22"/>
      <c r="E318" s="22"/>
      <c r="F318" s="23"/>
      <c r="G318" s="22"/>
      <c r="H318" s="22"/>
      <c r="I318" s="23"/>
    </row>
    <row r="319" spans="1:9" ht="13.8" x14ac:dyDescent="0.3">
      <c r="A319" s="22"/>
      <c r="B319" s="22"/>
      <c r="C319" s="22"/>
      <c r="D319" s="22"/>
      <c r="E319" s="22"/>
      <c r="F319" s="23"/>
      <c r="G319" s="22"/>
      <c r="H319" s="22"/>
      <c r="I319" s="23"/>
    </row>
    <row r="320" spans="1:9" ht="13.8" x14ac:dyDescent="0.3">
      <c r="A320" s="22"/>
      <c r="B320" s="22"/>
      <c r="C320" s="22"/>
      <c r="D320" s="22"/>
      <c r="E320" s="22"/>
      <c r="F320" s="23"/>
      <c r="G320" s="22"/>
      <c r="H320" s="22"/>
      <c r="I320" s="23"/>
    </row>
    <row r="321" spans="1:9" ht="13.8" x14ac:dyDescent="0.3">
      <c r="A321" s="22"/>
      <c r="B321" s="22"/>
      <c r="C321" s="22"/>
      <c r="D321" s="22"/>
      <c r="E321" s="22"/>
      <c r="F321" s="23"/>
      <c r="G321" s="22"/>
      <c r="H321" s="22"/>
      <c r="I321" s="23"/>
    </row>
    <row r="322" spans="1:9" ht="13.8" x14ac:dyDescent="0.3">
      <c r="A322" s="22"/>
      <c r="B322" s="22"/>
      <c r="C322" s="22"/>
      <c r="D322" s="22"/>
      <c r="E322" s="22"/>
      <c r="F322" s="23"/>
      <c r="G322" s="22"/>
      <c r="H322" s="22"/>
      <c r="I322" s="23"/>
    </row>
    <row r="323" spans="1:9" ht="13.8" x14ac:dyDescent="0.3">
      <c r="A323" s="22"/>
      <c r="B323" s="22"/>
      <c r="C323" s="22"/>
      <c r="D323" s="22"/>
      <c r="E323" s="22"/>
      <c r="F323" s="23"/>
      <c r="G323" s="22"/>
      <c r="H323" s="22"/>
      <c r="I323" s="23"/>
    </row>
    <row r="324" spans="1:9" ht="13.8" x14ac:dyDescent="0.3">
      <c r="A324" s="22"/>
      <c r="B324" s="22"/>
      <c r="C324" s="22"/>
      <c r="D324" s="22"/>
      <c r="E324" s="22"/>
      <c r="F324" s="23"/>
      <c r="G324" s="22"/>
      <c r="H324" s="22"/>
      <c r="I324" s="23"/>
    </row>
    <row r="325" spans="1:9" ht="13.8" x14ac:dyDescent="0.3">
      <c r="A325" s="22"/>
      <c r="B325" s="22"/>
      <c r="C325" s="22"/>
      <c r="D325" s="22"/>
      <c r="E325" s="22"/>
      <c r="F325" s="23"/>
      <c r="G325" s="22"/>
      <c r="H325" s="22"/>
      <c r="I325" s="23"/>
    </row>
    <row r="326" spans="1:9" ht="13.8" x14ac:dyDescent="0.3">
      <c r="A326" s="22"/>
      <c r="B326" s="22"/>
      <c r="C326" s="22"/>
      <c r="D326" s="22"/>
      <c r="E326" s="22"/>
      <c r="F326" s="23"/>
      <c r="G326" s="22"/>
      <c r="H326" s="22"/>
      <c r="I326" s="23"/>
    </row>
    <row r="327" spans="1:9" ht="13.8" x14ac:dyDescent="0.3">
      <c r="A327" s="22"/>
      <c r="B327" s="22"/>
      <c r="C327" s="22"/>
      <c r="D327" s="22"/>
      <c r="E327" s="22"/>
      <c r="F327" s="23"/>
      <c r="G327" s="22"/>
      <c r="H327" s="22"/>
      <c r="I327" s="23"/>
    </row>
    <row r="328" spans="1:9" ht="13.8" x14ac:dyDescent="0.3">
      <c r="A328" s="22"/>
      <c r="B328" s="22"/>
      <c r="C328" s="22"/>
      <c r="D328" s="22"/>
      <c r="E328" s="22"/>
      <c r="F328" s="23"/>
      <c r="G328" s="22"/>
      <c r="H328" s="22"/>
      <c r="I328" s="23"/>
    </row>
    <row r="329" spans="1:9" ht="13.8" x14ac:dyDescent="0.3">
      <c r="A329" s="22"/>
      <c r="B329" s="22"/>
      <c r="C329" s="22"/>
      <c r="D329" s="22"/>
      <c r="E329" s="22"/>
      <c r="F329" s="23"/>
      <c r="G329" s="22"/>
      <c r="H329" s="22"/>
      <c r="I329" s="23"/>
    </row>
    <row r="330" spans="1:9" ht="13.8" x14ac:dyDescent="0.3">
      <c r="A330" s="22"/>
      <c r="B330" s="22"/>
      <c r="C330" s="22"/>
      <c r="D330" s="22"/>
      <c r="E330" s="22"/>
      <c r="F330" s="23"/>
      <c r="G330" s="22"/>
      <c r="H330" s="22"/>
      <c r="I330" s="23"/>
    </row>
    <row r="331" spans="1:9" ht="13.8" x14ac:dyDescent="0.3">
      <c r="A331" s="22"/>
      <c r="B331" s="22"/>
      <c r="C331" s="22"/>
      <c r="D331" s="22"/>
      <c r="E331" s="22"/>
      <c r="F331" s="23"/>
      <c r="G331" s="22"/>
      <c r="H331" s="22"/>
      <c r="I331" s="23"/>
    </row>
    <row r="332" spans="1:9" ht="13.8" x14ac:dyDescent="0.3">
      <c r="A332" s="22"/>
      <c r="B332" s="22"/>
      <c r="C332" s="22"/>
      <c r="D332" s="22"/>
      <c r="E332" s="22"/>
      <c r="F332" s="23"/>
      <c r="G332" s="22"/>
      <c r="H332" s="22"/>
      <c r="I332" s="23"/>
    </row>
    <row r="333" spans="1:9" ht="13.8" x14ac:dyDescent="0.3">
      <c r="A333" s="22"/>
      <c r="B333" s="22"/>
      <c r="C333" s="22"/>
      <c r="D333" s="22"/>
      <c r="E333" s="22"/>
      <c r="F333" s="23"/>
      <c r="G333" s="22"/>
      <c r="H333" s="22"/>
      <c r="I333" s="23"/>
    </row>
  </sheetData>
  <autoFilter ref="A2:I2" xr:uid="{D5C25034-9971-4A61-864F-C938F31EB1B8}"/>
  <mergeCells count="4">
    <mergeCell ref="G1:I1"/>
    <mergeCell ref="A1:C1"/>
    <mergeCell ref="D1:F1"/>
    <mergeCell ref="A2:B2"/>
  </mergeCells>
  <conditionalFormatting sqref="F2 I2 F4:F91 I4:I91">
    <cfRule type="cellIs" dxfId="47" priority="1" stopIfTrue="1" operator="lessThanOrEqual">
      <formula>-0.1</formula>
    </cfRule>
    <cfRule type="expression" dxfId="4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3"/>
  <sheetViews>
    <sheetView workbookViewId="0">
      <pane xSplit="2" ySplit="3" topLeftCell="C4" activePane="bottomRight" state="frozen"/>
      <selection pane="topRight"/>
      <selection pane="bottomLeft"/>
      <selection pane="bottomRight" activeCell="H19" sqref="H19"/>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5" t="str" cm="1">
        <f t="array" ref="A1">portfolio</f>
        <v>Tortoise</v>
      </c>
      <c r="B1" s="75"/>
      <c r="C1" s="75"/>
      <c r="D1" s="76" t="s">
        <v>10</v>
      </c>
      <c r="E1" s="76"/>
      <c r="F1" s="76"/>
      <c r="G1" s="74" t="s">
        <v>11</v>
      </c>
      <c r="H1" s="74"/>
      <c r="I1" s="74"/>
    </row>
    <row r="2" spans="1:9" ht="19.5" customHeight="1" x14ac:dyDescent="0.25">
      <c r="A2" s="77" t="s">
        <v>2</v>
      </c>
      <c r="B2" s="77"/>
      <c r="C2" s="6">
        <f>SUM(C4:C91)</f>
        <v>7828410.9972786736</v>
      </c>
      <c r="D2" s="6">
        <f>SUM(D4:D91)</f>
        <v>9581522.090431001</v>
      </c>
      <c r="E2" s="6">
        <f>C2-D2</f>
        <v>-1753111.0931523275</v>
      </c>
      <c r="F2" s="7">
        <f>IFERROR(E2/D2, 0)</f>
        <v>-0.18296791225927947</v>
      </c>
      <c r="G2" s="6">
        <f>SUM(G4:G91)</f>
        <v>8684356.0800000001</v>
      </c>
      <c r="H2" s="8">
        <f>C2-G2</f>
        <v>-855945.0827213265</v>
      </c>
      <c r="I2" s="7">
        <f>IFERROR(H2/G2, 0)</f>
        <v>-9.8561721195721222E-2</v>
      </c>
    </row>
    <row r="3" spans="1:9" ht="14.25" customHeight="1" x14ac:dyDescent="0.25">
      <c r="A3" s="9" t="s">
        <v>3</v>
      </c>
      <c r="B3" s="9" t="s">
        <v>4</v>
      </c>
      <c r="C3" s="24" t="s">
        <v>5</v>
      </c>
      <c r="D3" s="35" t="s">
        <v>6</v>
      </c>
      <c r="E3" s="35" t="s">
        <v>7</v>
      </c>
      <c r="F3" s="36" t="s">
        <v>8</v>
      </c>
      <c r="G3" s="37" t="s">
        <v>9</v>
      </c>
      <c r="H3" s="38" t="s">
        <v>7</v>
      </c>
      <c r="I3" s="39" t="s">
        <v>8</v>
      </c>
    </row>
    <row r="4" spans="1:9" ht="15.6" x14ac:dyDescent="0.25">
      <c r="A4" s="13" t="str" cm="1">
        <f t="array" ref="A4:A13">Sites[Site]</f>
        <v>Alamosa School District</v>
      </c>
      <c r="B4" s="10" t="str" cm="1">
        <f t="array" ref="B4:B13">Sites[State]</f>
        <v>CO</v>
      </c>
      <c r="C4" s="25">
        <f>SUM(Jan!C4, Feb!C4, Mar!C4)</f>
        <v>207937</v>
      </c>
      <c r="D4" s="14">
        <f>SUM(Jan!D4, Feb!D4, Mar!D4)</f>
        <v>274034.57530000003</v>
      </c>
      <c r="E4" s="14">
        <f>IF(AND(ISNUMBER(C4),ISNUMBER(D4)), C4-D4, "")</f>
        <v>-66097.575300000026</v>
      </c>
      <c r="F4" s="15">
        <f>IFERROR(E4/D4, "")</f>
        <v>-0.24120159008270961</v>
      </c>
      <c r="G4" s="16">
        <f>SUM(Jan!G4, Feb!G4, Mar!G4)</f>
        <v>222541.9</v>
      </c>
      <c r="H4" s="16">
        <f>SUM(Jan!H4, Feb!H4, Mar!H4)</f>
        <v>-14604.899999999994</v>
      </c>
      <c r="I4" s="17">
        <f>IFERROR(H4/G4, "")</f>
        <v>-6.5627641356526545E-2</v>
      </c>
    </row>
    <row r="5" spans="1:9" ht="15.6" x14ac:dyDescent="0.25">
      <c r="A5" s="18" t="str">
        <v>San Luis Valley</v>
      </c>
      <c r="B5" s="11" t="str">
        <v>CO</v>
      </c>
      <c r="C5" s="12">
        <f>SUM(Jan!C5, Feb!C5, Mar!C5)</f>
        <v>547486.375</v>
      </c>
      <c r="D5" s="19">
        <f>SUM(Jan!D5, Feb!D5, Mar!D5)</f>
        <v>553969.5</v>
      </c>
      <c r="E5" s="19">
        <f t="shared" ref="E5:E6" si="0">IF(AND(ISNUMBER(C5),ISNUMBER(D5)), C5-D5, "")</f>
        <v>-6483.125</v>
      </c>
      <c r="F5" s="20">
        <f>IFERROR(E5/D5, "")</f>
        <v>-1.1703035997469175E-2</v>
      </c>
      <c r="G5" s="21">
        <f>SUM(Jan!G5, Feb!G5, Mar!G5)</f>
        <v>0</v>
      </c>
      <c r="H5" s="21">
        <f>SUM(Jan!H5, Feb!H5, Mar!H5)</f>
        <v>547486.375</v>
      </c>
      <c r="I5" s="20" t="str">
        <f>IFERROR(H5/G5, "")</f>
        <v/>
      </c>
    </row>
    <row r="6" spans="1:9" ht="15.6" x14ac:dyDescent="0.25">
      <c r="A6" s="13" t="str">
        <v>Golden NREL 2</v>
      </c>
      <c r="B6" s="10" t="str">
        <v>CO</v>
      </c>
      <c r="C6" s="25">
        <f>SUM(Jan!C6, Feb!C6, Mar!C6)</f>
        <v>24178</v>
      </c>
      <c r="D6" s="14">
        <f>SUM(Jan!D6, Feb!D6, Mar!D6)</f>
        <v>22334.862131000002</v>
      </c>
      <c r="E6" s="14">
        <f t="shared" si="0"/>
        <v>1843.1378689999983</v>
      </c>
      <c r="F6" s="15">
        <f t="shared" ref="F6:F13" si="1">IFERROR(E6/D6, "")</f>
        <v>8.2522912305860521E-2</v>
      </c>
      <c r="G6" s="16">
        <f>SUM(Jan!G6, Feb!G6, Mar!G6)</f>
        <v>28588.3</v>
      </c>
      <c r="H6" s="16">
        <f>SUM(Jan!H6, Feb!H6, Mar!H6)</f>
        <v>-4410.2999999999993</v>
      </c>
      <c r="I6" s="17">
        <f t="shared" ref="I6:I13" si="2">IFERROR(H6/G6, "")</f>
        <v>-0.15426940391698699</v>
      </c>
    </row>
    <row r="7" spans="1:9" ht="15.6" x14ac:dyDescent="0.25">
      <c r="A7" s="18" t="str">
        <v>Golden NREL Wind 3</v>
      </c>
      <c r="B7" s="11" t="str">
        <v>CO</v>
      </c>
      <c r="C7" s="12">
        <f>SUM(Jan!C7, Feb!C7, Mar!C7)</f>
        <v>193034.7190475</v>
      </c>
      <c r="D7" s="19">
        <f>SUM(Jan!D7, Feb!D7, Mar!D7)</f>
        <v>270721.61499999999</v>
      </c>
      <c r="E7" s="19">
        <f t="shared" ref="E7:E13" si="3">IF(AND(ISNUMBER(C7),ISNUMBER(D7)), C7-D7, "")</f>
        <v>-77686.895952499995</v>
      </c>
      <c r="F7" s="20">
        <f t="shared" si="1"/>
        <v>-0.28696229502213927</v>
      </c>
      <c r="G7" s="21">
        <f>SUM(Jan!G7, Feb!G7, Mar!G7)</f>
        <v>0</v>
      </c>
      <c r="H7" s="21">
        <f>SUM(Jan!H7, Feb!H7, Mar!H7)</f>
        <v>193034.7190475</v>
      </c>
      <c r="I7" s="20" t="str">
        <f t="shared" si="2"/>
        <v/>
      </c>
    </row>
    <row r="8" spans="1:9" ht="15.6" x14ac:dyDescent="0.25">
      <c r="A8" s="13" t="str">
        <v>Pratt Solar Farm</v>
      </c>
      <c r="B8" s="10" t="str">
        <v>KS</v>
      </c>
      <c r="C8" s="25">
        <f>SUM(Jan!C8, Feb!C8, Mar!C8)</f>
        <v>1654930</v>
      </c>
      <c r="D8" s="14">
        <f>SUM(Jan!D8, Feb!D8, Mar!D8)</f>
        <v>3097059.909</v>
      </c>
      <c r="E8" s="14">
        <f t="shared" si="3"/>
        <v>-1442129.909</v>
      </c>
      <c r="F8" s="15">
        <f t="shared" si="1"/>
        <v>-0.46564482166108462</v>
      </c>
      <c r="G8" s="16">
        <f>SUM(Jan!G8, Feb!G8, Mar!G8)</f>
        <v>2716093.9299999997</v>
      </c>
      <c r="H8" s="16">
        <f>SUM(Jan!H8, Feb!H8, Mar!H8)</f>
        <v>-1061163.9300000002</v>
      </c>
      <c r="I8" s="17">
        <f t="shared" si="2"/>
        <v>-0.39069485715466412</v>
      </c>
    </row>
    <row r="9" spans="1:9" ht="12.75" customHeight="1" x14ac:dyDescent="0.25">
      <c r="A9" s="18" t="str">
        <v>Rochester - 5516 Valleyhigh NW</v>
      </c>
      <c r="B9" s="11" t="str">
        <v>MN</v>
      </c>
      <c r="C9" s="12">
        <f>SUM(Jan!C9, Feb!C9, Mar!C9)</f>
        <v>2374799</v>
      </c>
      <c r="D9" s="19">
        <f>SUM(Jan!D9, Feb!D9, Mar!D9)</f>
        <v>2609126.2000000002</v>
      </c>
      <c r="E9" s="19">
        <f t="shared" si="3"/>
        <v>-234327.20000000019</v>
      </c>
      <c r="F9" s="20">
        <f t="shared" si="1"/>
        <v>-8.9810604025209725E-2</v>
      </c>
      <c r="G9" s="21">
        <f>SUM(Jan!G9, Feb!G9, Mar!G9)</f>
        <v>2510275.5</v>
      </c>
      <c r="H9" s="21">
        <f>SUM(Jan!H9, Feb!H9, Mar!H9)</f>
        <v>-135476.5</v>
      </c>
      <c r="I9" s="20">
        <f t="shared" si="2"/>
        <v>-5.3968777530593752E-2</v>
      </c>
    </row>
    <row r="10" spans="1:9" ht="15.6" x14ac:dyDescent="0.25">
      <c r="A10" s="13" t="str">
        <v>Warsaw - 2201 Richmond</v>
      </c>
      <c r="B10" s="10" t="str">
        <v>VA</v>
      </c>
      <c r="C10" s="25">
        <f>SUM(Jan!C10, Feb!C10, Mar!C10)</f>
        <v>1384836.0999999989</v>
      </c>
      <c r="D10" s="14">
        <f>SUM(Jan!D10, Feb!D10, Mar!D10)</f>
        <v>1541238.5</v>
      </c>
      <c r="E10" s="14">
        <f t="shared" si="3"/>
        <v>-156402.40000000107</v>
      </c>
      <c r="F10" s="15">
        <f t="shared" si="1"/>
        <v>-0.10147838897094841</v>
      </c>
      <c r="G10" s="16">
        <f>SUM(Jan!G10, Feb!G10, Mar!G10)</f>
        <v>1483119.35</v>
      </c>
      <c r="H10" s="16">
        <f>SUM(Jan!H10, Feb!H10, Mar!H10)</f>
        <v>-98283.25000000099</v>
      </c>
      <c r="I10" s="17">
        <f t="shared" si="2"/>
        <v>-6.6267930493928887E-2</v>
      </c>
    </row>
    <row r="11" spans="1:9" ht="15.6" x14ac:dyDescent="0.25">
      <c r="A11" s="18" t="str">
        <v>Mount Jackson - Randolf</v>
      </c>
      <c r="B11" s="11" t="str">
        <v>VA</v>
      </c>
      <c r="C11" s="12">
        <f>SUM(Jan!C11, Feb!C11, Mar!C11)</f>
        <v>775388.80323117494</v>
      </c>
      <c r="D11" s="19">
        <f>SUM(Jan!D11, Feb!D11, Mar!D11)</f>
        <v>778421.83899999992</v>
      </c>
      <c r="E11" s="19">
        <f t="shared" si="3"/>
        <v>-3033.0357688249787</v>
      </c>
      <c r="F11" s="20">
        <f t="shared" si="1"/>
        <v>-3.8963908986949414E-3</v>
      </c>
      <c r="G11" s="21">
        <f>SUM(Jan!G11, Feb!G11, Mar!G11)</f>
        <v>1000099.6</v>
      </c>
      <c r="H11" s="21">
        <f>SUM(Jan!H11, Feb!H11, Mar!H11)</f>
        <v>-224710.79676882501</v>
      </c>
      <c r="I11" s="20">
        <f t="shared" si="2"/>
        <v>-0.22468841780241189</v>
      </c>
    </row>
    <row r="12" spans="1:9" ht="15.6" x14ac:dyDescent="0.25">
      <c r="A12" s="13" t="str">
        <v>Callands Gretna - Monroe</v>
      </c>
      <c r="B12" s="10" t="str">
        <v>VA</v>
      </c>
      <c r="C12" s="25">
        <f>SUM(Jan!C12, Feb!C12, Mar!C12)</f>
        <v>665821</v>
      </c>
      <c r="D12" s="14">
        <f>SUM(Jan!D12, Feb!D12, Mar!D12)</f>
        <v>434615.08999999997</v>
      </c>
      <c r="E12" s="14">
        <f t="shared" si="3"/>
        <v>231205.91000000003</v>
      </c>
      <c r="F12" s="15">
        <f t="shared" si="1"/>
        <v>0.53197856061555537</v>
      </c>
      <c r="G12" s="16">
        <f>SUM(Jan!G12, Feb!G12, Mar!G12)</f>
        <v>723637.5</v>
      </c>
      <c r="H12" s="16">
        <f>SUM(Jan!H12, Feb!H12, Mar!H12)</f>
        <v>-57816.5</v>
      </c>
      <c r="I12" s="17">
        <f t="shared" si="2"/>
        <v>-7.9897047900364476E-2</v>
      </c>
    </row>
    <row r="13" spans="1:9" ht="15.6" x14ac:dyDescent="0.25">
      <c r="A13" s="18" t="str">
        <v>Rockbridge Baths - Small Mouth Bass</v>
      </c>
      <c r="B13" s="11" t="str">
        <v>VA</v>
      </c>
      <c r="C13" s="12">
        <f>SUM(Jan!C13, Feb!C13, Mar!C13)</f>
        <v>0</v>
      </c>
      <c r="D13" s="19">
        <f>SUM(Jan!D13, Feb!D13, Mar!D13)</f>
        <v>0</v>
      </c>
      <c r="E13" s="19">
        <f t="shared" si="3"/>
        <v>0</v>
      </c>
      <c r="F13" s="20" t="str">
        <f t="shared" si="1"/>
        <v/>
      </c>
      <c r="G13" s="21">
        <f>SUM(Jan!G13, Feb!G13, Mar!G13)</f>
        <v>0</v>
      </c>
      <c r="H13" s="21">
        <f>SUM(Jan!H13, Feb!H13, Mar!H13)</f>
        <v>0</v>
      </c>
      <c r="I13" s="20" t="str">
        <f t="shared" si="2"/>
        <v/>
      </c>
    </row>
    <row r="14" spans="1:9" ht="13.8" x14ac:dyDescent="0.3">
      <c r="A14" s="22"/>
      <c r="B14" s="22"/>
      <c r="C14" s="22"/>
      <c r="D14" s="22"/>
      <c r="E14" s="22"/>
      <c r="F14" s="22"/>
      <c r="G14" s="22"/>
      <c r="H14" s="22"/>
      <c r="I14" s="22"/>
    </row>
    <row r="15" spans="1:9" ht="13.8" x14ac:dyDescent="0.3">
      <c r="A15" s="22"/>
      <c r="B15" s="22"/>
      <c r="C15" s="22"/>
      <c r="D15" s="22"/>
      <c r="E15" s="22"/>
      <c r="F15" s="22"/>
      <c r="G15" s="22"/>
      <c r="H15" s="22"/>
      <c r="I15" s="22"/>
    </row>
    <row r="16" spans="1:9" ht="13.8" x14ac:dyDescent="0.3">
      <c r="A16" s="22"/>
      <c r="B16" s="22"/>
      <c r="C16" s="22"/>
      <c r="D16" s="22"/>
      <c r="E16" s="22"/>
      <c r="F16" s="22"/>
      <c r="G16" s="22"/>
      <c r="H16" s="22"/>
      <c r="I16" s="22"/>
    </row>
    <row r="17" spans="1:9" ht="13.8" x14ac:dyDescent="0.3">
      <c r="A17" s="22"/>
      <c r="B17" s="22"/>
      <c r="C17" s="22"/>
      <c r="D17" s="22"/>
      <c r="E17" s="22"/>
      <c r="F17" s="22"/>
      <c r="G17" s="22"/>
      <c r="H17" s="22"/>
      <c r="I17" s="22"/>
    </row>
    <row r="18" spans="1:9" ht="13.8" x14ac:dyDescent="0.3">
      <c r="A18" s="22"/>
      <c r="B18" s="22"/>
      <c r="C18" s="22"/>
      <c r="D18" s="22"/>
      <c r="E18" s="22"/>
      <c r="F18" s="22"/>
      <c r="G18" s="22"/>
      <c r="H18" s="22"/>
      <c r="I18" s="22"/>
    </row>
    <row r="19" spans="1:9" ht="13.8" x14ac:dyDescent="0.3">
      <c r="A19" s="22"/>
      <c r="B19" s="22"/>
      <c r="C19" s="22"/>
      <c r="D19" s="22"/>
      <c r="E19" s="22"/>
      <c r="F19" s="22"/>
      <c r="G19" s="22"/>
      <c r="H19" s="22"/>
      <c r="I19" s="22"/>
    </row>
    <row r="20" spans="1:9" ht="13.8" x14ac:dyDescent="0.3">
      <c r="A20" s="22"/>
      <c r="B20" s="22"/>
      <c r="C20" s="22"/>
      <c r="D20" s="22"/>
      <c r="E20" s="22"/>
      <c r="F20" s="22"/>
      <c r="G20" s="22"/>
      <c r="H20" s="22"/>
      <c r="I20" s="22"/>
    </row>
    <row r="21" spans="1:9" ht="13.8" x14ac:dyDescent="0.3">
      <c r="A21" s="22"/>
      <c r="B21" s="22"/>
      <c r="C21" s="22"/>
      <c r="D21" s="22"/>
      <c r="E21" s="22"/>
      <c r="F21" s="22"/>
      <c r="G21" s="22"/>
      <c r="H21" s="22"/>
      <c r="I21" s="22"/>
    </row>
    <row r="22" spans="1:9" ht="13.8" x14ac:dyDescent="0.3">
      <c r="A22" s="22"/>
      <c r="B22" s="22"/>
      <c r="C22" s="22"/>
      <c r="D22" s="22"/>
      <c r="E22" s="22"/>
      <c r="F22" s="22"/>
      <c r="G22" s="22"/>
      <c r="H22" s="22"/>
      <c r="I22" s="22"/>
    </row>
    <row r="23" spans="1:9" ht="13.8" x14ac:dyDescent="0.3">
      <c r="A23" s="22"/>
      <c r="B23" s="22"/>
      <c r="C23" s="22"/>
      <c r="D23" s="22"/>
      <c r="E23" s="22"/>
      <c r="F23" s="22"/>
      <c r="G23" s="22"/>
      <c r="H23" s="22"/>
      <c r="I23" s="22"/>
    </row>
    <row r="24" spans="1:9" ht="13.8" x14ac:dyDescent="0.3">
      <c r="A24" s="22"/>
      <c r="B24" s="22"/>
      <c r="C24" s="22"/>
      <c r="D24" s="22"/>
      <c r="E24" s="22"/>
      <c r="F24" s="23"/>
      <c r="G24" s="22"/>
      <c r="H24" s="22"/>
      <c r="I24" s="23"/>
    </row>
    <row r="25" spans="1:9" ht="13.8" x14ac:dyDescent="0.3">
      <c r="A25" s="22"/>
      <c r="B25" s="22"/>
      <c r="C25" s="22"/>
      <c r="D25" s="22"/>
      <c r="E25" s="22"/>
      <c r="F25" s="23"/>
      <c r="G25" s="22"/>
      <c r="H25" s="22"/>
      <c r="I25" s="23"/>
    </row>
    <row r="26" spans="1:9" ht="13.8" x14ac:dyDescent="0.3">
      <c r="A26" s="22"/>
      <c r="B26" s="22"/>
      <c r="C26" s="22"/>
      <c r="D26" s="22"/>
      <c r="E26" s="22"/>
      <c r="F26" s="23"/>
      <c r="G26" s="22"/>
      <c r="H26" s="22"/>
      <c r="I26" s="23"/>
    </row>
    <row r="27" spans="1:9" ht="13.8" x14ac:dyDescent="0.3">
      <c r="A27" s="22"/>
      <c r="B27" s="22"/>
      <c r="C27" s="22"/>
      <c r="D27" s="22"/>
      <c r="E27" s="22"/>
      <c r="F27" s="23"/>
      <c r="G27" s="22"/>
      <c r="H27" s="22"/>
      <c r="I27" s="23"/>
    </row>
    <row r="28" spans="1:9" ht="13.8" x14ac:dyDescent="0.3">
      <c r="A28" s="22"/>
      <c r="B28" s="22"/>
      <c r="C28" s="22"/>
      <c r="D28" s="22"/>
      <c r="E28" s="22"/>
      <c r="F28" s="23"/>
      <c r="G28" s="22"/>
      <c r="H28" s="22"/>
      <c r="I28" s="23"/>
    </row>
    <row r="29" spans="1:9" ht="13.8" x14ac:dyDescent="0.3">
      <c r="A29" s="22"/>
      <c r="B29" s="22"/>
      <c r="C29" s="22"/>
      <c r="D29" s="22"/>
      <c r="E29" s="22"/>
      <c r="F29" s="23"/>
      <c r="G29" s="22"/>
      <c r="H29" s="22"/>
      <c r="I29" s="23"/>
    </row>
    <row r="30" spans="1:9" ht="13.8" x14ac:dyDescent="0.3">
      <c r="A30" s="22"/>
      <c r="B30" s="22"/>
      <c r="C30" s="22"/>
      <c r="D30" s="22"/>
      <c r="E30" s="22"/>
      <c r="F30" s="23"/>
      <c r="G30" s="22"/>
      <c r="H30" s="22"/>
      <c r="I30" s="23"/>
    </row>
    <row r="31" spans="1:9" ht="13.8" x14ac:dyDescent="0.3">
      <c r="A31" s="22"/>
      <c r="B31" s="22"/>
      <c r="C31" s="22"/>
      <c r="D31" s="22"/>
      <c r="E31" s="22"/>
      <c r="F31" s="23"/>
      <c r="G31" s="22"/>
      <c r="H31" s="22"/>
      <c r="I31" s="23"/>
    </row>
    <row r="32" spans="1:9" ht="13.8" x14ac:dyDescent="0.3">
      <c r="A32" s="22"/>
      <c r="B32" s="22"/>
      <c r="C32" s="22"/>
      <c r="D32" s="22"/>
      <c r="E32" s="22"/>
      <c r="F32" s="23"/>
      <c r="G32" s="22"/>
      <c r="H32" s="22"/>
      <c r="I32" s="23"/>
    </row>
    <row r="33" spans="1:9" ht="13.8" x14ac:dyDescent="0.3">
      <c r="A33" s="22"/>
      <c r="B33" s="22"/>
      <c r="C33" s="22"/>
      <c r="D33" s="22"/>
      <c r="E33" s="22"/>
      <c r="F33" s="23"/>
      <c r="G33" s="22"/>
      <c r="H33" s="22"/>
      <c r="I33" s="23"/>
    </row>
    <row r="34" spans="1:9" ht="13.8" x14ac:dyDescent="0.3">
      <c r="A34" s="22"/>
      <c r="B34" s="22"/>
      <c r="C34" s="22"/>
      <c r="D34" s="22"/>
      <c r="E34" s="22"/>
      <c r="F34" s="23"/>
      <c r="G34" s="22"/>
      <c r="H34" s="22"/>
      <c r="I34" s="23"/>
    </row>
    <row r="35" spans="1:9" ht="13.8" x14ac:dyDescent="0.3">
      <c r="A35" s="22"/>
      <c r="B35" s="22"/>
      <c r="C35" s="22"/>
      <c r="D35" s="22"/>
      <c r="E35" s="22"/>
      <c r="F35" s="23"/>
      <c r="G35" s="22"/>
      <c r="H35" s="22"/>
      <c r="I35" s="23"/>
    </row>
    <row r="36" spans="1:9" ht="13.8" x14ac:dyDescent="0.3">
      <c r="A36" s="22"/>
      <c r="B36" s="22"/>
      <c r="C36" s="22"/>
      <c r="D36" s="22"/>
      <c r="E36" s="22"/>
      <c r="F36" s="23"/>
      <c r="G36" s="22"/>
      <c r="H36" s="22"/>
      <c r="I36" s="23"/>
    </row>
    <row r="37" spans="1:9" ht="13.8" x14ac:dyDescent="0.3">
      <c r="A37" s="22"/>
      <c r="B37" s="22"/>
      <c r="C37" s="22"/>
      <c r="D37" s="22"/>
      <c r="E37" s="22"/>
      <c r="F37" s="23"/>
      <c r="G37" s="22"/>
      <c r="H37" s="22"/>
      <c r="I37" s="23"/>
    </row>
    <row r="38" spans="1:9" ht="13.8" x14ac:dyDescent="0.3">
      <c r="A38" s="22"/>
      <c r="B38" s="22"/>
      <c r="C38" s="22"/>
      <c r="D38" s="22"/>
      <c r="E38" s="22"/>
      <c r="F38" s="23"/>
      <c r="G38" s="22"/>
      <c r="H38" s="22"/>
      <c r="I38" s="23"/>
    </row>
    <row r="39" spans="1:9" ht="13.8" x14ac:dyDescent="0.3">
      <c r="A39" s="22"/>
      <c r="B39" s="22"/>
      <c r="C39" s="22"/>
      <c r="D39" s="22"/>
      <c r="E39" s="22"/>
      <c r="F39" s="23"/>
      <c r="G39" s="22"/>
      <c r="H39" s="22"/>
      <c r="I39" s="23"/>
    </row>
    <row r="40" spans="1:9" ht="13.8" x14ac:dyDescent="0.3">
      <c r="A40" s="22"/>
      <c r="B40" s="22"/>
      <c r="C40" s="22"/>
      <c r="D40" s="22"/>
      <c r="E40" s="22"/>
      <c r="F40" s="23"/>
      <c r="G40" s="22"/>
      <c r="H40" s="22"/>
      <c r="I40" s="23"/>
    </row>
    <row r="41" spans="1:9" ht="13.8" x14ac:dyDescent="0.3">
      <c r="A41" s="22"/>
      <c r="B41" s="22"/>
      <c r="C41" s="22"/>
      <c r="D41" s="22"/>
      <c r="E41" s="22"/>
      <c r="F41" s="23"/>
      <c r="G41" s="22"/>
      <c r="H41" s="22"/>
      <c r="I41" s="23"/>
    </row>
    <row r="42" spans="1:9" ht="13.8" x14ac:dyDescent="0.3">
      <c r="A42" s="22"/>
      <c r="B42" s="22"/>
      <c r="C42" s="22"/>
      <c r="D42" s="22"/>
      <c r="E42" s="22"/>
      <c r="F42" s="23"/>
      <c r="G42" s="22"/>
      <c r="H42" s="22"/>
      <c r="I42" s="23"/>
    </row>
    <row r="43" spans="1:9" ht="13.8" x14ac:dyDescent="0.3">
      <c r="A43" s="22"/>
      <c r="B43" s="22"/>
      <c r="C43" s="22"/>
      <c r="D43" s="22"/>
      <c r="E43" s="22"/>
      <c r="F43" s="23"/>
      <c r="G43" s="22"/>
      <c r="H43" s="22"/>
      <c r="I43" s="23"/>
    </row>
    <row r="44" spans="1:9" ht="13.8" x14ac:dyDescent="0.3">
      <c r="A44" s="22"/>
      <c r="B44" s="22"/>
      <c r="C44" s="22"/>
      <c r="D44" s="22"/>
      <c r="E44" s="22"/>
      <c r="F44" s="23"/>
      <c r="G44" s="22"/>
      <c r="H44" s="22"/>
      <c r="I44" s="23"/>
    </row>
    <row r="45" spans="1:9" ht="13.8" x14ac:dyDescent="0.3">
      <c r="A45" s="22"/>
      <c r="B45" s="22"/>
      <c r="C45" s="22"/>
      <c r="D45" s="22"/>
      <c r="E45" s="22"/>
      <c r="F45" s="23"/>
      <c r="G45" s="22"/>
      <c r="H45" s="22"/>
      <c r="I45" s="23"/>
    </row>
    <row r="46" spans="1:9" ht="13.8" x14ac:dyDescent="0.3">
      <c r="A46" s="22"/>
      <c r="B46" s="22"/>
      <c r="C46" s="22"/>
      <c r="D46" s="22"/>
      <c r="E46" s="22"/>
      <c r="F46" s="23"/>
      <c r="G46" s="22"/>
      <c r="H46" s="22"/>
      <c r="I46" s="23"/>
    </row>
    <row r="47" spans="1:9" ht="13.8" x14ac:dyDescent="0.3">
      <c r="A47" s="22"/>
      <c r="B47" s="22"/>
      <c r="C47" s="22"/>
      <c r="D47" s="22"/>
      <c r="E47" s="22"/>
      <c r="F47" s="23"/>
      <c r="G47" s="22"/>
      <c r="H47" s="22"/>
      <c r="I47" s="23"/>
    </row>
    <row r="48" spans="1:9" ht="13.8" x14ac:dyDescent="0.3">
      <c r="A48" s="22"/>
      <c r="B48" s="22"/>
      <c r="C48" s="22"/>
      <c r="D48" s="22"/>
      <c r="E48" s="22"/>
      <c r="F48" s="23"/>
      <c r="G48" s="22"/>
      <c r="H48" s="22"/>
      <c r="I48" s="23"/>
    </row>
    <row r="49" spans="1:9" ht="13.8" x14ac:dyDescent="0.3">
      <c r="A49" s="22"/>
      <c r="B49" s="22"/>
      <c r="C49" s="22"/>
      <c r="D49" s="22"/>
      <c r="E49" s="22"/>
      <c r="F49" s="23"/>
      <c r="G49" s="22"/>
      <c r="H49" s="22"/>
      <c r="I49" s="23"/>
    </row>
    <row r="50" spans="1:9" ht="13.8" x14ac:dyDescent="0.3">
      <c r="A50" s="22"/>
      <c r="B50" s="22"/>
      <c r="C50" s="22"/>
      <c r="D50" s="22"/>
      <c r="E50" s="22"/>
      <c r="F50" s="23"/>
      <c r="G50" s="22"/>
      <c r="H50" s="22"/>
      <c r="I50" s="23"/>
    </row>
    <row r="51" spans="1:9" ht="13.8" x14ac:dyDescent="0.3">
      <c r="A51" s="22"/>
      <c r="B51" s="22"/>
      <c r="C51" s="22"/>
      <c r="D51" s="22"/>
      <c r="E51" s="22"/>
      <c r="F51" s="23"/>
      <c r="G51" s="22"/>
      <c r="H51" s="22"/>
      <c r="I51" s="23"/>
    </row>
    <row r="52" spans="1:9" ht="13.8" x14ac:dyDescent="0.3">
      <c r="A52" s="22"/>
      <c r="B52" s="22"/>
      <c r="C52" s="22"/>
      <c r="D52" s="22"/>
      <c r="E52" s="22"/>
      <c r="F52" s="23"/>
      <c r="G52" s="22"/>
      <c r="H52" s="22"/>
      <c r="I52" s="23"/>
    </row>
    <row r="53" spans="1:9" ht="13.8" x14ac:dyDescent="0.3">
      <c r="A53" s="22"/>
      <c r="B53" s="22"/>
      <c r="C53" s="22"/>
      <c r="D53" s="22"/>
      <c r="E53" s="22"/>
      <c r="F53" s="23"/>
      <c r="G53" s="22"/>
      <c r="H53" s="22"/>
      <c r="I53" s="23"/>
    </row>
    <row r="54" spans="1:9" ht="13.8" x14ac:dyDescent="0.3">
      <c r="A54" s="22"/>
      <c r="B54" s="22"/>
      <c r="C54" s="22"/>
      <c r="D54" s="22"/>
      <c r="E54" s="22"/>
      <c r="F54" s="23"/>
      <c r="G54" s="22"/>
      <c r="H54" s="22"/>
      <c r="I54" s="23"/>
    </row>
    <row r="55" spans="1:9" ht="13.8" x14ac:dyDescent="0.3">
      <c r="A55" s="22"/>
      <c r="B55" s="22"/>
      <c r="C55" s="22"/>
      <c r="D55" s="22"/>
      <c r="E55" s="22"/>
      <c r="F55" s="23"/>
      <c r="G55" s="22"/>
      <c r="H55" s="22"/>
      <c r="I55" s="23"/>
    </row>
    <row r="56" spans="1:9" ht="13.8" x14ac:dyDescent="0.3">
      <c r="A56" s="22"/>
      <c r="B56" s="22"/>
      <c r="C56" s="22"/>
      <c r="D56" s="22"/>
      <c r="E56" s="22"/>
      <c r="F56" s="23"/>
      <c r="G56" s="22"/>
      <c r="H56" s="22"/>
      <c r="I56" s="23"/>
    </row>
    <row r="57" spans="1:9" ht="13.8" x14ac:dyDescent="0.3">
      <c r="A57" s="22"/>
      <c r="B57" s="22"/>
      <c r="C57" s="22"/>
      <c r="D57" s="22"/>
      <c r="E57" s="22"/>
      <c r="F57" s="23"/>
      <c r="G57" s="22"/>
      <c r="H57" s="22"/>
      <c r="I57" s="23"/>
    </row>
    <row r="58" spans="1:9" ht="13.8" x14ac:dyDescent="0.3">
      <c r="A58" s="22"/>
      <c r="B58" s="22"/>
      <c r="C58" s="22"/>
      <c r="D58" s="22"/>
      <c r="E58" s="22"/>
      <c r="F58" s="23"/>
      <c r="G58" s="22"/>
      <c r="H58" s="22"/>
      <c r="I58" s="23"/>
    </row>
    <row r="59" spans="1:9" ht="13.8" x14ac:dyDescent="0.3">
      <c r="A59" s="22"/>
      <c r="B59" s="22"/>
      <c r="C59" s="22"/>
      <c r="D59" s="22"/>
      <c r="E59" s="22"/>
      <c r="F59" s="23"/>
      <c r="G59" s="22"/>
      <c r="H59" s="22"/>
      <c r="I59" s="23"/>
    </row>
    <row r="60" spans="1:9" ht="13.8" x14ac:dyDescent="0.3">
      <c r="A60" s="22"/>
      <c r="B60" s="22"/>
      <c r="C60" s="22"/>
      <c r="D60" s="22"/>
      <c r="E60" s="22"/>
      <c r="F60" s="23"/>
      <c r="G60" s="22"/>
      <c r="H60" s="22"/>
      <c r="I60" s="23"/>
    </row>
    <row r="61" spans="1:9" ht="13.8" x14ac:dyDescent="0.3">
      <c r="A61" s="22"/>
      <c r="B61" s="22"/>
      <c r="C61" s="22"/>
      <c r="D61" s="22"/>
      <c r="E61" s="22"/>
      <c r="F61" s="23"/>
      <c r="G61" s="22"/>
      <c r="H61" s="22"/>
      <c r="I61" s="23"/>
    </row>
    <row r="62" spans="1:9" ht="13.8" x14ac:dyDescent="0.3">
      <c r="A62" s="22"/>
      <c r="B62" s="22"/>
      <c r="C62" s="22"/>
      <c r="D62" s="22"/>
      <c r="E62" s="22"/>
      <c r="F62" s="23"/>
      <c r="G62" s="22"/>
      <c r="H62" s="22"/>
      <c r="I62" s="23"/>
    </row>
    <row r="63" spans="1:9" ht="13.8" x14ac:dyDescent="0.3">
      <c r="A63" s="22"/>
      <c r="B63" s="22"/>
      <c r="C63" s="22"/>
      <c r="D63" s="22"/>
      <c r="E63" s="22"/>
      <c r="F63" s="23"/>
      <c r="G63" s="22"/>
      <c r="H63" s="22"/>
      <c r="I63" s="23"/>
    </row>
    <row r="64" spans="1:9" ht="13.8" x14ac:dyDescent="0.3">
      <c r="A64" s="22"/>
      <c r="B64" s="22"/>
      <c r="C64" s="22"/>
      <c r="D64" s="22"/>
      <c r="E64" s="22"/>
      <c r="F64" s="23"/>
      <c r="G64" s="22"/>
      <c r="H64" s="22"/>
      <c r="I64" s="23"/>
    </row>
    <row r="65" spans="1:9" ht="13.8" x14ac:dyDescent="0.3">
      <c r="A65" s="22"/>
      <c r="B65" s="22"/>
      <c r="C65" s="22"/>
      <c r="D65" s="22"/>
      <c r="E65" s="22"/>
      <c r="F65" s="23"/>
      <c r="G65" s="22"/>
      <c r="H65" s="22"/>
      <c r="I65" s="23"/>
    </row>
    <row r="66" spans="1:9" ht="13.8" x14ac:dyDescent="0.3">
      <c r="A66" s="22"/>
      <c r="B66" s="22"/>
      <c r="C66" s="22"/>
      <c r="D66" s="22"/>
      <c r="E66" s="22"/>
      <c r="F66" s="23"/>
      <c r="G66" s="22"/>
      <c r="H66" s="22"/>
      <c r="I66" s="23"/>
    </row>
    <row r="67" spans="1:9" ht="13.8" x14ac:dyDescent="0.3">
      <c r="A67" s="22"/>
      <c r="B67" s="22"/>
      <c r="C67" s="22"/>
      <c r="D67" s="22"/>
      <c r="E67" s="22"/>
      <c r="F67" s="23"/>
      <c r="G67" s="22"/>
      <c r="H67" s="22"/>
      <c r="I67" s="23"/>
    </row>
    <row r="68" spans="1:9" ht="13.8" x14ac:dyDescent="0.3">
      <c r="A68" s="22"/>
      <c r="B68" s="22"/>
      <c r="C68" s="22"/>
      <c r="D68" s="22"/>
      <c r="E68" s="22"/>
      <c r="F68" s="23"/>
      <c r="G68" s="22"/>
      <c r="H68" s="22"/>
      <c r="I68" s="23"/>
    </row>
    <row r="69" spans="1:9" ht="13.8" x14ac:dyDescent="0.3">
      <c r="A69" s="22"/>
      <c r="B69" s="22"/>
      <c r="C69" s="22"/>
      <c r="D69" s="22"/>
      <c r="E69" s="22"/>
      <c r="F69" s="23"/>
      <c r="G69" s="22"/>
      <c r="H69" s="22"/>
      <c r="I69" s="23"/>
    </row>
    <row r="70" spans="1:9" ht="13.8" x14ac:dyDescent="0.3">
      <c r="A70" s="22"/>
      <c r="B70" s="22"/>
      <c r="C70" s="22"/>
      <c r="D70" s="22"/>
      <c r="E70" s="22"/>
      <c r="F70" s="23"/>
      <c r="G70" s="22"/>
      <c r="H70" s="22"/>
      <c r="I70" s="23"/>
    </row>
    <row r="71" spans="1:9" ht="13.8" x14ac:dyDescent="0.3">
      <c r="A71" s="22"/>
      <c r="B71" s="22"/>
      <c r="C71" s="22"/>
      <c r="D71" s="22"/>
      <c r="E71" s="22"/>
      <c r="F71" s="23"/>
      <c r="G71" s="22"/>
      <c r="H71" s="22"/>
      <c r="I71" s="23"/>
    </row>
    <row r="72" spans="1:9" ht="13.8" x14ac:dyDescent="0.3">
      <c r="A72" s="22"/>
      <c r="B72" s="22"/>
      <c r="C72" s="22"/>
      <c r="D72" s="22"/>
      <c r="E72" s="22"/>
      <c r="F72" s="23"/>
      <c r="G72" s="22"/>
      <c r="H72" s="22"/>
      <c r="I72" s="23"/>
    </row>
    <row r="73" spans="1:9" ht="13.8" x14ac:dyDescent="0.3">
      <c r="A73" s="22"/>
      <c r="B73" s="22"/>
      <c r="C73" s="22"/>
      <c r="D73" s="22"/>
      <c r="E73" s="22"/>
      <c r="F73" s="23"/>
      <c r="G73" s="22"/>
      <c r="H73" s="22"/>
      <c r="I73" s="23"/>
    </row>
    <row r="74" spans="1:9" ht="13.8" x14ac:dyDescent="0.3">
      <c r="A74" s="22"/>
      <c r="B74" s="22"/>
      <c r="C74" s="22"/>
      <c r="D74" s="22"/>
      <c r="E74" s="22"/>
      <c r="F74" s="23"/>
      <c r="G74" s="22"/>
      <c r="H74" s="22"/>
      <c r="I74" s="23"/>
    </row>
    <row r="75" spans="1:9" ht="13.8" x14ac:dyDescent="0.3">
      <c r="A75" s="22"/>
      <c r="B75" s="22"/>
      <c r="C75" s="22"/>
      <c r="D75" s="22"/>
      <c r="E75" s="22"/>
      <c r="F75" s="23"/>
      <c r="G75" s="22"/>
      <c r="H75" s="22"/>
      <c r="I75" s="23"/>
    </row>
    <row r="76" spans="1:9" ht="13.8" x14ac:dyDescent="0.3">
      <c r="A76" s="22"/>
      <c r="B76" s="22"/>
      <c r="C76" s="22"/>
      <c r="D76" s="22"/>
      <c r="E76" s="22"/>
      <c r="F76" s="23"/>
      <c r="G76" s="22"/>
      <c r="H76" s="22"/>
      <c r="I76" s="23"/>
    </row>
    <row r="77" spans="1:9" ht="13.8" x14ac:dyDescent="0.3">
      <c r="A77" s="22"/>
      <c r="B77" s="22"/>
      <c r="C77" s="22"/>
      <c r="D77" s="22"/>
      <c r="E77" s="22"/>
      <c r="F77" s="23"/>
      <c r="G77" s="22"/>
      <c r="H77" s="22"/>
      <c r="I77" s="23"/>
    </row>
    <row r="78" spans="1:9" ht="13.8" x14ac:dyDescent="0.3">
      <c r="A78" s="22"/>
      <c r="B78" s="22"/>
      <c r="C78" s="22"/>
      <c r="D78" s="22"/>
      <c r="E78" s="22"/>
      <c r="F78" s="23"/>
      <c r="G78" s="22"/>
      <c r="H78" s="22"/>
      <c r="I78" s="23"/>
    </row>
    <row r="79" spans="1:9" ht="13.8" x14ac:dyDescent="0.3">
      <c r="A79" s="22"/>
      <c r="B79" s="22"/>
      <c r="C79" s="22"/>
      <c r="D79" s="22"/>
      <c r="E79" s="22"/>
      <c r="F79" s="23"/>
      <c r="G79" s="22"/>
      <c r="H79" s="22"/>
      <c r="I79" s="23"/>
    </row>
    <row r="80" spans="1:9" ht="13.8" x14ac:dyDescent="0.3">
      <c r="A80" s="22"/>
      <c r="B80" s="22"/>
      <c r="C80" s="22"/>
      <c r="D80" s="22"/>
      <c r="E80" s="22"/>
      <c r="F80" s="23"/>
      <c r="G80" s="22"/>
      <c r="H80" s="22"/>
      <c r="I80" s="23"/>
    </row>
    <row r="81" spans="1:9" ht="13.8" x14ac:dyDescent="0.3">
      <c r="A81" s="22"/>
      <c r="B81" s="22"/>
      <c r="C81" s="22"/>
      <c r="D81" s="22"/>
      <c r="E81" s="22"/>
      <c r="F81" s="23"/>
      <c r="G81" s="22"/>
      <c r="H81" s="22"/>
      <c r="I81" s="23"/>
    </row>
    <row r="82" spans="1:9" ht="13.8" x14ac:dyDescent="0.3">
      <c r="A82" s="22"/>
      <c r="B82" s="22"/>
      <c r="C82" s="22"/>
      <c r="D82" s="22"/>
      <c r="E82" s="22"/>
      <c r="F82" s="23"/>
      <c r="G82" s="22"/>
      <c r="H82" s="22"/>
      <c r="I82" s="23"/>
    </row>
    <row r="83" spans="1:9" ht="13.8" x14ac:dyDescent="0.3">
      <c r="A83" s="22"/>
      <c r="B83" s="22"/>
      <c r="C83" s="22"/>
      <c r="D83" s="22"/>
      <c r="E83" s="22"/>
      <c r="F83" s="23"/>
      <c r="G83" s="22"/>
      <c r="H83" s="22"/>
      <c r="I83" s="23"/>
    </row>
    <row r="84" spans="1:9" ht="13.8" x14ac:dyDescent="0.3">
      <c r="A84" s="22"/>
      <c r="B84" s="22"/>
      <c r="C84" s="22"/>
      <c r="D84" s="22"/>
      <c r="E84" s="22"/>
      <c r="F84" s="23"/>
      <c r="G84" s="22"/>
      <c r="H84" s="22"/>
      <c r="I84" s="23"/>
    </row>
    <row r="85" spans="1:9" ht="13.8" x14ac:dyDescent="0.3">
      <c r="A85" s="22"/>
      <c r="B85" s="22"/>
      <c r="C85" s="22"/>
      <c r="D85" s="22"/>
      <c r="E85" s="22"/>
      <c r="F85" s="23"/>
      <c r="G85" s="22"/>
      <c r="H85" s="22"/>
      <c r="I85" s="23"/>
    </row>
    <row r="86" spans="1:9" ht="13.8" x14ac:dyDescent="0.3">
      <c r="A86" s="22"/>
      <c r="B86" s="22"/>
      <c r="C86" s="22"/>
      <c r="D86" s="22"/>
      <c r="E86" s="22"/>
      <c r="F86" s="23"/>
      <c r="G86" s="22"/>
      <c r="H86" s="22"/>
      <c r="I86" s="23"/>
    </row>
    <row r="87" spans="1:9" ht="13.8" x14ac:dyDescent="0.3">
      <c r="A87" s="22"/>
      <c r="B87" s="22"/>
      <c r="C87" s="22"/>
      <c r="D87" s="22"/>
      <c r="E87" s="22"/>
      <c r="F87" s="23"/>
      <c r="G87" s="22"/>
      <c r="H87" s="22"/>
      <c r="I87" s="23"/>
    </row>
    <row r="88" spans="1:9" ht="13.8" x14ac:dyDescent="0.3">
      <c r="A88" s="22"/>
      <c r="B88" s="22"/>
      <c r="C88" s="22"/>
      <c r="D88" s="22"/>
      <c r="E88" s="22"/>
      <c r="F88" s="23"/>
      <c r="G88" s="22"/>
      <c r="H88" s="22"/>
      <c r="I88" s="23"/>
    </row>
    <row r="89" spans="1:9" ht="13.8" x14ac:dyDescent="0.3">
      <c r="A89" s="22"/>
      <c r="B89" s="22"/>
      <c r="C89" s="22"/>
      <c r="D89" s="22"/>
      <c r="E89" s="22"/>
      <c r="F89" s="23"/>
      <c r="G89" s="22"/>
      <c r="H89" s="22"/>
      <c r="I89" s="23"/>
    </row>
    <row r="90" spans="1:9" ht="13.8" x14ac:dyDescent="0.3">
      <c r="A90" s="22"/>
      <c r="B90" s="22"/>
      <c r="C90" s="22"/>
      <c r="D90" s="22"/>
      <c r="E90" s="22"/>
      <c r="F90" s="23"/>
      <c r="G90" s="22"/>
      <c r="H90" s="22"/>
      <c r="I90" s="23"/>
    </row>
    <row r="91" spans="1:9" ht="13.8" x14ac:dyDescent="0.3">
      <c r="A91" s="22"/>
      <c r="B91" s="22"/>
      <c r="C91" s="22"/>
      <c r="D91" s="22"/>
      <c r="E91" s="22"/>
      <c r="F91" s="23"/>
      <c r="G91" s="22"/>
      <c r="H91" s="22"/>
      <c r="I91" s="23"/>
    </row>
    <row r="92" spans="1:9" ht="13.8" x14ac:dyDescent="0.3">
      <c r="A92" s="22"/>
      <c r="B92" s="22"/>
      <c r="C92" s="22"/>
      <c r="D92" s="22"/>
      <c r="E92" s="22"/>
      <c r="F92" s="23"/>
      <c r="G92" s="22"/>
      <c r="H92" s="22"/>
      <c r="I92" s="23"/>
    </row>
    <row r="93" spans="1:9" ht="13.8" x14ac:dyDescent="0.3">
      <c r="A93" s="22"/>
      <c r="B93" s="22"/>
      <c r="C93" s="22"/>
      <c r="D93" s="22"/>
      <c r="E93" s="22"/>
      <c r="F93" s="23"/>
      <c r="G93" s="22"/>
      <c r="H93" s="22"/>
      <c r="I93" s="23"/>
    </row>
    <row r="94" spans="1:9" ht="13.8" x14ac:dyDescent="0.3">
      <c r="A94" s="22"/>
      <c r="B94" s="22"/>
      <c r="C94" s="22"/>
      <c r="D94" s="22"/>
      <c r="E94" s="22"/>
      <c r="F94" s="23"/>
      <c r="G94" s="22"/>
      <c r="H94" s="22"/>
      <c r="I94" s="23"/>
    </row>
    <row r="95" spans="1:9" ht="13.8" x14ac:dyDescent="0.3">
      <c r="A95" s="22"/>
      <c r="B95" s="22"/>
      <c r="C95" s="22"/>
      <c r="D95" s="22"/>
      <c r="E95" s="22"/>
      <c r="F95" s="23"/>
      <c r="G95" s="22"/>
      <c r="H95" s="22"/>
      <c r="I95" s="23"/>
    </row>
    <row r="96" spans="1:9" ht="13.8" x14ac:dyDescent="0.3">
      <c r="A96" s="22"/>
      <c r="B96" s="22"/>
      <c r="C96" s="22"/>
      <c r="D96" s="22"/>
      <c r="E96" s="22"/>
      <c r="F96" s="23"/>
      <c r="G96" s="22"/>
      <c r="H96" s="22"/>
      <c r="I96" s="23"/>
    </row>
    <row r="97" spans="1:9" ht="13.8" x14ac:dyDescent="0.3">
      <c r="A97" s="22"/>
      <c r="B97" s="22"/>
      <c r="C97" s="22"/>
      <c r="D97" s="22"/>
      <c r="E97" s="22"/>
      <c r="F97" s="23"/>
      <c r="G97" s="22"/>
      <c r="H97" s="22"/>
      <c r="I97" s="23"/>
    </row>
    <row r="98" spans="1:9" ht="13.8" x14ac:dyDescent="0.3">
      <c r="A98" s="22"/>
      <c r="B98" s="22"/>
      <c r="C98" s="22"/>
      <c r="D98" s="22"/>
      <c r="E98" s="22"/>
      <c r="F98" s="23"/>
      <c r="G98" s="22"/>
      <c r="H98" s="22"/>
      <c r="I98" s="23"/>
    </row>
    <row r="99" spans="1:9" ht="13.8" x14ac:dyDescent="0.3">
      <c r="A99" s="22"/>
      <c r="B99" s="22"/>
      <c r="C99" s="22"/>
      <c r="D99" s="22"/>
      <c r="E99" s="22"/>
      <c r="F99" s="23"/>
      <c r="G99" s="22"/>
      <c r="H99" s="22"/>
      <c r="I99" s="23"/>
    </row>
    <row r="100" spans="1:9" ht="13.8" x14ac:dyDescent="0.3">
      <c r="A100" s="22"/>
      <c r="B100" s="22"/>
      <c r="C100" s="22"/>
      <c r="D100" s="22"/>
      <c r="E100" s="22"/>
      <c r="F100" s="23"/>
      <c r="G100" s="22"/>
      <c r="H100" s="22"/>
      <c r="I100" s="23"/>
    </row>
    <row r="101" spans="1:9" ht="13.8" x14ac:dyDescent="0.3">
      <c r="A101" s="22"/>
      <c r="B101" s="22"/>
      <c r="C101" s="22"/>
      <c r="D101" s="22"/>
      <c r="E101" s="22"/>
      <c r="F101" s="23"/>
      <c r="G101" s="22"/>
      <c r="H101" s="22"/>
      <c r="I101" s="23"/>
    </row>
    <row r="102" spans="1:9" ht="13.8" x14ac:dyDescent="0.3">
      <c r="A102" s="22"/>
      <c r="B102" s="22"/>
      <c r="C102" s="22"/>
      <c r="D102" s="22"/>
      <c r="E102" s="22"/>
      <c r="F102" s="23"/>
      <c r="G102" s="22"/>
      <c r="H102" s="22"/>
      <c r="I102" s="23"/>
    </row>
    <row r="103" spans="1:9" ht="13.8" x14ac:dyDescent="0.3">
      <c r="A103" s="22"/>
      <c r="B103" s="22"/>
      <c r="C103" s="22"/>
      <c r="D103" s="22"/>
      <c r="E103" s="22"/>
      <c r="F103" s="23"/>
      <c r="G103" s="22"/>
      <c r="H103" s="22"/>
      <c r="I103" s="23"/>
    </row>
    <row r="104" spans="1:9" ht="13.8" x14ac:dyDescent="0.3">
      <c r="A104" s="22"/>
      <c r="B104" s="22"/>
      <c r="C104" s="22"/>
      <c r="D104" s="22"/>
      <c r="E104" s="22"/>
      <c r="F104" s="23"/>
      <c r="G104" s="22"/>
      <c r="H104" s="22"/>
      <c r="I104" s="23"/>
    </row>
    <row r="105" spans="1:9" ht="13.8" x14ac:dyDescent="0.3">
      <c r="A105" s="22"/>
      <c r="B105" s="22"/>
      <c r="C105" s="22"/>
      <c r="D105" s="22"/>
      <c r="E105" s="22"/>
      <c r="F105" s="23"/>
      <c r="G105" s="22"/>
      <c r="H105" s="22"/>
      <c r="I105" s="23"/>
    </row>
    <row r="106" spans="1:9" ht="13.8" x14ac:dyDescent="0.3">
      <c r="A106" s="22"/>
      <c r="B106" s="22"/>
      <c r="C106" s="22"/>
      <c r="D106" s="22"/>
      <c r="E106" s="22"/>
      <c r="F106" s="23"/>
      <c r="G106" s="22"/>
      <c r="H106" s="22"/>
      <c r="I106" s="23"/>
    </row>
    <row r="107" spans="1:9" ht="13.8" x14ac:dyDescent="0.3">
      <c r="A107" s="22"/>
      <c r="B107" s="22"/>
      <c r="C107" s="22"/>
      <c r="D107" s="22"/>
      <c r="E107" s="22"/>
      <c r="F107" s="23"/>
      <c r="G107" s="22"/>
      <c r="H107" s="22"/>
      <c r="I107" s="23"/>
    </row>
    <row r="108" spans="1:9" ht="13.8" x14ac:dyDescent="0.3">
      <c r="A108" s="22"/>
      <c r="B108" s="22"/>
      <c r="C108" s="22"/>
      <c r="D108" s="22"/>
      <c r="E108" s="22"/>
      <c r="F108" s="23"/>
      <c r="G108" s="22"/>
      <c r="H108" s="22"/>
      <c r="I108" s="23"/>
    </row>
    <row r="109" spans="1:9" ht="13.8" x14ac:dyDescent="0.3">
      <c r="A109" s="22"/>
      <c r="B109" s="22"/>
      <c r="C109" s="22"/>
      <c r="D109" s="22"/>
      <c r="E109" s="22"/>
      <c r="F109" s="23"/>
      <c r="G109" s="22"/>
      <c r="H109" s="22"/>
      <c r="I109" s="23"/>
    </row>
    <row r="110" spans="1:9" ht="13.8" x14ac:dyDescent="0.3">
      <c r="A110" s="22"/>
      <c r="B110" s="22"/>
      <c r="C110" s="22"/>
      <c r="D110" s="22"/>
      <c r="E110" s="22"/>
      <c r="F110" s="23"/>
      <c r="G110" s="22"/>
      <c r="H110" s="22"/>
      <c r="I110" s="23"/>
    </row>
    <row r="111" spans="1:9" ht="13.8" x14ac:dyDescent="0.3">
      <c r="A111" s="22"/>
      <c r="B111" s="22"/>
      <c r="C111" s="22"/>
      <c r="D111" s="22"/>
      <c r="E111" s="22"/>
      <c r="F111" s="23"/>
      <c r="G111" s="22"/>
      <c r="H111" s="22"/>
      <c r="I111" s="23"/>
    </row>
    <row r="112" spans="1:9" ht="13.8" x14ac:dyDescent="0.3">
      <c r="A112" s="22"/>
      <c r="B112" s="22"/>
      <c r="C112" s="22"/>
      <c r="D112" s="22"/>
      <c r="E112" s="22"/>
      <c r="F112" s="23"/>
      <c r="G112" s="22"/>
      <c r="H112" s="22"/>
      <c r="I112" s="23"/>
    </row>
    <row r="113" spans="1:9" ht="13.8" x14ac:dyDescent="0.3">
      <c r="A113" s="22"/>
      <c r="B113" s="22"/>
      <c r="C113" s="22"/>
      <c r="D113" s="22"/>
      <c r="E113" s="22"/>
      <c r="F113" s="23"/>
      <c r="G113" s="22"/>
      <c r="H113" s="22"/>
      <c r="I113" s="23"/>
    </row>
    <row r="114" spans="1:9" ht="13.8" x14ac:dyDescent="0.3">
      <c r="A114" s="22"/>
      <c r="B114" s="22"/>
      <c r="C114" s="22"/>
      <c r="D114" s="22"/>
      <c r="E114" s="22"/>
      <c r="F114" s="23"/>
      <c r="G114" s="22"/>
      <c r="H114" s="22"/>
      <c r="I114" s="23"/>
    </row>
    <row r="115" spans="1:9" ht="13.8" x14ac:dyDescent="0.3">
      <c r="A115" s="22"/>
      <c r="B115" s="22"/>
      <c r="C115" s="22"/>
      <c r="D115" s="22"/>
      <c r="E115" s="22"/>
      <c r="F115" s="23"/>
      <c r="G115" s="22"/>
      <c r="H115" s="22"/>
      <c r="I115" s="23"/>
    </row>
    <row r="116" spans="1:9" ht="13.8" x14ac:dyDescent="0.3">
      <c r="A116" s="22"/>
      <c r="B116" s="22"/>
      <c r="C116" s="22"/>
      <c r="D116" s="22"/>
      <c r="E116" s="22"/>
      <c r="F116" s="23"/>
      <c r="G116" s="22"/>
      <c r="H116" s="22"/>
      <c r="I116" s="23"/>
    </row>
    <row r="117" spans="1:9" ht="13.8" x14ac:dyDescent="0.3">
      <c r="A117" s="22"/>
      <c r="B117" s="22"/>
      <c r="C117" s="22"/>
      <c r="D117" s="22"/>
      <c r="E117" s="22"/>
      <c r="F117" s="23"/>
      <c r="G117" s="22"/>
      <c r="H117" s="22"/>
      <c r="I117" s="23"/>
    </row>
    <row r="118" spans="1:9" ht="13.8" x14ac:dyDescent="0.3">
      <c r="A118" s="22"/>
      <c r="B118" s="22"/>
      <c r="C118" s="22"/>
      <c r="D118" s="22"/>
      <c r="E118" s="22"/>
      <c r="F118" s="23"/>
      <c r="G118" s="22"/>
      <c r="H118" s="22"/>
      <c r="I118" s="23"/>
    </row>
    <row r="119" spans="1:9" ht="13.8" x14ac:dyDescent="0.3">
      <c r="A119" s="22"/>
      <c r="B119" s="22"/>
      <c r="C119" s="22"/>
      <c r="D119" s="22"/>
      <c r="E119" s="22"/>
      <c r="F119" s="23"/>
      <c r="G119" s="22"/>
      <c r="H119" s="22"/>
      <c r="I119" s="23"/>
    </row>
    <row r="120" spans="1:9" ht="13.8" x14ac:dyDescent="0.3">
      <c r="A120" s="22"/>
      <c r="B120" s="22"/>
      <c r="C120" s="22"/>
      <c r="D120" s="22"/>
      <c r="E120" s="22"/>
      <c r="F120" s="23"/>
      <c r="G120" s="22"/>
      <c r="H120" s="22"/>
      <c r="I120" s="23"/>
    </row>
    <row r="121" spans="1:9" ht="13.8" x14ac:dyDescent="0.3">
      <c r="A121" s="22"/>
      <c r="B121" s="22"/>
      <c r="C121" s="22"/>
      <c r="D121" s="22"/>
      <c r="E121" s="22"/>
      <c r="F121" s="23"/>
      <c r="G121" s="22"/>
      <c r="H121" s="22"/>
      <c r="I121" s="23"/>
    </row>
    <row r="122" spans="1:9" ht="13.8" x14ac:dyDescent="0.3">
      <c r="A122" s="22"/>
      <c r="B122" s="22"/>
      <c r="C122" s="22"/>
      <c r="D122" s="22"/>
      <c r="E122" s="22"/>
      <c r="F122" s="23"/>
      <c r="G122" s="22"/>
      <c r="H122" s="22"/>
      <c r="I122" s="23"/>
    </row>
    <row r="123" spans="1:9" ht="13.8" x14ac:dyDescent="0.3">
      <c r="A123" s="22"/>
      <c r="B123" s="22"/>
      <c r="C123" s="22"/>
      <c r="D123" s="22"/>
      <c r="E123" s="22"/>
      <c r="F123" s="23"/>
      <c r="G123" s="22"/>
      <c r="H123" s="22"/>
      <c r="I123" s="23"/>
    </row>
    <row r="124" spans="1:9" ht="13.8" x14ac:dyDescent="0.3">
      <c r="A124" s="22"/>
      <c r="B124" s="22"/>
      <c r="C124" s="22"/>
      <c r="D124" s="22"/>
      <c r="E124" s="22"/>
      <c r="F124" s="23"/>
      <c r="G124" s="22"/>
      <c r="H124" s="22"/>
      <c r="I124" s="23"/>
    </row>
    <row r="125" spans="1:9" ht="13.8" x14ac:dyDescent="0.3">
      <c r="A125" s="22"/>
      <c r="B125" s="22"/>
      <c r="C125" s="22"/>
      <c r="D125" s="22"/>
      <c r="E125" s="22"/>
      <c r="F125" s="23"/>
      <c r="G125" s="22"/>
      <c r="H125" s="22"/>
      <c r="I125" s="23"/>
    </row>
    <row r="126" spans="1:9" ht="13.8" x14ac:dyDescent="0.3">
      <c r="A126" s="22"/>
      <c r="B126" s="22"/>
      <c r="C126" s="22"/>
      <c r="D126" s="22"/>
      <c r="E126" s="22"/>
      <c r="F126" s="23"/>
      <c r="G126" s="22"/>
      <c r="H126" s="22"/>
      <c r="I126" s="23"/>
    </row>
    <row r="127" spans="1:9" ht="13.8" x14ac:dyDescent="0.3">
      <c r="A127" s="22"/>
      <c r="B127" s="22"/>
      <c r="C127" s="22"/>
      <c r="D127" s="22"/>
      <c r="E127" s="22"/>
      <c r="F127" s="23"/>
      <c r="G127" s="22"/>
      <c r="H127" s="22"/>
      <c r="I127" s="23"/>
    </row>
    <row r="128" spans="1:9" ht="13.8" x14ac:dyDescent="0.3">
      <c r="A128" s="22"/>
      <c r="B128" s="22"/>
      <c r="C128" s="22"/>
      <c r="D128" s="22"/>
      <c r="E128" s="22"/>
      <c r="F128" s="23"/>
      <c r="G128" s="22"/>
      <c r="H128" s="22"/>
      <c r="I128" s="23"/>
    </row>
    <row r="129" spans="1:9" ht="13.8" x14ac:dyDescent="0.3">
      <c r="A129" s="22"/>
      <c r="B129" s="22"/>
      <c r="C129" s="22"/>
      <c r="D129" s="22"/>
      <c r="E129" s="22"/>
      <c r="F129" s="23"/>
      <c r="G129" s="22"/>
      <c r="H129" s="22"/>
      <c r="I129" s="23"/>
    </row>
    <row r="130" spans="1:9" ht="13.8" x14ac:dyDescent="0.3">
      <c r="A130" s="22"/>
      <c r="B130" s="22"/>
      <c r="C130" s="22"/>
      <c r="D130" s="22"/>
      <c r="E130" s="22"/>
      <c r="F130" s="23"/>
      <c r="G130" s="22"/>
      <c r="H130" s="22"/>
      <c r="I130" s="23"/>
    </row>
    <row r="131" spans="1:9" ht="13.8" x14ac:dyDescent="0.3">
      <c r="A131" s="22"/>
      <c r="B131" s="22"/>
      <c r="C131" s="22"/>
      <c r="D131" s="22"/>
      <c r="E131" s="22"/>
      <c r="F131" s="23"/>
      <c r="G131" s="22"/>
      <c r="H131" s="22"/>
      <c r="I131" s="23"/>
    </row>
    <row r="132" spans="1:9" ht="13.8" x14ac:dyDescent="0.3">
      <c r="A132" s="22"/>
      <c r="B132" s="22"/>
      <c r="C132" s="22"/>
      <c r="D132" s="22"/>
      <c r="E132" s="22"/>
      <c r="F132" s="23"/>
      <c r="G132" s="22"/>
      <c r="H132" s="22"/>
      <c r="I132" s="23"/>
    </row>
    <row r="133" spans="1:9" ht="13.8" x14ac:dyDescent="0.3">
      <c r="A133" s="22"/>
      <c r="B133" s="22"/>
      <c r="C133" s="22"/>
      <c r="D133" s="22"/>
      <c r="E133" s="22"/>
      <c r="F133" s="23"/>
      <c r="G133" s="22"/>
      <c r="H133" s="22"/>
      <c r="I133" s="23"/>
    </row>
    <row r="134" spans="1:9" ht="13.8" x14ac:dyDescent="0.3">
      <c r="A134" s="22"/>
      <c r="B134" s="22"/>
      <c r="C134" s="22"/>
      <c r="D134" s="22"/>
      <c r="E134" s="22"/>
      <c r="F134" s="23"/>
      <c r="G134" s="22"/>
      <c r="H134" s="22"/>
      <c r="I134" s="23"/>
    </row>
    <row r="135" spans="1:9" ht="13.8" x14ac:dyDescent="0.3">
      <c r="A135" s="22"/>
      <c r="B135" s="22"/>
      <c r="C135" s="22"/>
      <c r="D135" s="22"/>
      <c r="E135" s="22"/>
      <c r="F135" s="23"/>
      <c r="G135" s="22"/>
      <c r="H135" s="22"/>
      <c r="I135" s="23"/>
    </row>
    <row r="136" spans="1:9" ht="13.8" x14ac:dyDescent="0.3">
      <c r="A136" s="22"/>
      <c r="B136" s="22"/>
      <c r="C136" s="22"/>
      <c r="D136" s="22"/>
      <c r="E136" s="22"/>
      <c r="F136" s="23"/>
      <c r="G136" s="22"/>
      <c r="H136" s="22"/>
      <c r="I136" s="23"/>
    </row>
    <row r="137" spans="1:9" ht="13.8" x14ac:dyDescent="0.3">
      <c r="A137" s="22"/>
      <c r="B137" s="22"/>
      <c r="C137" s="22"/>
      <c r="D137" s="22"/>
      <c r="E137" s="22"/>
      <c r="F137" s="23"/>
      <c r="G137" s="22"/>
      <c r="H137" s="22"/>
      <c r="I137" s="23"/>
    </row>
    <row r="138" spans="1:9" ht="13.8" x14ac:dyDescent="0.3">
      <c r="A138" s="22"/>
      <c r="B138" s="22"/>
      <c r="C138" s="22"/>
      <c r="D138" s="22"/>
      <c r="E138" s="22"/>
      <c r="F138" s="23"/>
      <c r="G138" s="22"/>
      <c r="H138" s="22"/>
      <c r="I138" s="23"/>
    </row>
    <row r="139" spans="1:9" ht="13.8" x14ac:dyDescent="0.3">
      <c r="A139" s="22"/>
      <c r="B139" s="22"/>
      <c r="C139" s="22"/>
      <c r="D139" s="22"/>
      <c r="E139" s="22"/>
      <c r="F139" s="23"/>
      <c r="G139" s="22"/>
      <c r="H139" s="22"/>
      <c r="I139" s="23"/>
    </row>
    <row r="140" spans="1:9" ht="13.8" x14ac:dyDescent="0.3">
      <c r="A140" s="22"/>
      <c r="B140" s="22"/>
      <c r="C140" s="22"/>
      <c r="D140" s="22"/>
      <c r="E140" s="22"/>
      <c r="F140" s="23"/>
      <c r="G140" s="22"/>
      <c r="H140" s="22"/>
      <c r="I140" s="23"/>
    </row>
    <row r="141" spans="1:9" ht="13.8" x14ac:dyDescent="0.3">
      <c r="A141" s="22"/>
      <c r="B141" s="22"/>
      <c r="C141" s="22"/>
      <c r="D141" s="22"/>
      <c r="E141" s="22"/>
      <c r="F141" s="23"/>
      <c r="G141" s="22"/>
      <c r="H141" s="22"/>
      <c r="I141" s="23"/>
    </row>
    <row r="142" spans="1:9" ht="13.8" x14ac:dyDescent="0.3">
      <c r="A142" s="22"/>
      <c r="B142" s="22"/>
      <c r="C142" s="22"/>
      <c r="D142" s="22"/>
      <c r="E142" s="22"/>
      <c r="F142" s="23"/>
      <c r="G142" s="22"/>
      <c r="H142" s="22"/>
      <c r="I142" s="23"/>
    </row>
    <row r="143" spans="1:9" ht="13.8" x14ac:dyDescent="0.3">
      <c r="A143" s="22"/>
      <c r="B143" s="22"/>
      <c r="C143" s="22"/>
      <c r="D143" s="22"/>
      <c r="E143" s="22"/>
      <c r="F143" s="23"/>
      <c r="G143" s="22"/>
      <c r="H143" s="22"/>
      <c r="I143" s="23"/>
    </row>
    <row r="144" spans="1:9" ht="13.8" x14ac:dyDescent="0.3">
      <c r="A144" s="22"/>
      <c r="B144" s="22"/>
      <c r="C144" s="22"/>
      <c r="D144" s="22"/>
      <c r="E144" s="22"/>
      <c r="F144" s="23"/>
      <c r="G144" s="22"/>
      <c r="H144" s="22"/>
      <c r="I144" s="23"/>
    </row>
    <row r="145" spans="1:9" ht="13.8" x14ac:dyDescent="0.3">
      <c r="A145" s="22"/>
      <c r="B145" s="22"/>
      <c r="C145" s="22"/>
      <c r="D145" s="22"/>
      <c r="E145" s="22"/>
      <c r="F145" s="23"/>
      <c r="G145" s="22"/>
      <c r="H145" s="22"/>
      <c r="I145" s="23"/>
    </row>
    <row r="146" spans="1:9" ht="13.8" x14ac:dyDescent="0.3">
      <c r="A146" s="22"/>
      <c r="B146" s="22"/>
      <c r="C146" s="22"/>
      <c r="D146" s="22"/>
      <c r="E146" s="22"/>
      <c r="F146" s="23"/>
      <c r="G146" s="22"/>
      <c r="H146" s="22"/>
      <c r="I146" s="23"/>
    </row>
    <row r="147" spans="1:9" ht="13.8" x14ac:dyDescent="0.3">
      <c r="A147" s="22"/>
      <c r="B147" s="22"/>
      <c r="C147" s="22"/>
      <c r="D147" s="22"/>
      <c r="E147" s="22"/>
      <c r="F147" s="23"/>
      <c r="G147" s="22"/>
      <c r="H147" s="22"/>
      <c r="I147" s="23"/>
    </row>
    <row r="148" spans="1:9" ht="13.8" x14ac:dyDescent="0.3">
      <c r="A148" s="22"/>
      <c r="B148" s="22"/>
      <c r="C148" s="22"/>
      <c r="D148" s="22"/>
      <c r="E148" s="22"/>
      <c r="F148" s="23"/>
      <c r="G148" s="22"/>
      <c r="H148" s="22"/>
      <c r="I148" s="23"/>
    </row>
    <row r="149" spans="1:9" ht="13.8" x14ac:dyDescent="0.3">
      <c r="A149" s="22"/>
      <c r="B149" s="22"/>
      <c r="C149" s="22"/>
      <c r="D149" s="22"/>
      <c r="E149" s="22"/>
      <c r="F149" s="23"/>
      <c r="G149" s="22"/>
      <c r="H149" s="22"/>
      <c r="I149" s="23"/>
    </row>
    <row r="150" spans="1:9" ht="13.8" x14ac:dyDescent="0.3">
      <c r="A150" s="22"/>
      <c r="B150" s="22"/>
      <c r="C150" s="22"/>
      <c r="D150" s="22"/>
      <c r="E150" s="22"/>
      <c r="F150" s="23"/>
      <c r="G150" s="22"/>
      <c r="H150" s="22"/>
      <c r="I150" s="23"/>
    </row>
    <row r="151" spans="1:9" ht="13.8" x14ac:dyDescent="0.3">
      <c r="A151" s="22"/>
      <c r="B151" s="22"/>
      <c r="C151" s="22"/>
      <c r="D151" s="22"/>
      <c r="E151" s="22"/>
      <c r="F151" s="23"/>
      <c r="G151" s="22"/>
      <c r="H151" s="22"/>
      <c r="I151" s="23"/>
    </row>
    <row r="152" spans="1:9" ht="13.8" x14ac:dyDescent="0.3">
      <c r="A152" s="22"/>
      <c r="B152" s="22"/>
      <c r="C152" s="22"/>
      <c r="D152" s="22"/>
      <c r="E152" s="22"/>
      <c r="F152" s="23"/>
      <c r="G152" s="22"/>
      <c r="H152" s="22"/>
      <c r="I152" s="23"/>
    </row>
    <row r="153" spans="1:9" ht="13.8" x14ac:dyDescent="0.3">
      <c r="A153" s="22"/>
      <c r="B153" s="22"/>
      <c r="C153" s="22"/>
      <c r="D153" s="22"/>
      <c r="E153" s="22"/>
      <c r="F153" s="23"/>
      <c r="G153" s="22"/>
      <c r="H153" s="22"/>
      <c r="I153" s="23"/>
    </row>
    <row r="154" spans="1:9" ht="13.8" x14ac:dyDescent="0.3">
      <c r="A154" s="22"/>
      <c r="B154" s="22"/>
      <c r="C154" s="22"/>
      <c r="D154" s="22"/>
      <c r="E154" s="22"/>
      <c r="F154" s="23"/>
      <c r="G154" s="22"/>
      <c r="H154" s="22"/>
      <c r="I154" s="23"/>
    </row>
    <row r="155" spans="1:9" ht="13.8" x14ac:dyDescent="0.3">
      <c r="A155" s="22"/>
      <c r="B155" s="22"/>
      <c r="C155" s="22"/>
      <c r="D155" s="22"/>
      <c r="E155" s="22"/>
      <c r="F155" s="23"/>
      <c r="G155" s="22"/>
      <c r="H155" s="22"/>
      <c r="I155" s="23"/>
    </row>
    <row r="156" spans="1:9" ht="13.8" x14ac:dyDescent="0.3">
      <c r="A156" s="22"/>
      <c r="B156" s="22"/>
      <c r="C156" s="22"/>
      <c r="D156" s="22"/>
      <c r="E156" s="22"/>
      <c r="F156" s="23"/>
      <c r="G156" s="22"/>
      <c r="H156" s="22"/>
      <c r="I156" s="23"/>
    </row>
    <row r="157" spans="1:9" ht="13.8" x14ac:dyDescent="0.3">
      <c r="A157" s="22"/>
      <c r="B157" s="22"/>
      <c r="C157" s="22"/>
      <c r="D157" s="22"/>
      <c r="E157" s="22"/>
      <c r="F157" s="23"/>
      <c r="G157" s="22"/>
      <c r="H157" s="22"/>
      <c r="I157" s="23"/>
    </row>
    <row r="158" spans="1:9" ht="13.8" x14ac:dyDescent="0.3">
      <c r="A158" s="22"/>
      <c r="B158" s="22"/>
      <c r="C158" s="22"/>
      <c r="D158" s="22"/>
      <c r="E158" s="22"/>
      <c r="F158" s="23"/>
      <c r="G158" s="22"/>
      <c r="H158" s="22"/>
      <c r="I158" s="23"/>
    </row>
    <row r="159" spans="1:9" ht="13.8" x14ac:dyDescent="0.3">
      <c r="A159" s="22"/>
      <c r="B159" s="22"/>
      <c r="C159" s="22"/>
      <c r="D159" s="22"/>
      <c r="E159" s="22"/>
      <c r="F159" s="23"/>
      <c r="G159" s="22"/>
      <c r="H159" s="22"/>
      <c r="I159" s="23"/>
    </row>
    <row r="160" spans="1:9" ht="13.8" x14ac:dyDescent="0.3">
      <c r="A160" s="22"/>
      <c r="B160" s="22"/>
      <c r="C160" s="22"/>
      <c r="D160" s="22"/>
      <c r="E160" s="22"/>
      <c r="F160" s="23"/>
      <c r="G160" s="22"/>
      <c r="H160" s="22"/>
      <c r="I160" s="23"/>
    </row>
    <row r="161" spans="1:9" ht="13.8" x14ac:dyDescent="0.3">
      <c r="A161" s="22"/>
      <c r="B161" s="22"/>
      <c r="C161" s="22"/>
      <c r="D161" s="22"/>
      <c r="E161" s="22"/>
      <c r="F161" s="23"/>
      <c r="G161" s="22"/>
      <c r="H161" s="22"/>
      <c r="I161" s="23"/>
    </row>
    <row r="162" spans="1:9" ht="13.8" x14ac:dyDescent="0.3">
      <c r="A162" s="22"/>
      <c r="B162" s="22"/>
      <c r="C162" s="22"/>
      <c r="D162" s="22"/>
      <c r="E162" s="22"/>
      <c r="F162" s="23"/>
      <c r="G162" s="22"/>
      <c r="H162" s="22"/>
      <c r="I162" s="23"/>
    </row>
    <row r="163" spans="1:9" ht="13.8" x14ac:dyDescent="0.3">
      <c r="A163" s="22"/>
      <c r="B163" s="22"/>
      <c r="C163" s="22"/>
      <c r="D163" s="22"/>
      <c r="E163" s="22"/>
      <c r="F163" s="23"/>
      <c r="G163" s="22"/>
      <c r="H163" s="22"/>
      <c r="I163" s="23"/>
    </row>
    <row r="164" spans="1:9" ht="13.8" x14ac:dyDescent="0.3">
      <c r="A164" s="22"/>
      <c r="B164" s="22"/>
      <c r="C164" s="22"/>
      <c r="D164" s="22"/>
      <c r="E164" s="22"/>
      <c r="F164" s="23"/>
      <c r="G164" s="22"/>
      <c r="H164" s="22"/>
      <c r="I164" s="23"/>
    </row>
    <row r="165" spans="1:9" ht="13.8" x14ac:dyDescent="0.3">
      <c r="A165" s="22"/>
      <c r="B165" s="22"/>
      <c r="C165" s="22"/>
      <c r="D165" s="22"/>
      <c r="E165" s="22"/>
      <c r="F165" s="23"/>
      <c r="G165" s="22"/>
      <c r="H165" s="22"/>
      <c r="I165" s="23"/>
    </row>
    <row r="166" spans="1:9" ht="13.8" x14ac:dyDescent="0.3">
      <c r="A166" s="22"/>
      <c r="B166" s="22"/>
      <c r="C166" s="22"/>
      <c r="D166" s="22"/>
      <c r="E166" s="22"/>
      <c r="F166" s="23"/>
      <c r="G166" s="22"/>
      <c r="H166" s="22"/>
      <c r="I166" s="23"/>
    </row>
    <row r="167" spans="1:9" ht="13.8" x14ac:dyDescent="0.3">
      <c r="A167" s="22"/>
      <c r="B167" s="22"/>
      <c r="C167" s="22"/>
      <c r="D167" s="22"/>
      <c r="E167" s="22"/>
      <c r="F167" s="23"/>
      <c r="G167" s="22"/>
      <c r="H167" s="22"/>
      <c r="I167" s="23"/>
    </row>
    <row r="168" spans="1:9" ht="13.8" x14ac:dyDescent="0.3">
      <c r="A168" s="22"/>
      <c r="B168" s="22"/>
      <c r="C168" s="22"/>
      <c r="D168" s="22"/>
      <c r="E168" s="22"/>
      <c r="F168" s="23"/>
      <c r="G168" s="22"/>
      <c r="H168" s="22"/>
      <c r="I168" s="23"/>
    </row>
    <row r="169" spans="1:9" ht="13.8" x14ac:dyDescent="0.3">
      <c r="A169" s="22"/>
      <c r="B169" s="22"/>
      <c r="C169" s="22"/>
      <c r="D169" s="22"/>
      <c r="E169" s="22"/>
      <c r="F169" s="23"/>
      <c r="G169" s="22"/>
      <c r="H169" s="22"/>
      <c r="I169" s="23"/>
    </row>
    <row r="170" spans="1:9" ht="13.8" x14ac:dyDescent="0.3">
      <c r="A170" s="22"/>
      <c r="B170" s="22"/>
      <c r="C170" s="22"/>
      <c r="D170" s="22"/>
      <c r="E170" s="22"/>
      <c r="F170" s="23"/>
      <c r="G170" s="22"/>
      <c r="H170" s="22"/>
      <c r="I170" s="23"/>
    </row>
    <row r="171" spans="1:9" ht="13.8" x14ac:dyDescent="0.3">
      <c r="A171" s="22"/>
      <c r="B171" s="22"/>
      <c r="C171" s="22"/>
      <c r="D171" s="22"/>
      <c r="E171" s="22"/>
      <c r="F171" s="23"/>
      <c r="G171" s="22"/>
      <c r="H171" s="22"/>
      <c r="I171" s="23"/>
    </row>
    <row r="172" spans="1:9" ht="13.8" x14ac:dyDescent="0.3">
      <c r="A172" s="22"/>
      <c r="B172" s="22"/>
      <c r="C172" s="22"/>
      <c r="D172" s="22"/>
      <c r="E172" s="22"/>
      <c r="F172" s="23"/>
      <c r="G172" s="22"/>
      <c r="H172" s="22"/>
      <c r="I172" s="23"/>
    </row>
    <row r="173" spans="1:9" ht="13.8" x14ac:dyDescent="0.3">
      <c r="A173" s="22"/>
      <c r="B173" s="22"/>
      <c r="C173" s="22"/>
      <c r="D173" s="22"/>
      <c r="E173" s="22"/>
      <c r="F173" s="23"/>
      <c r="G173" s="22"/>
      <c r="H173" s="22"/>
      <c r="I173" s="23"/>
    </row>
    <row r="174" spans="1:9" ht="13.8" x14ac:dyDescent="0.3">
      <c r="A174" s="22"/>
      <c r="B174" s="22"/>
      <c r="C174" s="22"/>
      <c r="D174" s="22"/>
      <c r="E174" s="22"/>
      <c r="F174" s="23"/>
      <c r="G174" s="22"/>
      <c r="H174" s="22"/>
      <c r="I174" s="23"/>
    </row>
    <row r="175" spans="1:9" ht="13.8" x14ac:dyDescent="0.3">
      <c r="A175" s="22"/>
      <c r="B175" s="22"/>
      <c r="C175" s="22"/>
      <c r="D175" s="22"/>
      <c r="E175" s="22"/>
      <c r="F175" s="23"/>
      <c r="G175" s="22"/>
      <c r="H175" s="22"/>
      <c r="I175" s="23"/>
    </row>
    <row r="176" spans="1:9" ht="13.8" x14ac:dyDescent="0.3">
      <c r="A176" s="22"/>
      <c r="B176" s="22"/>
      <c r="C176" s="22"/>
      <c r="D176" s="22"/>
      <c r="E176" s="22"/>
      <c r="F176" s="23"/>
      <c r="G176" s="22"/>
      <c r="H176" s="22"/>
      <c r="I176" s="23"/>
    </row>
    <row r="177" spans="1:9" ht="13.8" x14ac:dyDescent="0.3">
      <c r="A177" s="22"/>
      <c r="B177" s="22"/>
      <c r="C177" s="22"/>
      <c r="D177" s="22"/>
      <c r="E177" s="22"/>
      <c r="F177" s="23"/>
      <c r="G177" s="22"/>
      <c r="H177" s="22"/>
      <c r="I177" s="23"/>
    </row>
    <row r="178" spans="1:9" ht="13.8" x14ac:dyDescent="0.3">
      <c r="A178" s="22"/>
      <c r="B178" s="22"/>
      <c r="C178" s="22"/>
      <c r="D178" s="22"/>
      <c r="E178" s="22"/>
      <c r="F178" s="23"/>
      <c r="G178" s="22"/>
      <c r="H178" s="22"/>
      <c r="I178" s="23"/>
    </row>
    <row r="179" spans="1:9" ht="13.8" x14ac:dyDescent="0.3">
      <c r="A179" s="22"/>
      <c r="B179" s="22"/>
      <c r="C179" s="22"/>
      <c r="D179" s="22"/>
      <c r="E179" s="22"/>
      <c r="F179" s="23"/>
      <c r="G179" s="22"/>
      <c r="H179" s="22"/>
      <c r="I179" s="23"/>
    </row>
    <row r="180" spans="1:9" ht="13.8" x14ac:dyDescent="0.3">
      <c r="A180" s="22"/>
      <c r="B180" s="22"/>
      <c r="C180" s="22"/>
      <c r="D180" s="22"/>
      <c r="E180" s="22"/>
      <c r="F180" s="23"/>
      <c r="G180" s="22"/>
      <c r="H180" s="22"/>
      <c r="I180" s="23"/>
    </row>
    <row r="181" spans="1:9" ht="13.8" x14ac:dyDescent="0.3">
      <c r="A181" s="22"/>
      <c r="B181" s="22"/>
      <c r="C181" s="22"/>
      <c r="D181" s="22"/>
      <c r="E181" s="22"/>
      <c r="F181" s="23"/>
      <c r="G181" s="22"/>
      <c r="H181" s="22"/>
      <c r="I181" s="23"/>
    </row>
    <row r="182" spans="1:9" ht="13.8" x14ac:dyDescent="0.3">
      <c r="A182" s="22"/>
      <c r="B182" s="22"/>
      <c r="C182" s="22"/>
      <c r="D182" s="22"/>
      <c r="E182" s="22"/>
      <c r="F182" s="23"/>
      <c r="G182" s="22"/>
      <c r="H182" s="22"/>
      <c r="I182" s="23"/>
    </row>
    <row r="183" spans="1:9" ht="13.8" x14ac:dyDescent="0.3">
      <c r="A183" s="22"/>
      <c r="B183" s="22"/>
      <c r="C183" s="22"/>
      <c r="D183" s="22"/>
      <c r="E183" s="22"/>
      <c r="F183" s="23"/>
      <c r="G183" s="22"/>
      <c r="H183" s="22"/>
      <c r="I183" s="23"/>
    </row>
    <row r="184" spans="1:9" ht="13.8" x14ac:dyDescent="0.3">
      <c r="A184" s="22"/>
      <c r="B184" s="22"/>
      <c r="C184" s="22"/>
      <c r="D184" s="22"/>
      <c r="E184" s="22"/>
      <c r="F184" s="23"/>
      <c r="G184" s="22"/>
      <c r="H184" s="22"/>
      <c r="I184" s="23"/>
    </row>
    <row r="185" spans="1:9" ht="13.8" x14ac:dyDescent="0.3">
      <c r="A185" s="22"/>
      <c r="B185" s="22"/>
      <c r="C185" s="22"/>
      <c r="D185" s="22"/>
      <c r="E185" s="22"/>
      <c r="F185" s="23"/>
      <c r="G185" s="22"/>
      <c r="H185" s="22"/>
      <c r="I185" s="23"/>
    </row>
    <row r="186" spans="1:9" ht="13.8" x14ac:dyDescent="0.3">
      <c r="A186" s="22"/>
      <c r="B186" s="22"/>
      <c r="C186" s="22"/>
      <c r="D186" s="22"/>
      <c r="E186" s="22"/>
      <c r="F186" s="23"/>
      <c r="G186" s="22"/>
      <c r="H186" s="22"/>
      <c r="I186" s="23"/>
    </row>
    <row r="187" spans="1:9" ht="13.8" x14ac:dyDescent="0.3">
      <c r="A187" s="22"/>
      <c r="B187" s="22"/>
      <c r="C187" s="22"/>
      <c r="D187" s="22"/>
      <c r="E187" s="22"/>
      <c r="F187" s="23"/>
      <c r="G187" s="22"/>
      <c r="H187" s="22"/>
      <c r="I187" s="23"/>
    </row>
    <row r="188" spans="1:9" ht="13.8" x14ac:dyDescent="0.3">
      <c r="A188" s="22"/>
      <c r="B188" s="22"/>
      <c r="C188" s="22"/>
      <c r="D188" s="22"/>
      <c r="E188" s="22"/>
      <c r="F188" s="23"/>
      <c r="G188" s="22"/>
      <c r="H188" s="22"/>
      <c r="I188" s="23"/>
    </row>
    <row r="189" spans="1:9" ht="13.8" x14ac:dyDescent="0.3">
      <c r="A189" s="22"/>
      <c r="B189" s="22"/>
      <c r="C189" s="22"/>
      <c r="D189" s="22"/>
      <c r="E189" s="22"/>
      <c r="F189" s="23"/>
      <c r="G189" s="22"/>
      <c r="H189" s="22"/>
      <c r="I189" s="23"/>
    </row>
    <row r="190" spans="1:9" ht="13.8" x14ac:dyDescent="0.3">
      <c r="A190" s="22"/>
      <c r="B190" s="22"/>
      <c r="C190" s="22"/>
      <c r="D190" s="22"/>
      <c r="E190" s="22"/>
      <c r="F190" s="23"/>
      <c r="G190" s="22"/>
      <c r="H190" s="22"/>
      <c r="I190" s="23"/>
    </row>
    <row r="191" spans="1:9" ht="13.8" x14ac:dyDescent="0.3">
      <c r="A191" s="22"/>
      <c r="B191" s="22"/>
      <c r="C191" s="22"/>
      <c r="D191" s="22"/>
      <c r="E191" s="22"/>
      <c r="F191" s="23"/>
      <c r="G191" s="22"/>
      <c r="H191" s="22"/>
      <c r="I191" s="23"/>
    </row>
    <row r="192" spans="1:9" ht="13.8" x14ac:dyDescent="0.3">
      <c r="A192" s="22"/>
      <c r="B192" s="22"/>
      <c r="C192" s="22"/>
      <c r="D192" s="22"/>
      <c r="E192" s="22"/>
      <c r="F192" s="23"/>
      <c r="G192" s="22"/>
      <c r="H192" s="22"/>
      <c r="I192" s="23"/>
    </row>
    <row r="193" spans="1:9" ht="13.8" x14ac:dyDescent="0.3">
      <c r="A193" s="22"/>
      <c r="B193" s="22"/>
      <c r="C193" s="22"/>
      <c r="D193" s="22"/>
      <c r="E193" s="22"/>
      <c r="F193" s="23"/>
      <c r="G193" s="22"/>
      <c r="H193" s="22"/>
      <c r="I193" s="23"/>
    </row>
    <row r="194" spans="1:9" ht="13.8" x14ac:dyDescent="0.3">
      <c r="A194" s="22"/>
      <c r="B194" s="22"/>
      <c r="C194" s="22"/>
      <c r="D194" s="22"/>
      <c r="E194" s="22"/>
      <c r="F194" s="23"/>
      <c r="G194" s="22"/>
      <c r="H194" s="22"/>
      <c r="I194" s="23"/>
    </row>
    <row r="195" spans="1:9" ht="13.8" x14ac:dyDescent="0.3">
      <c r="A195" s="22"/>
      <c r="B195" s="22"/>
      <c r="C195" s="22"/>
      <c r="D195" s="22"/>
      <c r="E195" s="22"/>
      <c r="F195" s="23"/>
      <c r="G195" s="22"/>
      <c r="H195" s="22"/>
      <c r="I195" s="23"/>
    </row>
    <row r="196" spans="1:9" ht="13.8" x14ac:dyDescent="0.3">
      <c r="A196" s="22"/>
      <c r="B196" s="22"/>
      <c r="C196" s="22"/>
      <c r="D196" s="22"/>
      <c r="E196" s="22"/>
      <c r="F196" s="23"/>
      <c r="G196" s="22"/>
      <c r="H196" s="22"/>
      <c r="I196" s="23"/>
    </row>
    <row r="197" spans="1:9" ht="13.8" x14ac:dyDescent="0.3">
      <c r="A197" s="22"/>
      <c r="B197" s="22"/>
      <c r="C197" s="22"/>
      <c r="D197" s="22"/>
      <c r="E197" s="22"/>
      <c r="F197" s="23"/>
      <c r="G197" s="22"/>
      <c r="H197" s="22"/>
      <c r="I197" s="23"/>
    </row>
    <row r="198" spans="1:9" ht="13.8" x14ac:dyDescent="0.3">
      <c r="A198" s="22"/>
      <c r="B198" s="22"/>
      <c r="C198" s="22"/>
      <c r="D198" s="22"/>
      <c r="E198" s="22"/>
      <c r="F198" s="23"/>
      <c r="G198" s="22"/>
      <c r="H198" s="22"/>
      <c r="I198" s="23"/>
    </row>
    <row r="199" spans="1:9" ht="13.8" x14ac:dyDescent="0.3">
      <c r="A199" s="22"/>
      <c r="B199" s="22"/>
      <c r="C199" s="22"/>
      <c r="D199" s="22"/>
      <c r="E199" s="22"/>
      <c r="F199" s="23"/>
      <c r="G199" s="22"/>
      <c r="H199" s="22"/>
      <c r="I199" s="23"/>
    </row>
    <row r="200" spans="1:9" ht="13.8" x14ac:dyDescent="0.3">
      <c r="A200" s="22"/>
      <c r="B200" s="22"/>
      <c r="C200" s="22"/>
      <c r="D200" s="22"/>
      <c r="E200" s="22"/>
      <c r="F200" s="23"/>
      <c r="G200" s="22"/>
      <c r="H200" s="22"/>
      <c r="I200" s="23"/>
    </row>
    <row r="201" spans="1:9" ht="13.8" x14ac:dyDescent="0.3">
      <c r="A201" s="22"/>
      <c r="B201" s="22"/>
      <c r="C201" s="22"/>
      <c r="D201" s="22"/>
      <c r="E201" s="22"/>
      <c r="F201" s="23"/>
      <c r="G201" s="22"/>
      <c r="H201" s="22"/>
      <c r="I201" s="23"/>
    </row>
    <row r="202" spans="1:9" ht="13.8" x14ac:dyDescent="0.3">
      <c r="A202" s="22"/>
      <c r="B202" s="22"/>
      <c r="C202" s="22"/>
      <c r="D202" s="22"/>
      <c r="E202" s="22"/>
      <c r="F202" s="23"/>
      <c r="G202" s="22"/>
      <c r="H202" s="22"/>
      <c r="I202" s="23"/>
    </row>
    <row r="203" spans="1:9" ht="13.8" x14ac:dyDescent="0.3">
      <c r="A203" s="22"/>
      <c r="B203" s="22"/>
      <c r="C203" s="22"/>
      <c r="D203" s="22"/>
      <c r="E203" s="22"/>
      <c r="F203" s="23"/>
      <c r="G203" s="22"/>
      <c r="H203" s="22"/>
      <c r="I203" s="23"/>
    </row>
    <row r="204" spans="1:9" ht="13.8" x14ac:dyDescent="0.3">
      <c r="A204" s="22"/>
      <c r="B204" s="22"/>
      <c r="C204" s="22"/>
      <c r="D204" s="22"/>
      <c r="E204" s="22"/>
      <c r="F204" s="23"/>
      <c r="G204" s="22"/>
      <c r="H204" s="22"/>
      <c r="I204" s="23"/>
    </row>
    <row r="205" spans="1:9" ht="13.8" x14ac:dyDescent="0.3">
      <c r="A205" s="22"/>
      <c r="B205" s="22"/>
      <c r="C205" s="22"/>
      <c r="D205" s="22"/>
      <c r="E205" s="22"/>
      <c r="F205" s="23"/>
      <c r="G205" s="22"/>
      <c r="H205" s="22"/>
      <c r="I205" s="23"/>
    </row>
    <row r="206" spans="1:9" ht="13.8" x14ac:dyDescent="0.3">
      <c r="A206" s="22"/>
      <c r="B206" s="22"/>
      <c r="C206" s="22"/>
      <c r="D206" s="22"/>
      <c r="E206" s="22"/>
      <c r="F206" s="23"/>
      <c r="G206" s="22"/>
      <c r="H206" s="22"/>
      <c r="I206" s="23"/>
    </row>
    <row r="207" spans="1:9" ht="13.8" x14ac:dyDescent="0.3">
      <c r="A207" s="22"/>
      <c r="B207" s="22"/>
      <c r="C207" s="22"/>
      <c r="D207" s="22"/>
      <c r="E207" s="22"/>
      <c r="F207" s="23"/>
      <c r="G207" s="22"/>
      <c r="H207" s="22"/>
      <c r="I207" s="23"/>
    </row>
    <row r="208" spans="1:9" ht="13.8" x14ac:dyDescent="0.3">
      <c r="A208" s="22"/>
      <c r="B208" s="22"/>
      <c r="C208" s="22"/>
      <c r="D208" s="22"/>
      <c r="E208" s="22"/>
      <c r="F208" s="23"/>
      <c r="G208" s="22"/>
      <c r="H208" s="22"/>
      <c r="I208" s="23"/>
    </row>
    <row r="209" spans="1:9" ht="13.8" x14ac:dyDescent="0.3">
      <c r="A209" s="22"/>
      <c r="B209" s="22"/>
      <c r="C209" s="22"/>
      <c r="D209" s="22"/>
      <c r="E209" s="22"/>
      <c r="F209" s="23"/>
      <c r="G209" s="22"/>
      <c r="H209" s="22"/>
      <c r="I209" s="23"/>
    </row>
    <row r="210" spans="1:9" ht="13.8" x14ac:dyDescent="0.3">
      <c r="A210" s="22"/>
      <c r="B210" s="22"/>
      <c r="C210" s="22"/>
      <c r="D210" s="22"/>
      <c r="E210" s="22"/>
      <c r="F210" s="23"/>
      <c r="G210" s="22"/>
      <c r="H210" s="22"/>
      <c r="I210" s="23"/>
    </row>
    <row r="211" spans="1:9" ht="13.8" x14ac:dyDescent="0.3">
      <c r="A211" s="22"/>
      <c r="B211" s="22"/>
      <c r="C211" s="22"/>
      <c r="D211" s="22"/>
      <c r="E211" s="22"/>
      <c r="F211" s="23"/>
      <c r="G211" s="22"/>
      <c r="H211" s="22"/>
      <c r="I211" s="23"/>
    </row>
    <row r="212" spans="1:9" ht="13.8" x14ac:dyDescent="0.3">
      <c r="A212" s="22"/>
      <c r="B212" s="22"/>
      <c r="C212" s="22"/>
      <c r="D212" s="22"/>
      <c r="E212" s="22"/>
      <c r="F212" s="23"/>
      <c r="G212" s="22"/>
      <c r="H212" s="22"/>
      <c r="I212" s="23"/>
    </row>
    <row r="213" spans="1:9" ht="13.8" x14ac:dyDescent="0.3">
      <c r="A213" s="22"/>
      <c r="B213" s="22"/>
      <c r="C213" s="22"/>
      <c r="D213" s="22"/>
      <c r="E213" s="22"/>
      <c r="F213" s="23"/>
      <c r="G213" s="22"/>
      <c r="H213" s="22"/>
      <c r="I213" s="23"/>
    </row>
    <row r="214" spans="1:9" ht="13.8" x14ac:dyDescent="0.3">
      <c r="A214" s="22"/>
      <c r="B214" s="22"/>
      <c r="C214" s="22"/>
      <c r="D214" s="22"/>
      <c r="E214" s="22"/>
      <c r="F214" s="23"/>
      <c r="G214" s="22"/>
      <c r="H214" s="22"/>
      <c r="I214" s="23"/>
    </row>
    <row r="215" spans="1:9" ht="13.8" x14ac:dyDescent="0.3">
      <c r="A215" s="22"/>
      <c r="B215" s="22"/>
      <c r="C215" s="22"/>
      <c r="D215" s="22"/>
      <c r="E215" s="22"/>
      <c r="F215" s="23"/>
      <c r="G215" s="22"/>
      <c r="H215" s="22"/>
      <c r="I215" s="23"/>
    </row>
    <row r="216" spans="1:9" ht="13.8" x14ac:dyDescent="0.3">
      <c r="A216" s="22"/>
      <c r="B216" s="22"/>
      <c r="C216" s="22"/>
      <c r="D216" s="22"/>
      <c r="E216" s="22"/>
      <c r="F216" s="23"/>
      <c r="G216" s="22"/>
      <c r="H216" s="22"/>
      <c r="I216" s="23"/>
    </row>
    <row r="217" spans="1:9" ht="13.8" x14ac:dyDescent="0.3">
      <c r="A217" s="22"/>
      <c r="B217" s="22"/>
      <c r="C217" s="22"/>
      <c r="D217" s="22"/>
      <c r="E217" s="22"/>
      <c r="F217" s="23"/>
      <c r="G217" s="22"/>
      <c r="H217" s="22"/>
      <c r="I217" s="23"/>
    </row>
    <row r="218" spans="1:9" ht="13.8" x14ac:dyDescent="0.3">
      <c r="A218" s="22"/>
      <c r="B218" s="22"/>
      <c r="C218" s="22"/>
      <c r="D218" s="22"/>
      <c r="E218" s="22"/>
      <c r="F218" s="23"/>
      <c r="G218" s="22"/>
      <c r="H218" s="22"/>
      <c r="I218" s="23"/>
    </row>
    <row r="219" spans="1:9" ht="13.8" x14ac:dyDescent="0.3">
      <c r="A219" s="22"/>
      <c r="B219" s="22"/>
      <c r="C219" s="22"/>
      <c r="D219" s="22"/>
      <c r="E219" s="22"/>
      <c r="F219" s="23"/>
      <c r="G219" s="22"/>
      <c r="H219" s="22"/>
      <c r="I219" s="23"/>
    </row>
    <row r="220" spans="1:9" ht="13.8" x14ac:dyDescent="0.3">
      <c r="A220" s="22"/>
      <c r="B220" s="22"/>
      <c r="C220" s="22"/>
      <c r="D220" s="22"/>
      <c r="E220" s="22"/>
      <c r="F220" s="23"/>
      <c r="G220" s="22"/>
      <c r="H220" s="22"/>
      <c r="I220" s="23"/>
    </row>
    <row r="221" spans="1:9" ht="13.8" x14ac:dyDescent="0.3">
      <c r="A221" s="22"/>
      <c r="B221" s="22"/>
      <c r="C221" s="22"/>
      <c r="D221" s="22"/>
      <c r="E221" s="22"/>
      <c r="F221" s="23"/>
      <c r="G221" s="22"/>
      <c r="H221" s="22"/>
      <c r="I221" s="23"/>
    </row>
    <row r="222" spans="1:9" ht="13.8" x14ac:dyDescent="0.3">
      <c r="A222" s="22"/>
      <c r="B222" s="22"/>
      <c r="C222" s="22"/>
      <c r="D222" s="22"/>
      <c r="E222" s="22"/>
      <c r="F222" s="23"/>
      <c r="G222" s="22"/>
      <c r="H222" s="22"/>
      <c r="I222" s="23"/>
    </row>
    <row r="223" spans="1:9" ht="13.8" x14ac:dyDescent="0.3">
      <c r="A223" s="22"/>
      <c r="B223" s="22"/>
      <c r="C223" s="22"/>
      <c r="D223" s="22"/>
      <c r="E223" s="22"/>
      <c r="F223" s="23"/>
      <c r="G223" s="22"/>
      <c r="H223" s="22"/>
      <c r="I223" s="23"/>
    </row>
    <row r="224" spans="1:9" ht="13.8" x14ac:dyDescent="0.3">
      <c r="A224" s="22"/>
      <c r="B224" s="22"/>
      <c r="C224" s="22"/>
      <c r="D224" s="22"/>
      <c r="E224" s="22"/>
      <c r="F224" s="23"/>
      <c r="G224" s="22"/>
      <c r="H224" s="22"/>
      <c r="I224" s="23"/>
    </row>
    <row r="225" spans="1:9" ht="13.8" x14ac:dyDescent="0.3">
      <c r="A225" s="22"/>
      <c r="B225" s="22"/>
      <c r="C225" s="22"/>
      <c r="D225" s="22"/>
      <c r="E225" s="22"/>
      <c r="F225" s="23"/>
      <c r="G225" s="22"/>
      <c r="H225" s="22"/>
      <c r="I225" s="23"/>
    </row>
    <row r="226" spans="1:9" ht="13.8" x14ac:dyDescent="0.3">
      <c r="A226" s="22"/>
      <c r="B226" s="22"/>
      <c r="C226" s="22"/>
      <c r="D226" s="22"/>
      <c r="E226" s="22"/>
      <c r="F226" s="23"/>
      <c r="G226" s="22"/>
      <c r="H226" s="22"/>
      <c r="I226" s="23"/>
    </row>
    <row r="227" spans="1:9" ht="13.8" x14ac:dyDescent="0.3">
      <c r="A227" s="22"/>
      <c r="B227" s="22"/>
      <c r="C227" s="22"/>
      <c r="D227" s="22"/>
      <c r="E227" s="22"/>
      <c r="F227" s="23"/>
      <c r="G227" s="22"/>
      <c r="H227" s="22"/>
      <c r="I227" s="23"/>
    </row>
    <row r="228" spans="1:9" ht="13.8" x14ac:dyDescent="0.3">
      <c r="A228" s="22"/>
      <c r="B228" s="22"/>
      <c r="C228" s="22"/>
      <c r="D228" s="22"/>
      <c r="E228" s="22"/>
      <c r="F228" s="23"/>
      <c r="G228" s="22"/>
      <c r="H228" s="22"/>
      <c r="I228" s="23"/>
    </row>
    <row r="229" spans="1:9" ht="13.8" x14ac:dyDescent="0.3">
      <c r="A229" s="22"/>
      <c r="B229" s="22"/>
      <c r="C229" s="22"/>
      <c r="D229" s="22"/>
      <c r="E229" s="22"/>
      <c r="F229" s="23"/>
      <c r="G229" s="22"/>
      <c r="H229" s="22"/>
      <c r="I229" s="23"/>
    </row>
    <row r="230" spans="1:9" ht="13.8" x14ac:dyDescent="0.3">
      <c r="A230" s="22"/>
      <c r="B230" s="22"/>
      <c r="C230" s="22"/>
      <c r="D230" s="22"/>
      <c r="E230" s="22"/>
      <c r="F230" s="23"/>
      <c r="G230" s="22"/>
      <c r="H230" s="22"/>
      <c r="I230" s="23"/>
    </row>
    <row r="231" spans="1:9" ht="13.8" x14ac:dyDescent="0.3">
      <c r="A231" s="22"/>
      <c r="B231" s="22"/>
      <c r="C231" s="22"/>
      <c r="D231" s="22"/>
      <c r="E231" s="22"/>
      <c r="F231" s="23"/>
      <c r="G231" s="22"/>
      <c r="H231" s="22"/>
      <c r="I231" s="23"/>
    </row>
    <row r="232" spans="1:9" ht="13.8" x14ac:dyDescent="0.3">
      <c r="A232" s="22"/>
      <c r="B232" s="22"/>
      <c r="C232" s="22"/>
      <c r="D232" s="22"/>
      <c r="E232" s="22"/>
      <c r="F232" s="23"/>
      <c r="G232" s="22"/>
      <c r="H232" s="22"/>
      <c r="I232" s="23"/>
    </row>
    <row r="233" spans="1:9" ht="13.8" x14ac:dyDescent="0.3">
      <c r="A233" s="22"/>
      <c r="B233" s="22"/>
      <c r="C233" s="22"/>
      <c r="D233" s="22"/>
      <c r="E233" s="22"/>
      <c r="F233" s="23"/>
      <c r="G233" s="22"/>
      <c r="H233" s="22"/>
      <c r="I233" s="23"/>
    </row>
    <row r="234" spans="1:9" ht="13.8" x14ac:dyDescent="0.3">
      <c r="A234" s="22"/>
      <c r="B234" s="22"/>
      <c r="C234" s="22"/>
      <c r="D234" s="22"/>
      <c r="E234" s="22"/>
      <c r="F234" s="23"/>
      <c r="G234" s="22"/>
      <c r="H234" s="22"/>
      <c r="I234" s="23"/>
    </row>
    <row r="235" spans="1:9" ht="13.8" x14ac:dyDescent="0.3">
      <c r="A235" s="22"/>
      <c r="B235" s="22"/>
      <c r="C235" s="22"/>
      <c r="D235" s="22"/>
      <c r="E235" s="22"/>
      <c r="F235" s="23"/>
      <c r="G235" s="22"/>
      <c r="H235" s="22"/>
      <c r="I235" s="23"/>
    </row>
    <row r="236" spans="1:9" ht="13.8" x14ac:dyDescent="0.3">
      <c r="A236" s="22"/>
      <c r="B236" s="22"/>
      <c r="C236" s="22"/>
      <c r="D236" s="22"/>
      <c r="E236" s="22"/>
      <c r="F236" s="23"/>
      <c r="G236" s="22"/>
      <c r="H236" s="22"/>
      <c r="I236" s="23"/>
    </row>
    <row r="237" spans="1:9" ht="13.8" x14ac:dyDescent="0.3">
      <c r="A237" s="22"/>
      <c r="B237" s="22"/>
      <c r="C237" s="22"/>
      <c r="D237" s="22"/>
      <c r="E237" s="22"/>
      <c r="F237" s="23"/>
      <c r="G237" s="22"/>
      <c r="H237" s="22"/>
      <c r="I237" s="23"/>
    </row>
    <row r="238" spans="1:9" ht="13.8" x14ac:dyDescent="0.3">
      <c r="A238" s="22"/>
      <c r="B238" s="22"/>
      <c r="C238" s="22"/>
      <c r="D238" s="22"/>
      <c r="E238" s="22"/>
      <c r="F238" s="23"/>
      <c r="G238" s="22"/>
      <c r="H238" s="22"/>
      <c r="I238" s="23"/>
    </row>
    <row r="239" spans="1:9" ht="13.8" x14ac:dyDescent="0.3">
      <c r="A239" s="22"/>
      <c r="B239" s="22"/>
      <c r="C239" s="22"/>
      <c r="D239" s="22"/>
      <c r="E239" s="22"/>
      <c r="F239" s="23"/>
      <c r="G239" s="22"/>
      <c r="H239" s="22"/>
      <c r="I239" s="23"/>
    </row>
    <row r="240" spans="1:9" ht="13.8" x14ac:dyDescent="0.3">
      <c r="A240" s="22"/>
      <c r="B240" s="22"/>
      <c r="C240" s="22"/>
      <c r="D240" s="22"/>
      <c r="E240" s="22"/>
      <c r="F240" s="23"/>
      <c r="G240" s="22"/>
      <c r="H240" s="22"/>
      <c r="I240" s="23"/>
    </row>
    <row r="241" spans="1:9" ht="13.8" x14ac:dyDescent="0.3">
      <c r="A241" s="22"/>
      <c r="B241" s="22"/>
      <c r="C241" s="22"/>
      <c r="D241" s="22"/>
      <c r="E241" s="22"/>
      <c r="F241" s="23"/>
      <c r="G241" s="22"/>
      <c r="H241" s="22"/>
      <c r="I241" s="23"/>
    </row>
    <row r="242" spans="1:9" ht="13.8" x14ac:dyDescent="0.3">
      <c r="A242" s="22"/>
      <c r="B242" s="22"/>
      <c r="C242" s="22"/>
      <c r="D242" s="22"/>
      <c r="E242" s="22"/>
      <c r="F242" s="23"/>
      <c r="G242" s="22"/>
      <c r="H242" s="22"/>
      <c r="I242" s="23"/>
    </row>
    <row r="243" spans="1:9" ht="13.8" x14ac:dyDescent="0.3">
      <c r="A243" s="22"/>
      <c r="B243" s="22"/>
      <c r="C243" s="22"/>
      <c r="D243" s="22"/>
      <c r="E243" s="22"/>
      <c r="F243" s="23"/>
      <c r="G243" s="22"/>
      <c r="H243" s="22"/>
      <c r="I243" s="23"/>
    </row>
    <row r="244" spans="1:9" ht="13.8" x14ac:dyDescent="0.3">
      <c r="A244" s="22"/>
      <c r="B244" s="22"/>
      <c r="C244" s="22"/>
      <c r="D244" s="22"/>
      <c r="E244" s="22"/>
      <c r="F244" s="23"/>
      <c r="G244" s="22"/>
      <c r="H244" s="22"/>
      <c r="I244" s="23"/>
    </row>
    <row r="245" spans="1:9" ht="13.8" x14ac:dyDescent="0.3">
      <c r="A245" s="22"/>
      <c r="B245" s="22"/>
      <c r="C245" s="22"/>
      <c r="D245" s="22"/>
      <c r="E245" s="22"/>
      <c r="F245" s="23"/>
      <c r="G245" s="22"/>
      <c r="H245" s="22"/>
      <c r="I245" s="23"/>
    </row>
    <row r="246" spans="1:9" ht="13.8" x14ac:dyDescent="0.3">
      <c r="A246" s="22"/>
      <c r="B246" s="22"/>
      <c r="C246" s="22"/>
      <c r="D246" s="22"/>
      <c r="E246" s="22"/>
      <c r="F246" s="23"/>
      <c r="G246" s="22"/>
      <c r="H246" s="22"/>
      <c r="I246" s="23"/>
    </row>
    <row r="247" spans="1:9" ht="13.8" x14ac:dyDescent="0.3">
      <c r="A247" s="22"/>
      <c r="B247" s="22"/>
      <c r="C247" s="22"/>
      <c r="D247" s="22"/>
      <c r="E247" s="22"/>
      <c r="F247" s="23"/>
      <c r="G247" s="22"/>
      <c r="H247" s="22"/>
      <c r="I247" s="23"/>
    </row>
    <row r="248" spans="1:9" ht="13.8" x14ac:dyDescent="0.3">
      <c r="A248" s="22"/>
      <c r="B248" s="22"/>
      <c r="C248" s="22"/>
      <c r="D248" s="22"/>
      <c r="E248" s="22"/>
      <c r="F248" s="23"/>
      <c r="G248" s="22"/>
      <c r="H248" s="22"/>
      <c r="I248" s="23"/>
    </row>
    <row r="249" spans="1:9" ht="13.8" x14ac:dyDescent="0.3">
      <c r="A249" s="22"/>
      <c r="B249" s="22"/>
      <c r="C249" s="22"/>
      <c r="D249" s="22"/>
      <c r="E249" s="22"/>
      <c r="F249" s="23"/>
      <c r="G249" s="22"/>
      <c r="H249" s="22"/>
      <c r="I249" s="23"/>
    </row>
    <row r="250" spans="1:9" ht="13.8" x14ac:dyDescent="0.3">
      <c r="A250" s="22"/>
      <c r="B250" s="22"/>
      <c r="C250" s="22"/>
      <c r="D250" s="22"/>
      <c r="E250" s="22"/>
      <c r="F250" s="23"/>
      <c r="G250" s="22"/>
      <c r="H250" s="22"/>
      <c r="I250" s="23"/>
    </row>
    <row r="251" spans="1:9" ht="13.8" x14ac:dyDescent="0.3">
      <c r="A251" s="22"/>
      <c r="B251" s="22"/>
      <c r="C251" s="22"/>
      <c r="D251" s="22"/>
      <c r="E251" s="22"/>
      <c r="F251" s="23"/>
      <c r="G251" s="22"/>
      <c r="H251" s="22"/>
      <c r="I251" s="23"/>
    </row>
    <row r="252" spans="1:9" ht="13.8" x14ac:dyDescent="0.3">
      <c r="A252" s="22"/>
      <c r="B252" s="22"/>
      <c r="C252" s="22"/>
      <c r="D252" s="22"/>
      <c r="E252" s="22"/>
      <c r="F252" s="23"/>
      <c r="G252" s="22"/>
      <c r="H252" s="22"/>
      <c r="I252" s="23"/>
    </row>
    <row r="253" spans="1:9" ht="13.8" x14ac:dyDescent="0.3">
      <c r="A253" s="22"/>
      <c r="B253" s="22"/>
      <c r="C253" s="22"/>
      <c r="D253" s="22"/>
      <c r="E253" s="22"/>
      <c r="F253" s="23"/>
      <c r="G253" s="22"/>
      <c r="H253" s="22"/>
      <c r="I253" s="23"/>
    </row>
    <row r="254" spans="1:9" ht="13.8" x14ac:dyDescent="0.3">
      <c r="A254" s="22"/>
      <c r="B254" s="22"/>
      <c r="C254" s="22"/>
      <c r="D254" s="22"/>
      <c r="E254" s="22"/>
      <c r="F254" s="23"/>
      <c r="G254" s="22"/>
      <c r="H254" s="22"/>
      <c r="I254" s="23"/>
    </row>
    <row r="255" spans="1:9" ht="13.8" x14ac:dyDescent="0.3">
      <c r="A255" s="22"/>
      <c r="B255" s="22"/>
      <c r="C255" s="22"/>
      <c r="D255" s="22"/>
      <c r="E255" s="22"/>
      <c r="F255" s="23"/>
      <c r="G255" s="22"/>
      <c r="H255" s="22"/>
      <c r="I255" s="23"/>
    </row>
    <row r="256" spans="1:9" ht="13.8" x14ac:dyDescent="0.3">
      <c r="A256" s="22"/>
      <c r="B256" s="22"/>
      <c r="C256" s="22"/>
      <c r="D256" s="22"/>
      <c r="E256" s="22"/>
      <c r="F256" s="23"/>
      <c r="G256" s="22"/>
      <c r="H256" s="22"/>
      <c r="I256" s="23"/>
    </row>
    <row r="257" spans="1:9" ht="13.8" x14ac:dyDescent="0.3">
      <c r="A257" s="22"/>
      <c r="B257" s="22"/>
      <c r="C257" s="22"/>
      <c r="D257" s="22"/>
      <c r="E257" s="22"/>
      <c r="F257" s="23"/>
      <c r="G257" s="22"/>
      <c r="H257" s="22"/>
      <c r="I257" s="23"/>
    </row>
    <row r="258" spans="1:9" ht="13.8" x14ac:dyDescent="0.3">
      <c r="A258" s="22"/>
      <c r="B258" s="22"/>
      <c r="C258" s="22"/>
      <c r="D258" s="22"/>
      <c r="E258" s="22"/>
      <c r="F258" s="23"/>
      <c r="G258" s="22"/>
      <c r="H258" s="22"/>
      <c r="I258" s="23"/>
    </row>
    <row r="259" spans="1:9" ht="13.8" x14ac:dyDescent="0.3">
      <c r="A259" s="22"/>
      <c r="B259" s="22"/>
      <c r="C259" s="22"/>
      <c r="D259" s="22"/>
      <c r="E259" s="22"/>
      <c r="F259" s="23"/>
      <c r="G259" s="22"/>
      <c r="H259" s="22"/>
      <c r="I259" s="23"/>
    </row>
    <row r="260" spans="1:9" ht="13.8" x14ac:dyDescent="0.3">
      <c r="A260" s="22"/>
      <c r="B260" s="22"/>
      <c r="C260" s="22"/>
      <c r="D260" s="22"/>
      <c r="E260" s="22"/>
      <c r="F260" s="23"/>
      <c r="G260" s="22"/>
      <c r="H260" s="22"/>
      <c r="I260" s="23"/>
    </row>
    <row r="261" spans="1:9" ht="13.8" x14ac:dyDescent="0.3">
      <c r="A261" s="22"/>
      <c r="B261" s="22"/>
      <c r="C261" s="22"/>
      <c r="D261" s="22"/>
      <c r="E261" s="22"/>
      <c r="F261" s="23"/>
      <c r="G261" s="22"/>
      <c r="H261" s="22"/>
      <c r="I261" s="23"/>
    </row>
    <row r="262" spans="1:9" ht="13.8" x14ac:dyDescent="0.3">
      <c r="A262" s="22"/>
      <c r="B262" s="22"/>
      <c r="C262" s="22"/>
      <c r="D262" s="22"/>
      <c r="E262" s="22"/>
      <c r="F262" s="23"/>
      <c r="G262" s="22"/>
      <c r="H262" s="22"/>
      <c r="I262" s="23"/>
    </row>
    <row r="263" spans="1:9" ht="13.8" x14ac:dyDescent="0.3">
      <c r="A263" s="22"/>
      <c r="B263" s="22"/>
      <c r="C263" s="22"/>
      <c r="D263" s="22"/>
      <c r="E263" s="22"/>
      <c r="F263" s="23"/>
      <c r="G263" s="22"/>
      <c r="H263" s="22"/>
      <c r="I263" s="23"/>
    </row>
    <row r="264" spans="1:9" ht="13.8" x14ac:dyDescent="0.3">
      <c r="A264" s="22"/>
      <c r="B264" s="22"/>
      <c r="C264" s="22"/>
      <c r="D264" s="22"/>
      <c r="E264" s="22"/>
      <c r="F264" s="23"/>
      <c r="G264" s="22"/>
      <c r="H264" s="22"/>
      <c r="I264" s="23"/>
    </row>
    <row r="265" spans="1:9" ht="13.8" x14ac:dyDescent="0.3">
      <c r="A265" s="22"/>
      <c r="B265" s="22"/>
      <c r="C265" s="22"/>
      <c r="D265" s="22"/>
      <c r="E265" s="22"/>
      <c r="F265" s="23"/>
      <c r="G265" s="22"/>
      <c r="H265" s="22"/>
      <c r="I265" s="23"/>
    </row>
    <row r="266" spans="1:9" ht="13.8" x14ac:dyDescent="0.3">
      <c r="A266" s="22"/>
      <c r="B266" s="22"/>
      <c r="C266" s="22"/>
      <c r="D266" s="22"/>
      <c r="E266" s="22"/>
      <c r="F266" s="23"/>
      <c r="G266" s="22"/>
      <c r="H266" s="22"/>
      <c r="I266" s="23"/>
    </row>
    <row r="267" spans="1:9" ht="13.8" x14ac:dyDescent="0.3">
      <c r="A267" s="22"/>
      <c r="B267" s="22"/>
      <c r="C267" s="22"/>
      <c r="D267" s="22"/>
      <c r="E267" s="22"/>
      <c r="F267" s="23"/>
      <c r="G267" s="22"/>
      <c r="H267" s="22"/>
      <c r="I267" s="23"/>
    </row>
    <row r="268" spans="1:9" ht="13.8" x14ac:dyDescent="0.3">
      <c r="A268" s="22"/>
      <c r="B268" s="22"/>
      <c r="C268" s="22"/>
      <c r="D268" s="22"/>
      <c r="E268" s="22"/>
      <c r="F268" s="23"/>
      <c r="G268" s="22"/>
      <c r="H268" s="22"/>
      <c r="I268" s="23"/>
    </row>
    <row r="269" spans="1:9" ht="13.8" x14ac:dyDescent="0.3">
      <c r="A269" s="22"/>
      <c r="B269" s="22"/>
      <c r="C269" s="22"/>
      <c r="D269" s="22"/>
      <c r="E269" s="22"/>
      <c r="F269" s="23"/>
      <c r="G269" s="22"/>
      <c r="H269" s="22"/>
      <c r="I269" s="23"/>
    </row>
    <row r="270" spans="1:9" ht="13.8" x14ac:dyDescent="0.3">
      <c r="A270" s="22"/>
      <c r="B270" s="22"/>
      <c r="C270" s="22"/>
      <c r="D270" s="22"/>
      <c r="E270" s="22"/>
      <c r="F270" s="23"/>
      <c r="G270" s="22"/>
      <c r="H270" s="22"/>
      <c r="I270" s="23"/>
    </row>
    <row r="271" spans="1:9" ht="13.8" x14ac:dyDescent="0.3">
      <c r="A271" s="22"/>
      <c r="B271" s="22"/>
      <c r="C271" s="22"/>
      <c r="D271" s="22"/>
      <c r="E271" s="22"/>
      <c r="F271" s="23"/>
      <c r="G271" s="22"/>
      <c r="H271" s="22"/>
      <c r="I271" s="23"/>
    </row>
    <row r="272" spans="1:9" ht="13.8" x14ac:dyDescent="0.3">
      <c r="A272" s="22"/>
      <c r="B272" s="22"/>
      <c r="C272" s="22"/>
      <c r="D272" s="22"/>
      <c r="E272" s="22"/>
      <c r="F272" s="23"/>
      <c r="G272" s="22"/>
      <c r="H272" s="22"/>
      <c r="I272" s="23"/>
    </row>
    <row r="273" spans="1:9" ht="13.8" x14ac:dyDescent="0.3">
      <c r="A273" s="22"/>
      <c r="B273" s="22"/>
      <c r="C273" s="22"/>
      <c r="D273" s="22"/>
      <c r="E273" s="22"/>
      <c r="F273" s="23"/>
      <c r="G273" s="22"/>
      <c r="H273" s="22"/>
      <c r="I273" s="23"/>
    </row>
    <row r="274" spans="1:9" ht="13.8" x14ac:dyDescent="0.3">
      <c r="A274" s="22"/>
      <c r="B274" s="22"/>
      <c r="C274" s="22"/>
      <c r="D274" s="22"/>
      <c r="E274" s="22"/>
      <c r="F274" s="23"/>
      <c r="G274" s="22"/>
      <c r="H274" s="22"/>
      <c r="I274" s="23"/>
    </row>
    <row r="275" spans="1:9" ht="13.8" x14ac:dyDescent="0.3">
      <c r="A275" s="22"/>
      <c r="B275" s="22"/>
      <c r="C275" s="22"/>
      <c r="D275" s="22"/>
      <c r="E275" s="22"/>
      <c r="F275" s="23"/>
      <c r="G275" s="22"/>
      <c r="H275" s="22"/>
      <c r="I275" s="23"/>
    </row>
    <row r="276" spans="1:9" ht="13.8" x14ac:dyDescent="0.3">
      <c r="A276" s="22"/>
      <c r="B276" s="22"/>
      <c r="C276" s="22"/>
      <c r="D276" s="22"/>
      <c r="E276" s="22"/>
      <c r="F276" s="23"/>
      <c r="G276" s="22"/>
      <c r="H276" s="22"/>
      <c r="I276" s="23"/>
    </row>
    <row r="277" spans="1:9" ht="13.8" x14ac:dyDescent="0.3">
      <c r="A277" s="22"/>
      <c r="B277" s="22"/>
      <c r="C277" s="22"/>
      <c r="D277" s="22"/>
      <c r="E277" s="22"/>
      <c r="F277" s="23"/>
      <c r="G277" s="22"/>
      <c r="H277" s="22"/>
      <c r="I277" s="23"/>
    </row>
    <row r="278" spans="1:9" ht="13.8" x14ac:dyDescent="0.3">
      <c r="A278" s="22"/>
      <c r="B278" s="22"/>
      <c r="C278" s="22"/>
      <c r="D278" s="22"/>
      <c r="E278" s="22"/>
      <c r="F278" s="23"/>
      <c r="G278" s="22"/>
      <c r="H278" s="22"/>
      <c r="I278" s="23"/>
    </row>
    <row r="279" spans="1:9" ht="13.8" x14ac:dyDescent="0.3">
      <c r="A279" s="22"/>
      <c r="B279" s="22"/>
      <c r="C279" s="22"/>
      <c r="D279" s="22"/>
      <c r="E279" s="22"/>
      <c r="F279" s="23"/>
      <c r="G279" s="22"/>
      <c r="H279" s="22"/>
      <c r="I279" s="23"/>
    </row>
    <row r="280" spans="1:9" ht="13.8" x14ac:dyDescent="0.3">
      <c r="A280" s="22"/>
      <c r="B280" s="22"/>
      <c r="C280" s="22"/>
      <c r="D280" s="22"/>
      <c r="E280" s="22"/>
      <c r="F280" s="23"/>
      <c r="G280" s="22"/>
      <c r="H280" s="22"/>
      <c r="I280" s="23"/>
    </row>
    <row r="281" spans="1:9" ht="13.8" x14ac:dyDescent="0.3">
      <c r="A281" s="22"/>
      <c r="B281" s="22"/>
      <c r="C281" s="22"/>
      <c r="D281" s="22"/>
      <c r="E281" s="22"/>
      <c r="F281" s="23"/>
      <c r="G281" s="22"/>
      <c r="H281" s="22"/>
      <c r="I281" s="23"/>
    </row>
    <row r="282" spans="1:9" ht="13.8" x14ac:dyDescent="0.3">
      <c r="A282" s="22"/>
      <c r="B282" s="22"/>
      <c r="C282" s="22"/>
      <c r="D282" s="22"/>
      <c r="E282" s="22"/>
      <c r="F282" s="23"/>
      <c r="G282" s="22"/>
      <c r="H282" s="22"/>
      <c r="I282" s="23"/>
    </row>
    <row r="283" spans="1:9" ht="13.8" x14ac:dyDescent="0.3">
      <c r="A283" s="22"/>
      <c r="B283" s="22"/>
      <c r="C283" s="22"/>
      <c r="D283" s="22"/>
      <c r="E283" s="22"/>
      <c r="F283" s="23"/>
      <c r="G283" s="22"/>
      <c r="H283" s="22"/>
      <c r="I283" s="23"/>
    </row>
    <row r="284" spans="1:9" ht="13.8" x14ac:dyDescent="0.3">
      <c r="A284" s="22"/>
      <c r="B284" s="22"/>
      <c r="C284" s="22"/>
      <c r="D284" s="22"/>
      <c r="E284" s="22"/>
      <c r="F284" s="23"/>
      <c r="G284" s="22"/>
      <c r="H284" s="22"/>
      <c r="I284" s="23"/>
    </row>
    <row r="285" spans="1:9" ht="13.8" x14ac:dyDescent="0.3">
      <c r="A285" s="22"/>
      <c r="B285" s="22"/>
      <c r="C285" s="22"/>
      <c r="D285" s="22"/>
      <c r="E285" s="22"/>
      <c r="F285" s="23"/>
      <c r="G285" s="22"/>
      <c r="H285" s="22"/>
      <c r="I285" s="23"/>
    </row>
    <row r="286" spans="1:9" ht="13.8" x14ac:dyDescent="0.3">
      <c r="A286" s="22"/>
      <c r="B286" s="22"/>
      <c r="C286" s="22"/>
      <c r="D286" s="22"/>
      <c r="E286" s="22"/>
      <c r="F286" s="23"/>
      <c r="G286" s="22"/>
      <c r="H286" s="22"/>
      <c r="I286" s="23"/>
    </row>
    <row r="287" spans="1:9" ht="13.8" x14ac:dyDescent="0.3">
      <c r="A287" s="22"/>
      <c r="B287" s="22"/>
      <c r="C287" s="22"/>
      <c r="D287" s="22"/>
      <c r="E287" s="22"/>
      <c r="F287" s="23"/>
      <c r="G287" s="22"/>
      <c r="H287" s="22"/>
      <c r="I287" s="23"/>
    </row>
    <row r="288" spans="1:9" ht="13.8" x14ac:dyDescent="0.3">
      <c r="A288" s="22"/>
      <c r="B288" s="22"/>
      <c r="C288" s="22"/>
      <c r="D288" s="22"/>
      <c r="E288" s="22"/>
      <c r="F288" s="23"/>
      <c r="G288" s="22"/>
      <c r="H288" s="22"/>
      <c r="I288" s="23"/>
    </row>
    <row r="289" spans="1:9" ht="13.8" x14ac:dyDescent="0.3">
      <c r="A289" s="22"/>
      <c r="B289" s="22"/>
      <c r="C289" s="22"/>
      <c r="D289" s="22"/>
      <c r="E289" s="22"/>
      <c r="F289" s="23"/>
      <c r="G289" s="22"/>
      <c r="H289" s="22"/>
      <c r="I289" s="23"/>
    </row>
    <row r="290" spans="1:9" ht="13.8" x14ac:dyDescent="0.3">
      <c r="A290" s="22"/>
      <c r="B290" s="22"/>
      <c r="C290" s="22"/>
      <c r="D290" s="22"/>
      <c r="E290" s="22"/>
      <c r="F290" s="23"/>
      <c r="G290" s="22"/>
      <c r="H290" s="22"/>
      <c r="I290" s="23"/>
    </row>
    <row r="291" spans="1:9" ht="13.8" x14ac:dyDescent="0.3">
      <c r="A291" s="22"/>
      <c r="B291" s="22"/>
      <c r="C291" s="22"/>
      <c r="D291" s="22"/>
      <c r="E291" s="22"/>
      <c r="F291" s="23"/>
      <c r="G291" s="22"/>
      <c r="H291" s="22"/>
      <c r="I291" s="23"/>
    </row>
    <row r="292" spans="1:9" ht="13.8" x14ac:dyDescent="0.3">
      <c r="A292" s="22"/>
      <c r="B292" s="22"/>
      <c r="C292" s="22"/>
      <c r="D292" s="22"/>
      <c r="E292" s="22"/>
      <c r="F292" s="23"/>
      <c r="G292" s="22"/>
      <c r="H292" s="22"/>
      <c r="I292" s="23"/>
    </row>
    <row r="293" spans="1:9" ht="13.8" x14ac:dyDescent="0.3">
      <c r="A293" s="22"/>
      <c r="B293" s="22"/>
      <c r="C293" s="22"/>
      <c r="D293" s="22"/>
      <c r="E293" s="22"/>
      <c r="F293" s="23"/>
      <c r="G293" s="22"/>
      <c r="H293" s="22"/>
      <c r="I293" s="23"/>
    </row>
    <row r="294" spans="1:9" ht="13.8" x14ac:dyDescent="0.3">
      <c r="A294" s="22"/>
      <c r="B294" s="22"/>
      <c r="C294" s="22"/>
      <c r="D294" s="22"/>
      <c r="E294" s="22"/>
      <c r="F294" s="23"/>
      <c r="G294" s="22"/>
      <c r="H294" s="22"/>
      <c r="I294" s="23"/>
    </row>
    <row r="295" spans="1:9" ht="13.8" x14ac:dyDescent="0.3">
      <c r="A295" s="22"/>
      <c r="B295" s="22"/>
      <c r="C295" s="22"/>
      <c r="D295" s="22"/>
      <c r="E295" s="22"/>
      <c r="F295" s="23"/>
      <c r="G295" s="22"/>
      <c r="H295" s="22"/>
      <c r="I295" s="23"/>
    </row>
    <row r="296" spans="1:9" ht="13.8" x14ac:dyDescent="0.3">
      <c r="A296" s="22"/>
      <c r="B296" s="22"/>
      <c r="C296" s="22"/>
      <c r="D296" s="22"/>
      <c r="E296" s="22"/>
      <c r="F296" s="23"/>
      <c r="G296" s="22"/>
      <c r="H296" s="22"/>
      <c r="I296" s="23"/>
    </row>
    <row r="297" spans="1:9" ht="13.8" x14ac:dyDescent="0.3">
      <c r="A297" s="22"/>
      <c r="B297" s="22"/>
      <c r="C297" s="22"/>
      <c r="D297" s="22"/>
      <c r="E297" s="22"/>
      <c r="F297" s="23"/>
      <c r="G297" s="22"/>
      <c r="H297" s="22"/>
      <c r="I297" s="23"/>
    </row>
    <row r="298" spans="1:9" ht="13.8" x14ac:dyDescent="0.3">
      <c r="A298" s="22"/>
      <c r="B298" s="22"/>
      <c r="C298" s="22"/>
      <c r="D298" s="22"/>
      <c r="E298" s="22"/>
      <c r="F298" s="23"/>
      <c r="G298" s="22"/>
      <c r="H298" s="22"/>
      <c r="I298" s="23"/>
    </row>
    <row r="299" spans="1:9" ht="13.8" x14ac:dyDescent="0.3">
      <c r="A299" s="22"/>
      <c r="B299" s="22"/>
      <c r="C299" s="22"/>
      <c r="D299" s="22"/>
      <c r="E299" s="22"/>
      <c r="F299" s="23"/>
      <c r="G299" s="22"/>
      <c r="H299" s="22"/>
      <c r="I299" s="23"/>
    </row>
    <row r="300" spans="1:9" ht="13.8" x14ac:dyDescent="0.3">
      <c r="A300" s="22"/>
      <c r="B300" s="22"/>
      <c r="C300" s="22"/>
      <c r="D300" s="22"/>
      <c r="E300" s="22"/>
      <c r="F300" s="23"/>
      <c r="G300" s="22"/>
      <c r="H300" s="22"/>
      <c r="I300" s="23"/>
    </row>
    <row r="301" spans="1:9" ht="13.8" x14ac:dyDescent="0.3">
      <c r="A301" s="22"/>
      <c r="B301" s="22"/>
      <c r="C301" s="22"/>
      <c r="D301" s="22"/>
      <c r="E301" s="22"/>
      <c r="F301" s="23"/>
      <c r="G301" s="22"/>
      <c r="H301" s="22"/>
      <c r="I301" s="23"/>
    </row>
    <row r="302" spans="1:9" ht="13.8" x14ac:dyDescent="0.3">
      <c r="A302" s="22"/>
      <c r="B302" s="22"/>
      <c r="C302" s="22"/>
      <c r="D302" s="22"/>
      <c r="E302" s="22"/>
      <c r="F302" s="23"/>
      <c r="G302" s="22"/>
      <c r="H302" s="22"/>
      <c r="I302" s="23"/>
    </row>
    <row r="303" spans="1:9" ht="13.8" x14ac:dyDescent="0.3">
      <c r="A303" s="22"/>
      <c r="B303" s="22"/>
      <c r="C303" s="22"/>
      <c r="D303" s="22"/>
      <c r="E303" s="22"/>
      <c r="F303" s="23"/>
      <c r="G303" s="22"/>
      <c r="H303" s="22"/>
      <c r="I303" s="23"/>
    </row>
    <row r="304" spans="1:9" ht="13.8" x14ac:dyDescent="0.3">
      <c r="A304" s="22"/>
      <c r="B304" s="22"/>
      <c r="C304" s="22"/>
      <c r="D304" s="22"/>
      <c r="E304" s="22"/>
      <c r="F304" s="23"/>
      <c r="G304" s="22"/>
      <c r="H304" s="22"/>
      <c r="I304" s="23"/>
    </row>
    <row r="305" spans="1:9" ht="13.8" x14ac:dyDescent="0.3">
      <c r="A305" s="22"/>
      <c r="B305" s="22"/>
      <c r="C305" s="22"/>
      <c r="D305" s="22"/>
      <c r="E305" s="22"/>
      <c r="F305" s="23"/>
      <c r="G305" s="22"/>
      <c r="H305" s="22"/>
      <c r="I305" s="23"/>
    </row>
    <row r="306" spans="1:9" ht="13.8" x14ac:dyDescent="0.3">
      <c r="A306" s="22"/>
      <c r="B306" s="22"/>
      <c r="C306" s="22"/>
      <c r="D306" s="22"/>
      <c r="E306" s="22"/>
      <c r="F306" s="23"/>
      <c r="G306" s="22"/>
      <c r="H306" s="22"/>
      <c r="I306" s="23"/>
    </row>
    <row r="307" spans="1:9" ht="13.8" x14ac:dyDescent="0.3">
      <c r="A307" s="22"/>
      <c r="B307" s="22"/>
      <c r="C307" s="22"/>
      <c r="D307" s="22"/>
      <c r="E307" s="22"/>
      <c r="F307" s="23"/>
      <c r="G307" s="22"/>
      <c r="H307" s="22"/>
      <c r="I307" s="23"/>
    </row>
    <row r="308" spans="1:9" ht="13.8" x14ac:dyDescent="0.3">
      <c r="A308" s="22"/>
      <c r="B308" s="22"/>
      <c r="C308" s="22"/>
      <c r="D308" s="22"/>
      <c r="E308" s="22"/>
      <c r="F308" s="23"/>
      <c r="G308" s="22"/>
      <c r="H308" s="22"/>
      <c r="I308" s="23"/>
    </row>
    <row r="309" spans="1:9" ht="13.8" x14ac:dyDescent="0.3">
      <c r="A309" s="22"/>
      <c r="B309" s="22"/>
      <c r="C309" s="22"/>
      <c r="D309" s="22"/>
      <c r="E309" s="22"/>
      <c r="F309" s="23"/>
      <c r="G309" s="22"/>
      <c r="H309" s="22"/>
      <c r="I309" s="23"/>
    </row>
    <row r="310" spans="1:9" ht="13.8" x14ac:dyDescent="0.3">
      <c r="A310" s="22"/>
      <c r="B310" s="22"/>
      <c r="C310" s="22"/>
      <c r="D310" s="22"/>
      <c r="E310" s="22"/>
      <c r="F310" s="23"/>
      <c r="G310" s="22"/>
      <c r="H310" s="22"/>
      <c r="I310" s="23"/>
    </row>
    <row r="311" spans="1:9" ht="13.8" x14ac:dyDescent="0.3">
      <c r="A311" s="22"/>
      <c r="B311" s="22"/>
      <c r="C311" s="22"/>
      <c r="D311" s="22"/>
      <c r="E311" s="22"/>
      <c r="F311" s="23"/>
      <c r="G311" s="22"/>
      <c r="H311" s="22"/>
      <c r="I311" s="23"/>
    </row>
    <row r="312" spans="1:9" ht="13.8" x14ac:dyDescent="0.3">
      <c r="A312" s="22"/>
      <c r="B312" s="22"/>
      <c r="C312" s="22"/>
      <c r="D312" s="22"/>
      <c r="E312" s="22"/>
      <c r="F312" s="23"/>
      <c r="G312" s="22"/>
      <c r="H312" s="22"/>
      <c r="I312" s="23"/>
    </row>
    <row r="313" spans="1:9" ht="13.8" x14ac:dyDescent="0.3">
      <c r="A313" s="22"/>
      <c r="B313" s="22"/>
      <c r="C313" s="22"/>
      <c r="D313" s="22"/>
      <c r="E313" s="22"/>
      <c r="F313" s="23"/>
      <c r="G313" s="22"/>
      <c r="H313" s="22"/>
      <c r="I313" s="23"/>
    </row>
    <row r="314" spans="1:9" ht="13.8" x14ac:dyDescent="0.3">
      <c r="A314" s="22"/>
      <c r="B314" s="22"/>
      <c r="C314" s="22"/>
      <c r="D314" s="22"/>
      <c r="E314" s="22"/>
      <c r="F314" s="23"/>
      <c r="G314" s="22"/>
      <c r="H314" s="22"/>
      <c r="I314" s="23"/>
    </row>
    <row r="315" spans="1:9" ht="13.8" x14ac:dyDescent="0.3">
      <c r="A315" s="22"/>
      <c r="B315" s="22"/>
      <c r="C315" s="22"/>
      <c r="D315" s="22"/>
      <c r="E315" s="22"/>
      <c r="F315" s="23"/>
      <c r="G315" s="22"/>
      <c r="H315" s="22"/>
      <c r="I315" s="23"/>
    </row>
    <row r="316" spans="1:9" ht="13.8" x14ac:dyDescent="0.3">
      <c r="A316" s="22"/>
      <c r="B316" s="22"/>
      <c r="C316" s="22"/>
      <c r="D316" s="22"/>
      <c r="E316" s="22"/>
      <c r="F316" s="23"/>
      <c r="G316" s="22"/>
      <c r="H316" s="22"/>
      <c r="I316" s="23"/>
    </row>
    <row r="317" spans="1:9" ht="13.8" x14ac:dyDescent="0.3">
      <c r="A317" s="22"/>
      <c r="B317" s="22"/>
      <c r="C317" s="22"/>
      <c r="D317" s="22"/>
      <c r="E317" s="22"/>
      <c r="F317" s="23"/>
      <c r="G317" s="22"/>
      <c r="H317" s="22"/>
      <c r="I317" s="23"/>
    </row>
    <row r="318" spans="1:9" ht="13.8" x14ac:dyDescent="0.3">
      <c r="A318" s="22"/>
      <c r="B318" s="22"/>
      <c r="C318" s="22"/>
      <c r="D318" s="22"/>
      <c r="E318" s="22"/>
      <c r="F318" s="23"/>
      <c r="G318" s="22"/>
      <c r="H318" s="22"/>
      <c r="I318" s="23"/>
    </row>
    <row r="319" spans="1:9" ht="13.8" x14ac:dyDescent="0.3">
      <c r="A319" s="22"/>
      <c r="B319" s="22"/>
      <c r="C319" s="22"/>
      <c r="D319" s="22"/>
      <c r="E319" s="22"/>
      <c r="F319" s="23"/>
      <c r="G319" s="22"/>
      <c r="H319" s="22"/>
      <c r="I319" s="23"/>
    </row>
    <row r="320" spans="1:9" ht="13.8" x14ac:dyDescent="0.3">
      <c r="A320" s="22"/>
      <c r="B320" s="22"/>
      <c r="C320" s="22"/>
      <c r="D320" s="22"/>
      <c r="E320" s="22"/>
      <c r="F320" s="23"/>
      <c r="G320" s="22"/>
      <c r="H320" s="22"/>
      <c r="I320" s="23"/>
    </row>
    <row r="321" spans="1:9" ht="13.8" x14ac:dyDescent="0.3">
      <c r="A321" s="22"/>
      <c r="B321" s="22"/>
      <c r="C321" s="22"/>
      <c r="D321" s="22"/>
      <c r="E321" s="22"/>
      <c r="F321" s="23"/>
      <c r="G321" s="22"/>
      <c r="H321" s="22"/>
      <c r="I321" s="23"/>
    </row>
    <row r="322" spans="1:9" ht="13.8" x14ac:dyDescent="0.3">
      <c r="A322" s="22"/>
      <c r="B322" s="22"/>
      <c r="C322" s="22"/>
      <c r="D322" s="22"/>
      <c r="E322" s="22"/>
      <c r="F322" s="23"/>
      <c r="G322" s="22"/>
      <c r="H322" s="22"/>
      <c r="I322" s="23"/>
    </row>
    <row r="323" spans="1:9" ht="13.8" x14ac:dyDescent="0.3">
      <c r="A323" s="22"/>
      <c r="B323" s="22"/>
      <c r="C323" s="22"/>
      <c r="D323" s="22"/>
      <c r="E323" s="22"/>
      <c r="F323" s="23"/>
      <c r="G323" s="22"/>
      <c r="H323" s="22"/>
      <c r="I323" s="23"/>
    </row>
    <row r="324" spans="1:9" ht="13.8" x14ac:dyDescent="0.3">
      <c r="A324" s="22"/>
      <c r="B324" s="22"/>
      <c r="C324" s="22"/>
      <c r="D324" s="22"/>
      <c r="E324" s="22"/>
      <c r="F324" s="23"/>
      <c r="G324" s="22"/>
      <c r="H324" s="22"/>
      <c r="I324" s="23"/>
    </row>
    <row r="325" spans="1:9" ht="13.8" x14ac:dyDescent="0.3">
      <c r="A325" s="22"/>
      <c r="B325" s="22"/>
      <c r="C325" s="22"/>
      <c r="D325" s="22"/>
      <c r="E325" s="22"/>
      <c r="F325" s="23"/>
      <c r="G325" s="22"/>
      <c r="H325" s="22"/>
      <c r="I325" s="23"/>
    </row>
    <row r="326" spans="1:9" ht="13.8" x14ac:dyDescent="0.3">
      <c r="A326" s="22"/>
      <c r="B326" s="22"/>
      <c r="C326" s="22"/>
      <c r="D326" s="22"/>
      <c r="E326" s="22"/>
      <c r="F326" s="23"/>
      <c r="G326" s="22"/>
      <c r="H326" s="22"/>
      <c r="I326" s="23"/>
    </row>
    <row r="327" spans="1:9" ht="13.8" x14ac:dyDescent="0.3">
      <c r="A327" s="22"/>
      <c r="B327" s="22"/>
      <c r="C327" s="22"/>
      <c r="D327" s="22"/>
      <c r="E327" s="22"/>
      <c r="F327" s="23"/>
      <c r="G327" s="22"/>
      <c r="H327" s="22"/>
      <c r="I327" s="23"/>
    </row>
    <row r="328" spans="1:9" ht="13.8" x14ac:dyDescent="0.3">
      <c r="A328" s="22"/>
      <c r="B328" s="22"/>
      <c r="C328" s="22"/>
      <c r="D328" s="22"/>
      <c r="E328" s="22"/>
      <c r="F328" s="23"/>
      <c r="G328" s="22"/>
      <c r="H328" s="22"/>
      <c r="I328" s="23"/>
    </row>
    <row r="329" spans="1:9" ht="13.8" x14ac:dyDescent="0.3">
      <c r="A329" s="22"/>
      <c r="B329" s="22"/>
      <c r="C329" s="22"/>
      <c r="D329" s="22"/>
      <c r="E329" s="22"/>
      <c r="F329" s="23"/>
      <c r="G329" s="22"/>
      <c r="H329" s="22"/>
      <c r="I329" s="23"/>
    </row>
    <row r="330" spans="1:9" ht="13.8" x14ac:dyDescent="0.3">
      <c r="A330" s="22"/>
      <c r="B330" s="22"/>
      <c r="C330" s="22"/>
      <c r="D330" s="22"/>
      <c r="E330" s="22"/>
      <c r="F330" s="23"/>
      <c r="G330" s="22"/>
      <c r="H330" s="22"/>
      <c r="I330" s="23"/>
    </row>
    <row r="331" spans="1:9" ht="13.8" x14ac:dyDescent="0.3">
      <c r="A331" s="22"/>
      <c r="B331" s="22"/>
      <c r="C331" s="22"/>
      <c r="D331" s="22"/>
      <c r="E331" s="22"/>
      <c r="F331" s="23"/>
      <c r="G331" s="22"/>
      <c r="H331" s="22"/>
      <c r="I331" s="23"/>
    </row>
    <row r="332" spans="1:9" ht="13.8" x14ac:dyDescent="0.3">
      <c r="A332" s="22"/>
      <c r="B332" s="22"/>
      <c r="C332" s="22"/>
      <c r="D332" s="22"/>
      <c r="E332" s="22"/>
      <c r="F332" s="23"/>
      <c r="G332" s="22"/>
      <c r="H332" s="22"/>
      <c r="I332" s="23"/>
    </row>
    <row r="333" spans="1:9" ht="13.8" x14ac:dyDescent="0.3">
      <c r="A333" s="22"/>
      <c r="B333" s="22"/>
      <c r="C333" s="22"/>
      <c r="D333" s="22"/>
      <c r="E333" s="22"/>
      <c r="F333" s="23"/>
      <c r="G333" s="22"/>
      <c r="H333" s="22"/>
      <c r="I333" s="23"/>
    </row>
  </sheetData>
  <sortState xmlns:xlrd2="http://schemas.microsoft.com/office/spreadsheetml/2017/richdata2" ref="A3:I3">
    <sortCondition ref="A3"/>
  </sortState>
  <mergeCells count="4">
    <mergeCell ref="G1:I1"/>
    <mergeCell ref="A1:C1"/>
    <mergeCell ref="D1:F1"/>
    <mergeCell ref="A2:B2"/>
  </mergeCells>
  <conditionalFormatting sqref="F2 I2 F4:F91 I4:I91">
    <cfRule type="cellIs" dxfId="45" priority="1" stopIfTrue="1" operator="lessThanOrEqual">
      <formula>-0.1</formula>
    </cfRule>
    <cfRule type="expression" dxfId="4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3"/>
  <sheetViews>
    <sheetView workbookViewId="0">
      <pane xSplit="2" ySplit="3" topLeftCell="C4" activePane="bottomRight" state="frozen"/>
      <selection pane="topRight" activeCell="D12" sqref="D12"/>
      <selection pane="bottomLeft" activeCell="D12" sqref="D12"/>
      <selection pane="bottomRight" activeCell="M11" sqref="M11"/>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5" t="str" cm="1">
        <f t="array" ref="A1">portfolio</f>
        <v>Tortoise</v>
      </c>
      <c r="B1" s="75"/>
      <c r="C1" s="75"/>
      <c r="D1" s="76" t="s">
        <v>12</v>
      </c>
      <c r="E1" s="76"/>
      <c r="F1" s="76"/>
      <c r="G1" s="74" t="s">
        <v>13</v>
      </c>
      <c r="H1" s="74"/>
      <c r="I1" s="74"/>
    </row>
    <row r="2" spans="1:9" ht="19.5" customHeight="1" x14ac:dyDescent="0.25">
      <c r="A2" s="77" t="s">
        <v>2</v>
      </c>
      <c r="B2" s="77"/>
      <c r="C2" s="6">
        <f>SUM(C4:C91)</f>
        <v>2153023.2556077414</v>
      </c>
      <c r="D2" s="6">
        <f>SUM(D4:D91)</f>
        <v>3627509.5827217912</v>
      </c>
      <c r="E2" s="6">
        <f>C2-D2</f>
        <v>-1474486.3271140498</v>
      </c>
      <c r="F2" s="7">
        <f>IFERROR(E2/D2, 0)</f>
        <v>-0.40647344782690109</v>
      </c>
      <c r="G2" s="6">
        <f>SUM(G4:G91)</f>
        <v>2716685.0119999996</v>
      </c>
      <c r="H2" s="8">
        <f>C2-G2</f>
        <v>-563661.75639225822</v>
      </c>
      <c r="I2" s="7">
        <f>IFERROR(H2/G2, 0)</f>
        <v>-0.20748145401564069</v>
      </c>
    </row>
    <row r="3" spans="1:9" ht="14.25" customHeight="1" x14ac:dyDescent="0.25">
      <c r="A3" s="9" t="s">
        <v>3</v>
      </c>
      <c r="B3" s="9" t="s">
        <v>4</v>
      </c>
      <c r="C3" s="24" t="s">
        <v>5</v>
      </c>
      <c r="D3" s="35" t="s">
        <v>6</v>
      </c>
      <c r="E3" s="35" t="s">
        <v>7</v>
      </c>
      <c r="F3" s="36" t="s">
        <v>8</v>
      </c>
      <c r="G3" s="37" t="s">
        <v>9</v>
      </c>
      <c r="H3" s="38" t="s">
        <v>7</v>
      </c>
      <c r="I3" s="39" t="s">
        <v>8</v>
      </c>
    </row>
    <row r="4" spans="1:9" ht="15.6" x14ac:dyDescent="0.25">
      <c r="A4" s="13" t="str" cm="1">
        <f t="array" ref="A4:A13">Sites[Site]</f>
        <v>Alamosa School District</v>
      </c>
      <c r="B4" s="10" t="str" cm="1">
        <f t="array" ref="B4:B13">Sites[State]</f>
        <v>CO</v>
      </c>
      <c r="C4" s="25">
        <f>SUM(Apr!C4, May!C4, Jun!C4)</f>
        <v>210907.06801399146</v>
      </c>
      <c r="D4" s="14">
        <f>SUM(Apr!D4, May!D4, Jun!D4)</f>
        <v>366678.82261231216</v>
      </c>
      <c r="E4" s="14">
        <f>IF(AND(ISNUMBER(C4),ISNUMBER(D4)), C4-D4, "")</f>
        <v>-155771.75459832069</v>
      </c>
      <c r="F4" s="15">
        <f>IFERROR(E4/D4, "")</f>
        <v>-0.42481797418395623</v>
      </c>
      <c r="G4" s="16">
        <f>SUM(Apr!G4+May!G4+Jun!G4)</f>
        <v>410180.8499999998</v>
      </c>
      <c r="H4" s="16">
        <f>SUM(Apr!H4, May!H4, Jun!H4)</f>
        <v>-199273.78198600834</v>
      </c>
      <c r="I4" s="17">
        <f>IFERROR(H4/G4, "")</f>
        <v>-0.48581932088250446</v>
      </c>
    </row>
    <row r="5" spans="1:9" ht="15.6" x14ac:dyDescent="0.25">
      <c r="A5" s="18" t="str">
        <v>San Luis Valley</v>
      </c>
      <c r="B5" s="11" t="str">
        <v>CO</v>
      </c>
      <c r="C5" s="12">
        <f>SUM(Apr!C5, May!C5, Jun!C5)</f>
        <v>712510.75</v>
      </c>
      <c r="D5" s="19">
        <f>SUM(Apr!D5, May!D5, Jun!D5)</f>
        <v>681959.40299999993</v>
      </c>
      <c r="E5" s="19">
        <f t="shared" ref="E5:E6" si="0">IF(AND(ISNUMBER(C5),ISNUMBER(D5)), C5-D5, "")</f>
        <v>30551.347000000067</v>
      </c>
      <c r="F5" s="20">
        <f>IFERROR(E5/D5, "")</f>
        <v>4.4799363225438316E-2</v>
      </c>
      <c r="G5" s="21">
        <f>SUM(Apr!G5+May!G5+Jun!G5)</f>
        <v>0</v>
      </c>
      <c r="H5" s="21">
        <f>SUM(Apr!H5, May!H5, Jun!H5)</f>
        <v>712510.75</v>
      </c>
      <c r="I5" s="20" t="str">
        <f>IFERROR(H5/G5, "")</f>
        <v/>
      </c>
    </row>
    <row r="6" spans="1:9" ht="15.6" x14ac:dyDescent="0.25">
      <c r="A6" s="13" t="str">
        <v>Golden NREL 2</v>
      </c>
      <c r="B6" s="10" t="str">
        <v>CO</v>
      </c>
      <c r="C6" s="25">
        <f>SUM(Apr!C6, May!C6, Jun!C6)</f>
        <v>37323.751000000004</v>
      </c>
      <c r="D6" s="14">
        <f>SUM(Apr!D6, May!D6, Jun!D6)</f>
        <v>36197.906109479001</v>
      </c>
      <c r="E6" s="14">
        <f t="shared" si="0"/>
        <v>1125.8448905210025</v>
      </c>
      <c r="F6" s="15">
        <f t="shared" ref="F6:F13" si="1">IFERROR(E6/D6, "")</f>
        <v>3.1102486622180115E-2</v>
      </c>
      <c r="G6" s="16">
        <f>SUM(Apr!G6+May!G6+Jun!G6)</f>
        <v>41511.161999999997</v>
      </c>
      <c r="H6" s="16">
        <f>SUM(Apr!H6, May!H6, Jun!H6)</f>
        <v>-4187.4110000000019</v>
      </c>
      <c r="I6" s="17">
        <f t="shared" ref="I6:I13" si="2">IFERROR(H6/G6, "")</f>
        <v>-0.10087433832856817</v>
      </c>
    </row>
    <row r="7" spans="1:9" ht="15.6" x14ac:dyDescent="0.25">
      <c r="A7" s="18" t="str">
        <v>Golden NREL Wind 3</v>
      </c>
      <c r="B7" s="11" t="str">
        <v>CO</v>
      </c>
      <c r="C7" s="12">
        <f>SUM(Apr!C7, May!C7, Jun!C7)</f>
        <v>258061.68659375</v>
      </c>
      <c r="D7" s="19">
        <f>SUM(Apr!D7, May!D7, Jun!D7)</f>
        <v>452051.451</v>
      </c>
      <c r="E7" s="19">
        <f t="shared" ref="E7:E13" si="3">IF(AND(ISNUMBER(C7),ISNUMBER(D7)), C7-D7, "")</f>
        <v>-193989.76440625</v>
      </c>
      <c r="F7" s="20">
        <f t="shared" si="1"/>
        <v>-0.42913204675511596</v>
      </c>
      <c r="G7" s="21">
        <f>SUM(Apr!G7+May!G7+Jun!G7)</f>
        <v>0</v>
      </c>
      <c r="H7" s="21">
        <f>SUM(Apr!H7, May!H7, Jun!H7)</f>
        <v>258061.68659375</v>
      </c>
      <c r="I7" s="20" t="str">
        <f t="shared" si="2"/>
        <v/>
      </c>
    </row>
    <row r="8" spans="1:9" ht="15.6" x14ac:dyDescent="0.25">
      <c r="A8" s="13" t="str">
        <v>Pratt Solar Farm</v>
      </c>
      <c r="B8" s="10" t="str">
        <v>KS</v>
      </c>
      <c r="C8" s="25">
        <f>SUM(Apr!C8, May!C8, Jun!C8)</f>
        <v>934220</v>
      </c>
      <c r="D8" s="14">
        <f>SUM(Apr!D8, May!D8, Jun!D8)</f>
        <v>2090622</v>
      </c>
      <c r="E8" s="14">
        <f t="shared" si="3"/>
        <v>-1156402</v>
      </c>
      <c r="F8" s="15">
        <f t="shared" si="1"/>
        <v>-0.5531377743083159</v>
      </c>
      <c r="G8" s="16">
        <f>SUM(Apr!G8+May!G8+Jun!G8)</f>
        <v>2264993</v>
      </c>
      <c r="H8" s="16">
        <f>SUM(Apr!H8, May!H8, Jun!H8)</f>
        <v>-1330773</v>
      </c>
      <c r="I8" s="17">
        <f t="shared" si="2"/>
        <v>-0.58753956413993336</v>
      </c>
    </row>
    <row r="9" spans="1:9" ht="12.75" customHeight="1" x14ac:dyDescent="0.25">
      <c r="A9" s="18" t="str">
        <v>Rochester - 5516 Valleyhigh NW</v>
      </c>
      <c r="B9" s="11" t="str">
        <v>MN</v>
      </c>
      <c r="C9" s="12">
        <f>SUM(Apr!C9, May!C9, Jun!C9)</f>
        <v>0</v>
      </c>
      <c r="D9" s="19">
        <f>SUM(Apr!D9, May!D9, Jun!D9)</f>
        <v>0</v>
      </c>
      <c r="E9" s="19">
        <f t="shared" si="3"/>
        <v>0</v>
      </c>
      <c r="F9" s="20" t="str">
        <f t="shared" si="1"/>
        <v/>
      </c>
      <c r="G9" s="21">
        <f>SUM(Apr!G9+May!G9+Jun!G9)</f>
        <v>0</v>
      </c>
      <c r="H9" s="21">
        <f>SUM(Apr!H9, May!H9, Jun!H9)</f>
        <v>0</v>
      </c>
      <c r="I9" s="20" t="str">
        <f t="shared" si="2"/>
        <v/>
      </c>
    </row>
    <row r="10" spans="1:9" ht="15.6" x14ac:dyDescent="0.25">
      <c r="A10" s="13" t="str">
        <v>Warsaw - 2201 Richmond</v>
      </c>
      <c r="B10" s="10" t="str">
        <v>VA</v>
      </c>
      <c r="C10" s="25">
        <f>SUM(Apr!C10, May!C10, Jun!C10)</f>
        <v>0</v>
      </c>
      <c r="D10" s="14">
        <f>SUM(Apr!D10, May!D10, Jun!D10)</f>
        <v>0</v>
      </c>
      <c r="E10" s="14">
        <f t="shared" si="3"/>
        <v>0</v>
      </c>
      <c r="F10" s="15" t="str">
        <f t="shared" si="1"/>
        <v/>
      </c>
      <c r="G10" s="16">
        <f>SUM(Apr!G10+May!G10+Jun!G10)</f>
        <v>0</v>
      </c>
      <c r="H10" s="16">
        <f>SUM(Apr!H10, May!H10, Jun!H10)</f>
        <v>0</v>
      </c>
      <c r="I10" s="17" t="str">
        <f t="shared" si="2"/>
        <v/>
      </c>
    </row>
    <row r="11" spans="1:9" ht="15.6" x14ac:dyDescent="0.25">
      <c r="A11" s="18" t="str">
        <v>Mount Jackson - Randolf</v>
      </c>
      <c r="B11" s="11" t="str">
        <v>VA</v>
      </c>
      <c r="C11" s="12">
        <f>SUM(Apr!C11, May!C11, Jun!C11)</f>
        <v>0</v>
      </c>
      <c r="D11" s="19">
        <f>SUM(Apr!D11, May!D11, Jun!D11)</f>
        <v>0</v>
      </c>
      <c r="E11" s="19">
        <f t="shared" si="3"/>
        <v>0</v>
      </c>
      <c r="F11" s="20" t="str">
        <f t="shared" si="1"/>
        <v/>
      </c>
      <c r="G11" s="21">
        <f>SUM(Apr!G11+May!G11+Jun!G11)</f>
        <v>0</v>
      </c>
      <c r="H11" s="21">
        <f>SUM(Apr!H11, May!H11, Jun!H11)</f>
        <v>0</v>
      </c>
      <c r="I11" s="20" t="str">
        <f t="shared" si="2"/>
        <v/>
      </c>
    </row>
    <row r="12" spans="1:9" ht="15.6" x14ac:dyDescent="0.25">
      <c r="A12" s="13" t="str">
        <v>Callands Gretna - Monroe</v>
      </c>
      <c r="B12" s="10" t="str">
        <v>VA</v>
      </c>
      <c r="C12" s="25">
        <f>SUM(Apr!C12, May!C12, Jun!C12)</f>
        <v>0</v>
      </c>
      <c r="D12" s="14">
        <f>SUM(Apr!D12, May!D12, Jun!D12)</f>
        <v>0</v>
      </c>
      <c r="E12" s="14">
        <f t="shared" si="3"/>
        <v>0</v>
      </c>
      <c r="F12" s="15" t="str">
        <f t="shared" si="1"/>
        <v/>
      </c>
      <c r="G12" s="16">
        <f>SUM(Apr!G12+May!G12+Jun!G12)</f>
        <v>0</v>
      </c>
      <c r="H12" s="16">
        <f>SUM(Apr!H12, May!H12, Jun!H12)</f>
        <v>0</v>
      </c>
      <c r="I12" s="17" t="str">
        <f t="shared" si="2"/>
        <v/>
      </c>
    </row>
    <row r="13" spans="1:9" ht="15.6" x14ac:dyDescent="0.25">
      <c r="A13" s="18" t="str">
        <v>Rockbridge Baths - Small Mouth Bass</v>
      </c>
      <c r="B13" s="11" t="str">
        <v>VA</v>
      </c>
      <c r="C13" s="12">
        <f>SUM(Apr!C13, May!C13, Jun!C13)</f>
        <v>0</v>
      </c>
      <c r="D13" s="19">
        <f>SUM(Apr!D13, May!D13, Jun!D13)</f>
        <v>0</v>
      </c>
      <c r="E13" s="19">
        <f t="shared" si="3"/>
        <v>0</v>
      </c>
      <c r="F13" s="20" t="str">
        <f t="shared" si="1"/>
        <v/>
      </c>
      <c r="G13" s="21">
        <f>SUM(Apr!G13+May!G13+Jun!G13)</f>
        <v>0</v>
      </c>
      <c r="H13" s="21">
        <f>SUM(Apr!H13, May!H13, Jun!H13)</f>
        <v>0</v>
      </c>
      <c r="I13" s="20" t="str">
        <f t="shared" si="2"/>
        <v/>
      </c>
    </row>
    <row r="14" spans="1:9" ht="13.8" x14ac:dyDescent="0.3">
      <c r="A14" s="22"/>
      <c r="B14" s="22"/>
      <c r="C14" s="22"/>
      <c r="D14" s="22"/>
      <c r="E14" s="22"/>
      <c r="F14" s="22"/>
      <c r="G14" s="22"/>
      <c r="H14" s="22"/>
      <c r="I14" s="22"/>
    </row>
    <row r="15" spans="1:9" ht="13.8" x14ac:dyDescent="0.3">
      <c r="A15" s="22"/>
      <c r="B15" s="22"/>
      <c r="C15" s="22"/>
      <c r="D15" s="22"/>
      <c r="E15" s="22"/>
      <c r="F15" s="22"/>
      <c r="G15" s="22"/>
      <c r="H15" s="22"/>
      <c r="I15" s="22"/>
    </row>
    <row r="16" spans="1:9" ht="13.8" x14ac:dyDescent="0.3">
      <c r="A16" s="22"/>
      <c r="B16" s="22"/>
      <c r="C16" s="22"/>
      <c r="D16" s="22"/>
      <c r="E16" s="22"/>
      <c r="F16" s="22"/>
      <c r="G16" s="22"/>
      <c r="H16" s="22"/>
      <c r="I16" s="22"/>
    </row>
    <row r="17" spans="1:9" ht="13.8" x14ac:dyDescent="0.3">
      <c r="A17" s="22"/>
      <c r="B17" s="22"/>
      <c r="C17" s="22"/>
      <c r="D17" s="22"/>
      <c r="E17" s="22"/>
      <c r="F17" s="22"/>
      <c r="G17" s="22"/>
      <c r="H17" s="22"/>
      <c r="I17" s="22"/>
    </row>
    <row r="18" spans="1:9" ht="13.8" x14ac:dyDescent="0.3">
      <c r="A18" s="22"/>
      <c r="B18" s="22"/>
      <c r="C18" s="22"/>
      <c r="D18" s="22"/>
      <c r="E18" s="22"/>
      <c r="F18" s="22"/>
      <c r="G18" s="22"/>
      <c r="H18" s="22"/>
      <c r="I18" s="22"/>
    </row>
    <row r="19" spans="1:9" ht="13.8" x14ac:dyDescent="0.3">
      <c r="A19" s="22"/>
      <c r="B19" s="22"/>
      <c r="C19" s="22"/>
      <c r="D19" s="22"/>
      <c r="E19" s="22"/>
      <c r="F19" s="22"/>
      <c r="G19" s="22"/>
      <c r="H19" s="22"/>
      <c r="I19" s="22"/>
    </row>
    <row r="20" spans="1:9" ht="13.8" x14ac:dyDescent="0.3">
      <c r="A20" s="22"/>
      <c r="B20" s="22"/>
      <c r="C20" s="22"/>
      <c r="D20" s="22"/>
      <c r="E20" s="22"/>
      <c r="F20" s="22"/>
      <c r="G20" s="22"/>
      <c r="H20" s="22"/>
      <c r="I20" s="22"/>
    </row>
    <row r="21" spans="1:9" ht="13.8" x14ac:dyDescent="0.3">
      <c r="A21" s="22"/>
      <c r="B21" s="22"/>
      <c r="C21" s="22"/>
      <c r="D21" s="22"/>
      <c r="E21" s="22"/>
      <c r="F21" s="22"/>
      <c r="G21" s="22"/>
      <c r="H21" s="22"/>
      <c r="I21" s="22"/>
    </row>
    <row r="22" spans="1:9" ht="13.8" x14ac:dyDescent="0.3">
      <c r="A22" s="22"/>
      <c r="B22" s="22"/>
      <c r="C22" s="22"/>
      <c r="D22" s="22"/>
      <c r="E22" s="22"/>
      <c r="F22" s="22"/>
      <c r="G22" s="22"/>
      <c r="H22" s="22"/>
      <c r="I22" s="22"/>
    </row>
    <row r="23" spans="1:9" ht="13.8" x14ac:dyDescent="0.3">
      <c r="A23" s="22"/>
      <c r="B23" s="22"/>
      <c r="C23" s="22"/>
      <c r="D23" s="22"/>
      <c r="E23" s="22"/>
      <c r="F23" s="22"/>
      <c r="G23" s="22"/>
      <c r="H23" s="22"/>
      <c r="I23" s="22"/>
    </row>
    <row r="24" spans="1:9" ht="13.8" x14ac:dyDescent="0.3">
      <c r="A24" s="22"/>
      <c r="B24" s="22"/>
      <c r="C24" s="22"/>
      <c r="D24" s="22"/>
      <c r="E24" s="22"/>
      <c r="F24" s="23"/>
      <c r="G24" s="22"/>
      <c r="H24" s="22"/>
      <c r="I24" s="23"/>
    </row>
    <row r="25" spans="1:9" ht="13.8" x14ac:dyDescent="0.3">
      <c r="A25" s="22"/>
      <c r="B25" s="22"/>
      <c r="C25" s="22"/>
      <c r="D25" s="22"/>
      <c r="E25" s="22"/>
      <c r="F25" s="23"/>
      <c r="G25" s="22"/>
      <c r="H25" s="22"/>
      <c r="I25" s="23"/>
    </row>
    <row r="26" spans="1:9" ht="13.8" x14ac:dyDescent="0.3">
      <c r="A26" s="22"/>
      <c r="B26" s="22"/>
      <c r="C26" s="22"/>
      <c r="D26" s="22"/>
      <c r="E26" s="22"/>
      <c r="F26" s="23"/>
      <c r="G26" s="22"/>
      <c r="H26" s="22"/>
      <c r="I26" s="23"/>
    </row>
    <row r="27" spans="1:9" ht="13.8" x14ac:dyDescent="0.3">
      <c r="A27" s="22"/>
      <c r="B27" s="22"/>
      <c r="C27" s="22"/>
      <c r="D27" s="22"/>
      <c r="E27" s="22"/>
      <c r="F27" s="23"/>
      <c r="G27" s="22"/>
      <c r="H27" s="22"/>
      <c r="I27" s="23"/>
    </row>
    <row r="28" spans="1:9" ht="13.8" x14ac:dyDescent="0.3">
      <c r="A28" s="22"/>
      <c r="B28" s="22"/>
      <c r="C28" s="22"/>
      <c r="D28" s="22"/>
      <c r="E28" s="22"/>
      <c r="F28" s="23"/>
      <c r="G28" s="22"/>
      <c r="H28" s="22"/>
      <c r="I28" s="23"/>
    </row>
    <row r="29" spans="1:9" ht="13.8" x14ac:dyDescent="0.3">
      <c r="A29" s="22"/>
      <c r="B29" s="22"/>
      <c r="C29" s="22"/>
      <c r="D29" s="22"/>
      <c r="E29" s="22"/>
      <c r="F29" s="23"/>
      <c r="G29" s="22"/>
      <c r="H29" s="22"/>
      <c r="I29" s="23"/>
    </row>
    <row r="30" spans="1:9" ht="13.8" x14ac:dyDescent="0.3">
      <c r="A30" s="22"/>
      <c r="B30" s="22"/>
      <c r="C30" s="22"/>
      <c r="D30" s="22"/>
      <c r="E30" s="22"/>
      <c r="F30" s="23"/>
      <c r="G30" s="22"/>
      <c r="H30" s="22"/>
      <c r="I30" s="23"/>
    </row>
    <row r="31" spans="1:9" ht="13.8" x14ac:dyDescent="0.3">
      <c r="A31" s="22"/>
      <c r="B31" s="22"/>
      <c r="C31" s="22"/>
      <c r="D31" s="22"/>
      <c r="E31" s="22"/>
      <c r="F31" s="23"/>
      <c r="G31" s="22"/>
      <c r="H31" s="22"/>
      <c r="I31" s="23"/>
    </row>
    <row r="32" spans="1:9" ht="13.8" x14ac:dyDescent="0.3">
      <c r="A32" s="22"/>
      <c r="B32" s="22"/>
      <c r="C32" s="22"/>
      <c r="D32" s="22"/>
      <c r="E32" s="22"/>
      <c r="F32" s="23"/>
      <c r="G32" s="22"/>
      <c r="H32" s="22"/>
      <c r="I32" s="23"/>
    </row>
    <row r="33" spans="1:9" ht="13.8" x14ac:dyDescent="0.3">
      <c r="A33" s="22"/>
      <c r="B33" s="22"/>
      <c r="C33" s="22"/>
      <c r="D33" s="22"/>
      <c r="E33" s="22"/>
      <c r="F33" s="23"/>
      <c r="G33" s="22"/>
      <c r="H33" s="22"/>
      <c r="I33" s="23"/>
    </row>
    <row r="34" spans="1:9" ht="13.8" x14ac:dyDescent="0.3">
      <c r="A34" s="22"/>
      <c r="B34" s="22"/>
      <c r="C34" s="22"/>
      <c r="D34" s="22"/>
      <c r="E34" s="22"/>
      <c r="F34" s="23"/>
      <c r="G34" s="22"/>
      <c r="H34" s="22"/>
      <c r="I34" s="23"/>
    </row>
    <row r="35" spans="1:9" ht="13.8" x14ac:dyDescent="0.3">
      <c r="A35" s="22"/>
      <c r="B35" s="22"/>
      <c r="C35" s="22"/>
      <c r="D35" s="22"/>
      <c r="E35" s="22"/>
      <c r="F35" s="23"/>
      <c r="G35" s="22"/>
      <c r="H35" s="22"/>
      <c r="I35" s="23"/>
    </row>
    <row r="36" spans="1:9" ht="13.8" x14ac:dyDescent="0.3">
      <c r="A36" s="22"/>
      <c r="B36" s="22"/>
      <c r="C36" s="22"/>
      <c r="D36" s="22"/>
      <c r="E36" s="22"/>
      <c r="F36" s="23"/>
      <c r="G36" s="22"/>
      <c r="H36" s="22"/>
      <c r="I36" s="23"/>
    </row>
    <row r="37" spans="1:9" ht="13.8" x14ac:dyDescent="0.3">
      <c r="A37" s="22"/>
      <c r="B37" s="22"/>
      <c r="C37" s="22"/>
      <c r="D37" s="22"/>
      <c r="E37" s="22"/>
      <c r="F37" s="23"/>
      <c r="G37" s="22"/>
      <c r="H37" s="22"/>
      <c r="I37" s="23"/>
    </row>
    <row r="38" spans="1:9" ht="13.8" x14ac:dyDescent="0.3">
      <c r="A38" s="22"/>
      <c r="B38" s="22"/>
      <c r="C38" s="22"/>
      <c r="D38" s="22"/>
      <c r="E38" s="22"/>
      <c r="F38" s="23"/>
      <c r="G38" s="22"/>
      <c r="H38" s="22"/>
      <c r="I38" s="23"/>
    </row>
    <row r="39" spans="1:9" ht="13.8" x14ac:dyDescent="0.3">
      <c r="A39" s="22"/>
      <c r="B39" s="22"/>
      <c r="C39" s="22"/>
      <c r="D39" s="22"/>
      <c r="E39" s="22"/>
      <c r="F39" s="23"/>
      <c r="G39" s="22"/>
      <c r="H39" s="22"/>
      <c r="I39" s="23"/>
    </row>
    <row r="40" spans="1:9" ht="13.8" x14ac:dyDescent="0.3">
      <c r="A40" s="22"/>
      <c r="B40" s="22"/>
      <c r="C40" s="22"/>
      <c r="D40" s="22"/>
      <c r="E40" s="22"/>
      <c r="F40" s="23"/>
      <c r="G40" s="22"/>
      <c r="H40" s="22"/>
      <c r="I40" s="23"/>
    </row>
    <row r="41" spans="1:9" ht="13.8" x14ac:dyDescent="0.3">
      <c r="A41" s="22"/>
      <c r="B41" s="22"/>
      <c r="C41" s="22"/>
      <c r="D41" s="22"/>
      <c r="E41" s="22"/>
      <c r="F41" s="23"/>
      <c r="G41" s="22"/>
      <c r="H41" s="22"/>
      <c r="I41" s="23"/>
    </row>
    <row r="42" spans="1:9" ht="13.8" x14ac:dyDescent="0.3">
      <c r="A42" s="22"/>
      <c r="B42" s="22"/>
      <c r="C42" s="22"/>
      <c r="D42" s="22"/>
      <c r="E42" s="22"/>
      <c r="F42" s="23"/>
      <c r="G42" s="22"/>
      <c r="H42" s="22"/>
      <c r="I42" s="23"/>
    </row>
    <row r="43" spans="1:9" ht="13.8" x14ac:dyDescent="0.3">
      <c r="A43" s="22"/>
      <c r="B43" s="22"/>
      <c r="C43" s="22"/>
      <c r="D43" s="22"/>
      <c r="E43" s="22"/>
      <c r="F43" s="23"/>
      <c r="G43" s="22"/>
      <c r="H43" s="22"/>
      <c r="I43" s="23"/>
    </row>
    <row r="44" spans="1:9" ht="13.8" x14ac:dyDescent="0.3">
      <c r="A44" s="22"/>
      <c r="B44" s="22"/>
      <c r="C44" s="22"/>
      <c r="D44" s="22"/>
      <c r="E44" s="22"/>
      <c r="F44" s="23"/>
      <c r="G44" s="22"/>
      <c r="H44" s="22"/>
      <c r="I44" s="23"/>
    </row>
    <row r="45" spans="1:9" ht="13.8" x14ac:dyDescent="0.3">
      <c r="A45" s="22"/>
      <c r="B45" s="22"/>
      <c r="C45" s="22"/>
      <c r="D45" s="22"/>
      <c r="E45" s="22"/>
      <c r="F45" s="23"/>
      <c r="G45" s="22"/>
      <c r="H45" s="22"/>
      <c r="I45" s="23"/>
    </row>
    <row r="46" spans="1:9" ht="13.8" x14ac:dyDescent="0.3">
      <c r="A46" s="22"/>
      <c r="B46" s="22"/>
      <c r="C46" s="22"/>
      <c r="D46" s="22"/>
      <c r="E46" s="22"/>
      <c r="F46" s="23"/>
      <c r="G46" s="22"/>
      <c r="H46" s="22"/>
      <c r="I46" s="23"/>
    </row>
    <row r="47" spans="1:9" ht="13.8" x14ac:dyDescent="0.3">
      <c r="A47" s="22"/>
      <c r="B47" s="22"/>
      <c r="C47" s="22"/>
      <c r="D47" s="22"/>
      <c r="E47" s="22"/>
      <c r="F47" s="23"/>
      <c r="G47" s="22"/>
      <c r="H47" s="22"/>
      <c r="I47" s="23"/>
    </row>
    <row r="48" spans="1:9" ht="13.8" x14ac:dyDescent="0.3">
      <c r="A48" s="22"/>
      <c r="B48" s="22"/>
      <c r="C48" s="22"/>
      <c r="D48" s="22"/>
      <c r="E48" s="22"/>
      <c r="F48" s="23"/>
      <c r="G48" s="22"/>
      <c r="H48" s="22"/>
      <c r="I48" s="23"/>
    </row>
    <row r="49" spans="1:9" ht="13.8" x14ac:dyDescent="0.3">
      <c r="A49" s="22"/>
      <c r="B49" s="22"/>
      <c r="C49" s="22"/>
      <c r="D49" s="22"/>
      <c r="E49" s="22"/>
      <c r="F49" s="23"/>
      <c r="G49" s="22"/>
      <c r="H49" s="22"/>
      <c r="I49" s="23"/>
    </row>
    <row r="50" spans="1:9" ht="13.8" x14ac:dyDescent="0.3">
      <c r="A50" s="22"/>
      <c r="B50" s="22"/>
      <c r="C50" s="22"/>
      <c r="D50" s="22"/>
      <c r="E50" s="22"/>
      <c r="F50" s="23"/>
      <c r="G50" s="22"/>
      <c r="H50" s="22"/>
      <c r="I50" s="23"/>
    </row>
    <row r="51" spans="1:9" ht="13.8" x14ac:dyDescent="0.3">
      <c r="A51" s="22"/>
      <c r="B51" s="22"/>
      <c r="C51" s="22"/>
      <c r="D51" s="22"/>
      <c r="E51" s="22"/>
      <c r="F51" s="23"/>
      <c r="G51" s="22"/>
      <c r="H51" s="22"/>
      <c r="I51" s="23"/>
    </row>
    <row r="52" spans="1:9" ht="13.8" x14ac:dyDescent="0.3">
      <c r="A52" s="22"/>
      <c r="B52" s="22"/>
      <c r="C52" s="22"/>
      <c r="D52" s="22"/>
      <c r="E52" s="22"/>
      <c r="F52" s="23"/>
      <c r="G52" s="22"/>
      <c r="H52" s="22"/>
      <c r="I52" s="23"/>
    </row>
    <row r="53" spans="1:9" ht="13.8" x14ac:dyDescent="0.3">
      <c r="A53" s="22"/>
      <c r="B53" s="22"/>
      <c r="C53" s="22"/>
      <c r="D53" s="22"/>
      <c r="E53" s="22"/>
      <c r="F53" s="23"/>
      <c r="G53" s="22"/>
      <c r="H53" s="22"/>
      <c r="I53" s="23"/>
    </row>
    <row r="54" spans="1:9" ht="13.8" x14ac:dyDescent="0.3">
      <c r="A54" s="22"/>
      <c r="B54" s="22"/>
      <c r="C54" s="22"/>
      <c r="D54" s="22"/>
      <c r="E54" s="22"/>
      <c r="F54" s="23"/>
      <c r="G54" s="22"/>
      <c r="H54" s="22"/>
      <c r="I54" s="23"/>
    </row>
    <row r="55" spans="1:9" ht="13.8" x14ac:dyDescent="0.3">
      <c r="A55" s="22"/>
      <c r="B55" s="22"/>
      <c r="C55" s="22"/>
      <c r="D55" s="22"/>
      <c r="E55" s="22"/>
      <c r="F55" s="23"/>
      <c r="G55" s="22"/>
      <c r="H55" s="22"/>
      <c r="I55" s="23"/>
    </row>
    <row r="56" spans="1:9" ht="13.8" x14ac:dyDescent="0.3">
      <c r="A56" s="22"/>
      <c r="B56" s="22"/>
      <c r="C56" s="22"/>
      <c r="D56" s="22"/>
      <c r="E56" s="22"/>
      <c r="F56" s="23"/>
      <c r="G56" s="22"/>
      <c r="H56" s="22"/>
      <c r="I56" s="23"/>
    </row>
    <row r="57" spans="1:9" ht="13.8" x14ac:dyDescent="0.3">
      <c r="A57" s="22"/>
      <c r="B57" s="22"/>
      <c r="C57" s="22"/>
      <c r="D57" s="22"/>
      <c r="E57" s="22"/>
      <c r="F57" s="23"/>
      <c r="G57" s="22"/>
      <c r="H57" s="22"/>
      <c r="I57" s="23"/>
    </row>
    <row r="58" spans="1:9" ht="13.8" x14ac:dyDescent="0.3">
      <c r="A58" s="22"/>
      <c r="B58" s="22"/>
      <c r="C58" s="22"/>
      <c r="D58" s="22"/>
      <c r="E58" s="22"/>
      <c r="F58" s="23"/>
      <c r="G58" s="22"/>
      <c r="H58" s="22"/>
      <c r="I58" s="23"/>
    </row>
    <row r="59" spans="1:9" ht="13.8" x14ac:dyDescent="0.3">
      <c r="A59" s="22"/>
      <c r="B59" s="22"/>
      <c r="C59" s="22"/>
      <c r="D59" s="22"/>
      <c r="E59" s="22"/>
      <c r="F59" s="23"/>
      <c r="G59" s="22"/>
      <c r="H59" s="22"/>
      <c r="I59" s="23"/>
    </row>
    <row r="60" spans="1:9" ht="13.8" x14ac:dyDescent="0.3">
      <c r="A60" s="22"/>
      <c r="B60" s="22"/>
      <c r="C60" s="22"/>
      <c r="D60" s="22"/>
      <c r="E60" s="22"/>
      <c r="F60" s="23"/>
      <c r="G60" s="22"/>
      <c r="H60" s="22"/>
      <c r="I60" s="23"/>
    </row>
    <row r="61" spans="1:9" ht="13.8" x14ac:dyDescent="0.3">
      <c r="A61" s="22"/>
      <c r="B61" s="22"/>
      <c r="C61" s="22"/>
      <c r="D61" s="22"/>
      <c r="E61" s="22"/>
      <c r="F61" s="23"/>
      <c r="G61" s="22"/>
      <c r="H61" s="22"/>
      <c r="I61" s="23"/>
    </row>
    <row r="62" spans="1:9" ht="13.8" x14ac:dyDescent="0.3">
      <c r="A62" s="22"/>
      <c r="B62" s="22"/>
      <c r="C62" s="22"/>
      <c r="D62" s="22"/>
      <c r="E62" s="22"/>
      <c r="F62" s="23"/>
      <c r="G62" s="22"/>
      <c r="H62" s="22"/>
      <c r="I62" s="23"/>
    </row>
    <row r="63" spans="1:9" ht="13.8" x14ac:dyDescent="0.3">
      <c r="A63" s="22"/>
      <c r="B63" s="22"/>
      <c r="C63" s="22"/>
      <c r="D63" s="22"/>
      <c r="E63" s="22"/>
      <c r="F63" s="23"/>
      <c r="G63" s="22"/>
      <c r="H63" s="22"/>
      <c r="I63" s="23"/>
    </row>
    <row r="64" spans="1:9" ht="13.8" x14ac:dyDescent="0.3">
      <c r="A64" s="22"/>
      <c r="B64" s="22"/>
      <c r="C64" s="22"/>
      <c r="D64" s="22"/>
      <c r="E64" s="22"/>
      <c r="F64" s="23"/>
      <c r="G64" s="22"/>
      <c r="H64" s="22"/>
      <c r="I64" s="23"/>
    </row>
    <row r="65" spans="1:9" ht="13.8" x14ac:dyDescent="0.3">
      <c r="A65" s="22"/>
      <c r="B65" s="22"/>
      <c r="C65" s="22"/>
      <c r="D65" s="22"/>
      <c r="E65" s="22"/>
      <c r="F65" s="23"/>
      <c r="G65" s="22"/>
      <c r="H65" s="22"/>
      <c r="I65" s="23"/>
    </row>
    <row r="66" spans="1:9" ht="13.8" x14ac:dyDescent="0.3">
      <c r="A66" s="22"/>
      <c r="B66" s="22"/>
      <c r="C66" s="22"/>
      <c r="D66" s="22"/>
      <c r="E66" s="22"/>
      <c r="F66" s="23"/>
      <c r="G66" s="22"/>
      <c r="H66" s="22"/>
      <c r="I66" s="23"/>
    </row>
    <row r="67" spans="1:9" ht="13.8" x14ac:dyDescent="0.3">
      <c r="A67" s="22"/>
      <c r="B67" s="22"/>
      <c r="C67" s="22"/>
      <c r="D67" s="22"/>
      <c r="E67" s="22"/>
      <c r="F67" s="23"/>
      <c r="G67" s="22"/>
      <c r="H67" s="22"/>
      <c r="I67" s="23"/>
    </row>
    <row r="68" spans="1:9" ht="13.8" x14ac:dyDescent="0.3">
      <c r="A68" s="22"/>
      <c r="B68" s="22"/>
      <c r="C68" s="22"/>
      <c r="D68" s="22"/>
      <c r="E68" s="22"/>
      <c r="F68" s="23"/>
      <c r="G68" s="22"/>
      <c r="H68" s="22"/>
      <c r="I68" s="23"/>
    </row>
    <row r="69" spans="1:9" ht="13.8" x14ac:dyDescent="0.3">
      <c r="A69" s="22"/>
      <c r="B69" s="22"/>
      <c r="C69" s="22"/>
      <c r="D69" s="22"/>
      <c r="E69" s="22"/>
      <c r="F69" s="23"/>
      <c r="G69" s="22"/>
      <c r="H69" s="22"/>
      <c r="I69" s="23"/>
    </row>
    <row r="70" spans="1:9" ht="13.8" x14ac:dyDescent="0.3">
      <c r="A70" s="22"/>
      <c r="B70" s="22"/>
      <c r="C70" s="22"/>
      <c r="D70" s="22"/>
      <c r="E70" s="22"/>
      <c r="F70" s="23"/>
      <c r="G70" s="22"/>
      <c r="H70" s="22"/>
      <c r="I70" s="23"/>
    </row>
    <row r="71" spans="1:9" ht="13.8" x14ac:dyDescent="0.3">
      <c r="A71" s="22"/>
      <c r="B71" s="22"/>
      <c r="C71" s="22"/>
      <c r="D71" s="22"/>
      <c r="E71" s="22"/>
      <c r="F71" s="23"/>
      <c r="G71" s="22"/>
      <c r="H71" s="22"/>
      <c r="I71" s="23"/>
    </row>
    <row r="72" spans="1:9" ht="13.8" x14ac:dyDescent="0.3">
      <c r="A72" s="22"/>
      <c r="B72" s="22"/>
      <c r="C72" s="22"/>
      <c r="D72" s="22"/>
      <c r="E72" s="22"/>
      <c r="F72" s="23"/>
      <c r="G72" s="22"/>
      <c r="H72" s="22"/>
      <c r="I72" s="23"/>
    </row>
    <row r="73" spans="1:9" ht="13.8" x14ac:dyDescent="0.3">
      <c r="A73" s="22"/>
      <c r="B73" s="22"/>
      <c r="C73" s="22"/>
      <c r="D73" s="22"/>
      <c r="E73" s="22"/>
      <c r="F73" s="23"/>
      <c r="G73" s="22"/>
      <c r="H73" s="22"/>
      <c r="I73" s="23"/>
    </row>
    <row r="74" spans="1:9" ht="13.8" x14ac:dyDescent="0.3">
      <c r="A74" s="22"/>
      <c r="B74" s="22"/>
      <c r="C74" s="22"/>
      <c r="D74" s="22"/>
      <c r="E74" s="22"/>
      <c r="F74" s="23"/>
      <c r="G74" s="22"/>
      <c r="H74" s="22"/>
      <c r="I74" s="23"/>
    </row>
    <row r="75" spans="1:9" ht="13.8" x14ac:dyDescent="0.3">
      <c r="A75" s="22"/>
      <c r="B75" s="22"/>
      <c r="C75" s="22"/>
      <c r="D75" s="22"/>
      <c r="E75" s="22"/>
      <c r="F75" s="23"/>
      <c r="G75" s="22"/>
      <c r="H75" s="22"/>
      <c r="I75" s="23"/>
    </row>
    <row r="76" spans="1:9" ht="13.8" x14ac:dyDescent="0.3">
      <c r="A76" s="22"/>
      <c r="B76" s="22"/>
      <c r="C76" s="22"/>
      <c r="D76" s="22"/>
      <c r="E76" s="22"/>
      <c r="F76" s="23"/>
      <c r="G76" s="22"/>
      <c r="H76" s="22"/>
      <c r="I76" s="23"/>
    </row>
    <row r="77" spans="1:9" ht="13.8" x14ac:dyDescent="0.3">
      <c r="A77" s="22"/>
      <c r="B77" s="22"/>
      <c r="C77" s="22"/>
      <c r="D77" s="22"/>
      <c r="E77" s="22"/>
      <c r="F77" s="23"/>
      <c r="G77" s="22"/>
      <c r="H77" s="22"/>
      <c r="I77" s="23"/>
    </row>
    <row r="78" spans="1:9" ht="13.8" x14ac:dyDescent="0.3">
      <c r="A78" s="22"/>
      <c r="B78" s="22"/>
      <c r="C78" s="22"/>
      <c r="D78" s="22"/>
      <c r="E78" s="22"/>
      <c r="F78" s="23"/>
      <c r="G78" s="22"/>
      <c r="H78" s="22"/>
      <c r="I78" s="23"/>
    </row>
    <row r="79" spans="1:9" ht="13.8" x14ac:dyDescent="0.3">
      <c r="A79" s="22"/>
      <c r="B79" s="22"/>
      <c r="C79" s="22"/>
      <c r="D79" s="22"/>
      <c r="E79" s="22"/>
      <c r="F79" s="23"/>
      <c r="G79" s="22"/>
      <c r="H79" s="22"/>
      <c r="I79" s="23"/>
    </row>
    <row r="80" spans="1:9" ht="13.8" x14ac:dyDescent="0.3">
      <c r="A80" s="22"/>
      <c r="B80" s="22"/>
      <c r="C80" s="22"/>
      <c r="D80" s="22"/>
      <c r="E80" s="22"/>
      <c r="F80" s="23"/>
      <c r="G80" s="22"/>
      <c r="H80" s="22"/>
      <c r="I80" s="23"/>
    </row>
    <row r="81" spans="1:9" ht="13.8" x14ac:dyDescent="0.3">
      <c r="A81" s="22"/>
      <c r="B81" s="22"/>
      <c r="C81" s="22"/>
      <c r="D81" s="22"/>
      <c r="E81" s="22"/>
      <c r="F81" s="23"/>
      <c r="G81" s="22"/>
      <c r="H81" s="22"/>
      <c r="I81" s="23"/>
    </row>
    <row r="82" spans="1:9" ht="13.8" x14ac:dyDescent="0.3">
      <c r="A82" s="22"/>
      <c r="B82" s="22"/>
      <c r="C82" s="22"/>
      <c r="D82" s="22"/>
      <c r="E82" s="22"/>
      <c r="F82" s="23"/>
      <c r="G82" s="22"/>
      <c r="H82" s="22"/>
      <c r="I82" s="23"/>
    </row>
    <row r="83" spans="1:9" ht="13.8" x14ac:dyDescent="0.3">
      <c r="A83" s="22"/>
      <c r="B83" s="22"/>
      <c r="C83" s="22"/>
      <c r="D83" s="22"/>
      <c r="E83" s="22"/>
      <c r="F83" s="23"/>
      <c r="G83" s="22"/>
      <c r="H83" s="22"/>
      <c r="I83" s="23"/>
    </row>
    <row r="84" spans="1:9" ht="13.8" x14ac:dyDescent="0.3">
      <c r="A84" s="22"/>
      <c r="B84" s="22"/>
      <c r="C84" s="22"/>
      <c r="D84" s="22"/>
      <c r="E84" s="22"/>
      <c r="F84" s="23"/>
      <c r="G84" s="22"/>
      <c r="H84" s="22"/>
      <c r="I84" s="23"/>
    </row>
    <row r="85" spans="1:9" ht="13.8" x14ac:dyDescent="0.3">
      <c r="A85" s="22"/>
      <c r="B85" s="22"/>
      <c r="C85" s="22"/>
      <c r="D85" s="22"/>
      <c r="E85" s="22"/>
      <c r="F85" s="23"/>
      <c r="G85" s="22"/>
      <c r="H85" s="22"/>
      <c r="I85" s="23"/>
    </row>
    <row r="86" spans="1:9" ht="13.8" x14ac:dyDescent="0.3">
      <c r="A86" s="22"/>
      <c r="B86" s="22"/>
      <c r="C86" s="22"/>
      <c r="D86" s="22"/>
      <c r="E86" s="22"/>
      <c r="F86" s="23"/>
      <c r="G86" s="22"/>
      <c r="H86" s="22"/>
      <c r="I86" s="23"/>
    </row>
    <row r="87" spans="1:9" ht="13.8" x14ac:dyDescent="0.3">
      <c r="A87" s="22"/>
      <c r="B87" s="22"/>
      <c r="C87" s="22"/>
      <c r="D87" s="22"/>
      <c r="E87" s="22"/>
      <c r="F87" s="23"/>
      <c r="G87" s="22"/>
      <c r="H87" s="22"/>
      <c r="I87" s="23"/>
    </row>
    <row r="88" spans="1:9" ht="13.8" x14ac:dyDescent="0.3">
      <c r="A88" s="22"/>
      <c r="B88" s="22"/>
      <c r="C88" s="22"/>
      <c r="D88" s="22"/>
      <c r="E88" s="22"/>
      <c r="F88" s="23"/>
      <c r="G88" s="22"/>
      <c r="H88" s="22"/>
      <c r="I88" s="23"/>
    </row>
    <row r="89" spans="1:9" ht="13.8" x14ac:dyDescent="0.3">
      <c r="A89" s="22"/>
      <c r="B89" s="22"/>
      <c r="C89" s="22"/>
      <c r="D89" s="22"/>
      <c r="E89" s="22"/>
      <c r="F89" s="23"/>
      <c r="G89" s="22"/>
      <c r="H89" s="22"/>
      <c r="I89" s="23"/>
    </row>
    <row r="90" spans="1:9" ht="13.8" x14ac:dyDescent="0.3">
      <c r="A90" s="22"/>
      <c r="B90" s="22"/>
      <c r="C90" s="22"/>
      <c r="D90" s="22"/>
      <c r="E90" s="22"/>
      <c r="F90" s="23"/>
      <c r="G90" s="22"/>
      <c r="H90" s="22"/>
      <c r="I90" s="23"/>
    </row>
    <row r="91" spans="1:9" ht="13.8" x14ac:dyDescent="0.3">
      <c r="A91" s="22"/>
      <c r="B91" s="22"/>
      <c r="C91" s="22"/>
      <c r="D91" s="22"/>
      <c r="E91" s="22"/>
      <c r="F91" s="23"/>
      <c r="G91" s="22"/>
      <c r="H91" s="22"/>
      <c r="I91" s="23"/>
    </row>
    <row r="92" spans="1:9" ht="13.8" x14ac:dyDescent="0.3">
      <c r="A92" s="22"/>
      <c r="B92" s="22"/>
      <c r="C92" s="22"/>
      <c r="D92" s="22"/>
      <c r="E92" s="22"/>
      <c r="F92" s="23"/>
      <c r="G92" s="22"/>
      <c r="H92" s="22"/>
      <c r="I92" s="23"/>
    </row>
    <row r="93" spans="1:9" ht="13.8" x14ac:dyDescent="0.3">
      <c r="A93" s="22"/>
      <c r="B93" s="22"/>
      <c r="C93" s="22"/>
      <c r="D93" s="22"/>
      <c r="E93" s="22"/>
      <c r="F93" s="23"/>
      <c r="G93" s="22"/>
      <c r="H93" s="22"/>
      <c r="I93" s="23"/>
    </row>
    <row r="94" spans="1:9" ht="13.8" x14ac:dyDescent="0.3">
      <c r="A94" s="22"/>
      <c r="B94" s="22"/>
      <c r="C94" s="22"/>
      <c r="D94" s="22"/>
      <c r="E94" s="22"/>
      <c r="F94" s="23"/>
      <c r="G94" s="22"/>
      <c r="H94" s="22"/>
      <c r="I94" s="23"/>
    </row>
    <row r="95" spans="1:9" ht="13.8" x14ac:dyDescent="0.3">
      <c r="A95" s="22"/>
      <c r="B95" s="22"/>
      <c r="C95" s="22"/>
      <c r="D95" s="22"/>
      <c r="E95" s="22"/>
      <c r="F95" s="23"/>
      <c r="G95" s="22"/>
      <c r="H95" s="22"/>
      <c r="I95" s="23"/>
    </row>
    <row r="96" spans="1:9" ht="13.8" x14ac:dyDescent="0.3">
      <c r="A96" s="22"/>
      <c r="B96" s="22"/>
      <c r="C96" s="22"/>
      <c r="D96" s="22"/>
      <c r="E96" s="22"/>
      <c r="F96" s="23"/>
      <c r="G96" s="22"/>
      <c r="H96" s="22"/>
      <c r="I96" s="23"/>
    </row>
    <row r="97" spans="1:9" ht="13.8" x14ac:dyDescent="0.3">
      <c r="A97" s="22"/>
      <c r="B97" s="22"/>
      <c r="C97" s="22"/>
      <c r="D97" s="22"/>
      <c r="E97" s="22"/>
      <c r="F97" s="23"/>
      <c r="G97" s="22"/>
      <c r="H97" s="22"/>
      <c r="I97" s="23"/>
    </row>
    <row r="98" spans="1:9" ht="13.8" x14ac:dyDescent="0.3">
      <c r="A98" s="22"/>
      <c r="B98" s="22"/>
      <c r="C98" s="22"/>
      <c r="D98" s="22"/>
      <c r="E98" s="22"/>
      <c r="F98" s="23"/>
      <c r="G98" s="22"/>
      <c r="H98" s="22"/>
      <c r="I98" s="23"/>
    </row>
    <row r="99" spans="1:9" ht="13.8" x14ac:dyDescent="0.3">
      <c r="A99" s="22"/>
      <c r="B99" s="22"/>
      <c r="C99" s="22"/>
      <c r="D99" s="22"/>
      <c r="E99" s="22"/>
      <c r="F99" s="23"/>
      <c r="G99" s="22"/>
      <c r="H99" s="22"/>
      <c r="I99" s="23"/>
    </row>
    <row r="100" spans="1:9" ht="13.8" x14ac:dyDescent="0.3">
      <c r="A100" s="22"/>
      <c r="B100" s="22"/>
      <c r="C100" s="22"/>
      <c r="D100" s="22"/>
      <c r="E100" s="22"/>
      <c r="F100" s="23"/>
      <c r="G100" s="22"/>
      <c r="H100" s="22"/>
      <c r="I100" s="23"/>
    </row>
    <row r="101" spans="1:9" ht="13.8" x14ac:dyDescent="0.3">
      <c r="A101" s="22"/>
      <c r="B101" s="22"/>
      <c r="C101" s="22"/>
      <c r="D101" s="22"/>
      <c r="E101" s="22"/>
      <c r="F101" s="23"/>
      <c r="G101" s="22"/>
      <c r="H101" s="22"/>
      <c r="I101" s="23"/>
    </row>
    <row r="102" spans="1:9" ht="13.8" x14ac:dyDescent="0.3">
      <c r="A102" s="22"/>
      <c r="B102" s="22"/>
      <c r="C102" s="22"/>
      <c r="D102" s="22"/>
      <c r="E102" s="22"/>
      <c r="F102" s="23"/>
      <c r="G102" s="22"/>
      <c r="H102" s="22"/>
      <c r="I102" s="23"/>
    </row>
    <row r="103" spans="1:9" ht="13.8" x14ac:dyDescent="0.3">
      <c r="A103" s="22"/>
      <c r="B103" s="22"/>
      <c r="C103" s="22"/>
      <c r="D103" s="22"/>
      <c r="E103" s="22"/>
      <c r="F103" s="23"/>
      <c r="G103" s="22"/>
      <c r="H103" s="22"/>
      <c r="I103" s="23"/>
    </row>
    <row r="104" spans="1:9" ht="13.8" x14ac:dyDescent="0.3">
      <c r="A104" s="22"/>
      <c r="B104" s="22"/>
      <c r="C104" s="22"/>
      <c r="D104" s="22"/>
      <c r="E104" s="22"/>
      <c r="F104" s="23"/>
      <c r="G104" s="22"/>
      <c r="H104" s="22"/>
      <c r="I104" s="23"/>
    </row>
    <row r="105" spans="1:9" ht="13.8" x14ac:dyDescent="0.3">
      <c r="A105" s="22"/>
      <c r="B105" s="22"/>
      <c r="C105" s="22"/>
      <c r="D105" s="22"/>
      <c r="E105" s="22"/>
      <c r="F105" s="23"/>
      <c r="G105" s="22"/>
      <c r="H105" s="22"/>
      <c r="I105" s="23"/>
    </row>
    <row r="106" spans="1:9" ht="13.8" x14ac:dyDescent="0.3">
      <c r="A106" s="22"/>
      <c r="B106" s="22"/>
      <c r="C106" s="22"/>
      <c r="D106" s="22"/>
      <c r="E106" s="22"/>
      <c r="F106" s="23"/>
      <c r="G106" s="22"/>
      <c r="H106" s="22"/>
      <c r="I106" s="23"/>
    </row>
    <row r="107" spans="1:9" ht="13.8" x14ac:dyDescent="0.3">
      <c r="A107" s="22"/>
      <c r="B107" s="22"/>
      <c r="C107" s="22"/>
      <c r="D107" s="22"/>
      <c r="E107" s="22"/>
      <c r="F107" s="23"/>
      <c r="G107" s="22"/>
      <c r="H107" s="22"/>
      <c r="I107" s="23"/>
    </row>
    <row r="108" spans="1:9" ht="13.8" x14ac:dyDescent="0.3">
      <c r="A108" s="22"/>
      <c r="B108" s="22"/>
      <c r="C108" s="22"/>
      <c r="D108" s="22"/>
      <c r="E108" s="22"/>
      <c r="F108" s="23"/>
      <c r="G108" s="22"/>
      <c r="H108" s="22"/>
      <c r="I108" s="23"/>
    </row>
    <row r="109" spans="1:9" ht="13.8" x14ac:dyDescent="0.3">
      <c r="A109" s="22"/>
      <c r="B109" s="22"/>
      <c r="C109" s="22"/>
      <c r="D109" s="22"/>
      <c r="E109" s="22"/>
      <c r="F109" s="23"/>
      <c r="G109" s="22"/>
      <c r="H109" s="22"/>
      <c r="I109" s="23"/>
    </row>
    <row r="110" spans="1:9" ht="13.8" x14ac:dyDescent="0.3">
      <c r="A110" s="22"/>
      <c r="B110" s="22"/>
      <c r="C110" s="22"/>
      <c r="D110" s="22"/>
      <c r="E110" s="22"/>
      <c r="F110" s="23"/>
      <c r="G110" s="22"/>
      <c r="H110" s="22"/>
      <c r="I110" s="23"/>
    </row>
    <row r="111" spans="1:9" ht="13.8" x14ac:dyDescent="0.3">
      <c r="A111" s="22"/>
      <c r="B111" s="22"/>
      <c r="C111" s="22"/>
      <c r="D111" s="22"/>
      <c r="E111" s="22"/>
      <c r="F111" s="23"/>
      <c r="G111" s="22"/>
      <c r="H111" s="22"/>
      <c r="I111" s="23"/>
    </row>
    <row r="112" spans="1:9" ht="13.8" x14ac:dyDescent="0.3">
      <c r="A112" s="22"/>
      <c r="B112" s="22"/>
      <c r="C112" s="22"/>
      <c r="D112" s="22"/>
      <c r="E112" s="22"/>
      <c r="F112" s="23"/>
      <c r="G112" s="22"/>
      <c r="H112" s="22"/>
      <c r="I112" s="23"/>
    </row>
    <row r="113" spans="1:9" ht="13.8" x14ac:dyDescent="0.3">
      <c r="A113" s="22"/>
      <c r="B113" s="22"/>
      <c r="C113" s="22"/>
      <c r="D113" s="22"/>
      <c r="E113" s="22"/>
      <c r="F113" s="23"/>
      <c r="G113" s="22"/>
      <c r="H113" s="22"/>
      <c r="I113" s="23"/>
    </row>
    <row r="114" spans="1:9" ht="13.8" x14ac:dyDescent="0.3">
      <c r="A114" s="22"/>
      <c r="B114" s="22"/>
      <c r="C114" s="22"/>
      <c r="D114" s="22"/>
      <c r="E114" s="22"/>
      <c r="F114" s="23"/>
      <c r="G114" s="22"/>
      <c r="H114" s="22"/>
      <c r="I114" s="23"/>
    </row>
    <row r="115" spans="1:9" ht="13.8" x14ac:dyDescent="0.3">
      <c r="A115" s="22"/>
      <c r="B115" s="22"/>
      <c r="C115" s="22"/>
      <c r="D115" s="22"/>
      <c r="E115" s="22"/>
      <c r="F115" s="23"/>
      <c r="G115" s="22"/>
      <c r="H115" s="22"/>
      <c r="I115" s="23"/>
    </row>
    <row r="116" spans="1:9" ht="13.8" x14ac:dyDescent="0.3">
      <c r="A116" s="22"/>
      <c r="B116" s="22"/>
      <c r="C116" s="22"/>
      <c r="D116" s="22"/>
      <c r="E116" s="22"/>
      <c r="F116" s="23"/>
      <c r="G116" s="22"/>
      <c r="H116" s="22"/>
      <c r="I116" s="23"/>
    </row>
    <row r="117" spans="1:9" ht="13.8" x14ac:dyDescent="0.3">
      <c r="A117" s="22"/>
      <c r="B117" s="22"/>
      <c r="C117" s="22"/>
      <c r="D117" s="22"/>
      <c r="E117" s="22"/>
      <c r="F117" s="23"/>
      <c r="G117" s="22"/>
      <c r="H117" s="22"/>
      <c r="I117" s="23"/>
    </row>
    <row r="118" spans="1:9" ht="13.8" x14ac:dyDescent="0.3">
      <c r="A118" s="22"/>
      <c r="B118" s="22"/>
      <c r="C118" s="22"/>
      <c r="D118" s="22"/>
      <c r="E118" s="22"/>
      <c r="F118" s="23"/>
      <c r="G118" s="22"/>
      <c r="H118" s="22"/>
      <c r="I118" s="23"/>
    </row>
    <row r="119" spans="1:9" ht="13.8" x14ac:dyDescent="0.3">
      <c r="A119" s="22"/>
      <c r="B119" s="22"/>
      <c r="C119" s="22"/>
      <c r="D119" s="22"/>
      <c r="E119" s="22"/>
      <c r="F119" s="23"/>
      <c r="G119" s="22"/>
      <c r="H119" s="22"/>
      <c r="I119" s="23"/>
    </row>
    <row r="120" spans="1:9" ht="13.8" x14ac:dyDescent="0.3">
      <c r="A120" s="22"/>
      <c r="B120" s="22"/>
      <c r="C120" s="22"/>
      <c r="D120" s="22"/>
      <c r="E120" s="22"/>
      <c r="F120" s="23"/>
      <c r="G120" s="22"/>
      <c r="H120" s="22"/>
      <c r="I120" s="23"/>
    </row>
    <row r="121" spans="1:9" ht="13.8" x14ac:dyDescent="0.3">
      <c r="A121" s="22"/>
      <c r="B121" s="22"/>
      <c r="C121" s="22"/>
      <c r="D121" s="22"/>
      <c r="E121" s="22"/>
      <c r="F121" s="23"/>
      <c r="G121" s="22"/>
      <c r="H121" s="22"/>
      <c r="I121" s="23"/>
    </row>
    <row r="122" spans="1:9" ht="13.8" x14ac:dyDescent="0.3">
      <c r="A122" s="22"/>
      <c r="B122" s="22"/>
      <c r="C122" s="22"/>
      <c r="D122" s="22"/>
      <c r="E122" s="22"/>
      <c r="F122" s="23"/>
      <c r="G122" s="22"/>
      <c r="H122" s="22"/>
      <c r="I122" s="23"/>
    </row>
    <row r="123" spans="1:9" ht="13.8" x14ac:dyDescent="0.3">
      <c r="A123" s="22"/>
      <c r="B123" s="22"/>
      <c r="C123" s="22"/>
      <c r="D123" s="22"/>
      <c r="E123" s="22"/>
      <c r="F123" s="23"/>
      <c r="G123" s="22"/>
      <c r="H123" s="22"/>
      <c r="I123" s="23"/>
    </row>
    <row r="124" spans="1:9" ht="13.8" x14ac:dyDescent="0.3">
      <c r="A124" s="22"/>
      <c r="B124" s="22"/>
      <c r="C124" s="22"/>
      <c r="D124" s="22"/>
      <c r="E124" s="22"/>
      <c r="F124" s="23"/>
      <c r="G124" s="22"/>
      <c r="H124" s="22"/>
      <c r="I124" s="23"/>
    </row>
    <row r="125" spans="1:9" ht="13.8" x14ac:dyDescent="0.3">
      <c r="A125" s="22"/>
      <c r="B125" s="22"/>
      <c r="C125" s="22"/>
      <c r="D125" s="22"/>
      <c r="E125" s="22"/>
      <c r="F125" s="23"/>
      <c r="G125" s="22"/>
      <c r="H125" s="22"/>
      <c r="I125" s="23"/>
    </row>
    <row r="126" spans="1:9" ht="13.8" x14ac:dyDescent="0.3">
      <c r="A126" s="22"/>
      <c r="B126" s="22"/>
      <c r="C126" s="22"/>
      <c r="D126" s="22"/>
      <c r="E126" s="22"/>
      <c r="F126" s="23"/>
      <c r="G126" s="22"/>
      <c r="H126" s="22"/>
      <c r="I126" s="23"/>
    </row>
    <row r="127" spans="1:9" ht="13.8" x14ac:dyDescent="0.3">
      <c r="A127" s="22"/>
      <c r="B127" s="22"/>
      <c r="C127" s="22"/>
      <c r="D127" s="22"/>
      <c r="E127" s="22"/>
      <c r="F127" s="23"/>
      <c r="G127" s="22"/>
      <c r="H127" s="22"/>
      <c r="I127" s="23"/>
    </row>
    <row r="128" spans="1:9" ht="13.8" x14ac:dyDescent="0.3">
      <c r="A128" s="22"/>
      <c r="B128" s="22"/>
      <c r="C128" s="22"/>
      <c r="D128" s="22"/>
      <c r="E128" s="22"/>
      <c r="F128" s="23"/>
      <c r="G128" s="22"/>
      <c r="H128" s="22"/>
      <c r="I128" s="23"/>
    </row>
    <row r="129" spans="1:9" ht="13.8" x14ac:dyDescent="0.3">
      <c r="A129" s="22"/>
      <c r="B129" s="22"/>
      <c r="C129" s="22"/>
      <c r="D129" s="22"/>
      <c r="E129" s="22"/>
      <c r="F129" s="23"/>
      <c r="G129" s="22"/>
      <c r="H129" s="22"/>
      <c r="I129" s="23"/>
    </row>
    <row r="130" spans="1:9" ht="13.8" x14ac:dyDescent="0.3">
      <c r="A130" s="22"/>
      <c r="B130" s="22"/>
      <c r="C130" s="22"/>
      <c r="D130" s="22"/>
      <c r="E130" s="22"/>
      <c r="F130" s="23"/>
      <c r="G130" s="22"/>
      <c r="H130" s="22"/>
      <c r="I130" s="23"/>
    </row>
    <row r="131" spans="1:9" ht="13.8" x14ac:dyDescent="0.3">
      <c r="A131" s="22"/>
      <c r="B131" s="22"/>
      <c r="C131" s="22"/>
      <c r="D131" s="22"/>
      <c r="E131" s="22"/>
      <c r="F131" s="23"/>
      <c r="G131" s="22"/>
      <c r="H131" s="22"/>
      <c r="I131" s="23"/>
    </row>
    <row r="132" spans="1:9" ht="13.8" x14ac:dyDescent="0.3">
      <c r="A132" s="22"/>
      <c r="B132" s="22"/>
      <c r="C132" s="22"/>
      <c r="D132" s="22"/>
      <c r="E132" s="22"/>
      <c r="F132" s="23"/>
      <c r="G132" s="22"/>
      <c r="H132" s="22"/>
      <c r="I132" s="23"/>
    </row>
    <row r="133" spans="1:9" ht="13.8" x14ac:dyDescent="0.3">
      <c r="A133" s="22"/>
      <c r="B133" s="22"/>
      <c r="C133" s="22"/>
      <c r="D133" s="22"/>
      <c r="E133" s="22"/>
      <c r="F133" s="23"/>
      <c r="G133" s="22"/>
      <c r="H133" s="22"/>
      <c r="I133" s="23"/>
    </row>
    <row r="134" spans="1:9" ht="13.8" x14ac:dyDescent="0.3">
      <c r="A134" s="22"/>
      <c r="B134" s="22"/>
      <c r="C134" s="22"/>
      <c r="D134" s="22"/>
      <c r="E134" s="22"/>
      <c r="F134" s="23"/>
      <c r="G134" s="22"/>
      <c r="H134" s="22"/>
      <c r="I134" s="23"/>
    </row>
    <row r="135" spans="1:9" ht="13.8" x14ac:dyDescent="0.3">
      <c r="A135" s="22"/>
      <c r="B135" s="22"/>
      <c r="C135" s="22"/>
      <c r="D135" s="22"/>
      <c r="E135" s="22"/>
      <c r="F135" s="23"/>
      <c r="G135" s="22"/>
      <c r="H135" s="22"/>
      <c r="I135" s="23"/>
    </row>
    <row r="136" spans="1:9" ht="13.8" x14ac:dyDescent="0.3">
      <c r="A136" s="22"/>
      <c r="B136" s="22"/>
      <c r="C136" s="22"/>
      <c r="D136" s="22"/>
      <c r="E136" s="22"/>
      <c r="F136" s="23"/>
      <c r="G136" s="22"/>
      <c r="H136" s="22"/>
      <c r="I136" s="23"/>
    </row>
    <row r="137" spans="1:9" ht="13.8" x14ac:dyDescent="0.3">
      <c r="A137" s="22"/>
      <c r="B137" s="22"/>
      <c r="C137" s="22"/>
      <c r="D137" s="22"/>
      <c r="E137" s="22"/>
      <c r="F137" s="23"/>
      <c r="G137" s="22"/>
      <c r="H137" s="22"/>
      <c r="I137" s="23"/>
    </row>
    <row r="138" spans="1:9" ht="13.8" x14ac:dyDescent="0.3">
      <c r="A138" s="22"/>
      <c r="B138" s="22"/>
      <c r="C138" s="22"/>
      <c r="D138" s="22"/>
      <c r="E138" s="22"/>
      <c r="F138" s="23"/>
      <c r="G138" s="22"/>
      <c r="H138" s="22"/>
      <c r="I138" s="23"/>
    </row>
    <row r="139" spans="1:9" ht="13.8" x14ac:dyDescent="0.3">
      <c r="A139" s="22"/>
      <c r="B139" s="22"/>
      <c r="C139" s="22"/>
      <c r="D139" s="22"/>
      <c r="E139" s="22"/>
      <c r="F139" s="23"/>
      <c r="G139" s="22"/>
      <c r="H139" s="22"/>
      <c r="I139" s="23"/>
    </row>
    <row r="140" spans="1:9" ht="13.8" x14ac:dyDescent="0.3">
      <c r="A140" s="22"/>
      <c r="B140" s="22"/>
      <c r="C140" s="22"/>
      <c r="D140" s="22"/>
      <c r="E140" s="22"/>
      <c r="F140" s="23"/>
      <c r="G140" s="22"/>
      <c r="H140" s="22"/>
      <c r="I140" s="23"/>
    </row>
    <row r="141" spans="1:9" ht="13.8" x14ac:dyDescent="0.3">
      <c r="A141" s="22"/>
      <c r="B141" s="22"/>
      <c r="C141" s="22"/>
      <c r="D141" s="22"/>
      <c r="E141" s="22"/>
      <c r="F141" s="23"/>
      <c r="G141" s="22"/>
      <c r="H141" s="22"/>
      <c r="I141" s="23"/>
    </row>
    <row r="142" spans="1:9" ht="13.8" x14ac:dyDescent="0.3">
      <c r="A142" s="22"/>
      <c r="B142" s="22"/>
      <c r="C142" s="22"/>
      <c r="D142" s="22"/>
      <c r="E142" s="22"/>
      <c r="F142" s="23"/>
      <c r="G142" s="22"/>
      <c r="H142" s="22"/>
      <c r="I142" s="23"/>
    </row>
    <row r="143" spans="1:9" ht="13.8" x14ac:dyDescent="0.3">
      <c r="A143" s="22"/>
      <c r="B143" s="22"/>
      <c r="C143" s="22"/>
      <c r="D143" s="22"/>
      <c r="E143" s="22"/>
      <c r="F143" s="23"/>
      <c r="G143" s="22"/>
      <c r="H143" s="22"/>
      <c r="I143" s="23"/>
    </row>
    <row r="144" spans="1:9" ht="13.8" x14ac:dyDescent="0.3">
      <c r="A144" s="22"/>
      <c r="B144" s="22"/>
      <c r="C144" s="22"/>
      <c r="D144" s="22"/>
      <c r="E144" s="22"/>
      <c r="F144" s="23"/>
      <c r="G144" s="22"/>
      <c r="H144" s="22"/>
      <c r="I144" s="23"/>
    </row>
    <row r="145" spans="1:9" ht="13.8" x14ac:dyDescent="0.3">
      <c r="A145" s="22"/>
      <c r="B145" s="22"/>
      <c r="C145" s="22"/>
      <c r="D145" s="22"/>
      <c r="E145" s="22"/>
      <c r="F145" s="23"/>
      <c r="G145" s="22"/>
      <c r="H145" s="22"/>
      <c r="I145" s="23"/>
    </row>
    <row r="146" spans="1:9" ht="13.8" x14ac:dyDescent="0.3">
      <c r="A146" s="22"/>
      <c r="B146" s="22"/>
      <c r="C146" s="22"/>
      <c r="D146" s="22"/>
      <c r="E146" s="22"/>
      <c r="F146" s="23"/>
      <c r="G146" s="22"/>
      <c r="H146" s="22"/>
      <c r="I146" s="23"/>
    </row>
    <row r="147" spans="1:9" ht="13.8" x14ac:dyDescent="0.3">
      <c r="A147" s="22"/>
      <c r="B147" s="22"/>
      <c r="C147" s="22"/>
      <c r="D147" s="22"/>
      <c r="E147" s="22"/>
      <c r="F147" s="23"/>
      <c r="G147" s="22"/>
      <c r="H147" s="22"/>
      <c r="I147" s="23"/>
    </row>
    <row r="148" spans="1:9" ht="13.8" x14ac:dyDescent="0.3">
      <c r="A148" s="22"/>
      <c r="B148" s="22"/>
      <c r="C148" s="22"/>
      <c r="D148" s="22"/>
      <c r="E148" s="22"/>
      <c r="F148" s="23"/>
      <c r="G148" s="22"/>
      <c r="H148" s="22"/>
      <c r="I148" s="23"/>
    </row>
    <row r="149" spans="1:9" ht="13.8" x14ac:dyDescent="0.3">
      <c r="A149" s="22"/>
      <c r="B149" s="22"/>
      <c r="C149" s="22"/>
      <c r="D149" s="22"/>
      <c r="E149" s="22"/>
      <c r="F149" s="23"/>
      <c r="G149" s="22"/>
      <c r="H149" s="22"/>
      <c r="I149" s="23"/>
    </row>
    <row r="150" spans="1:9" ht="13.8" x14ac:dyDescent="0.3">
      <c r="A150" s="22"/>
      <c r="B150" s="22"/>
      <c r="C150" s="22"/>
      <c r="D150" s="22"/>
      <c r="E150" s="22"/>
      <c r="F150" s="23"/>
      <c r="G150" s="22"/>
      <c r="H150" s="22"/>
      <c r="I150" s="23"/>
    </row>
    <row r="151" spans="1:9" ht="13.8" x14ac:dyDescent="0.3">
      <c r="A151" s="22"/>
      <c r="B151" s="22"/>
      <c r="C151" s="22"/>
      <c r="D151" s="22"/>
      <c r="E151" s="22"/>
      <c r="F151" s="23"/>
      <c r="G151" s="22"/>
      <c r="H151" s="22"/>
      <c r="I151" s="23"/>
    </row>
    <row r="152" spans="1:9" ht="13.8" x14ac:dyDescent="0.3">
      <c r="A152" s="22"/>
      <c r="B152" s="22"/>
      <c r="C152" s="22"/>
      <c r="D152" s="22"/>
      <c r="E152" s="22"/>
      <c r="F152" s="23"/>
      <c r="G152" s="22"/>
      <c r="H152" s="22"/>
      <c r="I152" s="23"/>
    </row>
    <row r="153" spans="1:9" ht="13.8" x14ac:dyDescent="0.3">
      <c r="A153" s="22"/>
      <c r="B153" s="22"/>
      <c r="C153" s="22"/>
      <c r="D153" s="22"/>
      <c r="E153" s="22"/>
      <c r="F153" s="23"/>
      <c r="G153" s="22"/>
      <c r="H153" s="22"/>
      <c r="I153" s="23"/>
    </row>
    <row r="154" spans="1:9" ht="13.8" x14ac:dyDescent="0.3">
      <c r="A154" s="22"/>
      <c r="B154" s="22"/>
      <c r="C154" s="22"/>
      <c r="D154" s="22"/>
      <c r="E154" s="22"/>
      <c r="F154" s="23"/>
      <c r="G154" s="22"/>
      <c r="H154" s="22"/>
      <c r="I154" s="23"/>
    </row>
    <row r="155" spans="1:9" ht="13.8" x14ac:dyDescent="0.3">
      <c r="A155" s="22"/>
      <c r="B155" s="22"/>
      <c r="C155" s="22"/>
      <c r="D155" s="22"/>
      <c r="E155" s="22"/>
      <c r="F155" s="23"/>
      <c r="G155" s="22"/>
      <c r="H155" s="22"/>
      <c r="I155" s="23"/>
    </row>
    <row r="156" spans="1:9" ht="13.8" x14ac:dyDescent="0.3">
      <c r="A156" s="22"/>
      <c r="B156" s="22"/>
      <c r="C156" s="22"/>
      <c r="D156" s="22"/>
      <c r="E156" s="22"/>
      <c r="F156" s="23"/>
      <c r="G156" s="22"/>
      <c r="H156" s="22"/>
      <c r="I156" s="23"/>
    </row>
    <row r="157" spans="1:9" ht="13.8" x14ac:dyDescent="0.3">
      <c r="A157" s="22"/>
      <c r="B157" s="22"/>
      <c r="C157" s="22"/>
      <c r="D157" s="22"/>
      <c r="E157" s="22"/>
      <c r="F157" s="23"/>
      <c r="G157" s="22"/>
      <c r="H157" s="22"/>
      <c r="I157" s="23"/>
    </row>
    <row r="158" spans="1:9" ht="13.8" x14ac:dyDescent="0.3">
      <c r="A158" s="22"/>
      <c r="B158" s="22"/>
      <c r="C158" s="22"/>
      <c r="D158" s="22"/>
      <c r="E158" s="22"/>
      <c r="F158" s="23"/>
      <c r="G158" s="22"/>
      <c r="H158" s="22"/>
      <c r="I158" s="23"/>
    </row>
    <row r="159" spans="1:9" ht="13.8" x14ac:dyDescent="0.3">
      <c r="A159" s="22"/>
      <c r="B159" s="22"/>
      <c r="C159" s="22"/>
      <c r="D159" s="22"/>
      <c r="E159" s="22"/>
      <c r="F159" s="23"/>
      <c r="G159" s="22"/>
      <c r="H159" s="22"/>
      <c r="I159" s="23"/>
    </row>
    <row r="160" spans="1:9" ht="13.8" x14ac:dyDescent="0.3">
      <c r="A160" s="22"/>
      <c r="B160" s="22"/>
      <c r="C160" s="22"/>
      <c r="D160" s="22"/>
      <c r="E160" s="22"/>
      <c r="F160" s="23"/>
      <c r="G160" s="22"/>
      <c r="H160" s="22"/>
      <c r="I160" s="23"/>
    </row>
    <row r="161" spans="1:9" ht="13.8" x14ac:dyDescent="0.3">
      <c r="A161" s="22"/>
      <c r="B161" s="22"/>
      <c r="C161" s="22"/>
      <c r="D161" s="22"/>
      <c r="E161" s="22"/>
      <c r="F161" s="23"/>
      <c r="G161" s="22"/>
      <c r="H161" s="22"/>
      <c r="I161" s="23"/>
    </row>
    <row r="162" spans="1:9" ht="13.8" x14ac:dyDescent="0.3">
      <c r="A162" s="22"/>
      <c r="B162" s="22"/>
      <c r="C162" s="22"/>
      <c r="D162" s="22"/>
      <c r="E162" s="22"/>
      <c r="F162" s="23"/>
      <c r="G162" s="22"/>
      <c r="H162" s="22"/>
      <c r="I162" s="23"/>
    </row>
    <row r="163" spans="1:9" ht="13.8" x14ac:dyDescent="0.3">
      <c r="A163" s="22"/>
      <c r="B163" s="22"/>
      <c r="C163" s="22"/>
      <c r="D163" s="22"/>
      <c r="E163" s="22"/>
      <c r="F163" s="23"/>
      <c r="G163" s="22"/>
      <c r="H163" s="22"/>
      <c r="I163" s="23"/>
    </row>
    <row r="164" spans="1:9" ht="13.8" x14ac:dyDescent="0.3">
      <c r="A164" s="22"/>
      <c r="B164" s="22"/>
      <c r="C164" s="22"/>
      <c r="D164" s="22"/>
      <c r="E164" s="22"/>
      <c r="F164" s="23"/>
      <c r="G164" s="22"/>
      <c r="H164" s="22"/>
      <c r="I164" s="23"/>
    </row>
    <row r="165" spans="1:9" ht="13.8" x14ac:dyDescent="0.3">
      <c r="A165" s="22"/>
      <c r="B165" s="22"/>
      <c r="C165" s="22"/>
      <c r="D165" s="22"/>
      <c r="E165" s="22"/>
      <c r="F165" s="23"/>
      <c r="G165" s="22"/>
      <c r="H165" s="22"/>
      <c r="I165" s="23"/>
    </row>
    <row r="166" spans="1:9" ht="13.8" x14ac:dyDescent="0.3">
      <c r="A166" s="22"/>
      <c r="B166" s="22"/>
      <c r="C166" s="22"/>
      <c r="D166" s="22"/>
      <c r="E166" s="22"/>
      <c r="F166" s="23"/>
      <c r="G166" s="22"/>
      <c r="H166" s="22"/>
      <c r="I166" s="23"/>
    </row>
    <row r="167" spans="1:9" ht="13.8" x14ac:dyDescent="0.3">
      <c r="A167" s="22"/>
      <c r="B167" s="22"/>
      <c r="C167" s="22"/>
      <c r="D167" s="22"/>
      <c r="E167" s="22"/>
      <c r="F167" s="23"/>
      <c r="G167" s="22"/>
      <c r="H167" s="22"/>
      <c r="I167" s="23"/>
    </row>
    <row r="168" spans="1:9" ht="13.8" x14ac:dyDescent="0.3">
      <c r="A168" s="22"/>
      <c r="B168" s="22"/>
      <c r="C168" s="22"/>
      <c r="D168" s="22"/>
      <c r="E168" s="22"/>
      <c r="F168" s="23"/>
      <c r="G168" s="22"/>
      <c r="H168" s="22"/>
      <c r="I168" s="23"/>
    </row>
    <row r="169" spans="1:9" ht="13.8" x14ac:dyDescent="0.3">
      <c r="A169" s="22"/>
      <c r="B169" s="22"/>
      <c r="C169" s="22"/>
      <c r="D169" s="22"/>
      <c r="E169" s="22"/>
      <c r="F169" s="23"/>
      <c r="G169" s="22"/>
      <c r="H169" s="22"/>
      <c r="I169" s="23"/>
    </row>
    <row r="170" spans="1:9" ht="13.8" x14ac:dyDescent="0.3">
      <c r="A170" s="22"/>
      <c r="B170" s="22"/>
      <c r="C170" s="22"/>
      <c r="D170" s="22"/>
      <c r="E170" s="22"/>
      <c r="F170" s="23"/>
      <c r="G170" s="22"/>
      <c r="H170" s="22"/>
      <c r="I170" s="23"/>
    </row>
    <row r="171" spans="1:9" ht="13.8" x14ac:dyDescent="0.3">
      <c r="A171" s="22"/>
      <c r="B171" s="22"/>
      <c r="C171" s="22"/>
      <c r="D171" s="22"/>
      <c r="E171" s="22"/>
      <c r="F171" s="23"/>
      <c r="G171" s="22"/>
      <c r="H171" s="22"/>
      <c r="I171" s="23"/>
    </row>
    <row r="172" spans="1:9" ht="13.8" x14ac:dyDescent="0.3">
      <c r="A172" s="22"/>
      <c r="B172" s="22"/>
      <c r="C172" s="22"/>
      <c r="D172" s="22"/>
      <c r="E172" s="22"/>
      <c r="F172" s="23"/>
      <c r="G172" s="22"/>
      <c r="H172" s="22"/>
      <c r="I172" s="23"/>
    </row>
    <row r="173" spans="1:9" ht="13.8" x14ac:dyDescent="0.3">
      <c r="A173" s="22"/>
      <c r="B173" s="22"/>
      <c r="C173" s="22"/>
      <c r="D173" s="22"/>
      <c r="E173" s="22"/>
      <c r="F173" s="23"/>
      <c r="G173" s="22"/>
      <c r="H173" s="22"/>
      <c r="I173" s="23"/>
    </row>
    <row r="174" spans="1:9" ht="13.8" x14ac:dyDescent="0.3">
      <c r="A174" s="22"/>
      <c r="B174" s="22"/>
      <c r="C174" s="22"/>
      <c r="D174" s="22"/>
      <c r="E174" s="22"/>
      <c r="F174" s="23"/>
      <c r="G174" s="22"/>
      <c r="H174" s="22"/>
      <c r="I174" s="23"/>
    </row>
    <row r="175" spans="1:9" ht="13.8" x14ac:dyDescent="0.3">
      <c r="A175" s="22"/>
      <c r="B175" s="22"/>
      <c r="C175" s="22"/>
      <c r="D175" s="22"/>
      <c r="E175" s="22"/>
      <c r="F175" s="23"/>
      <c r="G175" s="22"/>
      <c r="H175" s="22"/>
      <c r="I175" s="23"/>
    </row>
    <row r="176" spans="1:9" ht="13.8" x14ac:dyDescent="0.3">
      <c r="A176" s="22"/>
      <c r="B176" s="22"/>
      <c r="C176" s="22"/>
      <c r="D176" s="22"/>
      <c r="E176" s="22"/>
      <c r="F176" s="23"/>
      <c r="G176" s="22"/>
      <c r="H176" s="22"/>
      <c r="I176" s="23"/>
    </row>
    <row r="177" spans="1:9" ht="13.8" x14ac:dyDescent="0.3">
      <c r="A177" s="22"/>
      <c r="B177" s="22"/>
      <c r="C177" s="22"/>
      <c r="D177" s="22"/>
      <c r="E177" s="22"/>
      <c r="F177" s="23"/>
      <c r="G177" s="22"/>
      <c r="H177" s="22"/>
      <c r="I177" s="23"/>
    </row>
    <row r="178" spans="1:9" ht="13.8" x14ac:dyDescent="0.3">
      <c r="A178" s="22"/>
      <c r="B178" s="22"/>
      <c r="C178" s="22"/>
      <c r="D178" s="22"/>
      <c r="E178" s="22"/>
      <c r="F178" s="23"/>
      <c r="G178" s="22"/>
      <c r="H178" s="22"/>
      <c r="I178" s="23"/>
    </row>
    <row r="179" spans="1:9" ht="13.8" x14ac:dyDescent="0.3">
      <c r="A179" s="22"/>
      <c r="B179" s="22"/>
      <c r="C179" s="22"/>
      <c r="D179" s="22"/>
      <c r="E179" s="22"/>
      <c r="F179" s="23"/>
      <c r="G179" s="22"/>
      <c r="H179" s="22"/>
      <c r="I179" s="23"/>
    </row>
    <row r="180" spans="1:9" ht="13.8" x14ac:dyDescent="0.3">
      <c r="A180" s="22"/>
      <c r="B180" s="22"/>
      <c r="C180" s="22"/>
      <c r="D180" s="22"/>
      <c r="E180" s="22"/>
      <c r="F180" s="23"/>
      <c r="G180" s="22"/>
      <c r="H180" s="22"/>
      <c r="I180" s="23"/>
    </row>
    <row r="181" spans="1:9" ht="13.8" x14ac:dyDescent="0.3">
      <c r="A181" s="22"/>
      <c r="B181" s="22"/>
      <c r="C181" s="22"/>
      <c r="D181" s="22"/>
      <c r="E181" s="22"/>
      <c r="F181" s="23"/>
      <c r="G181" s="22"/>
      <c r="H181" s="22"/>
      <c r="I181" s="23"/>
    </row>
    <row r="182" spans="1:9" ht="13.8" x14ac:dyDescent="0.3">
      <c r="A182" s="22"/>
      <c r="B182" s="22"/>
      <c r="C182" s="22"/>
      <c r="D182" s="22"/>
      <c r="E182" s="22"/>
      <c r="F182" s="23"/>
      <c r="G182" s="22"/>
      <c r="H182" s="22"/>
      <c r="I182" s="23"/>
    </row>
    <row r="183" spans="1:9" ht="13.8" x14ac:dyDescent="0.3">
      <c r="A183" s="22"/>
      <c r="B183" s="22"/>
      <c r="C183" s="22"/>
      <c r="D183" s="22"/>
      <c r="E183" s="22"/>
      <c r="F183" s="23"/>
      <c r="G183" s="22"/>
      <c r="H183" s="22"/>
      <c r="I183" s="23"/>
    </row>
    <row r="184" spans="1:9" ht="13.8" x14ac:dyDescent="0.3">
      <c r="A184" s="22"/>
      <c r="B184" s="22"/>
      <c r="C184" s="22"/>
      <c r="D184" s="22"/>
      <c r="E184" s="22"/>
      <c r="F184" s="23"/>
      <c r="G184" s="22"/>
      <c r="H184" s="22"/>
      <c r="I184" s="23"/>
    </row>
    <row r="185" spans="1:9" ht="13.8" x14ac:dyDescent="0.3">
      <c r="A185" s="22"/>
      <c r="B185" s="22"/>
      <c r="C185" s="22"/>
      <c r="D185" s="22"/>
      <c r="E185" s="22"/>
      <c r="F185" s="23"/>
      <c r="G185" s="22"/>
      <c r="H185" s="22"/>
      <c r="I185" s="23"/>
    </row>
    <row r="186" spans="1:9" ht="13.8" x14ac:dyDescent="0.3">
      <c r="A186" s="22"/>
      <c r="B186" s="22"/>
      <c r="C186" s="22"/>
      <c r="D186" s="22"/>
      <c r="E186" s="22"/>
      <c r="F186" s="23"/>
      <c r="G186" s="22"/>
      <c r="H186" s="22"/>
      <c r="I186" s="23"/>
    </row>
    <row r="187" spans="1:9" ht="13.8" x14ac:dyDescent="0.3">
      <c r="A187" s="22"/>
      <c r="B187" s="22"/>
      <c r="C187" s="22"/>
      <c r="D187" s="22"/>
      <c r="E187" s="22"/>
      <c r="F187" s="23"/>
      <c r="G187" s="22"/>
      <c r="H187" s="22"/>
      <c r="I187" s="23"/>
    </row>
    <row r="188" spans="1:9" ht="13.8" x14ac:dyDescent="0.3">
      <c r="A188" s="22"/>
      <c r="B188" s="22"/>
      <c r="C188" s="22"/>
      <c r="D188" s="22"/>
      <c r="E188" s="22"/>
      <c r="F188" s="23"/>
      <c r="G188" s="22"/>
      <c r="H188" s="22"/>
      <c r="I188" s="23"/>
    </row>
    <row r="189" spans="1:9" ht="13.8" x14ac:dyDescent="0.3">
      <c r="A189" s="22"/>
      <c r="B189" s="22"/>
      <c r="C189" s="22"/>
      <c r="D189" s="22"/>
      <c r="E189" s="22"/>
      <c r="F189" s="23"/>
      <c r="G189" s="22"/>
      <c r="H189" s="22"/>
      <c r="I189" s="23"/>
    </row>
    <row r="190" spans="1:9" ht="13.8" x14ac:dyDescent="0.3">
      <c r="A190" s="22"/>
      <c r="B190" s="22"/>
      <c r="C190" s="22"/>
      <c r="D190" s="22"/>
      <c r="E190" s="22"/>
      <c r="F190" s="23"/>
      <c r="G190" s="22"/>
      <c r="H190" s="22"/>
      <c r="I190" s="23"/>
    </row>
    <row r="191" spans="1:9" ht="13.8" x14ac:dyDescent="0.3">
      <c r="A191" s="22"/>
      <c r="B191" s="22"/>
      <c r="C191" s="22"/>
      <c r="D191" s="22"/>
      <c r="E191" s="22"/>
      <c r="F191" s="23"/>
      <c r="G191" s="22"/>
      <c r="H191" s="22"/>
      <c r="I191" s="23"/>
    </row>
    <row r="192" spans="1:9" ht="13.8" x14ac:dyDescent="0.3">
      <c r="A192" s="22"/>
      <c r="B192" s="22"/>
      <c r="C192" s="22"/>
      <c r="D192" s="22"/>
      <c r="E192" s="22"/>
      <c r="F192" s="23"/>
      <c r="G192" s="22"/>
      <c r="H192" s="22"/>
      <c r="I192" s="23"/>
    </row>
    <row r="193" spans="1:9" ht="13.8" x14ac:dyDescent="0.3">
      <c r="A193" s="22"/>
      <c r="B193" s="22"/>
      <c r="C193" s="22"/>
      <c r="D193" s="22"/>
      <c r="E193" s="22"/>
      <c r="F193" s="23"/>
      <c r="G193" s="22"/>
      <c r="H193" s="22"/>
      <c r="I193" s="23"/>
    </row>
    <row r="194" spans="1:9" ht="13.8" x14ac:dyDescent="0.3">
      <c r="A194" s="22"/>
      <c r="B194" s="22"/>
      <c r="C194" s="22"/>
      <c r="D194" s="22"/>
      <c r="E194" s="22"/>
      <c r="F194" s="23"/>
      <c r="G194" s="22"/>
      <c r="H194" s="22"/>
      <c r="I194" s="23"/>
    </row>
    <row r="195" spans="1:9" ht="13.8" x14ac:dyDescent="0.3">
      <c r="A195" s="22"/>
      <c r="B195" s="22"/>
      <c r="C195" s="22"/>
      <c r="D195" s="22"/>
      <c r="E195" s="22"/>
      <c r="F195" s="23"/>
      <c r="G195" s="22"/>
      <c r="H195" s="22"/>
      <c r="I195" s="23"/>
    </row>
    <row r="196" spans="1:9" ht="13.8" x14ac:dyDescent="0.3">
      <c r="A196" s="22"/>
      <c r="B196" s="22"/>
      <c r="C196" s="22"/>
      <c r="D196" s="22"/>
      <c r="E196" s="22"/>
      <c r="F196" s="23"/>
      <c r="G196" s="22"/>
      <c r="H196" s="22"/>
      <c r="I196" s="23"/>
    </row>
    <row r="197" spans="1:9" ht="13.8" x14ac:dyDescent="0.3">
      <c r="A197" s="22"/>
      <c r="B197" s="22"/>
      <c r="C197" s="22"/>
      <c r="D197" s="22"/>
      <c r="E197" s="22"/>
      <c r="F197" s="23"/>
      <c r="G197" s="22"/>
      <c r="H197" s="22"/>
      <c r="I197" s="23"/>
    </row>
    <row r="198" spans="1:9" ht="13.8" x14ac:dyDescent="0.3">
      <c r="A198" s="22"/>
      <c r="B198" s="22"/>
      <c r="C198" s="22"/>
      <c r="D198" s="22"/>
      <c r="E198" s="22"/>
      <c r="F198" s="23"/>
      <c r="G198" s="22"/>
      <c r="H198" s="22"/>
      <c r="I198" s="23"/>
    </row>
    <row r="199" spans="1:9" ht="13.8" x14ac:dyDescent="0.3">
      <c r="A199" s="22"/>
      <c r="B199" s="22"/>
      <c r="C199" s="22"/>
      <c r="D199" s="22"/>
      <c r="E199" s="22"/>
      <c r="F199" s="23"/>
      <c r="G199" s="22"/>
      <c r="H199" s="22"/>
      <c r="I199" s="23"/>
    </row>
    <row r="200" spans="1:9" ht="13.8" x14ac:dyDescent="0.3">
      <c r="A200" s="22"/>
      <c r="B200" s="22"/>
      <c r="C200" s="22"/>
      <c r="D200" s="22"/>
      <c r="E200" s="22"/>
      <c r="F200" s="23"/>
      <c r="G200" s="22"/>
      <c r="H200" s="22"/>
      <c r="I200" s="23"/>
    </row>
    <row r="201" spans="1:9" ht="13.8" x14ac:dyDescent="0.3">
      <c r="A201" s="22"/>
      <c r="B201" s="22"/>
      <c r="C201" s="22"/>
      <c r="D201" s="22"/>
      <c r="E201" s="22"/>
      <c r="F201" s="23"/>
      <c r="G201" s="22"/>
      <c r="H201" s="22"/>
      <c r="I201" s="23"/>
    </row>
    <row r="202" spans="1:9" ht="13.8" x14ac:dyDescent="0.3">
      <c r="A202" s="22"/>
      <c r="B202" s="22"/>
      <c r="C202" s="22"/>
      <c r="D202" s="22"/>
      <c r="E202" s="22"/>
      <c r="F202" s="23"/>
      <c r="G202" s="22"/>
      <c r="H202" s="22"/>
      <c r="I202" s="23"/>
    </row>
    <row r="203" spans="1:9" ht="13.8" x14ac:dyDescent="0.3">
      <c r="A203" s="22"/>
      <c r="B203" s="22"/>
      <c r="C203" s="22"/>
      <c r="D203" s="22"/>
      <c r="E203" s="22"/>
      <c r="F203" s="23"/>
      <c r="G203" s="22"/>
      <c r="H203" s="22"/>
      <c r="I203" s="23"/>
    </row>
    <row r="204" spans="1:9" ht="13.8" x14ac:dyDescent="0.3">
      <c r="A204" s="22"/>
      <c r="B204" s="22"/>
      <c r="C204" s="22"/>
      <c r="D204" s="22"/>
      <c r="E204" s="22"/>
      <c r="F204" s="23"/>
      <c r="G204" s="22"/>
      <c r="H204" s="22"/>
      <c r="I204" s="23"/>
    </row>
    <row r="205" spans="1:9" ht="13.8" x14ac:dyDescent="0.3">
      <c r="A205" s="22"/>
      <c r="B205" s="22"/>
      <c r="C205" s="22"/>
      <c r="D205" s="22"/>
      <c r="E205" s="22"/>
      <c r="F205" s="23"/>
      <c r="G205" s="22"/>
      <c r="H205" s="22"/>
      <c r="I205" s="23"/>
    </row>
    <row r="206" spans="1:9" ht="13.8" x14ac:dyDescent="0.3">
      <c r="A206" s="22"/>
      <c r="B206" s="22"/>
      <c r="C206" s="22"/>
      <c r="D206" s="22"/>
      <c r="E206" s="22"/>
      <c r="F206" s="23"/>
      <c r="G206" s="22"/>
      <c r="H206" s="22"/>
      <c r="I206" s="23"/>
    </row>
    <row r="207" spans="1:9" ht="13.8" x14ac:dyDescent="0.3">
      <c r="A207" s="22"/>
      <c r="B207" s="22"/>
      <c r="C207" s="22"/>
      <c r="D207" s="22"/>
      <c r="E207" s="22"/>
      <c r="F207" s="23"/>
      <c r="G207" s="22"/>
      <c r="H207" s="22"/>
      <c r="I207" s="23"/>
    </row>
    <row r="208" spans="1:9" ht="13.8" x14ac:dyDescent="0.3">
      <c r="A208" s="22"/>
      <c r="B208" s="22"/>
      <c r="C208" s="22"/>
      <c r="D208" s="22"/>
      <c r="E208" s="22"/>
      <c r="F208" s="23"/>
      <c r="G208" s="22"/>
      <c r="H208" s="22"/>
      <c r="I208" s="23"/>
    </row>
    <row r="209" spans="1:9" ht="13.8" x14ac:dyDescent="0.3">
      <c r="A209" s="22"/>
      <c r="B209" s="22"/>
      <c r="C209" s="22"/>
      <c r="D209" s="22"/>
      <c r="E209" s="22"/>
      <c r="F209" s="23"/>
      <c r="G209" s="22"/>
      <c r="H209" s="22"/>
      <c r="I209" s="23"/>
    </row>
    <row r="210" spans="1:9" ht="13.8" x14ac:dyDescent="0.3">
      <c r="A210" s="22"/>
      <c r="B210" s="22"/>
      <c r="C210" s="22"/>
      <c r="D210" s="22"/>
      <c r="E210" s="22"/>
      <c r="F210" s="23"/>
      <c r="G210" s="22"/>
      <c r="H210" s="22"/>
      <c r="I210" s="23"/>
    </row>
    <row r="211" spans="1:9" ht="13.8" x14ac:dyDescent="0.3">
      <c r="A211" s="22"/>
      <c r="B211" s="22"/>
      <c r="C211" s="22"/>
      <c r="D211" s="22"/>
      <c r="E211" s="22"/>
      <c r="F211" s="23"/>
      <c r="G211" s="22"/>
      <c r="H211" s="22"/>
      <c r="I211" s="23"/>
    </row>
    <row r="212" spans="1:9" ht="13.8" x14ac:dyDescent="0.3">
      <c r="A212" s="22"/>
      <c r="B212" s="22"/>
      <c r="C212" s="22"/>
      <c r="D212" s="22"/>
      <c r="E212" s="22"/>
      <c r="F212" s="23"/>
      <c r="G212" s="22"/>
      <c r="H212" s="22"/>
      <c r="I212" s="23"/>
    </row>
    <row r="213" spans="1:9" ht="13.8" x14ac:dyDescent="0.3">
      <c r="A213" s="22"/>
      <c r="B213" s="22"/>
      <c r="C213" s="22"/>
      <c r="D213" s="22"/>
      <c r="E213" s="22"/>
      <c r="F213" s="23"/>
      <c r="G213" s="22"/>
      <c r="H213" s="22"/>
      <c r="I213" s="23"/>
    </row>
    <row r="214" spans="1:9" ht="13.8" x14ac:dyDescent="0.3">
      <c r="A214" s="22"/>
      <c r="B214" s="22"/>
      <c r="C214" s="22"/>
      <c r="D214" s="22"/>
      <c r="E214" s="22"/>
      <c r="F214" s="23"/>
      <c r="G214" s="22"/>
      <c r="H214" s="22"/>
      <c r="I214" s="23"/>
    </row>
    <row r="215" spans="1:9" ht="13.8" x14ac:dyDescent="0.3">
      <c r="A215" s="22"/>
      <c r="B215" s="22"/>
      <c r="C215" s="22"/>
      <c r="D215" s="22"/>
      <c r="E215" s="22"/>
      <c r="F215" s="23"/>
      <c r="G215" s="22"/>
      <c r="H215" s="22"/>
      <c r="I215" s="23"/>
    </row>
    <row r="216" spans="1:9" ht="13.8" x14ac:dyDescent="0.3">
      <c r="A216" s="22"/>
      <c r="B216" s="22"/>
      <c r="C216" s="22"/>
      <c r="D216" s="22"/>
      <c r="E216" s="22"/>
      <c r="F216" s="23"/>
      <c r="G216" s="22"/>
      <c r="H216" s="22"/>
      <c r="I216" s="23"/>
    </row>
    <row r="217" spans="1:9" ht="13.8" x14ac:dyDescent="0.3">
      <c r="A217" s="22"/>
      <c r="B217" s="22"/>
      <c r="C217" s="22"/>
      <c r="D217" s="22"/>
      <c r="E217" s="22"/>
      <c r="F217" s="23"/>
      <c r="G217" s="22"/>
      <c r="H217" s="22"/>
      <c r="I217" s="23"/>
    </row>
    <row r="218" spans="1:9" ht="13.8" x14ac:dyDescent="0.3">
      <c r="A218" s="22"/>
      <c r="B218" s="22"/>
      <c r="C218" s="22"/>
      <c r="D218" s="22"/>
      <c r="E218" s="22"/>
      <c r="F218" s="23"/>
      <c r="G218" s="22"/>
      <c r="H218" s="22"/>
      <c r="I218" s="23"/>
    </row>
    <row r="219" spans="1:9" ht="13.8" x14ac:dyDescent="0.3">
      <c r="A219" s="22"/>
      <c r="B219" s="22"/>
      <c r="C219" s="22"/>
      <c r="D219" s="22"/>
      <c r="E219" s="22"/>
      <c r="F219" s="23"/>
      <c r="G219" s="22"/>
      <c r="H219" s="22"/>
      <c r="I219" s="23"/>
    </row>
    <row r="220" spans="1:9" ht="13.8" x14ac:dyDescent="0.3">
      <c r="A220" s="22"/>
      <c r="B220" s="22"/>
      <c r="C220" s="22"/>
      <c r="D220" s="22"/>
      <c r="E220" s="22"/>
      <c r="F220" s="23"/>
      <c r="G220" s="22"/>
      <c r="H220" s="22"/>
      <c r="I220" s="23"/>
    </row>
    <row r="221" spans="1:9" ht="13.8" x14ac:dyDescent="0.3">
      <c r="A221" s="22"/>
      <c r="B221" s="22"/>
      <c r="C221" s="22"/>
      <c r="D221" s="22"/>
      <c r="E221" s="22"/>
      <c r="F221" s="23"/>
      <c r="G221" s="22"/>
      <c r="H221" s="22"/>
      <c r="I221" s="23"/>
    </row>
    <row r="222" spans="1:9" ht="13.8" x14ac:dyDescent="0.3">
      <c r="A222" s="22"/>
      <c r="B222" s="22"/>
      <c r="C222" s="22"/>
      <c r="D222" s="22"/>
      <c r="E222" s="22"/>
      <c r="F222" s="23"/>
      <c r="G222" s="22"/>
      <c r="H222" s="22"/>
      <c r="I222" s="23"/>
    </row>
    <row r="223" spans="1:9" ht="13.8" x14ac:dyDescent="0.3">
      <c r="A223" s="22"/>
      <c r="B223" s="22"/>
      <c r="C223" s="22"/>
      <c r="D223" s="22"/>
      <c r="E223" s="22"/>
      <c r="F223" s="23"/>
      <c r="G223" s="22"/>
      <c r="H223" s="22"/>
      <c r="I223" s="23"/>
    </row>
    <row r="224" spans="1:9" ht="13.8" x14ac:dyDescent="0.3">
      <c r="A224" s="22"/>
      <c r="B224" s="22"/>
      <c r="C224" s="22"/>
      <c r="D224" s="22"/>
      <c r="E224" s="22"/>
      <c r="F224" s="23"/>
      <c r="G224" s="22"/>
      <c r="H224" s="22"/>
      <c r="I224" s="23"/>
    </row>
    <row r="225" spans="1:9" ht="13.8" x14ac:dyDescent="0.3">
      <c r="A225" s="22"/>
      <c r="B225" s="22"/>
      <c r="C225" s="22"/>
      <c r="D225" s="22"/>
      <c r="E225" s="22"/>
      <c r="F225" s="23"/>
      <c r="G225" s="22"/>
      <c r="H225" s="22"/>
      <c r="I225" s="23"/>
    </row>
    <row r="226" spans="1:9" ht="13.8" x14ac:dyDescent="0.3">
      <c r="A226" s="22"/>
      <c r="B226" s="22"/>
      <c r="C226" s="22"/>
      <c r="D226" s="22"/>
      <c r="E226" s="22"/>
      <c r="F226" s="23"/>
      <c r="G226" s="22"/>
      <c r="H226" s="22"/>
      <c r="I226" s="23"/>
    </row>
    <row r="227" spans="1:9" ht="13.8" x14ac:dyDescent="0.3">
      <c r="A227" s="22"/>
      <c r="B227" s="22"/>
      <c r="C227" s="22"/>
      <c r="D227" s="22"/>
      <c r="E227" s="22"/>
      <c r="F227" s="23"/>
      <c r="G227" s="22"/>
      <c r="H227" s="22"/>
      <c r="I227" s="23"/>
    </row>
    <row r="228" spans="1:9" ht="13.8" x14ac:dyDescent="0.3">
      <c r="A228" s="22"/>
      <c r="B228" s="22"/>
      <c r="C228" s="22"/>
      <c r="D228" s="22"/>
      <c r="E228" s="22"/>
      <c r="F228" s="23"/>
      <c r="G228" s="22"/>
      <c r="H228" s="22"/>
      <c r="I228" s="23"/>
    </row>
    <row r="229" spans="1:9" ht="13.8" x14ac:dyDescent="0.3">
      <c r="A229" s="22"/>
      <c r="B229" s="22"/>
      <c r="C229" s="22"/>
      <c r="D229" s="22"/>
      <c r="E229" s="22"/>
      <c r="F229" s="23"/>
      <c r="G229" s="22"/>
      <c r="H229" s="22"/>
      <c r="I229" s="23"/>
    </row>
    <row r="230" spans="1:9" ht="13.8" x14ac:dyDescent="0.3">
      <c r="A230" s="22"/>
      <c r="B230" s="22"/>
      <c r="C230" s="22"/>
      <c r="D230" s="22"/>
      <c r="E230" s="22"/>
      <c r="F230" s="23"/>
      <c r="G230" s="22"/>
      <c r="H230" s="22"/>
      <c r="I230" s="23"/>
    </row>
    <row r="231" spans="1:9" ht="13.8" x14ac:dyDescent="0.3">
      <c r="A231" s="22"/>
      <c r="B231" s="22"/>
      <c r="C231" s="22"/>
      <c r="D231" s="22"/>
      <c r="E231" s="22"/>
      <c r="F231" s="23"/>
      <c r="G231" s="22"/>
      <c r="H231" s="22"/>
      <c r="I231" s="23"/>
    </row>
    <row r="232" spans="1:9" ht="13.8" x14ac:dyDescent="0.3">
      <c r="A232" s="22"/>
      <c r="B232" s="22"/>
      <c r="C232" s="22"/>
      <c r="D232" s="22"/>
      <c r="E232" s="22"/>
      <c r="F232" s="23"/>
      <c r="G232" s="22"/>
      <c r="H232" s="22"/>
      <c r="I232" s="23"/>
    </row>
    <row r="233" spans="1:9" ht="13.8" x14ac:dyDescent="0.3">
      <c r="A233" s="22"/>
      <c r="B233" s="22"/>
      <c r="C233" s="22"/>
      <c r="D233" s="22"/>
      <c r="E233" s="22"/>
      <c r="F233" s="23"/>
      <c r="G233" s="22"/>
      <c r="H233" s="22"/>
      <c r="I233" s="23"/>
    </row>
    <row r="234" spans="1:9" ht="13.8" x14ac:dyDescent="0.3">
      <c r="A234" s="22"/>
      <c r="B234" s="22"/>
      <c r="C234" s="22"/>
      <c r="D234" s="22"/>
      <c r="E234" s="22"/>
      <c r="F234" s="23"/>
      <c r="G234" s="22"/>
      <c r="H234" s="22"/>
      <c r="I234" s="23"/>
    </row>
    <row r="235" spans="1:9" ht="13.8" x14ac:dyDescent="0.3">
      <c r="A235" s="22"/>
      <c r="B235" s="22"/>
      <c r="C235" s="22"/>
      <c r="D235" s="22"/>
      <c r="E235" s="22"/>
      <c r="F235" s="23"/>
      <c r="G235" s="22"/>
      <c r="H235" s="22"/>
      <c r="I235" s="23"/>
    </row>
    <row r="236" spans="1:9" ht="13.8" x14ac:dyDescent="0.3">
      <c r="A236" s="22"/>
      <c r="B236" s="22"/>
      <c r="C236" s="22"/>
      <c r="D236" s="22"/>
      <c r="E236" s="22"/>
      <c r="F236" s="23"/>
      <c r="G236" s="22"/>
      <c r="H236" s="22"/>
      <c r="I236" s="23"/>
    </row>
    <row r="237" spans="1:9" ht="13.8" x14ac:dyDescent="0.3">
      <c r="A237" s="22"/>
      <c r="B237" s="22"/>
      <c r="C237" s="22"/>
      <c r="D237" s="22"/>
      <c r="E237" s="22"/>
      <c r="F237" s="23"/>
      <c r="G237" s="22"/>
      <c r="H237" s="22"/>
      <c r="I237" s="23"/>
    </row>
    <row r="238" spans="1:9" ht="13.8" x14ac:dyDescent="0.3">
      <c r="A238" s="22"/>
      <c r="B238" s="22"/>
      <c r="C238" s="22"/>
      <c r="D238" s="22"/>
      <c r="E238" s="22"/>
      <c r="F238" s="23"/>
      <c r="G238" s="22"/>
      <c r="H238" s="22"/>
      <c r="I238" s="23"/>
    </row>
    <row r="239" spans="1:9" ht="13.8" x14ac:dyDescent="0.3">
      <c r="A239" s="22"/>
      <c r="B239" s="22"/>
      <c r="C239" s="22"/>
      <c r="D239" s="22"/>
      <c r="E239" s="22"/>
      <c r="F239" s="23"/>
      <c r="G239" s="22"/>
      <c r="H239" s="22"/>
      <c r="I239" s="23"/>
    </row>
    <row r="240" spans="1:9" ht="13.8" x14ac:dyDescent="0.3">
      <c r="A240" s="22"/>
      <c r="B240" s="22"/>
      <c r="C240" s="22"/>
      <c r="D240" s="22"/>
      <c r="E240" s="22"/>
      <c r="F240" s="23"/>
      <c r="G240" s="22"/>
      <c r="H240" s="22"/>
      <c r="I240" s="23"/>
    </row>
    <row r="241" spans="1:9" ht="13.8" x14ac:dyDescent="0.3">
      <c r="A241" s="22"/>
      <c r="B241" s="22"/>
      <c r="C241" s="22"/>
      <c r="D241" s="22"/>
      <c r="E241" s="22"/>
      <c r="F241" s="23"/>
      <c r="G241" s="22"/>
      <c r="H241" s="22"/>
      <c r="I241" s="23"/>
    </row>
    <row r="242" spans="1:9" ht="13.8" x14ac:dyDescent="0.3">
      <c r="A242" s="22"/>
      <c r="B242" s="22"/>
      <c r="C242" s="22"/>
      <c r="D242" s="22"/>
      <c r="E242" s="22"/>
      <c r="F242" s="23"/>
      <c r="G242" s="22"/>
      <c r="H242" s="22"/>
      <c r="I242" s="23"/>
    </row>
    <row r="243" spans="1:9" ht="13.8" x14ac:dyDescent="0.3">
      <c r="A243" s="22"/>
      <c r="B243" s="22"/>
      <c r="C243" s="22"/>
      <c r="D243" s="22"/>
      <c r="E243" s="22"/>
      <c r="F243" s="23"/>
      <c r="G243" s="22"/>
      <c r="H243" s="22"/>
      <c r="I243" s="23"/>
    </row>
    <row r="244" spans="1:9" ht="13.8" x14ac:dyDescent="0.3">
      <c r="A244" s="22"/>
      <c r="B244" s="22"/>
      <c r="C244" s="22"/>
      <c r="D244" s="22"/>
      <c r="E244" s="22"/>
      <c r="F244" s="23"/>
      <c r="G244" s="22"/>
      <c r="H244" s="22"/>
      <c r="I244" s="23"/>
    </row>
    <row r="245" spans="1:9" ht="13.8" x14ac:dyDescent="0.3">
      <c r="A245" s="22"/>
      <c r="B245" s="22"/>
      <c r="C245" s="22"/>
      <c r="D245" s="22"/>
      <c r="E245" s="22"/>
      <c r="F245" s="23"/>
      <c r="G245" s="22"/>
      <c r="H245" s="22"/>
      <c r="I245" s="23"/>
    </row>
    <row r="246" spans="1:9" ht="13.8" x14ac:dyDescent="0.3">
      <c r="A246" s="22"/>
      <c r="B246" s="22"/>
      <c r="C246" s="22"/>
      <c r="D246" s="22"/>
      <c r="E246" s="22"/>
      <c r="F246" s="23"/>
      <c r="G246" s="22"/>
      <c r="H246" s="22"/>
      <c r="I246" s="23"/>
    </row>
    <row r="247" spans="1:9" ht="13.8" x14ac:dyDescent="0.3">
      <c r="A247" s="22"/>
      <c r="B247" s="22"/>
      <c r="C247" s="22"/>
      <c r="D247" s="22"/>
      <c r="E247" s="22"/>
      <c r="F247" s="23"/>
      <c r="G247" s="22"/>
      <c r="H247" s="22"/>
      <c r="I247" s="23"/>
    </row>
    <row r="248" spans="1:9" ht="13.8" x14ac:dyDescent="0.3">
      <c r="A248" s="22"/>
      <c r="B248" s="22"/>
      <c r="C248" s="22"/>
      <c r="D248" s="22"/>
      <c r="E248" s="22"/>
      <c r="F248" s="23"/>
      <c r="G248" s="22"/>
      <c r="H248" s="22"/>
      <c r="I248" s="23"/>
    </row>
    <row r="249" spans="1:9" ht="13.8" x14ac:dyDescent="0.3">
      <c r="A249" s="22"/>
      <c r="B249" s="22"/>
      <c r="C249" s="22"/>
      <c r="D249" s="22"/>
      <c r="E249" s="22"/>
      <c r="F249" s="23"/>
      <c r="G249" s="22"/>
      <c r="H249" s="22"/>
      <c r="I249" s="23"/>
    </row>
    <row r="250" spans="1:9" ht="13.8" x14ac:dyDescent="0.3">
      <c r="A250" s="22"/>
      <c r="B250" s="22"/>
      <c r="C250" s="22"/>
      <c r="D250" s="22"/>
      <c r="E250" s="22"/>
      <c r="F250" s="23"/>
      <c r="G250" s="22"/>
      <c r="H250" s="22"/>
      <c r="I250" s="23"/>
    </row>
    <row r="251" spans="1:9" ht="13.8" x14ac:dyDescent="0.3">
      <c r="A251" s="22"/>
      <c r="B251" s="22"/>
      <c r="C251" s="22"/>
      <c r="D251" s="22"/>
      <c r="E251" s="22"/>
      <c r="F251" s="23"/>
      <c r="G251" s="22"/>
      <c r="H251" s="22"/>
      <c r="I251" s="23"/>
    </row>
    <row r="252" spans="1:9" ht="13.8" x14ac:dyDescent="0.3">
      <c r="A252" s="22"/>
      <c r="B252" s="22"/>
      <c r="C252" s="22"/>
      <c r="D252" s="22"/>
      <c r="E252" s="22"/>
      <c r="F252" s="23"/>
      <c r="G252" s="22"/>
      <c r="H252" s="22"/>
      <c r="I252" s="23"/>
    </row>
    <row r="253" spans="1:9" ht="13.8" x14ac:dyDescent="0.3">
      <c r="A253" s="22"/>
      <c r="B253" s="22"/>
      <c r="C253" s="22"/>
      <c r="D253" s="22"/>
      <c r="E253" s="22"/>
      <c r="F253" s="23"/>
      <c r="G253" s="22"/>
      <c r="H253" s="22"/>
      <c r="I253" s="23"/>
    </row>
    <row r="254" spans="1:9" ht="13.8" x14ac:dyDescent="0.3">
      <c r="A254" s="22"/>
      <c r="B254" s="22"/>
      <c r="C254" s="22"/>
      <c r="D254" s="22"/>
      <c r="E254" s="22"/>
      <c r="F254" s="23"/>
      <c r="G254" s="22"/>
      <c r="H254" s="22"/>
      <c r="I254" s="23"/>
    </row>
    <row r="255" spans="1:9" ht="13.8" x14ac:dyDescent="0.3">
      <c r="A255" s="22"/>
      <c r="B255" s="22"/>
      <c r="C255" s="22"/>
      <c r="D255" s="22"/>
      <c r="E255" s="22"/>
      <c r="F255" s="23"/>
      <c r="G255" s="22"/>
      <c r="H255" s="22"/>
      <c r="I255" s="23"/>
    </row>
    <row r="256" spans="1:9" ht="13.8" x14ac:dyDescent="0.3">
      <c r="A256" s="22"/>
      <c r="B256" s="22"/>
      <c r="C256" s="22"/>
      <c r="D256" s="22"/>
      <c r="E256" s="22"/>
      <c r="F256" s="23"/>
      <c r="G256" s="22"/>
      <c r="H256" s="22"/>
      <c r="I256" s="23"/>
    </row>
    <row r="257" spans="1:9" ht="13.8" x14ac:dyDescent="0.3">
      <c r="A257" s="22"/>
      <c r="B257" s="22"/>
      <c r="C257" s="22"/>
      <c r="D257" s="22"/>
      <c r="E257" s="22"/>
      <c r="F257" s="23"/>
      <c r="G257" s="22"/>
      <c r="H257" s="22"/>
      <c r="I257" s="23"/>
    </row>
    <row r="258" spans="1:9" ht="13.8" x14ac:dyDescent="0.3">
      <c r="A258" s="22"/>
      <c r="B258" s="22"/>
      <c r="C258" s="22"/>
      <c r="D258" s="22"/>
      <c r="E258" s="22"/>
      <c r="F258" s="23"/>
      <c r="G258" s="22"/>
      <c r="H258" s="22"/>
      <c r="I258" s="23"/>
    </row>
    <row r="259" spans="1:9" ht="13.8" x14ac:dyDescent="0.3">
      <c r="A259" s="22"/>
      <c r="B259" s="22"/>
      <c r="C259" s="22"/>
      <c r="D259" s="22"/>
      <c r="E259" s="22"/>
      <c r="F259" s="23"/>
      <c r="G259" s="22"/>
      <c r="H259" s="22"/>
      <c r="I259" s="23"/>
    </row>
    <row r="260" spans="1:9" ht="13.8" x14ac:dyDescent="0.3">
      <c r="A260" s="22"/>
      <c r="B260" s="22"/>
      <c r="C260" s="22"/>
      <c r="D260" s="22"/>
      <c r="E260" s="22"/>
      <c r="F260" s="23"/>
      <c r="G260" s="22"/>
      <c r="H260" s="22"/>
      <c r="I260" s="23"/>
    </row>
    <row r="261" spans="1:9" ht="13.8" x14ac:dyDescent="0.3">
      <c r="A261" s="22"/>
      <c r="B261" s="22"/>
      <c r="C261" s="22"/>
      <c r="D261" s="22"/>
      <c r="E261" s="22"/>
      <c r="F261" s="23"/>
      <c r="G261" s="22"/>
      <c r="H261" s="22"/>
      <c r="I261" s="23"/>
    </row>
    <row r="262" spans="1:9" ht="13.8" x14ac:dyDescent="0.3">
      <c r="A262" s="22"/>
      <c r="B262" s="22"/>
      <c r="C262" s="22"/>
      <c r="D262" s="22"/>
      <c r="E262" s="22"/>
      <c r="F262" s="23"/>
      <c r="G262" s="22"/>
      <c r="H262" s="22"/>
      <c r="I262" s="23"/>
    </row>
    <row r="263" spans="1:9" ht="13.8" x14ac:dyDescent="0.3">
      <c r="A263" s="22"/>
      <c r="B263" s="22"/>
      <c r="C263" s="22"/>
      <c r="D263" s="22"/>
      <c r="E263" s="22"/>
      <c r="F263" s="23"/>
      <c r="G263" s="22"/>
      <c r="H263" s="22"/>
      <c r="I263" s="23"/>
    </row>
    <row r="264" spans="1:9" ht="13.8" x14ac:dyDescent="0.3">
      <c r="A264" s="22"/>
      <c r="B264" s="22"/>
      <c r="C264" s="22"/>
      <c r="D264" s="22"/>
      <c r="E264" s="22"/>
      <c r="F264" s="23"/>
      <c r="G264" s="22"/>
      <c r="H264" s="22"/>
      <c r="I264" s="23"/>
    </row>
    <row r="265" spans="1:9" ht="13.8" x14ac:dyDescent="0.3">
      <c r="A265" s="22"/>
      <c r="B265" s="22"/>
      <c r="C265" s="22"/>
      <c r="D265" s="22"/>
      <c r="E265" s="22"/>
      <c r="F265" s="23"/>
      <c r="G265" s="22"/>
      <c r="H265" s="22"/>
      <c r="I265" s="23"/>
    </row>
    <row r="266" spans="1:9" ht="13.8" x14ac:dyDescent="0.3">
      <c r="A266" s="22"/>
      <c r="B266" s="22"/>
      <c r="C266" s="22"/>
      <c r="D266" s="22"/>
      <c r="E266" s="22"/>
      <c r="F266" s="23"/>
      <c r="G266" s="22"/>
      <c r="H266" s="22"/>
      <c r="I266" s="23"/>
    </row>
    <row r="267" spans="1:9" ht="13.8" x14ac:dyDescent="0.3">
      <c r="A267" s="22"/>
      <c r="B267" s="22"/>
      <c r="C267" s="22"/>
      <c r="D267" s="22"/>
      <c r="E267" s="22"/>
      <c r="F267" s="23"/>
      <c r="G267" s="22"/>
      <c r="H267" s="22"/>
      <c r="I267" s="23"/>
    </row>
    <row r="268" spans="1:9" ht="13.8" x14ac:dyDescent="0.3">
      <c r="A268" s="22"/>
      <c r="B268" s="22"/>
      <c r="C268" s="22"/>
      <c r="D268" s="22"/>
      <c r="E268" s="22"/>
      <c r="F268" s="23"/>
      <c r="G268" s="22"/>
      <c r="H268" s="22"/>
      <c r="I268" s="23"/>
    </row>
    <row r="269" spans="1:9" ht="13.8" x14ac:dyDescent="0.3">
      <c r="A269" s="22"/>
      <c r="B269" s="22"/>
      <c r="C269" s="22"/>
      <c r="D269" s="22"/>
      <c r="E269" s="22"/>
      <c r="F269" s="23"/>
      <c r="G269" s="22"/>
      <c r="H269" s="22"/>
      <c r="I269" s="23"/>
    </row>
    <row r="270" spans="1:9" ht="13.8" x14ac:dyDescent="0.3">
      <c r="A270" s="22"/>
      <c r="B270" s="22"/>
      <c r="C270" s="22"/>
      <c r="D270" s="22"/>
      <c r="E270" s="22"/>
      <c r="F270" s="23"/>
      <c r="G270" s="22"/>
      <c r="H270" s="22"/>
      <c r="I270" s="23"/>
    </row>
    <row r="271" spans="1:9" ht="13.8" x14ac:dyDescent="0.3">
      <c r="A271" s="22"/>
      <c r="B271" s="22"/>
      <c r="C271" s="22"/>
      <c r="D271" s="22"/>
      <c r="E271" s="22"/>
      <c r="F271" s="23"/>
      <c r="G271" s="22"/>
      <c r="H271" s="22"/>
      <c r="I271" s="23"/>
    </row>
    <row r="272" spans="1:9" ht="13.8" x14ac:dyDescent="0.3">
      <c r="A272" s="22"/>
      <c r="B272" s="22"/>
      <c r="C272" s="22"/>
      <c r="D272" s="22"/>
      <c r="E272" s="22"/>
      <c r="F272" s="23"/>
      <c r="G272" s="22"/>
      <c r="H272" s="22"/>
      <c r="I272" s="23"/>
    </row>
    <row r="273" spans="1:9" ht="13.8" x14ac:dyDescent="0.3">
      <c r="A273" s="22"/>
      <c r="B273" s="22"/>
      <c r="C273" s="22"/>
      <c r="D273" s="22"/>
      <c r="E273" s="22"/>
      <c r="F273" s="23"/>
      <c r="G273" s="22"/>
      <c r="H273" s="22"/>
      <c r="I273" s="23"/>
    </row>
    <row r="274" spans="1:9" ht="13.8" x14ac:dyDescent="0.3">
      <c r="A274" s="22"/>
      <c r="B274" s="22"/>
      <c r="C274" s="22"/>
      <c r="D274" s="22"/>
      <c r="E274" s="22"/>
      <c r="F274" s="23"/>
      <c r="G274" s="22"/>
      <c r="H274" s="22"/>
      <c r="I274" s="23"/>
    </row>
    <row r="275" spans="1:9" ht="13.8" x14ac:dyDescent="0.3">
      <c r="A275" s="22"/>
      <c r="B275" s="22"/>
      <c r="C275" s="22"/>
      <c r="D275" s="22"/>
      <c r="E275" s="22"/>
      <c r="F275" s="23"/>
      <c r="G275" s="22"/>
      <c r="H275" s="22"/>
      <c r="I275" s="23"/>
    </row>
    <row r="276" spans="1:9" ht="13.8" x14ac:dyDescent="0.3">
      <c r="A276" s="22"/>
      <c r="B276" s="22"/>
      <c r="C276" s="22"/>
      <c r="D276" s="22"/>
      <c r="E276" s="22"/>
      <c r="F276" s="23"/>
      <c r="G276" s="22"/>
      <c r="H276" s="22"/>
      <c r="I276" s="23"/>
    </row>
    <row r="277" spans="1:9" ht="13.8" x14ac:dyDescent="0.3">
      <c r="A277" s="22"/>
      <c r="B277" s="22"/>
      <c r="C277" s="22"/>
      <c r="D277" s="22"/>
      <c r="E277" s="22"/>
      <c r="F277" s="23"/>
      <c r="G277" s="22"/>
      <c r="H277" s="22"/>
      <c r="I277" s="23"/>
    </row>
    <row r="278" spans="1:9" ht="13.8" x14ac:dyDescent="0.3">
      <c r="A278" s="22"/>
      <c r="B278" s="22"/>
      <c r="C278" s="22"/>
      <c r="D278" s="22"/>
      <c r="E278" s="22"/>
      <c r="F278" s="23"/>
      <c r="G278" s="22"/>
      <c r="H278" s="22"/>
      <c r="I278" s="23"/>
    </row>
    <row r="279" spans="1:9" ht="13.8" x14ac:dyDescent="0.3">
      <c r="A279" s="22"/>
      <c r="B279" s="22"/>
      <c r="C279" s="22"/>
      <c r="D279" s="22"/>
      <c r="E279" s="22"/>
      <c r="F279" s="23"/>
      <c r="G279" s="22"/>
      <c r="H279" s="22"/>
      <c r="I279" s="23"/>
    </row>
    <row r="280" spans="1:9" ht="13.8" x14ac:dyDescent="0.3">
      <c r="A280" s="22"/>
      <c r="B280" s="22"/>
      <c r="C280" s="22"/>
      <c r="D280" s="22"/>
      <c r="E280" s="22"/>
      <c r="F280" s="23"/>
      <c r="G280" s="22"/>
      <c r="H280" s="22"/>
      <c r="I280" s="23"/>
    </row>
    <row r="281" spans="1:9" ht="13.8" x14ac:dyDescent="0.3">
      <c r="A281" s="22"/>
      <c r="B281" s="22"/>
      <c r="C281" s="22"/>
      <c r="D281" s="22"/>
      <c r="E281" s="22"/>
      <c r="F281" s="23"/>
      <c r="G281" s="22"/>
      <c r="H281" s="22"/>
      <c r="I281" s="23"/>
    </row>
    <row r="282" spans="1:9" ht="13.8" x14ac:dyDescent="0.3">
      <c r="A282" s="22"/>
      <c r="B282" s="22"/>
      <c r="C282" s="22"/>
      <c r="D282" s="22"/>
      <c r="E282" s="22"/>
      <c r="F282" s="23"/>
      <c r="G282" s="22"/>
      <c r="H282" s="22"/>
      <c r="I282" s="23"/>
    </row>
    <row r="283" spans="1:9" ht="13.8" x14ac:dyDescent="0.3">
      <c r="A283" s="22"/>
      <c r="B283" s="22"/>
      <c r="C283" s="22"/>
      <c r="D283" s="22"/>
      <c r="E283" s="22"/>
      <c r="F283" s="23"/>
      <c r="G283" s="22"/>
      <c r="H283" s="22"/>
      <c r="I283" s="23"/>
    </row>
    <row r="284" spans="1:9" ht="13.8" x14ac:dyDescent="0.3">
      <c r="A284" s="22"/>
      <c r="B284" s="22"/>
      <c r="C284" s="22"/>
      <c r="D284" s="22"/>
      <c r="E284" s="22"/>
      <c r="F284" s="23"/>
      <c r="G284" s="22"/>
      <c r="H284" s="22"/>
      <c r="I284" s="23"/>
    </row>
    <row r="285" spans="1:9" ht="13.8" x14ac:dyDescent="0.3">
      <c r="A285" s="22"/>
      <c r="B285" s="22"/>
      <c r="C285" s="22"/>
      <c r="D285" s="22"/>
      <c r="E285" s="22"/>
      <c r="F285" s="23"/>
      <c r="G285" s="22"/>
      <c r="H285" s="22"/>
      <c r="I285" s="23"/>
    </row>
    <row r="286" spans="1:9" ht="13.8" x14ac:dyDescent="0.3">
      <c r="A286" s="22"/>
      <c r="B286" s="22"/>
      <c r="C286" s="22"/>
      <c r="D286" s="22"/>
      <c r="E286" s="22"/>
      <c r="F286" s="23"/>
      <c r="G286" s="22"/>
      <c r="H286" s="22"/>
      <c r="I286" s="23"/>
    </row>
    <row r="287" spans="1:9" ht="13.8" x14ac:dyDescent="0.3">
      <c r="A287" s="22"/>
      <c r="B287" s="22"/>
      <c r="C287" s="22"/>
      <c r="D287" s="22"/>
      <c r="E287" s="22"/>
      <c r="F287" s="23"/>
      <c r="G287" s="22"/>
      <c r="H287" s="22"/>
      <c r="I287" s="23"/>
    </row>
    <row r="288" spans="1:9" ht="13.8" x14ac:dyDescent="0.3">
      <c r="A288" s="22"/>
      <c r="B288" s="22"/>
      <c r="C288" s="22"/>
      <c r="D288" s="22"/>
      <c r="E288" s="22"/>
      <c r="F288" s="23"/>
      <c r="G288" s="22"/>
      <c r="H288" s="22"/>
      <c r="I288" s="23"/>
    </row>
    <row r="289" spans="1:9" ht="13.8" x14ac:dyDescent="0.3">
      <c r="A289" s="22"/>
      <c r="B289" s="22"/>
      <c r="C289" s="22"/>
      <c r="D289" s="22"/>
      <c r="E289" s="22"/>
      <c r="F289" s="23"/>
      <c r="G289" s="22"/>
      <c r="H289" s="22"/>
      <c r="I289" s="23"/>
    </row>
    <row r="290" spans="1:9" ht="13.8" x14ac:dyDescent="0.3">
      <c r="A290" s="22"/>
      <c r="B290" s="22"/>
      <c r="C290" s="22"/>
      <c r="D290" s="22"/>
      <c r="E290" s="22"/>
      <c r="F290" s="23"/>
      <c r="G290" s="22"/>
      <c r="H290" s="22"/>
      <c r="I290" s="23"/>
    </row>
    <row r="291" spans="1:9" ht="13.8" x14ac:dyDescent="0.3">
      <c r="A291" s="22"/>
      <c r="B291" s="22"/>
      <c r="C291" s="22"/>
      <c r="D291" s="22"/>
      <c r="E291" s="22"/>
      <c r="F291" s="23"/>
      <c r="G291" s="22"/>
      <c r="H291" s="22"/>
      <c r="I291" s="23"/>
    </row>
    <row r="292" spans="1:9" ht="13.8" x14ac:dyDescent="0.3">
      <c r="A292" s="22"/>
      <c r="B292" s="22"/>
      <c r="C292" s="22"/>
      <c r="D292" s="22"/>
      <c r="E292" s="22"/>
      <c r="F292" s="23"/>
      <c r="G292" s="22"/>
      <c r="H292" s="22"/>
      <c r="I292" s="23"/>
    </row>
    <row r="293" spans="1:9" ht="13.8" x14ac:dyDescent="0.3">
      <c r="A293" s="22"/>
      <c r="B293" s="22"/>
      <c r="C293" s="22"/>
      <c r="D293" s="22"/>
      <c r="E293" s="22"/>
      <c r="F293" s="23"/>
      <c r="G293" s="22"/>
      <c r="H293" s="22"/>
      <c r="I293" s="23"/>
    </row>
    <row r="294" spans="1:9" ht="13.8" x14ac:dyDescent="0.3">
      <c r="A294" s="22"/>
      <c r="B294" s="22"/>
      <c r="C294" s="22"/>
      <c r="D294" s="22"/>
      <c r="E294" s="22"/>
      <c r="F294" s="23"/>
      <c r="G294" s="22"/>
      <c r="H294" s="22"/>
      <c r="I294" s="23"/>
    </row>
    <row r="295" spans="1:9" ht="13.8" x14ac:dyDescent="0.3">
      <c r="A295" s="22"/>
      <c r="B295" s="22"/>
      <c r="C295" s="22"/>
      <c r="D295" s="22"/>
      <c r="E295" s="22"/>
      <c r="F295" s="23"/>
      <c r="G295" s="22"/>
      <c r="H295" s="22"/>
      <c r="I295" s="23"/>
    </row>
    <row r="296" spans="1:9" ht="13.8" x14ac:dyDescent="0.3">
      <c r="A296" s="22"/>
      <c r="B296" s="22"/>
      <c r="C296" s="22"/>
      <c r="D296" s="22"/>
      <c r="E296" s="22"/>
      <c r="F296" s="23"/>
      <c r="G296" s="22"/>
      <c r="H296" s="22"/>
      <c r="I296" s="23"/>
    </row>
    <row r="297" spans="1:9" ht="13.8" x14ac:dyDescent="0.3">
      <c r="A297" s="22"/>
      <c r="B297" s="22"/>
      <c r="C297" s="22"/>
      <c r="D297" s="22"/>
      <c r="E297" s="22"/>
      <c r="F297" s="23"/>
      <c r="G297" s="22"/>
      <c r="H297" s="22"/>
      <c r="I297" s="23"/>
    </row>
    <row r="298" spans="1:9" ht="13.8" x14ac:dyDescent="0.3">
      <c r="A298" s="22"/>
      <c r="B298" s="22"/>
      <c r="C298" s="22"/>
      <c r="D298" s="22"/>
      <c r="E298" s="22"/>
      <c r="F298" s="23"/>
      <c r="G298" s="22"/>
      <c r="H298" s="22"/>
      <c r="I298" s="23"/>
    </row>
    <row r="299" spans="1:9" ht="13.8" x14ac:dyDescent="0.3">
      <c r="A299" s="22"/>
      <c r="B299" s="22"/>
      <c r="C299" s="22"/>
      <c r="D299" s="22"/>
      <c r="E299" s="22"/>
      <c r="F299" s="23"/>
      <c r="G299" s="22"/>
      <c r="H299" s="22"/>
      <c r="I299" s="23"/>
    </row>
    <row r="300" spans="1:9" ht="13.8" x14ac:dyDescent="0.3">
      <c r="A300" s="22"/>
      <c r="B300" s="22"/>
      <c r="C300" s="22"/>
      <c r="D300" s="22"/>
      <c r="E300" s="22"/>
      <c r="F300" s="23"/>
      <c r="G300" s="22"/>
      <c r="H300" s="22"/>
      <c r="I300" s="23"/>
    </row>
    <row r="301" spans="1:9" ht="13.8" x14ac:dyDescent="0.3">
      <c r="A301" s="22"/>
      <c r="B301" s="22"/>
      <c r="C301" s="22"/>
      <c r="D301" s="22"/>
      <c r="E301" s="22"/>
      <c r="F301" s="23"/>
      <c r="G301" s="22"/>
      <c r="H301" s="22"/>
      <c r="I301" s="23"/>
    </row>
    <row r="302" spans="1:9" ht="13.8" x14ac:dyDescent="0.3">
      <c r="A302" s="22"/>
      <c r="B302" s="22"/>
      <c r="C302" s="22"/>
      <c r="D302" s="22"/>
      <c r="E302" s="22"/>
      <c r="F302" s="23"/>
      <c r="G302" s="22"/>
      <c r="H302" s="22"/>
      <c r="I302" s="23"/>
    </row>
    <row r="303" spans="1:9" ht="13.8" x14ac:dyDescent="0.3">
      <c r="A303" s="22"/>
      <c r="B303" s="22"/>
      <c r="C303" s="22"/>
      <c r="D303" s="22"/>
      <c r="E303" s="22"/>
      <c r="F303" s="23"/>
      <c r="G303" s="22"/>
      <c r="H303" s="22"/>
      <c r="I303" s="23"/>
    </row>
    <row r="304" spans="1:9" ht="13.8" x14ac:dyDescent="0.3">
      <c r="A304" s="22"/>
      <c r="B304" s="22"/>
      <c r="C304" s="22"/>
      <c r="D304" s="22"/>
      <c r="E304" s="22"/>
      <c r="F304" s="23"/>
      <c r="G304" s="22"/>
      <c r="H304" s="22"/>
      <c r="I304" s="23"/>
    </row>
    <row r="305" spans="1:9" ht="13.8" x14ac:dyDescent="0.3">
      <c r="A305" s="22"/>
      <c r="B305" s="22"/>
      <c r="C305" s="22"/>
      <c r="D305" s="22"/>
      <c r="E305" s="22"/>
      <c r="F305" s="23"/>
      <c r="G305" s="22"/>
      <c r="H305" s="22"/>
      <c r="I305" s="23"/>
    </row>
    <row r="306" spans="1:9" ht="13.8" x14ac:dyDescent="0.3">
      <c r="A306" s="22"/>
      <c r="B306" s="22"/>
      <c r="C306" s="22"/>
      <c r="D306" s="22"/>
      <c r="E306" s="22"/>
      <c r="F306" s="23"/>
      <c r="G306" s="22"/>
      <c r="H306" s="22"/>
      <c r="I306" s="23"/>
    </row>
    <row r="307" spans="1:9" ht="13.8" x14ac:dyDescent="0.3">
      <c r="A307" s="22"/>
      <c r="B307" s="22"/>
      <c r="C307" s="22"/>
      <c r="D307" s="22"/>
      <c r="E307" s="22"/>
      <c r="F307" s="23"/>
      <c r="G307" s="22"/>
      <c r="H307" s="22"/>
      <c r="I307" s="23"/>
    </row>
    <row r="308" spans="1:9" ht="13.8" x14ac:dyDescent="0.3">
      <c r="A308" s="22"/>
      <c r="B308" s="22"/>
      <c r="C308" s="22"/>
      <c r="D308" s="22"/>
      <c r="E308" s="22"/>
      <c r="F308" s="23"/>
      <c r="G308" s="22"/>
      <c r="H308" s="22"/>
      <c r="I308" s="23"/>
    </row>
    <row r="309" spans="1:9" ht="13.8" x14ac:dyDescent="0.3">
      <c r="A309" s="22"/>
      <c r="B309" s="22"/>
      <c r="C309" s="22"/>
      <c r="D309" s="22"/>
      <c r="E309" s="22"/>
      <c r="F309" s="23"/>
      <c r="G309" s="22"/>
      <c r="H309" s="22"/>
      <c r="I309" s="23"/>
    </row>
    <row r="310" spans="1:9" ht="13.8" x14ac:dyDescent="0.3">
      <c r="A310" s="22"/>
      <c r="B310" s="22"/>
      <c r="C310" s="22"/>
      <c r="D310" s="22"/>
      <c r="E310" s="22"/>
      <c r="F310" s="23"/>
      <c r="G310" s="22"/>
      <c r="H310" s="22"/>
      <c r="I310" s="23"/>
    </row>
    <row r="311" spans="1:9" ht="13.8" x14ac:dyDescent="0.3">
      <c r="A311" s="22"/>
      <c r="B311" s="22"/>
      <c r="C311" s="22"/>
      <c r="D311" s="22"/>
      <c r="E311" s="22"/>
      <c r="F311" s="23"/>
      <c r="G311" s="22"/>
      <c r="H311" s="22"/>
      <c r="I311" s="23"/>
    </row>
    <row r="312" spans="1:9" ht="13.8" x14ac:dyDescent="0.3">
      <c r="A312" s="22"/>
      <c r="B312" s="22"/>
      <c r="C312" s="22"/>
      <c r="D312" s="22"/>
      <c r="E312" s="22"/>
      <c r="F312" s="23"/>
      <c r="G312" s="22"/>
      <c r="H312" s="22"/>
      <c r="I312" s="23"/>
    </row>
    <row r="313" spans="1:9" ht="13.8" x14ac:dyDescent="0.3">
      <c r="A313" s="22"/>
      <c r="B313" s="22"/>
      <c r="C313" s="22"/>
      <c r="D313" s="22"/>
      <c r="E313" s="22"/>
      <c r="F313" s="23"/>
      <c r="G313" s="22"/>
      <c r="H313" s="22"/>
      <c r="I313" s="23"/>
    </row>
    <row r="314" spans="1:9" ht="13.8" x14ac:dyDescent="0.3">
      <c r="A314" s="22"/>
      <c r="B314" s="22"/>
      <c r="C314" s="22"/>
      <c r="D314" s="22"/>
      <c r="E314" s="22"/>
      <c r="F314" s="23"/>
      <c r="G314" s="22"/>
      <c r="H314" s="22"/>
      <c r="I314" s="23"/>
    </row>
    <row r="315" spans="1:9" ht="13.8" x14ac:dyDescent="0.3">
      <c r="A315" s="22"/>
      <c r="B315" s="22"/>
      <c r="C315" s="22"/>
      <c r="D315" s="22"/>
      <c r="E315" s="22"/>
      <c r="F315" s="23"/>
      <c r="G315" s="22"/>
      <c r="H315" s="22"/>
      <c r="I315" s="23"/>
    </row>
    <row r="316" spans="1:9" ht="13.8" x14ac:dyDescent="0.3">
      <c r="A316" s="22"/>
      <c r="B316" s="22"/>
      <c r="C316" s="22"/>
      <c r="D316" s="22"/>
      <c r="E316" s="22"/>
      <c r="F316" s="23"/>
      <c r="G316" s="22"/>
      <c r="H316" s="22"/>
      <c r="I316" s="23"/>
    </row>
    <row r="317" spans="1:9" ht="13.8" x14ac:dyDescent="0.3">
      <c r="A317" s="22"/>
      <c r="B317" s="22"/>
      <c r="C317" s="22"/>
      <c r="D317" s="22"/>
      <c r="E317" s="22"/>
      <c r="F317" s="23"/>
      <c r="G317" s="22"/>
      <c r="H317" s="22"/>
      <c r="I317" s="23"/>
    </row>
    <row r="318" spans="1:9" ht="13.8" x14ac:dyDescent="0.3">
      <c r="A318" s="22"/>
      <c r="B318" s="22"/>
      <c r="C318" s="22"/>
      <c r="D318" s="22"/>
      <c r="E318" s="22"/>
      <c r="F318" s="23"/>
      <c r="G318" s="22"/>
      <c r="H318" s="22"/>
      <c r="I318" s="23"/>
    </row>
    <row r="319" spans="1:9" ht="13.8" x14ac:dyDescent="0.3">
      <c r="A319" s="22"/>
      <c r="B319" s="22"/>
      <c r="C319" s="22"/>
      <c r="D319" s="22"/>
      <c r="E319" s="22"/>
      <c r="F319" s="23"/>
      <c r="G319" s="22"/>
      <c r="H319" s="22"/>
      <c r="I319" s="23"/>
    </row>
    <row r="320" spans="1:9" ht="13.8" x14ac:dyDescent="0.3">
      <c r="A320" s="22"/>
      <c r="B320" s="22"/>
      <c r="C320" s="22"/>
      <c r="D320" s="22"/>
      <c r="E320" s="22"/>
      <c r="F320" s="23"/>
      <c r="G320" s="22"/>
      <c r="H320" s="22"/>
      <c r="I320" s="23"/>
    </row>
    <row r="321" spans="1:9" ht="13.8" x14ac:dyDescent="0.3">
      <c r="A321" s="22"/>
      <c r="B321" s="22"/>
      <c r="C321" s="22"/>
      <c r="D321" s="22"/>
      <c r="E321" s="22"/>
      <c r="F321" s="23"/>
      <c r="G321" s="22"/>
      <c r="H321" s="22"/>
      <c r="I321" s="23"/>
    </row>
    <row r="322" spans="1:9" ht="13.8" x14ac:dyDescent="0.3">
      <c r="A322" s="22"/>
      <c r="B322" s="22"/>
      <c r="C322" s="22"/>
      <c r="D322" s="22"/>
      <c r="E322" s="22"/>
      <c r="F322" s="23"/>
      <c r="G322" s="22"/>
      <c r="H322" s="22"/>
      <c r="I322" s="23"/>
    </row>
    <row r="323" spans="1:9" ht="13.8" x14ac:dyDescent="0.3">
      <c r="A323" s="22"/>
      <c r="B323" s="22"/>
      <c r="C323" s="22"/>
      <c r="D323" s="22"/>
      <c r="E323" s="22"/>
      <c r="F323" s="23"/>
      <c r="G323" s="22"/>
      <c r="H323" s="22"/>
      <c r="I323" s="23"/>
    </row>
    <row r="324" spans="1:9" ht="13.8" x14ac:dyDescent="0.3">
      <c r="A324" s="22"/>
      <c r="B324" s="22"/>
      <c r="C324" s="22"/>
      <c r="D324" s="22"/>
      <c r="E324" s="22"/>
      <c r="F324" s="23"/>
      <c r="G324" s="22"/>
      <c r="H324" s="22"/>
      <c r="I324" s="23"/>
    </row>
    <row r="325" spans="1:9" ht="13.8" x14ac:dyDescent="0.3">
      <c r="A325" s="22"/>
      <c r="B325" s="22"/>
      <c r="C325" s="22"/>
      <c r="D325" s="22"/>
      <c r="E325" s="22"/>
      <c r="F325" s="23"/>
      <c r="G325" s="22"/>
      <c r="H325" s="22"/>
      <c r="I325" s="23"/>
    </row>
    <row r="326" spans="1:9" ht="13.8" x14ac:dyDescent="0.3">
      <c r="A326" s="22"/>
      <c r="B326" s="22"/>
      <c r="C326" s="22"/>
      <c r="D326" s="22"/>
      <c r="E326" s="22"/>
      <c r="F326" s="23"/>
      <c r="G326" s="22"/>
      <c r="H326" s="22"/>
      <c r="I326" s="23"/>
    </row>
    <row r="327" spans="1:9" ht="13.8" x14ac:dyDescent="0.3">
      <c r="A327" s="22"/>
      <c r="B327" s="22"/>
      <c r="C327" s="22"/>
      <c r="D327" s="22"/>
      <c r="E327" s="22"/>
      <c r="F327" s="23"/>
      <c r="G327" s="22"/>
      <c r="H327" s="22"/>
      <c r="I327" s="23"/>
    </row>
    <row r="328" spans="1:9" ht="13.8" x14ac:dyDescent="0.3">
      <c r="A328" s="22"/>
      <c r="B328" s="22"/>
      <c r="C328" s="22"/>
      <c r="D328" s="22"/>
      <c r="E328" s="22"/>
      <c r="F328" s="23"/>
      <c r="G328" s="22"/>
      <c r="H328" s="22"/>
      <c r="I328" s="23"/>
    </row>
    <row r="329" spans="1:9" ht="13.8" x14ac:dyDescent="0.3">
      <c r="A329" s="22"/>
      <c r="B329" s="22"/>
      <c r="C329" s="22"/>
      <c r="D329" s="22"/>
      <c r="E329" s="22"/>
      <c r="F329" s="23"/>
      <c r="G329" s="22"/>
      <c r="H329" s="22"/>
      <c r="I329" s="23"/>
    </row>
    <row r="330" spans="1:9" ht="13.8" x14ac:dyDescent="0.3">
      <c r="A330" s="22"/>
      <c r="B330" s="22"/>
      <c r="C330" s="22"/>
      <c r="D330" s="22"/>
      <c r="E330" s="22"/>
      <c r="F330" s="23"/>
      <c r="G330" s="22"/>
      <c r="H330" s="22"/>
      <c r="I330" s="23"/>
    </row>
    <row r="331" spans="1:9" ht="13.8" x14ac:dyDescent="0.3">
      <c r="A331" s="22"/>
      <c r="B331" s="22"/>
      <c r="C331" s="22"/>
      <c r="D331" s="22"/>
      <c r="E331" s="22"/>
      <c r="F331" s="23"/>
      <c r="G331" s="22"/>
      <c r="H331" s="22"/>
      <c r="I331" s="23"/>
    </row>
    <row r="332" spans="1:9" ht="13.8" x14ac:dyDescent="0.3">
      <c r="A332" s="22"/>
      <c r="B332" s="22"/>
      <c r="C332" s="22"/>
      <c r="D332" s="22"/>
      <c r="E332" s="22"/>
      <c r="F332" s="23"/>
      <c r="G332" s="22"/>
      <c r="H332" s="22"/>
      <c r="I332" s="23"/>
    </row>
    <row r="333" spans="1:9" ht="13.8" x14ac:dyDescent="0.3">
      <c r="A333" s="22"/>
      <c r="B333" s="22"/>
      <c r="C333" s="22"/>
      <c r="D333" s="22"/>
      <c r="E333" s="22"/>
      <c r="F333" s="23"/>
      <c r="G333" s="22"/>
      <c r="H333" s="22"/>
      <c r="I333" s="23"/>
    </row>
  </sheetData>
  <sortState xmlns:xlrd2="http://schemas.microsoft.com/office/spreadsheetml/2017/richdata2" ref="A3:I4">
    <sortCondition ref="A3:A4"/>
  </sortState>
  <mergeCells count="4">
    <mergeCell ref="G1:I1"/>
    <mergeCell ref="A1:C1"/>
    <mergeCell ref="D1:F1"/>
    <mergeCell ref="A2:B2"/>
  </mergeCells>
  <conditionalFormatting sqref="F2 I2 F4:F91 I4:I91">
    <cfRule type="cellIs" dxfId="43" priority="1" stopIfTrue="1" operator="lessThanOrEqual">
      <formula>-0.1</formula>
    </cfRule>
    <cfRule type="expression" dxfId="4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3"/>
  <sheetViews>
    <sheetView workbookViewId="0">
      <pane xSplit="2" ySplit="3" topLeftCell="C4" activePane="bottomRight" state="frozen"/>
      <selection pane="topRight" activeCell="A16" sqref="A16"/>
      <selection pane="bottomLeft" activeCell="A16" sqref="A16"/>
      <selection pane="bottomRight" activeCell="C7" sqref="C7"/>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5" t="str" cm="1">
        <f t="array" ref="A1">portfolio</f>
        <v>Tortoise</v>
      </c>
      <c r="B1" s="75"/>
      <c r="C1" s="75"/>
      <c r="D1" s="76" t="s">
        <v>14</v>
      </c>
      <c r="E1" s="76"/>
      <c r="F1" s="76"/>
      <c r="G1" s="74" t="s">
        <v>15</v>
      </c>
      <c r="H1" s="74"/>
      <c r="I1" s="74"/>
    </row>
    <row r="2" spans="1:9" ht="19.5" customHeight="1" x14ac:dyDescent="0.25">
      <c r="A2" s="77" t="s">
        <v>2</v>
      </c>
      <c r="B2" s="77"/>
      <c r="C2" s="6">
        <f>SUM(C4:C91)</f>
        <v>1194242.564</v>
      </c>
      <c r="D2" s="6">
        <f>SUM(D4:D91)</f>
        <v>1373129.753317046</v>
      </c>
      <c r="E2" s="6">
        <f>C2-D2</f>
        <v>-178887.18931704597</v>
      </c>
      <c r="F2" s="7">
        <f>IFERROR(E2/D2, 0)</f>
        <v>-0.13027697410598763</v>
      </c>
      <c r="G2" s="6">
        <f>SUM(G4:G91)</f>
        <v>1649012.8819000002</v>
      </c>
      <c r="H2" s="8">
        <f>C2-G2</f>
        <v>-454770.31790000014</v>
      </c>
      <c r="I2" s="7">
        <f>IFERROR(H2/G2, 0)</f>
        <v>-0.2757833628176462</v>
      </c>
    </row>
    <row r="3" spans="1:9" ht="14.25" customHeight="1" x14ac:dyDescent="0.25">
      <c r="A3" s="9" t="s">
        <v>3</v>
      </c>
      <c r="B3" s="9" t="s">
        <v>4</v>
      </c>
      <c r="C3" s="24" t="s">
        <v>5</v>
      </c>
      <c r="D3" s="35" t="s">
        <v>6</v>
      </c>
      <c r="E3" s="35" t="s">
        <v>7</v>
      </c>
      <c r="F3" s="36" t="s">
        <v>8</v>
      </c>
      <c r="G3" s="37" t="s">
        <v>9</v>
      </c>
      <c r="H3" s="38" t="s">
        <v>7</v>
      </c>
      <c r="I3" s="39" t="s">
        <v>8</v>
      </c>
    </row>
    <row r="4" spans="1:9" ht="15.6" x14ac:dyDescent="0.25">
      <c r="A4" s="13" t="str" cm="1">
        <f t="array" ref="A4:A13">Sites[Site]</f>
        <v>Alamosa School District</v>
      </c>
      <c r="B4" s="10" t="str" cm="1">
        <f t="array" ref="B4:B13">Sites[State]</f>
        <v>CO</v>
      </c>
      <c r="C4" s="25">
        <f>SUM(Jul!C4, Aug!C4, Sep!C4)</f>
        <v>319437</v>
      </c>
      <c r="D4" s="14">
        <f>SUM(Jul!D4, Aug!D4, Sep!D4)</f>
        <v>328424.588317046</v>
      </c>
      <c r="E4" s="14">
        <f>IF(AND(ISNUMBER(C4),ISNUMBER(D4)), C4-D4, "")</f>
        <v>-8987.5883170460002</v>
      </c>
      <c r="F4" s="15">
        <f>IFERROR(E4/D4, "")</f>
        <v>-2.736575955868991E-2</v>
      </c>
      <c r="G4" s="16">
        <f>SUM(Jul!G4,Aug!G4,Sep!G4)</f>
        <v>368930.92590000003</v>
      </c>
      <c r="H4" s="16">
        <f>SUM(Jul!H4, Aug!H4, Sep!H4)</f>
        <v>-49493.925900000017</v>
      </c>
      <c r="I4" s="17">
        <f>IFERROR(H4/G4, "")</f>
        <v>-0.1341549933209327</v>
      </c>
    </row>
    <row r="5" spans="1:9" ht="15.6" x14ac:dyDescent="0.25">
      <c r="A5" s="18" t="str">
        <v>San Luis Valley</v>
      </c>
      <c r="B5" s="11" t="str">
        <v>CO</v>
      </c>
      <c r="C5" s="12">
        <f>SUM(Jul!C5, Aug!C5, Sep!C5)</f>
        <v>693812.75</v>
      </c>
      <c r="D5" s="19">
        <f>SUM(Jul!D5, Aug!D5, Sep!D5)</f>
        <v>610051.39300000004</v>
      </c>
      <c r="E5" s="19">
        <f t="shared" ref="E5:E6" si="0">IF(AND(ISNUMBER(C5),ISNUMBER(D5)), C5-D5, "")</f>
        <v>83761.35699999996</v>
      </c>
      <c r="F5" s="20">
        <f>IFERROR(E5/D5, "")</f>
        <v>0.13730213218282078</v>
      </c>
      <c r="G5" s="57">
        <f>SUM(Jul!G5,Aug!G5,Sep!G5)</f>
        <v>762465</v>
      </c>
      <c r="H5" s="21">
        <f>SUM(Jul!H5, Aug!H5, Sep!H5)</f>
        <v>-68652.25</v>
      </c>
      <c r="I5" s="20">
        <f>IFERROR(H5/G5, "")</f>
        <v>-9.0039870682588716E-2</v>
      </c>
    </row>
    <row r="6" spans="1:9" ht="15.6" x14ac:dyDescent="0.25">
      <c r="A6" s="13" t="str">
        <v>Golden NREL 2</v>
      </c>
      <c r="B6" s="10" t="str">
        <v>CO</v>
      </c>
      <c r="C6" s="25">
        <f>SUM(Jul!C6, Aug!C6, Sep!C6)</f>
        <v>35422.000999999997</v>
      </c>
      <c r="D6" s="14">
        <f>SUM(Jul!D6, Aug!D6, Sep!D6)</f>
        <v>37606.173999999999</v>
      </c>
      <c r="E6" s="14">
        <f t="shared" si="0"/>
        <v>-2184.1730000000025</v>
      </c>
      <c r="F6" s="15">
        <f t="shared" ref="F6:F13" si="1">IFERROR(E6/D6, "")</f>
        <v>-5.8080170559227921E-2</v>
      </c>
      <c r="G6" s="16">
        <f>SUM(Jul!G6,Aug!G6,Sep!G6)</f>
        <v>41957.955999999998</v>
      </c>
      <c r="H6" s="16">
        <f>SUM(Jul!H6, Aug!H6, Sep!H6)</f>
        <v>-6535.9550000000017</v>
      </c>
      <c r="I6" s="17">
        <f t="shared" ref="I6:I13" si="2">IFERROR(H6/G6, "")</f>
        <v>-0.15577391329549042</v>
      </c>
    </row>
    <row r="7" spans="1:9" ht="15.6" x14ac:dyDescent="0.25">
      <c r="A7" s="18" t="str">
        <v>Golden NREL Wind 3</v>
      </c>
      <c r="B7" s="11" t="str">
        <v>CO</v>
      </c>
      <c r="C7" s="12">
        <f>SUM(Jul!C7, Aug!C7, Sep!C7)</f>
        <v>145570.81299999999</v>
      </c>
      <c r="D7" s="19">
        <f>SUM(Jul!D7, Aug!D7, Sep!D7)</f>
        <v>397047.598</v>
      </c>
      <c r="E7" s="19">
        <f t="shared" ref="E7:E13" si="3">IF(AND(ISNUMBER(C7),ISNUMBER(D7)), C7-D7, "")</f>
        <v>-251476.785</v>
      </c>
      <c r="F7" s="20">
        <f t="shared" si="1"/>
        <v>-0.63336684635981599</v>
      </c>
      <c r="G7" s="57">
        <f>SUM(Jul!G7,Aug!G7,Sep!G7)</f>
        <v>475659</v>
      </c>
      <c r="H7" s="21">
        <f>SUM(Jul!H7, Aug!H7, Sep!H7)</f>
        <v>-330088.18700000003</v>
      </c>
      <c r="I7" s="20">
        <f t="shared" si="2"/>
        <v>-0.69395972114476978</v>
      </c>
    </row>
    <row r="8" spans="1:9" ht="15.6" x14ac:dyDescent="0.25">
      <c r="A8" s="13" t="str">
        <v>Pratt Solar Farm</v>
      </c>
      <c r="B8" s="10" t="str">
        <v>KS</v>
      </c>
      <c r="C8" s="25">
        <f>SUM(Jul!C8, Aug!C8, Sep!C8)</f>
        <v>0</v>
      </c>
      <c r="D8" s="14">
        <f>SUM(Jul!D8, Aug!D8, Sep!D8)</f>
        <v>0</v>
      </c>
      <c r="E8" s="14">
        <f t="shared" si="3"/>
        <v>0</v>
      </c>
      <c r="F8" s="15" t="str">
        <f t="shared" si="1"/>
        <v/>
      </c>
      <c r="G8" s="16">
        <f>SUM(Jul!G8,Aug!G8,Sep!G8)</f>
        <v>0</v>
      </c>
      <c r="H8" s="16">
        <f>SUM(Jul!H8, Aug!H8, Sep!H8)</f>
        <v>0</v>
      </c>
      <c r="I8" s="17" t="str">
        <f t="shared" si="2"/>
        <v/>
      </c>
    </row>
    <row r="9" spans="1:9" ht="12.75" customHeight="1" x14ac:dyDescent="0.25">
      <c r="A9" s="18" t="str">
        <v>Rochester - 5516 Valleyhigh NW</v>
      </c>
      <c r="B9" s="11" t="str">
        <v>MN</v>
      </c>
      <c r="C9" s="12">
        <f>SUM(Jul!C9, Aug!C9, Sep!C9)</f>
        <v>0</v>
      </c>
      <c r="D9" s="19">
        <f>SUM(Jul!D9, Aug!D9, Sep!D9)</f>
        <v>0</v>
      </c>
      <c r="E9" s="19">
        <f t="shared" si="3"/>
        <v>0</v>
      </c>
      <c r="F9" s="20" t="str">
        <f t="shared" si="1"/>
        <v/>
      </c>
      <c r="G9" s="57">
        <f>SUM(Jul!G9,Aug!G9,Sep!G9)</f>
        <v>0</v>
      </c>
      <c r="H9" s="21">
        <f>SUM(Jul!H9, Aug!H9, Sep!H9)</f>
        <v>0</v>
      </c>
      <c r="I9" s="20" t="str">
        <f t="shared" si="2"/>
        <v/>
      </c>
    </row>
    <row r="10" spans="1:9" ht="15.6" x14ac:dyDescent="0.25">
      <c r="A10" s="13" t="str">
        <v>Warsaw - 2201 Richmond</v>
      </c>
      <c r="B10" s="10" t="str">
        <v>VA</v>
      </c>
      <c r="C10" s="25">
        <f>SUM(Jul!C10, Aug!C10, Sep!C10)</f>
        <v>0</v>
      </c>
      <c r="D10" s="14">
        <f>SUM(Jul!D10, Aug!D10, Sep!D10)</f>
        <v>0</v>
      </c>
      <c r="E10" s="14">
        <f t="shared" si="3"/>
        <v>0</v>
      </c>
      <c r="F10" s="15" t="str">
        <f t="shared" si="1"/>
        <v/>
      </c>
      <c r="G10" s="16">
        <f>SUM(Jul!G10,Aug!G10,Sep!G10)</f>
        <v>0</v>
      </c>
      <c r="H10" s="16">
        <f>SUM(Jul!H10, Aug!H10, Sep!H10)</f>
        <v>0</v>
      </c>
      <c r="I10" s="17" t="str">
        <f t="shared" si="2"/>
        <v/>
      </c>
    </row>
    <row r="11" spans="1:9" ht="15.6" x14ac:dyDescent="0.25">
      <c r="A11" s="18" t="str">
        <v>Mount Jackson - Randolf</v>
      </c>
      <c r="B11" s="11" t="str">
        <v>VA</v>
      </c>
      <c r="C11" s="12">
        <f>SUM(Jul!C11, Aug!C11, Sep!C11)</f>
        <v>0</v>
      </c>
      <c r="D11" s="19">
        <f>SUM(Jul!D11, Aug!D11, Sep!D11)</f>
        <v>0</v>
      </c>
      <c r="E11" s="19">
        <f t="shared" si="3"/>
        <v>0</v>
      </c>
      <c r="F11" s="20" t="str">
        <f t="shared" si="1"/>
        <v/>
      </c>
      <c r="G11" s="57">
        <f>SUM(Jul!G11,Aug!G11,Sep!G11)</f>
        <v>0</v>
      </c>
      <c r="H11" s="21">
        <f>SUM(Jul!H11, Aug!H11, Sep!H11)</f>
        <v>0</v>
      </c>
      <c r="I11" s="20" t="str">
        <f t="shared" si="2"/>
        <v/>
      </c>
    </row>
    <row r="12" spans="1:9" ht="15.6" x14ac:dyDescent="0.25">
      <c r="A12" s="13" t="str">
        <v>Callands Gretna - Monroe</v>
      </c>
      <c r="B12" s="10" t="str">
        <v>VA</v>
      </c>
      <c r="C12" s="25">
        <f>SUM(Jul!C12, Aug!C12, Sep!C12)</f>
        <v>0</v>
      </c>
      <c r="D12" s="14">
        <f>SUM(Jul!D12, Aug!D12, Sep!D12)</f>
        <v>0</v>
      </c>
      <c r="E12" s="14">
        <f t="shared" si="3"/>
        <v>0</v>
      </c>
      <c r="F12" s="15" t="str">
        <f t="shared" si="1"/>
        <v/>
      </c>
      <c r="G12" s="16">
        <f>SUM(Jul!G12,Aug!G12,Sep!G12)</f>
        <v>0</v>
      </c>
      <c r="H12" s="16">
        <f>SUM(Jul!H12, Aug!H12, Sep!H12)</f>
        <v>0</v>
      </c>
      <c r="I12" s="17" t="str">
        <f t="shared" si="2"/>
        <v/>
      </c>
    </row>
    <row r="13" spans="1:9" ht="15.6" x14ac:dyDescent="0.25">
      <c r="A13" s="18" t="str">
        <v>Rockbridge Baths - Small Mouth Bass</v>
      </c>
      <c r="B13" s="11" t="str">
        <v>VA</v>
      </c>
      <c r="C13" s="12">
        <f>SUM(Jul!C13, Aug!C13, Sep!C13)</f>
        <v>0</v>
      </c>
      <c r="D13" s="19">
        <f>SUM(Jul!D13, Aug!D13, Sep!D13)</f>
        <v>0</v>
      </c>
      <c r="E13" s="19">
        <f t="shared" si="3"/>
        <v>0</v>
      </c>
      <c r="F13" s="20" t="str">
        <f t="shared" si="1"/>
        <v/>
      </c>
      <c r="G13" s="57">
        <f>SUM(Jul!G13,Aug!G13,Sep!G13)</f>
        <v>0</v>
      </c>
      <c r="H13" s="21">
        <f>SUM(Jul!H13, Aug!H13, Sep!H13)</f>
        <v>0</v>
      </c>
      <c r="I13" s="20" t="str">
        <f t="shared" si="2"/>
        <v/>
      </c>
    </row>
    <row r="14" spans="1:9" ht="13.8" x14ac:dyDescent="0.3">
      <c r="A14" s="22"/>
      <c r="B14" s="22"/>
      <c r="C14" s="22"/>
      <c r="D14" s="22"/>
      <c r="E14" s="22"/>
      <c r="F14" s="22"/>
      <c r="G14" s="22"/>
      <c r="H14" s="22"/>
      <c r="I14" s="22"/>
    </row>
    <row r="15" spans="1:9" ht="13.8" x14ac:dyDescent="0.3">
      <c r="A15" s="22"/>
      <c r="B15" s="22"/>
      <c r="C15" s="22"/>
      <c r="D15" s="22"/>
      <c r="E15" s="22"/>
      <c r="F15" s="22"/>
      <c r="G15" s="22"/>
      <c r="H15" s="22"/>
      <c r="I15" s="22"/>
    </row>
    <row r="16" spans="1:9" ht="13.8" x14ac:dyDescent="0.3">
      <c r="A16" s="22"/>
      <c r="B16" s="22"/>
      <c r="C16" s="22"/>
      <c r="D16" s="22"/>
      <c r="E16" s="22"/>
      <c r="F16" s="22"/>
      <c r="G16" s="22"/>
      <c r="H16" s="22"/>
      <c r="I16" s="22"/>
    </row>
    <row r="17" spans="1:9" ht="13.8" x14ac:dyDescent="0.3">
      <c r="A17" s="22"/>
      <c r="B17" s="22"/>
      <c r="C17" s="22"/>
      <c r="D17" s="22"/>
      <c r="E17" s="22"/>
      <c r="F17" s="22"/>
      <c r="G17" s="22"/>
      <c r="H17" s="22"/>
      <c r="I17" s="22"/>
    </row>
    <row r="18" spans="1:9" ht="13.8" x14ac:dyDescent="0.3">
      <c r="A18" s="22"/>
      <c r="B18" s="22"/>
      <c r="C18" s="22"/>
      <c r="D18" s="22"/>
      <c r="E18" s="22"/>
      <c r="F18" s="22"/>
      <c r="G18" s="22"/>
      <c r="H18" s="22"/>
      <c r="I18" s="22"/>
    </row>
    <row r="19" spans="1:9" ht="13.8" x14ac:dyDescent="0.3">
      <c r="A19" s="22"/>
      <c r="B19" s="22"/>
      <c r="C19" s="22"/>
      <c r="D19" s="22"/>
      <c r="E19" s="22"/>
      <c r="F19" s="22"/>
      <c r="G19" s="22"/>
      <c r="H19" s="22"/>
      <c r="I19" s="22"/>
    </row>
    <row r="20" spans="1:9" ht="13.8" x14ac:dyDescent="0.3">
      <c r="A20" s="22"/>
      <c r="B20" s="22"/>
      <c r="C20" s="22"/>
      <c r="D20" s="22"/>
      <c r="E20" s="22"/>
      <c r="F20" s="22"/>
      <c r="G20" s="22"/>
      <c r="H20" s="22"/>
      <c r="I20" s="22"/>
    </row>
    <row r="21" spans="1:9" ht="13.8" x14ac:dyDescent="0.3">
      <c r="A21" s="22"/>
      <c r="B21" s="22"/>
      <c r="C21" s="22"/>
      <c r="D21" s="22"/>
      <c r="E21" s="22"/>
      <c r="F21" s="22"/>
      <c r="G21" s="22"/>
      <c r="H21" s="22"/>
      <c r="I21" s="22"/>
    </row>
    <row r="22" spans="1:9" ht="13.8" x14ac:dyDescent="0.3">
      <c r="A22" s="22"/>
      <c r="B22" s="22"/>
      <c r="C22" s="22"/>
      <c r="D22" s="22"/>
      <c r="E22" s="22"/>
      <c r="F22" s="22"/>
      <c r="G22" s="22"/>
      <c r="H22" s="22"/>
      <c r="I22" s="22"/>
    </row>
    <row r="23" spans="1:9" ht="13.8" x14ac:dyDescent="0.3">
      <c r="A23" s="22"/>
      <c r="B23" s="22"/>
      <c r="C23" s="22"/>
      <c r="D23" s="22"/>
      <c r="E23" s="22"/>
      <c r="F23" s="22"/>
      <c r="G23" s="22"/>
      <c r="H23" s="22"/>
      <c r="I23" s="22"/>
    </row>
    <row r="24" spans="1:9" ht="13.8" x14ac:dyDescent="0.3">
      <c r="A24" s="22"/>
      <c r="B24" s="22"/>
      <c r="C24" s="22"/>
      <c r="D24" s="22"/>
      <c r="E24" s="22"/>
      <c r="F24" s="23"/>
      <c r="G24" s="22"/>
      <c r="H24" s="22"/>
      <c r="I24" s="23"/>
    </row>
    <row r="25" spans="1:9" ht="13.8" x14ac:dyDescent="0.3">
      <c r="A25" s="22"/>
      <c r="B25" s="22"/>
      <c r="C25" s="22"/>
      <c r="D25" s="22"/>
      <c r="E25" s="22"/>
      <c r="F25" s="23"/>
      <c r="G25" s="22"/>
      <c r="H25" s="22"/>
      <c r="I25" s="23"/>
    </row>
    <row r="26" spans="1:9" ht="13.8" x14ac:dyDescent="0.3">
      <c r="A26" s="22"/>
      <c r="B26" s="22"/>
      <c r="C26" s="22"/>
      <c r="D26" s="22"/>
      <c r="E26" s="22"/>
      <c r="F26" s="23"/>
      <c r="G26" s="22"/>
      <c r="H26" s="22"/>
      <c r="I26" s="23"/>
    </row>
    <row r="27" spans="1:9" ht="13.8" x14ac:dyDescent="0.3">
      <c r="A27" s="22"/>
      <c r="B27" s="22"/>
      <c r="C27" s="22"/>
      <c r="D27" s="22"/>
      <c r="E27" s="22"/>
      <c r="F27" s="23"/>
      <c r="G27" s="22"/>
      <c r="H27" s="22"/>
      <c r="I27" s="23"/>
    </row>
    <row r="28" spans="1:9" ht="13.8" x14ac:dyDescent="0.3">
      <c r="A28" s="22"/>
      <c r="B28" s="22"/>
      <c r="C28" s="22"/>
      <c r="D28" s="22"/>
      <c r="E28" s="22"/>
      <c r="F28" s="23"/>
      <c r="G28" s="22"/>
      <c r="H28" s="22"/>
      <c r="I28" s="23"/>
    </row>
    <row r="29" spans="1:9" ht="13.8" x14ac:dyDescent="0.3">
      <c r="A29" s="22"/>
      <c r="B29" s="22"/>
      <c r="C29" s="22"/>
      <c r="D29" s="22"/>
      <c r="E29" s="22"/>
      <c r="F29" s="23"/>
      <c r="G29" s="22"/>
      <c r="H29" s="22"/>
      <c r="I29" s="23"/>
    </row>
    <row r="30" spans="1:9" ht="13.8" x14ac:dyDescent="0.3">
      <c r="A30" s="22"/>
      <c r="B30" s="22"/>
      <c r="C30" s="22"/>
      <c r="D30" s="22"/>
      <c r="E30" s="22"/>
      <c r="F30" s="23"/>
      <c r="G30" s="22"/>
      <c r="H30" s="22"/>
      <c r="I30" s="23"/>
    </row>
    <row r="31" spans="1:9" ht="13.8" x14ac:dyDescent="0.3">
      <c r="A31" s="22"/>
      <c r="B31" s="22"/>
      <c r="C31" s="22"/>
      <c r="D31" s="22"/>
      <c r="E31" s="22"/>
      <c r="F31" s="23"/>
      <c r="G31" s="22"/>
      <c r="H31" s="22"/>
      <c r="I31" s="23"/>
    </row>
    <row r="32" spans="1:9" ht="13.8" x14ac:dyDescent="0.3">
      <c r="A32" s="22"/>
      <c r="B32" s="22"/>
      <c r="C32" s="22"/>
      <c r="D32" s="22"/>
      <c r="E32" s="22"/>
      <c r="F32" s="23"/>
      <c r="G32" s="22"/>
      <c r="H32" s="22"/>
      <c r="I32" s="23"/>
    </row>
    <row r="33" spans="1:9" ht="13.8" x14ac:dyDescent="0.3">
      <c r="A33" s="22"/>
      <c r="B33" s="22"/>
      <c r="C33" s="22"/>
      <c r="D33" s="22"/>
      <c r="E33" s="22"/>
      <c r="F33" s="23"/>
      <c r="G33" s="22"/>
      <c r="H33" s="22"/>
      <c r="I33" s="23"/>
    </row>
    <row r="34" spans="1:9" ht="13.8" x14ac:dyDescent="0.3">
      <c r="A34" s="22"/>
      <c r="B34" s="22"/>
      <c r="C34" s="22"/>
      <c r="D34" s="22"/>
      <c r="E34" s="22"/>
      <c r="F34" s="23"/>
      <c r="G34" s="22"/>
      <c r="H34" s="22"/>
      <c r="I34" s="23"/>
    </row>
    <row r="35" spans="1:9" ht="13.8" x14ac:dyDescent="0.3">
      <c r="A35" s="22"/>
      <c r="B35" s="22"/>
      <c r="C35" s="22"/>
      <c r="D35" s="22"/>
      <c r="E35" s="22"/>
      <c r="F35" s="23"/>
      <c r="G35" s="22"/>
      <c r="H35" s="22"/>
      <c r="I35" s="23"/>
    </row>
    <row r="36" spans="1:9" ht="13.8" x14ac:dyDescent="0.3">
      <c r="A36" s="22"/>
      <c r="B36" s="22"/>
      <c r="C36" s="22"/>
      <c r="D36" s="22"/>
      <c r="E36" s="22"/>
      <c r="F36" s="23"/>
      <c r="G36" s="22"/>
      <c r="H36" s="22"/>
      <c r="I36" s="23"/>
    </row>
    <row r="37" spans="1:9" ht="13.8" x14ac:dyDescent="0.3">
      <c r="A37" s="22"/>
      <c r="B37" s="22"/>
      <c r="C37" s="22"/>
      <c r="D37" s="22"/>
      <c r="E37" s="22"/>
      <c r="F37" s="23"/>
      <c r="G37" s="22"/>
      <c r="H37" s="22"/>
      <c r="I37" s="23"/>
    </row>
    <row r="38" spans="1:9" ht="13.8" x14ac:dyDescent="0.3">
      <c r="A38" s="22"/>
      <c r="B38" s="22"/>
      <c r="C38" s="22"/>
      <c r="D38" s="22"/>
      <c r="E38" s="22"/>
      <c r="F38" s="23"/>
      <c r="G38" s="22"/>
      <c r="H38" s="22"/>
      <c r="I38" s="23"/>
    </row>
    <row r="39" spans="1:9" ht="13.8" x14ac:dyDescent="0.3">
      <c r="A39" s="22"/>
      <c r="B39" s="22"/>
      <c r="C39" s="22"/>
      <c r="D39" s="22"/>
      <c r="E39" s="22"/>
      <c r="F39" s="23"/>
      <c r="G39" s="22"/>
      <c r="H39" s="22"/>
      <c r="I39" s="23"/>
    </row>
    <row r="40" spans="1:9" ht="13.8" x14ac:dyDescent="0.3">
      <c r="A40" s="22"/>
      <c r="B40" s="22"/>
      <c r="C40" s="22"/>
      <c r="D40" s="22"/>
      <c r="E40" s="22"/>
      <c r="F40" s="23"/>
      <c r="G40" s="22"/>
      <c r="H40" s="22"/>
      <c r="I40" s="23"/>
    </row>
    <row r="41" spans="1:9" ht="13.8" x14ac:dyDescent="0.3">
      <c r="A41" s="22"/>
      <c r="B41" s="22"/>
      <c r="C41" s="22"/>
      <c r="D41" s="22"/>
      <c r="E41" s="22"/>
      <c r="F41" s="23"/>
      <c r="G41" s="22"/>
      <c r="H41" s="22"/>
      <c r="I41" s="23"/>
    </row>
    <row r="42" spans="1:9" ht="13.8" x14ac:dyDescent="0.3">
      <c r="A42" s="22"/>
      <c r="B42" s="22"/>
      <c r="C42" s="22"/>
      <c r="D42" s="22"/>
      <c r="E42" s="22"/>
      <c r="F42" s="23"/>
      <c r="G42" s="22"/>
      <c r="H42" s="22"/>
      <c r="I42" s="23"/>
    </row>
    <row r="43" spans="1:9" ht="13.8" x14ac:dyDescent="0.3">
      <c r="A43" s="22"/>
      <c r="B43" s="22"/>
      <c r="C43" s="22"/>
      <c r="D43" s="22"/>
      <c r="E43" s="22"/>
      <c r="F43" s="23"/>
      <c r="G43" s="22"/>
      <c r="H43" s="22"/>
      <c r="I43" s="23"/>
    </row>
    <row r="44" spans="1:9" ht="13.8" x14ac:dyDescent="0.3">
      <c r="A44" s="22"/>
      <c r="B44" s="22"/>
      <c r="C44" s="22"/>
      <c r="D44" s="22"/>
      <c r="E44" s="22"/>
      <c r="F44" s="23"/>
      <c r="G44" s="22"/>
      <c r="H44" s="22"/>
      <c r="I44" s="23"/>
    </row>
    <row r="45" spans="1:9" ht="13.8" x14ac:dyDescent="0.3">
      <c r="A45" s="22"/>
      <c r="B45" s="22"/>
      <c r="C45" s="22"/>
      <c r="D45" s="22"/>
      <c r="E45" s="22"/>
      <c r="F45" s="23"/>
      <c r="G45" s="22"/>
      <c r="H45" s="22"/>
      <c r="I45" s="23"/>
    </row>
    <row r="46" spans="1:9" ht="13.8" x14ac:dyDescent="0.3">
      <c r="A46" s="22"/>
      <c r="B46" s="22"/>
      <c r="C46" s="22"/>
      <c r="D46" s="22"/>
      <c r="E46" s="22"/>
      <c r="F46" s="23"/>
      <c r="G46" s="22"/>
      <c r="H46" s="22"/>
      <c r="I46" s="23"/>
    </row>
    <row r="47" spans="1:9" ht="13.8" x14ac:dyDescent="0.3">
      <c r="A47" s="22"/>
      <c r="B47" s="22"/>
      <c r="C47" s="22"/>
      <c r="D47" s="22"/>
      <c r="E47" s="22"/>
      <c r="F47" s="23"/>
      <c r="G47" s="22"/>
      <c r="H47" s="22"/>
      <c r="I47" s="23"/>
    </row>
    <row r="48" spans="1:9" ht="13.8" x14ac:dyDescent="0.3">
      <c r="A48" s="22"/>
      <c r="B48" s="22"/>
      <c r="C48" s="22"/>
      <c r="D48" s="22"/>
      <c r="E48" s="22"/>
      <c r="F48" s="23"/>
      <c r="G48" s="22"/>
      <c r="H48" s="22"/>
      <c r="I48" s="23"/>
    </row>
    <row r="49" spans="1:9" ht="13.8" x14ac:dyDescent="0.3">
      <c r="A49" s="22"/>
      <c r="B49" s="22"/>
      <c r="C49" s="22"/>
      <c r="D49" s="22"/>
      <c r="E49" s="22"/>
      <c r="F49" s="23"/>
      <c r="G49" s="22"/>
      <c r="H49" s="22"/>
      <c r="I49" s="23"/>
    </row>
    <row r="50" spans="1:9" ht="13.8" x14ac:dyDescent="0.3">
      <c r="A50" s="22"/>
      <c r="B50" s="22"/>
      <c r="C50" s="22"/>
      <c r="D50" s="22"/>
      <c r="E50" s="22"/>
      <c r="F50" s="23"/>
      <c r="G50" s="22"/>
      <c r="H50" s="22"/>
      <c r="I50" s="23"/>
    </row>
    <row r="51" spans="1:9" ht="13.8" x14ac:dyDescent="0.3">
      <c r="A51" s="22"/>
      <c r="B51" s="22"/>
      <c r="C51" s="22"/>
      <c r="D51" s="22"/>
      <c r="E51" s="22"/>
      <c r="F51" s="23"/>
      <c r="G51" s="22"/>
      <c r="H51" s="22"/>
      <c r="I51" s="23"/>
    </row>
    <row r="52" spans="1:9" ht="13.8" x14ac:dyDescent="0.3">
      <c r="A52" s="22"/>
      <c r="B52" s="22"/>
      <c r="C52" s="22"/>
      <c r="D52" s="22"/>
      <c r="E52" s="22"/>
      <c r="F52" s="23"/>
      <c r="G52" s="22"/>
      <c r="H52" s="22"/>
      <c r="I52" s="23"/>
    </row>
    <row r="53" spans="1:9" ht="13.8" x14ac:dyDescent="0.3">
      <c r="A53" s="22"/>
      <c r="B53" s="22"/>
      <c r="C53" s="22"/>
      <c r="D53" s="22"/>
      <c r="E53" s="22"/>
      <c r="F53" s="23"/>
      <c r="G53" s="22"/>
      <c r="H53" s="22"/>
      <c r="I53" s="23"/>
    </row>
    <row r="54" spans="1:9" ht="13.8" x14ac:dyDescent="0.3">
      <c r="A54" s="22"/>
      <c r="B54" s="22"/>
      <c r="C54" s="22"/>
      <c r="D54" s="22"/>
      <c r="E54" s="22"/>
      <c r="F54" s="23"/>
      <c r="G54" s="22"/>
      <c r="H54" s="22"/>
      <c r="I54" s="23"/>
    </row>
    <row r="55" spans="1:9" ht="13.8" x14ac:dyDescent="0.3">
      <c r="A55" s="22"/>
      <c r="B55" s="22"/>
      <c r="C55" s="22"/>
      <c r="D55" s="22"/>
      <c r="E55" s="22"/>
      <c r="F55" s="23"/>
      <c r="G55" s="22"/>
      <c r="H55" s="22"/>
      <c r="I55" s="23"/>
    </row>
    <row r="56" spans="1:9" ht="13.8" x14ac:dyDescent="0.3">
      <c r="A56" s="22"/>
      <c r="B56" s="22"/>
      <c r="C56" s="22"/>
      <c r="D56" s="22"/>
      <c r="E56" s="22"/>
      <c r="F56" s="23"/>
      <c r="G56" s="22"/>
      <c r="H56" s="22"/>
      <c r="I56" s="23"/>
    </row>
    <row r="57" spans="1:9" ht="13.8" x14ac:dyDescent="0.3">
      <c r="A57" s="22"/>
      <c r="B57" s="22"/>
      <c r="C57" s="22"/>
      <c r="D57" s="22"/>
      <c r="E57" s="22"/>
      <c r="F57" s="23"/>
      <c r="G57" s="22"/>
      <c r="H57" s="22"/>
      <c r="I57" s="23"/>
    </row>
    <row r="58" spans="1:9" ht="13.8" x14ac:dyDescent="0.3">
      <c r="A58" s="22"/>
      <c r="B58" s="22"/>
      <c r="C58" s="22"/>
      <c r="D58" s="22"/>
      <c r="E58" s="22"/>
      <c r="F58" s="23"/>
      <c r="G58" s="22"/>
      <c r="H58" s="22"/>
      <c r="I58" s="23"/>
    </row>
    <row r="59" spans="1:9" ht="13.8" x14ac:dyDescent="0.3">
      <c r="A59" s="22"/>
      <c r="B59" s="22"/>
      <c r="C59" s="22"/>
      <c r="D59" s="22"/>
      <c r="E59" s="22"/>
      <c r="F59" s="23"/>
      <c r="G59" s="22"/>
      <c r="H59" s="22"/>
      <c r="I59" s="23"/>
    </row>
    <row r="60" spans="1:9" ht="13.8" x14ac:dyDescent="0.3">
      <c r="A60" s="22"/>
      <c r="B60" s="22"/>
      <c r="C60" s="22"/>
      <c r="D60" s="22"/>
      <c r="E60" s="22"/>
      <c r="F60" s="23"/>
      <c r="G60" s="22"/>
      <c r="H60" s="22"/>
      <c r="I60" s="23"/>
    </row>
    <row r="61" spans="1:9" ht="13.8" x14ac:dyDescent="0.3">
      <c r="A61" s="22"/>
      <c r="B61" s="22"/>
      <c r="C61" s="22"/>
      <c r="D61" s="22"/>
      <c r="E61" s="22"/>
      <c r="F61" s="23"/>
      <c r="G61" s="22"/>
      <c r="H61" s="22"/>
      <c r="I61" s="23"/>
    </row>
    <row r="62" spans="1:9" ht="13.8" x14ac:dyDescent="0.3">
      <c r="A62" s="22"/>
      <c r="B62" s="22"/>
      <c r="C62" s="22"/>
      <c r="D62" s="22"/>
      <c r="E62" s="22"/>
      <c r="F62" s="23"/>
      <c r="G62" s="22"/>
      <c r="H62" s="22"/>
      <c r="I62" s="23"/>
    </row>
    <row r="63" spans="1:9" ht="13.8" x14ac:dyDescent="0.3">
      <c r="A63" s="22"/>
      <c r="B63" s="22"/>
      <c r="C63" s="22"/>
      <c r="D63" s="22"/>
      <c r="E63" s="22"/>
      <c r="F63" s="23"/>
      <c r="G63" s="22"/>
      <c r="H63" s="22"/>
      <c r="I63" s="23"/>
    </row>
    <row r="64" spans="1:9" ht="13.8" x14ac:dyDescent="0.3">
      <c r="A64" s="22"/>
      <c r="B64" s="22"/>
      <c r="C64" s="22"/>
      <c r="D64" s="22"/>
      <c r="E64" s="22"/>
      <c r="F64" s="23"/>
      <c r="G64" s="22"/>
      <c r="H64" s="22"/>
      <c r="I64" s="23"/>
    </row>
    <row r="65" spans="1:9" ht="13.8" x14ac:dyDescent="0.3">
      <c r="A65" s="22"/>
      <c r="B65" s="22"/>
      <c r="C65" s="22"/>
      <c r="D65" s="22"/>
      <c r="E65" s="22"/>
      <c r="F65" s="23"/>
      <c r="G65" s="22"/>
      <c r="H65" s="22"/>
      <c r="I65" s="23"/>
    </row>
    <row r="66" spans="1:9" ht="13.8" x14ac:dyDescent="0.3">
      <c r="A66" s="22"/>
      <c r="B66" s="22"/>
      <c r="C66" s="22"/>
      <c r="D66" s="22"/>
      <c r="E66" s="22"/>
      <c r="F66" s="23"/>
      <c r="G66" s="22"/>
      <c r="H66" s="22"/>
      <c r="I66" s="23"/>
    </row>
    <row r="67" spans="1:9" ht="13.8" x14ac:dyDescent="0.3">
      <c r="A67" s="22"/>
      <c r="B67" s="22"/>
      <c r="C67" s="22"/>
      <c r="D67" s="22"/>
      <c r="E67" s="22"/>
      <c r="F67" s="23"/>
      <c r="G67" s="22"/>
      <c r="H67" s="22"/>
      <c r="I67" s="23"/>
    </row>
    <row r="68" spans="1:9" ht="13.8" x14ac:dyDescent="0.3">
      <c r="A68" s="22"/>
      <c r="B68" s="22"/>
      <c r="C68" s="22"/>
      <c r="D68" s="22"/>
      <c r="E68" s="22"/>
      <c r="F68" s="23"/>
      <c r="G68" s="22"/>
      <c r="H68" s="22"/>
      <c r="I68" s="23"/>
    </row>
    <row r="69" spans="1:9" ht="13.8" x14ac:dyDescent="0.3">
      <c r="A69" s="22"/>
      <c r="B69" s="22"/>
      <c r="C69" s="22"/>
      <c r="D69" s="22"/>
      <c r="E69" s="22"/>
      <c r="F69" s="23"/>
      <c r="G69" s="22"/>
      <c r="H69" s="22"/>
      <c r="I69" s="23"/>
    </row>
    <row r="70" spans="1:9" ht="13.8" x14ac:dyDescent="0.3">
      <c r="A70" s="22"/>
      <c r="B70" s="22"/>
      <c r="C70" s="22"/>
      <c r="D70" s="22"/>
      <c r="E70" s="22"/>
      <c r="F70" s="23"/>
      <c r="G70" s="22"/>
      <c r="H70" s="22"/>
      <c r="I70" s="23"/>
    </row>
    <row r="71" spans="1:9" ht="13.8" x14ac:dyDescent="0.3">
      <c r="A71" s="22"/>
      <c r="B71" s="22"/>
      <c r="C71" s="22"/>
      <c r="D71" s="22"/>
      <c r="E71" s="22"/>
      <c r="F71" s="23"/>
      <c r="G71" s="22"/>
      <c r="H71" s="22"/>
      <c r="I71" s="23"/>
    </row>
    <row r="72" spans="1:9" ht="13.8" x14ac:dyDescent="0.3">
      <c r="A72" s="22"/>
      <c r="B72" s="22"/>
      <c r="C72" s="22"/>
      <c r="D72" s="22"/>
      <c r="E72" s="22"/>
      <c r="F72" s="23"/>
      <c r="G72" s="22"/>
      <c r="H72" s="22"/>
      <c r="I72" s="23"/>
    </row>
    <row r="73" spans="1:9" ht="13.8" x14ac:dyDescent="0.3">
      <c r="A73" s="22"/>
      <c r="B73" s="22"/>
      <c r="C73" s="22"/>
      <c r="D73" s="22"/>
      <c r="E73" s="22"/>
      <c r="F73" s="23"/>
      <c r="G73" s="22"/>
      <c r="H73" s="22"/>
      <c r="I73" s="23"/>
    </row>
    <row r="74" spans="1:9" ht="13.8" x14ac:dyDescent="0.3">
      <c r="A74" s="22"/>
      <c r="B74" s="22"/>
      <c r="C74" s="22"/>
      <c r="D74" s="22"/>
      <c r="E74" s="22"/>
      <c r="F74" s="23"/>
      <c r="G74" s="22"/>
      <c r="H74" s="22"/>
      <c r="I74" s="23"/>
    </row>
    <row r="75" spans="1:9" ht="13.8" x14ac:dyDescent="0.3">
      <c r="A75" s="22"/>
      <c r="B75" s="22"/>
      <c r="C75" s="22"/>
      <c r="D75" s="22"/>
      <c r="E75" s="22"/>
      <c r="F75" s="23"/>
      <c r="G75" s="22"/>
      <c r="H75" s="22"/>
      <c r="I75" s="23"/>
    </row>
    <row r="76" spans="1:9" ht="13.8" x14ac:dyDescent="0.3">
      <c r="A76" s="22"/>
      <c r="B76" s="22"/>
      <c r="C76" s="22"/>
      <c r="D76" s="22"/>
      <c r="E76" s="22"/>
      <c r="F76" s="23"/>
      <c r="G76" s="22"/>
      <c r="H76" s="22"/>
      <c r="I76" s="23"/>
    </row>
    <row r="77" spans="1:9" ht="13.8" x14ac:dyDescent="0.3">
      <c r="A77" s="22"/>
      <c r="B77" s="22"/>
      <c r="C77" s="22"/>
      <c r="D77" s="22"/>
      <c r="E77" s="22"/>
      <c r="F77" s="23"/>
      <c r="G77" s="22"/>
      <c r="H77" s="22"/>
      <c r="I77" s="23"/>
    </row>
    <row r="78" spans="1:9" ht="13.8" x14ac:dyDescent="0.3">
      <c r="A78" s="22"/>
      <c r="B78" s="22"/>
      <c r="C78" s="22"/>
      <c r="D78" s="22"/>
      <c r="E78" s="22"/>
      <c r="F78" s="23"/>
      <c r="G78" s="22"/>
      <c r="H78" s="22"/>
      <c r="I78" s="23"/>
    </row>
    <row r="79" spans="1:9" ht="13.8" x14ac:dyDescent="0.3">
      <c r="A79" s="22"/>
      <c r="B79" s="22"/>
      <c r="C79" s="22"/>
      <c r="D79" s="22"/>
      <c r="E79" s="22"/>
      <c r="F79" s="23"/>
      <c r="G79" s="22"/>
      <c r="H79" s="22"/>
      <c r="I79" s="23"/>
    </row>
    <row r="80" spans="1:9" ht="13.8" x14ac:dyDescent="0.3">
      <c r="A80" s="22"/>
      <c r="B80" s="22"/>
      <c r="C80" s="22"/>
      <c r="D80" s="22"/>
      <c r="E80" s="22"/>
      <c r="F80" s="23"/>
      <c r="G80" s="22"/>
      <c r="H80" s="22"/>
      <c r="I80" s="23"/>
    </row>
    <row r="81" spans="1:9" ht="13.8" x14ac:dyDescent="0.3">
      <c r="A81" s="22"/>
      <c r="B81" s="22"/>
      <c r="C81" s="22"/>
      <c r="D81" s="22"/>
      <c r="E81" s="22"/>
      <c r="F81" s="23"/>
      <c r="G81" s="22"/>
      <c r="H81" s="22"/>
      <c r="I81" s="23"/>
    </row>
    <row r="82" spans="1:9" ht="13.8" x14ac:dyDescent="0.3">
      <c r="A82" s="22"/>
      <c r="B82" s="22"/>
      <c r="C82" s="22"/>
      <c r="D82" s="22"/>
      <c r="E82" s="22"/>
      <c r="F82" s="23"/>
      <c r="G82" s="22"/>
      <c r="H82" s="22"/>
      <c r="I82" s="23"/>
    </row>
    <row r="83" spans="1:9" ht="13.8" x14ac:dyDescent="0.3">
      <c r="A83" s="22"/>
      <c r="B83" s="22"/>
      <c r="C83" s="22"/>
      <c r="D83" s="22"/>
      <c r="E83" s="22"/>
      <c r="F83" s="23"/>
      <c r="G83" s="22"/>
      <c r="H83" s="22"/>
      <c r="I83" s="23"/>
    </row>
    <row r="84" spans="1:9" ht="13.8" x14ac:dyDescent="0.3">
      <c r="A84" s="22"/>
      <c r="B84" s="22"/>
      <c r="C84" s="22"/>
      <c r="D84" s="22"/>
      <c r="E84" s="22"/>
      <c r="F84" s="23"/>
      <c r="G84" s="22"/>
      <c r="H84" s="22"/>
      <c r="I84" s="23"/>
    </row>
    <row r="85" spans="1:9" ht="13.8" x14ac:dyDescent="0.3">
      <c r="A85" s="22"/>
      <c r="B85" s="22"/>
      <c r="C85" s="22"/>
      <c r="D85" s="22"/>
      <c r="E85" s="22"/>
      <c r="F85" s="23"/>
      <c r="G85" s="22"/>
      <c r="H85" s="22"/>
      <c r="I85" s="23"/>
    </row>
    <row r="86" spans="1:9" ht="13.8" x14ac:dyDescent="0.3">
      <c r="A86" s="22"/>
      <c r="B86" s="22"/>
      <c r="C86" s="22"/>
      <c r="D86" s="22"/>
      <c r="E86" s="22"/>
      <c r="F86" s="23"/>
      <c r="G86" s="22"/>
      <c r="H86" s="22"/>
      <c r="I86" s="23"/>
    </row>
    <row r="87" spans="1:9" ht="13.8" x14ac:dyDescent="0.3">
      <c r="A87" s="22"/>
      <c r="B87" s="22"/>
      <c r="C87" s="22"/>
      <c r="D87" s="22"/>
      <c r="E87" s="22"/>
      <c r="F87" s="23"/>
      <c r="G87" s="22"/>
      <c r="H87" s="22"/>
      <c r="I87" s="23"/>
    </row>
    <row r="88" spans="1:9" ht="13.8" x14ac:dyDescent="0.3">
      <c r="A88" s="22"/>
      <c r="B88" s="22"/>
      <c r="C88" s="22"/>
      <c r="D88" s="22"/>
      <c r="E88" s="22"/>
      <c r="F88" s="23"/>
      <c r="G88" s="22"/>
      <c r="H88" s="22"/>
      <c r="I88" s="23"/>
    </row>
    <row r="89" spans="1:9" ht="13.8" x14ac:dyDescent="0.3">
      <c r="A89" s="22"/>
      <c r="B89" s="22"/>
      <c r="C89" s="22"/>
      <c r="D89" s="22"/>
      <c r="E89" s="22"/>
      <c r="F89" s="23"/>
      <c r="G89" s="22"/>
      <c r="H89" s="22"/>
      <c r="I89" s="23"/>
    </row>
    <row r="90" spans="1:9" ht="13.8" x14ac:dyDescent="0.3">
      <c r="A90" s="22"/>
      <c r="B90" s="22"/>
      <c r="C90" s="22"/>
      <c r="D90" s="22"/>
      <c r="E90" s="22"/>
      <c r="F90" s="23"/>
      <c r="G90" s="22"/>
      <c r="H90" s="22"/>
      <c r="I90" s="23"/>
    </row>
    <row r="91" spans="1:9" ht="13.8" x14ac:dyDescent="0.3">
      <c r="A91" s="22"/>
      <c r="B91" s="22"/>
      <c r="C91" s="22"/>
      <c r="D91" s="22"/>
      <c r="E91" s="22"/>
      <c r="F91" s="23"/>
      <c r="G91" s="22"/>
      <c r="H91" s="22"/>
      <c r="I91" s="23"/>
    </row>
    <row r="92" spans="1:9" ht="13.8" x14ac:dyDescent="0.3">
      <c r="A92" s="22"/>
      <c r="B92" s="22"/>
      <c r="C92" s="22"/>
      <c r="D92" s="22"/>
      <c r="E92" s="22"/>
      <c r="F92" s="23"/>
      <c r="G92" s="22"/>
      <c r="H92" s="22"/>
      <c r="I92" s="23"/>
    </row>
    <row r="93" spans="1:9" ht="13.8" x14ac:dyDescent="0.3">
      <c r="A93" s="22"/>
      <c r="B93" s="22"/>
      <c r="C93" s="22"/>
      <c r="D93" s="22"/>
      <c r="E93" s="22"/>
      <c r="F93" s="23"/>
      <c r="G93" s="22"/>
      <c r="H93" s="22"/>
      <c r="I93" s="23"/>
    </row>
    <row r="94" spans="1:9" ht="13.8" x14ac:dyDescent="0.3">
      <c r="A94" s="22"/>
      <c r="B94" s="22"/>
      <c r="C94" s="22"/>
      <c r="D94" s="22"/>
      <c r="E94" s="22"/>
      <c r="F94" s="23"/>
      <c r="G94" s="22"/>
      <c r="H94" s="22"/>
      <c r="I94" s="23"/>
    </row>
    <row r="95" spans="1:9" ht="13.8" x14ac:dyDescent="0.3">
      <c r="A95" s="22"/>
      <c r="B95" s="22"/>
      <c r="C95" s="22"/>
      <c r="D95" s="22"/>
      <c r="E95" s="22"/>
      <c r="F95" s="23"/>
      <c r="G95" s="22"/>
      <c r="H95" s="22"/>
      <c r="I95" s="23"/>
    </row>
    <row r="96" spans="1:9" ht="13.8" x14ac:dyDescent="0.3">
      <c r="A96" s="22"/>
      <c r="B96" s="22"/>
      <c r="C96" s="22"/>
      <c r="D96" s="22"/>
      <c r="E96" s="22"/>
      <c r="F96" s="23"/>
      <c r="G96" s="22"/>
      <c r="H96" s="22"/>
      <c r="I96" s="23"/>
    </row>
    <row r="97" spans="1:9" ht="13.8" x14ac:dyDescent="0.3">
      <c r="A97" s="22"/>
      <c r="B97" s="22"/>
      <c r="C97" s="22"/>
      <c r="D97" s="22"/>
      <c r="E97" s="22"/>
      <c r="F97" s="23"/>
      <c r="G97" s="22"/>
      <c r="H97" s="22"/>
      <c r="I97" s="23"/>
    </row>
    <row r="98" spans="1:9" ht="13.8" x14ac:dyDescent="0.3">
      <c r="A98" s="22"/>
      <c r="B98" s="22"/>
      <c r="C98" s="22"/>
      <c r="D98" s="22"/>
      <c r="E98" s="22"/>
      <c r="F98" s="23"/>
      <c r="G98" s="22"/>
      <c r="H98" s="22"/>
      <c r="I98" s="23"/>
    </row>
    <row r="99" spans="1:9" ht="13.8" x14ac:dyDescent="0.3">
      <c r="A99" s="22"/>
      <c r="B99" s="22"/>
      <c r="C99" s="22"/>
      <c r="D99" s="22"/>
      <c r="E99" s="22"/>
      <c r="F99" s="23"/>
      <c r="G99" s="22"/>
      <c r="H99" s="22"/>
      <c r="I99" s="23"/>
    </row>
    <row r="100" spans="1:9" ht="13.8" x14ac:dyDescent="0.3">
      <c r="A100" s="22"/>
      <c r="B100" s="22"/>
      <c r="C100" s="22"/>
      <c r="D100" s="22"/>
      <c r="E100" s="22"/>
      <c r="F100" s="23"/>
      <c r="G100" s="22"/>
      <c r="H100" s="22"/>
      <c r="I100" s="23"/>
    </row>
    <row r="101" spans="1:9" ht="13.8" x14ac:dyDescent="0.3">
      <c r="A101" s="22"/>
      <c r="B101" s="22"/>
      <c r="C101" s="22"/>
      <c r="D101" s="22"/>
      <c r="E101" s="22"/>
      <c r="F101" s="23"/>
      <c r="G101" s="22"/>
      <c r="H101" s="22"/>
      <c r="I101" s="23"/>
    </row>
    <row r="102" spans="1:9" ht="13.8" x14ac:dyDescent="0.3">
      <c r="A102" s="22"/>
      <c r="B102" s="22"/>
      <c r="C102" s="22"/>
      <c r="D102" s="22"/>
      <c r="E102" s="22"/>
      <c r="F102" s="23"/>
      <c r="G102" s="22"/>
      <c r="H102" s="22"/>
      <c r="I102" s="23"/>
    </row>
    <row r="103" spans="1:9" ht="13.8" x14ac:dyDescent="0.3">
      <c r="A103" s="22"/>
      <c r="B103" s="22"/>
      <c r="C103" s="22"/>
      <c r="D103" s="22"/>
      <c r="E103" s="22"/>
      <c r="F103" s="23"/>
      <c r="G103" s="22"/>
      <c r="H103" s="22"/>
      <c r="I103" s="23"/>
    </row>
    <row r="104" spans="1:9" ht="13.8" x14ac:dyDescent="0.3">
      <c r="A104" s="22"/>
      <c r="B104" s="22"/>
      <c r="C104" s="22"/>
      <c r="D104" s="22"/>
      <c r="E104" s="22"/>
      <c r="F104" s="23"/>
      <c r="G104" s="22"/>
      <c r="H104" s="22"/>
      <c r="I104" s="23"/>
    </row>
    <row r="105" spans="1:9" ht="13.8" x14ac:dyDescent="0.3">
      <c r="A105" s="22"/>
      <c r="B105" s="22"/>
      <c r="C105" s="22"/>
      <c r="D105" s="22"/>
      <c r="E105" s="22"/>
      <c r="F105" s="23"/>
      <c r="G105" s="22"/>
      <c r="H105" s="22"/>
      <c r="I105" s="23"/>
    </row>
    <row r="106" spans="1:9" ht="13.8" x14ac:dyDescent="0.3">
      <c r="A106" s="22"/>
      <c r="B106" s="22"/>
      <c r="C106" s="22"/>
      <c r="D106" s="22"/>
      <c r="E106" s="22"/>
      <c r="F106" s="23"/>
      <c r="G106" s="22"/>
      <c r="H106" s="22"/>
      <c r="I106" s="23"/>
    </row>
    <row r="107" spans="1:9" ht="13.8" x14ac:dyDescent="0.3">
      <c r="A107" s="22"/>
      <c r="B107" s="22"/>
      <c r="C107" s="22"/>
      <c r="D107" s="22"/>
      <c r="E107" s="22"/>
      <c r="F107" s="23"/>
      <c r="G107" s="22"/>
      <c r="H107" s="22"/>
      <c r="I107" s="23"/>
    </row>
    <row r="108" spans="1:9" ht="13.8" x14ac:dyDescent="0.3">
      <c r="A108" s="22"/>
      <c r="B108" s="22"/>
      <c r="C108" s="22"/>
      <c r="D108" s="22"/>
      <c r="E108" s="22"/>
      <c r="F108" s="23"/>
      <c r="G108" s="22"/>
      <c r="H108" s="22"/>
      <c r="I108" s="23"/>
    </row>
    <row r="109" spans="1:9" ht="13.8" x14ac:dyDescent="0.3">
      <c r="A109" s="22"/>
      <c r="B109" s="22"/>
      <c r="C109" s="22"/>
      <c r="D109" s="22"/>
      <c r="E109" s="22"/>
      <c r="F109" s="23"/>
      <c r="G109" s="22"/>
      <c r="H109" s="22"/>
      <c r="I109" s="23"/>
    </row>
    <row r="110" spans="1:9" ht="13.8" x14ac:dyDescent="0.3">
      <c r="A110" s="22"/>
      <c r="B110" s="22"/>
      <c r="C110" s="22"/>
      <c r="D110" s="22"/>
      <c r="E110" s="22"/>
      <c r="F110" s="23"/>
      <c r="G110" s="22"/>
      <c r="H110" s="22"/>
      <c r="I110" s="23"/>
    </row>
    <row r="111" spans="1:9" ht="13.8" x14ac:dyDescent="0.3">
      <c r="A111" s="22"/>
      <c r="B111" s="22"/>
      <c r="C111" s="22"/>
      <c r="D111" s="22"/>
      <c r="E111" s="22"/>
      <c r="F111" s="23"/>
      <c r="G111" s="22"/>
      <c r="H111" s="22"/>
      <c r="I111" s="23"/>
    </row>
    <row r="112" spans="1:9" ht="13.8" x14ac:dyDescent="0.3">
      <c r="A112" s="22"/>
      <c r="B112" s="22"/>
      <c r="C112" s="22"/>
      <c r="D112" s="22"/>
      <c r="E112" s="22"/>
      <c r="F112" s="23"/>
      <c r="G112" s="22"/>
      <c r="H112" s="22"/>
      <c r="I112" s="23"/>
    </row>
    <row r="113" spans="1:9" ht="13.8" x14ac:dyDescent="0.3">
      <c r="A113" s="22"/>
      <c r="B113" s="22"/>
      <c r="C113" s="22"/>
      <c r="D113" s="22"/>
      <c r="E113" s="22"/>
      <c r="F113" s="23"/>
      <c r="G113" s="22"/>
      <c r="H113" s="22"/>
      <c r="I113" s="23"/>
    </row>
    <row r="114" spans="1:9" ht="13.8" x14ac:dyDescent="0.3">
      <c r="A114" s="22"/>
      <c r="B114" s="22"/>
      <c r="C114" s="22"/>
      <c r="D114" s="22"/>
      <c r="E114" s="22"/>
      <c r="F114" s="23"/>
      <c r="G114" s="22"/>
      <c r="H114" s="22"/>
      <c r="I114" s="23"/>
    </row>
    <row r="115" spans="1:9" ht="13.8" x14ac:dyDescent="0.3">
      <c r="A115" s="22"/>
      <c r="B115" s="22"/>
      <c r="C115" s="22"/>
      <c r="D115" s="22"/>
      <c r="E115" s="22"/>
      <c r="F115" s="23"/>
      <c r="G115" s="22"/>
      <c r="H115" s="22"/>
      <c r="I115" s="23"/>
    </row>
    <row r="116" spans="1:9" ht="13.8" x14ac:dyDescent="0.3">
      <c r="A116" s="22"/>
      <c r="B116" s="22"/>
      <c r="C116" s="22"/>
      <c r="D116" s="22"/>
      <c r="E116" s="22"/>
      <c r="F116" s="23"/>
      <c r="G116" s="22"/>
      <c r="H116" s="22"/>
      <c r="I116" s="23"/>
    </row>
    <row r="117" spans="1:9" ht="13.8" x14ac:dyDescent="0.3">
      <c r="A117" s="22"/>
      <c r="B117" s="22"/>
      <c r="C117" s="22"/>
      <c r="D117" s="22"/>
      <c r="E117" s="22"/>
      <c r="F117" s="23"/>
      <c r="G117" s="22"/>
      <c r="H117" s="22"/>
      <c r="I117" s="23"/>
    </row>
    <row r="118" spans="1:9" ht="13.8" x14ac:dyDescent="0.3">
      <c r="A118" s="22"/>
      <c r="B118" s="22"/>
      <c r="C118" s="22"/>
      <c r="D118" s="22"/>
      <c r="E118" s="22"/>
      <c r="F118" s="23"/>
      <c r="G118" s="22"/>
      <c r="H118" s="22"/>
      <c r="I118" s="23"/>
    </row>
    <row r="119" spans="1:9" ht="13.8" x14ac:dyDescent="0.3">
      <c r="A119" s="22"/>
      <c r="B119" s="22"/>
      <c r="C119" s="22"/>
      <c r="D119" s="22"/>
      <c r="E119" s="22"/>
      <c r="F119" s="23"/>
      <c r="G119" s="22"/>
      <c r="H119" s="22"/>
      <c r="I119" s="23"/>
    </row>
    <row r="120" spans="1:9" ht="13.8" x14ac:dyDescent="0.3">
      <c r="A120" s="22"/>
      <c r="B120" s="22"/>
      <c r="C120" s="22"/>
      <c r="D120" s="22"/>
      <c r="E120" s="22"/>
      <c r="F120" s="23"/>
      <c r="G120" s="22"/>
      <c r="H120" s="22"/>
      <c r="I120" s="23"/>
    </row>
    <row r="121" spans="1:9" ht="13.8" x14ac:dyDescent="0.3">
      <c r="A121" s="22"/>
      <c r="B121" s="22"/>
      <c r="C121" s="22"/>
      <c r="D121" s="22"/>
      <c r="E121" s="22"/>
      <c r="F121" s="23"/>
      <c r="G121" s="22"/>
      <c r="H121" s="22"/>
      <c r="I121" s="23"/>
    </row>
    <row r="122" spans="1:9" ht="13.8" x14ac:dyDescent="0.3">
      <c r="A122" s="22"/>
      <c r="B122" s="22"/>
      <c r="C122" s="22"/>
      <c r="D122" s="22"/>
      <c r="E122" s="22"/>
      <c r="F122" s="23"/>
      <c r="G122" s="22"/>
      <c r="H122" s="22"/>
      <c r="I122" s="23"/>
    </row>
    <row r="123" spans="1:9" ht="13.8" x14ac:dyDescent="0.3">
      <c r="A123" s="22"/>
      <c r="B123" s="22"/>
      <c r="C123" s="22"/>
      <c r="D123" s="22"/>
      <c r="E123" s="22"/>
      <c r="F123" s="23"/>
      <c r="G123" s="22"/>
      <c r="H123" s="22"/>
      <c r="I123" s="23"/>
    </row>
    <row r="124" spans="1:9" ht="13.8" x14ac:dyDescent="0.3">
      <c r="A124" s="22"/>
      <c r="B124" s="22"/>
      <c r="C124" s="22"/>
      <c r="D124" s="22"/>
      <c r="E124" s="22"/>
      <c r="F124" s="23"/>
      <c r="G124" s="22"/>
      <c r="H124" s="22"/>
      <c r="I124" s="23"/>
    </row>
    <row r="125" spans="1:9" ht="13.8" x14ac:dyDescent="0.3">
      <c r="A125" s="22"/>
      <c r="B125" s="22"/>
      <c r="C125" s="22"/>
      <c r="D125" s="22"/>
      <c r="E125" s="22"/>
      <c r="F125" s="23"/>
      <c r="G125" s="22"/>
      <c r="H125" s="22"/>
      <c r="I125" s="23"/>
    </row>
    <row r="126" spans="1:9" ht="13.8" x14ac:dyDescent="0.3">
      <c r="A126" s="22"/>
      <c r="B126" s="22"/>
      <c r="C126" s="22"/>
      <c r="D126" s="22"/>
      <c r="E126" s="22"/>
      <c r="F126" s="23"/>
      <c r="G126" s="22"/>
      <c r="H126" s="22"/>
      <c r="I126" s="23"/>
    </row>
    <row r="127" spans="1:9" ht="13.8" x14ac:dyDescent="0.3">
      <c r="A127" s="22"/>
      <c r="B127" s="22"/>
      <c r="C127" s="22"/>
      <c r="D127" s="22"/>
      <c r="E127" s="22"/>
      <c r="F127" s="23"/>
      <c r="G127" s="22"/>
      <c r="H127" s="22"/>
      <c r="I127" s="23"/>
    </row>
    <row r="128" spans="1:9" ht="13.8" x14ac:dyDescent="0.3">
      <c r="A128" s="22"/>
      <c r="B128" s="22"/>
      <c r="C128" s="22"/>
      <c r="D128" s="22"/>
      <c r="E128" s="22"/>
      <c r="F128" s="23"/>
      <c r="G128" s="22"/>
      <c r="H128" s="22"/>
      <c r="I128" s="23"/>
    </row>
    <row r="129" spans="1:9" ht="13.8" x14ac:dyDescent="0.3">
      <c r="A129" s="22"/>
      <c r="B129" s="22"/>
      <c r="C129" s="22"/>
      <c r="D129" s="22"/>
      <c r="E129" s="22"/>
      <c r="F129" s="23"/>
      <c r="G129" s="22"/>
      <c r="H129" s="22"/>
      <c r="I129" s="23"/>
    </row>
    <row r="130" spans="1:9" ht="13.8" x14ac:dyDescent="0.3">
      <c r="A130" s="22"/>
      <c r="B130" s="22"/>
      <c r="C130" s="22"/>
      <c r="D130" s="22"/>
      <c r="E130" s="22"/>
      <c r="F130" s="23"/>
      <c r="G130" s="22"/>
      <c r="H130" s="22"/>
      <c r="I130" s="23"/>
    </row>
    <row r="131" spans="1:9" ht="13.8" x14ac:dyDescent="0.3">
      <c r="A131" s="22"/>
      <c r="B131" s="22"/>
      <c r="C131" s="22"/>
      <c r="D131" s="22"/>
      <c r="E131" s="22"/>
      <c r="F131" s="23"/>
      <c r="G131" s="22"/>
      <c r="H131" s="22"/>
      <c r="I131" s="23"/>
    </row>
    <row r="132" spans="1:9" ht="13.8" x14ac:dyDescent="0.3">
      <c r="A132" s="22"/>
      <c r="B132" s="22"/>
      <c r="C132" s="22"/>
      <c r="D132" s="22"/>
      <c r="E132" s="22"/>
      <c r="F132" s="23"/>
      <c r="G132" s="22"/>
      <c r="H132" s="22"/>
      <c r="I132" s="23"/>
    </row>
    <row r="133" spans="1:9" ht="13.8" x14ac:dyDescent="0.3">
      <c r="A133" s="22"/>
      <c r="B133" s="22"/>
      <c r="C133" s="22"/>
      <c r="D133" s="22"/>
      <c r="E133" s="22"/>
      <c r="F133" s="23"/>
      <c r="G133" s="22"/>
      <c r="H133" s="22"/>
      <c r="I133" s="23"/>
    </row>
    <row r="134" spans="1:9" ht="13.8" x14ac:dyDescent="0.3">
      <c r="A134" s="22"/>
      <c r="B134" s="22"/>
      <c r="C134" s="22"/>
      <c r="D134" s="22"/>
      <c r="E134" s="22"/>
      <c r="F134" s="23"/>
      <c r="G134" s="22"/>
      <c r="H134" s="22"/>
      <c r="I134" s="23"/>
    </row>
    <row r="135" spans="1:9" ht="13.8" x14ac:dyDescent="0.3">
      <c r="A135" s="22"/>
      <c r="B135" s="22"/>
      <c r="C135" s="22"/>
      <c r="D135" s="22"/>
      <c r="E135" s="22"/>
      <c r="F135" s="23"/>
      <c r="G135" s="22"/>
      <c r="H135" s="22"/>
      <c r="I135" s="23"/>
    </row>
    <row r="136" spans="1:9" ht="13.8" x14ac:dyDescent="0.3">
      <c r="A136" s="22"/>
      <c r="B136" s="22"/>
      <c r="C136" s="22"/>
      <c r="D136" s="22"/>
      <c r="E136" s="22"/>
      <c r="F136" s="23"/>
      <c r="G136" s="22"/>
      <c r="H136" s="22"/>
      <c r="I136" s="23"/>
    </row>
    <row r="137" spans="1:9" ht="13.8" x14ac:dyDescent="0.3">
      <c r="A137" s="22"/>
      <c r="B137" s="22"/>
      <c r="C137" s="22"/>
      <c r="D137" s="22"/>
      <c r="E137" s="22"/>
      <c r="F137" s="23"/>
      <c r="G137" s="22"/>
      <c r="H137" s="22"/>
      <c r="I137" s="23"/>
    </row>
    <row r="138" spans="1:9" ht="13.8" x14ac:dyDescent="0.3">
      <c r="A138" s="22"/>
      <c r="B138" s="22"/>
      <c r="C138" s="22"/>
      <c r="D138" s="22"/>
      <c r="E138" s="22"/>
      <c r="F138" s="23"/>
      <c r="G138" s="22"/>
      <c r="H138" s="22"/>
      <c r="I138" s="23"/>
    </row>
    <row r="139" spans="1:9" ht="13.8" x14ac:dyDescent="0.3">
      <c r="A139" s="22"/>
      <c r="B139" s="22"/>
      <c r="C139" s="22"/>
      <c r="D139" s="22"/>
      <c r="E139" s="22"/>
      <c r="F139" s="23"/>
      <c r="G139" s="22"/>
      <c r="H139" s="22"/>
      <c r="I139" s="23"/>
    </row>
    <row r="140" spans="1:9" ht="13.8" x14ac:dyDescent="0.3">
      <c r="A140" s="22"/>
      <c r="B140" s="22"/>
      <c r="C140" s="22"/>
      <c r="D140" s="22"/>
      <c r="E140" s="22"/>
      <c r="F140" s="23"/>
      <c r="G140" s="22"/>
      <c r="H140" s="22"/>
      <c r="I140" s="23"/>
    </row>
    <row r="141" spans="1:9" ht="13.8" x14ac:dyDescent="0.3">
      <c r="A141" s="22"/>
      <c r="B141" s="22"/>
      <c r="C141" s="22"/>
      <c r="D141" s="22"/>
      <c r="E141" s="22"/>
      <c r="F141" s="23"/>
      <c r="G141" s="22"/>
      <c r="H141" s="22"/>
      <c r="I141" s="23"/>
    </row>
    <row r="142" spans="1:9" ht="13.8" x14ac:dyDescent="0.3">
      <c r="A142" s="22"/>
      <c r="B142" s="22"/>
      <c r="C142" s="22"/>
      <c r="D142" s="22"/>
      <c r="E142" s="22"/>
      <c r="F142" s="23"/>
      <c r="G142" s="22"/>
      <c r="H142" s="22"/>
      <c r="I142" s="23"/>
    </row>
    <row r="143" spans="1:9" ht="13.8" x14ac:dyDescent="0.3">
      <c r="A143" s="22"/>
      <c r="B143" s="22"/>
      <c r="C143" s="22"/>
      <c r="D143" s="22"/>
      <c r="E143" s="22"/>
      <c r="F143" s="23"/>
      <c r="G143" s="22"/>
      <c r="H143" s="22"/>
      <c r="I143" s="23"/>
    </row>
    <row r="144" spans="1:9" ht="13.8" x14ac:dyDescent="0.3">
      <c r="A144" s="22"/>
      <c r="B144" s="22"/>
      <c r="C144" s="22"/>
      <c r="D144" s="22"/>
      <c r="E144" s="22"/>
      <c r="F144" s="23"/>
      <c r="G144" s="22"/>
      <c r="H144" s="22"/>
      <c r="I144" s="23"/>
    </row>
    <row r="145" spans="1:9" ht="13.8" x14ac:dyDescent="0.3">
      <c r="A145" s="22"/>
      <c r="B145" s="22"/>
      <c r="C145" s="22"/>
      <c r="D145" s="22"/>
      <c r="E145" s="22"/>
      <c r="F145" s="23"/>
      <c r="G145" s="22"/>
      <c r="H145" s="22"/>
      <c r="I145" s="23"/>
    </row>
    <row r="146" spans="1:9" ht="13.8" x14ac:dyDescent="0.3">
      <c r="A146" s="22"/>
      <c r="B146" s="22"/>
      <c r="C146" s="22"/>
      <c r="D146" s="22"/>
      <c r="E146" s="22"/>
      <c r="F146" s="23"/>
      <c r="G146" s="22"/>
      <c r="H146" s="22"/>
      <c r="I146" s="23"/>
    </row>
    <row r="147" spans="1:9" ht="13.8" x14ac:dyDescent="0.3">
      <c r="A147" s="22"/>
      <c r="B147" s="22"/>
      <c r="C147" s="22"/>
      <c r="D147" s="22"/>
      <c r="E147" s="22"/>
      <c r="F147" s="23"/>
      <c r="G147" s="22"/>
      <c r="H147" s="22"/>
      <c r="I147" s="23"/>
    </row>
    <row r="148" spans="1:9" ht="13.8" x14ac:dyDescent="0.3">
      <c r="A148" s="22"/>
      <c r="B148" s="22"/>
      <c r="C148" s="22"/>
      <c r="D148" s="22"/>
      <c r="E148" s="22"/>
      <c r="F148" s="23"/>
      <c r="G148" s="22"/>
      <c r="H148" s="22"/>
      <c r="I148" s="23"/>
    </row>
    <row r="149" spans="1:9" ht="13.8" x14ac:dyDescent="0.3">
      <c r="A149" s="22"/>
      <c r="B149" s="22"/>
      <c r="C149" s="22"/>
      <c r="D149" s="22"/>
      <c r="E149" s="22"/>
      <c r="F149" s="23"/>
      <c r="G149" s="22"/>
      <c r="H149" s="22"/>
      <c r="I149" s="23"/>
    </row>
    <row r="150" spans="1:9" ht="13.8" x14ac:dyDescent="0.3">
      <c r="A150" s="22"/>
      <c r="B150" s="22"/>
      <c r="C150" s="22"/>
      <c r="D150" s="22"/>
      <c r="E150" s="22"/>
      <c r="F150" s="23"/>
      <c r="G150" s="22"/>
      <c r="H150" s="22"/>
      <c r="I150" s="23"/>
    </row>
    <row r="151" spans="1:9" ht="13.8" x14ac:dyDescent="0.3">
      <c r="A151" s="22"/>
      <c r="B151" s="22"/>
      <c r="C151" s="22"/>
      <c r="D151" s="22"/>
      <c r="E151" s="22"/>
      <c r="F151" s="23"/>
      <c r="G151" s="22"/>
      <c r="H151" s="22"/>
      <c r="I151" s="23"/>
    </row>
    <row r="152" spans="1:9" ht="13.8" x14ac:dyDescent="0.3">
      <c r="A152" s="22"/>
      <c r="B152" s="22"/>
      <c r="C152" s="22"/>
      <c r="D152" s="22"/>
      <c r="E152" s="22"/>
      <c r="F152" s="23"/>
      <c r="G152" s="22"/>
      <c r="H152" s="22"/>
      <c r="I152" s="23"/>
    </row>
    <row r="153" spans="1:9" ht="13.8" x14ac:dyDescent="0.3">
      <c r="A153" s="22"/>
      <c r="B153" s="22"/>
      <c r="C153" s="22"/>
      <c r="D153" s="22"/>
      <c r="E153" s="22"/>
      <c r="F153" s="23"/>
      <c r="G153" s="22"/>
      <c r="H153" s="22"/>
      <c r="I153" s="23"/>
    </row>
    <row r="154" spans="1:9" ht="13.8" x14ac:dyDescent="0.3">
      <c r="A154" s="22"/>
      <c r="B154" s="22"/>
      <c r="C154" s="22"/>
      <c r="D154" s="22"/>
      <c r="E154" s="22"/>
      <c r="F154" s="23"/>
      <c r="G154" s="22"/>
      <c r="H154" s="22"/>
      <c r="I154" s="23"/>
    </row>
    <row r="155" spans="1:9" ht="13.8" x14ac:dyDescent="0.3">
      <c r="A155" s="22"/>
      <c r="B155" s="22"/>
      <c r="C155" s="22"/>
      <c r="D155" s="22"/>
      <c r="E155" s="22"/>
      <c r="F155" s="23"/>
      <c r="G155" s="22"/>
      <c r="H155" s="22"/>
      <c r="I155" s="23"/>
    </row>
    <row r="156" spans="1:9" ht="13.8" x14ac:dyDescent="0.3">
      <c r="A156" s="22"/>
      <c r="B156" s="22"/>
      <c r="C156" s="22"/>
      <c r="D156" s="22"/>
      <c r="E156" s="22"/>
      <c r="F156" s="23"/>
      <c r="G156" s="22"/>
      <c r="H156" s="22"/>
      <c r="I156" s="23"/>
    </row>
    <row r="157" spans="1:9" ht="13.8" x14ac:dyDescent="0.3">
      <c r="A157" s="22"/>
      <c r="B157" s="22"/>
      <c r="C157" s="22"/>
      <c r="D157" s="22"/>
      <c r="E157" s="22"/>
      <c r="F157" s="23"/>
      <c r="G157" s="22"/>
      <c r="H157" s="22"/>
      <c r="I157" s="23"/>
    </row>
    <row r="158" spans="1:9" ht="13.8" x14ac:dyDescent="0.3">
      <c r="A158" s="22"/>
      <c r="B158" s="22"/>
      <c r="C158" s="22"/>
      <c r="D158" s="22"/>
      <c r="E158" s="22"/>
      <c r="F158" s="23"/>
      <c r="G158" s="22"/>
      <c r="H158" s="22"/>
      <c r="I158" s="23"/>
    </row>
    <row r="159" spans="1:9" ht="13.8" x14ac:dyDescent="0.3">
      <c r="A159" s="22"/>
      <c r="B159" s="22"/>
      <c r="C159" s="22"/>
      <c r="D159" s="22"/>
      <c r="E159" s="22"/>
      <c r="F159" s="23"/>
      <c r="G159" s="22"/>
      <c r="H159" s="22"/>
      <c r="I159" s="23"/>
    </row>
    <row r="160" spans="1:9" ht="13.8" x14ac:dyDescent="0.3">
      <c r="A160" s="22"/>
      <c r="B160" s="22"/>
      <c r="C160" s="22"/>
      <c r="D160" s="22"/>
      <c r="E160" s="22"/>
      <c r="F160" s="23"/>
      <c r="G160" s="22"/>
      <c r="H160" s="22"/>
      <c r="I160" s="23"/>
    </row>
    <row r="161" spans="1:9" ht="13.8" x14ac:dyDescent="0.3">
      <c r="A161" s="22"/>
      <c r="B161" s="22"/>
      <c r="C161" s="22"/>
      <c r="D161" s="22"/>
      <c r="E161" s="22"/>
      <c r="F161" s="23"/>
      <c r="G161" s="22"/>
      <c r="H161" s="22"/>
      <c r="I161" s="23"/>
    </row>
    <row r="162" spans="1:9" ht="13.8" x14ac:dyDescent="0.3">
      <c r="A162" s="22"/>
      <c r="B162" s="22"/>
      <c r="C162" s="22"/>
      <c r="D162" s="22"/>
      <c r="E162" s="22"/>
      <c r="F162" s="23"/>
      <c r="G162" s="22"/>
      <c r="H162" s="22"/>
      <c r="I162" s="23"/>
    </row>
    <row r="163" spans="1:9" ht="13.8" x14ac:dyDescent="0.3">
      <c r="A163" s="22"/>
      <c r="B163" s="22"/>
      <c r="C163" s="22"/>
      <c r="D163" s="22"/>
      <c r="E163" s="22"/>
      <c r="F163" s="23"/>
      <c r="G163" s="22"/>
      <c r="H163" s="22"/>
      <c r="I163" s="23"/>
    </row>
    <row r="164" spans="1:9" ht="13.8" x14ac:dyDescent="0.3">
      <c r="A164" s="22"/>
      <c r="B164" s="22"/>
      <c r="C164" s="22"/>
      <c r="D164" s="22"/>
      <c r="E164" s="22"/>
      <c r="F164" s="23"/>
      <c r="G164" s="22"/>
      <c r="H164" s="22"/>
      <c r="I164" s="23"/>
    </row>
    <row r="165" spans="1:9" ht="13.8" x14ac:dyDescent="0.3">
      <c r="A165" s="22"/>
      <c r="B165" s="22"/>
      <c r="C165" s="22"/>
      <c r="D165" s="22"/>
      <c r="E165" s="22"/>
      <c r="F165" s="23"/>
      <c r="G165" s="22"/>
      <c r="H165" s="22"/>
      <c r="I165" s="23"/>
    </row>
    <row r="166" spans="1:9" ht="13.8" x14ac:dyDescent="0.3">
      <c r="A166" s="22"/>
      <c r="B166" s="22"/>
      <c r="C166" s="22"/>
      <c r="D166" s="22"/>
      <c r="E166" s="22"/>
      <c r="F166" s="23"/>
      <c r="G166" s="22"/>
      <c r="H166" s="22"/>
      <c r="I166" s="23"/>
    </row>
    <row r="167" spans="1:9" ht="13.8" x14ac:dyDescent="0.3">
      <c r="A167" s="22"/>
      <c r="B167" s="22"/>
      <c r="C167" s="22"/>
      <c r="D167" s="22"/>
      <c r="E167" s="22"/>
      <c r="F167" s="23"/>
      <c r="G167" s="22"/>
      <c r="H167" s="22"/>
      <c r="I167" s="23"/>
    </row>
    <row r="168" spans="1:9" ht="13.8" x14ac:dyDescent="0.3">
      <c r="A168" s="22"/>
      <c r="B168" s="22"/>
      <c r="C168" s="22"/>
      <c r="D168" s="22"/>
      <c r="E168" s="22"/>
      <c r="F168" s="23"/>
      <c r="G168" s="22"/>
      <c r="H168" s="22"/>
      <c r="I168" s="23"/>
    </row>
    <row r="169" spans="1:9" ht="13.8" x14ac:dyDescent="0.3">
      <c r="A169" s="22"/>
      <c r="B169" s="22"/>
      <c r="C169" s="22"/>
      <c r="D169" s="22"/>
      <c r="E169" s="22"/>
      <c r="F169" s="23"/>
      <c r="G169" s="22"/>
      <c r="H169" s="22"/>
      <c r="I169" s="23"/>
    </row>
    <row r="170" spans="1:9" ht="13.8" x14ac:dyDescent="0.3">
      <c r="A170" s="22"/>
      <c r="B170" s="22"/>
      <c r="C170" s="22"/>
      <c r="D170" s="22"/>
      <c r="E170" s="22"/>
      <c r="F170" s="23"/>
      <c r="G170" s="22"/>
      <c r="H170" s="22"/>
      <c r="I170" s="23"/>
    </row>
    <row r="171" spans="1:9" ht="13.8" x14ac:dyDescent="0.3">
      <c r="A171" s="22"/>
      <c r="B171" s="22"/>
      <c r="C171" s="22"/>
      <c r="D171" s="22"/>
      <c r="E171" s="22"/>
      <c r="F171" s="23"/>
      <c r="G171" s="22"/>
      <c r="H171" s="22"/>
      <c r="I171" s="23"/>
    </row>
    <row r="172" spans="1:9" ht="13.8" x14ac:dyDescent="0.3">
      <c r="A172" s="22"/>
      <c r="B172" s="22"/>
      <c r="C172" s="22"/>
      <c r="D172" s="22"/>
      <c r="E172" s="22"/>
      <c r="F172" s="23"/>
      <c r="G172" s="22"/>
      <c r="H172" s="22"/>
      <c r="I172" s="23"/>
    </row>
    <row r="173" spans="1:9" ht="13.8" x14ac:dyDescent="0.3">
      <c r="A173" s="22"/>
      <c r="B173" s="22"/>
      <c r="C173" s="22"/>
      <c r="D173" s="22"/>
      <c r="E173" s="22"/>
      <c r="F173" s="23"/>
      <c r="G173" s="22"/>
      <c r="H173" s="22"/>
      <c r="I173" s="23"/>
    </row>
    <row r="174" spans="1:9" ht="13.8" x14ac:dyDescent="0.3">
      <c r="A174" s="22"/>
      <c r="B174" s="22"/>
      <c r="C174" s="22"/>
      <c r="D174" s="22"/>
      <c r="E174" s="22"/>
      <c r="F174" s="23"/>
      <c r="G174" s="22"/>
      <c r="H174" s="22"/>
      <c r="I174" s="23"/>
    </row>
    <row r="175" spans="1:9" ht="13.8" x14ac:dyDescent="0.3">
      <c r="A175" s="22"/>
      <c r="B175" s="22"/>
      <c r="C175" s="22"/>
      <c r="D175" s="22"/>
      <c r="E175" s="22"/>
      <c r="F175" s="23"/>
      <c r="G175" s="22"/>
      <c r="H175" s="22"/>
      <c r="I175" s="23"/>
    </row>
    <row r="176" spans="1:9" ht="13.8" x14ac:dyDescent="0.3">
      <c r="A176" s="22"/>
      <c r="B176" s="22"/>
      <c r="C176" s="22"/>
      <c r="D176" s="22"/>
      <c r="E176" s="22"/>
      <c r="F176" s="23"/>
      <c r="G176" s="22"/>
      <c r="H176" s="22"/>
      <c r="I176" s="23"/>
    </row>
    <row r="177" spans="1:9" ht="13.8" x14ac:dyDescent="0.3">
      <c r="A177" s="22"/>
      <c r="B177" s="22"/>
      <c r="C177" s="22"/>
      <c r="D177" s="22"/>
      <c r="E177" s="22"/>
      <c r="F177" s="23"/>
      <c r="G177" s="22"/>
      <c r="H177" s="22"/>
      <c r="I177" s="23"/>
    </row>
    <row r="178" spans="1:9" ht="13.8" x14ac:dyDescent="0.3">
      <c r="A178" s="22"/>
      <c r="B178" s="22"/>
      <c r="C178" s="22"/>
      <c r="D178" s="22"/>
      <c r="E178" s="22"/>
      <c r="F178" s="23"/>
      <c r="G178" s="22"/>
      <c r="H178" s="22"/>
      <c r="I178" s="23"/>
    </row>
    <row r="179" spans="1:9" ht="13.8" x14ac:dyDescent="0.3">
      <c r="A179" s="22"/>
      <c r="B179" s="22"/>
      <c r="C179" s="22"/>
      <c r="D179" s="22"/>
      <c r="E179" s="22"/>
      <c r="F179" s="23"/>
      <c r="G179" s="22"/>
      <c r="H179" s="22"/>
      <c r="I179" s="23"/>
    </row>
    <row r="180" spans="1:9" ht="13.8" x14ac:dyDescent="0.3">
      <c r="A180" s="22"/>
      <c r="B180" s="22"/>
      <c r="C180" s="22"/>
      <c r="D180" s="22"/>
      <c r="E180" s="22"/>
      <c r="F180" s="23"/>
      <c r="G180" s="22"/>
      <c r="H180" s="22"/>
      <c r="I180" s="23"/>
    </row>
    <row r="181" spans="1:9" ht="13.8" x14ac:dyDescent="0.3">
      <c r="A181" s="22"/>
      <c r="B181" s="22"/>
      <c r="C181" s="22"/>
      <c r="D181" s="22"/>
      <c r="E181" s="22"/>
      <c r="F181" s="23"/>
      <c r="G181" s="22"/>
      <c r="H181" s="22"/>
      <c r="I181" s="23"/>
    </row>
    <row r="182" spans="1:9" ht="13.8" x14ac:dyDescent="0.3">
      <c r="A182" s="22"/>
      <c r="B182" s="22"/>
      <c r="C182" s="22"/>
      <c r="D182" s="22"/>
      <c r="E182" s="22"/>
      <c r="F182" s="23"/>
      <c r="G182" s="22"/>
      <c r="H182" s="22"/>
      <c r="I182" s="23"/>
    </row>
    <row r="183" spans="1:9" ht="13.8" x14ac:dyDescent="0.3">
      <c r="A183" s="22"/>
      <c r="B183" s="22"/>
      <c r="C183" s="22"/>
      <c r="D183" s="22"/>
      <c r="E183" s="22"/>
      <c r="F183" s="23"/>
      <c r="G183" s="22"/>
      <c r="H183" s="22"/>
      <c r="I183" s="23"/>
    </row>
    <row r="184" spans="1:9" ht="13.8" x14ac:dyDescent="0.3">
      <c r="A184" s="22"/>
      <c r="B184" s="22"/>
      <c r="C184" s="22"/>
      <c r="D184" s="22"/>
      <c r="E184" s="22"/>
      <c r="F184" s="23"/>
      <c r="G184" s="22"/>
      <c r="H184" s="22"/>
      <c r="I184" s="23"/>
    </row>
    <row r="185" spans="1:9" ht="13.8" x14ac:dyDescent="0.3">
      <c r="A185" s="22"/>
      <c r="B185" s="22"/>
      <c r="C185" s="22"/>
      <c r="D185" s="22"/>
      <c r="E185" s="22"/>
      <c r="F185" s="23"/>
      <c r="G185" s="22"/>
      <c r="H185" s="22"/>
      <c r="I185" s="23"/>
    </row>
    <row r="186" spans="1:9" ht="13.8" x14ac:dyDescent="0.3">
      <c r="A186" s="22"/>
      <c r="B186" s="22"/>
      <c r="C186" s="22"/>
      <c r="D186" s="22"/>
      <c r="E186" s="22"/>
      <c r="F186" s="23"/>
      <c r="G186" s="22"/>
      <c r="H186" s="22"/>
      <c r="I186" s="23"/>
    </row>
    <row r="187" spans="1:9" ht="13.8" x14ac:dyDescent="0.3">
      <c r="A187" s="22"/>
      <c r="B187" s="22"/>
      <c r="C187" s="22"/>
      <c r="D187" s="22"/>
      <c r="E187" s="22"/>
      <c r="F187" s="23"/>
      <c r="G187" s="22"/>
      <c r="H187" s="22"/>
      <c r="I187" s="23"/>
    </row>
    <row r="188" spans="1:9" ht="13.8" x14ac:dyDescent="0.3">
      <c r="A188" s="22"/>
      <c r="B188" s="22"/>
      <c r="C188" s="22"/>
      <c r="D188" s="22"/>
      <c r="E188" s="22"/>
      <c r="F188" s="23"/>
      <c r="G188" s="22"/>
      <c r="H188" s="22"/>
      <c r="I188" s="23"/>
    </row>
    <row r="189" spans="1:9" ht="13.8" x14ac:dyDescent="0.3">
      <c r="A189" s="22"/>
      <c r="B189" s="22"/>
      <c r="C189" s="22"/>
      <c r="D189" s="22"/>
      <c r="E189" s="22"/>
      <c r="F189" s="23"/>
      <c r="G189" s="22"/>
      <c r="H189" s="22"/>
      <c r="I189" s="23"/>
    </row>
    <row r="190" spans="1:9" ht="13.8" x14ac:dyDescent="0.3">
      <c r="A190" s="22"/>
      <c r="B190" s="22"/>
      <c r="C190" s="22"/>
      <c r="D190" s="22"/>
      <c r="E190" s="22"/>
      <c r="F190" s="23"/>
      <c r="G190" s="22"/>
      <c r="H190" s="22"/>
      <c r="I190" s="23"/>
    </row>
    <row r="191" spans="1:9" ht="13.8" x14ac:dyDescent="0.3">
      <c r="A191" s="22"/>
      <c r="B191" s="22"/>
      <c r="C191" s="22"/>
      <c r="D191" s="22"/>
      <c r="E191" s="22"/>
      <c r="F191" s="23"/>
      <c r="G191" s="22"/>
      <c r="H191" s="22"/>
      <c r="I191" s="23"/>
    </row>
    <row r="192" spans="1:9" ht="13.8" x14ac:dyDescent="0.3">
      <c r="A192" s="22"/>
      <c r="B192" s="22"/>
      <c r="C192" s="22"/>
      <c r="D192" s="22"/>
      <c r="E192" s="22"/>
      <c r="F192" s="23"/>
      <c r="G192" s="22"/>
      <c r="H192" s="22"/>
      <c r="I192" s="23"/>
    </row>
    <row r="193" spans="1:9" ht="13.8" x14ac:dyDescent="0.3">
      <c r="A193" s="22"/>
      <c r="B193" s="22"/>
      <c r="C193" s="22"/>
      <c r="D193" s="22"/>
      <c r="E193" s="22"/>
      <c r="F193" s="23"/>
      <c r="G193" s="22"/>
      <c r="H193" s="22"/>
      <c r="I193" s="23"/>
    </row>
    <row r="194" spans="1:9" ht="13.8" x14ac:dyDescent="0.3">
      <c r="A194" s="22"/>
      <c r="B194" s="22"/>
      <c r="C194" s="22"/>
      <c r="D194" s="22"/>
      <c r="E194" s="22"/>
      <c r="F194" s="23"/>
      <c r="G194" s="22"/>
      <c r="H194" s="22"/>
      <c r="I194" s="23"/>
    </row>
    <row r="195" spans="1:9" ht="13.8" x14ac:dyDescent="0.3">
      <c r="A195" s="22"/>
      <c r="B195" s="22"/>
      <c r="C195" s="22"/>
      <c r="D195" s="22"/>
      <c r="E195" s="22"/>
      <c r="F195" s="23"/>
      <c r="G195" s="22"/>
      <c r="H195" s="22"/>
      <c r="I195" s="23"/>
    </row>
    <row r="196" spans="1:9" ht="13.8" x14ac:dyDescent="0.3">
      <c r="A196" s="22"/>
      <c r="B196" s="22"/>
      <c r="C196" s="22"/>
      <c r="D196" s="22"/>
      <c r="E196" s="22"/>
      <c r="F196" s="23"/>
      <c r="G196" s="22"/>
      <c r="H196" s="22"/>
      <c r="I196" s="23"/>
    </row>
    <row r="197" spans="1:9" ht="13.8" x14ac:dyDescent="0.3">
      <c r="A197" s="22"/>
      <c r="B197" s="22"/>
      <c r="C197" s="22"/>
      <c r="D197" s="22"/>
      <c r="E197" s="22"/>
      <c r="F197" s="23"/>
      <c r="G197" s="22"/>
      <c r="H197" s="22"/>
      <c r="I197" s="23"/>
    </row>
    <row r="198" spans="1:9" ht="13.8" x14ac:dyDescent="0.3">
      <c r="A198" s="22"/>
      <c r="B198" s="22"/>
      <c r="C198" s="22"/>
      <c r="D198" s="22"/>
      <c r="E198" s="22"/>
      <c r="F198" s="23"/>
      <c r="G198" s="22"/>
      <c r="H198" s="22"/>
      <c r="I198" s="23"/>
    </row>
    <row r="199" spans="1:9" ht="13.8" x14ac:dyDescent="0.3">
      <c r="A199" s="22"/>
      <c r="B199" s="22"/>
      <c r="C199" s="22"/>
      <c r="D199" s="22"/>
      <c r="E199" s="22"/>
      <c r="F199" s="23"/>
      <c r="G199" s="22"/>
      <c r="H199" s="22"/>
      <c r="I199" s="23"/>
    </row>
    <row r="200" spans="1:9" ht="13.8" x14ac:dyDescent="0.3">
      <c r="A200" s="22"/>
      <c r="B200" s="22"/>
      <c r="C200" s="22"/>
      <c r="D200" s="22"/>
      <c r="E200" s="22"/>
      <c r="F200" s="23"/>
      <c r="G200" s="22"/>
      <c r="H200" s="22"/>
      <c r="I200" s="23"/>
    </row>
    <row r="201" spans="1:9" ht="13.8" x14ac:dyDescent="0.3">
      <c r="A201" s="22"/>
      <c r="B201" s="22"/>
      <c r="C201" s="22"/>
      <c r="D201" s="22"/>
      <c r="E201" s="22"/>
      <c r="F201" s="23"/>
      <c r="G201" s="22"/>
      <c r="H201" s="22"/>
      <c r="I201" s="23"/>
    </row>
    <row r="202" spans="1:9" ht="13.8" x14ac:dyDescent="0.3">
      <c r="A202" s="22"/>
      <c r="B202" s="22"/>
      <c r="C202" s="22"/>
      <c r="D202" s="22"/>
      <c r="E202" s="22"/>
      <c r="F202" s="23"/>
      <c r="G202" s="22"/>
      <c r="H202" s="22"/>
      <c r="I202" s="23"/>
    </row>
    <row r="203" spans="1:9" ht="13.8" x14ac:dyDescent="0.3">
      <c r="A203" s="22"/>
      <c r="B203" s="22"/>
      <c r="C203" s="22"/>
      <c r="D203" s="22"/>
      <c r="E203" s="22"/>
      <c r="F203" s="23"/>
      <c r="G203" s="22"/>
      <c r="H203" s="22"/>
      <c r="I203" s="23"/>
    </row>
    <row r="204" spans="1:9" ht="13.8" x14ac:dyDescent="0.3">
      <c r="A204" s="22"/>
      <c r="B204" s="22"/>
      <c r="C204" s="22"/>
      <c r="D204" s="22"/>
      <c r="E204" s="22"/>
      <c r="F204" s="23"/>
      <c r="G204" s="22"/>
      <c r="H204" s="22"/>
      <c r="I204" s="23"/>
    </row>
    <row r="205" spans="1:9" ht="13.8" x14ac:dyDescent="0.3">
      <c r="A205" s="22"/>
      <c r="B205" s="22"/>
      <c r="C205" s="22"/>
      <c r="D205" s="22"/>
      <c r="E205" s="22"/>
      <c r="F205" s="23"/>
      <c r="G205" s="22"/>
      <c r="H205" s="22"/>
      <c r="I205" s="23"/>
    </row>
    <row r="206" spans="1:9" ht="13.8" x14ac:dyDescent="0.3">
      <c r="A206" s="22"/>
      <c r="B206" s="22"/>
      <c r="C206" s="22"/>
      <c r="D206" s="22"/>
      <c r="E206" s="22"/>
      <c r="F206" s="23"/>
      <c r="G206" s="22"/>
      <c r="H206" s="22"/>
      <c r="I206" s="23"/>
    </row>
    <row r="207" spans="1:9" ht="13.8" x14ac:dyDescent="0.3">
      <c r="A207" s="22"/>
      <c r="B207" s="22"/>
      <c r="C207" s="22"/>
      <c r="D207" s="22"/>
      <c r="E207" s="22"/>
      <c r="F207" s="23"/>
      <c r="G207" s="22"/>
      <c r="H207" s="22"/>
      <c r="I207" s="23"/>
    </row>
    <row r="208" spans="1:9" ht="13.8" x14ac:dyDescent="0.3">
      <c r="A208" s="22"/>
      <c r="B208" s="22"/>
      <c r="C208" s="22"/>
      <c r="D208" s="22"/>
      <c r="E208" s="22"/>
      <c r="F208" s="23"/>
      <c r="G208" s="22"/>
      <c r="H208" s="22"/>
      <c r="I208" s="23"/>
    </row>
    <row r="209" spans="1:9" ht="13.8" x14ac:dyDescent="0.3">
      <c r="A209" s="22"/>
      <c r="B209" s="22"/>
      <c r="C209" s="22"/>
      <c r="D209" s="22"/>
      <c r="E209" s="22"/>
      <c r="F209" s="23"/>
      <c r="G209" s="22"/>
      <c r="H209" s="22"/>
      <c r="I209" s="23"/>
    </row>
    <row r="210" spans="1:9" ht="13.8" x14ac:dyDescent="0.3">
      <c r="A210" s="22"/>
      <c r="B210" s="22"/>
      <c r="C210" s="22"/>
      <c r="D210" s="22"/>
      <c r="E210" s="22"/>
      <c r="F210" s="23"/>
      <c r="G210" s="22"/>
      <c r="H210" s="22"/>
      <c r="I210" s="23"/>
    </row>
    <row r="211" spans="1:9" ht="13.8" x14ac:dyDescent="0.3">
      <c r="A211" s="22"/>
      <c r="B211" s="22"/>
      <c r="C211" s="22"/>
      <c r="D211" s="22"/>
      <c r="E211" s="22"/>
      <c r="F211" s="23"/>
      <c r="G211" s="22"/>
      <c r="H211" s="22"/>
      <c r="I211" s="23"/>
    </row>
    <row r="212" spans="1:9" ht="13.8" x14ac:dyDescent="0.3">
      <c r="A212" s="22"/>
      <c r="B212" s="22"/>
      <c r="C212" s="22"/>
      <c r="D212" s="22"/>
      <c r="E212" s="22"/>
      <c r="F212" s="23"/>
      <c r="G212" s="22"/>
      <c r="H212" s="22"/>
      <c r="I212" s="23"/>
    </row>
    <row r="213" spans="1:9" ht="13.8" x14ac:dyDescent="0.3">
      <c r="A213" s="22"/>
      <c r="B213" s="22"/>
      <c r="C213" s="22"/>
      <c r="D213" s="22"/>
      <c r="E213" s="22"/>
      <c r="F213" s="23"/>
      <c r="G213" s="22"/>
      <c r="H213" s="22"/>
      <c r="I213" s="23"/>
    </row>
    <row r="214" spans="1:9" ht="13.8" x14ac:dyDescent="0.3">
      <c r="A214" s="22"/>
      <c r="B214" s="22"/>
      <c r="C214" s="22"/>
      <c r="D214" s="22"/>
      <c r="E214" s="22"/>
      <c r="F214" s="23"/>
      <c r="G214" s="22"/>
      <c r="H214" s="22"/>
      <c r="I214" s="23"/>
    </row>
    <row r="215" spans="1:9" ht="13.8" x14ac:dyDescent="0.3">
      <c r="A215" s="22"/>
      <c r="B215" s="22"/>
      <c r="C215" s="22"/>
      <c r="D215" s="22"/>
      <c r="E215" s="22"/>
      <c r="F215" s="23"/>
      <c r="G215" s="22"/>
      <c r="H215" s="22"/>
      <c r="I215" s="23"/>
    </row>
    <row r="216" spans="1:9" ht="13.8" x14ac:dyDescent="0.3">
      <c r="A216" s="22"/>
      <c r="B216" s="22"/>
      <c r="C216" s="22"/>
      <c r="D216" s="22"/>
      <c r="E216" s="22"/>
      <c r="F216" s="23"/>
      <c r="G216" s="22"/>
      <c r="H216" s="22"/>
      <c r="I216" s="23"/>
    </row>
    <row r="217" spans="1:9" ht="13.8" x14ac:dyDescent="0.3">
      <c r="A217" s="22"/>
      <c r="B217" s="22"/>
      <c r="C217" s="22"/>
      <c r="D217" s="22"/>
      <c r="E217" s="22"/>
      <c r="F217" s="23"/>
      <c r="G217" s="22"/>
      <c r="H217" s="22"/>
      <c r="I217" s="23"/>
    </row>
    <row r="218" spans="1:9" ht="13.8" x14ac:dyDescent="0.3">
      <c r="A218" s="22"/>
      <c r="B218" s="22"/>
      <c r="C218" s="22"/>
      <c r="D218" s="22"/>
      <c r="E218" s="22"/>
      <c r="F218" s="23"/>
      <c r="G218" s="22"/>
      <c r="H218" s="22"/>
      <c r="I218" s="23"/>
    </row>
    <row r="219" spans="1:9" ht="13.8" x14ac:dyDescent="0.3">
      <c r="A219" s="22"/>
      <c r="B219" s="22"/>
      <c r="C219" s="22"/>
      <c r="D219" s="22"/>
      <c r="E219" s="22"/>
      <c r="F219" s="23"/>
      <c r="G219" s="22"/>
      <c r="H219" s="22"/>
      <c r="I219" s="23"/>
    </row>
    <row r="220" spans="1:9" ht="13.8" x14ac:dyDescent="0.3">
      <c r="A220" s="22"/>
      <c r="B220" s="22"/>
      <c r="C220" s="22"/>
      <c r="D220" s="22"/>
      <c r="E220" s="22"/>
      <c r="F220" s="23"/>
      <c r="G220" s="22"/>
      <c r="H220" s="22"/>
      <c r="I220" s="23"/>
    </row>
    <row r="221" spans="1:9" ht="13.8" x14ac:dyDescent="0.3">
      <c r="A221" s="22"/>
      <c r="B221" s="22"/>
      <c r="C221" s="22"/>
      <c r="D221" s="22"/>
      <c r="E221" s="22"/>
      <c r="F221" s="23"/>
      <c r="G221" s="22"/>
      <c r="H221" s="22"/>
      <c r="I221" s="23"/>
    </row>
    <row r="222" spans="1:9" ht="13.8" x14ac:dyDescent="0.3">
      <c r="A222" s="22"/>
      <c r="B222" s="22"/>
      <c r="C222" s="22"/>
      <c r="D222" s="22"/>
      <c r="E222" s="22"/>
      <c r="F222" s="23"/>
      <c r="G222" s="22"/>
      <c r="H222" s="22"/>
      <c r="I222" s="23"/>
    </row>
    <row r="223" spans="1:9" ht="13.8" x14ac:dyDescent="0.3">
      <c r="A223" s="22"/>
      <c r="B223" s="22"/>
      <c r="C223" s="22"/>
      <c r="D223" s="22"/>
      <c r="E223" s="22"/>
      <c r="F223" s="23"/>
      <c r="G223" s="22"/>
      <c r="H223" s="22"/>
      <c r="I223" s="23"/>
    </row>
    <row r="224" spans="1:9" ht="13.8" x14ac:dyDescent="0.3">
      <c r="A224" s="22"/>
      <c r="B224" s="22"/>
      <c r="C224" s="22"/>
      <c r="D224" s="22"/>
      <c r="E224" s="22"/>
      <c r="F224" s="23"/>
      <c r="G224" s="22"/>
      <c r="H224" s="22"/>
      <c r="I224" s="23"/>
    </row>
    <row r="225" spans="1:9" ht="13.8" x14ac:dyDescent="0.3">
      <c r="A225" s="22"/>
      <c r="B225" s="22"/>
      <c r="C225" s="22"/>
      <c r="D225" s="22"/>
      <c r="E225" s="22"/>
      <c r="F225" s="23"/>
      <c r="G225" s="22"/>
      <c r="H225" s="22"/>
      <c r="I225" s="23"/>
    </row>
    <row r="226" spans="1:9" ht="13.8" x14ac:dyDescent="0.3">
      <c r="A226" s="22"/>
      <c r="B226" s="22"/>
      <c r="C226" s="22"/>
      <c r="D226" s="22"/>
      <c r="E226" s="22"/>
      <c r="F226" s="23"/>
      <c r="G226" s="22"/>
      <c r="H226" s="22"/>
      <c r="I226" s="23"/>
    </row>
    <row r="227" spans="1:9" ht="13.8" x14ac:dyDescent="0.3">
      <c r="A227" s="22"/>
      <c r="B227" s="22"/>
      <c r="C227" s="22"/>
      <c r="D227" s="22"/>
      <c r="E227" s="22"/>
      <c r="F227" s="23"/>
      <c r="G227" s="22"/>
      <c r="H227" s="22"/>
      <c r="I227" s="23"/>
    </row>
    <row r="228" spans="1:9" ht="13.8" x14ac:dyDescent="0.3">
      <c r="A228" s="22"/>
      <c r="B228" s="22"/>
      <c r="C228" s="22"/>
      <c r="D228" s="22"/>
      <c r="E228" s="22"/>
      <c r="F228" s="23"/>
      <c r="G228" s="22"/>
      <c r="H228" s="22"/>
      <c r="I228" s="23"/>
    </row>
    <row r="229" spans="1:9" ht="13.8" x14ac:dyDescent="0.3">
      <c r="A229" s="22"/>
      <c r="B229" s="22"/>
      <c r="C229" s="22"/>
      <c r="D229" s="22"/>
      <c r="E229" s="22"/>
      <c r="F229" s="23"/>
      <c r="G229" s="22"/>
      <c r="H229" s="22"/>
      <c r="I229" s="23"/>
    </row>
    <row r="230" spans="1:9" ht="13.8" x14ac:dyDescent="0.3">
      <c r="A230" s="22"/>
      <c r="B230" s="22"/>
      <c r="C230" s="22"/>
      <c r="D230" s="22"/>
      <c r="E230" s="22"/>
      <c r="F230" s="23"/>
      <c r="G230" s="22"/>
      <c r="H230" s="22"/>
      <c r="I230" s="23"/>
    </row>
    <row r="231" spans="1:9" ht="13.8" x14ac:dyDescent="0.3">
      <c r="A231" s="22"/>
      <c r="B231" s="22"/>
      <c r="C231" s="22"/>
      <c r="D231" s="22"/>
      <c r="E231" s="22"/>
      <c r="F231" s="23"/>
      <c r="G231" s="22"/>
      <c r="H231" s="22"/>
      <c r="I231" s="23"/>
    </row>
    <row r="232" spans="1:9" ht="13.8" x14ac:dyDescent="0.3">
      <c r="A232" s="22"/>
      <c r="B232" s="22"/>
      <c r="C232" s="22"/>
      <c r="D232" s="22"/>
      <c r="E232" s="22"/>
      <c r="F232" s="23"/>
      <c r="G232" s="22"/>
      <c r="H232" s="22"/>
      <c r="I232" s="23"/>
    </row>
    <row r="233" spans="1:9" ht="13.8" x14ac:dyDescent="0.3">
      <c r="A233" s="22"/>
      <c r="B233" s="22"/>
      <c r="C233" s="22"/>
      <c r="D233" s="22"/>
      <c r="E233" s="22"/>
      <c r="F233" s="23"/>
      <c r="G233" s="22"/>
      <c r="H233" s="22"/>
      <c r="I233" s="23"/>
    </row>
    <row r="234" spans="1:9" ht="13.8" x14ac:dyDescent="0.3">
      <c r="A234" s="22"/>
      <c r="B234" s="22"/>
      <c r="C234" s="22"/>
      <c r="D234" s="22"/>
      <c r="E234" s="22"/>
      <c r="F234" s="23"/>
      <c r="G234" s="22"/>
      <c r="H234" s="22"/>
      <c r="I234" s="23"/>
    </row>
    <row r="235" spans="1:9" ht="13.8" x14ac:dyDescent="0.3">
      <c r="A235" s="22"/>
      <c r="B235" s="22"/>
      <c r="C235" s="22"/>
      <c r="D235" s="22"/>
      <c r="E235" s="22"/>
      <c r="F235" s="23"/>
      <c r="G235" s="22"/>
      <c r="H235" s="22"/>
      <c r="I235" s="23"/>
    </row>
    <row r="236" spans="1:9" ht="13.8" x14ac:dyDescent="0.3">
      <c r="A236" s="22"/>
      <c r="B236" s="22"/>
      <c r="C236" s="22"/>
      <c r="D236" s="22"/>
      <c r="E236" s="22"/>
      <c r="F236" s="23"/>
      <c r="G236" s="22"/>
      <c r="H236" s="22"/>
      <c r="I236" s="23"/>
    </row>
    <row r="237" spans="1:9" ht="13.8" x14ac:dyDescent="0.3">
      <c r="A237" s="22"/>
      <c r="B237" s="22"/>
      <c r="C237" s="22"/>
      <c r="D237" s="22"/>
      <c r="E237" s="22"/>
      <c r="F237" s="23"/>
      <c r="G237" s="22"/>
      <c r="H237" s="22"/>
      <c r="I237" s="23"/>
    </row>
    <row r="238" spans="1:9" ht="13.8" x14ac:dyDescent="0.3">
      <c r="A238" s="22"/>
      <c r="B238" s="22"/>
      <c r="C238" s="22"/>
      <c r="D238" s="22"/>
      <c r="E238" s="22"/>
      <c r="F238" s="23"/>
      <c r="G238" s="22"/>
      <c r="H238" s="22"/>
      <c r="I238" s="23"/>
    </row>
    <row r="239" spans="1:9" ht="13.8" x14ac:dyDescent="0.3">
      <c r="A239" s="22"/>
      <c r="B239" s="22"/>
      <c r="C239" s="22"/>
      <c r="D239" s="22"/>
      <c r="E239" s="22"/>
      <c r="F239" s="23"/>
      <c r="G239" s="22"/>
      <c r="H239" s="22"/>
      <c r="I239" s="23"/>
    </row>
    <row r="240" spans="1:9" ht="13.8" x14ac:dyDescent="0.3">
      <c r="A240" s="22"/>
      <c r="B240" s="22"/>
      <c r="C240" s="22"/>
      <c r="D240" s="22"/>
      <c r="E240" s="22"/>
      <c r="F240" s="23"/>
      <c r="G240" s="22"/>
      <c r="H240" s="22"/>
      <c r="I240" s="23"/>
    </row>
    <row r="241" spans="1:9" ht="13.8" x14ac:dyDescent="0.3">
      <c r="A241" s="22"/>
      <c r="B241" s="22"/>
      <c r="C241" s="22"/>
      <c r="D241" s="22"/>
      <c r="E241" s="22"/>
      <c r="F241" s="23"/>
      <c r="G241" s="22"/>
      <c r="H241" s="22"/>
      <c r="I241" s="23"/>
    </row>
    <row r="242" spans="1:9" ht="13.8" x14ac:dyDescent="0.3">
      <c r="A242" s="22"/>
      <c r="B242" s="22"/>
      <c r="C242" s="22"/>
      <c r="D242" s="22"/>
      <c r="E242" s="22"/>
      <c r="F242" s="23"/>
      <c r="G242" s="22"/>
      <c r="H242" s="22"/>
      <c r="I242" s="23"/>
    </row>
    <row r="243" spans="1:9" ht="13.8" x14ac:dyDescent="0.3">
      <c r="A243" s="22"/>
      <c r="B243" s="22"/>
      <c r="C243" s="22"/>
      <c r="D243" s="22"/>
      <c r="E243" s="22"/>
      <c r="F243" s="23"/>
      <c r="G243" s="22"/>
      <c r="H243" s="22"/>
      <c r="I243" s="23"/>
    </row>
    <row r="244" spans="1:9" ht="13.8" x14ac:dyDescent="0.3">
      <c r="A244" s="22"/>
      <c r="B244" s="22"/>
      <c r="C244" s="22"/>
      <c r="D244" s="22"/>
      <c r="E244" s="22"/>
      <c r="F244" s="23"/>
      <c r="G244" s="22"/>
      <c r="H244" s="22"/>
      <c r="I244" s="23"/>
    </row>
    <row r="245" spans="1:9" ht="13.8" x14ac:dyDescent="0.3">
      <c r="A245" s="22"/>
      <c r="B245" s="22"/>
      <c r="C245" s="22"/>
      <c r="D245" s="22"/>
      <c r="E245" s="22"/>
      <c r="F245" s="23"/>
      <c r="G245" s="22"/>
      <c r="H245" s="22"/>
      <c r="I245" s="23"/>
    </row>
    <row r="246" spans="1:9" ht="13.8" x14ac:dyDescent="0.3">
      <c r="A246" s="22"/>
      <c r="B246" s="22"/>
      <c r="C246" s="22"/>
      <c r="D246" s="22"/>
      <c r="E246" s="22"/>
      <c r="F246" s="23"/>
      <c r="G246" s="22"/>
      <c r="H246" s="22"/>
      <c r="I246" s="23"/>
    </row>
    <row r="247" spans="1:9" ht="13.8" x14ac:dyDescent="0.3">
      <c r="A247" s="22"/>
      <c r="B247" s="22"/>
      <c r="C247" s="22"/>
      <c r="D247" s="22"/>
      <c r="E247" s="22"/>
      <c r="F247" s="23"/>
      <c r="G247" s="22"/>
      <c r="H247" s="22"/>
      <c r="I247" s="23"/>
    </row>
    <row r="248" spans="1:9" ht="13.8" x14ac:dyDescent="0.3">
      <c r="A248" s="22"/>
      <c r="B248" s="22"/>
      <c r="C248" s="22"/>
      <c r="D248" s="22"/>
      <c r="E248" s="22"/>
      <c r="F248" s="23"/>
      <c r="G248" s="22"/>
      <c r="H248" s="22"/>
      <c r="I248" s="23"/>
    </row>
    <row r="249" spans="1:9" ht="13.8" x14ac:dyDescent="0.3">
      <c r="A249" s="22"/>
      <c r="B249" s="22"/>
      <c r="C249" s="22"/>
      <c r="D249" s="22"/>
      <c r="E249" s="22"/>
      <c r="F249" s="23"/>
      <c r="G249" s="22"/>
      <c r="H249" s="22"/>
      <c r="I249" s="23"/>
    </row>
    <row r="250" spans="1:9" ht="13.8" x14ac:dyDescent="0.3">
      <c r="A250" s="22"/>
      <c r="B250" s="22"/>
      <c r="C250" s="22"/>
      <c r="D250" s="22"/>
      <c r="E250" s="22"/>
      <c r="F250" s="23"/>
      <c r="G250" s="22"/>
      <c r="H250" s="22"/>
      <c r="I250" s="23"/>
    </row>
    <row r="251" spans="1:9" ht="13.8" x14ac:dyDescent="0.3">
      <c r="A251" s="22"/>
      <c r="B251" s="22"/>
      <c r="C251" s="22"/>
      <c r="D251" s="22"/>
      <c r="E251" s="22"/>
      <c r="F251" s="23"/>
      <c r="G251" s="22"/>
      <c r="H251" s="22"/>
      <c r="I251" s="23"/>
    </row>
    <row r="252" spans="1:9" ht="13.8" x14ac:dyDescent="0.3">
      <c r="A252" s="22"/>
      <c r="B252" s="22"/>
      <c r="C252" s="22"/>
      <c r="D252" s="22"/>
      <c r="E252" s="22"/>
      <c r="F252" s="23"/>
      <c r="G252" s="22"/>
      <c r="H252" s="22"/>
      <c r="I252" s="23"/>
    </row>
    <row r="253" spans="1:9" ht="13.8" x14ac:dyDescent="0.3">
      <c r="A253" s="22"/>
      <c r="B253" s="22"/>
      <c r="C253" s="22"/>
      <c r="D253" s="22"/>
      <c r="E253" s="22"/>
      <c r="F253" s="23"/>
      <c r="G253" s="22"/>
      <c r="H253" s="22"/>
      <c r="I253" s="23"/>
    </row>
    <row r="254" spans="1:9" ht="13.8" x14ac:dyDescent="0.3">
      <c r="A254" s="22"/>
      <c r="B254" s="22"/>
      <c r="C254" s="22"/>
      <c r="D254" s="22"/>
      <c r="E254" s="22"/>
      <c r="F254" s="23"/>
      <c r="G254" s="22"/>
      <c r="H254" s="22"/>
      <c r="I254" s="23"/>
    </row>
    <row r="255" spans="1:9" ht="13.8" x14ac:dyDescent="0.3">
      <c r="A255" s="22"/>
      <c r="B255" s="22"/>
      <c r="C255" s="22"/>
      <c r="D255" s="22"/>
      <c r="E255" s="22"/>
      <c r="F255" s="23"/>
      <c r="G255" s="22"/>
      <c r="H255" s="22"/>
      <c r="I255" s="23"/>
    </row>
    <row r="256" spans="1:9" ht="13.8" x14ac:dyDescent="0.3">
      <c r="A256" s="22"/>
      <c r="B256" s="22"/>
      <c r="C256" s="22"/>
      <c r="D256" s="22"/>
      <c r="E256" s="22"/>
      <c r="F256" s="23"/>
      <c r="G256" s="22"/>
      <c r="H256" s="22"/>
      <c r="I256" s="23"/>
    </row>
    <row r="257" spans="1:9" ht="13.8" x14ac:dyDescent="0.3">
      <c r="A257" s="22"/>
      <c r="B257" s="22"/>
      <c r="C257" s="22"/>
      <c r="D257" s="22"/>
      <c r="E257" s="22"/>
      <c r="F257" s="23"/>
      <c r="G257" s="22"/>
      <c r="H257" s="22"/>
      <c r="I257" s="23"/>
    </row>
    <row r="258" spans="1:9" ht="13.8" x14ac:dyDescent="0.3">
      <c r="A258" s="22"/>
      <c r="B258" s="22"/>
      <c r="C258" s="22"/>
      <c r="D258" s="22"/>
      <c r="E258" s="22"/>
      <c r="F258" s="23"/>
      <c r="G258" s="22"/>
      <c r="H258" s="22"/>
      <c r="I258" s="23"/>
    </row>
    <row r="259" spans="1:9" ht="13.8" x14ac:dyDescent="0.3">
      <c r="A259" s="22"/>
      <c r="B259" s="22"/>
      <c r="C259" s="22"/>
      <c r="D259" s="22"/>
      <c r="E259" s="22"/>
      <c r="F259" s="23"/>
      <c r="G259" s="22"/>
      <c r="H259" s="22"/>
      <c r="I259" s="23"/>
    </row>
    <row r="260" spans="1:9" ht="13.8" x14ac:dyDescent="0.3">
      <c r="A260" s="22"/>
      <c r="B260" s="22"/>
      <c r="C260" s="22"/>
      <c r="D260" s="22"/>
      <c r="E260" s="22"/>
      <c r="F260" s="23"/>
      <c r="G260" s="22"/>
      <c r="H260" s="22"/>
      <c r="I260" s="23"/>
    </row>
    <row r="261" spans="1:9" ht="13.8" x14ac:dyDescent="0.3">
      <c r="A261" s="22"/>
      <c r="B261" s="22"/>
      <c r="C261" s="22"/>
      <c r="D261" s="22"/>
      <c r="E261" s="22"/>
      <c r="F261" s="23"/>
      <c r="G261" s="22"/>
      <c r="H261" s="22"/>
      <c r="I261" s="23"/>
    </row>
    <row r="262" spans="1:9" ht="13.8" x14ac:dyDescent="0.3">
      <c r="A262" s="22"/>
      <c r="B262" s="22"/>
      <c r="C262" s="22"/>
      <c r="D262" s="22"/>
      <c r="E262" s="22"/>
      <c r="F262" s="23"/>
      <c r="G262" s="22"/>
      <c r="H262" s="22"/>
      <c r="I262" s="23"/>
    </row>
    <row r="263" spans="1:9" ht="13.8" x14ac:dyDescent="0.3">
      <c r="A263" s="22"/>
      <c r="B263" s="22"/>
      <c r="C263" s="22"/>
      <c r="D263" s="22"/>
      <c r="E263" s="22"/>
      <c r="F263" s="23"/>
      <c r="G263" s="22"/>
      <c r="H263" s="22"/>
      <c r="I263" s="23"/>
    </row>
    <row r="264" spans="1:9" ht="13.8" x14ac:dyDescent="0.3">
      <c r="A264" s="22"/>
      <c r="B264" s="22"/>
      <c r="C264" s="22"/>
      <c r="D264" s="22"/>
      <c r="E264" s="22"/>
      <c r="F264" s="23"/>
      <c r="G264" s="22"/>
      <c r="H264" s="22"/>
      <c r="I264" s="23"/>
    </row>
    <row r="265" spans="1:9" ht="13.8" x14ac:dyDescent="0.3">
      <c r="A265" s="22"/>
      <c r="B265" s="22"/>
      <c r="C265" s="22"/>
      <c r="D265" s="22"/>
      <c r="E265" s="22"/>
      <c r="F265" s="23"/>
      <c r="G265" s="22"/>
      <c r="H265" s="22"/>
      <c r="I265" s="23"/>
    </row>
    <row r="266" spans="1:9" ht="13.8" x14ac:dyDescent="0.3">
      <c r="A266" s="22"/>
      <c r="B266" s="22"/>
      <c r="C266" s="22"/>
      <c r="D266" s="22"/>
      <c r="E266" s="22"/>
      <c r="F266" s="23"/>
      <c r="G266" s="22"/>
      <c r="H266" s="22"/>
      <c r="I266" s="23"/>
    </row>
    <row r="267" spans="1:9" ht="13.8" x14ac:dyDescent="0.3">
      <c r="A267" s="22"/>
      <c r="B267" s="22"/>
      <c r="C267" s="22"/>
      <c r="D267" s="22"/>
      <c r="E267" s="22"/>
      <c r="F267" s="23"/>
      <c r="G267" s="22"/>
      <c r="H267" s="22"/>
      <c r="I267" s="23"/>
    </row>
    <row r="268" spans="1:9" ht="13.8" x14ac:dyDescent="0.3">
      <c r="A268" s="22"/>
      <c r="B268" s="22"/>
      <c r="C268" s="22"/>
      <c r="D268" s="22"/>
      <c r="E268" s="22"/>
      <c r="F268" s="23"/>
      <c r="G268" s="22"/>
      <c r="H268" s="22"/>
      <c r="I268" s="23"/>
    </row>
    <row r="269" spans="1:9" ht="13.8" x14ac:dyDescent="0.3">
      <c r="A269" s="22"/>
      <c r="B269" s="22"/>
      <c r="C269" s="22"/>
      <c r="D269" s="22"/>
      <c r="E269" s="22"/>
      <c r="F269" s="23"/>
      <c r="G269" s="22"/>
      <c r="H269" s="22"/>
      <c r="I269" s="23"/>
    </row>
    <row r="270" spans="1:9" ht="13.8" x14ac:dyDescent="0.3">
      <c r="A270" s="22"/>
      <c r="B270" s="22"/>
      <c r="C270" s="22"/>
      <c r="D270" s="22"/>
      <c r="E270" s="22"/>
      <c r="F270" s="23"/>
      <c r="G270" s="22"/>
      <c r="H270" s="22"/>
      <c r="I270" s="23"/>
    </row>
    <row r="271" spans="1:9" ht="13.8" x14ac:dyDescent="0.3">
      <c r="A271" s="22"/>
      <c r="B271" s="22"/>
      <c r="C271" s="22"/>
      <c r="D271" s="22"/>
      <c r="E271" s="22"/>
      <c r="F271" s="23"/>
      <c r="G271" s="22"/>
      <c r="H271" s="22"/>
      <c r="I271" s="23"/>
    </row>
    <row r="272" spans="1:9" ht="13.8" x14ac:dyDescent="0.3">
      <c r="A272" s="22"/>
      <c r="B272" s="22"/>
      <c r="C272" s="22"/>
      <c r="D272" s="22"/>
      <c r="E272" s="22"/>
      <c r="F272" s="23"/>
      <c r="G272" s="22"/>
      <c r="H272" s="22"/>
      <c r="I272" s="23"/>
    </row>
    <row r="273" spans="1:9" ht="13.8" x14ac:dyDescent="0.3">
      <c r="A273" s="22"/>
      <c r="B273" s="22"/>
      <c r="C273" s="22"/>
      <c r="D273" s="22"/>
      <c r="E273" s="22"/>
      <c r="F273" s="23"/>
      <c r="G273" s="22"/>
      <c r="H273" s="22"/>
      <c r="I273" s="23"/>
    </row>
    <row r="274" spans="1:9" ht="13.8" x14ac:dyDescent="0.3">
      <c r="A274" s="22"/>
      <c r="B274" s="22"/>
      <c r="C274" s="22"/>
      <c r="D274" s="22"/>
      <c r="E274" s="22"/>
      <c r="F274" s="23"/>
      <c r="G274" s="22"/>
      <c r="H274" s="22"/>
      <c r="I274" s="23"/>
    </row>
    <row r="275" spans="1:9" ht="13.8" x14ac:dyDescent="0.3">
      <c r="A275" s="22"/>
      <c r="B275" s="22"/>
      <c r="C275" s="22"/>
      <c r="D275" s="22"/>
      <c r="E275" s="22"/>
      <c r="F275" s="23"/>
      <c r="G275" s="22"/>
      <c r="H275" s="22"/>
      <c r="I275" s="23"/>
    </row>
    <row r="276" spans="1:9" ht="13.8" x14ac:dyDescent="0.3">
      <c r="A276" s="22"/>
      <c r="B276" s="22"/>
      <c r="C276" s="22"/>
      <c r="D276" s="22"/>
      <c r="E276" s="22"/>
      <c r="F276" s="23"/>
      <c r="G276" s="22"/>
      <c r="H276" s="22"/>
      <c r="I276" s="23"/>
    </row>
    <row r="277" spans="1:9" ht="13.8" x14ac:dyDescent="0.3">
      <c r="A277" s="22"/>
      <c r="B277" s="22"/>
      <c r="C277" s="22"/>
      <c r="D277" s="22"/>
      <c r="E277" s="22"/>
      <c r="F277" s="23"/>
      <c r="G277" s="22"/>
      <c r="H277" s="22"/>
      <c r="I277" s="23"/>
    </row>
    <row r="278" spans="1:9" ht="13.8" x14ac:dyDescent="0.3">
      <c r="A278" s="22"/>
      <c r="B278" s="22"/>
      <c r="C278" s="22"/>
      <c r="D278" s="22"/>
      <c r="E278" s="22"/>
      <c r="F278" s="23"/>
      <c r="G278" s="22"/>
      <c r="H278" s="22"/>
      <c r="I278" s="23"/>
    </row>
    <row r="279" spans="1:9" ht="13.8" x14ac:dyDescent="0.3">
      <c r="A279" s="22"/>
      <c r="B279" s="22"/>
      <c r="C279" s="22"/>
      <c r="D279" s="22"/>
      <c r="E279" s="22"/>
      <c r="F279" s="23"/>
      <c r="G279" s="22"/>
      <c r="H279" s="22"/>
      <c r="I279" s="23"/>
    </row>
    <row r="280" spans="1:9" ht="13.8" x14ac:dyDescent="0.3">
      <c r="A280" s="22"/>
      <c r="B280" s="22"/>
      <c r="C280" s="22"/>
      <c r="D280" s="22"/>
      <c r="E280" s="22"/>
      <c r="F280" s="23"/>
      <c r="G280" s="22"/>
      <c r="H280" s="22"/>
      <c r="I280" s="23"/>
    </row>
    <row r="281" spans="1:9" ht="13.8" x14ac:dyDescent="0.3">
      <c r="A281" s="22"/>
      <c r="B281" s="22"/>
      <c r="C281" s="22"/>
      <c r="D281" s="22"/>
      <c r="E281" s="22"/>
      <c r="F281" s="23"/>
      <c r="G281" s="22"/>
      <c r="H281" s="22"/>
      <c r="I281" s="23"/>
    </row>
    <row r="282" spans="1:9" ht="13.8" x14ac:dyDescent="0.3">
      <c r="A282" s="22"/>
      <c r="B282" s="22"/>
      <c r="C282" s="22"/>
      <c r="D282" s="22"/>
      <c r="E282" s="22"/>
      <c r="F282" s="23"/>
      <c r="G282" s="22"/>
      <c r="H282" s="22"/>
      <c r="I282" s="23"/>
    </row>
    <row r="283" spans="1:9" ht="13.8" x14ac:dyDescent="0.3">
      <c r="A283" s="22"/>
      <c r="B283" s="22"/>
      <c r="C283" s="22"/>
      <c r="D283" s="22"/>
      <c r="E283" s="22"/>
      <c r="F283" s="23"/>
      <c r="G283" s="22"/>
      <c r="H283" s="22"/>
      <c r="I283" s="23"/>
    </row>
    <row r="284" spans="1:9" ht="13.8" x14ac:dyDescent="0.3">
      <c r="A284" s="22"/>
      <c r="B284" s="22"/>
      <c r="C284" s="22"/>
      <c r="D284" s="22"/>
      <c r="E284" s="22"/>
      <c r="F284" s="23"/>
      <c r="G284" s="22"/>
      <c r="H284" s="22"/>
      <c r="I284" s="23"/>
    </row>
    <row r="285" spans="1:9" ht="13.8" x14ac:dyDescent="0.3">
      <c r="A285" s="22"/>
      <c r="B285" s="22"/>
      <c r="C285" s="22"/>
      <c r="D285" s="22"/>
      <c r="E285" s="22"/>
      <c r="F285" s="23"/>
      <c r="G285" s="22"/>
      <c r="H285" s="22"/>
      <c r="I285" s="23"/>
    </row>
    <row r="286" spans="1:9" ht="13.8" x14ac:dyDescent="0.3">
      <c r="A286" s="22"/>
      <c r="B286" s="22"/>
      <c r="C286" s="22"/>
      <c r="D286" s="22"/>
      <c r="E286" s="22"/>
      <c r="F286" s="23"/>
      <c r="G286" s="22"/>
      <c r="H286" s="22"/>
      <c r="I286" s="23"/>
    </row>
    <row r="287" spans="1:9" ht="13.8" x14ac:dyDescent="0.3">
      <c r="A287" s="22"/>
      <c r="B287" s="22"/>
      <c r="C287" s="22"/>
      <c r="D287" s="22"/>
      <c r="E287" s="22"/>
      <c r="F287" s="23"/>
      <c r="G287" s="22"/>
      <c r="H287" s="22"/>
      <c r="I287" s="23"/>
    </row>
    <row r="288" spans="1:9" ht="13.8" x14ac:dyDescent="0.3">
      <c r="A288" s="22"/>
      <c r="B288" s="22"/>
      <c r="C288" s="22"/>
      <c r="D288" s="22"/>
      <c r="E288" s="22"/>
      <c r="F288" s="23"/>
      <c r="G288" s="22"/>
      <c r="H288" s="22"/>
      <c r="I288" s="23"/>
    </row>
    <row r="289" spans="1:9" ht="13.8" x14ac:dyDescent="0.3">
      <c r="A289" s="22"/>
      <c r="B289" s="22"/>
      <c r="C289" s="22"/>
      <c r="D289" s="22"/>
      <c r="E289" s="22"/>
      <c r="F289" s="23"/>
      <c r="G289" s="22"/>
      <c r="H289" s="22"/>
      <c r="I289" s="23"/>
    </row>
    <row r="290" spans="1:9" ht="13.8" x14ac:dyDescent="0.3">
      <c r="A290" s="22"/>
      <c r="B290" s="22"/>
      <c r="C290" s="22"/>
      <c r="D290" s="22"/>
      <c r="E290" s="22"/>
      <c r="F290" s="23"/>
      <c r="G290" s="22"/>
      <c r="H290" s="22"/>
      <c r="I290" s="23"/>
    </row>
    <row r="291" spans="1:9" ht="13.8" x14ac:dyDescent="0.3">
      <c r="A291" s="22"/>
      <c r="B291" s="22"/>
      <c r="C291" s="22"/>
      <c r="D291" s="22"/>
      <c r="E291" s="22"/>
      <c r="F291" s="23"/>
      <c r="G291" s="22"/>
      <c r="H291" s="22"/>
      <c r="I291" s="23"/>
    </row>
    <row r="292" spans="1:9" ht="13.8" x14ac:dyDescent="0.3">
      <c r="A292" s="22"/>
      <c r="B292" s="22"/>
      <c r="C292" s="22"/>
      <c r="D292" s="22"/>
      <c r="E292" s="22"/>
      <c r="F292" s="23"/>
      <c r="G292" s="22"/>
      <c r="H292" s="22"/>
      <c r="I292" s="23"/>
    </row>
    <row r="293" spans="1:9" ht="13.8" x14ac:dyDescent="0.3">
      <c r="A293" s="22"/>
      <c r="B293" s="22"/>
      <c r="C293" s="22"/>
      <c r="D293" s="22"/>
      <c r="E293" s="22"/>
      <c r="F293" s="23"/>
      <c r="G293" s="22"/>
      <c r="H293" s="22"/>
      <c r="I293" s="23"/>
    </row>
    <row r="294" spans="1:9" ht="13.8" x14ac:dyDescent="0.3">
      <c r="A294" s="22"/>
      <c r="B294" s="22"/>
      <c r="C294" s="22"/>
      <c r="D294" s="22"/>
      <c r="E294" s="22"/>
      <c r="F294" s="23"/>
      <c r="G294" s="22"/>
      <c r="H294" s="22"/>
      <c r="I294" s="23"/>
    </row>
    <row r="295" spans="1:9" ht="13.8" x14ac:dyDescent="0.3">
      <c r="A295" s="22"/>
      <c r="B295" s="22"/>
      <c r="C295" s="22"/>
      <c r="D295" s="22"/>
      <c r="E295" s="22"/>
      <c r="F295" s="23"/>
      <c r="G295" s="22"/>
      <c r="H295" s="22"/>
      <c r="I295" s="23"/>
    </row>
    <row r="296" spans="1:9" ht="13.8" x14ac:dyDescent="0.3">
      <c r="A296" s="22"/>
      <c r="B296" s="22"/>
      <c r="C296" s="22"/>
      <c r="D296" s="22"/>
      <c r="E296" s="22"/>
      <c r="F296" s="23"/>
      <c r="G296" s="22"/>
      <c r="H296" s="22"/>
      <c r="I296" s="23"/>
    </row>
    <row r="297" spans="1:9" ht="13.8" x14ac:dyDescent="0.3">
      <c r="A297" s="22"/>
      <c r="B297" s="22"/>
      <c r="C297" s="22"/>
      <c r="D297" s="22"/>
      <c r="E297" s="22"/>
      <c r="F297" s="23"/>
      <c r="G297" s="22"/>
      <c r="H297" s="22"/>
      <c r="I297" s="23"/>
    </row>
    <row r="298" spans="1:9" ht="13.8" x14ac:dyDescent="0.3">
      <c r="A298" s="22"/>
      <c r="B298" s="22"/>
      <c r="C298" s="22"/>
      <c r="D298" s="22"/>
      <c r="E298" s="22"/>
      <c r="F298" s="23"/>
      <c r="G298" s="22"/>
      <c r="H298" s="22"/>
      <c r="I298" s="23"/>
    </row>
    <row r="299" spans="1:9" ht="13.8" x14ac:dyDescent="0.3">
      <c r="A299" s="22"/>
      <c r="B299" s="22"/>
      <c r="C299" s="22"/>
      <c r="D299" s="22"/>
      <c r="E299" s="22"/>
      <c r="F299" s="23"/>
      <c r="G299" s="22"/>
      <c r="H299" s="22"/>
      <c r="I299" s="23"/>
    </row>
    <row r="300" spans="1:9" ht="13.8" x14ac:dyDescent="0.3">
      <c r="A300" s="22"/>
      <c r="B300" s="22"/>
      <c r="C300" s="22"/>
      <c r="D300" s="22"/>
      <c r="E300" s="22"/>
      <c r="F300" s="23"/>
      <c r="G300" s="22"/>
      <c r="H300" s="22"/>
      <c r="I300" s="23"/>
    </row>
    <row r="301" spans="1:9" ht="13.8" x14ac:dyDescent="0.3">
      <c r="A301" s="22"/>
      <c r="B301" s="22"/>
      <c r="C301" s="22"/>
      <c r="D301" s="22"/>
      <c r="E301" s="22"/>
      <c r="F301" s="23"/>
      <c r="G301" s="22"/>
      <c r="H301" s="22"/>
      <c r="I301" s="23"/>
    </row>
    <row r="302" spans="1:9" ht="13.8" x14ac:dyDescent="0.3">
      <c r="A302" s="22"/>
      <c r="B302" s="22"/>
      <c r="C302" s="22"/>
      <c r="D302" s="22"/>
      <c r="E302" s="22"/>
      <c r="F302" s="23"/>
      <c r="G302" s="22"/>
      <c r="H302" s="22"/>
      <c r="I302" s="23"/>
    </row>
    <row r="303" spans="1:9" ht="13.8" x14ac:dyDescent="0.3">
      <c r="A303" s="22"/>
      <c r="B303" s="22"/>
      <c r="C303" s="22"/>
      <c r="D303" s="22"/>
      <c r="E303" s="22"/>
      <c r="F303" s="23"/>
      <c r="G303" s="22"/>
      <c r="H303" s="22"/>
      <c r="I303" s="23"/>
    </row>
    <row r="304" spans="1:9" ht="13.8" x14ac:dyDescent="0.3">
      <c r="A304" s="22"/>
      <c r="B304" s="22"/>
      <c r="C304" s="22"/>
      <c r="D304" s="22"/>
      <c r="E304" s="22"/>
      <c r="F304" s="23"/>
      <c r="G304" s="22"/>
      <c r="H304" s="22"/>
      <c r="I304" s="23"/>
    </row>
    <row r="305" spans="1:9" ht="13.8" x14ac:dyDescent="0.3">
      <c r="A305" s="22"/>
      <c r="B305" s="22"/>
      <c r="C305" s="22"/>
      <c r="D305" s="22"/>
      <c r="E305" s="22"/>
      <c r="F305" s="23"/>
      <c r="G305" s="22"/>
      <c r="H305" s="22"/>
      <c r="I305" s="23"/>
    </row>
    <row r="306" spans="1:9" ht="13.8" x14ac:dyDescent="0.3">
      <c r="A306" s="22"/>
      <c r="B306" s="22"/>
      <c r="C306" s="22"/>
      <c r="D306" s="22"/>
      <c r="E306" s="22"/>
      <c r="F306" s="23"/>
      <c r="G306" s="22"/>
      <c r="H306" s="22"/>
      <c r="I306" s="23"/>
    </row>
    <row r="307" spans="1:9" ht="13.8" x14ac:dyDescent="0.3">
      <c r="A307" s="22"/>
      <c r="B307" s="22"/>
      <c r="C307" s="22"/>
      <c r="D307" s="22"/>
      <c r="E307" s="22"/>
      <c r="F307" s="23"/>
      <c r="G307" s="22"/>
      <c r="H307" s="22"/>
      <c r="I307" s="23"/>
    </row>
    <row r="308" spans="1:9" ht="13.8" x14ac:dyDescent="0.3">
      <c r="A308" s="22"/>
      <c r="B308" s="22"/>
      <c r="C308" s="22"/>
      <c r="D308" s="22"/>
      <c r="E308" s="22"/>
      <c r="F308" s="23"/>
      <c r="G308" s="22"/>
      <c r="H308" s="22"/>
      <c r="I308" s="23"/>
    </row>
    <row r="309" spans="1:9" ht="13.8" x14ac:dyDescent="0.3">
      <c r="A309" s="22"/>
      <c r="B309" s="22"/>
      <c r="C309" s="22"/>
      <c r="D309" s="22"/>
      <c r="E309" s="22"/>
      <c r="F309" s="23"/>
      <c r="G309" s="22"/>
      <c r="H309" s="22"/>
      <c r="I309" s="23"/>
    </row>
    <row r="310" spans="1:9" ht="13.8" x14ac:dyDescent="0.3">
      <c r="A310" s="22"/>
      <c r="B310" s="22"/>
      <c r="C310" s="22"/>
      <c r="D310" s="22"/>
      <c r="E310" s="22"/>
      <c r="F310" s="23"/>
      <c r="G310" s="22"/>
      <c r="H310" s="22"/>
      <c r="I310" s="23"/>
    </row>
    <row r="311" spans="1:9" ht="13.8" x14ac:dyDescent="0.3">
      <c r="A311" s="22"/>
      <c r="B311" s="22"/>
      <c r="C311" s="22"/>
      <c r="D311" s="22"/>
      <c r="E311" s="22"/>
      <c r="F311" s="23"/>
      <c r="G311" s="22"/>
      <c r="H311" s="22"/>
      <c r="I311" s="23"/>
    </row>
    <row r="312" spans="1:9" ht="13.8" x14ac:dyDescent="0.3">
      <c r="A312" s="22"/>
      <c r="B312" s="22"/>
      <c r="C312" s="22"/>
      <c r="D312" s="22"/>
      <c r="E312" s="22"/>
      <c r="F312" s="23"/>
      <c r="G312" s="22"/>
      <c r="H312" s="22"/>
      <c r="I312" s="23"/>
    </row>
    <row r="313" spans="1:9" ht="13.8" x14ac:dyDescent="0.3">
      <c r="A313" s="22"/>
      <c r="B313" s="22"/>
      <c r="C313" s="22"/>
      <c r="D313" s="22"/>
      <c r="E313" s="22"/>
      <c r="F313" s="23"/>
      <c r="G313" s="22"/>
      <c r="H313" s="22"/>
      <c r="I313" s="23"/>
    </row>
    <row r="314" spans="1:9" ht="13.8" x14ac:dyDescent="0.3">
      <c r="A314" s="22"/>
      <c r="B314" s="22"/>
      <c r="C314" s="22"/>
      <c r="D314" s="22"/>
      <c r="E314" s="22"/>
      <c r="F314" s="23"/>
      <c r="G314" s="22"/>
      <c r="H314" s="22"/>
      <c r="I314" s="23"/>
    </row>
    <row r="315" spans="1:9" ht="13.8" x14ac:dyDescent="0.3">
      <c r="A315" s="22"/>
      <c r="B315" s="22"/>
      <c r="C315" s="22"/>
      <c r="D315" s="22"/>
      <c r="E315" s="22"/>
      <c r="F315" s="23"/>
      <c r="G315" s="22"/>
      <c r="H315" s="22"/>
      <c r="I315" s="23"/>
    </row>
    <row r="316" spans="1:9" ht="13.8" x14ac:dyDescent="0.3">
      <c r="A316" s="22"/>
      <c r="B316" s="22"/>
      <c r="C316" s="22"/>
      <c r="D316" s="22"/>
      <c r="E316" s="22"/>
      <c r="F316" s="23"/>
      <c r="G316" s="22"/>
      <c r="H316" s="22"/>
      <c r="I316" s="23"/>
    </row>
    <row r="317" spans="1:9" ht="13.8" x14ac:dyDescent="0.3">
      <c r="A317" s="22"/>
      <c r="B317" s="22"/>
      <c r="C317" s="22"/>
      <c r="D317" s="22"/>
      <c r="E317" s="22"/>
      <c r="F317" s="23"/>
      <c r="G317" s="22"/>
      <c r="H317" s="22"/>
      <c r="I317" s="23"/>
    </row>
    <row r="318" spans="1:9" ht="13.8" x14ac:dyDescent="0.3">
      <c r="A318" s="22"/>
      <c r="B318" s="22"/>
      <c r="C318" s="22"/>
      <c r="D318" s="22"/>
      <c r="E318" s="22"/>
      <c r="F318" s="23"/>
      <c r="G318" s="22"/>
      <c r="H318" s="22"/>
      <c r="I318" s="23"/>
    </row>
    <row r="319" spans="1:9" ht="13.8" x14ac:dyDescent="0.3">
      <c r="A319" s="22"/>
      <c r="B319" s="22"/>
      <c r="C319" s="22"/>
      <c r="D319" s="22"/>
      <c r="E319" s="22"/>
      <c r="F319" s="23"/>
      <c r="G319" s="22"/>
      <c r="H319" s="22"/>
      <c r="I319" s="23"/>
    </row>
    <row r="320" spans="1:9" ht="13.8" x14ac:dyDescent="0.3">
      <c r="A320" s="22"/>
      <c r="B320" s="22"/>
      <c r="C320" s="22"/>
      <c r="D320" s="22"/>
      <c r="E320" s="22"/>
      <c r="F320" s="23"/>
      <c r="G320" s="22"/>
      <c r="H320" s="22"/>
      <c r="I320" s="23"/>
    </row>
    <row r="321" spans="1:9" ht="13.8" x14ac:dyDescent="0.3">
      <c r="A321" s="22"/>
      <c r="B321" s="22"/>
      <c r="C321" s="22"/>
      <c r="D321" s="22"/>
      <c r="E321" s="22"/>
      <c r="F321" s="23"/>
      <c r="G321" s="22"/>
      <c r="H321" s="22"/>
      <c r="I321" s="23"/>
    </row>
    <row r="322" spans="1:9" ht="13.8" x14ac:dyDescent="0.3">
      <c r="A322" s="22"/>
      <c r="B322" s="22"/>
      <c r="C322" s="22"/>
      <c r="D322" s="22"/>
      <c r="E322" s="22"/>
      <c r="F322" s="23"/>
      <c r="G322" s="22"/>
      <c r="H322" s="22"/>
      <c r="I322" s="23"/>
    </row>
    <row r="323" spans="1:9" ht="13.8" x14ac:dyDescent="0.3">
      <c r="A323" s="22"/>
      <c r="B323" s="22"/>
      <c r="C323" s="22"/>
      <c r="D323" s="22"/>
      <c r="E323" s="22"/>
      <c r="F323" s="23"/>
      <c r="G323" s="22"/>
      <c r="H323" s="22"/>
      <c r="I323" s="23"/>
    </row>
    <row r="324" spans="1:9" ht="13.8" x14ac:dyDescent="0.3">
      <c r="A324" s="22"/>
      <c r="B324" s="22"/>
      <c r="C324" s="22"/>
      <c r="D324" s="22"/>
      <c r="E324" s="22"/>
      <c r="F324" s="23"/>
      <c r="G324" s="22"/>
      <c r="H324" s="22"/>
      <c r="I324" s="23"/>
    </row>
    <row r="325" spans="1:9" ht="13.8" x14ac:dyDescent="0.3">
      <c r="A325" s="22"/>
      <c r="B325" s="22"/>
      <c r="C325" s="22"/>
      <c r="D325" s="22"/>
      <c r="E325" s="22"/>
      <c r="F325" s="23"/>
      <c r="G325" s="22"/>
      <c r="H325" s="22"/>
      <c r="I325" s="23"/>
    </row>
    <row r="326" spans="1:9" ht="13.8" x14ac:dyDescent="0.3">
      <c r="A326" s="22"/>
      <c r="B326" s="22"/>
      <c r="C326" s="22"/>
      <c r="D326" s="22"/>
      <c r="E326" s="22"/>
      <c r="F326" s="23"/>
      <c r="G326" s="22"/>
      <c r="H326" s="22"/>
      <c r="I326" s="23"/>
    </row>
    <row r="327" spans="1:9" ht="13.8" x14ac:dyDescent="0.3">
      <c r="A327" s="22"/>
      <c r="B327" s="22"/>
      <c r="C327" s="22"/>
      <c r="D327" s="22"/>
      <c r="E327" s="22"/>
      <c r="F327" s="23"/>
      <c r="G327" s="22"/>
      <c r="H327" s="22"/>
      <c r="I327" s="23"/>
    </row>
    <row r="328" spans="1:9" ht="13.8" x14ac:dyDescent="0.3">
      <c r="A328" s="22"/>
      <c r="B328" s="22"/>
      <c r="C328" s="22"/>
      <c r="D328" s="22"/>
      <c r="E328" s="22"/>
      <c r="F328" s="23"/>
      <c r="G328" s="22"/>
      <c r="H328" s="22"/>
      <c r="I328" s="23"/>
    </row>
    <row r="329" spans="1:9" ht="13.8" x14ac:dyDescent="0.3">
      <c r="A329" s="22"/>
      <c r="B329" s="22"/>
      <c r="C329" s="22"/>
      <c r="D329" s="22"/>
      <c r="E329" s="22"/>
      <c r="F329" s="23"/>
      <c r="G329" s="22"/>
      <c r="H329" s="22"/>
      <c r="I329" s="23"/>
    </row>
    <row r="330" spans="1:9" ht="13.8" x14ac:dyDescent="0.3">
      <c r="A330" s="22"/>
      <c r="B330" s="22"/>
      <c r="C330" s="22"/>
      <c r="D330" s="22"/>
      <c r="E330" s="22"/>
      <c r="F330" s="23"/>
      <c r="G330" s="22"/>
      <c r="H330" s="22"/>
      <c r="I330" s="23"/>
    </row>
    <row r="331" spans="1:9" ht="13.8" x14ac:dyDescent="0.3">
      <c r="A331" s="22"/>
      <c r="B331" s="22"/>
      <c r="C331" s="22"/>
      <c r="D331" s="22"/>
      <c r="E331" s="22"/>
      <c r="F331" s="23"/>
      <c r="G331" s="22"/>
      <c r="H331" s="22"/>
      <c r="I331" s="23"/>
    </row>
    <row r="332" spans="1:9" ht="13.8" x14ac:dyDescent="0.3">
      <c r="A332" s="22"/>
      <c r="B332" s="22"/>
      <c r="C332" s="22"/>
      <c r="D332" s="22"/>
      <c r="E332" s="22"/>
      <c r="F332" s="23"/>
      <c r="G332" s="22"/>
      <c r="H332" s="22"/>
      <c r="I332" s="23"/>
    </row>
    <row r="333" spans="1:9" ht="13.8" x14ac:dyDescent="0.3">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41" priority="5" stopIfTrue="1" operator="lessThanOrEqual">
      <formula>-0.1</formula>
    </cfRule>
    <cfRule type="expression" dxfId="40" priority="6">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3"/>
  <sheetViews>
    <sheetView workbookViewId="0">
      <pane xSplit="2" ySplit="3" topLeftCell="C7" activePane="bottomRight" state="frozen"/>
      <selection pane="topRight" activeCell="A16" sqref="A16"/>
      <selection pane="bottomLeft" activeCell="A16" sqref="A16"/>
      <selection pane="bottomRight" activeCell="C7" sqref="C7"/>
    </sheetView>
  </sheetViews>
  <sheetFormatPr defaultRowHeight="13.2" x14ac:dyDescent="0.25"/>
  <cols>
    <col min="1" max="1" width="35.88671875" bestFit="1" customWidth="1"/>
    <col min="2" max="2" width="8.44140625" customWidth="1"/>
    <col min="3" max="3" width="11.6640625" customWidth="1"/>
    <col min="4" max="5" width="13.33203125" customWidth="1"/>
    <col min="6" max="6" width="13.33203125" style="1" customWidth="1"/>
    <col min="7" max="8" width="13.33203125" customWidth="1"/>
    <col min="9" max="9" width="13.33203125" style="1" customWidth="1"/>
  </cols>
  <sheetData>
    <row r="1" spans="1:9" ht="19.5" customHeight="1" x14ac:dyDescent="0.25">
      <c r="A1" s="75" t="str" cm="1">
        <f t="array" ref="A1">portfolio</f>
        <v>Tortoise</v>
      </c>
      <c r="B1" s="75"/>
      <c r="C1" s="75"/>
      <c r="D1" s="76" t="s">
        <v>16</v>
      </c>
      <c r="E1" s="76"/>
      <c r="F1" s="76"/>
      <c r="G1" s="74" t="s">
        <v>17</v>
      </c>
      <c r="H1" s="74"/>
      <c r="I1" s="74"/>
    </row>
    <row r="2" spans="1:9" ht="19.5" customHeight="1" x14ac:dyDescent="0.25">
      <c r="A2" s="77" t="s">
        <v>2</v>
      </c>
      <c r="B2" s="77"/>
      <c r="C2" s="6">
        <f>SUM(C4:C91)</f>
        <v>0</v>
      </c>
      <c r="D2" s="6">
        <f>SUM(D4:D91)</f>
        <v>0</v>
      </c>
      <c r="E2" s="6">
        <f>C2-D2</f>
        <v>0</v>
      </c>
      <c r="F2" s="7">
        <f>IFERROR(E2/D2, 0)</f>
        <v>0</v>
      </c>
      <c r="G2" s="6">
        <f>SUM(G4:G91)</f>
        <v>0</v>
      </c>
      <c r="H2" s="8">
        <f>C2-G2</f>
        <v>0</v>
      </c>
      <c r="I2" s="7">
        <f>IFERROR(H2/G2, 0)</f>
        <v>0</v>
      </c>
    </row>
    <row r="3" spans="1:9" ht="14.25" customHeight="1" x14ac:dyDescent="0.25">
      <c r="A3" s="9" t="s">
        <v>3</v>
      </c>
      <c r="B3" s="9" t="s">
        <v>4</v>
      </c>
      <c r="C3" s="24" t="s">
        <v>5</v>
      </c>
      <c r="D3" s="35" t="s">
        <v>6</v>
      </c>
      <c r="E3" s="35" t="s">
        <v>7</v>
      </c>
      <c r="F3" s="36" t="s">
        <v>8</v>
      </c>
      <c r="G3" s="37" t="s">
        <v>9</v>
      </c>
      <c r="H3" s="38" t="s">
        <v>7</v>
      </c>
      <c r="I3" s="39" t="s">
        <v>8</v>
      </c>
    </row>
    <row r="4" spans="1:9" ht="15.6" x14ac:dyDescent="0.25">
      <c r="A4" s="13" t="str" cm="1">
        <f t="array" ref="A4:A13">Sites[Site]</f>
        <v>Alamosa School District</v>
      </c>
      <c r="B4" s="10" t="str" cm="1">
        <f t="array" ref="B4:B13">Sites[State]</f>
        <v>CO</v>
      </c>
      <c r="C4" s="25">
        <f>SUM(Oct!C4, Nov!C4, Dec!C4)</f>
        <v>0</v>
      </c>
      <c r="D4" s="14">
        <f>SUM(Oct!D4, Nov!D4, Dec!D4)</f>
        <v>0</v>
      </c>
      <c r="E4" s="14">
        <f>IF(AND(ISNUMBER(C4),ISNUMBER(D4)), C4-D4, "")</f>
        <v>0</v>
      </c>
      <c r="F4" s="15" t="str">
        <f>IFERROR(E4/D4, "")</f>
        <v/>
      </c>
      <c r="G4" s="16">
        <f>SUM(Oct!G4,Nov!G4,Dec!G4)</f>
        <v>0</v>
      </c>
      <c r="H4" s="16">
        <f>SUM(Oct!H4, Nov!H4, Dec!H4)</f>
        <v>0</v>
      </c>
      <c r="I4" s="17" t="str">
        <f>IFERROR(H4/G4, "")</f>
        <v/>
      </c>
    </row>
    <row r="5" spans="1:9" ht="15.6" x14ac:dyDescent="0.25">
      <c r="A5" s="18" t="str">
        <v>San Luis Valley</v>
      </c>
      <c r="B5" s="11" t="str">
        <v>CO</v>
      </c>
      <c r="C5" s="12">
        <f>SUM(Oct!C5, Nov!C5, Dec!C5)</f>
        <v>0</v>
      </c>
      <c r="D5" s="19">
        <f>SUM(Oct!D5, Nov!D5, Dec!D5)</f>
        <v>0</v>
      </c>
      <c r="E5" s="19">
        <f t="shared" ref="E5:E6" si="0">IF(AND(ISNUMBER(C5),ISNUMBER(D5)), C5-D5, "")</f>
        <v>0</v>
      </c>
      <c r="F5" s="20" t="str">
        <f>IFERROR(E5/D5, "")</f>
        <v/>
      </c>
      <c r="G5" s="21">
        <f>SUM(Oct!G5,Nov!G5,Dec!G5)</f>
        <v>0</v>
      </c>
      <c r="H5" s="21">
        <f>SUM(Oct!H5, Nov!H5, Dec!H5)</f>
        <v>0</v>
      </c>
      <c r="I5" s="20" t="str">
        <f>IFERROR(H5/G5, "")</f>
        <v/>
      </c>
    </row>
    <row r="6" spans="1:9" ht="15.6" x14ac:dyDescent="0.25">
      <c r="A6" s="13" t="str">
        <v>Golden NREL 2</v>
      </c>
      <c r="B6" s="10" t="str">
        <v>CO</v>
      </c>
      <c r="C6" s="25">
        <f>SUM(Oct!C6, Nov!C6, Dec!C6)</f>
        <v>0</v>
      </c>
      <c r="D6" s="14">
        <f>SUM(Oct!D6, Nov!D6, Dec!D6)</f>
        <v>0</v>
      </c>
      <c r="E6" s="14">
        <f t="shared" si="0"/>
        <v>0</v>
      </c>
      <c r="F6" s="15" t="str">
        <f t="shared" ref="F6:F13" si="1">IFERROR(E6/D6, "")</f>
        <v/>
      </c>
      <c r="G6" s="16">
        <f>SUM(Oct!G6,Nov!G6,Dec!G6)</f>
        <v>0</v>
      </c>
      <c r="H6" s="16">
        <f>SUM(Oct!H6, Nov!H6, Dec!H6)</f>
        <v>0</v>
      </c>
      <c r="I6" s="17" t="str">
        <f t="shared" ref="I6:I13" si="2">IFERROR(H6/G6, "")</f>
        <v/>
      </c>
    </row>
    <row r="7" spans="1:9" ht="15.6" x14ac:dyDescent="0.25">
      <c r="A7" s="18" t="str">
        <v>Golden NREL Wind 3</v>
      </c>
      <c r="B7" s="11" t="str">
        <v>CO</v>
      </c>
      <c r="C7" s="12">
        <f>SUM(Oct!C7, Nov!C7, Dec!C7)</f>
        <v>0</v>
      </c>
      <c r="D7" s="19">
        <f>SUM(Oct!D7, Nov!D7, Dec!D7)</f>
        <v>0</v>
      </c>
      <c r="E7" s="19">
        <f t="shared" ref="E7:E13" si="3">IF(AND(ISNUMBER(C7),ISNUMBER(D7)), C7-D7, "")</f>
        <v>0</v>
      </c>
      <c r="F7" s="20" t="str">
        <f t="shared" si="1"/>
        <v/>
      </c>
      <c r="G7" s="21">
        <f>SUM(Oct!G7,Nov!G7,Dec!G7)</f>
        <v>0</v>
      </c>
      <c r="H7" s="21">
        <f>SUM(Oct!H7, Nov!H7, Dec!H7)</f>
        <v>0</v>
      </c>
      <c r="I7" s="20" t="str">
        <f t="shared" si="2"/>
        <v/>
      </c>
    </row>
    <row r="8" spans="1:9" ht="15.6" x14ac:dyDescent="0.25">
      <c r="A8" s="13" t="str">
        <v>Pratt Solar Farm</v>
      </c>
      <c r="B8" s="10" t="str">
        <v>KS</v>
      </c>
      <c r="C8" s="25">
        <f>SUM(Oct!C8, Nov!C8, Dec!C8)</f>
        <v>0</v>
      </c>
      <c r="D8" s="14">
        <f>SUM(Oct!D8, Nov!D8, Dec!D8)</f>
        <v>0</v>
      </c>
      <c r="E8" s="14">
        <f t="shared" si="3"/>
        <v>0</v>
      </c>
      <c r="F8" s="15" t="str">
        <f t="shared" si="1"/>
        <v/>
      </c>
      <c r="G8" s="16">
        <f>SUM(Oct!G8,Nov!G8,Dec!G8)</f>
        <v>0</v>
      </c>
      <c r="H8" s="16">
        <f>SUM(Oct!H8, Nov!H8, Dec!H8)</f>
        <v>0</v>
      </c>
      <c r="I8" s="17" t="str">
        <f t="shared" si="2"/>
        <v/>
      </c>
    </row>
    <row r="9" spans="1:9" ht="12.75" customHeight="1" x14ac:dyDescent="0.25">
      <c r="A9" s="18" t="str">
        <v>Rochester - 5516 Valleyhigh NW</v>
      </c>
      <c r="B9" s="11" t="str">
        <v>MN</v>
      </c>
      <c r="C9" s="12">
        <f>SUM(Oct!C9, Nov!C9, Dec!C9)</f>
        <v>0</v>
      </c>
      <c r="D9" s="19">
        <f>SUM(Oct!D9, Nov!D9, Dec!D9)</f>
        <v>0</v>
      </c>
      <c r="E9" s="19">
        <f t="shared" si="3"/>
        <v>0</v>
      </c>
      <c r="F9" s="20" t="str">
        <f t="shared" si="1"/>
        <v/>
      </c>
      <c r="G9" s="21">
        <f>SUM(Oct!G9,Nov!G9,Dec!G9)</f>
        <v>0</v>
      </c>
      <c r="H9" s="21">
        <f>SUM(Oct!H9, Nov!H9, Dec!H9)</f>
        <v>0</v>
      </c>
      <c r="I9" s="20" t="str">
        <f t="shared" si="2"/>
        <v/>
      </c>
    </row>
    <row r="10" spans="1:9" ht="15.6" x14ac:dyDescent="0.25">
      <c r="A10" s="13" t="str">
        <v>Warsaw - 2201 Richmond</v>
      </c>
      <c r="B10" s="10" t="str">
        <v>VA</v>
      </c>
      <c r="C10" s="25">
        <f>SUM(Oct!C10, Nov!C10, Dec!C10)</f>
        <v>0</v>
      </c>
      <c r="D10" s="14">
        <f>SUM(Oct!D10, Nov!D10, Dec!D10)</f>
        <v>0</v>
      </c>
      <c r="E10" s="14">
        <f t="shared" si="3"/>
        <v>0</v>
      </c>
      <c r="F10" s="15" t="str">
        <f t="shared" si="1"/>
        <v/>
      </c>
      <c r="G10" s="16">
        <f>SUM(Oct!G10,Nov!G10,Dec!G10)</f>
        <v>0</v>
      </c>
      <c r="H10" s="16">
        <f>SUM(Oct!H10, Nov!H10, Dec!H10)</f>
        <v>0</v>
      </c>
      <c r="I10" s="17" t="str">
        <f t="shared" si="2"/>
        <v/>
      </c>
    </row>
    <row r="11" spans="1:9" ht="15.6" x14ac:dyDescent="0.25">
      <c r="A11" s="18" t="str">
        <v>Mount Jackson - Randolf</v>
      </c>
      <c r="B11" s="11" t="str">
        <v>VA</v>
      </c>
      <c r="C11" s="12">
        <f>SUM(Oct!C11, Nov!C11, Dec!C11)</f>
        <v>0</v>
      </c>
      <c r="D11" s="19">
        <f>SUM(Oct!D11, Nov!D11, Dec!D11)</f>
        <v>0</v>
      </c>
      <c r="E11" s="19">
        <f t="shared" si="3"/>
        <v>0</v>
      </c>
      <c r="F11" s="20" t="str">
        <f t="shared" si="1"/>
        <v/>
      </c>
      <c r="G11" s="21">
        <f>SUM(Oct!G11,Nov!G11,Dec!G11)</f>
        <v>0</v>
      </c>
      <c r="H11" s="21">
        <f>SUM(Oct!H11, Nov!H11, Dec!H11)</f>
        <v>0</v>
      </c>
      <c r="I11" s="20" t="str">
        <f t="shared" si="2"/>
        <v/>
      </c>
    </row>
    <row r="12" spans="1:9" ht="15.6" x14ac:dyDescent="0.25">
      <c r="A12" s="13" t="str">
        <v>Callands Gretna - Monroe</v>
      </c>
      <c r="B12" s="10" t="str">
        <v>VA</v>
      </c>
      <c r="C12" s="25">
        <f>SUM(Oct!C12, Nov!C12, Dec!C12)</f>
        <v>0</v>
      </c>
      <c r="D12" s="14">
        <f>SUM(Oct!D12, Nov!D12, Dec!D12)</f>
        <v>0</v>
      </c>
      <c r="E12" s="14">
        <f t="shared" si="3"/>
        <v>0</v>
      </c>
      <c r="F12" s="15" t="str">
        <f t="shared" si="1"/>
        <v/>
      </c>
      <c r="G12" s="16">
        <f>SUM(Oct!G12,Nov!G12,Dec!G12)</f>
        <v>0</v>
      </c>
      <c r="H12" s="16">
        <f>SUM(Oct!H12, Nov!H12, Dec!H12)</f>
        <v>0</v>
      </c>
      <c r="I12" s="17" t="str">
        <f t="shared" si="2"/>
        <v/>
      </c>
    </row>
    <row r="13" spans="1:9" ht="15.6" x14ac:dyDescent="0.25">
      <c r="A13" s="18" t="str">
        <v>Rockbridge Baths - Small Mouth Bass</v>
      </c>
      <c r="B13" s="11" t="str">
        <v>VA</v>
      </c>
      <c r="C13" s="12">
        <f>SUM(Oct!C13, Nov!C13, Dec!C13)</f>
        <v>0</v>
      </c>
      <c r="D13" s="19">
        <f>SUM(Oct!D13, Nov!D13, Dec!D13)</f>
        <v>0</v>
      </c>
      <c r="E13" s="19">
        <f t="shared" si="3"/>
        <v>0</v>
      </c>
      <c r="F13" s="20" t="str">
        <f t="shared" si="1"/>
        <v/>
      </c>
      <c r="G13" s="21">
        <f>SUM(Oct!G13,Nov!G13,Dec!G13)</f>
        <v>0</v>
      </c>
      <c r="H13" s="21">
        <f>SUM(Oct!H13, Nov!H13, Dec!H13)</f>
        <v>0</v>
      </c>
      <c r="I13" s="20" t="str">
        <f t="shared" si="2"/>
        <v/>
      </c>
    </row>
    <row r="14" spans="1:9" ht="13.8" x14ac:dyDescent="0.3">
      <c r="A14" s="22"/>
      <c r="B14" s="22"/>
      <c r="C14" s="22"/>
      <c r="D14" s="22"/>
      <c r="E14" s="22"/>
      <c r="F14" s="22"/>
      <c r="G14" s="22"/>
      <c r="H14" s="22"/>
      <c r="I14" s="22"/>
    </row>
    <row r="15" spans="1:9" ht="13.8" x14ac:dyDescent="0.3">
      <c r="A15" s="22"/>
      <c r="B15" s="22"/>
      <c r="C15" s="22"/>
      <c r="D15" s="22"/>
      <c r="E15" s="22"/>
      <c r="F15" s="22"/>
      <c r="G15" s="22"/>
      <c r="H15" s="22"/>
      <c r="I15" s="22"/>
    </row>
    <row r="16" spans="1:9" ht="13.8" x14ac:dyDescent="0.3">
      <c r="A16" s="22"/>
      <c r="B16" s="22"/>
      <c r="C16" s="22"/>
      <c r="D16" s="22"/>
      <c r="E16" s="22"/>
      <c r="F16" s="22"/>
      <c r="G16" s="22"/>
      <c r="H16" s="22"/>
      <c r="I16" s="22"/>
    </row>
    <row r="17" spans="1:9" ht="13.8" x14ac:dyDescent="0.3">
      <c r="A17" s="22"/>
      <c r="B17" s="22"/>
      <c r="C17" s="22"/>
      <c r="D17" s="22"/>
      <c r="E17" s="22"/>
      <c r="F17" s="22"/>
      <c r="G17" s="22"/>
      <c r="H17" s="22"/>
      <c r="I17" s="22"/>
    </row>
    <row r="18" spans="1:9" ht="13.8" x14ac:dyDescent="0.3">
      <c r="A18" s="22"/>
      <c r="B18" s="22"/>
      <c r="C18" s="22"/>
      <c r="D18" s="22"/>
      <c r="E18" s="22"/>
      <c r="F18" s="22"/>
      <c r="G18" s="22"/>
      <c r="H18" s="22"/>
      <c r="I18" s="22"/>
    </row>
    <row r="19" spans="1:9" ht="13.8" x14ac:dyDescent="0.3">
      <c r="A19" s="22"/>
      <c r="B19" s="22"/>
      <c r="C19" s="22"/>
      <c r="D19" s="22"/>
      <c r="E19" s="22"/>
      <c r="F19" s="22"/>
      <c r="G19" s="22"/>
      <c r="H19" s="22"/>
      <c r="I19" s="22"/>
    </row>
    <row r="20" spans="1:9" ht="13.8" x14ac:dyDescent="0.3">
      <c r="A20" s="22"/>
      <c r="B20" s="22"/>
      <c r="C20" s="22"/>
      <c r="D20" s="22"/>
      <c r="E20" s="22"/>
      <c r="F20" s="22"/>
      <c r="G20" s="22"/>
      <c r="H20" s="22"/>
      <c r="I20" s="22"/>
    </row>
    <row r="21" spans="1:9" ht="13.8" x14ac:dyDescent="0.3">
      <c r="A21" s="22"/>
      <c r="B21" s="22"/>
      <c r="C21" s="22"/>
      <c r="D21" s="22"/>
      <c r="E21" s="22"/>
      <c r="F21" s="22"/>
      <c r="G21" s="22"/>
      <c r="H21" s="22"/>
      <c r="I21" s="22"/>
    </row>
    <row r="22" spans="1:9" ht="13.8" x14ac:dyDescent="0.3">
      <c r="A22" s="22"/>
      <c r="B22" s="22"/>
      <c r="C22" s="22"/>
      <c r="D22" s="22"/>
      <c r="E22" s="22"/>
      <c r="F22" s="22"/>
      <c r="G22" s="22"/>
      <c r="H22" s="22"/>
      <c r="I22" s="22"/>
    </row>
    <row r="23" spans="1:9" ht="13.8" x14ac:dyDescent="0.3">
      <c r="A23" s="22"/>
      <c r="B23" s="22"/>
      <c r="C23" s="22"/>
      <c r="D23" s="22"/>
      <c r="E23" s="22"/>
      <c r="F23" s="22"/>
      <c r="G23" s="22"/>
      <c r="H23" s="22"/>
      <c r="I23" s="22"/>
    </row>
    <row r="24" spans="1:9" ht="13.8" x14ac:dyDescent="0.3">
      <c r="A24" s="22"/>
      <c r="B24" s="22"/>
      <c r="C24" s="22"/>
      <c r="D24" s="22"/>
      <c r="E24" s="22"/>
      <c r="F24" s="23"/>
      <c r="G24" s="22"/>
      <c r="H24" s="22"/>
      <c r="I24" s="23"/>
    </row>
    <row r="25" spans="1:9" ht="13.8" x14ac:dyDescent="0.3">
      <c r="A25" s="22"/>
      <c r="B25" s="22"/>
      <c r="C25" s="22"/>
      <c r="D25" s="22"/>
      <c r="E25" s="22"/>
      <c r="F25" s="23"/>
      <c r="G25" s="22"/>
      <c r="H25" s="22"/>
      <c r="I25" s="23"/>
    </row>
    <row r="26" spans="1:9" ht="13.8" x14ac:dyDescent="0.3">
      <c r="A26" s="22"/>
      <c r="B26" s="22"/>
      <c r="C26" s="22"/>
      <c r="D26" s="22"/>
      <c r="E26" s="22"/>
      <c r="F26" s="23"/>
      <c r="G26" s="22"/>
      <c r="H26" s="22"/>
      <c r="I26" s="23"/>
    </row>
    <row r="27" spans="1:9" ht="13.8" x14ac:dyDescent="0.3">
      <c r="A27" s="22"/>
      <c r="B27" s="22"/>
      <c r="C27" s="22"/>
      <c r="D27" s="22"/>
      <c r="E27" s="22"/>
      <c r="F27" s="23"/>
      <c r="G27" s="22"/>
      <c r="H27" s="22"/>
      <c r="I27" s="23"/>
    </row>
    <row r="28" spans="1:9" ht="13.8" x14ac:dyDescent="0.3">
      <c r="A28" s="22"/>
      <c r="B28" s="22"/>
      <c r="C28" s="22"/>
      <c r="D28" s="22"/>
      <c r="E28" s="22"/>
      <c r="F28" s="23"/>
      <c r="G28" s="22"/>
      <c r="H28" s="22"/>
      <c r="I28" s="23"/>
    </row>
    <row r="29" spans="1:9" ht="13.8" x14ac:dyDescent="0.3">
      <c r="A29" s="22"/>
      <c r="B29" s="22"/>
      <c r="C29" s="22"/>
      <c r="D29" s="22"/>
      <c r="E29" s="22"/>
      <c r="F29" s="23"/>
      <c r="G29" s="22"/>
      <c r="H29" s="22"/>
      <c r="I29" s="23"/>
    </row>
    <row r="30" spans="1:9" ht="13.8" x14ac:dyDescent="0.3">
      <c r="A30" s="22"/>
      <c r="B30" s="22"/>
      <c r="C30" s="22"/>
      <c r="D30" s="22"/>
      <c r="E30" s="22"/>
      <c r="F30" s="23"/>
      <c r="G30" s="22"/>
      <c r="H30" s="22"/>
      <c r="I30" s="23"/>
    </row>
    <row r="31" spans="1:9" ht="13.8" x14ac:dyDescent="0.3">
      <c r="A31" s="22"/>
      <c r="B31" s="22"/>
      <c r="C31" s="22"/>
      <c r="D31" s="22"/>
      <c r="E31" s="22"/>
      <c r="F31" s="23"/>
      <c r="G31" s="22"/>
      <c r="H31" s="22"/>
      <c r="I31" s="23"/>
    </row>
    <row r="32" spans="1:9" ht="13.8" x14ac:dyDescent="0.3">
      <c r="A32" s="22"/>
      <c r="B32" s="22"/>
      <c r="C32" s="22"/>
      <c r="D32" s="22"/>
      <c r="E32" s="22"/>
      <c r="F32" s="23"/>
      <c r="G32" s="22"/>
      <c r="H32" s="22"/>
      <c r="I32" s="23"/>
    </row>
    <row r="33" spans="1:9" ht="13.8" x14ac:dyDescent="0.3">
      <c r="A33" s="22"/>
      <c r="B33" s="22"/>
      <c r="C33" s="22"/>
      <c r="D33" s="22"/>
      <c r="E33" s="22"/>
      <c r="F33" s="23"/>
      <c r="G33" s="22"/>
      <c r="H33" s="22"/>
      <c r="I33" s="23"/>
    </row>
    <row r="34" spans="1:9" ht="13.8" x14ac:dyDescent="0.3">
      <c r="A34" s="22"/>
      <c r="B34" s="22"/>
      <c r="C34" s="22"/>
      <c r="D34" s="22"/>
      <c r="E34" s="22"/>
      <c r="F34" s="23"/>
      <c r="G34" s="22"/>
      <c r="H34" s="22"/>
      <c r="I34" s="23"/>
    </row>
    <row r="35" spans="1:9" ht="13.8" x14ac:dyDescent="0.3">
      <c r="A35" s="22"/>
      <c r="B35" s="22"/>
      <c r="C35" s="22"/>
      <c r="D35" s="22"/>
      <c r="E35" s="22"/>
      <c r="F35" s="23"/>
      <c r="G35" s="22"/>
      <c r="H35" s="22"/>
      <c r="I35" s="23"/>
    </row>
    <row r="36" spans="1:9" ht="13.8" x14ac:dyDescent="0.3">
      <c r="A36" s="22"/>
      <c r="B36" s="22"/>
      <c r="C36" s="22"/>
      <c r="D36" s="22"/>
      <c r="E36" s="22"/>
      <c r="F36" s="23"/>
      <c r="G36" s="22"/>
      <c r="H36" s="22"/>
      <c r="I36" s="23"/>
    </row>
    <row r="37" spans="1:9" ht="13.8" x14ac:dyDescent="0.3">
      <c r="A37" s="22"/>
      <c r="B37" s="22"/>
      <c r="C37" s="22"/>
      <c r="D37" s="22"/>
      <c r="E37" s="22"/>
      <c r="F37" s="23"/>
      <c r="G37" s="22"/>
      <c r="H37" s="22"/>
      <c r="I37" s="23"/>
    </row>
    <row r="38" spans="1:9" ht="13.8" x14ac:dyDescent="0.3">
      <c r="A38" s="22"/>
      <c r="B38" s="22"/>
      <c r="C38" s="22"/>
      <c r="D38" s="22"/>
      <c r="E38" s="22"/>
      <c r="F38" s="23"/>
      <c r="G38" s="22"/>
      <c r="H38" s="22"/>
      <c r="I38" s="23"/>
    </row>
    <row r="39" spans="1:9" ht="13.8" x14ac:dyDescent="0.3">
      <c r="A39" s="22"/>
      <c r="B39" s="22"/>
      <c r="C39" s="22"/>
      <c r="D39" s="22"/>
      <c r="E39" s="22"/>
      <c r="F39" s="23"/>
      <c r="G39" s="22"/>
      <c r="H39" s="22"/>
      <c r="I39" s="23"/>
    </row>
    <row r="40" spans="1:9" ht="13.8" x14ac:dyDescent="0.3">
      <c r="A40" s="22"/>
      <c r="B40" s="22"/>
      <c r="C40" s="22"/>
      <c r="D40" s="22"/>
      <c r="E40" s="22"/>
      <c r="F40" s="23"/>
      <c r="G40" s="22"/>
      <c r="H40" s="22"/>
      <c r="I40" s="23"/>
    </row>
    <row r="41" spans="1:9" ht="13.8" x14ac:dyDescent="0.3">
      <c r="A41" s="22"/>
      <c r="B41" s="22"/>
      <c r="C41" s="22"/>
      <c r="D41" s="22"/>
      <c r="E41" s="22"/>
      <c r="F41" s="23"/>
      <c r="G41" s="22"/>
      <c r="H41" s="22"/>
      <c r="I41" s="23"/>
    </row>
    <row r="42" spans="1:9" ht="13.8" x14ac:dyDescent="0.3">
      <c r="A42" s="22"/>
      <c r="B42" s="22"/>
      <c r="C42" s="22"/>
      <c r="D42" s="22"/>
      <c r="E42" s="22"/>
      <c r="F42" s="23"/>
      <c r="G42" s="22"/>
      <c r="H42" s="22"/>
      <c r="I42" s="23"/>
    </row>
    <row r="43" spans="1:9" ht="13.8" x14ac:dyDescent="0.3">
      <c r="A43" s="22"/>
      <c r="B43" s="22"/>
      <c r="C43" s="22"/>
      <c r="D43" s="22"/>
      <c r="E43" s="22"/>
      <c r="F43" s="23"/>
      <c r="G43" s="22"/>
      <c r="H43" s="22"/>
      <c r="I43" s="23"/>
    </row>
    <row r="44" spans="1:9" ht="13.8" x14ac:dyDescent="0.3">
      <c r="A44" s="22"/>
      <c r="B44" s="22"/>
      <c r="C44" s="22"/>
      <c r="D44" s="22"/>
      <c r="E44" s="22"/>
      <c r="F44" s="23"/>
      <c r="G44" s="22"/>
      <c r="H44" s="22"/>
      <c r="I44" s="23"/>
    </row>
    <row r="45" spans="1:9" ht="13.8" x14ac:dyDescent="0.3">
      <c r="A45" s="22"/>
      <c r="B45" s="22"/>
      <c r="C45" s="22"/>
      <c r="D45" s="22"/>
      <c r="E45" s="22"/>
      <c r="F45" s="23"/>
      <c r="G45" s="22"/>
      <c r="H45" s="22"/>
      <c r="I45" s="23"/>
    </row>
    <row r="46" spans="1:9" ht="13.8" x14ac:dyDescent="0.3">
      <c r="A46" s="22"/>
      <c r="B46" s="22"/>
      <c r="C46" s="22"/>
      <c r="D46" s="22"/>
      <c r="E46" s="22"/>
      <c r="F46" s="23"/>
      <c r="G46" s="22"/>
      <c r="H46" s="22"/>
      <c r="I46" s="23"/>
    </row>
    <row r="47" spans="1:9" ht="13.8" x14ac:dyDescent="0.3">
      <c r="A47" s="22"/>
      <c r="B47" s="22"/>
      <c r="C47" s="22"/>
      <c r="D47" s="22"/>
      <c r="E47" s="22"/>
      <c r="F47" s="23"/>
      <c r="G47" s="22"/>
      <c r="H47" s="22"/>
      <c r="I47" s="23"/>
    </row>
    <row r="48" spans="1:9" ht="13.8" x14ac:dyDescent="0.3">
      <c r="A48" s="22"/>
      <c r="B48" s="22"/>
      <c r="C48" s="22"/>
      <c r="D48" s="22"/>
      <c r="E48" s="22"/>
      <c r="F48" s="23"/>
      <c r="G48" s="22"/>
      <c r="H48" s="22"/>
      <c r="I48" s="23"/>
    </row>
    <row r="49" spans="1:9" ht="13.8" x14ac:dyDescent="0.3">
      <c r="A49" s="22"/>
      <c r="B49" s="22"/>
      <c r="C49" s="22"/>
      <c r="D49" s="22"/>
      <c r="E49" s="22"/>
      <c r="F49" s="23"/>
      <c r="G49" s="22"/>
      <c r="H49" s="22"/>
      <c r="I49" s="23"/>
    </row>
    <row r="50" spans="1:9" ht="13.8" x14ac:dyDescent="0.3">
      <c r="A50" s="22"/>
      <c r="B50" s="22"/>
      <c r="C50" s="22"/>
      <c r="D50" s="22"/>
      <c r="E50" s="22"/>
      <c r="F50" s="23"/>
      <c r="G50" s="22"/>
      <c r="H50" s="22"/>
      <c r="I50" s="23"/>
    </row>
    <row r="51" spans="1:9" ht="13.8" x14ac:dyDescent="0.3">
      <c r="A51" s="22"/>
      <c r="B51" s="22"/>
      <c r="C51" s="22"/>
      <c r="D51" s="22"/>
      <c r="E51" s="22"/>
      <c r="F51" s="23"/>
      <c r="G51" s="22"/>
      <c r="H51" s="22"/>
      <c r="I51" s="23"/>
    </row>
    <row r="52" spans="1:9" ht="13.8" x14ac:dyDescent="0.3">
      <c r="A52" s="22"/>
      <c r="B52" s="22"/>
      <c r="C52" s="22"/>
      <c r="D52" s="22"/>
      <c r="E52" s="22"/>
      <c r="F52" s="23"/>
      <c r="G52" s="22"/>
      <c r="H52" s="22"/>
      <c r="I52" s="23"/>
    </row>
    <row r="53" spans="1:9" ht="13.8" x14ac:dyDescent="0.3">
      <c r="A53" s="22"/>
      <c r="B53" s="22"/>
      <c r="C53" s="22"/>
      <c r="D53" s="22"/>
      <c r="E53" s="22"/>
      <c r="F53" s="23"/>
      <c r="G53" s="22"/>
      <c r="H53" s="22"/>
      <c r="I53" s="23"/>
    </row>
    <row r="54" spans="1:9" ht="13.8" x14ac:dyDescent="0.3">
      <c r="A54" s="22"/>
      <c r="B54" s="22"/>
      <c r="C54" s="22"/>
      <c r="D54" s="22"/>
      <c r="E54" s="22"/>
      <c r="F54" s="23"/>
      <c r="G54" s="22"/>
      <c r="H54" s="22"/>
      <c r="I54" s="23"/>
    </row>
    <row r="55" spans="1:9" ht="13.8" x14ac:dyDescent="0.3">
      <c r="A55" s="22"/>
      <c r="B55" s="22"/>
      <c r="C55" s="22"/>
      <c r="D55" s="22"/>
      <c r="E55" s="22"/>
      <c r="F55" s="23"/>
      <c r="G55" s="22"/>
      <c r="H55" s="22"/>
      <c r="I55" s="23"/>
    </row>
    <row r="56" spans="1:9" ht="13.8" x14ac:dyDescent="0.3">
      <c r="A56" s="22"/>
      <c r="B56" s="22"/>
      <c r="C56" s="22"/>
      <c r="D56" s="22"/>
      <c r="E56" s="22"/>
      <c r="F56" s="23"/>
      <c r="G56" s="22"/>
      <c r="H56" s="22"/>
      <c r="I56" s="23"/>
    </row>
    <row r="57" spans="1:9" ht="13.8" x14ac:dyDescent="0.3">
      <c r="A57" s="22"/>
      <c r="B57" s="22"/>
      <c r="C57" s="22"/>
      <c r="D57" s="22"/>
      <c r="E57" s="22"/>
      <c r="F57" s="23"/>
      <c r="G57" s="22"/>
      <c r="H57" s="22"/>
      <c r="I57" s="23"/>
    </row>
    <row r="58" spans="1:9" ht="13.8" x14ac:dyDescent="0.3">
      <c r="A58" s="22"/>
      <c r="B58" s="22"/>
      <c r="C58" s="22"/>
      <c r="D58" s="22"/>
      <c r="E58" s="22"/>
      <c r="F58" s="23"/>
      <c r="G58" s="22"/>
      <c r="H58" s="22"/>
      <c r="I58" s="23"/>
    </row>
    <row r="59" spans="1:9" ht="13.8" x14ac:dyDescent="0.3">
      <c r="A59" s="22"/>
      <c r="B59" s="22"/>
      <c r="C59" s="22"/>
      <c r="D59" s="22"/>
      <c r="E59" s="22"/>
      <c r="F59" s="23"/>
      <c r="G59" s="22"/>
      <c r="H59" s="22"/>
      <c r="I59" s="23"/>
    </row>
    <row r="60" spans="1:9" ht="13.8" x14ac:dyDescent="0.3">
      <c r="A60" s="22"/>
      <c r="B60" s="22"/>
      <c r="C60" s="22"/>
      <c r="D60" s="22"/>
      <c r="E60" s="22"/>
      <c r="F60" s="23"/>
      <c r="G60" s="22"/>
      <c r="H60" s="22"/>
      <c r="I60" s="23"/>
    </row>
    <row r="61" spans="1:9" ht="13.8" x14ac:dyDescent="0.3">
      <c r="A61" s="22"/>
      <c r="B61" s="22"/>
      <c r="C61" s="22"/>
      <c r="D61" s="22"/>
      <c r="E61" s="22"/>
      <c r="F61" s="23"/>
      <c r="G61" s="22"/>
      <c r="H61" s="22"/>
      <c r="I61" s="23"/>
    </row>
    <row r="62" spans="1:9" ht="13.8" x14ac:dyDescent="0.3">
      <c r="A62" s="22"/>
      <c r="B62" s="22"/>
      <c r="C62" s="22"/>
      <c r="D62" s="22"/>
      <c r="E62" s="22"/>
      <c r="F62" s="23"/>
      <c r="G62" s="22"/>
      <c r="H62" s="22"/>
      <c r="I62" s="23"/>
    </row>
    <row r="63" spans="1:9" ht="13.8" x14ac:dyDescent="0.3">
      <c r="A63" s="22"/>
      <c r="B63" s="22"/>
      <c r="C63" s="22"/>
      <c r="D63" s="22"/>
      <c r="E63" s="22"/>
      <c r="F63" s="23"/>
      <c r="G63" s="22"/>
      <c r="H63" s="22"/>
      <c r="I63" s="23"/>
    </row>
    <row r="64" spans="1:9" ht="13.8" x14ac:dyDescent="0.3">
      <c r="A64" s="22"/>
      <c r="B64" s="22"/>
      <c r="C64" s="22"/>
      <c r="D64" s="22"/>
      <c r="E64" s="22"/>
      <c r="F64" s="23"/>
      <c r="G64" s="22"/>
      <c r="H64" s="22"/>
      <c r="I64" s="23"/>
    </row>
    <row r="65" spans="1:9" ht="13.8" x14ac:dyDescent="0.3">
      <c r="A65" s="22"/>
      <c r="B65" s="22"/>
      <c r="C65" s="22"/>
      <c r="D65" s="22"/>
      <c r="E65" s="22"/>
      <c r="F65" s="23"/>
      <c r="G65" s="22"/>
      <c r="H65" s="22"/>
      <c r="I65" s="23"/>
    </row>
    <row r="66" spans="1:9" ht="13.8" x14ac:dyDescent="0.3">
      <c r="A66" s="22"/>
      <c r="B66" s="22"/>
      <c r="C66" s="22"/>
      <c r="D66" s="22"/>
      <c r="E66" s="22"/>
      <c r="F66" s="23"/>
      <c r="G66" s="22"/>
      <c r="H66" s="22"/>
      <c r="I66" s="23"/>
    </row>
    <row r="67" spans="1:9" ht="13.8" x14ac:dyDescent="0.3">
      <c r="A67" s="22"/>
      <c r="B67" s="22"/>
      <c r="C67" s="22"/>
      <c r="D67" s="22"/>
      <c r="E67" s="22"/>
      <c r="F67" s="23"/>
      <c r="G67" s="22"/>
      <c r="H67" s="22"/>
      <c r="I67" s="23"/>
    </row>
    <row r="68" spans="1:9" ht="13.8" x14ac:dyDescent="0.3">
      <c r="A68" s="22"/>
      <c r="B68" s="22"/>
      <c r="C68" s="22"/>
      <c r="D68" s="22"/>
      <c r="E68" s="22"/>
      <c r="F68" s="23"/>
      <c r="G68" s="22"/>
      <c r="H68" s="22"/>
      <c r="I68" s="23"/>
    </row>
    <row r="69" spans="1:9" ht="13.8" x14ac:dyDescent="0.3">
      <c r="A69" s="22"/>
      <c r="B69" s="22"/>
      <c r="C69" s="22"/>
      <c r="D69" s="22"/>
      <c r="E69" s="22"/>
      <c r="F69" s="23"/>
      <c r="G69" s="22"/>
      <c r="H69" s="22"/>
      <c r="I69" s="23"/>
    </row>
    <row r="70" spans="1:9" ht="13.8" x14ac:dyDescent="0.3">
      <c r="A70" s="22"/>
      <c r="B70" s="22"/>
      <c r="C70" s="22"/>
      <c r="D70" s="22"/>
      <c r="E70" s="22"/>
      <c r="F70" s="23"/>
      <c r="G70" s="22"/>
      <c r="H70" s="22"/>
      <c r="I70" s="23"/>
    </row>
    <row r="71" spans="1:9" ht="13.8" x14ac:dyDescent="0.3">
      <c r="A71" s="22"/>
      <c r="B71" s="22"/>
      <c r="C71" s="22"/>
      <c r="D71" s="22"/>
      <c r="E71" s="22"/>
      <c r="F71" s="23"/>
      <c r="G71" s="22"/>
      <c r="H71" s="22"/>
      <c r="I71" s="23"/>
    </row>
    <row r="72" spans="1:9" ht="13.8" x14ac:dyDescent="0.3">
      <c r="A72" s="22"/>
      <c r="B72" s="22"/>
      <c r="C72" s="22"/>
      <c r="D72" s="22"/>
      <c r="E72" s="22"/>
      <c r="F72" s="23"/>
      <c r="G72" s="22"/>
      <c r="H72" s="22"/>
      <c r="I72" s="23"/>
    </row>
    <row r="73" spans="1:9" ht="13.8" x14ac:dyDescent="0.3">
      <c r="A73" s="22"/>
      <c r="B73" s="22"/>
      <c r="C73" s="22"/>
      <c r="D73" s="22"/>
      <c r="E73" s="22"/>
      <c r="F73" s="23"/>
      <c r="G73" s="22"/>
      <c r="H73" s="22"/>
      <c r="I73" s="23"/>
    </row>
    <row r="74" spans="1:9" ht="13.8" x14ac:dyDescent="0.3">
      <c r="A74" s="22"/>
      <c r="B74" s="22"/>
      <c r="C74" s="22"/>
      <c r="D74" s="22"/>
      <c r="E74" s="22"/>
      <c r="F74" s="23"/>
      <c r="G74" s="22"/>
      <c r="H74" s="22"/>
      <c r="I74" s="23"/>
    </row>
    <row r="75" spans="1:9" ht="13.8" x14ac:dyDescent="0.3">
      <c r="A75" s="22"/>
      <c r="B75" s="22"/>
      <c r="C75" s="22"/>
      <c r="D75" s="22"/>
      <c r="E75" s="22"/>
      <c r="F75" s="23"/>
      <c r="G75" s="22"/>
      <c r="H75" s="22"/>
      <c r="I75" s="23"/>
    </row>
    <row r="76" spans="1:9" ht="13.8" x14ac:dyDescent="0.3">
      <c r="A76" s="22"/>
      <c r="B76" s="22"/>
      <c r="C76" s="22"/>
      <c r="D76" s="22"/>
      <c r="E76" s="22"/>
      <c r="F76" s="23"/>
      <c r="G76" s="22"/>
      <c r="H76" s="22"/>
      <c r="I76" s="23"/>
    </row>
    <row r="77" spans="1:9" ht="13.8" x14ac:dyDescent="0.3">
      <c r="A77" s="22"/>
      <c r="B77" s="22"/>
      <c r="C77" s="22"/>
      <c r="D77" s="22"/>
      <c r="E77" s="22"/>
      <c r="F77" s="23"/>
      <c r="G77" s="22"/>
      <c r="H77" s="22"/>
      <c r="I77" s="23"/>
    </row>
    <row r="78" spans="1:9" ht="13.8" x14ac:dyDescent="0.3">
      <c r="A78" s="22"/>
      <c r="B78" s="22"/>
      <c r="C78" s="22"/>
      <c r="D78" s="22"/>
      <c r="E78" s="22"/>
      <c r="F78" s="23"/>
      <c r="G78" s="22"/>
      <c r="H78" s="22"/>
      <c r="I78" s="23"/>
    </row>
    <row r="79" spans="1:9" ht="13.8" x14ac:dyDescent="0.3">
      <c r="A79" s="22"/>
      <c r="B79" s="22"/>
      <c r="C79" s="22"/>
      <c r="D79" s="22"/>
      <c r="E79" s="22"/>
      <c r="F79" s="23"/>
      <c r="G79" s="22"/>
      <c r="H79" s="22"/>
      <c r="I79" s="23"/>
    </row>
    <row r="80" spans="1:9" ht="13.8" x14ac:dyDescent="0.3">
      <c r="A80" s="22"/>
      <c r="B80" s="22"/>
      <c r="C80" s="22"/>
      <c r="D80" s="22"/>
      <c r="E80" s="22"/>
      <c r="F80" s="23"/>
      <c r="G80" s="22"/>
      <c r="H80" s="22"/>
      <c r="I80" s="23"/>
    </row>
    <row r="81" spans="1:9" ht="13.8" x14ac:dyDescent="0.3">
      <c r="A81" s="22"/>
      <c r="B81" s="22"/>
      <c r="C81" s="22"/>
      <c r="D81" s="22"/>
      <c r="E81" s="22"/>
      <c r="F81" s="23"/>
      <c r="G81" s="22"/>
      <c r="H81" s="22"/>
      <c r="I81" s="23"/>
    </row>
    <row r="82" spans="1:9" ht="13.8" x14ac:dyDescent="0.3">
      <c r="A82" s="22"/>
      <c r="B82" s="22"/>
      <c r="C82" s="22"/>
      <c r="D82" s="22"/>
      <c r="E82" s="22"/>
      <c r="F82" s="23"/>
      <c r="G82" s="22"/>
      <c r="H82" s="22"/>
      <c r="I82" s="23"/>
    </row>
    <row r="83" spans="1:9" ht="13.8" x14ac:dyDescent="0.3">
      <c r="A83" s="22"/>
      <c r="B83" s="22"/>
      <c r="C83" s="22"/>
      <c r="D83" s="22"/>
      <c r="E83" s="22"/>
      <c r="F83" s="23"/>
      <c r="G83" s="22"/>
      <c r="H83" s="22"/>
      <c r="I83" s="23"/>
    </row>
    <row r="84" spans="1:9" ht="13.8" x14ac:dyDescent="0.3">
      <c r="A84" s="22"/>
      <c r="B84" s="22"/>
      <c r="C84" s="22"/>
      <c r="D84" s="22"/>
      <c r="E84" s="22"/>
      <c r="F84" s="23"/>
      <c r="G84" s="22"/>
      <c r="H84" s="22"/>
      <c r="I84" s="23"/>
    </row>
    <row r="85" spans="1:9" ht="13.8" x14ac:dyDescent="0.3">
      <c r="A85" s="22"/>
      <c r="B85" s="22"/>
      <c r="C85" s="22"/>
      <c r="D85" s="22"/>
      <c r="E85" s="22"/>
      <c r="F85" s="23"/>
      <c r="G85" s="22"/>
      <c r="H85" s="22"/>
      <c r="I85" s="23"/>
    </row>
    <row r="86" spans="1:9" ht="13.8" x14ac:dyDescent="0.3">
      <c r="A86" s="22"/>
      <c r="B86" s="22"/>
      <c r="C86" s="22"/>
      <c r="D86" s="22"/>
      <c r="E86" s="22"/>
      <c r="F86" s="23"/>
      <c r="G86" s="22"/>
      <c r="H86" s="22"/>
      <c r="I86" s="23"/>
    </row>
    <row r="87" spans="1:9" ht="13.8" x14ac:dyDescent="0.3">
      <c r="A87" s="22"/>
      <c r="B87" s="22"/>
      <c r="C87" s="22"/>
      <c r="D87" s="22"/>
      <c r="E87" s="22"/>
      <c r="F87" s="23"/>
      <c r="G87" s="22"/>
      <c r="H87" s="22"/>
      <c r="I87" s="23"/>
    </row>
    <row r="88" spans="1:9" ht="13.8" x14ac:dyDescent="0.3">
      <c r="A88" s="22"/>
      <c r="B88" s="22"/>
      <c r="C88" s="22"/>
      <c r="D88" s="22"/>
      <c r="E88" s="22"/>
      <c r="F88" s="23"/>
      <c r="G88" s="22"/>
      <c r="H88" s="22"/>
      <c r="I88" s="23"/>
    </row>
    <row r="89" spans="1:9" ht="13.8" x14ac:dyDescent="0.3">
      <c r="A89" s="22"/>
      <c r="B89" s="22"/>
      <c r="C89" s="22"/>
      <c r="D89" s="22"/>
      <c r="E89" s="22"/>
      <c r="F89" s="23"/>
      <c r="G89" s="22"/>
      <c r="H89" s="22"/>
      <c r="I89" s="23"/>
    </row>
    <row r="90" spans="1:9" ht="13.8" x14ac:dyDescent="0.3">
      <c r="A90" s="22"/>
      <c r="B90" s="22"/>
      <c r="C90" s="22"/>
      <c r="D90" s="22"/>
      <c r="E90" s="22"/>
      <c r="F90" s="23"/>
      <c r="G90" s="22"/>
      <c r="H90" s="22"/>
      <c r="I90" s="23"/>
    </row>
    <row r="91" spans="1:9" ht="13.8" x14ac:dyDescent="0.3">
      <c r="A91" s="22"/>
      <c r="B91" s="22"/>
      <c r="C91" s="22"/>
      <c r="D91" s="22"/>
      <c r="E91" s="22"/>
      <c r="F91" s="23"/>
      <c r="G91" s="22"/>
      <c r="H91" s="22"/>
      <c r="I91" s="23"/>
    </row>
    <row r="92" spans="1:9" ht="13.8" x14ac:dyDescent="0.3">
      <c r="A92" s="22"/>
      <c r="B92" s="22"/>
      <c r="C92" s="22"/>
      <c r="D92" s="22"/>
      <c r="E92" s="22"/>
      <c r="F92" s="23"/>
      <c r="G92" s="22"/>
      <c r="H92" s="22"/>
      <c r="I92" s="23"/>
    </row>
    <row r="93" spans="1:9" ht="13.8" x14ac:dyDescent="0.3">
      <c r="A93" s="22"/>
      <c r="B93" s="22"/>
      <c r="C93" s="22"/>
      <c r="D93" s="22"/>
      <c r="E93" s="22"/>
      <c r="F93" s="23"/>
      <c r="G93" s="22"/>
      <c r="H93" s="22"/>
      <c r="I93" s="23"/>
    </row>
    <row r="94" spans="1:9" ht="13.8" x14ac:dyDescent="0.3">
      <c r="A94" s="22"/>
      <c r="B94" s="22"/>
      <c r="C94" s="22"/>
      <c r="D94" s="22"/>
      <c r="E94" s="22"/>
      <c r="F94" s="23"/>
      <c r="G94" s="22"/>
      <c r="H94" s="22"/>
      <c r="I94" s="23"/>
    </row>
    <row r="95" spans="1:9" ht="13.8" x14ac:dyDescent="0.3">
      <c r="A95" s="22"/>
      <c r="B95" s="22"/>
      <c r="C95" s="22"/>
      <c r="D95" s="22"/>
      <c r="E95" s="22"/>
      <c r="F95" s="23"/>
      <c r="G95" s="22"/>
      <c r="H95" s="22"/>
      <c r="I95" s="23"/>
    </row>
    <row r="96" spans="1:9" ht="13.8" x14ac:dyDescent="0.3">
      <c r="A96" s="22"/>
      <c r="B96" s="22"/>
      <c r="C96" s="22"/>
      <c r="D96" s="22"/>
      <c r="E96" s="22"/>
      <c r="F96" s="23"/>
      <c r="G96" s="22"/>
      <c r="H96" s="22"/>
      <c r="I96" s="23"/>
    </row>
    <row r="97" spans="1:9" ht="13.8" x14ac:dyDescent="0.3">
      <c r="A97" s="22"/>
      <c r="B97" s="22"/>
      <c r="C97" s="22"/>
      <c r="D97" s="22"/>
      <c r="E97" s="22"/>
      <c r="F97" s="23"/>
      <c r="G97" s="22"/>
      <c r="H97" s="22"/>
      <c r="I97" s="23"/>
    </row>
    <row r="98" spans="1:9" ht="13.8" x14ac:dyDescent="0.3">
      <c r="A98" s="22"/>
      <c r="B98" s="22"/>
      <c r="C98" s="22"/>
      <c r="D98" s="22"/>
      <c r="E98" s="22"/>
      <c r="F98" s="23"/>
      <c r="G98" s="22"/>
      <c r="H98" s="22"/>
      <c r="I98" s="23"/>
    </row>
    <row r="99" spans="1:9" ht="13.8" x14ac:dyDescent="0.3">
      <c r="A99" s="22"/>
      <c r="B99" s="22"/>
      <c r="C99" s="22"/>
      <c r="D99" s="22"/>
      <c r="E99" s="22"/>
      <c r="F99" s="23"/>
      <c r="G99" s="22"/>
      <c r="H99" s="22"/>
      <c r="I99" s="23"/>
    </row>
    <row r="100" spans="1:9" ht="13.8" x14ac:dyDescent="0.3">
      <c r="A100" s="22"/>
      <c r="B100" s="22"/>
      <c r="C100" s="22"/>
      <c r="D100" s="22"/>
      <c r="E100" s="22"/>
      <c r="F100" s="23"/>
      <c r="G100" s="22"/>
      <c r="H100" s="22"/>
      <c r="I100" s="23"/>
    </row>
    <row r="101" spans="1:9" ht="13.8" x14ac:dyDescent="0.3">
      <c r="A101" s="22"/>
      <c r="B101" s="22"/>
      <c r="C101" s="22"/>
      <c r="D101" s="22"/>
      <c r="E101" s="22"/>
      <c r="F101" s="23"/>
      <c r="G101" s="22"/>
      <c r="H101" s="22"/>
      <c r="I101" s="23"/>
    </row>
    <row r="102" spans="1:9" ht="13.8" x14ac:dyDescent="0.3">
      <c r="A102" s="22"/>
      <c r="B102" s="22"/>
      <c r="C102" s="22"/>
      <c r="D102" s="22"/>
      <c r="E102" s="22"/>
      <c r="F102" s="23"/>
      <c r="G102" s="22"/>
      <c r="H102" s="22"/>
      <c r="I102" s="23"/>
    </row>
    <row r="103" spans="1:9" ht="13.8" x14ac:dyDescent="0.3">
      <c r="A103" s="22"/>
      <c r="B103" s="22"/>
      <c r="C103" s="22"/>
      <c r="D103" s="22"/>
      <c r="E103" s="22"/>
      <c r="F103" s="23"/>
      <c r="G103" s="22"/>
      <c r="H103" s="22"/>
      <c r="I103" s="23"/>
    </row>
    <row r="104" spans="1:9" ht="13.8" x14ac:dyDescent="0.3">
      <c r="A104" s="22"/>
      <c r="B104" s="22"/>
      <c r="C104" s="22"/>
      <c r="D104" s="22"/>
      <c r="E104" s="22"/>
      <c r="F104" s="23"/>
      <c r="G104" s="22"/>
      <c r="H104" s="22"/>
      <c r="I104" s="23"/>
    </row>
    <row r="105" spans="1:9" ht="13.8" x14ac:dyDescent="0.3">
      <c r="A105" s="22"/>
      <c r="B105" s="22"/>
      <c r="C105" s="22"/>
      <c r="D105" s="22"/>
      <c r="E105" s="22"/>
      <c r="F105" s="23"/>
      <c r="G105" s="22"/>
      <c r="H105" s="22"/>
      <c r="I105" s="23"/>
    </row>
    <row r="106" spans="1:9" ht="13.8" x14ac:dyDescent="0.3">
      <c r="A106" s="22"/>
      <c r="B106" s="22"/>
      <c r="C106" s="22"/>
      <c r="D106" s="22"/>
      <c r="E106" s="22"/>
      <c r="F106" s="23"/>
      <c r="G106" s="22"/>
      <c r="H106" s="22"/>
      <c r="I106" s="23"/>
    </row>
    <row r="107" spans="1:9" ht="13.8" x14ac:dyDescent="0.3">
      <c r="A107" s="22"/>
      <c r="B107" s="22"/>
      <c r="C107" s="22"/>
      <c r="D107" s="22"/>
      <c r="E107" s="22"/>
      <c r="F107" s="23"/>
      <c r="G107" s="22"/>
      <c r="H107" s="22"/>
      <c r="I107" s="23"/>
    </row>
    <row r="108" spans="1:9" ht="13.8" x14ac:dyDescent="0.3">
      <c r="A108" s="22"/>
      <c r="B108" s="22"/>
      <c r="C108" s="22"/>
      <c r="D108" s="22"/>
      <c r="E108" s="22"/>
      <c r="F108" s="23"/>
      <c r="G108" s="22"/>
      <c r="H108" s="22"/>
      <c r="I108" s="23"/>
    </row>
    <row r="109" spans="1:9" ht="13.8" x14ac:dyDescent="0.3">
      <c r="A109" s="22"/>
      <c r="B109" s="22"/>
      <c r="C109" s="22"/>
      <c r="D109" s="22"/>
      <c r="E109" s="22"/>
      <c r="F109" s="23"/>
      <c r="G109" s="22"/>
      <c r="H109" s="22"/>
      <c r="I109" s="23"/>
    </row>
    <row r="110" spans="1:9" ht="13.8" x14ac:dyDescent="0.3">
      <c r="A110" s="22"/>
      <c r="B110" s="22"/>
      <c r="C110" s="22"/>
      <c r="D110" s="22"/>
      <c r="E110" s="22"/>
      <c r="F110" s="23"/>
      <c r="G110" s="22"/>
      <c r="H110" s="22"/>
      <c r="I110" s="23"/>
    </row>
    <row r="111" spans="1:9" ht="13.8" x14ac:dyDescent="0.3">
      <c r="A111" s="22"/>
      <c r="B111" s="22"/>
      <c r="C111" s="22"/>
      <c r="D111" s="22"/>
      <c r="E111" s="22"/>
      <c r="F111" s="23"/>
      <c r="G111" s="22"/>
      <c r="H111" s="22"/>
      <c r="I111" s="23"/>
    </row>
    <row r="112" spans="1:9" ht="13.8" x14ac:dyDescent="0.3">
      <c r="A112" s="22"/>
      <c r="B112" s="22"/>
      <c r="C112" s="22"/>
      <c r="D112" s="22"/>
      <c r="E112" s="22"/>
      <c r="F112" s="23"/>
      <c r="G112" s="22"/>
      <c r="H112" s="22"/>
      <c r="I112" s="23"/>
    </row>
    <row r="113" spans="1:9" ht="13.8" x14ac:dyDescent="0.3">
      <c r="A113" s="22"/>
      <c r="B113" s="22"/>
      <c r="C113" s="22"/>
      <c r="D113" s="22"/>
      <c r="E113" s="22"/>
      <c r="F113" s="23"/>
      <c r="G113" s="22"/>
      <c r="H113" s="22"/>
      <c r="I113" s="23"/>
    </row>
    <row r="114" spans="1:9" ht="13.8" x14ac:dyDescent="0.3">
      <c r="A114" s="22"/>
      <c r="B114" s="22"/>
      <c r="C114" s="22"/>
      <c r="D114" s="22"/>
      <c r="E114" s="22"/>
      <c r="F114" s="23"/>
      <c r="G114" s="22"/>
      <c r="H114" s="22"/>
      <c r="I114" s="23"/>
    </row>
    <row r="115" spans="1:9" ht="13.8" x14ac:dyDescent="0.3">
      <c r="A115" s="22"/>
      <c r="B115" s="22"/>
      <c r="C115" s="22"/>
      <c r="D115" s="22"/>
      <c r="E115" s="22"/>
      <c r="F115" s="23"/>
      <c r="G115" s="22"/>
      <c r="H115" s="22"/>
      <c r="I115" s="23"/>
    </row>
    <row r="116" spans="1:9" ht="13.8" x14ac:dyDescent="0.3">
      <c r="A116" s="22"/>
      <c r="B116" s="22"/>
      <c r="C116" s="22"/>
      <c r="D116" s="22"/>
      <c r="E116" s="22"/>
      <c r="F116" s="23"/>
      <c r="G116" s="22"/>
      <c r="H116" s="22"/>
      <c r="I116" s="23"/>
    </row>
    <row r="117" spans="1:9" ht="13.8" x14ac:dyDescent="0.3">
      <c r="A117" s="22"/>
      <c r="B117" s="22"/>
      <c r="C117" s="22"/>
      <c r="D117" s="22"/>
      <c r="E117" s="22"/>
      <c r="F117" s="23"/>
      <c r="G117" s="22"/>
      <c r="H117" s="22"/>
      <c r="I117" s="23"/>
    </row>
    <row r="118" spans="1:9" ht="13.8" x14ac:dyDescent="0.3">
      <c r="A118" s="22"/>
      <c r="B118" s="22"/>
      <c r="C118" s="22"/>
      <c r="D118" s="22"/>
      <c r="E118" s="22"/>
      <c r="F118" s="23"/>
      <c r="G118" s="22"/>
      <c r="H118" s="22"/>
      <c r="I118" s="23"/>
    </row>
    <row r="119" spans="1:9" ht="13.8" x14ac:dyDescent="0.3">
      <c r="A119" s="22"/>
      <c r="B119" s="22"/>
      <c r="C119" s="22"/>
      <c r="D119" s="22"/>
      <c r="E119" s="22"/>
      <c r="F119" s="23"/>
      <c r="G119" s="22"/>
      <c r="H119" s="22"/>
      <c r="I119" s="23"/>
    </row>
    <row r="120" spans="1:9" ht="13.8" x14ac:dyDescent="0.3">
      <c r="A120" s="22"/>
      <c r="B120" s="22"/>
      <c r="C120" s="22"/>
      <c r="D120" s="22"/>
      <c r="E120" s="22"/>
      <c r="F120" s="23"/>
      <c r="G120" s="22"/>
      <c r="H120" s="22"/>
      <c r="I120" s="23"/>
    </row>
    <row r="121" spans="1:9" ht="13.8" x14ac:dyDescent="0.3">
      <c r="A121" s="22"/>
      <c r="B121" s="22"/>
      <c r="C121" s="22"/>
      <c r="D121" s="22"/>
      <c r="E121" s="22"/>
      <c r="F121" s="23"/>
      <c r="G121" s="22"/>
      <c r="H121" s="22"/>
      <c r="I121" s="23"/>
    </row>
    <row r="122" spans="1:9" ht="13.8" x14ac:dyDescent="0.3">
      <c r="A122" s="22"/>
      <c r="B122" s="22"/>
      <c r="C122" s="22"/>
      <c r="D122" s="22"/>
      <c r="E122" s="22"/>
      <c r="F122" s="23"/>
      <c r="G122" s="22"/>
      <c r="H122" s="22"/>
      <c r="I122" s="23"/>
    </row>
    <row r="123" spans="1:9" ht="13.8" x14ac:dyDescent="0.3">
      <c r="A123" s="22"/>
      <c r="B123" s="22"/>
      <c r="C123" s="22"/>
      <c r="D123" s="22"/>
      <c r="E123" s="22"/>
      <c r="F123" s="23"/>
      <c r="G123" s="22"/>
      <c r="H123" s="22"/>
      <c r="I123" s="23"/>
    </row>
    <row r="124" spans="1:9" ht="13.8" x14ac:dyDescent="0.3">
      <c r="A124" s="22"/>
      <c r="B124" s="22"/>
      <c r="C124" s="22"/>
      <c r="D124" s="22"/>
      <c r="E124" s="22"/>
      <c r="F124" s="23"/>
      <c r="G124" s="22"/>
      <c r="H124" s="22"/>
      <c r="I124" s="23"/>
    </row>
    <row r="125" spans="1:9" ht="13.8" x14ac:dyDescent="0.3">
      <c r="A125" s="22"/>
      <c r="B125" s="22"/>
      <c r="C125" s="22"/>
      <c r="D125" s="22"/>
      <c r="E125" s="22"/>
      <c r="F125" s="23"/>
      <c r="G125" s="22"/>
      <c r="H125" s="22"/>
      <c r="I125" s="23"/>
    </row>
    <row r="126" spans="1:9" ht="13.8" x14ac:dyDescent="0.3">
      <c r="A126" s="22"/>
      <c r="B126" s="22"/>
      <c r="C126" s="22"/>
      <c r="D126" s="22"/>
      <c r="E126" s="22"/>
      <c r="F126" s="23"/>
      <c r="G126" s="22"/>
      <c r="H126" s="22"/>
      <c r="I126" s="23"/>
    </row>
    <row r="127" spans="1:9" ht="13.8" x14ac:dyDescent="0.3">
      <c r="A127" s="22"/>
      <c r="B127" s="22"/>
      <c r="C127" s="22"/>
      <c r="D127" s="22"/>
      <c r="E127" s="22"/>
      <c r="F127" s="23"/>
      <c r="G127" s="22"/>
      <c r="H127" s="22"/>
      <c r="I127" s="23"/>
    </row>
    <row r="128" spans="1:9" ht="13.8" x14ac:dyDescent="0.3">
      <c r="A128" s="22"/>
      <c r="B128" s="22"/>
      <c r="C128" s="22"/>
      <c r="D128" s="22"/>
      <c r="E128" s="22"/>
      <c r="F128" s="23"/>
      <c r="G128" s="22"/>
      <c r="H128" s="22"/>
      <c r="I128" s="23"/>
    </row>
    <row r="129" spans="1:9" ht="13.8" x14ac:dyDescent="0.3">
      <c r="A129" s="22"/>
      <c r="B129" s="22"/>
      <c r="C129" s="22"/>
      <c r="D129" s="22"/>
      <c r="E129" s="22"/>
      <c r="F129" s="23"/>
      <c r="G129" s="22"/>
      <c r="H129" s="22"/>
      <c r="I129" s="23"/>
    </row>
    <row r="130" spans="1:9" ht="13.8" x14ac:dyDescent="0.3">
      <c r="A130" s="22"/>
      <c r="B130" s="22"/>
      <c r="C130" s="22"/>
      <c r="D130" s="22"/>
      <c r="E130" s="22"/>
      <c r="F130" s="23"/>
      <c r="G130" s="22"/>
      <c r="H130" s="22"/>
      <c r="I130" s="23"/>
    </row>
    <row r="131" spans="1:9" ht="13.8" x14ac:dyDescent="0.3">
      <c r="A131" s="22"/>
      <c r="B131" s="22"/>
      <c r="C131" s="22"/>
      <c r="D131" s="22"/>
      <c r="E131" s="22"/>
      <c r="F131" s="23"/>
      <c r="G131" s="22"/>
      <c r="H131" s="22"/>
      <c r="I131" s="23"/>
    </row>
    <row r="132" spans="1:9" ht="13.8" x14ac:dyDescent="0.3">
      <c r="A132" s="22"/>
      <c r="B132" s="22"/>
      <c r="C132" s="22"/>
      <c r="D132" s="22"/>
      <c r="E132" s="22"/>
      <c r="F132" s="23"/>
      <c r="G132" s="22"/>
      <c r="H132" s="22"/>
      <c r="I132" s="23"/>
    </row>
    <row r="133" spans="1:9" ht="13.8" x14ac:dyDescent="0.3">
      <c r="A133" s="22"/>
      <c r="B133" s="22"/>
      <c r="C133" s="22"/>
      <c r="D133" s="22"/>
      <c r="E133" s="22"/>
      <c r="F133" s="23"/>
      <c r="G133" s="22"/>
      <c r="H133" s="22"/>
      <c r="I133" s="23"/>
    </row>
    <row r="134" spans="1:9" ht="13.8" x14ac:dyDescent="0.3">
      <c r="A134" s="22"/>
      <c r="B134" s="22"/>
      <c r="C134" s="22"/>
      <c r="D134" s="22"/>
      <c r="E134" s="22"/>
      <c r="F134" s="23"/>
      <c r="G134" s="22"/>
      <c r="H134" s="22"/>
      <c r="I134" s="23"/>
    </row>
    <row r="135" spans="1:9" ht="13.8" x14ac:dyDescent="0.3">
      <c r="A135" s="22"/>
      <c r="B135" s="22"/>
      <c r="C135" s="22"/>
      <c r="D135" s="22"/>
      <c r="E135" s="22"/>
      <c r="F135" s="23"/>
      <c r="G135" s="22"/>
      <c r="H135" s="22"/>
      <c r="I135" s="23"/>
    </row>
    <row r="136" spans="1:9" ht="13.8" x14ac:dyDescent="0.3">
      <c r="A136" s="22"/>
      <c r="B136" s="22"/>
      <c r="C136" s="22"/>
      <c r="D136" s="22"/>
      <c r="E136" s="22"/>
      <c r="F136" s="23"/>
      <c r="G136" s="22"/>
      <c r="H136" s="22"/>
      <c r="I136" s="23"/>
    </row>
    <row r="137" spans="1:9" ht="13.8" x14ac:dyDescent="0.3">
      <c r="A137" s="22"/>
      <c r="B137" s="22"/>
      <c r="C137" s="22"/>
      <c r="D137" s="22"/>
      <c r="E137" s="22"/>
      <c r="F137" s="23"/>
      <c r="G137" s="22"/>
      <c r="H137" s="22"/>
      <c r="I137" s="23"/>
    </row>
    <row r="138" spans="1:9" ht="13.8" x14ac:dyDescent="0.3">
      <c r="A138" s="22"/>
      <c r="B138" s="22"/>
      <c r="C138" s="22"/>
      <c r="D138" s="22"/>
      <c r="E138" s="22"/>
      <c r="F138" s="23"/>
      <c r="G138" s="22"/>
      <c r="H138" s="22"/>
      <c r="I138" s="23"/>
    </row>
    <row r="139" spans="1:9" ht="13.8" x14ac:dyDescent="0.3">
      <c r="A139" s="22"/>
      <c r="B139" s="22"/>
      <c r="C139" s="22"/>
      <c r="D139" s="22"/>
      <c r="E139" s="22"/>
      <c r="F139" s="23"/>
      <c r="G139" s="22"/>
      <c r="H139" s="22"/>
      <c r="I139" s="23"/>
    </row>
    <row r="140" spans="1:9" ht="13.8" x14ac:dyDescent="0.3">
      <c r="A140" s="22"/>
      <c r="B140" s="22"/>
      <c r="C140" s="22"/>
      <c r="D140" s="22"/>
      <c r="E140" s="22"/>
      <c r="F140" s="23"/>
      <c r="G140" s="22"/>
      <c r="H140" s="22"/>
      <c r="I140" s="23"/>
    </row>
    <row r="141" spans="1:9" ht="13.8" x14ac:dyDescent="0.3">
      <c r="A141" s="22"/>
      <c r="B141" s="22"/>
      <c r="C141" s="22"/>
      <c r="D141" s="22"/>
      <c r="E141" s="22"/>
      <c r="F141" s="23"/>
      <c r="G141" s="22"/>
      <c r="H141" s="22"/>
      <c r="I141" s="23"/>
    </row>
    <row r="142" spans="1:9" ht="13.8" x14ac:dyDescent="0.3">
      <c r="A142" s="22"/>
      <c r="B142" s="22"/>
      <c r="C142" s="22"/>
      <c r="D142" s="22"/>
      <c r="E142" s="22"/>
      <c r="F142" s="23"/>
      <c r="G142" s="22"/>
      <c r="H142" s="22"/>
      <c r="I142" s="23"/>
    </row>
    <row r="143" spans="1:9" ht="13.8" x14ac:dyDescent="0.3">
      <c r="A143" s="22"/>
      <c r="B143" s="22"/>
      <c r="C143" s="22"/>
      <c r="D143" s="22"/>
      <c r="E143" s="22"/>
      <c r="F143" s="23"/>
      <c r="G143" s="22"/>
      <c r="H143" s="22"/>
      <c r="I143" s="23"/>
    </row>
    <row r="144" spans="1:9" ht="13.8" x14ac:dyDescent="0.3">
      <c r="A144" s="22"/>
      <c r="B144" s="22"/>
      <c r="C144" s="22"/>
      <c r="D144" s="22"/>
      <c r="E144" s="22"/>
      <c r="F144" s="23"/>
      <c r="G144" s="22"/>
      <c r="H144" s="22"/>
      <c r="I144" s="23"/>
    </row>
    <row r="145" spans="1:9" ht="13.8" x14ac:dyDescent="0.3">
      <c r="A145" s="22"/>
      <c r="B145" s="22"/>
      <c r="C145" s="22"/>
      <c r="D145" s="22"/>
      <c r="E145" s="22"/>
      <c r="F145" s="23"/>
      <c r="G145" s="22"/>
      <c r="H145" s="22"/>
      <c r="I145" s="23"/>
    </row>
    <row r="146" spans="1:9" ht="13.8" x14ac:dyDescent="0.3">
      <c r="A146" s="22"/>
      <c r="B146" s="22"/>
      <c r="C146" s="22"/>
      <c r="D146" s="22"/>
      <c r="E146" s="22"/>
      <c r="F146" s="23"/>
      <c r="G146" s="22"/>
      <c r="H146" s="22"/>
      <c r="I146" s="23"/>
    </row>
    <row r="147" spans="1:9" ht="13.8" x14ac:dyDescent="0.3">
      <c r="A147" s="22"/>
      <c r="B147" s="22"/>
      <c r="C147" s="22"/>
      <c r="D147" s="22"/>
      <c r="E147" s="22"/>
      <c r="F147" s="23"/>
      <c r="G147" s="22"/>
      <c r="H147" s="22"/>
      <c r="I147" s="23"/>
    </row>
    <row r="148" spans="1:9" ht="13.8" x14ac:dyDescent="0.3">
      <c r="A148" s="22"/>
      <c r="B148" s="22"/>
      <c r="C148" s="22"/>
      <c r="D148" s="22"/>
      <c r="E148" s="22"/>
      <c r="F148" s="23"/>
      <c r="G148" s="22"/>
      <c r="H148" s="22"/>
      <c r="I148" s="23"/>
    </row>
    <row r="149" spans="1:9" ht="13.8" x14ac:dyDescent="0.3">
      <c r="A149" s="22"/>
      <c r="B149" s="22"/>
      <c r="C149" s="22"/>
      <c r="D149" s="22"/>
      <c r="E149" s="22"/>
      <c r="F149" s="23"/>
      <c r="G149" s="22"/>
      <c r="H149" s="22"/>
      <c r="I149" s="23"/>
    </row>
    <row r="150" spans="1:9" ht="13.8" x14ac:dyDescent="0.3">
      <c r="A150" s="22"/>
      <c r="B150" s="22"/>
      <c r="C150" s="22"/>
      <c r="D150" s="22"/>
      <c r="E150" s="22"/>
      <c r="F150" s="23"/>
      <c r="G150" s="22"/>
      <c r="H150" s="22"/>
      <c r="I150" s="23"/>
    </row>
    <row r="151" spans="1:9" ht="13.8" x14ac:dyDescent="0.3">
      <c r="A151" s="22"/>
      <c r="B151" s="22"/>
      <c r="C151" s="22"/>
      <c r="D151" s="22"/>
      <c r="E151" s="22"/>
      <c r="F151" s="23"/>
      <c r="G151" s="22"/>
      <c r="H151" s="22"/>
      <c r="I151" s="23"/>
    </row>
    <row r="152" spans="1:9" ht="13.8" x14ac:dyDescent="0.3">
      <c r="A152" s="22"/>
      <c r="B152" s="22"/>
      <c r="C152" s="22"/>
      <c r="D152" s="22"/>
      <c r="E152" s="22"/>
      <c r="F152" s="23"/>
      <c r="G152" s="22"/>
      <c r="H152" s="22"/>
      <c r="I152" s="23"/>
    </row>
    <row r="153" spans="1:9" ht="13.8" x14ac:dyDescent="0.3">
      <c r="A153" s="22"/>
      <c r="B153" s="22"/>
      <c r="C153" s="22"/>
      <c r="D153" s="22"/>
      <c r="E153" s="22"/>
      <c r="F153" s="23"/>
      <c r="G153" s="22"/>
      <c r="H153" s="22"/>
      <c r="I153" s="23"/>
    </row>
    <row r="154" spans="1:9" ht="13.8" x14ac:dyDescent="0.3">
      <c r="A154" s="22"/>
      <c r="B154" s="22"/>
      <c r="C154" s="22"/>
      <c r="D154" s="22"/>
      <c r="E154" s="22"/>
      <c r="F154" s="23"/>
      <c r="G154" s="22"/>
      <c r="H154" s="22"/>
      <c r="I154" s="23"/>
    </row>
    <row r="155" spans="1:9" ht="13.8" x14ac:dyDescent="0.3">
      <c r="A155" s="22"/>
      <c r="B155" s="22"/>
      <c r="C155" s="22"/>
      <c r="D155" s="22"/>
      <c r="E155" s="22"/>
      <c r="F155" s="23"/>
      <c r="G155" s="22"/>
      <c r="H155" s="22"/>
      <c r="I155" s="23"/>
    </row>
    <row r="156" spans="1:9" ht="13.8" x14ac:dyDescent="0.3">
      <c r="A156" s="22"/>
      <c r="B156" s="22"/>
      <c r="C156" s="22"/>
      <c r="D156" s="22"/>
      <c r="E156" s="22"/>
      <c r="F156" s="23"/>
      <c r="G156" s="22"/>
      <c r="H156" s="22"/>
      <c r="I156" s="23"/>
    </row>
    <row r="157" spans="1:9" ht="13.8" x14ac:dyDescent="0.3">
      <c r="A157" s="22"/>
      <c r="B157" s="22"/>
      <c r="C157" s="22"/>
      <c r="D157" s="22"/>
      <c r="E157" s="22"/>
      <c r="F157" s="23"/>
      <c r="G157" s="22"/>
      <c r="H157" s="22"/>
      <c r="I157" s="23"/>
    </row>
    <row r="158" spans="1:9" ht="13.8" x14ac:dyDescent="0.3">
      <c r="A158" s="22"/>
      <c r="B158" s="22"/>
      <c r="C158" s="22"/>
      <c r="D158" s="22"/>
      <c r="E158" s="22"/>
      <c r="F158" s="23"/>
      <c r="G158" s="22"/>
      <c r="H158" s="22"/>
      <c r="I158" s="23"/>
    </row>
    <row r="159" spans="1:9" ht="13.8" x14ac:dyDescent="0.3">
      <c r="A159" s="22"/>
      <c r="B159" s="22"/>
      <c r="C159" s="22"/>
      <c r="D159" s="22"/>
      <c r="E159" s="22"/>
      <c r="F159" s="23"/>
      <c r="G159" s="22"/>
      <c r="H159" s="22"/>
      <c r="I159" s="23"/>
    </row>
    <row r="160" spans="1:9" ht="13.8" x14ac:dyDescent="0.3">
      <c r="A160" s="22"/>
      <c r="B160" s="22"/>
      <c r="C160" s="22"/>
      <c r="D160" s="22"/>
      <c r="E160" s="22"/>
      <c r="F160" s="23"/>
      <c r="G160" s="22"/>
      <c r="H160" s="22"/>
      <c r="I160" s="23"/>
    </row>
    <row r="161" spans="1:9" ht="13.8" x14ac:dyDescent="0.3">
      <c r="A161" s="22"/>
      <c r="B161" s="22"/>
      <c r="C161" s="22"/>
      <c r="D161" s="22"/>
      <c r="E161" s="22"/>
      <c r="F161" s="23"/>
      <c r="G161" s="22"/>
      <c r="H161" s="22"/>
      <c r="I161" s="23"/>
    </row>
    <row r="162" spans="1:9" ht="13.8" x14ac:dyDescent="0.3">
      <c r="A162" s="22"/>
      <c r="B162" s="22"/>
      <c r="C162" s="22"/>
      <c r="D162" s="22"/>
      <c r="E162" s="22"/>
      <c r="F162" s="23"/>
      <c r="G162" s="22"/>
      <c r="H162" s="22"/>
      <c r="I162" s="23"/>
    </row>
    <row r="163" spans="1:9" ht="13.8" x14ac:dyDescent="0.3">
      <c r="A163" s="22"/>
      <c r="B163" s="22"/>
      <c r="C163" s="22"/>
      <c r="D163" s="22"/>
      <c r="E163" s="22"/>
      <c r="F163" s="23"/>
      <c r="G163" s="22"/>
      <c r="H163" s="22"/>
      <c r="I163" s="23"/>
    </row>
    <row r="164" spans="1:9" ht="13.8" x14ac:dyDescent="0.3">
      <c r="A164" s="22"/>
      <c r="B164" s="22"/>
      <c r="C164" s="22"/>
      <c r="D164" s="22"/>
      <c r="E164" s="22"/>
      <c r="F164" s="23"/>
      <c r="G164" s="22"/>
      <c r="H164" s="22"/>
      <c r="I164" s="23"/>
    </row>
    <row r="165" spans="1:9" ht="13.8" x14ac:dyDescent="0.3">
      <c r="A165" s="22"/>
      <c r="B165" s="22"/>
      <c r="C165" s="22"/>
      <c r="D165" s="22"/>
      <c r="E165" s="22"/>
      <c r="F165" s="23"/>
      <c r="G165" s="22"/>
      <c r="H165" s="22"/>
      <c r="I165" s="23"/>
    </row>
    <row r="166" spans="1:9" ht="13.8" x14ac:dyDescent="0.3">
      <c r="A166" s="22"/>
      <c r="B166" s="22"/>
      <c r="C166" s="22"/>
      <c r="D166" s="22"/>
      <c r="E166" s="22"/>
      <c r="F166" s="23"/>
      <c r="G166" s="22"/>
      <c r="H166" s="22"/>
      <c r="I166" s="23"/>
    </row>
    <row r="167" spans="1:9" ht="13.8" x14ac:dyDescent="0.3">
      <c r="A167" s="22"/>
      <c r="B167" s="22"/>
      <c r="C167" s="22"/>
      <c r="D167" s="22"/>
      <c r="E167" s="22"/>
      <c r="F167" s="23"/>
      <c r="G167" s="22"/>
      <c r="H167" s="22"/>
      <c r="I167" s="23"/>
    </row>
    <row r="168" spans="1:9" ht="13.8" x14ac:dyDescent="0.3">
      <c r="A168" s="22"/>
      <c r="B168" s="22"/>
      <c r="C168" s="22"/>
      <c r="D168" s="22"/>
      <c r="E168" s="22"/>
      <c r="F168" s="23"/>
      <c r="G168" s="22"/>
      <c r="H168" s="22"/>
      <c r="I168" s="23"/>
    </row>
    <row r="169" spans="1:9" ht="13.8" x14ac:dyDescent="0.3">
      <c r="A169" s="22"/>
      <c r="B169" s="22"/>
      <c r="C169" s="22"/>
      <c r="D169" s="22"/>
      <c r="E169" s="22"/>
      <c r="F169" s="23"/>
      <c r="G169" s="22"/>
      <c r="H169" s="22"/>
      <c r="I169" s="23"/>
    </row>
    <row r="170" spans="1:9" ht="13.8" x14ac:dyDescent="0.3">
      <c r="A170" s="22"/>
      <c r="B170" s="22"/>
      <c r="C170" s="22"/>
      <c r="D170" s="22"/>
      <c r="E170" s="22"/>
      <c r="F170" s="23"/>
      <c r="G170" s="22"/>
      <c r="H170" s="22"/>
      <c r="I170" s="23"/>
    </row>
    <row r="171" spans="1:9" ht="13.8" x14ac:dyDescent="0.3">
      <c r="A171" s="22"/>
      <c r="B171" s="22"/>
      <c r="C171" s="22"/>
      <c r="D171" s="22"/>
      <c r="E171" s="22"/>
      <c r="F171" s="23"/>
      <c r="G171" s="22"/>
      <c r="H171" s="22"/>
      <c r="I171" s="23"/>
    </row>
    <row r="172" spans="1:9" ht="13.8" x14ac:dyDescent="0.3">
      <c r="A172" s="22"/>
      <c r="B172" s="22"/>
      <c r="C172" s="22"/>
      <c r="D172" s="22"/>
      <c r="E172" s="22"/>
      <c r="F172" s="23"/>
      <c r="G172" s="22"/>
      <c r="H172" s="22"/>
      <c r="I172" s="23"/>
    </row>
    <row r="173" spans="1:9" ht="13.8" x14ac:dyDescent="0.3">
      <c r="A173" s="22"/>
      <c r="B173" s="22"/>
      <c r="C173" s="22"/>
      <c r="D173" s="22"/>
      <c r="E173" s="22"/>
      <c r="F173" s="23"/>
      <c r="G173" s="22"/>
      <c r="H173" s="22"/>
      <c r="I173" s="23"/>
    </row>
    <row r="174" spans="1:9" ht="13.8" x14ac:dyDescent="0.3">
      <c r="A174" s="22"/>
      <c r="B174" s="22"/>
      <c r="C174" s="22"/>
      <c r="D174" s="22"/>
      <c r="E174" s="22"/>
      <c r="F174" s="23"/>
      <c r="G174" s="22"/>
      <c r="H174" s="22"/>
      <c r="I174" s="23"/>
    </row>
    <row r="175" spans="1:9" ht="13.8" x14ac:dyDescent="0.3">
      <c r="A175" s="22"/>
      <c r="B175" s="22"/>
      <c r="C175" s="22"/>
      <c r="D175" s="22"/>
      <c r="E175" s="22"/>
      <c r="F175" s="23"/>
      <c r="G175" s="22"/>
      <c r="H175" s="22"/>
      <c r="I175" s="23"/>
    </row>
    <row r="176" spans="1:9" ht="13.8" x14ac:dyDescent="0.3">
      <c r="A176" s="22"/>
      <c r="B176" s="22"/>
      <c r="C176" s="22"/>
      <c r="D176" s="22"/>
      <c r="E176" s="22"/>
      <c r="F176" s="23"/>
      <c r="G176" s="22"/>
      <c r="H176" s="22"/>
      <c r="I176" s="23"/>
    </row>
    <row r="177" spans="1:9" ht="13.8" x14ac:dyDescent="0.3">
      <c r="A177" s="22"/>
      <c r="B177" s="22"/>
      <c r="C177" s="22"/>
      <c r="D177" s="22"/>
      <c r="E177" s="22"/>
      <c r="F177" s="23"/>
      <c r="G177" s="22"/>
      <c r="H177" s="22"/>
      <c r="I177" s="23"/>
    </row>
    <row r="178" spans="1:9" ht="13.8" x14ac:dyDescent="0.3">
      <c r="A178" s="22"/>
      <c r="B178" s="22"/>
      <c r="C178" s="22"/>
      <c r="D178" s="22"/>
      <c r="E178" s="22"/>
      <c r="F178" s="23"/>
      <c r="G178" s="22"/>
      <c r="H178" s="22"/>
      <c r="I178" s="23"/>
    </row>
    <row r="179" spans="1:9" ht="13.8" x14ac:dyDescent="0.3">
      <c r="A179" s="22"/>
      <c r="B179" s="22"/>
      <c r="C179" s="22"/>
      <c r="D179" s="22"/>
      <c r="E179" s="22"/>
      <c r="F179" s="23"/>
      <c r="G179" s="22"/>
      <c r="H179" s="22"/>
      <c r="I179" s="23"/>
    </row>
    <row r="180" spans="1:9" ht="13.8" x14ac:dyDescent="0.3">
      <c r="A180" s="22"/>
      <c r="B180" s="22"/>
      <c r="C180" s="22"/>
      <c r="D180" s="22"/>
      <c r="E180" s="22"/>
      <c r="F180" s="23"/>
      <c r="G180" s="22"/>
      <c r="H180" s="22"/>
      <c r="I180" s="23"/>
    </row>
    <row r="181" spans="1:9" ht="13.8" x14ac:dyDescent="0.3">
      <c r="A181" s="22"/>
      <c r="B181" s="22"/>
      <c r="C181" s="22"/>
      <c r="D181" s="22"/>
      <c r="E181" s="22"/>
      <c r="F181" s="23"/>
      <c r="G181" s="22"/>
      <c r="H181" s="22"/>
      <c r="I181" s="23"/>
    </row>
    <row r="182" spans="1:9" ht="13.8" x14ac:dyDescent="0.3">
      <c r="A182" s="22"/>
      <c r="B182" s="22"/>
      <c r="C182" s="22"/>
      <c r="D182" s="22"/>
      <c r="E182" s="22"/>
      <c r="F182" s="23"/>
      <c r="G182" s="22"/>
      <c r="H182" s="22"/>
      <c r="I182" s="23"/>
    </row>
    <row r="183" spans="1:9" ht="13.8" x14ac:dyDescent="0.3">
      <c r="A183" s="22"/>
      <c r="B183" s="22"/>
      <c r="C183" s="22"/>
      <c r="D183" s="22"/>
      <c r="E183" s="22"/>
      <c r="F183" s="23"/>
      <c r="G183" s="22"/>
      <c r="H183" s="22"/>
      <c r="I183" s="23"/>
    </row>
    <row r="184" spans="1:9" ht="13.8" x14ac:dyDescent="0.3">
      <c r="A184" s="22"/>
      <c r="B184" s="22"/>
      <c r="C184" s="22"/>
      <c r="D184" s="22"/>
      <c r="E184" s="22"/>
      <c r="F184" s="23"/>
      <c r="G184" s="22"/>
      <c r="H184" s="22"/>
      <c r="I184" s="23"/>
    </row>
    <row r="185" spans="1:9" ht="13.8" x14ac:dyDescent="0.3">
      <c r="A185" s="22"/>
      <c r="B185" s="22"/>
      <c r="C185" s="22"/>
      <c r="D185" s="22"/>
      <c r="E185" s="22"/>
      <c r="F185" s="23"/>
      <c r="G185" s="22"/>
      <c r="H185" s="22"/>
      <c r="I185" s="23"/>
    </row>
    <row r="186" spans="1:9" ht="13.8" x14ac:dyDescent="0.3">
      <c r="A186" s="22"/>
      <c r="B186" s="22"/>
      <c r="C186" s="22"/>
      <c r="D186" s="22"/>
      <c r="E186" s="22"/>
      <c r="F186" s="23"/>
      <c r="G186" s="22"/>
      <c r="H186" s="22"/>
      <c r="I186" s="23"/>
    </row>
    <row r="187" spans="1:9" ht="13.8" x14ac:dyDescent="0.3">
      <c r="A187" s="22"/>
      <c r="B187" s="22"/>
      <c r="C187" s="22"/>
      <c r="D187" s="22"/>
      <c r="E187" s="22"/>
      <c r="F187" s="23"/>
      <c r="G187" s="22"/>
      <c r="H187" s="22"/>
      <c r="I187" s="23"/>
    </row>
    <row r="188" spans="1:9" ht="13.8" x14ac:dyDescent="0.3">
      <c r="A188" s="22"/>
      <c r="B188" s="22"/>
      <c r="C188" s="22"/>
      <c r="D188" s="22"/>
      <c r="E188" s="22"/>
      <c r="F188" s="23"/>
      <c r="G188" s="22"/>
      <c r="H188" s="22"/>
      <c r="I188" s="23"/>
    </row>
    <row r="189" spans="1:9" ht="13.8" x14ac:dyDescent="0.3">
      <c r="A189" s="22"/>
      <c r="B189" s="22"/>
      <c r="C189" s="22"/>
      <c r="D189" s="22"/>
      <c r="E189" s="22"/>
      <c r="F189" s="23"/>
      <c r="G189" s="22"/>
      <c r="H189" s="22"/>
      <c r="I189" s="23"/>
    </row>
    <row r="190" spans="1:9" ht="13.8" x14ac:dyDescent="0.3">
      <c r="A190" s="22"/>
      <c r="B190" s="22"/>
      <c r="C190" s="22"/>
      <c r="D190" s="22"/>
      <c r="E190" s="22"/>
      <c r="F190" s="23"/>
      <c r="G190" s="22"/>
      <c r="H190" s="22"/>
      <c r="I190" s="23"/>
    </row>
    <row r="191" spans="1:9" ht="13.8" x14ac:dyDescent="0.3">
      <c r="A191" s="22"/>
      <c r="B191" s="22"/>
      <c r="C191" s="22"/>
      <c r="D191" s="22"/>
      <c r="E191" s="22"/>
      <c r="F191" s="23"/>
      <c r="G191" s="22"/>
      <c r="H191" s="22"/>
      <c r="I191" s="23"/>
    </row>
    <row r="192" spans="1:9" ht="13.8" x14ac:dyDescent="0.3">
      <c r="A192" s="22"/>
      <c r="B192" s="22"/>
      <c r="C192" s="22"/>
      <c r="D192" s="22"/>
      <c r="E192" s="22"/>
      <c r="F192" s="23"/>
      <c r="G192" s="22"/>
      <c r="H192" s="22"/>
      <c r="I192" s="23"/>
    </row>
    <row r="193" spans="1:9" ht="13.8" x14ac:dyDescent="0.3">
      <c r="A193" s="22"/>
      <c r="B193" s="22"/>
      <c r="C193" s="22"/>
      <c r="D193" s="22"/>
      <c r="E193" s="22"/>
      <c r="F193" s="23"/>
      <c r="G193" s="22"/>
      <c r="H193" s="22"/>
      <c r="I193" s="23"/>
    </row>
    <row r="194" spans="1:9" ht="13.8" x14ac:dyDescent="0.3">
      <c r="A194" s="22"/>
      <c r="B194" s="22"/>
      <c r="C194" s="22"/>
      <c r="D194" s="22"/>
      <c r="E194" s="22"/>
      <c r="F194" s="23"/>
      <c r="G194" s="22"/>
      <c r="H194" s="22"/>
      <c r="I194" s="23"/>
    </row>
    <row r="195" spans="1:9" ht="13.8" x14ac:dyDescent="0.3">
      <c r="A195" s="22"/>
      <c r="B195" s="22"/>
      <c r="C195" s="22"/>
      <c r="D195" s="22"/>
      <c r="E195" s="22"/>
      <c r="F195" s="23"/>
      <c r="G195" s="22"/>
      <c r="H195" s="22"/>
      <c r="I195" s="23"/>
    </row>
    <row r="196" spans="1:9" ht="13.8" x14ac:dyDescent="0.3">
      <c r="A196" s="22"/>
      <c r="B196" s="22"/>
      <c r="C196" s="22"/>
      <c r="D196" s="22"/>
      <c r="E196" s="22"/>
      <c r="F196" s="23"/>
      <c r="G196" s="22"/>
      <c r="H196" s="22"/>
      <c r="I196" s="23"/>
    </row>
    <row r="197" spans="1:9" ht="13.8" x14ac:dyDescent="0.3">
      <c r="A197" s="22"/>
      <c r="B197" s="22"/>
      <c r="C197" s="22"/>
      <c r="D197" s="22"/>
      <c r="E197" s="22"/>
      <c r="F197" s="23"/>
      <c r="G197" s="22"/>
      <c r="H197" s="22"/>
      <c r="I197" s="23"/>
    </row>
    <row r="198" spans="1:9" ht="13.8" x14ac:dyDescent="0.3">
      <c r="A198" s="22"/>
      <c r="B198" s="22"/>
      <c r="C198" s="22"/>
      <c r="D198" s="22"/>
      <c r="E198" s="22"/>
      <c r="F198" s="23"/>
      <c r="G198" s="22"/>
      <c r="H198" s="22"/>
      <c r="I198" s="23"/>
    </row>
    <row r="199" spans="1:9" ht="13.8" x14ac:dyDescent="0.3">
      <c r="A199" s="22"/>
      <c r="B199" s="22"/>
      <c r="C199" s="22"/>
      <c r="D199" s="22"/>
      <c r="E199" s="22"/>
      <c r="F199" s="23"/>
      <c r="G199" s="22"/>
      <c r="H199" s="22"/>
      <c r="I199" s="23"/>
    </row>
    <row r="200" spans="1:9" ht="13.8" x14ac:dyDescent="0.3">
      <c r="A200" s="22"/>
      <c r="B200" s="22"/>
      <c r="C200" s="22"/>
      <c r="D200" s="22"/>
      <c r="E200" s="22"/>
      <c r="F200" s="23"/>
      <c r="G200" s="22"/>
      <c r="H200" s="22"/>
      <c r="I200" s="23"/>
    </row>
    <row r="201" spans="1:9" ht="13.8" x14ac:dyDescent="0.3">
      <c r="A201" s="22"/>
      <c r="B201" s="22"/>
      <c r="C201" s="22"/>
      <c r="D201" s="22"/>
      <c r="E201" s="22"/>
      <c r="F201" s="23"/>
      <c r="G201" s="22"/>
      <c r="H201" s="22"/>
      <c r="I201" s="23"/>
    </row>
    <row r="202" spans="1:9" ht="13.8" x14ac:dyDescent="0.3">
      <c r="A202" s="22"/>
      <c r="B202" s="22"/>
      <c r="C202" s="22"/>
      <c r="D202" s="22"/>
      <c r="E202" s="22"/>
      <c r="F202" s="23"/>
      <c r="G202" s="22"/>
      <c r="H202" s="22"/>
      <c r="I202" s="23"/>
    </row>
    <row r="203" spans="1:9" ht="13.8" x14ac:dyDescent="0.3">
      <c r="A203" s="22"/>
      <c r="B203" s="22"/>
      <c r="C203" s="22"/>
      <c r="D203" s="22"/>
      <c r="E203" s="22"/>
      <c r="F203" s="23"/>
      <c r="G203" s="22"/>
      <c r="H203" s="22"/>
      <c r="I203" s="23"/>
    </row>
    <row r="204" spans="1:9" ht="13.8" x14ac:dyDescent="0.3">
      <c r="A204" s="22"/>
      <c r="B204" s="22"/>
      <c r="C204" s="22"/>
      <c r="D204" s="22"/>
      <c r="E204" s="22"/>
      <c r="F204" s="23"/>
      <c r="G204" s="22"/>
      <c r="H204" s="22"/>
      <c r="I204" s="23"/>
    </row>
    <row r="205" spans="1:9" ht="13.8" x14ac:dyDescent="0.3">
      <c r="A205" s="22"/>
      <c r="B205" s="22"/>
      <c r="C205" s="22"/>
      <c r="D205" s="22"/>
      <c r="E205" s="22"/>
      <c r="F205" s="23"/>
      <c r="G205" s="22"/>
      <c r="H205" s="22"/>
      <c r="I205" s="23"/>
    </row>
    <row r="206" spans="1:9" ht="13.8" x14ac:dyDescent="0.3">
      <c r="A206" s="22"/>
      <c r="B206" s="22"/>
      <c r="C206" s="22"/>
      <c r="D206" s="22"/>
      <c r="E206" s="22"/>
      <c r="F206" s="23"/>
      <c r="G206" s="22"/>
      <c r="H206" s="22"/>
      <c r="I206" s="23"/>
    </row>
    <row r="207" spans="1:9" ht="13.8" x14ac:dyDescent="0.3">
      <c r="A207" s="22"/>
      <c r="B207" s="22"/>
      <c r="C207" s="22"/>
      <c r="D207" s="22"/>
      <c r="E207" s="22"/>
      <c r="F207" s="23"/>
      <c r="G207" s="22"/>
      <c r="H207" s="22"/>
      <c r="I207" s="23"/>
    </row>
    <row r="208" spans="1:9" ht="13.8" x14ac:dyDescent="0.3">
      <c r="A208" s="22"/>
      <c r="B208" s="22"/>
      <c r="C208" s="22"/>
      <c r="D208" s="22"/>
      <c r="E208" s="22"/>
      <c r="F208" s="23"/>
      <c r="G208" s="22"/>
      <c r="H208" s="22"/>
      <c r="I208" s="23"/>
    </row>
    <row r="209" spans="1:9" ht="13.8" x14ac:dyDescent="0.3">
      <c r="A209" s="22"/>
      <c r="B209" s="22"/>
      <c r="C209" s="22"/>
      <c r="D209" s="22"/>
      <c r="E209" s="22"/>
      <c r="F209" s="23"/>
      <c r="G209" s="22"/>
      <c r="H209" s="22"/>
      <c r="I209" s="23"/>
    </row>
    <row r="210" spans="1:9" ht="13.8" x14ac:dyDescent="0.3">
      <c r="A210" s="22"/>
      <c r="B210" s="22"/>
      <c r="C210" s="22"/>
      <c r="D210" s="22"/>
      <c r="E210" s="22"/>
      <c r="F210" s="23"/>
      <c r="G210" s="22"/>
      <c r="H210" s="22"/>
      <c r="I210" s="23"/>
    </row>
    <row r="211" spans="1:9" ht="13.8" x14ac:dyDescent="0.3">
      <c r="A211" s="22"/>
      <c r="B211" s="22"/>
      <c r="C211" s="22"/>
      <c r="D211" s="22"/>
      <c r="E211" s="22"/>
      <c r="F211" s="23"/>
      <c r="G211" s="22"/>
      <c r="H211" s="22"/>
      <c r="I211" s="23"/>
    </row>
    <row r="212" spans="1:9" ht="13.8" x14ac:dyDescent="0.3">
      <c r="A212" s="22"/>
      <c r="B212" s="22"/>
      <c r="C212" s="22"/>
      <c r="D212" s="22"/>
      <c r="E212" s="22"/>
      <c r="F212" s="23"/>
      <c r="G212" s="22"/>
      <c r="H212" s="22"/>
      <c r="I212" s="23"/>
    </row>
    <row r="213" spans="1:9" ht="13.8" x14ac:dyDescent="0.3">
      <c r="A213" s="22"/>
      <c r="B213" s="22"/>
      <c r="C213" s="22"/>
      <c r="D213" s="22"/>
      <c r="E213" s="22"/>
      <c r="F213" s="23"/>
      <c r="G213" s="22"/>
      <c r="H213" s="22"/>
      <c r="I213" s="23"/>
    </row>
    <row r="214" spans="1:9" ht="13.8" x14ac:dyDescent="0.3">
      <c r="A214" s="22"/>
      <c r="B214" s="22"/>
      <c r="C214" s="22"/>
      <c r="D214" s="22"/>
      <c r="E214" s="22"/>
      <c r="F214" s="23"/>
      <c r="G214" s="22"/>
      <c r="H214" s="22"/>
      <c r="I214" s="23"/>
    </row>
    <row r="215" spans="1:9" ht="13.8" x14ac:dyDescent="0.3">
      <c r="A215" s="22"/>
      <c r="B215" s="22"/>
      <c r="C215" s="22"/>
      <c r="D215" s="22"/>
      <c r="E215" s="22"/>
      <c r="F215" s="23"/>
      <c r="G215" s="22"/>
      <c r="H215" s="22"/>
      <c r="I215" s="23"/>
    </row>
    <row r="216" spans="1:9" ht="13.8" x14ac:dyDescent="0.3">
      <c r="A216" s="22"/>
      <c r="B216" s="22"/>
      <c r="C216" s="22"/>
      <c r="D216" s="22"/>
      <c r="E216" s="22"/>
      <c r="F216" s="23"/>
      <c r="G216" s="22"/>
      <c r="H216" s="22"/>
      <c r="I216" s="23"/>
    </row>
    <row r="217" spans="1:9" ht="13.8" x14ac:dyDescent="0.3">
      <c r="A217" s="22"/>
      <c r="B217" s="22"/>
      <c r="C217" s="22"/>
      <c r="D217" s="22"/>
      <c r="E217" s="22"/>
      <c r="F217" s="23"/>
      <c r="G217" s="22"/>
      <c r="H217" s="22"/>
      <c r="I217" s="23"/>
    </row>
    <row r="218" spans="1:9" ht="13.8" x14ac:dyDescent="0.3">
      <c r="A218" s="22"/>
      <c r="B218" s="22"/>
      <c r="C218" s="22"/>
      <c r="D218" s="22"/>
      <c r="E218" s="22"/>
      <c r="F218" s="23"/>
      <c r="G218" s="22"/>
      <c r="H218" s="22"/>
      <c r="I218" s="23"/>
    </row>
    <row r="219" spans="1:9" ht="13.8" x14ac:dyDescent="0.3">
      <c r="A219" s="22"/>
      <c r="B219" s="22"/>
      <c r="C219" s="22"/>
      <c r="D219" s="22"/>
      <c r="E219" s="22"/>
      <c r="F219" s="23"/>
      <c r="G219" s="22"/>
      <c r="H219" s="22"/>
      <c r="I219" s="23"/>
    </row>
    <row r="220" spans="1:9" ht="13.8" x14ac:dyDescent="0.3">
      <c r="A220" s="22"/>
      <c r="B220" s="22"/>
      <c r="C220" s="22"/>
      <c r="D220" s="22"/>
      <c r="E220" s="22"/>
      <c r="F220" s="23"/>
      <c r="G220" s="22"/>
      <c r="H220" s="22"/>
      <c r="I220" s="23"/>
    </row>
    <row r="221" spans="1:9" ht="13.8" x14ac:dyDescent="0.3">
      <c r="A221" s="22"/>
      <c r="B221" s="22"/>
      <c r="C221" s="22"/>
      <c r="D221" s="22"/>
      <c r="E221" s="22"/>
      <c r="F221" s="23"/>
      <c r="G221" s="22"/>
      <c r="H221" s="22"/>
      <c r="I221" s="23"/>
    </row>
    <row r="222" spans="1:9" ht="13.8" x14ac:dyDescent="0.3">
      <c r="A222" s="22"/>
      <c r="B222" s="22"/>
      <c r="C222" s="22"/>
      <c r="D222" s="22"/>
      <c r="E222" s="22"/>
      <c r="F222" s="23"/>
      <c r="G222" s="22"/>
      <c r="H222" s="22"/>
      <c r="I222" s="23"/>
    </row>
    <row r="223" spans="1:9" ht="13.8" x14ac:dyDescent="0.3">
      <c r="A223" s="22"/>
      <c r="B223" s="22"/>
      <c r="C223" s="22"/>
      <c r="D223" s="22"/>
      <c r="E223" s="22"/>
      <c r="F223" s="23"/>
      <c r="G223" s="22"/>
      <c r="H223" s="22"/>
      <c r="I223" s="23"/>
    </row>
    <row r="224" spans="1:9" ht="13.8" x14ac:dyDescent="0.3">
      <c r="A224" s="22"/>
      <c r="B224" s="22"/>
      <c r="C224" s="22"/>
      <c r="D224" s="22"/>
      <c r="E224" s="22"/>
      <c r="F224" s="23"/>
      <c r="G224" s="22"/>
      <c r="H224" s="22"/>
      <c r="I224" s="23"/>
    </row>
    <row r="225" spans="1:9" ht="13.8" x14ac:dyDescent="0.3">
      <c r="A225" s="22"/>
      <c r="B225" s="22"/>
      <c r="C225" s="22"/>
      <c r="D225" s="22"/>
      <c r="E225" s="22"/>
      <c r="F225" s="23"/>
      <c r="G225" s="22"/>
      <c r="H225" s="22"/>
      <c r="I225" s="23"/>
    </row>
    <row r="226" spans="1:9" ht="13.8" x14ac:dyDescent="0.3">
      <c r="A226" s="22"/>
      <c r="B226" s="22"/>
      <c r="C226" s="22"/>
      <c r="D226" s="22"/>
      <c r="E226" s="22"/>
      <c r="F226" s="23"/>
      <c r="G226" s="22"/>
      <c r="H226" s="22"/>
      <c r="I226" s="23"/>
    </row>
    <row r="227" spans="1:9" ht="13.8" x14ac:dyDescent="0.3">
      <c r="A227" s="22"/>
      <c r="B227" s="22"/>
      <c r="C227" s="22"/>
      <c r="D227" s="22"/>
      <c r="E227" s="22"/>
      <c r="F227" s="23"/>
      <c r="G227" s="22"/>
      <c r="H227" s="22"/>
      <c r="I227" s="23"/>
    </row>
    <row r="228" spans="1:9" ht="13.8" x14ac:dyDescent="0.3">
      <c r="A228" s="22"/>
      <c r="B228" s="22"/>
      <c r="C228" s="22"/>
      <c r="D228" s="22"/>
      <c r="E228" s="22"/>
      <c r="F228" s="23"/>
      <c r="G228" s="22"/>
      <c r="H228" s="22"/>
      <c r="I228" s="23"/>
    </row>
    <row r="229" spans="1:9" ht="13.8" x14ac:dyDescent="0.3">
      <c r="A229" s="22"/>
      <c r="B229" s="22"/>
      <c r="C229" s="22"/>
      <c r="D229" s="22"/>
      <c r="E229" s="22"/>
      <c r="F229" s="23"/>
      <c r="G229" s="22"/>
      <c r="H229" s="22"/>
      <c r="I229" s="23"/>
    </row>
    <row r="230" spans="1:9" ht="13.8" x14ac:dyDescent="0.3">
      <c r="A230" s="22"/>
      <c r="B230" s="22"/>
      <c r="C230" s="22"/>
      <c r="D230" s="22"/>
      <c r="E230" s="22"/>
      <c r="F230" s="23"/>
      <c r="G230" s="22"/>
      <c r="H230" s="22"/>
      <c r="I230" s="23"/>
    </row>
    <row r="231" spans="1:9" ht="13.8" x14ac:dyDescent="0.3">
      <c r="A231" s="22"/>
      <c r="B231" s="22"/>
      <c r="C231" s="22"/>
      <c r="D231" s="22"/>
      <c r="E231" s="22"/>
      <c r="F231" s="23"/>
      <c r="G231" s="22"/>
      <c r="H231" s="22"/>
      <c r="I231" s="23"/>
    </row>
    <row r="232" spans="1:9" ht="13.8" x14ac:dyDescent="0.3">
      <c r="A232" s="22"/>
      <c r="B232" s="22"/>
      <c r="C232" s="22"/>
      <c r="D232" s="22"/>
      <c r="E232" s="22"/>
      <c r="F232" s="23"/>
      <c r="G232" s="22"/>
      <c r="H232" s="22"/>
      <c r="I232" s="23"/>
    </row>
    <row r="233" spans="1:9" ht="13.8" x14ac:dyDescent="0.3">
      <c r="A233" s="22"/>
      <c r="B233" s="22"/>
      <c r="C233" s="22"/>
      <c r="D233" s="22"/>
      <c r="E233" s="22"/>
      <c r="F233" s="23"/>
      <c r="G233" s="22"/>
      <c r="H233" s="22"/>
      <c r="I233" s="23"/>
    </row>
    <row r="234" spans="1:9" ht="13.8" x14ac:dyDescent="0.3">
      <c r="A234" s="22"/>
      <c r="B234" s="22"/>
      <c r="C234" s="22"/>
      <c r="D234" s="22"/>
      <c r="E234" s="22"/>
      <c r="F234" s="23"/>
      <c r="G234" s="22"/>
      <c r="H234" s="22"/>
      <c r="I234" s="23"/>
    </row>
    <row r="235" spans="1:9" ht="13.8" x14ac:dyDescent="0.3">
      <c r="A235" s="22"/>
      <c r="B235" s="22"/>
      <c r="C235" s="22"/>
      <c r="D235" s="22"/>
      <c r="E235" s="22"/>
      <c r="F235" s="23"/>
      <c r="G235" s="22"/>
      <c r="H235" s="22"/>
      <c r="I235" s="23"/>
    </row>
    <row r="236" spans="1:9" ht="13.8" x14ac:dyDescent="0.3">
      <c r="A236" s="22"/>
      <c r="B236" s="22"/>
      <c r="C236" s="22"/>
      <c r="D236" s="22"/>
      <c r="E236" s="22"/>
      <c r="F236" s="23"/>
      <c r="G236" s="22"/>
      <c r="H236" s="22"/>
      <c r="I236" s="23"/>
    </row>
    <row r="237" spans="1:9" ht="13.8" x14ac:dyDescent="0.3">
      <c r="A237" s="22"/>
      <c r="B237" s="22"/>
      <c r="C237" s="22"/>
      <c r="D237" s="22"/>
      <c r="E237" s="22"/>
      <c r="F237" s="23"/>
      <c r="G237" s="22"/>
      <c r="H237" s="22"/>
      <c r="I237" s="23"/>
    </row>
    <row r="238" spans="1:9" ht="13.8" x14ac:dyDescent="0.3">
      <c r="A238" s="22"/>
      <c r="B238" s="22"/>
      <c r="C238" s="22"/>
      <c r="D238" s="22"/>
      <c r="E238" s="22"/>
      <c r="F238" s="23"/>
      <c r="G238" s="22"/>
      <c r="H238" s="22"/>
      <c r="I238" s="23"/>
    </row>
    <row r="239" spans="1:9" ht="13.8" x14ac:dyDescent="0.3">
      <c r="A239" s="22"/>
      <c r="B239" s="22"/>
      <c r="C239" s="22"/>
      <c r="D239" s="22"/>
      <c r="E239" s="22"/>
      <c r="F239" s="23"/>
      <c r="G239" s="22"/>
      <c r="H239" s="22"/>
      <c r="I239" s="23"/>
    </row>
    <row r="240" spans="1:9" ht="13.8" x14ac:dyDescent="0.3">
      <c r="A240" s="22"/>
      <c r="B240" s="22"/>
      <c r="C240" s="22"/>
      <c r="D240" s="22"/>
      <c r="E240" s="22"/>
      <c r="F240" s="23"/>
      <c r="G240" s="22"/>
      <c r="H240" s="22"/>
      <c r="I240" s="23"/>
    </row>
    <row r="241" spans="1:9" ht="13.8" x14ac:dyDescent="0.3">
      <c r="A241" s="22"/>
      <c r="B241" s="22"/>
      <c r="C241" s="22"/>
      <c r="D241" s="22"/>
      <c r="E241" s="22"/>
      <c r="F241" s="23"/>
      <c r="G241" s="22"/>
      <c r="H241" s="22"/>
      <c r="I241" s="23"/>
    </row>
    <row r="242" spans="1:9" ht="13.8" x14ac:dyDescent="0.3">
      <c r="A242" s="22"/>
      <c r="B242" s="22"/>
      <c r="C242" s="22"/>
      <c r="D242" s="22"/>
      <c r="E242" s="22"/>
      <c r="F242" s="23"/>
      <c r="G242" s="22"/>
      <c r="H242" s="22"/>
      <c r="I242" s="23"/>
    </row>
    <row r="243" spans="1:9" ht="13.8" x14ac:dyDescent="0.3">
      <c r="A243" s="22"/>
      <c r="B243" s="22"/>
      <c r="C243" s="22"/>
      <c r="D243" s="22"/>
      <c r="E243" s="22"/>
      <c r="F243" s="23"/>
      <c r="G243" s="22"/>
      <c r="H243" s="22"/>
      <c r="I243" s="23"/>
    </row>
    <row r="244" spans="1:9" ht="13.8" x14ac:dyDescent="0.3">
      <c r="A244" s="22"/>
      <c r="B244" s="22"/>
      <c r="C244" s="22"/>
      <c r="D244" s="22"/>
      <c r="E244" s="22"/>
      <c r="F244" s="23"/>
      <c r="G244" s="22"/>
      <c r="H244" s="22"/>
      <c r="I244" s="23"/>
    </row>
    <row r="245" spans="1:9" ht="13.8" x14ac:dyDescent="0.3">
      <c r="A245" s="22"/>
      <c r="B245" s="22"/>
      <c r="C245" s="22"/>
      <c r="D245" s="22"/>
      <c r="E245" s="22"/>
      <c r="F245" s="23"/>
      <c r="G245" s="22"/>
      <c r="H245" s="22"/>
      <c r="I245" s="23"/>
    </row>
    <row r="246" spans="1:9" ht="13.8" x14ac:dyDescent="0.3">
      <c r="A246" s="22"/>
      <c r="B246" s="22"/>
      <c r="C246" s="22"/>
      <c r="D246" s="22"/>
      <c r="E246" s="22"/>
      <c r="F246" s="23"/>
      <c r="G246" s="22"/>
      <c r="H246" s="22"/>
      <c r="I246" s="23"/>
    </row>
    <row r="247" spans="1:9" ht="13.8" x14ac:dyDescent="0.3">
      <c r="A247" s="22"/>
      <c r="B247" s="22"/>
      <c r="C247" s="22"/>
      <c r="D247" s="22"/>
      <c r="E247" s="22"/>
      <c r="F247" s="23"/>
      <c r="G247" s="22"/>
      <c r="H247" s="22"/>
      <c r="I247" s="23"/>
    </row>
    <row r="248" spans="1:9" ht="13.8" x14ac:dyDescent="0.3">
      <c r="A248" s="22"/>
      <c r="B248" s="22"/>
      <c r="C248" s="22"/>
      <c r="D248" s="22"/>
      <c r="E248" s="22"/>
      <c r="F248" s="23"/>
      <c r="G248" s="22"/>
      <c r="H248" s="22"/>
      <c r="I248" s="23"/>
    </row>
    <row r="249" spans="1:9" ht="13.8" x14ac:dyDescent="0.3">
      <c r="A249" s="22"/>
      <c r="B249" s="22"/>
      <c r="C249" s="22"/>
      <c r="D249" s="22"/>
      <c r="E249" s="22"/>
      <c r="F249" s="23"/>
      <c r="G249" s="22"/>
      <c r="H249" s="22"/>
      <c r="I249" s="23"/>
    </row>
    <row r="250" spans="1:9" ht="13.8" x14ac:dyDescent="0.3">
      <c r="A250" s="22"/>
      <c r="B250" s="22"/>
      <c r="C250" s="22"/>
      <c r="D250" s="22"/>
      <c r="E250" s="22"/>
      <c r="F250" s="23"/>
      <c r="G250" s="22"/>
      <c r="H250" s="22"/>
      <c r="I250" s="23"/>
    </row>
    <row r="251" spans="1:9" ht="13.8" x14ac:dyDescent="0.3">
      <c r="A251" s="22"/>
      <c r="B251" s="22"/>
      <c r="C251" s="22"/>
      <c r="D251" s="22"/>
      <c r="E251" s="22"/>
      <c r="F251" s="23"/>
      <c r="G251" s="22"/>
      <c r="H251" s="22"/>
      <c r="I251" s="23"/>
    </row>
    <row r="252" spans="1:9" ht="13.8" x14ac:dyDescent="0.3">
      <c r="A252" s="22"/>
      <c r="B252" s="22"/>
      <c r="C252" s="22"/>
      <c r="D252" s="22"/>
      <c r="E252" s="22"/>
      <c r="F252" s="23"/>
      <c r="G252" s="22"/>
      <c r="H252" s="22"/>
      <c r="I252" s="23"/>
    </row>
    <row r="253" spans="1:9" ht="13.8" x14ac:dyDescent="0.3">
      <c r="A253" s="22"/>
      <c r="B253" s="22"/>
      <c r="C253" s="22"/>
      <c r="D253" s="22"/>
      <c r="E253" s="22"/>
      <c r="F253" s="23"/>
      <c r="G253" s="22"/>
      <c r="H253" s="22"/>
      <c r="I253" s="23"/>
    </row>
    <row r="254" spans="1:9" ht="13.8" x14ac:dyDescent="0.3">
      <c r="A254" s="22"/>
      <c r="B254" s="22"/>
      <c r="C254" s="22"/>
      <c r="D254" s="22"/>
      <c r="E254" s="22"/>
      <c r="F254" s="23"/>
      <c r="G254" s="22"/>
      <c r="H254" s="22"/>
      <c r="I254" s="23"/>
    </row>
    <row r="255" spans="1:9" ht="13.8" x14ac:dyDescent="0.3">
      <c r="A255" s="22"/>
      <c r="B255" s="22"/>
      <c r="C255" s="22"/>
      <c r="D255" s="22"/>
      <c r="E255" s="22"/>
      <c r="F255" s="23"/>
      <c r="G255" s="22"/>
      <c r="H255" s="22"/>
      <c r="I255" s="23"/>
    </row>
    <row r="256" spans="1:9" ht="13.8" x14ac:dyDescent="0.3">
      <c r="A256" s="22"/>
      <c r="B256" s="22"/>
      <c r="C256" s="22"/>
      <c r="D256" s="22"/>
      <c r="E256" s="22"/>
      <c r="F256" s="23"/>
      <c r="G256" s="22"/>
      <c r="H256" s="22"/>
      <c r="I256" s="23"/>
    </row>
    <row r="257" spans="1:9" ht="13.8" x14ac:dyDescent="0.3">
      <c r="A257" s="22"/>
      <c r="B257" s="22"/>
      <c r="C257" s="22"/>
      <c r="D257" s="22"/>
      <c r="E257" s="22"/>
      <c r="F257" s="23"/>
      <c r="G257" s="22"/>
      <c r="H257" s="22"/>
      <c r="I257" s="23"/>
    </row>
    <row r="258" spans="1:9" ht="13.8" x14ac:dyDescent="0.3">
      <c r="A258" s="22"/>
      <c r="B258" s="22"/>
      <c r="C258" s="22"/>
      <c r="D258" s="22"/>
      <c r="E258" s="22"/>
      <c r="F258" s="23"/>
      <c r="G258" s="22"/>
      <c r="H258" s="22"/>
      <c r="I258" s="23"/>
    </row>
    <row r="259" spans="1:9" ht="13.8" x14ac:dyDescent="0.3">
      <c r="A259" s="22"/>
      <c r="B259" s="22"/>
      <c r="C259" s="22"/>
      <c r="D259" s="22"/>
      <c r="E259" s="22"/>
      <c r="F259" s="23"/>
      <c r="G259" s="22"/>
      <c r="H259" s="22"/>
      <c r="I259" s="23"/>
    </row>
    <row r="260" spans="1:9" ht="13.8" x14ac:dyDescent="0.3">
      <c r="A260" s="22"/>
      <c r="B260" s="22"/>
      <c r="C260" s="22"/>
      <c r="D260" s="22"/>
      <c r="E260" s="22"/>
      <c r="F260" s="23"/>
      <c r="G260" s="22"/>
      <c r="H260" s="22"/>
      <c r="I260" s="23"/>
    </row>
    <row r="261" spans="1:9" ht="13.8" x14ac:dyDescent="0.3">
      <c r="A261" s="22"/>
      <c r="B261" s="22"/>
      <c r="C261" s="22"/>
      <c r="D261" s="22"/>
      <c r="E261" s="22"/>
      <c r="F261" s="23"/>
      <c r="G261" s="22"/>
      <c r="H261" s="22"/>
      <c r="I261" s="23"/>
    </row>
    <row r="262" spans="1:9" ht="13.8" x14ac:dyDescent="0.3">
      <c r="A262" s="22"/>
      <c r="B262" s="22"/>
      <c r="C262" s="22"/>
      <c r="D262" s="22"/>
      <c r="E262" s="22"/>
      <c r="F262" s="23"/>
      <c r="G262" s="22"/>
      <c r="H262" s="22"/>
      <c r="I262" s="23"/>
    </row>
    <row r="263" spans="1:9" ht="13.8" x14ac:dyDescent="0.3">
      <c r="A263" s="22"/>
      <c r="B263" s="22"/>
      <c r="C263" s="22"/>
      <c r="D263" s="22"/>
      <c r="E263" s="22"/>
      <c r="F263" s="23"/>
      <c r="G263" s="22"/>
      <c r="H263" s="22"/>
      <c r="I263" s="23"/>
    </row>
    <row r="264" spans="1:9" ht="13.8" x14ac:dyDescent="0.3">
      <c r="A264" s="22"/>
      <c r="B264" s="22"/>
      <c r="C264" s="22"/>
      <c r="D264" s="22"/>
      <c r="E264" s="22"/>
      <c r="F264" s="23"/>
      <c r="G264" s="22"/>
      <c r="H264" s="22"/>
      <c r="I264" s="23"/>
    </row>
    <row r="265" spans="1:9" ht="13.8" x14ac:dyDescent="0.3">
      <c r="A265" s="22"/>
      <c r="B265" s="22"/>
      <c r="C265" s="22"/>
      <c r="D265" s="22"/>
      <c r="E265" s="22"/>
      <c r="F265" s="23"/>
      <c r="G265" s="22"/>
      <c r="H265" s="22"/>
      <c r="I265" s="23"/>
    </row>
    <row r="266" spans="1:9" ht="13.8" x14ac:dyDescent="0.3">
      <c r="A266" s="22"/>
      <c r="B266" s="22"/>
      <c r="C266" s="22"/>
      <c r="D266" s="22"/>
      <c r="E266" s="22"/>
      <c r="F266" s="23"/>
      <c r="G266" s="22"/>
      <c r="H266" s="22"/>
      <c r="I266" s="23"/>
    </row>
    <row r="267" spans="1:9" ht="13.8" x14ac:dyDescent="0.3">
      <c r="A267" s="22"/>
      <c r="B267" s="22"/>
      <c r="C267" s="22"/>
      <c r="D267" s="22"/>
      <c r="E267" s="22"/>
      <c r="F267" s="23"/>
      <c r="G267" s="22"/>
      <c r="H267" s="22"/>
      <c r="I267" s="23"/>
    </row>
    <row r="268" spans="1:9" ht="13.8" x14ac:dyDescent="0.3">
      <c r="A268" s="22"/>
      <c r="B268" s="22"/>
      <c r="C268" s="22"/>
      <c r="D268" s="22"/>
      <c r="E268" s="22"/>
      <c r="F268" s="23"/>
      <c r="G268" s="22"/>
      <c r="H268" s="22"/>
      <c r="I268" s="23"/>
    </row>
    <row r="269" spans="1:9" ht="13.8" x14ac:dyDescent="0.3">
      <c r="A269" s="22"/>
      <c r="B269" s="22"/>
      <c r="C269" s="22"/>
      <c r="D269" s="22"/>
      <c r="E269" s="22"/>
      <c r="F269" s="23"/>
      <c r="G269" s="22"/>
      <c r="H269" s="22"/>
      <c r="I269" s="23"/>
    </row>
    <row r="270" spans="1:9" ht="13.8" x14ac:dyDescent="0.3">
      <c r="A270" s="22"/>
      <c r="B270" s="22"/>
      <c r="C270" s="22"/>
      <c r="D270" s="22"/>
      <c r="E270" s="22"/>
      <c r="F270" s="23"/>
      <c r="G270" s="22"/>
      <c r="H270" s="22"/>
      <c r="I270" s="23"/>
    </row>
    <row r="271" spans="1:9" ht="13.8" x14ac:dyDescent="0.3">
      <c r="A271" s="22"/>
      <c r="B271" s="22"/>
      <c r="C271" s="22"/>
      <c r="D271" s="22"/>
      <c r="E271" s="22"/>
      <c r="F271" s="23"/>
      <c r="G271" s="22"/>
      <c r="H271" s="22"/>
      <c r="I271" s="23"/>
    </row>
    <row r="272" spans="1:9" ht="13.8" x14ac:dyDescent="0.3">
      <c r="A272" s="22"/>
      <c r="B272" s="22"/>
      <c r="C272" s="22"/>
      <c r="D272" s="22"/>
      <c r="E272" s="22"/>
      <c r="F272" s="23"/>
      <c r="G272" s="22"/>
      <c r="H272" s="22"/>
      <c r="I272" s="23"/>
    </row>
    <row r="273" spans="1:9" ht="13.8" x14ac:dyDescent="0.3">
      <c r="A273" s="22"/>
      <c r="B273" s="22"/>
      <c r="C273" s="22"/>
      <c r="D273" s="22"/>
      <c r="E273" s="22"/>
      <c r="F273" s="23"/>
      <c r="G273" s="22"/>
      <c r="H273" s="22"/>
      <c r="I273" s="23"/>
    </row>
    <row r="274" spans="1:9" ht="13.8" x14ac:dyDescent="0.3">
      <c r="A274" s="22"/>
      <c r="B274" s="22"/>
      <c r="C274" s="22"/>
      <c r="D274" s="22"/>
      <c r="E274" s="22"/>
      <c r="F274" s="23"/>
      <c r="G274" s="22"/>
      <c r="H274" s="22"/>
      <c r="I274" s="23"/>
    </row>
    <row r="275" spans="1:9" ht="13.8" x14ac:dyDescent="0.3">
      <c r="A275" s="22"/>
      <c r="B275" s="22"/>
      <c r="C275" s="22"/>
      <c r="D275" s="22"/>
      <c r="E275" s="22"/>
      <c r="F275" s="23"/>
      <c r="G275" s="22"/>
      <c r="H275" s="22"/>
      <c r="I275" s="23"/>
    </row>
    <row r="276" spans="1:9" ht="13.8" x14ac:dyDescent="0.3">
      <c r="A276" s="22"/>
      <c r="B276" s="22"/>
      <c r="C276" s="22"/>
      <c r="D276" s="22"/>
      <c r="E276" s="22"/>
      <c r="F276" s="23"/>
      <c r="G276" s="22"/>
      <c r="H276" s="22"/>
      <c r="I276" s="23"/>
    </row>
    <row r="277" spans="1:9" ht="13.8" x14ac:dyDescent="0.3">
      <c r="A277" s="22"/>
      <c r="B277" s="22"/>
      <c r="C277" s="22"/>
      <c r="D277" s="22"/>
      <c r="E277" s="22"/>
      <c r="F277" s="23"/>
      <c r="G277" s="22"/>
      <c r="H277" s="22"/>
      <c r="I277" s="23"/>
    </row>
    <row r="278" spans="1:9" ht="13.8" x14ac:dyDescent="0.3">
      <c r="A278" s="22"/>
      <c r="B278" s="22"/>
      <c r="C278" s="22"/>
      <c r="D278" s="22"/>
      <c r="E278" s="22"/>
      <c r="F278" s="23"/>
      <c r="G278" s="22"/>
      <c r="H278" s="22"/>
      <c r="I278" s="23"/>
    </row>
    <row r="279" spans="1:9" ht="13.8" x14ac:dyDescent="0.3">
      <c r="A279" s="22"/>
      <c r="B279" s="22"/>
      <c r="C279" s="22"/>
      <c r="D279" s="22"/>
      <c r="E279" s="22"/>
      <c r="F279" s="23"/>
      <c r="G279" s="22"/>
      <c r="H279" s="22"/>
      <c r="I279" s="23"/>
    </row>
    <row r="280" spans="1:9" ht="13.8" x14ac:dyDescent="0.3">
      <c r="A280" s="22"/>
      <c r="B280" s="22"/>
      <c r="C280" s="22"/>
      <c r="D280" s="22"/>
      <c r="E280" s="22"/>
      <c r="F280" s="23"/>
      <c r="G280" s="22"/>
      <c r="H280" s="22"/>
      <c r="I280" s="23"/>
    </row>
    <row r="281" spans="1:9" ht="13.8" x14ac:dyDescent="0.3">
      <c r="A281" s="22"/>
      <c r="B281" s="22"/>
      <c r="C281" s="22"/>
      <c r="D281" s="22"/>
      <c r="E281" s="22"/>
      <c r="F281" s="23"/>
      <c r="G281" s="22"/>
      <c r="H281" s="22"/>
      <c r="I281" s="23"/>
    </row>
    <row r="282" spans="1:9" ht="13.8" x14ac:dyDescent="0.3">
      <c r="A282" s="22"/>
      <c r="B282" s="22"/>
      <c r="C282" s="22"/>
      <c r="D282" s="22"/>
      <c r="E282" s="22"/>
      <c r="F282" s="23"/>
      <c r="G282" s="22"/>
      <c r="H282" s="22"/>
      <c r="I282" s="23"/>
    </row>
    <row r="283" spans="1:9" ht="13.8" x14ac:dyDescent="0.3">
      <c r="A283" s="22"/>
      <c r="B283" s="22"/>
      <c r="C283" s="22"/>
      <c r="D283" s="22"/>
      <c r="E283" s="22"/>
      <c r="F283" s="23"/>
      <c r="G283" s="22"/>
      <c r="H283" s="22"/>
      <c r="I283" s="23"/>
    </row>
    <row r="284" spans="1:9" ht="13.8" x14ac:dyDescent="0.3">
      <c r="A284" s="22"/>
      <c r="B284" s="22"/>
      <c r="C284" s="22"/>
      <c r="D284" s="22"/>
      <c r="E284" s="22"/>
      <c r="F284" s="23"/>
      <c r="G284" s="22"/>
      <c r="H284" s="22"/>
      <c r="I284" s="23"/>
    </row>
    <row r="285" spans="1:9" ht="13.8" x14ac:dyDescent="0.3">
      <c r="A285" s="22"/>
      <c r="B285" s="22"/>
      <c r="C285" s="22"/>
      <c r="D285" s="22"/>
      <c r="E285" s="22"/>
      <c r="F285" s="23"/>
      <c r="G285" s="22"/>
      <c r="H285" s="22"/>
      <c r="I285" s="23"/>
    </row>
    <row r="286" spans="1:9" ht="13.8" x14ac:dyDescent="0.3">
      <c r="A286" s="22"/>
      <c r="B286" s="22"/>
      <c r="C286" s="22"/>
      <c r="D286" s="22"/>
      <c r="E286" s="22"/>
      <c r="F286" s="23"/>
      <c r="G286" s="22"/>
      <c r="H286" s="22"/>
      <c r="I286" s="23"/>
    </row>
    <row r="287" spans="1:9" ht="13.8" x14ac:dyDescent="0.3">
      <c r="A287" s="22"/>
      <c r="B287" s="22"/>
      <c r="C287" s="22"/>
      <c r="D287" s="22"/>
      <c r="E287" s="22"/>
      <c r="F287" s="23"/>
      <c r="G287" s="22"/>
      <c r="H287" s="22"/>
      <c r="I287" s="23"/>
    </row>
    <row r="288" spans="1:9" ht="13.8" x14ac:dyDescent="0.3">
      <c r="A288" s="22"/>
      <c r="B288" s="22"/>
      <c r="C288" s="22"/>
      <c r="D288" s="22"/>
      <c r="E288" s="22"/>
      <c r="F288" s="23"/>
      <c r="G288" s="22"/>
      <c r="H288" s="22"/>
      <c r="I288" s="23"/>
    </row>
    <row r="289" spans="1:9" ht="13.8" x14ac:dyDescent="0.3">
      <c r="A289" s="22"/>
      <c r="B289" s="22"/>
      <c r="C289" s="22"/>
      <c r="D289" s="22"/>
      <c r="E289" s="22"/>
      <c r="F289" s="23"/>
      <c r="G289" s="22"/>
      <c r="H289" s="22"/>
      <c r="I289" s="23"/>
    </row>
    <row r="290" spans="1:9" ht="13.8" x14ac:dyDescent="0.3">
      <c r="A290" s="22"/>
      <c r="B290" s="22"/>
      <c r="C290" s="22"/>
      <c r="D290" s="22"/>
      <c r="E290" s="22"/>
      <c r="F290" s="23"/>
      <c r="G290" s="22"/>
      <c r="H290" s="22"/>
      <c r="I290" s="23"/>
    </row>
    <row r="291" spans="1:9" ht="13.8" x14ac:dyDescent="0.3">
      <c r="A291" s="22"/>
      <c r="B291" s="22"/>
      <c r="C291" s="22"/>
      <c r="D291" s="22"/>
      <c r="E291" s="22"/>
      <c r="F291" s="23"/>
      <c r="G291" s="22"/>
      <c r="H291" s="22"/>
      <c r="I291" s="23"/>
    </row>
    <row r="292" spans="1:9" ht="13.8" x14ac:dyDescent="0.3">
      <c r="A292" s="22"/>
      <c r="B292" s="22"/>
      <c r="C292" s="22"/>
      <c r="D292" s="22"/>
      <c r="E292" s="22"/>
      <c r="F292" s="23"/>
      <c r="G292" s="22"/>
      <c r="H292" s="22"/>
      <c r="I292" s="23"/>
    </row>
    <row r="293" spans="1:9" ht="13.8" x14ac:dyDescent="0.3">
      <c r="A293" s="22"/>
      <c r="B293" s="22"/>
      <c r="C293" s="22"/>
      <c r="D293" s="22"/>
      <c r="E293" s="22"/>
      <c r="F293" s="23"/>
      <c r="G293" s="22"/>
      <c r="H293" s="22"/>
      <c r="I293" s="23"/>
    </row>
    <row r="294" spans="1:9" ht="13.8" x14ac:dyDescent="0.3">
      <c r="A294" s="22"/>
      <c r="B294" s="22"/>
      <c r="C294" s="22"/>
      <c r="D294" s="22"/>
      <c r="E294" s="22"/>
      <c r="F294" s="23"/>
      <c r="G294" s="22"/>
      <c r="H294" s="22"/>
      <c r="I294" s="23"/>
    </row>
    <row r="295" spans="1:9" ht="13.8" x14ac:dyDescent="0.3">
      <c r="A295" s="22"/>
      <c r="B295" s="22"/>
      <c r="C295" s="22"/>
      <c r="D295" s="22"/>
      <c r="E295" s="22"/>
      <c r="F295" s="23"/>
      <c r="G295" s="22"/>
      <c r="H295" s="22"/>
      <c r="I295" s="23"/>
    </row>
    <row r="296" spans="1:9" ht="13.8" x14ac:dyDescent="0.3">
      <c r="A296" s="22"/>
      <c r="B296" s="22"/>
      <c r="C296" s="22"/>
      <c r="D296" s="22"/>
      <c r="E296" s="22"/>
      <c r="F296" s="23"/>
      <c r="G296" s="22"/>
      <c r="H296" s="22"/>
      <c r="I296" s="23"/>
    </row>
    <row r="297" spans="1:9" ht="13.8" x14ac:dyDescent="0.3">
      <c r="A297" s="22"/>
      <c r="B297" s="22"/>
      <c r="C297" s="22"/>
      <c r="D297" s="22"/>
      <c r="E297" s="22"/>
      <c r="F297" s="23"/>
      <c r="G297" s="22"/>
      <c r="H297" s="22"/>
      <c r="I297" s="23"/>
    </row>
    <row r="298" spans="1:9" ht="13.8" x14ac:dyDescent="0.3">
      <c r="A298" s="22"/>
      <c r="B298" s="22"/>
      <c r="C298" s="22"/>
      <c r="D298" s="22"/>
      <c r="E298" s="22"/>
      <c r="F298" s="23"/>
      <c r="G298" s="22"/>
      <c r="H298" s="22"/>
      <c r="I298" s="23"/>
    </row>
    <row r="299" spans="1:9" ht="13.8" x14ac:dyDescent="0.3">
      <c r="A299" s="22"/>
      <c r="B299" s="22"/>
      <c r="C299" s="22"/>
      <c r="D299" s="22"/>
      <c r="E299" s="22"/>
      <c r="F299" s="23"/>
      <c r="G299" s="22"/>
      <c r="H299" s="22"/>
      <c r="I299" s="23"/>
    </row>
    <row r="300" spans="1:9" ht="13.8" x14ac:dyDescent="0.3">
      <c r="A300" s="22"/>
      <c r="B300" s="22"/>
      <c r="C300" s="22"/>
      <c r="D300" s="22"/>
      <c r="E300" s="22"/>
      <c r="F300" s="23"/>
      <c r="G300" s="22"/>
      <c r="H300" s="22"/>
      <c r="I300" s="23"/>
    </row>
    <row r="301" spans="1:9" ht="13.8" x14ac:dyDescent="0.3">
      <c r="A301" s="22"/>
      <c r="B301" s="22"/>
      <c r="C301" s="22"/>
      <c r="D301" s="22"/>
      <c r="E301" s="22"/>
      <c r="F301" s="23"/>
      <c r="G301" s="22"/>
      <c r="H301" s="22"/>
      <c r="I301" s="23"/>
    </row>
    <row r="302" spans="1:9" ht="13.8" x14ac:dyDescent="0.3">
      <c r="A302" s="22"/>
      <c r="B302" s="22"/>
      <c r="C302" s="22"/>
      <c r="D302" s="22"/>
      <c r="E302" s="22"/>
      <c r="F302" s="23"/>
      <c r="G302" s="22"/>
      <c r="H302" s="22"/>
      <c r="I302" s="23"/>
    </row>
    <row r="303" spans="1:9" ht="13.8" x14ac:dyDescent="0.3">
      <c r="A303" s="22"/>
      <c r="B303" s="22"/>
      <c r="C303" s="22"/>
      <c r="D303" s="22"/>
      <c r="E303" s="22"/>
      <c r="F303" s="23"/>
      <c r="G303" s="22"/>
      <c r="H303" s="22"/>
      <c r="I303" s="23"/>
    </row>
    <row r="304" spans="1:9" ht="13.8" x14ac:dyDescent="0.3">
      <c r="A304" s="22"/>
      <c r="B304" s="22"/>
      <c r="C304" s="22"/>
      <c r="D304" s="22"/>
      <c r="E304" s="22"/>
      <c r="F304" s="23"/>
      <c r="G304" s="22"/>
      <c r="H304" s="22"/>
      <c r="I304" s="23"/>
    </row>
    <row r="305" spans="1:9" ht="13.8" x14ac:dyDescent="0.3">
      <c r="A305" s="22"/>
      <c r="B305" s="22"/>
      <c r="C305" s="22"/>
      <c r="D305" s="22"/>
      <c r="E305" s="22"/>
      <c r="F305" s="23"/>
      <c r="G305" s="22"/>
      <c r="H305" s="22"/>
      <c r="I305" s="23"/>
    </row>
    <row r="306" spans="1:9" ht="13.8" x14ac:dyDescent="0.3">
      <c r="A306" s="22"/>
      <c r="B306" s="22"/>
      <c r="C306" s="22"/>
      <c r="D306" s="22"/>
      <c r="E306" s="22"/>
      <c r="F306" s="23"/>
      <c r="G306" s="22"/>
      <c r="H306" s="22"/>
      <c r="I306" s="23"/>
    </row>
    <row r="307" spans="1:9" ht="13.8" x14ac:dyDescent="0.3">
      <c r="A307" s="22"/>
      <c r="B307" s="22"/>
      <c r="C307" s="22"/>
      <c r="D307" s="22"/>
      <c r="E307" s="22"/>
      <c r="F307" s="23"/>
      <c r="G307" s="22"/>
      <c r="H307" s="22"/>
      <c r="I307" s="23"/>
    </row>
    <row r="308" spans="1:9" ht="13.8" x14ac:dyDescent="0.3">
      <c r="A308" s="22"/>
      <c r="B308" s="22"/>
      <c r="C308" s="22"/>
      <c r="D308" s="22"/>
      <c r="E308" s="22"/>
      <c r="F308" s="23"/>
      <c r="G308" s="22"/>
      <c r="H308" s="22"/>
      <c r="I308" s="23"/>
    </row>
    <row r="309" spans="1:9" ht="13.8" x14ac:dyDescent="0.3">
      <c r="A309" s="22"/>
      <c r="B309" s="22"/>
      <c r="C309" s="22"/>
      <c r="D309" s="22"/>
      <c r="E309" s="22"/>
      <c r="F309" s="23"/>
      <c r="G309" s="22"/>
      <c r="H309" s="22"/>
      <c r="I309" s="23"/>
    </row>
    <row r="310" spans="1:9" ht="13.8" x14ac:dyDescent="0.3">
      <c r="A310" s="22"/>
      <c r="B310" s="22"/>
      <c r="C310" s="22"/>
      <c r="D310" s="22"/>
      <c r="E310" s="22"/>
      <c r="F310" s="23"/>
      <c r="G310" s="22"/>
      <c r="H310" s="22"/>
      <c r="I310" s="23"/>
    </row>
    <row r="311" spans="1:9" ht="13.8" x14ac:dyDescent="0.3">
      <c r="A311" s="22"/>
      <c r="B311" s="22"/>
      <c r="C311" s="22"/>
      <c r="D311" s="22"/>
      <c r="E311" s="22"/>
      <c r="F311" s="23"/>
      <c r="G311" s="22"/>
      <c r="H311" s="22"/>
      <c r="I311" s="23"/>
    </row>
    <row r="312" spans="1:9" ht="13.8" x14ac:dyDescent="0.3">
      <c r="A312" s="22"/>
      <c r="B312" s="22"/>
      <c r="C312" s="22"/>
      <c r="D312" s="22"/>
      <c r="E312" s="22"/>
      <c r="F312" s="23"/>
      <c r="G312" s="22"/>
      <c r="H312" s="22"/>
      <c r="I312" s="23"/>
    </row>
    <row r="313" spans="1:9" ht="13.8" x14ac:dyDescent="0.3">
      <c r="A313" s="22"/>
      <c r="B313" s="22"/>
      <c r="C313" s="22"/>
      <c r="D313" s="22"/>
      <c r="E313" s="22"/>
      <c r="F313" s="23"/>
      <c r="G313" s="22"/>
      <c r="H313" s="22"/>
      <c r="I313" s="23"/>
    </row>
    <row r="314" spans="1:9" ht="13.8" x14ac:dyDescent="0.3">
      <c r="A314" s="22"/>
      <c r="B314" s="22"/>
      <c r="C314" s="22"/>
      <c r="D314" s="22"/>
      <c r="E314" s="22"/>
      <c r="F314" s="23"/>
      <c r="G314" s="22"/>
      <c r="H314" s="22"/>
      <c r="I314" s="23"/>
    </row>
    <row r="315" spans="1:9" ht="13.8" x14ac:dyDescent="0.3">
      <c r="A315" s="22"/>
      <c r="B315" s="22"/>
      <c r="C315" s="22"/>
      <c r="D315" s="22"/>
      <c r="E315" s="22"/>
      <c r="F315" s="23"/>
      <c r="G315" s="22"/>
      <c r="H315" s="22"/>
      <c r="I315" s="23"/>
    </row>
    <row r="316" spans="1:9" ht="13.8" x14ac:dyDescent="0.3">
      <c r="A316" s="22"/>
      <c r="B316" s="22"/>
      <c r="C316" s="22"/>
      <c r="D316" s="22"/>
      <c r="E316" s="22"/>
      <c r="F316" s="23"/>
      <c r="G316" s="22"/>
      <c r="H316" s="22"/>
      <c r="I316" s="23"/>
    </row>
    <row r="317" spans="1:9" ht="13.8" x14ac:dyDescent="0.3">
      <c r="A317" s="22"/>
      <c r="B317" s="22"/>
      <c r="C317" s="22"/>
      <c r="D317" s="22"/>
      <c r="E317" s="22"/>
      <c r="F317" s="23"/>
      <c r="G317" s="22"/>
      <c r="H317" s="22"/>
      <c r="I317" s="23"/>
    </row>
    <row r="318" spans="1:9" ht="13.8" x14ac:dyDescent="0.3">
      <c r="A318" s="22"/>
      <c r="B318" s="22"/>
      <c r="C318" s="22"/>
      <c r="D318" s="22"/>
      <c r="E318" s="22"/>
      <c r="F318" s="23"/>
      <c r="G318" s="22"/>
      <c r="H318" s="22"/>
      <c r="I318" s="23"/>
    </row>
    <row r="319" spans="1:9" ht="13.8" x14ac:dyDescent="0.3">
      <c r="A319" s="22"/>
      <c r="B319" s="22"/>
      <c r="C319" s="22"/>
      <c r="D319" s="22"/>
      <c r="E319" s="22"/>
      <c r="F319" s="23"/>
      <c r="G319" s="22"/>
      <c r="H319" s="22"/>
      <c r="I319" s="23"/>
    </row>
    <row r="320" spans="1:9" ht="13.8" x14ac:dyDescent="0.3">
      <c r="A320" s="22"/>
      <c r="B320" s="22"/>
      <c r="C320" s="22"/>
      <c r="D320" s="22"/>
      <c r="E320" s="22"/>
      <c r="F320" s="23"/>
      <c r="G320" s="22"/>
      <c r="H320" s="22"/>
      <c r="I320" s="23"/>
    </row>
    <row r="321" spans="1:9" ht="13.8" x14ac:dyDescent="0.3">
      <c r="A321" s="22"/>
      <c r="B321" s="22"/>
      <c r="C321" s="22"/>
      <c r="D321" s="22"/>
      <c r="E321" s="22"/>
      <c r="F321" s="23"/>
      <c r="G321" s="22"/>
      <c r="H321" s="22"/>
      <c r="I321" s="23"/>
    </row>
    <row r="322" spans="1:9" ht="13.8" x14ac:dyDescent="0.3">
      <c r="A322" s="22"/>
      <c r="B322" s="22"/>
      <c r="C322" s="22"/>
      <c r="D322" s="22"/>
      <c r="E322" s="22"/>
      <c r="F322" s="23"/>
      <c r="G322" s="22"/>
      <c r="H322" s="22"/>
      <c r="I322" s="23"/>
    </row>
    <row r="323" spans="1:9" ht="13.8" x14ac:dyDescent="0.3">
      <c r="A323" s="22"/>
      <c r="B323" s="22"/>
      <c r="C323" s="22"/>
      <c r="D323" s="22"/>
      <c r="E323" s="22"/>
      <c r="F323" s="23"/>
      <c r="G323" s="22"/>
      <c r="H323" s="22"/>
      <c r="I323" s="23"/>
    </row>
    <row r="324" spans="1:9" ht="13.8" x14ac:dyDescent="0.3">
      <c r="A324" s="22"/>
      <c r="B324" s="22"/>
      <c r="C324" s="22"/>
      <c r="D324" s="22"/>
      <c r="E324" s="22"/>
      <c r="F324" s="23"/>
      <c r="G324" s="22"/>
      <c r="H324" s="22"/>
      <c r="I324" s="23"/>
    </row>
    <row r="325" spans="1:9" ht="13.8" x14ac:dyDescent="0.3">
      <c r="A325" s="22"/>
      <c r="B325" s="22"/>
      <c r="C325" s="22"/>
      <c r="D325" s="22"/>
      <c r="E325" s="22"/>
      <c r="F325" s="23"/>
      <c r="G325" s="22"/>
      <c r="H325" s="22"/>
      <c r="I325" s="23"/>
    </row>
    <row r="326" spans="1:9" ht="13.8" x14ac:dyDescent="0.3">
      <c r="A326" s="22"/>
      <c r="B326" s="22"/>
      <c r="C326" s="22"/>
      <c r="D326" s="22"/>
      <c r="E326" s="22"/>
      <c r="F326" s="23"/>
      <c r="G326" s="22"/>
      <c r="H326" s="22"/>
      <c r="I326" s="23"/>
    </row>
    <row r="327" spans="1:9" ht="13.8" x14ac:dyDescent="0.3">
      <c r="A327" s="22"/>
      <c r="B327" s="22"/>
      <c r="C327" s="22"/>
      <c r="D327" s="22"/>
      <c r="E327" s="22"/>
      <c r="F327" s="23"/>
      <c r="G327" s="22"/>
      <c r="H327" s="22"/>
      <c r="I327" s="23"/>
    </row>
    <row r="328" spans="1:9" ht="13.8" x14ac:dyDescent="0.3">
      <c r="A328" s="22"/>
      <c r="B328" s="22"/>
      <c r="C328" s="22"/>
      <c r="D328" s="22"/>
      <c r="E328" s="22"/>
      <c r="F328" s="23"/>
      <c r="G328" s="22"/>
      <c r="H328" s="22"/>
      <c r="I328" s="23"/>
    </row>
    <row r="329" spans="1:9" ht="13.8" x14ac:dyDescent="0.3">
      <c r="A329" s="22"/>
      <c r="B329" s="22"/>
      <c r="C329" s="22"/>
      <c r="D329" s="22"/>
      <c r="E329" s="22"/>
      <c r="F329" s="23"/>
      <c r="G329" s="22"/>
      <c r="H329" s="22"/>
      <c r="I329" s="23"/>
    </row>
    <row r="330" spans="1:9" ht="13.8" x14ac:dyDescent="0.3">
      <c r="A330" s="22"/>
      <c r="B330" s="22"/>
      <c r="C330" s="22"/>
      <c r="D330" s="22"/>
      <c r="E330" s="22"/>
      <c r="F330" s="23"/>
      <c r="G330" s="22"/>
      <c r="H330" s="22"/>
      <c r="I330" s="23"/>
    </row>
    <row r="331" spans="1:9" ht="13.8" x14ac:dyDescent="0.3">
      <c r="A331" s="22"/>
      <c r="B331" s="22"/>
      <c r="C331" s="22"/>
      <c r="D331" s="22"/>
      <c r="E331" s="22"/>
      <c r="F331" s="23"/>
      <c r="G331" s="22"/>
      <c r="H331" s="22"/>
      <c r="I331" s="23"/>
    </row>
    <row r="332" spans="1:9" ht="13.8" x14ac:dyDescent="0.3">
      <c r="A332" s="22"/>
      <c r="B332" s="22"/>
      <c r="C332" s="22"/>
      <c r="D332" s="22"/>
      <c r="E332" s="22"/>
      <c r="F332" s="23"/>
      <c r="G332" s="22"/>
      <c r="H332" s="22"/>
      <c r="I332" s="23"/>
    </row>
    <row r="333" spans="1:9" ht="13.8" x14ac:dyDescent="0.3">
      <c r="A333" s="22"/>
      <c r="B333" s="22"/>
      <c r="C333" s="22"/>
      <c r="D333" s="22"/>
      <c r="E333" s="22"/>
      <c r="F333" s="23"/>
      <c r="G333" s="22"/>
      <c r="H333" s="22"/>
      <c r="I333" s="23"/>
    </row>
  </sheetData>
  <mergeCells count="4">
    <mergeCell ref="G1:I1"/>
    <mergeCell ref="A1:C1"/>
    <mergeCell ref="D1:F1"/>
    <mergeCell ref="A2:B2"/>
  </mergeCells>
  <conditionalFormatting sqref="F2 I2 F4:F91 I4:I91">
    <cfRule type="cellIs" dxfId="39" priority="1" stopIfTrue="1" operator="lessThanOrEqual">
      <formula>-0.1</formula>
    </cfRule>
    <cfRule type="expression" dxfId="3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M324"/>
  <sheetViews>
    <sheetView zoomScale="80" zoomScaleNormal="80" workbookViewId="0">
      <pane xSplit="2" ySplit="3" topLeftCell="I4" activePane="bottomRight" state="frozen"/>
      <selection pane="topRight" activeCell="A16" sqref="A16"/>
      <selection pane="bottomLeft" activeCell="A16" sqref="A16"/>
      <selection pane="bottomRight" activeCell="I21" sqref="I21"/>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36.5546875" customWidth="1"/>
  </cols>
  <sheetData>
    <row r="1" spans="1:13" ht="19.5" customHeight="1" x14ac:dyDescent="0.25">
      <c r="A1" s="75" t="str" cm="1">
        <f t="array" ref="A1">portfolio</f>
        <v>Tortoise</v>
      </c>
      <c r="B1" s="75"/>
      <c r="C1" s="75"/>
      <c r="D1" s="76" t="s">
        <v>18</v>
      </c>
      <c r="E1" s="76"/>
      <c r="F1" s="76"/>
      <c r="G1" s="74" t="s">
        <v>19</v>
      </c>
      <c r="H1" s="74"/>
      <c r="I1" s="74"/>
      <c r="J1" s="5"/>
      <c r="K1" s="5"/>
    </row>
    <row r="2" spans="1:13" ht="19.5" customHeight="1" x14ac:dyDescent="0.25">
      <c r="A2" s="77" t="s">
        <v>2</v>
      </c>
      <c r="B2" s="77"/>
      <c r="C2" s="6">
        <f>SUM(C4:C82)</f>
        <v>2501712.4954186738</v>
      </c>
      <c r="D2" s="6">
        <f>SUM(D4:D82)</f>
        <v>3032066.6599999997</v>
      </c>
      <c r="E2" s="6">
        <f>C2-D2</f>
        <v>-530354.16458132584</v>
      </c>
      <c r="F2" s="7">
        <f>IFERROR(E2/D2, 0)</f>
        <v>-0.17491507412351082</v>
      </c>
      <c r="G2" s="6">
        <f>SUM(G4:G82)</f>
        <v>3048208</v>
      </c>
      <c r="H2" s="8">
        <f>C2-G2</f>
        <v>-546495.50458132615</v>
      </c>
      <c r="I2" s="7">
        <f>IFERROR(H2/G2, 0)</f>
        <v>-0.17928419077088117</v>
      </c>
      <c r="J2" s="27" t="str">
        <f ca="1">IF(AND(TODAY()&gt;DATE(2024, 1, 1), COUNTA(Sites[Site])&lt;&gt;(COUNT(C:C)-1)), "Some sites are missing actual data; if new sites were added, make sure they are aligned correctly (including prior months!)", "")</f>
        <v/>
      </c>
      <c r="K2" s="5"/>
    </row>
    <row r="3" spans="1:13" ht="14.25" customHeight="1" x14ac:dyDescent="0.25">
      <c r="A3" s="28" t="s">
        <v>3</v>
      </c>
      <c r="B3" s="9" t="s">
        <v>4</v>
      </c>
      <c r="C3" s="24" t="s">
        <v>5</v>
      </c>
      <c r="D3" s="35" t="s">
        <v>6</v>
      </c>
      <c r="E3" s="35" t="s">
        <v>7</v>
      </c>
      <c r="F3" s="36" t="s">
        <v>8</v>
      </c>
      <c r="G3" s="40" t="s">
        <v>9</v>
      </c>
      <c r="H3" s="38" t="s">
        <v>7</v>
      </c>
      <c r="I3" s="39" t="s">
        <v>8</v>
      </c>
      <c r="J3" s="58" t="s">
        <v>20</v>
      </c>
      <c r="K3" s="58" t="s">
        <v>21</v>
      </c>
    </row>
    <row r="4" spans="1:13" ht="57.6" x14ac:dyDescent="0.3">
      <c r="A4" s="32" t="str" cm="1">
        <f t="array" ref="A4:A13">Sites[Site]</f>
        <v>Alamosa School District</v>
      </c>
      <c r="B4" s="29" t="str" cm="1">
        <f t="array" ref="B4:B13">Sites[State]</f>
        <v>CO</v>
      </c>
      <c r="C4" s="25">
        <v>57157</v>
      </c>
      <c r="D4" s="14">
        <v>78953</v>
      </c>
      <c r="E4" s="14">
        <f>IF(AND(ISNUMBER(C4),ISNUMBER(D4)), C4-D4, "")</f>
        <v>-21796</v>
      </c>
      <c r="F4" s="15">
        <f>IFERROR(E4/D4, "")</f>
        <v>-0.27606297417450887</v>
      </c>
      <c r="G4" s="16">
        <v>92539.7</v>
      </c>
      <c r="H4" s="16">
        <f>IF(AND(ISNUMBER(C4),ISNUMBER(G4)), C4-G4, "")</f>
        <v>-35382.699999999997</v>
      </c>
      <c r="I4" s="17">
        <f>IFERROR(H4/G4, "")</f>
        <v>-0.38235157451342505</v>
      </c>
      <c r="J4" s="50" t="s">
        <v>22</v>
      </c>
      <c r="K4" s="59" t="s">
        <v>23</v>
      </c>
      <c r="L4" s="61" t="s">
        <v>24</v>
      </c>
      <c r="M4" s="62"/>
    </row>
    <row r="5" spans="1:13" ht="43.2" x14ac:dyDescent="0.25">
      <c r="A5" s="30" t="str">
        <v>San Luis Valley</v>
      </c>
      <c r="B5" s="31" t="str">
        <v>CO</v>
      </c>
      <c r="C5" s="12">
        <v>144650.5</v>
      </c>
      <c r="D5" s="19">
        <v>160327.5</v>
      </c>
      <c r="E5" s="19">
        <f t="shared" ref="E5:E13" si="0">IF(AND(ISNUMBER(C5),ISNUMBER(D5)), C5-D5, "")</f>
        <v>-15677</v>
      </c>
      <c r="F5" s="20">
        <f>IFERROR(E5/D5, "")</f>
        <v>-9.7781104302131577E-2</v>
      </c>
      <c r="G5" s="21">
        <v>0</v>
      </c>
      <c r="H5" s="21">
        <f t="shared" ref="H5:H6" si="1">IF(AND(ISNUMBER(C5),ISNUMBER(G5)), C5-G5, "")</f>
        <v>144650.5</v>
      </c>
      <c r="I5" s="20" t="str">
        <f t="shared" ref="I5:I6" si="2">IFERROR(H5/G5, "")</f>
        <v/>
      </c>
      <c r="J5" s="48" t="s">
        <v>25</v>
      </c>
      <c r="K5" s="60" t="s">
        <v>26</v>
      </c>
      <c r="L5" s="62"/>
      <c r="M5" s="62"/>
    </row>
    <row r="6" spans="1:13" ht="15.6" x14ac:dyDescent="0.3">
      <c r="A6" s="32" t="str">
        <v>Golden NREL 2</v>
      </c>
      <c r="B6" s="29" t="str">
        <v>CO</v>
      </c>
      <c r="C6" s="25">
        <v>5628</v>
      </c>
      <c r="D6" s="14">
        <v>5616.3</v>
      </c>
      <c r="E6" s="14">
        <f t="shared" si="0"/>
        <v>11.699999999999818</v>
      </c>
      <c r="F6" s="15">
        <f t="shared" ref="F6:F13" si="3">IFERROR(E6/D6, "")</f>
        <v>2.0832220501041288E-3</v>
      </c>
      <c r="G6" s="16">
        <v>7739.1</v>
      </c>
      <c r="H6" s="16">
        <f t="shared" si="1"/>
        <v>-2111.1000000000004</v>
      </c>
      <c r="I6" s="17">
        <f t="shared" si="2"/>
        <v>-0.27278365701438156</v>
      </c>
      <c r="J6" s="50" t="s">
        <v>27</v>
      </c>
      <c r="K6" s="50"/>
      <c r="L6" s="62"/>
      <c r="M6" s="62"/>
    </row>
    <row r="7" spans="1:13" ht="28.8" x14ac:dyDescent="0.25">
      <c r="A7" s="30" t="str">
        <v>Golden NREL Wind 3</v>
      </c>
      <c r="B7" s="31" t="str">
        <v>CO</v>
      </c>
      <c r="C7" s="12">
        <v>45016.592187499999</v>
      </c>
      <c r="D7" s="19">
        <v>65286.76</v>
      </c>
      <c r="E7" s="19">
        <f t="shared" si="0"/>
        <v>-20270.167812500003</v>
      </c>
      <c r="F7" s="20">
        <f t="shared" si="3"/>
        <v>-0.31047899777075783</v>
      </c>
      <c r="G7" s="21">
        <v>0</v>
      </c>
      <c r="H7" s="21">
        <f t="shared" ref="H7:H13" si="4">IF(AND(ISNUMBER(C7),ISNUMBER(G7)), C7-G7, "")</f>
        <v>45016.592187499999</v>
      </c>
      <c r="I7" s="20" t="str">
        <f t="shared" ref="I7:I13" si="5">IFERROR(H7/G7, "")</f>
        <v/>
      </c>
      <c r="J7" s="48" t="s">
        <v>28</v>
      </c>
      <c r="K7" s="60" t="s">
        <v>29</v>
      </c>
      <c r="L7" s="62"/>
      <c r="M7" s="62"/>
    </row>
    <row r="8" spans="1:13" ht="15.6" x14ac:dyDescent="0.3">
      <c r="A8" s="32" t="str">
        <v>Pratt Solar Farm</v>
      </c>
      <c r="B8" s="29" t="str">
        <v>KS</v>
      </c>
      <c r="C8" s="25">
        <v>641110</v>
      </c>
      <c r="D8" s="14">
        <v>959485.1</v>
      </c>
      <c r="E8" s="14">
        <f t="shared" si="0"/>
        <v>-318375.09999999998</v>
      </c>
      <c r="F8" s="15">
        <f t="shared" si="3"/>
        <v>-0.33181870150979936</v>
      </c>
      <c r="G8" s="16">
        <v>865991.1</v>
      </c>
      <c r="H8" s="16">
        <f t="shared" si="4"/>
        <v>-224881.09999999998</v>
      </c>
      <c r="I8" s="17">
        <f t="shared" si="5"/>
        <v>-0.25968061334579534</v>
      </c>
      <c r="J8" s="50" t="s">
        <v>30</v>
      </c>
      <c r="K8" s="59" t="s">
        <v>31</v>
      </c>
      <c r="L8" s="62"/>
      <c r="M8" s="62"/>
    </row>
    <row r="9" spans="1:13" ht="57.6" x14ac:dyDescent="0.25">
      <c r="A9" s="30" t="str">
        <v>Rochester - 5516 Valleyhigh NW</v>
      </c>
      <c r="B9" s="31" t="str">
        <v>MN</v>
      </c>
      <c r="C9" s="12">
        <v>748299</v>
      </c>
      <c r="D9" s="19">
        <v>805370.6</v>
      </c>
      <c r="E9" s="19">
        <f t="shared" si="0"/>
        <v>-57071.599999999977</v>
      </c>
      <c r="F9" s="20">
        <f t="shared" si="3"/>
        <v>-7.0863773770733593E-2</v>
      </c>
      <c r="G9" s="21">
        <v>885341.6</v>
      </c>
      <c r="H9" s="21">
        <f t="shared" si="4"/>
        <v>-137042.59999999998</v>
      </c>
      <c r="I9" s="20">
        <f t="shared" si="5"/>
        <v>-0.15479064803912973</v>
      </c>
      <c r="J9" s="48" t="s">
        <v>32</v>
      </c>
      <c r="K9" s="60" t="s">
        <v>33</v>
      </c>
      <c r="L9" s="61" t="s">
        <v>34</v>
      </c>
      <c r="M9" s="62"/>
    </row>
    <row r="10" spans="1:13" ht="15.6" x14ac:dyDescent="0.3">
      <c r="A10" s="32" t="str">
        <v>Warsaw - 2201 Richmond</v>
      </c>
      <c r="B10" s="29" t="str">
        <v>VA</v>
      </c>
      <c r="C10" s="25">
        <v>479142.19999999902</v>
      </c>
      <c r="D10" s="14">
        <v>554593.9</v>
      </c>
      <c r="E10" s="14">
        <f t="shared" si="0"/>
        <v>-75451.700000001001</v>
      </c>
      <c r="F10" s="15">
        <f t="shared" si="3"/>
        <v>-0.13604855733177196</v>
      </c>
      <c r="G10" s="16">
        <v>548915</v>
      </c>
      <c r="H10" s="16">
        <f t="shared" si="4"/>
        <v>-69772.800000000978</v>
      </c>
      <c r="I10" s="17">
        <f t="shared" si="5"/>
        <v>-0.1271103904976198</v>
      </c>
      <c r="J10" s="50" t="s">
        <v>35</v>
      </c>
      <c r="K10" s="59" t="s">
        <v>36</v>
      </c>
      <c r="L10" s="62"/>
      <c r="M10" s="62"/>
    </row>
    <row r="11" spans="1:13" ht="115.2" x14ac:dyDescent="0.25">
      <c r="A11" s="30" t="str">
        <v>Mount Jackson - Randolf</v>
      </c>
      <c r="B11" s="31" t="str">
        <v>VA</v>
      </c>
      <c r="C11" s="12">
        <v>127473.20323117499</v>
      </c>
      <c r="D11" s="19">
        <v>147694.20000000001</v>
      </c>
      <c r="E11" s="19">
        <f t="shared" si="0"/>
        <v>-20220.996768825018</v>
      </c>
      <c r="F11" s="20">
        <f t="shared" si="3"/>
        <v>-0.13691124478026231</v>
      </c>
      <c r="G11" s="21">
        <v>364481.5</v>
      </c>
      <c r="H11" s="21">
        <f t="shared" si="4"/>
        <v>-237008.29676882501</v>
      </c>
      <c r="I11" s="20">
        <f t="shared" si="5"/>
        <v>-0.65026152704273055</v>
      </c>
      <c r="J11" s="48" t="s">
        <v>37</v>
      </c>
      <c r="K11" s="60" t="s">
        <v>38</v>
      </c>
      <c r="L11" s="61" t="s">
        <v>39</v>
      </c>
      <c r="M11" s="61" t="s">
        <v>40</v>
      </c>
    </row>
    <row r="12" spans="1:13" ht="15.6" x14ac:dyDescent="0.3">
      <c r="A12" s="32" t="str">
        <v>Callands Gretna - Monroe</v>
      </c>
      <c r="B12" s="29" t="str">
        <v>VA</v>
      </c>
      <c r="C12" s="25">
        <v>253236</v>
      </c>
      <c r="D12" s="14">
        <v>254739.3</v>
      </c>
      <c r="E12" s="14">
        <f t="shared" si="0"/>
        <v>-1503.2999999999884</v>
      </c>
      <c r="F12" s="15">
        <f t="shared" si="3"/>
        <v>-5.9013273570273153E-3</v>
      </c>
      <c r="G12" s="16">
        <v>283200</v>
      </c>
      <c r="H12" s="16">
        <f t="shared" si="4"/>
        <v>-29964</v>
      </c>
      <c r="I12" s="17">
        <f t="shared" si="5"/>
        <v>-0.10580508474576271</v>
      </c>
      <c r="J12" s="50" t="s">
        <v>41</v>
      </c>
      <c r="K12" s="59" t="s">
        <v>42</v>
      </c>
      <c r="L12" s="62"/>
      <c r="M12" s="62"/>
    </row>
    <row r="13" spans="1:13" ht="15.6" x14ac:dyDescent="0.25">
      <c r="A13" s="30" t="str">
        <v>Rockbridge Baths - Small Mouth Bass</v>
      </c>
      <c r="B13" s="31" t="str">
        <v>VA</v>
      </c>
      <c r="C13" s="12">
        <v>0</v>
      </c>
      <c r="D13" s="19">
        <v>0</v>
      </c>
      <c r="E13" s="19">
        <f t="shared" si="0"/>
        <v>0</v>
      </c>
      <c r="F13" s="20" t="str">
        <f t="shared" si="3"/>
        <v/>
      </c>
      <c r="G13" s="21">
        <v>0</v>
      </c>
      <c r="H13" s="21">
        <f t="shared" si="4"/>
        <v>0</v>
      </c>
      <c r="I13" s="20" t="str">
        <f t="shared" si="5"/>
        <v/>
      </c>
      <c r="J13" s="48" t="s">
        <v>43</v>
      </c>
      <c r="K13" s="60" t="s">
        <v>44</v>
      </c>
      <c r="L13" s="62"/>
      <c r="M13" s="62"/>
    </row>
    <row r="14" spans="1:13" ht="14.4" x14ac:dyDescent="0.3">
      <c r="A14" s="22"/>
      <c r="B14" s="33"/>
      <c r="C14" s="22"/>
      <c r="D14" s="22"/>
      <c r="E14" s="22"/>
      <c r="F14" s="22"/>
      <c r="G14" s="22"/>
      <c r="H14" s="22"/>
      <c r="I14" s="22"/>
      <c r="J14" s="22"/>
      <c r="K14" s="22"/>
      <c r="L14" s="62"/>
      <c r="M14" s="62"/>
    </row>
    <row r="15" spans="1:13" ht="14.4" x14ac:dyDescent="0.3">
      <c r="A15" s="22"/>
      <c r="B15" s="33"/>
      <c r="C15" s="22"/>
      <c r="D15" s="22"/>
      <c r="E15" s="22"/>
      <c r="F15" s="23"/>
      <c r="G15" s="22"/>
      <c r="H15" s="22"/>
      <c r="I15" s="23"/>
      <c r="J15" s="22"/>
      <c r="K15" s="22"/>
    </row>
    <row r="16" spans="1:13" ht="14.4" x14ac:dyDescent="0.3">
      <c r="A16" s="22"/>
      <c r="B16" s="33"/>
      <c r="C16" s="22"/>
      <c r="D16" s="22"/>
      <c r="E16" s="22"/>
      <c r="F16" s="23"/>
      <c r="G16" s="22"/>
      <c r="H16" s="22"/>
      <c r="I16" s="23"/>
      <c r="J16" s="22"/>
      <c r="K16" s="22"/>
    </row>
    <row r="17" spans="1:11" ht="14.4" x14ac:dyDescent="0.3">
      <c r="A17" s="22"/>
      <c r="B17" s="33"/>
      <c r="C17" s="22"/>
      <c r="D17" s="22"/>
      <c r="E17" s="22"/>
      <c r="F17" s="23"/>
      <c r="G17" s="22"/>
      <c r="H17" s="22"/>
      <c r="I17" s="23"/>
      <c r="J17" s="22"/>
      <c r="K17" s="22"/>
    </row>
    <row r="18" spans="1:11" ht="14.4" x14ac:dyDescent="0.3">
      <c r="A18" s="22"/>
      <c r="B18" s="33"/>
      <c r="C18" s="22"/>
      <c r="D18" s="22"/>
      <c r="E18" s="22"/>
      <c r="F18" s="23"/>
      <c r="G18" s="22"/>
      <c r="H18" s="22"/>
      <c r="I18" s="23"/>
      <c r="J18" s="22"/>
      <c r="K18" s="22"/>
    </row>
    <row r="19" spans="1:11" ht="14.4" x14ac:dyDescent="0.3">
      <c r="A19" s="22"/>
      <c r="B19" s="33"/>
      <c r="C19" s="22"/>
      <c r="D19" s="22"/>
      <c r="E19" s="22"/>
      <c r="F19" s="23"/>
      <c r="G19" s="22"/>
      <c r="H19" s="22"/>
      <c r="I19" s="23"/>
      <c r="J19" s="22"/>
      <c r="K19" s="22"/>
    </row>
    <row r="20" spans="1:11" ht="14.4" x14ac:dyDescent="0.3">
      <c r="A20" s="22"/>
      <c r="B20" s="33"/>
      <c r="C20" s="22"/>
      <c r="D20" s="22"/>
      <c r="E20" s="22"/>
      <c r="F20" s="23"/>
      <c r="G20" s="22"/>
      <c r="H20" s="22"/>
      <c r="I20" s="23"/>
      <c r="J20" s="22"/>
      <c r="K20" s="22"/>
    </row>
    <row r="21" spans="1:11" ht="14.4" x14ac:dyDescent="0.3">
      <c r="A21" s="22"/>
      <c r="B21" s="33"/>
      <c r="C21" s="22"/>
      <c r="D21" s="22"/>
      <c r="E21" s="22"/>
      <c r="F21" s="23"/>
      <c r="G21" s="22"/>
      <c r="H21" s="22"/>
      <c r="I21" s="23"/>
      <c r="J21" s="22"/>
      <c r="K21" s="22"/>
    </row>
    <row r="22" spans="1:11" ht="14.4" x14ac:dyDescent="0.3">
      <c r="A22" s="22"/>
      <c r="B22" s="33"/>
      <c r="C22" s="22"/>
      <c r="D22" s="22"/>
      <c r="E22" s="22"/>
      <c r="F22" s="23"/>
      <c r="G22" s="22"/>
      <c r="H22" s="22"/>
      <c r="I22" s="23"/>
      <c r="J22" s="22"/>
      <c r="K22" s="22"/>
    </row>
    <row r="23" spans="1:11" ht="14.4" x14ac:dyDescent="0.3">
      <c r="A23" s="22"/>
      <c r="B23" s="33"/>
      <c r="C23" s="22"/>
      <c r="D23" s="22"/>
      <c r="E23" s="22"/>
      <c r="F23" s="23"/>
      <c r="G23" s="22"/>
      <c r="H23" s="22"/>
      <c r="I23" s="23"/>
      <c r="J23" s="22"/>
      <c r="K23" s="22"/>
    </row>
    <row r="24" spans="1:11" ht="14.4" x14ac:dyDescent="0.3">
      <c r="A24" s="22"/>
      <c r="B24" s="33"/>
      <c r="C24" s="22"/>
      <c r="D24" s="22"/>
      <c r="E24" s="22"/>
      <c r="F24" s="23"/>
      <c r="G24" s="22"/>
      <c r="H24" s="22"/>
      <c r="I24" s="23"/>
      <c r="J24" s="22"/>
      <c r="K24" s="22"/>
    </row>
    <row r="25" spans="1:11" ht="14.4" x14ac:dyDescent="0.3">
      <c r="A25" s="22"/>
      <c r="B25" s="33"/>
      <c r="C25" s="22"/>
      <c r="D25" s="22"/>
      <c r="E25" s="22"/>
      <c r="F25" s="23"/>
      <c r="G25" s="22"/>
      <c r="H25" s="22"/>
      <c r="I25" s="23"/>
      <c r="J25" s="22"/>
      <c r="K25" s="22"/>
    </row>
    <row r="26" spans="1:11" ht="14.4" x14ac:dyDescent="0.3">
      <c r="A26" s="22"/>
      <c r="B26" s="33"/>
      <c r="C26" s="22"/>
      <c r="D26" s="22"/>
      <c r="E26" s="22"/>
      <c r="F26" s="23"/>
      <c r="G26" s="22"/>
      <c r="H26" s="22"/>
      <c r="I26" s="23"/>
      <c r="J26" s="22"/>
      <c r="K26" s="22"/>
    </row>
    <row r="27" spans="1:11" ht="14.4" x14ac:dyDescent="0.3">
      <c r="A27" s="22"/>
      <c r="B27" s="33"/>
      <c r="C27" s="22"/>
      <c r="D27" s="22"/>
      <c r="E27" s="22"/>
      <c r="F27" s="23"/>
      <c r="G27" s="22"/>
      <c r="H27" s="22"/>
      <c r="I27" s="23"/>
      <c r="J27" s="22"/>
      <c r="K27" s="22"/>
    </row>
    <row r="28" spans="1:11" ht="14.4" x14ac:dyDescent="0.3">
      <c r="A28" s="22"/>
      <c r="B28" s="33"/>
      <c r="C28" s="22"/>
      <c r="D28" s="22"/>
      <c r="E28" s="22"/>
      <c r="F28" s="23"/>
      <c r="G28" s="22"/>
      <c r="H28" s="22"/>
      <c r="I28" s="23"/>
      <c r="J28" s="22"/>
      <c r="K28" s="22"/>
    </row>
    <row r="29" spans="1:11" ht="14.4" x14ac:dyDescent="0.3">
      <c r="A29" s="22"/>
      <c r="B29" s="33"/>
      <c r="C29" s="22"/>
      <c r="D29" s="22"/>
      <c r="E29" s="22"/>
      <c r="F29" s="23"/>
      <c r="G29" s="22"/>
      <c r="H29" s="22"/>
      <c r="I29" s="23"/>
      <c r="J29" s="22"/>
      <c r="K29" s="22"/>
    </row>
    <row r="30" spans="1:11" ht="14.4" x14ac:dyDescent="0.3">
      <c r="A30" s="22"/>
      <c r="B30" s="33"/>
      <c r="C30" s="22"/>
      <c r="D30" s="22"/>
      <c r="E30" s="22"/>
      <c r="F30" s="23"/>
      <c r="G30" s="22"/>
      <c r="H30" s="22"/>
      <c r="I30" s="23"/>
      <c r="J30" s="22"/>
      <c r="K30" s="22"/>
    </row>
    <row r="31" spans="1:11" ht="14.4" x14ac:dyDescent="0.3">
      <c r="A31" s="22"/>
      <c r="B31" s="33"/>
      <c r="C31" s="22"/>
      <c r="D31" s="22"/>
      <c r="E31" s="22"/>
      <c r="F31" s="23"/>
      <c r="G31" s="22"/>
      <c r="H31" s="22"/>
      <c r="I31" s="23"/>
      <c r="J31" s="22"/>
      <c r="K31" s="22"/>
    </row>
    <row r="32" spans="1:11" ht="14.4" x14ac:dyDescent="0.3">
      <c r="A32" s="22"/>
      <c r="B32" s="33"/>
      <c r="C32" s="22"/>
      <c r="D32" s="22"/>
      <c r="E32" s="22"/>
      <c r="F32" s="23"/>
      <c r="G32" s="22"/>
      <c r="H32" s="22"/>
      <c r="I32" s="23"/>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sheetData>
  <mergeCells count="4">
    <mergeCell ref="D1:F1"/>
    <mergeCell ref="A1:C1"/>
    <mergeCell ref="G1:I1"/>
    <mergeCell ref="A2:B2"/>
  </mergeCells>
  <phoneticPr fontId="5" type="noConversion"/>
  <conditionalFormatting sqref="F2 I2 F4:F82 I4:I82">
    <cfRule type="cellIs" dxfId="37" priority="4" stopIfTrue="1" operator="lessThanOrEqual">
      <formula>-0.1</formula>
    </cfRule>
    <cfRule type="expression" dxfId="36" priority="5">
      <formula>AND(ISNUMBER(F2), F2&gt;=0.1)</formula>
    </cfRule>
  </conditionalFormatting>
  <hyperlinks>
    <hyperlink ref="K4" r:id="rId1" display="https://us3.assetplanner.com/service_request?ID=095491" xr:uid="{5940B625-444B-4823-88EE-56222C9072EE}"/>
    <hyperlink ref="L4" r:id="rId2" display="https://us3.assetplanner.com/service_request?ID=095824" xr:uid="{7ADCB564-FEB5-4BE6-AA78-48ADCDD1A4D2}"/>
    <hyperlink ref="K5" r:id="rId3" display="https://us3.assetplanner.com/service_request?ID=093905" xr:uid="{F54AD888-9EFE-4712-9D2A-738DA0EA507C}"/>
    <hyperlink ref="K7" r:id="rId4" display="https://us3.assetplanner.com/service_request?ID=096263" xr:uid="{FC157595-6CE6-45B6-8F9D-0C99F5429DC0}"/>
    <hyperlink ref="K8" r:id="rId5" display="https://us3.assetplanner.com/service_request?ID=093458" xr:uid="{8261A5E9-B459-4994-9A6C-ACEB3C8FDF66}"/>
    <hyperlink ref="K9" r:id="rId6" display="https://us3.assetplanner.com/service_request?ID=094033" xr:uid="{E4A28255-A87F-4028-9A6E-9E382EF56033}"/>
    <hyperlink ref="L9" r:id="rId7" display="https://us3.assetplanner.com/service_request?ID=095849" xr:uid="{D0599B1F-063E-4CFA-98E1-117E548D1E79}"/>
    <hyperlink ref="K10" r:id="rId8" display="https://us3.assetplanner.com/service_request?ID=096181" xr:uid="{5FCF1054-1E2A-4E6E-928A-E1CB562A2B88}"/>
    <hyperlink ref="K11" r:id="rId9" display="https://us3.assetplanner.com/service_request?ID=095130" xr:uid="{2C492312-C80F-4F92-A6FF-306912090297}"/>
    <hyperlink ref="L11" r:id="rId10" display="https://us3.assetplanner.com/service_request?ID=096122" xr:uid="{4B6F55BF-A4C2-4444-A8D5-8DB6AD4A5888}"/>
    <hyperlink ref="M11" r:id="rId11" display="https://us3.assetplanner.com/service_request?ID=096074" xr:uid="{53D84153-AD4B-462C-86DE-F25090E169D3}"/>
    <hyperlink ref="K12" r:id="rId12" display="https://us3.assetplanner.com/service_request?ID=091277" xr:uid="{56F88AC4-E46B-4785-A872-18D6C13D64A6}"/>
    <hyperlink ref="K13" r:id="rId13" display="https://us3.assetplanner.com/service_request?ID=094062" xr:uid="{6C09063B-B6F1-4C4C-8D77-A6B0263E9635}"/>
  </hyperlinks>
  <pageMargins left="0.4" right="0.7" top="0.25" bottom="0.25" header="0.3" footer="0.3"/>
  <pageSetup fitToHeight="99" orientation="landscape" r:id="rId1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U333"/>
  <sheetViews>
    <sheetView zoomScale="84" zoomScaleNormal="60" workbookViewId="0">
      <pane xSplit="2" ySplit="3" topLeftCell="F4" activePane="bottomRight" state="frozen"/>
      <selection pane="topRight" activeCell="D13" sqref="D13"/>
      <selection pane="bottomLeft" activeCell="D13" sqref="D13"/>
      <selection pane="bottomRight" activeCell="N21" sqref="N21"/>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21" ht="19.5" customHeight="1" x14ac:dyDescent="0.25">
      <c r="A1" s="75" t="str" cm="1">
        <f t="array" ref="A1">portfolio</f>
        <v>Tortoise</v>
      </c>
      <c r="B1" s="75"/>
      <c r="C1" s="75"/>
      <c r="D1" s="76" t="s">
        <v>45</v>
      </c>
      <c r="E1" s="76"/>
      <c r="F1" s="76"/>
      <c r="G1" s="74" t="s">
        <v>46</v>
      </c>
      <c r="H1" s="74"/>
      <c r="I1" s="74"/>
      <c r="J1" s="5"/>
      <c r="K1" s="5"/>
    </row>
    <row r="2" spans="1:21" ht="19.5" customHeight="1" x14ac:dyDescent="0.25">
      <c r="A2" s="77" t="s">
        <v>2</v>
      </c>
      <c r="B2" s="77"/>
      <c r="C2" s="6">
        <f>SUM(C4:C91)</f>
        <v>3345331.7428600001</v>
      </c>
      <c r="D2" s="6">
        <f>SUM(D4:D91)</f>
        <v>3654038.1054529999</v>
      </c>
      <c r="E2" s="6">
        <f>C2-D2</f>
        <v>-308706.36259299982</v>
      </c>
      <c r="F2" s="7">
        <f>IFERROR(E2/D2, 0)</f>
        <v>-8.4483618857808473E-2</v>
      </c>
      <c r="G2" s="6">
        <f>SUM(G4:G91)</f>
        <v>3375549.1</v>
      </c>
      <c r="H2" s="8">
        <f>C2-G2</f>
        <v>-30217.357139999978</v>
      </c>
      <c r="I2" s="7">
        <f>IFERROR(H2/G2, 0)</f>
        <v>-8.9518345741141717E-3</v>
      </c>
      <c r="J2" s="27" t="str">
        <f ca="1">IF(AND(TODAY()&gt;DATE(2024, 2, 1), COUNTA(Sites[Site])&lt;&gt;(COUNT(C:C)-1)), "Some sites are missing actual data; if new sites were added, make sure they are aligned correctly (including prior months!)", "")</f>
        <v/>
      </c>
      <c r="K2" s="5"/>
    </row>
    <row r="3" spans="1:21" ht="14.25" customHeight="1" x14ac:dyDescent="0.25">
      <c r="A3" s="9" t="s">
        <v>3</v>
      </c>
      <c r="B3" s="9" t="s">
        <v>4</v>
      </c>
      <c r="C3" s="24" t="s">
        <v>5</v>
      </c>
      <c r="D3" s="35" t="s">
        <v>6</v>
      </c>
      <c r="E3" s="35" t="s">
        <v>7</v>
      </c>
      <c r="F3" s="36" t="s">
        <v>8</v>
      </c>
      <c r="G3" s="37" t="s">
        <v>9</v>
      </c>
      <c r="H3" s="38" t="s">
        <v>7</v>
      </c>
      <c r="I3" s="39" t="s">
        <v>8</v>
      </c>
      <c r="J3" s="26" t="s">
        <v>20</v>
      </c>
      <c r="K3" s="26" t="s">
        <v>21</v>
      </c>
    </row>
    <row r="4" spans="1:21" ht="43.2" x14ac:dyDescent="0.3">
      <c r="A4" s="32" t="str" cm="1">
        <f t="array" ref="A4:A13">Sites[Site]</f>
        <v>Alamosa School District</v>
      </c>
      <c r="B4" s="29" t="str" cm="1">
        <f t="array" ref="B4:B13">Sites[State]</f>
        <v>CO</v>
      </c>
      <c r="C4" s="25">
        <v>70710</v>
      </c>
      <c r="D4" s="14">
        <v>90943.272800000006</v>
      </c>
      <c r="E4" s="14">
        <f>IF(AND(ISNUMBER(C4),ISNUMBER(D4)), C4-D4, "")</f>
        <v>-20233.272800000006</v>
      </c>
      <c r="F4" s="15">
        <f>IFERROR(E4/D4, "")</f>
        <v>-0.22248234725944463</v>
      </c>
      <c r="G4" s="16">
        <v>9724.2000000000007</v>
      </c>
      <c r="H4" s="16">
        <f>IF(AND(ISNUMBER(C4),ISNUMBER(G4)), C4-G4, "")</f>
        <v>60985.8</v>
      </c>
      <c r="I4" s="17">
        <f>IFERROR(H4/G4, "")</f>
        <v>6.271549330536188</v>
      </c>
      <c r="J4" s="45" t="s">
        <v>47</v>
      </c>
      <c r="K4" s="59" t="s">
        <v>48</v>
      </c>
      <c r="L4" s="62"/>
      <c r="M4" s="62"/>
      <c r="N4" s="62"/>
      <c r="O4" s="62"/>
      <c r="P4" s="62"/>
      <c r="Q4" s="62"/>
      <c r="R4" s="62"/>
      <c r="S4" s="62"/>
      <c r="T4" s="62"/>
      <c r="U4" s="62"/>
    </row>
    <row r="5" spans="1:21" ht="15.6" x14ac:dyDescent="0.3">
      <c r="A5" s="30" t="str">
        <v>San Luis Valley</v>
      </c>
      <c r="B5" s="31" t="str">
        <v>CO</v>
      </c>
      <c r="C5" s="12">
        <v>194848</v>
      </c>
      <c r="D5" s="12">
        <v>185624.7</v>
      </c>
      <c r="E5" s="19">
        <f>IF(AND(ISNUMBER(C5),ISNUMBER(D5)), C5-D5, "")</f>
        <v>9223.2999999999884</v>
      </c>
      <c r="F5" s="20">
        <f>IFERROR(E5/D5, "")</f>
        <v>4.9687891751474818E-2</v>
      </c>
      <c r="G5" s="44">
        <v>0</v>
      </c>
      <c r="H5" s="21">
        <f t="shared" ref="H5:H13" si="0">IF(AND(ISNUMBER(C5),ISNUMBER(G5)), C5-G5, "")</f>
        <v>194848</v>
      </c>
      <c r="I5" s="20" t="str">
        <f t="shared" ref="I5:I13" si="1">IFERROR(H5/G5, "")</f>
        <v/>
      </c>
      <c r="J5" s="49"/>
      <c r="K5" s="49"/>
      <c r="L5" s="62"/>
      <c r="M5" s="62"/>
      <c r="N5" s="62"/>
      <c r="O5" s="62"/>
      <c r="P5" s="62"/>
      <c r="Q5" s="62"/>
      <c r="R5" s="62"/>
      <c r="S5" s="62"/>
      <c r="T5" s="62"/>
      <c r="U5" s="62"/>
    </row>
    <row r="6" spans="1:21" ht="15.6" x14ac:dyDescent="0.3">
      <c r="A6" s="32" t="str">
        <v>Golden NREL 2</v>
      </c>
      <c r="B6" s="29" t="str">
        <v>CO</v>
      </c>
      <c r="C6" s="25">
        <v>7116</v>
      </c>
      <c r="D6" s="14">
        <v>6946.0426530000004</v>
      </c>
      <c r="E6" s="14">
        <f t="shared" ref="E6:E13" si="2">IF(AND(ISNUMBER(C6),ISNUMBER(D6)), C6-D6, "")</f>
        <v>169.95734699999957</v>
      </c>
      <c r="F6" s="15">
        <f t="shared" ref="F6:F13" si="3">IFERROR(E6/D6, "")</f>
        <v>2.4468226800564617E-2</v>
      </c>
      <c r="G6" s="16">
        <v>8817.9</v>
      </c>
      <c r="H6" s="16">
        <f t="shared" si="0"/>
        <v>-1701.8999999999996</v>
      </c>
      <c r="I6" s="17">
        <f t="shared" si="1"/>
        <v>-0.19300513727758306</v>
      </c>
      <c r="J6" s="45" t="s">
        <v>49</v>
      </c>
      <c r="K6" s="45"/>
      <c r="L6" s="62"/>
      <c r="M6" s="62"/>
      <c r="N6" s="62"/>
      <c r="O6" s="62"/>
      <c r="P6" s="62"/>
      <c r="Q6" s="62"/>
      <c r="R6" s="62"/>
      <c r="S6" s="62"/>
      <c r="T6" s="62"/>
      <c r="U6" s="62"/>
    </row>
    <row r="7" spans="1:21" ht="28.8" x14ac:dyDescent="0.3">
      <c r="A7" s="30" t="str">
        <v>Golden NREL Wind 3</v>
      </c>
      <c r="B7" s="31" t="str">
        <v>CO</v>
      </c>
      <c r="C7" s="12">
        <v>55115.14286</v>
      </c>
      <c r="D7" s="12">
        <v>83777.100000000006</v>
      </c>
      <c r="E7" s="19">
        <f t="shared" si="2"/>
        <v>-28661.957140000006</v>
      </c>
      <c r="F7" s="20">
        <f t="shared" si="3"/>
        <v>-0.34212161963114029</v>
      </c>
      <c r="G7" s="44">
        <v>0</v>
      </c>
      <c r="H7" s="21">
        <f t="shared" si="0"/>
        <v>55115.14286</v>
      </c>
      <c r="I7" s="20" t="str">
        <f t="shared" si="1"/>
        <v/>
      </c>
      <c r="J7" s="49" t="s">
        <v>50</v>
      </c>
      <c r="K7" s="60" t="s">
        <v>29</v>
      </c>
      <c r="L7" s="62"/>
      <c r="M7" s="62"/>
      <c r="N7" s="62"/>
      <c r="O7" s="62"/>
      <c r="P7" s="62"/>
      <c r="Q7" s="62"/>
      <c r="R7" s="62"/>
      <c r="S7" s="62"/>
      <c r="T7" s="62"/>
      <c r="U7" s="62"/>
    </row>
    <row r="8" spans="1:21" ht="28.8" x14ac:dyDescent="0.3">
      <c r="A8" s="32" t="str">
        <v>Pratt Solar Farm</v>
      </c>
      <c r="B8" s="29" t="str">
        <v>KS</v>
      </c>
      <c r="C8" s="25">
        <v>609030</v>
      </c>
      <c r="D8" s="14">
        <v>919002.6</v>
      </c>
      <c r="E8" s="14">
        <f>IF(AND(ISNUMBER(C8),ISNUMBER(D8)), C8-D8, "")</f>
        <v>-309972.59999999998</v>
      </c>
      <c r="F8" s="15">
        <f t="shared" si="3"/>
        <v>-0.33729240809547217</v>
      </c>
      <c r="G8" s="16">
        <v>811213.8</v>
      </c>
      <c r="H8" s="16">
        <f t="shared" si="0"/>
        <v>-202183.80000000005</v>
      </c>
      <c r="I8" s="17">
        <f t="shared" si="1"/>
        <v>-0.24923614465138541</v>
      </c>
      <c r="J8" s="63" t="s">
        <v>51</v>
      </c>
      <c r="K8" s="59" t="s">
        <v>31</v>
      </c>
      <c r="L8" s="62"/>
      <c r="M8" s="62"/>
      <c r="N8" s="62"/>
      <c r="O8" s="62"/>
      <c r="P8" s="62"/>
      <c r="Q8" s="62"/>
      <c r="R8" s="62"/>
      <c r="S8" s="62"/>
      <c r="T8" s="62"/>
      <c r="U8" s="62"/>
    </row>
    <row r="9" spans="1:21" ht="326.25" customHeight="1" x14ac:dyDescent="0.25">
      <c r="A9" s="30" t="str">
        <v>Rochester - 5516 Valleyhigh NW</v>
      </c>
      <c r="B9" s="31" t="str">
        <v>MN</v>
      </c>
      <c r="C9" s="12">
        <v>1053549</v>
      </c>
      <c r="D9" s="65">
        <v>1144122</v>
      </c>
      <c r="E9" s="19">
        <f t="shared" si="2"/>
        <v>-90573</v>
      </c>
      <c r="F9" s="20">
        <f t="shared" si="3"/>
        <v>-7.9163760508057707E-2</v>
      </c>
      <c r="G9" s="65">
        <v>1113658</v>
      </c>
      <c r="H9" s="21">
        <f t="shared" si="0"/>
        <v>-60109</v>
      </c>
      <c r="I9" s="20">
        <f t="shared" si="1"/>
        <v>-5.3974379926332861E-2</v>
      </c>
      <c r="J9" s="64" t="s">
        <v>52</v>
      </c>
      <c r="K9" s="60" t="s">
        <v>53</v>
      </c>
      <c r="L9" s="61" t="s">
        <v>54</v>
      </c>
      <c r="M9" s="61" t="s">
        <v>55</v>
      </c>
      <c r="N9" s="61" t="s">
        <v>56</v>
      </c>
      <c r="O9" s="61" t="s">
        <v>57</v>
      </c>
      <c r="P9" s="61" t="s">
        <v>58</v>
      </c>
      <c r="Q9" s="61" t="s">
        <v>34</v>
      </c>
      <c r="R9" s="61" t="s">
        <v>59</v>
      </c>
      <c r="S9" s="61" t="s">
        <v>60</v>
      </c>
      <c r="T9" s="62"/>
      <c r="U9" s="62"/>
    </row>
    <row r="10" spans="1:21" ht="115.2" x14ac:dyDescent="0.3">
      <c r="A10" s="32" t="str">
        <v>Warsaw - 2201 Richmond</v>
      </c>
      <c r="B10" s="29" t="str">
        <v>VA</v>
      </c>
      <c r="C10" s="25">
        <v>638142.1</v>
      </c>
      <c r="D10" s="14">
        <v>701308.1</v>
      </c>
      <c r="E10" s="14">
        <f t="shared" si="2"/>
        <v>-63166</v>
      </c>
      <c r="F10" s="15">
        <f t="shared" si="3"/>
        <v>-9.0068829947921605E-2</v>
      </c>
      <c r="G10" s="16">
        <v>663175</v>
      </c>
      <c r="H10" s="16">
        <f t="shared" si="0"/>
        <v>-25032.900000000023</v>
      </c>
      <c r="I10" s="17">
        <f t="shared" si="1"/>
        <v>-3.7747050175293131E-2</v>
      </c>
      <c r="J10" s="45" t="s">
        <v>61</v>
      </c>
      <c r="K10" s="59" t="s">
        <v>62</v>
      </c>
      <c r="L10" s="61" t="s">
        <v>63</v>
      </c>
      <c r="M10" s="62"/>
      <c r="N10" s="62"/>
      <c r="O10" s="62"/>
      <c r="P10" s="62"/>
      <c r="Q10" s="62"/>
      <c r="R10" s="62"/>
      <c r="S10" s="62"/>
      <c r="T10" s="62"/>
      <c r="U10" s="62"/>
    </row>
    <row r="11" spans="1:21" ht="143.25" customHeight="1" x14ac:dyDescent="0.25">
      <c r="A11" s="30" t="str">
        <v>Mount Jackson - Randolf</v>
      </c>
      <c r="B11" s="31" t="str">
        <v>VA</v>
      </c>
      <c r="C11" s="12">
        <v>437522.5</v>
      </c>
      <c r="D11" s="66">
        <v>422842.5</v>
      </c>
      <c r="E11" s="19">
        <f t="shared" si="2"/>
        <v>14680</v>
      </c>
      <c r="F11" s="20">
        <f t="shared" si="3"/>
        <v>3.4717418424117727E-2</v>
      </c>
      <c r="G11" s="66">
        <v>449760.2</v>
      </c>
      <c r="H11" s="21">
        <f t="shared" si="0"/>
        <v>-12237.700000000012</v>
      </c>
      <c r="I11" s="20">
        <f t="shared" si="1"/>
        <v>-2.7209388469677867E-2</v>
      </c>
      <c r="J11" s="64" t="s">
        <v>64</v>
      </c>
      <c r="K11" s="60" t="s">
        <v>65</v>
      </c>
      <c r="L11" s="61" t="s">
        <v>66</v>
      </c>
      <c r="M11" s="61" t="s">
        <v>67</v>
      </c>
      <c r="N11" s="61" t="s">
        <v>68</v>
      </c>
      <c r="O11" s="62"/>
      <c r="P11" s="62"/>
      <c r="Q11" s="62"/>
      <c r="R11" s="62"/>
      <c r="S11" s="62"/>
      <c r="T11" s="62"/>
      <c r="U11" s="62"/>
    </row>
    <row r="12" spans="1:21" ht="57.6" x14ac:dyDescent="0.3">
      <c r="A12" s="32" t="str">
        <v>Callands Gretna - Monroe</v>
      </c>
      <c r="B12" s="29" t="str">
        <v>VA</v>
      </c>
      <c r="C12" s="25">
        <v>279299</v>
      </c>
      <c r="D12" s="14">
        <v>99471.79</v>
      </c>
      <c r="E12" s="14">
        <f t="shared" si="2"/>
        <v>179827.21000000002</v>
      </c>
      <c r="F12" s="15">
        <f t="shared" si="3"/>
        <v>1.8078211923199536</v>
      </c>
      <c r="G12" s="16">
        <v>319200</v>
      </c>
      <c r="H12" s="16">
        <f t="shared" si="0"/>
        <v>-39901</v>
      </c>
      <c r="I12" s="17">
        <f t="shared" si="1"/>
        <v>-0.1250031328320802</v>
      </c>
      <c r="J12" s="45" t="s">
        <v>69</v>
      </c>
      <c r="K12" s="59" t="s">
        <v>70</v>
      </c>
      <c r="L12" s="61" t="s">
        <v>71</v>
      </c>
      <c r="M12" s="61" t="s">
        <v>72</v>
      </c>
      <c r="N12" s="62"/>
      <c r="O12" s="62"/>
      <c r="P12" s="62"/>
      <c r="Q12" s="62"/>
      <c r="R12" s="62"/>
      <c r="S12" s="62"/>
      <c r="T12" s="62"/>
      <c r="U12" s="62"/>
    </row>
    <row r="13" spans="1:21" ht="15.6" x14ac:dyDescent="0.3">
      <c r="A13" s="30" t="str">
        <v>Rockbridge Baths - Small Mouth Bass</v>
      </c>
      <c r="B13" s="31" t="str">
        <v>VA</v>
      </c>
      <c r="C13" s="12">
        <v>0</v>
      </c>
      <c r="D13" s="44">
        <v>0</v>
      </c>
      <c r="E13" s="19">
        <f t="shared" si="2"/>
        <v>0</v>
      </c>
      <c r="F13" s="20" t="str">
        <f t="shared" si="3"/>
        <v/>
      </c>
      <c r="G13" s="44">
        <v>0</v>
      </c>
      <c r="H13" s="21">
        <f t="shared" si="0"/>
        <v>0</v>
      </c>
      <c r="I13" s="20" t="str">
        <f t="shared" si="1"/>
        <v/>
      </c>
      <c r="J13" s="49" t="s">
        <v>43</v>
      </c>
      <c r="K13" s="67" t="s">
        <v>44</v>
      </c>
      <c r="L13" s="62"/>
      <c r="M13" s="62"/>
      <c r="N13" s="62"/>
      <c r="O13" s="62"/>
      <c r="P13" s="62"/>
      <c r="Q13" s="62"/>
      <c r="R13" s="62"/>
      <c r="S13" s="62"/>
      <c r="T13" s="62"/>
      <c r="U13" s="62"/>
    </row>
    <row r="14" spans="1:21" ht="14.4" x14ac:dyDescent="0.3">
      <c r="A14" s="22"/>
      <c r="B14" s="33"/>
      <c r="C14" s="22"/>
      <c r="D14" s="22"/>
      <c r="E14" s="22"/>
      <c r="F14" s="22"/>
      <c r="G14" s="22"/>
      <c r="H14" s="22"/>
      <c r="I14" s="22"/>
      <c r="J14" s="22"/>
      <c r="K14" s="22"/>
    </row>
    <row r="15" spans="1:21" ht="14.4" x14ac:dyDescent="0.3">
      <c r="A15" s="22"/>
      <c r="B15" s="33"/>
      <c r="C15" s="22"/>
      <c r="D15" s="22"/>
      <c r="E15" s="22"/>
      <c r="F15" s="22"/>
      <c r="G15" s="22"/>
      <c r="H15" s="22"/>
      <c r="I15" s="22"/>
      <c r="J15" s="22"/>
      <c r="K15" s="22"/>
    </row>
    <row r="16" spans="1:21" ht="14.4" x14ac:dyDescent="0.3">
      <c r="A16" s="22"/>
      <c r="B16" s="33"/>
      <c r="C16" s="22"/>
      <c r="D16" s="22"/>
      <c r="E16" s="22"/>
      <c r="F16" s="22"/>
      <c r="G16" s="22"/>
      <c r="H16" s="22"/>
      <c r="I16" s="22"/>
      <c r="J16" s="22"/>
      <c r="K16" s="22"/>
    </row>
    <row r="17" spans="1:11" ht="14.4" x14ac:dyDescent="0.3">
      <c r="A17" s="22"/>
      <c r="B17" s="33"/>
      <c r="C17" s="22"/>
      <c r="D17" s="22"/>
      <c r="E17" s="22"/>
      <c r="F17" s="22"/>
      <c r="G17" s="22"/>
      <c r="H17" s="22"/>
      <c r="I17" s="22"/>
      <c r="J17" s="22"/>
      <c r="K17" s="22"/>
    </row>
    <row r="18" spans="1:11" ht="14.4" x14ac:dyDescent="0.3">
      <c r="A18" s="22"/>
      <c r="B18" s="33"/>
      <c r="C18" s="22"/>
      <c r="D18" s="22"/>
      <c r="E18" s="22"/>
      <c r="F18" s="22"/>
      <c r="G18" s="22"/>
      <c r="H18" s="22"/>
      <c r="I18" s="22"/>
      <c r="J18" s="22"/>
      <c r="K18" s="22"/>
    </row>
    <row r="19" spans="1:11" ht="14.4" x14ac:dyDescent="0.3">
      <c r="A19" s="22"/>
      <c r="B19" s="33"/>
      <c r="C19" s="22"/>
      <c r="D19" s="22"/>
      <c r="E19" s="22"/>
      <c r="F19" s="22"/>
      <c r="G19" s="22"/>
      <c r="H19" s="22"/>
      <c r="I19" s="22"/>
      <c r="J19" s="22"/>
      <c r="K19" s="22"/>
    </row>
    <row r="20" spans="1:11" ht="14.4" x14ac:dyDescent="0.3">
      <c r="A20" s="22"/>
      <c r="B20" s="33"/>
      <c r="C20" s="22"/>
      <c r="D20" s="22"/>
      <c r="E20" s="22"/>
      <c r="F20" s="22"/>
      <c r="G20" s="22"/>
      <c r="H20" s="22"/>
      <c r="I20" s="22"/>
      <c r="J20" s="22"/>
      <c r="K20" s="22"/>
    </row>
    <row r="21" spans="1:11" ht="14.4" x14ac:dyDescent="0.3">
      <c r="A21" s="22"/>
      <c r="B21" s="33"/>
      <c r="C21" s="22"/>
      <c r="D21" s="22"/>
      <c r="E21" s="22"/>
      <c r="F21" s="22"/>
      <c r="G21" s="22"/>
      <c r="H21" s="22"/>
      <c r="I21" s="22"/>
      <c r="J21" s="22"/>
      <c r="K21" s="22"/>
    </row>
    <row r="22" spans="1:11" ht="14.4" x14ac:dyDescent="0.3">
      <c r="A22" s="22"/>
      <c r="B22" s="33"/>
      <c r="C22" s="22"/>
      <c r="D22" s="22"/>
      <c r="E22" s="22"/>
      <c r="F22" s="22"/>
      <c r="G22" s="22"/>
      <c r="H22" s="22"/>
      <c r="I22" s="22"/>
      <c r="J22" s="22"/>
      <c r="K22" s="22"/>
    </row>
    <row r="23" spans="1:11" ht="14.4" x14ac:dyDescent="0.3">
      <c r="A23" s="22"/>
      <c r="B23" s="33"/>
      <c r="C23" s="22"/>
      <c r="D23" s="22"/>
      <c r="E23" s="22"/>
      <c r="F23" s="22"/>
      <c r="G23" s="22"/>
      <c r="H23" s="22"/>
      <c r="I23" s="22"/>
      <c r="J23" s="22"/>
      <c r="K23" s="22"/>
    </row>
    <row r="24" spans="1:11" ht="14.4" x14ac:dyDescent="0.3">
      <c r="A24" s="22"/>
      <c r="B24" s="33"/>
      <c r="C24" s="22"/>
      <c r="D24" s="22"/>
      <c r="E24" s="22"/>
      <c r="F24" s="23"/>
      <c r="G24" s="22"/>
      <c r="H24" s="22"/>
      <c r="I24" s="23"/>
      <c r="J24" s="22"/>
      <c r="K24" s="22"/>
    </row>
    <row r="25" spans="1:11" ht="14.4" x14ac:dyDescent="0.3">
      <c r="A25" s="22"/>
      <c r="B25" s="33"/>
      <c r="C25" s="22"/>
      <c r="D25" s="22"/>
      <c r="E25" s="22"/>
      <c r="F25" s="23"/>
      <c r="G25" s="22"/>
      <c r="H25" s="22"/>
      <c r="I25" s="23"/>
      <c r="J25" s="22"/>
      <c r="K25" s="22"/>
    </row>
    <row r="26" spans="1:11" ht="14.4" x14ac:dyDescent="0.3">
      <c r="A26" s="22"/>
      <c r="B26" s="33"/>
      <c r="C26" s="22"/>
      <c r="D26" s="22"/>
      <c r="E26" s="22"/>
      <c r="F26" s="23"/>
      <c r="G26" s="22"/>
      <c r="H26" s="22"/>
      <c r="I26" s="23"/>
      <c r="J26" s="22"/>
      <c r="K26" s="22"/>
    </row>
    <row r="27" spans="1:11" ht="14.4" x14ac:dyDescent="0.3">
      <c r="A27" s="22"/>
      <c r="B27" s="33"/>
      <c r="C27" s="22"/>
      <c r="D27" s="22"/>
      <c r="E27" s="22"/>
      <c r="F27" s="23"/>
      <c r="G27" s="22"/>
      <c r="H27" s="22"/>
      <c r="I27" s="23"/>
      <c r="J27" s="22"/>
      <c r="K27" s="22"/>
    </row>
    <row r="28" spans="1:11" ht="14.4" x14ac:dyDescent="0.3">
      <c r="A28" s="22"/>
      <c r="B28" s="33"/>
      <c r="C28" s="22"/>
      <c r="D28" s="22"/>
      <c r="E28" s="22"/>
      <c r="F28" s="23"/>
      <c r="G28" s="22"/>
      <c r="H28" s="22"/>
      <c r="I28" s="23"/>
      <c r="J28" s="22"/>
      <c r="K28" s="22"/>
    </row>
    <row r="29" spans="1:11" ht="14.4" x14ac:dyDescent="0.3">
      <c r="A29" s="22"/>
      <c r="B29" s="33"/>
      <c r="C29" s="22"/>
      <c r="D29" s="22"/>
      <c r="E29" s="22"/>
      <c r="F29" s="23"/>
      <c r="G29" s="22"/>
      <c r="H29" s="22"/>
      <c r="I29" s="23"/>
      <c r="J29" s="22"/>
      <c r="K29" s="22"/>
    </row>
    <row r="30" spans="1:11" ht="14.4" x14ac:dyDescent="0.3">
      <c r="A30" s="22"/>
      <c r="B30" s="33"/>
      <c r="C30" s="22"/>
      <c r="D30" s="22"/>
      <c r="E30" s="22"/>
      <c r="F30" s="23"/>
      <c r="G30" s="22"/>
      <c r="H30" s="22"/>
      <c r="I30" s="23"/>
      <c r="J30" s="22"/>
      <c r="K30" s="22"/>
    </row>
    <row r="31" spans="1:11" ht="14.4" x14ac:dyDescent="0.3">
      <c r="A31" s="22"/>
      <c r="B31" s="33"/>
      <c r="C31" s="22"/>
      <c r="D31" s="22"/>
      <c r="E31" s="22"/>
      <c r="F31" s="23"/>
      <c r="G31" s="22"/>
      <c r="H31" s="22"/>
      <c r="I31" s="23"/>
      <c r="J31" s="22"/>
      <c r="K31" s="22"/>
    </row>
    <row r="32" spans="1:11" ht="14.4" x14ac:dyDescent="0.3">
      <c r="A32" s="22"/>
      <c r="B32" s="33"/>
      <c r="C32" s="22"/>
      <c r="D32" s="22"/>
      <c r="E32" s="22"/>
      <c r="F32" s="23"/>
      <c r="G32" s="22"/>
      <c r="H32" s="22"/>
      <c r="I32" s="23"/>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5" priority="1" stopIfTrue="1" operator="lessThanOrEqual">
      <formula>-0.1</formula>
    </cfRule>
    <cfRule type="expression" dxfId="34" priority="2">
      <formula>AND(ISNUMBER(F2), F2&gt;=0.1)</formula>
    </cfRule>
  </conditionalFormatting>
  <hyperlinks>
    <hyperlink ref="K4" r:id="rId1" display="https://us3.assetplanner.com/service_request?ID=095824" xr:uid="{C9E25F70-D49C-4348-90B9-8E87A15F7273}"/>
    <hyperlink ref="K7" r:id="rId2" display="https://us3.assetplanner.com/service_request?ID=096263" xr:uid="{3C015CD1-F457-4E6C-B129-279D33A970DE}"/>
    <hyperlink ref="K8" r:id="rId3" display="https://us3.assetplanner.com/service_request?ID=093458" xr:uid="{EC4851D9-A487-45CE-A1AD-7E3DC5426B13}"/>
    <hyperlink ref="K9" r:id="rId4" display="https://us3.assetplanner.com/service_request?ID=096391" xr:uid="{CE2DB604-971E-4667-BCBE-E28FB5DC8E92}"/>
    <hyperlink ref="L9" r:id="rId5" display="https://us3.assetplanner.com/service_request?ID=094033" xr:uid="{DC46DDA4-8821-4C7A-8BBF-03E01BBBD7F5}"/>
    <hyperlink ref="M9" r:id="rId6" display="https://us3.assetplanner.com/service_request?ID=097304" xr:uid="{6A5C0138-809C-47A4-8351-EBADB2EE4184}"/>
    <hyperlink ref="N9" r:id="rId7" display="https://us3.assetplanner.com/service_request?ID=097622" xr:uid="{1AF6993C-98B5-445D-B039-51AA334A966B}"/>
    <hyperlink ref="O9" r:id="rId8" display="https://us3.assetplanner.com/service_request?ID=097663" xr:uid="{564BF9A3-619F-4887-A040-4CC39E5E8148}"/>
    <hyperlink ref="P9" r:id="rId9" display="https://us3.assetplanner.com/service_request?ID=097884" xr:uid="{A8C129AE-5637-4023-B6CD-212D8B59C06F}"/>
    <hyperlink ref="Q9" r:id="rId10" display="https://us3.assetplanner.com/service_request?ID=095849" xr:uid="{0583A289-B063-468A-89F2-DC778AC4A36A}"/>
    <hyperlink ref="R9" r:id="rId11" display="https://us3.assetplanner.com/service_request?ID=083529" xr:uid="{E130C841-8F73-42E0-83B2-133526A6602C}"/>
    <hyperlink ref="S9" r:id="rId12" display="https://us3.assetplanner.com/service_request?ID=085269" xr:uid="{31E94259-43E0-4E65-85BD-AADA93D8B979}"/>
    <hyperlink ref="K10" r:id="rId13" display="https://us3.assetplanner.com/service_request?ID=097728" xr:uid="{8AC6D07A-E637-4B5E-9012-B5CCE6650393}"/>
    <hyperlink ref="L10" r:id="rId14" display="https://us3.assetplanner.com/service_request?ID=096181" xr:uid="{D6F7457A-27AA-4515-9030-11B023EC5DD8}"/>
    <hyperlink ref="K11" r:id="rId15" display="https://us3.assetplanner.com/service_request?ID=096074" xr:uid="{A422F9FC-2824-4F1B-AF68-F86D35728F8B}"/>
    <hyperlink ref="L11" r:id="rId16" display="https://us3.assetplanner.com/service_request?ID=096778" xr:uid="{CED90D30-9053-4299-B40C-5F79F7485C6F}"/>
    <hyperlink ref="M11" r:id="rId17" display="https://us3.assetplanner.com/service_request?ID=097433" xr:uid="{B77EF4DD-A409-4FBE-A853-F28C950329F8}"/>
    <hyperlink ref="N11" r:id="rId18" display="https://us3.assetplanner.com/service_request?ID=097757" xr:uid="{7586AC55-DC13-4FB9-8BED-F063DA6EF562}"/>
    <hyperlink ref="K12" r:id="rId19" display="https://us3.assetplanner.com/service_request?ID=097908" xr:uid="{28E62BEA-6567-4CD6-A820-B4B81190F76B}"/>
    <hyperlink ref="L12" r:id="rId20" display="https://us3.assetplanner.com/service_request?ID=091277" xr:uid="{363705A0-1A0D-4010-AD90-2EDBFC6B73B5}"/>
    <hyperlink ref="M12" r:id="rId21" display="https://us3.assetplanner.com/service_request?ID=096700" xr:uid="{E07EE97B-8DEA-4FBB-AD0F-382C6D454CFB}"/>
    <hyperlink ref="K13" r:id="rId22" display="https://us3.assetplanner.com/service_request?ID=094062" xr:uid="{0A9832C3-3D49-4A75-95EC-8E56518E22F5}"/>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P334"/>
  <sheetViews>
    <sheetView zoomScale="50" zoomScaleNormal="50" workbookViewId="0">
      <pane xSplit="2" ySplit="3" topLeftCell="C4" activePane="bottomRight" state="frozen"/>
      <selection pane="topRight" activeCell="D13" sqref="D13"/>
      <selection pane="bottomLeft" activeCell="D13" sqref="D13"/>
      <selection pane="bottomRight" activeCell="J8" sqref="J8"/>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6" ht="19.5" customHeight="1" x14ac:dyDescent="0.25">
      <c r="A1" s="75" t="str" cm="1">
        <f t="array" ref="A1">portfolio</f>
        <v>Tortoise</v>
      </c>
      <c r="B1" s="75"/>
      <c r="C1" s="75"/>
      <c r="D1" s="76" t="s">
        <v>73</v>
      </c>
      <c r="E1" s="76"/>
      <c r="F1" s="76"/>
      <c r="G1" s="74" t="s">
        <v>74</v>
      </c>
      <c r="H1" s="74"/>
      <c r="I1" s="74"/>
      <c r="J1" s="5"/>
      <c r="K1" s="5"/>
    </row>
    <row r="2" spans="1:16" ht="19.5" customHeight="1" x14ac:dyDescent="0.25">
      <c r="A2" s="77" t="s">
        <v>2</v>
      </c>
      <c r="B2" s="77"/>
      <c r="C2" s="6">
        <f>SUM(C4:C92)</f>
        <v>1981366.7590000001</v>
      </c>
      <c r="D2" s="6">
        <f>SUM(D4:D92)</f>
        <v>2895417.324978</v>
      </c>
      <c r="E2" s="6">
        <f>C2-D2</f>
        <v>-914050.56597799994</v>
      </c>
      <c r="F2" s="7">
        <f>IFERROR(E2/D2, 0)</f>
        <v>-0.31568871198383985</v>
      </c>
      <c r="G2" s="6">
        <f>SUM(G4:G92)</f>
        <v>2260598.98</v>
      </c>
      <c r="H2" s="8">
        <f>C2-G2</f>
        <v>-279232.2209999999</v>
      </c>
      <c r="I2" s="7">
        <f>IFERROR(H2/G2, 0)</f>
        <v>-0.12352134256028015</v>
      </c>
      <c r="J2" s="27" t="str">
        <f ca="1">IF(AND(TODAY()&gt;DATE(2024, 3, 1), COUNTA(Sites[Site])&lt;&gt;(COUNT(C:C)-1)), "Some sites are missing actual data; if new sites were added, make sure they are aligned correctly (including prior months!)", "")</f>
        <v/>
      </c>
      <c r="K2" s="5"/>
    </row>
    <row r="3" spans="1:16" ht="14.25" customHeight="1" x14ac:dyDescent="0.25">
      <c r="A3" s="9" t="s">
        <v>3</v>
      </c>
      <c r="B3" s="9" t="s">
        <v>4</v>
      </c>
      <c r="C3" s="24" t="s">
        <v>5</v>
      </c>
      <c r="D3" s="35" t="s">
        <v>6</v>
      </c>
      <c r="E3" s="35" t="s">
        <v>7</v>
      </c>
      <c r="F3" s="36" t="s">
        <v>8</v>
      </c>
      <c r="G3" s="37" t="s">
        <v>9</v>
      </c>
      <c r="H3" s="38" t="s">
        <v>7</v>
      </c>
      <c r="I3" s="39" t="s">
        <v>8</v>
      </c>
      <c r="J3" s="26" t="s">
        <v>20</v>
      </c>
      <c r="K3" s="26" t="s">
        <v>21</v>
      </c>
    </row>
    <row r="4" spans="1:16" ht="43.2" x14ac:dyDescent="0.3">
      <c r="A4" s="32" t="str" cm="1">
        <f t="array" ref="A4:A13">Sites[Site]</f>
        <v>Alamosa School District</v>
      </c>
      <c r="B4" s="29" t="str" cm="1">
        <f t="array" ref="B4:B13">Sites[State]</f>
        <v>CO</v>
      </c>
      <c r="C4" s="46">
        <v>80070</v>
      </c>
      <c r="D4" s="14">
        <v>104138.30250000001</v>
      </c>
      <c r="E4" s="14">
        <f>IF(AND(ISNUMBER(C4),ISNUMBER(D4)), C4-D4, "")</f>
        <v>-24068.302500000005</v>
      </c>
      <c r="F4" s="15">
        <f>IFERROR(E4/D4, "")</f>
        <v>-0.23111863668029353</v>
      </c>
      <c r="G4" s="47">
        <v>120278</v>
      </c>
      <c r="H4" s="16">
        <f>IF(AND(ISNUMBER(C4),ISNUMBER(G4)), C4-G4, "")</f>
        <v>-40208</v>
      </c>
      <c r="I4" s="17">
        <f>IFERROR(H4/G4, "")</f>
        <v>-0.33429222301667805</v>
      </c>
      <c r="J4" s="41" t="s">
        <v>75</v>
      </c>
      <c r="K4" s="68" t="s">
        <v>76</v>
      </c>
      <c r="L4" s="62"/>
      <c r="M4" s="62"/>
      <c r="N4" s="62"/>
      <c r="O4" s="62"/>
      <c r="P4" s="62"/>
    </row>
    <row r="5" spans="1:16" ht="15.6" x14ac:dyDescent="0.25">
      <c r="A5" s="30" t="str">
        <v>San Luis Valley</v>
      </c>
      <c r="B5" s="31" t="str">
        <v>CO</v>
      </c>
      <c r="C5" s="12">
        <v>207987.875</v>
      </c>
      <c r="D5" s="19">
        <v>208017.3</v>
      </c>
      <c r="E5" s="19">
        <f t="shared" ref="E5:E13" si="0">IF(AND(ISNUMBER(C5),ISNUMBER(D5)), C5-D5, "")</f>
        <v>-29.424999999988358</v>
      </c>
      <c r="F5" s="20">
        <f>IFERROR(E5/D5, "")</f>
        <v>-1.4145458094104847E-4</v>
      </c>
      <c r="G5" s="21">
        <v>0</v>
      </c>
      <c r="H5" s="21">
        <f t="shared" ref="H5:H13" si="1">IF(AND(ISNUMBER(C5),ISNUMBER(G5)), C5-G5, "")</f>
        <v>207987.875</v>
      </c>
      <c r="I5" s="20" t="str">
        <f t="shared" ref="I5:I13" si="2">IFERROR(H5/G5, "")</f>
        <v/>
      </c>
      <c r="J5" s="48" t="s">
        <v>77</v>
      </c>
      <c r="K5" s="60" t="s">
        <v>78</v>
      </c>
      <c r="L5" s="62"/>
      <c r="M5" s="62"/>
      <c r="N5" s="62"/>
      <c r="O5" s="62"/>
      <c r="P5" s="62"/>
    </row>
    <row r="6" spans="1:16" ht="15.6" x14ac:dyDescent="0.3">
      <c r="A6" s="32" t="str">
        <v>Golden NREL 2</v>
      </c>
      <c r="B6" s="29" t="str">
        <v>CO</v>
      </c>
      <c r="C6" s="46">
        <v>11434</v>
      </c>
      <c r="D6" s="14">
        <v>9772.5194780000002</v>
      </c>
      <c r="E6" s="14">
        <f t="shared" si="0"/>
        <v>1661.4805219999998</v>
      </c>
      <c r="F6" s="15">
        <f t="shared" ref="F6:F13" si="3">IFERROR(E6/D6, "")</f>
        <v>0.17001557538364007</v>
      </c>
      <c r="G6" s="47">
        <v>12031.3</v>
      </c>
      <c r="H6" s="16">
        <f t="shared" si="1"/>
        <v>-597.29999999999927</v>
      </c>
      <c r="I6" s="17">
        <f t="shared" si="2"/>
        <v>-4.9645507966720077E-2</v>
      </c>
      <c r="J6" s="41"/>
      <c r="K6" s="41"/>
      <c r="L6" s="62"/>
      <c r="M6" s="62"/>
      <c r="N6" s="62"/>
      <c r="O6" s="62"/>
      <c r="P6" s="62"/>
    </row>
    <row r="7" spans="1:16" ht="28.8" x14ac:dyDescent="0.25">
      <c r="A7" s="30" t="str">
        <v>Golden NREL Wind 3</v>
      </c>
      <c r="B7" s="31" t="str">
        <v>CO</v>
      </c>
      <c r="C7" s="12">
        <v>92902.983999999997</v>
      </c>
      <c r="D7" s="19">
        <v>121657.755</v>
      </c>
      <c r="E7" s="19">
        <f t="shared" si="0"/>
        <v>-28754.771000000008</v>
      </c>
      <c r="F7" s="20">
        <f t="shared" si="3"/>
        <v>-0.23635789596807871</v>
      </c>
      <c r="G7" s="21">
        <v>0</v>
      </c>
      <c r="H7" s="21">
        <f t="shared" si="1"/>
        <v>92902.983999999997</v>
      </c>
      <c r="I7" s="20" t="str">
        <f t="shared" si="2"/>
        <v/>
      </c>
      <c r="J7" s="48" t="s">
        <v>50</v>
      </c>
      <c r="K7" s="60" t="s">
        <v>79</v>
      </c>
      <c r="L7" s="62"/>
      <c r="M7" s="62"/>
      <c r="N7" s="62"/>
      <c r="O7" s="62"/>
      <c r="P7" s="62"/>
    </row>
    <row r="8" spans="1:16" ht="158.4" x14ac:dyDescent="0.25">
      <c r="A8" s="51" t="str">
        <v>Pratt Solar Farm</v>
      </c>
      <c r="B8" s="29" t="str">
        <v>KS</v>
      </c>
      <c r="C8" s="46">
        <v>404790</v>
      </c>
      <c r="D8" s="14">
        <v>1218572.209</v>
      </c>
      <c r="E8" s="14">
        <f t="shared" si="0"/>
        <v>-813782.20900000003</v>
      </c>
      <c r="F8" s="15">
        <f t="shared" si="3"/>
        <v>-0.66781615647366199</v>
      </c>
      <c r="G8" s="47">
        <v>1038889.03</v>
      </c>
      <c r="H8" s="16">
        <f t="shared" si="1"/>
        <v>-634099.03</v>
      </c>
      <c r="I8" s="17">
        <f t="shared" si="2"/>
        <v>-0.61036261976892758</v>
      </c>
      <c r="J8" s="41" t="s">
        <v>80</v>
      </c>
      <c r="K8" s="68" t="s">
        <v>81</v>
      </c>
      <c r="L8" s="61" t="s">
        <v>82</v>
      </c>
      <c r="M8" s="61" t="s">
        <v>83</v>
      </c>
      <c r="N8" s="61" t="s">
        <v>84</v>
      </c>
      <c r="O8" s="62"/>
      <c r="P8" s="62"/>
    </row>
    <row r="9" spans="1:16" ht="288" x14ac:dyDescent="0.25">
      <c r="A9" s="30" t="str">
        <v>Rochester - 5516 Valleyhigh NW</v>
      </c>
      <c r="B9" s="31" t="str">
        <v>MN</v>
      </c>
      <c r="C9" s="12">
        <v>572951</v>
      </c>
      <c r="D9" s="19">
        <v>659633.6</v>
      </c>
      <c r="E9" s="19">
        <f t="shared" si="0"/>
        <v>-86682.599999999977</v>
      </c>
      <c r="F9" s="20">
        <f t="shared" si="3"/>
        <v>-0.13141022531296159</v>
      </c>
      <c r="G9" s="21">
        <v>511275.9</v>
      </c>
      <c r="H9" s="21">
        <f t="shared" si="1"/>
        <v>61675.099999999977</v>
      </c>
      <c r="I9" s="20">
        <f t="shared" si="2"/>
        <v>0.12062978129812098</v>
      </c>
      <c r="J9" s="48" t="s">
        <v>85</v>
      </c>
      <c r="K9" s="60" t="s">
        <v>86</v>
      </c>
      <c r="L9" s="61" t="s">
        <v>58</v>
      </c>
      <c r="M9" s="61" t="s">
        <v>87</v>
      </c>
      <c r="N9" s="61" t="s">
        <v>88</v>
      </c>
      <c r="O9" s="61" t="s">
        <v>34</v>
      </c>
      <c r="P9" s="61" t="s">
        <v>89</v>
      </c>
    </row>
    <row r="10" spans="1:16" ht="106.5" customHeight="1" x14ac:dyDescent="0.3">
      <c r="A10" s="32" t="str">
        <v>Warsaw - 2201 Richmond</v>
      </c>
      <c r="B10" s="29" t="str">
        <v>VA</v>
      </c>
      <c r="C10" s="46">
        <v>267551.8</v>
      </c>
      <c r="D10" s="14">
        <v>285336.5</v>
      </c>
      <c r="E10" s="14">
        <f t="shared" si="0"/>
        <v>-17784.700000000012</v>
      </c>
      <c r="F10" s="15">
        <f t="shared" si="3"/>
        <v>-6.2328864340874764E-2</v>
      </c>
      <c r="G10" s="47">
        <v>271029.34999999998</v>
      </c>
      <c r="H10" s="16">
        <f t="shared" si="1"/>
        <v>-3477.5499999999884</v>
      </c>
      <c r="I10" s="17">
        <f t="shared" si="2"/>
        <v>-1.2830898203460211E-2</v>
      </c>
      <c r="J10" s="41" t="s">
        <v>90</v>
      </c>
      <c r="K10" s="68" t="s">
        <v>91</v>
      </c>
      <c r="L10" s="61" t="s">
        <v>63</v>
      </c>
      <c r="M10" s="62"/>
      <c r="N10" s="62"/>
      <c r="O10" s="62"/>
      <c r="P10" s="62"/>
    </row>
    <row r="11" spans="1:16" ht="115.2" x14ac:dyDescent="0.25">
      <c r="A11" s="30" t="str">
        <v>Mount Jackson - Randolf</v>
      </c>
      <c r="B11" s="31" t="str">
        <v>VA</v>
      </c>
      <c r="C11" s="12">
        <v>210393.1</v>
      </c>
      <c r="D11" s="19">
        <v>207885.139</v>
      </c>
      <c r="E11" s="19">
        <f t="shared" si="0"/>
        <v>2507.9610000000102</v>
      </c>
      <c r="F11" s="20">
        <f t="shared" si="3"/>
        <v>1.206416683782293E-2</v>
      </c>
      <c r="G11" s="21">
        <v>185857.9</v>
      </c>
      <c r="H11" s="21">
        <f t="shared" si="1"/>
        <v>24535.200000000012</v>
      </c>
      <c r="I11" s="20">
        <f t="shared" si="2"/>
        <v>0.13201053062581689</v>
      </c>
      <c r="J11" s="48" t="s">
        <v>92</v>
      </c>
      <c r="K11" s="60" t="s">
        <v>93</v>
      </c>
      <c r="L11" s="61" t="s">
        <v>94</v>
      </c>
      <c r="M11" s="61" t="s">
        <v>68</v>
      </c>
      <c r="N11" s="61" t="s">
        <v>66</v>
      </c>
      <c r="O11" s="61" t="s">
        <v>95</v>
      </c>
      <c r="P11" s="62"/>
    </row>
    <row r="12" spans="1:16" ht="144" x14ac:dyDescent="0.3">
      <c r="A12" s="32" t="str">
        <v>Callands Gretna - Monroe</v>
      </c>
      <c r="B12" s="29" t="str">
        <v>VA</v>
      </c>
      <c r="C12" s="46">
        <v>133286</v>
      </c>
      <c r="D12" s="14">
        <v>80404</v>
      </c>
      <c r="E12" s="14">
        <f t="shared" si="0"/>
        <v>52882</v>
      </c>
      <c r="F12" s="15">
        <f t="shared" si="3"/>
        <v>0.65770359683597834</v>
      </c>
      <c r="G12" s="47">
        <v>121237.5</v>
      </c>
      <c r="H12" s="16">
        <f t="shared" si="1"/>
        <v>12048.5</v>
      </c>
      <c r="I12" s="17">
        <f t="shared" si="2"/>
        <v>9.9379317455407776E-2</v>
      </c>
      <c r="J12" s="41" t="s">
        <v>96</v>
      </c>
      <c r="K12" s="68" t="s">
        <v>97</v>
      </c>
      <c r="L12" s="61" t="s">
        <v>71</v>
      </c>
      <c r="M12" s="61" t="s">
        <v>72</v>
      </c>
      <c r="N12" s="62"/>
      <c r="O12" s="62"/>
      <c r="P12" s="62"/>
    </row>
    <row r="13" spans="1:16" ht="15.6" x14ac:dyDescent="0.25">
      <c r="A13" s="30" t="str">
        <v>Rockbridge Baths - Small Mouth Bass</v>
      </c>
      <c r="B13" s="31" t="str">
        <v>VA</v>
      </c>
      <c r="C13" s="12">
        <v>0</v>
      </c>
      <c r="D13" s="19">
        <v>0</v>
      </c>
      <c r="E13" s="19">
        <f t="shared" si="0"/>
        <v>0</v>
      </c>
      <c r="F13" s="20" t="str">
        <f t="shared" si="3"/>
        <v/>
      </c>
      <c r="G13" s="21">
        <v>0</v>
      </c>
      <c r="H13" s="21">
        <f t="shared" si="1"/>
        <v>0</v>
      </c>
      <c r="I13" s="20" t="str">
        <f t="shared" si="2"/>
        <v/>
      </c>
      <c r="J13" s="48" t="s">
        <v>43</v>
      </c>
      <c r="K13" s="60" t="s">
        <v>98</v>
      </c>
      <c r="L13" s="62"/>
      <c r="M13" s="62"/>
      <c r="N13" s="62"/>
      <c r="O13" s="62"/>
      <c r="P13" s="62"/>
    </row>
    <row r="14" spans="1:16" ht="14.4" x14ac:dyDescent="0.3">
      <c r="A14" s="22"/>
      <c r="B14" s="33"/>
      <c r="C14" s="22"/>
      <c r="D14" s="22"/>
      <c r="E14" s="22"/>
      <c r="F14" s="22"/>
      <c r="G14" s="22"/>
      <c r="H14" s="22"/>
      <c r="I14" s="22"/>
      <c r="J14" s="22"/>
      <c r="K14" s="22"/>
    </row>
    <row r="15" spans="1:16" ht="14.4" x14ac:dyDescent="0.3">
      <c r="A15" s="22"/>
      <c r="B15" s="33"/>
      <c r="C15" s="22"/>
      <c r="D15" s="22"/>
      <c r="E15" s="22"/>
      <c r="F15" s="22"/>
      <c r="G15" s="22"/>
      <c r="H15" s="22"/>
      <c r="I15" s="22"/>
      <c r="J15" s="22"/>
      <c r="K15" s="22"/>
    </row>
    <row r="16" spans="1:16" ht="14.4" x14ac:dyDescent="0.3">
      <c r="A16" s="22"/>
      <c r="B16" s="33"/>
      <c r="C16" s="22"/>
      <c r="D16" s="22"/>
      <c r="E16" s="22"/>
      <c r="F16" s="22"/>
      <c r="G16" s="22"/>
      <c r="H16" s="22"/>
      <c r="I16" s="22"/>
      <c r="J16" s="22"/>
      <c r="K16" s="22"/>
    </row>
    <row r="17" spans="1:11" ht="14.4" x14ac:dyDescent="0.3">
      <c r="A17" s="22"/>
      <c r="B17" s="33"/>
      <c r="C17" s="22"/>
      <c r="D17" s="22"/>
      <c r="E17" s="22"/>
      <c r="F17" s="22"/>
      <c r="G17" s="22"/>
      <c r="H17" s="22"/>
      <c r="I17" s="22"/>
      <c r="J17" s="22"/>
      <c r="K17" s="22"/>
    </row>
    <row r="18" spans="1:11" ht="14.4" x14ac:dyDescent="0.3">
      <c r="A18" s="22"/>
      <c r="B18" s="33"/>
      <c r="C18" s="22"/>
      <c r="D18" s="22"/>
      <c r="E18" s="22"/>
      <c r="F18" s="22"/>
      <c r="G18" s="22"/>
      <c r="H18" s="22"/>
      <c r="I18" s="22"/>
      <c r="J18" s="22"/>
      <c r="K18" s="22"/>
    </row>
    <row r="19" spans="1:11" ht="14.4" x14ac:dyDescent="0.3">
      <c r="A19" s="22"/>
      <c r="B19" s="33"/>
      <c r="C19" s="22"/>
      <c r="D19" s="22"/>
      <c r="E19" s="22"/>
      <c r="F19" s="22"/>
      <c r="G19" s="22"/>
      <c r="H19" s="22"/>
      <c r="I19" s="22"/>
      <c r="J19" s="22"/>
      <c r="K19" s="22"/>
    </row>
    <row r="20" spans="1:11" ht="14.4" x14ac:dyDescent="0.3">
      <c r="A20" s="22"/>
      <c r="B20" s="33"/>
      <c r="C20" s="22"/>
      <c r="D20" s="22"/>
      <c r="E20" s="22"/>
      <c r="F20" s="22"/>
      <c r="G20" s="22"/>
      <c r="H20" s="22"/>
      <c r="I20" s="22"/>
      <c r="J20" s="22"/>
      <c r="K20" s="22"/>
    </row>
    <row r="21" spans="1:11" ht="14.4" x14ac:dyDescent="0.3">
      <c r="A21" s="22"/>
      <c r="B21" s="33"/>
      <c r="C21" s="22"/>
      <c r="D21" s="22"/>
      <c r="E21" s="22"/>
      <c r="F21" s="22"/>
      <c r="G21" s="22"/>
      <c r="H21" s="22"/>
      <c r="I21" s="22"/>
      <c r="J21" s="22"/>
      <c r="K21" s="22"/>
    </row>
    <row r="22" spans="1:11" ht="14.4" x14ac:dyDescent="0.3">
      <c r="A22" s="22"/>
      <c r="B22" s="33"/>
      <c r="C22" s="22"/>
      <c r="D22" s="22"/>
      <c r="E22" s="22"/>
      <c r="F22" s="22"/>
      <c r="G22" s="22"/>
      <c r="H22" s="22"/>
      <c r="I22" s="22"/>
      <c r="J22" s="22"/>
      <c r="K22" s="22"/>
    </row>
    <row r="23" spans="1:11" ht="14.4" x14ac:dyDescent="0.3">
      <c r="A23" s="22"/>
      <c r="B23" s="33"/>
      <c r="C23" s="22"/>
      <c r="D23" s="22"/>
      <c r="E23" s="22"/>
      <c r="F23" s="22"/>
      <c r="G23" s="22"/>
      <c r="H23" s="22"/>
      <c r="I23" s="22"/>
      <c r="J23" s="22"/>
      <c r="K23" s="22"/>
    </row>
    <row r="24" spans="1:11" ht="14.4" x14ac:dyDescent="0.3">
      <c r="A24" s="22"/>
      <c r="B24" s="33"/>
      <c r="C24" s="22"/>
      <c r="D24" s="22"/>
      <c r="E24" s="22"/>
      <c r="F24" s="22"/>
      <c r="G24" s="22"/>
      <c r="H24" s="22"/>
      <c r="I24" s="22"/>
      <c r="J24" s="22"/>
      <c r="K24" s="22"/>
    </row>
    <row r="25" spans="1:11" ht="14.4" x14ac:dyDescent="0.3">
      <c r="A25" s="22"/>
      <c r="B25" s="33"/>
      <c r="C25" s="22"/>
      <c r="D25" s="22"/>
      <c r="E25" s="22"/>
      <c r="F25" s="23"/>
      <c r="G25" s="22"/>
      <c r="H25" s="22"/>
      <c r="I25" s="23"/>
      <c r="J25" s="22"/>
      <c r="K25" s="22"/>
    </row>
    <row r="26" spans="1:11" ht="14.4" x14ac:dyDescent="0.3">
      <c r="A26" s="22"/>
      <c r="B26" s="33"/>
      <c r="C26" s="22"/>
      <c r="D26" s="22"/>
      <c r="E26" s="22"/>
      <c r="F26" s="23"/>
      <c r="G26" s="22"/>
      <c r="H26" s="22"/>
      <c r="I26" s="23"/>
      <c r="J26" s="22"/>
      <c r="K26" s="22"/>
    </row>
    <row r="27" spans="1:11" ht="14.4" x14ac:dyDescent="0.3">
      <c r="A27" s="22"/>
      <c r="B27" s="33"/>
      <c r="C27" s="22"/>
      <c r="D27" s="22"/>
      <c r="E27" s="22"/>
      <c r="F27" s="23"/>
      <c r="G27" s="22"/>
      <c r="H27" s="22"/>
      <c r="I27" s="23"/>
      <c r="J27" s="22"/>
      <c r="K27" s="22"/>
    </row>
    <row r="28" spans="1:11" ht="14.4" x14ac:dyDescent="0.3">
      <c r="A28" s="22"/>
      <c r="B28" s="33"/>
      <c r="C28" s="22"/>
      <c r="D28" s="22"/>
      <c r="E28" s="22"/>
      <c r="F28" s="23"/>
      <c r="G28" s="22"/>
      <c r="H28" s="22"/>
      <c r="I28" s="23"/>
      <c r="J28" s="22"/>
      <c r="K28" s="22"/>
    </row>
    <row r="29" spans="1:11" ht="14.4" x14ac:dyDescent="0.3">
      <c r="A29" s="22"/>
      <c r="B29" s="33"/>
      <c r="C29" s="22"/>
      <c r="D29" s="22"/>
      <c r="E29" s="22"/>
      <c r="F29" s="23"/>
      <c r="G29" s="22"/>
      <c r="H29" s="22"/>
      <c r="I29" s="23"/>
      <c r="J29" s="22"/>
      <c r="K29" s="22"/>
    </row>
    <row r="30" spans="1:11" ht="14.4" x14ac:dyDescent="0.3">
      <c r="A30" s="22"/>
      <c r="B30" s="33"/>
      <c r="C30" s="22"/>
      <c r="D30" s="22"/>
      <c r="E30" s="22"/>
      <c r="F30" s="23"/>
      <c r="G30" s="22"/>
      <c r="H30" s="22"/>
      <c r="I30" s="23"/>
      <c r="J30" s="22"/>
      <c r="K30" s="22"/>
    </row>
    <row r="31" spans="1:11" ht="14.4" x14ac:dyDescent="0.3">
      <c r="A31" s="22"/>
      <c r="B31" s="33"/>
      <c r="C31" s="22"/>
      <c r="D31" s="22"/>
      <c r="E31" s="22"/>
      <c r="F31" s="23"/>
      <c r="G31" s="22"/>
      <c r="H31" s="22"/>
      <c r="I31" s="23"/>
      <c r="J31" s="22"/>
      <c r="K31" s="22"/>
    </row>
    <row r="32" spans="1:11" ht="14.4" x14ac:dyDescent="0.3">
      <c r="A32" s="22"/>
      <c r="B32" s="33"/>
      <c r="C32" s="22"/>
      <c r="D32" s="22"/>
      <c r="E32" s="22"/>
      <c r="F32" s="23"/>
      <c r="G32" s="22"/>
      <c r="H32" s="22"/>
      <c r="I32" s="23"/>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C334" s="22"/>
      <c r="D334" s="22"/>
      <c r="E334" s="22"/>
      <c r="F334" s="23"/>
      <c r="G334" s="22"/>
      <c r="H334" s="22"/>
      <c r="I334" s="23"/>
      <c r="J334" s="22"/>
      <c r="K334" s="22"/>
    </row>
  </sheetData>
  <mergeCells count="4">
    <mergeCell ref="G1:I1"/>
    <mergeCell ref="A1:C1"/>
    <mergeCell ref="D1:F1"/>
    <mergeCell ref="A2:B2"/>
  </mergeCells>
  <conditionalFormatting sqref="F2 I2 F4:F92 I4:I92">
    <cfRule type="cellIs" dxfId="33" priority="3" stopIfTrue="1" operator="lessThanOrEqual">
      <formula>-0.1</formula>
    </cfRule>
    <cfRule type="expression" dxfId="32" priority="4">
      <formula>AND(ISNUMBER(F2), F2&gt;=0.1)</formula>
    </cfRule>
  </conditionalFormatting>
  <hyperlinks>
    <hyperlink ref="K4" r:id="rId1" display="https://us3.assetplanner.com/service_request?ID=095824" xr:uid="{4A3A61FD-E10A-4F3A-A7C2-FE60E5B2F84C}"/>
    <hyperlink ref="K5" r:id="rId2" display="https://us3.assetplanner.com/service_request?ID=098228" xr:uid="{4CAA1BC8-88E6-4D29-BB12-B0284BE659A2}"/>
    <hyperlink ref="K7" r:id="rId3" display="https://us3.assetplanner.com/service_request?ID=096263" xr:uid="{FC84A9D6-CC04-4775-95F0-F9B8D507F9F3}"/>
    <hyperlink ref="K8" r:id="rId4" display="https://us3.assetplanner.com/service_request?ID=093458" xr:uid="{9A4BD8B9-25B2-47D6-B136-77B34AFE3922}"/>
    <hyperlink ref="L8" r:id="rId5" display="https://us3.assetplanner.com/service_request?ID=099185" xr:uid="{264A05B3-86D6-4B1D-A539-ACC8DCBF8482}"/>
    <hyperlink ref="M8" r:id="rId6" display="https://us3.assetplanner.com/service_request?ID=098335" xr:uid="{28CC4955-4661-4AF9-8FBA-EB9B3584C1CA}"/>
    <hyperlink ref="N8" r:id="rId7" display="https://us3.assetplanner.com/service_request?ID=098248" xr:uid="{1BE5832F-30A4-46E0-9F66-F17D23B9AE9E}"/>
    <hyperlink ref="K9" r:id="rId8" display="https://us3.assetplanner.com/service_request?ID=097304" xr:uid="{C4F6C497-B9BD-4424-9A4B-C0DF875D1F77}"/>
    <hyperlink ref="L9" r:id="rId9" display="https://us3.assetplanner.com/service_request?ID=097884" xr:uid="{BEB8DC35-E3B6-4AF1-BBD5-A41A4E6A94D4}"/>
    <hyperlink ref="M9" r:id="rId10" display="https://us3.assetplanner.com/service_request?ID=098364" xr:uid="{71175B5A-59D3-4038-9A73-D1B164A80A85}"/>
    <hyperlink ref="N9" r:id="rId11" display="https://us3.assetplanner.com/service_request?ID=099221" xr:uid="{AB8098E5-1734-4C68-B827-650F47FCA6FA}"/>
    <hyperlink ref="O9" r:id="rId12" display="https://us3.assetplanner.com/service_request?ID=095849" xr:uid="{CD3A38D9-20B3-4737-8DEE-1BA78131C5E8}"/>
    <hyperlink ref="P9" r:id="rId13" display="https://us3.assetplanner.com/service_request?ID=099224" xr:uid="{B7EDB383-BA4E-4FA0-8FE2-9DE8BB4CBBBA}"/>
    <hyperlink ref="K10" r:id="rId14" display="https://us3.assetplanner.com/service_request?ID=097728" xr:uid="{D3635796-4811-43AE-95B4-6E4D97DBEC34}"/>
    <hyperlink ref="L10" r:id="rId15" display="https://us3.assetplanner.com/service_request?ID=096181" xr:uid="{2D73F108-E386-4F5E-8647-15D626C42C18}"/>
    <hyperlink ref="K11" r:id="rId16" display="https://us3.assetplanner.com/service_request?ID=097945" xr:uid="{766BC863-307B-4B25-8DBE-CA73CEF5A4F2}"/>
    <hyperlink ref="L11" r:id="rId17" display="https://us3.assetplanner.com/service_request?ID=098302" xr:uid="{91823CD8-FA04-4FAC-9A03-5BD278ACC4F0}"/>
    <hyperlink ref="M11" r:id="rId18" display="https://us3.assetplanner.com/service_request?ID=097757" xr:uid="{6268572B-68D2-4156-A60A-EC835753816A}"/>
    <hyperlink ref="N11" r:id="rId19" display="https://us3.assetplanner.com/service_request?ID=096778" xr:uid="{C167592D-1DD4-4E04-B840-AA80EDE36DC6}"/>
    <hyperlink ref="O11" r:id="rId20" display="https://us3.assetplanner.com/service_request?ID=098566" xr:uid="{4B949AD2-510D-42FA-BD5B-22541A54154A}"/>
    <hyperlink ref="K12" r:id="rId21" display="https://us3.assetplanner.com/service_request?ID=097908" xr:uid="{9A529F08-F7C5-4B6D-BA54-DF05A8F2F548}"/>
    <hyperlink ref="L12" r:id="rId22" display="https://us3.assetplanner.com/service_request?ID=091277" xr:uid="{62C4720E-188B-43AA-924B-4C8281D54D54}"/>
    <hyperlink ref="M12" r:id="rId23" display="https://us3.assetplanner.com/service_request?ID=096700" xr:uid="{AF20820B-256F-41E5-91F0-EB8166CCD989}"/>
    <hyperlink ref="K13" r:id="rId24" display="https://us3.assetplanner.com/service_request?ID=097305" xr:uid="{BDB5D614-1182-408E-B605-05BFF734205A}"/>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N333"/>
  <sheetViews>
    <sheetView zoomScale="80" zoomScaleNormal="80" workbookViewId="0">
      <pane xSplit="2" ySplit="3" topLeftCell="C4" activePane="bottomRight" state="frozen"/>
      <selection pane="topRight" activeCell="D13" sqref="D13"/>
      <selection pane="bottomLeft" activeCell="D13" sqref="D13"/>
      <selection pane="bottomRight" activeCell="E15" sqref="E15"/>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 min="12" max="14" width="8.88671875" style="62"/>
  </cols>
  <sheetData>
    <row r="1" spans="1:13" ht="19.5" customHeight="1" x14ac:dyDescent="0.25">
      <c r="A1" s="75" t="str" cm="1">
        <f t="array" ref="A1">portfolio</f>
        <v>Tortoise</v>
      </c>
      <c r="B1" s="75"/>
      <c r="C1" s="75"/>
      <c r="D1" s="76" t="s">
        <v>99</v>
      </c>
      <c r="E1" s="76"/>
      <c r="F1" s="76"/>
      <c r="G1" s="74" t="s">
        <v>100</v>
      </c>
      <c r="H1" s="74"/>
      <c r="I1" s="74"/>
      <c r="J1" s="5"/>
      <c r="K1" s="5"/>
    </row>
    <row r="2" spans="1:13" ht="19.5" customHeight="1" x14ac:dyDescent="0.25">
      <c r="A2" s="77" t="s">
        <v>2</v>
      </c>
      <c r="B2" s="77"/>
      <c r="C2" s="6">
        <f>SUM(C4:C91)</f>
        <v>722747.56109374994</v>
      </c>
      <c r="D2" s="6">
        <f>SUM(D4:D91)</f>
        <v>1521830.6158158355</v>
      </c>
      <c r="E2" s="6">
        <f>C2-D2</f>
        <v>-799083.0547220856</v>
      </c>
      <c r="F2" s="7">
        <f>IFERROR(E2/D2, 0)</f>
        <v>-0.5250801543992506</v>
      </c>
      <c r="G2" s="6">
        <f>SUM(G4:G91)</f>
        <v>1234101.5</v>
      </c>
      <c r="H2" s="8">
        <f>C2-G2</f>
        <v>-511353.93890625006</v>
      </c>
      <c r="I2" s="7">
        <f>IFERROR(H2/G2, 0)</f>
        <v>-0.41435322694790505</v>
      </c>
      <c r="J2" s="27" t="str">
        <f ca="1">IF(AND(TODAY()&gt;DATE(2024, 4, 1), COUNTA(Sites[Site])&lt;&gt;(COUNT(C:C)-1)), "Some sites are missing actual data; if new sites were added, make sure they are aligned correctly (including prior months!)", "")</f>
        <v/>
      </c>
      <c r="K2" s="5"/>
    </row>
    <row r="3" spans="1:13" ht="14.25" customHeight="1" x14ac:dyDescent="0.25">
      <c r="A3" s="9" t="s">
        <v>3</v>
      </c>
      <c r="B3" s="9" t="s">
        <v>4</v>
      </c>
      <c r="C3" s="24" t="s">
        <v>5</v>
      </c>
      <c r="D3" s="35" t="s">
        <v>6</v>
      </c>
      <c r="E3" s="35" t="s">
        <v>7</v>
      </c>
      <c r="F3" s="36" t="s">
        <v>8</v>
      </c>
      <c r="G3" s="37" t="s">
        <v>9</v>
      </c>
      <c r="H3" s="38" t="s">
        <v>7</v>
      </c>
      <c r="I3" s="39" t="s">
        <v>8</v>
      </c>
      <c r="J3" s="26" t="s">
        <v>20</v>
      </c>
      <c r="K3" s="26" t="s">
        <v>21</v>
      </c>
    </row>
    <row r="4" spans="1:13" ht="86.25" customHeight="1" x14ac:dyDescent="0.25">
      <c r="A4" s="51" t="str" cm="1">
        <f t="array" ref="A4:A13">Sites[Site]</f>
        <v>Alamosa School District</v>
      </c>
      <c r="B4" s="29" t="str" cm="1">
        <f t="array" ref="B4:B13">Sites[State]</f>
        <v>CO</v>
      </c>
      <c r="C4" s="25">
        <v>83870</v>
      </c>
      <c r="D4" s="14">
        <v>117297.41179583556</v>
      </c>
      <c r="E4" s="14">
        <f>IF(AND(ISNUMBER(C4),ISNUMBER(D4)), C4-D4, "")</f>
        <v>-33427.411795835564</v>
      </c>
      <c r="F4" s="15">
        <f>IFERROR(E4/D4, "")</f>
        <v>-0.28497996063219483</v>
      </c>
      <c r="G4" s="16">
        <v>128953.72000000003</v>
      </c>
      <c r="H4" s="16">
        <f>IF(AND(ISNUMBER(C4),ISNUMBER(G4)), C4-G4, "")</f>
        <v>-45083.72000000003</v>
      </c>
      <c r="I4" s="17">
        <f>IFERROR(H4/G4, "")</f>
        <v>-0.34961162810968166</v>
      </c>
      <c r="J4" s="41" t="s">
        <v>101</v>
      </c>
      <c r="K4" s="68" t="s">
        <v>102</v>
      </c>
      <c r="L4" s="61" t="s">
        <v>24</v>
      </c>
    </row>
    <row r="5" spans="1:13" ht="28.8" x14ac:dyDescent="0.25">
      <c r="A5" s="30" t="str">
        <v>San Luis Valley</v>
      </c>
      <c r="B5" s="31" t="str">
        <v>CO</v>
      </c>
      <c r="C5" s="12">
        <v>224573.25</v>
      </c>
      <c r="D5" s="19">
        <v>232450.6</v>
      </c>
      <c r="E5" s="19">
        <f t="shared" ref="E5:E13" si="0">IF(AND(ISNUMBER(C5),ISNUMBER(D5)), C5-D5, "")</f>
        <v>-7877.3500000000058</v>
      </c>
      <c r="F5" s="20">
        <f>IFERROR(E5/D5, "")</f>
        <v>-3.3888275616410564E-2</v>
      </c>
      <c r="G5" s="69">
        <v>0</v>
      </c>
      <c r="H5" s="21">
        <f t="shared" ref="H5:H8" si="1">IF(AND(ISNUMBER(C5),ISNUMBER(G5)), C5-G5, "")</f>
        <v>224573.25</v>
      </c>
      <c r="I5" s="20" t="str">
        <f t="shared" ref="I5:I8" si="2">IFERROR(H5/G5, "")</f>
        <v/>
      </c>
      <c r="J5" s="48" t="s">
        <v>103</v>
      </c>
      <c r="K5" s="60" t="s">
        <v>104</v>
      </c>
    </row>
    <row r="6" spans="1:13" ht="15.6" x14ac:dyDescent="0.3">
      <c r="A6" s="32" t="str">
        <v>Golden NREL 2</v>
      </c>
      <c r="B6" s="29" t="str">
        <v>CO</v>
      </c>
      <c r="C6" s="25">
        <v>11155</v>
      </c>
      <c r="D6" s="14">
        <v>10312.40402</v>
      </c>
      <c r="E6" s="14">
        <f t="shared" si="0"/>
        <v>842.59598000000005</v>
      </c>
      <c r="F6" s="15">
        <f t="shared" ref="F6:F13" si="3">IFERROR(E6/D6, "")</f>
        <v>8.1707037308260941E-2</v>
      </c>
      <c r="G6" s="16">
        <v>12834.78</v>
      </c>
      <c r="H6" s="16">
        <f t="shared" si="1"/>
        <v>-1679.7800000000007</v>
      </c>
      <c r="I6" s="17">
        <f t="shared" si="2"/>
        <v>-0.13087719462273609</v>
      </c>
      <c r="J6" s="50" t="s">
        <v>105</v>
      </c>
      <c r="K6" s="50"/>
    </row>
    <row r="7" spans="1:13" ht="69" customHeight="1" x14ac:dyDescent="0.25">
      <c r="A7" s="30" t="str">
        <v>Golden NREL Wind 3</v>
      </c>
      <c r="B7" s="31" t="str">
        <v>CO</v>
      </c>
      <c r="C7" s="12">
        <v>79519.311093750002</v>
      </c>
      <c r="D7" s="19">
        <v>141658.20000000001</v>
      </c>
      <c r="E7" s="19">
        <f>IF(AND(ISNUMBER(C7),ISNUMBER(D7)), C7-D7, "")</f>
        <v>-62138.888906250009</v>
      </c>
      <c r="F7" s="20">
        <v>0</v>
      </c>
      <c r="G7" s="69">
        <v>0</v>
      </c>
      <c r="H7" s="21">
        <f t="shared" si="1"/>
        <v>79519.311093750002</v>
      </c>
      <c r="I7" s="20" t="str">
        <f t="shared" si="2"/>
        <v/>
      </c>
      <c r="J7" s="48" t="s">
        <v>106</v>
      </c>
      <c r="K7" s="60" t="s">
        <v>79</v>
      </c>
    </row>
    <row r="8" spans="1:13" ht="57.6" x14ac:dyDescent="0.25">
      <c r="A8" s="51" t="str">
        <v>Pratt Solar Farm</v>
      </c>
      <c r="B8" s="29" t="str">
        <v>KS</v>
      </c>
      <c r="C8" s="25">
        <v>323630</v>
      </c>
      <c r="D8" s="14">
        <v>1020112</v>
      </c>
      <c r="E8" s="14">
        <f t="shared" si="0"/>
        <v>-696482</v>
      </c>
      <c r="F8" s="15">
        <f t="shared" si="3"/>
        <v>-0.68275052151136351</v>
      </c>
      <c r="G8" s="16">
        <v>1092313</v>
      </c>
      <c r="H8" s="16">
        <f t="shared" si="1"/>
        <v>-768683</v>
      </c>
      <c r="I8" s="17">
        <f t="shared" si="2"/>
        <v>-0.70372045375272474</v>
      </c>
      <c r="J8" s="50" t="s">
        <v>107</v>
      </c>
      <c r="K8" s="59" t="s">
        <v>108</v>
      </c>
      <c r="L8" s="61" t="s">
        <v>82</v>
      </c>
      <c r="M8" s="61" t="s">
        <v>109</v>
      </c>
    </row>
    <row r="9" spans="1:13" ht="38.700000000000003" customHeight="1" x14ac:dyDescent="0.25">
      <c r="A9" s="30" t="str">
        <v>Rochester - 5516 Valleyhigh NW</v>
      </c>
      <c r="B9" s="31" t="str">
        <v>MN</v>
      </c>
      <c r="C9" s="12">
        <v>0</v>
      </c>
      <c r="D9" s="19">
        <v>0</v>
      </c>
      <c r="E9" s="19">
        <f t="shared" si="0"/>
        <v>0</v>
      </c>
      <c r="F9" s="20" t="str">
        <f t="shared" si="3"/>
        <v/>
      </c>
      <c r="G9" s="21">
        <v>0</v>
      </c>
      <c r="H9" s="21">
        <f t="shared" ref="H9:H12" si="4">IF(AND(ISNUMBER(C9),ISNUMBER(G9)), C9-G9, "")</f>
        <v>0</v>
      </c>
      <c r="I9" s="20" t="str">
        <f t="shared" ref="I9:I12" si="5">IFERROR(H9/G9, "")</f>
        <v/>
      </c>
      <c r="J9" s="48" t="s">
        <v>110</v>
      </c>
      <c r="K9" s="48"/>
    </row>
    <row r="10" spans="1:13" ht="15.6" x14ac:dyDescent="0.3">
      <c r="A10" s="32" t="str">
        <v>Warsaw - 2201 Richmond</v>
      </c>
      <c r="B10" s="29" t="str">
        <v>VA</v>
      </c>
      <c r="C10" s="25">
        <v>0</v>
      </c>
      <c r="D10" s="14">
        <v>0</v>
      </c>
      <c r="E10" s="14">
        <f t="shared" si="0"/>
        <v>0</v>
      </c>
      <c r="F10" s="15" t="str">
        <f t="shared" si="3"/>
        <v/>
      </c>
      <c r="G10" s="16">
        <v>0</v>
      </c>
      <c r="H10" s="16">
        <f t="shared" si="4"/>
        <v>0</v>
      </c>
      <c r="I10" s="17" t="str">
        <f t="shared" si="5"/>
        <v/>
      </c>
      <c r="J10" s="50" t="s">
        <v>110</v>
      </c>
      <c r="K10" s="50"/>
    </row>
    <row r="11" spans="1:13" ht="15.6" x14ac:dyDescent="0.25">
      <c r="A11" s="30" t="str">
        <v>Mount Jackson - Randolf</v>
      </c>
      <c r="B11" s="31" t="str">
        <v>VA</v>
      </c>
      <c r="C11" s="12">
        <v>0</v>
      </c>
      <c r="D11" s="19">
        <v>0</v>
      </c>
      <c r="E11" s="19">
        <f t="shared" si="0"/>
        <v>0</v>
      </c>
      <c r="F11" s="20" t="str">
        <f t="shared" si="3"/>
        <v/>
      </c>
      <c r="G11" s="21">
        <v>0</v>
      </c>
      <c r="H11" s="21">
        <f t="shared" si="4"/>
        <v>0</v>
      </c>
      <c r="I11" s="20" t="str">
        <f t="shared" si="5"/>
        <v/>
      </c>
      <c r="J11" s="48" t="s">
        <v>110</v>
      </c>
      <c r="K11" s="48"/>
    </row>
    <row r="12" spans="1:13" ht="15.6" x14ac:dyDescent="0.3">
      <c r="A12" s="32" t="str">
        <v>Callands Gretna - Monroe</v>
      </c>
      <c r="B12" s="29" t="str">
        <v>VA</v>
      </c>
      <c r="C12" s="25">
        <v>0</v>
      </c>
      <c r="D12" s="14"/>
      <c r="E12" s="14" t="str">
        <f t="shared" si="0"/>
        <v/>
      </c>
      <c r="F12" s="15" t="str">
        <f t="shared" si="3"/>
        <v/>
      </c>
      <c r="G12" s="16">
        <v>0</v>
      </c>
      <c r="H12" s="16">
        <f t="shared" si="4"/>
        <v>0</v>
      </c>
      <c r="I12" s="17" t="str">
        <f t="shared" si="5"/>
        <v/>
      </c>
      <c r="J12" s="50" t="s">
        <v>110</v>
      </c>
      <c r="K12" s="50"/>
    </row>
    <row r="13" spans="1:13" ht="15.6" x14ac:dyDescent="0.25">
      <c r="A13" s="30" t="str">
        <v>Rockbridge Baths - Small Mouth Bass</v>
      </c>
      <c r="B13" s="31" t="str">
        <v>VA</v>
      </c>
      <c r="C13" s="12">
        <v>0</v>
      </c>
      <c r="D13" s="19">
        <v>0</v>
      </c>
      <c r="E13" s="19">
        <f t="shared" si="0"/>
        <v>0</v>
      </c>
      <c r="F13" s="20" t="str">
        <f t="shared" si="3"/>
        <v/>
      </c>
      <c r="G13" s="21">
        <v>0</v>
      </c>
      <c r="H13" s="21"/>
      <c r="I13" s="20"/>
      <c r="J13" s="42"/>
      <c r="K13" s="42"/>
    </row>
    <row r="14" spans="1:13" ht="14.4" x14ac:dyDescent="0.3">
      <c r="A14" s="22"/>
      <c r="B14" s="33"/>
      <c r="C14" s="22"/>
      <c r="D14" s="22"/>
      <c r="E14" s="22"/>
      <c r="F14" s="22"/>
      <c r="G14" s="22"/>
      <c r="H14" s="22"/>
      <c r="I14" s="22"/>
      <c r="J14" s="22"/>
      <c r="K14" s="22"/>
    </row>
    <row r="15" spans="1:13" ht="14.4" x14ac:dyDescent="0.3">
      <c r="A15" s="22"/>
      <c r="B15" s="33"/>
      <c r="C15" s="22"/>
      <c r="D15" s="22"/>
      <c r="E15" s="22"/>
      <c r="F15" s="22"/>
      <c r="G15" s="22"/>
      <c r="H15" s="22"/>
      <c r="I15" s="22"/>
      <c r="J15" s="22"/>
      <c r="K15" s="22"/>
    </row>
    <row r="16" spans="1:13" ht="14.4" x14ac:dyDescent="0.3">
      <c r="A16" s="22"/>
      <c r="B16" s="33"/>
      <c r="C16" s="22"/>
      <c r="D16" s="22"/>
      <c r="E16" s="22"/>
      <c r="F16" s="22"/>
      <c r="G16" s="22"/>
      <c r="H16" s="22"/>
      <c r="I16" s="22"/>
      <c r="J16" s="22"/>
      <c r="K16" s="22"/>
    </row>
    <row r="17" spans="1:11" ht="14.4" x14ac:dyDescent="0.3">
      <c r="A17" s="22"/>
      <c r="B17" s="33"/>
      <c r="C17" s="22"/>
      <c r="D17" s="22"/>
      <c r="E17" s="22"/>
      <c r="F17" s="22"/>
      <c r="G17" s="22"/>
      <c r="H17" s="22"/>
      <c r="I17" s="22"/>
      <c r="J17" s="22"/>
      <c r="K17" s="22"/>
    </row>
    <row r="18" spans="1:11" ht="14.4" x14ac:dyDescent="0.3">
      <c r="A18" s="22"/>
      <c r="B18" s="33"/>
      <c r="C18" s="22"/>
      <c r="D18" s="22"/>
      <c r="E18" s="22"/>
      <c r="F18" s="22"/>
      <c r="G18" s="22"/>
      <c r="H18" s="22"/>
      <c r="I18" s="22"/>
      <c r="J18" s="22"/>
      <c r="K18" s="22"/>
    </row>
    <row r="19" spans="1:11" ht="14.4" x14ac:dyDescent="0.3">
      <c r="A19" s="22"/>
      <c r="B19" s="33"/>
      <c r="C19" s="22"/>
      <c r="D19" s="22"/>
      <c r="E19" s="22"/>
      <c r="F19" s="22"/>
      <c r="G19" s="22"/>
      <c r="H19" s="22"/>
      <c r="I19" s="22"/>
      <c r="J19" s="22"/>
      <c r="K19" s="22"/>
    </row>
    <row r="20" spans="1:11" ht="14.4" x14ac:dyDescent="0.3">
      <c r="A20" s="22"/>
      <c r="B20" s="33"/>
      <c r="C20" s="22"/>
      <c r="D20" s="22"/>
      <c r="E20" s="22"/>
      <c r="F20" s="22"/>
      <c r="G20" s="22"/>
      <c r="H20" s="22"/>
      <c r="I20" s="22"/>
      <c r="J20" s="22"/>
      <c r="K20" s="22"/>
    </row>
    <row r="21" spans="1:11" ht="14.4" x14ac:dyDescent="0.3">
      <c r="A21" s="22"/>
      <c r="B21" s="33"/>
      <c r="C21" s="22"/>
      <c r="D21" s="22"/>
      <c r="E21" s="22"/>
      <c r="F21" s="22"/>
      <c r="G21" s="22"/>
      <c r="H21" s="22"/>
      <c r="I21" s="22"/>
      <c r="J21" s="22"/>
      <c r="K21" s="22"/>
    </row>
    <row r="22" spans="1:11" ht="14.4" x14ac:dyDescent="0.3">
      <c r="A22" s="22"/>
      <c r="B22" s="33"/>
      <c r="C22" s="22"/>
      <c r="D22" s="22"/>
      <c r="E22" s="22"/>
      <c r="F22" s="22"/>
      <c r="G22" s="22"/>
      <c r="H22" s="22"/>
      <c r="I22" s="22"/>
      <c r="J22" s="22"/>
      <c r="K22" s="22"/>
    </row>
    <row r="23" spans="1:11" ht="14.4" x14ac:dyDescent="0.3">
      <c r="A23" s="22"/>
      <c r="B23" s="33"/>
      <c r="C23" s="22"/>
      <c r="D23" s="22"/>
      <c r="E23" s="22"/>
      <c r="F23" s="22"/>
      <c r="G23" s="22"/>
      <c r="H23" s="22"/>
      <c r="I23" s="22"/>
      <c r="J23" s="22"/>
      <c r="K23" s="22"/>
    </row>
    <row r="24" spans="1:11" ht="14.4" x14ac:dyDescent="0.3">
      <c r="A24" s="22"/>
      <c r="B24" s="33"/>
      <c r="C24" s="22"/>
      <c r="D24" s="22"/>
      <c r="E24" s="22"/>
      <c r="F24" s="23"/>
      <c r="G24" s="22"/>
      <c r="H24" s="22"/>
      <c r="I24" s="23"/>
      <c r="J24" s="22"/>
      <c r="K24" s="22"/>
    </row>
    <row r="25" spans="1:11" ht="14.4" x14ac:dyDescent="0.3">
      <c r="A25" s="22"/>
      <c r="B25" s="33"/>
      <c r="C25" s="22"/>
      <c r="D25" s="22"/>
      <c r="E25" s="22"/>
      <c r="F25" s="23"/>
      <c r="G25" s="22"/>
      <c r="H25" s="22"/>
      <c r="I25" s="23"/>
      <c r="J25" s="22"/>
      <c r="K25" s="22"/>
    </row>
    <row r="26" spans="1:11" ht="14.4" x14ac:dyDescent="0.3">
      <c r="A26" s="22"/>
      <c r="B26" s="33"/>
      <c r="C26" s="22"/>
      <c r="D26" s="22"/>
      <c r="E26" s="22"/>
      <c r="F26" s="23"/>
      <c r="G26" s="22"/>
      <c r="H26" s="22"/>
      <c r="I26" s="23"/>
      <c r="J26" s="22"/>
      <c r="K26" s="22"/>
    </row>
    <row r="27" spans="1:11" ht="14.4" x14ac:dyDescent="0.3">
      <c r="A27" s="22"/>
      <c r="B27" s="33"/>
      <c r="C27" s="22"/>
      <c r="D27" s="22"/>
      <c r="E27" s="22"/>
      <c r="F27" s="23"/>
      <c r="G27" s="22"/>
      <c r="H27" s="22"/>
      <c r="I27" s="23"/>
      <c r="J27" s="22"/>
      <c r="K27" s="22"/>
    </row>
    <row r="28" spans="1:11" ht="14.4" x14ac:dyDescent="0.3">
      <c r="A28" s="22"/>
      <c r="B28" s="33"/>
      <c r="C28" s="22"/>
      <c r="D28" s="22"/>
      <c r="E28" s="22"/>
      <c r="F28" s="23"/>
      <c r="G28" s="22"/>
      <c r="H28" s="22"/>
      <c r="I28" s="23"/>
      <c r="J28" s="22"/>
      <c r="K28" s="22"/>
    </row>
    <row r="29" spans="1:11" ht="14.4" x14ac:dyDescent="0.3">
      <c r="A29" s="22"/>
      <c r="B29" s="33"/>
      <c r="C29" s="22"/>
      <c r="D29" s="22"/>
      <c r="E29" s="22"/>
      <c r="F29" s="23"/>
      <c r="G29" s="22"/>
      <c r="H29" s="22"/>
      <c r="I29" s="23"/>
      <c r="J29" s="22"/>
      <c r="K29" s="22"/>
    </row>
    <row r="30" spans="1:11" ht="14.4" x14ac:dyDescent="0.3">
      <c r="A30" s="22"/>
      <c r="B30" s="33"/>
      <c r="C30" s="22"/>
      <c r="D30" s="22"/>
      <c r="E30" s="22"/>
      <c r="F30" s="23"/>
      <c r="G30" s="22"/>
      <c r="H30" s="22"/>
      <c r="I30" s="23"/>
      <c r="J30" s="22"/>
      <c r="K30" s="22"/>
    </row>
    <row r="31" spans="1:11" ht="14.4" x14ac:dyDescent="0.3">
      <c r="A31" s="22"/>
      <c r="B31" s="33"/>
      <c r="C31" s="22"/>
      <c r="D31" s="22"/>
      <c r="E31" s="22"/>
      <c r="F31" s="23"/>
      <c r="G31" s="22"/>
      <c r="H31" s="22"/>
      <c r="I31" s="23"/>
      <c r="J31" s="22"/>
      <c r="K31" s="22"/>
    </row>
    <row r="32" spans="1:11" ht="14.4" x14ac:dyDescent="0.3">
      <c r="A32" s="22"/>
      <c r="B32" s="33"/>
      <c r="C32" s="22"/>
      <c r="D32" s="22"/>
      <c r="E32" s="22"/>
      <c r="F32" s="23"/>
      <c r="G32" s="22"/>
      <c r="H32" s="22"/>
      <c r="I32" s="23"/>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C333" s="22"/>
      <c r="D333" s="22"/>
      <c r="E333" s="22"/>
      <c r="F333" s="23"/>
      <c r="G333" s="22"/>
      <c r="H333" s="22"/>
      <c r="I333" s="23"/>
      <c r="J333" s="22"/>
      <c r="K333" s="22"/>
    </row>
  </sheetData>
  <mergeCells count="4">
    <mergeCell ref="G1:I1"/>
    <mergeCell ref="A1:C1"/>
    <mergeCell ref="D1:F1"/>
    <mergeCell ref="A2:B2"/>
  </mergeCells>
  <conditionalFormatting sqref="F2 I2 F4:F91 I4:I91">
    <cfRule type="cellIs" dxfId="31" priority="3" stopIfTrue="1" operator="lessThanOrEqual">
      <formula>-0.1</formula>
    </cfRule>
    <cfRule type="expression" dxfId="30" priority="4">
      <formula>AND(ISNUMBER(F2), F2&gt;=0.1)</formula>
    </cfRule>
  </conditionalFormatting>
  <hyperlinks>
    <hyperlink ref="K4" r:id="rId1" display="https://us3.assetplanner.com/service_request?ID=099790" xr:uid="{19EEFE01-137B-4BC2-94F1-1287EEF525D4}"/>
    <hyperlink ref="L4" r:id="rId2" display="https://us3.assetplanner.com/service_request?ID=095824" xr:uid="{812A7739-A026-44A6-99A2-BEA7B507EA1E}"/>
    <hyperlink ref="K5" r:id="rId3" display="https://us3.assetplanner.com/service_request?ID=099593" xr:uid="{A3819476-92C1-4A6C-BD51-98BBECD56436}"/>
    <hyperlink ref="K7" r:id="rId4" display="https://us3.assetplanner.com/service_request?ID=096263" xr:uid="{B48BF4D4-FEEF-46A7-83ED-F675701736B7}"/>
    <hyperlink ref="K8" r:id="rId5" display="https://us3.assetplanner.com/service_request?ID=099994" xr:uid="{4C0D8479-EC5C-4EA7-8011-E0D3B6AD6597}"/>
    <hyperlink ref="L8" r:id="rId6" display="https://us3.assetplanner.com/service_request?ID=099185" xr:uid="{DDC31F8E-7837-48CB-9D48-BE4FC927F295}"/>
    <hyperlink ref="M8" r:id="rId7" display="https://us3.assetplanner.com/service_request?ID=099478" xr:uid="{B92AECDF-F7DB-47B4-924B-01DA7ECDB248}"/>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2"/>
  <sheetViews>
    <sheetView zoomScale="80" zoomScaleNormal="80" workbookViewId="0">
      <pane xSplit="2" ySplit="3" topLeftCell="C4" activePane="bottomRight" state="frozen"/>
      <selection pane="topRight" activeCell="D13" sqref="D13"/>
      <selection pane="bottomLeft" activeCell="D13" sqref="D13"/>
      <selection pane="bottomRight" activeCell="I6" sqref="I6"/>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7" ht="19.5" customHeight="1" x14ac:dyDescent="0.25">
      <c r="A1" s="75" t="str" cm="1">
        <f t="array" ref="A1">portfolio</f>
        <v>Tortoise</v>
      </c>
      <c r="B1" s="75"/>
      <c r="C1" s="75"/>
      <c r="D1" s="76" t="s">
        <v>111</v>
      </c>
      <c r="E1" s="76"/>
      <c r="F1" s="76"/>
      <c r="G1" s="74" t="s">
        <v>112</v>
      </c>
      <c r="H1" s="74"/>
      <c r="I1" s="74"/>
      <c r="J1" s="5"/>
      <c r="K1" s="5"/>
    </row>
    <row r="2" spans="1:17" ht="19.5" customHeight="1" x14ac:dyDescent="0.25">
      <c r="A2" s="77" t="s">
        <v>2</v>
      </c>
      <c r="B2" s="77"/>
      <c r="C2" s="6">
        <f>SUM(C4:C90)</f>
        <v>984300.28249999997</v>
      </c>
      <c r="D2" s="6">
        <f>SUM(D4:D90)</f>
        <v>1591676.7004549839</v>
      </c>
      <c r="E2" s="6">
        <f>C2-D2</f>
        <v>-607376.41795498389</v>
      </c>
      <c r="F2" s="7">
        <f>IFERROR(E2/D2, 0)</f>
        <v>-0.3815953439422492</v>
      </c>
      <c r="G2" s="6">
        <f>SUM(G4:G90)</f>
        <v>1329590.57</v>
      </c>
      <c r="H2" s="8">
        <f>C2-G2</f>
        <v>-345290.28750000009</v>
      </c>
      <c r="I2" s="7">
        <f>IFERROR(H2/G2, 0)</f>
        <v>-0.25969670309860882</v>
      </c>
      <c r="J2" s="27"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7" ht="14.25" customHeight="1" x14ac:dyDescent="0.25">
      <c r="A3" s="9" t="s">
        <v>3</v>
      </c>
      <c r="B3" s="9" t="s">
        <v>4</v>
      </c>
      <c r="C3" s="24" t="s">
        <v>5</v>
      </c>
      <c r="D3" s="35" t="s">
        <v>6</v>
      </c>
      <c r="E3" s="35" t="s">
        <v>7</v>
      </c>
      <c r="F3" s="36" t="s">
        <v>8</v>
      </c>
      <c r="G3" s="37" t="s">
        <v>9</v>
      </c>
      <c r="H3" s="38" t="s">
        <v>7</v>
      </c>
      <c r="I3" s="39" t="s">
        <v>8</v>
      </c>
      <c r="J3" s="26" t="s">
        <v>20</v>
      </c>
      <c r="K3" s="26" t="s">
        <v>21</v>
      </c>
    </row>
    <row r="4" spans="1:17" ht="71.25" customHeight="1" x14ac:dyDescent="0.3">
      <c r="A4" s="32" t="str" cm="1">
        <f t="array" ref="A4:A13">Sites[Site]</f>
        <v>Alamosa School District</v>
      </c>
      <c r="B4" s="29" t="str" cm="1">
        <f t="array" ref="B4:B13">Sites[State]</f>
        <v>CO</v>
      </c>
      <c r="C4" s="25">
        <v>21782</v>
      </c>
      <c r="D4" s="14">
        <v>123116.851365505</v>
      </c>
      <c r="E4" s="14">
        <f>IF(AND(ISNUMBER(C4),ISNUMBER(D4)), C4-D4, "")</f>
        <v>-101334.851365505</v>
      </c>
      <c r="F4" s="15">
        <f>IFERROR(E4/D4, "")</f>
        <v>-0.82307864635577499</v>
      </c>
      <c r="G4" s="16">
        <v>143312.46</v>
      </c>
      <c r="H4" s="16">
        <f>IF(AND(ISNUMBER(C4),ISNUMBER(G4)), C4-G4, "")</f>
        <v>-121530.45999999999</v>
      </c>
      <c r="I4" s="17">
        <f>IFERROR(H4/G4, "")</f>
        <v>-0.84801042421573114</v>
      </c>
      <c r="J4" s="50" t="s">
        <v>113</v>
      </c>
      <c r="K4" s="59" t="s">
        <v>114</v>
      </c>
      <c r="L4" s="70" t="s">
        <v>115</v>
      </c>
      <c r="M4" s="70" t="s">
        <v>116</v>
      </c>
    </row>
    <row r="5" spans="1:17" ht="15.6" x14ac:dyDescent="0.3">
      <c r="A5" s="30" t="str">
        <v>San Luis Valley</v>
      </c>
      <c r="B5" s="31" t="str">
        <v>CO</v>
      </c>
      <c r="C5" s="12">
        <v>243865.25</v>
      </c>
      <c r="D5" s="19">
        <v>227071.9</v>
      </c>
      <c r="E5" s="19">
        <f t="shared" ref="E5:E10" si="0">IF(AND(ISNUMBER(C5),ISNUMBER(D5)), C5-D5, "")</f>
        <v>16793.350000000006</v>
      </c>
      <c r="F5" s="20">
        <f t="shared" ref="F5:F10" si="1">IFERROR(E5/D5, "")</f>
        <v>7.3956090559862339E-2</v>
      </c>
      <c r="G5" s="71">
        <v>0</v>
      </c>
      <c r="H5" s="21">
        <f t="shared" ref="H5:H10" si="2">IF(AND(ISNUMBER(C5),ISNUMBER(G5)), C5-G5, "")</f>
        <v>243865.25</v>
      </c>
      <c r="I5" s="20" t="str">
        <f t="shared" ref="I5:I10" si="3">IFERROR(H5/G5, "")</f>
        <v/>
      </c>
      <c r="J5" s="48"/>
      <c r="K5" s="48"/>
    </row>
    <row r="6" spans="1:17" ht="43.2" x14ac:dyDescent="0.3">
      <c r="A6" s="32" t="str">
        <v>Golden NREL 2</v>
      </c>
      <c r="B6" s="29" t="str">
        <v>CO</v>
      </c>
      <c r="C6" s="25">
        <v>13138.97</v>
      </c>
      <c r="D6" s="14">
        <v>12195.749089479001</v>
      </c>
      <c r="E6" s="14">
        <f t="shared" si="0"/>
        <v>943.22091052099859</v>
      </c>
      <c r="F6" s="15">
        <f t="shared" si="1"/>
        <v>7.7340137420069927E-2</v>
      </c>
      <c r="G6" s="16">
        <v>13598.11</v>
      </c>
      <c r="H6" s="16">
        <f t="shared" si="2"/>
        <v>-459.14000000000124</v>
      </c>
      <c r="I6" s="17">
        <f t="shared" si="3"/>
        <v>-3.3764986457676928E-2</v>
      </c>
      <c r="J6" s="50" t="s">
        <v>117</v>
      </c>
      <c r="K6" s="59" t="s">
        <v>118</v>
      </c>
    </row>
    <row r="7" spans="1:17" ht="57.6" x14ac:dyDescent="0.25">
      <c r="A7" s="30" t="str">
        <v>Golden NREL Wind 3</v>
      </c>
      <c r="B7" s="31" t="str">
        <v>CO</v>
      </c>
      <c r="C7" s="12">
        <v>94924.0625</v>
      </c>
      <c r="D7" s="19">
        <v>158782.20000000001</v>
      </c>
      <c r="E7" s="19">
        <f t="shared" si="0"/>
        <v>-63858.137500000012</v>
      </c>
      <c r="F7" s="20">
        <f t="shared" si="1"/>
        <v>-0.40217440934815119</v>
      </c>
      <c r="G7" s="69">
        <v>0</v>
      </c>
      <c r="H7" s="21">
        <f t="shared" si="2"/>
        <v>94924.0625</v>
      </c>
      <c r="I7" s="20" t="str">
        <f t="shared" si="3"/>
        <v/>
      </c>
      <c r="J7" s="48" t="s">
        <v>119</v>
      </c>
      <c r="K7" s="60" t="s">
        <v>29</v>
      </c>
    </row>
    <row r="8" spans="1:17" ht="187.2" x14ac:dyDescent="0.3">
      <c r="A8" s="32" t="str">
        <v>Pratt Solar Farm</v>
      </c>
      <c r="B8" s="29" t="str">
        <v>KS</v>
      </c>
      <c r="C8" s="25">
        <v>610590</v>
      </c>
      <c r="D8" s="14">
        <v>1070510</v>
      </c>
      <c r="E8" s="14">
        <f t="shared" si="0"/>
        <v>-459920</v>
      </c>
      <c r="F8" s="15">
        <f t="shared" si="1"/>
        <v>-0.42962700021485084</v>
      </c>
      <c r="G8" s="16">
        <v>1172680</v>
      </c>
      <c r="H8" s="16">
        <f t="shared" si="2"/>
        <v>-562090</v>
      </c>
      <c r="I8" s="17">
        <f t="shared" si="3"/>
        <v>-0.47932087184909777</v>
      </c>
      <c r="J8" s="50" t="s">
        <v>120</v>
      </c>
      <c r="K8" s="59" t="s">
        <v>121</v>
      </c>
      <c r="L8" s="70" t="s">
        <v>122</v>
      </c>
      <c r="M8" s="70" t="s">
        <v>123</v>
      </c>
      <c r="N8" s="70" t="s">
        <v>124</v>
      </c>
      <c r="O8" s="70" t="s">
        <v>82</v>
      </c>
      <c r="P8" s="70" t="s">
        <v>125</v>
      </c>
      <c r="Q8" s="70" t="s">
        <v>126</v>
      </c>
    </row>
    <row r="9" spans="1:17" ht="22.5" customHeight="1" x14ac:dyDescent="0.25">
      <c r="A9" s="30" t="str">
        <v>Rochester - 5516 Valleyhigh NW</v>
      </c>
      <c r="B9" s="31" t="str">
        <v>MN</v>
      </c>
      <c r="C9" s="12"/>
      <c r="D9" s="19"/>
      <c r="E9" s="19" t="str">
        <f t="shared" si="0"/>
        <v/>
      </c>
      <c r="F9" s="20" t="str">
        <f t="shared" si="1"/>
        <v/>
      </c>
      <c r="G9" s="21"/>
      <c r="H9" s="21" t="str">
        <f t="shared" si="2"/>
        <v/>
      </c>
      <c r="I9" s="20" t="str">
        <f t="shared" si="3"/>
        <v/>
      </c>
      <c r="J9" s="48" t="s">
        <v>127</v>
      </c>
      <c r="K9" s="48"/>
    </row>
    <row r="10" spans="1:17" ht="15.6" x14ac:dyDescent="0.3">
      <c r="A10" s="32" t="str">
        <v>Warsaw - 2201 Richmond</v>
      </c>
      <c r="B10" s="29" t="str">
        <v>VA</v>
      </c>
      <c r="C10" s="25"/>
      <c r="D10" s="14"/>
      <c r="E10" s="14" t="str">
        <f t="shared" si="0"/>
        <v/>
      </c>
      <c r="F10" s="15" t="str">
        <f t="shared" si="1"/>
        <v/>
      </c>
      <c r="G10" s="16"/>
      <c r="H10" s="16" t="str">
        <f t="shared" si="2"/>
        <v/>
      </c>
      <c r="I10" s="17" t="str">
        <f t="shared" si="3"/>
        <v/>
      </c>
      <c r="J10" s="50" t="s">
        <v>127</v>
      </c>
      <c r="K10" s="50"/>
    </row>
    <row r="11" spans="1:17" ht="15.6" x14ac:dyDescent="0.25">
      <c r="A11" s="30" t="str">
        <v>Mount Jackson - Randolf</v>
      </c>
      <c r="B11" s="31" t="str">
        <v>VA</v>
      </c>
      <c r="C11" s="12"/>
      <c r="D11" s="19"/>
      <c r="E11" s="19"/>
      <c r="F11" s="20"/>
      <c r="G11" s="21"/>
      <c r="H11" s="21"/>
      <c r="I11" s="20"/>
      <c r="J11" s="48" t="s">
        <v>127</v>
      </c>
      <c r="K11" s="48"/>
    </row>
    <row r="12" spans="1:17" ht="15.6" x14ac:dyDescent="0.3">
      <c r="A12" s="32" t="str">
        <v>Callands Gretna - Monroe</v>
      </c>
      <c r="B12" s="29" t="str">
        <v>VA</v>
      </c>
      <c r="C12" s="25"/>
      <c r="D12" s="14"/>
      <c r="E12" s="14"/>
      <c r="F12" s="15"/>
      <c r="G12" s="16"/>
      <c r="H12" s="16"/>
      <c r="I12" s="17"/>
      <c r="J12" s="50" t="s">
        <v>127</v>
      </c>
      <c r="K12" s="50"/>
    </row>
    <row r="13" spans="1:17" ht="15.6" x14ac:dyDescent="0.25">
      <c r="A13" s="30" t="str">
        <v>Rockbridge Baths - Small Mouth Bass</v>
      </c>
      <c r="B13" s="31" t="str">
        <v>VA</v>
      </c>
      <c r="C13" s="12"/>
      <c r="D13" s="19"/>
      <c r="E13" s="19"/>
      <c r="F13" s="20"/>
      <c r="G13" s="21"/>
      <c r="H13" s="21"/>
      <c r="I13" s="20"/>
      <c r="J13" s="42" t="s">
        <v>127</v>
      </c>
      <c r="K13" s="42"/>
    </row>
    <row r="14" spans="1:17" ht="14.4" x14ac:dyDescent="0.3">
      <c r="A14" s="22"/>
      <c r="B14" s="33"/>
      <c r="C14" s="22"/>
      <c r="D14" s="22"/>
      <c r="E14" s="22"/>
      <c r="F14" s="22"/>
      <c r="G14" s="22"/>
      <c r="H14" s="22"/>
      <c r="I14" s="22"/>
      <c r="J14" s="22"/>
      <c r="K14" s="22"/>
    </row>
    <row r="15" spans="1:17" ht="14.4" x14ac:dyDescent="0.3">
      <c r="A15" s="22"/>
      <c r="B15" s="33"/>
      <c r="C15" s="22"/>
      <c r="D15" s="22"/>
      <c r="E15" s="22"/>
      <c r="F15" s="22"/>
      <c r="G15" s="22"/>
      <c r="H15" s="22"/>
      <c r="I15" s="22"/>
      <c r="J15" s="22"/>
      <c r="K15" s="22"/>
    </row>
    <row r="16" spans="1:17" ht="14.4" x14ac:dyDescent="0.3">
      <c r="A16" s="22"/>
      <c r="B16" s="33"/>
      <c r="C16" s="22"/>
      <c r="D16" s="22"/>
      <c r="E16" s="22"/>
      <c r="F16" s="22"/>
      <c r="G16" s="22"/>
      <c r="H16" s="22"/>
      <c r="I16" s="22"/>
      <c r="J16" s="22"/>
      <c r="K16" s="22"/>
    </row>
    <row r="17" spans="1:11" ht="14.4" x14ac:dyDescent="0.3">
      <c r="A17" s="22"/>
      <c r="B17" s="33"/>
      <c r="C17" s="22"/>
      <c r="D17" s="22"/>
      <c r="E17" s="22"/>
      <c r="F17" s="22"/>
      <c r="G17" s="22"/>
      <c r="H17" s="22"/>
      <c r="I17" s="22"/>
      <c r="J17" s="22"/>
      <c r="K17" s="22"/>
    </row>
    <row r="18" spans="1:11" ht="14.4" x14ac:dyDescent="0.3">
      <c r="A18" s="22"/>
      <c r="B18" s="33"/>
      <c r="C18" s="22"/>
      <c r="D18" s="22"/>
      <c r="E18" s="22"/>
      <c r="F18" s="22"/>
      <c r="G18" s="22"/>
      <c r="H18" s="22"/>
      <c r="I18" s="22"/>
      <c r="J18" s="22"/>
      <c r="K18" s="22"/>
    </row>
    <row r="19" spans="1:11" ht="14.4" x14ac:dyDescent="0.3">
      <c r="A19" s="22"/>
      <c r="B19" s="33"/>
      <c r="C19" s="22"/>
      <c r="D19" s="22"/>
      <c r="E19" s="22"/>
      <c r="F19" s="22"/>
      <c r="G19" s="22"/>
      <c r="H19" s="22"/>
      <c r="I19" s="22"/>
      <c r="J19" s="22"/>
      <c r="K19" s="22"/>
    </row>
    <row r="20" spans="1:11" ht="14.4" x14ac:dyDescent="0.3">
      <c r="A20" s="22"/>
      <c r="B20" s="33"/>
      <c r="C20" s="22"/>
      <c r="D20" s="22"/>
      <c r="E20" s="22"/>
      <c r="F20" s="22"/>
      <c r="G20" s="22"/>
      <c r="H20" s="22"/>
      <c r="I20" s="22"/>
      <c r="J20" s="22"/>
      <c r="K20" s="22"/>
    </row>
    <row r="21" spans="1:11" ht="14.4" x14ac:dyDescent="0.3">
      <c r="A21" s="22"/>
      <c r="B21" s="33"/>
      <c r="C21" s="22"/>
      <c r="D21" s="22"/>
      <c r="E21" s="22"/>
      <c r="F21" s="22"/>
      <c r="G21" s="22"/>
      <c r="H21" s="22"/>
      <c r="I21" s="22"/>
      <c r="J21" s="22"/>
      <c r="K21" s="22"/>
    </row>
    <row r="22" spans="1:11" ht="14.4" x14ac:dyDescent="0.3">
      <c r="A22" s="22"/>
      <c r="B22" s="33"/>
      <c r="C22" s="22"/>
      <c r="D22" s="22"/>
      <c r="E22" s="22"/>
      <c r="F22" s="22"/>
      <c r="G22" s="22"/>
      <c r="H22" s="22"/>
      <c r="I22" s="22"/>
      <c r="J22" s="22"/>
      <c r="K22" s="22"/>
    </row>
    <row r="23" spans="1:11" ht="14.4" x14ac:dyDescent="0.3">
      <c r="A23" s="22"/>
      <c r="B23" s="33"/>
      <c r="C23" s="22"/>
      <c r="D23" s="22"/>
      <c r="E23" s="22"/>
      <c r="F23" s="23"/>
      <c r="G23" s="22"/>
      <c r="H23" s="22"/>
      <c r="I23" s="23"/>
      <c r="J23" s="22"/>
      <c r="K23" s="22"/>
    </row>
    <row r="24" spans="1:11" ht="14.4" x14ac:dyDescent="0.3">
      <c r="A24" s="22"/>
      <c r="B24" s="33"/>
      <c r="C24" s="22"/>
      <c r="D24" s="22"/>
      <c r="E24" s="22"/>
      <c r="F24" s="23"/>
      <c r="G24" s="22"/>
      <c r="H24" s="22"/>
      <c r="I24" s="23"/>
      <c r="J24" s="22"/>
      <c r="K24" s="22"/>
    </row>
    <row r="25" spans="1:11" ht="14.4" x14ac:dyDescent="0.3">
      <c r="A25" s="22"/>
      <c r="B25" s="33"/>
      <c r="C25" s="22"/>
      <c r="D25" s="22"/>
      <c r="E25" s="22"/>
      <c r="F25" s="23"/>
      <c r="G25" s="22"/>
      <c r="H25" s="22"/>
      <c r="I25" s="23"/>
      <c r="J25" s="22"/>
      <c r="K25" s="22"/>
    </row>
    <row r="26" spans="1:11" ht="14.4" x14ac:dyDescent="0.3">
      <c r="A26" s="22"/>
      <c r="B26" s="33"/>
      <c r="C26" s="22"/>
      <c r="D26" s="22"/>
      <c r="E26" s="22"/>
      <c r="F26" s="23"/>
      <c r="G26" s="22"/>
      <c r="H26" s="22"/>
      <c r="I26" s="23"/>
      <c r="J26" s="22"/>
      <c r="K26" s="22"/>
    </row>
    <row r="27" spans="1:11" ht="14.4" x14ac:dyDescent="0.3">
      <c r="A27" s="22"/>
      <c r="B27" s="33"/>
      <c r="C27" s="22"/>
      <c r="D27" s="22"/>
      <c r="E27" s="22"/>
      <c r="F27" s="23"/>
      <c r="G27" s="22"/>
      <c r="H27" s="22"/>
      <c r="I27" s="23"/>
      <c r="J27" s="22"/>
      <c r="K27" s="22"/>
    </row>
    <row r="28" spans="1:11" ht="14.4" x14ac:dyDescent="0.3">
      <c r="A28" s="22"/>
      <c r="B28" s="33"/>
      <c r="C28" s="22"/>
      <c r="D28" s="22"/>
      <c r="E28" s="22"/>
      <c r="F28" s="23"/>
      <c r="G28" s="22"/>
      <c r="H28" s="22"/>
      <c r="I28" s="23"/>
      <c r="J28" s="22"/>
      <c r="K28" s="22"/>
    </row>
    <row r="29" spans="1:11" ht="14.4" x14ac:dyDescent="0.3">
      <c r="A29" s="22"/>
      <c r="B29" s="33"/>
      <c r="C29" s="22"/>
      <c r="D29" s="22"/>
      <c r="E29" s="22"/>
      <c r="F29" s="23"/>
      <c r="G29" s="22"/>
      <c r="H29" s="22"/>
      <c r="I29" s="23"/>
      <c r="J29" s="22"/>
      <c r="K29" s="22"/>
    </row>
    <row r="30" spans="1:11" ht="14.4" x14ac:dyDescent="0.3">
      <c r="A30" s="22"/>
      <c r="B30" s="33"/>
      <c r="C30" s="22"/>
      <c r="D30" s="22"/>
      <c r="E30" s="22"/>
      <c r="F30" s="23"/>
      <c r="G30" s="22"/>
      <c r="H30" s="22"/>
      <c r="I30" s="23"/>
      <c r="J30" s="22"/>
      <c r="K30" s="22"/>
    </row>
    <row r="31" spans="1:11" ht="14.4" x14ac:dyDescent="0.3">
      <c r="A31" s="22"/>
      <c r="B31" s="33"/>
      <c r="C31" s="22"/>
      <c r="D31" s="22"/>
      <c r="E31" s="22"/>
      <c r="F31" s="23"/>
      <c r="G31" s="22"/>
      <c r="H31" s="22"/>
      <c r="I31" s="23"/>
      <c r="J31" s="22"/>
      <c r="K31" s="22"/>
    </row>
    <row r="32" spans="1:11" ht="14.4" x14ac:dyDescent="0.3">
      <c r="A32" s="22"/>
      <c r="B32" s="33"/>
      <c r="C32" s="22"/>
      <c r="D32" s="22"/>
      <c r="E32" s="22"/>
      <c r="F32" s="23"/>
      <c r="G32" s="22"/>
      <c r="H32" s="22"/>
      <c r="I32" s="23"/>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C332" s="22"/>
      <c r="D332" s="22"/>
      <c r="E332" s="22"/>
      <c r="F332" s="23"/>
      <c r="G332" s="22"/>
      <c r="H332" s="22"/>
      <c r="I332" s="23"/>
      <c r="J332" s="22"/>
      <c r="K332" s="22"/>
    </row>
  </sheetData>
  <mergeCells count="4">
    <mergeCell ref="G1:I1"/>
    <mergeCell ref="A1:C1"/>
    <mergeCell ref="D1:F1"/>
    <mergeCell ref="A2:B2"/>
  </mergeCells>
  <conditionalFormatting sqref="F2 I2 F4:F90 I4:I90">
    <cfRule type="cellIs" dxfId="29" priority="3" stopIfTrue="1" operator="lessThanOrEqual">
      <formula>-0.1</formula>
    </cfRule>
    <cfRule type="expression" dxfId="28" priority="4">
      <formula>AND(ISNUMBER(F2), F2&gt;=0.1)</formula>
    </cfRule>
  </conditionalFormatting>
  <hyperlinks>
    <hyperlink ref="K4" r:id="rId1" display="https://us3.assetplanner.com/service_request?ID=101579" xr:uid="{DC3FE0C2-9F55-474E-B346-E2772ADF4EFA}"/>
    <hyperlink ref="L4" r:id="rId2" display="https://us3.assetplanner.com/service_request?ID=099790" xr:uid="{7F403563-9D35-4644-8364-29662EDAEE40}"/>
    <hyperlink ref="M4" r:id="rId3" display="https://us3.assetplanner.com/service_request?ID=101399" xr:uid="{F0391505-7D61-4D69-8A27-BBFD20BE0C12}"/>
    <hyperlink ref="K6" r:id="rId4" display="https://us3.assetplanner.com/service_request?ID=093280" xr:uid="{1CC58750-DE9B-4FCA-9A05-667C1924C6F2}"/>
    <hyperlink ref="K7" r:id="rId5" display="https://us3.assetplanner.com/service_request?ID=096263" xr:uid="{64BE2DB5-D545-4F5F-A6CE-7FFDC988FB63}"/>
    <hyperlink ref="K8" r:id="rId6" display="https://us3.assetplanner.com/service_request?ID=099478" xr:uid="{A7C7E960-D4C6-49ED-8ADE-C036ED9242AB}"/>
    <hyperlink ref="L8" r:id="rId7" display="https://us3.assetplanner.com/service_request?ID=101785" xr:uid="{2983056D-405A-430C-AFEC-ACD9C510075C}"/>
    <hyperlink ref="M8" r:id="rId8" display="https://us3.assetplanner.com/service_request?ID=101822" xr:uid="{8E464F1E-4AAA-4713-8DB7-1F1C99E5B6A6}"/>
    <hyperlink ref="N8" r:id="rId9" display="https://us3.assetplanner.com/service_request?ID=099994" xr:uid="{D73D9B20-CD52-4B70-88EE-1D7284034846}"/>
    <hyperlink ref="O8" r:id="rId10" display="https://us3.assetplanner.com/service_request?ID=099185" xr:uid="{BF10B79A-99BB-46B0-A63F-D2625CCF80EB}"/>
    <hyperlink ref="P8" r:id="rId11" display="https://us3.assetplanner.com/service_request?ID=102003" xr:uid="{07A21B8A-59C4-414A-915C-54CD160429BD}"/>
    <hyperlink ref="Q8" r:id="rId12" display="https://us3.assetplanner.com/service_request?ID=102210" xr:uid="{169FC6C9-4F08-443C-9F22-09973F2B7898}"/>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N342"/>
  <sheetViews>
    <sheetView zoomScale="70" zoomScaleNormal="70" workbookViewId="0">
      <pane xSplit="2" ySplit="3" topLeftCell="C4" activePane="bottomRight" state="frozen"/>
      <selection pane="topRight" activeCell="D13" sqref="D13"/>
      <selection pane="bottomLeft" activeCell="D13" sqref="D13"/>
      <selection pane="bottomRight" activeCell="I6" sqref="I6"/>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2.6640625" customWidth="1"/>
    <col min="12" max="14" width="8.88671875" style="62"/>
  </cols>
  <sheetData>
    <row r="1" spans="1:14" ht="19.5" customHeight="1" x14ac:dyDescent="0.25">
      <c r="A1" s="75" t="str" cm="1">
        <f t="array" ref="A1">portfolio</f>
        <v>Tortoise</v>
      </c>
      <c r="B1" s="75"/>
      <c r="C1" s="75"/>
      <c r="D1" s="76" t="s">
        <v>128</v>
      </c>
      <c r="E1" s="76"/>
      <c r="F1" s="76"/>
      <c r="G1" s="74" t="s">
        <v>129</v>
      </c>
      <c r="H1" s="74"/>
      <c r="I1" s="74"/>
      <c r="J1" s="5"/>
      <c r="K1" s="5"/>
    </row>
    <row r="2" spans="1:14" ht="19.5" customHeight="1" x14ac:dyDescent="0.25">
      <c r="A2" s="77" t="s">
        <v>2</v>
      </c>
      <c r="B2" s="77"/>
      <c r="C2" s="6">
        <f>SUM(C4:C100)</f>
        <v>445975.4120139915</v>
      </c>
      <c r="D2" s="6">
        <f>SUM(D4:D100)</f>
        <v>514002.2664509716</v>
      </c>
      <c r="E2" s="6">
        <f>C2-D2</f>
        <v>-68026.854436980095</v>
      </c>
      <c r="F2" s="7">
        <f>IFERROR(E2/D2, 0)</f>
        <v>-0.13234738225316536</v>
      </c>
      <c r="G2" s="6">
        <f>SUM(G4:G100)</f>
        <v>152992.94199999975</v>
      </c>
      <c r="H2" s="8">
        <f>C2-G2</f>
        <v>292982.47001399175</v>
      </c>
      <c r="I2" s="7">
        <f>IFERROR(H2/G2, 0)</f>
        <v>1.9150064452907392</v>
      </c>
      <c r="J2" s="27"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x14ac:dyDescent="0.25">
      <c r="A3" s="9" t="s">
        <v>3</v>
      </c>
      <c r="B3" s="9" t="s">
        <v>4</v>
      </c>
      <c r="C3" s="24" t="s">
        <v>5</v>
      </c>
      <c r="D3" s="35" t="s">
        <v>6</v>
      </c>
      <c r="E3" s="35" t="s">
        <v>7</v>
      </c>
      <c r="F3" s="36" t="s">
        <v>8</v>
      </c>
      <c r="G3" s="37" t="s">
        <v>9</v>
      </c>
      <c r="H3" s="38" t="s">
        <v>7</v>
      </c>
      <c r="I3" s="39" t="s">
        <v>8</v>
      </c>
      <c r="J3" s="26" t="s">
        <v>20</v>
      </c>
      <c r="K3" s="26" t="s">
        <v>21</v>
      </c>
    </row>
    <row r="4" spans="1:14" ht="28.8" x14ac:dyDescent="0.25">
      <c r="A4" s="51" t="str" cm="1">
        <f t="array" ref="A4:A13">Sites[Site]</f>
        <v>Alamosa School District</v>
      </c>
      <c r="B4" s="29" t="str" cm="1">
        <f t="array" ref="B4:B13">Sites[State]</f>
        <v>CO</v>
      </c>
      <c r="C4" s="25">
        <v>105255.06801399145</v>
      </c>
      <c r="D4" s="14">
        <v>126264.55945097162</v>
      </c>
      <c r="E4" s="14">
        <f t="shared" ref="E4:E17" si="0">IF(AND(ISNUMBER(C4),ISNUMBER(D4)), C4-D4, "")</f>
        <v>-21009.49143698017</v>
      </c>
      <c r="F4" s="15">
        <f>IFERROR(E4/D4, "")</f>
        <v>-0.16639262456808501</v>
      </c>
      <c r="G4" s="16">
        <v>137914.66999999975</v>
      </c>
      <c r="H4" s="16">
        <f t="shared" ref="H4:H17" si="1">IF(AND(ISNUMBER(C4),ISNUMBER(G4)), C4-G4, "")</f>
        <v>-32659.601986008303</v>
      </c>
      <c r="I4" s="17">
        <f t="shared" ref="I4:I17" si="2">IFERROR(H4/G4, "")</f>
        <v>-0.23681021015391882</v>
      </c>
      <c r="J4" s="50" t="s">
        <v>130</v>
      </c>
      <c r="K4" s="59" t="s">
        <v>131</v>
      </c>
      <c r="L4" s="61" t="s">
        <v>132</v>
      </c>
      <c r="M4" s="61" t="s">
        <v>116</v>
      </c>
    </row>
    <row r="5" spans="1:14" ht="15.6" x14ac:dyDescent="0.25">
      <c r="A5" s="30" t="str">
        <v>San Luis Valley</v>
      </c>
      <c r="B5" s="31" t="str">
        <v>CO</v>
      </c>
      <c r="C5" s="12">
        <v>244072.25</v>
      </c>
      <c r="D5" s="19">
        <v>222436.90299999999</v>
      </c>
      <c r="E5" s="19">
        <f t="shared" si="0"/>
        <v>21635.347000000009</v>
      </c>
      <c r="F5" s="20">
        <f>IFERROR(E5/D5, "")</f>
        <v>9.7265097239732784E-2</v>
      </c>
      <c r="G5" s="21">
        <v>0</v>
      </c>
      <c r="H5" s="21">
        <f t="shared" si="1"/>
        <v>244072.25</v>
      </c>
      <c r="I5" s="20" t="str">
        <f t="shared" si="2"/>
        <v/>
      </c>
      <c r="J5" s="48"/>
      <c r="K5" s="48"/>
    </row>
    <row r="6" spans="1:14" ht="15.6" x14ac:dyDescent="0.25">
      <c r="A6" s="51" t="str">
        <v>Golden NREL 2</v>
      </c>
      <c r="B6" s="29" t="str">
        <v>CO</v>
      </c>
      <c r="C6" s="25">
        <v>13029.781000000001</v>
      </c>
      <c r="D6" s="14">
        <v>13689.753000000001</v>
      </c>
      <c r="E6" s="14">
        <f t="shared" si="0"/>
        <v>-659.97199999999975</v>
      </c>
      <c r="F6" s="15">
        <f t="shared" ref="F6:F17" si="3">IFERROR(E6/D6, "")</f>
        <v>-4.8209197054176194E-2</v>
      </c>
      <c r="G6" s="16">
        <v>15078.272000000001</v>
      </c>
      <c r="H6" s="16">
        <f t="shared" si="1"/>
        <v>-2048.491</v>
      </c>
      <c r="I6" s="17">
        <f t="shared" si="2"/>
        <v>-0.13585714596473653</v>
      </c>
      <c r="J6" s="50" t="s">
        <v>133</v>
      </c>
      <c r="K6" s="50"/>
    </row>
    <row r="7" spans="1:14" ht="15.6" x14ac:dyDescent="0.25">
      <c r="A7" s="30" t="str">
        <v>Golden NREL Wind 3</v>
      </c>
      <c r="B7" s="31" t="str">
        <v>CO</v>
      </c>
      <c r="C7" s="12">
        <v>83618.312999999995</v>
      </c>
      <c r="D7" s="19">
        <v>151611.05100000001</v>
      </c>
      <c r="E7" s="19">
        <f t="shared" si="0"/>
        <v>-67992.738000000012</v>
      </c>
      <c r="F7" s="20">
        <f t="shared" si="3"/>
        <v>-0.44846821885035287</v>
      </c>
      <c r="G7" s="21">
        <v>0</v>
      </c>
      <c r="H7" s="21">
        <f t="shared" si="1"/>
        <v>83618.312999999995</v>
      </c>
      <c r="I7" s="20" t="str">
        <f t="shared" si="2"/>
        <v/>
      </c>
      <c r="J7" s="48" t="s">
        <v>134</v>
      </c>
      <c r="K7" s="60" t="s">
        <v>29</v>
      </c>
    </row>
    <row r="8" spans="1:14" ht="16.5" customHeight="1" x14ac:dyDescent="0.3">
      <c r="A8" s="22" t="str">
        <v>Pratt Solar Farm</v>
      </c>
      <c r="B8" s="22" t="str">
        <v>KS</v>
      </c>
      <c r="C8" s="22"/>
      <c r="D8" s="22"/>
      <c r="E8" s="22" t="str">
        <f t="shared" si="0"/>
        <v/>
      </c>
      <c r="F8" s="22" t="str">
        <f t="shared" si="3"/>
        <v/>
      </c>
      <c r="G8" s="22"/>
      <c r="H8" s="22" t="str">
        <f t="shared" si="1"/>
        <v/>
      </c>
      <c r="I8" s="22" t="str">
        <f t="shared" si="2"/>
        <v/>
      </c>
      <c r="J8" s="22" t="s">
        <v>135</v>
      </c>
      <c r="K8" s="22"/>
      <c r="L8" s="72"/>
      <c r="M8" s="72"/>
      <c r="N8" s="72"/>
    </row>
    <row r="9" spans="1:14" ht="22.95" customHeight="1" x14ac:dyDescent="0.3">
      <c r="A9" s="22" t="str">
        <v>Rochester - 5516 Valleyhigh NW</v>
      </c>
      <c r="B9" s="22" t="str">
        <v>MN</v>
      </c>
      <c r="C9" s="22"/>
      <c r="D9" s="22"/>
      <c r="E9" s="22" t="str">
        <f t="shared" si="0"/>
        <v/>
      </c>
      <c r="F9" s="22" t="str">
        <f t="shared" si="3"/>
        <v/>
      </c>
      <c r="G9" s="22"/>
      <c r="H9" s="22" t="str">
        <f t="shared" si="1"/>
        <v/>
      </c>
      <c r="I9" s="22" t="str">
        <f t="shared" si="2"/>
        <v/>
      </c>
      <c r="J9" s="22" t="s">
        <v>127</v>
      </c>
      <c r="K9" s="22"/>
      <c r="L9" s="72"/>
      <c r="M9" s="72"/>
      <c r="N9" s="72"/>
    </row>
    <row r="10" spans="1:14" ht="18.600000000000001" customHeight="1" x14ac:dyDescent="0.3">
      <c r="A10" s="22" t="str">
        <v>Warsaw - 2201 Richmond</v>
      </c>
      <c r="B10" s="22" t="str">
        <v>VA</v>
      </c>
      <c r="C10" s="22"/>
      <c r="D10" s="22"/>
      <c r="E10" s="22" t="str">
        <f t="shared" si="0"/>
        <v/>
      </c>
      <c r="F10" s="22" t="str">
        <f t="shared" si="3"/>
        <v/>
      </c>
      <c r="G10" s="22"/>
      <c r="H10" s="22" t="str">
        <f t="shared" si="1"/>
        <v/>
      </c>
      <c r="I10" s="22" t="str">
        <f t="shared" si="2"/>
        <v/>
      </c>
      <c r="J10" s="22" t="s">
        <v>127</v>
      </c>
      <c r="K10" s="22"/>
      <c r="L10" s="72"/>
      <c r="M10" s="72"/>
      <c r="N10" s="72"/>
    </row>
    <row r="11" spans="1:14" ht="19.95" customHeight="1" x14ac:dyDescent="0.3">
      <c r="A11" s="22" t="str">
        <v>Mount Jackson - Randolf</v>
      </c>
      <c r="B11" s="22" t="str">
        <v>VA</v>
      </c>
      <c r="C11" s="22"/>
      <c r="D11" s="22"/>
      <c r="E11" s="22" t="str">
        <f t="shared" si="0"/>
        <v/>
      </c>
      <c r="F11" s="22" t="str">
        <f t="shared" si="3"/>
        <v/>
      </c>
      <c r="G11" s="22"/>
      <c r="H11" s="22" t="str">
        <f t="shared" si="1"/>
        <v/>
      </c>
      <c r="I11" s="22" t="str">
        <f t="shared" si="2"/>
        <v/>
      </c>
      <c r="J11" s="22" t="s">
        <v>127</v>
      </c>
      <c r="K11" s="22"/>
      <c r="L11" s="72"/>
      <c r="M11" s="72"/>
      <c r="N11" s="72"/>
    </row>
    <row r="12" spans="1:14" ht="18.75" customHeight="1" x14ac:dyDescent="0.3">
      <c r="A12" s="22" t="str">
        <v>Callands Gretna - Monroe</v>
      </c>
      <c r="B12" s="22" t="str">
        <v>VA</v>
      </c>
      <c r="C12" s="22"/>
      <c r="D12" s="22"/>
      <c r="E12" s="22" t="str">
        <f t="shared" si="0"/>
        <v/>
      </c>
      <c r="F12" s="22" t="str">
        <f t="shared" si="3"/>
        <v/>
      </c>
      <c r="G12" s="22"/>
      <c r="H12" s="22" t="str">
        <f t="shared" si="1"/>
        <v/>
      </c>
      <c r="I12" s="22" t="str">
        <f t="shared" si="2"/>
        <v/>
      </c>
      <c r="J12" s="22" t="s">
        <v>127</v>
      </c>
      <c r="K12" s="22"/>
      <c r="L12" s="72"/>
      <c r="M12" s="72"/>
      <c r="N12" s="72"/>
    </row>
    <row r="13" spans="1:14" ht="21.75" customHeight="1" x14ac:dyDescent="0.3">
      <c r="A13" s="22" t="str">
        <v>Rockbridge Baths - Small Mouth Bass</v>
      </c>
      <c r="B13" s="22" t="str">
        <v>VA</v>
      </c>
      <c r="C13" s="22"/>
      <c r="D13" s="22"/>
      <c r="E13" s="22" t="str">
        <f t="shared" si="0"/>
        <v/>
      </c>
      <c r="F13" s="22" t="str">
        <f t="shared" si="3"/>
        <v/>
      </c>
      <c r="G13" s="22"/>
      <c r="H13" s="22" t="str">
        <f t="shared" si="1"/>
        <v/>
      </c>
      <c r="I13" s="22" t="str">
        <f t="shared" si="2"/>
        <v/>
      </c>
      <c r="J13" s="22" t="s">
        <v>127</v>
      </c>
      <c r="K13" s="22"/>
      <c r="L13" s="72"/>
      <c r="M13" s="72"/>
      <c r="N13" s="72"/>
    </row>
    <row r="14" spans="1:14" x14ac:dyDescent="0.3">
      <c r="A14" s="22"/>
      <c r="B14" s="22"/>
      <c r="C14" s="22"/>
      <c r="D14" s="22"/>
      <c r="E14" s="22" t="str">
        <f t="shared" si="0"/>
        <v/>
      </c>
      <c r="F14" s="22" t="str">
        <f t="shared" si="3"/>
        <v/>
      </c>
      <c r="G14" s="22"/>
      <c r="H14" s="22" t="str">
        <f t="shared" si="1"/>
        <v/>
      </c>
      <c r="I14" s="22" t="str">
        <f t="shared" si="2"/>
        <v/>
      </c>
      <c r="J14" s="22"/>
      <c r="K14" s="22"/>
      <c r="L14" s="72"/>
      <c r="M14" s="72"/>
      <c r="N14" s="72"/>
    </row>
    <row r="15" spans="1:14" x14ac:dyDescent="0.3">
      <c r="A15" s="22"/>
      <c r="B15" s="22"/>
      <c r="C15" s="22"/>
      <c r="D15" s="22"/>
      <c r="E15" s="22" t="str">
        <f t="shared" si="0"/>
        <v/>
      </c>
      <c r="F15" s="22" t="str">
        <f t="shared" si="3"/>
        <v/>
      </c>
      <c r="G15" s="22"/>
      <c r="H15" s="22" t="str">
        <f t="shared" si="1"/>
        <v/>
      </c>
      <c r="I15" s="22" t="str">
        <f t="shared" si="2"/>
        <v/>
      </c>
      <c r="J15" s="22"/>
      <c r="K15" s="22"/>
      <c r="L15" s="72"/>
      <c r="M15" s="72"/>
      <c r="N15" s="72"/>
    </row>
    <row r="16" spans="1:14" x14ac:dyDescent="0.3">
      <c r="A16" s="22"/>
      <c r="B16" s="22"/>
      <c r="C16" s="22"/>
      <c r="D16" s="22"/>
      <c r="E16" s="22" t="str">
        <f t="shared" si="0"/>
        <v/>
      </c>
      <c r="F16" s="22" t="str">
        <f t="shared" si="3"/>
        <v/>
      </c>
      <c r="G16" s="22"/>
      <c r="H16" s="22" t="str">
        <f t="shared" si="1"/>
        <v/>
      </c>
      <c r="I16" s="22" t="str">
        <f t="shared" si="2"/>
        <v/>
      </c>
      <c r="J16" s="22"/>
      <c r="K16" s="22"/>
      <c r="L16" s="72"/>
      <c r="M16" s="72"/>
      <c r="N16" s="72"/>
    </row>
    <row r="17" spans="1:14" x14ac:dyDescent="0.3">
      <c r="A17" s="22"/>
      <c r="B17" s="22"/>
      <c r="C17" s="22"/>
      <c r="D17" s="22"/>
      <c r="E17" s="22" t="str">
        <f t="shared" si="0"/>
        <v/>
      </c>
      <c r="F17" s="22" t="str">
        <f t="shared" si="3"/>
        <v/>
      </c>
      <c r="G17" s="22"/>
      <c r="H17" s="22" t="str">
        <f t="shared" si="1"/>
        <v/>
      </c>
      <c r="I17" s="22" t="str">
        <f t="shared" si="2"/>
        <v/>
      </c>
      <c r="J17" s="22"/>
      <c r="K17" s="22"/>
      <c r="L17" s="72"/>
      <c r="M17" s="72"/>
      <c r="N17" s="72"/>
    </row>
    <row r="18" spans="1:14" ht="12.75" customHeight="1" x14ac:dyDescent="0.3">
      <c r="A18" s="22"/>
      <c r="B18" s="33"/>
      <c r="C18" s="22"/>
      <c r="D18" s="22"/>
      <c r="E18" s="22"/>
      <c r="F18" s="22"/>
      <c r="G18" s="22"/>
      <c r="H18" s="22"/>
      <c r="I18" s="22"/>
      <c r="J18" s="22"/>
      <c r="K18" s="22"/>
    </row>
    <row r="19" spans="1:14" ht="14.4" x14ac:dyDescent="0.3">
      <c r="A19" s="22"/>
      <c r="B19" s="33"/>
      <c r="C19" s="22"/>
      <c r="D19" s="22"/>
      <c r="E19" s="22"/>
      <c r="F19" s="22"/>
      <c r="G19" s="22"/>
      <c r="H19" s="22"/>
      <c r="I19" s="22"/>
      <c r="J19" s="22"/>
      <c r="K19" s="22"/>
    </row>
    <row r="20" spans="1:14" ht="14.4" x14ac:dyDescent="0.3">
      <c r="A20" s="22"/>
      <c r="B20" s="33"/>
      <c r="C20" s="22"/>
      <c r="D20" s="22"/>
      <c r="E20" s="22"/>
      <c r="F20" s="22"/>
      <c r="G20" s="22"/>
      <c r="H20" s="22"/>
      <c r="I20" s="22"/>
      <c r="J20" s="22"/>
      <c r="K20" s="22"/>
    </row>
    <row r="21" spans="1:14" ht="14.4" x14ac:dyDescent="0.3">
      <c r="A21" s="22"/>
      <c r="B21" s="33"/>
      <c r="C21" s="22"/>
      <c r="D21" s="22"/>
      <c r="E21" s="22"/>
      <c r="F21" s="22"/>
      <c r="G21" s="22"/>
      <c r="H21" s="22"/>
      <c r="I21" s="22"/>
      <c r="J21" s="22"/>
      <c r="K21" s="22"/>
    </row>
    <row r="22" spans="1:14" ht="14.4" x14ac:dyDescent="0.3">
      <c r="A22" s="22"/>
      <c r="B22" s="33"/>
      <c r="C22" s="22"/>
      <c r="D22" s="22"/>
      <c r="E22" s="22"/>
      <c r="F22" s="22"/>
      <c r="G22" s="22"/>
      <c r="H22" s="22"/>
      <c r="I22" s="22"/>
      <c r="J22" s="22"/>
      <c r="K22" s="22"/>
    </row>
    <row r="23" spans="1:14" ht="14.4" x14ac:dyDescent="0.3">
      <c r="A23" s="22"/>
      <c r="B23" s="33"/>
      <c r="C23" s="22"/>
      <c r="D23" s="22"/>
      <c r="E23" s="22"/>
      <c r="F23" s="22"/>
      <c r="G23" s="22"/>
      <c r="H23" s="22"/>
      <c r="I23" s="22"/>
      <c r="J23" s="22"/>
      <c r="K23" s="22"/>
    </row>
    <row r="24" spans="1:14" ht="14.4" x14ac:dyDescent="0.3">
      <c r="A24" s="22"/>
      <c r="B24" s="33"/>
      <c r="C24" s="22"/>
      <c r="D24" s="22"/>
      <c r="E24" s="22"/>
      <c r="F24" s="22"/>
      <c r="G24" s="22"/>
      <c r="H24" s="22"/>
      <c r="I24" s="22"/>
      <c r="J24" s="22"/>
      <c r="K24" s="22"/>
    </row>
    <row r="25" spans="1:14" ht="14.4" x14ac:dyDescent="0.3">
      <c r="A25" s="22"/>
      <c r="B25" s="33"/>
      <c r="C25" s="22"/>
      <c r="D25" s="22"/>
      <c r="E25" s="22"/>
      <c r="F25" s="22"/>
      <c r="G25" s="22"/>
      <c r="H25" s="22"/>
      <c r="I25" s="22"/>
      <c r="J25" s="22"/>
      <c r="K25" s="22"/>
    </row>
    <row r="26" spans="1:14" ht="14.4" x14ac:dyDescent="0.3">
      <c r="A26" s="22"/>
      <c r="B26" s="33"/>
      <c r="C26" s="22"/>
      <c r="D26" s="22"/>
      <c r="E26" s="22"/>
      <c r="F26" s="22"/>
      <c r="G26" s="22"/>
      <c r="H26" s="22"/>
      <c r="I26" s="22"/>
      <c r="J26" s="22"/>
      <c r="K26" s="22"/>
    </row>
    <row r="27" spans="1:14" ht="14.4" x14ac:dyDescent="0.3">
      <c r="A27" s="22"/>
      <c r="B27" s="33"/>
      <c r="C27" s="22"/>
      <c r="D27" s="22"/>
      <c r="E27" s="22"/>
      <c r="F27" s="22"/>
      <c r="G27" s="22"/>
      <c r="H27" s="22"/>
      <c r="I27" s="22"/>
      <c r="J27" s="22"/>
      <c r="K27" s="22"/>
    </row>
    <row r="28" spans="1:14" ht="14.4" x14ac:dyDescent="0.3">
      <c r="A28" s="22"/>
      <c r="B28" s="33"/>
      <c r="C28" s="22"/>
      <c r="D28" s="22"/>
      <c r="E28" s="22"/>
      <c r="F28" s="22"/>
      <c r="G28" s="22"/>
      <c r="H28" s="22"/>
      <c r="I28" s="22"/>
      <c r="J28" s="22"/>
      <c r="K28" s="22"/>
    </row>
    <row r="29" spans="1:14" ht="14.4" x14ac:dyDescent="0.3">
      <c r="A29" s="22"/>
      <c r="B29" s="33"/>
      <c r="C29" s="22"/>
      <c r="D29" s="22"/>
      <c r="E29" s="22"/>
      <c r="F29" s="22"/>
      <c r="G29" s="22"/>
      <c r="H29" s="22"/>
      <c r="I29" s="22"/>
      <c r="J29" s="22"/>
      <c r="K29" s="22"/>
    </row>
    <row r="30" spans="1:14" ht="14.4" x14ac:dyDescent="0.3">
      <c r="A30" s="22"/>
      <c r="B30" s="33"/>
      <c r="C30" s="22"/>
      <c r="D30" s="22"/>
      <c r="E30" s="22"/>
      <c r="F30" s="22"/>
      <c r="G30" s="22"/>
      <c r="H30" s="22"/>
      <c r="I30" s="22"/>
      <c r="J30" s="22"/>
      <c r="K30" s="22"/>
    </row>
    <row r="31" spans="1:14" ht="14.4" x14ac:dyDescent="0.3">
      <c r="A31" s="22"/>
      <c r="B31" s="33"/>
      <c r="C31" s="22"/>
      <c r="D31" s="22"/>
      <c r="E31" s="22"/>
      <c r="F31" s="22"/>
      <c r="G31" s="22"/>
      <c r="H31" s="22"/>
      <c r="I31" s="22"/>
      <c r="J31" s="22"/>
      <c r="K31" s="22"/>
    </row>
    <row r="32" spans="1:14"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27" priority="3" stopIfTrue="1" operator="lessThanOrEqual">
      <formula>-0.1</formula>
    </cfRule>
    <cfRule type="expression" dxfId="26" priority="4">
      <formula>AND(ISNUMBER(F2), F2&gt;=0.1)</formula>
    </cfRule>
  </conditionalFormatting>
  <conditionalFormatting sqref="F4:F7 I4:I7 F18:F100 I18:I100">
    <cfRule type="cellIs" dxfId="25" priority="1" stopIfTrue="1" operator="lessThanOrEqual">
      <formula>-0.1</formula>
    </cfRule>
    <cfRule type="expression" dxfId="24" priority="2">
      <formula>AND(ISNUMBER(F4), F4&gt;=0.1)</formula>
    </cfRule>
  </conditionalFormatting>
  <hyperlinks>
    <hyperlink ref="K4" r:id="rId1" display="https://us3.assetplanner.com/service_request?ID=099790" xr:uid="{F5775E3D-5495-4E27-81AF-747D0ACF3313}"/>
    <hyperlink ref="L4" r:id="rId2" display="https://us3.assetplanner.com/service_request?ID=101579" xr:uid="{EFCC085F-863A-4E0B-95D3-EBA50EFBB36E}"/>
    <hyperlink ref="M4" r:id="rId3" display="https://us3.assetplanner.com/service_request?ID=101399" xr:uid="{52FE1DBB-A60C-4FB8-9E55-1C8883112C4C}"/>
    <hyperlink ref="K7" r:id="rId4" display="https://us3.assetplanner.com/service_request?ID=096263" xr:uid="{4E4E80C8-7A21-4723-8CF2-F108BE9C5CD1}"/>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O342"/>
  <sheetViews>
    <sheetView zoomScale="80" zoomScaleNormal="80" workbookViewId="0">
      <pane xSplit="2" ySplit="3" topLeftCell="F4" activePane="bottomRight" state="frozen"/>
      <selection pane="topRight" activeCell="D13" sqref="D13"/>
      <selection pane="bottomLeft" activeCell="D13" sqref="D13"/>
      <selection pane="bottomRight" activeCell="I6" sqref="I6"/>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5" ht="19.5" customHeight="1" x14ac:dyDescent="0.25">
      <c r="A1" s="75" t="str" cm="1">
        <f t="array" ref="A1">portfolio</f>
        <v>Tortoise</v>
      </c>
      <c r="B1" s="75"/>
      <c r="C1" s="75"/>
      <c r="D1" s="76" t="s">
        <v>136</v>
      </c>
      <c r="E1" s="76"/>
      <c r="F1" s="76"/>
      <c r="G1" s="74" t="s">
        <v>137</v>
      </c>
      <c r="H1" s="74"/>
      <c r="I1" s="74"/>
      <c r="J1" s="5"/>
      <c r="K1" s="5"/>
    </row>
    <row r="2" spans="1:15" ht="19.5" customHeight="1" x14ac:dyDescent="0.25">
      <c r="A2" s="77" t="s">
        <v>2</v>
      </c>
      <c r="B2" s="77"/>
      <c r="C2" s="6">
        <f>SUM(C4:C100)</f>
        <v>408649.72000000003</v>
      </c>
      <c r="D2" s="6">
        <f>SUM(D4:D100)</f>
        <v>487259.32651704602</v>
      </c>
      <c r="E2" s="6">
        <f>C2-D2</f>
        <v>-78609.606517045991</v>
      </c>
      <c r="F2" s="7">
        <f>IFERROR(E2/D2, 0)</f>
        <v>-0.16133012184487341</v>
      </c>
      <c r="G2" s="6">
        <f>SUM(G4:G100)</f>
        <v>585527.51</v>
      </c>
      <c r="H2" s="8">
        <f>C2-G2</f>
        <v>-176877.78999999998</v>
      </c>
      <c r="I2" s="7">
        <f>IFERROR(H2/G2, 0)</f>
        <v>-0.30208280051606795</v>
      </c>
      <c r="J2" s="27"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5" ht="14.25" customHeight="1" x14ac:dyDescent="0.25">
      <c r="A3" s="9" t="s">
        <v>3</v>
      </c>
      <c r="B3" s="9" t="s">
        <v>4</v>
      </c>
      <c r="C3" s="24" t="s">
        <v>5</v>
      </c>
      <c r="D3" s="35" t="s">
        <v>6</v>
      </c>
      <c r="E3" s="35" t="s">
        <v>7</v>
      </c>
      <c r="F3" s="36" t="s">
        <v>8</v>
      </c>
      <c r="G3" s="37" t="s">
        <v>9</v>
      </c>
      <c r="H3" s="38" t="s">
        <v>7</v>
      </c>
      <c r="I3" s="39" t="s">
        <v>8</v>
      </c>
      <c r="J3" s="26" t="s">
        <v>20</v>
      </c>
      <c r="K3" s="26" t="s">
        <v>21</v>
      </c>
    </row>
    <row r="4" spans="1:15" ht="15.6" x14ac:dyDescent="0.3">
      <c r="A4" s="32" t="str" cm="1">
        <f t="array" ref="A4:A13">Sites[Site]</f>
        <v>Alamosa School District</v>
      </c>
      <c r="B4" s="29" t="str" cm="1">
        <f t="array" ref="B4:B13">Sites[State]</f>
        <v>CO</v>
      </c>
      <c r="C4" s="25">
        <v>111918</v>
      </c>
      <c r="D4" s="14">
        <v>114821.173517046</v>
      </c>
      <c r="E4" s="14">
        <f>IF(AND(ISNUMBER(C4),ISNUMBER(D4)), C4-D4, "")</f>
        <v>-2903.1735170460015</v>
      </c>
      <c r="F4" s="15">
        <f>IFERROR(E4/D4, "")</f>
        <v>-2.5284304524330656E-2</v>
      </c>
      <c r="G4" s="16">
        <v>134380.51</v>
      </c>
      <c r="H4" s="16">
        <f>IF(AND(ISNUMBER(C4),ISNUMBER(G4)), C4-G4, "")</f>
        <v>-22462.510000000009</v>
      </c>
      <c r="I4" s="17">
        <f>IFERROR(H4/G4, "")</f>
        <v>-0.16715601094236068</v>
      </c>
      <c r="J4" s="41" t="s">
        <v>138</v>
      </c>
      <c r="K4" s="68" t="s">
        <v>139</v>
      </c>
    </row>
    <row r="5" spans="1:15" ht="28.8" x14ac:dyDescent="0.25">
      <c r="A5" s="30" t="str">
        <v>San Luis Valley</v>
      </c>
      <c r="B5" s="31" t="str">
        <v>CO</v>
      </c>
      <c r="C5" s="12">
        <v>241428.75</v>
      </c>
      <c r="D5" s="19">
        <v>210534.98499999999</v>
      </c>
      <c r="E5" s="19">
        <f t="shared" ref="E5:E17" si="0">IF(AND(ISNUMBER(C5),ISNUMBER(D5)), C5-D5, "")</f>
        <v>30893.765000000014</v>
      </c>
      <c r="F5" s="20">
        <f>IFERROR(E5/D5, "")</f>
        <v>0.14673934120735332</v>
      </c>
      <c r="G5" s="21">
        <v>268540</v>
      </c>
      <c r="H5" s="21">
        <f t="shared" ref="H5:H17" si="1">IF(AND(ISNUMBER(C5),ISNUMBER(G5)), C5-G5, "")</f>
        <v>-27111.25</v>
      </c>
      <c r="I5" s="20">
        <f t="shared" ref="I5:I17" si="2">IFERROR(H5/G5, "")</f>
        <v>-0.10095795784613093</v>
      </c>
      <c r="J5" s="42" t="s">
        <v>140</v>
      </c>
      <c r="K5" s="73" t="s">
        <v>141</v>
      </c>
    </row>
    <row r="6" spans="1:15" ht="15.6" x14ac:dyDescent="0.3">
      <c r="A6" s="32" t="str">
        <v>Golden NREL 2</v>
      </c>
      <c r="B6" s="29" t="str">
        <v>CO</v>
      </c>
      <c r="C6" s="25">
        <v>12760.89</v>
      </c>
      <c r="D6" s="14">
        <v>13409.368</v>
      </c>
      <c r="E6" s="14">
        <f t="shared" si="0"/>
        <v>-648.47800000000097</v>
      </c>
      <c r="F6" s="15">
        <f t="shared" ref="F6:F17" si="3">IFERROR(E6/D6, "")</f>
        <v>-4.8360071854244062E-2</v>
      </c>
      <c r="G6" s="16">
        <v>15123</v>
      </c>
      <c r="H6" s="16">
        <f t="shared" si="1"/>
        <v>-2362.1100000000006</v>
      </c>
      <c r="I6" s="17">
        <f t="shared" si="2"/>
        <v>-0.15619321563181912</v>
      </c>
      <c r="J6" s="41" t="s">
        <v>142</v>
      </c>
      <c r="K6" s="41"/>
    </row>
    <row r="7" spans="1:15" ht="43.2" x14ac:dyDescent="0.25">
      <c r="A7" s="30" t="str">
        <v>Golden NREL Wind 3</v>
      </c>
      <c r="B7" s="31" t="str">
        <v>CO</v>
      </c>
      <c r="C7" s="12">
        <v>42542.080000000002</v>
      </c>
      <c r="D7" s="19">
        <v>148493.79999999999</v>
      </c>
      <c r="E7" s="19">
        <f t="shared" si="0"/>
        <v>-105951.71999999999</v>
      </c>
      <c r="F7" s="20">
        <f t="shared" si="3"/>
        <v>-0.71350938557704091</v>
      </c>
      <c r="G7" s="21">
        <v>167484</v>
      </c>
      <c r="H7" s="21">
        <f t="shared" si="1"/>
        <v>-124941.92</v>
      </c>
      <c r="I7" s="20">
        <f t="shared" si="2"/>
        <v>-0.74599316949678773</v>
      </c>
      <c r="J7" s="48" t="s">
        <v>143</v>
      </c>
      <c r="K7" s="60" t="s">
        <v>29</v>
      </c>
    </row>
    <row r="8" spans="1:15" hidden="1" x14ac:dyDescent="0.3">
      <c r="A8" s="22" t="str">
        <v>Pratt Solar Farm</v>
      </c>
      <c r="B8" s="22" t="str">
        <v>KS</v>
      </c>
      <c r="C8" s="22"/>
      <c r="D8" s="22"/>
      <c r="E8" s="22" t="str">
        <f t="shared" si="0"/>
        <v/>
      </c>
      <c r="F8" s="22" t="str">
        <f t="shared" si="3"/>
        <v/>
      </c>
      <c r="G8" s="22"/>
      <c r="H8" s="22" t="str">
        <f t="shared" si="1"/>
        <v/>
      </c>
      <c r="I8" s="22" t="str">
        <f t="shared" si="2"/>
        <v/>
      </c>
      <c r="J8" s="22"/>
      <c r="K8" s="22"/>
      <c r="L8" s="22"/>
      <c r="M8" s="22"/>
      <c r="N8" s="22"/>
      <c r="O8" s="22"/>
    </row>
    <row r="9" spans="1:15" ht="18" hidden="1" customHeight="1" x14ac:dyDescent="0.3">
      <c r="A9" s="22" t="str">
        <v>Rochester - 5516 Valleyhigh NW</v>
      </c>
      <c r="B9" s="22" t="str">
        <v>MN</v>
      </c>
      <c r="C9" s="22"/>
      <c r="D9" s="22"/>
      <c r="E9" s="22" t="str">
        <f t="shared" si="0"/>
        <v/>
      </c>
      <c r="F9" s="22" t="str">
        <f t="shared" si="3"/>
        <v/>
      </c>
      <c r="G9" s="22"/>
      <c r="H9" s="22" t="str">
        <f t="shared" si="1"/>
        <v/>
      </c>
      <c r="I9" s="22" t="str">
        <f t="shared" si="2"/>
        <v/>
      </c>
      <c r="J9" s="22"/>
      <c r="K9" s="22"/>
      <c r="L9" s="22"/>
      <c r="M9" s="22"/>
      <c r="N9" s="22"/>
      <c r="O9" s="22"/>
    </row>
    <row r="10" spans="1:15" hidden="1" x14ac:dyDescent="0.3">
      <c r="A10" s="22" t="str">
        <v>Warsaw - 2201 Richmond</v>
      </c>
      <c r="B10" s="22" t="str">
        <v>VA</v>
      </c>
      <c r="C10" s="22"/>
      <c r="D10" s="22"/>
      <c r="E10" s="22" t="str">
        <f t="shared" si="0"/>
        <v/>
      </c>
      <c r="F10" s="22" t="str">
        <f t="shared" si="3"/>
        <v/>
      </c>
      <c r="G10" s="22"/>
      <c r="H10" s="22" t="str">
        <f t="shared" si="1"/>
        <v/>
      </c>
      <c r="I10" s="22" t="str">
        <f t="shared" si="2"/>
        <v/>
      </c>
      <c r="J10" s="22"/>
      <c r="K10" s="22"/>
      <c r="L10" s="22"/>
      <c r="M10" s="22"/>
      <c r="N10" s="22"/>
      <c r="O10" s="22"/>
    </row>
    <row r="11" spans="1:15" hidden="1" x14ac:dyDescent="0.3">
      <c r="A11" s="22" t="str">
        <v>Mount Jackson - Randolf</v>
      </c>
      <c r="B11" s="22" t="str">
        <v>VA</v>
      </c>
      <c r="C11" s="22"/>
      <c r="D11" s="22"/>
      <c r="E11" s="22" t="str">
        <f t="shared" si="0"/>
        <v/>
      </c>
      <c r="F11" s="22" t="str">
        <f t="shared" si="3"/>
        <v/>
      </c>
      <c r="G11" s="22"/>
      <c r="H11" s="22" t="str">
        <f t="shared" si="1"/>
        <v/>
      </c>
      <c r="I11" s="22" t="str">
        <f t="shared" si="2"/>
        <v/>
      </c>
      <c r="J11" s="22"/>
      <c r="K11" s="22"/>
      <c r="L11" s="22"/>
      <c r="M11" s="22"/>
      <c r="N11" s="22"/>
      <c r="O11" s="22"/>
    </row>
    <row r="12" spans="1:15" hidden="1" x14ac:dyDescent="0.3">
      <c r="A12" s="22" t="str">
        <v>Callands Gretna - Monroe</v>
      </c>
      <c r="B12" s="22" t="str">
        <v>VA</v>
      </c>
      <c r="C12" s="22"/>
      <c r="D12" s="22"/>
      <c r="E12" s="22" t="str">
        <f t="shared" si="0"/>
        <v/>
      </c>
      <c r="F12" s="22" t="str">
        <f t="shared" si="3"/>
        <v/>
      </c>
      <c r="G12" s="22"/>
      <c r="H12" s="22" t="str">
        <f t="shared" si="1"/>
        <v/>
      </c>
      <c r="I12" s="22" t="str">
        <f t="shared" si="2"/>
        <v/>
      </c>
      <c r="J12" s="22"/>
      <c r="K12" s="22"/>
      <c r="L12" s="22"/>
      <c r="M12" s="22"/>
      <c r="N12" s="22"/>
      <c r="O12" s="22"/>
    </row>
    <row r="13" spans="1:15" hidden="1" x14ac:dyDescent="0.3">
      <c r="A13" s="22" t="str">
        <v>Rockbridge Baths - Small Mouth Bass</v>
      </c>
      <c r="B13" s="22" t="str">
        <v>VA</v>
      </c>
      <c r="C13" s="22"/>
      <c r="D13" s="22"/>
      <c r="E13" s="22" t="str">
        <f t="shared" si="0"/>
        <v/>
      </c>
      <c r="F13" s="22" t="str">
        <f t="shared" si="3"/>
        <v/>
      </c>
      <c r="G13" s="22"/>
      <c r="H13" s="22" t="str">
        <f t="shared" si="1"/>
        <v/>
      </c>
      <c r="I13" s="22" t="str">
        <f t="shared" si="2"/>
        <v/>
      </c>
      <c r="J13" s="22"/>
      <c r="K13" s="22"/>
      <c r="L13" s="22"/>
      <c r="M13" s="22"/>
      <c r="N13" s="22"/>
      <c r="O13" s="22"/>
    </row>
    <row r="14" spans="1:15" x14ac:dyDescent="0.3">
      <c r="A14" s="22"/>
      <c r="B14" s="22"/>
      <c r="C14" s="22"/>
      <c r="D14" s="22"/>
      <c r="E14" s="22" t="str">
        <f t="shared" si="0"/>
        <v/>
      </c>
      <c r="F14" s="22" t="str">
        <f t="shared" si="3"/>
        <v/>
      </c>
      <c r="G14" s="22"/>
      <c r="H14" s="22" t="str">
        <f t="shared" si="1"/>
        <v/>
      </c>
      <c r="I14" s="22" t="str">
        <f t="shared" si="2"/>
        <v/>
      </c>
      <c r="J14" s="22"/>
      <c r="K14" s="22"/>
      <c r="L14" s="22"/>
      <c r="M14" s="22"/>
      <c r="N14" s="22"/>
      <c r="O14" s="22"/>
    </row>
    <row r="15" spans="1:15" x14ac:dyDescent="0.3">
      <c r="A15" s="22"/>
      <c r="B15" s="22"/>
      <c r="C15" s="22"/>
      <c r="D15" s="22"/>
      <c r="E15" s="22" t="str">
        <f t="shared" si="0"/>
        <v/>
      </c>
      <c r="F15" s="22" t="str">
        <f t="shared" si="3"/>
        <v/>
      </c>
      <c r="G15" s="22"/>
      <c r="H15" s="22" t="str">
        <f t="shared" si="1"/>
        <v/>
      </c>
      <c r="I15" s="22" t="str">
        <f t="shared" si="2"/>
        <v/>
      </c>
      <c r="J15" s="22"/>
      <c r="K15" s="22"/>
      <c r="L15" s="22"/>
      <c r="M15" s="22"/>
      <c r="N15" s="22"/>
      <c r="O15" s="22"/>
    </row>
    <row r="16" spans="1:15" x14ac:dyDescent="0.3">
      <c r="A16" s="22"/>
      <c r="B16" s="22"/>
      <c r="C16" s="22"/>
      <c r="D16" s="22"/>
      <c r="E16" s="22" t="str">
        <f t="shared" si="0"/>
        <v/>
      </c>
      <c r="F16" s="22" t="str">
        <f t="shared" si="3"/>
        <v/>
      </c>
      <c r="G16" s="22"/>
      <c r="H16" s="22" t="str">
        <f t="shared" si="1"/>
        <v/>
      </c>
      <c r="I16" s="22" t="str">
        <f t="shared" si="2"/>
        <v/>
      </c>
      <c r="J16" s="22"/>
      <c r="K16" s="22"/>
      <c r="L16" s="22"/>
      <c r="M16" s="22"/>
      <c r="N16" s="22"/>
      <c r="O16" s="22"/>
    </row>
    <row r="17" spans="1:15" x14ac:dyDescent="0.3">
      <c r="A17" s="22"/>
      <c r="B17" s="22"/>
      <c r="C17" s="22"/>
      <c r="D17" s="22"/>
      <c r="E17" s="22" t="str">
        <f t="shared" si="0"/>
        <v/>
      </c>
      <c r="F17" s="22" t="str">
        <f t="shared" si="3"/>
        <v/>
      </c>
      <c r="G17" s="22"/>
      <c r="H17" s="22" t="str">
        <f t="shared" si="1"/>
        <v/>
      </c>
      <c r="I17" s="22" t="str">
        <f t="shared" si="2"/>
        <v/>
      </c>
      <c r="J17" s="22"/>
      <c r="K17" s="22"/>
      <c r="L17" s="22"/>
      <c r="M17" s="22"/>
      <c r="N17" s="22"/>
      <c r="O17" s="22"/>
    </row>
    <row r="18" spans="1:15" ht="12.75" customHeight="1" x14ac:dyDescent="0.3">
      <c r="A18" s="22"/>
      <c r="B18" s="22"/>
      <c r="C18" s="22"/>
      <c r="D18" s="22"/>
      <c r="E18" s="22"/>
      <c r="F18" s="22"/>
      <c r="G18" s="22"/>
      <c r="H18" s="22"/>
      <c r="I18" s="22"/>
      <c r="J18" s="22"/>
      <c r="K18" s="22"/>
      <c r="L18" s="22"/>
      <c r="M18" s="22"/>
      <c r="N18" s="22"/>
      <c r="O18" s="22"/>
    </row>
    <row r="19" spans="1:15" x14ac:dyDescent="0.3">
      <c r="A19" s="22"/>
      <c r="B19" s="22"/>
      <c r="C19" s="22"/>
      <c r="D19" s="22"/>
      <c r="E19" s="22"/>
      <c r="F19" s="22"/>
      <c r="G19" s="22"/>
      <c r="H19" s="22"/>
      <c r="I19" s="22"/>
      <c r="J19" s="22"/>
      <c r="K19" s="22"/>
      <c r="L19" s="22"/>
      <c r="M19" s="22"/>
      <c r="N19" s="22"/>
      <c r="O19" s="22"/>
    </row>
    <row r="20" spans="1:15" ht="14.4" x14ac:dyDescent="0.3">
      <c r="A20" s="22"/>
      <c r="B20" s="33"/>
      <c r="C20" s="22"/>
      <c r="D20" s="22"/>
      <c r="E20" s="22"/>
      <c r="F20" s="22"/>
      <c r="G20" s="22"/>
      <c r="H20" s="22"/>
      <c r="I20" s="22"/>
      <c r="J20" s="22"/>
      <c r="K20" s="22"/>
    </row>
    <row r="21" spans="1:15" ht="14.4" x14ac:dyDescent="0.3">
      <c r="A21" s="22"/>
      <c r="B21" s="33"/>
      <c r="C21" s="22"/>
      <c r="D21" s="22"/>
      <c r="E21" s="22"/>
      <c r="F21" s="22"/>
      <c r="G21" s="22"/>
      <c r="H21" s="22"/>
      <c r="I21" s="22"/>
      <c r="J21" s="22"/>
      <c r="K21" s="22"/>
    </row>
    <row r="22" spans="1:15" ht="14.4" x14ac:dyDescent="0.3">
      <c r="A22" s="22"/>
      <c r="B22" s="33"/>
      <c r="C22" s="22"/>
      <c r="D22" s="22"/>
      <c r="E22" s="22"/>
      <c r="F22" s="22"/>
      <c r="G22" s="22"/>
      <c r="H22" s="22"/>
      <c r="I22" s="22"/>
      <c r="J22" s="22"/>
      <c r="K22" s="22"/>
    </row>
    <row r="23" spans="1:15" ht="14.4" x14ac:dyDescent="0.3">
      <c r="A23" s="22"/>
      <c r="B23" s="33"/>
      <c r="C23" s="22"/>
      <c r="D23" s="22"/>
      <c r="E23" s="22"/>
      <c r="F23" s="22"/>
      <c r="G23" s="22"/>
      <c r="H23" s="22"/>
      <c r="I23" s="22"/>
      <c r="J23" s="22"/>
      <c r="K23" s="22"/>
    </row>
    <row r="24" spans="1:15" ht="14.4" x14ac:dyDescent="0.3">
      <c r="A24" s="22"/>
      <c r="B24" s="33"/>
      <c r="C24" s="22"/>
      <c r="D24" s="22"/>
      <c r="E24" s="22"/>
      <c r="F24" s="22"/>
      <c r="G24" s="22"/>
      <c r="H24" s="22"/>
      <c r="I24" s="22"/>
      <c r="J24" s="22"/>
      <c r="K24" s="22"/>
    </row>
    <row r="25" spans="1:15" ht="14.4" x14ac:dyDescent="0.3">
      <c r="A25" s="22"/>
      <c r="B25" s="33"/>
      <c r="C25" s="22"/>
      <c r="D25" s="22"/>
      <c r="E25" s="22"/>
      <c r="F25" s="22"/>
      <c r="G25" s="22"/>
      <c r="H25" s="22"/>
      <c r="I25" s="22"/>
      <c r="J25" s="22"/>
      <c r="K25" s="22"/>
    </row>
    <row r="26" spans="1:15" ht="14.4" x14ac:dyDescent="0.3">
      <c r="A26" s="22"/>
      <c r="B26" s="33"/>
      <c r="C26" s="22"/>
      <c r="D26" s="22"/>
      <c r="E26" s="22"/>
      <c r="F26" s="22"/>
      <c r="G26" s="22"/>
      <c r="H26" s="22"/>
      <c r="I26" s="22"/>
      <c r="J26" s="22"/>
      <c r="K26" s="22"/>
    </row>
    <row r="27" spans="1:15" ht="14.4" x14ac:dyDescent="0.3">
      <c r="A27" s="22"/>
      <c r="B27" s="33"/>
      <c r="C27" s="22"/>
      <c r="D27" s="22"/>
      <c r="E27" s="22"/>
      <c r="F27" s="22"/>
      <c r="G27" s="22"/>
      <c r="H27" s="22"/>
      <c r="I27" s="22"/>
      <c r="J27" s="22"/>
      <c r="K27" s="22"/>
    </row>
    <row r="28" spans="1:15" ht="14.4" x14ac:dyDescent="0.3">
      <c r="A28" s="22"/>
      <c r="B28" s="33"/>
      <c r="C28" s="22"/>
      <c r="D28" s="22"/>
      <c r="E28" s="22"/>
      <c r="F28" s="22"/>
      <c r="G28" s="22"/>
      <c r="H28" s="22"/>
      <c r="I28" s="22"/>
      <c r="J28" s="22"/>
      <c r="K28" s="22"/>
    </row>
    <row r="29" spans="1:15" ht="14.4" x14ac:dyDescent="0.3">
      <c r="A29" s="22"/>
      <c r="B29" s="33"/>
      <c r="C29" s="22"/>
      <c r="D29" s="22"/>
      <c r="E29" s="22"/>
      <c r="F29" s="22"/>
      <c r="G29" s="22"/>
      <c r="H29" s="22"/>
      <c r="I29" s="22"/>
      <c r="J29" s="22"/>
      <c r="K29" s="22"/>
    </row>
    <row r="30" spans="1:15" ht="14.4" x14ac:dyDescent="0.3">
      <c r="A30" s="22"/>
      <c r="B30" s="33"/>
      <c r="C30" s="22"/>
      <c r="D30" s="22"/>
      <c r="E30" s="22"/>
      <c r="F30" s="22"/>
      <c r="G30" s="22"/>
      <c r="H30" s="22"/>
      <c r="I30" s="22"/>
      <c r="J30" s="22"/>
      <c r="K30" s="22"/>
    </row>
    <row r="31" spans="1:15" ht="14.4" x14ac:dyDescent="0.3">
      <c r="A31" s="22"/>
      <c r="B31" s="33"/>
      <c r="C31" s="22"/>
      <c r="D31" s="22"/>
      <c r="E31" s="22"/>
      <c r="F31" s="22"/>
      <c r="G31" s="22"/>
      <c r="H31" s="22"/>
      <c r="I31" s="22"/>
      <c r="J31" s="22"/>
      <c r="K31" s="22"/>
    </row>
    <row r="32" spans="1:15"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3" priority="3" stopIfTrue="1" operator="lessThanOrEqual">
      <formula>-0.1</formula>
    </cfRule>
    <cfRule type="expression" dxfId="22" priority="4">
      <formula>AND(ISNUMBER(F2), F2&gt;=0.1)</formula>
    </cfRule>
  </conditionalFormatting>
  <conditionalFormatting sqref="F4:F7 I4:I7 A8:K19 F20:F100 I20:I100">
    <cfRule type="cellIs" dxfId="21" priority="1" stopIfTrue="1" operator="lessThanOrEqual">
      <formula>-0.1</formula>
    </cfRule>
    <cfRule type="expression" dxfId="20" priority="2">
      <formula>AND(ISNUMBER(A4), A4&gt;=0.1)</formula>
    </cfRule>
  </conditionalFormatting>
  <hyperlinks>
    <hyperlink ref="K4" r:id="rId1" display="https://us3.assetplanner.com/service_request?ID=102730" xr:uid="{817151CE-FC08-488C-92B8-EF11A8FD9BEE}"/>
    <hyperlink ref="K5" r:id="rId2" display="https://us3.assetplanner.com/service_request?ID=103430" xr:uid="{4E238238-B8E1-4FB0-B369-BE30690B6AA6}"/>
    <hyperlink ref="K7" r:id="rId3" display="https://us3.assetplanner.com/service_request?ID=096263" xr:uid="{A454E993-3BA7-4543-91D6-5B8634116D65}"/>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L342"/>
  <sheetViews>
    <sheetView zoomScale="80" zoomScaleNormal="80" workbookViewId="0">
      <pane xSplit="2" ySplit="3" topLeftCell="J4" activePane="bottomRight" state="frozen"/>
      <selection pane="topRight" activeCell="D13" sqref="D13"/>
      <selection pane="bottomLeft" activeCell="D13" sqref="D13"/>
      <selection pane="bottomRight" activeCell="J20" sqref="J20"/>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2" ht="19.5" customHeight="1" x14ac:dyDescent="0.25">
      <c r="A1" s="75" t="str" cm="1">
        <f t="array" ref="A1">portfolio</f>
        <v>Tortoise</v>
      </c>
      <c r="B1" s="75"/>
      <c r="C1" s="75"/>
      <c r="D1" s="76" t="s">
        <v>144</v>
      </c>
      <c r="E1" s="76"/>
      <c r="F1" s="76"/>
      <c r="G1" s="74" t="s">
        <v>145</v>
      </c>
      <c r="H1" s="74"/>
      <c r="I1" s="74"/>
      <c r="J1" s="5"/>
      <c r="K1" s="5"/>
    </row>
    <row r="2" spans="1:12" ht="19.5" customHeight="1" x14ac:dyDescent="0.25">
      <c r="A2" s="77" t="s">
        <v>2</v>
      </c>
      <c r="B2" s="77"/>
      <c r="C2" s="6">
        <f>SUM(C4:C100)</f>
        <v>426349.53499999997</v>
      </c>
      <c r="D2" s="6">
        <f>SUM(D4:D100)</f>
        <v>467620.47699999996</v>
      </c>
      <c r="E2" s="6">
        <f>C2-D2</f>
        <v>-41270.941999999981</v>
      </c>
      <c r="F2" s="7">
        <f>IFERROR(E2/D2, 0)</f>
        <v>-8.8257345496869644E-2</v>
      </c>
      <c r="G2" s="6">
        <f>SUM(G4:G100)</f>
        <v>545877.45589999994</v>
      </c>
      <c r="H2" s="8">
        <f>C2-G2</f>
        <v>-119527.92089999997</v>
      </c>
      <c r="I2" s="7">
        <f>IFERROR(H2/G2, 0)</f>
        <v>-0.21896475043639915</v>
      </c>
      <c r="J2" s="27"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x14ac:dyDescent="0.25">
      <c r="A3" s="9" t="s">
        <v>3</v>
      </c>
      <c r="B3" s="9" t="s">
        <v>4</v>
      </c>
      <c r="C3" s="24" t="s">
        <v>5</v>
      </c>
      <c r="D3" s="35" t="s">
        <v>6</v>
      </c>
      <c r="E3" s="35" t="s">
        <v>7</v>
      </c>
      <c r="F3" s="36" t="s">
        <v>8</v>
      </c>
      <c r="G3" s="37" t="s">
        <v>9</v>
      </c>
      <c r="H3" s="38" t="s">
        <v>7</v>
      </c>
      <c r="I3" s="39" t="s">
        <v>8</v>
      </c>
      <c r="J3" s="26" t="s">
        <v>20</v>
      </c>
      <c r="K3" s="26" t="s">
        <v>21</v>
      </c>
    </row>
    <row r="4" spans="1:12" ht="15.6" x14ac:dyDescent="0.3">
      <c r="A4" s="32" t="str" cm="1">
        <f t="array" ref="A4:A13">Sites[Site]</f>
        <v>Alamosa School District</v>
      </c>
      <c r="B4" s="29" t="str" cm="1">
        <f t="array" ref="B4:B13">Sites[State]</f>
        <v>CO</v>
      </c>
      <c r="C4" s="25">
        <v>109827</v>
      </c>
      <c r="D4" s="14">
        <v>112493.967</v>
      </c>
      <c r="E4" s="14">
        <f>IF(AND(ISNUMBER(C4),ISNUMBER(D4)), C4-D4, "")</f>
        <v>-2666.9670000000042</v>
      </c>
      <c r="F4" s="15">
        <f>IFERROR(E4/D4, "")</f>
        <v>-2.3707644695292896E-2</v>
      </c>
      <c r="G4" s="16">
        <v>112409.4559</v>
      </c>
      <c r="H4" s="16">
        <f>IF(AND(ISNUMBER(C4),ISNUMBER(G4)), C4-G4, "")</f>
        <v>-2582.4559000000008</v>
      </c>
      <c r="I4" s="17">
        <f t="shared" ref="I4:I13" si="0">IFERROR(H4/G4, "")</f>
        <v>-2.2973653589226213E-2</v>
      </c>
      <c r="J4" s="41" t="s">
        <v>146</v>
      </c>
      <c r="K4" s="68" t="s">
        <v>139</v>
      </c>
    </row>
    <row r="5" spans="1:12" ht="15.6" x14ac:dyDescent="0.25">
      <c r="A5" s="30" t="str">
        <v>San Luis Valley</v>
      </c>
      <c r="B5" s="31" t="str">
        <v>CO</v>
      </c>
      <c r="C5" s="12">
        <v>239326.5</v>
      </c>
      <c r="D5" s="19">
        <v>209732.226</v>
      </c>
      <c r="E5" s="19">
        <f>IF(AND(ISNUMBER(C5),ISNUMBER(D5)), C5-D5, "")</f>
        <v>29594.274000000005</v>
      </c>
      <c r="F5" s="20">
        <f>IFERROR(E5/D5, "")</f>
        <v>0.1411050393371594</v>
      </c>
      <c r="G5" s="21">
        <v>258456</v>
      </c>
      <c r="H5" s="21">
        <f t="shared" ref="H5:H17" si="1">IF(AND(ISNUMBER(C5),ISNUMBER(G5)), C5-G5, "")</f>
        <v>-19129.5</v>
      </c>
      <c r="I5" s="53">
        <f t="shared" si="0"/>
        <v>-7.4014532454266882E-2</v>
      </c>
      <c r="J5" s="42"/>
      <c r="K5" s="42"/>
    </row>
    <row r="6" spans="1:12" ht="72" x14ac:dyDescent="0.3">
      <c r="A6" s="32" t="str">
        <v>Golden NREL 2</v>
      </c>
      <c r="B6" s="29" t="str">
        <v>CO</v>
      </c>
      <c r="C6" s="25">
        <v>11968.99</v>
      </c>
      <c r="D6" s="14">
        <v>12742.894</v>
      </c>
      <c r="E6" s="14">
        <f t="shared" ref="E6:E17" si="2">IF(AND(ISNUMBER(C6),ISNUMBER(D6)), C6-D6, "")</f>
        <v>-773.90400000000045</v>
      </c>
      <c r="F6" s="15">
        <f t="shared" ref="F6:F17" si="3">IFERROR(E6/D6, "")</f>
        <v>-6.073220102121233E-2</v>
      </c>
      <c r="G6" s="16">
        <v>13987</v>
      </c>
      <c r="H6" s="16">
        <f t="shared" si="1"/>
        <v>-2018.0100000000002</v>
      </c>
      <c r="I6" s="17">
        <f t="shared" si="0"/>
        <v>-0.14427754343318797</v>
      </c>
      <c r="J6" s="41" t="s">
        <v>147</v>
      </c>
      <c r="K6" s="41"/>
    </row>
    <row r="7" spans="1:12" ht="28.8" x14ac:dyDescent="0.25">
      <c r="A7" s="30" t="str">
        <v>Golden NREL Wind 3</v>
      </c>
      <c r="B7" s="31" t="str">
        <v>CO</v>
      </c>
      <c r="C7" s="12">
        <v>65227.044999999998</v>
      </c>
      <c r="D7" s="19">
        <v>132651.39000000001</v>
      </c>
      <c r="E7" s="19">
        <f t="shared" si="2"/>
        <v>-67424.345000000016</v>
      </c>
      <c r="F7" s="20">
        <f t="shared" si="3"/>
        <v>-0.50828223511265136</v>
      </c>
      <c r="G7" s="21">
        <v>161025</v>
      </c>
      <c r="H7" s="21">
        <f t="shared" si="1"/>
        <v>-95797.955000000002</v>
      </c>
      <c r="I7" s="53">
        <f t="shared" si="0"/>
        <v>-0.5949259742276044</v>
      </c>
      <c r="J7" s="48" t="s">
        <v>148</v>
      </c>
      <c r="K7" s="60" t="s">
        <v>29</v>
      </c>
    </row>
    <row r="8" spans="1:12" ht="15.6" hidden="1" x14ac:dyDescent="0.3">
      <c r="A8" s="32" t="str">
        <v>Pratt Solar Farm</v>
      </c>
      <c r="B8" s="29" t="str">
        <v>KS</v>
      </c>
      <c r="C8" s="46"/>
      <c r="D8" s="14"/>
      <c r="E8" s="14" t="str">
        <f t="shared" si="2"/>
        <v/>
      </c>
      <c r="F8" s="15" t="str">
        <f t="shared" si="3"/>
        <v/>
      </c>
      <c r="G8" s="16"/>
      <c r="H8" s="16" t="str">
        <f t="shared" si="1"/>
        <v/>
      </c>
      <c r="I8" s="17" t="str">
        <f t="shared" si="0"/>
        <v/>
      </c>
      <c r="J8" s="41"/>
      <c r="K8" s="41"/>
    </row>
    <row r="9" spans="1:12" ht="15.6" hidden="1" x14ac:dyDescent="0.3">
      <c r="A9" s="30" t="str">
        <v>Rochester - 5516 Valleyhigh NW</v>
      </c>
      <c r="B9" s="31" t="str">
        <v>MN</v>
      </c>
      <c r="C9" s="52"/>
      <c r="D9" s="19"/>
      <c r="E9" s="19" t="str">
        <f t="shared" si="2"/>
        <v/>
      </c>
      <c r="F9" s="20" t="str">
        <f t="shared" si="3"/>
        <v/>
      </c>
      <c r="G9" s="21"/>
      <c r="H9" s="21" t="str">
        <f t="shared" si="1"/>
        <v/>
      </c>
      <c r="I9" s="53" t="str">
        <f t="shared" si="0"/>
        <v/>
      </c>
      <c r="J9" s="48"/>
      <c r="K9" s="48"/>
      <c r="L9" s="22"/>
    </row>
    <row r="10" spans="1:12" ht="15.6" hidden="1" x14ac:dyDescent="0.3">
      <c r="A10" s="32" t="str">
        <v>Warsaw - 2201 Richmond</v>
      </c>
      <c r="B10" s="29" t="str">
        <v>VA</v>
      </c>
      <c r="C10" s="25"/>
      <c r="D10" s="14"/>
      <c r="E10" s="14" t="str">
        <f t="shared" si="2"/>
        <v/>
      </c>
      <c r="F10" s="15" t="str">
        <f t="shared" si="3"/>
        <v/>
      </c>
      <c r="G10" s="16"/>
      <c r="H10" s="16" t="str">
        <f t="shared" si="1"/>
        <v/>
      </c>
      <c r="I10" s="17" t="str">
        <f t="shared" si="0"/>
        <v/>
      </c>
      <c r="J10" s="41"/>
      <c r="K10" s="41"/>
      <c r="L10" s="22"/>
    </row>
    <row r="11" spans="1:12" ht="15.6" hidden="1" x14ac:dyDescent="0.3">
      <c r="A11" s="30" t="str">
        <v>Mount Jackson - Randolf</v>
      </c>
      <c r="B11" s="31" t="str">
        <v>VA</v>
      </c>
      <c r="C11" s="12"/>
      <c r="D11" s="19"/>
      <c r="E11" s="19" t="str">
        <f t="shared" si="2"/>
        <v/>
      </c>
      <c r="F11" s="20" t="str">
        <f t="shared" si="3"/>
        <v/>
      </c>
      <c r="G11" s="21"/>
      <c r="H11" s="21" t="str">
        <f t="shared" si="1"/>
        <v/>
      </c>
      <c r="I11" s="53" t="str">
        <f t="shared" si="0"/>
        <v/>
      </c>
      <c r="J11" s="42"/>
      <c r="K11" s="42"/>
      <c r="L11" s="22"/>
    </row>
    <row r="12" spans="1:12" ht="15.6" hidden="1" x14ac:dyDescent="0.3">
      <c r="A12" s="32" t="str">
        <v>Callands Gretna - Monroe</v>
      </c>
      <c r="B12" s="29" t="str">
        <v>VA</v>
      </c>
      <c r="C12" s="25"/>
      <c r="D12" s="14"/>
      <c r="E12" s="14" t="str">
        <f>IF(AND(ISNUMBER(C12),ISNUMBER(D12)), C12-D12, "")</f>
        <v/>
      </c>
      <c r="F12" s="15" t="str">
        <f t="shared" si="3"/>
        <v/>
      </c>
      <c r="G12" s="16"/>
      <c r="H12" s="16" t="str">
        <f t="shared" si="1"/>
        <v/>
      </c>
      <c r="I12" s="17" t="str">
        <f t="shared" si="0"/>
        <v/>
      </c>
      <c r="J12" s="41"/>
      <c r="K12" s="41"/>
      <c r="L12" s="22"/>
    </row>
    <row r="13" spans="1:12" ht="15.6" hidden="1" x14ac:dyDescent="0.3">
      <c r="A13" s="30" t="str">
        <v>Rockbridge Baths - Small Mouth Bass</v>
      </c>
      <c r="B13" s="31" t="str">
        <v>VA</v>
      </c>
      <c r="C13" s="12"/>
      <c r="D13" s="19"/>
      <c r="E13" s="19" t="str">
        <f t="shared" si="2"/>
        <v/>
      </c>
      <c r="F13" s="20" t="str">
        <f t="shared" si="3"/>
        <v/>
      </c>
      <c r="G13" s="21"/>
      <c r="H13" s="21" t="str">
        <f t="shared" si="1"/>
        <v/>
      </c>
      <c r="I13" s="53" t="str">
        <f t="shared" si="0"/>
        <v/>
      </c>
      <c r="J13" s="42"/>
      <c r="K13" s="42"/>
      <c r="L13" s="22"/>
    </row>
    <row r="14" spans="1:12" x14ac:dyDescent="0.3">
      <c r="A14" s="22"/>
      <c r="B14" s="22"/>
      <c r="C14" s="22"/>
      <c r="D14" s="22"/>
      <c r="E14" s="22" t="str">
        <f t="shared" si="2"/>
        <v/>
      </c>
      <c r="F14" s="22" t="str">
        <f t="shared" si="3"/>
        <v/>
      </c>
      <c r="G14" s="22"/>
      <c r="H14" s="22" t="str">
        <f t="shared" si="1"/>
        <v/>
      </c>
      <c r="I14" s="22" t="str">
        <f t="shared" ref="I14:I17" si="4">IFERROR(H14/G14, "")</f>
        <v/>
      </c>
      <c r="J14" s="22"/>
      <c r="K14" s="22"/>
      <c r="L14" s="22"/>
    </row>
    <row r="15" spans="1:12" x14ac:dyDescent="0.3">
      <c r="A15" s="22"/>
      <c r="B15" s="22"/>
      <c r="C15" s="22"/>
      <c r="D15" s="22"/>
      <c r="E15" s="22" t="str">
        <f t="shared" si="2"/>
        <v/>
      </c>
      <c r="F15" s="22" t="str">
        <f t="shared" si="3"/>
        <v/>
      </c>
      <c r="G15" s="22"/>
      <c r="H15" s="22" t="str">
        <f t="shared" si="1"/>
        <v/>
      </c>
      <c r="I15" s="22" t="str">
        <f t="shared" si="4"/>
        <v/>
      </c>
      <c r="J15" s="22"/>
      <c r="K15" s="22"/>
      <c r="L15" s="22"/>
    </row>
    <row r="16" spans="1:12" x14ac:dyDescent="0.3">
      <c r="A16" s="22"/>
      <c r="B16" s="22"/>
      <c r="C16" s="22"/>
      <c r="D16" s="22"/>
      <c r="E16" s="22" t="str">
        <f t="shared" si="2"/>
        <v/>
      </c>
      <c r="F16" s="22" t="str">
        <f t="shared" si="3"/>
        <v/>
      </c>
      <c r="G16" s="22"/>
      <c r="H16" s="22" t="str">
        <f t="shared" si="1"/>
        <v/>
      </c>
      <c r="I16" s="22" t="str">
        <f t="shared" si="4"/>
        <v/>
      </c>
      <c r="J16" s="22"/>
      <c r="K16" s="22"/>
      <c r="L16" s="22"/>
    </row>
    <row r="17" spans="1:12" x14ac:dyDescent="0.3">
      <c r="A17" s="22"/>
      <c r="B17" s="22"/>
      <c r="C17" s="22"/>
      <c r="D17" s="22"/>
      <c r="E17" s="22" t="str">
        <f t="shared" si="2"/>
        <v/>
      </c>
      <c r="F17" s="22" t="str">
        <f t="shared" si="3"/>
        <v/>
      </c>
      <c r="G17" s="22"/>
      <c r="H17" s="22" t="str">
        <f t="shared" si="1"/>
        <v/>
      </c>
      <c r="I17" s="22" t="str">
        <f t="shared" si="4"/>
        <v/>
      </c>
      <c r="J17" s="22"/>
      <c r="K17" s="22"/>
      <c r="L17" s="22"/>
    </row>
    <row r="18" spans="1:12" ht="12.75" customHeight="1" x14ac:dyDescent="0.3">
      <c r="A18" s="22"/>
      <c r="B18" s="22"/>
      <c r="C18" s="22"/>
      <c r="D18" s="22"/>
      <c r="E18" s="22"/>
      <c r="F18" s="22"/>
      <c r="G18" s="22"/>
      <c r="H18" s="22"/>
      <c r="I18" s="22"/>
      <c r="J18" s="22"/>
      <c r="K18" s="22"/>
      <c r="L18" s="22"/>
    </row>
    <row r="19" spans="1:12" x14ac:dyDescent="0.3">
      <c r="A19" s="22"/>
      <c r="B19" s="22"/>
      <c r="C19" s="22"/>
      <c r="D19" s="22"/>
      <c r="E19" s="22"/>
      <c r="F19" s="22"/>
      <c r="G19" s="22"/>
      <c r="H19" s="22"/>
      <c r="I19" s="22"/>
      <c r="J19" s="22"/>
      <c r="K19" s="22"/>
      <c r="L19" s="22"/>
    </row>
    <row r="20" spans="1:12" x14ac:dyDescent="0.3">
      <c r="A20" s="22"/>
      <c r="B20" s="22"/>
      <c r="C20" s="22"/>
      <c r="D20" s="22"/>
      <c r="E20" s="22"/>
      <c r="F20" s="22"/>
      <c r="G20" s="22"/>
      <c r="H20" s="22"/>
      <c r="I20" s="22"/>
      <c r="J20" s="22"/>
      <c r="K20" s="22"/>
      <c r="L20" s="22"/>
    </row>
    <row r="21" spans="1:12" ht="14.4" x14ac:dyDescent="0.3">
      <c r="A21" s="22"/>
      <c r="B21" s="33"/>
      <c r="C21" s="22"/>
      <c r="D21" s="22"/>
      <c r="E21" s="22"/>
      <c r="F21" s="22"/>
      <c r="G21" s="22"/>
      <c r="H21" s="22"/>
      <c r="I21" s="22"/>
      <c r="J21" s="22"/>
      <c r="K21" s="22"/>
    </row>
    <row r="22" spans="1:12" ht="14.4" x14ac:dyDescent="0.3">
      <c r="A22" s="22"/>
      <c r="B22" s="33"/>
      <c r="C22" s="22"/>
      <c r="D22" s="22"/>
      <c r="E22" s="22"/>
      <c r="F22" s="22"/>
      <c r="G22" s="22"/>
      <c r="H22" s="22"/>
      <c r="I22" s="22"/>
      <c r="J22" s="22"/>
      <c r="K22" s="22"/>
    </row>
    <row r="23" spans="1:12" ht="14.4" x14ac:dyDescent="0.3">
      <c r="A23" s="22"/>
      <c r="B23" s="33"/>
      <c r="C23" s="22"/>
      <c r="D23" s="22"/>
      <c r="E23" s="22"/>
      <c r="F23" s="22"/>
      <c r="G23" s="22"/>
      <c r="H23" s="22"/>
      <c r="I23" s="22"/>
      <c r="J23" s="22"/>
      <c r="K23" s="22"/>
    </row>
    <row r="24" spans="1:12" ht="14.4" x14ac:dyDescent="0.3">
      <c r="A24" s="22"/>
      <c r="B24" s="33"/>
      <c r="C24" s="22"/>
      <c r="D24" s="22"/>
      <c r="E24" s="22"/>
      <c r="F24" s="22"/>
      <c r="G24" s="22"/>
      <c r="H24" s="22"/>
      <c r="I24" s="22"/>
      <c r="J24" s="22"/>
      <c r="K24" s="22"/>
    </row>
    <row r="25" spans="1:12" ht="14.4" x14ac:dyDescent="0.3">
      <c r="A25" s="22"/>
      <c r="B25" s="33"/>
      <c r="C25" s="22"/>
      <c r="D25" s="22"/>
      <c r="E25" s="22"/>
      <c r="F25" s="22"/>
      <c r="G25" s="22"/>
      <c r="H25" s="22"/>
      <c r="I25" s="22"/>
      <c r="J25" s="22"/>
      <c r="K25" s="22"/>
    </row>
    <row r="26" spans="1:12" ht="14.4" x14ac:dyDescent="0.3">
      <c r="A26" s="22"/>
      <c r="B26" s="33"/>
      <c r="C26" s="22"/>
      <c r="D26" s="22"/>
      <c r="E26" s="22"/>
      <c r="F26" s="22"/>
      <c r="G26" s="22"/>
      <c r="H26" s="22"/>
      <c r="I26" s="22"/>
      <c r="J26" s="22"/>
      <c r="K26" s="22"/>
    </row>
    <row r="27" spans="1:12" ht="14.4" x14ac:dyDescent="0.3">
      <c r="A27" s="22"/>
      <c r="B27" s="33"/>
      <c r="C27" s="22"/>
      <c r="D27" s="22"/>
      <c r="E27" s="22"/>
      <c r="F27" s="22"/>
      <c r="G27" s="22"/>
      <c r="H27" s="22"/>
      <c r="I27" s="22"/>
      <c r="J27" s="22"/>
      <c r="K27" s="22"/>
    </row>
    <row r="28" spans="1:12" ht="14.4" x14ac:dyDescent="0.3">
      <c r="A28" s="22"/>
      <c r="B28" s="33"/>
      <c r="C28" s="22"/>
      <c r="D28" s="22"/>
      <c r="E28" s="22"/>
      <c r="F28" s="22"/>
      <c r="G28" s="22"/>
      <c r="H28" s="22"/>
      <c r="I28" s="22"/>
      <c r="J28" s="22"/>
      <c r="K28" s="22"/>
    </row>
    <row r="29" spans="1:12" ht="14.4" x14ac:dyDescent="0.3">
      <c r="A29" s="22"/>
      <c r="B29" s="33"/>
      <c r="C29" s="22"/>
      <c r="D29" s="22"/>
      <c r="E29" s="22"/>
      <c r="F29" s="22"/>
      <c r="G29" s="22"/>
      <c r="H29" s="22"/>
      <c r="I29" s="22"/>
      <c r="J29" s="22"/>
      <c r="K29" s="22"/>
    </row>
    <row r="30" spans="1:12" ht="14.4" x14ac:dyDescent="0.3">
      <c r="A30" s="22"/>
      <c r="B30" s="33"/>
      <c r="C30" s="22"/>
      <c r="D30" s="22"/>
      <c r="E30" s="22"/>
      <c r="F30" s="22"/>
      <c r="G30" s="22"/>
      <c r="H30" s="22"/>
      <c r="I30" s="22"/>
      <c r="J30" s="22"/>
      <c r="K30" s="22"/>
    </row>
    <row r="31" spans="1:12" ht="14.4" x14ac:dyDescent="0.3">
      <c r="A31" s="22"/>
      <c r="B31" s="33"/>
      <c r="C31" s="22"/>
      <c r="D31" s="22"/>
      <c r="E31" s="22"/>
      <c r="F31" s="22"/>
      <c r="G31" s="22"/>
      <c r="H31" s="22"/>
      <c r="I31" s="22"/>
      <c r="J31" s="22"/>
      <c r="K31" s="22"/>
    </row>
    <row r="32" spans="1:12"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0 I4:I100">
    <cfRule type="cellIs" dxfId="17" priority="1" stopIfTrue="1" operator="lessThanOrEqual">
      <formula>-0.1</formula>
    </cfRule>
    <cfRule type="expression" dxfId="16" priority="2">
      <formula>AND(ISNUMBER(F4), F4&gt;=0.1)</formula>
    </cfRule>
  </conditionalFormatting>
  <hyperlinks>
    <hyperlink ref="K4" r:id="rId1" display="https://us3.assetplanner.com/service_request?ID=102730" xr:uid="{DCA78FB1-E379-4850-9AA5-64B1622BE11F}"/>
    <hyperlink ref="K7" r:id="rId2" display="https://us3.assetplanner.com/service_request?ID=096263" xr:uid="{75C7C7E1-3B05-4BCB-913C-E516CBFBDF48}"/>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M342"/>
  <sheetViews>
    <sheetView tabSelected="1" zoomScale="80" zoomScaleNormal="80" workbookViewId="0">
      <pane xSplit="2" ySplit="3" topLeftCell="C4" activePane="bottomRight" state="frozen"/>
      <selection pane="topRight" activeCell="D13" sqref="D13"/>
      <selection pane="bottomLeft" activeCell="D13" sqref="D13"/>
      <selection pane="bottomRight" activeCell="L1" sqref="A1:XFD1048576"/>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 min="12" max="12" width="8.88671875" style="62"/>
  </cols>
  <sheetData>
    <row r="1" spans="1:13" ht="19.5" customHeight="1" x14ac:dyDescent="0.25">
      <c r="A1" s="75" t="str" cm="1">
        <f t="array" ref="A1">portfolio</f>
        <v>Tortoise</v>
      </c>
      <c r="B1" s="75"/>
      <c r="C1" s="75"/>
      <c r="D1" s="76" t="s">
        <v>149</v>
      </c>
      <c r="E1" s="76"/>
      <c r="F1" s="76"/>
      <c r="G1" s="74" t="s">
        <v>150</v>
      </c>
      <c r="H1" s="74"/>
      <c r="I1" s="74"/>
      <c r="J1" s="5"/>
      <c r="K1" s="5"/>
    </row>
    <row r="2" spans="1:13" ht="19.5" customHeight="1" x14ac:dyDescent="0.25">
      <c r="A2" s="77" t="s">
        <v>2</v>
      </c>
      <c r="B2" s="77"/>
      <c r="C2" s="6">
        <f>SUM(C4:C100)</f>
        <v>359243.30900000001</v>
      </c>
      <c r="D2" s="6">
        <f>SUM(D4:D100)</f>
        <v>418249.9498</v>
      </c>
      <c r="E2" s="6">
        <f>C2-D2</f>
        <v>-59006.640799999994</v>
      </c>
      <c r="F2" s="7">
        <f>IFERROR(E2/D2, 0)</f>
        <v>-0.14107985148167015</v>
      </c>
      <c r="G2" s="6">
        <f>SUM(G4:G100)</f>
        <v>517607.91600000003</v>
      </c>
      <c r="H2" s="8">
        <f>C2-G2</f>
        <v>-158364.60700000002</v>
      </c>
      <c r="I2" s="7">
        <f>IFERROR(H2/G2, 0)</f>
        <v>-0.30595476248473757</v>
      </c>
      <c r="J2" s="27"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3" ht="14.25" customHeight="1" x14ac:dyDescent="0.25">
      <c r="A3" s="9" t="s">
        <v>3</v>
      </c>
      <c r="B3" s="9" t="s">
        <v>4</v>
      </c>
      <c r="C3" s="24" t="s">
        <v>5</v>
      </c>
      <c r="D3" s="35" t="s">
        <v>6</v>
      </c>
      <c r="E3" s="35" t="s">
        <v>7</v>
      </c>
      <c r="F3" s="36" t="s">
        <v>8</v>
      </c>
      <c r="G3" s="37" t="s">
        <v>9</v>
      </c>
      <c r="H3" s="38" t="s">
        <v>7</v>
      </c>
      <c r="I3" s="39" t="s">
        <v>8</v>
      </c>
      <c r="J3" s="26" t="s">
        <v>20</v>
      </c>
      <c r="K3" s="26" t="s">
        <v>21</v>
      </c>
    </row>
    <row r="4" spans="1:13" ht="15.6" x14ac:dyDescent="0.3">
      <c r="A4" s="32" t="str" cm="1">
        <f t="array" ref="A4:A13">Sites[Site]</f>
        <v>Alamosa School District</v>
      </c>
      <c r="B4" s="29" t="str" cm="1">
        <f t="array" ref="B4:B13">Sites[State]</f>
        <v>CO</v>
      </c>
      <c r="C4" s="25">
        <v>97692</v>
      </c>
      <c r="D4" s="14">
        <v>101109.44779999999</v>
      </c>
      <c r="E4" s="14">
        <f>IF(AND(ISNUMBER(C4),ISNUMBER(D4)), C4-D4, "")</f>
        <v>-3417.4477999999945</v>
      </c>
      <c r="F4" s="15">
        <f>IFERROR(E4/D4, "")</f>
        <v>-3.3799490298472332E-2</v>
      </c>
      <c r="G4" s="16">
        <v>122140.96</v>
      </c>
      <c r="H4" s="16">
        <f>IF(AND(ISNUMBER(C4),ISNUMBER(G4)), C4-G4, "")</f>
        <v>-24448.960000000006</v>
      </c>
      <c r="I4" s="17">
        <f>IFERROR(H4/G4, "")</f>
        <v>-0.20017003305033795</v>
      </c>
      <c r="J4" s="41" t="s">
        <v>151</v>
      </c>
      <c r="K4" s="68" t="s">
        <v>139</v>
      </c>
    </row>
    <row r="5" spans="1:13" ht="47.25" customHeight="1" x14ac:dyDescent="0.25">
      <c r="A5" s="30" t="str">
        <v>San Luis Valley</v>
      </c>
      <c r="B5" s="31" t="str">
        <v>CO</v>
      </c>
      <c r="C5" s="12">
        <v>213057.5</v>
      </c>
      <c r="D5" s="19">
        <v>189784.182</v>
      </c>
      <c r="E5" s="19">
        <f t="shared" ref="E5:E17" si="0">IF(AND(ISNUMBER(C5),ISNUMBER(D5)), C5-D5, "")</f>
        <v>23273.317999999999</v>
      </c>
      <c r="F5" s="20">
        <f>IFERROR(E5/D5, "")</f>
        <v>0.12263044135048093</v>
      </c>
      <c r="G5" s="21">
        <v>235469</v>
      </c>
      <c r="H5" s="21">
        <f t="shared" ref="H5:H17" si="1">IF(AND(ISNUMBER(C5),ISNUMBER(G5)), C5-G5, "")</f>
        <v>-22411.5</v>
      </c>
      <c r="I5" s="20">
        <f t="shared" ref="I5:I17" si="2">IFERROR(H5/G5, "")</f>
        <v>-9.5178133852014485E-2</v>
      </c>
      <c r="J5" s="55"/>
      <c r="K5" s="55"/>
    </row>
    <row r="6" spans="1:13" ht="15.6" x14ac:dyDescent="0.3">
      <c r="A6" s="32" t="str">
        <v>Golden NREL 2</v>
      </c>
      <c r="B6" s="29" t="str">
        <v>CO</v>
      </c>
      <c r="C6" s="25">
        <v>10692.120999999999</v>
      </c>
      <c r="D6" s="14">
        <v>11453.912</v>
      </c>
      <c r="E6" s="14">
        <f t="shared" si="0"/>
        <v>-761.79100000000108</v>
      </c>
      <c r="F6" s="15">
        <f t="shared" ref="F6:F17" si="3">IFERROR(E6/D6, "")</f>
        <v>-6.6509241558692006E-2</v>
      </c>
      <c r="G6" s="16">
        <v>12847.956</v>
      </c>
      <c r="H6" s="16">
        <f t="shared" si="1"/>
        <v>-2155.8350000000009</v>
      </c>
      <c r="I6" s="17">
        <f t="shared" si="2"/>
        <v>-0.16779595135599787</v>
      </c>
      <c r="J6" s="41" t="s">
        <v>152</v>
      </c>
      <c r="K6" s="68" t="s">
        <v>153</v>
      </c>
    </row>
    <row r="7" spans="1:13" ht="28.8" x14ac:dyDescent="0.25">
      <c r="A7" s="30" t="str">
        <v>Golden NREL Wind 3</v>
      </c>
      <c r="B7" s="31" t="str">
        <v>CO</v>
      </c>
      <c r="C7" s="12">
        <v>37801.688000000002</v>
      </c>
      <c r="D7" s="19">
        <v>115902.408</v>
      </c>
      <c r="E7" s="19">
        <f t="shared" si="0"/>
        <v>-78100.72</v>
      </c>
      <c r="F7" s="20">
        <f t="shared" si="3"/>
        <v>-0.673848985087523</v>
      </c>
      <c r="G7" s="21">
        <v>147150</v>
      </c>
      <c r="H7" s="21">
        <f t="shared" si="1"/>
        <v>-109348.31200000001</v>
      </c>
      <c r="I7" s="20">
        <f t="shared" si="2"/>
        <v>-0.74310779476724431</v>
      </c>
      <c r="J7" s="48" t="s">
        <v>154</v>
      </c>
      <c r="K7" s="60" t="s">
        <v>155</v>
      </c>
      <c r="L7" s="61" t="s">
        <v>191</v>
      </c>
    </row>
    <row r="8" spans="1:13" ht="15.6" hidden="1" x14ac:dyDescent="0.3">
      <c r="A8" s="32" t="str">
        <v>Pratt Solar Farm</v>
      </c>
      <c r="B8" s="29" t="str">
        <v>KS</v>
      </c>
      <c r="C8" s="25"/>
      <c r="D8" s="14"/>
      <c r="E8" s="14" t="str">
        <f t="shared" si="0"/>
        <v/>
      </c>
      <c r="F8" s="15" t="str">
        <f t="shared" si="3"/>
        <v/>
      </c>
      <c r="G8" s="16"/>
      <c r="H8" s="16" t="str">
        <f t="shared" si="1"/>
        <v/>
      </c>
      <c r="I8" s="17" t="str">
        <f t="shared" si="2"/>
        <v/>
      </c>
      <c r="J8" s="41"/>
      <c r="K8" s="41"/>
    </row>
    <row r="9" spans="1:13" ht="96.75" hidden="1" customHeight="1" x14ac:dyDescent="0.3">
      <c r="A9" s="30" t="str">
        <v>Rochester - 5516 Valleyhigh NW</v>
      </c>
      <c r="B9" s="31" t="str">
        <v>MN</v>
      </c>
      <c r="C9" s="12"/>
      <c r="D9" s="19"/>
      <c r="E9" s="19" t="str">
        <f t="shared" si="0"/>
        <v/>
      </c>
      <c r="F9" s="20" t="str">
        <f t="shared" si="3"/>
        <v/>
      </c>
      <c r="G9" s="54"/>
      <c r="H9" s="21" t="str">
        <f t="shared" si="1"/>
        <v/>
      </c>
      <c r="I9" s="20" t="str">
        <f t="shared" si="2"/>
        <v/>
      </c>
      <c r="J9" s="55"/>
      <c r="K9" s="55"/>
      <c r="L9" s="72"/>
      <c r="M9" s="22"/>
    </row>
    <row r="10" spans="1:13" ht="15.6" hidden="1" x14ac:dyDescent="0.3">
      <c r="A10" s="32" t="str">
        <v>Warsaw - 2201 Richmond</v>
      </c>
      <c r="B10" s="29" t="str">
        <v>VA</v>
      </c>
      <c r="C10" s="25"/>
      <c r="D10" s="14"/>
      <c r="E10" s="14" t="str">
        <f t="shared" si="0"/>
        <v/>
      </c>
      <c r="F10" s="15" t="str">
        <f t="shared" si="3"/>
        <v/>
      </c>
      <c r="G10" s="16"/>
      <c r="H10" s="16" t="str">
        <f t="shared" si="1"/>
        <v/>
      </c>
      <c r="I10" s="17" t="str">
        <f t="shared" si="2"/>
        <v/>
      </c>
      <c r="J10" s="41"/>
      <c r="K10" s="41"/>
      <c r="L10" s="72"/>
      <c r="M10" s="22"/>
    </row>
    <row r="11" spans="1:13" ht="15.6" hidden="1" x14ac:dyDescent="0.3">
      <c r="A11" s="30" t="str">
        <v>Mount Jackson - Randolf</v>
      </c>
      <c r="B11" s="31" t="str">
        <v>VA</v>
      </c>
      <c r="C11" s="12"/>
      <c r="D11" s="19"/>
      <c r="E11" s="19" t="str">
        <f t="shared" si="0"/>
        <v/>
      </c>
      <c r="F11" s="20" t="str">
        <f t="shared" si="3"/>
        <v/>
      </c>
      <c r="G11" s="21"/>
      <c r="H11" s="21" t="str">
        <f t="shared" si="1"/>
        <v/>
      </c>
      <c r="I11" s="20" t="str">
        <f t="shared" si="2"/>
        <v/>
      </c>
      <c r="J11" s="42"/>
      <c r="K11" s="42"/>
      <c r="L11" s="72"/>
      <c r="M11" s="22"/>
    </row>
    <row r="12" spans="1:13" ht="15.6" hidden="1" x14ac:dyDescent="0.3">
      <c r="A12" s="32" t="str">
        <v>Callands Gretna - Monroe</v>
      </c>
      <c r="B12" s="29" t="str">
        <v>VA</v>
      </c>
      <c r="C12" s="25"/>
      <c r="D12" s="14"/>
      <c r="E12" s="14" t="str">
        <f t="shared" si="0"/>
        <v/>
      </c>
      <c r="F12" s="15" t="str">
        <f t="shared" si="3"/>
        <v/>
      </c>
      <c r="G12" s="16"/>
      <c r="H12" s="16" t="str">
        <f t="shared" si="1"/>
        <v/>
      </c>
      <c r="I12" s="17" t="str">
        <f t="shared" si="2"/>
        <v/>
      </c>
      <c r="J12" s="41"/>
      <c r="K12" s="41"/>
      <c r="L12" s="72"/>
      <c r="M12" s="22"/>
    </row>
    <row r="13" spans="1:13" ht="15.6" hidden="1" x14ac:dyDescent="0.3">
      <c r="A13" s="30" t="str">
        <v>Rockbridge Baths - Small Mouth Bass</v>
      </c>
      <c r="B13" s="31" t="str">
        <v>VA</v>
      </c>
      <c r="C13" s="12"/>
      <c r="D13" s="19"/>
      <c r="E13" s="19" t="str">
        <f t="shared" si="0"/>
        <v/>
      </c>
      <c r="F13" s="20" t="str">
        <f t="shared" si="3"/>
        <v/>
      </c>
      <c r="G13" s="21"/>
      <c r="H13" s="21" t="str">
        <f t="shared" si="1"/>
        <v/>
      </c>
      <c r="I13" s="20" t="str">
        <f t="shared" si="2"/>
        <v/>
      </c>
      <c r="J13" s="42"/>
      <c r="K13" s="55"/>
      <c r="L13" s="72"/>
      <c r="M13" s="22"/>
    </row>
    <row r="14" spans="1:13" x14ac:dyDescent="0.3">
      <c r="A14" s="22"/>
      <c r="B14" s="22"/>
      <c r="C14" s="22"/>
      <c r="D14" s="22"/>
      <c r="E14" s="22" t="str">
        <f t="shared" si="0"/>
        <v/>
      </c>
      <c r="F14" s="22" t="str">
        <f t="shared" si="3"/>
        <v/>
      </c>
      <c r="G14" s="22"/>
      <c r="H14" s="22" t="str">
        <f t="shared" si="1"/>
        <v/>
      </c>
      <c r="I14" s="22" t="str">
        <f t="shared" si="2"/>
        <v/>
      </c>
      <c r="J14" s="22"/>
      <c r="K14" s="22"/>
      <c r="L14" s="72"/>
      <c r="M14" s="22"/>
    </row>
    <row r="15" spans="1:13" x14ac:dyDescent="0.3">
      <c r="A15" s="22"/>
      <c r="B15" s="22"/>
      <c r="C15" s="22"/>
      <c r="D15" s="22"/>
      <c r="E15" s="22" t="str">
        <f t="shared" si="0"/>
        <v/>
      </c>
      <c r="F15" s="22" t="str">
        <f t="shared" si="3"/>
        <v/>
      </c>
      <c r="G15" s="22"/>
      <c r="H15" s="22" t="str">
        <f t="shared" si="1"/>
        <v/>
      </c>
      <c r="I15" s="22" t="str">
        <f t="shared" si="2"/>
        <v/>
      </c>
      <c r="J15" s="22"/>
      <c r="K15" s="22"/>
      <c r="L15" s="72"/>
      <c r="M15" s="22"/>
    </row>
    <row r="16" spans="1:13" x14ac:dyDescent="0.3">
      <c r="A16" s="22"/>
      <c r="B16" s="22"/>
      <c r="C16" s="22"/>
      <c r="D16" s="22"/>
      <c r="E16" s="22" t="str">
        <f t="shared" si="0"/>
        <v/>
      </c>
      <c r="F16" s="22" t="str">
        <f t="shared" si="3"/>
        <v/>
      </c>
      <c r="G16" s="22"/>
      <c r="H16" s="22" t="str">
        <f t="shared" si="1"/>
        <v/>
      </c>
      <c r="I16" s="22" t="str">
        <f t="shared" si="2"/>
        <v/>
      </c>
      <c r="J16" s="22"/>
      <c r="K16" s="22"/>
      <c r="L16" s="72"/>
      <c r="M16" s="22"/>
    </row>
    <row r="17" spans="1:13" x14ac:dyDescent="0.3">
      <c r="A17" s="22"/>
      <c r="B17" s="22"/>
      <c r="C17" s="22"/>
      <c r="D17" s="22"/>
      <c r="E17" s="22" t="str">
        <f t="shared" si="0"/>
        <v/>
      </c>
      <c r="F17" s="22" t="str">
        <f t="shared" si="3"/>
        <v/>
      </c>
      <c r="G17" s="22"/>
      <c r="H17" s="22" t="str">
        <f t="shared" si="1"/>
        <v/>
      </c>
      <c r="I17" s="22" t="str">
        <f t="shared" si="2"/>
        <v/>
      </c>
      <c r="J17" s="22"/>
      <c r="K17" s="22"/>
      <c r="L17" s="72"/>
      <c r="M17" s="22"/>
    </row>
    <row r="18" spans="1:13" ht="12.75" customHeight="1" x14ac:dyDescent="0.3">
      <c r="A18" s="22"/>
      <c r="B18" s="33"/>
      <c r="C18" s="22"/>
      <c r="D18" s="22"/>
      <c r="E18" s="22"/>
      <c r="F18" s="22"/>
      <c r="G18" s="22"/>
      <c r="H18" s="22"/>
      <c r="I18" s="22"/>
      <c r="J18" s="22"/>
      <c r="K18" s="22"/>
    </row>
    <row r="19" spans="1:13" ht="14.4" x14ac:dyDescent="0.3">
      <c r="A19" s="22"/>
      <c r="B19" s="33"/>
      <c r="C19" s="22"/>
      <c r="D19" s="22"/>
      <c r="E19" s="22"/>
      <c r="F19" s="22"/>
      <c r="G19" s="22"/>
      <c r="H19" s="22"/>
      <c r="I19" s="22"/>
      <c r="J19" s="22"/>
      <c r="K19" s="22"/>
    </row>
    <row r="20" spans="1:13" ht="14.4" x14ac:dyDescent="0.3">
      <c r="A20" s="22"/>
      <c r="B20" s="33"/>
      <c r="C20" s="22"/>
      <c r="D20" s="22"/>
      <c r="E20" s="22"/>
      <c r="F20" s="22"/>
      <c r="G20" s="22"/>
      <c r="H20" s="22"/>
      <c r="I20" s="22"/>
      <c r="J20" s="22"/>
      <c r="K20" s="22"/>
    </row>
    <row r="21" spans="1:13" ht="14.4" x14ac:dyDescent="0.3">
      <c r="A21" s="22"/>
      <c r="B21" s="33"/>
      <c r="C21" s="22"/>
      <c r="D21" s="22"/>
      <c r="E21" s="22"/>
      <c r="F21" s="22"/>
      <c r="G21" s="22"/>
      <c r="H21" s="22"/>
      <c r="I21" s="22"/>
      <c r="J21" s="22"/>
      <c r="K21" s="22"/>
    </row>
    <row r="22" spans="1:13" ht="14.4" x14ac:dyDescent="0.3">
      <c r="A22" s="22"/>
      <c r="B22" s="33"/>
      <c r="C22" s="22"/>
      <c r="D22" s="22"/>
      <c r="E22" s="22"/>
      <c r="F22" s="22"/>
      <c r="G22" s="22"/>
      <c r="H22" s="22"/>
      <c r="I22" s="22"/>
      <c r="J22" s="22"/>
      <c r="K22" s="22"/>
    </row>
    <row r="23" spans="1:13" ht="14.4" x14ac:dyDescent="0.3">
      <c r="A23" s="22"/>
      <c r="B23" s="33"/>
      <c r="C23" s="22"/>
      <c r="D23" s="22"/>
      <c r="E23" s="22"/>
      <c r="F23" s="22"/>
      <c r="G23" s="22"/>
      <c r="H23" s="22"/>
      <c r="I23" s="22"/>
      <c r="J23" s="22"/>
      <c r="K23" s="22"/>
    </row>
    <row r="24" spans="1:13" ht="14.4" x14ac:dyDescent="0.3">
      <c r="A24" s="22"/>
      <c r="B24" s="33"/>
      <c r="C24" s="22"/>
      <c r="D24" s="22"/>
      <c r="E24" s="22"/>
      <c r="F24" s="22"/>
      <c r="G24" s="22"/>
      <c r="H24" s="22"/>
      <c r="I24" s="22"/>
      <c r="J24" s="22"/>
      <c r="K24" s="22"/>
    </row>
    <row r="25" spans="1:13" ht="14.4" x14ac:dyDescent="0.3">
      <c r="A25" s="22"/>
      <c r="B25" s="33"/>
      <c r="C25" s="22"/>
      <c r="D25" s="22"/>
      <c r="E25" s="22"/>
      <c r="F25" s="22"/>
      <c r="G25" s="22"/>
      <c r="H25" s="22"/>
      <c r="I25" s="22"/>
      <c r="J25" s="22"/>
      <c r="K25" s="22"/>
    </row>
    <row r="26" spans="1:13" ht="14.4" x14ac:dyDescent="0.3">
      <c r="A26" s="22"/>
      <c r="B26" s="33"/>
      <c r="C26" s="22"/>
      <c r="D26" s="22"/>
      <c r="E26" s="22"/>
      <c r="F26" s="22"/>
      <c r="G26" s="22"/>
      <c r="H26" s="22"/>
      <c r="I26" s="22"/>
      <c r="J26" s="22"/>
      <c r="K26" s="22"/>
    </row>
    <row r="27" spans="1:13" ht="14.4" x14ac:dyDescent="0.3">
      <c r="A27" s="22"/>
      <c r="B27" s="33"/>
      <c r="C27" s="22"/>
      <c r="D27" s="22"/>
      <c r="E27" s="22"/>
      <c r="F27" s="22"/>
      <c r="G27" s="22"/>
      <c r="H27" s="22"/>
      <c r="I27" s="22"/>
      <c r="J27" s="22"/>
      <c r="K27" s="22"/>
    </row>
    <row r="28" spans="1:13" ht="14.4" x14ac:dyDescent="0.3">
      <c r="A28" s="22"/>
      <c r="B28" s="33"/>
      <c r="C28" s="22"/>
      <c r="D28" s="22"/>
      <c r="E28" s="22"/>
      <c r="F28" s="22"/>
      <c r="G28" s="22"/>
      <c r="H28" s="22"/>
      <c r="I28" s="22"/>
      <c r="J28" s="22"/>
      <c r="K28" s="22"/>
    </row>
    <row r="29" spans="1:13" ht="14.4" x14ac:dyDescent="0.3">
      <c r="A29" s="22"/>
      <c r="B29" s="33"/>
      <c r="C29" s="22"/>
      <c r="D29" s="22"/>
      <c r="E29" s="22"/>
      <c r="F29" s="22"/>
      <c r="G29" s="22"/>
      <c r="H29" s="22"/>
      <c r="I29" s="22"/>
      <c r="J29" s="22"/>
      <c r="K29" s="22"/>
    </row>
    <row r="30" spans="1:13" ht="14.4" x14ac:dyDescent="0.3">
      <c r="A30" s="22"/>
      <c r="B30" s="33"/>
      <c r="C30" s="22"/>
      <c r="D30" s="22"/>
      <c r="E30" s="22"/>
      <c r="F30" s="22"/>
      <c r="G30" s="22"/>
      <c r="H30" s="22"/>
      <c r="I30" s="22"/>
      <c r="J30" s="22"/>
      <c r="K30" s="22"/>
    </row>
    <row r="31" spans="1:13" ht="14.4" x14ac:dyDescent="0.3">
      <c r="A31" s="22"/>
      <c r="B31" s="33"/>
      <c r="C31" s="22"/>
      <c r="D31" s="22"/>
      <c r="E31" s="22"/>
      <c r="F31" s="22"/>
      <c r="G31" s="22"/>
      <c r="H31" s="22"/>
      <c r="I31" s="22"/>
      <c r="J31" s="22"/>
      <c r="K31" s="22"/>
    </row>
    <row r="32" spans="1:13"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5" priority="3" stopIfTrue="1" operator="lessThanOrEqual">
      <formula>-0.1</formula>
    </cfRule>
    <cfRule type="expression" dxfId="14" priority="4">
      <formula>AND(ISNUMBER(F2), F2&gt;=0.1)</formula>
    </cfRule>
  </conditionalFormatting>
  <conditionalFormatting sqref="F4:F13 I4:I13 F18:F100 I18:I100">
    <cfRule type="cellIs" dxfId="13" priority="1" stopIfTrue="1" operator="lessThanOrEqual">
      <formula>-0.1</formula>
    </cfRule>
    <cfRule type="expression" dxfId="12" priority="2">
      <formula>AND(ISNUMBER(F4), F4&gt;=0.1)</formula>
    </cfRule>
  </conditionalFormatting>
  <hyperlinks>
    <hyperlink ref="K4" r:id="rId1" display="https://us3.assetplanner.com/service_request?ID=102730" xr:uid="{209836DB-5DF9-4B40-8927-B932FE29D1D9}"/>
    <hyperlink ref="K6" r:id="rId2" display="https://us3.assetplanner.com/service_request?ID=106365" xr:uid="{3139D0E4-49F0-4665-A08B-59A6BE13DAE0}"/>
    <hyperlink ref="K7" r:id="rId3" display="https://us3.assetplanner.com/service_request?ID=107074" xr:uid="{B4CDB689-3321-4CE2-98FF-1C7C936A7913}"/>
    <hyperlink ref="L7" r:id="rId4" display="https://us3.assetplanner.com/service_request?ID=107072" xr:uid="{DA8878D3-2837-43B8-BAFC-9AAC03D96CB7}"/>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L342"/>
  <sheetViews>
    <sheetView zoomScale="70" zoomScaleNormal="70" workbookViewId="0">
      <pane xSplit="2" ySplit="3" topLeftCell="C4" activePane="bottomRight" state="frozen"/>
      <selection pane="topRight" activeCell="D13" sqref="D13"/>
      <selection pane="bottomLeft" activeCell="D13" sqref="D13"/>
      <selection pane="bottomRight" activeCell="D13" sqref="D13"/>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3.5546875" customWidth="1"/>
  </cols>
  <sheetData>
    <row r="1" spans="1:12" ht="19.5" customHeight="1" x14ac:dyDescent="0.25">
      <c r="A1" s="75" t="str" cm="1">
        <f t="array" ref="A1">portfolio</f>
        <v>Tortoise</v>
      </c>
      <c r="B1" s="75"/>
      <c r="C1" s="75"/>
      <c r="D1" s="76" t="s">
        <v>156</v>
      </c>
      <c r="E1" s="76"/>
      <c r="F1" s="76"/>
      <c r="G1" s="74" t="s">
        <v>157</v>
      </c>
      <c r="H1" s="74"/>
      <c r="I1" s="74"/>
      <c r="J1" s="5"/>
      <c r="K1" s="5"/>
    </row>
    <row r="2" spans="1:12" ht="19.5" customHeight="1" x14ac:dyDescent="0.25">
      <c r="A2" s="77" t="s">
        <v>2</v>
      </c>
      <c r="B2" s="77"/>
      <c r="C2" s="6">
        <f>SUM(C4:C100)</f>
        <v>0</v>
      </c>
      <c r="D2" s="6">
        <f>SUM(D4:D100)</f>
        <v>0</v>
      </c>
      <c r="E2" s="6">
        <f>C2-D2</f>
        <v>0</v>
      </c>
      <c r="F2" s="7">
        <f>IFERROR(E2/D2, 0)</f>
        <v>0</v>
      </c>
      <c r="G2" s="6">
        <f>SUM(G4:G100)</f>
        <v>0</v>
      </c>
      <c r="H2" s="8">
        <f>C2-G2</f>
        <v>0</v>
      </c>
      <c r="I2" s="7">
        <f>IFERROR(H2/G2, 0)</f>
        <v>0</v>
      </c>
      <c r="J2" s="27"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x14ac:dyDescent="0.25">
      <c r="A3" s="9" t="s">
        <v>3</v>
      </c>
      <c r="B3" s="9" t="s">
        <v>4</v>
      </c>
      <c r="C3" s="24" t="s">
        <v>5</v>
      </c>
      <c r="D3" s="35" t="s">
        <v>6</v>
      </c>
      <c r="E3" s="35" t="s">
        <v>7</v>
      </c>
      <c r="F3" s="36" t="s">
        <v>8</v>
      </c>
      <c r="G3" s="37" t="s">
        <v>9</v>
      </c>
      <c r="H3" s="38" t="s">
        <v>7</v>
      </c>
      <c r="I3" s="39" t="s">
        <v>8</v>
      </c>
      <c r="J3" s="26" t="s">
        <v>20</v>
      </c>
      <c r="K3" s="26" t="s">
        <v>21</v>
      </c>
    </row>
    <row r="4" spans="1:12" ht="15.6" x14ac:dyDescent="0.3">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x14ac:dyDescent="0.25">
      <c r="A5" s="30" t="str">
        <v>San Luis Valley</v>
      </c>
      <c r="B5" s="31" t="str">
        <v>CO</v>
      </c>
      <c r="C5" s="12"/>
      <c r="D5" s="19"/>
      <c r="E5" s="19" t="str">
        <f t="shared" ref="E5:E17" si="0">IF(AND(ISNUMBER(C5),ISNUMBER(D5)), C5-D5, "")</f>
        <v/>
      </c>
      <c r="F5" s="20" t="str">
        <f>IFERROR(E5/D5, "")</f>
        <v/>
      </c>
      <c r="G5" s="21"/>
      <c r="H5" s="21" t="str">
        <f t="shared" ref="H5:H16" si="1">IF(AND(ISNUMBER(C5),ISNUMBER(G5)), C5-G5, "")</f>
        <v/>
      </c>
      <c r="I5" s="20" t="str">
        <f t="shared" ref="I5:I16" si="2">IFERROR(H5/G5, "")</f>
        <v/>
      </c>
      <c r="J5" s="48"/>
      <c r="K5" s="48"/>
    </row>
    <row r="6" spans="1:12" ht="15.6" x14ac:dyDescent="0.3">
      <c r="A6" s="32" t="str">
        <v>Golden NREL 2</v>
      </c>
      <c r="B6" s="29" t="str">
        <v>CO</v>
      </c>
      <c r="C6" s="25"/>
      <c r="D6" s="14"/>
      <c r="E6" s="14" t="str">
        <f t="shared" si="0"/>
        <v/>
      </c>
      <c r="F6" s="15" t="str">
        <f t="shared" ref="F6:F17" si="3">IFERROR(E6/D6, "")</f>
        <v/>
      </c>
      <c r="G6" s="16"/>
      <c r="H6" s="16" t="str">
        <f t="shared" si="1"/>
        <v/>
      </c>
      <c r="I6" s="17" t="str">
        <f t="shared" si="2"/>
        <v/>
      </c>
      <c r="J6" s="50"/>
      <c r="K6" s="50"/>
    </row>
    <row r="7" spans="1:12" ht="15.6" x14ac:dyDescent="0.25">
      <c r="A7" s="30" t="str">
        <v>Golden NREL Wind 3</v>
      </c>
      <c r="B7" s="31" t="str">
        <v>CO</v>
      </c>
      <c r="C7" s="12"/>
      <c r="D7" s="19"/>
      <c r="E7" s="19" t="str">
        <f t="shared" si="0"/>
        <v/>
      </c>
      <c r="F7" s="20" t="str">
        <f t="shared" si="3"/>
        <v/>
      </c>
      <c r="G7" s="21"/>
      <c r="H7" s="21" t="str">
        <f t="shared" si="1"/>
        <v/>
      </c>
      <c r="I7" s="20" t="str">
        <f t="shared" si="2"/>
        <v/>
      </c>
      <c r="J7" s="48"/>
      <c r="K7" s="48"/>
    </row>
    <row r="8" spans="1:12" ht="15.6" x14ac:dyDescent="0.3">
      <c r="A8" s="32" t="str">
        <v>Pratt Solar Farm</v>
      </c>
      <c r="B8" s="29" t="str">
        <v>KS</v>
      </c>
      <c r="C8" s="25"/>
      <c r="D8" s="14"/>
      <c r="E8" s="14" t="str">
        <f t="shared" si="0"/>
        <v/>
      </c>
      <c r="F8" s="15" t="str">
        <f t="shared" si="3"/>
        <v/>
      </c>
      <c r="G8" s="16"/>
      <c r="H8" s="16" t="str">
        <f t="shared" si="1"/>
        <v/>
      </c>
      <c r="I8" s="17" t="str">
        <f t="shared" si="2"/>
        <v/>
      </c>
      <c r="J8" s="50"/>
      <c r="K8" s="50"/>
    </row>
    <row r="9" spans="1:12" ht="100.5" customHeight="1" x14ac:dyDescent="0.3">
      <c r="A9" s="30" t="str">
        <v>Rochester - 5516 Valleyhigh NW</v>
      </c>
      <c r="B9" s="31" t="str">
        <v>MN</v>
      </c>
      <c r="C9" s="12"/>
      <c r="D9" s="19"/>
      <c r="E9" s="19" t="str">
        <f t="shared" si="0"/>
        <v/>
      </c>
      <c r="F9" s="20" t="str">
        <f t="shared" si="3"/>
        <v/>
      </c>
      <c r="G9" s="21"/>
      <c r="H9" s="21" t="str">
        <f t="shared" si="1"/>
        <v/>
      </c>
      <c r="I9" s="20" t="str">
        <f t="shared" si="2"/>
        <v/>
      </c>
      <c r="J9" s="48"/>
      <c r="K9" s="48"/>
      <c r="L9" s="22"/>
    </row>
    <row r="10" spans="1:12" ht="15.6" x14ac:dyDescent="0.3">
      <c r="A10" s="32" t="str">
        <v>Warsaw - 2201 Richmond</v>
      </c>
      <c r="B10" s="29" t="str">
        <v>VA</v>
      </c>
      <c r="C10" s="25"/>
      <c r="D10" s="14"/>
      <c r="E10" s="14" t="str">
        <f t="shared" si="0"/>
        <v/>
      </c>
      <c r="F10" s="15" t="str">
        <f t="shared" si="3"/>
        <v/>
      </c>
      <c r="G10" s="16"/>
      <c r="H10" s="16" t="str">
        <f t="shared" si="1"/>
        <v/>
      </c>
      <c r="I10" s="17" t="str">
        <f t="shared" si="2"/>
        <v/>
      </c>
      <c r="J10" s="50"/>
      <c r="K10" s="50"/>
      <c r="L10" s="22"/>
    </row>
    <row r="11" spans="1:12" ht="15.6" x14ac:dyDescent="0.3">
      <c r="A11" s="30" t="str">
        <v>Mount Jackson - Randolf</v>
      </c>
      <c r="B11" s="31" t="str">
        <v>VA</v>
      </c>
      <c r="C11" s="12"/>
      <c r="D11" s="19"/>
      <c r="E11" s="19" t="str">
        <f t="shared" si="0"/>
        <v/>
      </c>
      <c r="F11" s="20" t="str">
        <f t="shared" si="3"/>
        <v/>
      </c>
      <c r="G11" s="21"/>
      <c r="H11" s="21" t="str">
        <f t="shared" si="1"/>
        <v/>
      </c>
      <c r="I11" s="20" t="str">
        <f t="shared" si="2"/>
        <v/>
      </c>
      <c r="J11" s="48"/>
      <c r="K11" s="48"/>
      <c r="L11" s="22"/>
    </row>
    <row r="12" spans="1:12" ht="15.6" x14ac:dyDescent="0.3">
      <c r="A12" s="32" t="str">
        <v>Callands Gretna - Monroe</v>
      </c>
      <c r="B12" s="29" t="str">
        <v>VA</v>
      </c>
      <c r="C12" s="25"/>
      <c r="D12" s="14"/>
      <c r="E12" s="14" t="str">
        <f t="shared" si="0"/>
        <v/>
      </c>
      <c r="F12" s="15" t="str">
        <f t="shared" si="3"/>
        <v/>
      </c>
      <c r="G12" s="16"/>
      <c r="H12" s="16" t="str">
        <f t="shared" si="1"/>
        <v/>
      </c>
      <c r="I12" s="17" t="str">
        <f t="shared" si="2"/>
        <v/>
      </c>
      <c r="J12" s="50"/>
      <c r="K12" s="50"/>
      <c r="L12" s="22"/>
    </row>
    <row r="13" spans="1:12" ht="15.6" x14ac:dyDescent="0.3">
      <c r="A13" s="30" t="str">
        <v>Rockbridge Baths - Small Mouth Bass</v>
      </c>
      <c r="B13" s="31" t="str">
        <v>VA</v>
      </c>
      <c r="C13" s="12"/>
      <c r="D13" s="19"/>
      <c r="E13" s="19" t="str">
        <f t="shared" si="0"/>
        <v/>
      </c>
      <c r="F13" s="20" t="str">
        <f t="shared" si="3"/>
        <v/>
      </c>
      <c r="G13" s="21"/>
      <c r="H13" s="21" t="str">
        <f t="shared" si="1"/>
        <v/>
      </c>
      <c r="I13" s="20" t="str">
        <f t="shared" si="2"/>
        <v/>
      </c>
      <c r="J13" s="48"/>
      <c r="K13" s="48"/>
      <c r="L13" s="22"/>
    </row>
    <row r="14" spans="1:12" x14ac:dyDescent="0.3">
      <c r="A14" s="22"/>
      <c r="B14" s="22"/>
      <c r="C14" s="22"/>
      <c r="D14" s="22"/>
      <c r="E14" s="22" t="str">
        <f t="shared" si="0"/>
        <v/>
      </c>
      <c r="F14" s="22" t="str">
        <f t="shared" si="3"/>
        <v/>
      </c>
      <c r="G14" s="22"/>
      <c r="H14" s="22" t="str">
        <f t="shared" si="1"/>
        <v/>
      </c>
      <c r="I14" s="22" t="str">
        <f t="shared" si="2"/>
        <v/>
      </c>
      <c r="J14" s="22"/>
      <c r="K14" s="22"/>
      <c r="L14" s="22"/>
    </row>
    <row r="15" spans="1:12" x14ac:dyDescent="0.3">
      <c r="A15" s="22"/>
      <c r="B15" s="22"/>
      <c r="C15" s="22"/>
      <c r="D15" s="22"/>
      <c r="E15" s="22" t="str">
        <f t="shared" si="0"/>
        <v/>
      </c>
      <c r="F15" s="22" t="str">
        <f t="shared" si="3"/>
        <v/>
      </c>
      <c r="G15" s="22"/>
      <c r="H15" s="22" t="str">
        <f t="shared" si="1"/>
        <v/>
      </c>
      <c r="I15" s="22" t="str">
        <f t="shared" si="2"/>
        <v/>
      </c>
      <c r="J15" s="22"/>
      <c r="K15" s="22"/>
      <c r="L15" s="22"/>
    </row>
    <row r="16" spans="1:12" x14ac:dyDescent="0.3">
      <c r="A16" s="22"/>
      <c r="B16" s="22"/>
      <c r="C16" s="22"/>
      <c r="D16" s="22"/>
      <c r="E16" s="22" t="str">
        <f t="shared" si="0"/>
        <v/>
      </c>
      <c r="F16" s="22" t="str">
        <f t="shared" si="3"/>
        <v/>
      </c>
      <c r="G16" s="22"/>
      <c r="H16" s="22" t="str">
        <f t="shared" si="1"/>
        <v/>
      </c>
      <c r="I16" s="22" t="str">
        <f t="shared" si="2"/>
        <v/>
      </c>
      <c r="J16" s="22"/>
      <c r="K16" s="22"/>
      <c r="L16" s="22"/>
    </row>
    <row r="17" spans="1:12" x14ac:dyDescent="0.3">
      <c r="A17" s="22"/>
      <c r="B17" s="22"/>
      <c r="C17" s="22"/>
      <c r="D17" s="22"/>
      <c r="E17" s="22" t="str">
        <f t="shared" si="0"/>
        <v/>
      </c>
      <c r="F17" s="22" t="str">
        <f t="shared" si="3"/>
        <v/>
      </c>
      <c r="G17" s="22"/>
      <c r="H17" s="22" t="str">
        <f>IF(AND(ISNUMBER(C17),ISNUMBER(G17)), C17-G17, "")</f>
        <v/>
      </c>
      <c r="I17" s="22" t="str">
        <f>IFERROR(H17/G17, "")</f>
        <v/>
      </c>
      <c r="J17" s="22"/>
      <c r="K17" s="22"/>
      <c r="L17" s="22"/>
    </row>
    <row r="18" spans="1:12" ht="12.75" customHeight="1" x14ac:dyDescent="0.3">
      <c r="A18" s="22"/>
      <c r="B18" s="22"/>
      <c r="C18" s="22"/>
      <c r="D18" s="22"/>
      <c r="E18" s="22"/>
      <c r="F18" s="22"/>
      <c r="G18" s="22"/>
      <c r="H18" s="22"/>
      <c r="I18" s="22"/>
      <c r="J18" s="22"/>
      <c r="K18" s="22"/>
      <c r="L18" s="22"/>
    </row>
    <row r="19" spans="1:12" x14ac:dyDescent="0.3">
      <c r="A19" s="22"/>
      <c r="B19" s="22"/>
      <c r="C19" s="22"/>
      <c r="D19" s="22"/>
      <c r="E19" s="22"/>
      <c r="F19" s="22"/>
      <c r="G19" s="22"/>
      <c r="H19" s="22"/>
      <c r="I19" s="22"/>
      <c r="J19" s="22"/>
      <c r="K19" s="22"/>
      <c r="L19" s="22"/>
    </row>
    <row r="20" spans="1:12" ht="14.4" x14ac:dyDescent="0.3">
      <c r="A20" s="22"/>
      <c r="B20" s="33"/>
      <c r="C20" s="22"/>
      <c r="D20" s="22"/>
      <c r="E20" s="22"/>
      <c r="F20" s="22"/>
      <c r="G20" s="22"/>
      <c r="H20" s="22"/>
      <c r="I20" s="22"/>
      <c r="J20" s="22"/>
      <c r="K20" s="22"/>
    </row>
    <row r="21" spans="1:12" ht="14.4" x14ac:dyDescent="0.3">
      <c r="A21" s="22"/>
      <c r="B21" s="33"/>
      <c r="C21" s="22"/>
      <c r="D21" s="22"/>
      <c r="E21" s="22"/>
      <c r="F21" s="22"/>
      <c r="G21" s="22"/>
      <c r="H21" s="22"/>
      <c r="I21" s="22"/>
      <c r="J21" s="22"/>
      <c r="K21" s="22"/>
    </row>
    <row r="22" spans="1:12" ht="14.4" x14ac:dyDescent="0.3">
      <c r="A22" s="22"/>
      <c r="B22" s="33"/>
      <c r="C22" s="22"/>
      <c r="D22" s="22"/>
      <c r="E22" s="22"/>
      <c r="F22" s="22"/>
      <c r="G22" s="22"/>
      <c r="H22" s="22"/>
      <c r="I22" s="22"/>
      <c r="J22" s="22"/>
      <c r="K22" s="22"/>
    </row>
    <row r="23" spans="1:12" ht="14.4" x14ac:dyDescent="0.3">
      <c r="A23" s="22"/>
      <c r="B23" s="33"/>
      <c r="C23" s="22"/>
      <c r="D23" s="22"/>
      <c r="E23" s="22"/>
      <c r="F23" s="22"/>
      <c r="G23" s="22"/>
      <c r="H23" s="22"/>
      <c r="I23" s="22"/>
      <c r="J23" s="22"/>
      <c r="K23" s="22"/>
    </row>
    <row r="24" spans="1:12" ht="14.4" x14ac:dyDescent="0.3">
      <c r="A24" s="22"/>
      <c r="B24" s="33"/>
      <c r="C24" s="22"/>
      <c r="D24" s="22"/>
      <c r="E24" s="22"/>
      <c r="F24" s="22"/>
      <c r="G24" s="22"/>
      <c r="H24" s="22"/>
      <c r="I24" s="22"/>
      <c r="J24" s="22"/>
      <c r="K24" s="22"/>
    </row>
    <row r="25" spans="1:12" ht="14.4" x14ac:dyDescent="0.3">
      <c r="A25" s="22"/>
      <c r="B25" s="33"/>
      <c r="C25" s="22"/>
      <c r="D25" s="22"/>
      <c r="E25" s="22"/>
      <c r="F25" s="22"/>
      <c r="G25" s="22"/>
      <c r="H25" s="22"/>
      <c r="I25" s="22"/>
      <c r="J25" s="22"/>
      <c r="K25" s="22"/>
    </row>
    <row r="26" spans="1:12" ht="14.4" x14ac:dyDescent="0.3">
      <c r="A26" s="22"/>
      <c r="B26" s="33"/>
      <c r="C26" s="22"/>
      <c r="D26" s="22"/>
      <c r="E26" s="22"/>
      <c r="F26" s="22"/>
      <c r="G26" s="22"/>
      <c r="H26" s="22"/>
      <c r="I26" s="22"/>
      <c r="J26" s="22"/>
      <c r="K26" s="22"/>
    </row>
    <row r="27" spans="1:12" ht="14.4" x14ac:dyDescent="0.3">
      <c r="A27" s="22"/>
      <c r="B27" s="33"/>
      <c r="C27" s="22"/>
      <c r="D27" s="22"/>
      <c r="E27" s="22"/>
      <c r="F27" s="22"/>
      <c r="G27" s="22"/>
      <c r="H27" s="22"/>
      <c r="I27" s="22"/>
      <c r="J27" s="22"/>
      <c r="K27" s="22"/>
    </row>
    <row r="28" spans="1:12" ht="14.4" x14ac:dyDescent="0.3">
      <c r="A28" s="22"/>
      <c r="B28" s="33"/>
      <c r="C28" s="22"/>
      <c r="D28" s="22"/>
      <c r="E28" s="22"/>
      <c r="F28" s="22"/>
      <c r="G28" s="22"/>
      <c r="H28" s="22"/>
      <c r="I28" s="22"/>
      <c r="J28" s="22"/>
      <c r="K28" s="22"/>
    </row>
    <row r="29" spans="1:12" ht="14.4" x14ac:dyDescent="0.3">
      <c r="A29" s="22"/>
      <c r="B29" s="33"/>
      <c r="C29" s="22"/>
      <c r="D29" s="22"/>
      <c r="E29" s="22"/>
      <c r="F29" s="22"/>
      <c r="G29" s="22"/>
      <c r="H29" s="22"/>
      <c r="I29" s="22"/>
      <c r="J29" s="22"/>
      <c r="K29" s="22"/>
    </row>
    <row r="30" spans="1:12" ht="14.4" x14ac:dyDescent="0.3">
      <c r="A30" s="22"/>
      <c r="B30" s="33"/>
      <c r="C30" s="22"/>
      <c r="D30" s="22"/>
      <c r="E30" s="22"/>
      <c r="F30" s="22"/>
      <c r="G30" s="22"/>
      <c r="H30" s="22"/>
      <c r="I30" s="22"/>
      <c r="J30" s="22"/>
      <c r="K30" s="22"/>
    </row>
    <row r="31" spans="1:12" ht="14.4" x14ac:dyDescent="0.3">
      <c r="A31" s="22"/>
      <c r="B31" s="33"/>
      <c r="C31" s="22"/>
      <c r="D31" s="22"/>
      <c r="E31" s="22"/>
      <c r="F31" s="22"/>
      <c r="G31" s="22"/>
      <c r="H31" s="22"/>
      <c r="I31" s="22"/>
      <c r="J31" s="22"/>
      <c r="K31" s="22"/>
    </row>
    <row r="32" spans="1:12"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13 I4:I13 F20:F100 I20:I100">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L342"/>
  <sheetViews>
    <sheetView zoomScale="80" zoomScaleNormal="80" workbookViewId="0">
      <pane xSplit="2" ySplit="3" topLeftCell="J8" activePane="bottomRight" state="frozen"/>
      <selection pane="topRight" activeCell="D13" sqref="D13"/>
      <selection pane="bottomLeft" activeCell="D13" sqref="D13"/>
      <selection pane="bottomRight" activeCell="D13" sqref="D13"/>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2" ht="19.5" customHeight="1" x14ac:dyDescent="0.25">
      <c r="A1" s="75" t="str" cm="1">
        <f t="array" ref="A1">portfolio</f>
        <v>Tortoise</v>
      </c>
      <c r="B1" s="75"/>
      <c r="C1" s="75"/>
      <c r="D1" s="76" t="s">
        <v>158</v>
      </c>
      <c r="E1" s="76"/>
      <c r="F1" s="76"/>
      <c r="G1" s="74" t="s">
        <v>159</v>
      </c>
      <c r="H1" s="74"/>
      <c r="I1" s="74"/>
      <c r="J1" s="5"/>
      <c r="K1" s="5"/>
    </row>
    <row r="2" spans="1:12" ht="19.5" customHeight="1" x14ac:dyDescent="0.25">
      <c r="A2" s="77" t="s">
        <v>2</v>
      </c>
      <c r="B2" s="77"/>
      <c r="C2" s="6">
        <f>SUM(C4:C100)</f>
        <v>0</v>
      </c>
      <c r="D2" s="6">
        <f>SUM(D4:D100)</f>
        <v>0</v>
      </c>
      <c r="E2" s="6">
        <f>C2-D2</f>
        <v>0</v>
      </c>
      <c r="F2" s="7">
        <f>IFERROR(E2/D2, 0)</f>
        <v>0</v>
      </c>
      <c r="G2" s="6">
        <f>SUM(G4:G100)</f>
        <v>0</v>
      </c>
      <c r="H2" s="8">
        <f>C2-G2</f>
        <v>0</v>
      </c>
      <c r="I2" s="7">
        <f>IFERROR(H2/G2, 0)</f>
        <v>0</v>
      </c>
      <c r="J2" s="27"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2" ht="14.25" customHeight="1" x14ac:dyDescent="0.25">
      <c r="A3" s="9" t="s">
        <v>3</v>
      </c>
      <c r="B3" s="9" t="s">
        <v>4</v>
      </c>
      <c r="C3" s="24" t="s">
        <v>5</v>
      </c>
      <c r="D3" s="35" t="s">
        <v>6</v>
      </c>
      <c r="E3" s="35" t="s">
        <v>7</v>
      </c>
      <c r="F3" s="36" t="s">
        <v>8</v>
      </c>
      <c r="G3" s="37" t="s">
        <v>9</v>
      </c>
      <c r="H3" s="38" t="s">
        <v>7</v>
      </c>
      <c r="I3" s="39" t="s">
        <v>8</v>
      </c>
      <c r="J3" s="26" t="s">
        <v>20</v>
      </c>
      <c r="K3" s="26" t="s">
        <v>21</v>
      </c>
    </row>
    <row r="4" spans="1:12" ht="80.25" customHeight="1" x14ac:dyDescent="0.25">
      <c r="A4" s="51"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2" ht="15.6" x14ac:dyDescent="0.2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2" ht="15.6" x14ac:dyDescent="0.3">
      <c r="A6" s="32" t="str">
        <v>Golden NREL 2</v>
      </c>
      <c r="B6" s="29" t="str">
        <v>CO</v>
      </c>
      <c r="C6" s="25"/>
      <c r="D6" s="14"/>
      <c r="E6" s="14" t="str">
        <f t="shared" si="0"/>
        <v/>
      </c>
      <c r="F6" s="15" t="str">
        <f t="shared" ref="F6:F13" si="3">IFERROR(E6/D6, "")</f>
        <v/>
      </c>
      <c r="G6" s="16"/>
      <c r="H6" s="16" t="str">
        <f t="shared" si="1"/>
        <v/>
      </c>
      <c r="I6" s="17" t="str">
        <f t="shared" si="2"/>
        <v/>
      </c>
      <c r="J6" s="50"/>
      <c r="K6" s="50"/>
    </row>
    <row r="7" spans="1:12" ht="15.6" x14ac:dyDescent="0.25">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2" ht="50.25" customHeight="1" x14ac:dyDescent="0.25">
      <c r="A8" s="51" t="str">
        <v>Pratt Solar Farm</v>
      </c>
      <c r="B8" s="29" t="str">
        <v>KS</v>
      </c>
      <c r="C8" s="25"/>
      <c r="D8" s="14"/>
      <c r="E8" s="14" t="str">
        <f t="shared" si="4"/>
        <v/>
      </c>
      <c r="F8" s="15" t="str">
        <f t="shared" si="3"/>
        <v/>
      </c>
      <c r="G8" s="16"/>
      <c r="H8" s="16" t="str">
        <f t="shared" si="5"/>
        <v/>
      </c>
      <c r="I8" s="17" t="str">
        <f t="shared" si="6"/>
        <v/>
      </c>
      <c r="J8" s="50"/>
      <c r="K8" s="50"/>
    </row>
    <row r="9" spans="1:12" ht="22.5" customHeight="1" x14ac:dyDescent="0.25">
      <c r="A9" s="30" t="str">
        <v>Rochester - 5516 Valleyhigh NW</v>
      </c>
      <c r="B9" s="31" t="str">
        <v>MN</v>
      </c>
      <c r="C9" s="12"/>
      <c r="D9" s="19"/>
      <c r="E9" s="19" t="str">
        <f t="shared" si="4"/>
        <v/>
      </c>
      <c r="F9" s="20" t="str">
        <f t="shared" si="3"/>
        <v/>
      </c>
      <c r="G9" s="21"/>
      <c r="H9" s="21" t="str">
        <f t="shared" si="5"/>
        <v/>
      </c>
      <c r="I9" s="20" t="str">
        <f t="shared" si="6"/>
        <v/>
      </c>
      <c r="J9" s="48"/>
      <c r="K9" s="48"/>
      <c r="L9" s="30"/>
    </row>
    <row r="10" spans="1:12" ht="15.6" x14ac:dyDescent="0.3">
      <c r="A10" s="32" t="str">
        <v>Warsaw - 2201 Richmond</v>
      </c>
      <c r="B10" s="29" t="str">
        <v>VA</v>
      </c>
      <c r="C10" s="25"/>
      <c r="D10" s="14"/>
      <c r="E10" s="14" t="str">
        <f t="shared" si="4"/>
        <v/>
      </c>
      <c r="F10" s="15" t="str">
        <f t="shared" si="3"/>
        <v/>
      </c>
      <c r="G10" s="16"/>
      <c r="H10" s="16" t="str">
        <f t="shared" si="5"/>
        <v/>
      </c>
      <c r="I10" s="17" t="str">
        <f t="shared" si="6"/>
        <v/>
      </c>
      <c r="J10" s="50"/>
      <c r="K10" s="50"/>
      <c r="L10" s="30"/>
    </row>
    <row r="11" spans="1:12" ht="15.6" x14ac:dyDescent="0.25">
      <c r="A11" s="30" t="str">
        <v>Mount Jackson - Randolf</v>
      </c>
      <c r="B11" s="31" t="str">
        <v>VA</v>
      </c>
      <c r="C11" s="12"/>
      <c r="D11" s="19"/>
      <c r="E11" s="19" t="str">
        <f t="shared" si="4"/>
        <v/>
      </c>
      <c r="F11" s="20" t="str">
        <f t="shared" si="3"/>
        <v/>
      </c>
      <c r="G11" s="21"/>
      <c r="H11" s="21" t="str">
        <f t="shared" si="5"/>
        <v/>
      </c>
      <c r="I11" s="20" t="str">
        <f t="shared" si="6"/>
        <v/>
      </c>
      <c r="J11" s="48"/>
      <c r="K11" s="48"/>
      <c r="L11" s="30"/>
    </row>
    <row r="12" spans="1:12" ht="15.6" x14ac:dyDescent="0.3">
      <c r="A12" s="32" t="str">
        <v>Callands Gretna - Monroe</v>
      </c>
      <c r="B12" s="29" t="str">
        <v>VA</v>
      </c>
      <c r="C12" s="25"/>
      <c r="D12" s="14"/>
      <c r="E12" s="14" t="str">
        <f t="shared" si="4"/>
        <v/>
      </c>
      <c r="F12" s="15" t="str">
        <f t="shared" si="3"/>
        <v/>
      </c>
      <c r="G12" s="16"/>
      <c r="H12" s="16" t="str">
        <f t="shared" si="5"/>
        <v/>
      </c>
      <c r="I12" s="17" t="str">
        <f t="shared" si="6"/>
        <v/>
      </c>
      <c r="J12" s="50"/>
      <c r="K12" s="50"/>
      <c r="L12" s="30"/>
    </row>
    <row r="13" spans="1:12" ht="15.6" x14ac:dyDescent="0.25">
      <c r="A13" s="30" t="str">
        <v>Rockbridge Baths - Small Mouth Bass</v>
      </c>
      <c r="B13" s="31" t="str">
        <v>VA</v>
      </c>
      <c r="C13" s="12"/>
      <c r="D13" s="19"/>
      <c r="E13" s="19" t="str">
        <f t="shared" si="4"/>
        <v/>
      </c>
      <c r="F13" s="20" t="str">
        <f t="shared" si="3"/>
        <v/>
      </c>
      <c r="G13" s="21"/>
      <c r="H13" s="21" t="str">
        <f t="shared" si="5"/>
        <v/>
      </c>
      <c r="I13" s="20" t="str">
        <f t="shared" si="6"/>
        <v/>
      </c>
      <c r="J13" s="42"/>
      <c r="K13" s="42"/>
      <c r="L13" s="30"/>
    </row>
    <row r="14" spans="1:12" ht="15.6" x14ac:dyDescent="0.25">
      <c r="A14" s="30"/>
      <c r="B14" s="30"/>
      <c r="C14" s="30"/>
      <c r="D14" s="30"/>
      <c r="E14" s="30" t="str">
        <f t="shared" si="0"/>
        <v/>
      </c>
      <c r="F14" s="30" t="str">
        <f t="shared" ref="F14:F17" si="7">IFERROR(E14/D14, "")</f>
        <v/>
      </c>
      <c r="G14" s="30"/>
      <c r="H14" s="30" t="str">
        <f t="shared" si="1"/>
        <v/>
      </c>
      <c r="I14" s="30" t="str">
        <f t="shared" si="2"/>
        <v/>
      </c>
      <c r="J14" s="30"/>
      <c r="K14" s="30"/>
      <c r="L14" s="30"/>
    </row>
    <row r="15" spans="1:12" ht="15.6" x14ac:dyDescent="0.25">
      <c r="A15" s="30"/>
      <c r="B15" s="30"/>
      <c r="C15" s="30"/>
      <c r="D15" s="30"/>
      <c r="E15" s="30" t="str">
        <f t="shared" si="0"/>
        <v/>
      </c>
      <c r="F15" s="30" t="str">
        <f t="shared" si="7"/>
        <v/>
      </c>
      <c r="G15" s="30"/>
      <c r="H15" s="30" t="str">
        <f t="shared" si="1"/>
        <v/>
      </c>
      <c r="I15" s="30" t="str">
        <f t="shared" si="2"/>
        <v/>
      </c>
      <c r="J15" s="30"/>
      <c r="K15" s="30"/>
      <c r="L15" s="30"/>
    </row>
    <row r="16" spans="1:12" ht="15.6" x14ac:dyDescent="0.25">
      <c r="A16" s="30"/>
      <c r="B16" s="30"/>
      <c r="C16" s="30"/>
      <c r="D16" s="30"/>
      <c r="E16" s="30" t="str">
        <f t="shared" si="0"/>
        <v/>
      </c>
      <c r="F16" s="30" t="str">
        <f t="shared" si="7"/>
        <v/>
      </c>
      <c r="G16" s="30"/>
      <c r="H16" s="30" t="str">
        <f t="shared" si="1"/>
        <v/>
      </c>
      <c r="I16" s="30" t="str">
        <f t="shared" si="2"/>
        <v/>
      </c>
      <c r="J16" s="30"/>
      <c r="K16" s="30"/>
      <c r="L16" s="30"/>
    </row>
    <row r="17" spans="1:12" ht="15.6" x14ac:dyDescent="0.25">
      <c r="A17" s="30"/>
      <c r="B17" s="30"/>
      <c r="C17" s="30"/>
      <c r="D17" s="30"/>
      <c r="E17" s="30" t="str">
        <f t="shared" si="0"/>
        <v/>
      </c>
      <c r="F17" s="30" t="str">
        <f t="shared" si="7"/>
        <v/>
      </c>
      <c r="G17" s="30"/>
      <c r="H17" s="30" t="str">
        <f t="shared" si="1"/>
        <v/>
      </c>
      <c r="I17" s="30" t="str">
        <f t="shared" si="2"/>
        <v/>
      </c>
      <c r="J17" s="30"/>
      <c r="K17" s="30"/>
      <c r="L17" s="30"/>
    </row>
    <row r="18" spans="1:12" ht="12.75" customHeight="1" x14ac:dyDescent="0.25">
      <c r="A18" s="30"/>
      <c r="B18" s="30"/>
      <c r="C18" s="30"/>
      <c r="D18" s="30"/>
      <c r="E18" s="30"/>
      <c r="F18" s="30"/>
      <c r="G18" s="30"/>
      <c r="H18" s="30"/>
      <c r="I18" s="30"/>
      <c r="J18" s="30"/>
      <c r="K18" s="30"/>
      <c r="L18" s="30"/>
    </row>
    <row r="19" spans="1:12" ht="15.6" x14ac:dyDescent="0.25">
      <c r="A19" s="30"/>
      <c r="B19" s="30"/>
      <c r="C19" s="30"/>
      <c r="D19" s="30"/>
      <c r="E19" s="30"/>
      <c r="F19" s="30"/>
      <c r="G19" s="30"/>
      <c r="H19" s="30"/>
      <c r="I19" s="30"/>
      <c r="J19" s="30"/>
      <c r="K19" s="30"/>
      <c r="L19" s="30"/>
    </row>
    <row r="20" spans="1:12" ht="15.6" x14ac:dyDescent="0.25">
      <c r="A20" s="30"/>
      <c r="B20" s="30"/>
      <c r="C20" s="30"/>
      <c r="D20" s="30"/>
      <c r="E20" s="30"/>
      <c r="F20" s="30"/>
      <c r="G20" s="30"/>
      <c r="H20" s="30"/>
      <c r="I20" s="30"/>
      <c r="J20" s="30"/>
      <c r="K20" s="30"/>
      <c r="L20" s="30"/>
    </row>
    <row r="21" spans="1:12" ht="15.6" x14ac:dyDescent="0.25">
      <c r="A21" s="30"/>
      <c r="B21" s="30"/>
      <c r="C21" s="30"/>
      <c r="D21" s="30"/>
      <c r="E21" s="30"/>
      <c r="F21" s="30"/>
      <c r="G21" s="30"/>
      <c r="H21" s="30"/>
      <c r="I21" s="30"/>
      <c r="J21" s="30"/>
      <c r="K21" s="30"/>
      <c r="L21" s="30"/>
    </row>
    <row r="22" spans="1:12" ht="15.6" x14ac:dyDescent="0.25">
      <c r="A22" s="30"/>
      <c r="B22" s="30"/>
      <c r="C22" s="30"/>
      <c r="D22" s="30"/>
      <c r="E22" s="30"/>
      <c r="F22" s="30"/>
      <c r="G22" s="30"/>
      <c r="H22" s="30"/>
      <c r="I22" s="30"/>
      <c r="J22" s="30"/>
      <c r="K22" s="30"/>
      <c r="L22" s="30"/>
    </row>
    <row r="23" spans="1:12" ht="15.6" x14ac:dyDescent="0.25">
      <c r="A23" s="30"/>
      <c r="B23" s="30"/>
      <c r="C23" s="30"/>
      <c r="D23" s="30"/>
      <c r="E23" s="30"/>
      <c r="F23" s="30"/>
      <c r="G23" s="30"/>
      <c r="H23" s="30"/>
      <c r="I23" s="30"/>
      <c r="J23" s="30"/>
      <c r="K23" s="30"/>
      <c r="L23" s="30"/>
    </row>
    <row r="24" spans="1:12" ht="14.4" x14ac:dyDescent="0.3">
      <c r="A24" s="22"/>
      <c r="B24" s="33"/>
      <c r="C24" s="22"/>
      <c r="D24" s="22"/>
      <c r="E24" s="22"/>
      <c r="F24" s="22"/>
      <c r="G24" s="22"/>
      <c r="H24" s="22"/>
      <c r="I24" s="22"/>
      <c r="J24" s="22"/>
      <c r="K24" s="22"/>
    </row>
    <row r="25" spans="1:12" ht="14.4" x14ac:dyDescent="0.3">
      <c r="A25" s="22"/>
      <c r="B25" s="33"/>
      <c r="C25" s="22"/>
      <c r="D25" s="22"/>
      <c r="E25" s="22"/>
      <c r="F25" s="22"/>
      <c r="G25" s="22"/>
      <c r="H25" s="22"/>
      <c r="I25" s="22"/>
      <c r="J25" s="22"/>
      <c r="K25" s="22"/>
    </row>
    <row r="26" spans="1:12" ht="14.4" x14ac:dyDescent="0.3">
      <c r="A26" s="22"/>
      <c r="B26" s="33"/>
      <c r="C26" s="22"/>
      <c r="D26" s="22"/>
      <c r="E26" s="22"/>
      <c r="F26" s="22"/>
      <c r="G26" s="22"/>
      <c r="H26" s="22"/>
      <c r="I26" s="22"/>
      <c r="J26" s="22"/>
      <c r="K26" s="22"/>
    </row>
    <row r="27" spans="1:12" ht="14.4" x14ac:dyDescent="0.3">
      <c r="A27" s="22"/>
      <c r="B27" s="33"/>
      <c r="C27" s="22"/>
      <c r="D27" s="22"/>
      <c r="E27" s="22"/>
      <c r="F27" s="22"/>
      <c r="G27" s="22"/>
      <c r="H27" s="22"/>
      <c r="I27" s="22"/>
      <c r="J27" s="22"/>
      <c r="K27" s="22"/>
    </row>
    <row r="28" spans="1:12" ht="14.4" x14ac:dyDescent="0.3">
      <c r="A28" s="22"/>
      <c r="B28" s="33"/>
      <c r="C28" s="22"/>
      <c r="D28" s="22"/>
      <c r="E28" s="22"/>
      <c r="F28" s="22"/>
      <c r="G28" s="22"/>
      <c r="H28" s="22"/>
      <c r="I28" s="22"/>
      <c r="J28" s="22"/>
      <c r="K28" s="22"/>
    </row>
    <row r="29" spans="1:12" ht="14.4" x14ac:dyDescent="0.3">
      <c r="A29" s="22"/>
      <c r="B29" s="33"/>
      <c r="C29" s="22"/>
      <c r="D29" s="22"/>
      <c r="E29" s="22"/>
      <c r="F29" s="22"/>
      <c r="G29" s="22"/>
      <c r="H29" s="22"/>
      <c r="I29" s="22"/>
      <c r="J29" s="22"/>
      <c r="K29" s="22"/>
    </row>
    <row r="30" spans="1:12" ht="14.4" x14ac:dyDescent="0.3">
      <c r="A30" s="22"/>
      <c r="B30" s="33"/>
      <c r="C30" s="22"/>
      <c r="D30" s="22"/>
      <c r="E30" s="22"/>
      <c r="F30" s="22"/>
      <c r="G30" s="22"/>
      <c r="H30" s="22"/>
      <c r="I30" s="22"/>
      <c r="J30" s="22"/>
      <c r="K30" s="22"/>
    </row>
    <row r="31" spans="1:12" ht="14.4" x14ac:dyDescent="0.3">
      <c r="A31" s="22"/>
      <c r="B31" s="33"/>
      <c r="C31" s="22"/>
      <c r="D31" s="22"/>
      <c r="E31" s="22"/>
      <c r="F31" s="22"/>
      <c r="G31" s="22"/>
      <c r="H31" s="22"/>
      <c r="I31" s="22"/>
      <c r="J31" s="22"/>
      <c r="K31" s="22"/>
    </row>
    <row r="32" spans="1:12"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7" priority="3" stopIfTrue="1" operator="lessThanOrEqual">
      <formula>-0.1</formula>
    </cfRule>
    <cfRule type="expression" dxfId="6" priority="4">
      <formula>AND(ISNUMBER(F2), F2&gt;=0.1)</formula>
    </cfRule>
  </conditionalFormatting>
  <conditionalFormatting sqref="F4:F100 I4:I100">
    <cfRule type="cellIs" dxfId="5" priority="1" stopIfTrue="1" operator="lessThanOrEqual">
      <formula>-0.1</formula>
    </cfRule>
    <cfRule type="expression" dxfId="4"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N342"/>
  <sheetViews>
    <sheetView zoomScale="80" zoomScaleNormal="80" workbookViewId="0">
      <pane xSplit="2" ySplit="3" topLeftCell="D4" activePane="bottomRight" state="frozen"/>
      <selection pane="topRight" activeCell="D13" sqref="D13"/>
      <selection pane="bottomLeft" activeCell="D13" sqref="D13"/>
      <selection pane="bottomRight" activeCell="D13" sqref="D13"/>
    </sheetView>
  </sheetViews>
  <sheetFormatPr defaultRowHeight="13.8" x14ac:dyDescent="0.25"/>
  <cols>
    <col min="1" max="1" width="35.88671875" bestFit="1" customWidth="1"/>
    <col min="2" max="2" width="8.44140625" style="34" customWidth="1"/>
    <col min="3" max="3" width="11.6640625" customWidth="1"/>
    <col min="4" max="5" width="13.33203125" customWidth="1"/>
    <col min="6" max="6" width="13.33203125" style="1" customWidth="1"/>
    <col min="7" max="8" width="13.33203125" customWidth="1"/>
    <col min="9" max="9" width="13.33203125" style="1" customWidth="1"/>
    <col min="10" max="10" width="71.5546875" customWidth="1"/>
    <col min="11" max="11" width="20.5546875" bestFit="1" customWidth="1"/>
  </cols>
  <sheetData>
    <row r="1" spans="1:14" ht="19.5" customHeight="1" x14ac:dyDescent="0.25">
      <c r="A1" s="75" t="str" cm="1">
        <f t="array" ref="A1">portfolio</f>
        <v>Tortoise</v>
      </c>
      <c r="B1" s="75"/>
      <c r="C1" s="75"/>
      <c r="D1" s="76" t="s">
        <v>160</v>
      </c>
      <c r="E1" s="76"/>
      <c r="F1" s="76"/>
      <c r="G1" s="74" t="s">
        <v>161</v>
      </c>
      <c r="H1" s="74"/>
      <c r="I1" s="74"/>
      <c r="J1" s="5"/>
      <c r="K1" s="5"/>
    </row>
    <row r="2" spans="1:14" ht="19.5" customHeight="1" x14ac:dyDescent="0.25">
      <c r="A2" s="77" t="s">
        <v>2</v>
      </c>
      <c r="B2" s="77"/>
      <c r="C2" s="6">
        <f>SUM(C4:C100)</f>
        <v>0</v>
      </c>
      <c r="D2" s="6">
        <f>SUM(D4:D100)</f>
        <v>0</v>
      </c>
      <c r="E2" s="6">
        <f>C2-D2</f>
        <v>0</v>
      </c>
      <c r="F2" s="7">
        <f>IFERROR(E2/D2, 0)</f>
        <v>0</v>
      </c>
      <c r="G2" s="6">
        <f>SUM(G4:G100)</f>
        <v>0</v>
      </c>
      <c r="H2" s="8">
        <f>C2-G2</f>
        <v>0</v>
      </c>
      <c r="I2" s="7">
        <f>IFERROR(H2/G2, 0)</f>
        <v>0</v>
      </c>
      <c r="J2" s="27"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5"/>
    </row>
    <row r="3" spans="1:14" ht="14.25" customHeight="1" x14ac:dyDescent="0.25">
      <c r="A3" s="9" t="s">
        <v>3</v>
      </c>
      <c r="B3" s="9" t="s">
        <v>4</v>
      </c>
      <c r="C3" s="24" t="s">
        <v>5</v>
      </c>
      <c r="D3" s="35" t="s">
        <v>6</v>
      </c>
      <c r="E3" s="35" t="s">
        <v>7</v>
      </c>
      <c r="F3" s="36" t="s">
        <v>8</v>
      </c>
      <c r="G3" s="37" t="s">
        <v>9</v>
      </c>
      <c r="H3" s="38" t="s">
        <v>7</v>
      </c>
      <c r="I3" s="39" t="s">
        <v>8</v>
      </c>
      <c r="J3" s="26" t="s">
        <v>20</v>
      </c>
      <c r="K3" s="26" t="s">
        <v>21</v>
      </c>
    </row>
    <row r="4" spans="1:14" ht="24.75" customHeight="1" x14ac:dyDescent="0.3">
      <c r="A4" s="32" t="str" cm="1">
        <f t="array" ref="A4:A13">Sites[Site]</f>
        <v>Alamosa School District</v>
      </c>
      <c r="B4" s="29" t="str" cm="1">
        <f t="array" ref="B4:B13">Sites[State]</f>
        <v>CO</v>
      </c>
      <c r="C4" s="25"/>
      <c r="D4" s="14"/>
      <c r="E4" s="14" t="str">
        <f>IF(AND(ISNUMBER(C4),ISNUMBER(D4)), C4-D4, "")</f>
        <v/>
      </c>
      <c r="F4" s="15" t="str">
        <f>IFERROR(E4/D4, "")</f>
        <v/>
      </c>
      <c r="G4" s="16"/>
      <c r="H4" s="16" t="str">
        <f>IF(AND(ISNUMBER(C4),ISNUMBER(G4)), C4-G4, "")</f>
        <v/>
      </c>
      <c r="I4" s="17" t="str">
        <f>IFERROR(H4/G4, "")</f>
        <v/>
      </c>
      <c r="J4" s="50"/>
      <c r="K4" s="50"/>
    </row>
    <row r="5" spans="1:14" ht="15.6" x14ac:dyDescent="0.25">
      <c r="A5" s="30" t="str">
        <v>San Luis Valley</v>
      </c>
      <c r="B5" s="31" t="str">
        <v>CO</v>
      </c>
      <c r="C5" s="12"/>
      <c r="D5" s="19"/>
      <c r="E5" s="19" t="str">
        <f t="shared" ref="E5:E17" si="0">IF(AND(ISNUMBER(C5),ISNUMBER(D5)), C5-D5, "")</f>
        <v/>
      </c>
      <c r="F5" s="20" t="str">
        <f>IFERROR(E5/D5, "")</f>
        <v/>
      </c>
      <c r="G5" s="21"/>
      <c r="H5" s="21" t="str">
        <f t="shared" ref="H5:H17" si="1">IF(AND(ISNUMBER(C5),ISNUMBER(G5)), C5-G5, "")</f>
        <v/>
      </c>
      <c r="I5" s="20" t="str">
        <f t="shared" ref="I5:I17" si="2">IFERROR(H5/G5, "")</f>
        <v/>
      </c>
      <c r="J5" s="48"/>
      <c r="K5" s="48"/>
    </row>
    <row r="6" spans="1:14" ht="15.6" x14ac:dyDescent="0.3">
      <c r="A6" s="32" t="str">
        <v>Golden NREL 2</v>
      </c>
      <c r="B6" s="29" t="str">
        <v>CO</v>
      </c>
      <c r="C6" s="25"/>
      <c r="D6" s="14"/>
      <c r="E6" s="14" t="str">
        <f t="shared" si="0"/>
        <v/>
      </c>
      <c r="F6" s="15" t="str">
        <f t="shared" ref="F6:F13" si="3">IFERROR(E6/D6, "")</f>
        <v/>
      </c>
      <c r="G6" s="16"/>
      <c r="H6" s="16" t="str">
        <f t="shared" si="1"/>
        <v/>
      </c>
      <c r="I6" s="17" t="str">
        <f t="shared" si="2"/>
        <v/>
      </c>
      <c r="J6" s="50"/>
      <c r="K6" s="50"/>
    </row>
    <row r="7" spans="1:14" ht="15.6" x14ac:dyDescent="0.25">
      <c r="A7" s="30" t="str">
        <v>Golden NREL Wind 3</v>
      </c>
      <c r="B7" s="31" t="str">
        <v>CO</v>
      </c>
      <c r="C7" s="12"/>
      <c r="D7" s="19"/>
      <c r="E7" s="19" t="str">
        <f t="shared" ref="E7:E13" si="4">IF(AND(ISNUMBER(C7),ISNUMBER(D7)), C7-D7, "")</f>
        <v/>
      </c>
      <c r="F7" s="20" t="str">
        <f t="shared" si="3"/>
        <v/>
      </c>
      <c r="G7" s="21"/>
      <c r="H7" s="21" t="str">
        <f t="shared" ref="H7:H13" si="5">IF(AND(ISNUMBER(C7),ISNUMBER(G7)), C7-G7, "")</f>
        <v/>
      </c>
      <c r="I7" s="20" t="str">
        <f t="shared" ref="I7:I13" si="6">IFERROR(H7/G7, "")</f>
        <v/>
      </c>
      <c r="J7" s="48"/>
      <c r="K7" s="48"/>
    </row>
    <row r="8" spans="1:14" ht="15.6" x14ac:dyDescent="0.3">
      <c r="A8" s="32" t="str">
        <v>Pratt Solar Farm</v>
      </c>
      <c r="B8" s="29" t="str">
        <v>KS</v>
      </c>
      <c r="C8" s="25"/>
      <c r="D8" s="14"/>
      <c r="E8" s="14" t="str">
        <f t="shared" si="4"/>
        <v/>
      </c>
      <c r="F8" s="15" t="str">
        <f t="shared" si="3"/>
        <v/>
      </c>
      <c r="G8" s="16"/>
      <c r="H8" s="16" t="str">
        <f t="shared" si="5"/>
        <v/>
      </c>
      <c r="I8" s="17" t="str">
        <f t="shared" si="6"/>
        <v/>
      </c>
      <c r="J8" s="50"/>
      <c r="K8" s="50"/>
    </row>
    <row r="9" spans="1:14" ht="15.6" x14ac:dyDescent="0.3">
      <c r="A9" s="30" t="str">
        <v>Rochester - 5516 Valleyhigh NW</v>
      </c>
      <c r="B9" s="31" t="str">
        <v>MN</v>
      </c>
      <c r="C9" s="12"/>
      <c r="D9" s="19"/>
      <c r="E9" s="19" t="str">
        <f t="shared" si="4"/>
        <v/>
      </c>
      <c r="F9" s="20" t="str">
        <f t="shared" si="3"/>
        <v/>
      </c>
      <c r="G9" s="21"/>
      <c r="H9" s="21" t="str">
        <f t="shared" si="5"/>
        <v/>
      </c>
      <c r="I9" s="20" t="str">
        <f t="shared" si="6"/>
        <v/>
      </c>
      <c r="J9" s="48"/>
      <c r="K9" s="48"/>
      <c r="L9" s="22"/>
      <c r="M9" s="22"/>
      <c r="N9" s="22"/>
    </row>
    <row r="10" spans="1:14" ht="15.6" x14ac:dyDescent="0.3">
      <c r="A10" s="32" t="str">
        <v>Warsaw - 2201 Richmond</v>
      </c>
      <c r="B10" s="29" t="str">
        <v>VA</v>
      </c>
      <c r="C10" s="25"/>
      <c r="D10" s="14"/>
      <c r="E10" s="14" t="str">
        <f t="shared" si="4"/>
        <v/>
      </c>
      <c r="F10" s="15" t="str">
        <f t="shared" si="3"/>
        <v/>
      </c>
      <c r="G10" s="16"/>
      <c r="H10" s="16" t="str">
        <f t="shared" si="5"/>
        <v/>
      </c>
      <c r="I10" s="17" t="str">
        <f t="shared" si="6"/>
        <v/>
      </c>
      <c r="J10" s="50"/>
      <c r="K10" s="50"/>
      <c r="L10" s="22"/>
      <c r="M10" s="22"/>
      <c r="N10" s="22"/>
    </row>
    <row r="11" spans="1:14" ht="15.6" x14ac:dyDescent="0.3">
      <c r="A11" s="30" t="str">
        <v>Mount Jackson - Randolf</v>
      </c>
      <c r="B11" s="31" t="str">
        <v>VA</v>
      </c>
      <c r="C11" s="12"/>
      <c r="D11" s="19"/>
      <c r="E11" s="19" t="str">
        <f t="shared" si="4"/>
        <v/>
      </c>
      <c r="F11" s="20" t="str">
        <f t="shared" si="3"/>
        <v/>
      </c>
      <c r="G11" s="21"/>
      <c r="H11" s="21" t="str">
        <f t="shared" si="5"/>
        <v/>
      </c>
      <c r="I11" s="20" t="str">
        <f t="shared" si="6"/>
        <v/>
      </c>
      <c r="J11" s="48"/>
      <c r="K11" s="48"/>
      <c r="L11" s="22"/>
      <c r="M11" s="22"/>
      <c r="N11" s="22"/>
    </row>
    <row r="12" spans="1:14" ht="15.6" x14ac:dyDescent="0.3">
      <c r="A12" s="32" t="str">
        <v>Callands Gretna - Monroe</v>
      </c>
      <c r="B12" s="29" t="str">
        <v>VA</v>
      </c>
      <c r="C12" s="25"/>
      <c r="D12" s="14"/>
      <c r="E12" s="14" t="str">
        <f t="shared" si="4"/>
        <v/>
      </c>
      <c r="F12" s="15" t="str">
        <f t="shared" si="3"/>
        <v/>
      </c>
      <c r="G12" s="16"/>
      <c r="H12" s="16" t="str">
        <f t="shared" si="5"/>
        <v/>
      </c>
      <c r="I12" s="17" t="str">
        <f t="shared" si="6"/>
        <v/>
      </c>
      <c r="J12" s="50"/>
      <c r="K12" s="50"/>
      <c r="L12" s="22"/>
      <c r="M12" s="22"/>
      <c r="N12" s="22"/>
    </row>
    <row r="13" spans="1:14" ht="15.6" x14ac:dyDescent="0.3">
      <c r="A13" s="30" t="str">
        <v>Rockbridge Baths - Small Mouth Bass</v>
      </c>
      <c r="B13" s="31" t="str">
        <v>VA</v>
      </c>
      <c r="C13" s="12"/>
      <c r="D13" s="19"/>
      <c r="E13" s="19" t="str">
        <f t="shared" si="4"/>
        <v/>
      </c>
      <c r="F13" s="20" t="str">
        <f t="shared" si="3"/>
        <v/>
      </c>
      <c r="G13" s="21"/>
      <c r="H13" s="21" t="str">
        <f t="shared" si="5"/>
        <v/>
      </c>
      <c r="I13" s="20" t="str">
        <f t="shared" si="6"/>
        <v/>
      </c>
      <c r="J13" s="48"/>
      <c r="K13" s="48"/>
      <c r="L13" s="22"/>
      <c r="M13" s="22"/>
      <c r="N13" s="22"/>
    </row>
    <row r="14" spans="1:14" x14ac:dyDescent="0.3">
      <c r="A14" s="22"/>
      <c r="B14" s="22"/>
      <c r="C14" s="22"/>
      <c r="D14" s="22"/>
      <c r="E14" s="22" t="str">
        <f t="shared" si="0"/>
        <v/>
      </c>
      <c r="F14" s="22" t="str">
        <f t="shared" ref="F14:F17" si="7">IFERROR(E14/D14, "")</f>
        <v/>
      </c>
      <c r="G14" s="22"/>
      <c r="H14" s="22" t="str">
        <f t="shared" si="1"/>
        <v/>
      </c>
      <c r="I14" s="22" t="str">
        <f t="shared" si="2"/>
        <v/>
      </c>
      <c r="J14" s="22"/>
      <c r="K14" s="22"/>
      <c r="L14" s="22"/>
      <c r="M14" s="22"/>
      <c r="N14" s="22"/>
    </row>
    <row r="15" spans="1:14" x14ac:dyDescent="0.3">
      <c r="A15" s="22"/>
      <c r="B15" s="22"/>
      <c r="C15" s="22"/>
      <c r="D15" s="22"/>
      <c r="E15" s="22" t="str">
        <f t="shared" si="0"/>
        <v/>
      </c>
      <c r="F15" s="22" t="str">
        <f t="shared" si="7"/>
        <v/>
      </c>
      <c r="G15" s="22"/>
      <c r="H15" s="22" t="str">
        <f t="shared" si="1"/>
        <v/>
      </c>
      <c r="I15" s="22" t="str">
        <f t="shared" si="2"/>
        <v/>
      </c>
      <c r="J15" s="22"/>
      <c r="K15" s="22"/>
      <c r="L15" s="22"/>
      <c r="M15" s="22"/>
      <c r="N15" s="22"/>
    </row>
    <row r="16" spans="1:14" x14ac:dyDescent="0.3">
      <c r="A16" s="22"/>
      <c r="B16" s="22"/>
      <c r="C16" s="22"/>
      <c r="D16" s="22"/>
      <c r="E16" s="22" t="str">
        <f t="shared" si="0"/>
        <v/>
      </c>
      <c r="F16" s="22" t="str">
        <f t="shared" si="7"/>
        <v/>
      </c>
      <c r="G16" s="22"/>
      <c r="H16" s="22" t="str">
        <f t="shared" si="1"/>
        <v/>
      </c>
      <c r="I16" s="22" t="str">
        <f t="shared" si="2"/>
        <v/>
      </c>
      <c r="J16" s="22"/>
      <c r="K16" s="22"/>
      <c r="L16" s="22"/>
      <c r="M16" s="22"/>
      <c r="N16" s="22"/>
    </row>
    <row r="17" spans="1:14" x14ac:dyDescent="0.3">
      <c r="A17" s="22"/>
      <c r="B17" s="22"/>
      <c r="C17" s="22"/>
      <c r="D17" s="22"/>
      <c r="E17" s="22" t="str">
        <f t="shared" si="0"/>
        <v/>
      </c>
      <c r="F17" s="22" t="str">
        <f t="shared" si="7"/>
        <v/>
      </c>
      <c r="G17" s="22"/>
      <c r="H17" s="22" t="str">
        <f t="shared" si="1"/>
        <v/>
      </c>
      <c r="I17" s="22" t="str">
        <f t="shared" si="2"/>
        <v/>
      </c>
      <c r="J17" s="22"/>
      <c r="K17" s="22"/>
      <c r="L17" s="22"/>
      <c r="M17" s="22"/>
      <c r="N17" s="22"/>
    </row>
    <row r="18" spans="1:14" ht="12.75" customHeight="1" x14ac:dyDescent="0.3">
      <c r="A18" s="22"/>
      <c r="B18" s="22"/>
      <c r="C18" s="22"/>
      <c r="D18" s="22"/>
      <c r="E18" s="22"/>
      <c r="F18" s="22"/>
      <c r="G18" s="22"/>
      <c r="H18" s="22"/>
      <c r="I18" s="22"/>
      <c r="J18" s="22"/>
      <c r="K18" s="22"/>
      <c r="L18" s="22"/>
      <c r="M18" s="22"/>
      <c r="N18" s="22"/>
    </row>
    <row r="19" spans="1:14" x14ac:dyDescent="0.3">
      <c r="A19" s="22"/>
      <c r="B19" s="22"/>
      <c r="C19" s="22"/>
      <c r="D19" s="22"/>
      <c r="E19" s="22"/>
      <c r="F19" s="22"/>
      <c r="G19" s="22"/>
      <c r="H19" s="22"/>
      <c r="I19" s="22"/>
      <c r="J19" s="22"/>
      <c r="K19" s="22"/>
      <c r="L19" s="22"/>
      <c r="M19" s="22"/>
      <c r="N19" s="22"/>
    </row>
    <row r="20" spans="1:14" ht="14.4" x14ac:dyDescent="0.3">
      <c r="A20" s="22"/>
      <c r="B20" s="33"/>
      <c r="C20" s="22"/>
      <c r="D20" s="22"/>
      <c r="E20" s="22"/>
      <c r="F20" s="22"/>
      <c r="G20" s="22"/>
      <c r="H20" s="22"/>
      <c r="I20" s="22"/>
      <c r="J20" s="22"/>
      <c r="K20" s="22"/>
    </row>
    <row r="21" spans="1:14" ht="14.4" x14ac:dyDescent="0.3">
      <c r="A21" s="22"/>
      <c r="B21" s="33"/>
      <c r="C21" s="22"/>
      <c r="D21" s="22"/>
      <c r="E21" s="22"/>
      <c r="F21" s="22"/>
      <c r="G21" s="22"/>
      <c r="H21" s="22"/>
      <c r="I21" s="22"/>
      <c r="J21" s="22"/>
      <c r="K21" s="22"/>
    </row>
    <row r="22" spans="1:14" ht="14.4" x14ac:dyDescent="0.3">
      <c r="A22" s="22"/>
      <c r="B22" s="33"/>
      <c r="C22" s="22"/>
      <c r="D22" s="22"/>
      <c r="E22" s="22"/>
      <c r="F22" s="22"/>
      <c r="G22" s="22"/>
      <c r="H22" s="22"/>
      <c r="I22" s="22"/>
      <c r="J22" s="22"/>
      <c r="K22" s="22"/>
    </row>
    <row r="23" spans="1:14" ht="14.4" x14ac:dyDescent="0.3">
      <c r="A23" s="22"/>
      <c r="B23" s="33"/>
      <c r="C23" s="22"/>
      <c r="D23" s="22"/>
      <c r="E23" s="22"/>
      <c r="F23" s="22"/>
      <c r="G23" s="22"/>
      <c r="H23" s="22"/>
      <c r="I23" s="22"/>
      <c r="J23" s="22"/>
      <c r="K23" s="22"/>
    </row>
    <row r="24" spans="1:14" ht="14.4" x14ac:dyDescent="0.3">
      <c r="A24" s="22"/>
      <c r="B24" s="33"/>
      <c r="C24" s="22"/>
      <c r="D24" s="22"/>
      <c r="E24" s="22"/>
      <c r="F24" s="22"/>
      <c r="G24" s="22"/>
      <c r="H24" s="22"/>
      <c r="I24" s="22"/>
      <c r="J24" s="22"/>
      <c r="K24" s="22"/>
    </row>
    <row r="25" spans="1:14" ht="14.4" x14ac:dyDescent="0.3">
      <c r="A25" s="22"/>
      <c r="B25" s="33"/>
      <c r="C25" s="22"/>
      <c r="D25" s="22"/>
      <c r="E25" s="22"/>
      <c r="F25" s="22"/>
      <c r="G25" s="22"/>
      <c r="H25" s="22"/>
      <c r="I25" s="22"/>
      <c r="J25" s="22"/>
      <c r="K25" s="22"/>
    </row>
    <row r="26" spans="1:14" ht="14.4" x14ac:dyDescent="0.3">
      <c r="A26" s="22"/>
      <c r="B26" s="33"/>
      <c r="C26" s="22"/>
      <c r="D26" s="22"/>
      <c r="E26" s="22"/>
      <c r="F26" s="22"/>
      <c r="G26" s="22"/>
      <c r="H26" s="22"/>
      <c r="I26" s="22"/>
      <c r="J26" s="22"/>
      <c r="K26" s="22"/>
    </row>
    <row r="27" spans="1:14" ht="14.4" x14ac:dyDescent="0.3">
      <c r="A27" s="22"/>
      <c r="B27" s="33"/>
      <c r="C27" s="22"/>
      <c r="D27" s="22"/>
      <c r="E27" s="22"/>
      <c r="F27" s="22"/>
      <c r="G27" s="22"/>
      <c r="H27" s="22"/>
      <c r="I27" s="22"/>
      <c r="J27" s="22"/>
      <c r="K27" s="22"/>
    </row>
    <row r="28" spans="1:14" ht="14.4" x14ac:dyDescent="0.3">
      <c r="A28" s="22"/>
      <c r="B28" s="33"/>
      <c r="C28" s="22"/>
      <c r="D28" s="22"/>
      <c r="E28" s="22"/>
      <c r="F28" s="22"/>
      <c r="G28" s="22"/>
      <c r="H28" s="22"/>
      <c r="I28" s="22"/>
      <c r="J28" s="22"/>
      <c r="K28" s="22"/>
    </row>
    <row r="29" spans="1:14" ht="14.4" x14ac:dyDescent="0.3">
      <c r="A29" s="22"/>
      <c r="B29" s="33"/>
      <c r="C29" s="22"/>
      <c r="D29" s="22"/>
      <c r="E29" s="22"/>
      <c r="F29" s="22"/>
      <c r="G29" s="22"/>
      <c r="H29" s="22"/>
      <c r="I29" s="22"/>
      <c r="J29" s="22"/>
      <c r="K29" s="22"/>
    </row>
    <row r="30" spans="1:14" ht="14.4" x14ac:dyDescent="0.3">
      <c r="A30" s="22"/>
      <c r="B30" s="33"/>
      <c r="C30" s="22"/>
      <c r="D30" s="22"/>
      <c r="E30" s="22"/>
      <c r="F30" s="22"/>
      <c r="G30" s="22"/>
      <c r="H30" s="22"/>
      <c r="I30" s="22"/>
      <c r="J30" s="22"/>
      <c r="K30" s="22"/>
    </row>
    <row r="31" spans="1:14" ht="14.4" x14ac:dyDescent="0.3">
      <c r="A31" s="22"/>
      <c r="B31" s="33"/>
      <c r="C31" s="22"/>
      <c r="D31" s="22"/>
      <c r="E31" s="22"/>
      <c r="F31" s="22"/>
      <c r="G31" s="22"/>
      <c r="H31" s="22"/>
      <c r="I31" s="22"/>
      <c r="J31" s="22"/>
      <c r="K31" s="22"/>
    </row>
    <row r="32" spans="1:14" ht="14.4" x14ac:dyDescent="0.3">
      <c r="A32" s="22"/>
      <c r="B32" s="33"/>
      <c r="C32" s="22"/>
      <c r="D32" s="22"/>
      <c r="E32" s="22"/>
      <c r="F32" s="22"/>
      <c r="G32" s="22"/>
      <c r="H32" s="22"/>
      <c r="I32" s="22"/>
      <c r="J32" s="22"/>
      <c r="K32" s="22"/>
    </row>
    <row r="33" spans="1:11" ht="14.4" x14ac:dyDescent="0.3">
      <c r="A33" s="22"/>
      <c r="B33" s="33"/>
      <c r="C33" s="22"/>
      <c r="D33" s="22"/>
      <c r="E33" s="22"/>
      <c r="F33" s="23"/>
      <c r="G33" s="22"/>
      <c r="H33" s="22"/>
      <c r="I33" s="23"/>
      <c r="J33" s="22"/>
      <c r="K33" s="22"/>
    </row>
    <row r="34" spans="1:11" ht="14.4" x14ac:dyDescent="0.3">
      <c r="A34" s="22"/>
      <c r="B34" s="33"/>
      <c r="C34" s="22"/>
      <c r="D34" s="22"/>
      <c r="E34" s="22"/>
      <c r="F34" s="23"/>
      <c r="G34" s="22"/>
      <c r="H34" s="22"/>
      <c r="I34" s="23"/>
      <c r="J34" s="22"/>
      <c r="K34" s="22"/>
    </row>
    <row r="35" spans="1:11" ht="14.4" x14ac:dyDescent="0.3">
      <c r="A35" s="22"/>
      <c r="B35" s="33"/>
      <c r="C35" s="22"/>
      <c r="D35" s="22"/>
      <c r="E35" s="22"/>
      <c r="F35" s="23"/>
      <c r="G35" s="22"/>
      <c r="H35" s="22"/>
      <c r="I35" s="23"/>
      <c r="J35" s="22"/>
      <c r="K35" s="22"/>
    </row>
    <row r="36" spans="1:11" ht="14.4" x14ac:dyDescent="0.3">
      <c r="A36" s="22"/>
      <c r="B36" s="33"/>
      <c r="C36" s="22"/>
      <c r="D36" s="22"/>
      <c r="E36" s="22"/>
      <c r="F36" s="23"/>
      <c r="G36" s="22"/>
      <c r="H36" s="22"/>
      <c r="I36" s="23"/>
      <c r="J36" s="22"/>
      <c r="K36" s="22"/>
    </row>
    <row r="37" spans="1:11" ht="14.4" x14ac:dyDescent="0.3">
      <c r="A37" s="22"/>
      <c r="B37" s="33"/>
      <c r="C37" s="22"/>
      <c r="D37" s="22"/>
      <c r="E37" s="22"/>
      <c r="F37" s="23"/>
      <c r="G37" s="22"/>
      <c r="H37" s="22"/>
      <c r="I37" s="23"/>
      <c r="J37" s="22"/>
      <c r="K37" s="22"/>
    </row>
    <row r="38" spans="1:11" ht="14.4" x14ac:dyDescent="0.3">
      <c r="A38" s="22"/>
      <c r="B38" s="33"/>
      <c r="C38" s="22"/>
      <c r="D38" s="22"/>
      <c r="E38" s="22"/>
      <c r="F38" s="23"/>
      <c r="G38" s="22"/>
      <c r="H38" s="22"/>
      <c r="I38" s="23"/>
      <c r="J38" s="22"/>
      <c r="K38" s="22"/>
    </row>
    <row r="39" spans="1:11" ht="14.4" x14ac:dyDescent="0.3">
      <c r="A39" s="22"/>
      <c r="B39" s="33"/>
      <c r="C39" s="22"/>
      <c r="D39" s="22"/>
      <c r="E39" s="22"/>
      <c r="F39" s="23"/>
      <c r="G39" s="22"/>
      <c r="H39" s="22"/>
      <c r="I39" s="23"/>
      <c r="J39" s="22"/>
      <c r="K39" s="22"/>
    </row>
    <row r="40" spans="1:11" ht="14.4" x14ac:dyDescent="0.3">
      <c r="A40" s="22"/>
      <c r="B40" s="33"/>
      <c r="C40" s="22"/>
      <c r="D40" s="22"/>
      <c r="E40" s="22"/>
      <c r="F40" s="23"/>
      <c r="G40" s="22"/>
      <c r="H40" s="22"/>
      <c r="I40" s="23"/>
      <c r="J40" s="22"/>
      <c r="K40" s="22"/>
    </row>
    <row r="41" spans="1:11" ht="14.4" x14ac:dyDescent="0.3">
      <c r="A41" s="22"/>
      <c r="B41" s="33"/>
      <c r="C41" s="22"/>
      <c r="D41" s="22"/>
      <c r="E41" s="22"/>
      <c r="F41" s="23"/>
      <c r="G41" s="22"/>
      <c r="H41" s="22"/>
      <c r="I41" s="23"/>
      <c r="J41" s="22"/>
      <c r="K41" s="22"/>
    </row>
    <row r="42" spans="1:11" ht="14.4" x14ac:dyDescent="0.3">
      <c r="A42" s="22"/>
      <c r="B42" s="33"/>
      <c r="C42" s="22"/>
      <c r="D42" s="22"/>
      <c r="E42" s="22"/>
      <c r="F42" s="23"/>
      <c r="G42" s="22"/>
      <c r="H42" s="22"/>
      <c r="I42" s="23"/>
      <c r="J42" s="22"/>
      <c r="K42" s="22"/>
    </row>
    <row r="43" spans="1:11" ht="14.4" x14ac:dyDescent="0.3">
      <c r="A43" s="22"/>
      <c r="B43" s="33"/>
      <c r="C43" s="22"/>
      <c r="D43" s="22"/>
      <c r="E43" s="22"/>
      <c r="F43" s="23"/>
      <c r="G43" s="22"/>
      <c r="H43" s="22"/>
      <c r="I43" s="23"/>
      <c r="J43" s="22"/>
      <c r="K43" s="22"/>
    </row>
    <row r="44" spans="1:11" ht="14.4" x14ac:dyDescent="0.3">
      <c r="A44" s="22"/>
      <c r="B44" s="33"/>
      <c r="C44" s="22"/>
      <c r="D44" s="22"/>
      <c r="E44" s="22"/>
      <c r="F44" s="23"/>
      <c r="G44" s="22"/>
      <c r="H44" s="22"/>
      <c r="I44" s="23"/>
      <c r="J44" s="22"/>
      <c r="K44" s="22"/>
    </row>
    <row r="45" spans="1:11" ht="14.4" x14ac:dyDescent="0.3">
      <c r="A45" s="22"/>
      <c r="B45" s="33"/>
      <c r="C45" s="22"/>
      <c r="D45" s="22"/>
      <c r="E45" s="22"/>
      <c r="F45" s="23"/>
      <c r="G45" s="22"/>
      <c r="H45" s="22"/>
      <c r="I45" s="23"/>
      <c r="J45" s="22"/>
      <c r="K45" s="22"/>
    </row>
    <row r="46" spans="1:11" ht="14.4" x14ac:dyDescent="0.3">
      <c r="A46" s="22"/>
      <c r="B46" s="33"/>
      <c r="C46" s="22"/>
      <c r="D46" s="22"/>
      <c r="E46" s="22"/>
      <c r="F46" s="23"/>
      <c r="G46" s="22"/>
      <c r="H46" s="22"/>
      <c r="I46" s="23"/>
      <c r="J46" s="22"/>
      <c r="K46" s="22"/>
    </row>
    <row r="47" spans="1:11" ht="14.4" x14ac:dyDescent="0.3">
      <c r="A47" s="22"/>
      <c r="B47" s="33"/>
      <c r="C47" s="22"/>
      <c r="D47" s="22"/>
      <c r="E47" s="22"/>
      <c r="F47" s="23"/>
      <c r="G47" s="22"/>
      <c r="H47" s="22"/>
      <c r="I47" s="23"/>
      <c r="J47" s="22"/>
      <c r="K47" s="22"/>
    </row>
    <row r="48" spans="1:11" ht="14.4" x14ac:dyDescent="0.3">
      <c r="A48" s="22"/>
      <c r="B48" s="33"/>
      <c r="C48" s="22"/>
      <c r="D48" s="22"/>
      <c r="E48" s="22"/>
      <c r="F48" s="23"/>
      <c r="G48" s="22"/>
      <c r="H48" s="22"/>
      <c r="I48" s="23"/>
      <c r="J48" s="22"/>
      <c r="K48" s="22"/>
    </row>
    <row r="49" spans="1:11" ht="14.4" x14ac:dyDescent="0.3">
      <c r="A49" s="22"/>
      <c r="B49" s="33"/>
      <c r="C49" s="22"/>
      <c r="D49" s="22"/>
      <c r="E49" s="22"/>
      <c r="F49" s="23"/>
      <c r="G49" s="22"/>
      <c r="H49" s="22"/>
      <c r="I49" s="23"/>
      <c r="J49" s="22"/>
      <c r="K49" s="22"/>
    </row>
    <row r="50" spans="1:11" ht="14.4" x14ac:dyDescent="0.3">
      <c r="A50" s="22"/>
      <c r="B50" s="33"/>
      <c r="C50" s="22"/>
      <c r="D50" s="22"/>
      <c r="E50" s="22"/>
      <c r="F50" s="23"/>
      <c r="G50" s="22"/>
      <c r="H50" s="22"/>
      <c r="I50" s="23"/>
      <c r="J50" s="22"/>
      <c r="K50" s="22"/>
    </row>
    <row r="51" spans="1:11" ht="14.4" x14ac:dyDescent="0.3">
      <c r="A51" s="22"/>
      <c r="B51" s="33"/>
      <c r="C51" s="22"/>
      <c r="D51" s="22"/>
      <c r="E51" s="22"/>
      <c r="F51" s="23"/>
      <c r="G51" s="22"/>
      <c r="H51" s="22"/>
      <c r="I51" s="23"/>
      <c r="J51" s="22"/>
      <c r="K51" s="22"/>
    </row>
    <row r="52" spans="1:11" ht="14.4" x14ac:dyDescent="0.3">
      <c r="A52" s="22"/>
      <c r="B52" s="33"/>
      <c r="C52" s="22"/>
      <c r="D52" s="22"/>
      <c r="E52" s="22"/>
      <c r="F52" s="23"/>
      <c r="G52" s="22"/>
      <c r="H52" s="22"/>
      <c r="I52" s="23"/>
      <c r="J52" s="22"/>
      <c r="K52" s="22"/>
    </row>
    <row r="53" spans="1:11" ht="14.4" x14ac:dyDescent="0.3">
      <c r="A53" s="22"/>
      <c r="B53" s="33"/>
      <c r="C53" s="22"/>
      <c r="D53" s="22"/>
      <c r="E53" s="22"/>
      <c r="F53" s="23"/>
      <c r="G53" s="22"/>
      <c r="H53" s="22"/>
      <c r="I53" s="23"/>
      <c r="J53" s="22"/>
      <c r="K53" s="22"/>
    </row>
    <row r="54" spans="1:11" ht="14.4" x14ac:dyDescent="0.3">
      <c r="A54" s="22"/>
      <c r="B54" s="33"/>
      <c r="C54" s="22"/>
      <c r="D54" s="22"/>
      <c r="E54" s="22"/>
      <c r="F54" s="23"/>
      <c r="G54" s="22"/>
      <c r="H54" s="22"/>
      <c r="I54" s="23"/>
      <c r="J54" s="22"/>
      <c r="K54" s="22"/>
    </row>
    <row r="55" spans="1:11" ht="14.4" x14ac:dyDescent="0.3">
      <c r="A55" s="22"/>
      <c r="B55" s="33"/>
      <c r="C55" s="22"/>
      <c r="D55" s="22"/>
      <c r="E55" s="22"/>
      <c r="F55" s="23"/>
      <c r="G55" s="22"/>
      <c r="H55" s="22"/>
      <c r="I55" s="23"/>
      <c r="J55" s="22"/>
      <c r="K55" s="22"/>
    </row>
    <row r="56" spans="1:11" ht="14.4" x14ac:dyDescent="0.3">
      <c r="A56" s="22"/>
      <c r="B56" s="33"/>
      <c r="C56" s="22"/>
      <c r="D56" s="22"/>
      <c r="E56" s="22"/>
      <c r="F56" s="23"/>
      <c r="G56" s="22"/>
      <c r="H56" s="22"/>
      <c r="I56" s="23"/>
      <c r="J56" s="22"/>
      <c r="K56" s="22"/>
    </row>
    <row r="57" spans="1:11" ht="14.4" x14ac:dyDescent="0.3">
      <c r="A57" s="22"/>
      <c r="B57" s="33"/>
      <c r="C57" s="22"/>
      <c r="D57" s="22"/>
      <c r="E57" s="22"/>
      <c r="F57" s="23"/>
      <c r="G57" s="22"/>
      <c r="H57" s="22"/>
      <c r="I57" s="23"/>
      <c r="J57" s="22"/>
      <c r="K57" s="22"/>
    </row>
    <row r="58" spans="1:11" ht="14.4" x14ac:dyDescent="0.3">
      <c r="A58" s="22"/>
      <c r="B58" s="33"/>
      <c r="C58" s="22"/>
      <c r="D58" s="22"/>
      <c r="E58" s="22"/>
      <c r="F58" s="23"/>
      <c r="G58" s="22"/>
      <c r="H58" s="22"/>
      <c r="I58" s="23"/>
      <c r="J58" s="22"/>
      <c r="K58" s="22"/>
    </row>
    <row r="59" spans="1:11" ht="14.4" x14ac:dyDescent="0.3">
      <c r="A59" s="22"/>
      <c r="B59" s="33"/>
      <c r="C59" s="22"/>
      <c r="D59" s="22"/>
      <c r="E59" s="22"/>
      <c r="F59" s="23"/>
      <c r="G59" s="22"/>
      <c r="H59" s="22"/>
      <c r="I59" s="23"/>
      <c r="J59" s="22"/>
      <c r="K59" s="22"/>
    </row>
    <row r="60" spans="1:11" ht="14.4" x14ac:dyDescent="0.3">
      <c r="A60" s="22"/>
      <c r="B60" s="33"/>
      <c r="C60" s="22"/>
      <c r="D60" s="22"/>
      <c r="E60" s="22"/>
      <c r="F60" s="23"/>
      <c r="G60" s="22"/>
      <c r="H60" s="22"/>
      <c r="I60" s="23"/>
      <c r="J60" s="22"/>
      <c r="K60" s="22"/>
    </row>
    <row r="61" spans="1:11" ht="14.4" x14ac:dyDescent="0.3">
      <c r="A61" s="22"/>
      <c r="B61" s="33"/>
      <c r="C61" s="22"/>
      <c r="D61" s="22"/>
      <c r="E61" s="22"/>
      <c r="F61" s="23"/>
      <c r="G61" s="22"/>
      <c r="H61" s="22"/>
      <c r="I61" s="23"/>
      <c r="J61" s="22"/>
      <c r="K61" s="22"/>
    </row>
    <row r="62" spans="1:11" ht="14.4" x14ac:dyDescent="0.3">
      <c r="A62" s="22"/>
      <c r="B62" s="33"/>
      <c r="C62" s="22"/>
      <c r="D62" s="22"/>
      <c r="E62" s="22"/>
      <c r="F62" s="23"/>
      <c r="G62" s="22"/>
      <c r="H62" s="22"/>
      <c r="I62" s="23"/>
      <c r="J62" s="22"/>
      <c r="K62" s="22"/>
    </row>
    <row r="63" spans="1:11" ht="14.4" x14ac:dyDescent="0.3">
      <c r="A63" s="22"/>
      <c r="B63" s="33"/>
      <c r="C63" s="22"/>
      <c r="D63" s="22"/>
      <c r="E63" s="22"/>
      <c r="F63" s="23"/>
      <c r="G63" s="22"/>
      <c r="H63" s="22"/>
      <c r="I63" s="23"/>
      <c r="J63" s="22"/>
      <c r="K63" s="22"/>
    </row>
    <row r="64" spans="1:11" ht="14.4" x14ac:dyDescent="0.3">
      <c r="A64" s="22"/>
      <c r="B64" s="33"/>
      <c r="C64" s="22"/>
      <c r="D64" s="22"/>
      <c r="E64" s="22"/>
      <c r="F64" s="23"/>
      <c r="G64" s="22"/>
      <c r="H64" s="22"/>
      <c r="I64" s="23"/>
      <c r="J64" s="22"/>
      <c r="K64" s="22"/>
    </row>
    <row r="65" spans="1:11" ht="14.4" x14ac:dyDescent="0.3">
      <c r="A65" s="22"/>
      <c r="B65" s="33"/>
      <c r="C65" s="22"/>
      <c r="D65" s="22"/>
      <c r="E65" s="22"/>
      <c r="F65" s="23"/>
      <c r="G65" s="22"/>
      <c r="H65" s="22"/>
      <c r="I65" s="23"/>
      <c r="J65" s="22"/>
      <c r="K65" s="22"/>
    </row>
    <row r="66" spans="1:11" ht="14.4" x14ac:dyDescent="0.3">
      <c r="A66" s="22"/>
      <c r="B66" s="33"/>
      <c r="C66" s="22"/>
      <c r="D66" s="22"/>
      <c r="E66" s="22"/>
      <c r="F66" s="23"/>
      <c r="G66" s="22"/>
      <c r="H66" s="22"/>
      <c r="I66" s="23"/>
      <c r="J66" s="22"/>
      <c r="K66" s="22"/>
    </row>
    <row r="67" spans="1:11" ht="14.4" x14ac:dyDescent="0.3">
      <c r="A67" s="22"/>
      <c r="B67" s="33"/>
      <c r="C67" s="22"/>
      <c r="D67" s="22"/>
      <c r="E67" s="22"/>
      <c r="F67" s="23"/>
      <c r="G67" s="22"/>
      <c r="H67" s="22"/>
      <c r="I67" s="23"/>
      <c r="J67" s="22"/>
      <c r="K67" s="22"/>
    </row>
    <row r="68" spans="1:11" ht="14.4" x14ac:dyDescent="0.3">
      <c r="A68" s="22"/>
      <c r="B68" s="33"/>
      <c r="C68" s="22"/>
      <c r="D68" s="22"/>
      <c r="E68" s="22"/>
      <c r="F68" s="23"/>
      <c r="G68" s="22"/>
      <c r="H68" s="22"/>
      <c r="I68" s="23"/>
      <c r="J68" s="22"/>
      <c r="K68" s="22"/>
    </row>
    <row r="69" spans="1:11" ht="14.4" x14ac:dyDescent="0.3">
      <c r="A69" s="22"/>
      <c r="B69" s="33"/>
      <c r="C69" s="22"/>
      <c r="D69" s="22"/>
      <c r="E69" s="22"/>
      <c r="F69" s="23"/>
      <c r="G69" s="22"/>
      <c r="H69" s="22"/>
      <c r="I69" s="23"/>
      <c r="J69" s="22"/>
      <c r="K69" s="22"/>
    </row>
    <row r="70" spans="1:11" ht="14.4" x14ac:dyDescent="0.3">
      <c r="A70" s="22"/>
      <c r="B70" s="33"/>
      <c r="C70" s="22"/>
      <c r="D70" s="22"/>
      <c r="E70" s="22"/>
      <c r="F70" s="23"/>
      <c r="G70" s="22"/>
      <c r="H70" s="22"/>
      <c r="I70" s="23"/>
      <c r="J70" s="22"/>
      <c r="K70" s="22"/>
    </row>
    <row r="71" spans="1:11" ht="14.4" x14ac:dyDescent="0.3">
      <c r="A71" s="22"/>
      <c r="B71" s="33"/>
      <c r="C71" s="22"/>
      <c r="D71" s="22"/>
      <c r="E71" s="22"/>
      <c r="F71" s="23"/>
      <c r="G71" s="22"/>
      <c r="H71" s="22"/>
      <c r="I71" s="23"/>
      <c r="J71" s="22"/>
      <c r="K71" s="22"/>
    </row>
    <row r="72" spans="1:11" ht="14.4" x14ac:dyDescent="0.3">
      <c r="A72" s="22"/>
      <c r="B72" s="33"/>
      <c r="C72" s="22"/>
      <c r="D72" s="22"/>
      <c r="E72" s="22"/>
      <c r="F72" s="23"/>
      <c r="G72" s="22"/>
      <c r="H72" s="22"/>
      <c r="I72" s="23"/>
      <c r="J72" s="22"/>
      <c r="K72" s="22"/>
    </row>
    <row r="73" spans="1:11" ht="14.4" x14ac:dyDescent="0.3">
      <c r="A73" s="22"/>
      <c r="B73" s="33"/>
      <c r="C73" s="22"/>
      <c r="D73" s="22"/>
      <c r="E73" s="22"/>
      <c r="F73" s="23"/>
      <c r="G73" s="22"/>
      <c r="H73" s="22"/>
      <c r="I73" s="23"/>
      <c r="J73" s="22"/>
      <c r="K73" s="22"/>
    </row>
    <row r="74" spans="1:11" ht="14.4" x14ac:dyDescent="0.3">
      <c r="A74" s="22"/>
      <c r="B74" s="33"/>
      <c r="C74" s="22"/>
      <c r="D74" s="22"/>
      <c r="E74" s="22"/>
      <c r="F74" s="23"/>
      <c r="G74" s="22"/>
      <c r="H74" s="22"/>
      <c r="I74" s="23"/>
      <c r="J74" s="22"/>
      <c r="K74" s="22"/>
    </row>
    <row r="75" spans="1:11" ht="14.4" x14ac:dyDescent="0.3">
      <c r="A75" s="22"/>
      <c r="B75" s="33"/>
      <c r="C75" s="22"/>
      <c r="D75" s="22"/>
      <c r="E75" s="22"/>
      <c r="F75" s="23"/>
      <c r="G75" s="22"/>
      <c r="H75" s="22"/>
      <c r="I75" s="23"/>
      <c r="J75" s="22"/>
      <c r="K75" s="22"/>
    </row>
    <row r="76" spans="1:11" ht="14.4" x14ac:dyDescent="0.3">
      <c r="A76" s="22"/>
      <c r="B76" s="33"/>
      <c r="C76" s="22"/>
      <c r="D76" s="22"/>
      <c r="E76" s="22"/>
      <c r="F76" s="23"/>
      <c r="G76" s="22"/>
      <c r="H76" s="22"/>
      <c r="I76" s="23"/>
      <c r="J76" s="22"/>
      <c r="K76" s="22"/>
    </row>
    <row r="77" spans="1:11" ht="14.4" x14ac:dyDescent="0.3">
      <c r="A77" s="22"/>
      <c r="B77" s="33"/>
      <c r="C77" s="22"/>
      <c r="D77" s="22"/>
      <c r="E77" s="22"/>
      <c r="F77" s="23"/>
      <c r="G77" s="22"/>
      <c r="H77" s="22"/>
      <c r="I77" s="23"/>
      <c r="J77" s="22"/>
      <c r="K77" s="22"/>
    </row>
    <row r="78" spans="1:11" ht="14.4" x14ac:dyDescent="0.3">
      <c r="A78" s="22"/>
      <c r="B78" s="33"/>
      <c r="C78" s="22"/>
      <c r="D78" s="22"/>
      <c r="E78" s="22"/>
      <c r="F78" s="23"/>
      <c r="G78" s="22"/>
      <c r="H78" s="22"/>
      <c r="I78" s="23"/>
      <c r="J78" s="22"/>
      <c r="K78" s="22"/>
    </row>
    <row r="79" spans="1:11" ht="14.4" x14ac:dyDescent="0.3">
      <c r="A79" s="22"/>
      <c r="B79" s="33"/>
      <c r="C79" s="22"/>
      <c r="D79" s="22"/>
      <c r="E79" s="22"/>
      <c r="F79" s="23"/>
      <c r="G79" s="22"/>
      <c r="H79" s="22"/>
      <c r="I79" s="23"/>
      <c r="J79" s="22"/>
      <c r="K79" s="22"/>
    </row>
    <row r="80" spans="1:11" ht="14.4" x14ac:dyDescent="0.3">
      <c r="A80" s="22"/>
      <c r="B80" s="33"/>
      <c r="C80" s="22"/>
      <c r="D80" s="22"/>
      <c r="E80" s="22"/>
      <c r="F80" s="23"/>
      <c r="G80" s="22"/>
      <c r="H80" s="22"/>
      <c r="I80" s="23"/>
      <c r="J80" s="22"/>
      <c r="K80" s="22"/>
    </row>
    <row r="81" spans="1:11" ht="14.4" x14ac:dyDescent="0.3">
      <c r="A81" s="22"/>
      <c r="B81" s="33"/>
      <c r="C81" s="22"/>
      <c r="D81" s="22"/>
      <c r="E81" s="22"/>
      <c r="F81" s="23"/>
      <c r="G81" s="22"/>
      <c r="H81" s="22"/>
      <c r="I81" s="23"/>
      <c r="J81" s="22"/>
      <c r="K81" s="22"/>
    </row>
    <row r="82" spans="1:11" ht="14.4" x14ac:dyDescent="0.3">
      <c r="A82" s="22"/>
      <c r="B82" s="33"/>
      <c r="C82" s="22"/>
      <c r="D82" s="22"/>
      <c r="E82" s="22"/>
      <c r="F82" s="23"/>
      <c r="G82" s="22"/>
      <c r="H82" s="22"/>
      <c r="I82" s="23"/>
      <c r="J82" s="22"/>
      <c r="K82" s="22"/>
    </row>
    <row r="83" spans="1:11" ht="14.4" x14ac:dyDescent="0.3">
      <c r="A83" s="22"/>
      <c r="B83" s="33"/>
      <c r="C83" s="22"/>
      <c r="D83" s="22"/>
      <c r="E83" s="22"/>
      <c r="F83" s="23"/>
      <c r="G83" s="22"/>
      <c r="H83" s="22"/>
      <c r="I83" s="23"/>
      <c r="J83" s="22"/>
      <c r="K83" s="22"/>
    </row>
    <row r="84" spans="1:11" ht="14.4" x14ac:dyDescent="0.3">
      <c r="A84" s="22"/>
      <c r="B84" s="33"/>
      <c r="C84" s="22"/>
      <c r="D84" s="22"/>
      <c r="E84" s="22"/>
      <c r="F84" s="23"/>
      <c r="G84" s="22"/>
      <c r="H84" s="22"/>
      <c r="I84" s="23"/>
      <c r="J84" s="22"/>
      <c r="K84" s="22"/>
    </row>
    <row r="85" spans="1:11" ht="14.4" x14ac:dyDescent="0.3">
      <c r="A85" s="22"/>
      <c r="B85" s="33"/>
      <c r="C85" s="22"/>
      <c r="D85" s="22"/>
      <c r="E85" s="22"/>
      <c r="F85" s="23"/>
      <c r="G85" s="22"/>
      <c r="H85" s="22"/>
      <c r="I85" s="23"/>
      <c r="J85" s="22"/>
      <c r="K85" s="22"/>
    </row>
    <row r="86" spans="1:11" ht="14.4" x14ac:dyDescent="0.3">
      <c r="A86" s="22"/>
      <c r="B86" s="33"/>
      <c r="C86" s="22"/>
      <c r="D86" s="22"/>
      <c r="E86" s="22"/>
      <c r="F86" s="23"/>
      <c r="G86" s="22"/>
      <c r="H86" s="22"/>
      <c r="I86" s="23"/>
      <c r="J86" s="22"/>
      <c r="K86" s="22"/>
    </row>
    <row r="87" spans="1:11" ht="14.4" x14ac:dyDescent="0.3">
      <c r="A87" s="22"/>
      <c r="B87" s="33"/>
      <c r="C87" s="22"/>
      <c r="D87" s="22"/>
      <c r="E87" s="22"/>
      <c r="F87" s="23"/>
      <c r="G87" s="22"/>
      <c r="H87" s="22"/>
      <c r="I87" s="23"/>
      <c r="J87" s="22"/>
      <c r="K87" s="22"/>
    </row>
    <row r="88" spans="1:11" ht="14.4" x14ac:dyDescent="0.3">
      <c r="A88" s="22"/>
      <c r="B88" s="33"/>
      <c r="C88" s="22"/>
      <c r="D88" s="22"/>
      <c r="E88" s="22"/>
      <c r="F88" s="23"/>
      <c r="G88" s="22"/>
      <c r="H88" s="22"/>
      <c r="I88" s="23"/>
      <c r="J88" s="22"/>
      <c r="K88" s="22"/>
    </row>
    <row r="89" spans="1:11" ht="14.4" x14ac:dyDescent="0.3">
      <c r="A89" s="22"/>
      <c r="B89" s="33"/>
      <c r="C89" s="22"/>
      <c r="D89" s="22"/>
      <c r="E89" s="22"/>
      <c r="F89" s="23"/>
      <c r="G89" s="22"/>
      <c r="H89" s="22"/>
      <c r="I89" s="23"/>
      <c r="J89" s="22"/>
      <c r="K89" s="22"/>
    </row>
    <row r="90" spans="1:11" ht="14.4" x14ac:dyDescent="0.3">
      <c r="A90" s="22"/>
      <c r="B90" s="33"/>
      <c r="C90" s="22"/>
      <c r="D90" s="22"/>
      <c r="E90" s="22"/>
      <c r="F90" s="23"/>
      <c r="G90" s="22"/>
      <c r="H90" s="22"/>
      <c r="I90" s="23"/>
      <c r="J90" s="22"/>
      <c r="K90" s="22"/>
    </row>
    <row r="91" spans="1:11" ht="14.4" x14ac:dyDescent="0.3">
      <c r="A91" s="22"/>
      <c r="B91" s="33"/>
      <c r="C91" s="22"/>
      <c r="D91" s="22"/>
      <c r="E91" s="22"/>
      <c r="F91" s="23"/>
      <c r="G91" s="22"/>
      <c r="H91" s="22"/>
      <c r="I91" s="23"/>
      <c r="J91" s="22"/>
      <c r="K91" s="22"/>
    </row>
    <row r="92" spans="1:11" ht="14.4" x14ac:dyDescent="0.3">
      <c r="A92" s="22"/>
      <c r="B92" s="33"/>
      <c r="C92" s="22"/>
      <c r="D92" s="22"/>
      <c r="E92" s="22"/>
      <c r="F92" s="23"/>
      <c r="G92" s="22"/>
      <c r="H92" s="22"/>
      <c r="I92" s="23"/>
      <c r="J92" s="22"/>
      <c r="K92" s="22"/>
    </row>
    <row r="93" spans="1:11" ht="14.4" x14ac:dyDescent="0.3">
      <c r="A93" s="22"/>
      <c r="B93" s="33"/>
      <c r="C93" s="22"/>
      <c r="D93" s="22"/>
      <c r="E93" s="22"/>
      <c r="F93" s="23"/>
      <c r="G93" s="22"/>
      <c r="H93" s="22"/>
      <c r="I93" s="23"/>
      <c r="J93" s="22"/>
      <c r="K93" s="22"/>
    </row>
    <row r="94" spans="1:11" ht="14.4" x14ac:dyDescent="0.3">
      <c r="A94" s="22"/>
      <c r="B94" s="33"/>
      <c r="C94" s="22"/>
      <c r="D94" s="22"/>
      <c r="E94" s="22"/>
      <c r="F94" s="23"/>
      <c r="G94" s="22"/>
      <c r="H94" s="22"/>
      <c r="I94" s="23"/>
      <c r="J94" s="22"/>
      <c r="K94" s="22"/>
    </row>
    <row r="95" spans="1:11" ht="14.4" x14ac:dyDescent="0.3">
      <c r="A95" s="22"/>
      <c r="B95" s="33"/>
      <c r="C95" s="22"/>
      <c r="D95" s="22"/>
      <c r="E95" s="22"/>
      <c r="F95" s="23"/>
      <c r="G95" s="22"/>
      <c r="H95" s="22"/>
      <c r="I95" s="23"/>
      <c r="J95" s="22"/>
      <c r="K95" s="22"/>
    </row>
    <row r="96" spans="1:11" ht="14.4" x14ac:dyDescent="0.3">
      <c r="A96" s="22"/>
      <c r="B96" s="33"/>
      <c r="C96" s="22"/>
      <c r="D96" s="22"/>
      <c r="E96" s="22"/>
      <c r="F96" s="23"/>
      <c r="G96" s="22"/>
      <c r="H96" s="22"/>
      <c r="I96" s="23"/>
      <c r="J96" s="22"/>
      <c r="K96" s="22"/>
    </row>
    <row r="97" spans="1:11" ht="14.4" x14ac:dyDescent="0.3">
      <c r="A97" s="22"/>
      <c r="B97" s="33"/>
      <c r="C97" s="22"/>
      <c r="D97" s="22"/>
      <c r="E97" s="22"/>
      <c r="F97" s="23"/>
      <c r="G97" s="22"/>
      <c r="H97" s="22"/>
      <c r="I97" s="23"/>
      <c r="J97" s="22"/>
      <c r="K97" s="22"/>
    </row>
    <row r="98" spans="1:11" ht="14.4" x14ac:dyDescent="0.3">
      <c r="A98" s="22"/>
      <c r="B98" s="33"/>
      <c r="C98" s="22"/>
      <c r="D98" s="22"/>
      <c r="E98" s="22"/>
      <c r="F98" s="23"/>
      <c r="G98" s="22"/>
      <c r="H98" s="22"/>
      <c r="I98" s="23"/>
      <c r="J98" s="22"/>
      <c r="K98" s="22"/>
    </row>
    <row r="99" spans="1:11" ht="14.4" x14ac:dyDescent="0.3">
      <c r="A99" s="22"/>
      <c r="B99" s="33"/>
      <c r="C99" s="22"/>
      <c r="D99" s="22"/>
      <c r="E99" s="22"/>
      <c r="F99" s="23"/>
      <c r="G99" s="22"/>
      <c r="H99" s="22"/>
      <c r="I99" s="23"/>
      <c r="J99" s="22"/>
      <c r="K99" s="22"/>
    </row>
    <row r="100" spans="1:11" ht="14.4" x14ac:dyDescent="0.3">
      <c r="A100" s="22"/>
      <c r="B100" s="33"/>
      <c r="C100" s="22"/>
      <c r="D100" s="22"/>
      <c r="E100" s="22"/>
      <c r="F100" s="23"/>
      <c r="G100" s="22"/>
      <c r="H100" s="22"/>
      <c r="I100" s="23"/>
      <c r="J100" s="22"/>
      <c r="K100" s="22"/>
    </row>
    <row r="101" spans="1:11" ht="14.4" x14ac:dyDescent="0.3">
      <c r="A101" s="22"/>
      <c r="B101" s="33"/>
      <c r="C101" s="22"/>
      <c r="D101" s="22"/>
      <c r="E101" s="22"/>
      <c r="F101" s="23"/>
      <c r="G101" s="22"/>
      <c r="H101" s="22"/>
      <c r="I101" s="23"/>
      <c r="J101" s="22"/>
      <c r="K101" s="22"/>
    </row>
    <row r="102" spans="1:11" ht="14.4" x14ac:dyDescent="0.3">
      <c r="A102" s="22"/>
      <c r="B102" s="33"/>
      <c r="C102" s="22"/>
      <c r="D102" s="22"/>
      <c r="E102" s="22"/>
      <c r="F102" s="23"/>
      <c r="G102" s="22"/>
      <c r="H102" s="22"/>
      <c r="I102" s="23"/>
      <c r="J102" s="22"/>
      <c r="K102" s="22"/>
    </row>
    <row r="103" spans="1:11" ht="14.4" x14ac:dyDescent="0.3">
      <c r="A103" s="22"/>
      <c r="B103" s="33"/>
      <c r="C103" s="22"/>
      <c r="D103" s="22"/>
      <c r="E103" s="22"/>
      <c r="F103" s="23"/>
      <c r="G103" s="22"/>
      <c r="H103" s="22"/>
      <c r="I103" s="23"/>
      <c r="J103" s="22"/>
      <c r="K103" s="22"/>
    </row>
    <row r="104" spans="1:11" ht="14.4" x14ac:dyDescent="0.3">
      <c r="A104" s="22"/>
      <c r="B104" s="33"/>
      <c r="C104" s="22"/>
      <c r="D104" s="22"/>
      <c r="E104" s="22"/>
      <c r="F104" s="23"/>
      <c r="G104" s="22"/>
      <c r="H104" s="22"/>
      <c r="I104" s="23"/>
      <c r="J104" s="22"/>
      <c r="K104" s="22"/>
    </row>
    <row r="105" spans="1:11" ht="14.4" x14ac:dyDescent="0.3">
      <c r="A105" s="22"/>
      <c r="B105" s="33"/>
      <c r="C105" s="22"/>
      <c r="D105" s="22"/>
      <c r="E105" s="22"/>
      <c r="F105" s="23"/>
      <c r="G105" s="22"/>
      <c r="H105" s="22"/>
      <c r="I105" s="23"/>
      <c r="J105" s="22"/>
      <c r="K105" s="22"/>
    </row>
    <row r="106" spans="1:11" ht="14.4" x14ac:dyDescent="0.3">
      <c r="A106" s="22"/>
      <c r="B106" s="33"/>
      <c r="C106" s="22"/>
      <c r="D106" s="22"/>
      <c r="E106" s="22"/>
      <c r="F106" s="23"/>
      <c r="G106" s="22"/>
      <c r="H106" s="22"/>
      <c r="I106" s="23"/>
      <c r="J106" s="22"/>
      <c r="K106" s="22"/>
    </row>
    <row r="107" spans="1:11" ht="14.4" x14ac:dyDescent="0.3">
      <c r="A107" s="22"/>
      <c r="B107" s="33"/>
      <c r="C107" s="22"/>
      <c r="D107" s="22"/>
      <c r="E107" s="22"/>
      <c r="F107" s="23"/>
      <c r="G107" s="22"/>
      <c r="H107" s="22"/>
      <c r="I107" s="23"/>
      <c r="J107" s="22"/>
      <c r="K107" s="22"/>
    </row>
    <row r="108" spans="1:11" ht="14.4" x14ac:dyDescent="0.3">
      <c r="A108" s="22"/>
      <c r="B108" s="33"/>
      <c r="C108" s="22"/>
      <c r="D108" s="22"/>
      <c r="E108" s="22"/>
      <c r="F108" s="23"/>
      <c r="G108" s="22"/>
      <c r="H108" s="22"/>
      <c r="I108" s="23"/>
      <c r="J108" s="22"/>
      <c r="K108" s="22"/>
    </row>
    <row r="109" spans="1:11" ht="14.4" x14ac:dyDescent="0.3">
      <c r="A109" s="22"/>
      <c r="B109" s="33"/>
      <c r="C109" s="22"/>
      <c r="D109" s="22"/>
      <c r="E109" s="22"/>
      <c r="F109" s="23"/>
      <c r="G109" s="22"/>
      <c r="H109" s="22"/>
      <c r="I109" s="23"/>
      <c r="J109" s="22"/>
      <c r="K109" s="22"/>
    </row>
    <row r="110" spans="1:11" ht="14.4" x14ac:dyDescent="0.3">
      <c r="A110" s="22"/>
      <c r="B110" s="33"/>
      <c r="C110" s="22"/>
      <c r="D110" s="22"/>
      <c r="E110" s="22"/>
      <c r="F110" s="23"/>
      <c r="G110" s="22"/>
      <c r="H110" s="22"/>
      <c r="I110" s="23"/>
      <c r="J110" s="22"/>
      <c r="K110" s="22"/>
    </row>
    <row r="111" spans="1:11" ht="14.4" x14ac:dyDescent="0.3">
      <c r="A111" s="22"/>
      <c r="B111" s="33"/>
      <c r="C111" s="22"/>
      <c r="D111" s="22"/>
      <c r="E111" s="22"/>
      <c r="F111" s="23"/>
      <c r="G111" s="22"/>
      <c r="H111" s="22"/>
      <c r="I111" s="23"/>
      <c r="J111" s="22"/>
      <c r="K111" s="22"/>
    </row>
    <row r="112" spans="1:11" ht="14.4" x14ac:dyDescent="0.3">
      <c r="A112" s="22"/>
      <c r="B112" s="33"/>
      <c r="C112" s="22"/>
      <c r="D112" s="22"/>
      <c r="E112" s="22"/>
      <c r="F112" s="23"/>
      <c r="G112" s="22"/>
      <c r="H112" s="22"/>
      <c r="I112" s="23"/>
      <c r="J112" s="22"/>
      <c r="K112" s="22"/>
    </row>
    <row r="113" spans="1:11" ht="14.4" x14ac:dyDescent="0.3">
      <c r="A113" s="22"/>
      <c r="B113" s="33"/>
      <c r="C113" s="22"/>
      <c r="D113" s="22"/>
      <c r="E113" s="22"/>
      <c r="F113" s="23"/>
      <c r="G113" s="22"/>
      <c r="H113" s="22"/>
      <c r="I113" s="23"/>
      <c r="J113" s="22"/>
      <c r="K113" s="22"/>
    </row>
    <row r="114" spans="1:11" ht="14.4" x14ac:dyDescent="0.3">
      <c r="A114" s="22"/>
      <c r="B114" s="33"/>
      <c r="C114" s="22"/>
      <c r="D114" s="22"/>
      <c r="E114" s="22"/>
      <c r="F114" s="23"/>
      <c r="G114" s="22"/>
      <c r="H114" s="22"/>
      <c r="I114" s="23"/>
      <c r="J114" s="22"/>
      <c r="K114" s="22"/>
    </row>
    <row r="115" spans="1:11" ht="14.4" x14ac:dyDescent="0.3">
      <c r="A115" s="22"/>
      <c r="B115" s="33"/>
      <c r="C115" s="22"/>
      <c r="D115" s="22"/>
      <c r="E115" s="22"/>
      <c r="F115" s="23"/>
      <c r="G115" s="22"/>
      <c r="H115" s="22"/>
      <c r="I115" s="23"/>
      <c r="J115" s="22"/>
      <c r="K115" s="22"/>
    </row>
    <row r="116" spans="1:11" ht="14.4" x14ac:dyDescent="0.3">
      <c r="A116" s="22"/>
      <c r="B116" s="33"/>
      <c r="C116" s="22"/>
      <c r="D116" s="22"/>
      <c r="E116" s="22"/>
      <c r="F116" s="23"/>
      <c r="G116" s="22"/>
      <c r="H116" s="22"/>
      <c r="I116" s="23"/>
      <c r="J116" s="22"/>
      <c r="K116" s="22"/>
    </row>
    <row r="117" spans="1:11" ht="14.4" x14ac:dyDescent="0.3">
      <c r="A117" s="22"/>
      <c r="B117" s="33"/>
      <c r="C117" s="22"/>
      <c r="D117" s="22"/>
      <c r="E117" s="22"/>
      <c r="F117" s="23"/>
      <c r="G117" s="22"/>
      <c r="H117" s="22"/>
      <c r="I117" s="23"/>
      <c r="J117" s="22"/>
      <c r="K117" s="22"/>
    </row>
    <row r="118" spans="1:11" ht="14.4" x14ac:dyDescent="0.3">
      <c r="A118" s="22"/>
      <c r="B118" s="33"/>
      <c r="C118" s="22"/>
      <c r="D118" s="22"/>
      <c r="E118" s="22"/>
      <c r="F118" s="23"/>
      <c r="G118" s="22"/>
      <c r="H118" s="22"/>
      <c r="I118" s="23"/>
      <c r="J118" s="22"/>
      <c r="K118" s="22"/>
    </row>
    <row r="119" spans="1:11" ht="14.4" x14ac:dyDescent="0.3">
      <c r="A119" s="22"/>
      <c r="B119" s="33"/>
      <c r="C119" s="22"/>
      <c r="D119" s="22"/>
      <c r="E119" s="22"/>
      <c r="F119" s="23"/>
      <c r="G119" s="22"/>
      <c r="H119" s="22"/>
      <c r="I119" s="23"/>
      <c r="J119" s="22"/>
      <c r="K119" s="22"/>
    </row>
    <row r="120" spans="1:11" ht="14.4" x14ac:dyDescent="0.3">
      <c r="A120" s="22"/>
      <c r="B120" s="33"/>
      <c r="C120" s="22"/>
      <c r="D120" s="22"/>
      <c r="E120" s="22"/>
      <c r="F120" s="23"/>
      <c r="G120" s="22"/>
      <c r="H120" s="22"/>
      <c r="I120" s="23"/>
      <c r="J120" s="22"/>
      <c r="K120" s="22"/>
    </row>
    <row r="121" spans="1:11" ht="14.4" x14ac:dyDescent="0.3">
      <c r="A121" s="22"/>
      <c r="B121" s="33"/>
      <c r="C121" s="22"/>
      <c r="D121" s="22"/>
      <c r="E121" s="22"/>
      <c r="F121" s="23"/>
      <c r="G121" s="22"/>
      <c r="H121" s="22"/>
      <c r="I121" s="23"/>
      <c r="J121" s="22"/>
      <c r="K121" s="22"/>
    </row>
    <row r="122" spans="1:11" ht="14.4" x14ac:dyDescent="0.3">
      <c r="A122" s="22"/>
      <c r="B122" s="33"/>
      <c r="C122" s="22"/>
      <c r="D122" s="22"/>
      <c r="E122" s="22"/>
      <c r="F122" s="23"/>
      <c r="G122" s="22"/>
      <c r="H122" s="22"/>
      <c r="I122" s="23"/>
      <c r="J122" s="22"/>
      <c r="K122" s="22"/>
    </row>
    <row r="123" spans="1:11" ht="14.4" x14ac:dyDescent="0.3">
      <c r="A123" s="22"/>
      <c r="B123" s="33"/>
      <c r="C123" s="22"/>
      <c r="D123" s="22"/>
      <c r="E123" s="22"/>
      <c r="F123" s="23"/>
      <c r="G123" s="22"/>
      <c r="H123" s="22"/>
      <c r="I123" s="23"/>
      <c r="J123" s="22"/>
      <c r="K123" s="22"/>
    </row>
    <row r="124" spans="1:11" ht="14.4" x14ac:dyDescent="0.3">
      <c r="A124" s="22"/>
      <c r="B124" s="33"/>
      <c r="C124" s="22"/>
      <c r="D124" s="22"/>
      <c r="E124" s="22"/>
      <c r="F124" s="23"/>
      <c r="G124" s="22"/>
      <c r="H124" s="22"/>
      <c r="I124" s="23"/>
      <c r="J124" s="22"/>
      <c r="K124" s="22"/>
    </row>
    <row r="125" spans="1:11" ht="14.4" x14ac:dyDescent="0.3">
      <c r="A125" s="22"/>
      <c r="B125" s="33"/>
      <c r="C125" s="22"/>
      <c r="D125" s="22"/>
      <c r="E125" s="22"/>
      <c r="F125" s="23"/>
      <c r="G125" s="22"/>
      <c r="H125" s="22"/>
      <c r="I125" s="23"/>
      <c r="J125" s="22"/>
      <c r="K125" s="22"/>
    </row>
    <row r="126" spans="1:11" ht="14.4" x14ac:dyDescent="0.3">
      <c r="A126" s="22"/>
      <c r="B126" s="33"/>
      <c r="C126" s="22"/>
      <c r="D126" s="22"/>
      <c r="E126" s="22"/>
      <c r="F126" s="23"/>
      <c r="G126" s="22"/>
      <c r="H126" s="22"/>
      <c r="I126" s="23"/>
      <c r="J126" s="22"/>
      <c r="K126" s="22"/>
    </row>
    <row r="127" spans="1:11" ht="14.4" x14ac:dyDescent="0.3">
      <c r="A127" s="22"/>
      <c r="B127" s="33"/>
      <c r="C127" s="22"/>
      <c r="D127" s="22"/>
      <c r="E127" s="22"/>
      <c r="F127" s="23"/>
      <c r="G127" s="22"/>
      <c r="H127" s="22"/>
      <c r="I127" s="23"/>
      <c r="J127" s="22"/>
      <c r="K127" s="22"/>
    </row>
    <row r="128" spans="1:11" ht="14.4" x14ac:dyDescent="0.3">
      <c r="A128" s="22"/>
      <c r="B128" s="33"/>
      <c r="C128" s="22"/>
      <c r="D128" s="22"/>
      <c r="E128" s="22"/>
      <c r="F128" s="23"/>
      <c r="G128" s="22"/>
      <c r="H128" s="22"/>
      <c r="I128" s="23"/>
      <c r="J128" s="22"/>
      <c r="K128" s="22"/>
    </row>
    <row r="129" spans="1:11" ht="14.4" x14ac:dyDescent="0.3">
      <c r="A129" s="22"/>
      <c r="B129" s="33"/>
      <c r="C129" s="22"/>
      <c r="D129" s="22"/>
      <c r="E129" s="22"/>
      <c r="F129" s="23"/>
      <c r="G129" s="22"/>
      <c r="H129" s="22"/>
      <c r="I129" s="23"/>
      <c r="J129" s="22"/>
      <c r="K129" s="22"/>
    </row>
    <row r="130" spans="1:11" ht="14.4" x14ac:dyDescent="0.3">
      <c r="A130" s="22"/>
      <c r="B130" s="33"/>
      <c r="C130" s="22"/>
      <c r="D130" s="22"/>
      <c r="E130" s="22"/>
      <c r="F130" s="23"/>
      <c r="G130" s="22"/>
      <c r="H130" s="22"/>
      <c r="I130" s="23"/>
      <c r="J130" s="22"/>
      <c r="K130" s="22"/>
    </row>
    <row r="131" spans="1:11" ht="14.4" x14ac:dyDescent="0.3">
      <c r="A131" s="22"/>
      <c r="B131" s="33"/>
      <c r="C131" s="22"/>
      <c r="D131" s="22"/>
      <c r="E131" s="22"/>
      <c r="F131" s="23"/>
      <c r="G131" s="22"/>
      <c r="H131" s="22"/>
      <c r="I131" s="23"/>
      <c r="J131" s="22"/>
      <c r="K131" s="22"/>
    </row>
    <row r="132" spans="1:11" ht="14.4" x14ac:dyDescent="0.3">
      <c r="A132" s="22"/>
      <c r="B132" s="33"/>
      <c r="C132" s="22"/>
      <c r="D132" s="22"/>
      <c r="E132" s="22"/>
      <c r="F132" s="23"/>
      <c r="G132" s="22"/>
      <c r="H132" s="22"/>
      <c r="I132" s="23"/>
      <c r="J132" s="22"/>
      <c r="K132" s="22"/>
    </row>
    <row r="133" spans="1:11" ht="14.4" x14ac:dyDescent="0.3">
      <c r="A133" s="22"/>
      <c r="B133" s="33"/>
      <c r="C133" s="22"/>
      <c r="D133" s="22"/>
      <c r="E133" s="22"/>
      <c r="F133" s="23"/>
      <c r="G133" s="22"/>
      <c r="H133" s="22"/>
      <c r="I133" s="23"/>
      <c r="J133" s="22"/>
      <c r="K133" s="22"/>
    </row>
    <row r="134" spans="1:11" ht="14.4" x14ac:dyDescent="0.3">
      <c r="A134" s="22"/>
      <c r="B134" s="33"/>
      <c r="C134" s="22"/>
      <c r="D134" s="22"/>
      <c r="E134" s="22"/>
      <c r="F134" s="23"/>
      <c r="G134" s="22"/>
      <c r="H134" s="22"/>
      <c r="I134" s="23"/>
      <c r="J134" s="22"/>
      <c r="K134" s="22"/>
    </row>
    <row r="135" spans="1:11" ht="14.4" x14ac:dyDescent="0.3">
      <c r="A135" s="22"/>
      <c r="B135" s="33"/>
      <c r="C135" s="22"/>
      <c r="D135" s="22"/>
      <c r="E135" s="22"/>
      <c r="F135" s="23"/>
      <c r="G135" s="22"/>
      <c r="H135" s="22"/>
      <c r="I135" s="23"/>
      <c r="J135" s="22"/>
      <c r="K135" s="22"/>
    </row>
    <row r="136" spans="1:11" ht="14.4" x14ac:dyDescent="0.3">
      <c r="A136" s="22"/>
      <c r="B136" s="33"/>
      <c r="C136" s="22"/>
      <c r="D136" s="22"/>
      <c r="E136" s="22"/>
      <c r="F136" s="23"/>
      <c r="G136" s="22"/>
      <c r="H136" s="22"/>
      <c r="I136" s="23"/>
      <c r="J136" s="22"/>
      <c r="K136" s="22"/>
    </row>
    <row r="137" spans="1:11" ht="14.4" x14ac:dyDescent="0.3">
      <c r="A137" s="22"/>
      <c r="B137" s="33"/>
      <c r="C137" s="22"/>
      <c r="D137" s="22"/>
      <c r="E137" s="22"/>
      <c r="F137" s="23"/>
      <c r="G137" s="22"/>
      <c r="H137" s="22"/>
      <c r="I137" s="23"/>
      <c r="J137" s="22"/>
      <c r="K137" s="22"/>
    </row>
    <row r="138" spans="1:11" ht="14.4" x14ac:dyDescent="0.3">
      <c r="A138" s="22"/>
      <c r="B138" s="33"/>
      <c r="C138" s="22"/>
      <c r="D138" s="22"/>
      <c r="E138" s="22"/>
      <c r="F138" s="23"/>
      <c r="G138" s="22"/>
      <c r="H138" s="22"/>
      <c r="I138" s="23"/>
      <c r="J138" s="22"/>
      <c r="K138" s="22"/>
    </row>
    <row r="139" spans="1:11" ht="14.4" x14ac:dyDescent="0.3">
      <c r="A139" s="22"/>
      <c r="B139" s="33"/>
      <c r="C139" s="22"/>
      <c r="D139" s="22"/>
      <c r="E139" s="22"/>
      <c r="F139" s="23"/>
      <c r="G139" s="22"/>
      <c r="H139" s="22"/>
      <c r="I139" s="23"/>
      <c r="J139" s="22"/>
      <c r="K139" s="22"/>
    </row>
    <row r="140" spans="1:11" ht="14.4" x14ac:dyDescent="0.3">
      <c r="A140" s="22"/>
      <c r="B140" s="33"/>
      <c r="C140" s="22"/>
      <c r="D140" s="22"/>
      <c r="E140" s="22"/>
      <c r="F140" s="23"/>
      <c r="G140" s="22"/>
      <c r="H140" s="22"/>
      <c r="I140" s="23"/>
      <c r="J140" s="22"/>
      <c r="K140" s="22"/>
    </row>
    <row r="141" spans="1:11" ht="14.4" x14ac:dyDescent="0.3">
      <c r="A141" s="22"/>
      <c r="B141" s="33"/>
      <c r="C141" s="22"/>
      <c r="D141" s="22"/>
      <c r="E141" s="22"/>
      <c r="F141" s="23"/>
      <c r="G141" s="22"/>
      <c r="H141" s="22"/>
      <c r="I141" s="23"/>
      <c r="J141" s="22"/>
      <c r="K141" s="22"/>
    </row>
    <row r="142" spans="1:11" ht="14.4" x14ac:dyDescent="0.3">
      <c r="A142" s="22"/>
      <c r="B142" s="33"/>
      <c r="C142" s="22"/>
      <c r="D142" s="22"/>
      <c r="E142" s="22"/>
      <c r="F142" s="23"/>
      <c r="G142" s="22"/>
      <c r="H142" s="22"/>
      <c r="I142" s="23"/>
      <c r="J142" s="22"/>
      <c r="K142" s="22"/>
    </row>
    <row r="143" spans="1:11" ht="14.4" x14ac:dyDescent="0.3">
      <c r="A143" s="22"/>
      <c r="B143" s="33"/>
      <c r="C143" s="22"/>
      <c r="D143" s="22"/>
      <c r="E143" s="22"/>
      <c r="F143" s="23"/>
      <c r="G143" s="22"/>
      <c r="H143" s="22"/>
      <c r="I143" s="23"/>
      <c r="J143" s="22"/>
      <c r="K143" s="22"/>
    </row>
    <row r="144" spans="1:11" ht="14.4" x14ac:dyDescent="0.3">
      <c r="A144" s="22"/>
      <c r="B144" s="33"/>
      <c r="C144" s="22"/>
      <c r="D144" s="22"/>
      <c r="E144" s="22"/>
      <c r="F144" s="23"/>
      <c r="G144" s="22"/>
      <c r="H144" s="22"/>
      <c r="I144" s="23"/>
      <c r="J144" s="22"/>
      <c r="K144" s="22"/>
    </row>
    <row r="145" spans="1:11" ht="14.4" x14ac:dyDescent="0.3">
      <c r="A145" s="22"/>
      <c r="B145" s="33"/>
      <c r="C145" s="22"/>
      <c r="D145" s="22"/>
      <c r="E145" s="22"/>
      <c r="F145" s="23"/>
      <c r="G145" s="22"/>
      <c r="H145" s="22"/>
      <c r="I145" s="23"/>
      <c r="J145" s="22"/>
      <c r="K145" s="22"/>
    </row>
    <row r="146" spans="1:11" ht="14.4" x14ac:dyDescent="0.3">
      <c r="A146" s="22"/>
      <c r="B146" s="33"/>
      <c r="C146" s="22"/>
      <c r="D146" s="22"/>
      <c r="E146" s="22"/>
      <c r="F146" s="23"/>
      <c r="G146" s="22"/>
      <c r="H146" s="22"/>
      <c r="I146" s="23"/>
      <c r="J146" s="22"/>
      <c r="K146" s="22"/>
    </row>
    <row r="147" spans="1:11" ht="14.4" x14ac:dyDescent="0.3">
      <c r="A147" s="22"/>
      <c r="B147" s="33"/>
      <c r="C147" s="22"/>
      <c r="D147" s="22"/>
      <c r="E147" s="22"/>
      <c r="F147" s="23"/>
      <c r="G147" s="22"/>
      <c r="H147" s="22"/>
      <c r="I147" s="23"/>
      <c r="J147" s="22"/>
      <c r="K147" s="22"/>
    </row>
    <row r="148" spans="1:11" ht="14.4" x14ac:dyDescent="0.3">
      <c r="A148" s="22"/>
      <c r="B148" s="33"/>
      <c r="C148" s="22"/>
      <c r="D148" s="22"/>
      <c r="E148" s="22"/>
      <c r="F148" s="23"/>
      <c r="G148" s="22"/>
      <c r="H148" s="22"/>
      <c r="I148" s="23"/>
      <c r="J148" s="22"/>
      <c r="K148" s="22"/>
    </row>
    <row r="149" spans="1:11" ht="14.4" x14ac:dyDescent="0.3">
      <c r="A149" s="22"/>
      <c r="B149" s="33"/>
      <c r="C149" s="22"/>
      <c r="D149" s="22"/>
      <c r="E149" s="22"/>
      <c r="F149" s="23"/>
      <c r="G149" s="22"/>
      <c r="H149" s="22"/>
      <c r="I149" s="23"/>
      <c r="J149" s="22"/>
      <c r="K149" s="22"/>
    </row>
    <row r="150" spans="1:11" ht="14.4" x14ac:dyDescent="0.3">
      <c r="A150" s="22"/>
      <c r="B150" s="33"/>
      <c r="C150" s="22"/>
      <c r="D150" s="22"/>
      <c r="E150" s="22"/>
      <c r="F150" s="23"/>
      <c r="G150" s="22"/>
      <c r="H150" s="22"/>
      <c r="I150" s="23"/>
      <c r="J150" s="22"/>
      <c r="K150" s="22"/>
    </row>
    <row r="151" spans="1:11" ht="14.4" x14ac:dyDescent="0.3">
      <c r="A151" s="22"/>
      <c r="B151" s="33"/>
      <c r="C151" s="22"/>
      <c r="D151" s="22"/>
      <c r="E151" s="22"/>
      <c r="F151" s="23"/>
      <c r="G151" s="22"/>
      <c r="H151" s="22"/>
      <c r="I151" s="23"/>
      <c r="J151" s="22"/>
      <c r="K151" s="22"/>
    </row>
    <row r="152" spans="1:11" ht="14.4" x14ac:dyDescent="0.3">
      <c r="A152" s="22"/>
      <c r="B152" s="33"/>
      <c r="C152" s="22"/>
      <c r="D152" s="22"/>
      <c r="E152" s="22"/>
      <c r="F152" s="23"/>
      <c r="G152" s="22"/>
      <c r="H152" s="22"/>
      <c r="I152" s="23"/>
      <c r="J152" s="22"/>
      <c r="K152" s="22"/>
    </row>
    <row r="153" spans="1:11" ht="14.4" x14ac:dyDescent="0.3">
      <c r="A153" s="22"/>
      <c r="B153" s="33"/>
      <c r="C153" s="22"/>
      <c r="D153" s="22"/>
      <c r="E153" s="22"/>
      <c r="F153" s="23"/>
      <c r="G153" s="22"/>
      <c r="H153" s="22"/>
      <c r="I153" s="23"/>
      <c r="J153" s="22"/>
      <c r="K153" s="22"/>
    </row>
    <row r="154" spans="1:11" ht="14.4" x14ac:dyDescent="0.3">
      <c r="A154" s="22"/>
      <c r="B154" s="33"/>
      <c r="C154" s="22"/>
      <c r="D154" s="22"/>
      <c r="E154" s="22"/>
      <c r="F154" s="23"/>
      <c r="G154" s="22"/>
      <c r="H154" s="22"/>
      <c r="I154" s="23"/>
      <c r="J154" s="22"/>
      <c r="K154" s="22"/>
    </row>
    <row r="155" spans="1:11" ht="14.4" x14ac:dyDescent="0.3">
      <c r="A155" s="22"/>
      <c r="B155" s="33"/>
      <c r="C155" s="22"/>
      <c r="D155" s="22"/>
      <c r="E155" s="22"/>
      <c r="F155" s="23"/>
      <c r="G155" s="22"/>
      <c r="H155" s="22"/>
      <c r="I155" s="23"/>
      <c r="J155" s="22"/>
      <c r="K155" s="22"/>
    </row>
    <row r="156" spans="1:11" ht="14.4" x14ac:dyDescent="0.3">
      <c r="A156" s="22"/>
      <c r="B156" s="33"/>
      <c r="C156" s="22"/>
      <c r="D156" s="22"/>
      <c r="E156" s="22"/>
      <c r="F156" s="23"/>
      <c r="G156" s="22"/>
      <c r="H156" s="22"/>
      <c r="I156" s="23"/>
      <c r="J156" s="22"/>
      <c r="K156" s="22"/>
    </row>
    <row r="157" spans="1:11" ht="14.4" x14ac:dyDescent="0.3">
      <c r="A157" s="22"/>
      <c r="B157" s="33"/>
      <c r="C157" s="22"/>
      <c r="D157" s="22"/>
      <c r="E157" s="22"/>
      <c r="F157" s="23"/>
      <c r="G157" s="22"/>
      <c r="H157" s="22"/>
      <c r="I157" s="23"/>
      <c r="J157" s="22"/>
      <c r="K157" s="22"/>
    </row>
    <row r="158" spans="1:11" ht="14.4" x14ac:dyDescent="0.3">
      <c r="A158" s="22"/>
      <c r="B158" s="33"/>
      <c r="C158" s="22"/>
      <c r="D158" s="22"/>
      <c r="E158" s="22"/>
      <c r="F158" s="23"/>
      <c r="G158" s="22"/>
      <c r="H158" s="22"/>
      <c r="I158" s="23"/>
      <c r="J158" s="22"/>
      <c r="K158" s="22"/>
    </row>
    <row r="159" spans="1:11" ht="14.4" x14ac:dyDescent="0.3">
      <c r="A159" s="22"/>
      <c r="B159" s="33"/>
      <c r="C159" s="22"/>
      <c r="D159" s="22"/>
      <c r="E159" s="22"/>
      <c r="F159" s="23"/>
      <c r="G159" s="22"/>
      <c r="H159" s="22"/>
      <c r="I159" s="23"/>
      <c r="J159" s="22"/>
      <c r="K159" s="22"/>
    </row>
    <row r="160" spans="1:11" ht="14.4" x14ac:dyDescent="0.3">
      <c r="A160" s="22"/>
      <c r="B160" s="33"/>
      <c r="C160" s="22"/>
      <c r="D160" s="22"/>
      <c r="E160" s="22"/>
      <c r="F160" s="23"/>
      <c r="G160" s="22"/>
      <c r="H160" s="22"/>
      <c r="I160" s="23"/>
      <c r="J160" s="22"/>
      <c r="K160" s="22"/>
    </row>
    <row r="161" spans="1:11" ht="14.4" x14ac:dyDescent="0.3">
      <c r="A161" s="22"/>
      <c r="B161" s="33"/>
      <c r="C161" s="22"/>
      <c r="D161" s="22"/>
      <c r="E161" s="22"/>
      <c r="F161" s="23"/>
      <c r="G161" s="22"/>
      <c r="H161" s="22"/>
      <c r="I161" s="23"/>
      <c r="J161" s="22"/>
      <c r="K161" s="22"/>
    </row>
    <row r="162" spans="1:11" ht="14.4" x14ac:dyDescent="0.3">
      <c r="A162" s="22"/>
      <c r="B162" s="33"/>
      <c r="C162" s="22"/>
      <c r="D162" s="22"/>
      <c r="E162" s="22"/>
      <c r="F162" s="23"/>
      <c r="G162" s="22"/>
      <c r="H162" s="22"/>
      <c r="I162" s="23"/>
      <c r="J162" s="22"/>
      <c r="K162" s="22"/>
    </row>
    <row r="163" spans="1:11" ht="14.4" x14ac:dyDescent="0.3">
      <c r="A163" s="22"/>
      <c r="B163" s="33"/>
      <c r="C163" s="22"/>
      <c r="D163" s="22"/>
      <c r="E163" s="22"/>
      <c r="F163" s="23"/>
      <c r="G163" s="22"/>
      <c r="H163" s="22"/>
      <c r="I163" s="23"/>
      <c r="J163" s="22"/>
      <c r="K163" s="22"/>
    </row>
    <row r="164" spans="1:11" ht="14.4" x14ac:dyDescent="0.3">
      <c r="A164" s="22"/>
      <c r="B164" s="33"/>
      <c r="C164" s="22"/>
      <c r="D164" s="22"/>
      <c r="E164" s="22"/>
      <c r="F164" s="23"/>
      <c r="G164" s="22"/>
      <c r="H164" s="22"/>
      <c r="I164" s="23"/>
      <c r="J164" s="22"/>
      <c r="K164" s="22"/>
    </row>
    <row r="165" spans="1:11" ht="14.4" x14ac:dyDescent="0.3">
      <c r="A165" s="22"/>
      <c r="B165" s="33"/>
      <c r="C165" s="22"/>
      <c r="D165" s="22"/>
      <c r="E165" s="22"/>
      <c r="F165" s="23"/>
      <c r="G165" s="22"/>
      <c r="H165" s="22"/>
      <c r="I165" s="23"/>
      <c r="J165" s="22"/>
      <c r="K165" s="22"/>
    </row>
    <row r="166" spans="1:11" ht="14.4" x14ac:dyDescent="0.3">
      <c r="A166" s="22"/>
      <c r="B166" s="33"/>
      <c r="C166" s="22"/>
      <c r="D166" s="22"/>
      <c r="E166" s="22"/>
      <c r="F166" s="23"/>
      <c r="G166" s="22"/>
      <c r="H166" s="22"/>
      <c r="I166" s="23"/>
      <c r="J166" s="22"/>
      <c r="K166" s="22"/>
    </row>
    <row r="167" spans="1:11" ht="14.4" x14ac:dyDescent="0.3">
      <c r="A167" s="22"/>
      <c r="B167" s="33"/>
      <c r="C167" s="22"/>
      <c r="D167" s="22"/>
      <c r="E167" s="22"/>
      <c r="F167" s="23"/>
      <c r="G167" s="22"/>
      <c r="H167" s="22"/>
      <c r="I167" s="23"/>
      <c r="J167" s="22"/>
      <c r="K167" s="22"/>
    </row>
    <row r="168" spans="1:11" ht="14.4" x14ac:dyDescent="0.3">
      <c r="A168" s="22"/>
      <c r="B168" s="33"/>
      <c r="C168" s="22"/>
      <c r="D168" s="22"/>
      <c r="E168" s="22"/>
      <c r="F168" s="23"/>
      <c r="G168" s="22"/>
      <c r="H168" s="22"/>
      <c r="I168" s="23"/>
      <c r="J168" s="22"/>
      <c r="K168" s="22"/>
    </row>
    <row r="169" spans="1:11" ht="14.4" x14ac:dyDescent="0.3">
      <c r="A169" s="22"/>
      <c r="B169" s="33"/>
      <c r="C169" s="22"/>
      <c r="D169" s="22"/>
      <c r="E169" s="22"/>
      <c r="F169" s="23"/>
      <c r="G169" s="22"/>
      <c r="H169" s="22"/>
      <c r="I169" s="23"/>
      <c r="J169" s="22"/>
      <c r="K169" s="22"/>
    </row>
    <row r="170" spans="1:11" ht="14.4" x14ac:dyDescent="0.3">
      <c r="A170" s="22"/>
      <c r="B170" s="33"/>
      <c r="C170" s="22"/>
      <c r="D170" s="22"/>
      <c r="E170" s="22"/>
      <c r="F170" s="23"/>
      <c r="G170" s="22"/>
      <c r="H170" s="22"/>
      <c r="I170" s="23"/>
      <c r="J170" s="22"/>
      <c r="K170" s="22"/>
    </row>
    <row r="171" spans="1:11" ht="14.4" x14ac:dyDescent="0.3">
      <c r="A171" s="22"/>
      <c r="B171" s="33"/>
      <c r="C171" s="22"/>
      <c r="D171" s="22"/>
      <c r="E171" s="22"/>
      <c r="F171" s="23"/>
      <c r="G171" s="22"/>
      <c r="H171" s="22"/>
      <c r="I171" s="23"/>
      <c r="J171" s="22"/>
      <c r="K171" s="22"/>
    </row>
    <row r="172" spans="1:11" ht="14.4" x14ac:dyDescent="0.3">
      <c r="A172" s="22"/>
      <c r="B172" s="33"/>
      <c r="C172" s="22"/>
      <c r="D172" s="22"/>
      <c r="E172" s="22"/>
      <c r="F172" s="23"/>
      <c r="G172" s="22"/>
      <c r="H172" s="22"/>
      <c r="I172" s="23"/>
      <c r="J172" s="22"/>
      <c r="K172" s="22"/>
    </row>
    <row r="173" spans="1:11" ht="14.4" x14ac:dyDescent="0.3">
      <c r="A173" s="22"/>
      <c r="B173" s="33"/>
      <c r="C173" s="22"/>
      <c r="D173" s="22"/>
      <c r="E173" s="22"/>
      <c r="F173" s="23"/>
      <c r="G173" s="22"/>
      <c r="H173" s="22"/>
      <c r="I173" s="23"/>
      <c r="J173" s="22"/>
      <c r="K173" s="22"/>
    </row>
    <row r="174" spans="1:11" ht="14.4" x14ac:dyDescent="0.3">
      <c r="A174" s="22"/>
      <c r="B174" s="33"/>
      <c r="C174" s="22"/>
      <c r="D174" s="22"/>
      <c r="E174" s="22"/>
      <c r="F174" s="23"/>
      <c r="G174" s="22"/>
      <c r="H174" s="22"/>
      <c r="I174" s="23"/>
      <c r="J174" s="22"/>
      <c r="K174" s="22"/>
    </row>
    <row r="175" spans="1:11" ht="14.4" x14ac:dyDescent="0.3">
      <c r="A175" s="22"/>
      <c r="B175" s="33"/>
      <c r="C175" s="22"/>
      <c r="D175" s="22"/>
      <c r="E175" s="22"/>
      <c r="F175" s="23"/>
      <c r="G175" s="22"/>
      <c r="H175" s="22"/>
      <c r="I175" s="23"/>
      <c r="J175" s="22"/>
      <c r="K175" s="22"/>
    </row>
    <row r="176" spans="1:11" ht="14.4" x14ac:dyDescent="0.3">
      <c r="A176" s="22"/>
      <c r="B176" s="33"/>
      <c r="C176" s="22"/>
      <c r="D176" s="22"/>
      <c r="E176" s="22"/>
      <c r="F176" s="23"/>
      <c r="G176" s="22"/>
      <c r="H176" s="22"/>
      <c r="I176" s="23"/>
      <c r="J176" s="22"/>
      <c r="K176" s="22"/>
    </row>
    <row r="177" spans="1:11" ht="14.4" x14ac:dyDescent="0.3">
      <c r="A177" s="22"/>
      <c r="B177" s="33"/>
      <c r="C177" s="22"/>
      <c r="D177" s="22"/>
      <c r="E177" s="22"/>
      <c r="F177" s="23"/>
      <c r="G177" s="22"/>
      <c r="H177" s="22"/>
      <c r="I177" s="23"/>
      <c r="J177" s="22"/>
      <c r="K177" s="22"/>
    </row>
    <row r="178" spans="1:11" ht="14.4" x14ac:dyDescent="0.3">
      <c r="A178" s="22"/>
      <c r="B178" s="33"/>
      <c r="C178" s="22"/>
      <c r="D178" s="22"/>
      <c r="E178" s="22"/>
      <c r="F178" s="23"/>
      <c r="G178" s="22"/>
      <c r="H178" s="22"/>
      <c r="I178" s="23"/>
      <c r="J178" s="22"/>
      <c r="K178" s="22"/>
    </row>
    <row r="179" spans="1:11" ht="14.4" x14ac:dyDescent="0.3">
      <c r="A179" s="22"/>
      <c r="B179" s="33"/>
      <c r="C179" s="22"/>
      <c r="D179" s="22"/>
      <c r="E179" s="22"/>
      <c r="F179" s="23"/>
      <c r="G179" s="22"/>
      <c r="H179" s="22"/>
      <c r="I179" s="23"/>
      <c r="J179" s="22"/>
      <c r="K179" s="22"/>
    </row>
    <row r="180" spans="1:11" ht="14.4" x14ac:dyDescent="0.3">
      <c r="A180" s="22"/>
      <c r="B180" s="33"/>
      <c r="C180" s="22"/>
      <c r="D180" s="22"/>
      <c r="E180" s="22"/>
      <c r="F180" s="23"/>
      <c r="G180" s="22"/>
      <c r="H180" s="22"/>
      <c r="I180" s="23"/>
      <c r="J180" s="22"/>
      <c r="K180" s="22"/>
    </row>
    <row r="181" spans="1:11" ht="14.4" x14ac:dyDescent="0.3">
      <c r="A181" s="22"/>
      <c r="B181" s="33"/>
      <c r="C181" s="22"/>
      <c r="D181" s="22"/>
      <c r="E181" s="22"/>
      <c r="F181" s="23"/>
      <c r="G181" s="22"/>
      <c r="H181" s="22"/>
      <c r="I181" s="23"/>
      <c r="J181" s="22"/>
      <c r="K181" s="22"/>
    </row>
    <row r="182" spans="1:11" ht="14.4" x14ac:dyDescent="0.3">
      <c r="A182" s="22"/>
      <c r="B182" s="33"/>
      <c r="C182" s="22"/>
      <c r="D182" s="22"/>
      <c r="E182" s="22"/>
      <c r="F182" s="23"/>
      <c r="G182" s="22"/>
      <c r="H182" s="22"/>
      <c r="I182" s="23"/>
      <c r="J182" s="22"/>
      <c r="K182" s="22"/>
    </row>
    <row r="183" spans="1:11" ht="14.4" x14ac:dyDescent="0.3">
      <c r="A183" s="22"/>
      <c r="B183" s="33"/>
      <c r="C183" s="22"/>
      <c r="D183" s="22"/>
      <c r="E183" s="22"/>
      <c r="F183" s="23"/>
      <c r="G183" s="22"/>
      <c r="H183" s="22"/>
      <c r="I183" s="23"/>
      <c r="J183" s="22"/>
      <c r="K183" s="22"/>
    </row>
    <row r="184" spans="1:11" ht="14.4" x14ac:dyDescent="0.3">
      <c r="A184" s="22"/>
      <c r="B184" s="33"/>
      <c r="C184" s="22"/>
      <c r="D184" s="22"/>
      <c r="E184" s="22"/>
      <c r="F184" s="23"/>
      <c r="G184" s="22"/>
      <c r="H184" s="22"/>
      <c r="I184" s="23"/>
      <c r="J184" s="22"/>
      <c r="K184" s="22"/>
    </row>
    <row r="185" spans="1:11" ht="14.4" x14ac:dyDescent="0.3">
      <c r="A185" s="22"/>
      <c r="B185" s="33"/>
      <c r="C185" s="22"/>
      <c r="D185" s="22"/>
      <c r="E185" s="22"/>
      <c r="F185" s="23"/>
      <c r="G185" s="22"/>
      <c r="H185" s="22"/>
      <c r="I185" s="23"/>
      <c r="J185" s="22"/>
      <c r="K185" s="22"/>
    </row>
    <row r="186" spans="1:11" ht="14.4" x14ac:dyDescent="0.3">
      <c r="A186" s="22"/>
      <c r="B186" s="33"/>
      <c r="C186" s="22"/>
      <c r="D186" s="22"/>
      <c r="E186" s="22"/>
      <c r="F186" s="23"/>
      <c r="G186" s="22"/>
      <c r="H186" s="22"/>
      <c r="I186" s="23"/>
      <c r="J186" s="22"/>
      <c r="K186" s="22"/>
    </row>
    <row r="187" spans="1:11" ht="14.4" x14ac:dyDescent="0.3">
      <c r="A187" s="22"/>
      <c r="B187" s="33"/>
      <c r="C187" s="22"/>
      <c r="D187" s="22"/>
      <c r="E187" s="22"/>
      <c r="F187" s="23"/>
      <c r="G187" s="22"/>
      <c r="H187" s="22"/>
      <c r="I187" s="23"/>
      <c r="J187" s="22"/>
      <c r="K187" s="22"/>
    </row>
    <row r="188" spans="1:11" ht="14.4" x14ac:dyDescent="0.3">
      <c r="A188" s="22"/>
      <c r="B188" s="33"/>
      <c r="C188" s="22"/>
      <c r="D188" s="22"/>
      <c r="E188" s="22"/>
      <c r="F188" s="23"/>
      <c r="G188" s="22"/>
      <c r="H188" s="22"/>
      <c r="I188" s="23"/>
      <c r="J188" s="22"/>
      <c r="K188" s="22"/>
    </row>
    <row r="189" spans="1:11" ht="14.4" x14ac:dyDescent="0.3">
      <c r="A189" s="22"/>
      <c r="B189" s="33"/>
      <c r="C189" s="22"/>
      <c r="D189" s="22"/>
      <c r="E189" s="22"/>
      <c r="F189" s="23"/>
      <c r="G189" s="22"/>
      <c r="H189" s="22"/>
      <c r="I189" s="23"/>
      <c r="J189" s="22"/>
      <c r="K189" s="22"/>
    </row>
    <row r="190" spans="1:11" ht="14.4" x14ac:dyDescent="0.3">
      <c r="A190" s="22"/>
      <c r="B190" s="33"/>
      <c r="C190" s="22"/>
      <c r="D190" s="22"/>
      <c r="E190" s="22"/>
      <c r="F190" s="23"/>
      <c r="G190" s="22"/>
      <c r="H190" s="22"/>
      <c r="I190" s="23"/>
      <c r="J190" s="22"/>
      <c r="K190" s="22"/>
    </row>
    <row r="191" spans="1:11" ht="14.4" x14ac:dyDescent="0.3">
      <c r="A191" s="22"/>
      <c r="B191" s="33"/>
      <c r="C191" s="22"/>
      <c r="D191" s="22"/>
      <c r="E191" s="22"/>
      <c r="F191" s="23"/>
      <c r="G191" s="22"/>
      <c r="H191" s="22"/>
      <c r="I191" s="23"/>
      <c r="J191" s="22"/>
      <c r="K191" s="22"/>
    </row>
    <row r="192" spans="1:11" ht="14.4" x14ac:dyDescent="0.3">
      <c r="A192" s="22"/>
      <c r="B192" s="33"/>
      <c r="C192" s="22"/>
      <c r="D192" s="22"/>
      <c r="E192" s="22"/>
      <c r="F192" s="23"/>
      <c r="G192" s="22"/>
      <c r="H192" s="22"/>
      <c r="I192" s="23"/>
      <c r="J192" s="22"/>
      <c r="K192" s="22"/>
    </row>
    <row r="193" spans="1:11" ht="14.4" x14ac:dyDescent="0.3">
      <c r="A193" s="22"/>
      <c r="B193" s="33"/>
      <c r="C193" s="22"/>
      <c r="D193" s="22"/>
      <c r="E193" s="22"/>
      <c r="F193" s="23"/>
      <c r="G193" s="22"/>
      <c r="H193" s="22"/>
      <c r="I193" s="23"/>
      <c r="J193" s="22"/>
      <c r="K193" s="22"/>
    </row>
    <row r="194" spans="1:11" ht="14.4" x14ac:dyDescent="0.3">
      <c r="A194" s="22"/>
      <c r="B194" s="33"/>
      <c r="C194" s="22"/>
      <c r="D194" s="22"/>
      <c r="E194" s="22"/>
      <c r="F194" s="23"/>
      <c r="G194" s="22"/>
      <c r="H194" s="22"/>
      <c r="I194" s="23"/>
      <c r="J194" s="22"/>
      <c r="K194" s="22"/>
    </row>
    <row r="195" spans="1:11" ht="14.4" x14ac:dyDescent="0.3">
      <c r="A195" s="22"/>
      <c r="B195" s="33"/>
      <c r="C195" s="22"/>
      <c r="D195" s="22"/>
      <c r="E195" s="22"/>
      <c r="F195" s="23"/>
      <c r="G195" s="22"/>
      <c r="H195" s="22"/>
      <c r="I195" s="23"/>
      <c r="J195" s="22"/>
      <c r="K195" s="22"/>
    </row>
    <row r="196" spans="1:11" ht="14.4" x14ac:dyDescent="0.3">
      <c r="A196" s="22"/>
      <c r="B196" s="33"/>
      <c r="C196" s="22"/>
      <c r="D196" s="22"/>
      <c r="E196" s="22"/>
      <c r="F196" s="23"/>
      <c r="G196" s="22"/>
      <c r="H196" s="22"/>
      <c r="I196" s="23"/>
      <c r="J196" s="22"/>
      <c r="K196" s="22"/>
    </row>
    <row r="197" spans="1:11" ht="14.4" x14ac:dyDescent="0.3">
      <c r="A197" s="22"/>
      <c r="B197" s="33"/>
      <c r="C197" s="22"/>
      <c r="D197" s="22"/>
      <c r="E197" s="22"/>
      <c r="F197" s="23"/>
      <c r="G197" s="22"/>
      <c r="H197" s="22"/>
      <c r="I197" s="23"/>
      <c r="J197" s="22"/>
      <c r="K197" s="22"/>
    </row>
    <row r="198" spans="1:11" ht="14.4" x14ac:dyDescent="0.3">
      <c r="A198" s="22"/>
      <c r="B198" s="33"/>
      <c r="C198" s="22"/>
      <c r="D198" s="22"/>
      <c r="E198" s="22"/>
      <c r="F198" s="23"/>
      <c r="G198" s="22"/>
      <c r="H198" s="22"/>
      <c r="I198" s="23"/>
      <c r="J198" s="22"/>
      <c r="K198" s="22"/>
    </row>
    <row r="199" spans="1:11" ht="14.4" x14ac:dyDescent="0.3">
      <c r="A199" s="22"/>
      <c r="B199" s="33"/>
      <c r="C199" s="22"/>
      <c r="D199" s="22"/>
      <c r="E199" s="22"/>
      <c r="F199" s="23"/>
      <c r="G199" s="22"/>
      <c r="H199" s="22"/>
      <c r="I199" s="23"/>
      <c r="J199" s="22"/>
      <c r="K199" s="22"/>
    </row>
    <row r="200" spans="1:11" ht="14.4" x14ac:dyDescent="0.3">
      <c r="A200" s="22"/>
      <c r="B200" s="33"/>
      <c r="C200" s="22"/>
      <c r="D200" s="22"/>
      <c r="E200" s="22"/>
      <c r="F200" s="23"/>
      <c r="G200" s="22"/>
      <c r="H200" s="22"/>
      <c r="I200" s="23"/>
      <c r="J200" s="22"/>
      <c r="K200" s="22"/>
    </row>
    <row r="201" spans="1:11" ht="14.4" x14ac:dyDescent="0.3">
      <c r="A201" s="22"/>
      <c r="B201" s="33"/>
      <c r="C201" s="22"/>
      <c r="D201" s="22"/>
      <c r="E201" s="22"/>
      <c r="F201" s="23"/>
      <c r="G201" s="22"/>
      <c r="H201" s="22"/>
      <c r="I201" s="23"/>
      <c r="J201" s="22"/>
      <c r="K201" s="22"/>
    </row>
    <row r="202" spans="1:11" ht="14.4" x14ac:dyDescent="0.3">
      <c r="A202" s="22"/>
      <c r="B202" s="33"/>
      <c r="C202" s="22"/>
      <c r="D202" s="22"/>
      <c r="E202" s="22"/>
      <c r="F202" s="23"/>
      <c r="G202" s="22"/>
      <c r="H202" s="22"/>
      <c r="I202" s="23"/>
      <c r="J202" s="22"/>
      <c r="K202" s="22"/>
    </row>
    <row r="203" spans="1:11" ht="14.4" x14ac:dyDescent="0.3">
      <c r="A203" s="22"/>
      <c r="B203" s="33"/>
      <c r="C203" s="22"/>
      <c r="D203" s="22"/>
      <c r="E203" s="22"/>
      <c r="F203" s="23"/>
      <c r="G203" s="22"/>
      <c r="H203" s="22"/>
      <c r="I203" s="23"/>
      <c r="J203" s="22"/>
      <c r="K203" s="22"/>
    </row>
    <row r="204" spans="1:11" ht="14.4" x14ac:dyDescent="0.3">
      <c r="A204" s="22"/>
      <c r="B204" s="33"/>
      <c r="C204" s="22"/>
      <c r="D204" s="22"/>
      <c r="E204" s="22"/>
      <c r="F204" s="23"/>
      <c r="G204" s="22"/>
      <c r="H204" s="22"/>
      <c r="I204" s="23"/>
      <c r="J204" s="22"/>
      <c r="K204" s="22"/>
    </row>
    <row r="205" spans="1:11" ht="14.4" x14ac:dyDescent="0.3">
      <c r="A205" s="22"/>
      <c r="B205" s="33"/>
      <c r="C205" s="22"/>
      <c r="D205" s="22"/>
      <c r="E205" s="22"/>
      <c r="F205" s="23"/>
      <c r="G205" s="22"/>
      <c r="H205" s="22"/>
      <c r="I205" s="23"/>
      <c r="J205" s="22"/>
      <c r="K205" s="22"/>
    </row>
    <row r="206" spans="1:11" ht="14.4" x14ac:dyDescent="0.3">
      <c r="A206" s="22"/>
      <c r="B206" s="33"/>
      <c r="C206" s="22"/>
      <c r="D206" s="22"/>
      <c r="E206" s="22"/>
      <c r="F206" s="23"/>
      <c r="G206" s="22"/>
      <c r="H206" s="22"/>
      <c r="I206" s="23"/>
      <c r="J206" s="22"/>
      <c r="K206" s="22"/>
    </row>
    <row r="207" spans="1:11" ht="14.4" x14ac:dyDescent="0.3">
      <c r="A207" s="22"/>
      <c r="B207" s="33"/>
      <c r="C207" s="22"/>
      <c r="D207" s="22"/>
      <c r="E207" s="22"/>
      <c r="F207" s="23"/>
      <c r="G207" s="22"/>
      <c r="H207" s="22"/>
      <c r="I207" s="23"/>
      <c r="J207" s="22"/>
      <c r="K207" s="22"/>
    </row>
    <row r="208" spans="1:11" ht="14.4" x14ac:dyDescent="0.3">
      <c r="A208" s="22"/>
      <c r="B208" s="33"/>
      <c r="C208" s="22"/>
      <c r="D208" s="22"/>
      <c r="E208" s="22"/>
      <c r="F208" s="23"/>
      <c r="G208" s="22"/>
      <c r="H208" s="22"/>
      <c r="I208" s="23"/>
      <c r="J208" s="22"/>
      <c r="K208" s="22"/>
    </row>
    <row r="209" spans="1:11" ht="14.4" x14ac:dyDescent="0.3">
      <c r="A209" s="22"/>
      <c r="B209" s="33"/>
      <c r="C209" s="22"/>
      <c r="D209" s="22"/>
      <c r="E209" s="22"/>
      <c r="F209" s="23"/>
      <c r="G209" s="22"/>
      <c r="H209" s="22"/>
      <c r="I209" s="23"/>
      <c r="J209" s="22"/>
      <c r="K209" s="22"/>
    </row>
    <row r="210" spans="1:11" ht="14.4" x14ac:dyDescent="0.3">
      <c r="A210" s="22"/>
      <c r="B210" s="33"/>
      <c r="C210" s="22"/>
      <c r="D210" s="22"/>
      <c r="E210" s="22"/>
      <c r="F210" s="23"/>
      <c r="G210" s="22"/>
      <c r="H210" s="22"/>
      <c r="I210" s="23"/>
      <c r="J210" s="22"/>
      <c r="K210" s="22"/>
    </row>
    <row r="211" spans="1:11" ht="14.4" x14ac:dyDescent="0.3">
      <c r="A211" s="22"/>
      <c r="B211" s="33"/>
      <c r="C211" s="22"/>
      <c r="D211" s="22"/>
      <c r="E211" s="22"/>
      <c r="F211" s="23"/>
      <c r="G211" s="22"/>
      <c r="H211" s="22"/>
      <c r="I211" s="23"/>
      <c r="J211" s="22"/>
      <c r="K211" s="22"/>
    </row>
    <row r="212" spans="1:11" ht="14.4" x14ac:dyDescent="0.3">
      <c r="A212" s="22"/>
      <c r="B212" s="33"/>
      <c r="C212" s="22"/>
      <c r="D212" s="22"/>
      <c r="E212" s="22"/>
      <c r="F212" s="23"/>
      <c r="G212" s="22"/>
      <c r="H212" s="22"/>
      <c r="I212" s="23"/>
      <c r="J212" s="22"/>
      <c r="K212" s="22"/>
    </row>
    <row r="213" spans="1:11" ht="14.4" x14ac:dyDescent="0.3">
      <c r="A213" s="22"/>
      <c r="B213" s="33"/>
      <c r="C213" s="22"/>
      <c r="D213" s="22"/>
      <c r="E213" s="22"/>
      <c r="F213" s="23"/>
      <c r="G213" s="22"/>
      <c r="H213" s="22"/>
      <c r="I213" s="23"/>
      <c r="J213" s="22"/>
      <c r="K213" s="22"/>
    </row>
    <row r="214" spans="1:11" ht="14.4" x14ac:dyDescent="0.3">
      <c r="A214" s="22"/>
      <c r="B214" s="33"/>
      <c r="C214" s="22"/>
      <c r="D214" s="22"/>
      <c r="E214" s="22"/>
      <c r="F214" s="23"/>
      <c r="G214" s="22"/>
      <c r="H214" s="22"/>
      <c r="I214" s="23"/>
      <c r="J214" s="22"/>
      <c r="K214" s="22"/>
    </row>
    <row r="215" spans="1:11" ht="14.4" x14ac:dyDescent="0.3">
      <c r="A215" s="22"/>
      <c r="B215" s="33"/>
      <c r="C215" s="22"/>
      <c r="D215" s="22"/>
      <c r="E215" s="22"/>
      <c r="F215" s="23"/>
      <c r="G215" s="22"/>
      <c r="H215" s="22"/>
      <c r="I215" s="23"/>
      <c r="J215" s="22"/>
      <c r="K215" s="22"/>
    </row>
    <row r="216" spans="1:11" ht="14.4" x14ac:dyDescent="0.3">
      <c r="A216" s="22"/>
      <c r="B216" s="33"/>
      <c r="C216" s="22"/>
      <c r="D216" s="22"/>
      <c r="E216" s="22"/>
      <c r="F216" s="23"/>
      <c r="G216" s="22"/>
      <c r="H216" s="22"/>
      <c r="I216" s="23"/>
      <c r="J216" s="22"/>
      <c r="K216" s="22"/>
    </row>
    <row r="217" spans="1:11" ht="14.4" x14ac:dyDescent="0.3">
      <c r="A217" s="22"/>
      <c r="B217" s="33"/>
      <c r="C217" s="22"/>
      <c r="D217" s="22"/>
      <c r="E217" s="22"/>
      <c r="F217" s="23"/>
      <c r="G217" s="22"/>
      <c r="H217" s="22"/>
      <c r="I217" s="23"/>
      <c r="J217" s="22"/>
      <c r="K217" s="22"/>
    </row>
    <row r="218" spans="1:11" ht="14.4" x14ac:dyDescent="0.3">
      <c r="A218" s="22"/>
      <c r="B218" s="33"/>
      <c r="C218" s="22"/>
      <c r="D218" s="22"/>
      <c r="E218" s="22"/>
      <c r="F218" s="23"/>
      <c r="G218" s="22"/>
      <c r="H218" s="22"/>
      <c r="I218" s="23"/>
      <c r="J218" s="22"/>
      <c r="K218" s="22"/>
    </row>
    <row r="219" spans="1:11" ht="14.4" x14ac:dyDescent="0.3">
      <c r="A219" s="22"/>
      <c r="B219" s="33"/>
      <c r="C219" s="22"/>
      <c r="D219" s="22"/>
      <c r="E219" s="22"/>
      <c r="F219" s="23"/>
      <c r="G219" s="22"/>
      <c r="H219" s="22"/>
      <c r="I219" s="23"/>
      <c r="J219" s="22"/>
      <c r="K219" s="22"/>
    </row>
    <row r="220" spans="1:11" ht="14.4" x14ac:dyDescent="0.3">
      <c r="A220" s="22"/>
      <c r="B220" s="33"/>
      <c r="C220" s="22"/>
      <c r="D220" s="22"/>
      <c r="E220" s="22"/>
      <c r="F220" s="23"/>
      <c r="G220" s="22"/>
      <c r="H220" s="22"/>
      <c r="I220" s="23"/>
      <c r="J220" s="22"/>
      <c r="K220" s="22"/>
    </row>
    <row r="221" spans="1:11" ht="14.4" x14ac:dyDescent="0.3">
      <c r="A221" s="22"/>
      <c r="B221" s="33"/>
      <c r="C221" s="22"/>
      <c r="D221" s="22"/>
      <c r="E221" s="22"/>
      <c r="F221" s="23"/>
      <c r="G221" s="22"/>
      <c r="H221" s="22"/>
      <c r="I221" s="23"/>
      <c r="J221" s="22"/>
      <c r="K221" s="22"/>
    </row>
    <row r="222" spans="1:11" ht="14.4" x14ac:dyDescent="0.3">
      <c r="A222" s="22"/>
      <c r="B222" s="33"/>
      <c r="C222" s="22"/>
      <c r="D222" s="22"/>
      <c r="E222" s="22"/>
      <c r="F222" s="23"/>
      <c r="G222" s="22"/>
      <c r="H222" s="22"/>
      <c r="I222" s="23"/>
      <c r="J222" s="22"/>
      <c r="K222" s="22"/>
    </row>
    <row r="223" spans="1:11" ht="14.4" x14ac:dyDescent="0.3">
      <c r="A223" s="22"/>
      <c r="B223" s="33"/>
      <c r="C223" s="22"/>
      <c r="D223" s="22"/>
      <c r="E223" s="22"/>
      <c r="F223" s="23"/>
      <c r="G223" s="22"/>
      <c r="H223" s="22"/>
      <c r="I223" s="23"/>
      <c r="J223" s="22"/>
      <c r="K223" s="22"/>
    </row>
    <row r="224" spans="1:11" ht="14.4" x14ac:dyDescent="0.3">
      <c r="A224" s="22"/>
      <c r="B224" s="33"/>
      <c r="C224" s="22"/>
      <c r="D224" s="22"/>
      <c r="E224" s="22"/>
      <c r="F224" s="23"/>
      <c r="G224" s="22"/>
      <c r="H224" s="22"/>
      <c r="I224" s="23"/>
      <c r="J224" s="22"/>
      <c r="K224" s="22"/>
    </row>
    <row r="225" spans="1:11" ht="14.4" x14ac:dyDescent="0.3">
      <c r="A225" s="22"/>
      <c r="B225" s="33"/>
      <c r="C225" s="22"/>
      <c r="D225" s="22"/>
      <c r="E225" s="22"/>
      <c r="F225" s="23"/>
      <c r="G225" s="22"/>
      <c r="H225" s="22"/>
      <c r="I225" s="23"/>
      <c r="J225" s="22"/>
      <c r="K225" s="22"/>
    </row>
    <row r="226" spans="1:11" ht="14.4" x14ac:dyDescent="0.3">
      <c r="A226" s="22"/>
      <c r="B226" s="33"/>
      <c r="C226" s="22"/>
      <c r="D226" s="22"/>
      <c r="E226" s="22"/>
      <c r="F226" s="23"/>
      <c r="G226" s="22"/>
      <c r="H226" s="22"/>
      <c r="I226" s="23"/>
      <c r="J226" s="22"/>
      <c r="K226" s="22"/>
    </row>
    <row r="227" spans="1:11" ht="14.4" x14ac:dyDescent="0.3">
      <c r="A227" s="22"/>
      <c r="B227" s="33"/>
      <c r="C227" s="22"/>
      <c r="D227" s="22"/>
      <c r="E227" s="22"/>
      <c r="F227" s="23"/>
      <c r="G227" s="22"/>
      <c r="H227" s="22"/>
      <c r="I227" s="23"/>
      <c r="J227" s="22"/>
      <c r="K227" s="22"/>
    </row>
    <row r="228" spans="1:11" ht="14.4" x14ac:dyDescent="0.3">
      <c r="A228" s="22"/>
      <c r="B228" s="33"/>
      <c r="C228" s="22"/>
      <c r="D228" s="22"/>
      <c r="E228" s="22"/>
      <c r="F228" s="23"/>
      <c r="G228" s="22"/>
      <c r="H228" s="22"/>
      <c r="I228" s="23"/>
      <c r="J228" s="22"/>
      <c r="K228" s="22"/>
    </row>
    <row r="229" spans="1:11" ht="14.4" x14ac:dyDescent="0.3">
      <c r="A229" s="22"/>
      <c r="B229" s="33"/>
      <c r="C229" s="22"/>
      <c r="D229" s="22"/>
      <c r="E229" s="22"/>
      <c r="F229" s="23"/>
      <c r="G229" s="22"/>
      <c r="H229" s="22"/>
      <c r="I229" s="23"/>
      <c r="J229" s="22"/>
      <c r="K229" s="22"/>
    </row>
    <row r="230" spans="1:11" ht="14.4" x14ac:dyDescent="0.3">
      <c r="A230" s="22"/>
      <c r="B230" s="33"/>
      <c r="C230" s="22"/>
      <c r="D230" s="22"/>
      <c r="E230" s="22"/>
      <c r="F230" s="23"/>
      <c r="G230" s="22"/>
      <c r="H230" s="22"/>
      <c r="I230" s="23"/>
      <c r="J230" s="22"/>
      <c r="K230" s="22"/>
    </row>
    <row r="231" spans="1:11" ht="14.4" x14ac:dyDescent="0.3">
      <c r="A231" s="22"/>
      <c r="B231" s="33"/>
      <c r="C231" s="22"/>
      <c r="D231" s="22"/>
      <c r="E231" s="22"/>
      <c r="F231" s="23"/>
      <c r="G231" s="22"/>
      <c r="H231" s="22"/>
      <c r="I231" s="23"/>
      <c r="J231" s="22"/>
      <c r="K231" s="22"/>
    </row>
    <row r="232" spans="1:11" ht="14.4" x14ac:dyDescent="0.3">
      <c r="A232" s="22"/>
      <c r="B232" s="33"/>
      <c r="C232" s="22"/>
      <c r="D232" s="22"/>
      <c r="E232" s="22"/>
      <c r="F232" s="23"/>
      <c r="G232" s="22"/>
      <c r="H232" s="22"/>
      <c r="I232" s="23"/>
      <c r="J232" s="22"/>
      <c r="K232" s="22"/>
    </row>
    <row r="233" spans="1:11" ht="14.4" x14ac:dyDescent="0.3">
      <c r="A233" s="22"/>
      <c r="B233" s="33"/>
      <c r="C233" s="22"/>
      <c r="D233" s="22"/>
      <c r="E233" s="22"/>
      <c r="F233" s="23"/>
      <c r="G233" s="22"/>
      <c r="H233" s="22"/>
      <c r="I233" s="23"/>
      <c r="J233" s="22"/>
      <c r="K233" s="22"/>
    </row>
    <row r="234" spans="1:11" ht="14.4" x14ac:dyDescent="0.3">
      <c r="A234" s="22"/>
      <c r="B234" s="33"/>
      <c r="C234" s="22"/>
      <c r="D234" s="22"/>
      <c r="E234" s="22"/>
      <c r="F234" s="23"/>
      <c r="G234" s="22"/>
      <c r="H234" s="22"/>
      <c r="I234" s="23"/>
      <c r="J234" s="22"/>
      <c r="K234" s="22"/>
    </row>
    <row r="235" spans="1:11" ht="14.4" x14ac:dyDescent="0.3">
      <c r="A235" s="22"/>
      <c r="B235" s="33"/>
      <c r="C235" s="22"/>
      <c r="D235" s="22"/>
      <c r="E235" s="22"/>
      <c r="F235" s="23"/>
      <c r="G235" s="22"/>
      <c r="H235" s="22"/>
      <c r="I235" s="23"/>
      <c r="J235" s="22"/>
      <c r="K235" s="22"/>
    </row>
    <row r="236" spans="1:11" ht="14.4" x14ac:dyDescent="0.3">
      <c r="A236" s="22"/>
      <c r="B236" s="33"/>
      <c r="C236" s="22"/>
      <c r="D236" s="22"/>
      <c r="E236" s="22"/>
      <c r="F236" s="23"/>
      <c r="G236" s="22"/>
      <c r="H236" s="22"/>
      <c r="I236" s="23"/>
      <c r="J236" s="22"/>
      <c r="K236" s="22"/>
    </row>
    <row r="237" spans="1:11" ht="14.4" x14ac:dyDescent="0.3">
      <c r="A237" s="22"/>
      <c r="B237" s="33"/>
      <c r="C237" s="22"/>
      <c r="D237" s="22"/>
      <c r="E237" s="22"/>
      <c r="F237" s="23"/>
      <c r="G237" s="22"/>
      <c r="H237" s="22"/>
      <c r="I237" s="23"/>
      <c r="J237" s="22"/>
      <c r="K237" s="22"/>
    </row>
    <row r="238" spans="1:11" ht="14.4" x14ac:dyDescent="0.3">
      <c r="A238" s="22"/>
      <c r="B238" s="33"/>
      <c r="C238" s="22"/>
      <c r="D238" s="22"/>
      <c r="E238" s="22"/>
      <c r="F238" s="23"/>
      <c r="G238" s="22"/>
      <c r="H238" s="22"/>
      <c r="I238" s="23"/>
      <c r="J238" s="22"/>
      <c r="K238" s="22"/>
    </row>
    <row r="239" spans="1:11" ht="14.4" x14ac:dyDescent="0.3">
      <c r="A239" s="22"/>
      <c r="B239" s="33"/>
      <c r="C239" s="22"/>
      <c r="D239" s="22"/>
      <c r="E239" s="22"/>
      <c r="F239" s="23"/>
      <c r="G239" s="22"/>
      <c r="H239" s="22"/>
      <c r="I239" s="23"/>
      <c r="J239" s="22"/>
      <c r="K239" s="22"/>
    </row>
    <row r="240" spans="1:11" ht="14.4" x14ac:dyDescent="0.3">
      <c r="A240" s="22"/>
      <c r="B240" s="33"/>
      <c r="C240" s="22"/>
      <c r="D240" s="22"/>
      <c r="E240" s="22"/>
      <c r="F240" s="23"/>
      <c r="G240" s="22"/>
      <c r="H240" s="22"/>
      <c r="I240" s="23"/>
      <c r="J240" s="22"/>
      <c r="K240" s="22"/>
    </row>
    <row r="241" spans="1:11" ht="14.4" x14ac:dyDescent="0.3">
      <c r="A241" s="22"/>
      <c r="B241" s="33"/>
      <c r="C241" s="22"/>
      <c r="D241" s="22"/>
      <c r="E241" s="22"/>
      <c r="F241" s="23"/>
      <c r="G241" s="22"/>
      <c r="H241" s="22"/>
      <c r="I241" s="23"/>
      <c r="J241" s="22"/>
      <c r="K241" s="22"/>
    </row>
    <row r="242" spans="1:11" ht="14.4" x14ac:dyDescent="0.3">
      <c r="A242" s="22"/>
      <c r="B242" s="33"/>
      <c r="C242" s="22"/>
      <c r="D242" s="22"/>
      <c r="E242" s="22"/>
      <c r="F242" s="23"/>
      <c r="G242" s="22"/>
      <c r="H242" s="22"/>
      <c r="I242" s="23"/>
      <c r="J242" s="22"/>
      <c r="K242" s="22"/>
    </row>
    <row r="243" spans="1:11" ht="14.4" x14ac:dyDescent="0.3">
      <c r="A243" s="22"/>
      <c r="B243" s="33"/>
      <c r="C243" s="22"/>
      <c r="D243" s="22"/>
      <c r="E243" s="22"/>
      <c r="F243" s="23"/>
      <c r="G243" s="22"/>
      <c r="H243" s="22"/>
      <c r="I243" s="23"/>
      <c r="J243" s="22"/>
      <c r="K243" s="22"/>
    </row>
    <row r="244" spans="1:11" ht="14.4" x14ac:dyDescent="0.3">
      <c r="A244" s="22"/>
      <c r="B244" s="33"/>
      <c r="C244" s="22"/>
      <c r="D244" s="22"/>
      <c r="E244" s="22"/>
      <c r="F244" s="23"/>
      <c r="G244" s="22"/>
      <c r="H244" s="22"/>
      <c r="I244" s="23"/>
      <c r="J244" s="22"/>
      <c r="K244" s="22"/>
    </row>
    <row r="245" spans="1:11" ht="14.4" x14ac:dyDescent="0.3">
      <c r="A245" s="22"/>
      <c r="B245" s="33"/>
      <c r="C245" s="22"/>
      <c r="D245" s="22"/>
      <c r="E245" s="22"/>
      <c r="F245" s="23"/>
      <c r="G245" s="22"/>
      <c r="H245" s="22"/>
      <c r="I245" s="23"/>
      <c r="J245" s="22"/>
      <c r="K245" s="22"/>
    </row>
    <row r="246" spans="1:11" ht="14.4" x14ac:dyDescent="0.3">
      <c r="A246" s="22"/>
      <c r="B246" s="33"/>
      <c r="C246" s="22"/>
      <c r="D246" s="22"/>
      <c r="E246" s="22"/>
      <c r="F246" s="23"/>
      <c r="G246" s="22"/>
      <c r="H246" s="22"/>
      <c r="I246" s="23"/>
      <c r="J246" s="22"/>
      <c r="K246" s="22"/>
    </row>
    <row r="247" spans="1:11" ht="14.4" x14ac:dyDescent="0.3">
      <c r="A247" s="22"/>
      <c r="B247" s="33"/>
      <c r="C247" s="22"/>
      <c r="D247" s="22"/>
      <c r="E247" s="22"/>
      <c r="F247" s="23"/>
      <c r="G247" s="22"/>
      <c r="H247" s="22"/>
      <c r="I247" s="23"/>
      <c r="J247" s="22"/>
      <c r="K247" s="22"/>
    </row>
    <row r="248" spans="1:11" ht="14.4" x14ac:dyDescent="0.3">
      <c r="A248" s="22"/>
      <c r="B248" s="33"/>
      <c r="C248" s="22"/>
      <c r="D248" s="22"/>
      <c r="E248" s="22"/>
      <c r="F248" s="23"/>
      <c r="G248" s="22"/>
      <c r="H248" s="22"/>
      <c r="I248" s="23"/>
      <c r="J248" s="22"/>
      <c r="K248" s="22"/>
    </row>
    <row r="249" spans="1:11" ht="14.4" x14ac:dyDescent="0.3">
      <c r="A249" s="22"/>
      <c r="B249" s="33"/>
      <c r="C249" s="22"/>
      <c r="D249" s="22"/>
      <c r="E249" s="22"/>
      <c r="F249" s="23"/>
      <c r="G249" s="22"/>
      <c r="H249" s="22"/>
      <c r="I249" s="23"/>
      <c r="J249" s="22"/>
      <c r="K249" s="22"/>
    </row>
    <row r="250" spans="1:11" ht="14.4" x14ac:dyDescent="0.3">
      <c r="A250" s="22"/>
      <c r="B250" s="33"/>
      <c r="C250" s="22"/>
      <c r="D250" s="22"/>
      <c r="E250" s="22"/>
      <c r="F250" s="23"/>
      <c r="G250" s="22"/>
      <c r="H250" s="22"/>
      <c r="I250" s="23"/>
      <c r="J250" s="22"/>
      <c r="K250" s="22"/>
    </row>
    <row r="251" spans="1:11" ht="14.4" x14ac:dyDescent="0.3">
      <c r="A251" s="22"/>
      <c r="B251" s="33"/>
      <c r="C251" s="22"/>
      <c r="D251" s="22"/>
      <c r="E251" s="22"/>
      <c r="F251" s="23"/>
      <c r="G251" s="22"/>
      <c r="H251" s="22"/>
      <c r="I251" s="23"/>
      <c r="J251" s="22"/>
      <c r="K251" s="22"/>
    </row>
    <row r="252" spans="1:11" ht="14.4" x14ac:dyDescent="0.3">
      <c r="A252" s="22"/>
      <c r="B252" s="33"/>
      <c r="C252" s="22"/>
      <c r="D252" s="22"/>
      <c r="E252" s="22"/>
      <c r="F252" s="23"/>
      <c r="G252" s="22"/>
      <c r="H252" s="22"/>
      <c r="I252" s="23"/>
      <c r="J252" s="22"/>
      <c r="K252" s="22"/>
    </row>
    <row r="253" spans="1:11" ht="14.4" x14ac:dyDescent="0.3">
      <c r="A253" s="22"/>
      <c r="B253" s="33"/>
      <c r="C253" s="22"/>
      <c r="D253" s="22"/>
      <c r="E253" s="22"/>
      <c r="F253" s="23"/>
      <c r="G253" s="22"/>
      <c r="H253" s="22"/>
      <c r="I253" s="23"/>
      <c r="J253" s="22"/>
      <c r="K253" s="22"/>
    </row>
    <row r="254" spans="1:11" ht="14.4" x14ac:dyDescent="0.3">
      <c r="A254" s="22"/>
      <c r="B254" s="33"/>
      <c r="C254" s="22"/>
      <c r="D254" s="22"/>
      <c r="E254" s="22"/>
      <c r="F254" s="23"/>
      <c r="G254" s="22"/>
      <c r="H254" s="22"/>
      <c r="I254" s="23"/>
      <c r="J254" s="22"/>
      <c r="K254" s="22"/>
    </row>
    <row r="255" spans="1:11" ht="14.4" x14ac:dyDescent="0.3">
      <c r="A255" s="22"/>
      <c r="B255" s="33"/>
      <c r="C255" s="22"/>
      <c r="D255" s="22"/>
      <c r="E255" s="22"/>
      <c r="F255" s="23"/>
      <c r="G255" s="22"/>
      <c r="H255" s="22"/>
      <c r="I255" s="23"/>
      <c r="J255" s="22"/>
      <c r="K255" s="22"/>
    </row>
    <row r="256" spans="1:11" ht="14.4" x14ac:dyDescent="0.3">
      <c r="A256" s="22"/>
      <c r="B256" s="33"/>
      <c r="C256" s="22"/>
      <c r="D256" s="22"/>
      <c r="E256" s="22"/>
      <c r="F256" s="23"/>
      <c r="G256" s="22"/>
      <c r="H256" s="22"/>
      <c r="I256" s="23"/>
      <c r="J256" s="22"/>
      <c r="K256" s="22"/>
    </row>
    <row r="257" spans="1:11" ht="14.4" x14ac:dyDescent="0.3">
      <c r="A257" s="22"/>
      <c r="B257" s="33"/>
      <c r="C257" s="22"/>
      <c r="D257" s="22"/>
      <c r="E257" s="22"/>
      <c r="F257" s="23"/>
      <c r="G257" s="22"/>
      <c r="H257" s="22"/>
      <c r="I257" s="23"/>
      <c r="J257" s="22"/>
      <c r="K257" s="22"/>
    </row>
    <row r="258" spans="1:11" ht="14.4" x14ac:dyDescent="0.3">
      <c r="A258" s="22"/>
      <c r="B258" s="33"/>
      <c r="C258" s="22"/>
      <c r="D258" s="22"/>
      <c r="E258" s="22"/>
      <c r="F258" s="23"/>
      <c r="G258" s="22"/>
      <c r="H258" s="22"/>
      <c r="I258" s="23"/>
      <c r="J258" s="22"/>
      <c r="K258" s="22"/>
    </row>
    <row r="259" spans="1:11" ht="14.4" x14ac:dyDescent="0.3">
      <c r="A259" s="22"/>
      <c r="B259" s="33"/>
      <c r="C259" s="22"/>
      <c r="D259" s="22"/>
      <c r="E259" s="22"/>
      <c r="F259" s="23"/>
      <c r="G259" s="22"/>
      <c r="H259" s="22"/>
      <c r="I259" s="23"/>
      <c r="J259" s="22"/>
      <c r="K259" s="22"/>
    </row>
    <row r="260" spans="1:11" ht="14.4" x14ac:dyDescent="0.3">
      <c r="A260" s="22"/>
      <c r="B260" s="33"/>
      <c r="C260" s="22"/>
      <c r="D260" s="22"/>
      <c r="E260" s="22"/>
      <c r="F260" s="23"/>
      <c r="G260" s="22"/>
      <c r="H260" s="22"/>
      <c r="I260" s="23"/>
      <c r="J260" s="22"/>
      <c r="K260" s="22"/>
    </row>
    <row r="261" spans="1:11" ht="14.4" x14ac:dyDescent="0.3">
      <c r="A261" s="22"/>
      <c r="B261" s="33"/>
      <c r="C261" s="22"/>
      <c r="D261" s="22"/>
      <c r="E261" s="22"/>
      <c r="F261" s="23"/>
      <c r="G261" s="22"/>
      <c r="H261" s="22"/>
      <c r="I261" s="23"/>
      <c r="J261" s="22"/>
      <c r="K261" s="22"/>
    </row>
    <row r="262" spans="1:11" ht="14.4" x14ac:dyDescent="0.3">
      <c r="A262" s="22"/>
      <c r="B262" s="33"/>
      <c r="C262" s="22"/>
      <c r="D262" s="22"/>
      <c r="E262" s="22"/>
      <c r="F262" s="23"/>
      <c r="G262" s="22"/>
      <c r="H262" s="22"/>
      <c r="I262" s="23"/>
      <c r="J262" s="22"/>
      <c r="K262" s="22"/>
    </row>
    <row r="263" spans="1:11" ht="14.4" x14ac:dyDescent="0.3">
      <c r="A263" s="22"/>
      <c r="B263" s="33"/>
      <c r="C263" s="22"/>
      <c r="D263" s="22"/>
      <c r="E263" s="22"/>
      <c r="F263" s="23"/>
      <c r="G263" s="22"/>
      <c r="H263" s="22"/>
      <c r="I263" s="23"/>
      <c r="J263" s="22"/>
      <c r="K263" s="22"/>
    </row>
    <row r="264" spans="1:11" ht="14.4" x14ac:dyDescent="0.3">
      <c r="A264" s="22"/>
      <c r="B264" s="33"/>
      <c r="C264" s="22"/>
      <c r="D264" s="22"/>
      <c r="E264" s="22"/>
      <c r="F264" s="23"/>
      <c r="G264" s="22"/>
      <c r="H264" s="22"/>
      <c r="I264" s="23"/>
      <c r="J264" s="22"/>
      <c r="K264" s="22"/>
    </row>
    <row r="265" spans="1:11" ht="14.4" x14ac:dyDescent="0.3">
      <c r="A265" s="22"/>
      <c r="B265" s="33"/>
      <c r="C265" s="22"/>
      <c r="D265" s="22"/>
      <c r="E265" s="22"/>
      <c r="F265" s="23"/>
      <c r="G265" s="22"/>
      <c r="H265" s="22"/>
      <c r="I265" s="23"/>
      <c r="J265" s="22"/>
      <c r="K265" s="22"/>
    </row>
    <row r="266" spans="1:11" ht="14.4" x14ac:dyDescent="0.3">
      <c r="A266" s="22"/>
      <c r="B266" s="33"/>
      <c r="C266" s="22"/>
      <c r="D266" s="22"/>
      <c r="E266" s="22"/>
      <c r="F266" s="23"/>
      <c r="G266" s="22"/>
      <c r="H266" s="22"/>
      <c r="I266" s="23"/>
      <c r="J266" s="22"/>
      <c r="K266" s="22"/>
    </row>
    <row r="267" spans="1:11" ht="14.4" x14ac:dyDescent="0.3">
      <c r="A267" s="22"/>
      <c r="B267" s="33"/>
      <c r="C267" s="22"/>
      <c r="D267" s="22"/>
      <c r="E267" s="22"/>
      <c r="F267" s="23"/>
      <c r="G267" s="22"/>
      <c r="H267" s="22"/>
      <c r="I267" s="23"/>
      <c r="J267" s="22"/>
      <c r="K267" s="22"/>
    </row>
    <row r="268" spans="1:11" ht="14.4" x14ac:dyDescent="0.3">
      <c r="A268" s="22"/>
      <c r="B268" s="33"/>
      <c r="C268" s="22"/>
      <c r="D268" s="22"/>
      <c r="E268" s="22"/>
      <c r="F268" s="23"/>
      <c r="G268" s="22"/>
      <c r="H268" s="22"/>
      <c r="I268" s="23"/>
      <c r="J268" s="22"/>
      <c r="K268" s="22"/>
    </row>
    <row r="269" spans="1:11" ht="14.4" x14ac:dyDescent="0.3">
      <c r="A269" s="22"/>
      <c r="B269" s="33"/>
      <c r="C269" s="22"/>
      <c r="D269" s="22"/>
      <c r="E269" s="22"/>
      <c r="F269" s="23"/>
      <c r="G269" s="22"/>
      <c r="H269" s="22"/>
      <c r="I269" s="23"/>
      <c r="J269" s="22"/>
      <c r="K269" s="22"/>
    </row>
    <row r="270" spans="1:11" ht="14.4" x14ac:dyDescent="0.3">
      <c r="A270" s="22"/>
      <c r="B270" s="33"/>
      <c r="C270" s="22"/>
      <c r="D270" s="22"/>
      <c r="E270" s="22"/>
      <c r="F270" s="23"/>
      <c r="G270" s="22"/>
      <c r="H270" s="22"/>
      <c r="I270" s="23"/>
      <c r="J270" s="22"/>
      <c r="K270" s="22"/>
    </row>
    <row r="271" spans="1:11" ht="14.4" x14ac:dyDescent="0.3">
      <c r="A271" s="22"/>
      <c r="B271" s="33"/>
      <c r="C271" s="22"/>
      <c r="D271" s="22"/>
      <c r="E271" s="22"/>
      <c r="F271" s="23"/>
      <c r="G271" s="22"/>
      <c r="H271" s="22"/>
      <c r="I271" s="23"/>
      <c r="J271" s="22"/>
      <c r="K271" s="22"/>
    </row>
    <row r="272" spans="1:11" ht="14.4" x14ac:dyDescent="0.3">
      <c r="A272" s="22"/>
      <c r="B272" s="33"/>
      <c r="C272" s="22"/>
      <c r="D272" s="22"/>
      <c r="E272" s="22"/>
      <c r="F272" s="23"/>
      <c r="G272" s="22"/>
      <c r="H272" s="22"/>
      <c r="I272" s="23"/>
      <c r="J272" s="22"/>
      <c r="K272" s="22"/>
    </row>
    <row r="273" spans="1:11" ht="14.4" x14ac:dyDescent="0.3">
      <c r="A273" s="22"/>
      <c r="B273" s="33"/>
      <c r="C273" s="22"/>
      <c r="D273" s="22"/>
      <c r="E273" s="22"/>
      <c r="F273" s="23"/>
      <c r="G273" s="22"/>
      <c r="H273" s="22"/>
      <c r="I273" s="23"/>
      <c r="J273" s="22"/>
      <c r="K273" s="22"/>
    </row>
    <row r="274" spans="1:11" ht="14.4" x14ac:dyDescent="0.3">
      <c r="A274" s="22"/>
      <c r="B274" s="33"/>
      <c r="C274" s="22"/>
      <c r="D274" s="22"/>
      <c r="E274" s="22"/>
      <c r="F274" s="23"/>
      <c r="G274" s="22"/>
      <c r="H274" s="22"/>
      <c r="I274" s="23"/>
      <c r="J274" s="22"/>
      <c r="K274" s="22"/>
    </row>
    <row r="275" spans="1:11" ht="14.4" x14ac:dyDescent="0.3">
      <c r="A275" s="22"/>
      <c r="B275" s="33"/>
      <c r="C275" s="22"/>
      <c r="D275" s="22"/>
      <c r="E275" s="22"/>
      <c r="F275" s="23"/>
      <c r="G275" s="22"/>
      <c r="H275" s="22"/>
      <c r="I275" s="23"/>
      <c r="J275" s="22"/>
      <c r="K275" s="22"/>
    </row>
    <row r="276" spans="1:11" ht="14.4" x14ac:dyDescent="0.3">
      <c r="A276" s="22"/>
      <c r="B276" s="33"/>
      <c r="C276" s="22"/>
      <c r="D276" s="22"/>
      <c r="E276" s="22"/>
      <c r="F276" s="23"/>
      <c r="G276" s="22"/>
      <c r="H276" s="22"/>
      <c r="I276" s="23"/>
      <c r="J276" s="22"/>
      <c r="K276" s="22"/>
    </row>
    <row r="277" spans="1:11" ht="14.4" x14ac:dyDescent="0.3">
      <c r="A277" s="22"/>
      <c r="B277" s="33"/>
      <c r="C277" s="22"/>
      <c r="D277" s="22"/>
      <c r="E277" s="22"/>
      <c r="F277" s="23"/>
      <c r="G277" s="22"/>
      <c r="H277" s="22"/>
      <c r="I277" s="23"/>
      <c r="J277" s="22"/>
      <c r="K277" s="22"/>
    </row>
    <row r="278" spans="1:11" ht="14.4" x14ac:dyDescent="0.3">
      <c r="A278" s="22"/>
      <c r="B278" s="33"/>
      <c r="C278" s="22"/>
      <c r="D278" s="22"/>
      <c r="E278" s="22"/>
      <c r="F278" s="23"/>
      <c r="G278" s="22"/>
      <c r="H278" s="22"/>
      <c r="I278" s="23"/>
      <c r="J278" s="22"/>
      <c r="K278" s="22"/>
    </row>
    <row r="279" spans="1:11" ht="14.4" x14ac:dyDescent="0.3">
      <c r="A279" s="22"/>
      <c r="B279" s="33"/>
      <c r="C279" s="22"/>
      <c r="D279" s="22"/>
      <c r="E279" s="22"/>
      <c r="F279" s="23"/>
      <c r="G279" s="22"/>
      <c r="H279" s="22"/>
      <c r="I279" s="23"/>
      <c r="J279" s="22"/>
      <c r="K279" s="22"/>
    </row>
    <row r="280" spans="1:11" ht="14.4" x14ac:dyDescent="0.3">
      <c r="A280" s="22"/>
      <c r="B280" s="33"/>
      <c r="C280" s="22"/>
      <c r="D280" s="22"/>
      <c r="E280" s="22"/>
      <c r="F280" s="23"/>
      <c r="G280" s="22"/>
      <c r="H280" s="22"/>
      <c r="I280" s="23"/>
      <c r="J280" s="22"/>
      <c r="K280" s="22"/>
    </row>
    <row r="281" spans="1:11" ht="14.4" x14ac:dyDescent="0.3">
      <c r="A281" s="22"/>
      <c r="B281" s="33"/>
      <c r="C281" s="22"/>
      <c r="D281" s="22"/>
      <c r="E281" s="22"/>
      <c r="F281" s="23"/>
      <c r="G281" s="22"/>
      <c r="H281" s="22"/>
      <c r="I281" s="23"/>
      <c r="J281" s="22"/>
      <c r="K281" s="22"/>
    </row>
    <row r="282" spans="1:11" ht="14.4" x14ac:dyDescent="0.3">
      <c r="A282" s="22"/>
      <c r="B282" s="33"/>
      <c r="C282" s="22"/>
      <c r="D282" s="22"/>
      <c r="E282" s="22"/>
      <c r="F282" s="23"/>
      <c r="G282" s="22"/>
      <c r="H282" s="22"/>
      <c r="I282" s="23"/>
      <c r="J282" s="22"/>
      <c r="K282" s="22"/>
    </row>
    <row r="283" spans="1:11" ht="14.4" x14ac:dyDescent="0.3">
      <c r="A283" s="22"/>
      <c r="B283" s="33"/>
      <c r="C283" s="22"/>
      <c r="D283" s="22"/>
      <c r="E283" s="22"/>
      <c r="F283" s="23"/>
      <c r="G283" s="22"/>
      <c r="H283" s="22"/>
      <c r="I283" s="23"/>
      <c r="J283" s="22"/>
      <c r="K283" s="22"/>
    </row>
    <row r="284" spans="1:11" ht="14.4" x14ac:dyDescent="0.3">
      <c r="A284" s="22"/>
      <c r="B284" s="33"/>
      <c r="C284" s="22"/>
      <c r="D284" s="22"/>
      <c r="E284" s="22"/>
      <c r="F284" s="23"/>
      <c r="G284" s="22"/>
      <c r="H284" s="22"/>
      <c r="I284" s="23"/>
      <c r="J284" s="22"/>
      <c r="K284" s="22"/>
    </row>
    <row r="285" spans="1:11" ht="14.4" x14ac:dyDescent="0.3">
      <c r="A285" s="22"/>
      <c r="B285" s="33"/>
      <c r="C285" s="22"/>
      <c r="D285" s="22"/>
      <c r="E285" s="22"/>
      <c r="F285" s="23"/>
      <c r="G285" s="22"/>
      <c r="H285" s="22"/>
      <c r="I285" s="23"/>
      <c r="J285" s="22"/>
      <c r="K285" s="22"/>
    </row>
    <row r="286" spans="1:11" ht="14.4" x14ac:dyDescent="0.3">
      <c r="A286" s="22"/>
      <c r="B286" s="33"/>
      <c r="C286" s="22"/>
      <c r="D286" s="22"/>
      <c r="E286" s="22"/>
      <c r="F286" s="23"/>
      <c r="G286" s="22"/>
      <c r="H286" s="22"/>
      <c r="I286" s="23"/>
      <c r="J286" s="22"/>
      <c r="K286" s="22"/>
    </row>
    <row r="287" spans="1:11" ht="14.4" x14ac:dyDescent="0.3">
      <c r="A287" s="22"/>
      <c r="B287" s="33"/>
      <c r="C287" s="22"/>
      <c r="D287" s="22"/>
      <c r="E287" s="22"/>
      <c r="F287" s="23"/>
      <c r="G287" s="22"/>
      <c r="H287" s="22"/>
      <c r="I287" s="23"/>
      <c r="J287" s="22"/>
      <c r="K287" s="22"/>
    </row>
    <row r="288" spans="1:11" ht="14.4" x14ac:dyDescent="0.3">
      <c r="A288" s="22"/>
      <c r="B288" s="33"/>
      <c r="C288" s="22"/>
      <c r="D288" s="22"/>
      <c r="E288" s="22"/>
      <c r="F288" s="23"/>
      <c r="G288" s="22"/>
      <c r="H288" s="22"/>
      <c r="I288" s="23"/>
      <c r="J288" s="22"/>
      <c r="K288" s="22"/>
    </row>
    <row r="289" spans="1:11" ht="14.4" x14ac:dyDescent="0.3">
      <c r="A289" s="22"/>
      <c r="B289" s="33"/>
      <c r="C289" s="22"/>
      <c r="D289" s="22"/>
      <c r="E289" s="22"/>
      <c r="F289" s="23"/>
      <c r="G289" s="22"/>
      <c r="H289" s="22"/>
      <c r="I289" s="23"/>
      <c r="J289" s="22"/>
      <c r="K289" s="22"/>
    </row>
    <row r="290" spans="1:11" ht="14.4" x14ac:dyDescent="0.3">
      <c r="A290" s="22"/>
      <c r="B290" s="33"/>
      <c r="C290" s="22"/>
      <c r="D290" s="22"/>
      <c r="E290" s="22"/>
      <c r="F290" s="23"/>
      <c r="G290" s="22"/>
      <c r="H290" s="22"/>
      <c r="I290" s="23"/>
      <c r="J290" s="22"/>
      <c r="K290" s="22"/>
    </row>
    <row r="291" spans="1:11" ht="14.4" x14ac:dyDescent="0.3">
      <c r="A291" s="22"/>
      <c r="B291" s="33"/>
      <c r="C291" s="22"/>
      <c r="D291" s="22"/>
      <c r="E291" s="22"/>
      <c r="F291" s="23"/>
      <c r="G291" s="22"/>
      <c r="H291" s="22"/>
      <c r="I291" s="23"/>
      <c r="J291" s="22"/>
      <c r="K291" s="22"/>
    </row>
    <row r="292" spans="1:11" ht="14.4" x14ac:dyDescent="0.3">
      <c r="A292" s="22"/>
      <c r="B292" s="33"/>
      <c r="C292" s="22"/>
      <c r="D292" s="22"/>
      <c r="E292" s="22"/>
      <c r="F292" s="23"/>
      <c r="G292" s="22"/>
      <c r="H292" s="22"/>
      <c r="I292" s="23"/>
      <c r="J292" s="22"/>
      <c r="K292" s="22"/>
    </row>
    <row r="293" spans="1:11" ht="14.4" x14ac:dyDescent="0.3">
      <c r="A293" s="22"/>
      <c r="B293" s="33"/>
      <c r="C293" s="22"/>
      <c r="D293" s="22"/>
      <c r="E293" s="22"/>
      <c r="F293" s="23"/>
      <c r="G293" s="22"/>
      <c r="H293" s="22"/>
      <c r="I293" s="23"/>
      <c r="J293" s="22"/>
      <c r="K293" s="22"/>
    </row>
    <row r="294" spans="1:11" ht="14.4" x14ac:dyDescent="0.3">
      <c r="A294" s="22"/>
      <c r="B294" s="33"/>
      <c r="C294" s="22"/>
      <c r="D294" s="22"/>
      <c r="E294" s="22"/>
      <c r="F294" s="23"/>
      <c r="G294" s="22"/>
      <c r="H294" s="22"/>
      <c r="I294" s="23"/>
      <c r="J294" s="22"/>
      <c r="K294" s="22"/>
    </row>
    <row r="295" spans="1:11" ht="14.4" x14ac:dyDescent="0.3">
      <c r="A295" s="22"/>
      <c r="B295" s="33"/>
      <c r="C295" s="22"/>
      <c r="D295" s="22"/>
      <c r="E295" s="22"/>
      <c r="F295" s="23"/>
      <c r="G295" s="22"/>
      <c r="H295" s="22"/>
      <c r="I295" s="23"/>
      <c r="J295" s="22"/>
      <c r="K295" s="22"/>
    </row>
    <row r="296" spans="1:11" ht="14.4" x14ac:dyDescent="0.3">
      <c r="A296" s="22"/>
      <c r="B296" s="33"/>
      <c r="C296" s="22"/>
      <c r="D296" s="22"/>
      <c r="E296" s="22"/>
      <c r="F296" s="23"/>
      <c r="G296" s="22"/>
      <c r="H296" s="22"/>
      <c r="I296" s="23"/>
      <c r="J296" s="22"/>
      <c r="K296" s="22"/>
    </row>
    <row r="297" spans="1:11" ht="14.4" x14ac:dyDescent="0.3">
      <c r="A297" s="22"/>
      <c r="B297" s="33"/>
      <c r="C297" s="22"/>
      <c r="D297" s="22"/>
      <c r="E297" s="22"/>
      <c r="F297" s="23"/>
      <c r="G297" s="22"/>
      <c r="H297" s="22"/>
      <c r="I297" s="23"/>
      <c r="J297" s="22"/>
      <c r="K297" s="22"/>
    </row>
    <row r="298" spans="1:11" ht="14.4" x14ac:dyDescent="0.3">
      <c r="A298" s="22"/>
      <c r="B298" s="33"/>
      <c r="C298" s="22"/>
      <c r="D298" s="22"/>
      <c r="E298" s="22"/>
      <c r="F298" s="23"/>
      <c r="G298" s="22"/>
      <c r="H298" s="22"/>
      <c r="I298" s="23"/>
      <c r="J298" s="22"/>
      <c r="K298" s="22"/>
    </row>
    <row r="299" spans="1:11" ht="14.4" x14ac:dyDescent="0.3">
      <c r="A299" s="22"/>
      <c r="B299" s="33"/>
      <c r="C299" s="22"/>
      <c r="D299" s="22"/>
      <c r="E299" s="22"/>
      <c r="F299" s="23"/>
      <c r="G299" s="22"/>
      <c r="H299" s="22"/>
      <c r="I299" s="23"/>
      <c r="J299" s="22"/>
      <c r="K299" s="22"/>
    </row>
    <row r="300" spans="1:11" ht="14.4" x14ac:dyDescent="0.3">
      <c r="A300" s="22"/>
      <c r="B300" s="33"/>
      <c r="C300" s="22"/>
      <c r="D300" s="22"/>
      <c r="E300" s="22"/>
      <c r="F300" s="23"/>
      <c r="G300" s="22"/>
      <c r="H300" s="22"/>
      <c r="I300" s="23"/>
      <c r="J300" s="22"/>
      <c r="K300" s="22"/>
    </row>
    <row r="301" spans="1:11" ht="14.4" x14ac:dyDescent="0.3">
      <c r="A301" s="22"/>
      <c r="B301" s="33"/>
      <c r="C301" s="22"/>
      <c r="D301" s="22"/>
      <c r="E301" s="22"/>
      <c r="F301" s="23"/>
      <c r="G301" s="22"/>
      <c r="H301" s="22"/>
      <c r="I301" s="23"/>
      <c r="J301" s="22"/>
      <c r="K301" s="22"/>
    </row>
    <row r="302" spans="1:11" ht="14.4" x14ac:dyDescent="0.3">
      <c r="A302" s="22"/>
      <c r="B302" s="33"/>
      <c r="C302" s="22"/>
      <c r="D302" s="22"/>
      <c r="E302" s="22"/>
      <c r="F302" s="23"/>
      <c r="G302" s="22"/>
      <c r="H302" s="22"/>
      <c r="I302" s="23"/>
      <c r="J302" s="22"/>
      <c r="K302" s="22"/>
    </row>
    <row r="303" spans="1:11" ht="14.4" x14ac:dyDescent="0.3">
      <c r="A303" s="22"/>
      <c r="B303" s="33"/>
      <c r="C303" s="22"/>
      <c r="D303" s="22"/>
      <c r="E303" s="22"/>
      <c r="F303" s="23"/>
      <c r="G303" s="22"/>
      <c r="H303" s="22"/>
      <c r="I303" s="23"/>
      <c r="J303" s="22"/>
      <c r="K303" s="22"/>
    </row>
    <row r="304" spans="1:11" ht="14.4" x14ac:dyDescent="0.3">
      <c r="A304" s="22"/>
      <c r="B304" s="33"/>
      <c r="C304" s="22"/>
      <c r="D304" s="22"/>
      <c r="E304" s="22"/>
      <c r="F304" s="23"/>
      <c r="G304" s="22"/>
      <c r="H304" s="22"/>
      <c r="I304" s="23"/>
      <c r="J304" s="22"/>
      <c r="K304" s="22"/>
    </row>
    <row r="305" spans="1:11" ht="14.4" x14ac:dyDescent="0.3">
      <c r="A305" s="22"/>
      <c r="B305" s="33"/>
      <c r="C305" s="22"/>
      <c r="D305" s="22"/>
      <c r="E305" s="22"/>
      <c r="F305" s="23"/>
      <c r="G305" s="22"/>
      <c r="H305" s="22"/>
      <c r="I305" s="23"/>
      <c r="J305" s="22"/>
      <c r="K305" s="22"/>
    </row>
    <row r="306" spans="1:11" ht="14.4" x14ac:dyDescent="0.3">
      <c r="A306" s="22"/>
      <c r="B306" s="33"/>
      <c r="C306" s="22"/>
      <c r="D306" s="22"/>
      <c r="E306" s="22"/>
      <c r="F306" s="23"/>
      <c r="G306" s="22"/>
      <c r="H306" s="22"/>
      <c r="I306" s="23"/>
      <c r="J306" s="22"/>
      <c r="K306" s="22"/>
    </row>
    <row r="307" spans="1:11" ht="14.4" x14ac:dyDescent="0.3">
      <c r="A307" s="22"/>
      <c r="B307" s="33"/>
      <c r="C307" s="22"/>
      <c r="D307" s="22"/>
      <c r="E307" s="22"/>
      <c r="F307" s="23"/>
      <c r="G307" s="22"/>
      <c r="H307" s="22"/>
      <c r="I307" s="23"/>
      <c r="J307" s="22"/>
      <c r="K307" s="22"/>
    </row>
    <row r="308" spans="1:11" ht="14.4" x14ac:dyDescent="0.3">
      <c r="A308" s="22"/>
      <c r="B308" s="33"/>
      <c r="C308" s="22"/>
      <c r="D308" s="22"/>
      <c r="E308" s="22"/>
      <c r="F308" s="23"/>
      <c r="G308" s="22"/>
      <c r="H308" s="22"/>
      <c r="I308" s="23"/>
      <c r="J308" s="22"/>
      <c r="K308" s="22"/>
    </row>
    <row r="309" spans="1:11" ht="14.4" x14ac:dyDescent="0.3">
      <c r="A309" s="22"/>
      <c r="B309" s="33"/>
      <c r="C309" s="22"/>
      <c r="D309" s="22"/>
      <c r="E309" s="22"/>
      <c r="F309" s="23"/>
      <c r="G309" s="22"/>
      <c r="H309" s="22"/>
      <c r="I309" s="23"/>
      <c r="J309" s="22"/>
      <c r="K309" s="22"/>
    </row>
    <row r="310" spans="1:11" ht="14.4" x14ac:dyDescent="0.3">
      <c r="A310" s="22"/>
      <c r="B310" s="33"/>
      <c r="C310" s="22"/>
      <c r="D310" s="22"/>
      <c r="E310" s="22"/>
      <c r="F310" s="23"/>
      <c r="G310" s="22"/>
      <c r="H310" s="22"/>
      <c r="I310" s="23"/>
      <c r="J310" s="22"/>
      <c r="K310" s="22"/>
    </row>
    <row r="311" spans="1:11" ht="14.4" x14ac:dyDescent="0.3">
      <c r="A311" s="22"/>
      <c r="B311" s="33"/>
      <c r="C311" s="22"/>
      <c r="D311" s="22"/>
      <c r="E311" s="22"/>
      <c r="F311" s="23"/>
      <c r="G311" s="22"/>
      <c r="H311" s="22"/>
      <c r="I311" s="23"/>
      <c r="J311" s="22"/>
      <c r="K311" s="22"/>
    </row>
    <row r="312" spans="1:11" ht="14.4" x14ac:dyDescent="0.3">
      <c r="A312" s="22"/>
      <c r="B312" s="33"/>
      <c r="C312" s="22"/>
      <c r="D312" s="22"/>
      <c r="E312" s="22"/>
      <c r="F312" s="23"/>
      <c r="G312" s="22"/>
      <c r="H312" s="22"/>
      <c r="I312" s="23"/>
      <c r="J312" s="22"/>
      <c r="K312" s="22"/>
    </row>
    <row r="313" spans="1:11" ht="14.4" x14ac:dyDescent="0.3">
      <c r="A313" s="22"/>
      <c r="B313" s="33"/>
      <c r="C313" s="22"/>
      <c r="D313" s="22"/>
      <c r="E313" s="22"/>
      <c r="F313" s="23"/>
      <c r="G313" s="22"/>
      <c r="H313" s="22"/>
      <c r="I313" s="23"/>
      <c r="J313" s="22"/>
      <c r="K313" s="22"/>
    </row>
    <row r="314" spans="1:11" ht="14.4" x14ac:dyDescent="0.3">
      <c r="A314" s="22"/>
      <c r="B314" s="33"/>
      <c r="C314" s="22"/>
      <c r="D314" s="22"/>
      <c r="E314" s="22"/>
      <c r="F314" s="23"/>
      <c r="G314" s="22"/>
      <c r="H314" s="22"/>
      <c r="I314" s="23"/>
      <c r="J314" s="22"/>
      <c r="K314" s="22"/>
    </row>
    <row r="315" spans="1:11" ht="14.4" x14ac:dyDescent="0.3">
      <c r="A315" s="22"/>
      <c r="B315" s="33"/>
      <c r="C315" s="22"/>
      <c r="D315" s="22"/>
      <c r="E315" s="22"/>
      <c r="F315" s="23"/>
      <c r="G315" s="22"/>
      <c r="H315" s="22"/>
      <c r="I315" s="23"/>
      <c r="J315" s="22"/>
      <c r="K315" s="22"/>
    </row>
    <row r="316" spans="1:11" ht="14.4" x14ac:dyDescent="0.3">
      <c r="A316" s="22"/>
      <c r="B316" s="33"/>
      <c r="C316" s="22"/>
      <c r="D316" s="22"/>
      <c r="E316" s="22"/>
      <c r="F316" s="23"/>
      <c r="G316" s="22"/>
      <c r="H316" s="22"/>
      <c r="I316" s="23"/>
      <c r="J316" s="22"/>
      <c r="K316" s="22"/>
    </row>
    <row r="317" spans="1:11" ht="14.4" x14ac:dyDescent="0.3">
      <c r="A317" s="22"/>
      <c r="B317" s="33"/>
      <c r="C317" s="22"/>
      <c r="D317" s="22"/>
      <c r="E317" s="22"/>
      <c r="F317" s="23"/>
      <c r="G317" s="22"/>
      <c r="H317" s="22"/>
      <c r="I317" s="23"/>
      <c r="J317" s="22"/>
      <c r="K317" s="22"/>
    </row>
    <row r="318" spans="1:11" ht="14.4" x14ac:dyDescent="0.3">
      <c r="A318" s="22"/>
      <c r="B318" s="33"/>
      <c r="C318" s="22"/>
      <c r="D318" s="22"/>
      <c r="E318" s="22"/>
      <c r="F318" s="23"/>
      <c r="G318" s="22"/>
      <c r="H318" s="22"/>
      <c r="I318" s="23"/>
      <c r="J318" s="22"/>
      <c r="K318" s="22"/>
    </row>
    <row r="319" spans="1:11" ht="14.4" x14ac:dyDescent="0.3">
      <c r="A319" s="22"/>
      <c r="B319" s="33"/>
      <c r="C319" s="22"/>
      <c r="D319" s="22"/>
      <c r="E319" s="22"/>
      <c r="F319" s="23"/>
      <c r="G319" s="22"/>
      <c r="H319" s="22"/>
      <c r="I319" s="23"/>
      <c r="J319" s="22"/>
      <c r="K319" s="22"/>
    </row>
    <row r="320" spans="1:11" ht="14.4" x14ac:dyDescent="0.3">
      <c r="A320" s="22"/>
      <c r="B320" s="33"/>
      <c r="C320" s="22"/>
      <c r="D320" s="22"/>
      <c r="E320" s="22"/>
      <c r="F320" s="23"/>
      <c r="G320" s="22"/>
      <c r="H320" s="22"/>
      <c r="I320" s="23"/>
      <c r="J320" s="22"/>
      <c r="K320" s="22"/>
    </row>
    <row r="321" spans="1:11" ht="14.4" x14ac:dyDescent="0.3">
      <c r="A321" s="22"/>
      <c r="B321" s="33"/>
      <c r="C321" s="22"/>
      <c r="D321" s="22"/>
      <c r="E321" s="22"/>
      <c r="F321" s="23"/>
      <c r="G321" s="22"/>
      <c r="H321" s="22"/>
      <c r="I321" s="23"/>
      <c r="J321" s="22"/>
      <c r="K321" s="22"/>
    </row>
    <row r="322" spans="1:11" ht="14.4" x14ac:dyDescent="0.3">
      <c r="A322" s="22"/>
      <c r="B322" s="33"/>
      <c r="C322" s="22"/>
      <c r="D322" s="22"/>
      <c r="E322" s="22"/>
      <c r="F322" s="23"/>
      <c r="G322" s="22"/>
      <c r="H322" s="22"/>
      <c r="I322" s="23"/>
      <c r="J322" s="22"/>
      <c r="K322" s="22"/>
    </row>
    <row r="323" spans="1:11" ht="14.4" x14ac:dyDescent="0.3">
      <c r="A323" s="22"/>
      <c r="B323" s="33"/>
      <c r="C323" s="22"/>
      <c r="D323" s="22"/>
      <c r="E323" s="22"/>
      <c r="F323" s="23"/>
      <c r="G323" s="22"/>
      <c r="H323" s="22"/>
      <c r="I323" s="23"/>
      <c r="J323" s="22"/>
      <c r="K323" s="22"/>
    </row>
    <row r="324" spans="1:11" ht="14.4" x14ac:dyDescent="0.3">
      <c r="A324" s="22"/>
      <c r="B324" s="33"/>
      <c r="C324" s="22"/>
      <c r="D324" s="22"/>
      <c r="E324" s="22"/>
      <c r="F324" s="23"/>
      <c r="G324" s="22"/>
      <c r="H324" s="22"/>
      <c r="I324" s="23"/>
      <c r="J324" s="22"/>
      <c r="K324" s="22"/>
    </row>
    <row r="325" spans="1:11" ht="14.4" x14ac:dyDescent="0.3">
      <c r="A325" s="22"/>
      <c r="B325" s="33"/>
      <c r="C325" s="22"/>
      <c r="D325" s="22"/>
      <c r="E325" s="22"/>
      <c r="F325" s="23"/>
      <c r="G325" s="22"/>
      <c r="H325" s="22"/>
      <c r="I325" s="23"/>
      <c r="J325" s="22"/>
      <c r="K325" s="22"/>
    </row>
    <row r="326" spans="1:11" ht="14.4" x14ac:dyDescent="0.3">
      <c r="A326" s="22"/>
      <c r="B326" s="33"/>
      <c r="C326" s="22"/>
      <c r="D326" s="22"/>
      <c r="E326" s="22"/>
      <c r="F326" s="23"/>
      <c r="G326" s="22"/>
      <c r="H326" s="22"/>
      <c r="I326" s="23"/>
      <c r="J326" s="22"/>
      <c r="K326" s="22"/>
    </row>
    <row r="327" spans="1:11" ht="14.4" x14ac:dyDescent="0.3">
      <c r="A327" s="22"/>
      <c r="B327" s="33"/>
      <c r="C327" s="22"/>
      <c r="D327" s="22"/>
      <c r="E327" s="22"/>
      <c r="F327" s="23"/>
      <c r="G327" s="22"/>
      <c r="H327" s="22"/>
      <c r="I327" s="23"/>
      <c r="J327" s="22"/>
      <c r="K327" s="22"/>
    </row>
    <row r="328" spans="1:11" ht="14.4" x14ac:dyDescent="0.3">
      <c r="A328" s="22"/>
      <c r="B328" s="33"/>
      <c r="C328" s="22"/>
      <c r="D328" s="22"/>
      <c r="E328" s="22"/>
      <c r="F328" s="23"/>
      <c r="G328" s="22"/>
      <c r="H328" s="22"/>
      <c r="I328" s="23"/>
      <c r="J328" s="22"/>
      <c r="K328" s="22"/>
    </row>
    <row r="329" spans="1:11" ht="14.4" x14ac:dyDescent="0.3">
      <c r="A329" s="22"/>
      <c r="B329" s="33"/>
      <c r="C329" s="22"/>
      <c r="D329" s="22"/>
      <c r="E329" s="22"/>
      <c r="F329" s="23"/>
      <c r="G329" s="22"/>
      <c r="H329" s="22"/>
      <c r="I329" s="23"/>
      <c r="J329" s="22"/>
      <c r="K329" s="22"/>
    </row>
    <row r="330" spans="1:11" ht="14.4" x14ac:dyDescent="0.3">
      <c r="A330" s="22"/>
      <c r="B330" s="33"/>
      <c r="C330" s="22"/>
      <c r="D330" s="22"/>
      <c r="E330" s="22"/>
      <c r="F330" s="23"/>
      <c r="G330" s="22"/>
      <c r="H330" s="22"/>
      <c r="I330" s="23"/>
      <c r="J330" s="22"/>
      <c r="K330" s="22"/>
    </row>
    <row r="331" spans="1:11" ht="14.4" x14ac:dyDescent="0.3">
      <c r="A331" s="22"/>
      <c r="B331" s="33"/>
      <c r="C331" s="22"/>
      <c r="D331" s="22"/>
      <c r="E331" s="22"/>
      <c r="F331" s="23"/>
      <c r="G331" s="22"/>
      <c r="H331" s="22"/>
      <c r="I331" s="23"/>
      <c r="J331" s="22"/>
      <c r="K331" s="22"/>
    </row>
    <row r="332" spans="1:11" ht="14.4" x14ac:dyDescent="0.3">
      <c r="A332" s="22"/>
      <c r="B332" s="33"/>
      <c r="C332" s="22"/>
      <c r="D332" s="22"/>
      <c r="E332" s="22"/>
      <c r="F332" s="23"/>
      <c r="G332" s="22"/>
      <c r="H332" s="22"/>
      <c r="I332" s="23"/>
      <c r="J332" s="22"/>
      <c r="K332" s="22"/>
    </row>
    <row r="333" spans="1:11" ht="14.4" x14ac:dyDescent="0.3">
      <c r="A333" s="22"/>
      <c r="B333" s="33"/>
      <c r="C333" s="22"/>
      <c r="D333" s="22"/>
      <c r="E333" s="22"/>
      <c r="F333" s="23"/>
      <c r="G333" s="22"/>
      <c r="H333" s="22"/>
      <c r="I333" s="23"/>
      <c r="J333" s="22"/>
      <c r="K333" s="22"/>
    </row>
    <row r="334" spans="1:11" ht="14.4" x14ac:dyDescent="0.3">
      <c r="A334" s="22"/>
      <c r="B334" s="33"/>
      <c r="C334" s="22"/>
      <c r="D334" s="22"/>
      <c r="E334" s="22"/>
      <c r="F334" s="23"/>
      <c r="G334" s="22"/>
      <c r="H334" s="22"/>
      <c r="I334" s="23"/>
      <c r="J334" s="22"/>
      <c r="K334" s="22"/>
    </row>
    <row r="335" spans="1:11" ht="14.4" x14ac:dyDescent="0.3">
      <c r="A335" s="22"/>
      <c r="B335" s="33"/>
      <c r="C335" s="22"/>
      <c r="D335" s="22"/>
      <c r="E335" s="22"/>
      <c r="F335" s="23"/>
      <c r="G335" s="22"/>
      <c r="H335" s="22"/>
      <c r="I335" s="23"/>
      <c r="J335" s="22"/>
      <c r="K335" s="22"/>
    </row>
    <row r="336" spans="1:11" ht="14.4" x14ac:dyDescent="0.3">
      <c r="A336" s="22"/>
      <c r="B336" s="33"/>
      <c r="C336" s="22"/>
      <c r="D336" s="22"/>
      <c r="E336" s="22"/>
      <c r="F336" s="23"/>
      <c r="G336" s="22"/>
      <c r="H336" s="22"/>
      <c r="I336" s="23"/>
      <c r="J336" s="22"/>
      <c r="K336" s="22"/>
    </row>
    <row r="337" spans="1:11" ht="14.4" x14ac:dyDescent="0.3">
      <c r="A337" s="22"/>
      <c r="B337" s="33"/>
      <c r="C337" s="22"/>
      <c r="D337" s="22"/>
      <c r="E337" s="22"/>
      <c r="F337" s="23"/>
      <c r="G337" s="22"/>
      <c r="H337" s="22"/>
      <c r="I337" s="23"/>
      <c r="J337" s="22"/>
      <c r="K337" s="22"/>
    </row>
    <row r="338" spans="1:11" ht="14.4" x14ac:dyDescent="0.3">
      <c r="A338" s="22"/>
      <c r="B338" s="33"/>
      <c r="C338" s="22"/>
      <c r="D338" s="22"/>
      <c r="E338" s="22"/>
      <c r="F338" s="23"/>
      <c r="G338" s="22"/>
      <c r="H338" s="22"/>
      <c r="I338" s="23"/>
      <c r="J338" s="22"/>
      <c r="K338" s="22"/>
    </row>
    <row r="339" spans="1:11" ht="14.4" x14ac:dyDescent="0.3">
      <c r="A339" s="22"/>
      <c r="B339" s="33"/>
      <c r="C339" s="22"/>
      <c r="D339" s="22"/>
      <c r="E339" s="22"/>
      <c r="F339" s="23"/>
      <c r="G339" s="22"/>
      <c r="H339" s="22"/>
      <c r="I339" s="23"/>
      <c r="J339" s="22"/>
      <c r="K339" s="22"/>
    </row>
    <row r="340" spans="1:11" ht="14.4" x14ac:dyDescent="0.3">
      <c r="A340" s="22"/>
      <c r="B340" s="33"/>
      <c r="C340" s="22"/>
      <c r="D340" s="22"/>
      <c r="E340" s="22"/>
      <c r="F340" s="23"/>
      <c r="G340" s="22"/>
      <c r="H340" s="22"/>
      <c r="I340" s="23"/>
      <c r="J340" s="22"/>
      <c r="K340" s="22"/>
    </row>
    <row r="341" spans="1:11" ht="14.4" x14ac:dyDescent="0.3">
      <c r="A341" s="22"/>
      <c r="B341" s="33"/>
      <c r="C341" s="22"/>
      <c r="D341" s="22"/>
      <c r="E341" s="22"/>
      <c r="F341" s="23"/>
      <c r="G341" s="22"/>
      <c r="H341" s="22"/>
      <c r="I341" s="23"/>
      <c r="J341" s="22"/>
      <c r="K341" s="22"/>
    </row>
    <row r="342" spans="1:11" ht="14.4" x14ac:dyDescent="0.3">
      <c r="C342" s="22"/>
      <c r="D342" s="22"/>
      <c r="E342" s="22"/>
      <c r="F342" s="23"/>
      <c r="G342" s="22"/>
      <c r="H342" s="22"/>
      <c r="I342" s="23"/>
      <c r="J342" s="22"/>
      <c r="K342" s="22"/>
    </row>
  </sheetData>
  <mergeCells count="4">
    <mergeCell ref="G1:I1"/>
    <mergeCell ref="A1:C1"/>
    <mergeCell ref="D1:F1"/>
    <mergeCell ref="A2:B2"/>
  </mergeCells>
  <conditionalFormatting sqref="F2 I2">
    <cfRule type="cellIs" dxfId="3" priority="3" stopIfTrue="1" operator="lessThanOrEqual">
      <formula>-0.1</formula>
    </cfRule>
    <cfRule type="expression" dxfId="2" priority="4">
      <formula>AND(ISNUMBER(F2), F2&gt;=0.1)</formula>
    </cfRule>
  </conditionalFormatting>
  <conditionalFormatting sqref="F4:F13 I4:I13 F20:F100 I20:I100">
    <cfRule type="cellIs" dxfId="1" priority="1" stopIfTrue="1" operator="lessThanOrEqual">
      <formula>-0.1</formula>
    </cfRule>
    <cfRule type="expression" dxfId="0"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G13"/>
  <sheetViews>
    <sheetView workbookViewId="0">
      <pane ySplit="3" topLeftCell="A4" activePane="bottomLeft" state="frozen"/>
      <selection pane="bottomLeft" activeCell="B23" sqref="B23"/>
    </sheetView>
  </sheetViews>
  <sheetFormatPr defaultRowHeight="12.75" customHeight="1" x14ac:dyDescent="0.25"/>
  <cols>
    <col min="1" max="2" width="41.88671875" customWidth="1"/>
    <col min="4" max="4" width="9.109375" customWidth="1"/>
    <col min="5" max="5" width="18.33203125" customWidth="1"/>
    <col min="6" max="14" width="9.109375" customWidth="1"/>
  </cols>
  <sheetData>
    <row r="1" spans="1:7" ht="12.75" customHeight="1" x14ac:dyDescent="0.25">
      <c r="A1" t="s">
        <v>162</v>
      </c>
      <c r="B1" s="43" t="s">
        <v>163</v>
      </c>
    </row>
    <row r="3" spans="1:7" ht="13.2" x14ac:dyDescent="0.25">
      <c r="A3" t="s">
        <v>164</v>
      </c>
      <c r="B3" t="s">
        <v>3</v>
      </c>
      <c r="C3" t="s">
        <v>4</v>
      </c>
      <c r="D3" t="s">
        <v>165</v>
      </c>
      <c r="E3" s="2" t="s">
        <v>166</v>
      </c>
    </row>
    <row r="4" spans="1:7" ht="14.4" x14ac:dyDescent="0.3">
      <c r="A4" s="3" t="s">
        <v>167</v>
      </c>
      <c r="B4" t="s">
        <v>168</v>
      </c>
      <c r="C4" s="4" t="s">
        <v>169</v>
      </c>
      <c r="G4" s="3"/>
    </row>
    <row r="5" spans="1:7" ht="14.4" x14ac:dyDescent="0.3">
      <c r="A5" s="3" t="s">
        <v>170</v>
      </c>
      <c r="B5" t="s">
        <v>171</v>
      </c>
      <c r="C5" s="4" t="s">
        <v>169</v>
      </c>
      <c r="G5" s="3"/>
    </row>
    <row r="6" spans="1:7" ht="14.4" x14ac:dyDescent="0.3">
      <c r="A6" s="43" t="s">
        <v>172</v>
      </c>
      <c r="B6" t="s">
        <v>173</v>
      </c>
      <c r="C6" t="s">
        <v>169</v>
      </c>
      <c r="G6" s="3"/>
    </row>
    <row r="7" spans="1:7" ht="12.75" customHeight="1" x14ac:dyDescent="0.25">
      <c r="A7" s="43" t="s">
        <v>174</v>
      </c>
      <c r="B7" t="s">
        <v>175</v>
      </c>
      <c r="C7" t="s">
        <v>169</v>
      </c>
    </row>
    <row r="8" spans="1:7" ht="12.75" customHeight="1" x14ac:dyDescent="0.25">
      <c r="A8" s="4" t="s">
        <v>176</v>
      </c>
      <c r="B8" s="4" t="s">
        <v>177</v>
      </c>
      <c r="C8" s="4" t="s">
        <v>178</v>
      </c>
    </row>
    <row r="9" spans="1:7" ht="12.75" customHeight="1" x14ac:dyDescent="0.25">
      <c r="A9" s="43" t="s">
        <v>179</v>
      </c>
      <c r="B9" t="s">
        <v>180</v>
      </c>
      <c r="C9" t="s">
        <v>181</v>
      </c>
    </row>
    <row r="10" spans="1:7" ht="12.75" customHeight="1" x14ac:dyDescent="0.25">
      <c r="A10" s="4" t="s">
        <v>182</v>
      </c>
      <c r="B10" s="4" t="s">
        <v>183</v>
      </c>
      <c r="C10" s="4" t="s">
        <v>184</v>
      </c>
    </row>
    <row r="11" spans="1:7" ht="12.75" customHeight="1" x14ac:dyDescent="0.25">
      <c r="A11" s="4" t="s">
        <v>185</v>
      </c>
      <c r="B11" s="4" t="s">
        <v>186</v>
      </c>
      <c r="C11" s="4" t="s">
        <v>184</v>
      </c>
    </row>
    <row r="12" spans="1:7" ht="12.75" customHeight="1" x14ac:dyDescent="0.25">
      <c r="A12" s="4" t="s">
        <v>187</v>
      </c>
      <c r="B12" s="4" t="s">
        <v>188</v>
      </c>
      <c r="C12" s="4" t="s">
        <v>184</v>
      </c>
    </row>
    <row r="13" spans="1:7" ht="12.75" customHeight="1" x14ac:dyDescent="0.25">
      <c r="A13" s="4" t="s">
        <v>189</v>
      </c>
      <c r="B13" s="4" t="s">
        <v>190</v>
      </c>
      <c r="C13" s="4" t="s">
        <v>184</v>
      </c>
    </row>
  </sheetData>
  <phoneticPr fontId="38" type="noConversion"/>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xml version="1.0" encoding="utf-8"?>
<?mso-contentType ?>
<FormTemplates xmlns="http://schemas.microsoft.com/sharepoint/v3/contenttype/forms">
  <Display>DocumentLibraryForm</Display>
  <Edit>DocumentLibraryForm</Edit>
  <New>DocumentLibraryForm</New>
</FormTemplates>
</file>

<file path=customXml/item8.xml>��
</file>

<file path=customXml/item9.xml>��
</file>

<file path=customXml/item10.xml>��
</file>

<file path=customXml/item11.xml>��
</file>

<file path=customXml/item12.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3.xml>��
</file>

<file path=customXml/item14.xml>��
</file>

<file path=customXml/item15.xml>��
</file>

<file path=customXml/item16.xml>��
</file>

<file path=customXml/item17.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8.xml>��
</file>

<file path=customXml/item19.xml>��
</file>

<file path=customXml/item20.xml>��
</file>

<file path=customXml/itemProps1.xml><?xml version="1.0" encoding="utf-8"?>
<ds:datastoreItem xmlns:ds="http://schemas.openxmlformats.org/officeDocument/2006/customXml" ds:itemID="{0389C43E-394D-44C0-87DC-4780FCFCFB40}">
  <ds:schemaRefs>
    <ds:schemaRef ds:uri="http://gemini/pivotcustomization/Diagrams"/>
  </ds:schemaRefs>
</ds:datastoreItem>
</file>

<file path=customXml/itemProps2.xml><?xml version="1.0" encoding="utf-8"?>
<ds:datastoreItem xmlns:ds="http://schemas.openxmlformats.org/officeDocument/2006/customXml" ds:itemID="{BF5C6359-7763-4C37-8EAF-2BC4698CB285}">
  <ds:schemaRefs>
    <ds:schemaRef ds:uri="http://gemini/pivotcustomization/TableOrder"/>
  </ds:schemaRefs>
</ds:datastoreItem>
</file>

<file path=customXml/itemProps3.xml><?xml version="1.0" encoding="utf-8"?>
<ds:datastoreItem xmlns:ds="http://schemas.openxmlformats.org/officeDocument/2006/customXml" ds:itemID="{E3716282-BFD2-4ED2-BA47-BFA1123827F0}">
  <ds:schemaRefs>
    <ds:schemaRef ds:uri="http://gemini/pivotcustomization/ShowHidden"/>
  </ds:schemaRefs>
</ds:datastoreItem>
</file>

<file path=customXml/itemProps4.xml><?xml version="1.0" encoding="utf-8"?>
<ds:datastoreItem xmlns:ds="http://schemas.openxmlformats.org/officeDocument/2006/customXml" ds:itemID="{D3A7101F-9A85-4235-8B03-415370C100B2}">
  <ds:schemaRefs>
    <ds:schemaRef ds:uri="http://gemini/pivotcustomization/SandboxNonEmpty"/>
  </ds:schemaRefs>
</ds:datastoreItem>
</file>

<file path=customXml/itemProps5.xml><?xml version="1.0" encoding="utf-8"?>
<ds:datastoreItem xmlns:ds="http://schemas.openxmlformats.org/officeDocument/2006/customXml" ds:itemID="{E20E8303-6A67-485C-B6F4-303542CC295C}">
  <ds:schemaRefs>
    <ds:schemaRef ds:uri="http://gemini/pivotcustomization/LinkedTableUpdateMode"/>
  </ds:schemaRefs>
</ds:datastoreItem>
</file>

<file path=customXml/itemProps6.xml><?xml version="1.0" encoding="utf-8"?>
<ds:datastoreItem xmlns:ds="http://schemas.openxmlformats.org/officeDocument/2006/customXml" ds:itemID="{F6B2B1A1-1C4B-4AC9-9A7D-7A102DD1C942}">
  <ds:schemaRefs>
    <ds:schemaRef ds:uri="http://gemini/pivotcustomization/ManualCalcMode"/>
  </ds:schemaRefs>
</ds:datastoreItem>
</file>

<file path=customXml/itemProps7.xml><?xml version="1.0" encoding="utf-8"?>
<ds:datastoreItem xmlns:ds="http://schemas.openxmlformats.org/officeDocument/2006/customXml" ds:itemID="{7946C510-7D04-49D8-9B25-EEC04582A1CA}">
  <ds:schemaRefs>
    <ds:schemaRef ds:uri="http://schemas.microsoft.com/sharepoint/v3/contenttype/forms"/>
  </ds:schemaRefs>
</ds:datastoreItem>
</file>

<file path=customXml/itemProps8.xml><?xml version="1.0" encoding="utf-8"?>
<ds:datastoreItem xmlns:ds="http://schemas.openxmlformats.org/officeDocument/2006/customXml" ds:itemID="{14966E4F-347B-477B-B74C-9DAC05405806}">
  <ds:schemaRefs>
    <ds:schemaRef ds:uri="http://gemini/pivotcustomization/ClientWindowXML"/>
  </ds:schemaRefs>
</ds:datastoreItem>
</file>

<file path=customXml/itemProps9.xml><?xml version="1.0" encoding="utf-8"?>
<ds:datastoreItem xmlns:ds="http://schemas.openxmlformats.org/officeDocument/2006/customXml" ds:itemID="{BE26B669-A686-459C-A5E9-FEC3409C4C81}">
  <ds:schemaRefs>
    <ds:schemaRef ds:uri="http://gemini/pivotcustomization/IsSandboxEmbedded"/>
  </ds:schemaRefs>
</ds:datastoreItem>
</file>

<file path=customXml/itemProps10.xml><?xml version="1.0" encoding="utf-8"?>
<ds:datastoreItem xmlns:ds="http://schemas.openxmlformats.org/officeDocument/2006/customXml" ds:itemID="{66B09F59-6532-46F8-924A-9A02417E070D}">
  <ds:schemaRefs>
    <ds:schemaRef ds:uri="http://schemas.microsoft.com/DataMashup"/>
  </ds:schemaRefs>
</ds:datastoreItem>
</file>

<file path=customXml/itemProps11.xml><?xml version="1.0" encoding="utf-8"?>
<ds:datastoreItem xmlns:ds="http://schemas.openxmlformats.org/officeDocument/2006/customXml" ds:itemID="{89CF5C07-45EB-4100-9AFB-2C6AF77FA787}">
  <ds:schemaRefs>
    <ds:schemaRef ds:uri="http://gemini/pivotcustomization/ErrorCache"/>
  </ds:schemaRefs>
</ds:datastoreItem>
</file>

<file path=customXml/itemProps12.xml><?xml version="1.0" encoding="utf-8"?>
<ds:datastoreItem xmlns:ds="http://schemas.openxmlformats.org/officeDocument/2006/customXml" ds:itemID="{8D732231-4216-4543-A665-18A2886B0EB7}">
  <ds:schemaRefs>
    <ds:schemaRef ds:uri="http://schemas.microsoft.com/office/2006/metadata/properties"/>
    <ds:schemaRef ds:uri="http://schemas.microsoft.com/office/infopath/2007/PartnerControls"/>
    <ds:schemaRef ds:uri="ddcd8467-55ca-498e-a9f8-86795db5db7a"/>
    <ds:schemaRef ds:uri="http://schemas.microsoft.com/sharepoint/v3"/>
    <ds:schemaRef ds:uri="7f39bfab-6331-41a1-b6d4-5b974a316951"/>
  </ds:schemaRefs>
</ds:datastoreItem>
</file>

<file path=customXml/itemProps13.xml><?xml version="1.0" encoding="utf-8"?>
<ds:datastoreItem xmlns:ds="http://schemas.openxmlformats.org/officeDocument/2006/customXml" ds:itemID="{F12EFA50-0068-4A8C-85A0-F1B26389EBC3}">
  <ds:schemaRefs>
    <ds:schemaRef ds:uri="http://gemini/pivotcustomization/RelationshipAutoDetectionEnabled"/>
  </ds:schemaRefs>
</ds:datastoreItem>
</file>

<file path=customXml/itemProps14.xml><?xml version="1.0" encoding="utf-8"?>
<ds:datastoreItem xmlns:ds="http://schemas.openxmlformats.org/officeDocument/2006/customXml" ds:itemID="{98A113BB-8B7A-453C-8BD4-8EFC67FC2D3F}">
  <ds:schemaRefs>
    <ds:schemaRef ds:uri="http://gemini/pivotcustomization/FormulaBarState"/>
  </ds:schemaRefs>
</ds:datastoreItem>
</file>

<file path=customXml/itemProps15.xml><?xml version="1.0" encoding="utf-8"?>
<ds:datastoreItem xmlns:ds="http://schemas.openxmlformats.org/officeDocument/2006/customXml" ds:itemID="{CB52044A-5C0B-44A2-99D0-C1C315EC302D}">
  <ds:schemaRefs>
    <ds:schemaRef ds:uri="http://gemini/pivotcustomization/TableXML_Sites"/>
  </ds:schemaRefs>
</ds:datastoreItem>
</file>

<file path=customXml/itemProps16.xml><?xml version="1.0" encoding="utf-8"?>
<ds:datastoreItem xmlns:ds="http://schemas.openxmlformats.org/officeDocument/2006/customXml" ds:itemID="{1954BBA4-0359-438C-B0EC-A756015F7C02}">
  <ds:schemaRefs>
    <ds:schemaRef ds:uri="http://gemini/pivotcustomization/MeasureGridState"/>
  </ds:schemaRefs>
</ds:datastoreItem>
</file>

<file path=customXml/itemProps17.xml><?xml version="1.0" encoding="utf-8"?>
<ds:datastoreItem xmlns:ds="http://schemas.openxmlformats.org/officeDocument/2006/customXml" ds:itemID="{374E1CB2-F578-4F19-BE69-833FB2C5F2F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f39bfab-6331-41a1-b6d4-5b974a316951"/>
    <ds:schemaRef ds:uri="ddcd8467-55ca-498e-a9f8-86795db5db7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18.xml><?xml version="1.0" encoding="utf-8"?>
<ds:datastoreItem xmlns:ds="http://schemas.openxmlformats.org/officeDocument/2006/customXml" ds:itemID="{078388C9-06F9-42F4-B857-EF76B5CAF1FD}">
  <ds:schemaRefs>
    <ds:schemaRef ds:uri="http://gemini/pivotcustomization/PowerPivotVersion"/>
  </ds:schemaRefs>
</ds:datastoreItem>
</file>

<file path=customXml/itemProps19.xml><?xml version="1.0" encoding="utf-8"?>
<ds:datastoreItem xmlns:ds="http://schemas.openxmlformats.org/officeDocument/2006/customXml" ds:itemID="{2BC74AAC-D69B-4AF1-9649-B21EF3C1C463}">
  <ds:schemaRefs>
    <ds:schemaRef ds:uri="http://gemini/pivotcustomization/TableWidget"/>
  </ds:schemaRefs>
</ds:datastoreItem>
</file>

<file path=customXml/itemProps20.xml><?xml version="1.0" encoding="utf-8"?>
<ds:datastoreItem xmlns:ds="http://schemas.openxmlformats.org/officeDocument/2006/customXml" ds:itemID="{3AEAA9D8-2182-46BA-A58E-96C72DDA1C54}">
  <ds:schemaRefs>
    <ds:schemaRef ds:uri="http://gemini/pivotcustomization/ShowImplicitMeasur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1</vt:i4>
      </vt:variant>
    </vt:vector>
  </HeadingPairs>
  <TitlesOfParts>
    <vt:vector size="19" baseType="lpstr">
      <vt:lpstr>Year to Date</vt:lpstr>
      <vt:lpstr>1st Qtr</vt:lpstr>
      <vt:lpstr>2nd Qtr</vt:lpstr>
      <vt:lpstr>3rd Qtr</vt:lpstr>
      <vt:lpstr>4th Qtr</vt:lpstr>
      <vt:lpstr>Jan</vt:lpstr>
      <vt:lpstr>Feb</vt:lpstr>
      <vt:lpstr>Mar</vt:lpstr>
      <vt:lpstr>Apr</vt:lpstr>
      <vt:lpstr>May</vt:lpstr>
      <vt:lpstr>Jun</vt:lpstr>
      <vt:lpstr>Jul</vt:lpstr>
      <vt:lpstr>Aug</vt:lpstr>
      <vt:lpstr>Sep</vt:lpstr>
      <vt:lpstr>Oct</vt:lpstr>
      <vt:lpstr>Nov</vt:lpstr>
      <vt:lpstr>Dec</vt:lpstr>
      <vt:lpstr>Sites</vt:lpstr>
      <vt:lpstr>portfolio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Solar Team 2</cp:lastModifiedBy>
  <cp:revision/>
  <dcterms:created xsi:type="dcterms:W3CDTF">2021-01-01T16:39:53Z</dcterms:created>
  <dcterms:modified xsi:type="dcterms:W3CDTF">2025-10-10T12:30:06Z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2024-09-18T22:54:06Z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de459e2a-2bc6-4866-836f-a6da970436d5</vt:lpwstr>
  </property>
  <property fmtid="{D5CDD505-2E9C-101B-9397-08002B2CF9AE}" pid="9" name="MSIP_Label_9d817c99-0b37-4a07-8277-96aa1f96b74b_ContentBits">
    <vt:lpwstr>0</vt:lpwstr>
  </property>
</Properties>
</file>