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19" documentId="13_ncr:1_{52120B3E-811B-4687-895A-476C04C97C12}" xr6:coauthVersionLast="47" xr6:coauthVersionMax="47" xr10:uidLastSave="{06A5F8B0-4664-4C55-9FA6-E938D929FCFB}"/>
  <bookViews>
    <workbookView xWindow="-98" yWindow="-98" windowWidth="21795" windowHeight="12975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<sst xmlns="http://schemas.openxmlformats.org/spreadsheetml/2006/main" count="262" uniqueCount="54">
  <si>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</si>
  <si>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</si>
  <si>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</si>
  <si>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</si>
  <si>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</si>
  <si>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</si>
  <si>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</si>
  <si>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</si>
  <si>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</si>
  <si>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</si>
  <si>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</si>
  <si>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</si>
  <si>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</si>
  <si>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</si>
  <si>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</si>
  <si>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</si>
  <si>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</si>
  <si>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</si>
  <si>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</si>
  <si>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</si>
  <si>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</si>
  <si>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</si>
  <si>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</si>
  <si>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</si>
  <si>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 xml:space="preserve">1. Expected and forecasted values are not available. </t>
  </si>
  <si>
    <t>March Actual v. Expected</t>
  </si>
  <si>
    <t>March Actual v. Forecasted</t>
  </si>
  <si>
    <t>N/A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</si>
  <si>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</si>
  <si>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</si>
  <si>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</si>
  <si>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</si>
  <si>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</si>
  <si>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</si>
  <si>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</si>
  <si>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</si>
  <si>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</si>
  <si>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</si>
  <si>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</si>
  <si>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</si>
  <si>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</si>
  <si>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</si>
  <si>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</si>
  <si>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</si>
  <si>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</si>
  <si>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</si>
  <si>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</si>
  <si>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Meriden - 95 Research Pkwy</t>
  </si>
  <si>
    <t>Site DAS Name</t>
  </si>
  <si>
    <t>Update</t>
  </si>
  <si>
    <t>DAS</t>
  </si>
  <si>
    <t>CT</t>
  </si>
  <si>
    <t>AF</t>
  </si>
  <si>
    <t>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</si>
</sst>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SUM(C4:C79)</f>
        <v>202471.43</v>
      </c>
      <c r="D2" s="5">
        <f>SUM(D4:D79)</f>
        <v>0</v>
      </c>
      <c r="E2" s="5">
        <f>C2-D2</f>
        <v>202471.43</v>
      </c>
      <c r="F2" s="6">
        <f>IFERROR(E2/D2, 0)</f>
        <v>0</v>
      </c>
      <c r="G2" s="5">
        <f>SUM(G4:G79)</f>
        <v>0</v>
      </c>
      <c r="H2" s="7">
        <f>C2-G2</f>
        <v>202471.43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Meriden - 95 Research Pkwy</v>
      </c>
      <c r="B4" s="9" t="str" cm="1">
        <f t="array" ref="B4">Sites[State]</f>
        <v>CT</v>
      </c>
      <c r="C4" s="23">
        <f>SUM('1st Qtr'!C4, '2nd Qtr'!C4, '3rd Qtr'!C4, '4th Qtr'!C4)</f>
        <v>202471.43</v>
      </c>
      <c r="D4" s="12">
        <f>SUM('1st Qtr'!D4, '2nd Qtr'!D4, '3rd Qtr'!D4, '4th Qtr'!D4)</f>
        <v>0</v>
      </c>
      <c r="E4" s="12">
        <f>IF(AND(ISNUMBER(C4),ISNUMBER(D4)), C4-D4, "")</f>
        <v>202471.43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7123.99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SUM(C4:C79)</f>
        <v>30267.519999999997</v>
      </c>
      <c r="D2" s="5">
        <f>SUM(D4:D79)</f>
        <v>0</v>
      </c>
      <c r="E2" s="5">
        <f>C2-D2</f>
        <v>30267.519999999997</v>
      </c>
      <c r="F2" s="6">
        <f>IFERROR(E2/D2, 0)</f>
        <v>0</v>
      </c>
      <c r="G2" s="5">
        <f>SUM(G4:G79)</f>
        <v>0</v>
      </c>
      <c r="H2" s="7">
        <f>C2-G2</f>
        <v>30267.519999999997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SUM(Jan!C4, Feb!C4, Mar!C4)</f>
        <v>30267.519999999997</v>
      </c>
      <c r="D4" s="12">
        <f>SUM(Jan!D4, Feb!D4, Mar!D4)</f>
        <v>0</v>
      </c>
      <c r="E4" s="12">
        <f>IF(AND(ISNUMBER(C4),ISNUMBER(D4)), C4-D4, "")</f>
        <v>30267.519999999997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7123.99</v>
      </c>
      <c r="I4" s="15" t="str">
        <f>IFERROR(H4/G4, "")</f>
        <v/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SUM(C4:C79)</f>
        <v>82638.149999999994</v>
      </c>
      <c r="D2" s="5">
        <f>SUM(D4:D79)</f>
        <v>0</v>
      </c>
      <c r="E2" s="5">
        <f>C2-D2</f>
        <v>82638.149999999994</v>
      </c>
      <c r="F2" s="6">
        <f>IFERROR(E2/D2, 0)</f>
        <v>0</v>
      </c>
      <c r="G2" s="5">
        <f>SUM(G4:G79)</f>
        <v>0</v>
      </c>
      <c r="H2" s="7">
        <f>C2-G2</f>
        <v>82638.149999999994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SUM(Apr!C4, May!C4, Jun!C4)</f>
        <v>82638.149999999994</v>
      </c>
      <c r="D4" s="12">
        <f>SUM(Apr!D4, May!D4, Jun!D4)</f>
        <v>0</v>
      </c>
      <c r="E4" s="12">
        <f>IF(AND(ISNUMBER(C4),ISNUMBER(D4)), C4-D4, "")</f>
        <v>82638.149999999994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SUM(C4:C79)</f>
        <v>89565.760000000009</v>
      </c>
      <c r="D2" s="5">
        <f>SUM(D4:D79)</f>
        <v>0</v>
      </c>
      <c r="E2" s="5">
        <f>C2-D2</f>
        <v>89565.760000000009</v>
      </c>
      <c r="F2" s="6">
        <f>IFERROR(E2/D2, 0)</f>
        <v>0</v>
      </c>
      <c r="G2" s="5">
        <f>SUM(G4:G79)</f>
        <v>0</v>
      </c>
      <c r="H2" s="7">
        <f>C2-G2</f>
        <v>89565.760000000009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SUM(Jul!C4, Aug!C4, Sep!C4)</f>
        <v>89565.760000000009</v>
      </c>
      <c r="D4" s="12">
        <f>SUM(Jul!D4, Aug!D4, Sep!D4)</f>
        <v>0</v>
      </c>
      <c r="E4" s="12">
        <f>IF(AND(ISNUMBER(C4),ISNUMBER(D4)), C4-D4, "")</f>
        <v>89565.760000000009</v>
      </c>
      <c r="F4" s="13" t="str">
        <f>IFERROR(E4/D4, "")</f>
        <v/>
      </c>
      <c r="G4" s="14">
        <f>SUM(Jun!G4,Jul!G4,Aug!G4)</f>
        <v>0</v>
      </c>
      <c r="H4" s="14">
        <f>SUM(Jul!H4, Aug!H4, Sep!H4)</f>
        <v>0</v>
      </c>
      <c r="I4" s="15" t="str">
        <f>IFERROR(H4/G4, "")</f>
        <v/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Meriden - 95 Research Pkwy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Meriden - 95 Research Pkwy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75">
      <c r="A5" s="16"/>
      <c r="B5" s="10"/>
      <c r="C5" s="41"/>
      <c r="D5" s="17"/>
      <c r="E5" s="17"/>
      <c r="F5" s="18"/>
      <c r="G5" s="19"/>
      <c r="H5" s="19"/>
      <c r="I5" s="18"/>
    </row>
    <row r="6" spans="1:9" ht="14.25">
      <c r="A6" s="20"/>
      <c r="B6" s="10"/>
      <c r="C6" s="41"/>
      <c r="D6" s="17"/>
      <c r="E6" s="17"/>
      <c r="F6" s="18"/>
      <c r="G6" s="19"/>
      <c r="H6" s="19"/>
      <c r="I6" s="18"/>
    </row>
    <row r="7" spans="1:9" ht="14.25">
      <c r="A7" s="20"/>
      <c r="B7" s="10"/>
      <c r="C7" s="41"/>
      <c r="D7" s="17"/>
      <c r="E7" s="17"/>
      <c r="F7" s="18"/>
      <c r="G7" s="19"/>
      <c r="H7" s="19"/>
      <c r="I7" s="18"/>
    </row>
    <row r="8" spans="1:9" ht="14.25">
      <c r="A8" s="20"/>
      <c r="B8" s="10"/>
      <c r="C8" s="41"/>
      <c r="D8" s="17"/>
      <c r="E8" s="17"/>
      <c r="F8" s="18"/>
      <c r="G8" s="19"/>
      <c r="H8" s="19"/>
      <c r="I8" s="18"/>
    </row>
    <row r="9" spans="1:9" ht="14.25">
      <c r="A9" s="20"/>
      <c r="B9" s="10"/>
      <c r="C9" s="41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A10" sqref="A10"/>
      <selection pane="bottomLeft" activeCell="C14" sqref="C14"/>
      <selection pane="topRight" activeCell="C14" sqref="C1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Meriden - 95 Research Pkwy</v>
      </c>
      <c r="B4" s="27" t="str" cm="1">
        <f t="array" ref="B4">Sites[State]</f>
        <v>CT</v>
      </c>
      <c r="C4" s="50"/>
      <c r="D4" s="51">
        <v>0</v>
      </c>
      <c r="E4" s="12" t="str">
        <f>IF(AND(ISNUMBER(C4),ISNUMBER(D4)), C4-D4, "")</f>
        <v/>
      </c>
      <c r="F4" s="40" t="str">
        <f>IFERROR(E4/D4, "")</f>
        <v/>
      </c>
      <c r="G4" s="53"/>
      <c r="H4" s="14" t="str">
        <f>IF(AND(ISNUMBER(C4),ISNUMBER(G4)), C4-G4, "")</f>
        <v/>
      </c>
      <c r="I4" s="15" t="str">
        <f>IFERROR(H4/G4, "")</f>
        <v/>
      </c>
      <c r="J4" s="47"/>
      <c r="K4" s="47"/>
    </row>
    <row r="5" spans="1:11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22</v>
      </c>
      <c r="E1" s="58"/>
      <c r="F1" s="58"/>
      <c r="G1" s="56" t="s">
        <v>23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7123.99</v>
      </c>
      <c r="D2" s="5">
        <f>SUM(D4:D79)</f>
        <v>0</v>
      </c>
      <c r="E2" s="5">
        <f>C2-D2</f>
        <v>7123.99</v>
      </c>
      <c r="F2" s="6">
        <f>IFERROR(E2/D2, 0)</f>
        <v>0</v>
      </c>
      <c r="G2" s="5">
        <f>SUM(G4:G79)</f>
        <v>0</v>
      </c>
      <c r="H2" s="7">
        <f>C2-G2</f>
        <v>7123.99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46" t="str" cm="1">
        <f t="array" ref="A4">Sites[Site]</f>
        <v>Meriden - 95 Research Pkwy</v>
      </c>
      <c r="B4" s="27" t="str" cm="1">
        <f t="array" ref="B4">Sites[State]</f>
        <v>CT</v>
      </c>
      <c r="C4" s="23">
        <v>7123.99</v>
      </c>
      <c r="D4" s="12">
        <v>0</v>
      </c>
      <c r="E4" s="12">
        <f>IF(AND(ISNUMBER(C4),ISNUMBER(D4)), C4-D4, "")</f>
        <v>7123.99</v>
      </c>
      <c r="F4" s="13" t="str">
        <f>IFERROR(E4/D4, "")</f>
        <v/>
      </c>
      <c r="G4" s="14">
        <v>0</v>
      </c>
      <c r="H4" s="14">
        <f>IF(AND(ISNUMBER(C4),ISNUMBER(G4)), C4-G4, "")</f>
        <v>7123.99</v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E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25</v>
      </c>
      <c r="E1" s="58"/>
      <c r="F1" s="58"/>
      <c r="G1" s="56" t="s">
        <v>26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23143.529999999995</v>
      </c>
      <c r="D2" s="5">
        <f>SUM(D4:D79)</f>
        <v>0</v>
      </c>
      <c r="E2" s="5">
        <f>C2-D2</f>
        <v>23143.529999999995</v>
      </c>
      <c r="F2" s="6">
        <f>IFERROR(E2/D2, 0)</f>
        <v>0</v>
      </c>
      <c r="G2" s="5">
        <f>SUM(G4:G79)</f>
        <v>0</v>
      </c>
      <c r="H2" s="7">
        <f>C2-G2</f>
        <v>23143.529999999995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23143.529999999995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28</v>
      </c>
      <c r="E1" s="58"/>
      <c r="F1" s="58"/>
      <c r="G1" s="56" t="s">
        <v>29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27001.470000000005</v>
      </c>
      <c r="D2" s="5">
        <f>SUM(D4:D79)</f>
        <v>0</v>
      </c>
      <c r="E2" s="5">
        <f>C2-D2</f>
        <v>27001.470000000005</v>
      </c>
      <c r="F2" s="6">
        <f>IFERROR(E2/D2, 0)</f>
        <v>0</v>
      </c>
      <c r="G2" s="5">
        <f>SUM(G4:G79)</f>
        <v>0</v>
      </c>
      <c r="H2" s="7">
        <f>C2-G2</f>
        <v>27001.470000000005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customHeight="1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27001.470000000005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4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30</v>
      </c>
      <c r="E1" s="58"/>
      <c r="F1" s="58"/>
      <c r="G1" s="56" t="s">
        <v>31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26265</v>
      </c>
      <c r="D2" s="5">
        <f>SUM(D4:D79)</f>
        <v>0</v>
      </c>
      <c r="E2" s="5">
        <f>C2-D2</f>
        <v>26265</v>
      </c>
      <c r="F2" s="6">
        <f>IFERROR(E2/D2, 0)</f>
        <v>0</v>
      </c>
      <c r="G2" s="5">
        <f>SUM(G4:G79)</f>
        <v>0</v>
      </c>
      <c r="H2" s="7">
        <f>C2-G2</f>
        <v>26265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26265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32</v>
      </c>
      <c r="E1" s="58"/>
      <c r="F1" s="58"/>
      <c r="G1" s="56" t="s">
        <v>33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29371.68</v>
      </c>
      <c r="D2" s="5">
        <f>SUM(D4:D79)</f>
        <v>0</v>
      </c>
      <c r="E2" s="5">
        <f>C2-D2</f>
        <v>29371.68</v>
      </c>
      <c r="F2" s="6">
        <f>IFERROR(E2/D2, 0)</f>
        <v>0</v>
      </c>
      <c r="G2" s="5">
        <f>SUM(G4:G79)</f>
        <v>0</v>
      </c>
      <c r="H2" s="7">
        <f>C2-G2</f>
        <v>29371.68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29371.68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34</v>
      </c>
      <c r="E1" s="58"/>
      <c r="F1" s="58"/>
      <c r="G1" s="56" t="s">
        <v>35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32030.639999999999</v>
      </c>
      <c r="D2" s="5">
        <f>SUM(D4:D79)</f>
        <v>0</v>
      </c>
      <c r="E2" s="5">
        <f>C2-D2</f>
        <v>32030.639999999999</v>
      </c>
      <c r="F2" s="6">
        <f>IFERROR(E2/D2, 0)</f>
        <v>0</v>
      </c>
      <c r="G2" s="5">
        <f>SUM(G4:G79)</f>
        <v>0</v>
      </c>
      <c r="H2" s="7">
        <f>C2-G2</f>
        <v>32030.639999999999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32030.639999999999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36</v>
      </c>
      <c r="E1" s="58"/>
      <c r="F1" s="58"/>
      <c r="G1" s="56" t="s">
        <v>37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32394.41</v>
      </c>
      <c r="D2" s="5">
        <f>SUM(D4:D79)</f>
        <v>0</v>
      </c>
      <c r="E2" s="5">
        <f>C2-D2</f>
        <v>32394.41</v>
      </c>
      <c r="F2" s="6">
        <f>IFERROR(E2/D2, 0)</f>
        <v>0</v>
      </c>
      <c r="G2" s="5">
        <f>SUM(G4:G79)</f>
        <v>0</v>
      </c>
      <c r="H2" s="7">
        <f>C2-G2</f>
        <v>32394.41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32394.41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J4" sqref="J4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38</v>
      </c>
      <c r="E1" s="58"/>
      <c r="F1" s="58"/>
      <c r="G1" s="56" t="s">
        <v>39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25140.71</v>
      </c>
      <c r="D2" s="5">
        <f>SUM(D4:D79)</f>
        <v>0</v>
      </c>
      <c r="E2" s="5">
        <f>C2-D2</f>
        <v>25140.71</v>
      </c>
      <c r="F2" s="6">
        <f>IFERROR(E2/D2, 0)</f>
        <v>0</v>
      </c>
      <c r="G2" s="5">
        <f>SUM(G4:G79)</f>
        <v>0</v>
      </c>
      <c r="H2" s="7">
        <f>C2-G2</f>
        <v>25140.71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>
        <v>25140.71</v>
      </c>
      <c r="D4" s="12" t="s">
        <v>27</v>
      </c>
      <c r="E4" s="12" t="str">
        <f>IF(AND(ISNUMBER(C4),ISNUMBER(D4)), C4-D4, "")</f>
        <v/>
      </c>
      <c r="F4" s="13" t="str">
        <f>IFERROR(E4/D4, "")</f>
        <v/>
      </c>
      <c r="G4" s="55" t="s">
        <v>27</v>
      </c>
      <c r="H4" s="14" t="str">
        <f>IF(AND(ISNUMBER(C4),ISNUMBER(G4)), C4-G4, "")</f>
        <v/>
      </c>
      <c r="I4" s="15" t="str">
        <f>IFERROR(H4/G4, "")</f>
        <v/>
      </c>
      <c r="J4" s="36" t="s">
        <v>24</v>
      </c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40</v>
      </c>
      <c r="E1" s="58"/>
      <c r="F1" s="58"/>
      <c r="G1" s="56" t="s">
        <v>41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42</v>
      </c>
      <c r="E1" s="58"/>
      <c r="F1" s="58"/>
      <c r="G1" s="56" t="s">
        <v>43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H19" sqref="H19"/>
      <selection pane="bottomLeft" activeCell="H19" sqref="H19"/>
      <selection pane="topRight" activeCell="H19" sqref="H19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Meriden - 95 Research Pkwy</v>
      </c>
      <c r="B1" s="57"/>
      <c r="C1" s="57"/>
      <c r="D1" s="58" t="s">
        <v>44</v>
      </c>
      <c r="E1" s="58"/>
      <c r="F1" s="58"/>
      <c r="G1" s="56" t="s">
        <v>45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Meriden - 95 Research Pkwy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7" sqref="B1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25">
      <c r="A4" s="45" t="s">
        <v>47</v>
      </c>
      <c r="B4" t="s">
        <v>47</v>
      </c>
      <c r="C4" s="43" t="s">
        <v>51</v>
      </c>
      <c r="D4" s="42" t="s">
        <v>52</v>
      </c>
      <c r="E4" t="s">
        <v>53</v>
      </c>
      <c r="G4" s="3"/>
    </row>
    <row r="5" spans="1:12" ht="14.25">
      <c r="A5" s="45"/>
      <c r="C5" s="43"/>
      <c r="D5" s="42"/>
      <c r="G5" s="3"/>
    </row>
    <row r="6" spans="1:12" ht="14.2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98A113BB-8B7A-453C-8BD4-8EFC67FC2D3F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F54C821C-332B-4350-8272-A2A7D0BAB756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2025-10-09T09:51:38Z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2025-07-22T17:44:06Z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c993f3b6-2d10-4d18-85de-c87d0bd40334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