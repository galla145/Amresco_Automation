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DD90A5FB-1505-407C-AF31-E12D7A01A9EE}"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H4" i="2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s="1"/>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E2" i="19" l="1"/>
  <c r="F2" i="19" s="1"/>
  <c r="H2" i="20"/>
  <c r="I2" i="20" s="1"/>
  <c r="E2" i="2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<sst xmlns="http://schemas.openxmlformats.org/spreadsheetml/2006/main" count="286" uniqueCount="93">
  <si>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</si>
  <si>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</si>
  <si>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</si>
  <si>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</si>
  <si>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</si>
  <si>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</si>
  <si>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</si>
  <si>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</si>
  <si>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</si>
  <si>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</si>
  <si>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</si>
  <si>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</si>
  <si>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</si>
  <si>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</si>
  <si>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</si>
  <si>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</si>
  <si>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</si>
  <si>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</si>
  <si>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</si>
  <si>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</si>
  <si>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</si>
  <si>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</si>
  <si>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</si>
  <si>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</si>
  <si>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</si>
  <si>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</si>
  <si>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</si>
  <si>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</si>
  <si>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</si>
  <si>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</si>
  <si>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</si>
  <si>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</si>
  <si>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</si>
  <si>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</si>
  <si>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</si>
  <si>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</si>
  <si>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</si>
  <si>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</si>
  <si>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</si>
  <si>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</si>
  <si>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</si>
  <si>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</si>
  <si>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</si>
  <si>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</si>
  <si>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</si>
  <si>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</si>
  <si>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</si>
  <si>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</si>
  <si>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</si>
  <si>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</si>
  <si>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</si>
  <si>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</si>
  <si>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</si>
  <si>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</si>
  <si>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</si>
  <si>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</si>
  <si>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</si>
  <si>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</si>
  <si>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</si>
  <si>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</si>
  <si>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</si>
  <si>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</si>
  <si>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</si>
  <si>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</si>
  <si>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</si>
  <si>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</si>
  <si>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</si>
  <si>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</si>
  <si>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</si>
  <si>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1.Inverter 2.1 offline from 07/25
2. Inverter 1.12 was offline from 18:00 on 06/25 and came back online at 09:15 on 08/06
3. Inverter 1.3 is derating to 77 kW from 08/18. Displaying External Fan Error fault. Opened case with CPS</t>
  </si>
  <si>
    <t>1.SR105070
2.SR103562 ,	SR105070
3.SR106460</t>
  </si>
  <si>
    <t>SR103562</t>
  </si>
  <si>
    <t>SR106460</t>
  </si>
  <si>
    <t>September Actual v. Expected</t>
  </si>
  <si>
    <t>September Actual v. Forecasted</t>
  </si>
  <si>
    <t>1.Inverter 1.3 is derating to 77 kW from 08/18
2.Inverter 2.1 offline from 07/25</t>
  </si>
  <si>
    <t>1.SR106460
2.SR105070</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</si>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</sst>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7"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3562" TargetMode="External"/><Relationship Id="rId1" Type="http://schemas.openxmlformats.org/officeDocument/2006/relationships/hyperlink" Target="https://us3.assetplanner.com/service_request?ID=105070" TargetMode="External"/><Relationship Id="rId4" Type="http://schemas.openxmlformats.org/officeDocument/2006/relationships/hyperlink" Target="https://us3.assetplanner.com/service_request?ID=106460"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2" sqref="E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Freepoint</v>
      </c>
      <c r="B1" s="62"/>
      <c r="C1" s="62"/>
      <c r="D1" s="63" t="s">
        <v>0</v>
      </c>
      <c r="E1" s="63"/>
      <c r="F1" s="63"/>
      <c r="G1" s="61" t="s">
        <v>1</v>
      </c>
      <c r="H1" s="61"/>
      <c r="I1" s="61"/>
    </row>
    <row r="2" spans="1:9" ht="19.5" customHeight="1">
      <c r="A2" s="64" t="s">
        <v>2</v>
      </c>
      <c r="B2" s="64"/>
      <c r="C2" s="5">
        <f>SUM(C4:C79)</f>
        <v>7065660.9995999997</v>
      </c>
      <c r="D2" s="5">
        <f>SUM(D4:D79)</f>
        <v>8191913.8679999998</v>
      </c>
      <c r="E2" s="5">
        <f>C2-D2</f>
        <v>-1126252.8684</v>
      </c>
      <c r="F2" s="6">
        <f>IFERROR(E2/D2, 0)</f>
        <v>-0.1374834851229908</v>
      </c>
      <c r="G2" s="5">
        <f>SUM(G4:G79)</f>
        <v>6373704.0700000003</v>
      </c>
      <c r="H2" s="7">
        <f>C2-G2</f>
        <v>691956.92959999945</v>
      </c>
      <c r="I2" s="6">
        <f>IFERROR(H2/G2, 0)</f>
        <v>0.10856433276482499</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7065660.9995999997</v>
      </c>
      <c r="D4" s="12">
        <f>SUM('1st Qtr'!D4, '2nd Qtr'!D4, '3rd Qtr'!D4, '4th Qtr'!D4)</f>
        <v>8191913.8679999998</v>
      </c>
      <c r="E4" s="12">
        <f>IF(AND(ISNUMBER(C4),ISNUMBER(D4)), C4-D4, "")</f>
        <v>-1126252.8684</v>
      </c>
      <c r="F4" s="13">
        <f>IFERROR(E4/D4, "")</f>
        <v>-0.1374834851229908</v>
      </c>
      <c r="G4" s="14">
        <f>SUM('1st Qtr'!G4, '2nd Qtr'!G4, '3rd Qtr'!G4, '4th Qtr'!G4)</f>
        <v>6373704.0700000003</v>
      </c>
      <c r="H4" s="14">
        <f>SUM('1st Qtr'!H4, '2nd Qtr'!H4, '3rd Qtr'!H4, '4th Qtr'!H4)</f>
        <v>17023.619599999918</v>
      </c>
      <c r="I4" s="15">
        <f>IFERROR(H4/G4, "")</f>
        <v>2.6709146538709504E-3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Freepoint</v>
      </c>
      <c r="B1" s="62"/>
      <c r="C1" s="62"/>
      <c r="D1" s="63" t="s">
        <v>10</v>
      </c>
      <c r="E1" s="63"/>
      <c r="F1" s="63"/>
      <c r="G1" s="61" t="s">
        <v>11</v>
      </c>
      <c r="H1" s="61"/>
      <c r="I1" s="61"/>
    </row>
    <row r="2" spans="1:9" ht="19.5" customHeight="1">
      <c r="A2" s="64" t="s">
        <v>2</v>
      </c>
      <c r="B2" s="64"/>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Freepoint</v>
      </c>
      <c r="B1" s="62"/>
      <c r="C1" s="62"/>
      <c r="D1" s="63" t="s">
        <v>12</v>
      </c>
      <c r="E1" s="63"/>
      <c r="F1" s="63"/>
      <c r="G1" s="61" t="s">
        <v>13</v>
      </c>
      <c r="H1" s="61"/>
      <c r="I1" s="61"/>
    </row>
    <row r="2" spans="1:9" ht="19.5" customHeight="1">
      <c r="A2" s="64" t="s">
        <v>2</v>
      </c>
      <c r="B2" s="64"/>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 sqref="G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Freepoint</v>
      </c>
      <c r="B1" s="62"/>
      <c r="C1" s="62"/>
      <c r="D1" s="63" t="s">
        <v>14</v>
      </c>
      <c r="E1" s="63"/>
      <c r="F1" s="63"/>
      <c r="G1" s="61" t="s">
        <v>15</v>
      </c>
      <c r="H1" s="61"/>
      <c r="I1" s="61"/>
    </row>
    <row r="2" spans="1:9" ht="19.5" customHeight="1">
      <c r="A2" s="64" t="s">
        <v>2</v>
      </c>
      <c r="B2" s="64"/>
      <c r="C2" s="5">
        <f>SUM(C4:C79)</f>
        <v>2983894</v>
      </c>
      <c r="D2" s="5">
        <f>SUM(D4:D79)</f>
        <v>3540932.1409999998</v>
      </c>
      <c r="E2" s="5">
        <f>C2-D2</f>
        <v>-557038.14099999983</v>
      </c>
      <c r="F2" s="6">
        <f>IFERROR(E2/D2, 0)</f>
        <v>-0.15731398366834726</v>
      </c>
      <c r="G2" s="5">
        <f>SUM(G4:G79)</f>
        <v>1942855.66</v>
      </c>
      <c r="H2" s="7">
        <f>C2-G2</f>
        <v>1041038.3400000001</v>
      </c>
      <c r="I2" s="6">
        <f>IFERROR(H2/G2, 0)</f>
        <v>0.53582896631651999</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2983894</v>
      </c>
      <c r="D4" s="12">
        <f>SUM(Jul!D4, Aug!D4, Sep!D4)</f>
        <v>3540932.1409999998</v>
      </c>
      <c r="E4" s="12">
        <f>IF(AND(ISNUMBER(C4),ISNUMBER(D4)), C4-D4, "")</f>
        <v>-557038.14099999983</v>
      </c>
      <c r="F4" s="13">
        <f>IFERROR(E4/D4, "")</f>
        <v>-0.15731398366834726</v>
      </c>
      <c r="G4" s="14">
        <f>SUM(Jul!G4,Aug!H4,Sep!G4)</f>
        <v>1942855.66</v>
      </c>
      <c r="H4" s="14">
        <f>SUM(Jul!H4, Aug!H4, Sep!H4)</f>
        <v>366105.02999999991</v>
      </c>
      <c r="I4" s="15">
        <f>IFERROR(H4/G4, "")</f>
        <v>0.18843655632143044</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Freepoint</v>
      </c>
      <c r="B1" s="62"/>
      <c r="C1" s="62"/>
      <c r="D1" s="63" t="s">
        <v>16</v>
      </c>
      <c r="E1" s="63"/>
      <c r="F1" s="63"/>
      <c r="G1" s="61" t="s">
        <v>17</v>
      </c>
      <c r="H1" s="61"/>
      <c r="I1" s="61"/>
    </row>
    <row r="2" spans="1:9" ht="19.5" customHeight="1">
      <c r="A2" s="64" t="s">
        <v>2</v>
      </c>
      <c r="B2" s="64"/>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Freepoint</v>
      </c>
      <c r="B1" s="62"/>
      <c r="C1" s="62"/>
      <c r="D1" s="63" t="s">
        <v>18</v>
      </c>
      <c r="E1" s="63"/>
      <c r="F1" s="63"/>
      <c r="G1" s="61" t="s">
        <v>19</v>
      </c>
      <c r="H1" s="61"/>
      <c r="I1" s="61"/>
      <c r="J1" s="4"/>
      <c r="K1" s="4"/>
    </row>
    <row r="2" spans="1:11" ht="19.5" customHeight="1">
      <c r="A2" s="64" t="s">
        <v>2</v>
      </c>
      <c r="B2" s="64"/>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2" t="str" cm="1">
        <f t="array" ref="A1">portfolio</f>
        <v>Freepoint</v>
      </c>
      <c r="B1" s="62"/>
      <c r="C1" s="62"/>
      <c r="D1" s="63" t="s">
        <v>24</v>
      </c>
      <c r="E1" s="63"/>
      <c r="F1" s="63"/>
      <c r="G1" s="61" t="s">
        <v>25</v>
      </c>
      <c r="H1" s="61"/>
      <c r="I1" s="61"/>
      <c r="J1" s="4"/>
      <c r="K1" s="4"/>
    </row>
    <row r="2" spans="1:16" ht="19.5" customHeight="1">
      <c r="A2" s="64" t="s">
        <v>2</v>
      </c>
      <c r="B2" s="64"/>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2" t="str" cm="1">
        <f t="array" ref="A1">portfolio</f>
        <v>Freepoint</v>
      </c>
      <c r="B1" s="62"/>
      <c r="C1" s="62"/>
      <c r="D1" s="63" t="s">
        <v>32</v>
      </c>
      <c r="E1" s="63"/>
      <c r="F1" s="63"/>
      <c r="G1" s="61" t="s">
        <v>33</v>
      </c>
      <c r="H1" s="61"/>
      <c r="I1" s="61"/>
      <c r="J1" s="4"/>
      <c r="K1" s="4"/>
    </row>
    <row r="2" spans="1:15" ht="19.5" customHeight="1">
      <c r="A2" s="64" t="s">
        <v>2</v>
      </c>
      <c r="B2" s="64"/>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2" t="str" cm="1">
        <f t="array" ref="A1">portfolio</f>
        <v>Freepoint</v>
      </c>
      <c r="B1" s="62"/>
      <c r="C1" s="62"/>
      <c r="D1" s="63" t="s">
        <v>39</v>
      </c>
      <c r="E1" s="63"/>
      <c r="F1" s="63"/>
      <c r="G1" s="61" t="s">
        <v>40</v>
      </c>
      <c r="H1" s="61"/>
      <c r="I1" s="61"/>
      <c r="J1" s="4"/>
      <c r="K1" s="4"/>
    </row>
    <row r="2" spans="1:14" ht="19.5" customHeight="1">
      <c r="A2" s="64" t="s">
        <v>2</v>
      </c>
      <c r="B2" s="64"/>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2" t="str" cm="1">
        <f t="array" ref="A1">portfolio</f>
        <v>Freepoint</v>
      </c>
      <c r="B1" s="62"/>
      <c r="C1" s="62"/>
      <c r="D1" s="63" t="s">
        <v>45</v>
      </c>
      <c r="E1" s="63"/>
      <c r="F1" s="63"/>
      <c r="G1" s="61" t="s">
        <v>46</v>
      </c>
      <c r="H1" s="61"/>
      <c r="I1" s="61"/>
      <c r="J1" s="4"/>
      <c r="K1" s="4"/>
    </row>
    <row r="2" spans="1:13" ht="19.5" customHeight="1">
      <c r="A2" s="64" t="s">
        <v>2</v>
      </c>
      <c r="B2" s="64"/>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3" t="s">
        <v>48</v>
      </c>
      <c r="L4" s="58" t="s">
        <v>38</v>
      </c>
      <c r="M4" s="58"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6"/>
  </cols>
  <sheetData>
    <row r="1" spans="1:16" ht="19.5" customHeight="1">
      <c r="A1" s="62" t="str" cm="1">
        <f t="array" ref="A1">portfolio</f>
        <v>Freepoint</v>
      </c>
      <c r="B1" s="62"/>
      <c r="C1" s="62"/>
      <c r="D1" s="63" t="s">
        <v>50</v>
      </c>
      <c r="E1" s="63"/>
      <c r="F1" s="63"/>
      <c r="G1" s="61" t="s">
        <v>51</v>
      </c>
      <c r="H1" s="61"/>
      <c r="I1" s="61"/>
      <c r="J1" s="4"/>
      <c r="K1" s="4"/>
    </row>
    <row r="2" spans="1:16" ht="19.5" customHeight="1">
      <c r="A2" s="64" t="s">
        <v>2</v>
      </c>
      <c r="B2" s="64"/>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3" t="s">
        <v>53</v>
      </c>
      <c r="L4" s="54" t="s">
        <v>54</v>
      </c>
      <c r="M4" s="54" t="s">
        <v>55</v>
      </c>
      <c r="N4" s="54" t="s">
        <v>56</v>
      </c>
      <c r="O4" s="54" t="s">
        <v>57</v>
      </c>
      <c r="P4" s="54"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zoomScale="70" zoomScaleNormal="7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9"/>
  </cols>
  <sheetData>
    <row r="1" spans="1:17" ht="19.5" customHeight="1">
      <c r="A1" s="62" t="str" cm="1">
        <f t="array" ref="A1">portfolio</f>
        <v>Freepoint</v>
      </c>
      <c r="B1" s="62"/>
      <c r="C1" s="62"/>
      <c r="D1" s="63" t="s">
        <v>58</v>
      </c>
      <c r="E1" s="63"/>
      <c r="F1" s="63"/>
      <c r="G1" s="61" t="s">
        <v>59</v>
      </c>
      <c r="H1" s="61"/>
      <c r="I1" s="61"/>
      <c r="J1" s="4"/>
      <c r="K1" s="4"/>
    </row>
    <row r="2" spans="1:17" ht="19.5" customHeight="1">
      <c r="A2" s="64" t="s">
        <v>2</v>
      </c>
      <c r="B2" s="64"/>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44">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3" t="s">
        <v>61</v>
      </c>
      <c r="L4" s="58" t="s">
        <v>49</v>
      </c>
      <c r="M4" s="58" t="s">
        <v>62</v>
      </c>
      <c r="N4" s="58" t="s">
        <v>63</v>
      </c>
      <c r="O4" s="58" t="s">
        <v>64</v>
      </c>
      <c r="P4" s="58" t="s">
        <v>65</v>
      </c>
      <c r="Q4" s="58" t="s">
        <v>66</v>
      </c>
    </row>
    <row r="5" spans="1:17" ht="14.45">
      <c r="A5" s="20"/>
      <c r="B5" s="29"/>
      <c r="C5" s="20"/>
      <c r="D5" s="20"/>
      <c r="E5" s="20"/>
      <c r="F5" s="20"/>
      <c r="G5" s="20"/>
      <c r="H5" s="20"/>
      <c r="I5" s="20"/>
      <c r="J5" s="20"/>
      <c r="K5" s="20"/>
    </row>
    <row r="6" spans="1:17" ht="14.45">
      <c r="A6" s="20"/>
      <c r="B6" s="29"/>
      <c r="C6" s="20"/>
      <c r="D6" s="20"/>
      <c r="E6" s="20"/>
      <c r="F6" s="20"/>
      <c r="G6" s="20"/>
      <c r="H6" s="20"/>
      <c r="I6" s="20"/>
      <c r="J6" s="20"/>
      <c r="K6" s="20"/>
    </row>
    <row r="7" spans="1:17" ht="14.45">
      <c r="A7" s="20"/>
      <c r="B7" s="29"/>
      <c r="C7" s="20"/>
      <c r="D7" s="20"/>
      <c r="E7" s="20"/>
      <c r="F7" s="20"/>
      <c r="G7" s="20"/>
      <c r="H7" s="20"/>
      <c r="I7" s="20"/>
      <c r="J7" s="20"/>
      <c r="K7" s="20"/>
    </row>
    <row r="8" spans="1:17" ht="14.45">
      <c r="A8" s="20"/>
      <c r="B8" s="29"/>
      <c r="C8" s="20"/>
      <c r="D8" s="20"/>
      <c r="E8" s="20"/>
      <c r="F8" s="20"/>
      <c r="G8" s="20"/>
      <c r="H8" s="20"/>
      <c r="I8" s="20"/>
      <c r="J8" s="20"/>
      <c r="K8" s="20"/>
    </row>
    <row r="9" spans="1:17" ht="14.45">
      <c r="A9" s="20"/>
      <c r="B9" s="29"/>
      <c r="C9" s="20"/>
      <c r="D9" s="20"/>
      <c r="E9" s="20"/>
      <c r="F9" s="20"/>
      <c r="G9" s="20"/>
      <c r="H9" s="20"/>
      <c r="I9" s="20"/>
      <c r="J9" s="20"/>
      <c r="K9" s="20"/>
    </row>
    <row r="10" spans="1:17" ht="14.45">
      <c r="A10" s="20"/>
      <c r="B10" s="29"/>
      <c r="C10" s="20"/>
      <c r="D10" s="20"/>
      <c r="E10" s="20"/>
      <c r="F10" s="20"/>
      <c r="G10" s="20"/>
      <c r="H10" s="20"/>
      <c r="I10" s="20"/>
      <c r="J10" s="20"/>
      <c r="K10" s="20"/>
    </row>
    <row r="11" spans="1:17" ht="14.45">
      <c r="A11" s="20"/>
      <c r="B11" s="29"/>
      <c r="C11" s="20"/>
      <c r="D11" s="20"/>
      <c r="E11" s="20"/>
      <c r="F11" s="20"/>
      <c r="G11" s="20"/>
      <c r="H11" s="20"/>
      <c r="I11" s="20"/>
      <c r="J11" s="20"/>
      <c r="K11" s="20"/>
    </row>
    <row r="12" spans="1:17" ht="14.45">
      <c r="A12" s="20"/>
      <c r="B12" s="29"/>
      <c r="C12" s="20"/>
      <c r="D12" s="20"/>
      <c r="E12" s="20"/>
      <c r="F12" s="21"/>
      <c r="G12" s="20"/>
      <c r="H12" s="20"/>
      <c r="I12" s="21"/>
      <c r="J12" s="20"/>
      <c r="K12" s="20"/>
    </row>
    <row r="13" spans="1:17" ht="14.45">
      <c r="A13" s="20"/>
      <c r="B13" s="29"/>
      <c r="C13" s="20"/>
      <c r="D13" s="20"/>
      <c r="E13" s="20"/>
      <c r="F13" s="21"/>
      <c r="G13" s="20"/>
      <c r="H13" s="20"/>
      <c r="I13" s="21"/>
      <c r="J13" s="20"/>
      <c r="K13" s="20"/>
    </row>
    <row r="14" spans="1:17" ht="14.45">
      <c r="A14" s="20"/>
      <c r="B14" s="29"/>
      <c r="C14" s="20"/>
      <c r="D14" s="20"/>
      <c r="E14" s="20"/>
      <c r="F14" s="21"/>
      <c r="G14" s="20"/>
      <c r="H14" s="20"/>
      <c r="I14" s="21"/>
      <c r="J14" s="20"/>
      <c r="K14" s="20"/>
    </row>
    <row r="15" spans="1:17" ht="14.45">
      <c r="A15" s="20"/>
      <c r="B15" s="29"/>
      <c r="C15" s="20"/>
      <c r="D15" s="20"/>
      <c r="E15" s="20"/>
      <c r="F15" s="21"/>
      <c r="G15" s="20"/>
      <c r="H15" s="20"/>
      <c r="I15" s="21"/>
      <c r="J15" s="20"/>
      <c r="K15" s="20"/>
    </row>
    <row r="16" spans="1:17"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1"/>
  <sheetViews>
    <sheetView tabSelected="1" zoomScale="80" zoomScaleNormal="8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6"/>
  </cols>
  <sheetData>
    <row r="1" spans="1:14" ht="19.5" customHeight="1">
      <c r="A1" s="62" t="str" cm="1">
        <f t="array" ref="A1">portfolio</f>
        <v>Freepoint</v>
      </c>
      <c r="B1" s="62"/>
      <c r="C1" s="62"/>
      <c r="D1" s="63" t="s">
        <v>67</v>
      </c>
      <c r="E1" s="63"/>
      <c r="F1" s="63"/>
      <c r="G1" s="61" t="s">
        <v>68</v>
      </c>
      <c r="H1" s="61"/>
      <c r="I1" s="61"/>
      <c r="J1" s="4"/>
      <c r="K1" s="4"/>
    </row>
    <row r="2" spans="1:14" ht="19.5" customHeight="1">
      <c r="A2" s="64" t="s">
        <v>2</v>
      </c>
      <c r="B2" s="64"/>
      <c r="C2" s="5">
        <f>SUM(C4:C79)</f>
        <v>1141730.79</v>
      </c>
      <c r="D2" s="5">
        <f>SUM(D4:D79)</f>
        <v>1315221.2819999999</v>
      </c>
      <c r="E2" s="5">
        <f>C2-D2</f>
        <v>-173490.49199999985</v>
      </c>
      <c r="F2" s="6">
        <f>IFERROR(E2/D2, 0)</f>
        <v>-0.13190973593141711</v>
      </c>
      <c r="G2" s="5">
        <f>SUM(G4:G79)</f>
        <v>908332.05</v>
      </c>
      <c r="H2" s="7">
        <f>C2-G2</f>
        <v>233398.74</v>
      </c>
      <c r="I2" s="6">
        <f>IFERROR(H2/G2, 0)</f>
        <v>0.25695310431906482</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72">
      <c r="A4" s="28" t="str" cm="1">
        <f t="array" ref="A4">Sites[Site]</f>
        <v>NY: Coxsackie - State Route 9 West</v>
      </c>
      <c r="B4" s="27" t="str" cm="1">
        <f t="array" ref="B4">Sites[State]</f>
        <v>NY</v>
      </c>
      <c r="C4" s="23">
        <v>1141730.79</v>
      </c>
      <c r="D4" s="12">
        <v>1315221.2819999999</v>
      </c>
      <c r="E4" s="12">
        <f>IF(AND(ISNUMBER(C4),ISNUMBER(D4)), C4-D4, "")</f>
        <v>-173490.49199999985</v>
      </c>
      <c r="F4" s="13">
        <f>IFERROR(E4/D4, "")</f>
        <v>-0.13190973593141711</v>
      </c>
      <c r="G4" s="14">
        <v>908332.05</v>
      </c>
      <c r="H4" s="14">
        <f>IF(AND(ISNUMBER(C4),ISNUMBER(G4)), C4-G4, "")</f>
        <v>233398.74</v>
      </c>
      <c r="I4" s="15">
        <f>IFERROR(H4/G4, "")</f>
        <v>0.25695310431906482</v>
      </c>
      <c r="J4" s="36" t="s">
        <v>69</v>
      </c>
      <c r="K4" s="53" t="s">
        <v>70</v>
      </c>
      <c r="L4" s="54" t="s">
        <v>71</v>
      </c>
      <c r="M4" s="54" t="s">
        <v>66</v>
      </c>
      <c r="N4" s="54" t="s">
        <v>72</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5070" xr:uid="{A8CA984E-98E1-4AE0-8F22-3439F8BA15FB}"/>
    <hyperlink ref="L4" r:id="rId2" display="https://us3.assetplanner.com/service_request?ID=103562" xr:uid="{F83013F8-7A7E-4536-AAFA-A6AC1A3176BB}"/>
    <hyperlink ref="M4" r:id="rId3" display="https://us3.assetplanner.com/service_request?ID=105070" xr:uid="{72AC35BD-CF8B-4257-81F6-79E110ED0E7F}"/>
    <hyperlink ref="N4" r:id="rId4" display="https://us3.assetplanner.com/service_request?ID=106460" xr:uid="{72D17F97-BBD5-4E8C-929B-B4A7B831408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1"/>
  <sheetViews>
    <sheetView workbookViewId="0">
      <pane xSplit="2" ySplit="3" topLeftCell="H4" activePane="bottomRight" state="frozen"/>
      <selection pane="bottomRight" activeCell="L1" sqref="L1:L1048576"/>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2" t="str" cm="1">
        <f t="array" ref="A1">portfolio</f>
        <v>Freepoint</v>
      </c>
      <c r="B1" s="62"/>
      <c r="C1" s="62"/>
      <c r="D1" s="63" t="s">
        <v>73</v>
      </c>
      <c r="E1" s="63"/>
      <c r="F1" s="63"/>
      <c r="G1" s="61" t="s">
        <v>74</v>
      </c>
      <c r="H1" s="61"/>
      <c r="I1" s="61"/>
      <c r="J1" s="4"/>
      <c r="K1" s="4"/>
    </row>
    <row r="2" spans="1:12" ht="19.5" customHeight="1">
      <c r="A2" s="64" t="s">
        <v>2</v>
      </c>
      <c r="B2" s="64"/>
      <c r="C2" s="5">
        <f>SUM(C4:C79)</f>
        <v>909475.21</v>
      </c>
      <c r="D2" s="5">
        <f>SUM(D4:D79)</f>
        <v>1062084.7479999999</v>
      </c>
      <c r="E2" s="5">
        <f>C2-D2</f>
        <v>-152609.53799999994</v>
      </c>
      <c r="F2" s="6">
        <f>IFERROR(E2/D2, 0)</f>
        <v>-0.14368866353403276</v>
      </c>
      <c r="G2" s="5">
        <f>SUM(G4:G79)</f>
        <v>746245.01</v>
      </c>
      <c r="H2" s="7">
        <f>C2-G2</f>
        <v>163230.19999999995</v>
      </c>
      <c r="I2" s="6">
        <f>IFERROR(H2/G2, 0)</f>
        <v>0.21873539898109329</v>
      </c>
      <c r="J2" s="25"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28.9">
      <c r="A4" s="28" t="str" cm="1">
        <f t="array" ref="A4">Sites[Site]</f>
        <v>NY: Coxsackie - State Route 9 West</v>
      </c>
      <c r="B4" s="27" t="str" cm="1">
        <f t="array" ref="B4">Sites[State]</f>
        <v>NY</v>
      </c>
      <c r="C4" s="23">
        <v>909475.21</v>
      </c>
      <c r="D4" s="12">
        <v>1062084.7479999999</v>
      </c>
      <c r="E4" s="12">
        <f>IF(AND(ISNUMBER(C4),ISNUMBER(D4)), C4-D4, "")</f>
        <v>-152609.53799999994</v>
      </c>
      <c r="F4" s="13">
        <f>IFERROR(E4/D4, "")</f>
        <v>-0.14368866353403276</v>
      </c>
      <c r="G4" s="14">
        <v>746245.01</v>
      </c>
      <c r="H4" s="14">
        <f>IF(AND(ISNUMBER(C4),ISNUMBER(G4)), C4-G4, "")</f>
        <v>163230.19999999995</v>
      </c>
      <c r="I4" s="15">
        <f>IFERROR(H4/G4, "")</f>
        <v>0.21873539898109329</v>
      </c>
      <c r="J4" s="36" t="s">
        <v>75</v>
      </c>
      <c r="K4" s="53" t="s">
        <v>76</v>
      </c>
      <c r="L4" s="60" t="s">
        <v>66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0"/>
      <c r="G10" s="20"/>
      <c r="H10" s="20"/>
      <c r="I10" s="20"/>
      <c r="J10" s="20"/>
      <c r="K10" s="20"/>
    </row>
    <row r="11" spans="1:12" ht="14.45">
      <c r="A11" s="20"/>
      <c r="B11" s="29"/>
      <c r="C11" s="20"/>
      <c r="D11" s="20"/>
      <c r="E11" s="20"/>
      <c r="F11" s="20"/>
      <c r="G11" s="20"/>
      <c r="H11" s="20"/>
      <c r="I11" s="20"/>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460" xr:uid="{BACD9FE5-2982-4F41-B12F-B09CAF520B66}"/>
    <hyperlink ref="L4" r:id="rId2" display="https://us3.assetplanner.com/service_request?ID=105070" xr:uid="{A1974D0F-EEC4-4E68-AC55-FC5001D3D25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Freepoint</v>
      </c>
      <c r="B1" s="62"/>
      <c r="C1" s="62"/>
      <c r="D1" s="63" t="s">
        <v>77</v>
      </c>
      <c r="E1" s="63"/>
      <c r="F1" s="63"/>
      <c r="G1" s="61" t="s">
        <v>78</v>
      </c>
      <c r="H1" s="61"/>
      <c r="I1" s="61"/>
      <c r="J1" s="4"/>
      <c r="K1" s="4"/>
    </row>
    <row r="2" spans="1:11" ht="19.5" customHeight="1">
      <c r="A2" s="64" t="s">
        <v>2</v>
      </c>
      <c r="B2" s="64"/>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Freepoint</v>
      </c>
      <c r="B1" s="62"/>
      <c r="C1" s="62"/>
      <c r="D1" s="63" t="s">
        <v>79</v>
      </c>
      <c r="E1" s="63"/>
      <c r="F1" s="63"/>
      <c r="G1" s="61" t="s">
        <v>80</v>
      </c>
      <c r="H1" s="61"/>
      <c r="I1" s="61"/>
      <c r="J1" s="4"/>
      <c r="K1" s="4"/>
    </row>
    <row r="2" spans="1:11" ht="19.5" customHeight="1">
      <c r="A2" s="64" t="s">
        <v>2</v>
      </c>
      <c r="B2" s="64"/>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Freepoint</v>
      </c>
      <c r="B1" s="62"/>
      <c r="C1" s="62"/>
      <c r="D1" s="63" t="s">
        <v>81</v>
      </c>
      <c r="E1" s="63"/>
      <c r="F1" s="63"/>
      <c r="G1" s="61" t="s">
        <v>82</v>
      </c>
      <c r="H1" s="61"/>
      <c r="I1" s="61"/>
      <c r="J1" s="4"/>
      <c r="K1" s="4"/>
    </row>
    <row r="2" spans="1:11" ht="19.5" customHeight="1">
      <c r="A2" s="64" t="s">
        <v>2</v>
      </c>
      <c r="B2" s="64"/>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83</v>
      </c>
      <c r="B1" t="s">
        <v>84</v>
      </c>
    </row>
    <row r="3" spans="1:12" ht="13.15">
      <c r="A3" t="s">
        <v>85</v>
      </c>
      <c r="B3" t="s">
        <v>3</v>
      </c>
      <c r="C3" t="s">
        <v>4</v>
      </c>
      <c r="D3" t="s">
        <v>86</v>
      </c>
      <c r="E3" s="2" t="s">
        <v>87</v>
      </c>
    </row>
    <row r="4" spans="1:12" ht="14.45">
      <c r="A4" s="44" t="s">
        <v>88</v>
      </c>
      <c r="B4" t="s">
        <v>89</v>
      </c>
      <c r="C4" s="42" t="s">
        <v>90</v>
      </c>
      <c r="D4" s="41" t="s">
        <v>91</v>
      </c>
      <c r="E4" t="s">
        <v>92</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8BA0CC8B-6A71-4B6F-8F56-82CC4846BB20}"/>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2025-10-14T18:58:09Z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