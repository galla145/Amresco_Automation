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5" documentId="13_ncr:1_{F2456C23-D9FB-43D6-A41B-0ABC4DC86A49}" xr6:coauthVersionLast="47" xr6:coauthVersionMax="47" xr10:uidLastSave="{9620E732-9DC1-40FD-AA6B-9FA8DD99B2CF}"/>
  <bookViews>
    <workbookView xWindow="-98" yWindow="-98" windowWidth="21795" windowHeight="12975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E4" i="20"/>
  <c r="F4" i="20" s="1"/>
  <c r="H4" i="20"/>
  <c r="I4" i="20" s="1"/>
  <c r="E4" i="72"/>
  <c r="F4" i="72"/>
  <c r="H4" i="72"/>
  <c r="I4" i="72"/>
  <c r="G4" i="30"/>
  <c r="G2" i="30" s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H2" i="28" l="1"/>
  <c r="I2" i="28" s="1"/>
  <c r="E2" i="20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<sst xmlns="http://schemas.openxmlformats.org/spreadsheetml/2006/main" count="265" uniqueCount="78">
  <si>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</si>
  <si>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</si>
  <si>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</si>
  <si>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</si>
  <si>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</si>
  <si>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</si>
  <si>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</si>
  <si>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</si>
  <si>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</si>
  <si>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</si>
  <si>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</si>
  <si>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</si>
  <si>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</si>
  <si>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</si>
  <si>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</si>
  <si>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</si>
  <si>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</si>
  <si>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</si>
  <si>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</si>
  <si>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</si>
  <si>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</si>
  <si>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</si>
  <si>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</si>
  <si>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1.Low generation due to weather/snow.</t>
  </si>
  <si>
    <t>February Actual v. Expected</t>
  </si>
  <si>
    <t>February Actual v. Forecasted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</si>
  <si>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</si>
  <si>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</si>
  <si>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</si>
  <si>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 Actual v. Expected</t>
  </si>
  <si>
    <t>March Actual v. Forecasted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</si>
  <si>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</si>
  <si>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</si>
  <si>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 Actual v. Expected</t>
  </si>
  <si>
    <t>April Actual v. Forecasted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</si>
  <si>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</si>
  <si>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</si>
  <si>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 Actual v. Expected</t>
  </si>
  <si>
    <t>May Actual v. Forecasted</t>
  </si>
  <si>
    <t xml:space="preserve">1. Inverter 32 started late for the production on 05/04, 05/18, 05/20 and 05/31  due to  "Alarm E34 - Insulation fault". </t>
  </si>
  <si>
    <t>1. SR099174</t>
  </si>
  <si>
    <t>June Actual v. Expected</t>
  </si>
  <si>
    <t>June Actual v. Forecasted</t>
  </si>
  <si>
    <t>1.Inverter 32 started late for the production on 06/06 , 06/07 , 06/10 ,06/18 , 06/29
2. Inverter 20 was tripped offline multiple days</t>
  </si>
  <si>
    <t>1. SR099174
2.	SR103744</t>
  </si>
  <si>
    <t>SR103744</t>
  </si>
  <si>
    <t>July Actual v. Expected</t>
  </si>
  <si>
    <t>July Actual v. Forecasted</t>
  </si>
  <si>
    <t>1. Site was offline at 9:15am on 07/01 due to utility outage and later utility power has been restored and back online at 13:00 on same day.
2. Invert 39 has tripped offline at 7:00am on 07/13 and later back online at 9:30am on 07/14
3. Inverter 20 tripped offline at 09:15am on 07/01 and reporting Alarm E34 - Insulation later back online at 11:15 on 07/14. Inverter 20 string 14 connector replaced.  String 11 causing a ground fault, left unplugged.</t>
  </si>
  <si>
    <t>1. SR103827
2. SR104365
3. SR104443, SR104568, SR103827, SR103744, SR105336</t>
  </si>
  <si>
    <t>SR104365</t>
  </si>
  <si>
    <t>SR104443</t>
  </si>
  <si>
    <t>SR104568</t>
  </si>
  <si>
    <t>SR103827</t>
  </si>
  <si>
    <t>SR105336</t>
  </si>
  <si>
    <t>s</t>
  </si>
  <si>
    <t>August Actual v. Expected</t>
  </si>
  <si>
    <t>August Actual v. Forecasted</t>
  </si>
  <si>
    <t>1.Inverter 32 started for production at 11:15 on 08/30</t>
  </si>
  <si>
    <t>1.	SR107227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</si>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</sst>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49" fontId="23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744" TargetMode="External"/><Relationship Id="rId1" Type="http://schemas.openxmlformats.org/officeDocument/2006/relationships/hyperlink" Target="https://us3.assetplanner.com/service_request?ID=09917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443" TargetMode="External"/><Relationship Id="rId7" Type="http://schemas.openxmlformats.org/officeDocument/2006/relationships/hyperlink" Target="https://us3.assetplanner.com/service_request?ID=105336" TargetMode="External"/><Relationship Id="rId2" Type="http://schemas.openxmlformats.org/officeDocument/2006/relationships/hyperlink" Target="https://us3.assetplanner.com/service_request?ID=104365" TargetMode="External"/><Relationship Id="rId1" Type="http://schemas.openxmlformats.org/officeDocument/2006/relationships/hyperlink" Target="https://us3.assetplanner.com/service_request?ID=103827" TargetMode="External"/><Relationship Id="rId6" Type="http://schemas.openxmlformats.org/officeDocument/2006/relationships/hyperlink" Target="https://us3.assetplanner.com/service_request?ID=103744" TargetMode="External"/><Relationship Id="rId5" Type="http://schemas.openxmlformats.org/officeDocument/2006/relationships/hyperlink" Target="https://us3.assetplanner.com/service_request?ID=103827" TargetMode="External"/><Relationship Id="rId4" Type="http://schemas.openxmlformats.org/officeDocument/2006/relationships/hyperlink" Target="https://us3.assetplanner.com/service_request?ID=104568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22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J11" sqref="J11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6">
        <f>SUM(C4:C60)</f>
        <v>6356166</v>
      </c>
      <c r="D2" s="6">
        <f>SUM(D4:D60)</f>
        <v>7159038.1539999992</v>
      </c>
      <c r="E2" s="6">
        <f>C2-D2</f>
        <v>-802872.15399999917</v>
      </c>
      <c r="F2" s="7">
        <f>IFERROR(E2/D2, 0)</f>
        <v>-0.1121480479261599</v>
      </c>
      <c r="G2" s="6">
        <f>SUM(G4:G60)</f>
        <v>6618982.29</v>
      </c>
      <c r="H2" s="8">
        <f>C2-G2</f>
        <v>-262816.29000000004</v>
      </c>
      <c r="I2" s="7">
        <f>IFERROR(H2/G2, 0)</f>
        <v>-3.970645009838817E-2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6356166</v>
      </c>
      <c r="D4" s="14">
        <f>SUM('1st Qtr'!D4, '2nd Qtr'!D4, '3rd Qtr'!D4, '4th Qtr'!D4)</f>
        <v>7159038.1539999992</v>
      </c>
      <c r="E4" s="14">
        <f>IF(AND(ISNUMBER(C4),ISNUMBER(D4)), C4-D4, "")</f>
        <v>-802872.15399999917</v>
      </c>
      <c r="F4" s="15">
        <f>IFERROR(E4/D4, "")</f>
        <v>-0.1121480479261599</v>
      </c>
      <c r="G4" s="16">
        <f>SUM('1st Qtr'!G4,'2nd Qtr'!G4,'3rd Qtr'!G4,'4th Qtr'!G4)</f>
        <v>6618982.29</v>
      </c>
      <c r="H4" s="16">
        <f>SUM('1st Qtr'!H4, '2nd Qtr'!H4, '3rd Qtr'!H4, '4th Qtr'!H4)</f>
        <v>-262816.29000000004</v>
      </c>
      <c r="I4" s="17">
        <f>IFERROR(H4/G4, "")</f>
        <v>-3.970645009838817E-2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H4" sqref="H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6">
        <f>SUM(C4:C90)</f>
        <v>2416614</v>
      </c>
      <c r="D2" s="6">
        <f>SUM(D4:D90)</f>
        <v>2440154.5079999999</v>
      </c>
      <c r="E2" s="6">
        <f>C2-D2</f>
        <v>-23540.507999999914</v>
      </c>
      <c r="F2" s="7">
        <f>IFERROR(E2/D2, 0)</f>
        <v>-9.6471382950640248E-3</v>
      </c>
      <c r="G2" s="6">
        <f>SUM(G4:G90)</f>
        <v>2555809.71</v>
      </c>
      <c r="H2" s="8">
        <f>C2-G2</f>
        <v>-139195.70999999996</v>
      </c>
      <c r="I2" s="7">
        <f>IFERROR(H2/G2, 0)</f>
        <v>-5.4462470134366912E-2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2416614</v>
      </c>
      <c r="D4" s="14">
        <f>SUM(Apr!D4, May!D4, Jun!D4)</f>
        <v>2440154.5079999999</v>
      </c>
      <c r="E4" s="14">
        <f>IF(AND(ISNUMBER(C4),ISNUMBER(D4)), C4-D4, "")</f>
        <v>-23540.507999999914</v>
      </c>
      <c r="F4" s="15">
        <f>IFERROR(E4/D4, "")</f>
        <v>-9.6471382950640248E-3</v>
      </c>
      <c r="G4" s="16">
        <f>SUM(Apr!G4,May!G4,Jun!G4)</f>
        <v>2555809.71</v>
      </c>
      <c r="H4" s="16">
        <f>SUM(Apr!H4, May!H4, Jun!H4)</f>
        <v>-139195.70999999996</v>
      </c>
      <c r="I4" s="17">
        <f>IFERROR(H4/G4, "")</f>
        <v>-5.4462470134366912E-2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6">
        <f>SUM(C4:C89)</f>
        <v>2732150</v>
      </c>
      <c r="D2" s="6">
        <f>SUM(D4:D89)</f>
        <v>2855785.2029999997</v>
      </c>
      <c r="E2" s="6">
        <f>C2-D2</f>
        <v>-123635.20299999975</v>
      </c>
      <c r="F2" s="7">
        <f>IFERROR(E2/D2, 0)</f>
        <v>-4.3292892921400768E-2</v>
      </c>
      <c r="G2" s="6">
        <f>SUM(G4:G89)</f>
        <v>2567962.46</v>
      </c>
      <c r="H2" s="8">
        <f>C2-G2</f>
        <v>164187.54000000004</v>
      </c>
      <c r="I2" s="7">
        <f>IFERROR(H2/G2, 0)</f>
        <v>6.3936892597721243E-2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2732150</v>
      </c>
      <c r="D4" s="14">
        <f>SUM(Jul!D4, Aug!D4, Sep!D4)</f>
        <v>2855785.2029999997</v>
      </c>
      <c r="E4" s="14">
        <f>IF(AND(ISNUMBER(C4),ISNUMBER(D4)), C4-D4, "")</f>
        <v>-123635.20299999975</v>
      </c>
      <c r="F4" s="15">
        <f>IFERROR(E4/D4, "")</f>
        <v>-4.3292892921400768E-2</v>
      </c>
      <c r="G4" s="16">
        <f>SUM(Jul!G4,Aug!G4,Sep!G4)</f>
        <v>2567962.46</v>
      </c>
      <c r="H4" s="16">
        <f>SUM(Jul!H4, Aug!H4, Sep!H4)</f>
        <v>164187.53999999992</v>
      </c>
      <c r="I4" s="17">
        <f>IFERROR(H4/G4, "")</f>
        <v>6.3936892597721201E-2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23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H12" sqref="H12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51" t="str" cm="1">
        <f t="array" ref="A1">portfolio</f>
        <v>Walden Renewables Dev't LLC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5"/>
      <c r="K1" s="5"/>
    </row>
    <row r="2" spans="1:12" ht="19.5" customHeight="1">
      <c r="A2" s="53" t="s">
        <v>2</v>
      </c>
      <c r="B2" s="53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57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26</v>
      </c>
      <c r="K4" s="43" t="s">
        <v>27</v>
      </c>
      <c r="L4" s="44" t="s">
        <v>28</v>
      </c>
    </row>
    <row r="5" spans="1:12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J4" sqref="J4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29</v>
      </c>
      <c r="E1" s="52"/>
      <c r="F1" s="52"/>
      <c r="G1" s="50" t="s">
        <v>30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31</v>
      </c>
      <c r="K4" s="18" t="s">
        <v>32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I9" sqref="I9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3.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35</v>
      </c>
      <c r="K4" s="43" t="s">
        <v>36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32"/>
  <sheetViews>
    <sheetView zoomScale="70" zoomScaleNormal="70" workbookViewId="0">
      <pane ySplit="2" topLeftCell="A3" activePane="bottomLeft" state="frozen"/>
      <selection pane="bottomLeft" activeCell="K4" sqref="K4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  <col min="12" max="15" width="8.85546875" style="46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748850</v>
      </c>
      <c r="D2" s="6">
        <f>SUM(D4:D90)</f>
        <v>748674.49899999995</v>
      </c>
      <c r="E2" s="6">
        <f>C2-D2</f>
        <v>175.5010000000475</v>
      </c>
      <c r="F2" s="7">
        <f>IFERROR(E2/D2, 0)</f>
        <v>2.3441562419244027E-4</v>
      </c>
      <c r="G2" s="6">
        <f>SUM(G4:G90)</f>
        <v>895247.98</v>
      </c>
      <c r="H2" s="8">
        <f>C2-G2</f>
        <v>-146397.97999999998</v>
      </c>
      <c r="I2" s="7">
        <f>IFERROR(H2/G2, 0)</f>
        <v>-0.16352785291958993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748850</v>
      </c>
      <c r="D4" s="14">
        <v>748674.49899999995</v>
      </c>
      <c r="E4" s="14">
        <f>IF(AND(ISNUMBER(C4),ISNUMBER(D4)), C4-D4, "")</f>
        <v>175.5010000000475</v>
      </c>
      <c r="F4" s="15">
        <f>IFERROR(E4/D4, "")</f>
        <v>2.3441562419244027E-4</v>
      </c>
      <c r="G4" s="16">
        <v>895247.98</v>
      </c>
      <c r="H4" s="16">
        <f>IF(AND(ISNUMBER(C4),ISNUMBER(G4)), C4-G4, "")</f>
        <v>-146397.97999999998</v>
      </c>
      <c r="I4" s="17">
        <f>IFERROR(H4/G4, "")</f>
        <v>-0.16352785291958993</v>
      </c>
      <c r="J4" s="18" t="s">
        <v>39</v>
      </c>
      <c r="K4" s="43" t="s">
        <v>40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9174" xr:uid="{98990AA3-4DAE-48D3-9CD1-6A650B90D82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L1" sqref="L1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1" t="str" cm="1">
        <f t="array" ref="A1">portfolio</f>
        <v>Walden Renewables Dev't LLC</v>
      </c>
      <c r="B1" s="51"/>
      <c r="C1" s="51"/>
      <c r="D1" s="52" t="s">
        <v>41</v>
      </c>
      <c r="E1" s="52"/>
      <c r="F1" s="52"/>
      <c r="G1" s="50" t="s">
        <v>42</v>
      </c>
      <c r="H1" s="50"/>
      <c r="I1" s="50"/>
      <c r="J1" s="5"/>
      <c r="K1" s="5"/>
    </row>
    <row r="2" spans="1:12" ht="19.5" customHeight="1">
      <c r="A2" s="53" t="s">
        <v>2</v>
      </c>
      <c r="B2" s="53"/>
      <c r="C2" s="6">
        <f>SUM(C4:C90)</f>
        <v>868100</v>
      </c>
      <c r="D2" s="6">
        <f>SUM(D4:D90)</f>
        <v>885732.19799999997</v>
      </c>
      <c r="E2" s="6">
        <f>C2-D2</f>
        <v>-17632.197999999975</v>
      </c>
      <c r="F2" s="7">
        <f>IFERROR(E2/D2, 0)</f>
        <v>-1.9906917734066585E-2</v>
      </c>
      <c r="G2" s="6">
        <f>SUM(G4:G90)</f>
        <v>877072.6</v>
      </c>
      <c r="H2" s="8">
        <f>C2-G2</f>
        <v>-8972.5999999999767</v>
      </c>
      <c r="I2" s="7">
        <f>IFERROR(H2/G2, 0)</f>
        <v>-1.0230167947328393E-2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63.7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868100</v>
      </c>
      <c r="D4" s="14">
        <v>885732.19799999997</v>
      </c>
      <c r="E4" s="14">
        <f>IF(AND(ISNUMBER(C4),ISNUMBER(D4)), C4-D4, "")</f>
        <v>-17632.197999999975</v>
      </c>
      <c r="F4" s="15">
        <f>IFERROR(E4/D4, "")</f>
        <v>-1.9906917734066585E-2</v>
      </c>
      <c r="G4" s="16">
        <v>877072.6</v>
      </c>
      <c r="H4" s="16">
        <f>IF(AND(ISNUMBER(C4),ISNUMBER(G4)), C4-G4, "")</f>
        <v>-8972.5999999999767</v>
      </c>
      <c r="I4" s="17">
        <f>IFERROR(H4/G4, "")</f>
        <v>-1.0230167947328393E-2</v>
      </c>
      <c r="J4" s="18" t="s">
        <v>43</v>
      </c>
      <c r="K4" s="43" t="s">
        <v>44</v>
      </c>
      <c r="L4" s="47" t="s">
        <v>45</v>
      </c>
    </row>
    <row r="5" spans="1:12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9174" xr:uid="{13CB9469-1580-48BB-AD01-51D4D8140633}"/>
    <hyperlink ref="L4" r:id="rId2" display="https://us3.assetplanner.com/service_request?ID=103744" xr:uid="{01EAD350-72D5-4657-8076-DE3C4C34692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Q332"/>
  <sheetViews>
    <sheetView zoomScale="70" zoomScaleNormal="70" workbookViewId="0">
      <pane ySplit="2" topLeftCell="A3" activePane="bottomLeft" state="frozen"/>
      <selection pane="bottomLeft" activeCell="S9" sqref="S9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9.140625" style="48"/>
  </cols>
  <sheetData>
    <row r="1" spans="1:17" ht="19.5" customHeight="1">
      <c r="A1" s="51" t="str" cm="1">
        <f t="array" ref="A1">portfolio</f>
        <v>Walden Renewables Dev't LLC</v>
      </c>
      <c r="B1" s="51"/>
      <c r="C1" s="51"/>
      <c r="D1" s="52" t="s">
        <v>46</v>
      </c>
      <c r="E1" s="52"/>
      <c r="F1" s="52"/>
      <c r="G1" s="50" t="s">
        <v>47</v>
      </c>
      <c r="H1" s="50"/>
      <c r="I1" s="50"/>
      <c r="J1" s="5"/>
      <c r="K1" s="5"/>
    </row>
    <row r="2" spans="1:17" ht="19.5" customHeight="1">
      <c r="A2" s="53" t="s">
        <v>2</v>
      </c>
      <c r="B2" s="53"/>
      <c r="C2" s="6">
        <f>SUM(C4:C90)</f>
        <v>926000</v>
      </c>
      <c r="D2" s="6">
        <f>SUM(D4:D90)</f>
        <v>960073.57299999997</v>
      </c>
      <c r="E2" s="6">
        <f>C2-D2</f>
        <v>-34073.572999999975</v>
      </c>
      <c r="F2" s="7">
        <f>IFERROR(E2/D2, 0)</f>
        <v>-3.5490585261635961E-2</v>
      </c>
      <c r="G2" s="6">
        <f>SUM(G4:G90)</f>
        <v>932088.42</v>
      </c>
      <c r="H2" s="8">
        <f>C2-G2</f>
        <v>-6088.4200000000419</v>
      </c>
      <c r="I2" s="7">
        <f>IFERROR(H2/G2, 0)</f>
        <v>-6.5320197841316832E-3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7" ht="129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926000</v>
      </c>
      <c r="D4" s="14">
        <v>960073.57299999997</v>
      </c>
      <c r="E4" s="14">
        <f>IF(AND(ISNUMBER(C4),ISNUMBER(D4)), C4-D4, "")</f>
        <v>-34073.572999999975</v>
      </c>
      <c r="F4" s="15">
        <f>IFERROR(E4/D4, "")</f>
        <v>-3.5490585261635961E-2</v>
      </c>
      <c r="G4" s="16">
        <v>932088.42</v>
      </c>
      <c r="H4" s="16">
        <f>IF(AND(ISNUMBER(C4),ISNUMBER(G4)), C4-G4, "")</f>
        <v>-6088.4200000000419</v>
      </c>
      <c r="I4" s="17">
        <f>IFERROR(H4/G4, "")</f>
        <v>-6.5320197841316832E-3</v>
      </c>
      <c r="J4" s="49" t="s">
        <v>48</v>
      </c>
      <c r="K4" s="43" t="s">
        <v>49</v>
      </c>
      <c r="L4" s="44" t="s">
        <v>50</v>
      </c>
      <c r="M4" s="44" t="s">
        <v>51</v>
      </c>
      <c r="N4" s="44" t="s">
        <v>52</v>
      </c>
      <c r="O4" s="44" t="s">
        <v>53</v>
      </c>
      <c r="P4" s="44" t="s">
        <v>45</v>
      </c>
      <c r="Q4" s="44" t="s">
        <v>54</v>
      </c>
    </row>
    <row r="5" spans="1:17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7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7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7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7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7" ht="14.25">
      <c r="A10" s="23"/>
      <c r="B10" s="34"/>
      <c r="C10" s="23"/>
      <c r="D10" s="23"/>
      <c r="E10" s="23"/>
      <c r="F10" s="23"/>
      <c r="G10" s="23"/>
      <c r="H10" s="23"/>
      <c r="I10" s="23"/>
      <c r="J10" s="23" t="s">
        <v>55</v>
      </c>
      <c r="K10" s="23"/>
    </row>
    <row r="11" spans="1:17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827" xr:uid="{24125573-C7EE-4083-B2A4-D3FDE0F2B600}"/>
    <hyperlink ref="L4" r:id="rId2" display="https://us3.assetplanner.com/service_request?ID=104365" xr:uid="{0F3BC671-5F5D-4708-BB60-66BFBC22E45A}"/>
    <hyperlink ref="M4" r:id="rId3" display="https://us3.assetplanner.com/service_request?ID=104443" xr:uid="{AA4121BA-AE3D-4C0E-A5BB-98D41FBD38A0}"/>
    <hyperlink ref="N4" r:id="rId4" display="https://us3.assetplanner.com/service_request?ID=104568" xr:uid="{325E939D-3583-47E3-B006-453D0EC34F1F}"/>
    <hyperlink ref="O4" r:id="rId5" display="https://us3.assetplanner.com/service_request?ID=103827" xr:uid="{2B394CA1-0585-4800-86E8-5C7C4392EA1F}"/>
    <hyperlink ref="P4" r:id="rId6" display="https://us3.assetplanner.com/service_request?ID=103744" xr:uid="{DDF1E588-F559-4E2F-A2B5-2C71491D02FD}"/>
    <hyperlink ref="Q4" r:id="rId7" display="https://us3.assetplanner.com/service_request?ID=105336" xr:uid="{8C21DCD2-07AF-479A-B6F6-36147F3CC33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70" zoomScaleNormal="70" workbookViewId="0">
      <pane ySplit="2" topLeftCell="A3" activePane="bottomLeft" state="frozen"/>
      <selection pane="bottomLeft" activeCell="F14" sqref="F14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56</v>
      </c>
      <c r="E1" s="52"/>
      <c r="F1" s="52"/>
      <c r="G1" s="50" t="s">
        <v>57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SUM(C4:C30)</f>
        <v>985740</v>
      </c>
      <c r="D2" s="6">
        <f>SUM(D4:D30)</f>
        <v>1030575</v>
      </c>
      <c r="E2" s="6">
        <f>C2-D2</f>
        <v>-44835</v>
      </c>
      <c r="F2" s="7">
        <f>IFERROR(E2/D2, 0)</f>
        <v>-4.3504839531329595E-2</v>
      </c>
      <c r="G2" s="6">
        <f>SUM(G4:G30)</f>
        <v>897662.9</v>
      </c>
      <c r="H2" s="8">
        <f>C2-G2</f>
        <v>88077.099999999977</v>
      </c>
      <c r="I2" s="7">
        <f>IFERROR(H2/G2, 0)</f>
        <v>9.8118235698501047E-2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985740</v>
      </c>
      <c r="D4" s="14">
        <v>1030575</v>
      </c>
      <c r="E4" s="14">
        <f>IF(AND(ISNUMBER(C4),ISNUMBER(D4)), C4-D4, "")</f>
        <v>-44835</v>
      </c>
      <c r="F4" s="15">
        <f>IFERROR(E4/D4, "")</f>
        <v>-4.3504839531329595E-2</v>
      </c>
      <c r="G4" s="16">
        <v>897662.9</v>
      </c>
      <c r="H4" s="16">
        <f>IF(AND(ISNUMBER(C4),ISNUMBER(G4)), C4-G4, "")</f>
        <v>88077.099999999977</v>
      </c>
      <c r="I4" s="17">
        <f>IFERROR(H4/G4, "")</f>
        <v>9.8118235698501047E-2</v>
      </c>
      <c r="J4" s="18" t="s">
        <v>58</v>
      </c>
      <c r="K4" s="43" t="s">
        <v>59</v>
      </c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7227" xr:uid="{F9B133E5-D142-4F61-838F-4D39BDEB42D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abSelected="1" zoomScaleNormal="100" workbookViewId="0">
      <pane ySplit="2" topLeftCell="A3" activePane="bottomLeft" state="frozen"/>
      <selection pane="bottomLeft" activeCell="I14" sqref="I14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60</v>
      </c>
      <c r="E1" s="52"/>
      <c r="F1" s="52"/>
      <c r="G1" s="50" t="s">
        <v>61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820410</v>
      </c>
      <c r="D2" s="6">
        <f>SUM(D4:D90)</f>
        <v>865136.63</v>
      </c>
      <c r="E2" s="6">
        <f>C2-D2</f>
        <v>-44726.630000000005</v>
      </c>
      <c r="F2" s="7">
        <f>IFERROR(E2/D2, 0)</f>
        <v>-5.1698920666438553E-2</v>
      </c>
      <c r="G2" s="6">
        <f>SUM(G4:G90)</f>
        <v>738211.14</v>
      </c>
      <c r="H2" s="8">
        <f>C2-G2</f>
        <v>82198.859999999986</v>
      </c>
      <c r="I2" s="7">
        <f>IFERROR(H2/G2, 0)</f>
        <v>0.11134871251062398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820410</v>
      </c>
      <c r="D4" s="14">
        <v>865136.63</v>
      </c>
      <c r="E4" s="14">
        <f>IF(AND(ISNUMBER(C4),ISNUMBER(D4)), C4-D4, "")</f>
        <v>-44726.630000000005</v>
      </c>
      <c r="F4" s="15">
        <f>IFERROR(E4/D4, "")</f>
        <v>-5.1698920666438553E-2</v>
      </c>
      <c r="G4" s="14">
        <v>738211.14</v>
      </c>
      <c r="H4" s="16">
        <f>IF(AND(ISNUMBER(C4),ISNUMBER(G4)), C4-G4, "")</f>
        <v>82198.859999999986</v>
      </c>
      <c r="I4" s="17">
        <f>IFERROR(H4/G4, "")</f>
        <v>0.11134871251062398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62</v>
      </c>
      <c r="E1" s="52"/>
      <c r="F1" s="52"/>
      <c r="G1" s="50" t="s">
        <v>63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64</v>
      </c>
      <c r="E1" s="52"/>
      <c r="F1" s="52"/>
      <c r="G1" s="50" t="s">
        <v>65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66</v>
      </c>
      <c r="E1" s="52"/>
      <c r="F1" s="52"/>
      <c r="G1" s="50" t="s">
        <v>67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68</v>
      </c>
      <c r="B1" t="s">
        <v>69</v>
      </c>
    </row>
    <row r="3" spans="1:7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7" ht="14.25">
      <c r="A4" t="s">
        <v>73</v>
      </c>
      <c r="B4" t="s">
        <v>74</v>
      </c>
      <c r="C4" s="4" t="s">
        <v>75</v>
      </c>
      <c r="D4" t="s">
        <v>76</v>
      </c>
      <c r="E4" t="s">
        <v>77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2D06C5FA-92AB-4D8A-8894-A8BB1859FF58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2025-12-11T08:56:43Z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2025-09-24T20:06:06Z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dc8e4636-8069-4a22-bc27-bd0c1ece09f1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