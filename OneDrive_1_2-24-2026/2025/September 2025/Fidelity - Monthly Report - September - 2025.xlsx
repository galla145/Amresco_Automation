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6936DB13-893D-41C8-BD1B-F106910C6861}" xr6:coauthVersionLast="47" xr6:coauthVersionMax="47" xr10:uidLastSave="{00000000-0000-0000-0000-000000000000}"/>
  <bookViews>
    <workbookView xWindow="28680" yWindow="-120" windowWidth="29040" windowHeight="15720" tabRatio="713" activeTab="1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J7" i="36"/>
  <c r="J13" i="12"/>
  <c r="J10" i="12"/>
  <c r="J7" i="12"/>
  <c r="J13" i="18"/>
  <c r="J10" i="18"/>
  <c r="O105" i="33"/>
  <c r="N105" i="33"/>
  <c r="M105" i="33"/>
  <c r="L105" i="33"/>
  <c r="F105" i="33"/>
  <c r="I105" i="33"/>
  <c r="J7" i="18"/>
  <c r="O104" i="33"/>
  <c r="N104" i="33"/>
  <c r="M104" i="33"/>
  <c r="L104" i="33"/>
  <c r="F104" i="33"/>
  <c r="I104" i="33"/>
  <c r="I50" i="32"/>
  <c r="N102" i="33"/>
  <c r="N103" i="33"/>
  <c r="O103" i="33" s="1"/>
  <c r="M102" i="33"/>
  <c r="M103" i="33"/>
  <c r="L103" i="33" l="1"/>
  <c r="F103" i="33"/>
  <c r="I103" i="33"/>
  <c r="O102" i="33"/>
  <c r="L102" i="33"/>
  <c r="I102" i="33"/>
  <c r="F102" i="33"/>
  <c r="N101" i="33"/>
  <c r="M101" i="33"/>
  <c r="O101" i="33" s="1"/>
  <c r="L101" i="33"/>
  <c r="F101" i="33"/>
  <c r="I101" i="33"/>
  <c r="M100" i="33"/>
  <c r="N100" i="33"/>
  <c r="L100" i="33"/>
  <c r="I100" i="33"/>
  <c r="F100" i="33"/>
  <c r="O100" i="33" l="1"/>
  <c r="I99" i="33" l="1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D109" i="33"/>
  <c r="N97" i="33"/>
  <c r="M97" i="33"/>
  <c r="L97" i="33"/>
  <c r="I97" i="33"/>
  <c r="F97" i="33"/>
  <c r="K50" i="32"/>
  <c r="J14" i="36" s="1"/>
  <c r="J50" i="32"/>
  <c r="J14" i="18" s="1"/>
  <c r="J14" i="12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N109" i="33" l="1"/>
  <c r="M109" i="33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O109" i="33" l="1"/>
  <c r="F50" i="32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<sst xmlns="http://schemas.openxmlformats.org/spreadsheetml/2006/main" count="553" uniqueCount="93">
  <si>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</si>
  <si>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</si>
  <si>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</si>
  <si>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</si>
  <si>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</si>
  <si>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</si>
  <si>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</si>
  <si>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</si>
  <si>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</si>
  <si>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</si>
  <si>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</si>
  <si>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</si>
  <si>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</si>
  <si>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</si>
  <si>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</si>
  <si>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</si>
  <si>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</si>
  <si>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</si>
  <si>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</si>
  <si>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</si>
  <si>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</si>
  <si>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</si>
  <si>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</si>
  <si>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</si>
  <si>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</si>
  <si>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</si>
  <si>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</si>
  <si>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</si>
  <si>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</si>
  <si>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</si>
  <si>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</si>
  <si>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</si>
  <si>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</si>
  <si>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</si>
  <si>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On 08/20, the Moxa logger for this site was replaced. Since then, Production Meter 1 has not been communicating, which led to a production meter availability of 66.6% and an overall monthly site availability of 88%. Please note that site availability in Also Energy is calculated based on all three production meters; however, actual production can still be confirmed via the inverters. This issue was previously communicated to the client through the closed Service Request SR106258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</si>
  <si>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</si>
  <si>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</si>
  <si>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</si>
  <si>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</si>
  <si>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</si>
  <si>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</si>
  <si>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</si>
  <si>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</si>
  <si>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</si>
  <si>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</si>
  <si>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</si>
  <si>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</si>
  <si>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</si>
  <si>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</si>
  <si>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</si>
  <si>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</si>
  <si>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</si>
  <si>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</si>
  <si>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</si>
  <si>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</si>
  <si>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</si>
  <si>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</si>
  <si>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</si>
  <si>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</si>
  <si>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</si>
  <si>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</si>
  <si>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</si>
  <si>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</si>
  <si>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</si>
  <si>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</si>
  <si>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</si>
  <si>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</si>
  <si>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2025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</si>
  <si>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</si>
  <si>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</si>
  <si>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</si>
  <si>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</si>
  <si>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</si>
  <si>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</si>
  <si>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</si>
  <si>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</si>
  <si>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</si>
  <si>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</si>
  <si>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</si>
  <si>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</si>
  <si>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</si>
  <si>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</si>
  <si>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</si>
  <si>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</si>
  <si>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</si>
  <si>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</si>
  <si>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</si>
  <si>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</si>
  <si>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</si>
  <si>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</si>
  <si>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</si>
  <si>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</si>
  <si>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September'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</si>
</sst>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Merrimack!$F$32:$F$61</c:f>
              <c:numCache>
                <c:formatCode>mm/dd/yy;@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Merrimack!$G$32:$G$61</c:f>
              <c:numCache>
                <c:formatCode>0</c:formatCode>
                <c:ptCount val="30"/>
                <c:pt idx="0">
                  <c:v>8436.5294117648154</c:v>
                </c:pt>
                <c:pt idx="1">
                  <c:v>11912</c:v>
                </c:pt>
                <c:pt idx="2">
                  <c:v>12720</c:v>
                </c:pt>
                <c:pt idx="3">
                  <c:v>12155</c:v>
                </c:pt>
                <c:pt idx="4">
                  <c:v>7308</c:v>
                </c:pt>
                <c:pt idx="5">
                  <c:v>5853</c:v>
                </c:pt>
                <c:pt idx="6">
                  <c:v>2900</c:v>
                </c:pt>
                <c:pt idx="7">
                  <c:v>11623</c:v>
                </c:pt>
                <c:pt idx="8">
                  <c:v>13113</c:v>
                </c:pt>
                <c:pt idx="9">
                  <c:v>11779.659574467689</c:v>
                </c:pt>
                <c:pt idx="10">
                  <c:v>12424.324552515522</c:v>
                </c:pt>
                <c:pt idx="11">
                  <c:v>12967.01587301679</c:v>
                </c:pt>
                <c:pt idx="12">
                  <c:v>9493</c:v>
                </c:pt>
                <c:pt idx="13">
                  <c:v>8701</c:v>
                </c:pt>
                <c:pt idx="14">
                  <c:v>10699</c:v>
                </c:pt>
                <c:pt idx="15">
                  <c:v>9756.076086955145</c:v>
                </c:pt>
                <c:pt idx="16">
                  <c:v>8542.923913044855</c:v>
                </c:pt>
                <c:pt idx="17">
                  <c:v>12015</c:v>
                </c:pt>
                <c:pt idx="18">
                  <c:v>12223</c:v>
                </c:pt>
                <c:pt idx="19">
                  <c:v>12760.707317072898</c:v>
                </c:pt>
                <c:pt idx="20">
                  <c:v>12070.292682927102</c:v>
                </c:pt>
                <c:pt idx="21">
                  <c:v>12185</c:v>
                </c:pt>
                <c:pt idx="22">
                  <c:v>6171</c:v>
                </c:pt>
                <c:pt idx="23">
                  <c:v>785</c:v>
                </c:pt>
                <c:pt idx="24">
                  <c:v>823</c:v>
                </c:pt>
                <c:pt idx="25">
                  <c:v>6834.7750000003725</c:v>
                </c:pt>
                <c:pt idx="26">
                  <c:v>9802.2249999996275</c:v>
                </c:pt>
                <c:pt idx="27">
                  <c:v>10797</c:v>
                </c:pt>
                <c:pt idx="28">
                  <c:v>10280</c:v>
                </c:pt>
                <c:pt idx="29">
                  <c:v>10584.865384615958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Merrimack!$H$32:$H$61</c:f>
              <c:numCache>
                <c:formatCode>0</c:formatCode>
                <c:ptCount val="30"/>
                <c:pt idx="0">
                  <c:v>4360.5730000000003</c:v>
                </c:pt>
                <c:pt idx="1">
                  <c:v>6653.1620000000003</c:v>
                </c:pt>
                <c:pt idx="2">
                  <c:v>7099.4830000000002</c:v>
                </c:pt>
                <c:pt idx="3">
                  <c:v>6850.5649999999996</c:v>
                </c:pt>
                <c:pt idx="4">
                  <c:v>4064.8620000000001</c:v>
                </c:pt>
                <c:pt idx="5">
                  <c:v>3146.0259999999998</c:v>
                </c:pt>
                <c:pt idx="6">
                  <c:v>1415.0150000000001</c:v>
                </c:pt>
                <c:pt idx="7">
                  <c:v>6329.2529999999997</c:v>
                </c:pt>
                <c:pt idx="8">
                  <c:v>7204.4129999999996</c:v>
                </c:pt>
                <c:pt idx="9">
                  <c:v>6460.9840000000004</c:v>
                </c:pt>
                <c:pt idx="10">
                  <c:v>6779.73</c:v>
                </c:pt>
                <c:pt idx="11">
                  <c:v>7322.8490000000002</c:v>
                </c:pt>
                <c:pt idx="12">
                  <c:v>5215.3540000000003</c:v>
                </c:pt>
                <c:pt idx="13">
                  <c:v>4884.299</c:v>
                </c:pt>
                <c:pt idx="14">
                  <c:v>6090.3770000000004</c:v>
                </c:pt>
                <c:pt idx="15">
                  <c:v>5301.4369999999999</c:v>
                </c:pt>
                <c:pt idx="16">
                  <c:v>4719.5739999999996</c:v>
                </c:pt>
                <c:pt idx="17">
                  <c:v>6752.0469999999996</c:v>
                </c:pt>
                <c:pt idx="18">
                  <c:v>6829.7240000000002</c:v>
                </c:pt>
                <c:pt idx="19">
                  <c:v>6882.509</c:v>
                </c:pt>
                <c:pt idx="20">
                  <c:v>6508.2389999999996</c:v>
                </c:pt>
                <c:pt idx="21">
                  <c:v>6561.4129999999996</c:v>
                </c:pt>
                <c:pt idx="22">
                  <c:v>3279.2269999999999</c:v>
                </c:pt>
                <c:pt idx="23">
                  <c:v>389.31799999999998</c:v>
                </c:pt>
                <c:pt idx="24">
                  <c:v>413.32830000000001</c:v>
                </c:pt>
                <c:pt idx="25">
                  <c:v>3786.518</c:v>
                </c:pt>
                <c:pt idx="26">
                  <c:v>5479.7929999999997</c:v>
                </c:pt>
                <c:pt idx="27">
                  <c:v>6039.1139999999996</c:v>
                </c:pt>
                <c:pt idx="28">
                  <c:v>5745.3969999999999</c:v>
                </c:pt>
                <c:pt idx="29">
                  <c:v>5994.7659999999996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Smithfield!$F$32:$F$61</c:f>
              <c:numCache>
                <c:formatCode>mm/dd/yy;@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Smithfield!$G$32:$G$61</c:f>
              <c:numCache>
                <c:formatCode>0</c:formatCode>
                <c:ptCount val="30"/>
                <c:pt idx="0">
                  <c:v>10150</c:v>
                </c:pt>
                <c:pt idx="1">
                  <c:v>18775</c:v>
                </c:pt>
                <c:pt idx="2">
                  <c:v>19681.25</c:v>
                </c:pt>
                <c:pt idx="3">
                  <c:v>17932.75</c:v>
                </c:pt>
                <c:pt idx="4">
                  <c:v>13410.25</c:v>
                </c:pt>
                <c:pt idx="5">
                  <c:v>12149.25</c:v>
                </c:pt>
                <c:pt idx="6">
                  <c:v>3424.25</c:v>
                </c:pt>
                <c:pt idx="7">
                  <c:v>14576.75</c:v>
                </c:pt>
                <c:pt idx="8">
                  <c:v>17636.25</c:v>
                </c:pt>
                <c:pt idx="9">
                  <c:v>11226.75</c:v>
                </c:pt>
                <c:pt idx="10">
                  <c:v>19057.25</c:v>
                </c:pt>
                <c:pt idx="11">
                  <c:v>17012</c:v>
                </c:pt>
                <c:pt idx="12">
                  <c:v>15174</c:v>
                </c:pt>
                <c:pt idx="13">
                  <c:v>14653.75</c:v>
                </c:pt>
                <c:pt idx="14">
                  <c:v>16509.25</c:v>
                </c:pt>
                <c:pt idx="15">
                  <c:v>15715.75</c:v>
                </c:pt>
                <c:pt idx="16">
                  <c:v>13563.25</c:v>
                </c:pt>
                <c:pt idx="17">
                  <c:v>11063</c:v>
                </c:pt>
                <c:pt idx="18">
                  <c:v>18122.25</c:v>
                </c:pt>
                <c:pt idx="19">
                  <c:v>19238.25</c:v>
                </c:pt>
                <c:pt idx="20">
                  <c:v>16258.25</c:v>
                </c:pt>
                <c:pt idx="21">
                  <c:v>16795.75</c:v>
                </c:pt>
                <c:pt idx="22">
                  <c:v>12584.75</c:v>
                </c:pt>
                <c:pt idx="23">
                  <c:v>2517.25</c:v>
                </c:pt>
                <c:pt idx="24">
                  <c:v>2996</c:v>
                </c:pt>
                <c:pt idx="25">
                  <c:v>14281.25</c:v>
                </c:pt>
                <c:pt idx="26">
                  <c:v>13517.75</c:v>
                </c:pt>
                <c:pt idx="27">
                  <c:v>15896.25</c:v>
                </c:pt>
                <c:pt idx="28">
                  <c:v>16119.25</c:v>
                </c:pt>
                <c:pt idx="29">
                  <c:v>14317.25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Smithfield!$F$32:$F$61</c:f>
              <c:numCache>
                <c:formatCode>mm/dd/yy;@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Smithfield!$H$32:$H$61</c:f>
              <c:numCache>
                <c:formatCode>0</c:formatCode>
                <c:ptCount val="30"/>
                <c:pt idx="0">
                  <c:v>3133.0059999999999</c:v>
                </c:pt>
                <c:pt idx="1">
                  <c:v>6246.5290000000005</c:v>
                </c:pt>
                <c:pt idx="2">
                  <c:v>6519.7439999999997</c:v>
                </c:pt>
                <c:pt idx="3">
                  <c:v>5944.8959999999997</c:v>
                </c:pt>
                <c:pt idx="4">
                  <c:v>4514.1379999999999</c:v>
                </c:pt>
                <c:pt idx="5">
                  <c:v>3957.5949999999998</c:v>
                </c:pt>
                <c:pt idx="6">
                  <c:v>1009.381</c:v>
                </c:pt>
                <c:pt idx="7">
                  <c:v>4520.4849999999997</c:v>
                </c:pt>
                <c:pt idx="8">
                  <c:v>5834.22</c:v>
                </c:pt>
                <c:pt idx="9">
                  <c:v>3519.8890000000001</c:v>
                </c:pt>
                <c:pt idx="10">
                  <c:v>6376.4269999999997</c:v>
                </c:pt>
                <c:pt idx="11">
                  <c:v>5732.4390000000003</c:v>
                </c:pt>
                <c:pt idx="12">
                  <c:v>5073.4409999999998</c:v>
                </c:pt>
                <c:pt idx="13">
                  <c:v>4880.6899999999996</c:v>
                </c:pt>
                <c:pt idx="14">
                  <c:v>5456.8580000000002</c:v>
                </c:pt>
                <c:pt idx="15">
                  <c:v>5099.8760000000002</c:v>
                </c:pt>
                <c:pt idx="16">
                  <c:v>4498.2209999999995</c:v>
                </c:pt>
                <c:pt idx="17">
                  <c:v>3540.5810000000001</c:v>
                </c:pt>
                <c:pt idx="18">
                  <c:v>6048.0860000000002</c:v>
                </c:pt>
                <c:pt idx="19">
                  <c:v>6283.4920000000002</c:v>
                </c:pt>
                <c:pt idx="20">
                  <c:v>5310.4690000000001</c:v>
                </c:pt>
                <c:pt idx="21">
                  <c:v>5607.5290000000005</c:v>
                </c:pt>
                <c:pt idx="22">
                  <c:v>4126.3500000000004</c:v>
                </c:pt>
                <c:pt idx="23">
                  <c:v>764.5059</c:v>
                </c:pt>
                <c:pt idx="24">
                  <c:v>927.32629999999995</c:v>
                </c:pt>
                <c:pt idx="25">
                  <c:v>4906.8739999999998</c:v>
                </c:pt>
                <c:pt idx="26">
                  <c:v>4600.4350000000004</c:v>
                </c:pt>
                <c:pt idx="27">
                  <c:v>5318.8509999999997</c:v>
                </c:pt>
                <c:pt idx="28">
                  <c:v>5426.3729999999996</c:v>
                </c:pt>
                <c:pt idx="29">
                  <c:v>4655.6310000000003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Westlake!$F$32:$F$61</c:f>
              <c:numCache>
                <c:formatCode>mm/dd/yy;@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Westlake!$G$32:$G$61</c:f>
              <c:numCache>
                <c:formatCode>0</c:formatCode>
                <c:ptCount val="30"/>
                <c:pt idx="0">
                  <c:v>14151</c:v>
                </c:pt>
                <c:pt idx="1">
                  <c:v>18076</c:v>
                </c:pt>
                <c:pt idx="2">
                  <c:v>22615</c:v>
                </c:pt>
                <c:pt idx="3">
                  <c:v>21263</c:v>
                </c:pt>
                <c:pt idx="4">
                  <c:v>13085</c:v>
                </c:pt>
                <c:pt idx="5">
                  <c:v>11687</c:v>
                </c:pt>
                <c:pt idx="6">
                  <c:v>13046</c:v>
                </c:pt>
                <c:pt idx="7">
                  <c:v>21393</c:v>
                </c:pt>
                <c:pt idx="8">
                  <c:v>21462</c:v>
                </c:pt>
                <c:pt idx="9">
                  <c:v>21704</c:v>
                </c:pt>
                <c:pt idx="10">
                  <c:v>21549</c:v>
                </c:pt>
                <c:pt idx="11">
                  <c:v>20935</c:v>
                </c:pt>
                <c:pt idx="12">
                  <c:v>19105</c:v>
                </c:pt>
                <c:pt idx="13">
                  <c:v>19200</c:v>
                </c:pt>
                <c:pt idx="14">
                  <c:v>19086</c:v>
                </c:pt>
                <c:pt idx="15">
                  <c:v>19571</c:v>
                </c:pt>
                <c:pt idx="16">
                  <c:v>19450</c:v>
                </c:pt>
                <c:pt idx="17">
                  <c:v>15337</c:v>
                </c:pt>
                <c:pt idx="18">
                  <c:v>19247</c:v>
                </c:pt>
                <c:pt idx="19">
                  <c:v>16891</c:v>
                </c:pt>
                <c:pt idx="20">
                  <c:v>15689</c:v>
                </c:pt>
                <c:pt idx="21">
                  <c:v>18175.000000001863</c:v>
                </c:pt>
                <c:pt idx="22">
                  <c:v>17206.999999998137</c:v>
                </c:pt>
                <c:pt idx="23">
                  <c:v>11332</c:v>
                </c:pt>
                <c:pt idx="24">
                  <c:v>17937</c:v>
                </c:pt>
                <c:pt idx="25">
                  <c:v>19235</c:v>
                </c:pt>
                <c:pt idx="26">
                  <c:v>20123</c:v>
                </c:pt>
                <c:pt idx="27">
                  <c:v>16336</c:v>
                </c:pt>
                <c:pt idx="28">
                  <c:v>16751.999999998137</c:v>
                </c:pt>
                <c:pt idx="29">
                  <c:v>15909.000000001863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Westlake!$H$32:$H$61</c:f>
              <c:numCache>
                <c:formatCode>0</c:formatCode>
                <c:ptCount val="30"/>
                <c:pt idx="0">
                  <c:v>5335.183</c:v>
                </c:pt>
                <c:pt idx="1">
                  <c:v>6925.2969999999996</c:v>
                </c:pt>
                <c:pt idx="2">
                  <c:v>8691.6380000000008</c:v>
                </c:pt>
                <c:pt idx="3">
                  <c:v>8185.5420000000004</c:v>
                </c:pt>
                <c:pt idx="4">
                  <c:v>4629.88</c:v>
                </c:pt>
                <c:pt idx="5">
                  <c:v>4178.4920000000002</c:v>
                </c:pt>
                <c:pt idx="6">
                  <c:v>4854.6980000000003</c:v>
                </c:pt>
                <c:pt idx="7">
                  <c:v>7748.8670000000002</c:v>
                </c:pt>
                <c:pt idx="8">
                  <c:v>7797.8119999999999</c:v>
                </c:pt>
                <c:pt idx="9">
                  <c:v>7979.3860000000004</c:v>
                </c:pt>
                <c:pt idx="10">
                  <c:v>7929.549</c:v>
                </c:pt>
                <c:pt idx="11">
                  <c:v>7690.3059999999996</c:v>
                </c:pt>
                <c:pt idx="12">
                  <c:v>6832.5460000000003</c:v>
                </c:pt>
                <c:pt idx="13">
                  <c:v>7357.4409999999998</c:v>
                </c:pt>
                <c:pt idx="14">
                  <c:v>6871.2759999999998</c:v>
                </c:pt>
                <c:pt idx="15">
                  <c:v>7042.2470000000003</c:v>
                </c:pt>
                <c:pt idx="16">
                  <c:v>7104.0129999999999</c:v>
                </c:pt>
                <c:pt idx="17">
                  <c:v>5804.4790000000003</c:v>
                </c:pt>
                <c:pt idx="18">
                  <c:v>6924.7250000000004</c:v>
                </c:pt>
                <c:pt idx="19">
                  <c:v>6218.5780000000004</c:v>
                </c:pt>
                <c:pt idx="20">
                  <c:v>6021.4049999999997</c:v>
                </c:pt>
                <c:pt idx="21">
                  <c:v>6668.0910000000003</c:v>
                </c:pt>
                <c:pt idx="22">
                  <c:v>6095.7250000000004</c:v>
                </c:pt>
                <c:pt idx="23">
                  <c:v>4044.9059999999999</c:v>
                </c:pt>
                <c:pt idx="24">
                  <c:v>6742.78</c:v>
                </c:pt>
                <c:pt idx="25">
                  <c:v>7097.2370000000001</c:v>
                </c:pt>
                <c:pt idx="26">
                  <c:v>7380.5450000000001</c:v>
                </c:pt>
                <c:pt idx="27">
                  <c:v>5745.4870000000001</c:v>
                </c:pt>
                <c:pt idx="28">
                  <c:v>5866.9390000000003</c:v>
                </c:pt>
                <c:pt idx="29">
                  <c:v>5831.5929999999998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136313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16721</xdr:colOff>
      <xdr:row>3</xdr:row>
      <xdr:rowOff>15334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364701</xdr:colOff>
      <xdr:row>2</xdr:row>
      <xdr:rowOff>131656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17784</xdr:colOff>
      <xdr:row>2</xdr:row>
      <xdr:rowOff>131542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F27" sqref="F27"/>
    </sheetView>
  </sheetViews>
  <sheetFormatPr defaultRowHeight="14.4" x14ac:dyDescent="0.3"/>
  <cols>
    <col min="23" max="23" width="12.5546875" customWidth="1"/>
  </cols>
  <sheetData>
    <row r="1" spans="1:31" x14ac:dyDescent="0.3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3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3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2" x14ac:dyDescent="0.3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2" x14ac:dyDescent="0.3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3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3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3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3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3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3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3"/>
    <row r="13" spans="1:31" ht="16.350000000000001" customHeight="1" x14ac:dyDescent="0.3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2"/>
  <sheetViews>
    <sheetView tabSelected="1" view="pageLayout" topLeftCell="A35" zoomScale="80" zoomScaleNormal="80" zoomScalePageLayoutView="80" workbookViewId="0">
      <selection activeCell="K46" sqref="K46"/>
    </sheetView>
  </sheetViews>
  <sheetFormatPr defaultRowHeight="14.4" x14ac:dyDescent="0.3"/>
  <cols>
    <col min="6" max="6" width="13.6640625" customWidth="1" collapsed="1"/>
    <col min="7" max="7" width="20" bestFit="1" customWidth="1"/>
    <col min="8" max="8" width="17.44140625" bestFit="1" customWidth="1"/>
    <col min="9" max="9" width="10.6640625" customWidth="1"/>
    <col min="11" max="11" width="73.44140625" customWidth="1"/>
  </cols>
  <sheetData>
    <row r="1" spans="3:13" ht="18" x14ac:dyDescent="0.35">
      <c r="E1" s="203" t="s">
        <v>22</v>
      </c>
      <c r="F1" s="203"/>
      <c r="G1" s="203"/>
      <c r="H1" s="203"/>
      <c r="I1" s="203"/>
      <c r="J1" s="203"/>
    </row>
    <row r="2" spans="3:13" x14ac:dyDescent="0.3">
      <c r="E2" s="204" t="s">
        <v>23</v>
      </c>
      <c r="F2" s="204"/>
      <c r="G2" s="204"/>
      <c r="H2" s="204"/>
      <c r="I2" s="204"/>
      <c r="J2" s="204"/>
    </row>
    <row r="3" spans="3:13" x14ac:dyDescent="0.3">
      <c r="E3" s="205" t="s">
        <v>92</v>
      </c>
      <c r="F3" s="206"/>
      <c r="G3" s="206"/>
      <c r="H3" s="206"/>
      <c r="I3" s="206"/>
      <c r="J3" s="206"/>
    </row>
    <row r="5" spans="3:13" x14ac:dyDescent="0.3">
      <c r="C5" s="179" t="s">
        <v>24</v>
      </c>
      <c r="D5" s="180"/>
      <c r="E5" s="180"/>
      <c r="F5" s="180"/>
      <c r="G5" s="180"/>
      <c r="H5" s="180"/>
      <c r="I5" s="180"/>
      <c r="J5" s="180"/>
      <c r="K5" s="180"/>
      <c r="L5" s="181"/>
    </row>
    <row r="6" spans="3:13" x14ac:dyDescent="0.3">
      <c r="C6" s="20"/>
      <c r="D6" s="21"/>
      <c r="E6" s="172" t="s">
        <v>2</v>
      </c>
      <c r="F6" s="172"/>
      <c r="G6" s="172"/>
      <c r="H6" s="172"/>
      <c r="I6" s="172"/>
      <c r="J6" s="22">
        <f>SUM(G32:G61)</f>
        <v>287715.39479638077</v>
      </c>
      <c r="K6" s="21" t="s">
        <v>25</v>
      </c>
      <c r="L6" s="23"/>
    </row>
    <row r="7" spans="3:13" x14ac:dyDescent="0.3">
      <c r="C7" s="3"/>
      <c r="D7" s="2"/>
      <c r="E7" s="182" t="s">
        <v>4</v>
      </c>
      <c r="F7" s="182"/>
      <c r="G7" s="182"/>
      <c r="H7" s="182"/>
      <c r="I7" s="182"/>
      <c r="J7" s="8">
        <f>'Predicted Data'!D25</f>
        <v>359589.8</v>
      </c>
      <c r="K7" s="69"/>
      <c r="L7" s="4"/>
    </row>
    <row r="8" spans="3:13" ht="16.2" x14ac:dyDescent="0.3">
      <c r="C8" s="3"/>
      <c r="D8" s="2"/>
      <c r="E8" s="182" t="s">
        <v>6</v>
      </c>
      <c r="F8" s="182"/>
      <c r="G8" s="182"/>
      <c r="H8" s="182"/>
      <c r="I8" s="182"/>
      <c r="J8" s="8">
        <f>SUM(H32:H61)</f>
        <v>158559.34930000003</v>
      </c>
      <c r="K8" s="2" t="s">
        <v>25</v>
      </c>
      <c r="L8" s="4"/>
    </row>
    <row r="9" spans="3:13" ht="16.2" x14ac:dyDescent="0.3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</row>
    <row r="10" spans="3:13" x14ac:dyDescent="0.3">
      <c r="C10" s="3"/>
      <c r="D10" s="2"/>
      <c r="E10" s="182" t="s">
        <v>10</v>
      </c>
      <c r="F10" s="182"/>
      <c r="G10" s="182"/>
      <c r="H10" s="182"/>
      <c r="I10" s="182"/>
      <c r="J10" s="85">
        <f>'Plant Health'!H105</f>
        <v>334795.8947</v>
      </c>
      <c r="K10" s="2" t="s">
        <v>25</v>
      </c>
      <c r="L10" s="4"/>
    </row>
    <row r="11" spans="3:13" x14ac:dyDescent="0.3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0.85937551610121576</v>
      </c>
      <c r="K11" s="2"/>
      <c r="L11" s="4"/>
      <c r="M11" s="61"/>
    </row>
    <row r="12" spans="3:13" x14ac:dyDescent="0.3">
      <c r="C12" s="3"/>
      <c r="D12" s="2"/>
      <c r="E12" s="182" t="s">
        <v>16</v>
      </c>
      <c r="F12" s="182"/>
      <c r="G12" s="182"/>
      <c r="H12" s="182"/>
      <c r="I12" s="182"/>
      <c r="J12" s="31">
        <f>J6/J7</f>
        <v>0.80012112355906861</v>
      </c>
      <c r="K12" s="2"/>
      <c r="L12" s="4"/>
    </row>
    <row r="13" spans="3:13" x14ac:dyDescent="0.3">
      <c r="C13" s="3"/>
      <c r="D13" s="2"/>
      <c r="E13" s="182" t="s">
        <v>18</v>
      </c>
      <c r="F13" s="182"/>
      <c r="G13" s="182"/>
      <c r="H13" s="182"/>
      <c r="I13" s="182"/>
      <c r="J13" s="31">
        <f>Availability!J46</f>
        <v>0.66659999999999997</v>
      </c>
      <c r="K13" s="2"/>
      <c r="L13" s="4"/>
    </row>
    <row r="14" spans="3:13" x14ac:dyDescent="0.3">
      <c r="C14" s="5"/>
      <c r="D14" s="6"/>
      <c r="E14" s="202" t="s">
        <v>20</v>
      </c>
      <c r="F14" s="202"/>
      <c r="G14" s="202"/>
      <c r="H14" s="202"/>
      <c r="I14" s="202"/>
      <c r="J14" s="9">
        <f>Availability!J50</f>
        <v>0.94557883597883619</v>
      </c>
      <c r="K14" s="6"/>
      <c r="L14" s="7"/>
    </row>
    <row r="16" spans="3:13" x14ac:dyDescent="0.3">
      <c r="C16" s="183" t="s">
        <v>26</v>
      </c>
      <c r="D16" s="183"/>
      <c r="E16" s="183"/>
      <c r="F16" s="183"/>
      <c r="G16" s="183"/>
      <c r="H16" s="183"/>
      <c r="I16" s="183"/>
      <c r="J16" s="183"/>
      <c r="K16" s="183"/>
      <c r="L16" s="183"/>
    </row>
    <row r="17" spans="3:12" x14ac:dyDescent="0.3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3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3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3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3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3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3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3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3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3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3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3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3">
      <c r="E30" s="11"/>
      <c r="F30" s="183" t="s">
        <v>27</v>
      </c>
      <c r="G30" s="183"/>
      <c r="H30" s="183"/>
      <c r="I30" s="183"/>
      <c r="J30" s="11"/>
      <c r="K30" s="11"/>
      <c r="L30" s="11"/>
    </row>
    <row r="31" spans="3:12" s="10" customFormat="1" ht="44.1" customHeight="1" x14ac:dyDescent="0.3">
      <c r="E31" s="13"/>
      <c r="F31" s="158" t="s">
        <v>28</v>
      </c>
      <c r="G31" s="159" t="s">
        <v>29</v>
      </c>
      <c r="H31" s="159" t="s">
        <v>30</v>
      </c>
      <c r="I31" s="159" t="s">
        <v>31</v>
      </c>
      <c r="J31" s="12"/>
      <c r="K31" s="13"/>
    </row>
    <row r="32" spans="3:12" ht="23.4" customHeight="1" x14ac:dyDescent="0.3">
      <c r="E32" s="2"/>
      <c r="F32" s="160">
        <v>45901</v>
      </c>
      <c r="G32" s="161">
        <v>8436.5294117648154</v>
      </c>
      <c r="H32" s="162">
        <v>4360.5730000000003</v>
      </c>
      <c r="I32" s="162">
        <v>63.54824</v>
      </c>
      <c r="J32" s="2"/>
      <c r="K32" s="151"/>
    </row>
    <row r="33" spans="5:15" x14ac:dyDescent="0.3">
      <c r="E33" s="2"/>
      <c r="F33" s="160">
        <v>45902</v>
      </c>
      <c r="G33" s="161">
        <v>11912</v>
      </c>
      <c r="H33" s="162">
        <v>6653.1620000000003</v>
      </c>
      <c r="I33" s="162">
        <v>65.729159999999993</v>
      </c>
      <c r="J33" s="2"/>
      <c r="K33" s="14"/>
    </row>
    <row r="34" spans="5:15" x14ac:dyDescent="0.3">
      <c r="E34" s="2"/>
      <c r="F34" s="160">
        <v>45903</v>
      </c>
      <c r="G34" s="161">
        <v>12720</v>
      </c>
      <c r="H34" s="162">
        <v>7099.4830000000002</v>
      </c>
      <c r="I34" s="162">
        <v>66.823970000000003</v>
      </c>
      <c r="J34" s="2"/>
      <c r="K34" s="14"/>
    </row>
    <row r="35" spans="5:15" x14ac:dyDescent="0.3">
      <c r="E35" s="2"/>
      <c r="F35" s="160">
        <v>45904</v>
      </c>
      <c r="G35" s="161">
        <v>12155</v>
      </c>
      <c r="H35" s="162">
        <v>6850.5649999999996</v>
      </c>
      <c r="I35" s="162">
        <v>68.116110000000006</v>
      </c>
      <c r="J35" s="2"/>
      <c r="K35" s="14"/>
    </row>
    <row r="36" spans="5:15" x14ac:dyDescent="0.3">
      <c r="E36" s="2"/>
      <c r="F36" s="160">
        <v>45905</v>
      </c>
      <c r="G36" s="161">
        <v>7308</v>
      </c>
      <c r="H36" s="162">
        <v>4064.8620000000001</v>
      </c>
      <c r="I36" s="162">
        <v>72.331069999999997</v>
      </c>
      <c r="J36" s="2"/>
      <c r="K36" s="14"/>
    </row>
    <row r="37" spans="5:15" x14ac:dyDescent="0.3">
      <c r="E37" s="2"/>
      <c r="F37" s="160">
        <v>45906</v>
      </c>
      <c r="G37" s="161">
        <v>5853</v>
      </c>
      <c r="H37" s="162">
        <v>3146.0259999999998</v>
      </c>
      <c r="I37" s="162">
        <v>70.956919999999997</v>
      </c>
      <c r="J37" s="2"/>
      <c r="K37" s="14"/>
    </row>
    <row r="38" spans="5:15" x14ac:dyDescent="0.3">
      <c r="E38" s="2"/>
      <c r="F38" s="160">
        <v>45907</v>
      </c>
      <c r="G38" s="161">
        <v>2900</v>
      </c>
      <c r="H38" s="162">
        <v>1415.0150000000001</v>
      </c>
      <c r="I38" s="162">
        <v>61.158499999999997</v>
      </c>
      <c r="J38" s="2"/>
      <c r="K38" s="14"/>
    </row>
    <row r="39" spans="5:15" x14ac:dyDescent="0.3">
      <c r="E39" s="2"/>
      <c r="F39" s="160">
        <v>45908</v>
      </c>
      <c r="G39" s="161">
        <v>11623</v>
      </c>
      <c r="H39" s="162">
        <v>6329.2529999999997</v>
      </c>
      <c r="I39" s="162">
        <v>57.797020000000003</v>
      </c>
      <c r="J39" s="2"/>
      <c r="K39" s="14"/>
    </row>
    <row r="40" spans="5:15" x14ac:dyDescent="0.3">
      <c r="E40" s="2"/>
      <c r="F40" s="160">
        <v>45909</v>
      </c>
      <c r="G40" s="161">
        <v>13113</v>
      </c>
      <c r="H40" s="162">
        <v>7204.4129999999996</v>
      </c>
      <c r="I40" s="162">
        <v>57.65625</v>
      </c>
      <c r="J40" s="2"/>
      <c r="K40" s="14"/>
    </row>
    <row r="41" spans="5:15" x14ac:dyDescent="0.3">
      <c r="E41" s="2"/>
      <c r="F41" s="160">
        <v>45910</v>
      </c>
      <c r="G41" s="161">
        <v>11779.659574467689</v>
      </c>
      <c r="H41" s="162">
        <v>6460.9840000000004</v>
      </c>
      <c r="I41" s="162">
        <v>58.395530000000001</v>
      </c>
      <c r="J41" s="2"/>
      <c r="K41" s="14"/>
    </row>
    <row r="42" spans="5:15" x14ac:dyDescent="0.3">
      <c r="E42" s="2"/>
      <c r="F42" s="160">
        <v>45911</v>
      </c>
      <c r="G42" s="161">
        <v>12424.324552515522</v>
      </c>
      <c r="H42" s="162">
        <v>6779.73</v>
      </c>
      <c r="I42" s="162">
        <v>61.556220000000003</v>
      </c>
      <c r="J42" s="2"/>
      <c r="K42" s="14"/>
    </row>
    <row r="43" spans="5:15" x14ac:dyDescent="0.3">
      <c r="E43" s="2"/>
      <c r="F43" s="160">
        <v>45912</v>
      </c>
      <c r="G43" s="161">
        <v>12967.01587301679</v>
      </c>
      <c r="H43" s="162">
        <v>7322.8490000000002</v>
      </c>
      <c r="I43" s="162">
        <v>61.285260000000001</v>
      </c>
      <c r="J43" s="2"/>
      <c r="K43" s="14"/>
    </row>
    <row r="44" spans="5:15" x14ac:dyDescent="0.3">
      <c r="E44" s="2"/>
      <c r="F44" s="160">
        <v>45913</v>
      </c>
      <c r="G44" s="161">
        <v>9493</v>
      </c>
      <c r="H44" s="162">
        <v>5215.3540000000003</v>
      </c>
      <c r="I44" s="162">
        <v>61.461689999999997</v>
      </c>
      <c r="J44" s="2"/>
      <c r="K44" s="14"/>
    </row>
    <row r="45" spans="5:15" x14ac:dyDescent="0.3">
      <c r="E45" s="2"/>
      <c r="F45" s="160">
        <v>45914</v>
      </c>
      <c r="G45" s="161">
        <v>8701</v>
      </c>
      <c r="H45" s="162">
        <v>4884.299</v>
      </c>
      <c r="I45" s="162">
        <v>64.162030000000001</v>
      </c>
      <c r="J45" s="2"/>
      <c r="K45" s="14"/>
    </row>
    <row r="46" spans="5:15" x14ac:dyDescent="0.3">
      <c r="E46" s="2"/>
      <c r="F46" s="160">
        <v>45915</v>
      </c>
      <c r="G46" s="161">
        <v>10699</v>
      </c>
      <c r="H46" s="162">
        <v>6090.3770000000004</v>
      </c>
      <c r="I46" s="162">
        <v>63.104300000000002</v>
      </c>
      <c r="J46" s="2"/>
      <c r="K46" s="14"/>
    </row>
    <row r="47" spans="5:15" x14ac:dyDescent="0.3">
      <c r="E47" s="2"/>
      <c r="F47" s="160">
        <v>45916</v>
      </c>
      <c r="G47" s="161">
        <v>9756.076086955145</v>
      </c>
      <c r="H47" s="162">
        <v>5301.4369999999999</v>
      </c>
      <c r="I47" s="162">
        <v>60.900260000000003</v>
      </c>
      <c r="J47" s="2"/>
      <c r="K47" s="14"/>
    </row>
    <row r="48" spans="5:15" x14ac:dyDescent="0.3">
      <c r="E48" s="2"/>
      <c r="F48" s="160">
        <v>45917</v>
      </c>
      <c r="G48" s="161">
        <v>8542.923913044855</v>
      </c>
      <c r="H48" s="162">
        <v>4719.5739999999996</v>
      </c>
      <c r="I48" s="162">
        <v>59.738990000000001</v>
      </c>
      <c r="J48" s="2"/>
      <c r="K48" s="14"/>
      <c r="M48" s="2"/>
      <c r="N48" s="2"/>
      <c r="O48" s="2"/>
    </row>
    <row r="49" spans="3:15" x14ac:dyDescent="0.3">
      <c r="E49" s="2"/>
      <c r="F49" s="160">
        <v>45918</v>
      </c>
      <c r="G49" s="161">
        <v>12015</v>
      </c>
      <c r="H49" s="162">
        <v>6752.0469999999996</v>
      </c>
      <c r="I49" s="162">
        <v>67.566890000000001</v>
      </c>
      <c r="J49" s="2"/>
      <c r="K49" s="14"/>
      <c r="M49" s="2"/>
      <c r="N49" s="2"/>
      <c r="O49" s="2"/>
    </row>
    <row r="50" spans="3:15" x14ac:dyDescent="0.3">
      <c r="E50" s="2"/>
      <c r="F50" s="160">
        <v>45919</v>
      </c>
      <c r="G50" s="161">
        <v>12223</v>
      </c>
      <c r="H50" s="162">
        <v>6829.7240000000002</v>
      </c>
      <c r="I50" s="162">
        <v>64.652820000000006</v>
      </c>
      <c r="J50" s="2"/>
      <c r="K50" s="14"/>
    </row>
    <row r="51" spans="3:15" x14ac:dyDescent="0.3">
      <c r="E51" s="2"/>
      <c r="F51" s="160">
        <v>45920</v>
      </c>
      <c r="G51" s="161">
        <v>12760.707317072898</v>
      </c>
      <c r="H51" s="162">
        <v>6882.509</v>
      </c>
      <c r="I51" s="162">
        <v>54.614249999999998</v>
      </c>
      <c r="J51" s="2"/>
      <c r="K51" s="14"/>
    </row>
    <row r="52" spans="3:15" x14ac:dyDescent="0.3">
      <c r="E52" s="2"/>
      <c r="F52" s="160">
        <v>45921</v>
      </c>
      <c r="G52" s="161">
        <v>12070.292682927102</v>
      </c>
      <c r="H52" s="162">
        <v>6508.2389999999996</v>
      </c>
      <c r="I52" s="162">
        <v>54.014769999999999</v>
      </c>
      <c r="J52" s="2"/>
      <c r="K52" s="14"/>
    </row>
    <row r="53" spans="3:15" x14ac:dyDescent="0.3">
      <c r="E53" s="2"/>
      <c r="F53" s="160">
        <v>45922</v>
      </c>
      <c r="G53" s="161">
        <v>12185</v>
      </c>
      <c r="H53" s="162">
        <v>6561.4129999999996</v>
      </c>
      <c r="I53" s="162">
        <v>57.452179999999998</v>
      </c>
      <c r="J53" s="2"/>
      <c r="K53" s="14"/>
    </row>
    <row r="54" spans="3:15" x14ac:dyDescent="0.3">
      <c r="E54" s="2"/>
      <c r="F54" s="160">
        <v>45923</v>
      </c>
      <c r="G54" s="161">
        <v>6171</v>
      </c>
      <c r="H54" s="162">
        <v>3279.2269999999999</v>
      </c>
      <c r="I54" s="162">
        <v>66.411959999999993</v>
      </c>
      <c r="J54" s="2"/>
      <c r="K54" s="14"/>
    </row>
    <row r="55" spans="3:15" x14ac:dyDescent="0.3">
      <c r="E55" s="2"/>
      <c r="F55" s="160">
        <v>45924</v>
      </c>
      <c r="G55" s="161">
        <v>785</v>
      </c>
      <c r="H55" s="162">
        <v>389.31799999999998</v>
      </c>
      <c r="I55" s="162">
        <v>64.642139999999998</v>
      </c>
      <c r="J55" s="2"/>
      <c r="K55" s="14"/>
    </row>
    <row r="56" spans="3:15" x14ac:dyDescent="0.3">
      <c r="E56" s="2"/>
      <c r="F56" s="160">
        <v>45925</v>
      </c>
      <c r="G56" s="161">
        <v>823</v>
      </c>
      <c r="H56" s="162">
        <v>413.32830000000001</v>
      </c>
      <c r="I56" s="162">
        <v>66.990520000000004</v>
      </c>
      <c r="J56" s="2"/>
      <c r="K56" s="14"/>
    </row>
    <row r="57" spans="3:15" x14ac:dyDescent="0.3">
      <c r="E57" s="2"/>
      <c r="F57" s="160">
        <v>45926</v>
      </c>
      <c r="G57" s="161">
        <v>6834.7750000003725</v>
      </c>
      <c r="H57" s="162">
        <v>3786.518</v>
      </c>
      <c r="I57" s="162">
        <v>68.823809999999995</v>
      </c>
      <c r="J57" s="2"/>
      <c r="K57" s="14"/>
    </row>
    <row r="58" spans="3:15" x14ac:dyDescent="0.3">
      <c r="E58" s="2"/>
      <c r="F58" s="160">
        <v>45927</v>
      </c>
      <c r="G58" s="161">
        <v>9802.2249999996275</v>
      </c>
      <c r="H58" s="162">
        <v>5479.7929999999997</v>
      </c>
      <c r="I58" s="162">
        <v>66.572990000000004</v>
      </c>
      <c r="J58" s="2"/>
      <c r="K58" s="14"/>
    </row>
    <row r="59" spans="3:15" x14ac:dyDescent="0.3">
      <c r="E59" s="2"/>
      <c r="F59" s="160">
        <v>45928</v>
      </c>
      <c r="G59" s="161">
        <v>10797</v>
      </c>
      <c r="H59" s="162">
        <v>6039.1139999999996</v>
      </c>
      <c r="I59" s="162">
        <v>70.478480000000005</v>
      </c>
      <c r="J59" s="2"/>
      <c r="K59" s="14"/>
    </row>
    <row r="60" spans="3:15" x14ac:dyDescent="0.3">
      <c r="E60" s="2"/>
      <c r="F60" s="160">
        <v>45929</v>
      </c>
      <c r="G60" s="161">
        <v>10280</v>
      </c>
      <c r="H60" s="162">
        <v>5745.3969999999999</v>
      </c>
      <c r="I60" s="162">
        <v>62.645209999999999</v>
      </c>
      <c r="J60" s="2"/>
      <c r="K60" s="14"/>
    </row>
    <row r="61" spans="3:15" x14ac:dyDescent="0.3">
      <c r="E61" s="2"/>
      <c r="F61" s="160">
        <v>45930</v>
      </c>
      <c r="G61" s="161">
        <v>10584.865384615958</v>
      </c>
      <c r="H61" s="162">
        <v>5994.7659999999996</v>
      </c>
      <c r="I61" s="162">
        <v>60.878439999999998</v>
      </c>
      <c r="J61" s="2"/>
      <c r="K61" s="14"/>
    </row>
    <row r="62" spans="3:15" s="2" customFormat="1" x14ac:dyDescent="0.3">
      <c r="F62" s="157"/>
      <c r="G62" s="155"/>
      <c r="H62" s="155"/>
      <c r="I62" s="156"/>
      <c r="K62" s="14"/>
    </row>
    <row r="63" spans="3:15" x14ac:dyDescent="0.3">
      <c r="F63" s="143"/>
      <c r="G63" s="137"/>
      <c r="H63" s="2"/>
      <c r="I63" s="2"/>
    </row>
    <row r="64" spans="3:15" x14ac:dyDescent="0.3">
      <c r="C64" s="179" t="s">
        <v>32</v>
      </c>
      <c r="D64" s="180"/>
      <c r="E64" s="180"/>
      <c r="F64" s="180"/>
      <c r="G64" s="180"/>
      <c r="H64" s="180"/>
      <c r="I64" s="180"/>
      <c r="J64" s="180"/>
      <c r="K64" s="180"/>
      <c r="L64" s="181"/>
    </row>
    <row r="65" spans="3:12" ht="15" customHeight="1" x14ac:dyDescent="0.3">
      <c r="C65" s="193"/>
      <c r="D65" s="194"/>
      <c r="E65" s="194"/>
      <c r="F65" s="194"/>
      <c r="G65" s="194"/>
      <c r="H65" s="194"/>
      <c r="I65" s="194"/>
      <c r="J65" s="194"/>
      <c r="K65" s="194"/>
      <c r="L65" s="195"/>
    </row>
    <row r="66" spans="3:12" x14ac:dyDescent="0.3">
      <c r="C66" s="196"/>
      <c r="D66" s="197"/>
      <c r="E66" s="197"/>
      <c r="F66" s="197"/>
      <c r="G66" s="197"/>
      <c r="H66" s="197"/>
      <c r="I66" s="197"/>
      <c r="J66" s="197"/>
      <c r="K66" s="197"/>
      <c r="L66" s="198"/>
    </row>
    <row r="67" spans="3:12" x14ac:dyDescent="0.3">
      <c r="C67" s="199"/>
      <c r="D67" s="200"/>
      <c r="E67" s="200"/>
      <c r="F67" s="200"/>
      <c r="G67" s="200"/>
      <c r="H67" s="200"/>
      <c r="I67" s="200"/>
      <c r="J67" s="200"/>
      <c r="K67" s="200"/>
      <c r="L67" s="201"/>
    </row>
    <row r="69" spans="3:12" x14ac:dyDescent="0.3">
      <c r="C69" s="176" t="s">
        <v>33</v>
      </c>
      <c r="D69" s="177"/>
      <c r="E69" s="177"/>
      <c r="F69" s="177"/>
      <c r="G69" s="177"/>
      <c r="H69" s="177"/>
      <c r="I69" s="177"/>
      <c r="J69" s="177"/>
      <c r="K69" s="177"/>
      <c r="L69" s="178"/>
    </row>
    <row r="70" spans="3:12" ht="14.85" customHeight="1" x14ac:dyDescent="0.3">
      <c r="C70" s="184" t="s">
        <v>34</v>
      </c>
      <c r="D70" s="185"/>
      <c r="E70" s="185"/>
      <c r="F70" s="185"/>
      <c r="G70" s="185"/>
      <c r="H70" s="185"/>
      <c r="I70" s="185"/>
      <c r="J70" s="185"/>
      <c r="K70" s="185"/>
      <c r="L70" s="186"/>
    </row>
    <row r="71" spans="3:12" x14ac:dyDescent="0.3">
      <c r="C71" s="187"/>
      <c r="D71" s="188"/>
      <c r="E71" s="188"/>
      <c r="F71" s="188"/>
      <c r="G71" s="188"/>
      <c r="H71" s="188"/>
      <c r="I71" s="188"/>
      <c r="J71" s="188"/>
      <c r="K71" s="188"/>
      <c r="L71" s="189"/>
    </row>
    <row r="72" spans="3:12" x14ac:dyDescent="0.3">
      <c r="C72" s="190"/>
      <c r="D72" s="191"/>
      <c r="E72" s="191"/>
      <c r="F72" s="191"/>
      <c r="G72" s="191"/>
      <c r="H72" s="191"/>
      <c r="I72" s="191"/>
      <c r="J72" s="191"/>
      <c r="K72" s="191"/>
      <c r="L72" s="192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9:L69"/>
    <mergeCell ref="C64:L64"/>
    <mergeCell ref="E13:I13"/>
    <mergeCell ref="F30:I30"/>
    <mergeCell ref="C70:L72"/>
    <mergeCell ref="C65:L67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3"/>
  <sheetViews>
    <sheetView zoomScale="85" zoomScaleNormal="85" workbookViewId="0">
      <selection activeCell="J10" sqref="J10"/>
    </sheetView>
  </sheetViews>
  <sheetFormatPr defaultRowHeight="14.4" x14ac:dyDescent="0.3"/>
  <cols>
    <col min="4" max="4" width="9.109375" customWidth="1"/>
    <col min="6" max="6" width="11.88671875" bestFit="1" customWidth="1" collapsed="1"/>
    <col min="7" max="7" width="21.44140625" bestFit="1" customWidth="1"/>
    <col min="8" max="8" width="19.5546875" bestFit="1" customWidth="1"/>
    <col min="9" max="9" width="17.88671875" bestFit="1" customWidth="1"/>
    <col min="10" max="10" width="10.109375" customWidth="1"/>
    <col min="18" max="18" width="14.6640625" bestFit="1" customWidth="1"/>
  </cols>
  <sheetData>
    <row r="1" spans="3:18" ht="18" x14ac:dyDescent="0.35">
      <c r="E1" s="203" t="s">
        <v>35</v>
      </c>
      <c r="F1" s="203"/>
      <c r="G1" s="203"/>
      <c r="H1" s="203"/>
      <c r="I1" s="203"/>
      <c r="J1" s="203"/>
    </row>
    <row r="2" spans="3:18" x14ac:dyDescent="0.3">
      <c r="E2" s="204" t="s">
        <v>23</v>
      </c>
      <c r="F2" s="204"/>
      <c r="G2" s="204"/>
      <c r="H2" s="204"/>
      <c r="I2" s="204"/>
      <c r="J2" s="204"/>
    </row>
    <row r="3" spans="3:18" ht="14.25" customHeight="1" x14ac:dyDescent="0.3">
      <c r="E3" s="205" t="s">
        <v>92</v>
      </c>
      <c r="F3" s="206"/>
      <c r="G3" s="206"/>
      <c r="H3" s="206"/>
      <c r="I3" s="206"/>
      <c r="J3" s="206"/>
    </row>
    <row r="5" spans="3:18" x14ac:dyDescent="0.3">
      <c r="C5" s="179" t="s">
        <v>24</v>
      </c>
      <c r="D5" s="180"/>
      <c r="E5" s="180"/>
      <c r="F5" s="180"/>
      <c r="G5" s="180"/>
      <c r="H5" s="180"/>
      <c r="I5" s="180"/>
      <c r="J5" s="180"/>
      <c r="K5" s="180"/>
      <c r="L5" s="181"/>
      <c r="R5" s="26"/>
    </row>
    <row r="6" spans="3:18" x14ac:dyDescent="0.3">
      <c r="C6" s="20"/>
      <c r="D6" s="21"/>
      <c r="E6" s="172" t="s">
        <v>2</v>
      </c>
      <c r="F6" s="172"/>
      <c r="G6" s="172"/>
      <c r="H6" s="172"/>
      <c r="I6" s="172"/>
      <c r="J6" s="22">
        <f>SUM(G32:G61)</f>
        <v>424355</v>
      </c>
      <c r="K6" s="2"/>
      <c r="L6" s="23"/>
      <c r="R6" s="26"/>
    </row>
    <row r="7" spans="3:18" x14ac:dyDescent="0.3">
      <c r="C7" s="3"/>
      <c r="D7" s="2"/>
      <c r="E7" s="182" t="s">
        <v>4</v>
      </c>
      <c r="F7" s="182"/>
      <c r="G7" s="182"/>
      <c r="H7" s="182"/>
      <c r="I7" s="182"/>
      <c r="J7" s="8">
        <f>'Predicted Data'!D13</f>
        <v>412507.2</v>
      </c>
      <c r="K7" s="69"/>
      <c r="L7" s="4"/>
      <c r="R7" s="26"/>
    </row>
    <row r="8" spans="3:18" ht="16.2" x14ac:dyDescent="0.3">
      <c r="C8" s="3"/>
      <c r="D8" s="2"/>
      <c r="E8" s="182" t="s">
        <v>6</v>
      </c>
      <c r="F8" s="182"/>
      <c r="G8" s="182"/>
      <c r="H8" s="182"/>
      <c r="I8" s="182"/>
      <c r="J8" s="8">
        <f>SUM(H32:H61)</f>
        <v>139834.33819999997</v>
      </c>
      <c r="K8" s="2"/>
      <c r="L8" s="4"/>
      <c r="R8" s="26"/>
    </row>
    <row r="9" spans="3:18" ht="16.2" x14ac:dyDescent="0.3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  <c r="R9" s="44"/>
    </row>
    <row r="10" spans="3:18" x14ac:dyDescent="0.3">
      <c r="C10" s="3"/>
      <c r="D10" s="2"/>
      <c r="E10" s="182" t="s">
        <v>10</v>
      </c>
      <c r="F10" s="182"/>
      <c r="G10" s="182"/>
      <c r="H10" s="182"/>
      <c r="I10" s="182"/>
      <c r="J10" s="84">
        <f>'Plant Health'!E105</f>
        <v>393985.45300000004</v>
      </c>
      <c r="K10" s="2"/>
      <c r="L10" s="4"/>
      <c r="R10" s="26"/>
    </row>
    <row r="11" spans="3:18" x14ac:dyDescent="0.3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1.0770829145308569</v>
      </c>
      <c r="K11" s="2"/>
      <c r="L11" s="4"/>
      <c r="R11" s="26"/>
    </row>
    <row r="12" spans="3:18" x14ac:dyDescent="0.3">
      <c r="C12" s="3"/>
      <c r="D12" s="2"/>
      <c r="E12" s="182" t="s">
        <v>16</v>
      </c>
      <c r="F12" s="182"/>
      <c r="G12" s="182"/>
      <c r="H12" s="182"/>
      <c r="I12" s="182"/>
      <c r="J12" s="31">
        <f>J6/J7</f>
        <v>1.0287214380742931</v>
      </c>
      <c r="K12" s="2"/>
      <c r="L12" s="4"/>
      <c r="R12" s="26"/>
    </row>
    <row r="13" spans="3:18" x14ac:dyDescent="0.3">
      <c r="C13" s="3"/>
      <c r="D13" s="2"/>
      <c r="E13" s="182" t="s">
        <v>18</v>
      </c>
      <c r="F13" s="182"/>
      <c r="G13" s="182"/>
      <c r="H13" s="182"/>
      <c r="I13" s="182"/>
      <c r="J13" s="31">
        <f>Availability!I46</f>
        <v>1</v>
      </c>
      <c r="K13" s="2"/>
      <c r="L13" s="4"/>
      <c r="R13" s="26"/>
    </row>
    <row r="14" spans="3:18" x14ac:dyDescent="0.3">
      <c r="C14" s="5"/>
      <c r="D14" s="6"/>
      <c r="E14" s="202" t="s">
        <v>20</v>
      </c>
      <c r="F14" s="202"/>
      <c r="G14" s="202"/>
      <c r="H14" s="202"/>
      <c r="I14" s="202"/>
      <c r="J14" s="9">
        <f>Availability!I50</f>
        <v>0.99818425925925935</v>
      </c>
      <c r="K14" s="6"/>
      <c r="L14" s="7"/>
      <c r="R14" s="26"/>
    </row>
    <row r="15" spans="3:18" x14ac:dyDescent="0.3">
      <c r="R15" s="26"/>
    </row>
    <row r="16" spans="3:18" x14ac:dyDescent="0.3">
      <c r="C16" s="179" t="s">
        <v>26</v>
      </c>
      <c r="D16" s="180"/>
      <c r="E16" s="180"/>
      <c r="F16" s="180"/>
      <c r="G16" s="180"/>
      <c r="H16" s="180"/>
      <c r="I16" s="180"/>
      <c r="J16" s="180"/>
      <c r="K16" s="180"/>
      <c r="L16" s="181"/>
      <c r="R16" s="26"/>
    </row>
    <row r="17" spans="5:24" x14ac:dyDescent="0.3">
      <c r="R17" s="26"/>
    </row>
    <row r="18" spans="5:24" x14ac:dyDescent="0.3">
      <c r="R18" s="26"/>
    </row>
    <row r="19" spans="5:24" x14ac:dyDescent="0.3">
      <c r="R19" s="26"/>
    </row>
    <row r="20" spans="5:24" x14ac:dyDescent="0.3">
      <c r="R20" s="26"/>
    </row>
    <row r="21" spans="5:24" x14ac:dyDescent="0.3">
      <c r="R21" s="26"/>
    </row>
    <row r="22" spans="5:24" x14ac:dyDescent="0.3">
      <c r="R22" s="26"/>
    </row>
    <row r="23" spans="5:24" x14ac:dyDescent="0.3">
      <c r="R23" s="26"/>
    </row>
    <row r="24" spans="5:24" x14ac:dyDescent="0.3">
      <c r="R24" s="26"/>
    </row>
    <row r="25" spans="5:24" x14ac:dyDescent="0.3">
      <c r="R25" s="26"/>
    </row>
    <row r="26" spans="5:24" x14ac:dyDescent="0.3">
      <c r="R26" s="26"/>
    </row>
    <row r="27" spans="5:24" x14ac:dyDescent="0.3">
      <c r="R27" s="26"/>
    </row>
    <row r="28" spans="5:24" x14ac:dyDescent="0.3">
      <c r="R28" s="26"/>
    </row>
    <row r="29" spans="5:24" x14ac:dyDescent="0.3">
      <c r="F29" s="2"/>
      <c r="G29" s="2"/>
      <c r="H29" s="2"/>
      <c r="I29" s="2"/>
      <c r="R29" s="26"/>
    </row>
    <row r="30" spans="5:24" x14ac:dyDescent="0.3">
      <c r="E30" s="11"/>
      <c r="F30" s="207" t="s">
        <v>27</v>
      </c>
      <c r="G30" s="207"/>
      <c r="H30" s="207"/>
      <c r="I30" s="208"/>
      <c r="J30" s="11"/>
      <c r="K30" s="11"/>
      <c r="L30" s="11"/>
      <c r="R30" s="26"/>
    </row>
    <row r="31" spans="5:24" s="10" customFormat="1" ht="44.1" customHeight="1" x14ac:dyDescent="0.3">
      <c r="E31" s="13"/>
      <c r="F31" s="138" t="s">
        <v>28</v>
      </c>
      <c r="G31" s="163" t="s">
        <v>29</v>
      </c>
      <c r="H31" s="164" t="s">
        <v>30</v>
      </c>
      <c r="I31" s="163" t="s">
        <v>31</v>
      </c>
      <c r="J31" s="12"/>
      <c r="K31" s="13"/>
      <c r="R31" s="45"/>
      <c r="X31"/>
    </row>
    <row r="32" spans="5:24" x14ac:dyDescent="0.3">
      <c r="E32" s="2"/>
      <c r="F32" s="154">
        <v>45901</v>
      </c>
      <c r="G32" s="162">
        <v>10150</v>
      </c>
      <c r="H32" s="162">
        <v>3133.0059999999999</v>
      </c>
      <c r="I32" s="162">
        <v>63.545859999999998</v>
      </c>
      <c r="J32" s="14"/>
      <c r="K32" s="14"/>
      <c r="R32" s="26"/>
    </row>
    <row r="33" spans="5:18" x14ac:dyDescent="0.3">
      <c r="E33" s="2"/>
      <c r="F33" s="154">
        <v>45902</v>
      </c>
      <c r="G33" s="162">
        <v>18775</v>
      </c>
      <c r="H33" s="162">
        <v>6246.5290000000005</v>
      </c>
      <c r="I33" s="162">
        <v>65.290059999999997</v>
      </c>
      <c r="J33" s="14"/>
      <c r="K33" s="14"/>
      <c r="R33" s="26"/>
    </row>
    <row r="34" spans="5:18" x14ac:dyDescent="0.3">
      <c r="E34" s="2"/>
      <c r="F34" s="154">
        <v>45903</v>
      </c>
      <c r="G34" s="162">
        <v>19681.25</v>
      </c>
      <c r="H34" s="162">
        <v>6519.7439999999997</v>
      </c>
      <c r="I34" s="162">
        <v>64.747990000000001</v>
      </c>
      <c r="J34" s="14"/>
      <c r="K34" s="14"/>
      <c r="R34" s="26"/>
    </row>
    <row r="35" spans="5:18" x14ac:dyDescent="0.3">
      <c r="E35" s="2"/>
      <c r="F35" s="154">
        <v>45904</v>
      </c>
      <c r="G35" s="162">
        <v>17932.75</v>
      </c>
      <c r="H35" s="162">
        <v>5944.8959999999997</v>
      </c>
      <c r="I35" s="162">
        <v>66.046880000000002</v>
      </c>
      <c r="J35" s="14"/>
      <c r="K35" s="14"/>
      <c r="R35" s="26"/>
    </row>
    <row r="36" spans="5:18" x14ac:dyDescent="0.3">
      <c r="E36" s="2"/>
      <c r="F36" s="154">
        <v>45905</v>
      </c>
      <c r="G36" s="162">
        <v>13410.25</v>
      </c>
      <c r="H36" s="162">
        <v>4514.1379999999999</v>
      </c>
      <c r="I36" s="162">
        <v>73.179220000000001</v>
      </c>
      <c r="J36" s="14"/>
      <c r="K36" s="14"/>
      <c r="R36" s="26"/>
    </row>
    <row r="37" spans="5:18" x14ac:dyDescent="0.3">
      <c r="E37" s="2"/>
      <c r="F37" s="154">
        <v>45906</v>
      </c>
      <c r="G37" s="162">
        <v>12149.25</v>
      </c>
      <c r="H37" s="162">
        <v>3957.5949999999998</v>
      </c>
      <c r="I37" s="162">
        <v>73.519620000000003</v>
      </c>
      <c r="J37" s="14"/>
      <c r="K37" s="14"/>
      <c r="R37" s="26"/>
    </row>
    <row r="38" spans="5:18" x14ac:dyDescent="0.3">
      <c r="E38" s="2"/>
      <c r="F38" s="154">
        <v>45907</v>
      </c>
      <c r="G38" s="162">
        <v>3424.25</v>
      </c>
      <c r="H38" s="162">
        <v>1009.381</v>
      </c>
      <c r="I38" s="162">
        <v>61.376690000000004</v>
      </c>
      <c r="J38" s="14"/>
      <c r="K38" s="14"/>
    </row>
    <row r="39" spans="5:18" x14ac:dyDescent="0.3">
      <c r="E39" s="2"/>
      <c r="F39" s="154">
        <v>45908</v>
      </c>
      <c r="G39" s="162">
        <v>14576.75</v>
      </c>
      <c r="H39" s="162">
        <v>4520.4849999999997</v>
      </c>
      <c r="I39" s="162">
        <v>59.425849999999997</v>
      </c>
      <c r="J39" s="14"/>
      <c r="K39" s="14"/>
    </row>
    <row r="40" spans="5:18" x14ac:dyDescent="0.3">
      <c r="E40" s="2"/>
      <c r="F40" s="154">
        <v>45909</v>
      </c>
      <c r="G40" s="162">
        <v>17636.25</v>
      </c>
      <c r="H40" s="162">
        <v>5834.22</v>
      </c>
      <c r="I40" s="162">
        <v>59.288589999999999</v>
      </c>
      <c r="J40" s="14"/>
      <c r="K40" s="14"/>
    </row>
    <row r="41" spans="5:18" x14ac:dyDescent="0.3">
      <c r="E41" s="2"/>
      <c r="F41" s="154">
        <v>45910</v>
      </c>
      <c r="G41" s="162">
        <v>11226.75</v>
      </c>
      <c r="H41" s="162">
        <v>3519.8890000000001</v>
      </c>
      <c r="I41" s="162">
        <v>61.842860000000002</v>
      </c>
      <c r="J41" s="14"/>
      <c r="K41" s="14"/>
    </row>
    <row r="42" spans="5:18" x14ac:dyDescent="0.3">
      <c r="E42" s="2"/>
      <c r="F42" s="154">
        <v>45911</v>
      </c>
      <c r="G42" s="162">
        <v>19057.25</v>
      </c>
      <c r="H42" s="162">
        <v>6376.4269999999997</v>
      </c>
      <c r="I42" s="162">
        <v>63.590670000000003</v>
      </c>
      <c r="J42" s="14"/>
      <c r="K42" s="14"/>
    </row>
    <row r="43" spans="5:18" x14ac:dyDescent="0.3">
      <c r="E43" s="2"/>
      <c r="F43" s="154">
        <v>45912</v>
      </c>
      <c r="G43" s="162">
        <v>17012</v>
      </c>
      <c r="H43" s="162">
        <v>5732.4390000000003</v>
      </c>
      <c r="I43" s="162">
        <v>64.322630000000004</v>
      </c>
      <c r="J43" s="14"/>
      <c r="K43" s="14"/>
    </row>
    <row r="44" spans="5:18" x14ac:dyDescent="0.3">
      <c r="E44" s="2"/>
      <c r="F44" s="154">
        <v>45913</v>
      </c>
      <c r="G44" s="162">
        <v>15174</v>
      </c>
      <c r="H44" s="162">
        <v>5073.4409999999998</v>
      </c>
      <c r="I44" s="162">
        <v>62.864939999999997</v>
      </c>
      <c r="J44" s="14"/>
      <c r="K44" s="14"/>
    </row>
    <row r="45" spans="5:18" x14ac:dyDescent="0.3">
      <c r="E45" s="2"/>
      <c r="F45" s="154">
        <v>45914</v>
      </c>
      <c r="G45" s="162">
        <v>14653.75</v>
      </c>
      <c r="H45" s="162">
        <v>4880.6899999999996</v>
      </c>
      <c r="I45" s="162">
        <v>66.722250000000003</v>
      </c>
      <c r="J45" s="14"/>
      <c r="K45" s="14"/>
    </row>
    <row r="46" spans="5:18" x14ac:dyDescent="0.3">
      <c r="E46" s="2"/>
      <c r="F46" s="154">
        <v>45915</v>
      </c>
      <c r="G46" s="162">
        <v>16509.25</v>
      </c>
      <c r="H46" s="162">
        <v>5456.8580000000002</v>
      </c>
      <c r="I46" s="162">
        <v>66.164910000000006</v>
      </c>
      <c r="J46" s="14"/>
      <c r="K46" s="14"/>
    </row>
    <row r="47" spans="5:18" x14ac:dyDescent="0.3">
      <c r="E47" s="2"/>
      <c r="F47" s="154">
        <v>45916</v>
      </c>
      <c r="G47" s="162">
        <v>15715.75</v>
      </c>
      <c r="H47" s="162">
        <v>5099.8760000000002</v>
      </c>
      <c r="I47" s="162">
        <v>64.22748</v>
      </c>
      <c r="J47" s="14"/>
      <c r="K47" s="14"/>
    </row>
    <row r="48" spans="5:18" x14ac:dyDescent="0.3">
      <c r="E48" s="2"/>
      <c r="F48" s="154">
        <v>45917</v>
      </c>
      <c r="G48" s="162">
        <v>13563.25</v>
      </c>
      <c r="H48" s="162">
        <v>4498.2209999999995</v>
      </c>
      <c r="I48" s="162">
        <v>65.371840000000006</v>
      </c>
      <c r="J48" s="14"/>
      <c r="K48" s="14"/>
    </row>
    <row r="49" spans="3:12" x14ac:dyDescent="0.3">
      <c r="E49" s="2"/>
      <c r="F49" s="154">
        <v>45918</v>
      </c>
      <c r="G49" s="162">
        <v>11063</v>
      </c>
      <c r="H49" s="162">
        <v>3540.5810000000001</v>
      </c>
      <c r="I49" s="162">
        <v>66.873390000000001</v>
      </c>
      <c r="J49" s="14"/>
      <c r="K49" s="14"/>
    </row>
    <row r="50" spans="3:12" x14ac:dyDescent="0.3">
      <c r="E50" s="2"/>
      <c r="F50" s="154">
        <v>45919</v>
      </c>
      <c r="G50" s="162">
        <v>18122.25</v>
      </c>
      <c r="H50" s="162">
        <v>6048.0860000000002</v>
      </c>
      <c r="I50" s="162">
        <v>69.221810000000005</v>
      </c>
      <c r="J50" s="14"/>
      <c r="K50" s="14"/>
    </row>
    <row r="51" spans="3:12" x14ac:dyDescent="0.3">
      <c r="E51" s="2"/>
      <c r="F51" s="154">
        <v>45920</v>
      </c>
      <c r="G51" s="162">
        <v>19238.25</v>
      </c>
      <c r="H51" s="162">
        <v>6283.4920000000002</v>
      </c>
      <c r="I51" s="162">
        <v>59.240270000000002</v>
      </c>
      <c r="J51" s="14"/>
      <c r="K51" s="14"/>
    </row>
    <row r="52" spans="3:12" x14ac:dyDescent="0.3">
      <c r="E52" s="2"/>
      <c r="F52" s="154">
        <v>45921</v>
      </c>
      <c r="G52" s="162">
        <v>16258.25</v>
      </c>
      <c r="H52" s="162">
        <v>5310.4690000000001</v>
      </c>
      <c r="I52" s="162">
        <v>55.721769999999999</v>
      </c>
      <c r="J52" s="14"/>
      <c r="K52" s="14"/>
    </row>
    <row r="53" spans="3:12" x14ac:dyDescent="0.3">
      <c r="E53" s="2"/>
      <c r="F53" s="154">
        <v>45922</v>
      </c>
      <c r="G53" s="162">
        <v>16795.75</v>
      </c>
      <c r="H53" s="162">
        <v>5607.5290000000005</v>
      </c>
      <c r="I53" s="162">
        <v>60.831119999999999</v>
      </c>
      <c r="J53" s="14"/>
      <c r="K53" s="14"/>
    </row>
    <row r="54" spans="3:12" x14ac:dyDescent="0.3">
      <c r="E54" s="2"/>
      <c r="F54" s="154">
        <v>45923</v>
      </c>
      <c r="G54" s="162">
        <v>12584.75</v>
      </c>
      <c r="H54" s="162">
        <v>4126.3500000000004</v>
      </c>
      <c r="I54" s="162">
        <v>70.173169999999999</v>
      </c>
      <c r="J54" s="14"/>
      <c r="K54" s="14"/>
    </row>
    <row r="55" spans="3:12" x14ac:dyDescent="0.3">
      <c r="E55" s="2"/>
      <c r="F55" s="154">
        <v>45924</v>
      </c>
      <c r="G55" s="162">
        <v>2517.25</v>
      </c>
      <c r="H55" s="162">
        <v>764.5059</v>
      </c>
      <c r="I55" s="162">
        <v>65.356139999999996</v>
      </c>
      <c r="J55" s="14"/>
      <c r="K55" s="14"/>
    </row>
    <row r="56" spans="3:12" x14ac:dyDescent="0.3">
      <c r="E56" s="2"/>
      <c r="F56" s="154">
        <v>45925</v>
      </c>
      <c r="G56" s="162">
        <v>2996</v>
      </c>
      <c r="H56" s="162">
        <v>927.32629999999995</v>
      </c>
      <c r="I56" s="162">
        <v>68.745779999999996</v>
      </c>
      <c r="J56" s="14"/>
      <c r="K56" s="14"/>
    </row>
    <row r="57" spans="3:12" x14ac:dyDescent="0.3">
      <c r="E57" s="2"/>
      <c r="F57" s="154">
        <v>45926</v>
      </c>
      <c r="G57" s="162">
        <v>14281.25</v>
      </c>
      <c r="H57" s="162">
        <v>4906.8739999999998</v>
      </c>
      <c r="I57" s="162">
        <v>72.104979999999998</v>
      </c>
      <c r="J57" s="14"/>
      <c r="K57" s="14"/>
    </row>
    <row r="58" spans="3:12" x14ac:dyDescent="0.3">
      <c r="E58" s="2"/>
      <c r="F58" s="154">
        <v>45927</v>
      </c>
      <c r="G58" s="162">
        <v>13517.75</v>
      </c>
      <c r="H58" s="162">
        <v>4600.4350000000004</v>
      </c>
      <c r="I58" s="162">
        <v>69.587540000000004</v>
      </c>
      <c r="J58" s="14"/>
      <c r="K58" s="14"/>
    </row>
    <row r="59" spans="3:12" x14ac:dyDescent="0.3">
      <c r="E59" s="2"/>
      <c r="F59" s="154">
        <v>45928</v>
      </c>
      <c r="G59" s="162">
        <v>15896.25</v>
      </c>
      <c r="H59" s="162">
        <v>5318.8509999999997</v>
      </c>
      <c r="I59" s="162">
        <v>71.082920000000001</v>
      </c>
      <c r="J59" s="14"/>
      <c r="K59" s="14"/>
    </row>
    <row r="60" spans="3:12" x14ac:dyDescent="0.3">
      <c r="E60" s="2"/>
      <c r="F60" s="154">
        <v>45929</v>
      </c>
      <c r="G60" s="162">
        <v>16119.25</v>
      </c>
      <c r="H60" s="162">
        <v>5426.3729999999996</v>
      </c>
      <c r="I60" s="162">
        <v>66.795460000000006</v>
      </c>
      <c r="J60" s="14"/>
      <c r="K60" s="14"/>
    </row>
    <row r="61" spans="3:12" x14ac:dyDescent="0.3">
      <c r="E61" s="2"/>
      <c r="F61" s="154">
        <v>45930</v>
      </c>
      <c r="G61" s="162">
        <v>14317.25</v>
      </c>
      <c r="H61" s="162">
        <v>4655.6310000000003</v>
      </c>
      <c r="I61" s="162">
        <v>63.07546</v>
      </c>
      <c r="J61" s="14"/>
      <c r="K61" s="14"/>
    </row>
    <row r="62" spans="3:12" x14ac:dyDescent="0.3">
      <c r="F62" s="152"/>
      <c r="G62" s="2"/>
      <c r="H62" s="2"/>
      <c r="I62" s="2"/>
    </row>
    <row r="63" spans="3:12" x14ac:dyDescent="0.3">
      <c r="F63" s="139"/>
      <c r="G63" s="2"/>
      <c r="H63" s="2"/>
      <c r="I63" s="2"/>
    </row>
    <row r="64" spans="3:12" x14ac:dyDescent="0.3">
      <c r="C64" s="176" t="s">
        <v>32</v>
      </c>
      <c r="D64" s="177"/>
      <c r="E64" s="177"/>
      <c r="F64" s="177"/>
      <c r="G64" s="177"/>
      <c r="H64" s="177"/>
      <c r="I64" s="177"/>
      <c r="J64" s="177"/>
      <c r="K64" s="177"/>
      <c r="L64" s="178"/>
    </row>
    <row r="65" spans="3:12" ht="15" customHeight="1" x14ac:dyDescent="0.3">
      <c r="C65" s="193"/>
      <c r="D65" s="194"/>
      <c r="E65" s="194"/>
      <c r="F65" s="194"/>
      <c r="G65" s="194"/>
      <c r="H65" s="194"/>
      <c r="I65" s="194"/>
      <c r="J65" s="194"/>
      <c r="K65" s="194"/>
      <c r="L65" s="195"/>
    </row>
    <row r="66" spans="3:12" x14ac:dyDescent="0.3">
      <c r="C66" s="196"/>
      <c r="D66" s="197"/>
      <c r="E66" s="197"/>
      <c r="F66" s="197"/>
      <c r="G66" s="197"/>
      <c r="H66" s="197"/>
      <c r="I66" s="197"/>
      <c r="J66" s="197"/>
      <c r="K66" s="197"/>
      <c r="L66" s="198"/>
    </row>
    <row r="67" spans="3:12" x14ac:dyDescent="0.3">
      <c r="C67" s="199"/>
      <c r="D67" s="200"/>
      <c r="E67" s="200"/>
      <c r="F67" s="200"/>
      <c r="G67" s="200"/>
      <c r="H67" s="200"/>
      <c r="I67" s="200"/>
      <c r="J67" s="200"/>
      <c r="K67" s="200"/>
      <c r="L67" s="201"/>
    </row>
    <row r="68" spans="3:12" x14ac:dyDescent="0.3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 x14ac:dyDescent="0.3">
      <c r="C69" s="176" t="s">
        <v>33</v>
      </c>
      <c r="D69" s="177"/>
      <c r="E69" s="177"/>
      <c r="F69" s="177"/>
      <c r="G69" s="177"/>
      <c r="H69" s="177"/>
      <c r="I69" s="177"/>
      <c r="J69" s="177"/>
      <c r="K69" s="177"/>
      <c r="L69" s="178"/>
    </row>
    <row r="70" spans="3:12" ht="14.85" customHeight="1" x14ac:dyDescent="0.3">
      <c r="C70" s="193"/>
      <c r="D70" s="194"/>
      <c r="E70" s="194"/>
      <c r="F70" s="194"/>
      <c r="G70" s="194"/>
      <c r="H70" s="194"/>
      <c r="I70" s="194"/>
      <c r="J70" s="194"/>
      <c r="K70" s="194"/>
      <c r="L70" s="195"/>
    </row>
    <row r="71" spans="3:12" x14ac:dyDescent="0.3">
      <c r="C71" s="196"/>
      <c r="D71" s="197"/>
      <c r="E71" s="197"/>
      <c r="F71" s="197"/>
      <c r="G71" s="197"/>
      <c r="H71" s="197"/>
      <c r="I71" s="197"/>
      <c r="J71" s="197"/>
      <c r="K71" s="197"/>
      <c r="L71" s="198"/>
    </row>
    <row r="72" spans="3:12" x14ac:dyDescent="0.3">
      <c r="C72" s="199"/>
      <c r="D72" s="200"/>
      <c r="E72" s="200"/>
      <c r="F72" s="200"/>
      <c r="G72" s="200"/>
      <c r="H72" s="200"/>
      <c r="I72" s="200"/>
      <c r="J72" s="200"/>
      <c r="K72" s="200"/>
      <c r="L72" s="201"/>
    </row>
    <row r="73" spans="3:12" x14ac:dyDescent="0.3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E1:J1"/>
    <mergeCell ref="E2:J2"/>
    <mergeCell ref="E3:J3"/>
    <mergeCell ref="E8:I8"/>
    <mergeCell ref="E9:I9"/>
    <mergeCell ref="E6:I6"/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2"/>
  <sheetViews>
    <sheetView topLeftCell="B1" zoomScale="80" zoomScaleNormal="80" workbookViewId="0">
      <selection activeCell="J14" sqref="J14"/>
    </sheetView>
  </sheetViews>
  <sheetFormatPr defaultColWidth="9" defaultRowHeight="14.4" x14ac:dyDescent="0.3"/>
  <cols>
    <col min="1" max="5" width="9" style="106"/>
    <col min="6" max="6" width="13.6640625" style="106" customWidth="1" collapsed="1"/>
    <col min="7" max="7" width="20" style="106" bestFit="1" customWidth="1"/>
    <col min="8" max="8" width="17.44140625" style="106" bestFit="1" customWidth="1"/>
    <col min="9" max="16384" width="9" style="106"/>
  </cols>
  <sheetData>
    <row r="1" spans="3:13" ht="18" x14ac:dyDescent="0.35">
      <c r="E1" s="227" t="s">
        <v>36</v>
      </c>
      <c r="F1" s="227"/>
      <c r="G1" s="227"/>
      <c r="H1" s="227"/>
      <c r="I1" s="227"/>
      <c r="J1" s="227"/>
    </row>
    <row r="2" spans="3:13" x14ac:dyDescent="0.3">
      <c r="E2" s="228" t="s">
        <v>23</v>
      </c>
      <c r="F2" s="228"/>
      <c r="G2" s="228"/>
      <c r="H2" s="228"/>
      <c r="I2" s="228"/>
      <c r="J2" s="228"/>
    </row>
    <row r="3" spans="3:13" ht="14.25" customHeight="1" x14ac:dyDescent="0.3">
      <c r="E3" s="205" t="s">
        <v>92</v>
      </c>
      <c r="F3" s="206"/>
      <c r="G3" s="206"/>
      <c r="H3" s="206"/>
      <c r="I3" s="206"/>
      <c r="J3" s="206"/>
    </row>
    <row r="5" spans="3:13" x14ac:dyDescent="0.3">
      <c r="C5" s="219" t="s">
        <v>24</v>
      </c>
      <c r="D5" s="220"/>
      <c r="E5" s="220"/>
      <c r="F5" s="220"/>
      <c r="G5" s="220"/>
      <c r="H5" s="220"/>
      <c r="I5" s="220"/>
      <c r="J5" s="220"/>
      <c r="K5" s="220"/>
      <c r="L5" s="221"/>
    </row>
    <row r="6" spans="3:13" x14ac:dyDescent="0.3">
      <c r="C6" s="107"/>
      <c r="D6" s="108"/>
      <c r="E6" s="229" t="s">
        <v>2</v>
      </c>
      <c r="F6" s="229"/>
      <c r="G6" s="229"/>
      <c r="H6" s="229"/>
      <c r="I6" s="229"/>
      <c r="J6" s="109">
        <f>SUM(G32:G61)</f>
        <v>537548</v>
      </c>
      <c r="K6" s="108"/>
      <c r="L6" s="110"/>
    </row>
    <row r="7" spans="3:13" x14ac:dyDescent="0.3">
      <c r="C7" s="111"/>
      <c r="E7" s="226" t="s">
        <v>4</v>
      </c>
      <c r="F7" s="226"/>
      <c r="G7" s="226"/>
      <c r="H7" s="226"/>
      <c r="I7" s="226"/>
      <c r="J7" s="112">
        <f>'Predicted Data'!D37</f>
        <v>422985</v>
      </c>
      <c r="K7" s="113"/>
      <c r="L7" s="114"/>
    </row>
    <row r="8" spans="3:13" ht="16.2" x14ac:dyDescent="0.3">
      <c r="C8" s="111"/>
      <c r="E8" s="226" t="s">
        <v>6</v>
      </c>
      <c r="F8" s="226"/>
      <c r="G8" s="226"/>
      <c r="H8" s="226"/>
      <c r="I8" s="226"/>
      <c r="J8" s="112">
        <f>SUM(H32:H61)</f>
        <v>197596.663</v>
      </c>
      <c r="L8" s="114"/>
    </row>
    <row r="9" spans="3:13" ht="16.2" x14ac:dyDescent="0.3">
      <c r="C9" s="111"/>
      <c r="E9" s="226" t="s">
        <v>8</v>
      </c>
      <c r="F9" s="226"/>
      <c r="G9" s="226"/>
      <c r="H9" s="226"/>
      <c r="I9" s="226"/>
      <c r="J9" s="115"/>
      <c r="K9" s="113"/>
      <c r="L9" s="114"/>
    </row>
    <row r="10" spans="3:13" x14ac:dyDescent="0.3">
      <c r="C10" s="111"/>
      <c r="E10" s="226" t="s">
        <v>10</v>
      </c>
      <c r="F10" s="226"/>
      <c r="G10" s="226"/>
      <c r="H10" s="226"/>
      <c r="I10" s="226"/>
      <c r="J10" s="116">
        <f>'Plant Health'!K105</f>
        <v>474608.07999999984</v>
      </c>
      <c r="L10" s="114"/>
    </row>
    <row r="11" spans="3:13" x14ac:dyDescent="0.3">
      <c r="C11" s="111"/>
      <c r="E11" s="226" t="s">
        <v>12</v>
      </c>
      <c r="F11" s="226"/>
      <c r="G11" s="226"/>
      <c r="H11" s="226"/>
      <c r="I11" s="226"/>
      <c r="J11" s="117">
        <f>J6/J10</f>
        <v>1.1326145142745994</v>
      </c>
      <c r="L11" s="114"/>
      <c r="M11" s="118"/>
    </row>
    <row r="12" spans="3:13" x14ac:dyDescent="0.3">
      <c r="C12" s="111"/>
      <c r="E12" s="226" t="s">
        <v>16</v>
      </c>
      <c r="F12" s="226"/>
      <c r="G12" s="226"/>
      <c r="H12" s="226"/>
      <c r="I12" s="226"/>
      <c r="J12" s="117">
        <f>J6/J7</f>
        <v>1.2708441197678404</v>
      </c>
      <c r="L12" s="114"/>
    </row>
    <row r="13" spans="3:13" x14ac:dyDescent="0.3">
      <c r="C13" s="111"/>
      <c r="E13" s="226" t="s">
        <v>18</v>
      </c>
      <c r="F13" s="226"/>
      <c r="G13" s="226"/>
      <c r="H13" s="226"/>
      <c r="I13" s="226"/>
      <c r="J13" s="117">
        <f>Availability!K46</f>
        <v>1</v>
      </c>
      <c r="L13" s="114"/>
    </row>
    <row r="14" spans="3:13" x14ac:dyDescent="0.3">
      <c r="C14" s="119"/>
      <c r="D14" s="120"/>
      <c r="E14" s="218" t="s">
        <v>20</v>
      </c>
      <c r="F14" s="218"/>
      <c r="G14" s="218"/>
      <c r="H14" s="218"/>
      <c r="I14" s="218"/>
      <c r="J14" s="121">
        <f>Availability!K50</f>
        <v>0.99730203703703701</v>
      </c>
      <c r="K14" s="120"/>
      <c r="L14" s="122"/>
    </row>
    <row r="16" spans="3:13" x14ac:dyDescent="0.3">
      <c r="C16" s="219" t="s">
        <v>26</v>
      </c>
      <c r="D16" s="220"/>
      <c r="E16" s="220"/>
      <c r="F16" s="220"/>
      <c r="G16" s="220"/>
      <c r="H16" s="220"/>
      <c r="I16" s="220"/>
      <c r="J16" s="220"/>
      <c r="K16" s="220"/>
      <c r="L16" s="221"/>
    </row>
    <row r="30" spans="5:12" x14ac:dyDescent="0.3">
      <c r="E30" s="123"/>
      <c r="F30" s="222" t="s">
        <v>27</v>
      </c>
      <c r="G30" s="222"/>
      <c r="H30" s="222"/>
      <c r="I30" s="222"/>
      <c r="J30" s="123"/>
      <c r="K30" s="123"/>
      <c r="L30" s="123"/>
    </row>
    <row r="31" spans="5:12" s="126" customFormat="1" ht="44.1" customHeight="1" x14ac:dyDescent="0.3">
      <c r="E31" s="124"/>
      <c r="F31" s="125" t="s">
        <v>28</v>
      </c>
      <c r="G31" s="141" t="s">
        <v>29</v>
      </c>
      <c r="H31" s="141" t="s">
        <v>30</v>
      </c>
      <c r="I31" s="141" t="s">
        <v>31</v>
      </c>
      <c r="K31" s="124"/>
    </row>
    <row r="32" spans="5:12" x14ac:dyDescent="0.3">
      <c r="F32" s="140">
        <v>45901</v>
      </c>
      <c r="G32" s="162">
        <v>14151</v>
      </c>
      <c r="H32" s="162">
        <v>5335.183</v>
      </c>
      <c r="I32" s="162">
        <v>79.541150000000002</v>
      </c>
      <c r="K32" s="127"/>
    </row>
    <row r="33" spans="6:11" x14ac:dyDescent="0.3">
      <c r="F33" s="140">
        <v>45902</v>
      </c>
      <c r="G33" s="162">
        <v>18076</v>
      </c>
      <c r="H33" s="162">
        <v>6925.2969999999996</v>
      </c>
      <c r="I33" s="162">
        <v>81.146889999999999</v>
      </c>
      <c r="K33" s="127"/>
    </row>
    <row r="34" spans="6:11" x14ac:dyDescent="0.3">
      <c r="F34" s="140">
        <v>45903</v>
      </c>
      <c r="G34" s="162">
        <v>22615</v>
      </c>
      <c r="H34" s="162">
        <v>8691.6380000000008</v>
      </c>
      <c r="I34" s="162">
        <v>79.38185</v>
      </c>
      <c r="K34" s="127"/>
    </row>
    <row r="35" spans="6:11" x14ac:dyDescent="0.3">
      <c r="F35" s="140">
        <v>45904</v>
      </c>
      <c r="G35" s="162">
        <v>21263</v>
      </c>
      <c r="H35" s="162">
        <v>8185.5420000000004</v>
      </c>
      <c r="I35" s="162">
        <v>85.532219999999995</v>
      </c>
      <c r="K35" s="127"/>
    </row>
    <row r="36" spans="6:11" x14ac:dyDescent="0.3">
      <c r="F36" s="140">
        <v>45905</v>
      </c>
      <c r="G36" s="162">
        <v>13085</v>
      </c>
      <c r="H36" s="162">
        <v>4629.88</v>
      </c>
      <c r="I36" s="162">
        <v>85.445430000000002</v>
      </c>
      <c r="K36" s="127"/>
    </row>
    <row r="37" spans="6:11" x14ac:dyDescent="0.3">
      <c r="F37" s="140">
        <v>45906</v>
      </c>
      <c r="G37" s="162">
        <v>11687</v>
      </c>
      <c r="H37" s="162">
        <v>4178.4920000000002</v>
      </c>
      <c r="I37" s="162">
        <v>70.303060000000002</v>
      </c>
      <c r="K37" s="127"/>
    </row>
    <row r="38" spans="6:11" x14ac:dyDescent="0.3">
      <c r="F38" s="140">
        <v>45907</v>
      </c>
      <c r="G38" s="162">
        <v>13046</v>
      </c>
      <c r="H38" s="162">
        <v>4854.6980000000003</v>
      </c>
      <c r="I38" s="162">
        <v>75.655619999999999</v>
      </c>
      <c r="K38" s="127"/>
    </row>
    <row r="39" spans="6:11" x14ac:dyDescent="0.3">
      <c r="F39" s="140">
        <v>45908</v>
      </c>
      <c r="G39" s="162">
        <v>21393</v>
      </c>
      <c r="H39" s="162">
        <v>7748.8670000000002</v>
      </c>
      <c r="I39" s="162">
        <v>74.057760000000002</v>
      </c>
      <c r="K39" s="127"/>
    </row>
    <row r="40" spans="6:11" x14ac:dyDescent="0.3">
      <c r="F40" s="140">
        <v>45909</v>
      </c>
      <c r="G40" s="162">
        <v>21462</v>
      </c>
      <c r="H40" s="162">
        <v>7797.8119999999999</v>
      </c>
      <c r="I40" s="162">
        <v>76.315420000000003</v>
      </c>
      <c r="K40" s="127"/>
    </row>
    <row r="41" spans="6:11" x14ac:dyDescent="0.3">
      <c r="F41" s="140">
        <v>45910</v>
      </c>
      <c r="G41" s="162">
        <v>21704</v>
      </c>
      <c r="H41" s="162">
        <v>7979.3860000000004</v>
      </c>
      <c r="I41" s="162">
        <v>78.631879999999995</v>
      </c>
      <c r="K41" s="127"/>
    </row>
    <row r="42" spans="6:11" x14ac:dyDescent="0.3">
      <c r="F42" s="140">
        <v>45911</v>
      </c>
      <c r="G42" s="162">
        <v>21549</v>
      </c>
      <c r="H42" s="162">
        <v>7929.549</v>
      </c>
      <c r="I42" s="162">
        <v>80.388149999999996</v>
      </c>
      <c r="K42" s="127"/>
    </row>
    <row r="43" spans="6:11" x14ac:dyDescent="0.3">
      <c r="F43" s="140">
        <v>45912</v>
      </c>
      <c r="G43" s="162">
        <v>20935</v>
      </c>
      <c r="H43" s="162">
        <v>7690.3059999999996</v>
      </c>
      <c r="I43" s="162">
        <v>84.619519999999994</v>
      </c>
      <c r="K43" s="127"/>
    </row>
    <row r="44" spans="6:11" x14ac:dyDescent="0.3">
      <c r="F44" s="140">
        <v>45913</v>
      </c>
      <c r="G44" s="162">
        <v>19105</v>
      </c>
      <c r="H44" s="162">
        <v>6832.5460000000003</v>
      </c>
      <c r="I44" s="162">
        <v>84.481679999999997</v>
      </c>
      <c r="K44" s="127"/>
    </row>
    <row r="45" spans="6:11" x14ac:dyDescent="0.3">
      <c r="F45" s="140">
        <v>45914</v>
      </c>
      <c r="G45" s="162">
        <v>19200</v>
      </c>
      <c r="H45" s="162">
        <v>7357.4409999999998</v>
      </c>
      <c r="I45" s="162">
        <v>84.629840000000002</v>
      </c>
      <c r="K45" s="127"/>
    </row>
    <row r="46" spans="6:11" x14ac:dyDescent="0.3">
      <c r="F46" s="140">
        <v>45915</v>
      </c>
      <c r="G46" s="162">
        <v>19086</v>
      </c>
      <c r="H46" s="162">
        <v>6871.2759999999998</v>
      </c>
      <c r="I46" s="162">
        <v>85.264880000000005</v>
      </c>
      <c r="K46" s="127"/>
    </row>
    <row r="47" spans="6:11" x14ac:dyDescent="0.3">
      <c r="F47" s="140">
        <v>45916</v>
      </c>
      <c r="G47" s="162">
        <v>19571</v>
      </c>
      <c r="H47" s="162">
        <v>7042.2470000000003</v>
      </c>
      <c r="I47" s="162">
        <v>84.163480000000007</v>
      </c>
      <c r="K47" s="127"/>
    </row>
    <row r="48" spans="6:11" x14ac:dyDescent="0.3">
      <c r="F48" s="140">
        <v>45917</v>
      </c>
      <c r="G48" s="162">
        <v>19450</v>
      </c>
      <c r="H48" s="162">
        <v>7104.0129999999999</v>
      </c>
      <c r="I48" s="162">
        <v>85.241039999999998</v>
      </c>
      <c r="K48" s="127"/>
    </row>
    <row r="49" spans="3:20" x14ac:dyDescent="0.3">
      <c r="F49" s="140">
        <v>45918</v>
      </c>
      <c r="G49" s="162">
        <v>15337</v>
      </c>
      <c r="H49" s="162">
        <v>5804.4790000000003</v>
      </c>
      <c r="I49" s="162">
        <v>83.441490000000002</v>
      </c>
      <c r="K49" s="127"/>
    </row>
    <row r="50" spans="3:20" x14ac:dyDescent="0.3">
      <c r="F50" s="140">
        <v>45919</v>
      </c>
      <c r="G50" s="162">
        <v>19247</v>
      </c>
      <c r="H50" s="162">
        <v>6924.7250000000004</v>
      </c>
      <c r="I50" s="162">
        <v>83.959980000000002</v>
      </c>
      <c r="K50" s="127"/>
    </row>
    <row r="51" spans="3:20" x14ac:dyDescent="0.3">
      <c r="F51" s="140">
        <v>45920</v>
      </c>
      <c r="G51" s="162">
        <v>16891</v>
      </c>
      <c r="H51" s="162">
        <v>6218.5780000000004</v>
      </c>
      <c r="I51" s="162">
        <v>85.397840000000002</v>
      </c>
      <c r="K51" s="127"/>
    </row>
    <row r="52" spans="3:20" x14ac:dyDescent="0.3">
      <c r="F52" s="140">
        <v>45921</v>
      </c>
      <c r="G52" s="162">
        <v>15689</v>
      </c>
      <c r="H52" s="162">
        <v>6021.4049999999997</v>
      </c>
      <c r="I52" s="162">
        <v>84.298090000000002</v>
      </c>
      <c r="K52" s="127"/>
    </row>
    <row r="53" spans="3:20" x14ac:dyDescent="0.3">
      <c r="F53" s="140">
        <v>45922</v>
      </c>
      <c r="G53" s="162">
        <v>18175.000000001863</v>
      </c>
      <c r="H53" s="162">
        <v>6668.0910000000003</v>
      </c>
      <c r="I53" s="162">
        <v>83.942089999999993</v>
      </c>
      <c r="K53" s="127"/>
    </row>
    <row r="54" spans="3:20" x14ac:dyDescent="0.3">
      <c r="F54" s="140">
        <v>45923</v>
      </c>
      <c r="G54" s="162">
        <v>17206.999999998137</v>
      </c>
      <c r="H54" s="162">
        <v>6095.7250000000004</v>
      </c>
      <c r="I54" s="162">
        <v>87.009829999999994</v>
      </c>
      <c r="K54" s="127"/>
    </row>
    <row r="55" spans="3:20" x14ac:dyDescent="0.3">
      <c r="F55" s="140">
        <v>45924</v>
      </c>
      <c r="G55" s="162">
        <v>11332</v>
      </c>
      <c r="H55" s="162">
        <v>4044.9059999999999</v>
      </c>
      <c r="I55" s="162">
        <v>76.483770000000007</v>
      </c>
      <c r="K55" s="127"/>
    </row>
    <row r="56" spans="3:20" x14ac:dyDescent="0.3">
      <c r="F56" s="140">
        <v>45925</v>
      </c>
      <c r="G56" s="162">
        <v>17937</v>
      </c>
      <c r="H56" s="162">
        <v>6742.78</v>
      </c>
      <c r="I56" s="162">
        <v>74.490070000000003</v>
      </c>
      <c r="K56" s="127"/>
    </row>
    <row r="57" spans="3:20" x14ac:dyDescent="0.3">
      <c r="F57" s="140">
        <v>45926</v>
      </c>
      <c r="G57" s="162">
        <v>19235</v>
      </c>
      <c r="H57" s="162">
        <v>7097.2370000000001</v>
      </c>
      <c r="I57" s="162">
        <v>74.901949999999999</v>
      </c>
      <c r="K57" s="127"/>
    </row>
    <row r="58" spans="3:20" x14ac:dyDescent="0.3">
      <c r="F58" s="140">
        <v>45927</v>
      </c>
      <c r="G58" s="162">
        <v>20123</v>
      </c>
      <c r="H58" s="162">
        <v>7380.5450000000001</v>
      </c>
      <c r="I58" s="162">
        <v>75.948999999999998</v>
      </c>
      <c r="K58" s="127"/>
      <c r="R58" s="112"/>
      <c r="S58" s="112"/>
      <c r="T58" s="112"/>
    </row>
    <row r="59" spans="3:20" x14ac:dyDescent="0.3">
      <c r="F59" s="140">
        <v>45928</v>
      </c>
      <c r="G59" s="162">
        <v>16336</v>
      </c>
      <c r="H59" s="162">
        <v>5745.4870000000001</v>
      </c>
      <c r="I59" s="162">
        <v>74.255129999999994</v>
      </c>
      <c r="K59" s="127"/>
    </row>
    <row r="60" spans="3:20" x14ac:dyDescent="0.3">
      <c r="F60" s="140">
        <v>45929</v>
      </c>
      <c r="G60" s="162">
        <v>16751.999999998137</v>
      </c>
      <c r="H60" s="162">
        <v>5866.9390000000003</v>
      </c>
      <c r="I60" s="162">
        <v>74.252719999999997</v>
      </c>
      <c r="K60" s="127"/>
      <c r="R60" s="112"/>
      <c r="S60" s="112"/>
      <c r="T60" s="112"/>
    </row>
    <row r="61" spans="3:20" x14ac:dyDescent="0.3">
      <c r="F61" s="140">
        <v>45930</v>
      </c>
      <c r="G61" s="162">
        <v>15909.000000001863</v>
      </c>
      <c r="H61" s="162">
        <v>5831.5929999999998</v>
      </c>
      <c r="I61" s="162">
        <v>78.180139999999994</v>
      </c>
      <c r="K61" s="127"/>
    </row>
    <row r="62" spans="3:20" x14ac:dyDescent="0.3">
      <c r="F62" s="152"/>
      <c r="G62" s="150"/>
      <c r="H62" s="150"/>
      <c r="I62" s="150"/>
    </row>
    <row r="63" spans="3:20" x14ac:dyDescent="0.3">
      <c r="F63" s="153"/>
      <c r="G63" s="128"/>
    </row>
    <row r="64" spans="3:20" x14ac:dyDescent="0.3">
      <c r="C64" s="219" t="s">
        <v>32</v>
      </c>
      <c r="D64" s="220"/>
      <c r="E64" s="220"/>
      <c r="F64" s="220"/>
      <c r="G64" s="220"/>
      <c r="H64" s="220"/>
      <c r="I64" s="220"/>
      <c r="J64" s="220"/>
      <c r="K64" s="220"/>
      <c r="L64" s="221"/>
    </row>
    <row r="65" spans="3:12" ht="15" customHeight="1" x14ac:dyDescent="0.3">
      <c r="C65" s="209"/>
      <c r="D65" s="210"/>
      <c r="E65" s="210"/>
      <c r="F65" s="210"/>
      <c r="G65" s="210"/>
      <c r="H65" s="210"/>
      <c r="I65" s="210"/>
      <c r="J65" s="210"/>
      <c r="K65" s="210"/>
      <c r="L65" s="211"/>
    </row>
    <row r="66" spans="3:12" x14ac:dyDescent="0.3">
      <c r="C66" s="212"/>
      <c r="D66" s="213"/>
      <c r="E66" s="213"/>
      <c r="F66" s="213"/>
      <c r="G66" s="213"/>
      <c r="H66" s="213"/>
      <c r="I66" s="213"/>
      <c r="J66" s="213"/>
      <c r="K66" s="213"/>
      <c r="L66" s="214"/>
    </row>
    <row r="67" spans="3:12" x14ac:dyDescent="0.3">
      <c r="C67" s="215"/>
      <c r="D67" s="216"/>
      <c r="E67" s="216"/>
      <c r="F67" s="216"/>
      <c r="G67" s="216"/>
      <c r="H67" s="216"/>
      <c r="I67" s="216"/>
      <c r="J67" s="216"/>
      <c r="K67" s="216"/>
      <c r="L67" s="217"/>
    </row>
    <row r="69" spans="3:12" x14ac:dyDescent="0.3">
      <c r="C69" s="223" t="s">
        <v>33</v>
      </c>
      <c r="D69" s="224"/>
      <c r="E69" s="224"/>
      <c r="F69" s="224"/>
      <c r="G69" s="224"/>
      <c r="H69" s="224"/>
      <c r="I69" s="224"/>
      <c r="J69" s="224"/>
      <c r="K69" s="224"/>
      <c r="L69" s="225"/>
    </row>
    <row r="70" spans="3:12" ht="14.85" customHeight="1" x14ac:dyDescent="0.3">
      <c r="C70" s="209"/>
      <c r="D70" s="210"/>
      <c r="E70" s="210"/>
      <c r="F70" s="210"/>
      <c r="G70" s="210"/>
      <c r="H70" s="210"/>
      <c r="I70" s="210"/>
      <c r="J70" s="210"/>
      <c r="K70" s="210"/>
      <c r="L70" s="211"/>
    </row>
    <row r="71" spans="3:12" x14ac:dyDescent="0.3">
      <c r="C71" s="212"/>
      <c r="D71" s="213"/>
      <c r="E71" s="213"/>
      <c r="F71" s="213"/>
      <c r="G71" s="213"/>
      <c r="H71" s="213"/>
      <c r="I71" s="213"/>
      <c r="J71" s="213"/>
      <c r="K71" s="213"/>
      <c r="L71" s="214"/>
    </row>
    <row r="72" spans="3:12" x14ac:dyDescent="0.3">
      <c r="C72" s="215"/>
      <c r="D72" s="216"/>
      <c r="E72" s="216"/>
      <c r="F72" s="216"/>
      <c r="G72" s="216"/>
      <c r="H72" s="216"/>
      <c r="I72" s="216"/>
      <c r="J72" s="216"/>
      <c r="K72" s="216"/>
      <c r="L72" s="217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0:L72"/>
    <mergeCell ref="E14:I14"/>
    <mergeCell ref="C16:L16"/>
    <mergeCell ref="F30:I30"/>
    <mergeCell ref="C64:L64"/>
    <mergeCell ref="C65:L67"/>
    <mergeCell ref="C69:L69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14" zoomScaleNormal="100" workbookViewId="0">
      <selection activeCell="K46" sqref="K46"/>
    </sheetView>
  </sheetViews>
  <sheetFormatPr defaultRowHeight="14.4" x14ac:dyDescent="0.3"/>
  <cols>
    <col min="3" max="3" width="15.5546875" bestFit="1" customWidth="1"/>
    <col min="4" max="4" width="10.109375" bestFit="1" customWidth="1"/>
    <col min="5" max="5" width="10.44140625" bestFit="1" customWidth="1"/>
    <col min="7" max="7" width="12.109375" bestFit="1" customWidth="1"/>
    <col min="8" max="8" width="10.109375" bestFit="1" customWidth="1"/>
    <col min="9" max="9" width="10.44140625" bestFit="1" customWidth="1"/>
    <col min="11" max="11" width="11.109375" bestFit="1" customWidth="1"/>
    <col min="12" max="12" width="8.6640625" bestFit="1" customWidth="1"/>
  </cols>
  <sheetData>
    <row r="4" spans="3:9" x14ac:dyDescent="0.3">
      <c r="C4" s="233" t="s">
        <v>37</v>
      </c>
      <c r="D4" s="234"/>
      <c r="E4" s="235"/>
      <c r="G4" s="233" t="s">
        <v>38</v>
      </c>
      <c r="H4" s="234"/>
      <c r="I4" s="235"/>
    </row>
    <row r="5" spans="3:9" x14ac:dyDescent="0.3">
      <c r="C5" s="1"/>
      <c r="D5" s="42" t="s">
        <v>35</v>
      </c>
      <c r="E5" s="42" t="s">
        <v>22</v>
      </c>
      <c r="G5" s="1"/>
      <c r="H5" s="42" t="s">
        <v>35</v>
      </c>
      <c r="I5" s="42" t="s">
        <v>22</v>
      </c>
    </row>
    <row r="6" spans="3:9" x14ac:dyDescent="0.3">
      <c r="C6" s="43" t="s">
        <v>39</v>
      </c>
      <c r="D6" s="46"/>
      <c r="E6" s="46"/>
      <c r="G6" s="43" t="s">
        <v>39</v>
      </c>
      <c r="H6" s="62">
        <v>0.99899000000000004</v>
      </c>
      <c r="I6" s="62">
        <v>0.99677000000000004</v>
      </c>
    </row>
    <row r="7" spans="3:9" x14ac:dyDescent="0.3">
      <c r="C7" s="43" t="s">
        <v>40</v>
      </c>
      <c r="D7" s="46"/>
      <c r="E7" s="46"/>
      <c r="G7" s="43" t="s">
        <v>40</v>
      </c>
      <c r="H7" s="62">
        <v>0.99977000000000005</v>
      </c>
      <c r="I7" s="62">
        <v>0.96015000000000006</v>
      </c>
    </row>
    <row r="8" spans="3:9" x14ac:dyDescent="0.3">
      <c r="C8" s="43" t="s">
        <v>41</v>
      </c>
      <c r="D8" s="46"/>
      <c r="E8" s="46"/>
      <c r="G8" s="43" t="s">
        <v>41</v>
      </c>
      <c r="H8" s="62">
        <v>0.99834999999999996</v>
      </c>
      <c r="I8" s="62">
        <v>0.99973000000000001</v>
      </c>
    </row>
    <row r="9" spans="3:9" x14ac:dyDescent="0.3">
      <c r="C9" s="43" t="s">
        <v>42</v>
      </c>
      <c r="D9" s="46"/>
      <c r="E9" s="46"/>
      <c r="G9" s="43" t="s">
        <v>42</v>
      </c>
      <c r="H9" s="62">
        <v>1</v>
      </c>
      <c r="I9" s="62">
        <v>1</v>
      </c>
    </row>
    <row r="10" spans="3:9" x14ac:dyDescent="0.3">
      <c r="C10" s="43" t="s">
        <v>43</v>
      </c>
      <c r="D10" s="46"/>
      <c r="E10" s="46"/>
      <c r="G10" s="43" t="s">
        <v>43</v>
      </c>
      <c r="H10" s="62">
        <v>1</v>
      </c>
      <c r="I10" s="62">
        <v>1</v>
      </c>
    </row>
    <row r="11" spans="3:9" x14ac:dyDescent="0.3">
      <c r="C11" s="43" t="s">
        <v>44</v>
      </c>
      <c r="D11" s="46"/>
      <c r="E11" s="46"/>
      <c r="G11" s="43" t="s">
        <v>44</v>
      </c>
      <c r="H11" s="62">
        <v>1</v>
      </c>
      <c r="I11" s="62">
        <v>0.99909999999999999</v>
      </c>
    </row>
    <row r="12" spans="3:9" x14ac:dyDescent="0.3">
      <c r="C12" s="43" t="s">
        <v>45</v>
      </c>
      <c r="D12" s="46">
        <v>0.98024</v>
      </c>
      <c r="E12" s="46">
        <v>1</v>
      </c>
      <c r="G12" s="43" t="s">
        <v>45</v>
      </c>
      <c r="H12" s="62">
        <v>1</v>
      </c>
      <c r="I12" s="62">
        <v>1</v>
      </c>
    </row>
    <row r="13" spans="3:9" x14ac:dyDescent="0.3">
      <c r="C13" s="43" t="s">
        <v>46</v>
      </c>
      <c r="D13" s="46">
        <v>0.98093999999999992</v>
      </c>
      <c r="E13" s="46">
        <v>1</v>
      </c>
      <c r="G13" s="43" t="s">
        <v>46</v>
      </c>
      <c r="H13" s="90">
        <v>0.998</v>
      </c>
      <c r="I13" s="91">
        <v>1</v>
      </c>
    </row>
    <row r="14" spans="3:9" x14ac:dyDescent="0.3">
      <c r="C14" s="43" t="s">
        <v>47</v>
      </c>
      <c r="D14" s="46">
        <v>0.97177999999999998</v>
      </c>
      <c r="E14" s="46">
        <v>1</v>
      </c>
      <c r="G14" s="43" t="s">
        <v>47</v>
      </c>
      <c r="H14" s="90">
        <v>1</v>
      </c>
      <c r="I14" s="91">
        <v>0.97929999999999995</v>
      </c>
    </row>
    <row r="15" spans="3:9" x14ac:dyDescent="0.3">
      <c r="C15" s="43" t="s">
        <v>48</v>
      </c>
      <c r="D15" s="46">
        <v>0.99820999999999993</v>
      </c>
      <c r="E15" s="46">
        <v>0.99462000000000006</v>
      </c>
      <c r="G15" s="43" t="s">
        <v>48</v>
      </c>
      <c r="H15" s="62">
        <v>1</v>
      </c>
      <c r="I15" s="62">
        <v>1</v>
      </c>
    </row>
    <row r="16" spans="3:9" x14ac:dyDescent="0.3">
      <c r="C16" s="43" t="s">
        <v>49</v>
      </c>
      <c r="D16" s="46">
        <v>1</v>
      </c>
      <c r="E16" s="46">
        <v>1</v>
      </c>
      <c r="G16" s="43" t="s">
        <v>49</v>
      </c>
      <c r="H16" s="62">
        <v>1</v>
      </c>
      <c r="I16" s="46">
        <v>0.98499999999999999</v>
      </c>
    </row>
    <row r="17" spans="3:12" x14ac:dyDescent="0.3">
      <c r="C17" s="43" t="s">
        <v>50</v>
      </c>
      <c r="D17" s="46">
        <v>1</v>
      </c>
      <c r="E17" s="46">
        <v>0.99820999999999993</v>
      </c>
      <c r="G17" s="43" t="s">
        <v>50</v>
      </c>
      <c r="H17" s="46">
        <v>0.98167000000000004</v>
      </c>
      <c r="I17" s="46">
        <v>1</v>
      </c>
    </row>
    <row r="18" spans="3:12" x14ac:dyDescent="0.3">
      <c r="C18" s="56" t="s">
        <v>51</v>
      </c>
      <c r="D18" s="52">
        <f>AVERAGE(D6:D17)</f>
        <v>0.98852833333333334</v>
      </c>
      <c r="E18" s="52">
        <f>AVERAGE(E6:E17)</f>
        <v>0.99880500000000005</v>
      </c>
      <c r="G18" s="56" t="s">
        <v>51</v>
      </c>
      <c r="H18" s="52">
        <f>AVERAGE(H6:H17)</f>
        <v>0.99806499999999998</v>
      </c>
      <c r="I18" s="52">
        <f>AVERAGE(I6:I17)</f>
        <v>0.99333749999999998</v>
      </c>
    </row>
    <row r="20" spans="3:12" x14ac:dyDescent="0.3">
      <c r="C20" s="233" t="s">
        <v>52</v>
      </c>
      <c r="D20" s="234"/>
      <c r="E20" s="235"/>
      <c r="G20" s="230" t="s">
        <v>53</v>
      </c>
      <c r="H20" s="236"/>
      <c r="I20" s="231"/>
      <c r="K20" s="230" t="s">
        <v>53</v>
      </c>
      <c r="L20" s="231"/>
    </row>
    <row r="21" spans="3:12" x14ac:dyDescent="0.3">
      <c r="C21" s="1"/>
      <c r="D21" s="42" t="s">
        <v>35</v>
      </c>
      <c r="E21" s="42" t="s">
        <v>22</v>
      </c>
      <c r="G21" s="1"/>
      <c r="H21" s="42" t="s">
        <v>35</v>
      </c>
      <c r="I21" s="42" t="s">
        <v>22</v>
      </c>
      <c r="K21" s="1"/>
      <c r="L21" s="42" t="s">
        <v>36</v>
      </c>
    </row>
    <row r="22" spans="3:12" x14ac:dyDescent="0.3">
      <c r="C22" s="43" t="s">
        <v>39</v>
      </c>
      <c r="D22" s="62">
        <v>1</v>
      </c>
      <c r="E22" s="62">
        <v>1</v>
      </c>
      <c r="G22" s="43" t="s">
        <v>39</v>
      </c>
      <c r="H22" s="62">
        <v>1</v>
      </c>
      <c r="I22" s="62">
        <v>0.99860000000000004</v>
      </c>
      <c r="K22" s="43" t="s">
        <v>39</v>
      </c>
      <c r="L22" s="62">
        <v>0.9647</v>
      </c>
    </row>
    <row r="23" spans="3:12" x14ac:dyDescent="0.3">
      <c r="C23" s="43" t="s">
        <v>40</v>
      </c>
      <c r="D23" s="62">
        <v>1</v>
      </c>
      <c r="E23" s="62">
        <v>0.99867000000000006</v>
      </c>
      <c r="G23" s="43" t="s">
        <v>40</v>
      </c>
      <c r="H23" s="62">
        <v>1</v>
      </c>
      <c r="I23" s="62">
        <v>0.99960000000000004</v>
      </c>
      <c r="K23" s="43" t="s">
        <v>40</v>
      </c>
      <c r="L23" s="62">
        <v>0.82140000000000002</v>
      </c>
    </row>
    <row r="24" spans="3:12" x14ac:dyDescent="0.3">
      <c r="C24" s="43" t="s">
        <v>41</v>
      </c>
      <c r="D24" s="62">
        <v>1</v>
      </c>
      <c r="E24" s="62">
        <v>1</v>
      </c>
      <c r="G24" s="43" t="s">
        <v>41</v>
      </c>
      <c r="H24" s="62">
        <v>1</v>
      </c>
      <c r="I24" s="62">
        <v>1</v>
      </c>
      <c r="K24" s="43" t="s">
        <v>41</v>
      </c>
      <c r="L24" s="62">
        <v>1</v>
      </c>
    </row>
    <row r="25" spans="3:12" x14ac:dyDescent="0.3">
      <c r="C25" s="43" t="s">
        <v>42</v>
      </c>
      <c r="D25" s="62">
        <v>1</v>
      </c>
      <c r="E25" s="62">
        <v>1</v>
      </c>
      <c r="G25" s="43" t="s">
        <v>42</v>
      </c>
      <c r="H25" s="62">
        <v>1</v>
      </c>
      <c r="I25" s="62">
        <v>1</v>
      </c>
      <c r="K25" s="43" t="s">
        <v>42</v>
      </c>
      <c r="L25" s="62">
        <v>1</v>
      </c>
    </row>
    <row r="26" spans="3:12" x14ac:dyDescent="0.3">
      <c r="C26" s="43" t="s">
        <v>43</v>
      </c>
      <c r="D26" s="62">
        <v>0.99953999999999998</v>
      </c>
      <c r="E26" s="62">
        <v>0.99919000000000002</v>
      </c>
      <c r="G26" s="43" t="s">
        <v>43</v>
      </c>
      <c r="H26" s="62">
        <v>1</v>
      </c>
      <c r="I26" s="62">
        <v>1</v>
      </c>
      <c r="K26" s="43" t="s">
        <v>43</v>
      </c>
      <c r="L26" s="62">
        <v>1</v>
      </c>
    </row>
    <row r="27" spans="3:12" x14ac:dyDescent="0.3">
      <c r="C27" s="43" t="s">
        <v>44</v>
      </c>
      <c r="D27" s="62">
        <v>1</v>
      </c>
      <c r="E27" s="62">
        <v>1</v>
      </c>
      <c r="G27" s="43" t="s">
        <v>44</v>
      </c>
      <c r="H27" s="62">
        <v>1</v>
      </c>
      <c r="I27" s="62">
        <v>0.88139999999999996</v>
      </c>
      <c r="K27" s="43" t="s">
        <v>44</v>
      </c>
      <c r="L27" s="136">
        <v>1</v>
      </c>
    </row>
    <row r="28" spans="3:12" x14ac:dyDescent="0.3">
      <c r="C28" s="43" t="s">
        <v>45</v>
      </c>
      <c r="D28" s="62">
        <v>1</v>
      </c>
      <c r="E28" s="62">
        <v>1</v>
      </c>
      <c r="G28" s="43" t="s">
        <v>45</v>
      </c>
      <c r="H28" s="62">
        <v>0.99544999999999995</v>
      </c>
      <c r="I28" s="62">
        <v>1</v>
      </c>
      <c r="K28" s="43" t="s">
        <v>45</v>
      </c>
      <c r="L28" s="136">
        <v>1</v>
      </c>
    </row>
    <row r="29" spans="3:12" x14ac:dyDescent="0.3">
      <c r="C29" s="43" t="s">
        <v>46</v>
      </c>
      <c r="D29" s="62">
        <v>1</v>
      </c>
      <c r="E29" s="62">
        <v>0.99942999999999993</v>
      </c>
      <c r="G29" s="43" t="s">
        <v>46</v>
      </c>
      <c r="H29" s="62">
        <v>1</v>
      </c>
      <c r="I29" s="62">
        <v>1</v>
      </c>
      <c r="K29" s="43" t="s">
        <v>46</v>
      </c>
      <c r="L29" s="62">
        <v>0.98</v>
      </c>
    </row>
    <row r="30" spans="3:12" x14ac:dyDescent="0.3">
      <c r="C30" s="43" t="s">
        <v>47</v>
      </c>
      <c r="D30" s="62">
        <v>1</v>
      </c>
      <c r="E30" s="62">
        <v>1</v>
      </c>
      <c r="G30" s="43" t="s">
        <v>47</v>
      </c>
      <c r="H30" s="62">
        <v>1</v>
      </c>
      <c r="I30" s="62">
        <v>1</v>
      </c>
      <c r="K30" s="43" t="s">
        <v>47</v>
      </c>
      <c r="L30" s="62">
        <v>1</v>
      </c>
    </row>
    <row r="31" spans="3:12" x14ac:dyDescent="0.3">
      <c r="C31" s="43" t="s">
        <v>48</v>
      </c>
      <c r="D31" s="46">
        <v>1</v>
      </c>
      <c r="E31" s="46">
        <v>0.99968000000000001</v>
      </c>
      <c r="G31" s="43" t="s">
        <v>48</v>
      </c>
      <c r="H31" s="62">
        <v>0.99950000000000006</v>
      </c>
      <c r="I31" s="62">
        <v>1</v>
      </c>
      <c r="K31" s="43" t="s">
        <v>48</v>
      </c>
      <c r="L31" s="62">
        <v>1</v>
      </c>
    </row>
    <row r="32" spans="3:12" x14ac:dyDescent="0.3">
      <c r="C32" s="43" t="s">
        <v>49</v>
      </c>
      <c r="D32" s="46">
        <v>1</v>
      </c>
      <c r="E32" s="46">
        <v>0.99951999999999996</v>
      </c>
      <c r="G32" s="43" t="s">
        <v>49</v>
      </c>
      <c r="H32" s="62">
        <v>1</v>
      </c>
      <c r="I32" s="46" t="s">
        <v>54</v>
      </c>
      <c r="K32" s="43" t="s">
        <v>49</v>
      </c>
      <c r="L32" s="142">
        <v>0.96</v>
      </c>
    </row>
    <row r="33" spans="3:12" x14ac:dyDescent="0.3">
      <c r="C33" s="43" t="s">
        <v>50</v>
      </c>
      <c r="D33" s="46">
        <v>1</v>
      </c>
      <c r="E33" s="46">
        <v>1</v>
      </c>
      <c r="G33" s="43" t="s">
        <v>50</v>
      </c>
      <c r="H33" s="46">
        <v>1</v>
      </c>
      <c r="I33" s="46">
        <v>1</v>
      </c>
      <c r="K33" s="43" t="s">
        <v>50</v>
      </c>
      <c r="L33" s="46">
        <v>1</v>
      </c>
    </row>
    <row r="34" spans="3:12" x14ac:dyDescent="0.3">
      <c r="C34" s="56" t="s">
        <v>51</v>
      </c>
      <c r="D34" s="52">
        <f>AVERAGE(D22:D33)</f>
        <v>0.99996166666666664</v>
      </c>
      <c r="E34" s="52">
        <f>AVERAGE(E22:E33)</f>
        <v>0.99970749999999997</v>
      </c>
      <c r="G34" s="56" t="s">
        <v>51</v>
      </c>
      <c r="H34" s="52">
        <f>AVERAGE(H22:H33)</f>
        <v>0.99957916666666657</v>
      </c>
      <c r="I34" s="52">
        <f>AVERAGE(I22:I33)</f>
        <v>0.98905454545454541</v>
      </c>
      <c r="K34" s="56" t="s">
        <v>51</v>
      </c>
      <c r="L34" s="52">
        <f>AVERAGE(L22:L33)</f>
        <v>0.9771749999999999</v>
      </c>
    </row>
    <row r="36" spans="3:12" x14ac:dyDescent="0.3">
      <c r="C36" s="232" t="s">
        <v>55</v>
      </c>
      <c r="D36" s="232"/>
      <c r="E36" s="232"/>
      <c r="F36" s="232"/>
      <c r="H36" s="232" t="s">
        <v>56</v>
      </c>
      <c r="I36" s="232"/>
      <c r="J36" s="232"/>
      <c r="K36" s="232"/>
    </row>
    <row r="37" spans="3:12" x14ac:dyDescent="0.3">
      <c r="C37" s="1"/>
      <c r="D37" s="42" t="s">
        <v>35</v>
      </c>
      <c r="E37" s="42" t="s">
        <v>22</v>
      </c>
      <c r="F37" s="42" t="s">
        <v>36</v>
      </c>
      <c r="H37" s="1"/>
      <c r="I37" s="42" t="s">
        <v>35</v>
      </c>
      <c r="J37" s="42" t="s">
        <v>22</v>
      </c>
      <c r="K37" s="42" t="s">
        <v>36</v>
      </c>
    </row>
    <row r="38" spans="3:12" x14ac:dyDescent="0.3">
      <c r="C38" s="43" t="s">
        <v>39</v>
      </c>
      <c r="D38" s="62">
        <v>1</v>
      </c>
      <c r="E38" s="62">
        <v>0.98660000000000003</v>
      </c>
      <c r="F38" s="62">
        <v>1</v>
      </c>
      <c r="H38" s="43" t="s">
        <v>39</v>
      </c>
      <c r="I38" s="62">
        <v>0.99419999999999997</v>
      </c>
      <c r="J38" s="62">
        <v>0.99180000000000001</v>
      </c>
      <c r="K38" s="62">
        <v>0.99429999999999996</v>
      </c>
    </row>
    <row r="39" spans="3:12" x14ac:dyDescent="0.3">
      <c r="C39" s="43" t="s">
        <v>40</v>
      </c>
      <c r="D39" s="62">
        <v>0.99970000000000003</v>
      </c>
      <c r="E39" s="62">
        <v>1</v>
      </c>
      <c r="F39" s="62">
        <v>0.99809999999999999</v>
      </c>
      <c r="H39" s="43" t="s">
        <v>40</v>
      </c>
      <c r="I39" s="62">
        <v>0.99970000000000003</v>
      </c>
      <c r="J39" s="62">
        <v>0.98819999999999997</v>
      </c>
      <c r="K39" s="62">
        <v>1</v>
      </c>
    </row>
    <row r="40" spans="3:12" x14ac:dyDescent="0.3">
      <c r="C40" s="43" t="s">
        <v>41</v>
      </c>
      <c r="D40" s="62">
        <v>1</v>
      </c>
      <c r="E40" s="62">
        <v>1</v>
      </c>
      <c r="F40" s="62">
        <v>0.99750000000000005</v>
      </c>
      <c r="H40" s="43" t="s">
        <v>41</v>
      </c>
      <c r="I40" s="62">
        <v>0.99796666666666667</v>
      </c>
      <c r="J40" s="62">
        <v>0.99333333333333329</v>
      </c>
      <c r="K40" s="62">
        <v>0.99809999999999999</v>
      </c>
    </row>
    <row r="41" spans="3:12" x14ac:dyDescent="0.3">
      <c r="C41" s="43" t="s">
        <v>42</v>
      </c>
      <c r="D41" s="62">
        <v>1</v>
      </c>
      <c r="E41" s="62">
        <v>1</v>
      </c>
      <c r="F41" s="62">
        <v>1</v>
      </c>
      <c r="H41" s="43" t="s">
        <v>42</v>
      </c>
      <c r="I41" s="62">
        <v>0.998475</v>
      </c>
      <c r="J41" s="62">
        <v>0.995</v>
      </c>
      <c r="K41" s="62">
        <v>0.99857499999999999</v>
      </c>
    </row>
    <row r="42" spans="3:12" x14ac:dyDescent="0.3">
      <c r="C42" s="43" t="s">
        <v>43</v>
      </c>
      <c r="D42" s="62">
        <v>1</v>
      </c>
      <c r="E42" s="62">
        <v>1</v>
      </c>
      <c r="F42" s="62">
        <v>1</v>
      </c>
      <c r="H42" s="43" t="s">
        <v>43</v>
      </c>
      <c r="I42" s="62">
        <v>1</v>
      </c>
      <c r="J42" s="62">
        <v>0.99600000000000011</v>
      </c>
      <c r="K42" s="62">
        <v>0.99885999999999997</v>
      </c>
    </row>
    <row r="43" spans="3:12" x14ac:dyDescent="0.3">
      <c r="C43" s="43" t="s">
        <v>44</v>
      </c>
      <c r="D43" s="62">
        <v>1</v>
      </c>
      <c r="E43" s="62">
        <v>1</v>
      </c>
      <c r="F43" s="62">
        <v>1</v>
      </c>
      <c r="H43" s="43" t="s">
        <v>44</v>
      </c>
      <c r="I43" s="62">
        <v>0.9966666666666667</v>
      </c>
      <c r="J43" s="62">
        <v>0.99898333333333333</v>
      </c>
      <c r="K43" s="62">
        <v>0.99904999999999999</v>
      </c>
    </row>
    <row r="44" spans="3:12" x14ac:dyDescent="0.3">
      <c r="C44" s="43" t="s">
        <v>45</v>
      </c>
      <c r="D44" s="62">
        <v>1</v>
      </c>
      <c r="E44" s="149">
        <v>1</v>
      </c>
      <c r="F44" s="62">
        <v>1</v>
      </c>
      <c r="H44" s="43" t="s">
        <v>45</v>
      </c>
      <c r="I44" s="62">
        <v>0.99665000000000004</v>
      </c>
      <c r="J44" s="149">
        <v>0.99859285714285717</v>
      </c>
      <c r="K44" s="62">
        <v>0.99833333333333341</v>
      </c>
    </row>
    <row r="45" spans="3:12" x14ac:dyDescent="0.3">
      <c r="C45" s="43" t="s">
        <v>46</v>
      </c>
      <c r="D45" s="62">
        <v>0.98780000000000001</v>
      </c>
      <c r="E45" s="149">
        <v>1</v>
      </c>
      <c r="F45" s="62">
        <v>1</v>
      </c>
      <c r="H45" s="43" t="s">
        <v>46</v>
      </c>
      <c r="I45" s="62">
        <v>1</v>
      </c>
      <c r="J45" s="149">
        <v>0.88170000000000004</v>
      </c>
      <c r="K45" s="62">
        <v>0.98850000000000005</v>
      </c>
    </row>
    <row r="46" spans="3:12" x14ac:dyDescent="0.3">
      <c r="C46" s="43" t="s">
        <v>47</v>
      </c>
      <c r="D46" s="62">
        <v>1</v>
      </c>
      <c r="E46" s="149">
        <v>1</v>
      </c>
      <c r="F46" s="62">
        <v>1</v>
      </c>
      <c r="H46" s="43" t="s">
        <v>47</v>
      </c>
      <c r="I46" s="62">
        <v>1</v>
      </c>
      <c r="J46" s="149">
        <v>0.66659999999999997</v>
      </c>
      <c r="K46" s="62">
        <v>1</v>
      </c>
    </row>
    <row r="47" spans="3:12" x14ac:dyDescent="0.3">
      <c r="C47" s="43" t="s">
        <v>48</v>
      </c>
      <c r="D47" s="62">
        <v>1</v>
      </c>
      <c r="E47" s="62">
        <v>1</v>
      </c>
      <c r="F47" s="62">
        <v>0.97189999999999999</v>
      </c>
      <c r="H47" s="43" t="s">
        <v>48</v>
      </c>
      <c r="I47" s="62"/>
      <c r="J47" s="62"/>
      <c r="K47" s="62"/>
    </row>
    <row r="48" spans="3:12" x14ac:dyDescent="0.3">
      <c r="C48" s="43" t="s">
        <v>49</v>
      </c>
      <c r="D48" s="62">
        <v>1</v>
      </c>
      <c r="E48" s="46">
        <v>1</v>
      </c>
      <c r="F48" s="62">
        <v>0.99109999999999998</v>
      </c>
      <c r="H48" s="43" t="s">
        <v>49</v>
      </c>
      <c r="I48" s="62"/>
      <c r="J48" s="46"/>
      <c r="K48" s="62"/>
    </row>
    <row r="49" spans="3:11" x14ac:dyDescent="0.3">
      <c r="C49" s="43" t="s">
        <v>50</v>
      </c>
      <c r="D49" s="46">
        <v>0.99750000000000005</v>
      </c>
      <c r="E49" s="46">
        <v>1</v>
      </c>
      <c r="F49" s="46">
        <v>1</v>
      </c>
      <c r="H49" s="43" t="s">
        <v>50</v>
      </c>
      <c r="I49" s="46"/>
      <c r="J49" s="46"/>
      <c r="K49" s="46"/>
    </row>
    <row r="50" spans="3:11" x14ac:dyDescent="0.3">
      <c r="C50" s="56" t="s">
        <v>51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51</v>
      </c>
      <c r="I50" s="52">
        <f>AVERAGE(I38:I49)</f>
        <v>0.99818425925925935</v>
      </c>
      <c r="J50" s="52">
        <f>AVERAGE(J38:J49)</f>
        <v>0.94557883597883619</v>
      </c>
      <c r="K50" s="52">
        <f>AVERAGE(K38:K49)</f>
        <v>0.99730203703703701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85" zoomScaleNormal="100" workbookViewId="0">
      <selection activeCell="K119" sqref="K119"/>
    </sheetView>
  </sheetViews>
  <sheetFormatPr defaultColWidth="9.109375" defaultRowHeight="14.4" x14ac:dyDescent="0.3"/>
  <cols>
    <col min="3" max="3" width="10.5546875" bestFit="1" customWidth="1"/>
    <col min="4" max="4" width="9.109375" customWidth="1"/>
    <col min="5" max="5" width="10.109375" customWidth="1"/>
    <col min="6" max="6" width="9.109375" customWidth="1"/>
    <col min="7" max="8" width="10.109375" customWidth="1"/>
    <col min="9" max="9" width="7.6640625" customWidth="1"/>
    <col min="10" max="11" width="10.6640625" customWidth="1"/>
    <col min="13" max="13" width="11" bestFit="1" customWidth="1"/>
    <col min="14" max="14" width="12.5546875" customWidth="1"/>
  </cols>
  <sheetData>
    <row r="4" spans="3:12" x14ac:dyDescent="0.3">
      <c r="C4" s="237" t="s">
        <v>57</v>
      </c>
      <c r="D4" s="238"/>
      <c r="E4" s="238"/>
      <c r="F4" s="238"/>
      <c r="G4" s="238"/>
      <c r="H4" s="238"/>
      <c r="I4" s="238"/>
      <c r="J4" s="77"/>
      <c r="K4" s="77"/>
      <c r="L4" s="78"/>
    </row>
    <row r="5" spans="3:12" ht="15.6" x14ac:dyDescent="0.3">
      <c r="C5" s="42"/>
      <c r="D5" s="245" t="s">
        <v>35</v>
      </c>
      <c r="E5" s="246"/>
      <c r="F5" s="247"/>
      <c r="G5" s="245" t="s">
        <v>22</v>
      </c>
      <c r="H5" s="246"/>
      <c r="I5" s="247"/>
      <c r="J5" s="240" t="s">
        <v>58</v>
      </c>
      <c r="K5" s="241"/>
      <c r="L5" s="242"/>
    </row>
    <row r="6" spans="3:12" x14ac:dyDescent="0.3">
      <c r="C6" s="42"/>
      <c r="D6" s="42" t="s">
        <v>59</v>
      </c>
      <c r="E6" s="42" t="s">
        <v>60</v>
      </c>
      <c r="F6" s="42" t="s">
        <v>61</v>
      </c>
      <c r="G6" s="42" t="s">
        <v>59</v>
      </c>
      <c r="H6" s="42" t="s">
        <v>60</v>
      </c>
      <c r="I6" s="42" t="s">
        <v>61</v>
      </c>
      <c r="J6" s="49" t="s">
        <v>59</v>
      </c>
      <c r="K6" s="49" t="s">
        <v>60</v>
      </c>
      <c r="L6" s="49" t="s">
        <v>61</v>
      </c>
    </row>
    <row r="7" spans="3:12" x14ac:dyDescent="0.3">
      <c r="C7" s="47" t="s">
        <v>39</v>
      </c>
      <c r="D7" s="86" t="s">
        <v>62</v>
      </c>
      <c r="E7" s="86" t="s">
        <v>62</v>
      </c>
      <c r="F7" s="86" t="s">
        <v>62</v>
      </c>
      <c r="G7" s="86" t="s">
        <v>62</v>
      </c>
      <c r="H7" s="86" t="s">
        <v>62</v>
      </c>
      <c r="I7" s="86" t="s">
        <v>62</v>
      </c>
      <c r="J7" s="86" t="s">
        <v>62</v>
      </c>
      <c r="K7" s="86" t="s">
        <v>62</v>
      </c>
      <c r="L7" s="86" t="s">
        <v>62</v>
      </c>
    </row>
    <row r="8" spans="3:12" x14ac:dyDescent="0.3">
      <c r="C8" s="47" t="s">
        <v>40</v>
      </c>
      <c r="D8" s="86" t="s">
        <v>62</v>
      </c>
      <c r="E8" s="86" t="s">
        <v>62</v>
      </c>
      <c r="F8" s="86" t="s">
        <v>62</v>
      </c>
      <c r="G8" s="86" t="s">
        <v>62</v>
      </c>
      <c r="H8" s="86" t="s">
        <v>62</v>
      </c>
      <c r="I8" s="86" t="s">
        <v>62</v>
      </c>
      <c r="J8" s="86" t="s">
        <v>62</v>
      </c>
      <c r="K8" s="86" t="s">
        <v>62</v>
      </c>
      <c r="L8" s="86" t="s">
        <v>62</v>
      </c>
    </row>
    <row r="9" spans="3:12" x14ac:dyDescent="0.3">
      <c r="C9" s="47" t="s">
        <v>41</v>
      </c>
      <c r="D9" s="86" t="s">
        <v>62</v>
      </c>
      <c r="E9" s="86" t="s">
        <v>62</v>
      </c>
      <c r="F9" s="86" t="s">
        <v>62</v>
      </c>
      <c r="G9" s="86" t="s">
        <v>62</v>
      </c>
      <c r="H9" s="86" t="s">
        <v>62</v>
      </c>
      <c r="I9" s="86" t="s">
        <v>62</v>
      </c>
      <c r="J9" s="86" t="s">
        <v>62</v>
      </c>
      <c r="K9" s="86" t="s">
        <v>62</v>
      </c>
      <c r="L9" s="86" t="s">
        <v>62</v>
      </c>
    </row>
    <row r="10" spans="3:12" x14ac:dyDescent="0.3">
      <c r="C10" s="47" t="s">
        <v>42</v>
      </c>
      <c r="D10" s="86" t="s">
        <v>62</v>
      </c>
      <c r="E10" s="86" t="s">
        <v>62</v>
      </c>
      <c r="F10" s="86" t="s">
        <v>62</v>
      </c>
      <c r="G10" s="86" t="s">
        <v>62</v>
      </c>
      <c r="H10" s="86" t="s">
        <v>62</v>
      </c>
      <c r="I10" s="86" t="s">
        <v>62</v>
      </c>
      <c r="J10" s="86" t="s">
        <v>62</v>
      </c>
      <c r="K10" s="86" t="s">
        <v>62</v>
      </c>
      <c r="L10" s="86" t="s">
        <v>62</v>
      </c>
    </row>
    <row r="11" spans="3:12" x14ac:dyDescent="0.3">
      <c r="C11" s="47" t="s">
        <v>43</v>
      </c>
      <c r="D11" s="86" t="s">
        <v>62</v>
      </c>
      <c r="E11" s="86" t="s">
        <v>62</v>
      </c>
      <c r="F11" s="86" t="s">
        <v>62</v>
      </c>
      <c r="G11" s="86" t="s">
        <v>62</v>
      </c>
      <c r="H11" s="86" t="s">
        <v>62</v>
      </c>
      <c r="I11" s="86" t="s">
        <v>62</v>
      </c>
      <c r="J11" s="86" t="s">
        <v>62</v>
      </c>
      <c r="K11" s="86" t="s">
        <v>62</v>
      </c>
      <c r="L11" s="86" t="s">
        <v>62</v>
      </c>
    </row>
    <row r="12" spans="3:12" x14ac:dyDescent="0.3">
      <c r="C12" s="47" t="s">
        <v>44</v>
      </c>
      <c r="D12" s="86" t="s">
        <v>62</v>
      </c>
      <c r="E12" s="86" t="s">
        <v>62</v>
      </c>
      <c r="F12" s="86" t="s">
        <v>62</v>
      </c>
      <c r="G12" s="86" t="s">
        <v>62</v>
      </c>
      <c r="H12" s="86" t="s">
        <v>62</v>
      </c>
      <c r="I12" s="86" t="s">
        <v>62</v>
      </c>
      <c r="J12" s="86" t="s">
        <v>62</v>
      </c>
      <c r="K12" s="86" t="s">
        <v>62</v>
      </c>
      <c r="L12" s="86" t="s">
        <v>62</v>
      </c>
    </row>
    <row r="13" spans="3:12" x14ac:dyDescent="0.3">
      <c r="C13" s="47" t="s">
        <v>45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3">
      <c r="C14" s="47" t="s">
        <v>46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62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3">
      <c r="C15" s="47" t="s">
        <v>47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62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3">
      <c r="C16" s="47" t="s">
        <v>48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3">
      <c r="C17" s="47" t="s">
        <v>49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3">
      <c r="C18" s="47" t="s">
        <v>50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3">
      <c r="C19" s="49" t="s">
        <v>63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3">
      <c r="C22" s="237" t="s">
        <v>64</v>
      </c>
      <c r="D22" s="238"/>
      <c r="E22" s="238"/>
      <c r="F22" s="238"/>
      <c r="G22" s="238"/>
      <c r="H22" s="238"/>
      <c r="I22" s="238"/>
      <c r="J22" s="77"/>
      <c r="K22" s="77"/>
      <c r="L22" s="78"/>
    </row>
    <row r="23" spans="3:12" ht="15.6" x14ac:dyDescent="0.3">
      <c r="C23" s="42"/>
      <c r="D23" s="245" t="s">
        <v>35</v>
      </c>
      <c r="E23" s="246"/>
      <c r="F23" s="247"/>
      <c r="G23" s="245" t="s">
        <v>22</v>
      </c>
      <c r="H23" s="246"/>
      <c r="I23" s="247"/>
      <c r="J23" s="240" t="s">
        <v>58</v>
      </c>
      <c r="K23" s="241"/>
      <c r="L23" s="242"/>
    </row>
    <row r="24" spans="3:12" x14ac:dyDescent="0.3">
      <c r="C24" s="42"/>
      <c r="D24" s="42" t="s">
        <v>59</v>
      </c>
      <c r="E24" s="42" t="s">
        <v>60</v>
      </c>
      <c r="F24" s="42" t="s">
        <v>61</v>
      </c>
      <c r="G24" s="42" t="s">
        <v>59</v>
      </c>
      <c r="H24" s="42" t="s">
        <v>60</v>
      </c>
      <c r="I24" s="42" t="s">
        <v>61</v>
      </c>
      <c r="J24" s="49" t="s">
        <v>59</v>
      </c>
      <c r="K24" s="49" t="s">
        <v>60</v>
      </c>
      <c r="L24" s="49" t="s">
        <v>61</v>
      </c>
    </row>
    <row r="25" spans="3:12" x14ac:dyDescent="0.3">
      <c r="C25" s="47" t="s">
        <v>39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3">
      <c r="C26" s="47" t="s">
        <v>40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3">
      <c r="C27" s="47" t="s">
        <v>41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3">
      <c r="C28" s="47" t="s">
        <v>42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3">
      <c r="C29" s="47" t="s">
        <v>43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3">
      <c r="C30" s="47" t="s">
        <v>44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3">
      <c r="C31" s="47" t="s">
        <v>45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3">
      <c r="C32" s="47" t="s">
        <v>46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3">
      <c r="C33" s="47" t="s">
        <v>47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3">
      <c r="C34" s="47" t="s">
        <v>48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3">
      <c r="C35" s="47" t="s">
        <v>49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3">
      <c r="C36" s="47" t="s">
        <v>50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3">
      <c r="C37" s="49" t="s">
        <v>63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3">
      <c r="C40" s="237" t="s">
        <v>65</v>
      </c>
      <c r="D40" s="238"/>
      <c r="E40" s="238"/>
      <c r="F40" s="238"/>
      <c r="G40" s="238"/>
      <c r="H40" s="238"/>
      <c r="I40" s="238"/>
      <c r="J40" s="77"/>
      <c r="K40" s="77"/>
      <c r="L40" s="78"/>
    </row>
    <row r="41" spans="3:43" ht="15.6" x14ac:dyDescent="0.3">
      <c r="C41" s="42"/>
      <c r="D41" s="245" t="s">
        <v>35</v>
      </c>
      <c r="E41" s="246"/>
      <c r="F41" s="247"/>
      <c r="G41" s="245" t="s">
        <v>22</v>
      </c>
      <c r="H41" s="246"/>
      <c r="I41" s="247"/>
      <c r="J41" s="240" t="s">
        <v>58</v>
      </c>
      <c r="K41" s="241"/>
      <c r="L41" s="242"/>
    </row>
    <row r="42" spans="3:43" x14ac:dyDescent="0.3">
      <c r="C42" s="42"/>
      <c r="D42" s="42" t="s">
        <v>59</v>
      </c>
      <c r="E42" s="42" t="s">
        <v>60</v>
      </c>
      <c r="F42" s="42" t="s">
        <v>61</v>
      </c>
      <c r="G42" s="42" t="s">
        <v>59</v>
      </c>
      <c r="H42" s="42" t="s">
        <v>60</v>
      </c>
      <c r="I42" s="42" t="s">
        <v>61</v>
      </c>
      <c r="J42" s="49" t="s">
        <v>59</v>
      </c>
      <c r="K42" s="49" t="s">
        <v>60</v>
      </c>
      <c r="L42" s="49" t="s">
        <v>61</v>
      </c>
    </row>
    <row r="43" spans="3:43" x14ac:dyDescent="0.3">
      <c r="C43" s="47" t="s">
        <v>39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3">
      <c r="C44" s="47" t="s">
        <v>40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3">
      <c r="C45" s="47" t="s">
        <v>41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3">
      <c r="C46" s="47" t="s">
        <v>42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3">
      <c r="C47" s="47" t="s">
        <v>43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3">
      <c r="C48" s="47" t="s">
        <v>44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3">
      <c r="C49" s="47" t="s">
        <v>45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43"/>
      <c r="AO49" s="243"/>
      <c r="AP49" s="243"/>
      <c r="AQ49" s="243"/>
    </row>
    <row r="50" spans="3:43" ht="15.6" x14ac:dyDescent="0.3">
      <c r="C50" s="47" t="s">
        <v>46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44"/>
      <c r="AP50" s="244"/>
      <c r="AQ50" s="244"/>
    </row>
    <row r="51" spans="3:43" x14ac:dyDescent="0.3">
      <c r="C51" s="47" t="s">
        <v>47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 x14ac:dyDescent="0.3">
      <c r="C52" s="47" t="s">
        <v>48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 x14ac:dyDescent="0.3">
      <c r="C53" s="47" t="s">
        <v>49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 x14ac:dyDescent="0.3">
      <c r="C54" s="47" t="s">
        <v>50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 x14ac:dyDescent="0.3">
      <c r="C55" s="49" t="s">
        <v>63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 x14ac:dyDescent="0.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 x14ac:dyDescent="0.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3">
      <c r="C58" s="237" t="s">
        <v>66</v>
      </c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9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 x14ac:dyDescent="0.3">
      <c r="C59" s="42"/>
      <c r="D59" s="240" t="s">
        <v>35</v>
      </c>
      <c r="E59" s="241"/>
      <c r="F59" s="242"/>
      <c r="G59" s="240" t="s">
        <v>22</v>
      </c>
      <c r="H59" s="241"/>
      <c r="I59" s="242"/>
      <c r="J59" s="240" t="s">
        <v>36</v>
      </c>
      <c r="K59" s="241"/>
      <c r="L59" s="242"/>
      <c r="M59" s="240" t="s">
        <v>58</v>
      </c>
      <c r="N59" s="241"/>
      <c r="O59" s="242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3">
      <c r="C60" s="42"/>
      <c r="D60" s="42" t="s">
        <v>59</v>
      </c>
      <c r="E60" s="42" t="s">
        <v>60</v>
      </c>
      <c r="F60" s="42" t="s">
        <v>61</v>
      </c>
      <c r="G60" s="42" t="s">
        <v>59</v>
      </c>
      <c r="H60" s="42" t="s">
        <v>60</v>
      </c>
      <c r="I60" s="42" t="s">
        <v>61</v>
      </c>
      <c r="J60" s="42" t="s">
        <v>59</v>
      </c>
      <c r="K60" s="42" t="s">
        <v>60</v>
      </c>
      <c r="L60" s="42" t="s">
        <v>61</v>
      </c>
      <c r="M60" s="49" t="s">
        <v>59</v>
      </c>
      <c r="N60" s="49" t="s">
        <v>60</v>
      </c>
      <c r="O60" s="49" t="s">
        <v>61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3">
      <c r="C61" s="47" t="s">
        <v>39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3">
      <c r="C62" s="47" t="s">
        <v>40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3">
      <c r="C63" s="93" t="s">
        <v>41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3">
      <c r="C64" s="47" t="s">
        <v>42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3">
      <c r="C65" s="47" t="s">
        <v>43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3">
      <c r="C66" s="47" t="s">
        <v>44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3">
      <c r="C67" s="47" t="s">
        <v>45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3">
      <c r="C68" s="47" t="s">
        <v>46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3">
      <c r="C69" s="47" t="s">
        <v>47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3">
      <c r="C70" s="47" t="s">
        <v>48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3">
      <c r="C71" s="47" t="s">
        <v>49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3">
      <c r="C72" s="47" t="s">
        <v>50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3">
      <c r="C73" s="49" t="s">
        <v>63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3">
      <c r="C76" s="237" t="s">
        <v>67</v>
      </c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9"/>
    </row>
    <row r="77" spans="3:43" ht="15.6" x14ac:dyDescent="0.3">
      <c r="C77" s="42"/>
      <c r="D77" s="240" t="s">
        <v>35</v>
      </c>
      <c r="E77" s="241"/>
      <c r="F77" s="242"/>
      <c r="G77" s="240" t="s">
        <v>22</v>
      </c>
      <c r="H77" s="241"/>
      <c r="I77" s="242"/>
      <c r="J77" s="240" t="s">
        <v>36</v>
      </c>
      <c r="K77" s="241"/>
      <c r="L77" s="242"/>
      <c r="M77" s="240" t="s">
        <v>58</v>
      </c>
      <c r="N77" s="241"/>
      <c r="O77" s="242"/>
    </row>
    <row r="78" spans="3:43" x14ac:dyDescent="0.3">
      <c r="C78" s="42"/>
      <c r="D78" s="42" t="s">
        <v>59</v>
      </c>
      <c r="E78" s="42" t="s">
        <v>60</v>
      </c>
      <c r="F78" s="42" t="s">
        <v>61</v>
      </c>
      <c r="G78" s="42" t="s">
        <v>59</v>
      </c>
      <c r="H78" s="42" t="s">
        <v>60</v>
      </c>
      <c r="I78" s="42" t="s">
        <v>61</v>
      </c>
      <c r="J78" s="42" t="s">
        <v>59</v>
      </c>
      <c r="K78" s="42" t="s">
        <v>60</v>
      </c>
      <c r="L78" s="42" t="s">
        <v>61</v>
      </c>
      <c r="M78" s="49" t="s">
        <v>59</v>
      </c>
      <c r="N78" s="49" t="s">
        <v>60</v>
      </c>
      <c r="O78" s="49" t="s">
        <v>61</v>
      </c>
    </row>
    <row r="79" spans="3:43" x14ac:dyDescent="0.3">
      <c r="C79" s="47" t="s">
        <v>39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 x14ac:dyDescent="0.3">
      <c r="C80" s="47" t="s">
        <v>40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3">
      <c r="C81" s="93" t="s">
        <v>41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68</v>
      </c>
    </row>
    <row r="82" spans="3:16" x14ac:dyDescent="0.3">
      <c r="C82" s="47" t="s">
        <v>42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 x14ac:dyDescent="0.3">
      <c r="C83" s="47" t="s">
        <v>43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 x14ac:dyDescent="0.3">
      <c r="C84" s="47" t="s">
        <v>44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 x14ac:dyDescent="0.3">
      <c r="C85" s="47" t="s">
        <v>45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 x14ac:dyDescent="0.3">
      <c r="C86" s="47" t="s">
        <v>46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 x14ac:dyDescent="0.3">
      <c r="C87" s="47" t="s">
        <v>47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 x14ac:dyDescent="0.3">
      <c r="C88" s="47" t="s">
        <v>48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 x14ac:dyDescent="0.3">
      <c r="C89" s="47" t="s">
        <v>49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 x14ac:dyDescent="0.3">
      <c r="C90" s="47" t="s">
        <v>50</v>
      </c>
      <c r="D90" s="86">
        <f>Smithfield!J6</f>
        <v>424355</v>
      </c>
      <c r="E90" s="86">
        <v>200509</v>
      </c>
      <c r="F90" s="46">
        <f t="shared" si="29"/>
        <v>2.1163887905281058</v>
      </c>
      <c r="G90" s="86">
        <f>Merrimack!J6</f>
        <v>287715.39479638077</v>
      </c>
      <c r="H90" s="86">
        <v>186514</v>
      </c>
      <c r="I90" s="46">
        <f>G90/H90</f>
        <v>1.5425940937215479</v>
      </c>
      <c r="J90" s="86">
        <f>Westlake!J6</f>
        <v>537548</v>
      </c>
      <c r="K90" s="86">
        <v>250803</v>
      </c>
      <c r="L90" s="46">
        <f t="shared" si="31"/>
        <v>2.1433076956814712</v>
      </c>
      <c r="M90" s="50">
        <f t="shared" si="35"/>
        <v>1249618.3947963808</v>
      </c>
      <c r="N90" s="50">
        <f t="shared" si="34"/>
        <v>637826</v>
      </c>
      <c r="O90" s="51">
        <f t="shared" si="32"/>
        <v>1.9591838444911007</v>
      </c>
    </row>
    <row r="91" spans="3:16" x14ac:dyDescent="0.3">
      <c r="C91" s="49" t="s">
        <v>63</v>
      </c>
      <c r="D91" s="53">
        <f>SUM(D79:D90)</f>
        <v>4688530.7</v>
      </c>
      <c r="E91" s="53">
        <f>SUM(E79:E90)</f>
        <v>4199996.8692999994</v>
      </c>
      <c r="F91" s="55">
        <f>D91/E91</f>
        <v>1.1163176654418372</v>
      </c>
      <c r="G91" s="53">
        <f>SUM(G79:G90)</f>
        <v>3647247.7397963805</v>
      </c>
      <c r="H91" s="53">
        <f>SUM(H79:H90)</f>
        <v>3528167.0586000006</v>
      </c>
      <c r="I91" s="55">
        <f t="shared" ref="I91" si="36">G91/H91</f>
        <v>1.0337514293451944</v>
      </c>
      <c r="J91" s="53">
        <f>SUM(J79:J90)</f>
        <v>5676686.0000000009</v>
      </c>
      <c r="K91" s="53">
        <f>SUM(K79:K90)</f>
        <v>5141104.1964999996</v>
      </c>
      <c r="L91" s="55">
        <f>J91/K91</f>
        <v>1.1041764148380067</v>
      </c>
      <c r="M91" s="54">
        <f t="shared" si="35"/>
        <v>14012464.439796381</v>
      </c>
      <c r="N91" s="54">
        <f t="shared" si="34"/>
        <v>12869268.124399999</v>
      </c>
      <c r="O91" s="55">
        <f t="shared" ref="O91" si="37">M91/N91</f>
        <v>1.0888314940947492</v>
      </c>
    </row>
    <row r="94" spans="3:16" x14ac:dyDescent="0.3">
      <c r="C94" s="237" t="s">
        <v>67</v>
      </c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9"/>
    </row>
    <row r="95" spans="3:16" ht="15.6" x14ac:dyDescent="0.3">
      <c r="C95" s="42"/>
      <c r="D95" s="240" t="s">
        <v>35</v>
      </c>
      <c r="E95" s="241"/>
      <c r="F95" s="242"/>
      <c r="G95" s="240" t="s">
        <v>22</v>
      </c>
      <c r="H95" s="241"/>
      <c r="I95" s="242"/>
      <c r="J95" s="240" t="s">
        <v>36</v>
      </c>
      <c r="K95" s="241"/>
      <c r="L95" s="242"/>
      <c r="M95" s="240" t="s">
        <v>58</v>
      </c>
      <c r="N95" s="241"/>
      <c r="O95" s="242"/>
    </row>
    <row r="96" spans="3:16" x14ac:dyDescent="0.3">
      <c r="C96" s="42"/>
      <c r="D96" s="42" t="s">
        <v>59</v>
      </c>
      <c r="E96" s="42" t="s">
        <v>60</v>
      </c>
      <c r="F96" s="42" t="s">
        <v>61</v>
      </c>
      <c r="G96" s="42" t="s">
        <v>59</v>
      </c>
      <c r="H96" s="42" t="s">
        <v>60</v>
      </c>
      <c r="I96" s="42" t="s">
        <v>61</v>
      </c>
      <c r="J96" s="42" t="s">
        <v>59</v>
      </c>
      <c r="K96" s="42" t="s">
        <v>60</v>
      </c>
      <c r="L96" s="42" t="s">
        <v>61</v>
      </c>
      <c r="M96" s="49" t="s">
        <v>59</v>
      </c>
      <c r="N96" s="49" t="s">
        <v>60</v>
      </c>
      <c r="O96" s="49" t="s">
        <v>61</v>
      </c>
    </row>
    <row r="97" spans="3:15" ht="15" customHeight="1" x14ac:dyDescent="0.3">
      <c r="C97" s="47" t="s">
        <v>39</v>
      </c>
      <c r="D97" s="48">
        <v>194299.75</v>
      </c>
      <c r="E97" s="48">
        <v>261206.57600000006</v>
      </c>
      <c r="F97" s="46">
        <f t="shared" ref="F97:F105" si="38">D97/E97</f>
        <v>0.74385474123744866</v>
      </c>
      <c r="G97" s="48">
        <v>152720.45000000001</v>
      </c>
      <c r="H97" s="48">
        <v>225291.31930000006</v>
      </c>
      <c r="I97" s="46">
        <f t="shared" ref="I97:I105" si="39">G97/H97</f>
        <v>0.67787986893820795</v>
      </c>
      <c r="J97" s="48">
        <v>359558</v>
      </c>
      <c r="K97" s="48">
        <v>330650.56599999988</v>
      </c>
      <c r="L97" s="46">
        <f t="shared" ref="L97:L105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 ht="15.6" customHeight="1" x14ac:dyDescent="0.3">
      <c r="C98" s="47" t="s">
        <v>40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5" si="42">SUM(D98,G98,J98)</f>
        <v>704570.5</v>
      </c>
      <c r="N98" s="50">
        <f t="shared" ref="N98:N105" si="43">SUM(E98,H98,K98)</f>
        <v>814511.79449999984</v>
      </c>
      <c r="O98" s="51">
        <f t="shared" si="41"/>
        <v>0.86502185082845984</v>
      </c>
    </row>
    <row r="99" spans="3:15" ht="18" customHeight="1" x14ac:dyDescent="0.3">
      <c r="C99" s="93" t="s">
        <v>41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 ht="21" customHeight="1" x14ac:dyDescent="0.3">
      <c r="C100" s="47" t="s">
        <v>42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 ht="17.399999999999999" customHeight="1" x14ac:dyDescent="0.3">
      <c r="C101" s="47" t="s">
        <v>43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 ht="16.2" customHeight="1" x14ac:dyDescent="0.3">
      <c r="C102" s="47" t="s">
        <v>44</v>
      </c>
      <c r="D102" s="48">
        <v>493050</v>
      </c>
      <c r="E102" s="48">
        <v>452685.08499999985</v>
      </c>
      <c r="F102" s="46">
        <f t="shared" si="38"/>
        <v>1.089167759967175</v>
      </c>
      <c r="G102" s="48">
        <v>363249.59574468061</v>
      </c>
      <c r="H102" s="48">
        <v>356731.43699999992</v>
      </c>
      <c r="I102" s="46">
        <f t="shared" si="39"/>
        <v>1.0182718932749419</v>
      </c>
      <c r="J102" s="48">
        <v>575204</v>
      </c>
      <c r="K102" s="48">
        <v>541222.24100000004</v>
      </c>
      <c r="L102" s="46">
        <f t="shared" si="40"/>
        <v>1.0627870704966094</v>
      </c>
      <c r="M102" s="50">
        <f t="shared" si="42"/>
        <v>1431503.5957446806</v>
      </c>
      <c r="N102" s="50">
        <f t="shared" si="43"/>
        <v>1350638.7629999998</v>
      </c>
      <c r="O102" s="51">
        <f t="shared" si="41"/>
        <v>1.0598715474188423</v>
      </c>
    </row>
    <row r="103" spans="3:15" ht="15" customHeight="1" x14ac:dyDescent="0.3">
      <c r="C103" s="47" t="s">
        <v>45</v>
      </c>
      <c r="D103" s="48">
        <v>522988</v>
      </c>
      <c r="E103" s="48">
        <v>480180.57900000003</v>
      </c>
      <c r="F103" s="46">
        <f t="shared" si="38"/>
        <v>1.0891485888270378</v>
      </c>
      <c r="G103" s="48">
        <v>400549</v>
      </c>
      <c r="H103" s="48">
        <v>389230.01399999997</v>
      </c>
      <c r="I103" s="46">
        <f t="shared" si="39"/>
        <v>1.0290804552395079</v>
      </c>
      <c r="J103" s="48">
        <v>584796</v>
      </c>
      <c r="K103" s="48">
        <v>546596.85399999993</v>
      </c>
      <c r="L103" s="46">
        <f t="shared" si="40"/>
        <v>1.0698854113785297</v>
      </c>
      <c r="M103" s="50">
        <f t="shared" si="42"/>
        <v>1508333</v>
      </c>
      <c r="N103" s="50">
        <f t="shared" si="43"/>
        <v>1416007.4469999999</v>
      </c>
      <c r="O103" s="51">
        <f t="shared" si="41"/>
        <v>1.0652013188176404</v>
      </c>
    </row>
    <row r="104" spans="3:15" x14ac:dyDescent="0.3">
      <c r="C104" s="47" t="s">
        <v>46</v>
      </c>
      <c r="D104" s="86">
        <v>537219.5</v>
      </c>
      <c r="E104" s="86">
        <v>498537.88899999991</v>
      </c>
      <c r="F104" s="46">
        <f t="shared" si="38"/>
        <v>1.0775901127145826</v>
      </c>
      <c r="G104" s="86">
        <v>404137.47058823518</v>
      </c>
      <c r="H104" s="86">
        <v>406788.51279999997</v>
      </c>
      <c r="I104" s="46">
        <f t="shared" si="39"/>
        <v>0.99348299637687121</v>
      </c>
      <c r="J104" s="86">
        <v>552466</v>
      </c>
      <c r="K104" s="86">
        <v>501635.62900000007</v>
      </c>
      <c r="L104" s="46">
        <f t="shared" si="40"/>
        <v>1.101329267822003</v>
      </c>
      <c r="M104" s="50">
        <f t="shared" si="42"/>
        <v>1493822.9705882352</v>
      </c>
      <c r="N104" s="50">
        <f t="shared" si="43"/>
        <v>1406962.0307999998</v>
      </c>
      <c r="O104" s="51">
        <f t="shared" si="41"/>
        <v>1.0617365201666786</v>
      </c>
    </row>
    <row r="105" spans="3:15" x14ac:dyDescent="0.3">
      <c r="C105" s="47" t="s">
        <v>47</v>
      </c>
      <c r="D105" s="86">
        <v>424355</v>
      </c>
      <c r="E105" s="86">
        <v>393985.45300000004</v>
      </c>
      <c r="F105" s="46">
        <f t="shared" si="38"/>
        <v>1.0770829145308569</v>
      </c>
      <c r="G105" s="48">
        <v>287715.39479638077</v>
      </c>
      <c r="H105" s="86">
        <v>334795.8947</v>
      </c>
      <c r="I105" s="46">
        <f t="shared" si="39"/>
        <v>0.85937551610121576</v>
      </c>
      <c r="J105" s="86">
        <v>537548</v>
      </c>
      <c r="K105" s="86">
        <v>474608.07999999984</v>
      </c>
      <c r="L105" s="46">
        <f t="shared" si="40"/>
        <v>1.1326145142745994</v>
      </c>
      <c r="M105" s="50">
        <f t="shared" si="42"/>
        <v>1249618.3947963808</v>
      </c>
      <c r="N105" s="50">
        <f t="shared" si="43"/>
        <v>1203389.4276999999</v>
      </c>
      <c r="O105" s="51">
        <f t="shared" si="41"/>
        <v>1.0384156334036745</v>
      </c>
    </row>
    <row r="106" spans="3:15" x14ac:dyDescent="0.3">
      <c r="C106" s="47" t="s">
        <v>48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 x14ac:dyDescent="0.3">
      <c r="C107" s="47" t="s">
        <v>49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 x14ac:dyDescent="0.3">
      <c r="C108" s="47" t="s">
        <v>50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 x14ac:dyDescent="0.3">
      <c r="C109" s="49" t="s">
        <v>63</v>
      </c>
      <c r="D109" s="53">
        <f>SUM(D97:D108)</f>
        <v>3674481.25</v>
      </c>
      <c r="E109" s="53">
        <f>SUM(E97:E108)</f>
        <v>3524040.4380000001</v>
      </c>
      <c r="F109" s="55">
        <f>D109/E109</f>
        <v>1.042689865410676</v>
      </c>
      <c r="G109" s="53">
        <f>SUM(G97:G108)</f>
        <v>2674923.3163846158</v>
      </c>
      <c r="H109" s="53">
        <f>SUM(H97:H108)</f>
        <v>2860070.4268999998</v>
      </c>
      <c r="I109" s="55">
        <f t="shared" ref="I109" si="44">G109/H109</f>
        <v>0.93526484216122507</v>
      </c>
      <c r="J109" s="53">
        <f>SUM(J97:J108)</f>
        <v>4486901</v>
      </c>
      <c r="K109" s="53">
        <f>SUM(K97:K108)</f>
        <v>4102376.9937999994</v>
      </c>
      <c r="L109" s="55">
        <f>J109/K109</f>
        <v>1.0937320014179923</v>
      </c>
      <c r="M109" s="54">
        <f t="shared" ref="M109" si="45">SUM(D109,G109,J109)</f>
        <v>10836305.566384615</v>
      </c>
      <c r="N109" s="54">
        <f t="shared" ref="N109" si="46">SUM(E109,H109,K109)</f>
        <v>10486487.8587</v>
      </c>
      <c r="O109" s="55">
        <f t="shared" si="41"/>
        <v>1.0333589007490618</v>
      </c>
    </row>
  </sheetData>
  <mergeCells count="29">
    <mergeCell ref="C94:O94"/>
    <mergeCell ref="D95:F95"/>
    <mergeCell ref="G95:I95"/>
    <mergeCell ref="J95:L95"/>
    <mergeCell ref="M95:O95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4" workbookViewId="0">
      <selection activeCell="D37" sqref="D37"/>
    </sheetView>
  </sheetViews>
  <sheetFormatPr defaultRowHeight="14.4" x14ac:dyDescent="0.3"/>
  <cols>
    <col min="1" max="1" width="11.44140625" customWidth="1"/>
    <col min="4" max="4" width="15.6640625" bestFit="1" customWidth="1"/>
    <col min="5" max="5" width="17.109375" bestFit="1" customWidth="1"/>
  </cols>
  <sheetData>
    <row r="4" spans="1:8" s="59" customFormat="1" ht="43.2" x14ac:dyDescent="0.3">
      <c r="A4" s="70" t="s">
        <v>69</v>
      </c>
      <c r="B4" s="71" t="s">
        <v>70</v>
      </c>
      <c r="C4" s="71" t="s">
        <v>71</v>
      </c>
      <c r="D4" s="72" t="s">
        <v>4</v>
      </c>
      <c r="E4" s="73" t="s">
        <v>72</v>
      </c>
      <c r="F4" s="60"/>
      <c r="G4" s="60"/>
      <c r="H4" s="60"/>
    </row>
    <row r="5" spans="1:8" x14ac:dyDescent="0.3">
      <c r="A5" s="1" t="s">
        <v>35</v>
      </c>
      <c r="B5" s="1">
        <v>1</v>
      </c>
      <c r="C5" s="1">
        <f>2025</f>
        <v>2025</v>
      </c>
      <c r="D5" s="104">
        <v>173872.6</v>
      </c>
      <c r="E5" s="80"/>
    </row>
    <row r="6" spans="1:8" x14ac:dyDescent="0.3">
      <c r="A6" s="1" t="s">
        <v>35</v>
      </c>
      <c r="B6" s="1">
        <v>2</v>
      </c>
      <c r="C6" s="1">
        <f>2025</f>
        <v>2025</v>
      </c>
      <c r="D6" s="104">
        <v>223465.4</v>
      </c>
      <c r="E6" s="81"/>
    </row>
    <row r="7" spans="1:8" x14ac:dyDescent="0.3">
      <c r="A7" s="1" t="s">
        <v>35</v>
      </c>
      <c r="B7" s="1">
        <v>3</v>
      </c>
      <c r="C7" s="1">
        <f>2025</f>
        <v>2025</v>
      </c>
      <c r="D7" s="104">
        <v>344525.3</v>
      </c>
      <c r="E7" s="81"/>
    </row>
    <row r="8" spans="1:8" x14ac:dyDescent="0.3">
      <c r="A8" s="1" t="s">
        <v>35</v>
      </c>
      <c r="B8" s="1">
        <v>4</v>
      </c>
      <c r="C8" s="1">
        <f>2025</f>
        <v>2025</v>
      </c>
      <c r="D8" s="104">
        <v>439674.5</v>
      </c>
      <c r="E8" s="81"/>
    </row>
    <row r="9" spans="1:8" x14ac:dyDescent="0.3">
      <c r="A9" s="1" t="s">
        <v>35</v>
      </c>
      <c r="B9" s="1">
        <v>5</v>
      </c>
      <c r="C9" s="1">
        <f>2025</f>
        <v>2025</v>
      </c>
      <c r="D9" s="104">
        <v>455091.20000000001</v>
      </c>
      <c r="E9" s="81"/>
    </row>
    <row r="10" spans="1:8" x14ac:dyDescent="0.3">
      <c r="A10" s="1" t="s">
        <v>35</v>
      </c>
      <c r="B10" s="1">
        <v>6</v>
      </c>
      <c r="C10" s="1">
        <f>2025</f>
        <v>2025</v>
      </c>
      <c r="D10" s="104">
        <v>491177.6</v>
      </c>
      <c r="E10" s="81"/>
    </row>
    <row r="11" spans="1:8" x14ac:dyDescent="0.3">
      <c r="A11" s="1" t="s">
        <v>35</v>
      </c>
      <c r="B11" s="1">
        <v>7</v>
      </c>
      <c r="C11" s="1">
        <f>2025</f>
        <v>2025</v>
      </c>
      <c r="D11" s="104">
        <v>524395</v>
      </c>
      <c r="E11" s="81"/>
    </row>
    <row r="12" spans="1:8" x14ac:dyDescent="0.3">
      <c r="A12" s="1" t="s">
        <v>35</v>
      </c>
      <c r="B12" s="1">
        <v>8</v>
      </c>
      <c r="C12" s="1">
        <f>2025</f>
        <v>2025</v>
      </c>
      <c r="D12" s="104">
        <v>488163.4</v>
      </c>
      <c r="E12" s="81"/>
    </row>
    <row r="13" spans="1:8" x14ac:dyDescent="0.3">
      <c r="A13" s="1" t="s">
        <v>35</v>
      </c>
      <c r="B13" s="1">
        <v>9</v>
      </c>
      <c r="C13" s="1">
        <f>2025</f>
        <v>2025</v>
      </c>
      <c r="D13" s="104">
        <v>412507.2</v>
      </c>
      <c r="E13" s="81"/>
    </row>
    <row r="14" spans="1:8" x14ac:dyDescent="0.3">
      <c r="A14" s="1" t="s">
        <v>35</v>
      </c>
      <c r="B14" s="1">
        <v>10</v>
      </c>
      <c r="C14" s="1">
        <f>2025</f>
        <v>2025</v>
      </c>
      <c r="D14" s="104">
        <v>292225.09999999998</v>
      </c>
      <c r="E14" s="81"/>
    </row>
    <row r="15" spans="1:8" x14ac:dyDescent="0.3">
      <c r="A15" s="1" t="s">
        <v>35</v>
      </c>
      <c r="B15" s="1">
        <v>11</v>
      </c>
      <c r="C15" s="1">
        <f>2025</f>
        <v>2025</v>
      </c>
      <c r="D15" s="104">
        <v>204482.1</v>
      </c>
      <c r="E15" s="81"/>
    </row>
    <row r="16" spans="1:8" x14ac:dyDescent="0.3">
      <c r="A16" s="1" t="s">
        <v>35</v>
      </c>
      <c r="B16" s="1">
        <v>12</v>
      </c>
      <c r="C16" s="1">
        <f>2025</f>
        <v>2025</v>
      </c>
      <c r="D16" s="104">
        <v>160442.79999999999</v>
      </c>
      <c r="E16" s="82"/>
    </row>
    <row r="17" spans="1:6" x14ac:dyDescent="0.3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 x14ac:dyDescent="0.3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 x14ac:dyDescent="0.3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 x14ac:dyDescent="0.3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 x14ac:dyDescent="0.3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 x14ac:dyDescent="0.3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 x14ac:dyDescent="0.3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 x14ac:dyDescent="0.3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 x14ac:dyDescent="0.3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 x14ac:dyDescent="0.3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 x14ac:dyDescent="0.3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 x14ac:dyDescent="0.3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 x14ac:dyDescent="0.3">
      <c r="A29" s="144" t="s">
        <v>36</v>
      </c>
      <c r="B29" s="144">
        <v>1</v>
      </c>
      <c r="C29" s="1">
        <f>2025</f>
        <v>2025</v>
      </c>
      <c r="D29" s="135">
        <v>359065</v>
      </c>
      <c r="E29" s="81"/>
    </row>
    <row r="30" spans="1:6" x14ac:dyDescent="0.3">
      <c r="A30" s="144" t="s">
        <v>36</v>
      </c>
      <c r="B30" s="144">
        <v>2</v>
      </c>
      <c r="C30" s="1">
        <f>2025</f>
        <v>2025</v>
      </c>
      <c r="D30" s="135">
        <v>341764</v>
      </c>
      <c r="E30" s="81"/>
    </row>
    <row r="31" spans="1:6" x14ac:dyDescent="0.3">
      <c r="A31" s="144" t="s">
        <v>36</v>
      </c>
      <c r="B31" s="144">
        <v>3</v>
      </c>
      <c r="C31" s="1">
        <f>2025</f>
        <v>2025</v>
      </c>
      <c r="D31" s="135">
        <v>409489</v>
      </c>
      <c r="E31" s="81"/>
    </row>
    <row r="32" spans="1:6" x14ac:dyDescent="0.3">
      <c r="A32" s="144" t="s">
        <v>36</v>
      </c>
      <c r="B32" s="144">
        <v>4</v>
      </c>
      <c r="C32" s="1">
        <f>2025</f>
        <v>2025</v>
      </c>
      <c r="D32" s="135">
        <v>426854</v>
      </c>
      <c r="E32" s="81"/>
    </row>
    <row r="33" spans="1:5" x14ac:dyDescent="0.3">
      <c r="A33" s="144" t="s">
        <v>36</v>
      </c>
      <c r="B33" s="144">
        <v>5</v>
      </c>
      <c r="C33" s="1">
        <f>2025</f>
        <v>2025</v>
      </c>
      <c r="D33" s="135">
        <v>491560</v>
      </c>
      <c r="E33" s="81"/>
    </row>
    <row r="34" spans="1:5" x14ac:dyDescent="0.3">
      <c r="A34" s="144" t="s">
        <v>36</v>
      </c>
      <c r="B34" s="144">
        <v>6</v>
      </c>
      <c r="C34" s="1">
        <f>2025</f>
        <v>2025</v>
      </c>
      <c r="D34" s="135">
        <v>511081</v>
      </c>
      <c r="E34" s="81"/>
    </row>
    <row r="35" spans="1:5" x14ac:dyDescent="0.3">
      <c r="A35" s="144" t="s">
        <v>36</v>
      </c>
      <c r="B35" s="144">
        <v>7</v>
      </c>
      <c r="C35" s="1">
        <f>2025</f>
        <v>2025</v>
      </c>
      <c r="D35" s="145">
        <v>528500</v>
      </c>
      <c r="E35" s="81"/>
    </row>
    <row r="36" spans="1:5" x14ac:dyDescent="0.3">
      <c r="A36" s="144" t="s">
        <v>36</v>
      </c>
      <c r="B36" s="144">
        <v>8</v>
      </c>
      <c r="C36" s="1">
        <f>2025</f>
        <v>2025</v>
      </c>
      <c r="D36" s="135">
        <v>491649</v>
      </c>
      <c r="E36" s="81"/>
    </row>
    <row r="37" spans="1:5" x14ac:dyDescent="0.3">
      <c r="A37" s="144" t="s">
        <v>36</v>
      </c>
      <c r="B37" s="144">
        <v>9</v>
      </c>
      <c r="C37" s="1">
        <f>2025</f>
        <v>2025</v>
      </c>
      <c r="D37" s="135">
        <v>422985</v>
      </c>
      <c r="E37" s="81"/>
    </row>
    <row r="38" spans="1:5" x14ac:dyDescent="0.3">
      <c r="A38" s="144" t="s">
        <v>36</v>
      </c>
      <c r="B38" s="144">
        <v>10</v>
      </c>
      <c r="C38" s="1">
        <f>2025</f>
        <v>2025</v>
      </c>
      <c r="D38" s="135">
        <v>426835</v>
      </c>
      <c r="E38" s="81"/>
    </row>
    <row r="39" spans="1:5" x14ac:dyDescent="0.3">
      <c r="A39" s="144" t="s">
        <v>36</v>
      </c>
      <c r="B39" s="144">
        <v>11</v>
      </c>
      <c r="C39" s="1">
        <f>2025</f>
        <v>2025</v>
      </c>
      <c r="D39" s="135">
        <v>378158</v>
      </c>
      <c r="E39" s="81"/>
    </row>
    <row r="40" spans="1:5" x14ac:dyDescent="0.3">
      <c r="A40" s="144" t="s">
        <v>36</v>
      </c>
      <c r="B40" s="144">
        <v>12</v>
      </c>
      <c r="C40" s="1">
        <f>2025</f>
        <v>2025</v>
      </c>
      <c r="D40" s="146">
        <v>357864</v>
      </c>
      <c r="E40" s="82"/>
    </row>
    <row r="41" spans="1:5" x14ac:dyDescent="0.3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" x14ac:dyDescent="0.3"/>
  <cols>
    <col min="2" max="2" width="9.109375" style="19" bestFit="1" collapsed="1"/>
    <col min="3" max="3" width="8.6640625" style="19" collapsed="1"/>
    <col min="7" max="7" width="14.6640625" bestFit="1" customWidth="1"/>
    <col min="8" max="8" width="20.6640625" customWidth="1"/>
    <col min="9" max="9" width="19.109375" customWidth="1"/>
  </cols>
  <sheetData>
    <row r="1" spans="1:17" x14ac:dyDescent="0.3">
      <c r="A1" s="33" t="s">
        <v>73</v>
      </c>
      <c r="B1" s="17" t="s">
        <v>74</v>
      </c>
      <c r="C1" s="17" t="s">
        <v>75</v>
      </c>
      <c r="D1" s="32"/>
      <c r="H1" s="204" t="s">
        <v>76</v>
      </c>
      <c r="I1" s="204"/>
      <c r="J1" s="204"/>
      <c r="K1" s="204"/>
      <c r="L1" s="204"/>
      <c r="M1" s="204"/>
      <c r="N1" s="204"/>
      <c r="O1" s="204"/>
      <c r="Q1" s="32" t="s">
        <v>77</v>
      </c>
    </row>
    <row r="2" spans="1:17" x14ac:dyDescent="0.3">
      <c r="A2" s="33" t="s">
        <v>78</v>
      </c>
      <c r="B2" s="34" t="s">
        <v>79</v>
      </c>
      <c r="C2" s="34" t="s">
        <v>80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3">
      <c r="A3" s="35">
        <v>42005</v>
      </c>
      <c r="B3" s="19">
        <v>430600</v>
      </c>
      <c r="C3" s="19">
        <v>88900</v>
      </c>
      <c r="D3" s="32"/>
      <c r="F3" s="27"/>
      <c r="G3" t="s">
        <v>39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3">
      <c r="A4" s="35">
        <v>42036</v>
      </c>
      <c r="B4" s="19">
        <v>472000</v>
      </c>
      <c r="C4" s="19">
        <v>99800</v>
      </c>
      <c r="D4" s="32"/>
      <c r="F4" s="27"/>
      <c r="G4" t="s">
        <v>40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3">
      <c r="A5" s="36">
        <v>42064</v>
      </c>
      <c r="B5" s="25">
        <v>637500</v>
      </c>
      <c r="C5" s="25">
        <v>138300</v>
      </c>
      <c r="D5" s="37" t="s">
        <v>81</v>
      </c>
      <c r="F5" s="19"/>
      <c r="G5" t="s">
        <v>82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3">
      <c r="A6" s="35">
        <v>42095</v>
      </c>
      <c r="B6" s="19">
        <v>719700</v>
      </c>
      <c r="C6" s="19">
        <v>158700</v>
      </c>
      <c r="D6" s="32"/>
      <c r="F6" s="19"/>
      <c r="G6" t="s">
        <v>42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3">
      <c r="A7" s="35">
        <v>42125</v>
      </c>
      <c r="B7" s="19">
        <v>729800</v>
      </c>
      <c r="C7" s="19">
        <v>162100</v>
      </c>
      <c r="D7" s="32"/>
      <c r="F7" s="19"/>
      <c r="G7" t="s">
        <v>43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3">
      <c r="A8" s="35">
        <v>42156</v>
      </c>
      <c r="B8" s="19">
        <v>764800</v>
      </c>
      <c r="C8" s="19">
        <v>172600</v>
      </c>
      <c r="D8" s="32"/>
      <c r="F8" s="19"/>
      <c r="G8" t="s">
        <v>44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3">
      <c r="A9" s="35">
        <v>42186</v>
      </c>
      <c r="B9" s="19">
        <v>773600</v>
      </c>
      <c r="C9" s="19">
        <v>175600</v>
      </c>
      <c r="D9" s="32"/>
      <c r="F9" s="19"/>
      <c r="G9" t="s">
        <v>45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3">
      <c r="A10" s="35">
        <v>42217</v>
      </c>
      <c r="B10" s="19">
        <v>753100</v>
      </c>
      <c r="C10" s="19">
        <v>170100</v>
      </c>
      <c r="D10" s="32"/>
      <c r="F10" s="19"/>
      <c r="G10" t="s">
        <v>46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3">
      <c r="A11" s="35">
        <v>42248</v>
      </c>
      <c r="B11" s="19">
        <v>622300</v>
      </c>
      <c r="C11" s="19">
        <v>138000</v>
      </c>
      <c r="D11" s="32"/>
      <c r="F11" s="19"/>
      <c r="G11" t="s">
        <v>47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3">
      <c r="A12" s="35">
        <v>42278</v>
      </c>
      <c r="B12" s="19">
        <v>572800</v>
      </c>
      <c r="C12" s="19">
        <v>124400</v>
      </c>
      <c r="D12" s="32"/>
      <c r="F12" s="19"/>
      <c r="G12" t="s">
        <v>48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3">
      <c r="A13" s="35">
        <v>42309</v>
      </c>
      <c r="B13" s="19">
        <v>413200</v>
      </c>
      <c r="C13" s="19">
        <v>88700</v>
      </c>
      <c r="D13" s="32"/>
      <c r="F13" s="27"/>
      <c r="G13" t="s">
        <v>49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3">
      <c r="A14" s="35">
        <v>42339</v>
      </c>
      <c r="B14" s="19">
        <v>420700</v>
      </c>
      <c r="C14" s="19">
        <v>88000</v>
      </c>
      <c r="D14" s="32"/>
      <c r="F14" s="27"/>
      <c r="G14" t="s">
        <v>50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3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3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3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3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3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3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3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3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3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3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3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3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3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3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3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3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3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3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3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3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3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3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3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3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3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3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3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3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3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3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3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3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3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3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3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3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3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3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3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3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3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3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3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3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3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3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3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3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3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3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3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3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3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3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3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3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3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3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3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3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3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3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3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3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3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3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3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3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3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3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3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3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3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3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3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3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3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3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3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3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3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3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3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3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3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6" max="6" width="13.6640625" bestFit="1" customWidth="1"/>
    <col min="7" max="7" width="11.6640625" bestFit="1" customWidth="1"/>
    <col min="8" max="8" width="18.109375" customWidth="1"/>
    <col min="10" max="10" width="10" bestFit="1" customWidth="1"/>
  </cols>
  <sheetData>
    <row r="1" spans="1:16" x14ac:dyDescent="0.3">
      <c r="A1" s="16" t="s">
        <v>73</v>
      </c>
      <c r="B1" s="17" t="s">
        <v>74</v>
      </c>
      <c r="C1" s="17" t="s">
        <v>75</v>
      </c>
      <c r="G1" t="s">
        <v>83</v>
      </c>
      <c r="P1" t="s">
        <v>84</v>
      </c>
    </row>
    <row r="2" spans="1:16" x14ac:dyDescent="0.3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3">
      <c r="A3" s="15">
        <v>42005</v>
      </c>
      <c r="B3" s="19">
        <v>558000</v>
      </c>
      <c r="C3" s="19">
        <v>89800</v>
      </c>
      <c r="F3" t="s">
        <v>39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3">
      <c r="A4" s="15">
        <v>42036</v>
      </c>
      <c r="B4" s="19">
        <v>618000</v>
      </c>
      <c r="C4" s="19">
        <v>100200</v>
      </c>
      <c r="F4" s="26" t="s">
        <v>40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3">
      <c r="A5" s="15">
        <v>42064</v>
      </c>
      <c r="B5" s="19">
        <v>832000</v>
      </c>
      <c r="C5" s="19">
        <v>140000</v>
      </c>
      <c r="F5" s="26" t="s">
        <v>82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3">
      <c r="A6" s="15">
        <v>42095</v>
      </c>
      <c r="B6" s="19">
        <v>960000</v>
      </c>
      <c r="C6" s="19">
        <v>164500</v>
      </c>
      <c r="F6" s="26" t="s">
        <v>42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3">
      <c r="A7" s="15">
        <v>42125</v>
      </c>
      <c r="B7" s="19">
        <v>965000</v>
      </c>
      <c r="C7" s="19">
        <v>166700</v>
      </c>
      <c r="F7" s="26" t="s">
        <v>43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3">
      <c r="A8" s="15">
        <v>42156</v>
      </c>
      <c r="B8" s="19">
        <v>1010000</v>
      </c>
      <c r="C8" s="19">
        <v>175600</v>
      </c>
      <c r="F8" s="26" t="s">
        <v>44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3">
      <c r="A9" s="15">
        <v>42186</v>
      </c>
      <c r="B9" s="19">
        <v>1006000</v>
      </c>
      <c r="C9" s="19">
        <v>175400</v>
      </c>
      <c r="F9" s="26" t="s">
        <v>45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3">
      <c r="A10" s="15">
        <v>42217</v>
      </c>
      <c r="B10" s="19">
        <v>958000</v>
      </c>
      <c r="C10" s="19">
        <v>166400</v>
      </c>
      <c r="F10" s="26" t="s">
        <v>46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3">
      <c r="A11" s="15">
        <v>42248</v>
      </c>
      <c r="B11" s="19">
        <v>804000</v>
      </c>
      <c r="C11" s="19">
        <v>138400</v>
      </c>
      <c r="F11" s="26" t="s">
        <v>47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3">
      <c r="A12" s="24">
        <v>42278</v>
      </c>
      <c r="B12" s="25">
        <v>772000</v>
      </c>
      <c r="C12" s="25">
        <v>129600</v>
      </c>
      <c r="D12" s="38" t="s">
        <v>85</v>
      </c>
      <c r="F12" s="26" t="s">
        <v>48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3">
      <c r="A13" s="15">
        <v>42309</v>
      </c>
      <c r="B13" s="19">
        <v>546000</v>
      </c>
      <c r="C13" s="19">
        <v>90200</v>
      </c>
      <c r="F13" s="26" t="s">
        <v>49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3">
      <c r="A14" s="15">
        <v>42339</v>
      </c>
      <c r="B14" s="19">
        <v>546000</v>
      </c>
      <c r="C14" s="19">
        <v>88300</v>
      </c>
      <c r="F14" s="26" t="s">
        <v>50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3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3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3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3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3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3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3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3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3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3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3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3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3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3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3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3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3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3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3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3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3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3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3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3">
      <c r="A38" s="15">
        <v>43070</v>
      </c>
      <c r="B38" s="19">
        <f t="shared" si="2"/>
        <v>540540</v>
      </c>
      <c r="C38" s="19">
        <v>88300</v>
      </c>
    </row>
    <row r="39" spans="1:10" x14ac:dyDescent="0.3">
      <c r="A39" s="24">
        <v>43101</v>
      </c>
      <c r="B39" s="25">
        <f>B15*0.99</f>
        <v>552420</v>
      </c>
      <c r="C39" s="25">
        <v>89800</v>
      </c>
    </row>
    <row r="40" spans="1:10" x14ac:dyDescent="0.3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3">
      <c r="A41" s="24">
        <v>43160</v>
      </c>
      <c r="B41" s="25">
        <f t="shared" si="3"/>
        <v>823680</v>
      </c>
      <c r="C41" s="25">
        <v>140000</v>
      </c>
    </row>
    <row r="42" spans="1:10" x14ac:dyDescent="0.3">
      <c r="A42" s="24">
        <v>43191</v>
      </c>
      <c r="B42" s="25">
        <f t="shared" si="3"/>
        <v>950400</v>
      </c>
      <c r="C42" s="25">
        <v>164500</v>
      </c>
    </row>
    <row r="43" spans="1:10" x14ac:dyDescent="0.3">
      <c r="A43" s="24">
        <v>43221</v>
      </c>
      <c r="B43" s="25">
        <f t="shared" si="3"/>
        <v>955350</v>
      </c>
      <c r="C43" s="25">
        <v>166700</v>
      </c>
    </row>
    <row r="44" spans="1:10" x14ac:dyDescent="0.3">
      <c r="A44" s="24">
        <v>43252</v>
      </c>
      <c r="B44" s="25">
        <f t="shared" si="3"/>
        <v>999900</v>
      </c>
      <c r="C44" s="25">
        <v>175600</v>
      </c>
    </row>
    <row r="45" spans="1:10" x14ac:dyDescent="0.3">
      <c r="A45" s="24">
        <v>43282</v>
      </c>
      <c r="B45" s="25">
        <f t="shared" si="3"/>
        <v>995940</v>
      </c>
      <c r="C45" s="25">
        <v>175400</v>
      </c>
    </row>
    <row r="46" spans="1:10" x14ac:dyDescent="0.3">
      <c r="A46" s="24">
        <v>43313</v>
      </c>
      <c r="B46" s="25">
        <f t="shared" si="3"/>
        <v>948420</v>
      </c>
      <c r="C46" s="25">
        <v>166400</v>
      </c>
    </row>
    <row r="47" spans="1:10" x14ac:dyDescent="0.3">
      <c r="A47" s="24">
        <v>43344</v>
      </c>
      <c r="B47" s="25">
        <f t="shared" si="3"/>
        <v>795960</v>
      </c>
      <c r="C47" s="25">
        <v>138400</v>
      </c>
    </row>
    <row r="48" spans="1:10" x14ac:dyDescent="0.3">
      <c r="A48" s="24">
        <v>43374</v>
      </c>
      <c r="B48" s="25">
        <f>B12*0.985</f>
        <v>760420</v>
      </c>
      <c r="C48" s="25">
        <v>129600</v>
      </c>
    </row>
    <row r="49" spans="1:3" x14ac:dyDescent="0.3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3">
      <c r="A50" s="24">
        <v>43435</v>
      </c>
      <c r="B50" s="25">
        <f t="shared" si="4"/>
        <v>537810</v>
      </c>
      <c r="C50" s="25">
        <v>88300</v>
      </c>
    </row>
    <row r="51" spans="1:3" x14ac:dyDescent="0.3">
      <c r="A51" s="15">
        <v>43466</v>
      </c>
      <c r="B51" s="19">
        <f>B15*0.985</f>
        <v>549630</v>
      </c>
      <c r="C51" s="19">
        <v>89800</v>
      </c>
    </row>
    <row r="52" spans="1:3" x14ac:dyDescent="0.3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3">
      <c r="A53" s="15">
        <v>43525</v>
      </c>
      <c r="B53" s="19">
        <f t="shared" si="5"/>
        <v>819520</v>
      </c>
      <c r="C53" s="19">
        <v>140000</v>
      </c>
    </row>
    <row r="54" spans="1:3" x14ac:dyDescent="0.3">
      <c r="A54" s="15">
        <v>43556</v>
      </c>
      <c r="B54" s="19">
        <f t="shared" si="5"/>
        <v>945600</v>
      </c>
      <c r="C54" s="19">
        <v>164500</v>
      </c>
    </row>
    <row r="55" spans="1:3" x14ac:dyDescent="0.3">
      <c r="A55" s="15">
        <v>43586</v>
      </c>
      <c r="B55" s="19">
        <f t="shared" si="5"/>
        <v>950525</v>
      </c>
      <c r="C55" s="19">
        <v>166700</v>
      </c>
    </row>
    <row r="56" spans="1:3" x14ac:dyDescent="0.3">
      <c r="A56" s="15">
        <v>43617</v>
      </c>
      <c r="B56" s="19">
        <f t="shared" si="5"/>
        <v>994850</v>
      </c>
      <c r="C56" s="19">
        <v>175600</v>
      </c>
    </row>
    <row r="57" spans="1:3" x14ac:dyDescent="0.3">
      <c r="A57" s="15">
        <v>43647</v>
      </c>
      <c r="B57" s="19">
        <f t="shared" si="5"/>
        <v>990910</v>
      </c>
      <c r="C57" s="19">
        <v>175400</v>
      </c>
    </row>
    <row r="58" spans="1:3" x14ac:dyDescent="0.3">
      <c r="A58" s="15">
        <v>43678</v>
      </c>
      <c r="B58" s="19">
        <f t="shared" si="5"/>
        <v>943630</v>
      </c>
      <c r="C58" s="19">
        <v>166400</v>
      </c>
    </row>
    <row r="59" spans="1:3" x14ac:dyDescent="0.3">
      <c r="A59" s="15">
        <v>43709</v>
      </c>
      <c r="B59" s="19">
        <f t="shared" si="5"/>
        <v>791940</v>
      </c>
      <c r="C59" s="19">
        <v>138400</v>
      </c>
    </row>
    <row r="60" spans="1:3" x14ac:dyDescent="0.3">
      <c r="A60" s="15">
        <v>43739</v>
      </c>
      <c r="B60" s="19">
        <f>B12*0.98</f>
        <v>756560</v>
      </c>
      <c r="C60" s="19">
        <v>129600</v>
      </c>
    </row>
    <row r="61" spans="1:3" x14ac:dyDescent="0.3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3">
      <c r="A62" s="15">
        <v>43800</v>
      </c>
      <c r="B62" s="19">
        <f t="shared" si="6"/>
        <v>535080</v>
      </c>
      <c r="C62" s="19">
        <v>88300</v>
      </c>
    </row>
    <row r="63" spans="1:3" x14ac:dyDescent="0.3">
      <c r="A63" s="24">
        <v>43831</v>
      </c>
      <c r="B63" s="25">
        <f>B3*0.98</f>
        <v>546840</v>
      </c>
      <c r="C63" s="25">
        <v>89800</v>
      </c>
    </row>
    <row r="64" spans="1:3" x14ac:dyDescent="0.3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3">
      <c r="A65" s="24">
        <v>43891</v>
      </c>
      <c r="B65" s="25">
        <f t="shared" si="7"/>
        <v>815360</v>
      </c>
      <c r="C65" s="25">
        <v>140000</v>
      </c>
    </row>
    <row r="66" spans="1:3" x14ac:dyDescent="0.3">
      <c r="A66" s="24">
        <v>43922</v>
      </c>
      <c r="B66" s="25">
        <f t="shared" si="7"/>
        <v>940800</v>
      </c>
      <c r="C66" s="25">
        <v>164500</v>
      </c>
    </row>
    <row r="67" spans="1:3" x14ac:dyDescent="0.3">
      <c r="A67" s="24">
        <v>43952</v>
      </c>
      <c r="B67" s="25">
        <f t="shared" si="7"/>
        <v>945700</v>
      </c>
      <c r="C67" s="25">
        <v>166700</v>
      </c>
    </row>
    <row r="68" spans="1:3" x14ac:dyDescent="0.3">
      <c r="A68" s="24">
        <v>43983</v>
      </c>
      <c r="B68" s="25">
        <f t="shared" si="7"/>
        <v>989800</v>
      </c>
      <c r="C68" s="25">
        <v>175600</v>
      </c>
    </row>
    <row r="69" spans="1:3" x14ac:dyDescent="0.3">
      <c r="A69" s="24">
        <v>44013</v>
      </c>
      <c r="B69" s="25">
        <f t="shared" si="7"/>
        <v>985880</v>
      </c>
      <c r="C69" s="25">
        <v>175400</v>
      </c>
    </row>
    <row r="70" spans="1:3" x14ac:dyDescent="0.3">
      <c r="A70" s="24">
        <v>44044</v>
      </c>
      <c r="B70" s="25">
        <f t="shared" si="7"/>
        <v>938840</v>
      </c>
      <c r="C70" s="25">
        <v>166400</v>
      </c>
    </row>
    <row r="71" spans="1:3" x14ac:dyDescent="0.3">
      <c r="A71" s="24">
        <v>44075</v>
      </c>
      <c r="B71" s="25">
        <f t="shared" si="7"/>
        <v>787920</v>
      </c>
      <c r="C71" s="25">
        <v>138400</v>
      </c>
    </row>
    <row r="72" spans="1:3" x14ac:dyDescent="0.3">
      <c r="A72" s="24">
        <v>44105</v>
      </c>
      <c r="B72" s="25">
        <f>B12*0.975</f>
        <v>752700</v>
      </c>
      <c r="C72" s="25">
        <v>129600</v>
      </c>
    </row>
    <row r="73" spans="1:3" x14ac:dyDescent="0.3">
      <c r="A73" s="24">
        <v>44136</v>
      </c>
      <c r="B73" s="25">
        <f>B13*0.975</f>
        <v>532350</v>
      </c>
      <c r="C73" s="25">
        <v>90200</v>
      </c>
    </row>
    <row r="74" spans="1:3" x14ac:dyDescent="0.3">
      <c r="A74" s="24">
        <v>44166</v>
      </c>
      <c r="B74" s="25">
        <f>B14*0.975</f>
        <v>532350</v>
      </c>
      <c r="C74" s="25">
        <v>88300</v>
      </c>
    </row>
    <row r="75" spans="1:3" x14ac:dyDescent="0.3">
      <c r="A75" s="15">
        <v>44197</v>
      </c>
      <c r="B75" s="19">
        <f>B3*0.975</f>
        <v>544050</v>
      </c>
      <c r="C75" s="19">
        <v>89800</v>
      </c>
    </row>
    <row r="76" spans="1:3" x14ac:dyDescent="0.3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3">
      <c r="A77" s="15">
        <v>44256</v>
      </c>
      <c r="B77" s="19">
        <f t="shared" si="8"/>
        <v>811200</v>
      </c>
      <c r="C77" s="19">
        <v>140000</v>
      </c>
    </row>
    <row r="78" spans="1:3" x14ac:dyDescent="0.3">
      <c r="A78" s="15">
        <v>44287</v>
      </c>
      <c r="B78" s="19">
        <f t="shared" si="8"/>
        <v>936000</v>
      </c>
      <c r="C78" s="19">
        <v>164500</v>
      </c>
    </row>
    <row r="79" spans="1:3" x14ac:dyDescent="0.3">
      <c r="A79" s="15">
        <v>44317</v>
      </c>
      <c r="B79" s="19">
        <f t="shared" si="8"/>
        <v>940875</v>
      </c>
      <c r="C79" s="19">
        <v>166700</v>
      </c>
    </row>
    <row r="80" spans="1:3" x14ac:dyDescent="0.3">
      <c r="A80" s="15">
        <v>44348</v>
      </c>
      <c r="B80" s="19">
        <f t="shared" si="8"/>
        <v>984750</v>
      </c>
      <c r="C80" s="19">
        <v>175600</v>
      </c>
    </row>
    <row r="81" spans="1:3" x14ac:dyDescent="0.3">
      <c r="A81" s="15">
        <v>44378</v>
      </c>
      <c r="B81" s="19">
        <f t="shared" si="8"/>
        <v>980850</v>
      </c>
      <c r="C81" s="19">
        <v>175400</v>
      </c>
    </row>
    <row r="82" spans="1:3" x14ac:dyDescent="0.3">
      <c r="A82" s="15">
        <v>44409</v>
      </c>
      <c r="B82" s="19">
        <f t="shared" si="8"/>
        <v>934050</v>
      </c>
      <c r="C82" s="19">
        <v>166400</v>
      </c>
    </row>
    <row r="83" spans="1:3" x14ac:dyDescent="0.3">
      <c r="A83" s="15">
        <v>44440</v>
      </c>
      <c r="B83" s="19">
        <f t="shared" si="8"/>
        <v>783900</v>
      </c>
      <c r="C83" s="19">
        <v>138400</v>
      </c>
    </row>
    <row r="84" spans="1:3" x14ac:dyDescent="0.3">
      <c r="A84" s="15">
        <v>44470</v>
      </c>
      <c r="B84" s="19">
        <f t="shared" si="8"/>
        <v>752700</v>
      </c>
      <c r="C84" s="19">
        <v>129600</v>
      </c>
    </row>
    <row r="85" spans="1:3" x14ac:dyDescent="0.3">
      <c r="A85" s="15">
        <v>44501</v>
      </c>
      <c r="B85" s="19">
        <f t="shared" si="8"/>
        <v>532350</v>
      </c>
      <c r="C85" s="19">
        <v>90200</v>
      </c>
    </row>
    <row r="86" spans="1:3" x14ac:dyDescent="0.3">
      <c r="A86" s="15">
        <v>44531</v>
      </c>
      <c r="B86" s="19">
        <f t="shared" si="8"/>
        <v>532350</v>
      </c>
      <c r="C86" s="19">
        <v>88300</v>
      </c>
    </row>
    <row r="87" spans="1:3" x14ac:dyDescent="0.3">
      <c r="A87" s="24">
        <v>44562</v>
      </c>
      <c r="B87" s="25">
        <v>541467.86022079608</v>
      </c>
      <c r="C87" s="25">
        <v>99500</v>
      </c>
    </row>
    <row r="88" spans="1:3" x14ac:dyDescent="0.3">
      <c r="A88" s="24">
        <v>44593</v>
      </c>
      <c r="B88" s="25">
        <v>599690.21078217216</v>
      </c>
      <c r="C88" s="25">
        <v>110300</v>
      </c>
    </row>
    <row r="89" spans="1:3" x14ac:dyDescent="0.3">
      <c r="A89" s="24">
        <v>44621</v>
      </c>
      <c r="B89" s="25">
        <v>807349.9277844131</v>
      </c>
      <c r="C89" s="25">
        <v>152700</v>
      </c>
    </row>
    <row r="90" spans="1:3" x14ac:dyDescent="0.3">
      <c r="A90" s="24">
        <v>44652</v>
      </c>
      <c r="B90" s="25">
        <v>931557.60898201505</v>
      </c>
      <c r="C90" s="25">
        <v>177600</v>
      </c>
    </row>
    <row r="91" spans="1:3" x14ac:dyDescent="0.3">
      <c r="A91" s="24">
        <v>44682</v>
      </c>
      <c r="B91" s="25">
        <v>936409.47152879636</v>
      </c>
      <c r="C91" s="25">
        <v>178000</v>
      </c>
    </row>
    <row r="92" spans="1:3" x14ac:dyDescent="0.3">
      <c r="A92" s="24">
        <v>44713</v>
      </c>
      <c r="B92" s="25">
        <v>980076.23444982816</v>
      </c>
      <c r="C92" s="25">
        <v>186200</v>
      </c>
    </row>
    <row r="93" spans="1:3" x14ac:dyDescent="0.3">
      <c r="A93" s="24">
        <v>44743</v>
      </c>
      <c r="B93" s="25">
        <v>976194.7444124032</v>
      </c>
      <c r="C93" s="25">
        <v>184400</v>
      </c>
    </row>
    <row r="94" spans="1:3" x14ac:dyDescent="0.3">
      <c r="A94" s="24">
        <v>44774</v>
      </c>
      <c r="B94" s="25">
        <v>929616.86396330222</v>
      </c>
      <c r="C94" s="25">
        <v>176400</v>
      </c>
    </row>
    <row r="95" spans="1:3" x14ac:dyDescent="0.3">
      <c r="A95" s="24">
        <v>44805</v>
      </c>
      <c r="B95" s="25">
        <v>780179.49752243748</v>
      </c>
      <c r="C95" s="25">
        <v>147200</v>
      </c>
    </row>
    <row r="96" spans="1:3" x14ac:dyDescent="0.3">
      <c r="A96" s="24">
        <v>44835</v>
      </c>
      <c r="B96" s="25">
        <v>745381.9393369219</v>
      </c>
      <c r="C96" s="25">
        <v>139100</v>
      </c>
    </row>
    <row r="97" spans="1:3" x14ac:dyDescent="0.3">
      <c r="A97" s="24">
        <v>44866</v>
      </c>
      <c r="B97" s="25">
        <v>527174.27315797843</v>
      </c>
      <c r="C97" s="25">
        <v>97900</v>
      </c>
    </row>
    <row r="98" spans="1:3" x14ac:dyDescent="0.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4.6640625" customWidth="1"/>
    <col min="7" max="7" width="10" bestFit="1" customWidth="1"/>
    <col min="10" max="10" width="10.109375" customWidth="1"/>
    <col min="11" max="11" width="12" customWidth="1"/>
    <col min="13" max="13" width="12.109375" customWidth="1"/>
  </cols>
  <sheetData>
    <row r="1" spans="1:16" x14ac:dyDescent="0.3">
      <c r="A1" s="16" t="s">
        <v>73</v>
      </c>
      <c r="B1" s="17" t="s">
        <v>74</v>
      </c>
      <c r="C1" s="17" t="s">
        <v>75</v>
      </c>
      <c r="G1" s="204" t="s">
        <v>86</v>
      </c>
      <c r="H1" s="204"/>
      <c r="I1" s="204"/>
      <c r="J1" s="204"/>
      <c r="K1" s="204"/>
      <c r="L1" s="204"/>
      <c r="M1" s="204"/>
      <c r="N1" s="204"/>
      <c r="P1" s="32" t="s">
        <v>87</v>
      </c>
    </row>
    <row r="2" spans="1:16" x14ac:dyDescent="0.3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596000</v>
      </c>
      <c r="C3" s="19">
        <v>95500</v>
      </c>
      <c r="F3" t="s">
        <v>39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3">
      <c r="A4" s="15">
        <v>42036</v>
      </c>
      <c r="B4" s="19">
        <v>602000</v>
      </c>
      <c r="C4" s="19">
        <v>98900</v>
      </c>
      <c r="E4" s="26"/>
      <c r="F4" t="s">
        <v>40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3">
      <c r="A5" s="15">
        <v>42064</v>
      </c>
      <c r="B5" s="19">
        <v>866000</v>
      </c>
      <c r="C5" s="19">
        <v>144000</v>
      </c>
      <c r="E5" s="26"/>
      <c r="F5" t="s">
        <v>82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3">
      <c r="A6" s="15">
        <v>42095</v>
      </c>
      <c r="B6" s="19">
        <v>967000</v>
      </c>
      <c r="C6" s="19">
        <v>164800</v>
      </c>
      <c r="E6" s="26"/>
      <c r="F6" t="s">
        <v>42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3">
      <c r="A7" s="15">
        <v>42125</v>
      </c>
      <c r="B7" s="19">
        <v>1006000</v>
      </c>
      <c r="C7" s="19">
        <v>172700</v>
      </c>
      <c r="E7" s="26"/>
      <c r="F7" t="s">
        <v>43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3">
      <c r="A8" s="15">
        <v>42156</v>
      </c>
      <c r="B8" s="19">
        <v>1031000</v>
      </c>
      <c r="C8" s="19">
        <v>178800</v>
      </c>
      <c r="E8" s="26"/>
      <c r="F8" t="s">
        <v>44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3">
      <c r="A9" s="15">
        <v>42186</v>
      </c>
      <c r="B9" s="19">
        <v>1045000</v>
      </c>
      <c r="C9" s="19">
        <v>182100</v>
      </c>
      <c r="E9" s="26"/>
      <c r="F9" t="s">
        <v>45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3">
      <c r="A10" s="15">
        <v>42217</v>
      </c>
      <c r="B10" s="19">
        <v>967000</v>
      </c>
      <c r="C10" s="19">
        <v>168000</v>
      </c>
      <c r="E10" s="26"/>
      <c r="F10" t="s">
        <v>46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3">
      <c r="A11" s="39">
        <v>42248</v>
      </c>
      <c r="B11" s="40">
        <v>845000</v>
      </c>
      <c r="C11" s="40">
        <v>145300</v>
      </c>
      <c r="D11" s="41" t="s">
        <v>88</v>
      </c>
      <c r="E11" s="26"/>
      <c r="F11" t="s">
        <v>47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3">
      <c r="A12" s="15">
        <v>42278</v>
      </c>
      <c r="B12" s="19">
        <v>862000</v>
      </c>
      <c r="C12" s="19">
        <v>144600</v>
      </c>
      <c r="E12" s="26"/>
      <c r="F12" t="s">
        <v>48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3">
      <c r="A13" s="15">
        <v>42309</v>
      </c>
      <c r="B13" s="19">
        <v>629000</v>
      </c>
      <c r="C13" s="19">
        <v>103400</v>
      </c>
      <c r="E13" s="26"/>
      <c r="F13" t="s">
        <v>49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3">
      <c r="A14" s="15">
        <v>42339</v>
      </c>
      <c r="B14" s="19">
        <v>582000</v>
      </c>
      <c r="C14" s="19">
        <v>94000</v>
      </c>
      <c r="E14" s="26"/>
      <c r="F14" t="s">
        <v>50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3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3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3">
      <c r="A37" s="15">
        <v>43040</v>
      </c>
      <c r="B37" s="19">
        <f t="shared" si="4"/>
        <v>622710</v>
      </c>
      <c r="C37" s="19">
        <v>103400</v>
      </c>
    </row>
    <row r="38" spans="1:13" x14ac:dyDescent="0.3">
      <c r="A38" s="15">
        <v>43070</v>
      </c>
      <c r="B38" s="19">
        <f t="shared" si="4"/>
        <v>576180</v>
      </c>
      <c r="C38" s="19">
        <v>94000</v>
      </c>
    </row>
    <row r="39" spans="1:13" x14ac:dyDescent="0.3">
      <c r="A39" s="24">
        <v>43101</v>
      </c>
      <c r="B39" s="25">
        <f t="shared" si="4"/>
        <v>590040</v>
      </c>
      <c r="C39" s="25">
        <v>95500</v>
      </c>
    </row>
    <row r="40" spans="1:13" x14ac:dyDescent="0.3">
      <c r="A40" s="24">
        <v>43132</v>
      </c>
      <c r="B40" s="25">
        <f t="shared" si="4"/>
        <v>595980</v>
      </c>
      <c r="C40" s="25">
        <v>98900</v>
      </c>
    </row>
    <row r="41" spans="1:13" x14ac:dyDescent="0.3">
      <c r="A41" s="24">
        <v>43160</v>
      </c>
      <c r="B41" s="25">
        <f t="shared" si="4"/>
        <v>857340</v>
      </c>
      <c r="C41" s="25">
        <v>144000</v>
      </c>
    </row>
    <row r="42" spans="1:13" x14ac:dyDescent="0.3">
      <c r="A42" s="24">
        <v>43191</v>
      </c>
      <c r="B42" s="25">
        <f t="shared" si="4"/>
        <v>957330</v>
      </c>
      <c r="C42" s="25">
        <v>164800</v>
      </c>
    </row>
    <row r="43" spans="1:13" x14ac:dyDescent="0.3">
      <c r="A43" s="24">
        <v>43221</v>
      </c>
      <c r="B43" s="25">
        <f t="shared" si="4"/>
        <v>995940</v>
      </c>
      <c r="C43" s="25">
        <v>172700</v>
      </c>
    </row>
    <row r="44" spans="1:13" x14ac:dyDescent="0.3">
      <c r="A44" s="24">
        <v>43252</v>
      </c>
      <c r="B44" s="25">
        <f t="shared" si="4"/>
        <v>1020690</v>
      </c>
      <c r="C44" s="25">
        <v>178800</v>
      </c>
    </row>
    <row r="45" spans="1:13" x14ac:dyDescent="0.3">
      <c r="A45" s="24">
        <v>43282</v>
      </c>
      <c r="B45" s="25">
        <f t="shared" si="4"/>
        <v>1034550</v>
      </c>
      <c r="C45" s="25">
        <v>182100</v>
      </c>
    </row>
    <row r="46" spans="1:13" x14ac:dyDescent="0.3">
      <c r="A46" s="24">
        <v>43313</v>
      </c>
      <c r="B46" s="25">
        <f t="shared" si="4"/>
        <v>957330</v>
      </c>
      <c r="C46" s="25">
        <v>168000</v>
      </c>
    </row>
    <row r="47" spans="1:13" x14ac:dyDescent="0.3">
      <c r="A47" s="24">
        <v>43344</v>
      </c>
      <c r="B47" s="25">
        <f>B11*0.985</f>
        <v>832325</v>
      </c>
      <c r="C47" s="25">
        <v>145300</v>
      </c>
    </row>
    <row r="48" spans="1:13" x14ac:dyDescent="0.3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3">
      <c r="A49" s="24">
        <v>43405</v>
      </c>
      <c r="B49" s="25">
        <f t="shared" si="5"/>
        <v>619565</v>
      </c>
      <c r="C49" s="25">
        <v>103400</v>
      </c>
    </row>
    <row r="50" spans="1:3" x14ac:dyDescent="0.3">
      <c r="A50" s="24">
        <v>43435</v>
      </c>
      <c r="B50" s="25">
        <f t="shared" si="5"/>
        <v>573270</v>
      </c>
      <c r="C50" s="25">
        <v>94000</v>
      </c>
    </row>
    <row r="51" spans="1:3" x14ac:dyDescent="0.3">
      <c r="A51" s="15">
        <v>43466</v>
      </c>
      <c r="B51" s="19">
        <f>B3*0.985</f>
        <v>587060</v>
      </c>
      <c r="C51" s="19">
        <v>95500</v>
      </c>
    </row>
    <row r="52" spans="1:3" x14ac:dyDescent="0.3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3">
      <c r="A53" s="15">
        <v>43525</v>
      </c>
      <c r="B53" s="19">
        <f t="shared" si="6"/>
        <v>853010</v>
      </c>
      <c r="C53" s="19">
        <v>144000</v>
      </c>
    </row>
    <row r="54" spans="1:3" x14ac:dyDescent="0.3">
      <c r="A54" s="15">
        <v>43556</v>
      </c>
      <c r="B54" s="19">
        <f t="shared" si="6"/>
        <v>952495</v>
      </c>
      <c r="C54" s="19">
        <v>164800</v>
      </c>
    </row>
    <row r="55" spans="1:3" x14ac:dyDescent="0.3">
      <c r="A55" s="15">
        <v>43586</v>
      </c>
      <c r="B55" s="19">
        <f t="shared" si="6"/>
        <v>990910</v>
      </c>
      <c r="C55" s="19">
        <v>172700</v>
      </c>
    </row>
    <row r="56" spans="1:3" x14ac:dyDescent="0.3">
      <c r="A56" s="15">
        <v>43617</v>
      </c>
      <c r="B56" s="19">
        <f t="shared" si="6"/>
        <v>1015535</v>
      </c>
      <c r="C56" s="19">
        <v>178800</v>
      </c>
    </row>
    <row r="57" spans="1:3" x14ac:dyDescent="0.3">
      <c r="A57" s="15">
        <v>43647</v>
      </c>
      <c r="B57" s="19">
        <f t="shared" si="6"/>
        <v>1029325</v>
      </c>
      <c r="C57" s="19">
        <v>182100</v>
      </c>
    </row>
    <row r="58" spans="1:3" x14ac:dyDescent="0.3">
      <c r="A58" s="15">
        <v>43678</v>
      </c>
      <c r="B58" s="19">
        <f t="shared" si="6"/>
        <v>952495</v>
      </c>
      <c r="C58" s="19">
        <v>168000</v>
      </c>
    </row>
    <row r="59" spans="1:3" x14ac:dyDescent="0.3">
      <c r="A59" s="15">
        <v>43709</v>
      </c>
      <c r="B59" s="19">
        <f>B11*0.98</f>
        <v>828100</v>
      </c>
      <c r="C59" s="19">
        <v>145300</v>
      </c>
    </row>
    <row r="60" spans="1:3" x14ac:dyDescent="0.3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3">
      <c r="A61" s="15">
        <v>43770</v>
      </c>
      <c r="B61" s="19">
        <f t="shared" si="7"/>
        <v>616420</v>
      </c>
      <c r="C61" s="19">
        <v>103400</v>
      </c>
    </row>
    <row r="62" spans="1:3" x14ac:dyDescent="0.3">
      <c r="A62" s="15">
        <v>43800</v>
      </c>
      <c r="B62" s="19">
        <f t="shared" si="7"/>
        <v>570360</v>
      </c>
      <c r="C62" s="19">
        <v>94000</v>
      </c>
    </row>
    <row r="63" spans="1:3" x14ac:dyDescent="0.3">
      <c r="A63" s="24">
        <v>43831</v>
      </c>
      <c r="B63" s="25">
        <f>B3*0.98</f>
        <v>584080</v>
      </c>
      <c r="C63" s="25">
        <v>95500</v>
      </c>
    </row>
    <row r="64" spans="1:3" x14ac:dyDescent="0.3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3">
      <c r="A65" s="24">
        <v>43891</v>
      </c>
      <c r="B65" s="25">
        <f t="shared" si="8"/>
        <v>848680</v>
      </c>
      <c r="C65" s="25">
        <v>144000</v>
      </c>
    </row>
    <row r="66" spans="1:3" x14ac:dyDescent="0.3">
      <c r="A66" s="24">
        <v>43922</v>
      </c>
      <c r="B66" s="25">
        <f t="shared" si="8"/>
        <v>947660</v>
      </c>
      <c r="C66" s="25">
        <v>164800</v>
      </c>
    </row>
    <row r="67" spans="1:3" x14ac:dyDescent="0.3">
      <c r="A67" s="24">
        <v>43952</v>
      </c>
      <c r="B67" s="25">
        <f t="shared" si="8"/>
        <v>985880</v>
      </c>
      <c r="C67" s="25">
        <v>172700</v>
      </c>
    </row>
    <row r="68" spans="1:3" x14ac:dyDescent="0.3">
      <c r="A68" s="24">
        <v>43983</v>
      </c>
      <c r="B68" s="25">
        <f t="shared" si="8"/>
        <v>1010380</v>
      </c>
      <c r="C68" s="25">
        <v>178800</v>
      </c>
    </row>
    <row r="69" spans="1:3" x14ac:dyDescent="0.3">
      <c r="A69" s="24">
        <v>44013</v>
      </c>
      <c r="B69" s="25">
        <f t="shared" si="8"/>
        <v>1024100</v>
      </c>
      <c r="C69" s="25">
        <v>182100</v>
      </c>
    </row>
    <row r="70" spans="1:3" x14ac:dyDescent="0.3">
      <c r="A70" s="24">
        <v>44044</v>
      </c>
      <c r="B70" s="25">
        <f t="shared" si="8"/>
        <v>947660</v>
      </c>
      <c r="C70" s="25">
        <v>168000</v>
      </c>
    </row>
    <row r="71" spans="1:3" x14ac:dyDescent="0.3">
      <c r="A71" s="24">
        <v>44075</v>
      </c>
      <c r="B71" s="25">
        <f>B11*0.975</f>
        <v>823875</v>
      </c>
      <c r="C71" s="25">
        <v>145300</v>
      </c>
    </row>
    <row r="72" spans="1:3" x14ac:dyDescent="0.3">
      <c r="A72" s="24">
        <v>44105</v>
      </c>
      <c r="B72" s="25">
        <f>B12*0.975</f>
        <v>840450</v>
      </c>
      <c r="C72" s="25">
        <v>144600</v>
      </c>
    </row>
    <row r="73" spans="1:3" x14ac:dyDescent="0.3">
      <c r="A73" s="24">
        <v>44136</v>
      </c>
      <c r="B73" s="25">
        <f>B13*0.975</f>
        <v>613275</v>
      </c>
      <c r="C73" s="25">
        <v>103400</v>
      </c>
    </row>
    <row r="74" spans="1:3" x14ac:dyDescent="0.3">
      <c r="A74" s="24">
        <v>44166</v>
      </c>
      <c r="B74" s="25">
        <f>B14*0.975</f>
        <v>567450</v>
      </c>
      <c r="C74" s="25">
        <v>94000</v>
      </c>
    </row>
    <row r="75" spans="1:3" x14ac:dyDescent="0.3">
      <c r="A75" s="15">
        <v>44197</v>
      </c>
      <c r="B75" s="19">
        <f>B3*0.975</f>
        <v>581100</v>
      </c>
      <c r="C75" s="19">
        <v>95500</v>
      </c>
    </row>
    <row r="76" spans="1:3" x14ac:dyDescent="0.3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3">
      <c r="A77" s="15">
        <v>44256</v>
      </c>
      <c r="B77" s="19">
        <f t="shared" si="9"/>
        <v>844350</v>
      </c>
      <c r="C77" s="19">
        <v>144000</v>
      </c>
    </row>
    <row r="78" spans="1:3" x14ac:dyDescent="0.3">
      <c r="A78" s="15">
        <v>44287</v>
      </c>
      <c r="B78" s="19">
        <f t="shared" si="9"/>
        <v>942825</v>
      </c>
      <c r="C78" s="19">
        <v>164800</v>
      </c>
    </row>
    <row r="79" spans="1:3" x14ac:dyDescent="0.3">
      <c r="A79" s="15">
        <v>44317</v>
      </c>
      <c r="B79" s="19">
        <f t="shared" si="9"/>
        <v>980850</v>
      </c>
      <c r="C79" s="19">
        <v>172700</v>
      </c>
    </row>
    <row r="80" spans="1:3" x14ac:dyDescent="0.3">
      <c r="A80" s="15">
        <v>44348</v>
      </c>
      <c r="B80" s="19">
        <f t="shared" si="9"/>
        <v>1005225</v>
      </c>
      <c r="C80" s="19">
        <v>178800</v>
      </c>
    </row>
    <row r="81" spans="1:3" x14ac:dyDescent="0.3">
      <c r="A81" s="15">
        <v>44378</v>
      </c>
      <c r="B81" s="19">
        <f t="shared" si="9"/>
        <v>1018875</v>
      </c>
      <c r="C81" s="19">
        <v>182100</v>
      </c>
    </row>
    <row r="82" spans="1:3" x14ac:dyDescent="0.3">
      <c r="A82" s="15">
        <v>44409</v>
      </c>
      <c r="B82" s="19">
        <f t="shared" si="9"/>
        <v>942825</v>
      </c>
      <c r="C82" s="19">
        <v>168000</v>
      </c>
    </row>
    <row r="83" spans="1:3" x14ac:dyDescent="0.3">
      <c r="A83" s="15">
        <v>44440</v>
      </c>
      <c r="B83" s="19">
        <f t="shared" si="9"/>
        <v>823875</v>
      </c>
      <c r="C83" s="19">
        <v>145300</v>
      </c>
    </row>
    <row r="84" spans="1:3" x14ac:dyDescent="0.3">
      <c r="A84" s="15">
        <v>44470</v>
      </c>
      <c r="B84" s="19">
        <f t="shared" si="9"/>
        <v>840450</v>
      </c>
      <c r="C84" s="19">
        <v>144600</v>
      </c>
    </row>
    <row r="85" spans="1:3" x14ac:dyDescent="0.3">
      <c r="A85" s="15">
        <v>44501</v>
      </c>
      <c r="B85" s="19">
        <f t="shared" si="9"/>
        <v>613275</v>
      </c>
      <c r="C85" s="19">
        <v>103400</v>
      </c>
    </row>
    <row r="86" spans="1:3" x14ac:dyDescent="0.3">
      <c r="A86" s="15">
        <v>44531</v>
      </c>
      <c r="B86" s="19">
        <f t="shared" si="9"/>
        <v>567450</v>
      </c>
      <c r="C86" s="19">
        <v>94000</v>
      </c>
    </row>
    <row r="87" spans="1:3" x14ac:dyDescent="0.3">
      <c r="A87" s="24">
        <v>44562</v>
      </c>
      <c r="B87" s="25">
        <v>578342.01557633432</v>
      </c>
      <c r="C87" s="25">
        <v>102800</v>
      </c>
    </row>
    <row r="88" spans="1:3" x14ac:dyDescent="0.3">
      <c r="A88" s="24">
        <v>44593</v>
      </c>
      <c r="B88" s="25">
        <v>584164.25063247199</v>
      </c>
      <c r="C88" s="25">
        <v>106600</v>
      </c>
    </row>
    <row r="89" spans="1:3" x14ac:dyDescent="0.3">
      <c r="A89" s="24">
        <v>44621</v>
      </c>
      <c r="B89" s="25">
        <v>840342.59310252615</v>
      </c>
      <c r="C89" s="25">
        <v>156000</v>
      </c>
    </row>
    <row r="90" spans="1:3" x14ac:dyDescent="0.3">
      <c r="A90" s="24">
        <v>44652</v>
      </c>
      <c r="B90" s="25">
        <v>938350.21654750884</v>
      </c>
      <c r="C90" s="25">
        <v>176800</v>
      </c>
    </row>
    <row r="91" spans="1:3" x14ac:dyDescent="0.3">
      <c r="A91" s="24">
        <v>44682</v>
      </c>
      <c r="B91" s="25">
        <v>976194.7444124032</v>
      </c>
      <c r="C91" s="25">
        <v>183300</v>
      </c>
    </row>
    <row r="92" spans="1:3" x14ac:dyDescent="0.3">
      <c r="A92" s="24">
        <v>44713</v>
      </c>
      <c r="B92" s="25">
        <v>1000454.0571463099</v>
      </c>
      <c r="C92" s="25">
        <v>188600</v>
      </c>
    </row>
    <row r="93" spans="1:3" x14ac:dyDescent="0.3">
      <c r="A93" s="24">
        <v>44743</v>
      </c>
      <c r="B93" s="25">
        <v>1014039.2722772976</v>
      </c>
      <c r="C93" s="25">
        <v>189200</v>
      </c>
    </row>
    <row r="94" spans="1:3" x14ac:dyDescent="0.3">
      <c r="A94" s="24">
        <v>44774</v>
      </c>
      <c r="B94" s="25">
        <v>938350.21654750884</v>
      </c>
      <c r="C94" s="25">
        <v>175100</v>
      </c>
    </row>
    <row r="95" spans="1:3" x14ac:dyDescent="0.3">
      <c r="A95" s="24">
        <v>44805</v>
      </c>
      <c r="B95" s="25">
        <v>815864.94655401423</v>
      </c>
      <c r="C95" s="25">
        <v>153100</v>
      </c>
    </row>
    <row r="96" spans="1:3" x14ac:dyDescent="0.3">
      <c r="A96" s="24">
        <v>44835</v>
      </c>
      <c r="B96" s="25">
        <v>832278.79754977557</v>
      </c>
      <c r="C96" s="25">
        <v>153800</v>
      </c>
    </row>
    <row r="97" spans="1:3" x14ac:dyDescent="0.3">
      <c r="A97" s="24">
        <v>44866</v>
      </c>
      <c r="B97" s="25">
        <v>607312.48684316571</v>
      </c>
      <c r="C97" s="25">
        <v>111400</v>
      </c>
    </row>
    <row r="98" spans="1:3" x14ac:dyDescent="0.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0.6640625" customWidth="1"/>
    <col min="7" max="7" width="10" bestFit="1" customWidth="1"/>
  </cols>
  <sheetData>
    <row r="1" spans="1:16" x14ac:dyDescent="0.3">
      <c r="A1" s="16" t="s">
        <v>73</v>
      </c>
      <c r="B1" s="17" t="s">
        <v>74</v>
      </c>
      <c r="C1" s="17" t="s">
        <v>75</v>
      </c>
      <c r="G1" s="204" t="s">
        <v>89</v>
      </c>
      <c r="H1" s="204"/>
      <c r="I1" s="204"/>
      <c r="J1" s="204"/>
      <c r="K1" s="204"/>
      <c r="L1" s="204"/>
      <c r="M1" s="204"/>
      <c r="N1" s="204"/>
      <c r="P1" s="32" t="s">
        <v>90</v>
      </c>
    </row>
    <row r="2" spans="1:16" x14ac:dyDescent="0.3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349000</v>
      </c>
      <c r="C3" s="19">
        <v>90100</v>
      </c>
      <c r="E3" s="26"/>
      <c r="F3" t="s">
        <v>39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3">
      <c r="A4" s="15">
        <v>42036</v>
      </c>
      <c r="B4" s="19">
        <v>379200</v>
      </c>
      <c r="C4" s="19">
        <v>100800</v>
      </c>
      <c r="E4" s="26"/>
      <c r="F4" t="s">
        <v>40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3">
      <c r="A5" s="15">
        <v>42064</v>
      </c>
      <c r="B5" s="19">
        <v>508200</v>
      </c>
      <c r="C5" s="19">
        <v>139500</v>
      </c>
      <c r="E5" s="26"/>
      <c r="F5" t="s">
        <v>82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3">
      <c r="A6" s="15">
        <v>42095</v>
      </c>
      <c r="B6" s="19">
        <v>571100</v>
      </c>
      <c r="C6" s="19">
        <v>159800</v>
      </c>
      <c r="E6" s="26"/>
      <c r="F6" t="s">
        <v>42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3">
      <c r="A7" s="15">
        <v>42125</v>
      </c>
      <c r="B7" s="19">
        <v>581500</v>
      </c>
      <c r="C7" s="19">
        <v>163300</v>
      </c>
      <c r="E7" s="26"/>
      <c r="F7" t="s">
        <v>43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3">
      <c r="A8" s="15">
        <v>42156</v>
      </c>
      <c r="B8" s="19">
        <v>613000</v>
      </c>
      <c r="C8" s="19">
        <v>173900</v>
      </c>
      <c r="E8" s="26"/>
      <c r="F8" t="s">
        <v>44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3">
      <c r="A9" s="15">
        <v>42186</v>
      </c>
      <c r="B9" s="19">
        <v>621300</v>
      </c>
      <c r="C9" s="19">
        <v>176800</v>
      </c>
      <c r="E9" s="26"/>
      <c r="F9" t="s">
        <v>45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3">
      <c r="A10" s="15">
        <v>42217</v>
      </c>
      <c r="B10" s="19">
        <v>605900</v>
      </c>
      <c r="C10" s="19">
        <v>171400</v>
      </c>
      <c r="E10" s="26"/>
      <c r="F10" t="s">
        <v>46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3">
      <c r="A11" s="24">
        <v>42248</v>
      </c>
      <c r="B11" s="25">
        <v>500600</v>
      </c>
      <c r="C11" s="25">
        <v>139100</v>
      </c>
      <c r="D11" s="38" t="s">
        <v>91</v>
      </c>
      <c r="E11" s="26"/>
      <c r="F11" t="s">
        <v>47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3">
      <c r="A12" s="15">
        <v>42278</v>
      </c>
      <c r="B12" s="19">
        <v>460400</v>
      </c>
      <c r="C12" s="19">
        <v>125500</v>
      </c>
      <c r="E12" s="26"/>
      <c r="F12" t="s">
        <v>48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3">
      <c r="A13" s="15">
        <v>42309</v>
      </c>
      <c r="B13" s="19">
        <v>335300</v>
      </c>
      <c r="C13" s="19">
        <v>89900</v>
      </c>
      <c r="E13" s="26"/>
      <c r="F13" t="s">
        <v>49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3">
      <c r="A14" s="15">
        <v>42339</v>
      </c>
      <c r="B14" s="19">
        <v>342700</v>
      </c>
      <c r="C14" s="19">
        <v>89600</v>
      </c>
      <c r="E14" s="26"/>
      <c r="F14" t="s">
        <v>50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3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3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3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3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3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3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3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3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3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3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3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3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3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3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3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3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3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3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3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3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3">
      <c r="A35" s="15">
        <v>42979</v>
      </c>
      <c r="B35" s="19">
        <f>B11*0.99</f>
        <v>495594</v>
      </c>
      <c r="C35" s="19">
        <v>139100</v>
      </c>
    </row>
    <row r="36" spans="1:11" x14ac:dyDescent="0.3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3">
      <c r="A37" s="15">
        <v>43040</v>
      </c>
      <c r="B37" s="19">
        <f t="shared" si="4"/>
        <v>331947</v>
      </c>
      <c r="C37" s="19">
        <v>89900</v>
      </c>
    </row>
    <row r="38" spans="1:11" x14ac:dyDescent="0.3">
      <c r="A38" s="15">
        <v>43070</v>
      </c>
      <c r="B38" s="19">
        <f t="shared" si="4"/>
        <v>339273</v>
      </c>
      <c r="C38" s="19">
        <v>89600</v>
      </c>
    </row>
    <row r="39" spans="1:11" x14ac:dyDescent="0.3">
      <c r="A39" s="24">
        <v>43101</v>
      </c>
      <c r="B39" s="25">
        <f t="shared" si="4"/>
        <v>345510</v>
      </c>
      <c r="C39" s="25">
        <v>90100</v>
      </c>
    </row>
    <row r="40" spans="1:11" x14ac:dyDescent="0.3">
      <c r="A40" s="24">
        <v>43132</v>
      </c>
      <c r="B40" s="25">
        <f t="shared" si="4"/>
        <v>375408</v>
      </c>
      <c r="C40" s="25">
        <v>100800</v>
      </c>
    </row>
    <row r="41" spans="1:11" x14ac:dyDescent="0.3">
      <c r="A41" s="24">
        <v>43160</v>
      </c>
      <c r="B41" s="25">
        <f t="shared" si="4"/>
        <v>503118</v>
      </c>
      <c r="C41" s="25">
        <v>139500</v>
      </c>
    </row>
    <row r="42" spans="1:11" x14ac:dyDescent="0.3">
      <c r="A42" s="24">
        <v>43191</v>
      </c>
      <c r="B42" s="25">
        <f t="shared" si="4"/>
        <v>565389</v>
      </c>
      <c r="C42" s="25">
        <v>159800</v>
      </c>
    </row>
    <row r="43" spans="1:11" x14ac:dyDescent="0.3">
      <c r="A43" s="24">
        <v>43221</v>
      </c>
      <c r="B43" s="25">
        <f t="shared" si="4"/>
        <v>575685</v>
      </c>
      <c r="C43" s="25">
        <v>163300</v>
      </c>
    </row>
    <row r="44" spans="1:11" x14ac:dyDescent="0.3">
      <c r="A44" s="24">
        <v>43252</v>
      </c>
      <c r="B44" s="25">
        <f t="shared" si="4"/>
        <v>606870</v>
      </c>
      <c r="C44" s="25">
        <v>173900</v>
      </c>
    </row>
    <row r="45" spans="1:11" x14ac:dyDescent="0.3">
      <c r="A45" s="24">
        <v>43282</v>
      </c>
      <c r="B45" s="25">
        <f t="shared" si="4"/>
        <v>615087</v>
      </c>
      <c r="C45" s="25">
        <v>176800</v>
      </c>
    </row>
    <row r="46" spans="1:11" x14ac:dyDescent="0.3">
      <c r="A46" s="24">
        <v>43313</v>
      </c>
      <c r="B46" s="25">
        <f t="shared" si="4"/>
        <v>599841</v>
      </c>
      <c r="C46" s="25">
        <v>171400</v>
      </c>
    </row>
    <row r="47" spans="1:11" x14ac:dyDescent="0.3">
      <c r="A47" s="24">
        <v>43344</v>
      </c>
      <c r="B47" s="25">
        <f>B11*0.985</f>
        <v>493091</v>
      </c>
      <c r="C47" s="25">
        <v>139100</v>
      </c>
    </row>
    <row r="48" spans="1:11" x14ac:dyDescent="0.3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3">
      <c r="A49" s="24">
        <v>43405</v>
      </c>
      <c r="B49" s="25">
        <f t="shared" si="5"/>
        <v>330270.5</v>
      </c>
      <c r="C49" s="25">
        <v>89900</v>
      </c>
    </row>
    <row r="50" spans="1:3" x14ac:dyDescent="0.3">
      <c r="A50" s="24">
        <v>43435</v>
      </c>
      <c r="B50" s="25">
        <f t="shared" si="5"/>
        <v>337559.5</v>
      </c>
      <c r="C50" s="25">
        <v>89600</v>
      </c>
    </row>
    <row r="51" spans="1:3" x14ac:dyDescent="0.3">
      <c r="A51" s="15">
        <v>43466</v>
      </c>
      <c r="B51" s="19">
        <f t="shared" si="5"/>
        <v>343765</v>
      </c>
      <c r="C51" s="19">
        <v>90100</v>
      </c>
    </row>
    <row r="52" spans="1:3" x14ac:dyDescent="0.3">
      <c r="A52" s="15">
        <v>43497</v>
      </c>
      <c r="B52" s="19">
        <f t="shared" si="5"/>
        <v>373512</v>
      </c>
      <c r="C52" s="19">
        <v>100800</v>
      </c>
    </row>
    <row r="53" spans="1:3" x14ac:dyDescent="0.3">
      <c r="A53" s="15">
        <v>43525</v>
      </c>
      <c r="B53" s="19">
        <f t="shared" si="5"/>
        <v>500577</v>
      </c>
      <c r="C53" s="19">
        <v>139500</v>
      </c>
    </row>
    <row r="54" spans="1:3" x14ac:dyDescent="0.3">
      <c r="A54" s="15">
        <v>43556</v>
      </c>
      <c r="B54" s="19">
        <f t="shared" si="5"/>
        <v>562533.5</v>
      </c>
      <c r="C54" s="19">
        <v>159800</v>
      </c>
    </row>
    <row r="55" spans="1:3" x14ac:dyDescent="0.3">
      <c r="A55" s="15">
        <v>43586</v>
      </c>
      <c r="B55" s="19">
        <f t="shared" si="5"/>
        <v>572777.5</v>
      </c>
      <c r="C55" s="19">
        <v>163300</v>
      </c>
    </row>
    <row r="56" spans="1:3" x14ac:dyDescent="0.3">
      <c r="A56" s="15">
        <v>43617</v>
      </c>
      <c r="B56" s="19">
        <f t="shared" si="5"/>
        <v>603805</v>
      </c>
      <c r="C56" s="19">
        <v>173900</v>
      </c>
    </row>
    <row r="57" spans="1:3" x14ac:dyDescent="0.3">
      <c r="A57" s="15">
        <v>43647</v>
      </c>
      <c r="B57" s="19">
        <f t="shared" si="5"/>
        <v>611980.5</v>
      </c>
      <c r="C57" s="19">
        <v>176800</v>
      </c>
    </row>
    <row r="58" spans="1:3" x14ac:dyDescent="0.3">
      <c r="A58" s="15">
        <v>43678</v>
      </c>
      <c r="B58" s="19">
        <f t="shared" si="5"/>
        <v>596811.5</v>
      </c>
      <c r="C58" s="19">
        <v>171400</v>
      </c>
    </row>
    <row r="59" spans="1:3" x14ac:dyDescent="0.3">
      <c r="A59" s="15">
        <v>43709</v>
      </c>
      <c r="B59" s="19">
        <f>B11*0.98</f>
        <v>490588</v>
      </c>
      <c r="C59" s="19">
        <v>139100</v>
      </c>
    </row>
    <row r="60" spans="1:3" x14ac:dyDescent="0.3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3">
      <c r="A61" s="15">
        <v>43770</v>
      </c>
      <c r="B61" s="19">
        <f t="shared" si="6"/>
        <v>328594</v>
      </c>
      <c r="C61" s="19">
        <v>89900</v>
      </c>
    </row>
    <row r="62" spans="1:3" x14ac:dyDescent="0.3">
      <c r="A62" s="15">
        <v>43800</v>
      </c>
      <c r="B62" s="19">
        <f t="shared" si="6"/>
        <v>335846</v>
      </c>
      <c r="C62" s="19">
        <v>89600</v>
      </c>
    </row>
    <row r="63" spans="1:3" x14ac:dyDescent="0.3">
      <c r="A63" s="24">
        <v>43831</v>
      </c>
      <c r="B63" s="25">
        <f>B3*0.98</f>
        <v>342020</v>
      </c>
      <c r="C63" s="25">
        <v>90100</v>
      </c>
    </row>
    <row r="64" spans="1:3" x14ac:dyDescent="0.3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3">
      <c r="A65" s="24">
        <v>43891</v>
      </c>
      <c r="B65" s="25">
        <f t="shared" si="7"/>
        <v>498036</v>
      </c>
      <c r="C65" s="25">
        <v>139500</v>
      </c>
    </row>
    <row r="66" spans="1:3" x14ac:dyDescent="0.3">
      <c r="A66" s="24">
        <v>43922</v>
      </c>
      <c r="B66" s="25">
        <f t="shared" si="7"/>
        <v>559678</v>
      </c>
      <c r="C66" s="25">
        <v>159800</v>
      </c>
    </row>
    <row r="67" spans="1:3" x14ac:dyDescent="0.3">
      <c r="A67" s="24">
        <v>43952</v>
      </c>
      <c r="B67" s="25">
        <f t="shared" si="7"/>
        <v>569870</v>
      </c>
      <c r="C67" s="25">
        <v>163300</v>
      </c>
    </row>
    <row r="68" spans="1:3" x14ac:dyDescent="0.3">
      <c r="A68" s="24">
        <v>43983</v>
      </c>
      <c r="B68" s="25">
        <f t="shared" si="7"/>
        <v>600740</v>
      </c>
      <c r="C68" s="25">
        <v>173900</v>
      </c>
    </row>
    <row r="69" spans="1:3" x14ac:dyDescent="0.3">
      <c r="A69" s="24">
        <v>44013</v>
      </c>
      <c r="B69" s="25">
        <f t="shared" si="7"/>
        <v>608874</v>
      </c>
      <c r="C69" s="25">
        <v>176800</v>
      </c>
    </row>
    <row r="70" spans="1:3" x14ac:dyDescent="0.3">
      <c r="A70" s="24">
        <v>44044</v>
      </c>
      <c r="B70" s="25">
        <f t="shared" si="7"/>
        <v>593782</v>
      </c>
      <c r="C70" s="25">
        <v>171400</v>
      </c>
    </row>
    <row r="71" spans="1:3" x14ac:dyDescent="0.3">
      <c r="A71" s="24">
        <v>44075</v>
      </c>
      <c r="B71" s="25">
        <f>B11*0.975</f>
        <v>488085</v>
      </c>
      <c r="C71" s="25">
        <v>139100</v>
      </c>
    </row>
    <row r="72" spans="1:3" x14ac:dyDescent="0.3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3">
      <c r="A73" s="24">
        <v>44136</v>
      </c>
      <c r="B73" s="25">
        <f t="shared" si="8"/>
        <v>326917.5</v>
      </c>
      <c r="C73" s="25">
        <v>89900</v>
      </c>
    </row>
    <row r="74" spans="1:3" x14ac:dyDescent="0.3">
      <c r="A74" s="24">
        <v>44166</v>
      </c>
      <c r="B74" s="25">
        <f t="shared" si="8"/>
        <v>334132.5</v>
      </c>
      <c r="C74" s="25">
        <v>89600</v>
      </c>
    </row>
    <row r="75" spans="1:3" x14ac:dyDescent="0.3">
      <c r="A75" s="15">
        <v>44197</v>
      </c>
      <c r="B75" s="19">
        <f>B3*0.975</f>
        <v>340275</v>
      </c>
      <c r="C75" s="19">
        <v>90100</v>
      </c>
    </row>
    <row r="76" spans="1:3" x14ac:dyDescent="0.3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3">
      <c r="A77" s="15">
        <v>44256</v>
      </c>
      <c r="B77" s="19">
        <f t="shared" si="9"/>
        <v>495495</v>
      </c>
      <c r="C77" s="19">
        <v>139500</v>
      </c>
    </row>
    <row r="78" spans="1:3" x14ac:dyDescent="0.3">
      <c r="A78" s="15">
        <v>44287</v>
      </c>
      <c r="B78" s="19">
        <f t="shared" si="9"/>
        <v>556822.5</v>
      </c>
      <c r="C78" s="19">
        <v>159800</v>
      </c>
    </row>
    <row r="79" spans="1:3" x14ac:dyDescent="0.3">
      <c r="A79" s="15">
        <v>44317</v>
      </c>
      <c r="B79" s="19">
        <f t="shared" si="9"/>
        <v>566962.5</v>
      </c>
      <c r="C79" s="19">
        <v>163300</v>
      </c>
    </row>
    <row r="80" spans="1:3" x14ac:dyDescent="0.3">
      <c r="A80" s="15">
        <v>44348</v>
      </c>
      <c r="B80" s="19">
        <f t="shared" si="9"/>
        <v>597675</v>
      </c>
      <c r="C80" s="19">
        <v>173900</v>
      </c>
    </row>
    <row r="81" spans="1:3" x14ac:dyDescent="0.3">
      <c r="A81" s="15">
        <v>44378</v>
      </c>
      <c r="B81" s="19">
        <f t="shared" si="9"/>
        <v>605767.5</v>
      </c>
      <c r="C81" s="19">
        <v>176800</v>
      </c>
    </row>
    <row r="82" spans="1:3" x14ac:dyDescent="0.3">
      <c r="A82" s="15">
        <v>44409</v>
      </c>
      <c r="B82" s="19">
        <f t="shared" si="9"/>
        <v>590752.5</v>
      </c>
      <c r="C82" s="19">
        <v>171400</v>
      </c>
    </row>
    <row r="83" spans="1:3" x14ac:dyDescent="0.3">
      <c r="A83" s="15">
        <v>44440</v>
      </c>
      <c r="B83" s="19">
        <f t="shared" si="9"/>
        <v>488085</v>
      </c>
      <c r="C83" s="19">
        <v>139100</v>
      </c>
    </row>
    <row r="84" spans="1:3" x14ac:dyDescent="0.3">
      <c r="A84" s="15">
        <v>44470</v>
      </c>
      <c r="B84" s="19">
        <f t="shared" si="9"/>
        <v>448890</v>
      </c>
      <c r="C84" s="19">
        <v>125500</v>
      </c>
    </row>
    <row r="85" spans="1:3" x14ac:dyDescent="0.3">
      <c r="A85" s="15">
        <v>44501</v>
      </c>
      <c r="B85" s="19">
        <f t="shared" si="9"/>
        <v>326917.5</v>
      </c>
      <c r="C85" s="19">
        <v>89900</v>
      </c>
    </row>
    <row r="86" spans="1:3" x14ac:dyDescent="0.3">
      <c r="A86" s="15">
        <v>44531</v>
      </c>
      <c r="B86" s="19">
        <f t="shared" si="9"/>
        <v>334132.5</v>
      </c>
      <c r="C86" s="19">
        <v>89600</v>
      </c>
    </row>
    <row r="87" spans="1:3" x14ac:dyDescent="0.3">
      <c r="A87" s="24">
        <v>44562</v>
      </c>
      <c r="B87" s="25">
        <v>338660.00576533674</v>
      </c>
      <c r="C87" s="25">
        <v>99200</v>
      </c>
    </row>
    <row r="88" spans="1:3" x14ac:dyDescent="0.3">
      <c r="A88" s="24">
        <v>44593</v>
      </c>
      <c r="B88" s="25">
        <v>367965.25554789585</v>
      </c>
      <c r="C88" s="25">
        <v>108300</v>
      </c>
    </row>
    <row r="89" spans="1:3" x14ac:dyDescent="0.3">
      <c r="A89" s="24">
        <v>44621</v>
      </c>
      <c r="B89" s="25">
        <v>493143.3092548541</v>
      </c>
      <c r="C89" s="25">
        <v>150000</v>
      </c>
    </row>
    <row r="90" spans="1:3" x14ac:dyDescent="0.3">
      <c r="A90" s="24">
        <v>44652</v>
      </c>
      <c r="B90" s="25">
        <v>554179.74009336333</v>
      </c>
      <c r="C90" s="25">
        <v>171200</v>
      </c>
    </row>
    <row r="91" spans="1:3" x14ac:dyDescent="0.3">
      <c r="A91" s="24">
        <v>44682</v>
      </c>
      <c r="B91" s="25">
        <v>564271.61419066845</v>
      </c>
      <c r="C91" s="25">
        <v>174100</v>
      </c>
    </row>
    <row r="92" spans="1:3" x14ac:dyDescent="0.3">
      <c r="A92" s="24">
        <v>44713</v>
      </c>
      <c r="B92" s="25">
        <v>594838.34823539096</v>
      </c>
      <c r="C92" s="25">
        <v>182400</v>
      </c>
    </row>
    <row r="93" spans="1:3" x14ac:dyDescent="0.3">
      <c r="A93" s="24">
        <v>44743</v>
      </c>
      <c r="B93" s="25">
        <v>602892.44006304769</v>
      </c>
      <c r="C93" s="25">
        <v>185100</v>
      </c>
    </row>
    <row r="94" spans="1:3" x14ac:dyDescent="0.3">
      <c r="A94" s="24">
        <v>44774</v>
      </c>
      <c r="B94" s="25">
        <v>587948.70341896114</v>
      </c>
      <c r="C94" s="25">
        <v>178400</v>
      </c>
    </row>
    <row r="95" spans="1:3" x14ac:dyDescent="0.3">
      <c r="A95" s="24">
        <v>44805</v>
      </c>
      <c r="B95" s="25">
        <v>483339.63579282776</v>
      </c>
      <c r="C95" s="25">
        <v>146600</v>
      </c>
    </row>
    <row r="96" spans="1:3" x14ac:dyDescent="0.3">
      <c r="A96" s="24">
        <v>44835</v>
      </c>
      <c r="B96" s="25">
        <v>444525.70579108654</v>
      </c>
      <c r="C96" s="25">
        <v>133800</v>
      </c>
    </row>
    <row r="97" spans="1:3" x14ac:dyDescent="0.3">
      <c r="A97" s="24">
        <v>44866</v>
      </c>
      <c r="B97" s="25">
        <v>323739.07287522015</v>
      </c>
      <c r="C97" s="25">
        <v>96000</v>
      </c>
    </row>
    <row r="98" spans="1:3" x14ac:dyDescent="0.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2410DE-0C3D-4C69-92D9-9A7972A06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  <ds:schemaRef ds:uri="ddcd8467-55ca-498e-a9f8-86795db5db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Kusuma Potlada [AGS]</cp:lastModifiedBy>
  <cp:revision/>
  <dcterms:created xsi:type="dcterms:W3CDTF">2013-05-02T09:51:31Z</dcterms:created>
  <dcterms:modified xsi:type="dcterms:W3CDTF">2025-10-07T10:08:19Z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