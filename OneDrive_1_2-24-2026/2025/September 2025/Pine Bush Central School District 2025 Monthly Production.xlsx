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CF9DBBD8-FCE2-48E6-8510-A0BFA39DE107}" xr6:coauthVersionLast="47" xr6:coauthVersionMax="47" xr10:uidLastSave="{00000000-0000-0000-0000-000000000000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30" l="1"/>
  <c r="H7" i="30"/>
  <c r="H8" i="30"/>
  <c r="I6" i="30"/>
  <c r="I7" i="30"/>
  <c r="I8" i="30"/>
  <c r="C6" i="30"/>
  <c r="C7" i="30"/>
  <c r="C8" i="30"/>
  <c r="D6" i="30"/>
  <c r="E6" i="30" s="1"/>
  <c r="D7" i="30"/>
  <c r="D8" i="30"/>
  <c r="E8" i="30"/>
  <c r="G5" i="30"/>
  <c r="G6" i="30"/>
  <c r="G7" i="30"/>
  <c r="G8" i="30"/>
  <c r="G8" i="34"/>
  <c r="I8" i="34" s="1"/>
  <c r="G4" i="30"/>
  <c r="I7" i="29"/>
  <c r="H5" i="29"/>
  <c r="H7" i="29"/>
  <c r="G5" i="29"/>
  <c r="G6" i="29"/>
  <c r="G7" i="29"/>
  <c r="G8" i="29"/>
  <c r="G4" i="29"/>
  <c r="G5" i="18"/>
  <c r="G6" i="18"/>
  <c r="G7" i="18"/>
  <c r="G8" i="18"/>
  <c r="G4" i="18"/>
  <c r="F7" i="29"/>
  <c r="E7" i="29"/>
  <c r="D7" i="29"/>
  <c r="D8" i="29"/>
  <c r="C7" i="29"/>
  <c r="C8" i="29"/>
  <c r="E8" i="29" s="1"/>
  <c r="F8" i="29" s="1"/>
  <c r="C7" i="18"/>
  <c r="E7" i="18" s="1"/>
  <c r="F7" i="18" s="1"/>
  <c r="D7" i="18"/>
  <c r="H7" i="18"/>
  <c r="I7" i="18" s="1"/>
  <c r="C8" i="18"/>
  <c r="D8" i="18"/>
  <c r="E8" i="18"/>
  <c r="F8" i="18" s="1"/>
  <c r="H8" i="18"/>
  <c r="I8" i="18"/>
  <c r="C7" i="1"/>
  <c r="D7" i="1"/>
  <c r="E7" i="1"/>
  <c r="F7" i="1"/>
  <c r="G7" i="1"/>
  <c r="H7" i="1"/>
  <c r="I7" i="1"/>
  <c r="C8" i="1"/>
  <c r="E8" i="1" s="1"/>
  <c r="F8" i="1" s="1"/>
  <c r="D8" i="1"/>
  <c r="G8" i="1"/>
  <c r="H8" i="1"/>
  <c r="I8" i="1"/>
  <c r="H7" i="34"/>
  <c r="H8" i="34"/>
  <c r="F7" i="34"/>
  <c r="F8" i="34"/>
  <c r="E7" i="34"/>
  <c r="E8" i="34"/>
  <c r="D7" i="34"/>
  <c r="D8" i="34"/>
  <c r="C7" i="34"/>
  <c r="C8" i="34"/>
  <c r="I7" i="28"/>
  <c r="H6" i="28"/>
  <c r="I6" i="28" s="1"/>
  <c r="H7" i="28"/>
  <c r="H8" i="28"/>
  <c r="I5" i="31"/>
  <c r="I5" i="32"/>
  <c r="I5" i="33"/>
  <c r="I6" i="31"/>
  <c r="I6" i="32"/>
  <c r="I6" i="33"/>
  <c r="I4" i="31"/>
  <c r="I4" i="32"/>
  <c r="I4" i="33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5" i="1"/>
  <c r="G4" i="1"/>
  <c r="G4" i="34" s="1"/>
  <c r="D6" i="34"/>
  <c r="D5" i="34"/>
  <c r="C6" i="34"/>
  <c r="C5" i="34"/>
  <c r="B4" i="34" a="1"/>
  <c r="B4" i="34" s="1"/>
  <c r="A4" i="34" a="1"/>
  <c r="A4" i="34" s="1"/>
  <c r="A1" i="34" a="1"/>
  <c r="A1" i="34" s="1"/>
  <c r="D5" i="30"/>
  <c r="C5" i="30"/>
  <c r="E5" i="30" s="1"/>
  <c r="F5" i="30" s="1"/>
  <c r="D4" i="30"/>
  <c r="C4" i="30"/>
  <c r="D6" i="29"/>
  <c r="C6" i="29"/>
  <c r="D5" i="29"/>
  <c r="C5" i="29"/>
  <c r="D4" i="29"/>
  <c r="C4" i="29"/>
  <c r="D6" i="18"/>
  <c r="C6" i="18"/>
  <c r="D5" i="18"/>
  <c r="C5" i="18"/>
  <c r="D4" i="18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H6" i="33"/>
  <c r="E6" i="33"/>
  <c r="F6" i="33" s="1"/>
  <c r="H5" i="33"/>
  <c r="E5" i="33"/>
  <c r="F5" i="33" s="1"/>
  <c r="H4" i="33"/>
  <c r="E4" i="33"/>
  <c r="F4" i="33" s="1"/>
  <c r="G2" i="33"/>
  <c r="D2" i="33"/>
  <c r="C2" i="33"/>
  <c r="J2" i="33" s="1"/>
  <c r="A1" i="33" a="1"/>
  <c r="A1" i="33" s="1"/>
  <c r="H6" i="32"/>
  <c r="E6" i="32"/>
  <c r="F6" i="32" s="1"/>
  <c r="H5" i="32"/>
  <c r="E5" i="32"/>
  <c r="F5" i="32" s="1"/>
  <c r="H4" i="32"/>
  <c r="E4" i="32"/>
  <c r="F4" i="32" s="1"/>
  <c r="G2" i="32"/>
  <c r="D2" i="32"/>
  <c r="C2" i="32"/>
  <c r="A1" i="32" a="1"/>
  <c r="A1" i="32" s="1"/>
  <c r="H6" i="31"/>
  <c r="E6" i="31"/>
  <c r="F6" i="31" s="1"/>
  <c r="H5" i="31"/>
  <c r="E5" i="31"/>
  <c r="F5" i="31" s="1"/>
  <c r="H4" i="31"/>
  <c r="E4" i="31"/>
  <c r="F4" i="31" s="1"/>
  <c r="G2" i="31"/>
  <c r="D2" i="31"/>
  <c r="C2" i="31"/>
  <c r="A1" i="31" a="1"/>
  <c r="A1" i="31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H6" i="72"/>
  <c r="I6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8" i="29" l="1"/>
  <c r="I8" i="29" s="1"/>
  <c r="I8" i="28"/>
  <c r="G6" i="34"/>
  <c r="H6" i="29"/>
  <c r="I6" i="29" s="1"/>
  <c r="E7" i="30"/>
  <c r="G2" i="30"/>
  <c r="G5" i="34"/>
  <c r="G2" i="34" s="1"/>
  <c r="G7" i="34"/>
  <c r="I7" i="34" s="1"/>
  <c r="E6" i="29"/>
  <c r="F6" i="29" s="1"/>
  <c r="F6" i="30"/>
  <c r="D2" i="30"/>
  <c r="H2" i="31"/>
  <c r="I2" i="31" s="1"/>
  <c r="E4" i="30"/>
  <c r="F4" i="30" s="1"/>
  <c r="E5" i="29"/>
  <c r="F5" i="29" s="1"/>
  <c r="E2" i="28"/>
  <c r="F2" i="28" s="1"/>
  <c r="H2" i="20"/>
  <c r="I2" i="20" s="1"/>
  <c r="E5" i="18"/>
  <c r="F5" i="18" s="1"/>
  <c r="E6" i="18"/>
  <c r="F6" i="18" s="1"/>
  <c r="D2" i="18"/>
  <c r="E4" i="18"/>
  <c r="F4" i="18" s="1"/>
  <c r="J2" i="20"/>
  <c r="J2" i="21"/>
  <c r="H2" i="4"/>
  <c r="I2" i="4" s="1"/>
  <c r="H2" i="19"/>
  <c r="I2" i="19" s="1"/>
  <c r="J2" i="19"/>
  <c r="H2" i="28"/>
  <c r="I2" i="28" s="1"/>
  <c r="H2" i="32"/>
  <c r="I2" i="32" s="1"/>
  <c r="H2" i="26"/>
  <c r="I2" i="26" s="1"/>
  <c r="D4" i="34"/>
  <c r="D2" i="34" s="1"/>
  <c r="J2" i="28"/>
  <c r="H2" i="33"/>
  <c r="I2" i="33" s="1"/>
  <c r="J2" i="31"/>
  <c r="E2" i="20"/>
  <c r="F2" i="20" s="1"/>
  <c r="H2" i="27"/>
  <c r="I2" i="27" s="1"/>
  <c r="D2" i="29"/>
  <c r="J2" i="4"/>
  <c r="J2" i="32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H4" i="29"/>
  <c r="I4" i="29" s="1"/>
  <c r="I5" i="29"/>
  <c r="H6" i="18"/>
  <c r="I6" i="18" s="1"/>
  <c r="H4" i="18"/>
  <c r="I4" i="18" s="1"/>
  <c r="C4" i="34"/>
  <c r="H5" i="18"/>
  <c r="I5" i="18" s="1"/>
  <c r="H6" i="34"/>
  <c r="I6" i="34" s="1"/>
  <c r="H5" i="34"/>
  <c r="I5" i="34" s="1"/>
  <c r="C2" i="29"/>
  <c r="C2" i="30"/>
  <c r="E4" i="29"/>
  <c r="F4" i="29" s="1"/>
  <c r="C2" i="18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2" i="72" s="1"/>
  <c r="E2" i="29" l="1"/>
  <c r="F2" i="29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<sst xmlns="http://schemas.openxmlformats.org/spreadsheetml/2006/main" count="313" uniqueCount="83">
  <si>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</si>
  <si>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</si>
  <si>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</si>
  <si>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</si>
  <si>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</si>
  <si>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</si>
  <si>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</si>
  <si>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</si>
  <si>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</si>
  <si>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</si>
  <si>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</si>
  <si>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</si>
  <si>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</si>
  <si>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</si>
  <si>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</si>
  <si>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</si>
  <si>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</si>
  <si>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</si>
  <si>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</si>
  <si>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</si>
  <si>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</si>
  <si>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</si>
  <si>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</si>
  <si>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</si>
  <si>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</si>
  <si>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</si>
  <si>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</si>
  <si>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</si>
  <si>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</si>
  <si>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</si>
  <si>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1. Inverter 2 tripped offline at 13:45 on 05/28 and self-resolved, returning online at 16:00 the same day</t>
  </si>
  <si>
    <t>1. SR102050</t>
  </si>
  <si>
    <t>June Actual v. Expected</t>
  </si>
  <si>
    <t>June Actual v. Forecasted</t>
  </si>
  <si>
    <t>July Actual v. Expected</t>
  </si>
  <si>
    <t>July Actual v. Forecasted</t>
  </si>
  <si>
    <t>N/A</t>
  </si>
  <si>
    <t>1.Inverter 13 is derating at 16kW from 12:15 since 06/24 and reporting " Fan Fault"
2. Inverter 12 dropped a string on 7/23.</t>
  </si>
  <si>
    <t>1.SR103425
2.SR105584</t>
  </si>
  <si>
    <t>1.Inverter 2 tripped offline multiple days through out the month
2.Site was offline at 22:45 on 07/03 and it came back online at 02:15 on 07/04
3.Inverter 1 is underperforming by 5kW since 12/26/24</t>
  </si>
  <si>
    <t>1.SR103723
2.	SR104003
3.	SR107621</t>
  </si>
  <si>
    <t>1. The meter had intermittent communication, so the actual production data was taken from the inverters</t>
  </si>
  <si>
    <t xml:space="preserve"> </t>
  </si>
  <si>
    <t>August Actual v. Expected</t>
  </si>
  <si>
    <t>August Actual v. Forecasted</t>
  </si>
  <si>
    <t>1.nverter 13 is producing with its peers on 08/10
2. Inverter 12 dropped a string on 7/23</t>
  </si>
  <si>
    <t>1.Inverter 2 tripped offline multiple days
2.Inverter 1 is underperforming by 5kW since 12/26/24</t>
  </si>
  <si>
    <t>1.SR103723
2.	SR107621</t>
  </si>
  <si>
    <t>September Actual v. Expected</t>
  </si>
  <si>
    <t>September Actual v. Forecasted</t>
  </si>
  <si>
    <t>1. Inverter 12 dropped a string on 7/23</t>
  </si>
  <si>
    <t>1.SR105584</t>
  </si>
  <si>
    <t>1.Inverter 2 tripped from 11:00 to 14:45 on 09/20</t>
  </si>
  <si>
    <t>1.	SR102050</t>
  </si>
  <si>
    <t>1.Inverter 2 tripped offline multiple days
2.Inverter 1 is underperforming by 5kW since 12/26/24
3.Inverter 2 is derating at 17kW.</t>
  </si>
  <si>
    <t>1.	SR103723
2.	SR107621
3.SR107622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</si>
  <si>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</si>
  <si>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</si>
  <si>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</si>
  <si>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</si>
  <si>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</si>
  <si>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</si>
  <si>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</si>
  <si>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Pine Bush Central School District</t>
  </si>
  <si>
    <t>Site DAS Name</t>
  </si>
  <si>
    <t>Update</t>
  </si>
  <si>
    <t>DAS</t>
  </si>
  <si>
    <t>NY:  Pine Bush - HS</t>
  </si>
  <si>
    <t>Pine Bush - HS</t>
  </si>
  <si>
    <t>NY</t>
  </si>
  <si>
    <t>PF Unity</t>
  </si>
  <si>
    <t>NY:  Pine Bush - ES</t>
  </si>
  <si>
    <t>Pine Bush - ES</t>
  </si>
  <si>
    <t>NY:  Pine Bush - Russel ES</t>
  </si>
  <si>
    <t xml:space="preserve"> Pine Bush - Russel ES</t>
  </si>
  <si>
    <t>NY:  Circleville - ES</t>
  </si>
  <si>
    <t xml:space="preserve">  Circleville - ES</t>
  </si>
  <si>
    <t>NY:  Circleville - MS</t>
  </si>
  <si>
    <t xml:space="preserve"> Circleville - MS</t>
  </si>
  <si>
    <t>SR105584</t>
  </si>
  <si>
    <t>SR104003</t>
  </si>
  <si>
    <t>SR107621</t>
  </si>
  <si>
    <t>SR107622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</si>
</sst>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5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5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right"/>
    </xf>
    <xf numFmtId="49" fontId="28" fillId="0" borderId="0" xfId="0" applyNumberFormat="1" applyFont="1" applyAlignment="1">
      <alignment horizontal="left" vertical="top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49" fontId="35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35" fillId="0" borderId="0" xfId="0" applyNumberFormat="1" applyFont="1" applyAlignment="1">
      <alignment horizontal="left" vertical="top"/>
    </xf>
    <xf numFmtId="49" fontId="35" fillId="0" borderId="0" xfId="0" applyNumberFormat="1" applyFont="1" applyAlignment="1">
      <alignment horizontal="left" vertical="top" wrapText="1"/>
    </xf>
    <xf numFmtId="0" fontId="32" fillId="0" borderId="0" xfId="0" applyFont="1" applyAlignment="1">
      <alignment horizontal="right"/>
    </xf>
    <xf numFmtId="0" fontId="32" fillId="0" borderId="0" xfId="0" applyFont="1" applyAlignment="1">
      <alignment horizontal="center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6" fillId="0" borderId="0" xfId="45" applyNumberFormat="1" applyAlignment="1">
      <alignment horizontal="left" vertical="top"/>
    </xf>
    <xf numFmtId="0" fontId="36" fillId="0" borderId="0" xfId="45" applyAlignment="1">
      <alignment horizontal="left" vertical="top"/>
    </xf>
    <xf numFmtId="49" fontId="36" fillId="38" borderId="0" xfId="45" applyNumberForma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49" fontId="36" fillId="0" borderId="0" xfId="45" applyNumberFormat="1" applyAlignment="1">
      <alignment horizontal="left" vertical="top" wrapText="1"/>
    </xf>
    <xf numFmtId="0" fontId="0" fillId="0" borderId="0" xfId="0" applyAlignment="1">
      <alignment horizontal="left" vertical="top"/>
    </xf>
    <xf numFmtId="49" fontId="36" fillId="0" borderId="0" xfId="45" applyNumberFormat="1" applyAlignment="1">
      <alignment horizontal="left" vertical="center" wrapText="1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8" totalsRowShown="0">
  <autoFilter ref="A3:E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723" TargetMode="External"/><Relationship Id="rId2" Type="http://schemas.openxmlformats.org/officeDocument/2006/relationships/hyperlink" Target="https://us3.assetplanner.com/service_request?ID=105584" TargetMode="External"/><Relationship Id="rId1" Type="http://schemas.openxmlformats.org/officeDocument/2006/relationships/hyperlink" Target="https://us3.assetplanner.com/service_request?ID=103425" TargetMode="External"/><Relationship Id="rId5" Type="http://schemas.openxmlformats.org/officeDocument/2006/relationships/hyperlink" Target="https://us3.assetplanner.com/service_request?ID=107621" TargetMode="External"/><Relationship Id="rId4" Type="http://schemas.openxmlformats.org/officeDocument/2006/relationships/hyperlink" Target="https://us3.assetplanner.com/service_request?ID=104003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723" TargetMode="External"/><Relationship Id="rId2" Type="http://schemas.openxmlformats.org/officeDocument/2006/relationships/hyperlink" Target="https://us3.assetplanner.com/service_request?ID=105584" TargetMode="External"/><Relationship Id="rId1" Type="http://schemas.openxmlformats.org/officeDocument/2006/relationships/hyperlink" Target="https://us3.assetplanner.com/service_request?ID=103425" TargetMode="External"/><Relationship Id="rId4" Type="http://schemas.openxmlformats.org/officeDocument/2006/relationships/hyperlink" Target="https://us3.assetplanner.com/service_request?ID=107621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723" TargetMode="External"/><Relationship Id="rId2" Type="http://schemas.openxmlformats.org/officeDocument/2006/relationships/hyperlink" Target="https://us3.assetplanner.com/service_request?ID=102050" TargetMode="External"/><Relationship Id="rId1" Type="http://schemas.openxmlformats.org/officeDocument/2006/relationships/hyperlink" Target="https://us3.assetplanner.com/service_request?ID=105584" TargetMode="External"/><Relationship Id="rId5" Type="http://schemas.openxmlformats.org/officeDocument/2006/relationships/hyperlink" Target="https://us3.assetplanner.com/service_request?ID=107622" TargetMode="External"/><Relationship Id="rId4" Type="http://schemas.openxmlformats.org/officeDocument/2006/relationships/hyperlink" Target="https://us3.assetplanner.com/service_request?ID=107621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7"/>
  <sheetViews>
    <sheetView workbookViewId="0">
      <pane ySplit="2" topLeftCell="A3" activePane="bottomLeft" state="frozen"/>
      <selection pane="bottomLeft" activeCell="E17" sqref="E17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1" t="str" cm="1">
        <f t="array" ref="A1">portfolio</f>
        <v>Pine Bush Central School District</v>
      </c>
      <c r="B1" s="61"/>
      <c r="C1" s="61"/>
      <c r="D1" s="62" t="s">
        <v>0</v>
      </c>
      <c r="E1" s="62"/>
      <c r="F1" s="62"/>
      <c r="G1" s="60" t="s">
        <v>1</v>
      </c>
      <c r="H1" s="60"/>
      <c r="I1" s="60"/>
    </row>
    <row r="2" spans="1:9" ht="19.5" customHeight="1" x14ac:dyDescent="0.25">
      <c r="A2" s="63" t="s">
        <v>2</v>
      </c>
      <c r="B2" s="63"/>
      <c r="C2" s="6">
        <f>SUM(C4:C85)</f>
        <v>195630.7</v>
      </c>
      <c r="D2" s="6">
        <f>SUM(D4:D85)</f>
        <v>0</v>
      </c>
      <c r="E2" s="6">
        <f>C2-D2</f>
        <v>195630.7</v>
      </c>
      <c r="F2" s="7">
        <f>IFERROR(E2/D2, 0)</f>
        <v>0</v>
      </c>
      <c r="G2" s="6">
        <f>SUM(G4:G85)</f>
        <v>0</v>
      </c>
      <c r="H2" s="8">
        <f>C2-G2</f>
        <v>195630.7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 x14ac:dyDescent="0.25">
      <c r="A4" s="13" t="str" cm="1">
        <f t="array" ref="A4:A8">Sites[Site]</f>
        <v>Pine Bush - HS</v>
      </c>
      <c r="B4" s="10" t="str" cm="1">
        <f t="array" ref="B4:B8">Sites[State]</f>
        <v>NY</v>
      </c>
      <c r="C4" s="26">
        <f>SUM('1st Qtr'!C4, '2nd Qtr'!C4, '3rd Qtr'!C4, '4th Qtr'!C4)</f>
        <v>195630.7</v>
      </c>
      <c r="D4" s="14">
        <f>SUM('1st Qtr'!D4, '2nd Qtr'!D4, '3rd Qtr'!D4, '4th Qtr'!D4)</f>
        <v>0</v>
      </c>
      <c r="E4" s="14">
        <f>IF(AND(ISNUMBER(C4),ISNUMBER(D4)), C4-D4, "")</f>
        <v>195630.7</v>
      </c>
      <c r="F4" s="15">
        <f>IFERROR(E4/D4, 0)</f>
        <v>0</v>
      </c>
      <c r="G4" s="16">
        <f>SUM('1st Qtr'!G4,'2nd Qtr'!G4,'3rd Qtr'!G4,'4th Qtr'!G4)</f>
        <v>0</v>
      </c>
      <c r="H4" s="16">
        <f>SUM('1st Qtr'!H4, '2nd Qtr'!H4, '3rd Qtr'!H4, '4th Qtr'!H4)</f>
        <v>0</v>
      </c>
      <c r="I4" s="17">
        <f>IFERROR(H4/G4, 0)</f>
        <v>0</v>
      </c>
    </row>
    <row r="5" spans="1:9" ht="15.6" x14ac:dyDescent="0.25">
      <c r="A5" s="19" t="str">
        <v>Pine Bush - ES</v>
      </c>
      <c r="B5" s="11" t="str">
        <v>NY</v>
      </c>
      <c r="C5" s="12">
        <f>SUM(Jan!C5, Feb!C5, Mar!C5)</f>
        <v>0</v>
      </c>
      <c r="D5" s="20">
        <f>SUM(Jan!D5, Feb!D5, Mar!D5)</f>
        <v>0</v>
      </c>
      <c r="E5" s="20">
        <f t="shared" ref="E5:E8" si="0">IF(AND(ISNUMBER(C5),ISNUMBER(D5)), C5-D5, "")</f>
        <v>0</v>
      </c>
      <c r="F5" s="21">
        <f>IFERROR(E5/D5, 0)</f>
        <v>0</v>
      </c>
      <c r="G5" s="22">
        <f>SUM('1st Qtr'!G5,'2nd Qtr'!G5,'3rd Qtr'!G5,'4th Qtr'!G5)</f>
        <v>0</v>
      </c>
      <c r="H5" s="22">
        <f>SUM(Jan!H5, Feb!H5, Mar!H5)</f>
        <v>0</v>
      </c>
      <c r="I5" s="21">
        <f>IFERROR(H5/G5, 0)</f>
        <v>0</v>
      </c>
    </row>
    <row r="6" spans="1:9" ht="15.6" x14ac:dyDescent="0.25">
      <c r="A6" s="13" t="str">
        <v xml:space="preserve"> Pine Bush - Russel ES</v>
      </c>
      <c r="B6" s="10" t="str">
        <v>NY</v>
      </c>
      <c r="C6" s="26">
        <f>SUM(Jan!C6, Feb!C6, Mar!C6)</f>
        <v>0</v>
      </c>
      <c r="D6" s="14">
        <f>SUM(Jan!D6, Feb!D6, Mar!D6)</f>
        <v>0</v>
      </c>
      <c r="E6" s="14">
        <f t="shared" si="0"/>
        <v>0</v>
      </c>
      <c r="F6" s="15">
        <f>IFERROR(E6/D6, 0)</f>
        <v>0</v>
      </c>
      <c r="G6" s="16">
        <f>SUM('1st Qtr'!G6,'2nd Qtr'!G6,'3rd Qtr'!G6,'4th Qtr'!G6)</f>
        <v>0</v>
      </c>
      <c r="H6" s="16">
        <f>SUM(Jan!H6, Feb!H6, Mar!H6)</f>
        <v>0</v>
      </c>
      <c r="I6" s="17">
        <f>IFERROR(H6/G6, 0)</f>
        <v>0</v>
      </c>
    </row>
    <row r="7" spans="1:9" ht="15.6" x14ac:dyDescent="0.25">
      <c r="A7" s="19" t="str">
        <v xml:space="preserve">  Circleville - ES</v>
      </c>
      <c r="B7" s="11" t="str">
        <v>NY</v>
      </c>
      <c r="C7" s="12">
        <f>SUM(Jan!C7, Feb!C7, Mar!C7)</f>
        <v>0</v>
      </c>
      <c r="D7" s="20">
        <f>SUM(Jan!D7, Feb!D7, Mar!D7)</f>
        <v>0</v>
      </c>
      <c r="E7" s="20">
        <f t="shared" si="0"/>
        <v>0</v>
      </c>
      <c r="F7" s="21">
        <f>IFERROR(E7/D7, 0)</f>
        <v>0</v>
      </c>
      <c r="G7" s="22">
        <f>SUM('1st Qtr'!G7,'2nd Qtr'!G7,'3rd Qtr'!G7,'4th Qtr'!G7)</f>
        <v>0</v>
      </c>
      <c r="H7" s="22">
        <f>SUM(Jan!H7, Feb!H7, Mar!H7)</f>
        <v>0</v>
      </c>
      <c r="I7" s="21">
        <f>IFERROR(H7/G7, 0)</f>
        <v>0</v>
      </c>
    </row>
    <row r="8" spans="1:9" ht="15.6" x14ac:dyDescent="0.25">
      <c r="A8" s="13" t="str">
        <v xml:space="preserve"> Circleville - MS</v>
      </c>
      <c r="B8" s="10" t="str">
        <v>NY</v>
      </c>
      <c r="C8" s="26">
        <f>SUM(Jan!C8, Feb!C8, Mar!C8)</f>
        <v>0</v>
      </c>
      <c r="D8" s="14">
        <f>SUM(Jan!D8, Feb!D8, Mar!D8)</f>
        <v>0</v>
      </c>
      <c r="E8" s="14">
        <f t="shared" si="0"/>
        <v>0</v>
      </c>
      <c r="F8" s="15">
        <f>IFERROR(E8/D8, 0)</f>
        <v>0</v>
      </c>
      <c r="G8" s="16">
        <f>SUM('1st Qtr'!G8,'2nd Qtr'!G8,'3rd Qtr'!G8,'4th Qtr'!G8)</f>
        <v>0</v>
      </c>
      <c r="H8" s="16">
        <f>SUM(Jan!H8, Feb!H8, Mar!H8)</f>
        <v>0</v>
      </c>
      <c r="I8" s="17">
        <f>IFERROR(H8/G8, 0)</f>
        <v>0</v>
      </c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8" x14ac:dyDescent="0.3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8" x14ac:dyDescent="0.3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8" x14ac:dyDescent="0.3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</sheetData>
  <mergeCells count="4">
    <mergeCell ref="G1:I1"/>
    <mergeCell ref="A1:C1"/>
    <mergeCell ref="D1:F1"/>
    <mergeCell ref="A2:B2"/>
  </mergeCells>
  <conditionalFormatting sqref="F2 I2 F4:F85 I4:I85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7"/>
  <sheetViews>
    <sheetView workbookViewId="0">
      <pane ySplit="2" topLeftCell="A3" activePane="bottomLeft" state="frozen"/>
      <selection activeCell="A33" sqref="A33"/>
      <selection pane="bottomLeft" activeCell="C18" sqref="C18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1" t="str" cm="1">
        <f t="array" ref="A1">portfolio</f>
        <v>Pine Bush Central School District</v>
      </c>
      <c r="B1" s="61"/>
      <c r="C1" s="61"/>
      <c r="D1" s="62" t="s">
        <v>10</v>
      </c>
      <c r="E1" s="62"/>
      <c r="F1" s="62"/>
      <c r="G1" s="60" t="s">
        <v>11</v>
      </c>
      <c r="H1" s="60"/>
      <c r="I1" s="60"/>
    </row>
    <row r="2" spans="1:9" ht="19.5" customHeight="1" x14ac:dyDescent="0.25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 x14ac:dyDescent="0.25">
      <c r="A4" s="13" t="str" cm="1">
        <f t="array" ref="A4:A8">Sites[Site]</f>
        <v>Pine Bush - HS</v>
      </c>
      <c r="B4" s="10" t="str" cm="1">
        <f t="array" ref="B4:B8">Sites[State]</f>
        <v>NY</v>
      </c>
      <c r="C4" s="26">
        <f>SUM(Jan!C4, Feb!C4, Mar!C4)</f>
        <v>0</v>
      </c>
      <c r="D4" s="14">
        <f>SUM(Jan!D4, Feb!D4, Mar!D4)</f>
        <v>0</v>
      </c>
      <c r="E4" s="14">
        <f>IF(AND(ISNUMBER(C4),ISNUMBER(D4)), C4-D4, "")</f>
        <v>0</v>
      </c>
      <c r="F4" s="15" t="str">
        <f>IFERROR(E4/D4,"")</f>
        <v/>
      </c>
      <c r="G4" s="16">
        <f>SUM(Jan!G4, Feb!G4, Mar!G4)</f>
        <v>0</v>
      </c>
      <c r="H4" s="16">
        <f>SUM(Jan!H4, Feb!H4, Mar!H4)</f>
        <v>0</v>
      </c>
      <c r="I4" s="17">
        <f>IFERROR(H4/G4, 0)</f>
        <v>0</v>
      </c>
    </row>
    <row r="5" spans="1:9" ht="15.6" x14ac:dyDescent="0.25">
      <c r="A5" s="19" t="str">
        <v>Pine Bush - ES</v>
      </c>
      <c r="B5" s="11" t="str">
        <v>NY</v>
      </c>
      <c r="C5" s="12">
        <f>SUM(Jan!C5, Feb!C5, Mar!C5)</f>
        <v>0</v>
      </c>
      <c r="D5" s="20">
        <f>SUM(Jan!D5, Feb!D5, Mar!D5)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>
        <f>SUM(Jan!G5, Feb!G5, Mar!G5)</f>
        <v>0</v>
      </c>
      <c r="H5" s="22">
        <f>SUM(Jan!H5, Feb!H5, Mar!H5)</f>
        <v>0</v>
      </c>
      <c r="I5" s="21">
        <f>IFERROR(H5/G5, 0)</f>
        <v>0</v>
      </c>
    </row>
    <row r="6" spans="1:9" ht="15.6" x14ac:dyDescent="0.25">
      <c r="A6" s="13" t="str">
        <v xml:space="preserve"> Pine Bush - Russel ES</v>
      </c>
      <c r="B6" s="10" t="str">
        <v>NY</v>
      </c>
      <c r="C6" s="26">
        <f>SUM(Jan!C6, Feb!C6, Mar!C6)</f>
        <v>0</v>
      </c>
      <c r="D6" s="14">
        <f>SUM(Jan!D6, Feb!D6, Mar!D6)</f>
        <v>0</v>
      </c>
      <c r="E6" s="14">
        <f t="shared" si="0"/>
        <v>0</v>
      </c>
      <c r="F6" s="15" t="str">
        <f t="shared" ref="F6" si="1">IFERROR(E6/D6, "")</f>
        <v/>
      </c>
      <c r="G6" s="16">
        <f>SUM(Jan!G6, Feb!G6, Mar!G6)</f>
        <v>0</v>
      </c>
      <c r="H6" s="16">
        <f>SUM(Jan!H6, Feb!H6, Mar!H6)</f>
        <v>0</v>
      </c>
      <c r="I6" s="17">
        <f>IFERROR(H6/G6, 0)</f>
        <v>0</v>
      </c>
    </row>
    <row r="7" spans="1:9" ht="15.6" x14ac:dyDescent="0.25">
      <c r="A7" s="19" t="str">
        <v xml:space="preserve">  Circleville - ES</v>
      </c>
      <c r="B7" s="11" t="str">
        <v>NY</v>
      </c>
      <c r="C7" s="12">
        <f>SUM(Jan!C7, Feb!C7, Mar!C7)</f>
        <v>0</v>
      </c>
      <c r="D7" s="20">
        <f>SUM(Jan!D7, Feb!D7, Mar!D7)</f>
        <v>0</v>
      </c>
      <c r="E7" s="20">
        <f t="shared" ref="E7:E8" si="2">IF(AND(ISNUMBER(C7),ISNUMBER(D7)), C7-D7, "")</f>
        <v>0</v>
      </c>
      <c r="F7" s="21" t="str">
        <f>IFERROR(E7/D7, "")</f>
        <v/>
      </c>
      <c r="G7" s="22">
        <f>SUM(Jan!G7, Feb!G7, Mar!G7)</f>
        <v>0</v>
      </c>
      <c r="H7" s="22">
        <f>SUM(Jan!H7, Feb!H7, Mar!H7)</f>
        <v>0</v>
      </c>
      <c r="I7" s="21">
        <f>IFERROR(H7/G7, 0)</f>
        <v>0</v>
      </c>
    </row>
    <row r="8" spans="1:9" ht="15.6" x14ac:dyDescent="0.25">
      <c r="A8" s="13" t="str">
        <v xml:space="preserve"> Circleville - MS</v>
      </c>
      <c r="B8" s="10" t="str">
        <v>NY</v>
      </c>
      <c r="C8" s="26">
        <f>SUM(Jan!C8, Feb!C8, Mar!C8)</f>
        <v>0</v>
      </c>
      <c r="D8" s="14">
        <f>SUM(Jan!D8, Feb!D8, Mar!D8)</f>
        <v>0</v>
      </c>
      <c r="E8" s="14">
        <f t="shared" si="2"/>
        <v>0</v>
      </c>
      <c r="F8" s="15" t="str">
        <f t="shared" ref="F8" si="3">IFERROR(E8/D8, "")</f>
        <v/>
      </c>
      <c r="G8" s="16">
        <f>SUM(Jan!G8, Feb!G8, Mar!G8)</f>
        <v>0</v>
      </c>
      <c r="H8" s="16">
        <f>SUM(Jan!H8, Feb!H8, Mar!H8)</f>
        <v>0</v>
      </c>
      <c r="I8" s="17">
        <f>IFERROR(H8/G8, 0)</f>
        <v>0</v>
      </c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8" x14ac:dyDescent="0.3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8" x14ac:dyDescent="0.3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8" x14ac:dyDescent="0.3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5 I4:I85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7"/>
  <sheetViews>
    <sheetView workbookViewId="0">
      <pane ySplit="2" topLeftCell="A3" activePane="bottomLeft" state="frozen"/>
      <selection activeCell="A33" sqref="A33"/>
      <selection pane="bottomLeft" activeCell="E16" sqref="E16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1" t="str" cm="1">
        <f t="array" ref="A1">portfolio</f>
        <v>Pine Bush Central School District</v>
      </c>
      <c r="B1" s="61"/>
      <c r="C1" s="61"/>
      <c r="D1" s="62" t="s">
        <v>12</v>
      </c>
      <c r="E1" s="62"/>
      <c r="F1" s="62"/>
      <c r="G1" s="60" t="s">
        <v>13</v>
      </c>
      <c r="H1" s="60"/>
      <c r="I1" s="60"/>
    </row>
    <row r="2" spans="1:9" ht="19.5" customHeight="1" x14ac:dyDescent="0.25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 x14ac:dyDescent="0.25">
      <c r="A4" s="13" t="str" cm="1">
        <f t="array" ref="A4:A8">Sites[Site]</f>
        <v>Pine Bush - HS</v>
      </c>
      <c r="B4" s="10" t="str" cm="1">
        <f t="array" ref="B4:B8">Sites[State]</f>
        <v>NY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SUM(Apr!G4,May!G4,Jun!G4)</f>
        <v>0</v>
      </c>
      <c r="H4" s="16">
        <f>SUM(Apr!H4, May!H4, Jun!H4)</f>
        <v>0</v>
      </c>
      <c r="I4" s="17" t="str">
        <f>IFERROR(H4/G4, "")</f>
        <v/>
      </c>
    </row>
    <row r="5" spans="1:9" ht="15.6" x14ac:dyDescent="0.25">
      <c r="A5" s="19" t="str">
        <v>Pine Bush - ES</v>
      </c>
      <c r="B5" s="11" t="str">
        <v>NY</v>
      </c>
      <c r="C5" s="12">
        <f>SUM(Apr!C5, May!C5, Jun!C5)</f>
        <v>0</v>
      </c>
      <c r="D5" s="20">
        <f>SUM(Apr!D5, May!D5, Jun!D5)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>
        <f>SUM(Apr!G5,May!G5,Jun!G5)</f>
        <v>0</v>
      </c>
      <c r="H5" s="22">
        <f>SUM(Apr!H5, May!H5, Jun!H5)</f>
        <v>0</v>
      </c>
      <c r="I5" s="21" t="str">
        <f>IFERROR(H5/G5, "")</f>
        <v/>
      </c>
    </row>
    <row r="6" spans="1:9" ht="15.6" x14ac:dyDescent="0.25">
      <c r="A6" s="13" t="str">
        <v xml:space="preserve"> Pine Bush - Russel ES</v>
      </c>
      <c r="B6" s="10" t="str">
        <v>NY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" si="1">IFERROR(E6/D6, "")</f>
        <v/>
      </c>
      <c r="G6" s="16">
        <f>SUM(Apr!G6,May!G6,Jun!G6)</f>
        <v>0</v>
      </c>
      <c r="H6" s="16">
        <f>SUM(Apr!H6, May!H6, Jun!H6)</f>
        <v>0</v>
      </c>
      <c r="I6" s="17" t="str">
        <f t="shared" ref="I6" si="2">IFERROR(H6/G6, "")</f>
        <v/>
      </c>
    </row>
    <row r="7" spans="1:9" ht="15.6" x14ac:dyDescent="0.25">
      <c r="A7" s="19" t="str">
        <v xml:space="preserve">  Circleville - ES</v>
      </c>
      <c r="B7" s="11" t="str">
        <v>NY</v>
      </c>
      <c r="C7" s="12">
        <f>SUM(Apr!C7, May!C7, Jun!C7)</f>
        <v>0</v>
      </c>
      <c r="D7" s="20">
        <f>SUM(Apr!D7, May!D7, Jun!D7)</f>
        <v>0</v>
      </c>
      <c r="E7" s="20">
        <f t="shared" ref="E7:E8" si="3">IF(AND(ISNUMBER(C7),ISNUMBER(D7)), C7-D7, "")</f>
        <v>0</v>
      </c>
      <c r="F7" s="21" t="str">
        <f>IFERROR(E7/D7, "")</f>
        <v/>
      </c>
      <c r="G7" s="22">
        <f>SUM(Apr!G7,May!G7,Jun!G7)</f>
        <v>0</v>
      </c>
      <c r="H7" s="22">
        <f>SUM(Apr!H7, May!H7, Jun!H7)</f>
        <v>0</v>
      </c>
      <c r="I7" s="21" t="str">
        <f>IFERROR(H7/G7, "")</f>
        <v/>
      </c>
    </row>
    <row r="8" spans="1:9" ht="15.6" x14ac:dyDescent="0.25">
      <c r="A8" s="13" t="str">
        <v xml:space="preserve"> Circleville - MS</v>
      </c>
      <c r="B8" s="10" t="str">
        <v>NY</v>
      </c>
      <c r="C8" s="26">
        <f>SUM(Apr!C8, May!C8, Jun!C8)</f>
        <v>0</v>
      </c>
      <c r="D8" s="14">
        <f>SUM(Apr!D8, May!D8, Jun!D8)</f>
        <v>0</v>
      </c>
      <c r="E8" s="14">
        <f t="shared" si="3"/>
        <v>0</v>
      </c>
      <c r="F8" s="15" t="str">
        <f t="shared" ref="F8" si="4">IFERROR(E8/D8, "")</f>
        <v/>
      </c>
      <c r="G8" s="16">
        <f>SUM(Apr!G8,May!G8,Jun!G8)</f>
        <v>0</v>
      </c>
      <c r="H8" s="16">
        <f>SUM(Apr!H8, May!H8, Jun!H8)</f>
        <v>0</v>
      </c>
      <c r="I8" s="17" t="str">
        <f t="shared" ref="I8" si="5">IFERROR(H8/G8, "")</f>
        <v/>
      </c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8" x14ac:dyDescent="0.3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8" x14ac:dyDescent="0.3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8" x14ac:dyDescent="0.3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5 I4:I85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7"/>
  <sheetViews>
    <sheetView workbookViewId="0">
      <pane ySplit="2" topLeftCell="A3" activePane="bottomLeft" state="frozen"/>
      <selection activeCell="A33" sqref="A33"/>
      <selection pane="bottomLeft" activeCell="G19" sqref="G19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1" t="str" cm="1">
        <f t="array" ref="A1">portfolio</f>
        <v>Pine Bush Central School District</v>
      </c>
      <c r="B1" s="61"/>
      <c r="C1" s="61"/>
      <c r="D1" s="62" t="s">
        <v>14</v>
      </c>
      <c r="E1" s="62"/>
      <c r="F1" s="62"/>
      <c r="G1" s="60" t="s">
        <v>15</v>
      </c>
      <c r="H1" s="60"/>
      <c r="I1" s="60"/>
    </row>
    <row r="2" spans="1:9" ht="19.5" customHeight="1" x14ac:dyDescent="0.25">
      <c r="A2" s="63" t="s">
        <v>2</v>
      </c>
      <c r="B2" s="63"/>
      <c r="C2" s="6">
        <f>SUM(C4:C85)</f>
        <v>494873.35399999999</v>
      </c>
      <c r="D2" s="6">
        <f>SUM(D4:D85)</f>
        <v>0</v>
      </c>
      <c r="E2" s="6">
        <f>C2-D2</f>
        <v>494873.35399999999</v>
      </c>
      <c r="F2" s="7">
        <f>IFERROR(E2/D2, 0)</f>
        <v>0</v>
      </c>
      <c r="G2" s="6">
        <f>SUM(G4:G85)</f>
        <v>0</v>
      </c>
      <c r="H2" s="8">
        <f>C2-G2</f>
        <v>494873.35399999999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 x14ac:dyDescent="0.25">
      <c r="A4" s="13" t="str" cm="1">
        <f t="array" ref="A4:A8">Sites[Site]</f>
        <v>Pine Bush - HS</v>
      </c>
      <c r="B4" s="10" t="str" cm="1">
        <f t="array" ref="B4:B8">Sites[State]</f>
        <v>NY</v>
      </c>
      <c r="C4" s="26">
        <f>SUM(Jul!C4, Aug!C4, Sep!C4)</f>
        <v>195630.7</v>
      </c>
      <c r="D4" s="14">
        <f>SUM(Jul!D4, Aug!D4, Sep!D4)</f>
        <v>0</v>
      </c>
      <c r="E4" s="14">
        <f>IF(AND(ISNUMBER(C4),ISNUMBER(D4)), C4-D4, "")</f>
        <v>195630.7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5.6" x14ac:dyDescent="0.25">
      <c r="A5" s="19" t="str">
        <v>Pine Bush - ES</v>
      </c>
      <c r="B5" s="11" t="str">
        <v>NY</v>
      </c>
      <c r="C5" s="12">
        <f>SUM(Jul!C5, Aug!C5, Sep!C5)</f>
        <v>31223.856</v>
      </c>
      <c r="D5" s="20">
        <f>SUM(Jul!D5, Aug!D5, Sep!D5)</f>
        <v>0</v>
      </c>
      <c r="E5" s="20">
        <f t="shared" ref="E5:E8" si="0">IF(AND(ISNUMBER(C5),ISNUMBER(D5)), C5-D5, "")</f>
        <v>31223.856</v>
      </c>
      <c r="F5" s="21" t="str">
        <f>IFERROR(E5/D5, "")</f>
        <v/>
      </c>
      <c r="G5" s="22">
        <f>SUM(Jul!G5,Aug!G5,Sep!G5)</f>
        <v>0</v>
      </c>
      <c r="H5" s="22">
        <f>SUM(Jul!H5, Aug!H5, Sep!H5)</f>
        <v>0</v>
      </c>
      <c r="I5" s="21" t="str">
        <f>IFERROR(H5/G5, "")</f>
        <v/>
      </c>
    </row>
    <row r="6" spans="1:9" ht="15.6" x14ac:dyDescent="0.25">
      <c r="A6" s="13" t="str">
        <v xml:space="preserve"> Pine Bush - Russel ES</v>
      </c>
      <c r="B6" s="10" t="str">
        <v>NY</v>
      </c>
      <c r="C6" s="26">
        <f>SUM(Jul!C6, Aug!C6, Sep!C6)</f>
        <v>104814.39999999999</v>
      </c>
      <c r="D6" s="14">
        <f>SUM(Jul!D6, Aug!D6, Sep!D6)</f>
        <v>0</v>
      </c>
      <c r="E6" s="14">
        <f t="shared" si="0"/>
        <v>104814.39999999999</v>
      </c>
      <c r="F6" s="15" t="str">
        <f t="shared" ref="F6:F8" si="1">IFERROR(E6/D6, "")</f>
        <v/>
      </c>
      <c r="G6" s="16">
        <f>SUM(Jul!G6,Aug!G6,Sep!G6)</f>
        <v>0</v>
      </c>
      <c r="H6" s="16">
        <f>SUM(Jul!H6, Aug!H6, Sep!H6)</f>
        <v>0</v>
      </c>
      <c r="I6" s="17" t="str">
        <f t="shared" ref="I6:I8" si="2">IFERROR(H6/G6, "")</f>
        <v/>
      </c>
    </row>
    <row r="7" spans="1:9" ht="15.6" x14ac:dyDescent="0.25">
      <c r="A7" s="19" t="str">
        <v xml:space="preserve">  Circleville - ES</v>
      </c>
      <c r="B7" s="11" t="str">
        <v>NY</v>
      </c>
      <c r="C7" s="12">
        <f>SUM(Jul!C7, Aug!C7, Sep!C7)</f>
        <v>73576.97</v>
      </c>
      <c r="D7" s="20">
        <f>SUM(Jul!D7, Aug!D7, Sep!D7)</f>
        <v>0</v>
      </c>
      <c r="E7" s="20">
        <f t="shared" si="0"/>
        <v>73576.97</v>
      </c>
      <c r="F7" s="21" t="str">
        <f>IFERROR(E7/D7, "")</f>
        <v/>
      </c>
      <c r="G7" s="22">
        <f>SUM(Jul!G7,Aug!G7,Sep!G7)</f>
        <v>0</v>
      </c>
      <c r="H7" s="22">
        <f>SUM(Jul!H7, Aug!H7, Sep!H7)</f>
        <v>0</v>
      </c>
      <c r="I7" s="21" t="str">
        <f t="shared" si="2"/>
        <v/>
      </c>
    </row>
    <row r="8" spans="1:9" ht="15.6" x14ac:dyDescent="0.25">
      <c r="A8" s="13" t="str">
        <v xml:space="preserve"> Circleville - MS</v>
      </c>
      <c r="B8" s="10" t="str">
        <v>NY</v>
      </c>
      <c r="C8" s="26">
        <f>SUM(Jul!C8, Aug!C8, Sep!C8)</f>
        <v>89627.428000000014</v>
      </c>
      <c r="D8" s="14">
        <f>SUM(Jul!D8, Aug!D8, Sep!D8)</f>
        <v>0</v>
      </c>
      <c r="E8" s="14">
        <f t="shared" si="0"/>
        <v>89627.428000000014</v>
      </c>
      <c r="F8" s="15" t="str">
        <f t="shared" si="1"/>
        <v/>
      </c>
      <c r="G8" s="16">
        <f>SUM(Jul!G8,Aug!G8,Sep!G8)</f>
        <v>0</v>
      </c>
      <c r="H8" s="16">
        <f>SUM(Jul!H8, Aug!H8, Sep!H8)</f>
        <v>0</v>
      </c>
      <c r="I8" s="17" t="str">
        <f t="shared" si="2"/>
        <v/>
      </c>
    </row>
    <row r="9" spans="1:9" ht="14.4" x14ac:dyDescent="0.3">
      <c r="A9" s="23"/>
      <c r="B9" s="23"/>
      <c r="C9" s="23"/>
      <c r="D9" s="23"/>
      <c r="E9" s="23"/>
      <c r="F9" s="23"/>
      <c r="G9" s="23"/>
      <c r="H9" s="23"/>
      <c r="I9" s="21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8" x14ac:dyDescent="0.3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8" x14ac:dyDescent="0.3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8" x14ac:dyDescent="0.3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</sheetData>
  <mergeCells count="4">
    <mergeCell ref="G1:I1"/>
    <mergeCell ref="A1:C1"/>
    <mergeCell ref="D1:F1"/>
    <mergeCell ref="A2:B2"/>
  </mergeCells>
  <conditionalFormatting sqref="F2 I2 F4:F85 I4:I85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7"/>
  <sheetViews>
    <sheetView workbookViewId="0">
      <pane ySplit="2" topLeftCell="A3" activePane="bottomLeft" state="frozen"/>
      <selection activeCell="A33" sqref="A33"/>
      <selection pane="bottomLeft" activeCell="G15" sqref="G15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1" t="str" cm="1">
        <f t="array" ref="A1">portfolio</f>
        <v>Pine Bush Central School District</v>
      </c>
      <c r="B1" s="61"/>
      <c r="C1" s="61"/>
      <c r="D1" s="62" t="s">
        <v>16</v>
      </c>
      <c r="E1" s="62"/>
      <c r="F1" s="62"/>
      <c r="G1" s="60" t="s">
        <v>17</v>
      </c>
      <c r="H1" s="60"/>
      <c r="I1" s="60"/>
    </row>
    <row r="2" spans="1:9" ht="19.5" customHeight="1" x14ac:dyDescent="0.25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 x14ac:dyDescent="0.25">
      <c r="A4" s="13" t="str" cm="1">
        <f t="array" ref="A4:A8">Sites[Site]</f>
        <v>Pine Bush - HS</v>
      </c>
      <c r="B4" s="10" t="str" cm="1">
        <f t="array" ref="B4:B8">Sites[State]</f>
        <v>NY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6" x14ac:dyDescent="0.25">
      <c r="A5" s="19" t="str">
        <v>Pine Bush - ES</v>
      </c>
      <c r="B5" s="11" t="str">
        <v>NY</v>
      </c>
      <c r="C5" s="12">
        <f>SUM(Oct!C5, Nov!C5, Dec!C5)</f>
        <v>0</v>
      </c>
      <c r="D5" s="20">
        <f>SUM(Oct!D5, Nov!D5, Dec!D5)</f>
        <v>0</v>
      </c>
      <c r="E5" s="20">
        <f t="shared" ref="E5:E8" si="0">IF(AND(ISNUMBER(C5),ISNUMBER(D5)), C5-D5, "")</f>
        <v>0</v>
      </c>
      <c r="F5" s="21" t="str">
        <f>IFERROR(E5/D5, "")</f>
        <v/>
      </c>
      <c r="G5" s="22">
        <f>SUM(Oct!G5,Nov!G5,Dec!G5)</f>
        <v>0</v>
      </c>
      <c r="H5" s="22">
        <f>SUM(Oct!H5, Nov!H5, Dec!H5)</f>
        <v>0</v>
      </c>
      <c r="I5" s="21" t="str">
        <f>IFERROR(H5/G5, "")</f>
        <v/>
      </c>
    </row>
    <row r="6" spans="1:9" ht="15.6" x14ac:dyDescent="0.25">
      <c r="A6" s="13" t="str">
        <v xml:space="preserve"> Pine Bush - Russel ES</v>
      </c>
      <c r="B6" s="10" t="str">
        <v>NY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" si="1">IFERROR(E6/D6, "")</f>
        <v/>
      </c>
      <c r="G6" s="16">
        <f>SUM(Oct!G6,Nov!G6,Dec!G6)</f>
        <v>0</v>
      </c>
      <c r="H6" s="16">
        <f>SUM(Oct!H6, Nov!H6, Dec!H6)</f>
        <v>0</v>
      </c>
      <c r="I6" s="17" t="str">
        <f t="shared" ref="I6:I8" si="2">IFERROR(H6/G6, "")</f>
        <v/>
      </c>
    </row>
    <row r="7" spans="1:9" ht="15.6" x14ac:dyDescent="0.25">
      <c r="A7" s="19" t="str">
        <v xml:space="preserve">  Circleville - ES</v>
      </c>
      <c r="B7" s="11" t="str">
        <v>NY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/>
      <c r="G7" s="22">
        <f>SUM(Oct!G7,Nov!G7,Dec!G7)</f>
        <v>0</v>
      </c>
      <c r="H7" s="22">
        <f>SUM(Oct!H7, Nov!H7, Dec!H7)</f>
        <v>0</v>
      </c>
      <c r="I7" s="21" t="str">
        <f t="shared" si="2"/>
        <v/>
      </c>
    </row>
    <row r="8" spans="1:9" ht="15.6" x14ac:dyDescent="0.25">
      <c r="A8" s="13" t="str">
        <v xml:space="preserve"> Circleville - MS</v>
      </c>
      <c r="B8" s="10" t="str">
        <v>NY</v>
      </c>
      <c r="C8" s="26">
        <f>SUM(Oct!C8, Nov!C8, Dec!C8)</f>
        <v>0</v>
      </c>
      <c r="D8" s="14">
        <f>SUM(Oct!D8, Nov!D8, Dec!D8)</f>
        <v>0</v>
      </c>
      <c r="E8" s="14">
        <f t="shared" si="0"/>
        <v>0</v>
      </c>
      <c r="F8" s="15"/>
      <c r="G8" s="16">
        <f>SUM(Oct!G8,Nov!G8,Dec!G8)</f>
        <v>0</v>
      </c>
      <c r="H8" s="16">
        <f>SUM(Oct!H8, Nov!H8, Dec!H8)</f>
        <v>0</v>
      </c>
      <c r="I8" s="17" t="str">
        <f t="shared" si="2"/>
        <v/>
      </c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8" x14ac:dyDescent="0.3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8" x14ac:dyDescent="0.3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8" x14ac:dyDescent="0.3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</sheetData>
  <mergeCells count="4">
    <mergeCell ref="G1:I1"/>
    <mergeCell ref="A1:C1"/>
    <mergeCell ref="D1:F1"/>
    <mergeCell ref="A2:B2"/>
  </mergeCells>
  <conditionalFormatting sqref="F2 I2 F4:F85 I4:I85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6"/>
  <sheetViews>
    <sheetView zoomScale="70" zoomScaleNormal="70" workbookViewId="0">
      <pane ySplit="3" topLeftCell="A4" activePane="bottomLeft" state="frozen"/>
      <selection activeCell="J31" sqref="J31"/>
      <selection pane="bottomLeft" activeCell="J31" sqref="J31"/>
    </sheetView>
  </sheetViews>
  <sheetFormatPr defaultRowHeight="13.8" x14ac:dyDescent="0.25"/>
  <cols>
    <col min="1" max="1" width="35.88671875" bestFit="1" customWidth="1"/>
    <col min="2" max="2" width="8.44140625" style="3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1" t="str" cm="1">
        <f t="array" ref="A1">portfolio</f>
        <v>Pine Bush Central School District</v>
      </c>
      <c r="B1" s="61"/>
      <c r="C1" s="61"/>
      <c r="D1" s="62" t="s">
        <v>18</v>
      </c>
      <c r="E1" s="62"/>
      <c r="F1" s="62"/>
      <c r="G1" s="60" t="s">
        <v>19</v>
      </c>
      <c r="H1" s="60"/>
      <c r="I1" s="60"/>
      <c r="J1" s="5"/>
      <c r="K1" s="5"/>
    </row>
    <row r="2" spans="1:11" ht="19.5" customHeight="1" x14ac:dyDescent="0.25">
      <c r="A2" s="63" t="s">
        <v>2</v>
      </c>
      <c r="B2" s="63"/>
      <c r="C2" s="6">
        <f>SUM(C4:C84)</f>
        <v>0</v>
      </c>
      <c r="D2" s="6">
        <f>SUM(D4:D84)</f>
        <v>0</v>
      </c>
      <c r="E2" s="6">
        <f>C2-D2</f>
        <v>0</v>
      </c>
      <c r="F2" s="7">
        <f>IFERROR(E2/D2, 0)</f>
        <v>0</v>
      </c>
      <c r="G2" s="6">
        <f>SUM(G4:G84)</f>
        <v>0</v>
      </c>
      <c r="H2" s="8">
        <f>C2-G2</f>
        <v>0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2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3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 x14ac:dyDescent="0.3">
      <c r="A4" s="34" t="str" cm="1">
        <f t="array" ref="A4:A8">Sites[Site]</f>
        <v>Pine Bush - HS</v>
      </c>
      <c r="B4" s="31" t="str" cm="1">
        <f t="array" ref="B4:B8">Sites[State]</f>
        <v>NY</v>
      </c>
      <c r="C4" s="26"/>
      <c r="D4" s="14"/>
      <c r="E4" s="14" t="str">
        <f>IF(AND(ISNUMBER(C4),ISNUMBER(D4)), C4-D4, "")</f>
        <v/>
      </c>
      <c r="F4" s="15">
        <f>IFERROR(E4/D4, 0)</f>
        <v>0</v>
      </c>
      <c r="G4" s="54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 x14ac:dyDescent="0.25">
      <c r="A5" s="32" t="str">
        <v>Pine Bush - ES</v>
      </c>
      <c r="B5" s="33" t="str">
        <v>NY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55"/>
      <c r="H5" s="22" t="str">
        <f t="shared" ref="H5:H6" si="1">IF(AND(ISNUMBER(C5),ISNUMBER(G5)), C5-G5, "")</f>
        <v/>
      </c>
      <c r="I5" s="21" t="str">
        <f>IFERROR(H5/G5,"")</f>
        <v/>
      </c>
      <c r="J5" s="49"/>
      <c r="K5" s="51"/>
    </row>
    <row r="6" spans="1:11" ht="15.6" x14ac:dyDescent="0.25">
      <c r="A6" s="30" t="str">
        <v xml:space="preserve"> Pine Bush - Russel ES</v>
      </c>
      <c r="B6" s="31" t="str">
        <v>NY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56"/>
      <c r="H6" s="16" t="str">
        <f t="shared" si="1"/>
        <v/>
      </c>
      <c r="I6" s="17" t="str">
        <f>IFERROR(H6/G6,"")</f>
        <v/>
      </c>
      <c r="J6" s="18"/>
      <c r="K6" s="18"/>
    </row>
    <row r="7" spans="1:11" ht="14.4" x14ac:dyDescent="0.3">
      <c r="A7" s="23" t="str">
        <v xml:space="preserve">  Circleville - ES</v>
      </c>
      <c r="B7" s="35" t="str">
        <v>NY</v>
      </c>
      <c r="C7" s="23"/>
      <c r="D7" s="23"/>
      <c r="E7" s="23"/>
      <c r="F7" s="23"/>
      <c r="G7" s="52"/>
      <c r="H7" s="23"/>
      <c r="I7" s="23"/>
      <c r="J7" s="23"/>
      <c r="K7" s="23"/>
    </row>
    <row r="8" spans="1:11" ht="14.4" x14ac:dyDescent="0.3">
      <c r="A8" s="23" t="str">
        <v xml:space="preserve"> Circleville - MS</v>
      </c>
      <c r="B8" s="35" t="str">
        <v>NY</v>
      </c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5"/>
      <c r="C13" s="23"/>
      <c r="D13" s="23"/>
      <c r="E13" s="23"/>
      <c r="F13" s="23"/>
      <c r="G13" s="23"/>
      <c r="H13" s="53"/>
      <c r="I13" s="23"/>
      <c r="J13" s="23"/>
      <c r="K13" s="23"/>
    </row>
    <row r="14" spans="1:11" ht="14.4" x14ac:dyDescent="0.3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" x14ac:dyDescent="0.3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</sheetData>
  <mergeCells count="4">
    <mergeCell ref="D1:F1"/>
    <mergeCell ref="A1:C1"/>
    <mergeCell ref="G1:I1"/>
    <mergeCell ref="A2:B2"/>
  </mergeCells>
  <conditionalFormatting sqref="F2 I2 F4:F84 I4:I84">
    <cfRule type="cellIs" dxfId="23" priority="2" stopIfTrue="1" operator="lessThanOrEqual">
      <formula>-0.1</formula>
    </cfRule>
    <cfRule type="expression" dxfId="22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27"/>
  <sheetViews>
    <sheetView zoomScale="70" zoomScaleNormal="70" workbookViewId="0">
      <pane ySplit="2" topLeftCell="A3" activePane="bottomLeft" state="frozen"/>
      <selection activeCell="J31" sqref="J31"/>
      <selection pane="bottomLeft" activeCell="G25" sqref="G25:H26"/>
    </sheetView>
  </sheetViews>
  <sheetFormatPr defaultRowHeight="13.8" x14ac:dyDescent="0.25"/>
  <cols>
    <col min="1" max="1" width="35.88671875" bestFit="1" customWidth="1"/>
    <col min="2" max="2" width="8.44140625" style="3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2" ht="19.5" customHeight="1" x14ac:dyDescent="0.25">
      <c r="A1" s="61" t="str" cm="1">
        <f t="array" ref="A1">portfolio</f>
        <v>Pine Bush Central School District</v>
      </c>
      <c r="B1" s="61"/>
      <c r="C1" s="61"/>
      <c r="D1" s="62" t="s">
        <v>22</v>
      </c>
      <c r="E1" s="62"/>
      <c r="F1" s="62"/>
      <c r="G1" s="60" t="s">
        <v>23</v>
      </c>
      <c r="H1" s="60"/>
      <c r="I1" s="60"/>
      <c r="J1" s="5"/>
      <c r="K1" s="5"/>
    </row>
    <row r="2" spans="1:12" ht="19.5" customHeight="1" x14ac:dyDescent="0.25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2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2" ht="15.6" x14ac:dyDescent="0.3">
      <c r="A4" s="34" t="str" cm="1">
        <f t="array" ref="A4:A8">Sites[Site]</f>
        <v>Pine Bush - HS</v>
      </c>
      <c r="B4" s="31" t="str" cm="1">
        <f t="array" ref="B4:B8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5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2" ht="15.6" x14ac:dyDescent="0.25">
      <c r="A5" s="32" t="str">
        <v>Pine Bush - ES</v>
      </c>
      <c r="B5" s="33" t="str">
        <v>NY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55"/>
      <c r="H5" s="22" t="str">
        <f t="shared" ref="H5:H6" si="1">IF(AND(ISNUMBER(C5),ISNUMBER(G5)), C5-G5, "")</f>
        <v/>
      </c>
      <c r="I5" s="21" t="str">
        <f>IFERROR(H5/G5,"")</f>
        <v/>
      </c>
      <c r="J5" s="49"/>
      <c r="K5" s="57"/>
      <c r="L5" s="58"/>
    </row>
    <row r="6" spans="1:12" ht="15.6" x14ac:dyDescent="0.25">
      <c r="A6" s="30" t="str">
        <v xml:space="preserve"> Pine Bush - Russel ES</v>
      </c>
      <c r="B6" s="31" t="str">
        <v>NY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56"/>
      <c r="H6" s="16" t="str">
        <f t="shared" si="1"/>
        <v/>
      </c>
      <c r="I6" s="17" t="str">
        <f>IFERROR(H6/G6,"")</f>
        <v/>
      </c>
      <c r="J6" s="18"/>
      <c r="K6" s="18"/>
    </row>
    <row r="7" spans="1:12" ht="14.4" x14ac:dyDescent="0.3">
      <c r="A7" s="23" t="str">
        <v xml:space="preserve">  Circleville - ES</v>
      </c>
      <c r="B7" s="35" t="str">
        <v>NY</v>
      </c>
      <c r="C7" s="23"/>
      <c r="D7" s="23"/>
      <c r="E7" s="23"/>
      <c r="F7" s="23"/>
      <c r="G7" s="23"/>
      <c r="H7" s="23"/>
      <c r="I7" s="23"/>
      <c r="J7" s="23"/>
      <c r="K7" s="23"/>
    </row>
    <row r="8" spans="1:12" ht="14.4" x14ac:dyDescent="0.3">
      <c r="A8" s="23" t="str">
        <v xml:space="preserve"> Circleville - MS</v>
      </c>
      <c r="B8" s="35" t="str">
        <v>NY</v>
      </c>
      <c r="C8" s="23"/>
      <c r="D8" s="23"/>
      <c r="E8" s="23"/>
      <c r="F8" s="23"/>
      <c r="G8" s="23"/>
      <c r="H8" s="23"/>
      <c r="I8" s="23"/>
      <c r="J8" s="23"/>
      <c r="K8" s="23"/>
    </row>
    <row r="9" spans="1:12" ht="14.4" x14ac:dyDescent="0.3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" x14ac:dyDescent="0.3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" x14ac:dyDescent="0.3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" x14ac:dyDescent="0.3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" x14ac:dyDescent="0.3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" x14ac:dyDescent="0.3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" x14ac:dyDescent="0.3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" x14ac:dyDescent="0.3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27"/>
  <sheetViews>
    <sheetView topLeftCell="B1" zoomScale="70" zoomScaleNormal="70" workbookViewId="0">
      <pane ySplit="2" topLeftCell="A32" activePane="bottomLeft" state="frozen"/>
      <selection activeCell="J31" sqref="J31"/>
      <selection pane="bottomLeft" activeCell="J32" sqref="J32"/>
    </sheetView>
  </sheetViews>
  <sheetFormatPr defaultRowHeight="13.8" x14ac:dyDescent="0.25"/>
  <cols>
    <col min="1" max="1" width="35.88671875" bestFit="1" customWidth="1"/>
    <col min="2" max="2" width="8.44140625" style="3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2" ht="19.5" customHeight="1" x14ac:dyDescent="0.25">
      <c r="A1" s="61" t="str" cm="1">
        <f t="array" ref="A1">portfolio</f>
        <v>Pine Bush Central School District</v>
      </c>
      <c r="B1" s="61"/>
      <c r="C1" s="61"/>
      <c r="D1" s="62" t="s">
        <v>24</v>
      </c>
      <c r="E1" s="62"/>
      <c r="F1" s="62"/>
      <c r="G1" s="60" t="s">
        <v>25</v>
      </c>
      <c r="H1" s="60"/>
      <c r="I1" s="60"/>
      <c r="J1" s="5"/>
      <c r="K1" s="5"/>
    </row>
    <row r="2" spans="1:12" ht="19.5" customHeight="1" x14ac:dyDescent="0.25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2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2" ht="15.6" x14ac:dyDescent="0.3">
      <c r="A4" s="34" t="str" cm="1">
        <f t="array" ref="A4:A8">Sites[Site]</f>
        <v>Pine Bush - HS</v>
      </c>
      <c r="B4" s="31" t="str" cm="1">
        <f t="array" ref="B4:B8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5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2" ht="15.6" x14ac:dyDescent="0.25">
      <c r="A5" s="32" t="str">
        <v>Pine Bush - ES</v>
      </c>
      <c r="B5" s="33" t="str">
        <v>NY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55"/>
      <c r="H5" s="22" t="str">
        <f t="shared" ref="H5:H6" si="1">IF(AND(ISNUMBER(C5),ISNUMBER(G5)), C5-G5, "")</f>
        <v/>
      </c>
      <c r="I5" s="21" t="str">
        <f>IFERROR(H5/G5,"")</f>
        <v/>
      </c>
      <c r="J5" s="49"/>
      <c r="K5" s="57"/>
      <c r="L5" s="58"/>
    </row>
    <row r="6" spans="1:12" ht="15.6" x14ac:dyDescent="0.25">
      <c r="A6" s="30" t="str">
        <v xml:space="preserve"> Pine Bush - Russel ES</v>
      </c>
      <c r="B6" s="31" t="str">
        <v>NY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56"/>
      <c r="H6" s="16" t="str">
        <f t="shared" si="1"/>
        <v/>
      </c>
      <c r="I6" s="17" t="str">
        <f>IFERROR(H6/G6,"")</f>
        <v/>
      </c>
      <c r="J6" s="18"/>
      <c r="K6" s="59"/>
    </row>
    <row r="7" spans="1:12" ht="14.4" x14ac:dyDescent="0.3">
      <c r="A7" s="23" t="str">
        <v xml:space="preserve">  Circleville - ES</v>
      </c>
      <c r="B7" s="35" t="str">
        <v>NY</v>
      </c>
      <c r="C7" s="23"/>
      <c r="D7" s="23"/>
      <c r="E7" s="23"/>
      <c r="F7" s="23"/>
      <c r="G7" s="23"/>
      <c r="H7" s="23"/>
      <c r="I7" s="23"/>
      <c r="J7" s="23"/>
      <c r="K7" s="23"/>
    </row>
    <row r="8" spans="1:12" ht="14.4" x14ac:dyDescent="0.3">
      <c r="A8" s="23" t="str">
        <v xml:space="preserve"> Circleville - MS</v>
      </c>
      <c r="B8" s="35" t="str">
        <v>NY</v>
      </c>
      <c r="C8" s="23"/>
      <c r="D8" s="23"/>
      <c r="E8" s="23"/>
      <c r="F8" s="23"/>
      <c r="G8" s="23"/>
      <c r="H8" s="23"/>
      <c r="I8" s="23"/>
      <c r="J8" s="23"/>
      <c r="K8" s="23"/>
    </row>
    <row r="9" spans="1:12" ht="14.4" x14ac:dyDescent="0.3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" x14ac:dyDescent="0.3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" x14ac:dyDescent="0.3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" x14ac:dyDescent="0.3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" x14ac:dyDescent="0.3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" x14ac:dyDescent="0.3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" x14ac:dyDescent="0.3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" x14ac:dyDescent="0.3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7"/>
  <sheetViews>
    <sheetView zoomScale="70" zoomScaleNormal="70" workbookViewId="0">
      <pane ySplit="2" topLeftCell="A3" activePane="bottomLeft" state="frozen"/>
      <selection activeCell="J31" sqref="J31"/>
      <selection pane="bottomLeft" activeCell="J31" sqref="J31"/>
    </sheetView>
  </sheetViews>
  <sheetFormatPr defaultRowHeight="13.8" x14ac:dyDescent="0.25"/>
  <cols>
    <col min="1" max="1" width="35.88671875" bestFit="1" customWidth="1"/>
    <col min="2" max="2" width="8.44140625" style="3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1" t="str" cm="1">
        <f t="array" ref="A1">portfolio</f>
        <v>Pine Bush Central School District</v>
      </c>
      <c r="B1" s="61"/>
      <c r="C1" s="61"/>
      <c r="D1" s="62" t="s">
        <v>26</v>
      </c>
      <c r="E1" s="62"/>
      <c r="F1" s="62"/>
      <c r="G1" s="60" t="s">
        <v>27</v>
      </c>
      <c r="H1" s="60"/>
      <c r="I1" s="60"/>
      <c r="J1" s="5"/>
      <c r="K1" s="5"/>
    </row>
    <row r="2" spans="1:11" ht="19.5" customHeight="1" x14ac:dyDescent="0.25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 x14ac:dyDescent="0.3">
      <c r="A4" s="34" t="str" cm="1">
        <f t="array" ref="A4:A8">Sites[Site]</f>
        <v>Pine Bush - HS</v>
      </c>
      <c r="B4" s="31" t="str" cm="1">
        <f t="array" ref="B4:B8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 x14ac:dyDescent="0.25">
      <c r="A5" s="32" t="str">
        <v>Pine Bush - ES</v>
      </c>
      <c r="B5" s="33" t="str">
        <v>NY</v>
      </c>
      <c r="C5" s="44"/>
      <c r="D5" s="44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11"/>
      <c r="K5" s="19"/>
    </row>
    <row r="6" spans="1:11" ht="15.6" x14ac:dyDescent="0.25">
      <c r="A6" s="30" t="str">
        <v xml:space="preserve"> Pine Bush - Russel ES</v>
      </c>
      <c r="B6" s="31" t="str">
        <v>NY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/>
      <c r="K6" s="18"/>
    </row>
    <row r="7" spans="1:11" ht="14.4" x14ac:dyDescent="0.3">
      <c r="A7" s="23" t="str">
        <v xml:space="preserve">  Circleville - ES</v>
      </c>
      <c r="B7" s="35" t="str">
        <v>NY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 t="str">
        <v xml:space="preserve"> Circleville - MS</v>
      </c>
      <c r="B8" s="35" t="str">
        <v>NY</v>
      </c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7"/>
  <sheetViews>
    <sheetView zoomScale="70" zoomScaleNormal="70" workbookViewId="0">
      <pane ySplit="2" topLeftCell="A3" activePane="bottomLeft" state="frozen"/>
      <selection activeCell="J31" sqref="J31"/>
      <selection pane="bottomLeft" activeCell="E26" sqref="E26"/>
    </sheetView>
  </sheetViews>
  <sheetFormatPr defaultRowHeight="13.8" x14ac:dyDescent="0.25"/>
  <cols>
    <col min="1" max="1" width="35.88671875" bestFit="1" customWidth="1"/>
    <col min="2" max="2" width="8.44140625" style="3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1" t="str" cm="1">
        <f t="array" ref="A1">portfolio</f>
        <v>Pine Bush Central School District</v>
      </c>
      <c r="B1" s="61"/>
      <c r="C1" s="61"/>
      <c r="D1" s="62" t="s">
        <v>28</v>
      </c>
      <c r="E1" s="62"/>
      <c r="F1" s="62"/>
      <c r="G1" s="60" t="s">
        <v>29</v>
      </c>
      <c r="H1" s="60"/>
      <c r="I1" s="60"/>
      <c r="J1" s="5"/>
      <c r="K1" s="5"/>
    </row>
    <row r="2" spans="1:11" ht="19.5" customHeight="1" x14ac:dyDescent="0.25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 x14ac:dyDescent="0.3">
      <c r="A4" s="34" t="str" cm="1">
        <f t="array" ref="A4:A8">Sites[Site]</f>
        <v>Pine Bush - HS</v>
      </c>
      <c r="B4" s="31" t="str" cm="1">
        <f t="array" ref="B4:B8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 x14ac:dyDescent="0.25">
      <c r="A5" s="32" t="str">
        <v>Pine Bush - ES</v>
      </c>
      <c r="B5" s="33" t="str">
        <v>NY</v>
      </c>
      <c r="C5" s="44"/>
      <c r="D5" s="44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11"/>
      <c r="K5" s="19"/>
    </row>
    <row r="6" spans="1:11" ht="28.8" x14ac:dyDescent="0.25">
      <c r="A6" s="30" t="str">
        <v xml:space="preserve"> Pine Bush - Russel ES</v>
      </c>
      <c r="B6" s="31" t="str">
        <v>NY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 t="s">
        <v>30</v>
      </c>
      <c r="K6" s="18" t="s">
        <v>31</v>
      </c>
    </row>
    <row r="7" spans="1:11" ht="15.6" x14ac:dyDescent="0.25">
      <c r="A7" s="32" t="str">
        <v xml:space="preserve">  Circleville - ES</v>
      </c>
      <c r="B7" s="33" t="str">
        <v>NY</v>
      </c>
      <c r="C7" s="44"/>
      <c r="D7" s="44"/>
      <c r="E7" s="20"/>
      <c r="F7" s="21"/>
      <c r="G7" s="22"/>
      <c r="H7" s="22"/>
      <c r="I7" s="21"/>
      <c r="J7" s="11"/>
      <c r="K7" s="19"/>
    </row>
    <row r="8" spans="1:11" ht="15.6" x14ac:dyDescent="0.25">
      <c r="A8" s="30" t="str">
        <v xml:space="preserve"> Circleville - MS</v>
      </c>
      <c r="B8" s="31" t="str">
        <v>NY</v>
      </c>
      <c r="C8" s="26"/>
      <c r="D8" s="14"/>
      <c r="E8" s="14"/>
      <c r="F8" s="15"/>
      <c r="G8" s="16"/>
      <c r="H8" s="16"/>
      <c r="I8" s="17"/>
      <c r="J8" s="18"/>
      <c r="K8" s="18"/>
    </row>
    <row r="9" spans="1:11" ht="14.4" x14ac:dyDescent="0.3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7"/>
  <sheetViews>
    <sheetView tabSelected="1" zoomScale="70" zoomScaleNormal="70" workbookViewId="0">
      <pane ySplit="2" topLeftCell="A3" activePane="bottomLeft" state="frozen"/>
      <selection activeCell="J14" sqref="J14"/>
      <selection pane="bottomLeft" activeCell="J31" sqref="J31"/>
    </sheetView>
  </sheetViews>
  <sheetFormatPr defaultRowHeight="13.8" x14ac:dyDescent="0.25"/>
  <cols>
    <col min="1" max="1" width="35.88671875" bestFit="1" customWidth="1"/>
    <col min="2" max="2" width="8.44140625" style="3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1" t="str" cm="1">
        <f t="array" ref="A1">portfolio</f>
        <v>Pine Bush Central School District</v>
      </c>
      <c r="B1" s="61"/>
      <c r="C1" s="61"/>
      <c r="D1" s="62" t="s">
        <v>32</v>
      </c>
      <c r="E1" s="62"/>
      <c r="F1" s="62"/>
      <c r="G1" s="60" t="s">
        <v>33</v>
      </c>
      <c r="H1" s="60"/>
      <c r="I1" s="60"/>
      <c r="J1" s="5"/>
      <c r="K1" s="5"/>
    </row>
    <row r="2" spans="1:11" ht="19.5" customHeight="1" x14ac:dyDescent="0.25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 x14ac:dyDescent="0.3">
      <c r="A4" s="34" t="str" cm="1">
        <f t="array" ref="A4:A8">Sites[Site]</f>
        <v>Pine Bush - HS</v>
      </c>
      <c r="B4" s="31" t="str" cm="1">
        <f t="array" ref="B4:B8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 x14ac:dyDescent="0.25">
      <c r="A5" s="32" t="str">
        <v>Pine Bush - ES</v>
      </c>
      <c r="B5" s="33" t="str">
        <v>NY</v>
      </c>
      <c r="C5" s="44"/>
      <c r="D5" s="44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11"/>
      <c r="K5" s="19"/>
    </row>
    <row r="6" spans="1:11" ht="15.6" x14ac:dyDescent="0.25">
      <c r="A6" s="30" t="str">
        <v xml:space="preserve"> Pine Bush - Russel ES</v>
      </c>
      <c r="B6" s="31" t="str">
        <v>NY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/>
      <c r="K6" s="18"/>
    </row>
    <row r="7" spans="1:11" ht="14.4" x14ac:dyDescent="0.3">
      <c r="A7" s="23" t="str">
        <v xml:space="preserve">  Circleville - ES</v>
      </c>
      <c r="B7" s="35" t="str">
        <v>NY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 t="str">
        <v xml:space="preserve"> Circleville - MS</v>
      </c>
      <c r="B8" s="35" t="str">
        <v>NY</v>
      </c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O327"/>
  <sheetViews>
    <sheetView zoomScale="70" zoomScaleNormal="70" workbookViewId="0">
      <pane ySplit="2" topLeftCell="A3" activePane="bottomLeft" state="frozen"/>
      <selection activeCell="J16" sqref="J16"/>
      <selection pane="bottomLeft" activeCell="H22" sqref="H22"/>
    </sheetView>
  </sheetViews>
  <sheetFormatPr defaultRowHeight="13.8" x14ac:dyDescent="0.25"/>
  <cols>
    <col min="1" max="1" width="35.88671875" bestFit="1" customWidth="1"/>
    <col min="2" max="2" width="8.44140625" style="3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89.6640625" customWidth="1"/>
    <col min="11" max="11" width="20.5546875" bestFit="1" customWidth="1"/>
    <col min="12" max="15" width="8.88671875" style="65"/>
  </cols>
  <sheetData>
    <row r="1" spans="1:13" ht="19.5" customHeight="1" x14ac:dyDescent="0.25">
      <c r="A1" s="61" t="str" cm="1">
        <f t="array" ref="A1">portfolio</f>
        <v>Pine Bush Central School District</v>
      </c>
      <c r="B1" s="61"/>
      <c r="C1" s="61"/>
      <c r="D1" s="62" t="s">
        <v>34</v>
      </c>
      <c r="E1" s="62"/>
      <c r="F1" s="62"/>
      <c r="G1" s="60" t="s">
        <v>35</v>
      </c>
      <c r="H1" s="60"/>
      <c r="I1" s="60"/>
      <c r="J1" s="5"/>
      <c r="K1" s="5"/>
    </row>
    <row r="2" spans="1:13" ht="19.5" customHeight="1" x14ac:dyDescent="0.25">
      <c r="A2" s="63" t="s">
        <v>2</v>
      </c>
      <c r="B2" s="63"/>
      <c r="C2" s="6">
        <f>SUM(C4:C85)</f>
        <v>180077.25200000001</v>
      </c>
      <c r="D2" s="6">
        <f>SUM(D4:D85)</f>
        <v>0</v>
      </c>
      <c r="E2" s="6">
        <f>C2-D2</f>
        <v>180077.25200000001</v>
      </c>
      <c r="F2" s="7">
        <f>IFERROR(E2/D2, 0)</f>
        <v>0</v>
      </c>
      <c r="G2" s="6">
        <f>SUM(G4:G85)</f>
        <v>0</v>
      </c>
      <c r="H2" s="8">
        <f>C2-G2</f>
        <v>180077.25200000001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3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3" ht="28.8" x14ac:dyDescent="0.3">
      <c r="A4" s="34" t="str" cm="1">
        <f t="array" ref="A4:A8">Sites[Site]</f>
        <v>Pine Bush - HS</v>
      </c>
      <c r="B4" s="31" t="str" cm="1">
        <f t="array" ref="B4:B8">Sites[State]</f>
        <v>NY</v>
      </c>
      <c r="C4" s="26">
        <v>71071.3</v>
      </c>
      <c r="D4" s="14" t="s">
        <v>36</v>
      </c>
      <c r="E4" s="14" t="str">
        <f>IF(AND(ISNUMBER(C4),ISNUMBER(D4)), C4-D4, "")</f>
        <v/>
      </c>
      <c r="F4" s="15" t="str">
        <f>IFERROR(E4/D4, "")</f>
        <v/>
      </c>
      <c r="G4" s="56" t="s">
        <v>36</v>
      </c>
      <c r="H4" s="16" t="str">
        <f>IF(AND(ISNUMBER(C4),ISNUMBER(G4)), C4-G4, "")</f>
        <v/>
      </c>
      <c r="I4" s="17" t="str">
        <f>IFERROR(H4/G4,"")</f>
        <v/>
      </c>
      <c r="J4" s="18" t="s">
        <v>37</v>
      </c>
      <c r="K4" s="59" t="s">
        <v>38</v>
      </c>
      <c r="L4" s="58" t="s">
        <v>79</v>
      </c>
    </row>
    <row r="5" spans="1:13" ht="15.6" x14ac:dyDescent="0.25">
      <c r="A5" s="32" t="str">
        <v>Pine Bush - ES</v>
      </c>
      <c r="B5" s="33" t="str">
        <v>NY</v>
      </c>
      <c r="C5" s="12">
        <v>11263.968999999999</v>
      </c>
      <c r="D5" s="20" t="s">
        <v>36</v>
      </c>
      <c r="E5" s="20" t="str">
        <f t="shared" ref="E5:E6" si="0">IF(AND(ISNUMBER(C5),ISNUMBER(D5)), C5-D5, "")</f>
        <v/>
      </c>
      <c r="F5" s="21" t="str">
        <f>IFERROR(E5/D5, "")</f>
        <v/>
      </c>
      <c r="G5" s="55" t="s">
        <v>36</v>
      </c>
      <c r="H5" s="22" t="str">
        <f t="shared" ref="H5:H6" si="1">IF(AND(ISNUMBER(C5),ISNUMBER(G5)), C5-G5, "")</f>
        <v/>
      </c>
      <c r="I5" s="21" t="str">
        <f>IFERROR(H5/G5,"")</f>
        <v/>
      </c>
      <c r="J5" s="45"/>
      <c r="K5" s="46"/>
    </row>
    <row r="6" spans="1:13" ht="15.6" x14ac:dyDescent="0.3">
      <c r="A6" s="34" t="str">
        <v xml:space="preserve"> Pine Bush - Russel ES</v>
      </c>
      <c r="B6" s="31" t="str">
        <v>NY</v>
      </c>
      <c r="C6" s="26">
        <v>37858.1</v>
      </c>
      <c r="D6" s="14" t="s">
        <v>36</v>
      </c>
      <c r="E6" s="14" t="str">
        <f t="shared" si="0"/>
        <v/>
      </c>
      <c r="F6" s="15" t="str">
        <f t="shared" ref="F6" si="2">IFERROR(E6/D6, "")</f>
        <v/>
      </c>
      <c r="G6" s="56" t="s">
        <v>36</v>
      </c>
      <c r="H6" s="16" t="str">
        <f t="shared" si="1"/>
        <v/>
      </c>
      <c r="I6" s="17" t="str">
        <f>IFERROR(H6/G6,"")</f>
        <v/>
      </c>
      <c r="J6" s="18"/>
      <c r="K6" s="18"/>
    </row>
    <row r="7" spans="1:13" ht="43.2" x14ac:dyDescent="0.25">
      <c r="A7" s="32" t="str">
        <v xml:space="preserve">  Circleville - ES</v>
      </c>
      <c r="B7" s="33" t="str">
        <v>NY</v>
      </c>
      <c r="C7" s="12">
        <v>26295.152999999998</v>
      </c>
      <c r="D7" s="20" t="s">
        <v>36</v>
      </c>
      <c r="E7" s="20"/>
      <c r="F7" s="21"/>
      <c r="G7" s="55" t="s">
        <v>36</v>
      </c>
      <c r="H7" s="22"/>
      <c r="I7" s="21"/>
      <c r="J7" s="49" t="s">
        <v>39</v>
      </c>
      <c r="K7" s="64" t="s">
        <v>40</v>
      </c>
      <c r="L7" s="58" t="s">
        <v>80</v>
      </c>
      <c r="M7" s="58" t="s">
        <v>81</v>
      </c>
    </row>
    <row r="8" spans="1:13" ht="15.6" x14ac:dyDescent="0.3">
      <c r="A8" s="34" t="str">
        <v xml:space="preserve"> Circleville - MS</v>
      </c>
      <c r="B8" s="31" t="str">
        <v>NY</v>
      </c>
      <c r="C8" s="26">
        <v>33588.730000000003</v>
      </c>
      <c r="D8" s="14" t="s">
        <v>36</v>
      </c>
      <c r="E8" s="14"/>
      <c r="F8" s="15"/>
      <c r="G8" s="56" t="s">
        <v>36</v>
      </c>
      <c r="H8" s="16"/>
      <c r="I8" s="17"/>
      <c r="J8" s="18" t="s">
        <v>41</v>
      </c>
      <c r="K8" s="18"/>
    </row>
    <row r="9" spans="1:13" ht="14.4" x14ac:dyDescent="0.3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3" ht="14.4" x14ac:dyDescent="0.3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3" ht="14.4" x14ac:dyDescent="0.3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3" ht="14.4" x14ac:dyDescent="0.3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3" ht="14.4" x14ac:dyDescent="0.3">
      <c r="A13" s="23"/>
      <c r="B13" s="35"/>
      <c r="C13" s="23"/>
      <c r="D13" s="23"/>
      <c r="E13" s="23"/>
      <c r="F13" s="23"/>
      <c r="G13" s="23"/>
      <c r="H13" s="23"/>
      <c r="I13" s="23" t="s">
        <v>42</v>
      </c>
      <c r="J13" s="23"/>
      <c r="K13" s="23"/>
    </row>
    <row r="14" spans="1:13" ht="14.4" x14ac:dyDescent="0.3">
      <c r="A14" s="23"/>
      <c r="B14" s="35"/>
      <c r="C14" s="23"/>
      <c r="D14" s="23"/>
      <c r="E14" s="23"/>
      <c r="F14" s="23"/>
      <c r="G14" s="23" t="s">
        <v>42</v>
      </c>
      <c r="H14" s="23"/>
      <c r="I14" s="23"/>
      <c r="J14" s="23"/>
      <c r="K14" s="23"/>
    </row>
    <row r="15" spans="1:13" ht="14.4" x14ac:dyDescent="0.3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3" ht="14.4" x14ac:dyDescent="0.3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C327" s="23"/>
      <c r="D327" s="23"/>
      <c r="E327" s="23"/>
      <c r="F327" s="24"/>
      <c r="G327" s="23"/>
      <c r="H327" s="23"/>
      <c r="I327" s="24"/>
      <c r="J327" s="23"/>
      <c r="K327" s="23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85 I4:I85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hyperlinks>
    <hyperlink ref="K4" r:id="rId1" display="https://us3.assetplanner.com/service_request?ID=103425" xr:uid="{2F6E61DC-9F28-4109-8ED2-16AE911C07D1}"/>
    <hyperlink ref="L4" r:id="rId2" display="https://us3.assetplanner.com/service_request?ID=105584" xr:uid="{5B917B8F-AF12-401B-8832-FC6A53CB1993}"/>
    <hyperlink ref="K7" r:id="rId3" display="https://us3.assetplanner.com/service_request?ID=103723" xr:uid="{4809016E-9575-4B38-8EA9-1B29C27E815A}"/>
    <hyperlink ref="L7" r:id="rId4" display="https://us3.assetplanner.com/service_request?ID=104003" xr:uid="{DE8D452A-09CE-4772-9D02-5A64D7750805}"/>
    <hyperlink ref="M7" r:id="rId5" display="https://us3.assetplanner.com/service_request?ID=107621" xr:uid="{F657CBF1-FF02-423B-A4A4-1BCBE0C7B266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27"/>
  <sheetViews>
    <sheetView zoomScale="80" zoomScaleNormal="80" workbookViewId="0">
      <pane ySplit="2" topLeftCell="A3" activePane="bottomLeft" state="frozen"/>
      <selection activeCell="J16" sqref="J16"/>
      <selection pane="bottomLeft" activeCell="L1" sqref="L1:L1048576"/>
    </sheetView>
  </sheetViews>
  <sheetFormatPr defaultRowHeight="13.8" x14ac:dyDescent="0.25"/>
  <cols>
    <col min="1" max="1" width="35.88671875" bestFit="1" customWidth="1"/>
    <col min="2" max="2" width="8.44140625" style="3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2" width="8.88671875" style="65"/>
  </cols>
  <sheetData>
    <row r="1" spans="1:12" ht="19.5" customHeight="1" x14ac:dyDescent="0.25">
      <c r="A1" s="61" t="str" cm="1">
        <f t="array" ref="A1">portfolio</f>
        <v>Pine Bush Central School District</v>
      </c>
      <c r="B1" s="61"/>
      <c r="C1" s="61"/>
      <c r="D1" s="62" t="s">
        <v>43</v>
      </c>
      <c r="E1" s="62"/>
      <c r="F1" s="62"/>
      <c r="G1" s="60" t="s">
        <v>44</v>
      </c>
      <c r="H1" s="60"/>
      <c r="I1" s="60"/>
      <c r="J1" s="5"/>
      <c r="K1" s="5"/>
    </row>
    <row r="2" spans="1:12" ht="19.5" customHeight="1" x14ac:dyDescent="0.25">
      <c r="A2" s="63" t="s">
        <v>2</v>
      </c>
      <c r="B2" s="63"/>
      <c r="C2" s="6">
        <f>SUM(C4:C85)</f>
        <v>178498.08199999999</v>
      </c>
      <c r="D2" s="6">
        <f>SUM(D4:D85)</f>
        <v>0</v>
      </c>
      <c r="E2" s="6">
        <f>C2-D2</f>
        <v>178498.08199999999</v>
      </c>
      <c r="F2" s="7">
        <f>IFERROR(E2/D2, 0)</f>
        <v>0</v>
      </c>
      <c r="G2" s="6">
        <f>SUM(G4:G85)</f>
        <v>0</v>
      </c>
      <c r="H2" s="8">
        <f>C2-G2</f>
        <v>178498.08199999999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2" ht="28.8" x14ac:dyDescent="0.3">
      <c r="A4" s="34" t="str" cm="1">
        <f t="array" ref="A4:A8">Sites[Site]</f>
        <v>Pine Bush - HS</v>
      </c>
      <c r="B4" s="31" t="str" cm="1">
        <f t="array" ref="B4:B8">Sites[State]</f>
        <v>NY</v>
      </c>
      <c r="C4" s="26">
        <v>69912.7</v>
      </c>
      <c r="D4" s="14" t="s">
        <v>36</v>
      </c>
      <c r="E4" s="14" t="str">
        <f>IF(AND(ISNUMBER(C4),ISNUMBER(D4)), C4-D4, "")</f>
        <v/>
      </c>
      <c r="F4" s="15" t="str">
        <f>IFERROR(E4/D4, "")</f>
        <v/>
      </c>
      <c r="G4" s="56" t="s">
        <v>36</v>
      </c>
      <c r="H4" s="16" t="str">
        <f>IF(AND(ISNUMBER(C4),ISNUMBER(G4)), C4-G4, "")</f>
        <v/>
      </c>
      <c r="I4" s="17" t="str">
        <f>IFERROR(H4/G4,"")</f>
        <v/>
      </c>
      <c r="J4" s="18" t="s">
        <v>45</v>
      </c>
      <c r="K4" s="59" t="s">
        <v>38</v>
      </c>
      <c r="L4" s="58" t="s">
        <v>79</v>
      </c>
    </row>
    <row r="5" spans="1:12" ht="15.6" x14ac:dyDescent="0.25">
      <c r="A5" s="32" t="str">
        <v>Pine Bush - ES</v>
      </c>
      <c r="B5" s="33" t="str">
        <v>NY</v>
      </c>
      <c r="C5" s="12">
        <v>11245.424999999999</v>
      </c>
      <c r="D5" s="20" t="s">
        <v>36</v>
      </c>
      <c r="E5" s="20" t="str">
        <f t="shared" ref="E5:E6" si="0">IF(AND(ISNUMBER(C5),ISNUMBER(D5)), C5-D5, "")</f>
        <v/>
      </c>
      <c r="F5" s="21" t="str">
        <f>IFERROR(E5/D5, "")</f>
        <v/>
      </c>
      <c r="G5" s="55" t="s">
        <v>36</v>
      </c>
      <c r="H5" s="22" t="str">
        <f t="shared" ref="H5:H6" si="1">IF(AND(ISNUMBER(C5),ISNUMBER(G5)), C5-G5, "")</f>
        <v/>
      </c>
      <c r="I5" s="21" t="str">
        <f>IFERROR(H5/G5,"")</f>
        <v/>
      </c>
      <c r="J5" s="11"/>
      <c r="K5" s="19"/>
    </row>
    <row r="6" spans="1:12" ht="15.6" x14ac:dyDescent="0.3">
      <c r="A6" s="34" t="str">
        <v xml:space="preserve"> Pine Bush - Russel ES</v>
      </c>
      <c r="B6" s="31" t="str">
        <v>NY</v>
      </c>
      <c r="C6" s="26">
        <v>37798.199999999997</v>
      </c>
      <c r="D6" s="14" t="s">
        <v>36</v>
      </c>
      <c r="E6" s="14" t="str">
        <f t="shared" si="0"/>
        <v/>
      </c>
      <c r="F6" s="15" t="str">
        <f t="shared" ref="F6" si="2">IFERROR(E6/D6, "")</f>
        <v/>
      </c>
      <c r="G6" s="56" t="s">
        <v>36</v>
      </c>
      <c r="H6" s="16" t="str">
        <f t="shared" si="1"/>
        <v/>
      </c>
      <c r="I6" s="17" t="str">
        <f>IFERROR(H6/G6,"")</f>
        <v/>
      </c>
      <c r="J6" s="18"/>
      <c r="K6" s="18"/>
    </row>
    <row r="7" spans="1:12" ht="28.8" x14ac:dyDescent="0.25">
      <c r="A7" s="32" t="str">
        <v xml:space="preserve">  Circleville - ES</v>
      </c>
      <c r="B7" s="33" t="str">
        <v>NY</v>
      </c>
      <c r="C7" s="12">
        <v>26444.757000000001</v>
      </c>
      <c r="D7" s="20" t="s">
        <v>36</v>
      </c>
      <c r="E7" s="20"/>
      <c r="F7" s="21"/>
      <c r="G7" s="55" t="s">
        <v>36</v>
      </c>
      <c r="H7" s="22"/>
      <c r="I7" s="21"/>
      <c r="J7" s="47" t="s">
        <v>46</v>
      </c>
      <c r="K7" s="66" t="s">
        <v>47</v>
      </c>
      <c r="L7" s="58" t="s">
        <v>81</v>
      </c>
    </row>
    <row r="8" spans="1:12" ht="28.8" x14ac:dyDescent="0.3">
      <c r="A8" s="34" t="str">
        <v xml:space="preserve"> Circleville - MS</v>
      </c>
      <c r="B8" s="31" t="str">
        <v>NY</v>
      </c>
      <c r="C8" s="26">
        <v>33097</v>
      </c>
      <c r="D8" s="14" t="s">
        <v>36</v>
      </c>
      <c r="E8" s="14"/>
      <c r="F8" s="15"/>
      <c r="G8" s="56" t="s">
        <v>36</v>
      </c>
      <c r="H8" s="16"/>
      <c r="I8" s="17"/>
      <c r="J8" s="18" t="s">
        <v>41</v>
      </c>
      <c r="K8" s="18"/>
    </row>
    <row r="9" spans="1:12" ht="14.4" x14ac:dyDescent="0.3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" x14ac:dyDescent="0.3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" x14ac:dyDescent="0.3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" x14ac:dyDescent="0.3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" x14ac:dyDescent="0.3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" x14ac:dyDescent="0.3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" x14ac:dyDescent="0.3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" x14ac:dyDescent="0.3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hyperlinks>
    <hyperlink ref="K4" r:id="rId1" display="https://us3.assetplanner.com/service_request?ID=103425" xr:uid="{A07E5E41-402A-4E87-83A1-1705A9123A20}"/>
    <hyperlink ref="L4" r:id="rId2" display="https://us3.assetplanner.com/service_request?ID=105584" xr:uid="{3C802C41-4E43-471C-ADAD-36CC94B256FC}"/>
    <hyperlink ref="K7" r:id="rId3" display="https://us3.assetplanner.com/service_request?ID=103723" xr:uid="{E963C2EF-4AED-4473-BDFB-3DBF88544C00}"/>
    <hyperlink ref="L7" r:id="rId4" display="https://us3.assetplanner.com/service_request?ID=107621" xr:uid="{9C52E5E0-0ED7-4CA0-87F2-0B250378196F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N327"/>
  <sheetViews>
    <sheetView zoomScale="80" zoomScaleNormal="80" workbookViewId="0">
      <pane ySplit="2" topLeftCell="A3" activePane="bottomLeft" state="frozen"/>
      <selection activeCell="J16" sqref="J16"/>
      <selection pane="bottomLeft" activeCell="C5" sqref="C5"/>
    </sheetView>
  </sheetViews>
  <sheetFormatPr defaultRowHeight="13.8" x14ac:dyDescent="0.25"/>
  <cols>
    <col min="1" max="1" width="35.88671875" bestFit="1" customWidth="1"/>
    <col min="2" max="2" width="8.44140625" style="3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4" width="8.88671875" style="65"/>
  </cols>
  <sheetData>
    <row r="1" spans="1:13" ht="19.5" customHeight="1" x14ac:dyDescent="0.25">
      <c r="A1" s="61" t="str" cm="1">
        <f t="array" ref="A1">portfolio</f>
        <v>Pine Bush Central School District</v>
      </c>
      <c r="B1" s="61"/>
      <c r="C1" s="61"/>
      <c r="D1" s="62" t="s">
        <v>48</v>
      </c>
      <c r="E1" s="62"/>
      <c r="F1" s="62"/>
      <c r="G1" s="60" t="s">
        <v>49</v>
      </c>
      <c r="H1" s="60"/>
      <c r="I1" s="60"/>
      <c r="J1" s="5"/>
      <c r="K1" s="5"/>
    </row>
    <row r="2" spans="1:13" ht="19.5" customHeight="1" x14ac:dyDescent="0.25">
      <c r="A2" s="63" t="s">
        <v>2</v>
      </c>
      <c r="B2" s="63"/>
      <c r="C2" s="6">
        <f>SUM(C4:C85)</f>
        <v>136298.01999999999</v>
      </c>
      <c r="D2" s="6">
        <f>SUM(D4:D85)</f>
        <v>0</v>
      </c>
      <c r="E2" s="6">
        <f>C2-D2</f>
        <v>136298.01999999999</v>
      </c>
      <c r="F2" s="7">
        <f>IFERROR(E2/D2, 0)</f>
        <v>0</v>
      </c>
      <c r="G2" s="6">
        <f>SUM(G4:G85)</f>
        <v>0</v>
      </c>
      <c r="H2" s="8">
        <f>C2-G2</f>
        <v>136298.01999999999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3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3" ht="15.6" x14ac:dyDescent="0.3">
      <c r="A4" s="34" t="str" cm="1">
        <f t="array" ref="A4:A8">Sites[Site]</f>
        <v>Pine Bush - HS</v>
      </c>
      <c r="B4" s="31" t="str" cm="1">
        <f t="array" ref="B4:B8">Sites[State]</f>
        <v>NY</v>
      </c>
      <c r="C4" s="26">
        <v>54646.7</v>
      </c>
      <c r="D4" s="14" t="s">
        <v>36</v>
      </c>
      <c r="E4" s="14" t="str">
        <f>IF(AND(ISNUMBER(C4),ISNUMBER(D4)), C4-D4, "")</f>
        <v/>
      </c>
      <c r="F4" s="15" t="str">
        <f>IFERROR(E4/D4, "")</f>
        <v/>
      </c>
      <c r="G4" s="56" t="s">
        <v>36</v>
      </c>
      <c r="H4" s="16" t="str">
        <f>IF(AND(ISNUMBER(C4),ISNUMBER(G4)), C4-G4, "")</f>
        <v/>
      </c>
      <c r="I4" s="17" t="str">
        <f>IFERROR(H4/G4,"")</f>
        <v/>
      </c>
      <c r="J4" s="18" t="s">
        <v>50</v>
      </c>
      <c r="K4" s="59" t="s">
        <v>51</v>
      </c>
    </row>
    <row r="5" spans="1:13" ht="15.6" x14ac:dyDescent="0.25">
      <c r="A5" s="32" t="str">
        <v>Pine Bush - ES</v>
      </c>
      <c r="B5" s="33" t="str">
        <v>NY</v>
      </c>
      <c r="C5" s="12">
        <v>8714.4619999999995</v>
      </c>
      <c r="D5" s="20" t="s">
        <v>36</v>
      </c>
      <c r="E5" s="20" t="str">
        <f t="shared" ref="E5:E6" si="0">IF(AND(ISNUMBER(C5),ISNUMBER(D5)), C5-D5, "")</f>
        <v/>
      </c>
      <c r="F5" s="21" t="str">
        <f>IFERROR(E5/D5, "")</f>
        <v/>
      </c>
      <c r="G5" s="55" t="s">
        <v>36</v>
      </c>
      <c r="H5" s="22" t="str">
        <f t="shared" ref="H5:H8" si="1">IF(AND(ISNUMBER(C5),ISNUMBER(G5)), C5-G5, "")</f>
        <v/>
      </c>
      <c r="I5" s="21" t="str">
        <f>IFERROR(H5/G5,"")</f>
        <v/>
      </c>
      <c r="J5" s="11"/>
      <c r="K5" s="19"/>
    </row>
    <row r="6" spans="1:13" ht="15.6" x14ac:dyDescent="0.3">
      <c r="A6" s="34" t="str">
        <v xml:space="preserve"> Pine Bush - Russel ES</v>
      </c>
      <c r="B6" s="31" t="str">
        <v>NY</v>
      </c>
      <c r="C6" s="26">
        <v>29158.1</v>
      </c>
      <c r="D6" s="14" t="s">
        <v>36</v>
      </c>
      <c r="E6" s="14" t="str">
        <f t="shared" si="0"/>
        <v/>
      </c>
      <c r="F6" s="15" t="str">
        <f t="shared" ref="F6" si="2">IFERROR(E6/D6, "")</f>
        <v/>
      </c>
      <c r="G6" s="56" t="s">
        <v>36</v>
      </c>
      <c r="H6" s="16" t="str">
        <f t="shared" si="1"/>
        <v/>
      </c>
      <c r="I6" s="17" t="str">
        <f t="shared" ref="I6:I8" si="3">IFERROR(H6/G6,"")</f>
        <v/>
      </c>
      <c r="J6" s="18" t="s">
        <v>52</v>
      </c>
      <c r="K6" s="59" t="s">
        <v>53</v>
      </c>
    </row>
    <row r="7" spans="1:13" ht="43.2" x14ac:dyDescent="0.25">
      <c r="A7" s="32" t="str">
        <v xml:space="preserve">  Circleville - ES</v>
      </c>
      <c r="B7" s="33" t="str">
        <v>NY</v>
      </c>
      <c r="C7" s="12">
        <v>20837.060000000001</v>
      </c>
      <c r="D7" s="20" t="s">
        <v>36</v>
      </c>
      <c r="E7" s="20"/>
      <c r="F7" s="21"/>
      <c r="G7" s="55" t="s">
        <v>36</v>
      </c>
      <c r="H7" s="22" t="str">
        <f t="shared" si="1"/>
        <v/>
      </c>
      <c r="I7" s="21" t="str">
        <f t="shared" si="3"/>
        <v/>
      </c>
      <c r="J7" s="47" t="s">
        <v>54</v>
      </c>
      <c r="K7" s="66" t="s">
        <v>55</v>
      </c>
      <c r="L7" s="58" t="s">
        <v>81</v>
      </c>
      <c r="M7" s="58" t="s">
        <v>82</v>
      </c>
    </row>
    <row r="8" spans="1:13" ht="28.8" x14ac:dyDescent="0.3">
      <c r="A8" s="34" t="str">
        <v xml:space="preserve"> Circleville - MS</v>
      </c>
      <c r="B8" s="31" t="str">
        <v>NY</v>
      </c>
      <c r="C8" s="26">
        <v>22941.698</v>
      </c>
      <c r="D8" s="14" t="s">
        <v>36</v>
      </c>
      <c r="E8" s="14"/>
      <c r="F8" s="15"/>
      <c r="G8" s="56" t="s">
        <v>36</v>
      </c>
      <c r="H8" s="16" t="str">
        <f t="shared" si="1"/>
        <v/>
      </c>
      <c r="I8" s="17" t="str">
        <f t="shared" si="3"/>
        <v/>
      </c>
      <c r="J8" s="18" t="s">
        <v>41</v>
      </c>
      <c r="K8" s="18"/>
    </row>
    <row r="9" spans="1:13" ht="14.4" x14ac:dyDescent="0.3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3" ht="14.4" x14ac:dyDescent="0.3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3" ht="14.4" x14ac:dyDescent="0.3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3" ht="14.4" x14ac:dyDescent="0.3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3" ht="14.4" x14ac:dyDescent="0.3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3" ht="14.4" x14ac:dyDescent="0.3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3" ht="14.4" x14ac:dyDescent="0.3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3" ht="14.4" x14ac:dyDescent="0.3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hyperlinks>
    <hyperlink ref="K4" r:id="rId1" display="https://us3.assetplanner.com/service_request?ID=105584" xr:uid="{E3519E9C-9985-42C2-896B-40753261C77A}"/>
    <hyperlink ref="K6" r:id="rId2" display="https://us3.assetplanner.com/service_request?ID=102050" xr:uid="{F19EB1D8-5017-418F-BD3C-A0206DCEEDBF}"/>
    <hyperlink ref="K7" r:id="rId3" display="https://us3.assetplanner.com/service_request?ID=103723" xr:uid="{6096A98D-B069-459E-AD92-FEE981DBFDEF}"/>
    <hyperlink ref="L7" r:id="rId4" display="https://us3.assetplanner.com/service_request?ID=107621" xr:uid="{495B2FB4-E839-4851-A8A5-1A69B674B0D9}"/>
    <hyperlink ref="M7" r:id="rId5" display="https://us3.assetplanner.com/service_request?ID=107622" xr:uid="{D4462FAD-4CBF-4A90-AEB0-77B7459735C7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7"/>
  <sheetViews>
    <sheetView workbookViewId="0">
      <pane ySplit="2" topLeftCell="A3" activePane="bottomLeft" state="frozen"/>
      <selection activeCell="J16" sqref="J16"/>
      <selection pane="bottomLeft" activeCell="J16" sqref="J16"/>
    </sheetView>
  </sheetViews>
  <sheetFormatPr defaultRowHeight="13.8" x14ac:dyDescent="0.25"/>
  <cols>
    <col min="1" max="1" width="35.88671875" bestFit="1" customWidth="1"/>
    <col min="2" max="2" width="8.44140625" style="3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1" t="str" cm="1">
        <f t="array" ref="A1">portfolio</f>
        <v>Pine Bush Central School District</v>
      </c>
      <c r="B1" s="61"/>
      <c r="C1" s="61"/>
      <c r="D1" s="62" t="s">
        <v>56</v>
      </c>
      <c r="E1" s="62"/>
      <c r="F1" s="62"/>
      <c r="G1" s="60" t="s">
        <v>57</v>
      </c>
      <c r="H1" s="60"/>
      <c r="I1" s="60"/>
      <c r="J1" s="5"/>
      <c r="K1" s="5"/>
    </row>
    <row r="2" spans="1:11" ht="19.5" customHeight="1" x14ac:dyDescent="0.25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 x14ac:dyDescent="0.3">
      <c r="A4" s="34" t="str" cm="1">
        <f t="array" ref="A4:A8">Sites[Site]</f>
        <v>Pine Bush - HS</v>
      </c>
      <c r="B4" s="31" t="str" cm="1">
        <f t="array" ref="B4:B8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 x14ac:dyDescent="0.25">
      <c r="A5" s="32" t="str">
        <v>Pine Bush - ES</v>
      </c>
      <c r="B5" s="33" t="str">
        <v>NY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11"/>
      <c r="K5" s="19"/>
    </row>
    <row r="6" spans="1:11" ht="15.6" x14ac:dyDescent="0.25">
      <c r="A6" s="30" t="str">
        <v xml:space="preserve"> Pine Bush - Russel ES</v>
      </c>
      <c r="B6" s="31" t="str">
        <v>NY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/>
      <c r="K6" s="18"/>
    </row>
    <row r="7" spans="1:11" ht="14.4" x14ac:dyDescent="0.3">
      <c r="A7" s="23" t="str">
        <v xml:space="preserve">  Circleville - ES</v>
      </c>
      <c r="B7" s="35" t="str">
        <v>NY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 t="str">
        <v xml:space="preserve"> Circleville - MS</v>
      </c>
      <c r="B8" s="35" t="str">
        <v>NY</v>
      </c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7"/>
  <sheetViews>
    <sheetView workbookViewId="0">
      <pane ySplit="2" topLeftCell="A3" activePane="bottomLeft" state="frozen"/>
      <selection activeCell="J16" sqref="J16"/>
      <selection pane="bottomLeft" activeCell="J16" sqref="J16"/>
    </sheetView>
  </sheetViews>
  <sheetFormatPr defaultRowHeight="13.8" x14ac:dyDescent="0.25"/>
  <cols>
    <col min="1" max="1" width="35.88671875" bestFit="1" customWidth="1"/>
    <col min="2" max="2" width="8.44140625" style="3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1" t="str" cm="1">
        <f t="array" ref="A1">portfolio</f>
        <v>Pine Bush Central School District</v>
      </c>
      <c r="B1" s="61"/>
      <c r="C1" s="61"/>
      <c r="D1" s="62" t="s">
        <v>58</v>
      </c>
      <c r="E1" s="62"/>
      <c r="F1" s="62"/>
      <c r="G1" s="60" t="s">
        <v>59</v>
      </c>
      <c r="H1" s="60"/>
      <c r="I1" s="60"/>
      <c r="J1" s="5"/>
      <c r="K1" s="5"/>
    </row>
    <row r="2" spans="1:11" ht="19.5" customHeight="1" x14ac:dyDescent="0.25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 x14ac:dyDescent="0.3">
      <c r="A4" s="34" t="str" cm="1">
        <f t="array" ref="A4:A8">Sites[Site]</f>
        <v>Pine Bush - HS</v>
      </c>
      <c r="B4" s="31" t="str" cm="1">
        <f t="array" ref="B4:B8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 x14ac:dyDescent="0.25">
      <c r="A5" s="32" t="str">
        <v>Pine Bush - ES</v>
      </c>
      <c r="B5" s="33" t="str">
        <v>NY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47"/>
      <c r="K5" s="50"/>
    </row>
    <row r="6" spans="1:11" ht="15.6" x14ac:dyDescent="0.25">
      <c r="A6" s="30" t="str">
        <v xml:space="preserve"> Pine Bush - Russel ES</v>
      </c>
      <c r="B6" s="31" t="str">
        <v>NY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/>
      <c r="K6" s="18"/>
    </row>
    <row r="7" spans="1:11" ht="14.4" x14ac:dyDescent="0.3">
      <c r="A7" s="23" t="str">
        <v xml:space="preserve">  Circleville - ES</v>
      </c>
      <c r="B7" s="35" t="str">
        <v>NY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 t="str">
        <v xml:space="preserve"> Circleville - MS</v>
      </c>
      <c r="B8" s="35" t="str">
        <v>NY</v>
      </c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7"/>
  <sheetViews>
    <sheetView workbookViewId="0">
      <pane ySplit="2" topLeftCell="A3" activePane="bottomLeft" state="frozen"/>
      <selection activeCell="J16" sqref="J16"/>
      <selection pane="bottomLeft" activeCell="J16" sqref="J16"/>
    </sheetView>
  </sheetViews>
  <sheetFormatPr defaultRowHeight="13.8" x14ac:dyDescent="0.25"/>
  <cols>
    <col min="1" max="1" width="35.88671875" bestFit="1" customWidth="1"/>
    <col min="2" max="2" width="8.44140625" style="3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1" t="str" cm="1">
        <f t="array" ref="A1">portfolio</f>
        <v>Pine Bush Central School District</v>
      </c>
      <c r="B1" s="61"/>
      <c r="C1" s="61"/>
      <c r="D1" s="62" t="s">
        <v>60</v>
      </c>
      <c r="E1" s="62"/>
      <c r="F1" s="62"/>
      <c r="G1" s="60" t="s">
        <v>61</v>
      </c>
      <c r="H1" s="60"/>
      <c r="I1" s="60"/>
      <c r="J1" s="5"/>
      <c r="K1" s="5"/>
    </row>
    <row r="2" spans="1:11" ht="19.5" customHeight="1" x14ac:dyDescent="0.25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 x14ac:dyDescent="0.3">
      <c r="A4" s="34" t="str" cm="1">
        <f t="array" ref="A4:A8">Sites[Site]</f>
        <v>Pine Bush - HS</v>
      </c>
      <c r="B4" s="31" t="str" cm="1">
        <f t="array" ref="B4:B8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 x14ac:dyDescent="0.25">
      <c r="A5" s="32" t="str">
        <v>Pine Bush - ES</v>
      </c>
      <c r="B5" s="33" t="str">
        <v>NY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49"/>
      <c r="K5" s="48"/>
    </row>
    <row r="6" spans="1:11" ht="15.6" x14ac:dyDescent="0.25">
      <c r="A6" s="30" t="str">
        <v xml:space="preserve"> Pine Bush - Russel ES</v>
      </c>
      <c r="B6" s="31" t="str">
        <v>NY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/>
      <c r="K6" s="18"/>
    </row>
    <row r="7" spans="1:11" ht="14.4" x14ac:dyDescent="0.3">
      <c r="A7" s="23" t="str">
        <v xml:space="preserve">  Circleville - ES</v>
      </c>
      <c r="B7" s="35" t="str">
        <v>NY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 t="str">
        <v xml:space="preserve"> Circleville - MS</v>
      </c>
      <c r="B8" s="35" t="str">
        <v>NY</v>
      </c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" priority="1" stopIfTrue="1" operator="lessThanOrEqual">
      <formula>-0.1</formula>
    </cfRule>
    <cfRule type="expression" dxfId="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8"/>
  <sheetViews>
    <sheetView workbookViewId="0">
      <pane ySplit="3" topLeftCell="A4" activePane="bottomLeft" state="frozen"/>
      <selection activeCell="A33" sqref="A33"/>
      <selection pane="bottomLeft" activeCell="A6" sqref="A6:XFD6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18.33203125" customWidth="1"/>
    <col min="6" max="14" width="9.109375" customWidth="1"/>
  </cols>
  <sheetData>
    <row r="1" spans="1:7" ht="12.75" customHeight="1" x14ac:dyDescent="0.25">
      <c r="A1" t="s">
        <v>62</v>
      </c>
      <c r="B1" s="37" t="s">
        <v>63</v>
      </c>
    </row>
    <row r="3" spans="1:7" ht="13.2" x14ac:dyDescent="0.25">
      <c r="A3" t="s">
        <v>64</v>
      </c>
      <c r="B3" t="s">
        <v>3</v>
      </c>
      <c r="C3" t="s">
        <v>4</v>
      </c>
      <c r="D3" t="s">
        <v>65</v>
      </c>
      <c r="E3" s="2" t="s">
        <v>66</v>
      </c>
    </row>
    <row r="4" spans="1:7" ht="14.4" x14ac:dyDescent="0.3">
      <c r="A4" s="37" t="s">
        <v>67</v>
      </c>
      <c r="B4" s="37" t="s">
        <v>68</v>
      </c>
      <c r="C4" s="4" t="s">
        <v>69</v>
      </c>
      <c r="E4" t="s">
        <v>70</v>
      </c>
      <c r="G4" s="3"/>
    </row>
    <row r="5" spans="1:7" ht="14.4" x14ac:dyDescent="0.3">
      <c r="A5" s="37" t="s">
        <v>71</v>
      </c>
      <c r="B5" s="37" t="s">
        <v>72</v>
      </c>
      <c r="C5" s="4" t="s">
        <v>69</v>
      </c>
      <c r="E5" t="s">
        <v>70</v>
      </c>
      <c r="G5" s="3"/>
    </row>
    <row r="6" spans="1:7" ht="14.4" x14ac:dyDescent="0.3">
      <c r="A6" s="37" t="s">
        <v>73</v>
      </c>
      <c r="B6" s="37" t="s">
        <v>74</v>
      </c>
      <c r="C6" s="4" t="s">
        <v>69</v>
      </c>
      <c r="E6" t="s">
        <v>70</v>
      </c>
      <c r="G6" s="3"/>
    </row>
    <row r="7" spans="1:7" ht="12.75" customHeight="1" x14ac:dyDescent="0.25">
      <c r="A7" s="4" t="s">
        <v>75</v>
      </c>
      <c r="B7" s="4" t="s">
        <v>76</v>
      </c>
      <c r="C7" s="4" t="s">
        <v>69</v>
      </c>
      <c r="E7" t="s">
        <v>70</v>
      </c>
    </row>
    <row r="8" spans="1:7" ht="12.75" customHeight="1" x14ac:dyDescent="0.25">
      <c r="A8" s="4" t="s">
        <v>77</v>
      </c>
      <c r="B8" s="4" t="s">
        <v>78</v>
      </c>
      <c r="C8" s="4" t="s">
        <v>69</v>
      </c>
      <c r="E8" t="s">
        <v>70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2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402F0CB-0A7A-4413-AE77-3CAA13364A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6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7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8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9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0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11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12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3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14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5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6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7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8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9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20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Solar Team 2</cp:lastModifiedBy>
  <cp:revision/>
  <dcterms:created xsi:type="dcterms:W3CDTF">2021-01-01T16:39:53Z</dcterms:created>
  <dcterms:modified xsi:type="dcterms:W3CDTF">2025-10-15T13:29:25Z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