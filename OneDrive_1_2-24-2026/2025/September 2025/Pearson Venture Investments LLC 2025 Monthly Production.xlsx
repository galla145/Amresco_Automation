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" documentId="13_ncr:1_{78722E15-EDC3-4C17-AB2D-216602A0AC94}" xr6:coauthVersionLast="47" xr6:coauthVersionMax="47" xr10:uidLastSave="{EDF4EB56-01A1-4B98-84C5-C85B0B8A333F}"/>
  <bookViews>
    <workbookView xWindow="-108" yWindow="-108" windowWidth="23256" windowHeight="12456" tabRatio="866" firstSheet="10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" l="1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<sst xmlns="http://schemas.openxmlformats.org/spreadsheetml/2006/main" count="254" uniqueCount="60">
  <si>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</si>
  <si>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</si>
  <si>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</si>
  <si>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</si>
  <si>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</si>
  <si>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</si>
  <si>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</si>
  <si>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</si>
  <si>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</si>
  <si>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</si>
  <si>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</si>
  <si>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</si>
  <si>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</si>
  <si>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</si>
  <si>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</si>
  <si>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</si>
  <si>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</si>
  <si>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</si>
  <si>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</si>
  <si>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</si>
  <si>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</si>
  <si>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</si>
  <si>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</si>
  <si>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tripped offline at 8:45AM on 12/15/24 due to AC contactor (ABB 145-30) is fault and back online at 10:45 on 01/24/25 after technician replaced AC contactor.</t>
  </si>
  <si>
    <t>1.SR094687</t>
  </si>
  <si>
    <t>February Actual v. Expected</t>
  </si>
  <si>
    <t>February Actual v. Forecasted</t>
  </si>
  <si>
    <t xml:space="preserve">1.Low generation due to weather/snow on 02/09 to 02/25
</t>
  </si>
  <si>
    <t>March Actual v. Expected</t>
  </si>
  <si>
    <t>March Actual v. Forecasted</t>
  </si>
  <si>
    <t>1.Inverters offline from 08:15 to 16:15 due to technician on site on 03/04.</t>
  </si>
  <si>
    <t>1.	SR097756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</si>
  <si>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</si>
  <si>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</si>
  <si>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</si>
  <si>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</si>
  <si>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</si>
  <si>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</si>
  <si>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</si>
  <si>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</si>
  <si>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</si>
  <si>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</si>
  <si>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</si>
  <si>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</si>
  <si>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 xml:space="preserve">                   N/A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</si>
  <si>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</si>
  <si>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</si>
  <si>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</si>
  <si>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</si>
  <si>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</si>
  <si>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</si>
  <si>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</si>
  <si>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Pearson Venture Investments LLC</t>
  </si>
  <si>
    <t>Site DAS Name</t>
  </si>
  <si>
    <t>Update</t>
  </si>
  <si>
    <t>DAS</t>
  </si>
  <si>
    <t>MA - Billerica - 2 Sterling Way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</si>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</sst>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SUM(C4:C79)</f>
        <v>125027</v>
      </c>
      <c r="D2" s="5">
        <f>SUM(D4:D79)</f>
        <v>134877.26799999998</v>
      </c>
      <c r="E2" s="5">
        <f>C2-D2</f>
        <v>-9850.2679999999818</v>
      </c>
      <c r="F2" s="6">
        <f>IFERROR(E2/D2, 0)</f>
        <v>-7.3031342835324808E-2</v>
      </c>
      <c r="G2" s="5">
        <f>SUM(G4:G79)</f>
        <v>0</v>
      </c>
      <c r="H2" s="7">
        <f>C2-G2</f>
        <v>125027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125027</v>
      </c>
      <c r="D4" s="12">
        <f>SUM('1st Qtr'!D4, '2nd Qtr'!D4, '3rd Qtr'!D4, '4th Qtr'!D4)</f>
        <v>134877.26799999998</v>
      </c>
      <c r="E4" s="12">
        <f>IF(AND(ISNUMBER(C4),ISNUMBER(D4)), C4-D4, "")</f>
        <v>-9850.2679999999818</v>
      </c>
      <c r="F4" s="13">
        <f>IFERROR(E4/D4, "")</f>
        <v>-7.3031342835324808E-2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14" sqref="E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SUM(C4:C79)</f>
        <v>17215</v>
      </c>
      <c r="D2" s="5">
        <f>SUM(D4:D79)</f>
        <v>30448.625</v>
      </c>
      <c r="E2" s="5">
        <f>C2-D2</f>
        <v>-13233.625</v>
      </c>
      <c r="F2" s="6">
        <f>IFERROR(E2/D2, 0)</f>
        <v>-0.43462143200226611</v>
      </c>
      <c r="G2" s="5">
        <f>SUM(G4:G79)</f>
        <v>0</v>
      </c>
      <c r="H2" s="7">
        <f>C2-G2</f>
        <v>17215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17215</v>
      </c>
      <c r="D4" s="12">
        <f>SUM(Jan!D4, Feb!D4, Mar!D4)</f>
        <v>30448.625</v>
      </c>
      <c r="E4" s="12">
        <f>IF(AND(ISNUMBER(C4),ISNUMBER(D4)), C4-D4, "")</f>
        <v>-13233.625</v>
      </c>
      <c r="F4" s="13">
        <f>IFERROR(E4/D4, "")</f>
        <v>-0.43462143200226611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SUM(C4:C79)</f>
        <v>51225</v>
      </c>
      <c r="D2" s="5">
        <f>SUM(D4:D79)</f>
        <v>49532.380999999994</v>
      </c>
      <c r="E2" s="5">
        <f>C2-D2</f>
        <v>1692.6190000000061</v>
      </c>
      <c r="F2" s="6">
        <f>IFERROR(E2/D2, 0)</f>
        <v>3.4171969241696784E-2</v>
      </c>
      <c r="G2" s="5">
        <f>SUM(G4:G79)</f>
        <v>0</v>
      </c>
      <c r="H2" s="7">
        <f>C2-G2</f>
        <v>51225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51225</v>
      </c>
      <c r="D4" s="12">
        <f>SUM(Apr!D4, May!D4, Jun!D4)</f>
        <v>49532.380999999994</v>
      </c>
      <c r="E4" s="12">
        <f>IF(AND(ISNUMBER(C4),ISNUMBER(D4)), C4-D4, "")</f>
        <v>1692.6190000000061</v>
      </c>
      <c r="F4" s="13">
        <f>IFERROR(E4/D4, "")</f>
        <v>3.4171969241696784E-2</v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SUM(C4:C79)</f>
        <v>56587</v>
      </c>
      <c r="D2" s="5">
        <f>SUM(D4:D79)</f>
        <v>54896.262000000002</v>
      </c>
      <c r="E2" s="5">
        <f>C2-D2</f>
        <v>1690.7379999999976</v>
      </c>
      <c r="F2" s="6">
        <f>IFERROR(E2/D2, 0)</f>
        <v>3.0798781891561169E-2</v>
      </c>
      <c r="G2" s="5">
        <f>SUM(G4:G79)</f>
        <v>0</v>
      </c>
      <c r="H2" s="7">
        <f>C2-G2</f>
        <v>56587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56587</v>
      </c>
      <c r="D4" s="12">
        <f>SUM(Jul!D4, Aug!D4, Sep!D4)</f>
        <v>54896.262000000002</v>
      </c>
      <c r="E4" s="12">
        <f>IF(AND(ISNUMBER(C4),ISNUMBER(D4)), C4-D4, "")</f>
        <v>1690.7379999999976</v>
      </c>
      <c r="F4" s="13">
        <f>IFERROR(E4/D4, "")</f>
        <v>3.0798781891561169E-2</v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G13" sqref="G13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SUM(C4:C78)</f>
        <v>992</v>
      </c>
      <c r="D2" s="5">
        <f>SUM(D4:D78)</f>
        <v>8157</v>
      </c>
      <c r="E2" s="5">
        <f>C2-D2</f>
        <v>-7165</v>
      </c>
      <c r="F2" s="6">
        <f>IFERROR(E2/D2, 0)</f>
        <v>-0.87838666176290303</v>
      </c>
      <c r="G2" s="5">
        <f>SUM(G4:G78)</f>
        <v>0</v>
      </c>
      <c r="H2" s="7">
        <f>C2-G2</f>
        <v>992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0.25" customHeight="1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992</v>
      </c>
      <c r="D4" s="12">
        <v>8157</v>
      </c>
      <c r="E4" s="12">
        <f>IF(AND(ISNUMBER(C4),ISNUMBER(D4)), C4-D4, "")</f>
        <v>-7165</v>
      </c>
      <c r="F4" s="13">
        <f>IFERROR(E4/D4, "")</f>
        <v>-0.87838666176290303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36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J16" sqref="A13: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25</v>
      </c>
      <c r="E1" s="54"/>
      <c r="F1" s="54"/>
      <c r="G1" s="52" t="s">
        <v>26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2209</v>
      </c>
      <c r="D2" s="5">
        <f>SUM(D4:D79)</f>
        <v>8625.9</v>
      </c>
      <c r="E2" s="5">
        <f>C2-D2</f>
        <v>-6416.9</v>
      </c>
      <c r="F2" s="6">
        <f>IFERROR(E2/D2, 0)</f>
        <v>-0.74391078032437197</v>
      </c>
      <c r="G2" s="5">
        <f>SUM(G4:G79)</f>
        <v>0</v>
      </c>
      <c r="H2" s="7">
        <f>C2-G2</f>
        <v>2209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2209</v>
      </c>
      <c r="D4" s="12">
        <v>8625.9</v>
      </c>
      <c r="E4" s="12">
        <f>IF(AND(ISNUMBER(C4),ISNUMBER(D4)), C4-D4, "")</f>
        <v>-6416.9</v>
      </c>
      <c r="F4" s="13">
        <f>IFERROR(E4/D4, "")</f>
        <v>-0.74391078032437197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70" zoomScaleNormal="70" workbookViewId="0">
      <pane xSplit="2" ySplit="3" topLeftCell="C4" activePane="bottomRight" state="frozen"/>
      <selection pane="bottomRight" activeCell="E25" sqref="E25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14014</v>
      </c>
      <c r="D2" s="5">
        <f>SUM(D4:D79)</f>
        <v>13665.725</v>
      </c>
      <c r="E2" s="5">
        <f>C2-D2</f>
        <v>348.27499999999964</v>
      </c>
      <c r="F2" s="6">
        <f>IFERROR(E2/D2, 0)</f>
        <v>2.5485292584184128E-2</v>
      </c>
      <c r="G2" s="5">
        <f>SUM(G4:G79)</f>
        <v>0</v>
      </c>
      <c r="H2" s="7">
        <f>C2-G2</f>
        <v>14014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14014</v>
      </c>
      <c r="D4" s="12">
        <v>13665.725</v>
      </c>
      <c r="E4" s="12">
        <f>IF(AND(ISNUMBER(C4),ISNUMBER(D4)), C4-D4, "")</f>
        <v>348.27499999999964</v>
      </c>
      <c r="F4" s="13">
        <f>IFERROR(E4/D4, "")</f>
        <v>2.5485292584184128E-2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F20" sqref="F2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17067</v>
      </c>
      <c r="D2" s="5">
        <f>SUM(D4:D79)</f>
        <v>16379.147999999999</v>
      </c>
      <c r="E2" s="5">
        <f>C2-D2</f>
        <v>687.85200000000077</v>
      </c>
      <c r="F2" s="6">
        <f>IFERROR(E2/D2, 0)</f>
        <v>4.1995590979457591E-2</v>
      </c>
      <c r="G2" s="5">
        <f>SUM(G4:G79)</f>
        <v>0</v>
      </c>
      <c r="H2" s="7">
        <f>C2-G2</f>
        <v>17067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17067</v>
      </c>
      <c r="D4" s="12">
        <v>16379.147999999999</v>
      </c>
      <c r="E4" s="12">
        <f>IF(AND(ISNUMBER(C4),ISNUMBER(D4)), C4-D4, "")</f>
        <v>687.85200000000077</v>
      </c>
      <c r="F4" s="13">
        <f>IFERROR(E4/D4, "")</f>
        <v>4.1995590979457591E-2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F26" sqref="F2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15768</v>
      </c>
      <c r="D2" s="5">
        <f>SUM(D4:D79)</f>
        <v>15249.130999999999</v>
      </c>
      <c r="E2" s="5">
        <f>C2-D2</f>
        <v>518.8690000000006</v>
      </c>
      <c r="F2" s="6">
        <f>IFERROR(E2/D2, 0)</f>
        <v>3.4026135653238247E-2</v>
      </c>
      <c r="G2" s="5">
        <f>SUM(G4:G79)</f>
        <v>0</v>
      </c>
      <c r="H2" s="7">
        <f>C2-G2</f>
        <v>15768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15768</v>
      </c>
      <c r="D4" s="12">
        <v>15249.130999999999</v>
      </c>
      <c r="E4" s="12">
        <f>IF(AND(ISNUMBER(C4),ISNUMBER(D4)), C4-D4, "")</f>
        <v>518.8690000000006</v>
      </c>
      <c r="F4" s="13">
        <f>IFERROR(E4/D4, "")</f>
        <v>3.4026135653238247E-2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F19" sqref="A17:F19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18390</v>
      </c>
      <c r="D2" s="5">
        <f>SUM(D4:D79)</f>
        <v>17904.101999999999</v>
      </c>
      <c r="E2" s="5">
        <f>C2-D2</f>
        <v>485.89800000000105</v>
      </c>
      <c r="F2" s="6">
        <f>IFERROR(E2/D2, 0)</f>
        <v>2.7138920455211945E-2</v>
      </c>
      <c r="G2" s="5">
        <f>SUM(G4:G79)</f>
        <v>0</v>
      </c>
      <c r="H2" s="7">
        <f>C2-G2</f>
        <v>18390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18390</v>
      </c>
      <c r="D4" s="12">
        <v>17904.101999999999</v>
      </c>
      <c r="E4" s="12">
        <f>IF(AND(ISNUMBER(C4),ISNUMBER(D4)), C4-D4, "")</f>
        <v>485.89800000000105</v>
      </c>
      <c r="F4" s="13">
        <f>IFERROR(E4/D4, "")</f>
        <v>2.7138920455211945E-2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D10" activePane="bottomRight" state="frozen"/>
      <selection pane="bottomRight" activeCell="D10" sqref="D1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20360</v>
      </c>
      <c r="D2" s="5">
        <f>SUM(D4:D79)</f>
        <v>19755.696</v>
      </c>
      <c r="E2" s="5">
        <f>C2-D2</f>
        <v>604.30400000000009</v>
      </c>
      <c r="F2" s="6">
        <f>IFERROR(E2/D2, 0)</f>
        <v>3.0588848907170878E-2</v>
      </c>
      <c r="G2" s="5">
        <f>SUM(G4:G79)</f>
        <v>0</v>
      </c>
      <c r="H2" s="7">
        <f>C2-G2</f>
        <v>20360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20360</v>
      </c>
      <c r="D4" s="12">
        <v>19755.696</v>
      </c>
      <c r="E4" s="12">
        <f>IF(AND(ISNUMBER(C4),ISNUMBER(D4)), C4-D4, "")</f>
        <v>604.30400000000009</v>
      </c>
      <c r="F4" s="13">
        <f>IFERROR(E4/D4, "")</f>
        <v>3.0588848907170878E-2</v>
      </c>
      <c r="G4" s="51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4" sqref="D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20463</v>
      </c>
      <c r="D2" s="5">
        <f>SUM(D4:D79)</f>
        <v>19809.013999999999</v>
      </c>
      <c r="E2" s="5">
        <f>C2-D2</f>
        <v>653.98600000000079</v>
      </c>
      <c r="F2" s="6">
        <f>IFERROR(E2/D2, 0)</f>
        <v>3.3014565995056637E-2</v>
      </c>
      <c r="G2" s="5">
        <f>SUM(G4:G79)</f>
        <v>0</v>
      </c>
      <c r="H2" s="7">
        <f>C2-G2</f>
        <v>20463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20463</v>
      </c>
      <c r="D4" s="12">
        <v>19809.013999999999</v>
      </c>
      <c r="E4" s="12">
        <f>IF(AND(ISNUMBER(C4),ISNUMBER(D4)), C4-D4, "")</f>
        <v>653.98600000000079</v>
      </c>
      <c r="F4" s="13">
        <f>IFERROR(E4/D4, "")</f>
        <v>3.3014565995056637E-2</v>
      </c>
      <c r="G4" s="51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E14" sqref="E1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15764</v>
      </c>
      <c r="D2" s="5">
        <f>SUM(D4:D79)</f>
        <v>15331.552</v>
      </c>
      <c r="E2" s="5">
        <f>C2-D2</f>
        <v>432.44800000000032</v>
      </c>
      <c r="F2" s="6">
        <f>IFERROR(E2/D2, 0)</f>
        <v>2.8206407283489651E-2</v>
      </c>
      <c r="G2" s="5">
        <f>SUM(G4:G79)</f>
        <v>0</v>
      </c>
      <c r="H2" s="7">
        <f>C2-G2</f>
        <v>15764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15764</v>
      </c>
      <c r="D4" s="12">
        <v>15331.552</v>
      </c>
      <c r="E4" s="12">
        <f>IF(AND(ISNUMBER(C4),ISNUMBER(D4)), C4-D4, "")</f>
        <v>432.44800000000032</v>
      </c>
      <c r="F4" s="13">
        <f>IFERROR(E4/D4, "")</f>
        <v>2.8206407283489651E-2</v>
      </c>
      <c r="G4" s="14" t="s">
        <v>44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J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F4" activePane="bottomRight" state="frozen"/>
      <selection pane="bottomRight" activeCell="J16" sqref="J1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49</v>
      </c>
      <c r="E1" s="54"/>
      <c r="F1" s="54"/>
      <c r="G1" s="52" t="s">
        <v>50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B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s="44" t="s">
        <v>56</v>
      </c>
      <c r="B4" t="s">
        <v>52</v>
      </c>
      <c r="C4" s="42" t="s">
        <v>57</v>
      </c>
      <c r="D4" s="41" t="s">
        <v>58</v>
      </c>
      <c r="E4" t="s">
        <v>59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9FC2F91E-0DCF-4D51-B894-B248604921E9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2026-01-15T12:47:05Z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2025-11-06T20:08:34Z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18e7aaee-073d-4950-91ed-f8e3055cbbb2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