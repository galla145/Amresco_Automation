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8887021-B60B-4CFD-A30E-D622AD2A5BE9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7" l="1"/>
  <c r="E8" i="27"/>
  <c r="F8" i="27" s="1"/>
  <c r="E9" i="27"/>
  <c r="E9" i="20"/>
  <c r="E9" i="21"/>
  <c r="F9" i="21" s="1"/>
  <c r="E8" i="21"/>
  <c r="F8" i="21" s="1"/>
  <c r="E7" i="21"/>
  <c r="F7" i="21" s="1"/>
  <c r="E6" i="21"/>
  <c r="F6" i="21" s="1"/>
  <c r="E5" i="21"/>
  <c r="F5" i="21" s="1"/>
  <c r="E4" i="21"/>
  <c r="F4" i="21" s="1"/>
  <c r="D2" i="21"/>
  <c r="D9" i="18"/>
  <c r="D8" i="18"/>
  <c r="D7" i="18"/>
  <c r="D6" i="18"/>
  <c r="D5" i="18"/>
  <c r="D4" i="18"/>
  <c r="E8" i="20"/>
  <c r="A4" i="19" a="1"/>
  <c r="A4" i="19"/>
  <c r="G6" i="29"/>
  <c r="G7" i="29"/>
  <c r="G8" i="29"/>
  <c r="G9" i="29"/>
  <c r="G5" i="29"/>
  <c r="G4" i="29"/>
  <c r="G6" i="18"/>
  <c r="G7" i="18"/>
  <c r="G8" i="18"/>
  <c r="G9" i="18"/>
  <c r="G5" i="18"/>
  <c r="G4" i="18"/>
  <c r="E4" i="72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9" i="29"/>
  <c r="C9" i="29"/>
  <c r="D8" i="29"/>
  <c r="C8" i="29"/>
  <c r="D7" i="29"/>
  <c r="C7" i="29"/>
  <c r="D6" i="29"/>
  <c r="C6" i="29"/>
  <c r="D5" i="29"/>
  <c r="C5" i="29"/>
  <c r="D4" i="29"/>
  <c r="C4" i="29"/>
  <c r="C9" i="18"/>
  <c r="E9" i="18" s="1"/>
  <c r="F9" i="18" s="1"/>
  <c r="C8" i="18"/>
  <c r="C7" i="18"/>
  <c r="E7" i="18" s="1"/>
  <c r="F7" i="18" s="1"/>
  <c r="C6" i="18"/>
  <c r="C5" i="18"/>
  <c r="E5" i="18" s="1"/>
  <c r="F5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7" i="34" s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F9" i="20"/>
  <c r="H8" i="20"/>
  <c r="I8" i="20" s="1"/>
  <c r="F8" i="20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H8" i="21"/>
  <c r="I8" i="21" s="1"/>
  <c r="H7" i="21"/>
  <c r="I7" i="21" s="1"/>
  <c r="H6" i="21"/>
  <c r="I6" i="21" s="1"/>
  <c r="H5" i="21"/>
  <c r="I5" i="21" s="1"/>
  <c r="H4" i="21"/>
  <c r="I4" i="21" s="1"/>
  <c r="G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C5" i="34" l="1"/>
  <c r="D5" i="34"/>
  <c r="C6" i="34"/>
  <c r="D6" i="34"/>
  <c r="C7" i="34"/>
  <c r="C8" i="34"/>
  <c r="D8" i="34"/>
  <c r="C9" i="34"/>
  <c r="D9" i="34"/>
  <c r="E6" i="18"/>
  <c r="F6" i="18" s="1"/>
  <c r="E6" i="30"/>
  <c r="F6" i="30" s="1"/>
  <c r="E6" i="29"/>
  <c r="F6" i="29" s="1"/>
  <c r="E9" i="29"/>
  <c r="F9" i="29" s="1"/>
  <c r="H9" i="29"/>
  <c r="E8" i="29"/>
  <c r="F8" i="29" s="1"/>
  <c r="D2" i="29"/>
  <c r="E5" i="29"/>
  <c r="F5" i="29" s="1"/>
  <c r="D2" i="18"/>
  <c r="E8" i="18"/>
  <c r="F8" i="18" s="1"/>
  <c r="H6" i="30"/>
  <c r="I6" i="30" s="1"/>
  <c r="H6" i="29"/>
  <c r="D4" i="34"/>
  <c r="D2" i="34" s="1"/>
  <c r="H7" i="29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6" i="26"/>
  <c r="I9" i="26"/>
  <c r="H4" i="29"/>
  <c r="I4" i="29" s="1"/>
  <c r="H5" i="29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9" i="29" l="1"/>
  <c r="H9" i="34"/>
  <c r="I9" i="34" s="1"/>
  <c r="I8" i="29"/>
  <c r="H8" i="34"/>
  <c r="I8" i="34" s="1"/>
  <c r="I7" i="29"/>
  <c r="H7" i="34"/>
  <c r="I7" i="34" s="1"/>
  <c r="I6" i="29"/>
  <c r="H6" i="34"/>
  <c r="I6" i="34" s="1"/>
  <c r="I5" i="29"/>
  <c r="H5" i="34"/>
  <c r="I5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tc={6079D441-BBE4-420A-9C1B-5F2943D7F459}</author>
    <author>tc={FC6E6EF4-5045-4E01-A5FC-7B8249249F8E}</author>
    <author>tc={5DC661E8-B346-488C-AABB-6D22B94C84D2}</author>
    <author>tc={B6DA3073-0A67-46B3-8175-82B09D4F530E}</author>
    <author>tc={07E75B0F-A9D5-4352-83FA-E12B4965D7A3}</author>
  </authors>
  <commentList>
    <comment ref="D4" authorId="0" shapeId="0" xr:uid="{6079D441-BBE4-420A-9C1B-5F2943D7F45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FC6E6EF4-5045-4E01-A5FC-7B8249249F8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5DC661E8-B346-488C-AABB-6D22B94C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6DA3073-0A67-46B3-8175-82B09D4F530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07E75B0F-A9D5-4352-83FA-E12B4965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tc={E007D360-A36A-4640-9EA7-1B6C23511362}</author>
    <author>tc={C2D15422-6D8C-4608-B02B-B0F0CC5427E1}</author>
    <author>tc={8C03C4CD-F1E6-470E-A55C-0E0DB680FF0D}</author>
    <author>tc={0269FA90-544F-4138-9F23-16A68C243748}</author>
    <author>tc={80B36D22-EBA9-402D-A358-077899D4FFCA}</author>
  </authors>
  <commentList>
    <comment ref="D4" authorId="0" shapeId="0" xr:uid="{E007D360-A36A-4640-9EA7-1B6C2351136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C2D15422-6D8C-4608-B02B-B0F0CC54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8C03C4CD-F1E6-470E-A55C-0E0DB680FF0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0269FA90-544F-4138-9F23-16A68C24374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80B36D22-EBA9-402D-A358-077899D4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tc={5D0C1146-AE43-4C78-8CD2-5797C82B4001}</author>
    <author>tc={8C4D49ED-6228-4543-9F64-79B74BD9337B}</author>
    <author>tc={C302B5E1-7FE5-49F3-8C8A-5707A44D3E9B}</author>
    <author>tc={95AAF360-F73F-49B8-9360-DB14DCAE5AD5}</author>
    <author>tc={227F81CB-3512-4A7D-AEB9-DCC33DAAF31E}</author>
  </authors>
  <commentList>
    <comment ref="D4" authorId="0" shapeId="0" xr:uid="{5D0C1146-AE43-4C78-8CD2-5797C82B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8C4D49ED-6228-4543-9F64-79B74BD9337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302B5E1-7FE5-49F3-8C8A-5707A44D3E9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5AAF360-F73F-49B8-9360-DB14DCAE5AD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227F81CB-3512-4A7D-AEB9-DCC33DAAF31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<sst xmlns="http://schemas.openxmlformats.org/spreadsheetml/2006/main" count="383" uniqueCount="109">
  <si>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</si>
  <si>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</si>
  <si>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</si>
  <si>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</si>
  <si>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</si>
  <si>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</si>
  <si>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</si>
  <si>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</si>
  <si>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</si>
  <si>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</si>
  <si>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</si>
  <si>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</si>
  <si>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</si>
  <si>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</si>
  <si>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</si>
  <si>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</si>
  <si>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</si>
  <si>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</si>
  <si>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</si>
  <si>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</si>
  <si>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</si>
  <si>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</si>
  <si>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</si>
  <si>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Low generation due to snow/rain </t>
  </si>
  <si>
    <t>1. Inverters 2, 3, 4, and 5 were tripped offline at 8:30 AM on 01/30/25 due to a permanent static GFCI fault (16) and issue self-resolved on 01/31/25.</t>
  </si>
  <si>
    <t>1. SR096152</t>
  </si>
  <si>
    <t>February Actual v. Expected</t>
  </si>
  <si>
    <t>February Actual v. Forecasted</t>
  </si>
  <si>
    <t>1.Inverters 2, 3, 4, and 5 were tripped offline at 9:30 AM on 02/06 due to a permanent static GFCI fault (16) and self-resolved on 02/07. Inverters 3, 4, and 5 tripped offline again at 1:15 PM on 02/08 and were later resolved on 02/09. Upon the technician's arrival on 02/11, the parameters were adjusted, and the inverters were brought back online.</t>
  </si>
  <si>
    <t xml:space="preserve">1. SR096152
</t>
  </si>
  <si>
    <t>March Actual v. Expected</t>
  </si>
  <si>
    <t>March Actual v. Forecasted</t>
  </si>
  <si>
    <t>April Actual v. Expected</t>
  </si>
  <si>
    <t>April Actual v. Forecasted</t>
  </si>
  <si>
    <t>1.  Inverter 1 is offline and reporting permanent fault bus high failure and bus voltage difference is high on 04/23 and later it is back online at 9:30 on 04/24. Again inverter 1 is offline on 04/25 and reporting permanent fault bus high failure and bus voltage difference is high and it is being RMA'd
2. Inverter 2.1 was offline on 04/09 and back online on 04/10.</t>
  </si>
  <si>
    <t>1. SR100203, SR100411
2. SR099608</t>
  </si>
  <si>
    <t>SR100411</t>
  </si>
  <si>
    <t>SR099608</t>
  </si>
  <si>
    <t xml:space="preserve">1. Technician has confirmed that the pyranometer is experiencing the shading in the afternoon </t>
  </si>
  <si>
    <t>1.SR099771</t>
  </si>
  <si>
    <t xml:space="preserve">1. Inverter 7 didn't started for production on 04/05 and back online on 04/07 and again offline on 04/08 and back online at 11:15 on 04/08.	</t>
  </si>
  <si>
    <t>1.SR099449</t>
  </si>
  <si>
    <t>May Actual v. Expected</t>
  </si>
  <si>
    <t>May Actual v. Forecasted</t>
  </si>
  <si>
    <t>1. Inverter 1 was offline for whole month and being RMA</t>
  </si>
  <si>
    <t>1. SR100411</t>
  </si>
  <si>
    <t>1. Meter is not capturing all inverter's total power. Reached out to the DAS provider and waiting for the response from the ASG team</t>
  </si>
  <si>
    <t>1. SR101081</t>
  </si>
  <si>
    <t>1. Inverter 7 did not start for production on 05/04 and reporting Bus high failure fault and back online on 05/05. Again inverter 7 didn't started for production on 05/28 and back online on 05/30.</t>
  </si>
  <si>
    <t>1. SR100984</t>
  </si>
  <si>
    <t>June Actual v. Expected</t>
  </si>
  <si>
    <t>June Actual v. Forecasted</t>
  </si>
  <si>
    <t>1.  Inverters 2.1, and 2.2 are offline at 13:00 on 06/05  and continued through out the month. Inverter 3.1 is also offline at 8:15 on 06/06 and continued through out the month.  Client holded for dispatch due to ongoing maintenance by school.</t>
  </si>
  <si>
    <t xml:space="preserve">1. SR102543
</t>
  </si>
  <si>
    <t>1. Inverter 7 offline on 06/06 and back online on 06/07 and again offline on 06/13 and back online on 06/15 and inverter is being RMA'd</t>
  </si>
  <si>
    <t>July Actual v. Expected</t>
  </si>
  <si>
    <t>July Actual v. Forecasted</t>
  </si>
  <si>
    <t>1. Inverter 2.1 is derated to 20kW on 07/05 and reporting "Fan fault" and occured multiple day in a month.</t>
  </si>
  <si>
    <t>1. SR104047</t>
  </si>
  <si>
    <t>1. Inverter 1 is offline since 04/25/25 and reporting "permanent fault bus high failure and bus voltage difference is high" and inverter is under RMA'd.
2. Inverters 2.1, and 2.2 are offline at 13:00 on 06/05  and continued through out the month. Inverter 3.1 is also offline at 8:15 on 06/06 and continued through out the month.  Client holded for dispatch due to ongoing maintenance by school.</t>
  </si>
  <si>
    <t xml:space="preserve">1. SR100203, SR100411
2. SR102543
</t>
  </si>
  <si>
    <t>SR102543</t>
  </si>
  <si>
    <t>1. Meter is not capturing all inverter's total power. Reached out to the DAS provider and waiting for the response from the AASG team.</t>
  </si>
  <si>
    <t>1. SR101081, SR106362</t>
  </si>
  <si>
    <t>SR106362</t>
  </si>
  <si>
    <t>1. Inverter 7 is being RMA'd. on 08/01 technician replaced powerhead for the inverter and inverter is back online and producing as expected.</t>
  </si>
  <si>
    <t>August Actual v. Expected</t>
  </si>
  <si>
    <t>August Actual v. Forecasted</t>
  </si>
  <si>
    <t>1.1. Inverter 2.1 was underperforming since 07/05 and issue was resolved on 08/16.</t>
  </si>
  <si>
    <t>1.SR104047</t>
  </si>
  <si>
    <t>1.Inverter 1 derating at 42KW since 12:15 on 08/02 reporting " external fan alarm" and inverter was RMA'd on 08/13.
 Inverters 2.1, and 2.2 are offline at 13:00 on 06/05  and continued through out the month. Inverter 3.1 is also offline at 8:15 on 06/06 and continued through out the month.</t>
  </si>
  <si>
    <t>1.SR105562
2.SR102543</t>
  </si>
  <si>
    <t>1.Inverter 3 was offline on 08/12 reporting "permanent fault bus high failure" and was back online on 08/13 and was gain offline on 08/19  reporting "permanent fault bus high failure" and was back online on 08/20 .Self resolved.</t>
  </si>
  <si>
    <t>1.SR106075</t>
  </si>
  <si>
    <t>1.SR106362
2.SR108081</t>
  </si>
  <si>
    <t>SR108081</t>
  </si>
  <si>
    <t>September Actual v. Expected</t>
  </si>
  <si>
    <t>September Actual v. Forecasted</t>
  </si>
  <si>
    <t>1.  Inverters 2.1, and 2.2 are offline at 13:00 on 06/05  and continued through out the month. Inverter 3.1 is also offline at 8:15 on 06/06 and continued through out the month.</t>
  </si>
  <si>
    <t>1. SR102543</t>
  </si>
  <si>
    <t>1. Few modules were offline for whole month.</t>
  </si>
  <si>
    <t>1. SR106730</t>
  </si>
  <si>
    <t xml:space="preserve">1. Inverter 2 was offline from 07:45 on 09/10 to end of the month. </t>
  </si>
  <si>
    <t>1. SR107779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</si>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</sst>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164" fontId="28" fillId="0" borderId="0" xfId="1" applyNumberFormat="1" applyFont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right" vertical="center" wrapText="1"/>
    </xf>
    <xf numFmtId="164" fontId="28" fillId="0" borderId="0" xfId="1" applyNumberFormat="1" applyFont="1" applyBorder="1" applyAlignment="1">
      <alignment horizontal="righ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 wrapText="1"/>
    </xf>
    <xf numFmtId="0" fontId="36" fillId="0" borderId="0" xfId="0" applyFont="1"/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3" borderId="0" xfId="0" applyNumberFormat="1" applyFont="1" applyFill="1" applyAlignment="1">
      <alignment horizontal="right"/>
    </xf>
    <xf numFmtId="3" fontId="30" fillId="0" borderId="0" xfId="0" applyNumberFormat="1" applyFont="1" applyAlignment="1">
      <alignment horizontal="right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3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right" vertical="center"/>
    </xf>
    <xf numFmtId="0" fontId="36" fillId="0" borderId="0" xfId="0" applyFont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3" fontId="30" fillId="0" borderId="0" xfId="1" applyNumberFormat="1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F2101760-07CB-4940-80FB-C36454AC45AA}" userId="S::kusumapotlada@amgsol.com::a4794fd0-fb2a-418d-b379-bb3c7e6c0e3d" providerId="AD"/>
  <person displayName="Jayasri  Garapati [AGS]" id="{C34EC6BB-8E1B-4337-8CB2-A343FCFD5DEE}" userId="S::JayasriGarapati@amgsol.com::282c909e-c88d-461e-8dcb-55676bfed37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1-07T06:35:25.43" personId="{F2101760-07CB-4940-80FB-C36454AC45AA}" id="{6079D441-BBE4-420A-9C1B-5F2943D7F459}">
    <text>Expected Energy not available from April.</text>
  </threadedComment>
  <threadedComment ref="D5" dT="2025-01-07T06:35:29.40" personId="{F2101760-07CB-4940-80FB-C36454AC45AA}" id="{FC6E6EF4-5045-4E01-A5FC-7B8249249F8E}">
    <text>Expected Energy not available from April.</text>
  </threadedComment>
  <threadedComment ref="D6" dT="2025-01-07T06:35:34.46" personId="{F2101760-07CB-4940-80FB-C36454AC45AA}" id="{5DC661E8-B346-488C-AABB-6D22B94C84D2}">
    <text>Expected Energy not available from April.</text>
  </threadedComment>
  <threadedComment ref="D7" dT="2025-01-07T06:35:38.98" personId="{F2101760-07CB-4940-80FB-C36454AC45AA}" id="{B6DA3073-0A67-46B3-8175-82B09D4F530E}">
    <text>Expected Energy not available from April.</text>
  </threadedComment>
  <threadedComment ref="D9" dT="2025-01-07T06:35:43.02" personId="{F2101760-07CB-4940-80FB-C36454AC45AA}" id="{07E75B0F-A9D5-4352-83FA-E12B4965D7A3}">
    <text>Expected Energy not available from April.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1-07T06:35:27.30" personId="{C34EC6BB-8E1B-4337-8CB2-A343FCFD5DEE}" id="{E007D360-A36A-4640-9EA7-1B6C23511362}">
    <text>Expected energy not available from April</text>
  </threadedComment>
  <threadedComment ref="D5" dT="2025-01-07T06:35:38.30" personId="{C34EC6BB-8E1B-4337-8CB2-A343FCFD5DEE}" id="{C2D15422-6D8C-4608-B02B-B0F0CC5427E1}">
    <text>Expected energy not available from April</text>
  </threadedComment>
  <threadedComment ref="D6" dT="2025-01-07T06:35:46.95" personId="{C34EC6BB-8E1B-4337-8CB2-A343FCFD5DEE}" id="{8C03C4CD-F1E6-470E-A55C-0E0DB680FF0D}">
    <text>Expected energy not available from April</text>
  </threadedComment>
  <threadedComment ref="D7" dT="2025-01-07T06:35:53.98" personId="{C34EC6BB-8E1B-4337-8CB2-A343FCFD5DEE}" id="{0269FA90-544F-4138-9F23-16A68C243748}">
    <text>Expected energy not available from April</text>
  </threadedComment>
  <threadedComment ref="D9" dT="2025-01-07T06:35:55.16" personId="{F2101760-07CB-4940-80FB-C36454AC45AA}" id="{80B36D22-EBA9-402D-A358-077899D4FFCA}">
    <text>Expected Energy not available from April.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5-01-07T06:34:53.63" personId="{F2101760-07CB-4940-80FB-C36454AC45AA}" id="{5D0C1146-AE43-4C78-8CD2-5797C82B4001}">
    <text>Expected Energy not available from April.</text>
  </threadedComment>
  <threadedComment ref="D5" dT="2025-01-07T06:35:00.29" personId="{F2101760-07CB-4940-80FB-C36454AC45AA}" id="{8C4D49ED-6228-4543-9F64-79B74BD9337B}">
    <text>Expected Energy not available from April.</text>
  </threadedComment>
  <threadedComment ref="D6" dT="2025-01-07T06:35:05.43" personId="{F2101760-07CB-4940-80FB-C36454AC45AA}" id="{C302B5E1-7FE5-49F3-8C8A-5707A44D3E9B}">
    <text>Expected Energy not available from April.</text>
  </threadedComment>
  <threadedComment ref="D7" dT="2025-01-07T06:35:11.38" personId="{F2101760-07CB-4940-80FB-C36454AC45AA}" id="{95AAF360-F73F-49B8-9360-DB14DCAE5AD5}">
    <text>Expected Energy not available from April.</text>
  </threadedComment>
  <threadedComment ref="D9" dT="2025-01-07T06:35:16.69" personId="{F2101760-07CB-4940-80FB-C36454AC45AA}" id="{227F81CB-3512-4A7D-AEB9-DCC33DAAF31E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615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15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08" TargetMode="External"/><Relationship Id="rId2" Type="http://schemas.openxmlformats.org/officeDocument/2006/relationships/hyperlink" Target="https://us3.assetplanner.com/service_request?ID=100411" TargetMode="External"/><Relationship Id="rId1" Type="http://schemas.openxmlformats.org/officeDocument/2006/relationships/hyperlink" Target="https://us3.assetplanner.com/service_request?ID=100203" TargetMode="External"/><Relationship Id="rId5" Type="http://schemas.openxmlformats.org/officeDocument/2006/relationships/hyperlink" Target="https://us3.assetplanner.com/service_request?ID=099449" TargetMode="External"/><Relationship Id="rId4" Type="http://schemas.openxmlformats.org/officeDocument/2006/relationships/hyperlink" Target="https://us3.assetplanner.com/service_request?ID=09977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0411" TargetMode="External"/><Relationship Id="rId4" Type="http://schemas.openxmlformats.org/officeDocument/2006/relationships/hyperlink" Target="https://us3.assetplanner.com/service_request?ID=10098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2543" TargetMode="External"/><Relationship Id="rId4" Type="http://schemas.openxmlformats.org/officeDocument/2006/relationships/hyperlink" Target="https://us3.assetplanner.com/service_request?ID=10098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84" TargetMode="External"/><Relationship Id="rId3" Type="http://schemas.openxmlformats.org/officeDocument/2006/relationships/hyperlink" Target="https://us3.assetplanner.com/service_request?ID=100411" TargetMode="External"/><Relationship Id="rId7" Type="http://schemas.openxmlformats.org/officeDocument/2006/relationships/hyperlink" Target="https://us3.assetplanner.com/service_request?ID=106362" TargetMode="External"/><Relationship Id="rId2" Type="http://schemas.openxmlformats.org/officeDocument/2006/relationships/hyperlink" Target="https://us3.assetplanner.com/service_request?ID=100203" TargetMode="External"/><Relationship Id="rId1" Type="http://schemas.openxmlformats.org/officeDocument/2006/relationships/hyperlink" Target="https://us3.assetplanner.com/service_request?ID=104047" TargetMode="External"/><Relationship Id="rId6" Type="http://schemas.openxmlformats.org/officeDocument/2006/relationships/hyperlink" Target="https://us3.assetplanner.com/service_request?ID=101081" TargetMode="External"/><Relationship Id="rId5" Type="http://schemas.openxmlformats.org/officeDocument/2006/relationships/hyperlink" Target="https://us3.assetplanner.com/service_request?ID=099771" TargetMode="External"/><Relationship Id="rId4" Type="http://schemas.openxmlformats.org/officeDocument/2006/relationships/hyperlink" Target="https://us3.assetplanner.com/service_request?ID=102543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543" TargetMode="External"/><Relationship Id="rId2" Type="http://schemas.openxmlformats.org/officeDocument/2006/relationships/hyperlink" Target="https://us3.assetplanner.com/service_request?ID=105562" TargetMode="External"/><Relationship Id="rId1" Type="http://schemas.openxmlformats.org/officeDocument/2006/relationships/hyperlink" Target="https://us3.assetplanner.com/service_request?ID=104047" TargetMode="External"/><Relationship Id="rId6" Type="http://schemas.openxmlformats.org/officeDocument/2006/relationships/hyperlink" Target="https://us3.assetplanner.com/service_request?ID=108081" TargetMode="External"/><Relationship Id="rId5" Type="http://schemas.openxmlformats.org/officeDocument/2006/relationships/hyperlink" Target="https://us3.assetplanner.com/service_request?ID=106362" TargetMode="External"/><Relationship Id="rId4" Type="http://schemas.openxmlformats.org/officeDocument/2006/relationships/hyperlink" Target="https://us3.assetplanner.com/service_request?ID=10607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362" TargetMode="External"/><Relationship Id="rId2" Type="http://schemas.openxmlformats.org/officeDocument/2006/relationships/hyperlink" Target="https://us3.assetplanner.com/service_request?ID=106730" TargetMode="External"/><Relationship Id="rId1" Type="http://schemas.openxmlformats.org/officeDocument/2006/relationships/hyperlink" Target="https://us3.assetplanner.com/service_request?ID=102543" TargetMode="External"/><Relationship Id="rId5" Type="http://schemas.openxmlformats.org/officeDocument/2006/relationships/hyperlink" Target="https://us3.assetplanner.com/service_request?ID=107779" TargetMode="External"/><Relationship Id="rId4" Type="http://schemas.openxmlformats.org/officeDocument/2006/relationships/hyperlink" Target="https://us3.assetplanner.com/service_request?ID=10808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H9" sqref="H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Troy School District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SUM(C4:C77)</f>
        <v>2077739</v>
      </c>
      <c r="D2" s="5">
        <f>SUM(D4:D77)</f>
        <v>2394181.14</v>
      </c>
      <c r="E2" s="5">
        <f>C2-D2</f>
        <v>-316442.14000000013</v>
      </c>
      <c r="F2" s="6">
        <f>IFERROR(E2/D2, 0)</f>
        <v>-0.13217134439543707</v>
      </c>
      <c r="G2" s="5">
        <f>SUM(G4:G77)</f>
        <v>0</v>
      </c>
      <c r="H2" s="7">
        <f>C2-G2</f>
        <v>2077739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347975.5</v>
      </c>
      <c r="D4" s="13">
        <f>SUM('1st Qtr'!D4, '2nd Qtr'!D4, '3rd Qtr'!D4, '4th Qtr'!D4)</f>
        <v>384108</v>
      </c>
      <c r="E4" s="13">
        <f>IF(AND(ISNUMBER(C4),ISNUMBER(D4)), C4-D4, "")</f>
        <v>-36132.5</v>
      </c>
      <c r="F4" s="14">
        <f>IFERROR(E4/D4, "")</f>
        <v>-9.4068595290907761E-2</v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Joliet - Heritage Trail</v>
      </c>
      <c r="B5" s="10" t="str">
        <v>IL</v>
      </c>
      <c r="C5" s="18">
        <f>SUM('1st Qtr'!C5, '2nd Qtr'!C5, '3rd Qtr'!C5, '4th Qtr'!C5)</f>
        <v>231063.75</v>
      </c>
      <c r="D5" s="18">
        <f>SUM('1st Qtr'!D5, '2nd Qtr'!D5, '3rd Qtr'!D5, '4th Qtr'!D5)</f>
        <v>397366</v>
      </c>
      <c r="E5" s="18">
        <f t="shared" ref="E5:E9" si="0">IF(AND(ISNUMBER(C5),ISNUMBER(D5)), C5-D5, "")</f>
        <v>-166302.25</v>
      </c>
      <c r="F5" s="19">
        <f>IFERROR(E5/D5, "")</f>
        <v>-0.41851152338146697</v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5.6">
      <c r="A6" s="12" t="str">
        <v>Plainfield - Troy</v>
      </c>
      <c r="B6" s="9" t="str">
        <v>IL</v>
      </c>
      <c r="C6" s="24">
        <f>SUM('1st Qtr'!C6, '2nd Qtr'!C6, '3rd Qtr'!C6, '4th Qtr'!C6)</f>
        <v>402971</v>
      </c>
      <c r="D6" s="13">
        <f>SUM('1st Qtr'!D6, '2nd Qtr'!D6, '3rd Qtr'!D6, '4th Qtr'!D6)</f>
        <v>424601</v>
      </c>
      <c r="E6" s="13">
        <f t="shared" si="0"/>
        <v>-21630</v>
      </c>
      <c r="F6" s="14">
        <f t="shared" ref="F6:F9" si="1">IFERROR(E6/D6, "")</f>
        <v>-5.0941943141914407E-2</v>
      </c>
      <c r="G6" s="15">
        <f>SUM('1st Qtr'!G6, '2nd Qtr'!G6, '3rd Qtr'!G6, '4th Qtr'!G6)</f>
        <v>0</v>
      </c>
      <c r="H6" s="15">
        <f>SUM('1st Qtr'!H6, '2nd Qtr'!H6, '3rd Qtr'!H6, '4th Qtr'!H6)</f>
        <v>0</v>
      </c>
      <c r="I6" s="16" t="str">
        <f t="shared" ref="I6:I9" si="2">IFERROR(H6/G6, "")</f>
        <v/>
      </c>
    </row>
    <row r="7" spans="1:9" ht="15.6">
      <c r="A7" s="17" t="str">
        <v>Plainfield - William B Orenic</v>
      </c>
      <c r="B7" s="10" t="str">
        <v>IL</v>
      </c>
      <c r="C7" s="18">
        <f>SUM('1st Qtr'!C7, '2nd Qtr'!C7, '3rd Qtr'!C7, '4th Qtr'!C7)</f>
        <v>368556.25</v>
      </c>
      <c r="D7" s="18">
        <f>SUM('1st Qtr'!D7, '2nd Qtr'!D7, '3rd Qtr'!D7, '4th Qtr'!D7)</f>
        <v>391711</v>
      </c>
      <c r="E7" s="18">
        <f t="shared" si="0"/>
        <v>-23154.75</v>
      </c>
      <c r="F7" s="19">
        <f t="shared" si="1"/>
        <v>-5.9111819683389029E-2</v>
      </c>
      <c r="G7" s="20">
        <f>SUM('1st Qtr'!G7, '2nd Qtr'!G7, '3rd Qtr'!G7, '4th Qtr'!G7)</f>
        <v>0</v>
      </c>
      <c r="H7" s="20">
        <f>SUM('1st Qtr'!H7, '2nd Qtr'!H7, '3rd Qtr'!H7, '4th Qtr'!H7)</f>
        <v>0</v>
      </c>
      <c r="I7" s="19" t="str">
        <f t="shared" si="2"/>
        <v/>
      </c>
    </row>
    <row r="8" spans="1:9" ht="15.6">
      <c r="A8" s="12" t="str">
        <v>Shorewood - Cronin</v>
      </c>
      <c r="B8" s="9" t="str">
        <v>IL</v>
      </c>
      <c r="C8" s="24">
        <f>SUM('1st Qtr'!C8, '2nd Qtr'!C8, '3rd Qtr'!C8, '4th Qtr'!C8)</f>
        <v>409528.75</v>
      </c>
      <c r="D8" s="13">
        <f>SUM('1st Qtr'!D8, '2nd Qtr'!D8, '3rd Qtr'!D8, '4th Qtr'!D8)</f>
        <v>430755.14</v>
      </c>
      <c r="E8" s="13">
        <f t="shared" si="0"/>
        <v>-21226.390000000014</v>
      </c>
      <c r="F8" s="14">
        <f t="shared" si="1"/>
        <v>-4.9277160105390766E-2</v>
      </c>
      <c r="G8" s="15">
        <f>SUM('1st Qtr'!G8, '2nd Qtr'!G8, '3rd Qtr'!G8, '4th Qtr'!G8)</f>
        <v>0</v>
      </c>
      <c r="H8" s="15">
        <f>SUM('1st Qtr'!H8, '2nd Qtr'!H8, '3rd Qtr'!H8, '4th Qtr'!H8)</f>
        <v>0</v>
      </c>
      <c r="I8" s="16" t="str">
        <f t="shared" si="2"/>
        <v/>
      </c>
    </row>
    <row r="9" spans="1:9" ht="15.6">
      <c r="A9" s="17" t="str">
        <v>Shorewood - Hofer</v>
      </c>
      <c r="B9" s="10" t="str">
        <v>IL</v>
      </c>
      <c r="C9" s="18">
        <f>SUM('1st Qtr'!C9, '2nd Qtr'!C9, '3rd Qtr'!C9, '4th Qtr'!C9)</f>
        <v>317643.75</v>
      </c>
      <c r="D9" s="18">
        <f>SUM('1st Qtr'!D9, '2nd Qtr'!D9, '3rd Qtr'!D9, '4th Qtr'!D9)</f>
        <v>365640</v>
      </c>
      <c r="E9" s="18">
        <f t="shared" si="0"/>
        <v>-47996.25</v>
      </c>
      <c r="F9" s="19">
        <f t="shared" si="1"/>
        <v>-0.13126640958319657</v>
      </c>
      <c r="G9" s="20">
        <f>SUM('1st Qtr'!G9, '2nd Qtr'!G9, '3rd Qtr'!G9, '4th Qtr'!G9)</f>
        <v>0</v>
      </c>
      <c r="H9" s="20">
        <f>SUM('1st Qtr'!H9, '2nd Qtr'!H9, '3rd Qtr'!H9, '4th Qtr'!H9)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6" sqref="G5:G6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Troy School District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SUM(C4:C77)</f>
        <v>461942.57</v>
      </c>
      <c r="D2" s="5">
        <f>SUM(D4:D77)</f>
        <v>577975.16999999993</v>
      </c>
      <c r="E2" s="5">
        <f>C2-D2</f>
        <v>-116032.59999999992</v>
      </c>
      <c r="F2" s="6">
        <f>IFERROR(E2/D2, 0)</f>
        <v>-0.20075706712452704</v>
      </c>
      <c r="G2" s="5">
        <f>SUM(G4:G77)</f>
        <v>0</v>
      </c>
      <c r="H2" s="7">
        <f>C2-G2</f>
        <v>461942.57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68519.5</v>
      </c>
      <c r="D4" s="13">
        <f>SUM(Jan!D4, Feb!D4, Mar!D4)</f>
        <v>88972</v>
      </c>
      <c r="E4" s="13">
        <f>IF(AND(ISNUMBER(C4),ISNUMBER(D4)), C4-D4, "")</f>
        <v>-20452.5</v>
      </c>
      <c r="F4" s="14">
        <f>IFERROR(E4/D4, "")</f>
        <v>-0.22987569122870116</v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SUM(Jan!C5, Feb!C5, Mar!C5)</f>
        <v>71279.5</v>
      </c>
      <c r="D5" s="18">
        <f>SUM(Jan!D5, Feb!D5, Mar!D5)</f>
        <v>94634</v>
      </c>
      <c r="E5" s="18">
        <f t="shared" ref="E5:E9" si="0">IF(AND(ISNUMBER(C5),ISNUMBER(D5)), C5-D5, "")</f>
        <v>-23354.5</v>
      </c>
      <c r="F5" s="19">
        <f>IFERROR(E5/D5, "")</f>
        <v>-0.24678762389838746</v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SUM(Jan!C6, Feb!C6, Mar!C6)</f>
        <v>84493.07</v>
      </c>
      <c r="D6" s="13">
        <f>SUM(Jan!D6, Feb!D6, Mar!D6)</f>
        <v>98759</v>
      </c>
      <c r="E6" s="13">
        <f t="shared" si="0"/>
        <v>-14265.929999999993</v>
      </c>
      <c r="F6" s="14">
        <f t="shared" ref="F6:F9" si="1">IFERROR(E6/D6, "")</f>
        <v>-0.14445194868315792</v>
      </c>
      <c r="G6" s="15">
        <f>SUM(Jan!G6, Feb!G6, Mar!G6)</f>
        <v>0</v>
      </c>
      <c r="H6" s="15">
        <f>SUM(Jan!H6, Feb!H6, Mar!H6)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SUM(Jan!C7, Feb!C7, Mar!C7)</f>
        <v>76819</v>
      </c>
      <c r="D7" s="18">
        <f>SUM(Jan!D7, Feb!D7, Mar!D7)</f>
        <v>92662</v>
      </c>
      <c r="E7" s="18">
        <f t="shared" si="0"/>
        <v>-15843</v>
      </c>
      <c r="F7" s="19">
        <f t="shared" si="1"/>
        <v>-0.17097623621333449</v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SUM(Jan!C8, Feb!C8, Mar!C8)</f>
        <v>84906.5</v>
      </c>
      <c r="D8" s="13">
        <f>SUM(Jan!D8, Feb!D8, Mar!D8)</f>
        <v>103007.17</v>
      </c>
      <c r="E8" s="13">
        <f t="shared" si="0"/>
        <v>-18100.669999999998</v>
      </c>
      <c r="F8" s="14">
        <f t="shared" si="1"/>
        <v>-0.17572242786594369</v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SUM(Jan!C9, Feb!C9, Mar!C9)</f>
        <v>75925</v>
      </c>
      <c r="D9" s="18">
        <f>SUM(Jan!D9, Feb!D9, Mar!D9)</f>
        <v>99941</v>
      </c>
      <c r="E9" s="18">
        <f t="shared" si="0"/>
        <v>-24016</v>
      </c>
      <c r="F9" s="19">
        <f t="shared" si="1"/>
        <v>-0.24030177804904893</v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H9" sqref="H9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Troy School District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SUM(C4:C77)</f>
        <v>855465.42999999993</v>
      </c>
      <c r="D2" s="5">
        <f>SUM(D4:D77)</f>
        <v>932664.97</v>
      </c>
      <c r="E2" s="5">
        <f>C2-D2</f>
        <v>-77199.540000000037</v>
      </c>
      <c r="F2" s="6">
        <f>IFERROR(E2/D2, 0)</f>
        <v>-8.2773066946001034E-2</v>
      </c>
      <c r="G2" s="5">
        <f>SUM(G4:G77)</f>
        <v>0</v>
      </c>
      <c r="H2" s="7">
        <f>C2-G2</f>
        <v>855465.42999999993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141319</v>
      </c>
      <c r="D4" s="13">
        <f>SUM(Apr!D4, May!D4, Jun!D4)</f>
        <v>147283</v>
      </c>
      <c r="E4" s="13">
        <f>IF(AND(ISNUMBER(C4),ISNUMBER(D4)), C4-D4, "")</f>
        <v>-5964</v>
      </c>
      <c r="F4" s="14">
        <f>IFERROR(E4/D4, "")</f>
        <v>-4.0493471751661764E-2</v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SUM(Apr!C5, May!C5, Jun!C5)</f>
        <v>97156.25</v>
      </c>
      <c r="D5" s="18">
        <f>SUM(Apr!D5, May!D5, Jun!D5)</f>
        <v>150583</v>
      </c>
      <c r="E5" s="18">
        <f t="shared" ref="E5:E9" si="0">IF(AND(ISNUMBER(C5),ISNUMBER(D5)), C5-D5, "")</f>
        <v>-53426.75</v>
      </c>
      <c r="F5" s="19">
        <f>IFERROR(E5/D5, "")</f>
        <v>-0.35479934653978207</v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SUM(Apr!C6, May!C6, Jun!C6)</f>
        <v>160620.93</v>
      </c>
      <c r="D6" s="13">
        <f>SUM(Apr!D6, May!D6, Jun!D6)</f>
        <v>160175</v>
      </c>
      <c r="E6" s="13">
        <f t="shared" si="0"/>
        <v>445.92999999999302</v>
      </c>
      <c r="F6" s="14">
        <f t="shared" ref="F6:F9" si="1">IFERROR(E6/D6, "")</f>
        <v>2.7840174808802438E-3</v>
      </c>
      <c r="G6" s="15">
        <f>SUM(Apr!G6,May!G6,Jun!G6)</f>
        <v>0</v>
      </c>
      <c r="H6" s="15">
        <f>SUM(Apr!H6, May!H6, Jun!H6)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SUM(Apr!C7, May!C7, Jun!C7)</f>
        <v>144388.25</v>
      </c>
      <c r="D7" s="18">
        <f>SUM(Apr!D7, May!D7, Jun!D7)</f>
        <v>146249</v>
      </c>
      <c r="E7" s="18">
        <f t="shared" si="0"/>
        <v>-1860.75</v>
      </c>
      <c r="F7" s="19">
        <f t="shared" si="1"/>
        <v>-1.2723163919069531E-2</v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SUM(Apr!C8, May!C8, Jun!C8)</f>
        <v>163515.25</v>
      </c>
      <c r="D8" s="13">
        <f>SUM(Apr!D8, May!D8, Jun!D8)</f>
        <v>168960.97</v>
      </c>
      <c r="E8" s="13">
        <f t="shared" si="0"/>
        <v>-5445.7200000000012</v>
      </c>
      <c r="F8" s="14">
        <f t="shared" si="1"/>
        <v>-3.2230638827416773E-2</v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SUM(Apr!C9, May!C9, Jun!C9)</f>
        <v>148465.75</v>
      </c>
      <c r="D9" s="18">
        <f>SUM(Apr!D9, May!D9, Jun!D9)</f>
        <v>159414</v>
      </c>
      <c r="E9" s="18">
        <f t="shared" si="0"/>
        <v>-10948.25</v>
      </c>
      <c r="F9" s="19">
        <f t="shared" si="1"/>
        <v>-6.8678096026697777E-2</v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8" sqref="G8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Troy School District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SUM(C4:C77)</f>
        <v>760331</v>
      </c>
      <c r="D2" s="5">
        <f>SUM(D4:D77)</f>
        <v>883541</v>
      </c>
      <c r="E2" s="5">
        <f>C2-D2</f>
        <v>-123210</v>
      </c>
      <c r="F2" s="6">
        <f>IFERROR(E2/D2, 0)</f>
        <v>-0.13945023490703884</v>
      </c>
      <c r="G2" s="5">
        <f>SUM(G4:G77)</f>
        <v>0</v>
      </c>
      <c r="H2" s="7">
        <f>C2-G2</f>
        <v>760331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138137</v>
      </c>
      <c r="D4" s="13">
        <f>SUM(Jul!D4, Aug!D4, Sep!D4)</f>
        <v>147853</v>
      </c>
      <c r="E4" s="13">
        <f>IF(AND(ISNUMBER(C4),ISNUMBER(D4)), C4-D4, "")</f>
        <v>-9716</v>
      </c>
      <c r="F4" s="14">
        <f>IFERROR(E4/D4, "")</f>
        <v>-6.5713918554239678E-2</v>
      </c>
      <c r="G4" s="15">
        <f>SUM(Oct!G4,Nov!G4,Dec!G4)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SUM(Jul!C5, Aug!C5, Sep!C5)</f>
        <v>62628</v>
      </c>
      <c r="D5" s="18">
        <f>SUM(Jul!D5, Aug!D5, Sep!D5)</f>
        <v>152149</v>
      </c>
      <c r="E5" s="18">
        <f t="shared" ref="E5:E9" si="0">IF(AND(ISNUMBER(C5),ISNUMBER(D5)), C5-D5, "")</f>
        <v>-89521</v>
      </c>
      <c r="F5" s="19">
        <f>IFERROR(E5/D5, "")</f>
        <v>-0.58837718289308505</v>
      </c>
      <c r="G5" s="18">
        <f>SUM(Oct!G5,Nov!G5,Dec!G5)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SUM(Jul!C6, Aug!C6, Sep!C6)</f>
        <v>157857</v>
      </c>
      <c r="D6" s="13">
        <f>SUM(Jul!D6, Aug!D6, Sep!D6)</f>
        <v>165667</v>
      </c>
      <c r="E6" s="13">
        <f t="shared" si="0"/>
        <v>-7810</v>
      </c>
      <c r="F6" s="14">
        <f t="shared" ref="F6:F9" si="1">IFERROR(E6/D6, "")</f>
        <v>-4.7142762288204652E-2</v>
      </c>
      <c r="G6" s="15">
        <f>SUM(Oct!G6,Nov!G6,Dec!G6)</f>
        <v>0</v>
      </c>
      <c r="H6" s="15">
        <f>SUM(Jul!H6, Aug!H6, Sep!H6)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SUM(Jul!C7, Aug!C7, Sep!C7)</f>
        <v>147349</v>
      </c>
      <c r="D7" s="18">
        <f>SUM(Jul!D7, Aug!D7, Sep!D7)</f>
        <v>152800</v>
      </c>
      <c r="E7" s="18">
        <f t="shared" si="0"/>
        <v>-5451</v>
      </c>
      <c r="F7" s="19">
        <f t="shared" si="1"/>
        <v>-3.5674083769633505E-2</v>
      </c>
      <c r="G7" s="18">
        <f>SUM(Oct!G7,Nov!G7,Dec!G7)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SUM(Jul!C8, Aug!C9, Sep!C8)</f>
        <v>161107</v>
      </c>
      <c r="D8" s="13">
        <f>SUM(Jul!D8, Aug!D9, Sep!D8)</f>
        <v>158787</v>
      </c>
      <c r="E8" s="13">
        <f t="shared" si="0"/>
        <v>2320</v>
      </c>
      <c r="F8" s="14">
        <f t="shared" si="1"/>
        <v>1.4610767884020732E-2</v>
      </c>
      <c r="G8" s="15">
        <f>SUM(Oct!G8,Nov!G8,Dec!G8)</f>
        <v>0</v>
      </c>
      <c r="H8" s="15">
        <f>SUM(Jul!H8, Aug!H9, Sep!H8)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SUM(Jul!C9, Aug!C10, Sep!C9)</f>
        <v>93253</v>
      </c>
      <c r="D9" s="18">
        <f>SUM(Jul!D9, Aug!D10, Sep!D9)</f>
        <v>106285</v>
      </c>
      <c r="E9" s="18">
        <f t="shared" si="0"/>
        <v>-13032</v>
      </c>
      <c r="F9" s="19">
        <f t="shared" si="1"/>
        <v>-0.12261372724279061</v>
      </c>
      <c r="G9" s="18">
        <f>SUM(Oct!G9,Nov!G9,Dec!G9)</f>
        <v>0</v>
      </c>
      <c r="H9" s="20">
        <f>SUM(Jul!H9, Aug!H10, Sep!H9)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H9" activePane="bottomRight" state="frozen"/>
      <selection pane="bottomRight" activeCell="H9" sqref="H9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Troy School District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5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4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6">
      <c r="A7" s="45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4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5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70" zoomScaleNormal="70" workbookViewId="0">
      <pane xSplit="2" ySplit="3" topLeftCell="C4" activePane="bottomRight" state="frozen"/>
      <selection pane="bottomRight" activeCell="J14" sqref="J14"/>
      <selection pane="bottomLeft" activeCell="F21" sqref="F21"/>
      <selection pane="topRight" activeCell="F21" sqref="F2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SUM(C4:C76)</f>
        <v>89649</v>
      </c>
      <c r="D2" s="5">
        <f>SUM(D4:D76)</f>
        <v>160957</v>
      </c>
      <c r="E2" s="5">
        <f>C2-D2</f>
        <v>-71308</v>
      </c>
      <c r="F2" s="6">
        <f>IFERROR(E2/D2, 0)</f>
        <v>-0.44302515578694929</v>
      </c>
      <c r="G2" s="5">
        <f>SUM(G4:G76)</f>
        <v>0</v>
      </c>
      <c r="H2" s="7">
        <f>C2-G2</f>
        <v>89649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12686</v>
      </c>
      <c r="D4" s="13">
        <v>24570</v>
      </c>
      <c r="E4" s="13">
        <f>IF(AND(ISNUMBER(C4),ISNUMBER(D4)), C4-D4, "")</f>
        <v>-11884</v>
      </c>
      <c r="F4" s="14">
        <f>IFERROR(E4/D4, "")</f>
        <v>-0.4836792836792837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23</v>
      </c>
      <c r="K4" s="50"/>
    </row>
    <row r="5" spans="1:11" ht="15.6">
      <c r="A5" s="48" t="str">
        <v>Joliet - Heritage Trail</v>
      </c>
      <c r="B5" s="31" t="str">
        <v>IL</v>
      </c>
      <c r="C5" s="11">
        <v>13469</v>
      </c>
      <c r="D5" s="18">
        <v>26110</v>
      </c>
      <c r="E5" s="18">
        <f t="shared" ref="E5:E9" si="0">IF(AND(ISNUMBER(C5),ISNUMBER(D5)), C5-D5, "")</f>
        <v>-12641</v>
      </c>
      <c r="F5" s="19">
        <f t="shared" ref="F5:F9" si="1">IFERROR(E5/D5, "")</f>
        <v>-0.48414400612792036</v>
      </c>
      <c r="G5" s="58" t="s">
        <v>22</v>
      </c>
      <c r="H5" s="20" t="str">
        <f t="shared" ref="H5:H6" si="2">IF(AND(ISNUMBER(C5),ISNUMBER(G5)), C5-G5, "")</f>
        <v/>
      </c>
      <c r="I5" s="19" t="str">
        <f t="shared" ref="I5:I6" si="3">IFERROR(H5/G5, "")</f>
        <v/>
      </c>
      <c r="J5" s="51" t="s">
        <v>23</v>
      </c>
      <c r="K5" s="51"/>
    </row>
    <row r="6" spans="1:11" ht="15.6">
      <c r="A6" s="47" t="str">
        <v>Plainfield - Troy</v>
      </c>
      <c r="B6" s="29" t="str">
        <v>IL</v>
      </c>
      <c r="C6" s="24">
        <v>16785</v>
      </c>
      <c r="D6" s="13">
        <v>27888</v>
      </c>
      <c r="E6" s="13">
        <f t="shared" si="0"/>
        <v>-11103</v>
      </c>
      <c r="F6" s="14">
        <f t="shared" si="1"/>
        <v>-0.39812822719449226</v>
      </c>
      <c r="G6" s="57" t="s">
        <v>22</v>
      </c>
      <c r="H6" s="15" t="str">
        <f t="shared" si="2"/>
        <v/>
      </c>
      <c r="I6" s="16" t="str">
        <f t="shared" si="3"/>
        <v/>
      </c>
      <c r="J6" s="50" t="s">
        <v>23</v>
      </c>
      <c r="K6" s="50"/>
    </row>
    <row r="7" spans="1:11" ht="28.9">
      <c r="A7" s="48" t="str">
        <v>Plainfield - William B Orenic</v>
      </c>
      <c r="B7" s="31" t="str">
        <v>IL</v>
      </c>
      <c r="C7" s="11">
        <v>15189</v>
      </c>
      <c r="D7" s="18">
        <v>26078</v>
      </c>
      <c r="E7" s="18">
        <f t="shared" si="0"/>
        <v>-10889</v>
      </c>
      <c r="F7" s="19">
        <f t="shared" si="1"/>
        <v>-0.41755502722601429</v>
      </c>
      <c r="G7" s="58" t="s">
        <v>22</v>
      </c>
      <c r="H7" s="20" t="str">
        <f t="shared" ref="H7:H9" si="4">IF(AND(ISNUMBER(C7),ISNUMBER(G7)), C7-G7, "")</f>
        <v/>
      </c>
      <c r="I7" s="19" t="str">
        <f t="shared" ref="I7:I9" si="5">IFERROR(H7/G7, "")</f>
        <v/>
      </c>
      <c r="J7" s="51" t="s">
        <v>24</v>
      </c>
      <c r="K7" s="59" t="s">
        <v>25</v>
      </c>
    </row>
    <row r="8" spans="1:11" ht="15.6">
      <c r="A8" s="47" t="str">
        <v>Shorewood - Cronin</v>
      </c>
      <c r="B8" s="29" t="str">
        <v>IL</v>
      </c>
      <c r="C8" s="24">
        <v>16823</v>
      </c>
      <c r="D8" s="13">
        <v>28100</v>
      </c>
      <c r="E8" s="13">
        <f t="shared" si="0"/>
        <v>-11277</v>
      </c>
      <c r="F8" s="14">
        <f t="shared" si="1"/>
        <v>-0.4013167259786477</v>
      </c>
      <c r="G8" s="57" t="s">
        <v>22</v>
      </c>
      <c r="H8" s="15" t="str">
        <f t="shared" si="4"/>
        <v/>
      </c>
      <c r="I8" s="16" t="str">
        <f t="shared" si="5"/>
        <v/>
      </c>
      <c r="J8" s="50" t="s">
        <v>23</v>
      </c>
      <c r="K8" s="50"/>
    </row>
    <row r="9" spans="1:11" ht="15.6">
      <c r="A9" s="48" t="str">
        <v>Shorewood - Hofer</v>
      </c>
      <c r="B9" s="31" t="str">
        <v>IL</v>
      </c>
      <c r="C9" s="11">
        <v>14697</v>
      </c>
      <c r="D9" s="18">
        <v>28211</v>
      </c>
      <c r="E9" s="18">
        <f t="shared" si="0"/>
        <v>-13514</v>
      </c>
      <c r="F9" s="19">
        <f t="shared" si="1"/>
        <v>-0.47903300131154514</v>
      </c>
      <c r="G9" s="58" t="s">
        <v>22</v>
      </c>
      <c r="H9" s="20" t="str">
        <f t="shared" si="4"/>
        <v/>
      </c>
      <c r="I9" s="19" t="str">
        <f t="shared" si="5"/>
        <v/>
      </c>
      <c r="J9" s="51" t="s">
        <v>23</v>
      </c>
      <c r="K9" s="5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">
    <cfRule type="cellIs" dxfId="28" priority="16" stopIfTrue="1" operator="lessThanOrEqual">
      <formula>-0.1</formula>
    </cfRule>
    <cfRule type="expression" dxfId="27" priority="17">
      <formula>AND(ISNUMBER(F2), F2&gt;=0.1)</formula>
    </cfRule>
  </conditionalFormatting>
  <conditionalFormatting sqref="F4:F76 I4:I7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7" r:id="rId1" display="https://us3.assetplanner.com/service_request?ID=096152" xr:uid="{797F15A7-EC3C-45C3-8236-825DCC1DC84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G4" activePane="bottomRight" state="frozen"/>
      <selection pane="bottomRight" activeCell="J16" sqref="J1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26</v>
      </c>
      <c r="E1" s="75"/>
      <c r="F1" s="75"/>
      <c r="G1" s="73" t="s">
        <v>27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146034.66</v>
      </c>
      <c r="D2" s="5">
        <f>SUM(D4:D77)</f>
        <v>176372</v>
      </c>
      <c r="E2" s="5">
        <f>C2-D2</f>
        <v>-30337.339999999997</v>
      </c>
      <c r="F2" s="6">
        <f>IFERROR(E2/D2, 0)</f>
        <v>-0.17200768829519422</v>
      </c>
      <c r="G2" s="5">
        <f>SUM(G4:G77)</f>
        <v>0</v>
      </c>
      <c r="H2" s="7">
        <f>C2-G2</f>
        <v>146034.66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21859</v>
      </c>
      <c r="D4" s="13">
        <v>27097</v>
      </c>
      <c r="E4" s="13">
        <f>IF(AND(ISNUMBER(C4),ISNUMBER(D4)), C4-D4, "")</f>
        <v>-5238</v>
      </c>
      <c r="F4" s="14">
        <f>IFERROR(E4/D4, "")</f>
        <v>-0.19330553197770972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23</v>
      </c>
      <c r="K4" s="50"/>
    </row>
    <row r="5" spans="1:11" ht="15.6">
      <c r="A5" s="48" t="str">
        <v>Joliet - Heritage Trail</v>
      </c>
      <c r="B5" s="31" t="str">
        <v>IL</v>
      </c>
      <c r="C5" s="11">
        <v>22097</v>
      </c>
      <c r="D5" s="18">
        <v>28467</v>
      </c>
      <c r="E5" s="18">
        <f t="shared" ref="E5:E9" si="0">IF(AND(ISNUMBER(C5),ISNUMBER(D5)), C5-D5, "")</f>
        <v>-6370</v>
      </c>
      <c r="F5" s="19">
        <f>IFERROR(E5/D5, "")</f>
        <v>-0.2237678715705905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23</v>
      </c>
      <c r="K5" s="51"/>
    </row>
    <row r="6" spans="1:11" ht="15.6">
      <c r="A6" s="49" t="str">
        <v>Plainfield - Troy</v>
      </c>
      <c r="B6" s="29" t="str">
        <v>IL</v>
      </c>
      <c r="C6" s="24">
        <v>27054.16</v>
      </c>
      <c r="D6" s="13">
        <v>30214</v>
      </c>
      <c r="E6" s="13">
        <f t="shared" si="0"/>
        <v>-3159.84</v>
      </c>
      <c r="F6" s="14">
        <f t="shared" ref="F6:F9" si="3">IFERROR(E6/D6, "")</f>
        <v>-0.10458198186271266</v>
      </c>
      <c r="G6" s="57" t="s">
        <v>22</v>
      </c>
      <c r="H6" s="15" t="str">
        <f t="shared" si="1"/>
        <v/>
      </c>
      <c r="I6" s="16" t="str">
        <f t="shared" si="2"/>
        <v/>
      </c>
      <c r="J6" s="50" t="s">
        <v>23</v>
      </c>
      <c r="K6" s="50"/>
    </row>
    <row r="7" spans="1:11" ht="78" customHeight="1">
      <c r="A7" s="48" t="str">
        <v>Plainfield - William B Orenic</v>
      </c>
      <c r="B7" s="31" t="str">
        <v>IL</v>
      </c>
      <c r="C7" s="11">
        <v>24770.5</v>
      </c>
      <c r="D7" s="18">
        <v>28297</v>
      </c>
      <c r="E7" s="18">
        <f t="shared" si="0"/>
        <v>-3526.5</v>
      </c>
      <c r="F7" s="19">
        <f t="shared" si="3"/>
        <v>-0.12462451850019436</v>
      </c>
      <c r="G7" s="58" t="s">
        <v>22</v>
      </c>
      <c r="H7" s="20" t="str">
        <f t="shared" si="1"/>
        <v/>
      </c>
      <c r="I7" s="19" t="str">
        <f t="shared" si="2"/>
        <v/>
      </c>
      <c r="J7" s="51" t="s">
        <v>28</v>
      </c>
      <c r="K7" s="59" t="s">
        <v>29</v>
      </c>
    </row>
    <row r="8" spans="1:11" ht="15.6">
      <c r="A8" s="49" t="str">
        <v>Shorewood - Cronin</v>
      </c>
      <c r="B8" s="29" t="str">
        <v>IL</v>
      </c>
      <c r="C8" s="24">
        <v>26290</v>
      </c>
      <c r="D8" s="13">
        <v>31465</v>
      </c>
      <c r="E8" s="13">
        <f t="shared" si="0"/>
        <v>-5175</v>
      </c>
      <c r="F8" s="14">
        <f t="shared" si="3"/>
        <v>-0.16446845701573176</v>
      </c>
      <c r="G8" s="57" t="s">
        <v>22</v>
      </c>
      <c r="H8" s="15" t="str">
        <f t="shared" si="1"/>
        <v/>
      </c>
      <c r="I8" s="16" t="str">
        <f t="shared" si="2"/>
        <v/>
      </c>
      <c r="J8" s="50" t="s">
        <v>23</v>
      </c>
      <c r="K8" s="50"/>
    </row>
    <row r="9" spans="1:11" ht="15.6">
      <c r="A9" s="48" t="str">
        <v>Shorewood - Hofer</v>
      </c>
      <c r="B9" s="31" t="str">
        <v>IL</v>
      </c>
      <c r="C9" s="11">
        <v>23964</v>
      </c>
      <c r="D9" s="18">
        <v>30832</v>
      </c>
      <c r="E9" s="18">
        <f t="shared" si="0"/>
        <v>-6868</v>
      </c>
      <c r="F9" s="19">
        <f t="shared" si="3"/>
        <v>-0.22275557861961598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23</v>
      </c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7" r:id="rId1" display="https://us3.assetplanner.com/service_request?ID=096152" xr:uid="{17C1E723-2F0B-4748-AF6A-0BD657D1F064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E15" sqref="E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30</v>
      </c>
      <c r="E1" s="75"/>
      <c r="F1" s="75"/>
      <c r="G1" s="73" t="s">
        <v>31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226258.91</v>
      </c>
      <c r="D2" s="5">
        <f>SUM(D4:D77)</f>
        <v>240646.16999999998</v>
      </c>
      <c r="E2" s="5">
        <f>C2-D2</f>
        <v>-14387.25999999998</v>
      </c>
      <c r="F2" s="6">
        <f>IFERROR(E2/D2, 0)</f>
        <v>-5.9785950468274569E-2</v>
      </c>
      <c r="G2" s="5">
        <f>SUM(G4:G77)</f>
        <v>0</v>
      </c>
      <c r="H2" s="7">
        <f>C2-G2</f>
        <v>226258.91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33974.5</v>
      </c>
      <c r="D4" s="13">
        <v>37305</v>
      </c>
      <c r="E4" s="13">
        <f>IF(AND(ISNUMBER(C4),ISNUMBER(D4)), C4-D4, "")</f>
        <v>-3330.5</v>
      </c>
      <c r="F4" s="14">
        <f>IFERROR(E4/D4, "")</f>
        <v>-8.9277576732341504E-2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>
        <v>35713.5</v>
      </c>
      <c r="D5" s="18">
        <v>40057</v>
      </c>
      <c r="E5" s="18">
        <f t="shared" ref="E5:E9" si="0">IF(AND(ISNUMBER(C5),ISNUMBER(D5)), C5-D5, "")</f>
        <v>-4343.5</v>
      </c>
      <c r="F5" s="19">
        <f>IFERROR(E5/D5, "")</f>
        <v>-0.1084329829992261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>
        <v>40653.910000000003</v>
      </c>
      <c r="D6" s="13">
        <v>40657</v>
      </c>
      <c r="E6" s="13">
        <f t="shared" si="0"/>
        <v>-3.0899999999965075</v>
      </c>
      <c r="F6" s="14">
        <f t="shared" ref="F6:F9" si="3">IFERROR(E6/D6, "")</f>
        <v>-7.6001672528629947E-5</v>
      </c>
      <c r="G6" s="57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>
        <v>36859.5</v>
      </c>
      <c r="D7" s="18">
        <v>38287</v>
      </c>
      <c r="E7" s="18">
        <f t="shared" si="0"/>
        <v>-1427.5</v>
      </c>
      <c r="F7" s="19">
        <f t="shared" si="3"/>
        <v>-3.7284195679995823E-2</v>
      </c>
      <c r="G7" s="58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>
        <v>41793.5</v>
      </c>
      <c r="D8" s="13">
        <v>43442.17</v>
      </c>
      <c r="E8" s="13">
        <f t="shared" si="0"/>
        <v>-1648.6699999999983</v>
      </c>
      <c r="F8" s="14">
        <f t="shared" si="3"/>
        <v>-3.7950912673100773E-2</v>
      </c>
      <c r="G8" s="57" t="s">
        <v>22</v>
      </c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>
        <v>37264</v>
      </c>
      <c r="D9" s="18">
        <v>40898</v>
      </c>
      <c r="E9" s="18">
        <f t="shared" si="0"/>
        <v>-3634</v>
      </c>
      <c r="F9" s="19">
        <f t="shared" si="3"/>
        <v>-8.8855200743312629E-2</v>
      </c>
      <c r="G9" s="58" t="s">
        <v>22</v>
      </c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9"/>
  <sheetViews>
    <sheetView workbookViewId="0">
      <pane xSplit="2" ySplit="3" topLeftCell="C4" activePane="bottomRight" state="frozen"/>
      <selection pane="bottomRight" activeCell="K11" sqref="K11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4" t="str" cm="1">
        <f t="array" ref="A1">portfolio</f>
        <v>Troy School District</v>
      </c>
      <c r="B1" s="74"/>
      <c r="C1" s="74"/>
      <c r="D1" s="75" t="s">
        <v>32</v>
      </c>
      <c r="E1" s="75"/>
      <c r="F1" s="75"/>
      <c r="G1" s="73" t="s">
        <v>33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SUM(C4:C77)</f>
        <v>247995.25</v>
      </c>
      <c r="D2" s="5">
        <f>SUM(D4:D77)</f>
        <v>256315.15</v>
      </c>
      <c r="E2" s="5">
        <f>C2-D2</f>
        <v>-8319.8999999999942</v>
      </c>
      <c r="F2" s="6">
        <f>IFERROR(E2/D2, 0)</f>
        <v>-3.2459649770994789E-2</v>
      </c>
      <c r="G2" s="5">
        <f>SUM(G4:G77)</f>
        <v>0</v>
      </c>
      <c r="H2" s="7">
        <f>C2-G2</f>
        <v>247995.25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38951.5</v>
      </c>
      <c r="D4" s="13">
        <v>40309</v>
      </c>
      <c r="E4" s="13">
        <f t="shared" ref="E4:E9" si="0">IF(AND(ISNUMBER(C4),ISNUMBER(D4)), C4-D4, "")</f>
        <v>-1357.5</v>
      </c>
      <c r="F4" s="14">
        <f t="shared" ref="F4:F9" si="1">IFERROR(E4/D4, "")</f>
        <v>-3.3677342528963754E-2</v>
      </c>
      <c r="G4" s="57" t="s">
        <v>22</v>
      </c>
      <c r="H4" s="15" t="str">
        <f t="shared" ref="H4:H9" si="2">IF(AND(ISNUMBER(C4),ISNUMBER(G4)), C4-G4, "")</f>
        <v/>
      </c>
      <c r="I4" s="16" t="str">
        <f>IFERROR(H4/G4, "")</f>
        <v/>
      </c>
      <c r="J4" s="50"/>
      <c r="K4" s="50"/>
    </row>
    <row r="5" spans="1:13" ht="72">
      <c r="A5" s="30" t="str">
        <v>Joliet - Heritage Trail</v>
      </c>
      <c r="B5" s="31" t="str">
        <v>IL</v>
      </c>
      <c r="C5" s="11">
        <v>37505.5</v>
      </c>
      <c r="D5" s="18">
        <v>41708</v>
      </c>
      <c r="E5" s="18">
        <f t="shared" si="0"/>
        <v>-4202.5</v>
      </c>
      <c r="F5" s="19">
        <f t="shared" si="1"/>
        <v>-0.10076004603433394</v>
      </c>
      <c r="G5" s="58" t="s">
        <v>22</v>
      </c>
      <c r="H5" s="20" t="str">
        <f t="shared" si="2"/>
        <v/>
      </c>
      <c r="I5" s="19" t="str">
        <f t="shared" ref="I5:I9" si="3">IFERROR(H5/G5, "")</f>
        <v/>
      </c>
      <c r="J5" s="51" t="s">
        <v>34</v>
      </c>
      <c r="K5" s="59" t="s">
        <v>35</v>
      </c>
      <c r="L5" s="66" t="s">
        <v>36</v>
      </c>
      <c r="M5" s="66" t="s">
        <v>37</v>
      </c>
    </row>
    <row r="6" spans="1:13" ht="28.9">
      <c r="A6" s="28" t="str">
        <v>Plainfield - Troy</v>
      </c>
      <c r="B6" s="29" t="str">
        <v>IL</v>
      </c>
      <c r="C6" s="24">
        <v>44348.5</v>
      </c>
      <c r="D6" s="13">
        <v>43667</v>
      </c>
      <c r="E6" s="13">
        <f t="shared" si="0"/>
        <v>681.5</v>
      </c>
      <c r="F6" s="14">
        <f t="shared" si="1"/>
        <v>1.5606751093503103E-2</v>
      </c>
      <c r="G6" s="57" t="s">
        <v>22</v>
      </c>
      <c r="H6" s="15" t="str">
        <f t="shared" si="2"/>
        <v/>
      </c>
      <c r="I6" s="16" t="str">
        <f t="shared" si="3"/>
        <v/>
      </c>
      <c r="J6" s="50" t="s">
        <v>38</v>
      </c>
      <c r="K6" s="65" t="s">
        <v>39</v>
      </c>
      <c r="L6" s="67"/>
      <c r="M6" s="67"/>
    </row>
    <row r="7" spans="1:13" ht="15.6">
      <c r="A7" s="30" t="str">
        <v>Plainfield - William B Orenic</v>
      </c>
      <c r="B7" s="31" t="str">
        <v>IL</v>
      </c>
      <c r="C7" s="11">
        <v>40008.5</v>
      </c>
      <c r="D7" s="18">
        <v>40237</v>
      </c>
      <c r="E7" s="18">
        <f t="shared" si="0"/>
        <v>-228.5</v>
      </c>
      <c r="F7" s="19">
        <f t="shared" si="1"/>
        <v>-5.6788527971767281E-3</v>
      </c>
      <c r="G7" s="58" t="s">
        <v>22</v>
      </c>
      <c r="H7" s="20" t="str">
        <f t="shared" si="2"/>
        <v/>
      </c>
      <c r="I7" s="19" t="str">
        <f t="shared" si="3"/>
        <v/>
      </c>
      <c r="J7" s="51"/>
      <c r="K7" s="52"/>
      <c r="L7" s="67"/>
      <c r="M7" s="67"/>
    </row>
    <row r="8" spans="1:13" ht="15.6">
      <c r="A8" s="28" t="str">
        <v>Shorewood - Cronin</v>
      </c>
      <c r="B8" s="29" t="str">
        <v>IL</v>
      </c>
      <c r="C8" s="24">
        <v>45821.5</v>
      </c>
      <c r="D8" s="13">
        <v>46545.15</v>
      </c>
      <c r="E8" s="13">
        <f t="shared" si="0"/>
        <v>-723.65000000000146</v>
      </c>
      <c r="F8" s="14">
        <f t="shared" si="1"/>
        <v>-1.5547269694049787E-2</v>
      </c>
      <c r="G8" s="57" t="s">
        <v>22</v>
      </c>
      <c r="H8" s="15" t="str">
        <f t="shared" si="2"/>
        <v/>
      </c>
      <c r="I8" s="16" t="str">
        <f t="shared" si="3"/>
        <v/>
      </c>
      <c r="J8" s="50"/>
      <c r="K8" s="50"/>
      <c r="L8" s="67"/>
      <c r="M8" s="67"/>
    </row>
    <row r="9" spans="1:13" ht="28.9">
      <c r="A9" s="30" t="str">
        <v>Shorewood - Hofer</v>
      </c>
      <c r="B9" s="31" t="str">
        <v>IL</v>
      </c>
      <c r="C9" s="11">
        <v>41359.75</v>
      </c>
      <c r="D9" s="18">
        <v>43849</v>
      </c>
      <c r="E9" s="18">
        <f t="shared" si="0"/>
        <v>-2489.25</v>
      </c>
      <c r="F9" s="19">
        <f t="shared" si="1"/>
        <v>-5.6768683436338341E-2</v>
      </c>
      <c r="G9" s="58" t="s">
        <v>22</v>
      </c>
      <c r="H9" s="20" t="str">
        <f t="shared" si="2"/>
        <v/>
      </c>
      <c r="I9" s="19" t="str">
        <f t="shared" si="3"/>
        <v/>
      </c>
      <c r="J9" s="51" t="s">
        <v>40</v>
      </c>
      <c r="K9" s="59" t="s">
        <v>41</v>
      </c>
    </row>
    <row r="10" spans="1:13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5" r:id="rId1" display="https://us3.assetplanner.com/service_request?ID=100203" xr:uid="{FEDDA120-C2AC-44C9-BF31-79CE92906DB9}"/>
    <hyperlink ref="L5" r:id="rId2" display="https://us3.assetplanner.com/service_request?ID=100411" xr:uid="{493B234A-8ECE-41B2-A1A7-D9BE585B3D68}"/>
    <hyperlink ref="M5" r:id="rId3" display="https://us3.assetplanner.com/service_request?ID=099608" xr:uid="{C5DD9E50-EC92-4A3C-BAF1-4AECB537D7FF}"/>
    <hyperlink ref="K6" r:id="rId4" display="https://us3.assetplanner.com/service_request?ID=099771" xr:uid="{9BF3493D-81D6-401A-8571-C2589A11AB37}"/>
    <hyperlink ref="K9" r:id="rId5" display="https://us3.assetplanner.com/service_request?ID=099449" xr:uid="{0F83C6B5-FA19-43BA-9354-49E4A8D185D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M8" sqref="M8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42</v>
      </c>
      <c r="E1" s="75"/>
      <c r="F1" s="75"/>
      <c r="G1" s="73" t="s">
        <v>43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304617.31</v>
      </c>
      <c r="D2" s="5">
        <f>SUM(D4:D77)</f>
        <v>326914.39</v>
      </c>
      <c r="E2" s="5">
        <f>C2-D2</f>
        <v>-22297.080000000016</v>
      </c>
      <c r="F2" s="6">
        <f>IFERROR(E2/D2, 0)</f>
        <v>-6.8204645258962193E-2</v>
      </c>
      <c r="G2" s="5">
        <f>SUM(G4:G77)</f>
        <v>0</v>
      </c>
      <c r="H2" s="7">
        <f>C2-G2</f>
        <v>304617.31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49559</v>
      </c>
      <c r="D4" s="63">
        <v>51606</v>
      </c>
      <c r="E4" s="13">
        <f>IF(AND(ISNUMBER(C4),ISNUMBER(D4)), C4-D4, "")</f>
        <v>-2047</v>
      </c>
      <c r="F4" s="14">
        <f>IFERROR(E4/D4, "")</f>
        <v>-3.9665930318180054E-2</v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60">
        <v>39379.75</v>
      </c>
      <c r="D5" s="64">
        <v>53287</v>
      </c>
      <c r="E5" s="18">
        <f t="shared" ref="E5:E7" si="0">IF(AND(ISNUMBER(C5),ISNUMBER(D5)), C5-D5, "")</f>
        <v>-13907.25</v>
      </c>
      <c r="F5" s="19">
        <f>IFERROR(E5/D5, "")</f>
        <v>-0.26098767053878058</v>
      </c>
      <c r="G5" s="6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44</v>
      </c>
      <c r="K5" s="59" t="s">
        <v>45</v>
      </c>
    </row>
    <row r="6" spans="1:11" ht="28.9">
      <c r="A6" s="28" t="str">
        <v>Plainfield - Troy</v>
      </c>
      <c r="B6" s="29" t="str">
        <v>IL</v>
      </c>
      <c r="C6" s="24">
        <v>56123.56</v>
      </c>
      <c r="D6" s="63">
        <v>56003</v>
      </c>
      <c r="E6" s="13">
        <f t="shared" si="0"/>
        <v>120.55999999999767</v>
      </c>
      <c r="F6" s="14">
        <f t="shared" ref="F6:F9" si="3">IFERROR(E6/D6, "")</f>
        <v>2.1527418174025975E-3</v>
      </c>
      <c r="G6" s="61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1" ht="15.6">
      <c r="A7" s="30" t="str">
        <v>Plainfield - William B Orenic</v>
      </c>
      <c r="B7" s="31" t="str">
        <v>IL</v>
      </c>
      <c r="C7" s="60">
        <v>50439.75</v>
      </c>
      <c r="D7" s="64">
        <v>51104</v>
      </c>
      <c r="E7" s="18">
        <f t="shared" si="0"/>
        <v>-664.25</v>
      </c>
      <c r="F7" s="19">
        <f t="shared" si="3"/>
        <v>-1.2998004070131497E-2</v>
      </c>
      <c r="G7" s="6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9">
      <c r="A8" s="28" t="str">
        <v>Shorewood - Cronin</v>
      </c>
      <c r="B8" s="29" t="str">
        <v>IL</v>
      </c>
      <c r="C8" s="24">
        <v>56877.5</v>
      </c>
      <c r="D8" s="63">
        <v>58996.39</v>
      </c>
      <c r="E8" s="13">
        <f>IF(AND(ISNUMBER(C8),ISNUMBER(D8)), C8-D8, "")</f>
        <v>-2118.8899999999994</v>
      </c>
      <c r="F8" s="14">
        <f t="shared" si="3"/>
        <v>-3.5915587377464954E-2</v>
      </c>
      <c r="G8" s="61" t="s">
        <v>22</v>
      </c>
      <c r="H8" s="15" t="str">
        <f t="shared" si="1"/>
        <v/>
      </c>
      <c r="I8" s="16" t="str">
        <f t="shared" si="2"/>
        <v/>
      </c>
      <c r="J8" s="50" t="s">
        <v>46</v>
      </c>
      <c r="K8" s="65" t="s">
        <v>47</v>
      </c>
    </row>
    <row r="9" spans="1:11" ht="43.15">
      <c r="A9" s="30" t="str">
        <v>Shorewood - Hofer</v>
      </c>
      <c r="B9" s="31" t="str">
        <v>IL</v>
      </c>
      <c r="C9" s="70">
        <v>52237.75</v>
      </c>
      <c r="D9" s="69">
        <v>55918</v>
      </c>
      <c r="E9" s="18">
        <f>IF(AND(ISNUMBER(C9),ISNUMBER(D9)), C9-D9, "")</f>
        <v>-3680.25</v>
      </c>
      <c r="F9" s="19">
        <f t="shared" si="3"/>
        <v>-6.5815122143138172E-2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48</v>
      </c>
      <c r="K9" s="59" t="s">
        <v>49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5" r:id="rId1" display="https://us3.assetplanner.com/service_request?ID=100411" xr:uid="{CD640893-A58E-4E56-A8E5-D5A0E866B74F}"/>
    <hyperlink ref="K6" r:id="rId2" display="https://us3.assetplanner.com/service_request?ID=099771" xr:uid="{AFF720E3-EE00-44F1-9FB5-F9E3CBB93969}"/>
    <hyperlink ref="K8" r:id="rId3" display="https://us3.assetplanner.com/service_request?ID=101081" xr:uid="{6DD5FD90-1110-423D-BE45-6F3FBEF56ED8}"/>
    <hyperlink ref="K9" r:id="rId4" display="https://us3.assetplanner.com/service_request?ID=100984" xr:uid="{FB931179-99D5-4F89-A8D7-BC2A253CE1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I19" sqref="I19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50</v>
      </c>
      <c r="E1" s="75"/>
      <c r="F1" s="75"/>
      <c r="G1" s="73" t="s">
        <v>51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302852.87</v>
      </c>
      <c r="D2" s="5">
        <f>SUM(D4:D77)</f>
        <v>349435.43</v>
      </c>
      <c r="E2" s="5">
        <f>C2-D2</f>
        <v>-46582.559999999998</v>
      </c>
      <c r="F2" s="6">
        <f>IFERROR(E2/D2, 0)</f>
        <v>-0.13330806209318843</v>
      </c>
      <c r="G2" s="5">
        <f>SUM(G4:G77)</f>
        <v>0</v>
      </c>
      <c r="H2" s="7">
        <f>C2-G2</f>
        <v>302852.87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52808.5</v>
      </c>
      <c r="D4" s="13">
        <v>55368</v>
      </c>
      <c r="E4" s="13">
        <f>IF(AND(ISNUMBER(C4),ISNUMBER(D4)), C4-D4, "")</f>
        <v>-2559.5</v>
      </c>
      <c r="F4" s="14">
        <f>IFERROR(E4/D4, "")</f>
        <v>-4.6227062563213406E-2</v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43.15">
      <c r="A5" s="30" t="str">
        <v>Joliet - Heritage Trail</v>
      </c>
      <c r="B5" s="31" t="str">
        <v>IL</v>
      </c>
      <c r="C5" s="11">
        <v>20271</v>
      </c>
      <c r="D5" s="18">
        <v>55588</v>
      </c>
      <c r="E5" s="18">
        <f t="shared" ref="E5:E9" si="0">IF(AND(ISNUMBER(C5),ISNUMBER(D5)), C5-D5, "")</f>
        <v>-35317</v>
      </c>
      <c r="F5" s="19">
        <f>IFERROR(E5/D5, "")</f>
        <v>-0.63533496438080161</v>
      </c>
      <c r="G5" s="58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52</v>
      </c>
      <c r="K5" s="59" t="s">
        <v>53</v>
      </c>
    </row>
    <row r="6" spans="1:11" ht="28.9">
      <c r="A6" s="28" t="str">
        <v>Plainfield - Troy</v>
      </c>
      <c r="B6" s="29" t="str">
        <v>IL</v>
      </c>
      <c r="C6" s="24">
        <v>60148.87</v>
      </c>
      <c r="D6" s="13">
        <v>60505</v>
      </c>
      <c r="E6" s="13">
        <f t="shared" si="0"/>
        <v>-356.12999999999738</v>
      </c>
      <c r="F6" s="14">
        <f t="shared" ref="F6:F9" si="3">IFERROR(E6/D6, "")</f>
        <v>-5.8859598380298717E-3</v>
      </c>
      <c r="G6" s="57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1" ht="15.6">
      <c r="A7" s="30" t="str">
        <v>Plainfield - William B Orenic</v>
      </c>
      <c r="B7" s="31" t="str">
        <v>IL</v>
      </c>
      <c r="C7" s="11">
        <v>53940</v>
      </c>
      <c r="D7" s="18">
        <v>54908</v>
      </c>
      <c r="E7" s="18">
        <f t="shared" si="0"/>
        <v>-968</v>
      </c>
      <c r="F7" s="19">
        <f t="shared" si="3"/>
        <v>-1.7629489327602534E-2</v>
      </c>
      <c r="G7" s="58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9">
      <c r="A8" s="28" t="str">
        <v>Shorewood - Cronin</v>
      </c>
      <c r="B8" s="29" t="str">
        <v>IL</v>
      </c>
      <c r="C8" s="24">
        <v>60816.25</v>
      </c>
      <c r="D8" s="13">
        <v>63419.43</v>
      </c>
      <c r="E8" s="13">
        <f t="shared" si="0"/>
        <v>-2603.1800000000003</v>
      </c>
      <c r="F8" s="14">
        <f t="shared" si="3"/>
        <v>-4.104704189236643E-2</v>
      </c>
      <c r="G8" s="57" t="s">
        <v>22</v>
      </c>
      <c r="H8" s="15" t="str">
        <f t="shared" si="1"/>
        <v/>
      </c>
      <c r="I8" s="16" t="str">
        <f t="shared" si="2"/>
        <v/>
      </c>
      <c r="J8" s="50" t="s">
        <v>46</v>
      </c>
      <c r="K8" s="65" t="s">
        <v>47</v>
      </c>
    </row>
    <row r="9" spans="1:11" ht="28.9">
      <c r="A9" s="30" t="str">
        <v>Shorewood - Hofer</v>
      </c>
      <c r="B9" s="31" t="str">
        <v>IL</v>
      </c>
      <c r="C9" s="11">
        <v>54868.25</v>
      </c>
      <c r="D9" s="11">
        <v>59647</v>
      </c>
      <c r="E9" s="18">
        <f t="shared" si="0"/>
        <v>-4778.75</v>
      </c>
      <c r="F9" s="19">
        <f t="shared" si="3"/>
        <v>-8.0117189464683894E-2</v>
      </c>
      <c r="G9" s="58" t="s">
        <v>22</v>
      </c>
      <c r="H9" s="20" t="str">
        <f t="shared" si="1"/>
        <v/>
      </c>
      <c r="I9" s="19" t="str">
        <f t="shared" si="2"/>
        <v/>
      </c>
      <c r="J9" s="51" t="s">
        <v>54</v>
      </c>
      <c r="K9" s="59" t="s">
        <v>49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5" r:id="rId1" display="https://us3.assetplanner.com/service_request?ID=102543" xr:uid="{869CD74D-3322-4ECB-9B10-3B7A801B454F}"/>
    <hyperlink ref="K6" r:id="rId2" display="https://us3.assetplanner.com/service_request?ID=099771" xr:uid="{597CF499-643F-4525-9BED-63D364EB938E}"/>
    <hyperlink ref="K8" r:id="rId3" display="https://us3.assetplanner.com/service_request?ID=101081" xr:uid="{43F783F8-6EC0-404F-A1AB-A22BAC67DBCD}"/>
    <hyperlink ref="K9" r:id="rId4" display="https://us3.assetplanner.com/service_request?ID=100984" xr:uid="{B3EC9997-67A1-4461-ABE4-9ACDC5538C3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9"/>
  <sheetViews>
    <sheetView workbookViewId="0">
      <pane xSplit="2" ySplit="3" topLeftCell="J4" activePane="bottomRight" state="frozen"/>
      <selection pane="bottomRight" activeCell="L1" sqref="L1:O1048576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3" ht="19.5" customHeight="1">
      <c r="A1" s="74" t="str" cm="1">
        <f t="array" ref="A1">portfolio</f>
        <v>Troy School District</v>
      </c>
      <c r="B1" s="74"/>
      <c r="C1" s="74"/>
      <c r="D1" s="75" t="s">
        <v>55</v>
      </c>
      <c r="E1" s="75"/>
      <c r="F1" s="75"/>
      <c r="G1" s="73" t="s">
        <v>56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SUM(C4:C77)</f>
        <v>278081</v>
      </c>
      <c r="D2" s="5">
        <f>SUM(D4:D77)</f>
        <v>315516</v>
      </c>
      <c r="E2" s="5">
        <f>C2-D2</f>
        <v>-37435</v>
      </c>
      <c r="F2" s="6">
        <f>IFERROR(E2/D2, 0)</f>
        <v>-0.1186469148949657</v>
      </c>
      <c r="G2" s="5">
        <f>SUM(G4:G77)</f>
        <v>0</v>
      </c>
      <c r="H2" s="7">
        <f>C2-G2</f>
        <v>278081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28.9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47348</v>
      </c>
      <c r="D4" s="13">
        <v>49498</v>
      </c>
      <c r="E4" s="13">
        <f>IF(AND(ISNUMBER(C4),ISNUMBER(D4)), C4-D4, "")</f>
        <v>-2150</v>
      </c>
      <c r="F4" s="14">
        <f>IFERROR(E4/D4, "")</f>
        <v>-4.343609842821932E-2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57</v>
      </c>
      <c r="K4" s="65" t="s">
        <v>58</v>
      </c>
    </row>
    <row r="5" spans="1:13" ht="72">
      <c r="A5" s="30" t="str">
        <v>Joliet - Heritage Trail</v>
      </c>
      <c r="B5" s="31" t="str">
        <v>IL</v>
      </c>
      <c r="C5" s="11">
        <v>15120</v>
      </c>
      <c r="D5" s="18">
        <v>51975</v>
      </c>
      <c r="E5" s="18">
        <f t="shared" ref="E5:E9" si="0">IF(AND(ISNUMBER(C5),ISNUMBER(D5)), C5-D5, "")</f>
        <v>-36855</v>
      </c>
      <c r="F5" s="19">
        <f>IFERROR(E5/D5, "")</f>
        <v>-0.70909090909090911</v>
      </c>
      <c r="G5" s="7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59</v>
      </c>
      <c r="K5" s="59" t="s">
        <v>60</v>
      </c>
      <c r="L5" s="66" t="s">
        <v>36</v>
      </c>
      <c r="M5" s="66" t="s">
        <v>61</v>
      </c>
    </row>
    <row r="6" spans="1:13" ht="28.9">
      <c r="A6" s="28" t="str">
        <v>Plainfield - Troy</v>
      </c>
      <c r="B6" s="29" t="str">
        <v>IL</v>
      </c>
      <c r="C6" s="24">
        <v>56226</v>
      </c>
      <c r="D6" s="13">
        <v>56615</v>
      </c>
      <c r="E6" s="13">
        <f t="shared" si="0"/>
        <v>-389</v>
      </c>
      <c r="F6" s="14">
        <f t="shared" ref="F6:F9" si="3">IFERROR(E6/D6, "")</f>
        <v>-6.8709705908328181E-3</v>
      </c>
      <c r="G6" s="71" t="s">
        <v>22</v>
      </c>
      <c r="H6" s="15" t="str">
        <f t="shared" si="1"/>
        <v/>
      </c>
      <c r="I6" s="16" t="str">
        <f t="shared" si="2"/>
        <v/>
      </c>
      <c r="J6" s="50" t="s">
        <v>38</v>
      </c>
      <c r="K6" s="65" t="s">
        <v>39</v>
      </c>
    </row>
    <row r="7" spans="1:13" ht="15.6">
      <c r="A7" s="30" t="str">
        <v>Plainfield - William B Orenic</v>
      </c>
      <c r="B7" s="31" t="str">
        <v>IL</v>
      </c>
      <c r="C7" s="11">
        <v>50455</v>
      </c>
      <c r="D7" s="11">
        <v>51963</v>
      </c>
      <c r="E7" s="18">
        <f t="shared" si="0"/>
        <v>-1508</v>
      </c>
      <c r="F7" s="19">
        <f t="shared" si="3"/>
        <v>-2.9020649308161575E-2</v>
      </c>
      <c r="G7" s="7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3" ht="28.9">
      <c r="A8" s="28" t="str">
        <v>Shorewood - Cronin</v>
      </c>
      <c r="B8" s="29" t="str">
        <v>IL</v>
      </c>
      <c r="C8" s="24">
        <v>56116</v>
      </c>
      <c r="D8" s="13">
        <v>49498</v>
      </c>
      <c r="E8" s="13">
        <f t="shared" si="0"/>
        <v>6618</v>
      </c>
      <c r="F8" s="14">
        <f t="shared" si="3"/>
        <v>0.13370237181300254</v>
      </c>
      <c r="G8" s="7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63</v>
      </c>
      <c r="L8" s="66" t="s">
        <v>64</v>
      </c>
    </row>
    <row r="9" spans="1:13" ht="28.9">
      <c r="A9" s="30" t="str">
        <v>Shorewood - Hofer</v>
      </c>
      <c r="B9" s="31" t="str">
        <v>IL</v>
      </c>
      <c r="C9" s="11">
        <v>52816</v>
      </c>
      <c r="D9" s="11">
        <v>55967</v>
      </c>
      <c r="E9" s="18">
        <f t="shared" si="0"/>
        <v>-3151</v>
      </c>
      <c r="F9" s="19">
        <f t="shared" si="3"/>
        <v>-5.6301034538210018E-2</v>
      </c>
      <c r="G9" s="72" t="s">
        <v>22</v>
      </c>
      <c r="H9" s="20" t="str">
        <f t="shared" si="1"/>
        <v/>
      </c>
      <c r="I9" s="19" t="str">
        <f t="shared" si="2"/>
        <v/>
      </c>
      <c r="J9" s="51" t="s">
        <v>65</v>
      </c>
      <c r="K9" s="59" t="s">
        <v>49</v>
      </c>
    </row>
    <row r="10" spans="1:13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4047" xr:uid="{8CE6D26F-C1AE-4BEB-A799-495E78C4FAFC}"/>
    <hyperlink ref="K5" r:id="rId2" display="https://us3.assetplanner.com/service_request?ID=100203" xr:uid="{F41AFF10-A81C-44EC-9795-D5A1154A81FA}"/>
    <hyperlink ref="L5" r:id="rId3" display="https://us3.assetplanner.com/service_request?ID=100411" xr:uid="{C53A3EAE-A877-4B81-AAB2-651EA33531E0}"/>
    <hyperlink ref="M5" r:id="rId4" display="https://us3.assetplanner.com/service_request?ID=102543" xr:uid="{DF62E9B2-8C53-40AC-84EE-641399342678}"/>
    <hyperlink ref="K6" r:id="rId5" display="https://us3.assetplanner.com/service_request?ID=099771" xr:uid="{7051387F-061A-4319-92FB-E526B1728EC8}"/>
    <hyperlink ref="K8" r:id="rId6" display="https://us3.assetplanner.com/service_request?ID=101081" xr:uid="{C151BA8C-E6BF-48D1-B7A4-2F8703D548F8}"/>
    <hyperlink ref="L8" r:id="rId7" display="https://us3.assetplanner.com/service_request?ID=106362" xr:uid="{F06A1CE3-73E8-4B1F-9393-263C3E2848DB}"/>
    <hyperlink ref="K9" r:id="rId8" display="https://us3.assetplanner.com/service_request?ID=100984" xr:uid="{81C5A241-FE18-4BB7-ACA2-6997A3AD35B5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320"/>
  <sheetViews>
    <sheetView tabSelected="1" zoomScale="80" zoomScaleNormal="80" workbookViewId="0">
      <pane xSplit="2" ySplit="3" topLeftCell="E4" activePane="bottomRight" state="frozen"/>
      <selection pane="bottomRight" activeCell="J15" sqref="J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2" ht="19.5" customHeight="1">
      <c r="A1" s="74" t="str" cm="1">
        <f t="array" ref="A1">portfolio</f>
        <v>Troy School District</v>
      </c>
      <c r="B1" s="74"/>
      <c r="C1" s="74"/>
      <c r="D1" s="75" t="s">
        <v>66</v>
      </c>
      <c r="E1" s="75"/>
      <c r="F1" s="75"/>
      <c r="G1" s="73" t="s">
        <v>67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SUM(C4:C78)</f>
        <v>291459</v>
      </c>
      <c r="D2" s="5">
        <f>SUM(D4:D78)</f>
        <v>327713</v>
      </c>
      <c r="E2" s="5">
        <f>C2-D2</f>
        <v>-36254</v>
      </c>
      <c r="F2" s="6">
        <f>IFERROR(E2/D2, 0)</f>
        <v>-0.11062728668072368</v>
      </c>
      <c r="G2" s="5">
        <f>SUM(G4:G78)</f>
        <v>0</v>
      </c>
      <c r="H2" s="7">
        <f>C2-G2</f>
        <v>291459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48543</v>
      </c>
      <c r="D4" s="13">
        <v>52664</v>
      </c>
      <c r="E4" s="13">
        <f>IF(AND(ISNUMBER(C4),ISNUMBER(D4)), C4-D4, "")</f>
        <v>-4121</v>
      </c>
      <c r="F4" s="14">
        <f>IFERROR(E4/D4, "")</f>
        <v>-7.8250797508734621E-2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 t="s">
        <v>68</v>
      </c>
      <c r="K4" s="65" t="s">
        <v>69</v>
      </c>
    </row>
    <row r="5" spans="1:12" ht="72">
      <c r="A5" s="30" t="str">
        <v>Joliet - Heritage Trail</v>
      </c>
      <c r="B5" s="31" t="str">
        <v>IL</v>
      </c>
      <c r="C5" s="11">
        <v>25108</v>
      </c>
      <c r="D5" s="18">
        <v>53344</v>
      </c>
      <c r="E5" s="18">
        <f t="shared" ref="E5:E10" si="0">IF(AND(ISNUMBER(C5),ISNUMBER(D5)), C5-D5, "")</f>
        <v>-28236</v>
      </c>
      <c r="F5" s="19">
        <f>IFERROR(E5/D5, "")</f>
        <v>-0.52931913617276549</v>
      </c>
      <c r="G5" s="72" t="s">
        <v>22</v>
      </c>
      <c r="H5" s="20" t="str">
        <f t="shared" ref="H5:H10" si="1">IF(AND(ISNUMBER(C5),ISNUMBER(G5)), C5-G5, "")</f>
        <v/>
      </c>
      <c r="I5" s="19" t="str">
        <f t="shared" ref="I5:I10" si="2">IFERROR(H5/G5, "")</f>
        <v/>
      </c>
      <c r="J5" s="51" t="s">
        <v>70</v>
      </c>
      <c r="K5" s="59" t="s">
        <v>71</v>
      </c>
      <c r="L5" s="66" t="s">
        <v>61</v>
      </c>
    </row>
    <row r="6" spans="1:12" ht="66.75" customHeight="1">
      <c r="A6" s="28" t="str">
        <v>Plainfield - Troy</v>
      </c>
      <c r="B6" s="29" t="str">
        <v>IL</v>
      </c>
      <c r="C6" s="24">
        <v>56070</v>
      </c>
      <c r="D6" s="13">
        <v>58872</v>
      </c>
      <c r="E6" s="13">
        <f t="shared" si="0"/>
        <v>-2802</v>
      </c>
      <c r="F6" s="14">
        <f t="shared" ref="F6:F10" si="3">IFERROR(E6/D6, "")</f>
        <v>-4.7594781899714632E-2</v>
      </c>
      <c r="G6" s="71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2" ht="43.15">
      <c r="A7" s="30" t="str">
        <v>Plainfield - William B Orenic</v>
      </c>
      <c r="B7" s="31" t="str">
        <v>IL</v>
      </c>
      <c r="C7" s="11">
        <v>51725</v>
      </c>
      <c r="D7" s="11">
        <v>54019</v>
      </c>
      <c r="E7" s="18">
        <f t="shared" si="0"/>
        <v>-2294</v>
      </c>
      <c r="F7" s="19">
        <f t="shared" si="3"/>
        <v>-4.2466539550898755E-2</v>
      </c>
      <c r="G7" s="72" t="s">
        <v>22</v>
      </c>
      <c r="H7" s="20" t="str">
        <f t="shared" si="1"/>
        <v/>
      </c>
      <c r="I7" s="19" t="str">
        <f t="shared" si="2"/>
        <v/>
      </c>
      <c r="J7" s="51" t="s">
        <v>72</v>
      </c>
      <c r="K7" s="59" t="s">
        <v>73</v>
      </c>
    </row>
    <row r="8" spans="1:12" ht="28.9">
      <c r="A8" s="28" t="str">
        <v>Shorewood - Cronin</v>
      </c>
      <c r="B8" s="29" t="str">
        <v>IL</v>
      </c>
      <c r="C8" s="24">
        <v>55200</v>
      </c>
      <c r="D8" s="13">
        <v>52664</v>
      </c>
      <c r="E8" s="13">
        <f>IF(AND(ISNUMBER(C8),ISNUMBER(D8)), C8-D8, "")</f>
        <v>2536</v>
      </c>
      <c r="F8" s="14">
        <f>IFERROR(E8/D8, "")</f>
        <v>4.8154336928452071E-2</v>
      </c>
      <c r="G8" s="71" t="s">
        <v>22</v>
      </c>
      <c r="H8" s="15"/>
      <c r="I8" s="16"/>
      <c r="J8" s="50" t="s">
        <v>62</v>
      </c>
      <c r="K8" s="65" t="s">
        <v>74</v>
      </c>
      <c r="L8" s="66" t="s">
        <v>75</v>
      </c>
    </row>
    <row r="9" spans="1:12" ht="15.6">
      <c r="A9" s="30" t="str">
        <v>Shorewood - Hofer</v>
      </c>
      <c r="B9" s="31" t="str">
        <v>IL</v>
      </c>
      <c r="C9" s="11">
        <v>54813</v>
      </c>
      <c r="D9" s="11">
        <v>56150</v>
      </c>
      <c r="E9" s="18">
        <f>IF(AND(ISNUMBER(C9),ISNUMBER(D9)), C9-D9, "")</f>
        <v>-1337</v>
      </c>
      <c r="F9" s="19">
        <f>IFERROR(E9/D9, "")</f>
        <v>-2.3811219946571684E-2</v>
      </c>
      <c r="G9" s="72" t="s">
        <v>22</v>
      </c>
      <c r="H9" s="20" t="str">
        <f t="shared" si="1"/>
        <v/>
      </c>
      <c r="I9" s="19" t="str">
        <f t="shared" si="2"/>
        <v/>
      </c>
      <c r="J9" s="51"/>
      <c r="K9" s="68"/>
    </row>
    <row r="10" spans="1:12" ht="15.6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1"/>
      <c r="K10" s="52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4047" xr:uid="{97D3FE46-5DB0-441B-9B54-A6267B4D0881}"/>
    <hyperlink ref="K5" r:id="rId2" display="https://us3.assetplanner.com/service_request?ID=105562" xr:uid="{125A0559-2E40-41E5-A4BF-9F5C9361BF64}"/>
    <hyperlink ref="L5" r:id="rId3" display="https://us3.assetplanner.com/service_request?ID=102543" xr:uid="{C442F9F0-8819-4FD9-8FBB-FF19BDBD4C71}"/>
    <hyperlink ref="K7" r:id="rId4" display="https://us3.assetplanner.com/service_request?ID=106075" xr:uid="{AC8F754F-B7A5-4AB9-B7F8-0299D39AF23C}"/>
    <hyperlink ref="K8" r:id="rId5" display="https://us3.assetplanner.com/service_request?ID=106362" xr:uid="{4F63F076-048E-4087-86E5-B85692C3CECF}"/>
    <hyperlink ref="L8" r:id="rId6" display="https://us3.assetplanner.com/service_request?ID=108081" xr:uid="{85660A0D-CF10-43A7-B816-730F74D8FA6A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19"/>
  <sheetViews>
    <sheetView zoomScale="90" zoomScaleNormal="90" workbookViewId="0">
      <pane xSplit="2" ySplit="3" topLeftCell="H4" activePane="bottomRight" state="frozen"/>
      <selection pane="bottomRight" activeCell="J19" sqref="J19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67"/>
  </cols>
  <sheetData>
    <row r="1" spans="1:12" ht="19.5" customHeight="1">
      <c r="A1" s="74" t="str" cm="1">
        <f t="array" ref="A1">portfolio</f>
        <v>Troy School District</v>
      </c>
      <c r="B1" s="74"/>
      <c r="C1" s="74"/>
      <c r="D1" s="75" t="s">
        <v>76</v>
      </c>
      <c r="E1" s="75"/>
      <c r="F1" s="75"/>
      <c r="G1" s="73" t="s">
        <v>77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SUM(C4:C77)</f>
        <v>245991</v>
      </c>
      <c r="D2" s="5">
        <f>SUM(D4:D77)</f>
        <v>292976</v>
      </c>
      <c r="E2" s="5">
        <f>C2-D2</f>
        <v>-46985</v>
      </c>
      <c r="F2" s="6">
        <f>IFERROR(E2/D2, 0)</f>
        <v>-0.16037149800666267</v>
      </c>
      <c r="G2" s="5">
        <f>SUM(G4:G77)</f>
        <v>0</v>
      </c>
      <c r="H2" s="7">
        <f>C2-G2</f>
        <v>245991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42246</v>
      </c>
      <c r="D4" s="13">
        <v>45691</v>
      </c>
      <c r="E4" s="13">
        <f>IF(AND(ISNUMBER(C4),ISNUMBER(D4)), C4-D4, "")</f>
        <v>-3445</v>
      </c>
      <c r="F4" s="14">
        <f>IFERROR(E4/D4, "")</f>
        <v>-7.5397780744566767E-2</v>
      </c>
      <c r="G4" s="71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2" ht="43.15">
      <c r="A5" s="30" t="str">
        <v>Joliet - Heritage Trail</v>
      </c>
      <c r="B5" s="31" t="str">
        <v>IL</v>
      </c>
      <c r="C5" s="11">
        <v>22400</v>
      </c>
      <c r="D5" s="18">
        <v>46830</v>
      </c>
      <c r="E5" s="18">
        <f t="shared" ref="E5:E9" si="0">IF(AND(ISNUMBER(C5),ISNUMBER(D5)), C5-D5, "")</f>
        <v>-24430</v>
      </c>
      <c r="F5" s="19">
        <f>IFERROR(E5/D5, "")</f>
        <v>-0.52167414050822125</v>
      </c>
      <c r="G5" s="72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78</v>
      </c>
      <c r="K5" s="59" t="s">
        <v>79</v>
      </c>
    </row>
    <row r="6" spans="1:12" ht="15.6">
      <c r="A6" s="28" t="str">
        <v>Plainfield - Troy</v>
      </c>
      <c r="B6" s="29" t="str">
        <v>IL</v>
      </c>
      <c r="C6" s="24">
        <v>45561</v>
      </c>
      <c r="D6" s="13">
        <v>50180</v>
      </c>
      <c r="E6" s="13">
        <f t="shared" si="0"/>
        <v>-4619</v>
      </c>
      <c r="F6" s="14">
        <f t="shared" ref="F6:F9" si="3">IFERROR(E6/D6, "")</f>
        <v>-9.2048624950179347E-2</v>
      </c>
      <c r="G6" s="71" t="s">
        <v>22</v>
      </c>
      <c r="H6" s="15" t="str">
        <f t="shared" si="1"/>
        <v/>
      </c>
      <c r="I6" s="16" t="str">
        <f t="shared" si="2"/>
        <v/>
      </c>
      <c r="J6" s="50" t="s">
        <v>80</v>
      </c>
      <c r="K6" s="65" t="s">
        <v>81</v>
      </c>
    </row>
    <row r="7" spans="1:12" ht="15.6">
      <c r="A7" s="30" t="str">
        <v>Plainfield - William B Orenic</v>
      </c>
      <c r="B7" s="31" t="str">
        <v>IL</v>
      </c>
      <c r="C7" s="11">
        <v>45169</v>
      </c>
      <c r="D7" s="11">
        <v>46818</v>
      </c>
      <c r="E7" s="18">
        <f t="shared" si="0"/>
        <v>-1649</v>
      </c>
      <c r="F7" s="19">
        <f t="shared" si="3"/>
        <v>-3.5221496005809733E-2</v>
      </c>
      <c r="G7" s="72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2" ht="28.9">
      <c r="A8" s="28" t="str">
        <v>Shorewood - Cronin</v>
      </c>
      <c r="B8" s="29" t="str">
        <v>IL</v>
      </c>
      <c r="C8" s="24">
        <v>50178</v>
      </c>
      <c r="D8" s="13">
        <v>53139</v>
      </c>
      <c r="E8" s="13">
        <f t="shared" si="0"/>
        <v>-2961</v>
      </c>
      <c r="F8" s="14">
        <f t="shared" si="3"/>
        <v>-5.5721786258680066E-2</v>
      </c>
      <c r="G8" s="71" t="s">
        <v>22</v>
      </c>
      <c r="H8" s="15" t="str">
        <f t="shared" si="1"/>
        <v/>
      </c>
      <c r="I8" s="16" t="str">
        <f t="shared" si="2"/>
        <v/>
      </c>
      <c r="J8" s="50" t="s">
        <v>62</v>
      </c>
      <c r="K8" s="65" t="s">
        <v>74</v>
      </c>
      <c r="L8" s="66" t="s">
        <v>75</v>
      </c>
    </row>
    <row r="9" spans="1:12" ht="15.6">
      <c r="A9" s="30" t="str">
        <v>Shorewood - Hofer</v>
      </c>
      <c r="B9" s="31" t="str">
        <v>IL</v>
      </c>
      <c r="C9" s="11">
        <v>40437</v>
      </c>
      <c r="D9" s="11">
        <v>50318</v>
      </c>
      <c r="E9" s="18">
        <f t="shared" si="0"/>
        <v>-9881</v>
      </c>
      <c r="F9" s="19">
        <f t="shared" si="3"/>
        <v>-0.1963710799316348</v>
      </c>
      <c r="G9" s="72" t="s">
        <v>22</v>
      </c>
      <c r="H9" s="20" t="str">
        <f t="shared" si="1"/>
        <v/>
      </c>
      <c r="I9" s="19" t="str">
        <f t="shared" si="2"/>
        <v/>
      </c>
      <c r="J9" s="51" t="s">
        <v>82</v>
      </c>
      <c r="K9" s="59" t="s">
        <v>83</v>
      </c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5" r:id="rId1" display="https://us3.assetplanner.com/service_request?ID=102543" xr:uid="{5805F620-96E3-485C-BD4C-8CE763957A64}"/>
    <hyperlink ref="K6" r:id="rId2" display="https://us3.assetplanner.com/service_request?ID=106730" xr:uid="{D9E54F8E-45B2-4A01-9EAC-8B58B4E5D0F7}"/>
    <hyperlink ref="K8" r:id="rId3" display="https://us3.assetplanner.com/service_request?ID=106362" xr:uid="{FA8206CF-DA54-48F9-92F2-A9ED34F6C884}"/>
    <hyperlink ref="L8" r:id="rId4" display="https://us3.assetplanner.com/service_request?ID=108081" xr:uid="{1D2632CC-1197-4A21-8DA5-921C49E503BE}"/>
    <hyperlink ref="K9" r:id="rId5" display="https://us3.assetplanner.com/service_request?ID=107779" xr:uid="{55F3386C-58EA-488E-80CD-B19803FDDD1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D4" activePane="bottomRight" state="frozen"/>
      <selection pane="bottomRight" activeCell="F21" sqref="F21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84</v>
      </c>
      <c r="E1" s="75"/>
      <c r="F1" s="75"/>
      <c r="G1" s="73" t="s">
        <v>85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53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54"/>
      <c r="D8" s="55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53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86</v>
      </c>
      <c r="E1" s="75"/>
      <c r="F1" s="75"/>
      <c r="G1" s="73" t="s">
        <v>87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56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56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bottomRight" activeCell="D4" sqref="D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Troy School District</v>
      </c>
      <c r="B1" s="74"/>
      <c r="C1" s="74"/>
      <c r="D1" s="75" t="s">
        <v>88</v>
      </c>
      <c r="E1" s="75"/>
      <c r="F1" s="75"/>
      <c r="G1" s="73" t="s">
        <v>89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90</v>
      </c>
      <c r="B1" t="s">
        <v>91</v>
      </c>
    </row>
    <row r="3" spans="1:12" ht="13.15">
      <c r="A3" t="s">
        <v>92</v>
      </c>
      <c r="B3" t="s">
        <v>3</v>
      </c>
      <c r="C3" t="s">
        <v>4</v>
      </c>
      <c r="D3" t="s">
        <v>93</v>
      </c>
      <c r="E3" s="2" t="s">
        <v>94</v>
      </c>
    </row>
    <row r="4" spans="1:12" ht="14.45">
      <c r="A4" s="46" t="s">
        <v>95</v>
      </c>
      <c r="B4" t="s">
        <v>96</v>
      </c>
      <c r="C4" s="43" t="s">
        <v>97</v>
      </c>
      <c r="D4" s="42"/>
      <c r="E4" t="s">
        <v>98</v>
      </c>
      <c r="G4" s="3"/>
    </row>
    <row r="5" spans="1:12" ht="14.45">
      <c r="A5" s="46" t="s">
        <v>99</v>
      </c>
      <c r="B5" t="s">
        <v>100</v>
      </c>
      <c r="C5" s="43" t="s">
        <v>97</v>
      </c>
      <c r="D5" s="42"/>
      <c r="E5" t="s">
        <v>98</v>
      </c>
      <c r="G5" s="3"/>
    </row>
    <row r="6" spans="1:12" ht="14.45">
      <c r="A6" s="46" t="s">
        <v>101</v>
      </c>
      <c r="B6" t="s">
        <v>102</v>
      </c>
      <c r="C6" s="43" t="s">
        <v>97</v>
      </c>
      <c r="D6" s="42"/>
      <c r="E6" t="s">
        <v>98</v>
      </c>
      <c r="G6" s="3"/>
    </row>
    <row r="7" spans="1:12" ht="12.75" customHeight="1">
      <c r="A7" s="46" t="s">
        <v>103</v>
      </c>
      <c r="B7" t="s">
        <v>104</v>
      </c>
      <c r="C7" s="43" t="s">
        <v>97</v>
      </c>
      <c r="D7" s="42"/>
      <c r="E7" t="s">
        <v>98</v>
      </c>
    </row>
    <row r="8" spans="1:12" ht="12.75" customHeight="1">
      <c r="A8" s="46" t="s">
        <v>105</v>
      </c>
      <c r="B8" t="s">
        <v>106</v>
      </c>
      <c r="C8" s="43" t="s">
        <v>97</v>
      </c>
      <c r="D8" s="42"/>
      <c r="E8" t="s">
        <v>98</v>
      </c>
    </row>
    <row r="9" spans="1:12" ht="12.75" customHeight="1">
      <c r="A9" s="46" t="s">
        <v>107</v>
      </c>
      <c r="B9" t="s">
        <v>108</v>
      </c>
      <c r="C9" s="43" t="s">
        <v>97</v>
      </c>
      <c r="D9" s="42"/>
      <c r="E9" t="s">
        <v>98</v>
      </c>
    </row>
    <row r="10" spans="1:12" ht="12.75" customHeight="1">
      <c r="A10" s="46"/>
      <c r="C10" s="43"/>
      <c r="D10" s="42"/>
      <c r="K10" s="41"/>
      <c r="L10" s="41"/>
    </row>
    <row r="11" spans="1:12" ht="12.75" customHeight="1">
      <c r="A11" s="46"/>
      <c r="C11" s="43"/>
      <c r="D11" s="42"/>
      <c r="K11" s="41"/>
      <c r="L11" s="41"/>
    </row>
    <row r="12" spans="1:12" ht="12.75" customHeight="1">
      <c r="A12" s="46"/>
      <c r="C12" s="43"/>
      <c r="D12" s="42"/>
      <c r="K12" s="41"/>
      <c r="L12" s="41"/>
    </row>
    <row r="13" spans="1:12" ht="12.75" customHeight="1">
      <c r="A13" s="46"/>
      <c r="C13" s="43"/>
      <c r="D13" s="42"/>
      <c r="K13" s="41"/>
      <c r="L13" s="41"/>
    </row>
    <row r="14" spans="1:12" ht="12.75" customHeight="1">
      <c r="A14" s="46"/>
      <c r="C14" s="43"/>
      <c r="D14" s="42"/>
      <c r="K14" s="41"/>
      <c r="L14" s="41"/>
    </row>
    <row r="15" spans="1:12" ht="12.75" customHeight="1">
      <c r="A15" s="46"/>
      <c r="C15" s="43"/>
      <c r="D15" s="42"/>
      <c r="K15" s="41"/>
      <c r="L15" s="41"/>
    </row>
    <row r="16" spans="1:12" ht="12.75" customHeight="1">
      <c r="A16" s="46"/>
      <c r="C16" s="43"/>
      <c r="D16" s="42"/>
      <c r="K16" s="41"/>
      <c r="L16" s="41"/>
    </row>
    <row r="17" spans="1:12" ht="12.75" customHeight="1">
      <c r="A17" s="46"/>
      <c r="C17" s="43"/>
      <c r="D17" s="42"/>
      <c r="K17" s="41"/>
      <c r="L17" s="41"/>
    </row>
    <row r="18" spans="1:12" ht="12.75" customHeight="1">
      <c r="A18" s="46"/>
      <c r="C18" s="43"/>
      <c r="D18" s="42"/>
      <c r="K18" s="41"/>
      <c r="L18" s="41"/>
    </row>
    <row r="19" spans="1:12" ht="12.75" customHeight="1">
      <c r="A19" s="46"/>
      <c r="C19" s="43"/>
      <c r="D19" s="42"/>
      <c r="K19" s="41"/>
      <c r="L19" s="41"/>
    </row>
    <row r="20" spans="1:12" ht="12.75" customHeight="1">
      <c r="A20" s="46"/>
      <c r="C20" s="43"/>
      <c r="D20" s="42"/>
      <c r="K20" s="41"/>
      <c r="L20" s="41"/>
    </row>
    <row r="21" spans="1:12" ht="12.75" customHeight="1">
      <c r="A21" s="46"/>
      <c r="C21" s="43"/>
      <c r="D21" s="42"/>
      <c r="K21" s="41"/>
      <c r="L21" s="41"/>
    </row>
    <row r="22" spans="1:12" ht="12.75" customHeight="1">
      <c r="A22" s="46"/>
      <c r="C22" s="43"/>
      <c r="D22" s="42"/>
      <c r="K22" s="41"/>
      <c r="L22" s="41"/>
    </row>
    <row r="23" spans="1:12" ht="12.75" customHeight="1">
      <c r="A23" s="46"/>
      <c r="C23" s="43"/>
      <c r="D23" s="42"/>
      <c r="K23" s="41"/>
      <c r="L23" s="41"/>
    </row>
    <row r="24" spans="1:12" ht="12.75" customHeight="1">
      <c r="A24" s="46"/>
      <c r="C24" s="43"/>
      <c r="D24" s="42"/>
      <c r="K24" s="41"/>
      <c r="L24" s="41"/>
    </row>
    <row r="25" spans="1:12" ht="12.75" customHeight="1">
      <c r="A25" s="46"/>
      <c r="C25" s="43"/>
      <c r="D25" s="42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4A046526-4F0E-4B43-B48F-4D7C52A07D5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2025-10-15T20:25:31Z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