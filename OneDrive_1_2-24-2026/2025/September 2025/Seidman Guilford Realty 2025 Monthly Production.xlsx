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C7932C3-FB08-4497-B5EF-B7331A3E22AC}" xr6:coauthVersionLast="47" xr6:coauthVersionMax="47" xr10:uidLastSave="{00000000-0000-0000-0000-000000000000}"/>
  <bookViews>
    <workbookView xWindow="-108" yWindow="-108" windowWidth="23256" windowHeight="12456" tabRatio="866" firstSheet="9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7" l="1"/>
  <c r="G4" i="29" s="1"/>
  <c r="B4" i="26" a="1"/>
  <c r="B4" i="26" s="1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/>
  <c r="A4" i="4" a="1"/>
  <c r="A4" i="4" s="1"/>
  <c r="B4" i="3" a="1"/>
  <c r="B4" i="3"/>
  <c r="A4" i="3" a="1"/>
  <c r="A4" i="3" s="1"/>
  <c r="B4" i="27" a="1"/>
  <c r="B4" i="27" s="1"/>
  <c r="A4" i="27" a="1"/>
  <c r="A4" i="27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2" i="1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C2" i="29" s="1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/>
  <c r="A1" i="18" a="1"/>
  <c r="A1" i="18" s="1"/>
  <c r="D4" i="1"/>
  <c r="D2" i="1" s="1"/>
  <c r="B4" i="1" a="1"/>
  <c r="B4" i="1" s="1"/>
  <c r="A4" i="1" a="1"/>
  <c r="A4" i="1" s="1"/>
  <c r="A1" i="1" a="1"/>
  <c r="A1" i="1" s="1"/>
  <c r="H4" i="33"/>
  <c r="I4" i="33"/>
  <c r="E4" i="33"/>
  <c r="F4" i="33" s="1"/>
  <c r="G2" i="33"/>
  <c r="D2" i="33"/>
  <c r="C2" i="33"/>
  <c r="H2" i="33" s="1"/>
  <c r="I2" i="33" s="1"/>
  <c r="A1" i="33" a="1"/>
  <c r="A1" i="33" s="1"/>
  <c r="H4" i="32"/>
  <c r="I4" i="32"/>
  <c r="E4" i="32"/>
  <c r="F4" i="32" s="1"/>
  <c r="G2" i="32"/>
  <c r="D2" i="32"/>
  <c r="C2" i="32"/>
  <c r="E2" i="32" s="1"/>
  <c r="F2" i="32" s="1"/>
  <c r="A1" i="32" a="1"/>
  <c r="A1" i="32" s="1"/>
  <c r="H4" i="31"/>
  <c r="I4" i="31"/>
  <c r="E4" i="31"/>
  <c r="F4" i="31" s="1"/>
  <c r="G2" i="31"/>
  <c r="D2" i="31"/>
  <c r="C2" i="31"/>
  <c r="J2" i="31" s="1"/>
  <c r="A1" i="31" a="1"/>
  <c r="A1" i="31" s="1"/>
  <c r="H4" i="28"/>
  <c r="I4" i="28" s="1"/>
  <c r="E4" i="28"/>
  <c r="F4" i="28"/>
  <c r="B4" i="28" a="1"/>
  <c r="B4" i="28" s="1"/>
  <c r="A4" i="28" a="1"/>
  <c r="A4" i="28"/>
  <c r="G2" i="28"/>
  <c r="D2" i="28"/>
  <c r="C2" i="28"/>
  <c r="E2" i="28" s="1"/>
  <c r="F2" i="28" s="1"/>
  <c r="A1" i="28" a="1"/>
  <c r="A1" i="28" s="1"/>
  <c r="E4" i="27"/>
  <c r="F4" i="27" s="1"/>
  <c r="G2" i="27"/>
  <c r="D2" i="27"/>
  <c r="C2" i="27"/>
  <c r="J2" i="27" s="1"/>
  <c r="A1" i="27" a="1"/>
  <c r="A1" i="27"/>
  <c r="H4" i="26"/>
  <c r="H4" i="29" s="1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 s="1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 s="1"/>
  <c r="G2" i="3"/>
  <c r="D2" i="3"/>
  <c r="C2" i="3"/>
  <c r="J2" i="3"/>
  <c r="A1" i="3" a="1"/>
  <c r="A1" i="3" s="1"/>
  <c r="H4" i="72"/>
  <c r="I4" i="72"/>
  <c r="G2" i="72"/>
  <c r="D2" i="72"/>
  <c r="C2" i="72"/>
  <c r="J2" i="72"/>
  <c r="A1" i="72" a="1"/>
  <c r="A1" i="72" s="1"/>
  <c r="D2" i="30"/>
  <c r="I4" i="26" l="1"/>
  <c r="I4" i="27"/>
  <c r="E2" i="3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<sst xmlns="http://schemas.openxmlformats.org/spreadsheetml/2006/main" count="246" uniqueCount="57">
  <si>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</si>
  <si>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</si>
  <si>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</si>
  <si>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</si>
  <si>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</si>
  <si>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</si>
  <si>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</si>
  <si>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</si>
  <si>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</si>
  <si>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</si>
  <si>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</si>
  <si>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</si>
  <si>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</si>
  <si>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</si>
  <si>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</si>
  <si>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</si>
  <si>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</si>
  <si>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</si>
  <si>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</si>
  <si>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</si>
  <si>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</si>
  <si>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</si>
  <si>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</si>
  <si>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</si>
  <si>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</si>
  <si>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</si>
  <si>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</si>
  <si>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</si>
  <si>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</si>
  <si>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</si>
  <si>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</si>
  <si>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</si>
  <si>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</si>
  <si>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</si>
  <si>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not communicated for whole month.</t>
  </si>
  <si>
    <t>1. SR104767</t>
  </si>
  <si>
    <t>August Actual v. Expected</t>
  </si>
  <si>
    <t>August Actual v. Forecasted</t>
  </si>
  <si>
    <t>September Actual v. Expected</t>
  </si>
  <si>
    <t>September Actual v. Forecasted</t>
  </si>
  <si>
    <t>N/A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</si>
  <si>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</si>
  <si>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</si>
  <si>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</si>
  <si>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</si>
  <si>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</si>
  <si>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</si>
  <si>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</si>
  <si>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Seidman Guilford Realty</t>
  </si>
  <si>
    <t>Site DAS Name</t>
  </si>
  <si>
    <t>Update</t>
  </si>
  <si>
    <t>DAS</t>
  </si>
  <si>
    <t>CT: Guilford - Seidman Guilford Realty</t>
  </si>
  <si>
    <t>CT</t>
  </si>
  <si>
    <t>AF</t>
  </si>
  <si>
    <t>PoweTrack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</si>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</sst>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5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2" dataCellStyle="Normal 2"/>
    <tableColumn id="1" xr3:uid="{9A753695-C18C-437C-AD9C-C2CE5C1A806E}" name="Site" dataDxfId="41" dataCellStyle="Normal 2"/>
    <tableColumn id="2" xr3:uid="{250F229D-34D2-4043-BE8F-6D9C210E223F}" name="State" dataDxfId="4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476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H21" sqref="H2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SUM('1st Qtr'!C4, '2nd Qtr'!C4, '3rd Qtr'!C4, '4th Qtr'!C4)</f>
        <v>35800.932000000001</v>
      </c>
      <c r="D4" s="12">
        <f>SUM('1st Qtr'!D4, '2nd Qtr'!D4, '3rd Qtr'!D4, '4th Qtr'!D4)</f>
        <v>0</v>
      </c>
      <c r="E4" s="12">
        <f>IF(AND(ISNUMBER(C4),ISNUMBER(D4)), C4-D4, "")</f>
        <v>35800.932000000001</v>
      </c>
      <c r="F4" s="13" t="str">
        <f>IFERROR(E4/D4, "")</f>
        <v/>
      </c>
      <c r="G4" s="14">
        <f>SUM('1st Qtr'!G4, '2nd Qtr'!G4, '3rd Qtr'!G4, '4th Qtr'!G4)</f>
        <v>28613.159</v>
      </c>
      <c r="H4" s="14">
        <f>SUM('1st Qtr'!H4, '2nd Qtr'!H4, '3rd Qtr'!H4, '4th Qtr'!H4)</f>
        <v>7187.773000000001</v>
      </c>
      <c r="I4" s="15">
        <f>IFERROR(H4/G4, "")</f>
        <v>0.25120515354491274</v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O39" sqref="O3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" x14ac:dyDescent="0.3">
      <c r="A5" s="20"/>
      <c r="B5" s="1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O11" sqref="O1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D5" sqref="D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SUM(Jul!C4, Aug!C4, Sep!C4)</f>
        <v>35800.932000000001</v>
      </c>
      <c r="D4" s="12">
        <f>SUM(Jul!D4, Aug!D4, Sep!D4)</f>
        <v>0</v>
      </c>
      <c r="E4" s="12">
        <f>IF(AND(ISNUMBER(C4),ISNUMBER(D4)), C4-D4, "")</f>
        <v>35800.932000000001</v>
      </c>
      <c r="F4" s="13" t="str">
        <f>IFERROR(E4/D4, "")</f>
        <v/>
      </c>
      <c r="G4" s="14">
        <f>SUM(Jul!G4,Aug!H4,Sep!G4)</f>
        <v>28613.159</v>
      </c>
      <c r="H4" s="14">
        <f>SUM(Jul!H4, Aug!H4, Sep!H4)</f>
        <v>7187.773000000001</v>
      </c>
      <c r="I4" s="15">
        <f>IFERROR(H4/G4, "")</f>
        <v>0.25120515354491274</v>
      </c>
    </row>
    <row r="5" spans="1:9" ht="15.6" x14ac:dyDescent="0.3">
      <c r="A5" s="16"/>
      <c r="B5" s="20"/>
      <c r="C5" s="20"/>
      <c r="D5" s="20"/>
      <c r="E5" s="20"/>
      <c r="F5" s="20"/>
      <c r="G5" s="20"/>
      <c r="H5" s="20"/>
      <c r="I5" s="20"/>
    </row>
    <row r="6" spans="1:9" ht="15.6" x14ac:dyDescent="0.3">
      <c r="A6" s="16"/>
      <c r="B6" s="20"/>
      <c r="C6" s="20"/>
      <c r="D6" s="20"/>
      <c r="E6" s="20"/>
      <c r="F6" s="20"/>
      <c r="G6" s="20"/>
      <c r="H6" s="20"/>
      <c r="I6" s="20"/>
    </row>
    <row r="7" spans="1:9" ht="15.6" x14ac:dyDescent="0.3">
      <c r="A7" s="16"/>
      <c r="B7" s="20"/>
      <c r="C7" s="20"/>
      <c r="D7" s="20"/>
      <c r="E7" s="20"/>
      <c r="F7" s="20"/>
      <c r="G7" s="20"/>
      <c r="H7" s="20"/>
      <c r="I7" s="20"/>
    </row>
    <row r="8" spans="1:9" ht="15.6" x14ac:dyDescent="0.3">
      <c r="A8" s="16"/>
      <c r="B8" s="20"/>
      <c r="C8" s="20"/>
      <c r="D8" s="20"/>
      <c r="E8" s="20"/>
      <c r="F8" s="20"/>
      <c r="G8" s="20"/>
      <c r="H8" s="20"/>
      <c r="I8" s="20"/>
    </row>
    <row r="9" spans="1:9" ht="15.6" x14ac:dyDescent="0.3">
      <c r="A9" s="16"/>
      <c r="B9" s="20"/>
      <c r="C9" s="20"/>
      <c r="D9" s="20"/>
      <c r="E9" s="20"/>
      <c r="F9" s="20"/>
      <c r="G9" s="20"/>
      <c r="H9" s="20"/>
      <c r="I9" s="20"/>
    </row>
    <row r="10" spans="1:9" ht="15.6" x14ac:dyDescent="0.3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Seidman Guilford Realty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 x14ac:dyDescent="0.25">
      <c r="A5" s="16"/>
      <c r="B5" s="10"/>
      <c r="C5" s="40"/>
      <c r="D5" s="17"/>
      <c r="E5" s="17"/>
      <c r="F5" s="18"/>
      <c r="G5" s="19"/>
      <c r="H5" s="19"/>
      <c r="I5" s="18"/>
    </row>
    <row r="6" spans="1:9" ht="14.4" x14ac:dyDescent="0.3">
      <c r="A6" s="20"/>
      <c r="B6" s="10"/>
      <c r="C6" s="40"/>
      <c r="D6" s="17"/>
      <c r="E6" s="17"/>
      <c r="F6" s="18"/>
      <c r="G6" s="19"/>
      <c r="H6" s="19"/>
      <c r="I6" s="18"/>
    </row>
    <row r="7" spans="1:9" ht="14.4" x14ac:dyDescent="0.3">
      <c r="A7" s="20"/>
      <c r="B7" s="10"/>
      <c r="C7" s="40"/>
      <c r="D7" s="17"/>
      <c r="E7" s="17"/>
      <c r="F7" s="18"/>
      <c r="G7" s="19"/>
      <c r="H7" s="19"/>
      <c r="I7" s="18"/>
    </row>
    <row r="8" spans="1:9" ht="14.4" x14ac:dyDescent="0.3">
      <c r="A8" s="20"/>
      <c r="B8" s="10"/>
      <c r="C8" s="40"/>
      <c r="D8" s="17"/>
      <c r="E8" s="17"/>
      <c r="F8" s="18"/>
      <c r="G8" s="19"/>
      <c r="H8" s="19"/>
      <c r="I8" s="18"/>
    </row>
    <row r="9" spans="1:9" ht="14.4" x14ac:dyDescent="0.3">
      <c r="A9" s="20"/>
      <c r="B9" s="10"/>
      <c r="C9" s="40"/>
      <c r="D9" s="17"/>
      <c r="E9" s="17"/>
      <c r="F9" s="18"/>
      <c r="G9" s="19"/>
      <c r="H9" s="19"/>
      <c r="I9" s="18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 x14ac:dyDescent="0.25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conditionalFormatting sqref="F4:F78 I4:I78">
    <cfRule type="cellIs" dxfId="27" priority="1" stopIfTrue="1" operator="lessThanOrEqual">
      <formula>-0.1</formula>
    </cfRule>
    <cfRule type="expression" dxfId="26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6" ht="19.5" customHeight="1" x14ac:dyDescent="0.25">
      <c r="A1" s="60" t="str" cm="1">
        <f t="array" ref="A1">portfolio</f>
        <v>Seidman Guilford Realty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4"/>
      <c r="K1" s="4"/>
    </row>
    <row r="2" spans="1:16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G8" sqref="G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5" ht="19.5" customHeight="1" x14ac:dyDescent="0.25">
      <c r="A1" s="60" t="str" cm="1">
        <f t="array" ref="A1">portfolio</f>
        <v>Seidman Guilford Realty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5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4" ht="19.5" customHeight="1" x14ac:dyDescent="0.25">
      <c r="A1" s="60" t="str" cm="1">
        <f t="array" ref="A1">portfolio</f>
        <v>Seidman Guilford Realty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4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topRight" activeCell="P4" activeCellId="10" sqref="H17 C4 D4 G4 J4 K4 L4 N4 M4 O4 P4"/>
      <selection pane="bottomLeft" activeCell="P4" activeCellId="10" sqref="H17 C4 D4 G4 J4 K4 L4 N4 M4 O4 P4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3" ht="19.5" customHeight="1" x14ac:dyDescent="0.25">
      <c r="A1" s="60" t="str" cm="1">
        <f t="array" ref="A1">portfolio</f>
        <v>Seidman Guilford Realty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3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I19" sqref="I19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3.88671875" customWidth="1"/>
    <col min="11" max="11" width="20.5546875" bestFit="1" customWidth="1"/>
    <col min="12" max="16" width="8.88671875" style="56"/>
  </cols>
  <sheetData>
    <row r="1" spans="1:16" ht="19.5" customHeight="1" x14ac:dyDescent="0.25">
      <c r="A1" s="60" t="str" cm="1">
        <f t="array" ref="A1">portfolio</f>
        <v>Seidman Guilford Realty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6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E4" activePane="bottomRight" state="frozen"/>
      <selection pane="topRight" activeCell="F13" sqref="F13"/>
      <selection pane="bottomLeft" activeCell="F13" sqref="F13"/>
      <selection pane="bottomRight" activeCell="J16" sqref="J1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60" t="str" cm="1">
        <f t="array" ref="A1">portfolio</f>
        <v>Seidman Guilford Realty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4"/>
      <c r="K1" s="4"/>
    </row>
    <row r="2" spans="1:12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6.25" customHeight="1" x14ac:dyDescent="0.25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36" t="s">
        <v>35</v>
      </c>
      <c r="L4" s="54"/>
    </row>
    <row r="5" spans="1:12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K8" sqref="K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SUM(G5:G79)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53" t="s">
        <v>35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5" stopIfTrue="1" operator="lessThanOrEqual">
      <formula>-0.1</formula>
    </cfRule>
    <cfRule type="expression" dxfId="12" priority="6">
      <formula>AND(ISNUMBER(F2), F2&gt;=0.1)</formula>
    </cfRule>
  </conditionalFormatting>
  <conditionalFormatting sqref="G5">
    <cfRule type="cellIs" dxfId="11" priority="1" stopIfTrue="1" operator="lessThanOrEqual">
      <formula>-0.1</formula>
    </cfRule>
    <cfRule type="expression" dxfId="10" priority="2">
      <formula>AND(ISNUMBER(G5), G5&gt;=0.1)</formula>
    </cfRule>
  </conditionalFormatting>
  <hyperlinks>
    <hyperlink ref="K4" r:id="rId1" display="https://us3.assetplanner.com/service_request?ID=104767" xr:uid="{FE0D7DA8-5762-41D3-B6CD-1949880EAE5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tabSelected="1" workbookViewId="0">
      <pane xSplit="2" ySplit="3" topLeftCell="D4" activePane="bottomRight" state="frozen"/>
      <selection pane="topRight" activeCell="F13" sqref="F13"/>
      <selection pane="bottomLeft" activeCell="F13" sqref="F13"/>
      <selection pane="bottomRight" activeCell="I18" sqref="I1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35800.932000000001</v>
      </c>
      <c r="D4" s="12" t="s">
        <v>40</v>
      </c>
      <c r="E4" s="12" t="str">
        <f>IF(AND(ISNUMBER(C4),ISNUMBER(D4)), C4-D4, "")</f>
        <v/>
      </c>
      <c r="F4" s="13" t="str">
        <f>IFERROR(E4/D4, "")</f>
        <v/>
      </c>
      <c r="G4" s="14">
        <v>28613.159</v>
      </c>
      <c r="H4" s="14">
        <f>IF(AND(ISNUMBER(C4),ISNUMBER(G4)), C4-G4, "")</f>
        <v>7187.773000000001</v>
      </c>
      <c r="I4" s="15">
        <f>IFERROR(H4/G4, "")</f>
        <v>0.25120515354491274</v>
      </c>
      <c r="J4" s="36" t="s">
        <v>56</v>
      </c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41</v>
      </c>
      <c r="E1" s="61"/>
      <c r="F1" s="61"/>
      <c r="G1" s="59" t="s">
        <v>42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7" priority="5" stopIfTrue="1" operator="lessThanOrEqual">
      <formula>-0.1</formula>
    </cfRule>
    <cfRule type="expression" dxfId="6" priority="6">
      <formula>AND(ISNUMBER(F2), F2&gt;=0.1)</formula>
    </cfRule>
  </conditionalFormatting>
  <conditionalFormatting sqref="F4:F79 I4:I79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43</v>
      </c>
      <c r="E1" s="61"/>
      <c r="F1" s="61"/>
      <c r="G1" s="59" t="s">
        <v>44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topRight" activeCell="F13" sqref="F13"/>
      <selection pane="bottomLeft" activeCell="F13" sqref="F13"/>
      <selection pane="bottomRight" activeCell="F13" sqref="F13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Seidman Guilford Realty</v>
      </c>
      <c r="B1" s="60"/>
      <c r="C1" s="60"/>
      <c r="D1" s="61" t="s">
        <v>45</v>
      </c>
      <c r="E1" s="61"/>
      <c r="F1" s="61"/>
      <c r="G1" s="59" t="s">
        <v>46</v>
      </c>
      <c r="H1" s="59"/>
      <c r="I1" s="59"/>
      <c r="J1" s="4"/>
      <c r="K1" s="4"/>
    </row>
    <row r="2" spans="1:11" ht="19.5" customHeight="1" x14ac:dyDescent="0.25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3" sqref="B13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47</v>
      </c>
      <c r="B1" t="s">
        <v>48</v>
      </c>
    </row>
    <row r="3" spans="1:12" ht="13.2" x14ac:dyDescent="0.2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" x14ac:dyDescent="0.3">
      <c r="A4" s="44" t="s">
        <v>48</v>
      </c>
      <c r="B4" t="s">
        <v>52</v>
      </c>
      <c r="C4" s="42" t="s">
        <v>53</v>
      </c>
      <c r="D4" s="41" t="s">
        <v>54</v>
      </c>
      <c r="E4" t="s">
        <v>55</v>
      </c>
      <c r="G4" s="3"/>
    </row>
    <row r="5" spans="1:12" ht="14.4" x14ac:dyDescent="0.3">
      <c r="A5" s="44"/>
      <c r="C5" s="42"/>
      <c r="D5" s="41"/>
      <c r="G5" s="3"/>
    </row>
    <row r="6" spans="1:12" ht="14.4" x14ac:dyDescent="0.3">
      <c r="A6" s="44"/>
      <c r="C6" s="42"/>
      <c r="D6" s="41"/>
      <c r="G6" s="3"/>
    </row>
    <row r="7" spans="1:12" ht="12.75" customHeight="1" x14ac:dyDescent="0.25">
      <c r="A7" s="44"/>
      <c r="C7" s="42"/>
      <c r="D7" s="41"/>
    </row>
    <row r="8" spans="1:12" ht="12.75" customHeight="1" x14ac:dyDescent="0.25">
      <c r="A8" s="44"/>
      <c r="C8" s="42"/>
      <c r="D8" s="41"/>
    </row>
    <row r="9" spans="1:12" ht="12.75" customHeight="1" x14ac:dyDescent="0.25">
      <c r="A9" s="44"/>
      <c r="C9" s="42"/>
      <c r="D9" s="41"/>
    </row>
    <row r="10" spans="1:12" ht="12.75" customHeight="1" x14ac:dyDescent="0.25">
      <c r="A10" s="44"/>
      <c r="C10" s="42"/>
      <c r="D10" s="41"/>
      <c r="K10" s="38"/>
      <c r="L10" s="38"/>
    </row>
    <row r="11" spans="1:12" ht="12.75" customHeight="1" x14ac:dyDescent="0.25">
      <c r="A11" s="44"/>
      <c r="C11" s="42"/>
      <c r="D11" s="41"/>
      <c r="K11" s="38"/>
      <c r="L11" s="38"/>
    </row>
    <row r="12" spans="1:12" ht="12.75" customHeight="1" x14ac:dyDescent="0.25">
      <c r="A12" s="44"/>
      <c r="C12" s="42"/>
      <c r="D12" s="41"/>
      <c r="K12" s="38"/>
      <c r="L12" s="38"/>
    </row>
    <row r="13" spans="1:12" ht="12.75" customHeight="1" x14ac:dyDescent="0.25">
      <c r="A13" s="44"/>
      <c r="C13" s="42"/>
      <c r="D13" s="41"/>
      <c r="K13" s="38"/>
      <c r="L13" s="38"/>
    </row>
    <row r="14" spans="1:12" ht="12.75" customHeight="1" x14ac:dyDescent="0.25">
      <c r="A14" s="44"/>
      <c r="C14" s="42"/>
      <c r="D14" s="41"/>
      <c r="K14" s="38"/>
      <c r="L14" s="38"/>
    </row>
    <row r="15" spans="1:12" ht="12.75" customHeight="1" x14ac:dyDescent="0.25">
      <c r="A15" s="44"/>
      <c r="C15" s="42"/>
      <c r="D15" s="41"/>
      <c r="K15" s="38"/>
      <c r="L15" s="38"/>
    </row>
    <row r="16" spans="1:12" ht="12.75" customHeight="1" x14ac:dyDescent="0.25">
      <c r="A16" s="44"/>
      <c r="C16" s="42"/>
      <c r="D16" s="41"/>
      <c r="K16" s="38"/>
      <c r="L16" s="38"/>
    </row>
    <row r="17" spans="1:12" ht="12.75" customHeight="1" x14ac:dyDescent="0.25">
      <c r="A17" s="44"/>
      <c r="C17" s="42"/>
      <c r="D17" s="41"/>
      <c r="K17" s="38"/>
      <c r="L17" s="38"/>
    </row>
    <row r="18" spans="1:12" ht="12.75" customHeight="1" x14ac:dyDescent="0.25">
      <c r="A18" s="44"/>
      <c r="C18" s="42"/>
      <c r="D18" s="41"/>
      <c r="K18" s="38"/>
      <c r="L18" s="38"/>
    </row>
    <row r="19" spans="1:12" ht="12.75" customHeight="1" x14ac:dyDescent="0.25">
      <c r="A19" s="44"/>
      <c r="C19" s="42"/>
      <c r="D19" s="41"/>
      <c r="K19" s="38"/>
      <c r="L19" s="38"/>
    </row>
    <row r="20" spans="1:12" ht="12.75" customHeight="1" x14ac:dyDescent="0.25">
      <c r="A20" s="44"/>
      <c r="C20" s="42"/>
      <c r="D20" s="41"/>
      <c r="K20" s="38"/>
      <c r="L20" s="38"/>
    </row>
    <row r="21" spans="1:12" ht="12.75" customHeight="1" x14ac:dyDescent="0.25">
      <c r="A21" s="44"/>
      <c r="C21" s="42"/>
      <c r="D21" s="41"/>
      <c r="K21" s="38"/>
      <c r="L21" s="38"/>
    </row>
    <row r="22" spans="1:12" ht="12.75" customHeight="1" x14ac:dyDescent="0.25">
      <c r="A22" s="44"/>
      <c r="C22" s="42"/>
      <c r="D22" s="41"/>
      <c r="K22" s="38"/>
      <c r="L22" s="38"/>
    </row>
    <row r="23" spans="1:12" ht="12.75" customHeight="1" x14ac:dyDescent="0.25">
      <c r="A23" s="44"/>
      <c r="C23" s="42"/>
      <c r="D23" s="41"/>
      <c r="K23" s="38"/>
      <c r="L23" s="38"/>
    </row>
    <row r="24" spans="1:12" ht="12.75" customHeight="1" x14ac:dyDescent="0.25">
      <c r="A24" s="44"/>
      <c r="C24" s="42"/>
      <c r="D24" s="41"/>
      <c r="K24" s="38"/>
      <c r="L24" s="38"/>
    </row>
    <row r="25" spans="1:12" ht="12.75" customHeight="1" x14ac:dyDescent="0.25">
      <c r="A25" s="44"/>
      <c r="C25" s="42"/>
      <c r="D25" s="41"/>
      <c r="K25" s="38"/>
      <c r="L25" s="38"/>
    </row>
    <row r="26" spans="1:12" ht="12.75" customHeight="1" x14ac:dyDescent="0.25">
      <c r="K26" s="38"/>
      <c r="L26" s="38"/>
    </row>
    <row r="27" spans="1:12" ht="12.75" customHeight="1" x14ac:dyDescent="0.25">
      <c r="K27" s="38"/>
      <c r="L27" s="38"/>
    </row>
    <row r="28" spans="1:12" ht="12.75" customHeight="1" x14ac:dyDescent="0.25">
      <c r="K28" s="38"/>
      <c r="L28" s="38"/>
    </row>
    <row r="29" spans="1:12" ht="12.75" customHeight="1" x14ac:dyDescent="0.25">
      <c r="K29" s="38"/>
      <c r="L29" s="38"/>
    </row>
    <row r="30" spans="1:12" ht="12.75" customHeight="1" x14ac:dyDescent="0.25">
      <c r="K30" s="38"/>
      <c r="L30" s="38"/>
    </row>
    <row r="31" spans="1:12" ht="12.75" customHeight="1" x14ac:dyDescent="0.2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8BA0CC8B-6A71-4B6F-8F56-82CC4846B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2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4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5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6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7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8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9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20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2025-10-10T12:31:33Z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