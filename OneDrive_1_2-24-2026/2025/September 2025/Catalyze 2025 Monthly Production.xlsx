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0F37CDB8-2355-4A69-B7EB-72451B84C11A}" xr6:coauthVersionLast="47" xr6:coauthVersionMax="47" xr10:uidLastSave="{00000000-0000-0000-0000-000000000000}"/>
  <bookViews>
    <workbookView xWindow="-108" yWindow="-108" windowWidth="23256" windowHeight="12456" tabRatio="866"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9" l="1"/>
  <c r="E26" i="29" s="1"/>
  <c r="F26" i="29" s="1"/>
  <c r="D26" i="29"/>
  <c r="G26" i="29"/>
  <c r="G26" i="34" s="1"/>
  <c r="H26" i="29"/>
  <c r="I26" i="29" s="1"/>
  <c r="C27" i="29"/>
  <c r="E27" i="29" s="1"/>
  <c r="F27" i="29" s="1"/>
  <c r="D27" i="29"/>
  <c r="G27" i="29"/>
  <c r="H27" i="29"/>
  <c r="I27" i="29"/>
  <c r="C24" i="29"/>
  <c r="C26" i="18"/>
  <c r="E26" i="18" s="1"/>
  <c r="F26" i="18" s="1"/>
  <c r="D26" i="18"/>
  <c r="D26" i="34" s="1"/>
  <c r="G26" i="18"/>
  <c r="H26" i="18"/>
  <c r="I26" i="18" s="1"/>
  <c r="C27" i="18"/>
  <c r="D27" i="18"/>
  <c r="E27" i="18" s="1"/>
  <c r="F27" i="18" s="1"/>
  <c r="G27" i="18"/>
  <c r="G27" i="34" s="1"/>
  <c r="H27" i="18"/>
  <c r="I27" i="18"/>
  <c r="C26" i="1"/>
  <c r="D26" i="1"/>
  <c r="E26" i="1"/>
  <c r="F26" i="1" s="1"/>
  <c r="G26" i="1"/>
  <c r="H26" i="1"/>
  <c r="I26" i="1"/>
  <c r="C27" i="1"/>
  <c r="D27" i="1"/>
  <c r="F27" i="1" s="1"/>
  <c r="E27" i="1"/>
  <c r="G27" i="1"/>
  <c r="H27" i="1"/>
  <c r="I27" i="1" s="1"/>
  <c r="C26" i="34"/>
  <c r="H26" i="34"/>
  <c r="D27" i="34"/>
  <c r="H5" i="28"/>
  <c r="E26" i="28"/>
  <c r="F26" i="28"/>
  <c r="H26" i="28"/>
  <c r="I26" i="28"/>
  <c r="E27" i="28"/>
  <c r="F27" i="28"/>
  <c r="H27" i="28"/>
  <c r="I27" i="28"/>
  <c r="I20" i="28"/>
  <c r="I21" i="28"/>
  <c r="I23" i="28"/>
  <c r="I24" i="28"/>
  <c r="I25" i="28"/>
  <c r="H20" i="28"/>
  <c r="H21" i="28"/>
  <c r="H22" i="28"/>
  <c r="I22" i="28" s="1"/>
  <c r="H23" i="28"/>
  <c r="H24" i="28"/>
  <c r="H25" i="28"/>
  <c r="F20" i="28"/>
  <c r="F21" i="28"/>
  <c r="F23" i="28"/>
  <c r="F24" i="28"/>
  <c r="F25" i="28"/>
  <c r="E20" i="28"/>
  <c r="E21" i="28"/>
  <c r="E22" i="28"/>
  <c r="F22" i="28" s="1"/>
  <c r="E23" i="28"/>
  <c r="E24" i="28"/>
  <c r="E25" i="28"/>
  <c r="I20" i="30"/>
  <c r="I21" i="30"/>
  <c r="I22" i="30"/>
  <c r="I23" i="30"/>
  <c r="I24" i="30"/>
  <c r="I25" i="30"/>
  <c r="F20" i="30"/>
  <c r="F21" i="30"/>
  <c r="F22" i="30"/>
  <c r="F23" i="30"/>
  <c r="F24" i="30"/>
  <c r="F25" i="30"/>
  <c r="C22" i="1"/>
  <c r="D22" i="1"/>
  <c r="E22" i="1"/>
  <c r="F22" i="1"/>
  <c r="G22" i="1"/>
  <c r="I22" i="1" s="1"/>
  <c r="H22" i="1"/>
  <c r="C23" i="1"/>
  <c r="D23" i="1"/>
  <c r="F23" i="1" s="1"/>
  <c r="E23" i="1"/>
  <c r="G23" i="1"/>
  <c r="H23" i="1"/>
  <c r="I23" i="1" s="1"/>
  <c r="C24" i="1"/>
  <c r="D24" i="1"/>
  <c r="E24" i="1"/>
  <c r="F24" i="1" s="1"/>
  <c r="G24" i="1"/>
  <c r="H24" i="1"/>
  <c r="I24" i="1"/>
  <c r="C25" i="1"/>
  <c r="D25" i="1"/>
  <c r="E25" i="1"/>
  <c r="F25" i="1"/>
  <c r="G25" i="1"/>
  <c r="H25" i="1"/>
  <c r="I25" i="1"/>
  <c r="C22" i="30"/>
  <c r="D22" i="30"/>
  <c r="E22" i="30"/>
  <c r="G22" i="30"/>
  <c r="H22" i="30"/>
  <c r="C23" i="30"/>
  <c r="E23" i="30" s="1"/>
  <c r="D23" i="30"/>
  <c r="G23" i="30"/>
  <c r="H23" i="30"/>
  <c r="C24" i="30"/>
  <c r="D24" i="30"/>
  <c r="E24" i="30"/>
  <c r="G24" i="30"/>
  <c r="H24" i="30"/>
  <c r="C25" i="30"/>
  <c r="D25" i="30"/>
  <c r="E25" i="30"/>
  <c r="G25" i="30"/>
  <c r="H25" i="30"/>
  <c r="C23" i="29"/>
  <c r="D23" i="29"/>
  <c r="G23" i="29"/>
  <c r="H23" i="29"/>
  <c r="D24" i="29"/>
  <c r="G24" i="29"/>
  <c r="G24" i="34" s="1"/>
  <c r="H24" i="29"/>
  <c r="I24" i="29"/>
  <c r="C25" i="29"/>
  <c r="D25" i="29"/>
  <c r="G25" i="29"/>
  <c r="H25" i="29"/>
  <c r="I25" i="29"/>
  <c r="C22" i="18"/>
  <c r="E22" i="18" s="1"/>
  <c r="F22" i="18" s="1"/>
  <c r="D22" i="18"/>
  <c r="G22" i="18"/>
  <c r="H22" i="18"/>
  <c r="I22" i="18"/>
  <c r="C23" i="18"/>
  <c r="E23" i="18" s="1"/>
  <c r="F23" i="18" s="1"/>
  <c r="D23" i="18"/>
  <c r="G23" i="18"/>
  <c r="H23" i="18"/>
  <c r="I23" i="18"/>
  <c r="C24" i="18"/>
  <c r="E24" i="18" s="1"/>
  <c r="F24" i="18" s="1"/>
  <c r="D24" i="18"/>
  <c r="G24" i="18"/>
  <c r="H24" i="18"/>
  <c r="I24" i="18"/>
  <c r="C25" i="18"/>
  <c r="D25" i="18"/>
  <c r="E25" i="18"/>
  <c r="F25" i="18" s="1"/>
  <c r="G25" i="18"/>
  <c r="H25" i="18"/>
  <c r="I25" i="18"/>
  <c r="G25" i="34"/>
  <c r="H25" i="34"/>
  <c r="I26" i="34" l="1"/>
  <c r="C27" i="34"/>
  <c r="H27" i="34"/>
  <c r="I27" i="34" s="1"/>
  <c r="E27" i="34"/>
  <c r="F27" i="34" s="1"/>
  <c r="E26" i="34"/>
  <c r="F26" i="34" s="1"/>
  <c r="I23" i="29"/>
  <c r="E25" i="29"/>
  <c r="F25" i="29" s="1"/>
  <c r="E24" i="29"/>
  <c r="F24" i="29" s="1"/>
  <c r="E23" i="29"/>
  <c r="F23" i="29" s="1"/>
  <c r="D23" i="34"/>
  <c r="H23" i="34"/>
  <c r="G23" i="34"/>
  <c r="I25" i="34"/>
  <c r="D24" i="34"/>
  <c r="H24" i="34"/>
  <c r="I24" i="34" s="1"/>
  <c r="D25" i="34"/>
  <c r="C25" i="34"/>
  <c r="C23" i="34"/>
  <c r="E23" i="34" s="1"/>
  <c r="F23" i="34" s="1"/>
  <c r="C24" i="34"/>
  <c r="I21" i="27"/>
  <c r="H8" i="27"/>
  <c r="I8" i="27" s="1"/>
  <c r="H9" i="27"/>
  <c r="I9" i="27" s="1"/>
  <c r="H10" i="27"/>
  <c r="I10" i="27" s="1"/>
  <c r="H11" i="27"/>
  <c r="I11" i="27" s="1"/>
  <c r="H12" i="27"/>
  <c r="I12" i="27" s="1"/>
  <c r="H13" i="27"/>
  <c r="I13" i="27" s="1"/>
  <c r="H14" i="27"/>
  <c r="I14" i="27" s="1"/>
  <c r="H15" i="27"/>
  <c r="I15" i="27" s="1"/>
  <c r="H16" i="27"/>
  <c r="I16" i="27" s="1"/>
  <c r="H17" i="27"/>
  <c r="I17" i="27" s="1"/>
  <c r="H18" i="27"/>
  <c r="I18" i="27" s="1"/>
  <c r="H19" i="27"/>
  <c r="H20" i="27"/>
  <c r="I20" i="27" s="1"/>
  <c r="H21" i="27"/>
  <c r="H22" i="27"/>
  <c r="I22" i="27" s="1"/>
  <c r="H23" i="27"/>
  <c r="I23" i="27" s="1"/>
  <c r="H24" i="27"/>
  <c r="I24" i="27" s="1"/>
  <c r="H25" i="27"/>
  <c r="I25" i="27" s="1"/>
  <c r="F12" i="27"/>
  <c r="F13" i="27"/>
  <c r="F14" i="27"/>
  <c r="F15" i="27"/>
  <c r="F21" i="27"/>
  <c r="E16" i="27"/>
  <c r="F16" i="27" s="1"/>
  <c r="E17" i="27"/>
  <c r="F17" i="27" s="1"/>
  <c r="E18" i="27"/>
  <c r="F18" i="27" s="1"/>
  <c r="E19" i="27"/>
  <c r="F19" i="27" s="1"/>
  <c r="E20" i="27"/>
  <c r="F20" i="27" s="1"/>
  <c r="E21" i="27"/>
  <c r="E22" i="27"/>
  <c r="F22" i="27" s="1"/>
  <c r="E23" i="27"/>
  <c r="F23" i="27" s="1"/>
  <c r="E24" i="27"/>
  <c r="F24" i="27" s="1"/>
  <c r="E25" i="27"/>
  <c r="F25" i="27" s="1"/>
  <c r="H22" i="29"/>
  <c r="G22" i="29"/>
  <c r="G22" i="34" s="1"/>
  <c r="D22" i="29"/>
  <c r="D22" i="34" s="1"/>
  <c r="C22" i="29"/>
  <c r="H22" i="26"/>
  <c r="I22" i="26"/>
  <c r="E22" i="26"/>
  <c r="F22" i="26" s="1"/>
  <c r="E21" i="26"/>
  <c r="F21" i="26" s="1"/>
  <c r="H21" i="26"/>
  <c r="H21" i="29" s="1"/>
  <c r="I18" i="26"/>
  <c r="I19" i="26"/>
  <c r="I20" i="26"/>
  <c r="H18" i="26"/>
  <c r="H19" i="26"/>
  <c r="H20" i="26"/>
  <c r="E18" i="26"/>
  <c r="E19" i="26"/>
  <c r="E20" i="26"/>
  <c r="F18" i="26"/>
  <c r="F19" i="26"/>
  <c r="F20" i="26"/>
  <c r="H21" i="19"/>
  <c r="E19" i="19"/>
  <c r="E17" i="19"/>
  <c r="F17" i="19" s="1"/>
  <c r="H17" i="19"/>
  <c r="I17" i="19" s="1"/>
  <c r="E18" i="19"/>
  <c r="F18" i="19"/>
  <c r="H18" i="19"/>
  <c r="H18" i="18" s="1"/>
  <c r="I18" i="19"/>
  <c r="F19" i="19"/>
  <c r="H19" i="19"/>
  <c r="I19" i="19" s="1"/>
  <c r="E20" i="19"/>
  <c r="F20" i="19"/>
  <c r="H20" i="19"/>
  <c r="H20" i="18" s="1"/>
  <c r="I20" i="19"/>
  <c r="E21" i="19"/>
  <c r="F21" i="19" s="1"/>
  <c r="I21" i="19"/>
  <c r="H18" i="20"/>
  <c r="I18" i="20" s="1"/>
  <c r="H19" i="20"/>
  <c r="I19" i="20" s="1"/>
  <c r="H20" i="20"/>
  <c r="I20" i="20" s="1"/>
  <c r="H21" i="20"/>
  <c r="I21" i="20" s="1"/>
  <c r="E18" i="20"/>
  <c r="F18" i="20" s="1"/>
  <c r="E19" i="20"/>
  <c r="F19" i="20" s="1"/>
  <c r="E20" i="20"/>
  <c r="F20" i="20" s="1"/>
  <c r="E21" i="20"/>
  <c r="F21" i="20" s="1"/>
  <c r="E22" i="20"/>
  <c r="H21" i="30"/>
  <c r="I19" i="30"/>
  <c r="G21" i="30"/>
  <c r="E21" i="30"/>
  <c r="D21" i="30"/>
  <c r="C21" i="30"/>
  <c r="G21" i="29"/>
  <c r="D21" i="29"/>
  <c r="C21" i="29"/>
  <c r="G21" i="18"/>
  <c r="D21" i="18"/>
  <c r="C21" i="18"/>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C21" i="1"/>
  <c r="E21" i="1"/>
  <c r="D21" i="1"/>
  <c r="F21" i="1"/>
  <c r="I21" i="1"/>
  <c r="E19" i="1"/>
  <c r="E20" i="1"/>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H20" i="29"/>
  <c r="G20" i="29"/>
  <c r="D20" i="29"/>
  <c r="C20" i="29"/>
  <c r="G20" i="30"/>
  <c r="D20" i="30"/>
  <c r="C20" i="30"/>
  <c r="H18" i="1"/>
  <c r="H19" i="1"/>
  <c r="H20" i="1"/>
  <c r="G18" i="1"/>
  <c r="G19" i="1"/>
  <c r="I19" i="1"/>
  <c r="G20" i="1"/>
  <c r="D20" i="1"/>
  <c r="C20" i="1"/>
  <c r="G18" i="18"/>
  <c r="G19" i="18"/>
  <c r="G20" i="18"/>
  <c r="D18" i="18"/>
  <c r="D19" i="18"/>
  <c r="D20" i="18"/>
  <c r="C18" i="18"/>
  <c r="C19" i="18"/>
  <c r="C20" i="18"/>
  <c r="H18" i="32"/>
  <c r="I18" i="32"/>
  <c r="H19" i="32"/>
  <c r="I19" i="32"/>
  <c r="H20" i="32"/>
  <c r="I20" i="32"/>
  <c r="H16" i="32"/>
  <c r="E18" i="32"/>
  <c r="F18" i="32"/>
  <c r="E19" i="32"/>
  <c r="F19" i="32"/>
  <c r="E20" i="32"/>
  <c r="F20" i="32"/>
  <c r="G6" i="30"/>
  <c r="G7" i="30"/>
  <c r="G8" i="30"/>
  <c r="G9" i="30"/>
  <c r="G10" i="30"/>
  <c r="G11" i="30"/>
  <c r="G12" i="30"/>
  <c r="G13" i="30"/>
  <c r="G14" i="30"/>
  <c r="G15" i="30"/>
  <c r="G16" i="30"/>
  <c r="G17" i="30"/>
  <c r="G18" i="30"/>
  <c r="G19" i="30"/>
  <c r="G5" i="30"/>
  <c r="G4" i="30"/>
  <c r="H18" i="31"/>
  <c r="I18" i="31"/>
  <c r="H19" i="31"/>
  <c r="I19" i="31"/>
  <c r="F18" i="31"/>
  <c r="E18" i="31"/>
  <c r="E19" i="31"/>
  <c r="F19" i="31"/>
  <c r="E5" i="28"/>
  <c r="F5" i="28"/>
  <c r="E5" i="27"/>
  <c r="D18" i="30"/>
  <c r="D19" i="30"/>
  <c r="C18" i="30"/>
  <c r="C19" i="30"/>
  <c r="D18" i="1"/>
  <c r="D19" i="1"/>
  <c r="C18" i="1"/>
  <c r="C19" i="1"/>
  <c r="G18" i="29"/>
  <c r="G19" i="29"/>
  <c r="D18" i="29"/>
  <c r="D19" i="29"/>
  <c r="C18" i="29"/>
  <c r="C19" i="29"/>
  <c r="E19" i="29" s="1"/>
  <c r="F19" i="29" s="1"/>
  <c r="H19" i="28"/>
  <c r="I19" i="28"/>
  <c r="E19" i="28"/>
  <c r="F19" i="28"/>
  <c r="H18" i="28"/>
  <c r="I18" i="28" s="1"/>
  <c r="E18" i="28"/>
  <c r="F18" i="28"/>
  <c r="G5" i="29"/>
  <c r="G6" i="29"/>
  <c r="G7" i="29"/>
  <c r="G8" i="29"/>
  <c r="G9" i="29"/>
  <c r="G10" i="29"/>
  <c r="G11" i="29"/>
  <c r="G12" i="29"/>
  <c r="G13" i="29"/>
  <c r="G14" i="29"/>
  <c r="G15" i="29"/>
  <c r="G16" i="29"/>
  <c r="G17" i="29"/>
  <c r="G4" i="29"/>
  <c r="H15" i="26"/>
  <c r="I15" i="26" s="1"/>
  <c r="E15" i="26"/>
  <c r="H14" i="26"/>
  <c r="E14" i="26"/>
  <c r="E12" i="19"/>
  <c r="F12" i="19" s="1"/>
  <c r="E13" i="19"/>
  <c r="F13" i="19" s="1"/>
  <c r="E14" i="19"/>
  <c r="F14" i="19" s="1"/>
  <c r="E15" i="19"/>
  <c r="E5" i="20"/>
  <c r="G5" i="18"/>
  <c r="G6" i="18"/>
  <c r="G6" i="34" s="1"/>
  <c r="G7" i="18"/>
  <c r="G7" i="34" s="1"/>
  <c r="G8" i="18"/>
  <c r="G9" i="18"/>
  <c r="G10" i="18"/>
  <c r="G11" i="18"/>
  <c r="G12" i="18"/>
  <c r="G13" i="18"/>
  <c r="G14" i="18"/>
  <c r="G15" i="18"/>
  <c r="G16" i="18"/>
  <c r="G17" i="18"/>
  <c r="G4" i="18"/>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8" i="1"/>
  <c r="I20" i="1"/>
  <c r="E18" i="1"/>
  <c r="F18" i="1"/>
  <c r="F20" i="1"/>
  <c r="F19" i="1"/>
  <c r="H19" i="30"/>
  <c r="H20" i="30"/>
  <c r="H18" i="30"/>
  <c r="E19" i="30"/>
  <c r="F19" i="30"/>
  <c r="E20" i="30"/>
  <c r="E18" i="30"/>
  <c r="F18" i="30"/>
  <c r="H18" i="29"/>
  <c r="C16" i="30"/>
  <c r="D16" i="30"/>
  <c r="C17" i="30"/>
  <c r="D17" i="30"/>
  <c r="C16" i="29"/>
  <c r="D16" i="29"/>
  <c r="C17" i="29"/>
  <c r="D17" i="29"/>
  <c r="C16" i="18"/>
  <c r="D16" i="18"/>
  <c r="E16" i="18" s="1"/>
  <c r="F16" i="18" s="1"/>
  <c r="C16" i="1"/>
  <c r="D16" i="1"/>
  <c r="G16" i="1"/>
  <c r="C17" i="1"/>
  <c r="D17" i="1"/>
  <c r="G17" i="1"/>
  <c r="H17" i="32"/>
  <c r="I17" i="32"/>
  <c r="E17" i="32"/>
  <c r="F17" i="32"/>
  <c r="I16" i="32"/>
  <c r="E16" i="32"/>
  <c r="F16" i="32"/>
  <c r="H17" i="31"/>
  <c r="I17" i="31"/>
  <c r="E17" i="31"/>
  <c r="F17" i="31"/>
  <c r="H16" i="31"/>
  <c r="I16" i="31"/>
  <c r="E16" i="31"/>
  <c r="F16" i="31"/>
  <c r="H17" i="28"/>
  <c r="I17" i="28" s="1"/>
  <c r="E17" i="28"/>
  <c r="F17" i="28" s="1"/>
  <c r="H16" i="28"/>
  <c r="I16" i="28" s="1"/>
  <c r="E16" i="28"/>
  <c r="F16" i="28" s="1"/>
  <c r="H17" i="26"/>
  <c r="I17" i="26"/>
  <c r="E17" i="26"/>
  <c r="F17" i="26"/>
  <c r="I16" i="26"/>
  <c r="F16" i="26"/>
  <c r="H16" i="19"/>
  <c r="I16" i="19" s="1"/>
  <c r="E16" i="19"/>
  <c r="F16" i="19"/>
  <c r="H17" i="20"/>
  <c r="I17" i="20" s="1"/>
  <c r="E17" i="20"/>
  <c r="F17" i="20"/>
  <c r="H16" i="20"/>
  <c r="I16" i="20"/>
  <c r="E16" i="20"/>
  <c r="F16" i="20"/>
  <c r="H17" i="2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G5" i="34"/>
  <c r="G4" i="1"/>
  <c r="B4" i="34" a="1"/>
  <c r="B4" i="34" s="1"/>
  <c r="A4" i="34" a="1"/>
  <c r="A4" i="34" s="1"/>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E13" i="29" s="1"/>
  <c r="F13" i="29" s="1"/>
  <c r="D12" i="29"/>
  <c r="C12" i="29"/>
  <c r="D11" i="29"/>
  <c r="D11" i="34" s="1"/>
  <c r="C11" i="29"/>
  <c r="D10" i="29"/>
  <c r="C10" i="29"/>
  <c r="E10" i="29" s="1"/>
  <c r="F10" i="29" s="1"/>
  <c r="D9" i="29"/>
  <c r="C9" i="29"/>
  <c r="D8" i="29"/>
  <c r="C8" i="29"/>
  <c r="E8" i="29" s="1"/>
  <c r="F8" i="29" s="1"/>
  <c r="D7" i="29"/>
  <c r="C7" i="29"/>
  <c r="E7" i="29" s="1"/>
  <c r="F7" i="29" s="1"/>
  <c r="D6" i="29"/>
  <c r="C6" i="29"/>
  <c r="D5" i="29"/>
  <c r="C5" i="29"/>
  <c r="D4" i="29"/>
  <c r="C4" i="29"/>
  <c r="D15" i="18"/>
  <c r="D15" i="34" s="1"/>
  <c r="C15" i="18"/>
  <c r="C15" i="34" s="1"/>
  <c r="D14" i="18"/>
  <c r="C14" i="18"/>
  <c r="D13" i="18"/>
  <c r="C13" i="18"/>
  <c r="D12" i="18"/>
  <c r="C12" i="18"/>
  <c r="D11" i="18"/>
  <c r="C11" i="18"/>
  <c r="D10" i="18"/>
  <c r="C10" i="18"/>
  <c r="D9" i="18"/>
  <c r="C9" i="18"/>
  <c r="D8" i="18"/>
  <c r="C8" i="18"/>
  <c r="D7" i="18"/>
  <c r="C7" i="18"/>
  <c r="D6" i="18"/>
  <c r="C6" i="18"/>
  <c r="E6" i="18" s="1"/>
  <c r="F6" i="18" s="1"/>
  <c r="D5" i="18"/>
  <c r="D5" i="34" s="1"/>
  <c r="C5" i="18"/>
  <c r="D4" i="18"/>
  <c r="C4" i="18"/>
  <c r="B4" i="30" a="1"/>
  <c r="B4" i="30" s="1"/>
  <c r="G2" i="30"/>
  <c r="A1" i="30" a="1"/>
  <c r="A1" i="30"/>
  <c r="B4" i="29" a="1"/>
  <c r="B4" i="29" s="1"/>
  <c r="A4" i="29" a="1"/>
  <c r="A4" i="29" s="1"/>
  <c r="A1" i="29" a="1"/>
  <c r="A1" i="29"/>
  <c r="B4" i="18" a="1"/>
  <c r="B4" i="18" s="1"/>
  <c r="A4" i="18" a="1"/>
  <c r="A4" i="18" s="1"/>
  <c r="A1" i="18" a="1"/>
  <c r="A1" i="18"/>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D2" i="31"/>
  <c r="C2" i="31"/>
  <c r="A1" i="31" a="1"/>
  <c r="A1" i="31"/>
  <c r="H15" i="28"/>
  <c r="H15" i="29" s="1"/>
  <c r="I15" i="28"/>
  <c r="E15" i="28"/>
  <c r="F15" i="28" s="1"/>
  <c r="H14" i="28"/>
  <c r="I14" i="28"/>
  <c r="E14" i="28"/>
  <c r="F14" i="28" s="1"/>
  <c r="H13" i="28"/>
  <c r="I13" i="28"/>
  <c r="E13" i="28"/>
  <c r="F13" i="28"/>
  <c r="H12" i="28"/>
  <c r="I12" i="28"/>
  <c r="E12" i="28"/>
  <c r="F12" i="28"/>
  <c r="H11" i="28"/>
  <c r="I11" i="28"/>
  <c r="E11" i="28"/>
  <c r="F11" i="28" s="1"/>
  <c r="H10" i="28"/>
  <c r="I10" i="28"/>
  <c r="E10" i="28"/>
  <c r="F10" i="28"/>
  <c r="H9" i="28"/>
  <c r="I9" i="28"/>
  <c r="E9" i="28"/>
  <c r="F9" i="28" s="1"/>
  <c r="H8" i="28"/>
  <c r="I8" i="28"/>
  <c r="E8" i="28"/>
  <c r="F8" i="28"/>
  <c r="H7" i="28"/>
  <c r="I7" i="28" s="1"/>
  <c r="E7" i="28"/>
  <c r="F7" i="28" s="1"/>
  <c r="H6" i="28"/>
  <c r="I6" i="28"/>
  <c r="E6" i="28"/>
  <c r="F6" i="28"/>
  <c r="I5" i="28"/>
  <c r="H4" i="28"/>
  <c r="I4" i="28"/>
  <c r="E4" i="28"/>
  <c r="F4" i="28" s="1"/>
  <c r="B4" i="28" a="1"/>
  <c r="B4" i="28" s="1"/>
  <c r="A4" i="28" a="1"/>
  <c r="A4" i="28" s="1"/>
  <c r="G2" i="28"/>
  <c r="D2" i="28"/>
  <c r="C2" i="28"/>
  <c r="A1" i="28" a="1"/>
  <c r="A1" i="28"/>
  <c r="E15" i="27"/>
  <c r="E14" i="27"/>
  <c r="E13" i="27"/>
  <c r="E12" i="27"/>
  <c r="E11" i="27"/>
  <c r="F11" i="27" s="1"/>
  <c r="E10" i="27"/>
  <c r="F10" i="27" s="1"/>
  <c r="E9" i="27"/>
  <c r="F9" i="27" s="1"/>
  <c r="E8" i="27"/>
  <c r="F8" i="27" s="1"/>
  <c r="H7" i="27"/>
  <c r="I7" i="27" s="1"/>
  <c r="E7" i="27"/>
  <c r="F7" i="27"/>
  <c r="H6" i="27"/>
  <c r="H6" i="29" s="1"/>
  <c r="I6" i="29" s="1"/>
  <c r="E6" i="27"/>
  <c r="F6" i="27" s="1"/>
  <c r="H5" i="27"/>
  <c r="H5" i="29" s="1"/>
  <c r="I5" i="29" s="1"/>
  <c r="F5" i="27"/>
  <c r="H4" i="27"/>
  <c r="I4" i="27" s="1"/>
  <c r="E4" i="27"/>
  <c r="F4" i="27" s="1"/>
  <c r="G2" i="27"/>
  <c r="D2" i="27"/>
  <c r="C2" i="27"/>
  <c r="A1" i="27" a="1"/>
  <c r="A1" i="27"/>
  <c r="F15" i="26"/>
  <c r="I14" i="26"/>
  <c r="F14" i="26"/>
  <c r="H13" i="26"/>
  <c r="I13" i="26"/>
  <c r="E13" i="26"/>
  <c r="F13" i="26"/>
  <c r="H12" i="26"/>
  <c r="E12" i="26"/>
  <c r="F12" i="26"/>
  <c r="H11" i="26"/>
  <c r="I11" i="26"/>
  <c r="E11" i="26"/>
  <c r="F11" i="26"/>
  <c r="H10" i="26"/>
  <c r="I10" i="26"/>
  <c r="E10" i="26"/>
  <c r="F10" i="26"/>
  <c r="H9" i="26"/>
  <c r="I9" i="26" s="1"/>
  <c r="E9" i="26"/>
  <c r="F9" i="26"/>
  <c r="H8" i="26"/>
  <c r="I8" i="26"/>
  <c r="E8" i="26"/>
  <c r="F8" i="26" s="1"/>
  <c r="H7" i="26"/>
  <c r="E7" i="26"/>
  <c r="F7" i="26" s="1"/>
  <c r="H6" i="26"/>
  <c r="I6" i="26" s="1"/>
  <c r="E6" i="26"/>
  <c r="F6" i="26"/>
  <c r="H5" i="26"/>
  <c r="I5" i="26"/>
  <c r="E5" i="26"/>
  <c r="F5" i="26"/>
  <c r="H4" i="26"/>
  <c r="E4" i="26"/>
  <c r="F4" i="26" s="1"/>
  <c r="G2" i="26"/>
  <c r="D2" i="26"/>
  <c r="C2" i="26"/>
  <c r="A1" i="26" a="1"/>
  <c r="A1" i="26"/>
  <c r="H15" i="19"/>
  <c r="I15" i="19"/>
  <c r="F15" i="19"/>
  <c r="H14" i="19"/>
  <c r="I14" i="19" s="1"/>
  <c r="H13" i="19"/>
  <c r="I13" i="19" s="1"/>
  <c r="H12" i="19"/>
  <c r="I12" i="19" s="1"/>
  <c r="H11" i="19"/>
  <c r="I11" i="19" s="1"/>
  <c r="E11" i="19"/>
  <c r="F11" i="19"/>
  <c r="H10" i="19"/>
  <c r="H10" i="18" s="1"/>
  <c r="I10" i="19"/>
  <c r="E10" i="19"/>
  <c r="F10" i="19"/>
  <c r="H9" i="19"/>
  <c r="I9" i="19" s="1"/>
  <c r="E9" i="19"/>
  <c r="F9" i="19" s="1"/>
  <c r="H8" i="19"/>
  <c r="I8" i="19"/>
  <c r="E8" i="19"/>
  <c r="F8" i="19"/>
  <c r="H7" i="19"/>
  <c r="I7" i="19"/>
  <c r="E7" i="19"/>
  <c r="F7" i="19"/>
  <c r="H6" i="19"/>
  <c r="I6" i="19"/>
  <c r="E6" i="19"/>
  <c r="F6" i="19" s="1"/>
  <c r="H5" i="19"/>
  <c r="I5" i="19" s="1"/>
  <c r="E5" i="19"/>
  <c r="F5" i="19" s="1"/>
  <c r="H4" i="19"/>
  <c r="I4" i="19"/>
  <c r="E4" i="19"/>
  <c r="F4" i="19"/>
  <c r="G2" i="19"/>
  <c r="D2" i="19"/>
  <c r="C2" i="19"/>
  <c r="A1" i="19" a="1"/>
  <c r="A1" i="19" s="1"/>
  <c r="H15" i="20"/>
  <c r="I15" i="20"/>
  <c r="E15" i="20"/>
  <c r="F15" i="20" s="1"/>
  <c r="H14" i="20"/>
  <c r="I14" i="20"/>
  <c r="E14" i="20"/>
  <c r="F14" i="20"/>
  <c r="H13" i="20"/>
  <c r="I13" i="20"/>
  <c r="E13" i="20"/>
  <c r="F13" i="20"/>
  <c r="H12" i="20"/>
  <c r="I12" i="20" s="1"/>
  <c r="E12" i="20"/>
  <c r="F12" i="20" s="1"/>
  <c r="H11" i="20"/>
  <c r="I11" i="20"/>
  <c r="E11" i="20"/>
  <c r="F11" i="20" s="1"/>
  <c r="H10" i="20"/>
  <c r="I10" i="20"/>
  <c r="E10" i="20"/>
  <c r="F10" i="20"/>
  <c r="H9" i="20"/>
  <c r="I9" i="20" s="1"/>
  <c r="E9" i="20"/>
  <c r="F9" i="20" s="1"/>
  <c r="H8" i="20"/>
  <c r="I8" i="20"/>
  <c r="E8" i="20"/>
  <c r="F8" i="20"/>
  <c r="H7" i="20"/>
  <c r="I7" i="20"/>
  <c r="E7" i="20"/>
  <c r="F7" i="20"/>
  <c r="H6" i="20"/>
  <c r="I6" i="20"/>
  <c r="E6" i="20"/>
  <c r="F6" i="20" s="1"/>
  <c r="H5" i="20"/>
  <c r="I5" i="20"/>
  <c r="F5" i="20"/>
  <c r="H4" i="20"/>
  <c r="I4" i="20"/>
  <c r="E4" i="20"/>
  <c r="F4" i="20"/>
  <c r="G2" i="20"/>
  <c r="D2" i="20"/>
  <c r="C2" i="20"/>
  <c r="A1" i="20" a="1"/>
  <c r="A1" i="20"/>
  <c r="H15" i="21"/>
  <c r="I15" i="21"/>
  <c r="E15" i="21"/>
  <c r="F15" i="21"/>
  <c r="H14" i="21"/>
  <c r="I14" i="21"/>
  <c r="E14" i="21"/>
  <c r="F14" i="21"/>
  <c r="H13" i="21"/>
  <c r="I13" i="21"/>
  <c r="E13" i="21"/>
  <c r="F13" i="21"/>
  <c r="H12" i="21"/>
  <c r="I12" i="21" s="1"/>
  <c r="E12" i="21"/>
  <c r="F12" i="21" s="1"/>
  <c r="H11" i="21"/>
  <c r="I11" i="21" s="1"/>
  <c r="E11" i="21"/>
  <c r="F11" i="21" s="1"/>
  <c r="H10" i="21"/>
  <c r="I10" i="21"/>
  <c r="E10" i="21"/>
  <c r="F10" i="21"/>
  <c r="H9" i="21"/>
  <c r="I9" i="21"/>
  <c r="E9" i="21"/>
  <c r="F9" i="21"/>
  <c r="H8" i="21"/>
  <c r="I8" i="21"/>
  <c r="E8" i="21"/>
  <c r="F8" i="21"/>
  <c r="H7" i="21"/>
  <c r="I7" i="21"/>
  <c r="E7" i="21"/>
  <c r="F7" i="21"/>
  <c r="H6" i="21"/>
  <c r="I6" i="21" s="1"/>
  <c r="E6" i="21"/>
  <c r="F6" i="21" s="1"/>
  <c r="H5" i="21"/>
  <c r="I5" i="21"/>
  <c r="E5" i="21"/>
  <c r="F5" i="21"/>
  <c r="H4" i="21"/>
  <c r="I4" i="21"/>
  <c r="E4" i="21"/>
  <c r="F4" i="21" s="1"/>
  <c r="G2" i="21"/>
  <c r="D2" i="21"/>
  <c r="C2" i="21"/>
  <c r="J2" i="21" s="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C5" i="34"/>
  <c r="I18" i="30"/>
  <c r="E13" i="30"/>
  <c r="F13" i="30"/>
  <c r="E11" i="30"/>
  <c r="F11" i="30"/>
  <c r="E17" i="30"/>
  <c r="F17" i="30"/>
  <c r="E16" i="30"/>
  <c r="F16" i="30"/>
  <c r="E15" i="30"/>
  <c r="F15" i="30"/>
  <c r="E8" i="30"/>
  <c r="F8" i="30"/>
  <c r="E12" i="30"/>
  <c r="F12" i="30"/>
  <c r="H16" i="30"/>
  <c r="E10" i="30"/>
  <c r="F10" i="30"/>
  <c r="E14" i="30"/>
  <c r="F14" i="30"/>
  <c r="H16" i="1"/>
  <c r="I16" i="1"/>
  <c r="H6" i="30"/>
  <c r="H17" i="1"/>
  <c r="I17" i="1"/>
  <c r="H10" i="29"/>
  <c r="E12" i="29"/>
  <c r="F12" i="29" s="1"/>
  <c r="E4" i="30"/>
  <c r="F4" i="30"/>
  <c r="H17" i="30"/>
  <c r="E5" i="18"/>
  <c r="F5" i="18" s="1"/>
  <c r="E5" i="30"/>
  <c r="F5" i="30"/>
  <c r="I17" i="21"/>
  <c r="E9" i="30"/>
  <c r="F9" i="30"/>
  <c r="E6" i="30"/>
  <c r="F6" i="30"/>
  <c r="D2" i="30"/>
  <c r="E17" i="1"/>
  <c r="F17" i="1"/>
  <c r="E16" i="1"/>
  <c r="F16" i="1"/>
  <c r="I17" i="72"/>
  <c r="I16" i="72"/>
  <c r="H2" i="33"/>
  <c r="I2" i="33"/>
  <c r="J2" i="33"/>
  <c r="H2" i="32"/>
  <c r="I2" i="32"/>
  <c r="J2" i="32"/>
  <c r="H2" i="31"/>
  <c r="I2" i="31"/>
  <c r="J2" i="31"/>
  <c r="H2" i="4"/>
  <c r="I2" i="4"/>
  <c r="J2" i="4"/>
  <c r="H2" i="3"/>
  <c r="I2" i="3"/>
  <c r="E7" i="1"/>
  <c r="F7" i="1"/>
  <c r="E15" i="1"/>
  <c r="F15" i="1"/>
  <c r="G2" i="1"/>
  <c r="E8" i="1"/>
  <c r="F8" i="1"/>
  <c r="E11" i="1"/>
  <c r="F11" i="1"/>
  <c r="E9" i="1"/>
  <c r="F9" i="1"/>
  <c r="E10" i="1"/>
  <c r="F10" i="1"/>
  <c r="E12" i="1"/>
  <c r="F12" i="1"/>
  <c r="E5" i="1"/>
  <c r="F5" i="1"/>
  <c r="E13" i="1"/>
  <c r="F13" i="1"/>
  <c r="E6" i="1"/>
  <c r="F6" i="1"/>
  <c r="E14" i="1"/>
  <c r="F14" i="1"/>
  <c r="H14" i="30"/>
  <c r="H9" i="30"/>
  <c r="H4" i="30"/>
  <c r="I4" i="30"/>
  <c r="E7" i="30"/>
  <c r="F7" i="30"/>
  <c r="H12" i="30"/>
  <c r="H7" i="30"/>
  <c r="H15" i="30"/>
  <c r="H10" i="30"/>
  <c r="H5" i="30"/>
  <c r="H13" i="30"/>
  <c r="H8" i="30"/>
  <c r="H11" i="30"/>
  <c r="I12" i="26"/>
  <c r="H14" i="29"/>
  <c r="E15" i="29"/>
  <c r="F15" i="29" s="1"/>
  <c r="H8" i="18"/>
  <c r="C2" i="30"/>
  <c r="H2" i="30" s="1"/>
  <c r="I2" i="30" s="1"/>
  <c r="H7" i="1"/>
  <c r="I7" i="1"/>
  <c r="H4" i="1"/>
  <c r="H5" i="1"/>
  <c r="I5" i="1"/>
  <c r="H15" i="1"/>
  <c r="I15" i="1"/>
  <c r="H12" i="1"/>
  <c r="I12" i="1"/>
  <c r="H11" i="1"/>
  <c r="I11" i="1"/>
  <c r="H10" i="1"/>
  <c r="I10" i="1"/>
  <c r="H6" i="1"/>
  <c r="I6" i="1"/>
  <c r="C2" i="1"/>
  <c r="E2" i="1" s="1"/>
  <c r="F2" i="1" s="1"/>
  <c r="E2" i="3"/>
  <c r="F2" i="3"/>
  <c r="E4" i="1"/>
  <c r="F4" i="1"/>
  <c r="H14" i="1"/>
  <c r="I14" i="1"/>
  <c r="H13" i="1"/>
  <c r="I13" i="1"/>
  <c r="H9" i="1"/>
  <c r="I9" i="1"/>
  <c r="H8" i="1"/>
  <c r="I8" i="1"/>
  <c r="D2" i="1"/>
  <c r="E2" i="33"/>
  <c r="F2" i="33"/>
  <c r="E2" i="32"/>
  <c r="F2" i="32"/>
  <c r="E2" i="31"/>
  <c r="F2" i="31"/>
  <c r="E2" i="4"/>
  <c r="F2" i="4"/>
  <c r="H2" i="72"/>
  <c r="I5" i="30"/>
  <c r="I15" i="30"/>
  <c r="I14" i="30"/>
  <c r="I13" i="30"/>
  <c r="I17" i="30"/>
  <c r="I16" i="30"/>
  <c r="I11" i="30"/>
  <c r="I10" i="30"/>
  <c r="I9" i="30"/>
  <c r="I8" i="30"/>
  <c r="I7" i="30"/>
  <c r="I12" i="30"/>
  <c r="I6" i="30"/>
  <c r="I4" i="1"/>
  <c r="E2" i="30"/>
  <c r="F2" i="30"/>
  <c r="I2" i="72"/>
  <c r="E2" i="72"/>
  <c r="F2" i="72"/>
  <c r="H2" i="1" l="1"/>
  <c r="I2" i="1" s="1"/>
  <c r="E17" i="29"/>
  <c r="F17" i="29" s="1"/>
  <c r="D13" i="34"/>
  <c r="E25" i="34"/>
  <c r="F25" i="34" s="1"/>
  <c r="E18" i="29"/>
  <c r="F18" i="29" s="1"/>
  <c r="I20" i="29"/>
  <c r="H7" i="29"/>
  <c r="I7" i="29" s="1"/>
  <c r="H19" i="29"/>
  <c r="H2" i="28"/>
  <c r="I2" i="28" s="1"/>
  <c r="I23" i="34"/>
  <c r="J2" i="28"/>
  <c r="G4" i="34"/>
  <c r="H4" i="29"/>
  <c r="E2" i="28"/>
  <c r="F2" i="28" s="1"/>
  <c r="E24" i="34"/>
  <c r="F24" i="34" s="1"/>
  <c r="H17" i="29"/>
  <c r="I17" i="29" s="1"/>
  <c r="I5" i="27"/>
  <c r="I19" i="29"/>
  <c r="C16" i="34"/>
  <c r="I19" i="27"/>
  <c r="E21" i="29"/>
  <c r="F21" i="29" s="1"/>
  <c r="G17" i="34"/>
  <c r="H16" i="29"/>
  <c r="H16" i="34" s="1"/>
  <c r="H11" i="29"/>
  <c r="I11" i="29" s="1"/>
  <c r="C11" i="34"/>
  <c r="E11" i="34" s="1"/>
  <c r="F11" i="34" s="1"/>
  <c r="E14" i="29"/>
  <c r="F14" i="29" s="1"/>
  <c r="H13" i="29"/>
  <c r="I13" i="29" s="1"/>
  <c r="C13" i="34"/>
  <c r="E13" i="34" s="1"/>
  <c r="F13" i="34" s="1"/>
  <c r="I10" i="29"/>
  <c r="D10" i="34"/>
  <c r="C10" i="34"/>
  <c r="D12" i="34"/>
  <c r="H12" i="29"/>
  <c r="I12" i="29" s="1"/>
  <c r="E20" i="29"/>
  <c r="F20" i="29" s="1"/>
  <c r="G9" i="34"/>
  <c r="E9" i="29"/>
  <c r="F9" i="29" s="1"/>
  <c r="H8" i="29"/>
  <c r="I8" i="29" s="1"/>
  <c r="G8" i="34"/>
  <c r="I6" i="27"/>
  <c r="I15" i="29"/>
  <c r="G15" i="34"/>
  <c r="H2" i="27"/>
  <c r="I2" i="27" s="1"/>
  <c r="D4" i="34"/>
  <c r="E4" i="34" s="1"/>
  <c r="F4" i="34" s="1"/>
  <c r="E2" i="27"/>
  <c r="F2" i="27" s="1"/>
  <c r="C4" i="34"/>
  <c r="J2" i="27"/>
  <c r="I21" i="29"/>
  <c r="C22" i="34"/>
  <c r="E22" i="34" s="1"/>
  <c r="F22" i="34" s="1"/>
  <c r="E22" i="29"/>
  <c r="F22" i="29" s="1"/>
  <c r="H22" i="34"/>
  <c r="I22" i="34" s="1"/>
  <c r="I22" i="29"/>
  <c r="E5" i="29"/>
  <c r="F5" i="29" s="1"/>
  <c r="E6" i="29"/>
  <c r="F6" i="29" s="1"/>
  <c r="E11" i="29"/>
  <c r="F11" i="29" s="1"/>
  <c r="I14" i="29"/>
  <c r="G18" i="34"/>
  <c r="I21" i="26"/>
  <c r="D21" i="34"/>
  <c r="I18" i="29"/>
  <c r="H18" i="34"/>
  <c r="I18" i="34" s="1"/>
  <c r="G21" i="34"/>
  <c r="C21" i="34"/>
  <c r="E21" i="34" s="1"/>
  <c r="F21" i="34" s="1"/>
  <c r="D17" i="34"/>
  <c r="G16" i="34"/>
  <c r="E16" i="29"/>
  <c r="F16" i="29" s="1"/>
  <c r="G11" i="34"/>
  <c r="G14" i="34"/>
  <c r="D14" i="34"/>
  <c r="C14" i="34"/>
  <c r="G13" i="34"/>
  <c r="G10" i="34"/>
  <c r="G2" i="29"/>
  <c r="G12" i="34"/>
  <c r="C18" i="34"/>
  <c r="D20" i="34"/>
  <c r="D9" i="34"/>
  <c r="H9" i="29"/>
  <c r="I9" i="29" s="1"/>
  <c r="D8" i="34"/>
  <c r="E2" i="26"/>
  <c r="F2" i="26" s="1"/>
  <c r="I7" i="26"/>
  <c r="D7" i="34"/>
  <c r="C7" i="34"/>
  <c r="D6" i="34"/>
  <c r="C19" i="34"/>
  <c r="C2" i="29"/>
  <c r="D2" i="29"/>
  <c r="J2" i="26"/>
  <c r="I4" i="29"/>
  <c r="E4" i="29"/>
  <c r="F4" i="29" s="1"/>
  <c r="I4" i="26"/>
  <c r="H2" i="26"/>
  <c r="I2" i="26" s="1"/>
  <c r="H20" i="34"/>
  <c r="E5" i="34"/>
  <c r="F5" i="34" s="1"/>
  <c r="H19" i="18"/>
  <c r="H19" i="34" s="1"/>
  <c r="E8" i="18"/>
  <c r="F8" i="18" s="1"/>
  <c r="E12" i="18"/>
  <c r="F12" i="18" s="1"/>
  <c r="H5" i="18"/>
  <c r="E9" i="18"/>
  <c r="F9" i="18" s="1"/>
  <c r="C8" i="34"/>
  <c r="E8" i="34" s="1"/>
  <c r="F8" i="34" s="1"/>
  <c r="C9" i="34"/>
  <c r="C12" i="34"/>
  <c r="E21" i="18"/>
  <c r="F21" i="18" s="1"/>
  <c r="H17" i="18"/>
  <c r="I17" i="18" s="1"/>
  <c r="E11" i="18"/>
  <c r="F11" i="18" s="1"/>
  <c r="H11" i="18"/>
  <c r="E13" i="18"/>
  <c r="F13" i="18" s="1"/>
  <c r="I18" i="18"/>
  <c r="H2" i="19"/>
  <c r="I2" i="19" s="1"/>
  <c r="I8" i="18"/>
  <c r="H6" i="18"/>
  <c r="H6" i="34" s="1"/>
  <c r="I6" i="34" s="1"/>
  <c r="I19" i="18"/>
  <c r="E2" i="19"/>
  <c r="F2" i="19" s="1"/>
  <c r="J2" i="19"/>
  <c r="H4" i="18"/>
  <c r="I4" i="18" s="1"/>
  <c r="G20" i="34"/>
  <c r="I20" i="34" s="1"/>
  <c r="I20" i="18"/>
  <c r="E17" i="18"/>
  <c r="F17" i="18" s="1"/>
  <c r="C17" i="34"/>
  <c r="D16" i="34"/>
  <c r="E16" i="34" s="1"/>
  <c r="F16" i="34" s="1"/>
  <c r="H16" i="18"/>
  <c r="I16" i="18" s="1"/>
  <c r="H14" i="18"/>
  <c r="H14" i="34" s="1"/>
  <c r="I14" i="34" s="1"/>
  <c r="H13" i="18"/>
  <c r="H13" i="34" s="1"/>
  <c r="I10" i="18"/>
  <c r="E10" i="18"/>
  <c r="F10" i="18" s="1"/>
  <c r="E2" i="20"/>
  <c r="F2" i="20" s="1"/>
  <c r="H9" i="18"/>
  <c r="H7" i="18"/>
  <c r="H7" i="34" s="1"/>
  <c r="I7" i="34" s="1"/>
  <c r="E7" i="18"/>
  <c r="F7" i="18" s="1"/>
  <c r="H15" i="18"/>
  <c r="I15" i="18" s="1"/>
  <c r="J2" i="20"/>
  <c r="H2" i="20"/>
  <c r="I2" i="20" s="1"/>
  <c r="E18" i="18"/>
  <c r="F18" i="18" s="1"/>
  <c r="H21" i="18"/>
  <c r="I21" i="18" s="1"/>
  <c r="I21" i="21"/>
  <c r="E14" i="18"/>
  <c r="F14" i="18" s="1"/>
  <c r="E14" i="34"/>
  <c r="F14" i="34" s="1"/>
  <c r="I14" i="18"/>
  <c r="I13" i="18"/>
  <c r="H10" i="34"/>
  <c r="H12" i="18"/>
  <c r="I12" i="18" s="1"/>
  <c r="D18" i="34"/>
  <c r="D2" i="18"/>
  <c r="E20" i="18"/>
  <c r="F20" i="18" s="1"/>
  <c r="C20" i="34"/>
  <c r="C6" i="34"/>
  <c r="G19" i="34"/>
  <c r="D19" i="34"/>
  <c r="E19" i="18"/>
  <c r="F19" i="18" s="1"/>
  <c r="E2" i="21"/>
  <c r="F2" i="21" s="1"/>
  <c r="E15" i="34"/>
  <c r="F15" i="34" s="1"/>
  <c r="E15" i="18"/>
  <c r="F15" i="18" s="1"/>
  <c r="H2" i="21"/>
  <c r="I2" i="21" s="1"/>
  <c r="C2" i="18"/>
  <c r="G2" i="18"/>
  <c r="E4" i="18"/>
  <c r="F4" i="18" s="1"/>
  <c r="E17" i="34" l="1"/>
  <c r="F17" i="34" s="1"/>
  <c r="E10" i="34"/>
  <c r="F10" i="34" s="1"/>
  <c r="H8" i="34"/>
  <c r="I8" i="34" s="1"/>
  <c r="E19" i="34"/>
  <c r="F19" i="34" s="1"/>
  <c r="I19" i="34"/>
  <c r="I16" i="34"/>
  <c r="I16" i="29"/>
  <c r="H11" i="34"/>
  <c r="I11" i="34" s="1"/>
  <c r="I13" i="34"/>
  <c r="I10" i="34"/>
  <c r="E12" i="34"/>
  <c r="F12" i="34" s="1"/>
  <c r="E18" i="34"/>
  <c r="F18" i="34" s="1"/>
  <c r="E20" i="34"/>
  <c r="F20" i="34" s="1"/>
  <c r="E9" i="34"/>
  <c r="F9" i="34" s="1"/>
  <c r="E7" i="34"/>
  <c r="F7" i="34" s="1"/>
  <c r="E6" i="34"/>
  <c r="F6" i="34" s="1"/>
  <c r="H2" i="29"/>
  <c r="I2" i="29" s="1"/>
  <c r="E2" i="29"/>
  <c r="F2" i="29" s="1"/>
  <c r="H17" i="34"/>
  <c r="I17" i="34" s="1"/>
  <c r="I5" i="18"/>
  <c r="H5" i="34"/>
  <c r="I5" i="34" s="1"/>
  <c r="I11" i="18"/>
  <c r="I6" i="18"/>
  <c r="H15" i="34"/>
  <c r="I15" i="34" s="1"/>
  <c r="H4" i="34"/>
  <c r="I4" i="34" s="1"/>
  <c r="H9" i="34"/>
  <c r="I9" i="34" s="1"/>
  <c r="I9" i="18"/>
  <c r="I7" i="18"/>
  <c r="H21" i="34"/>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<sst xmlns="http://schemas.openxmlformats.org/spreadsheetml/2006/main" count="758" uniqueCount="445">
  <si>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</si>
  <si>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</si>
  <si>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</si>
  <si>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</si>
  <si>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</si>
  <si>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</si>
  <si>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</si>
  <si>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</si>
  <si>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</si>
  <si>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</si>
  <si>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</si>
  <si>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</si>
  <si>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</si>
  <si>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</si>
  <si>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</si>
  <si>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</si>
  <si>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</si>
  <si>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</si>
  <si>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</si>
  <si>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</si>
  <si>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</si>
  <si>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</si>
  <si>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</si>
  <si>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</si>
  <si>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</si>
  <si>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</si>
  <si>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</si>
  <si>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</si>
  <si>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</si>
  <si>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</si>
  <si>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</si>
  <si>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</si>
  <si>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</si>
  <si>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</si>
  <si>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</si>
  <si>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</si>
  <si>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</si>
  <si>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</si>
  <si>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</si>
  <si>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</si>
  <si>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</si>
  <si>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</si>
  <si>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</si>
  <si>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</si>
  <si>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</si>
  <si>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</si>
  <si>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</si>
  <si>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</si>
  <si>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</si>
  <si>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</si>
  <si>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</si>
  <si>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</si>
  <si>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</si>
  <si>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</si>
  <si>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</si>
  <si>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</si>
  <si>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</si>
  <si>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</si>
  <si>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</si>
  <si>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</si>
  <si>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</si>
  <si>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</si>
  <si>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</si>
  <si>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</si>
  <si>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</si>
  <si>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</si>
  <si>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</si>
  <si>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</si>
  <si>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</si>
  <si>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</si>
  <si>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</si>
  <si>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</si>
  <si>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</si>
  <si>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</si>
  <si>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</si>
  <si>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</si>
  <si>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</si>
  <si>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</si>
  <si>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</si>
  <si>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</si>
  <si>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</si>
  <si>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</si>
  <si>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</si>
  <si>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</si>
  <si>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</si>
  <si>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</si>
  <si>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</si>
  <si>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</si>
  <si>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</si>
  <si>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</si>
  <si>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</si>
  <si>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</si>
  <si>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</si>
  <si>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</si>
  <si>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</si>
  <si>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</si>
  <si>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</si>
  <si>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</si>
  <si>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</si>
  <si>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</si>
  <si>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</si>
  <si>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</si>
  <si>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</si>
  <si>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</si>
  <si>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</si>
  <si>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</si>
  <si>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</si>
  <si>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</si>
  <si>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</si>
  <si>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</si>
  <si>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</si>
  <si>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</si>
  <si>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</si>
  <si>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</si>
  <si>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</si>
  <si>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</si>
  <si>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</si>
  <si>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</si>
  <si>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</si>
  <si>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</si>
  <si>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</si>
  <si>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</si>
  <si>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</si>
  <si>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</si>
  <si>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</si>
  <si>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</si>
  <si>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</si>
  <si>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</si>
  <si>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</si>
  <si>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</si>
  <si>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</si>
  <si>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</si>
  <si>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family val="2"/>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family val="2"/>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</si>
  <si>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</si>
  <si>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</si>
  <si>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</si>
  <si>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</si>
  <si>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</si>
  <si>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</si>
  <si>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</si>
  <si>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</si>
  <si>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</si>
  <si>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</si>
  <si>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</si>
  <si>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</si>
  <si>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</si>
  <si>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</si>
  <si>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</si>
  <si>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</si>
  <si>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</si>
  <si>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</si>
  <si>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</si>
  <si>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</si>
  <si>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</si>
  <si>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</si>
  <si>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</si>
  <si>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</si>
  <si>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</si>
  <si>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</si>
  <si>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</si>
  <si>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</si>
  <si>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</si>
  <si>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</si>
  <si>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</si>
  <si>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</si>
  <si>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</si>
  <si>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</si>
  <si>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</si>
  <si>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</si>
  <si>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</si>
  <si>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</si>
  <si>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</si>
  <si>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</si>
  <si>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</si>
  <si>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1. Inverter 12 was tripped offline on 05/13 at 09:00 due to blown fuse on 05/13 the technician replaced a fuse on phase B of inverter 12.
2. Inverter 20 was tripped offline on 05/05 at 11:00 due to blown fuse on phase A on 05/13 technician replaced fuse on phase A.
3. Inverters 3, 5, 18 were offline from 05/01 due to blown fuse on phase A of inverters, on 05/13 technician replaced the fuse on A phase.
4. No forcasted data available from 03/27 as Aderis was doing backend work.</t>
  </si>
  <si>
    <t>1. SR101370
2. SR101027
3. SR100199</t>
  </si>
  <si>
    <t>SR101027</t>
  </si>
  <si>
    <t xml:space="preserve">1.Inverter 1 was reading no production from 13:30 on 05/01  and was showing proper production from 05/02 at 16:45 EDT. Issue got self resolved.
2. Site tripped offline at 13:30 on 04/29 as technicians are on site to troubleshoot the BESS system and site was back online at 16:30 on 05/02 after the utility power was restored.
3. Inverter 1 tripped offline at 12:45 on 05/09. Later self resolved and back online at 13:00 on 05/10
</t>
  </si>
  <si>
    <t xml:space="preserve">1.SR100654,SR100896
2.SR100654,PM 8020
3.SR101246
</t>
  </si>
  <si>
    <t>SR100896</t>
  </si>
  <si>
    <t>SR101246</t>
  </si>
  <si>
    <t>1.Site remained offline from 17:45 on 05/08 to 08:30 on 05/13 .Site was back online after the technician has reset the relay and main breaker on 05/13.
2.The site was offline from 12:30 to 13:30 on 05/27 due to technicians being onsite for preventive maintenance.
3. Inverter 10 has a history of late start ups.</t>
  </si>
  <si>
    <t>1.SR101207
2.PM7960</t>
  </si>
  <si>
    <t>1.Site was offline from 05:00 to 09:30 on 05/31. Site was back online after the utility power has been restored.</t>
  </si>
  <si>
    <t>1.SR102215</t>
  </si>
  <si>
    <t>1. Site production was low on 05/09, 05/22, 05/23 and 05/29 due to rain.</t>
  </si>
  <si>
    <t>1. Inverter 3 right unit has been offline since 15:00 EDT on 05/01, resulting in an approximate production loss of 10 kW. On 05/29 technician  found that the right unit needs to be replaced, and an RMA case has been initiated with the OEM, and mentioned  that Inverter 3 will remain offline until the right unit is replaced.</t>
  </si>
  <si>
    <t>1.SR100950</t>
  </si>
  <si>
    <t>1.The site has been experiencing brief outages at short intervals on multiple days. Energy values of inverters are reporting at constant value of 0 on 05/10 and 05/29</t>
  </si>
  <si>
    <t>1.Inverter 2.6 is not communicating following replacement. All settings and RS485 connections were verified, and no issues were identified. A follow-up visit to the site will be required for further investigation
2.Inverter 2.9 was offline from 06:15 to 11:45 on 05/03. Issue got self resolved.
3.Inverter 2.6 was offline through out the month.Required further troubleshooting
4.Inverter 2.4 is derated by 32.35kW from 12:30 to 15:10 on 05/26 and reporting "Fault (Inverter current imbalance)" in CPS portal.Issue got self resolved on 05/27</t>
  </si>
  <si>
    <t>1.SR100368
2.SR100507
3.SR100837
4.SR101937</t>
  </si>
  <si>
    <t>SR100507</t>
  </si>
  <si>
    <t>SR100837</t>
  </si>
  <si>
    <t>SR101937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</si>
  <si>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t>
  </si>
  <si>
    <t>1.SR098941</t>
  </si>
  <si>
    <t>1.Inverter 1 tripped offline at 12:15 on 05/10 and back online on 05/11.Inverter 1 was again offline from 05/12 to 12:00 on 05/14.Inverter 1 was back online after the technician has cleared arc fault and reset the inverter and he mentioned i string is isolated for further investigation.
2.Inverter 5 was down a string. Technicians checked into the site on 05/13 to address the issue but failed to do so due to bad weather conditions. This issue requires further troubleshooting
3.Inverter 7 is underperforming by 10 kW, and the MPPTs are unbalanced. On 05/14, technicians attended the site and found that Inverter 7 was reading normally, but Inverter 5 was reading 10 kW lower than the other inverters. The issue was followed up with the Solis technical support team, and we are currently awaiting their response.</t>
  </si>
  <si>
    <t>1.SR099959,SR101259
2.SR099959
3.SR100904</t>
  </si>
  <si>
    <t>SR101259</t>
  </si>
  <si>
    <t>SR099959</t>
  </si>
  <si>
    <t>SR100904</t>
  </si>
  <si>
    <t>1.Site tripped offline at 12:45 on 05/15 and remained offline for rest of the month.The Operations team received information that the site was scheduled for shutdown and will remain offline until further notice</t>
  </si>
  <si>
    <t>1.SR101516</t>
  </si>
  <si>
    <t>1.Inverter 6 experiencing multiple tripping events throughout the month and reporting "Fault to stop The Grid Interference Protection. Waiting on Catalyze response.
2.Site tripped offline at 13:30 on 05/15 and remained offline for rest of the month.The Operations team received information that the site was scheduled for shutdown and will remain offline until further notice</t>
  </si>
  <si>
    <t>1.SR098463
2.SR101517</t>
  </si>
  <si>
    <t>SR101517</t>
  </si>
  <si>
    <t>1. Site production was low on 05/02, 05/04, 05/06, 05/09, 05/10 due to rain.</t>
  </si>
  <si>
    <t>1.On 04/23, the technician identified thermal damage to Inverter 1 and several PV strings. The affected inverter and PV strings were isolated. Inverter 1 was replaced on 05/09, and has been performing as expected since the replacement
2.Inverter 3 is producing less power  between 11:00 to 14:30 starting from 05/08/25 possibly due to shading on some of the panels.Waiting for the client approval to dispatch</t>
  </si>
  <si>
    <t>1.SR100043
2.SR101794</t>
  </si>
  <si>
    <t>SR101794</t>
  </si>
  <si>
    <t xml:space="preserve">1.Inverter 7 middle unit tripped offline at 09:00 on 05/12 and reporting an " Ground Current - RCD "and was back online at 07:00 on 05/21. Its right unit was tripped off at 12:15 on 05/22,technician checked in on 05/23 and stated that there was 1 blown fuse in the right unit and replaced it after that it was back online at 12:15 on 05/23.
2.Inverter 6 was offline since 05/23/25 after technician checked in he stated that it will remain offline untill the parts are replaced.
3.Inverter 3 right unit was tripped offline at 12:15 on 05/22 after technician checked in on 05/23 he replaced the Rma'd right now after which all the units are producing as they should.
4. Inverter 11 central unit has been RMA'd from 03/31. Pending shipment - case 5655526 and the provided RMA number is R2025041717074141.
</t>
  </si>
  <si>
    <t>1.SR101758
2.SR099915
3.SR099672
4.SR098878</t>
  </si>
  <si>
    <t>1.Site tripped offline at 12:30 on 05/15, meter 2 voltages dropped to zero but meter 1 voltages are available remained same through out the month
2.Inverter 3.3 is intermittently derating by 20 kW since 05/03
3. Inverters 1.7 and 2.7 were offline at 16:37 on 05/10 and were back online at 10:15 on 05/11
4. Site tripped offline at 16:38 on 05/10, meter voltages dropped to zero. Recloser voltages are available and was back online at 18:00 CDT on the same day.</t>
  </si>
  <si>
    <t>1.SR101493
2.SR101392
3.SR101275
4.SR101271</t>
  </si>
  <si>
    <t>SR101392</t>
  </si>
  <si>
    <t>SR101275</t>
  </si>
  <si>
    <t>SR101271</t>
  </si>
  <si>
    <t>June Actual v. Expected</t>
  </si>
  <si>
    <t>June Actual v. Forecasted</t>
  </si>
  <si>
    <t>1.SR102597, SR098835</t>
  </si>
  <si>
    <t>1. Inverter 1 is underperforming by ~10kW and is not communicating to SMA portal. Inverter 21 underperforming by ~10kW consistently and ~20kW during high irradiance days. Site was shut down on 06/18 at 10:15am due to transformer issue till the date
2. inverter 5 tripped offline on 6/15/25 at 13:00 through out the month
3. No forcasted data available from 03/27 as Aderis was doing backend work.</t>
  </si>
  <si>
    <t>1.SR102554
2.SR103010</t>
  </si>
  <si>
    <t>SR103010</t>
  </si>
  <si>
    <t>1. Site tripped offline at 13:00 on 06/20 and later back online at 10:15 on 06/21
2.Site tripped offline at 12:00pm on 06/23 and later back online by remote reset at 16:00 on 06/24
3. Technician de-energised the site on 06/16 from 09:00 am to 10:45am to clean the filters 
4. CB 2 String 9, CB 4 Strings 5 &amp; 6, CB8 Strings 9 &amp;11, CB20 String 2 were offline from 06/01 to 06/03 and CB 2 String 3 remained offline</t>
  </si>
  <si>
    <t>1.SR103231
2.SR103350
3. SR102941
4. SR102312, SR102586</t>
  </si>
  <si>
    <t>SR103350</t>
  </si>
  <si>
    <t>SR102941</t>
  </si>
  <si>
    <t>SR102312</t>
  </si>
  <si>
    <t>SR102586</t>
  </si>
  <si>
    <t>1.Inverter 10 is starting up late. Reporting PV abnormal input - Protect0260 through out the month and inverter 10 was offline on 06/26.
2.Inverter 7 is tripping on and offline on 06/01 later back to normal operation on 06/03</t>
  </si>
  <si>
    <t>1.SR103596
2.SR102260</t>
  </si>
  <si>
    <t>SR102260</t>
  </si>
  <si>
    <t>1. Low production/generation due to  low irradiance on 06/07, 06/09, 06/10, 06/14, 06/17, 06/18, 06/26</t>
  </si>
  <si>
    <t>1.Inverter 3 right unit is offline from 05/01 at 15:00, inverter was kept offline from 05/29 at 13:00 and  being RMA'd. through out the month</t>
  </si>
  <si>
    <t>1. Low production/generation due to  low irradiance on 06/07, 06/09, 06/10, 06/14, 06/17, 06/18, 06/26, 06/27</t>
  </si>
  <si>
    <t>1.CB (DC zones 2 and 3) are showing 0 values from 06/16
2.SEL relay tripped open  at 22:45 0n 06/05 and back online at 09:00 on 06/06 and again tripped offline between 01:15 to 08:45 on 06/07 and again tripped offline at 18:45 on 06/07 and back online at 08:00 on 06/08 and again tripped offline at 17:30 on 06/14 and back online at 10:15 on 06/16
3. Tracker position 2 has been stuck at 0.99 degrees from 06/06</t>
  </si>
  <si>
    <t>1.SR102452
2.SR102558
3.SR102830, SR103022</t>
  </si>
  <si>
    <t>SR102558</t>
  </si>
  <si>
    <t>SR102830</t>
  </si>
  <si>
    <t>SR103022</t>
  </si>
  <si>
    <t>1. All inverters went offline at 20:45 on 06/05 due to a "Fault: Loss of Main - GridV.OutLim" and came back online at 15:30 on 06/06.
2. Inverter 1.5 has been derating at 32.6 kW since 11:45 on 06/10 due to an "Inverter Current Imbalance" and resumed normal production along with its peers at 15:00 on 06/24.
3. Site tripped offline at 11:15 on 06/11 and later came back online at 16:39 on 06/12.
4.Inverter 2.6 has been constantly derating at 2.90 kW since 06/14, and the inverter is being RMA’d.</t>
  </si>
  <si>
    <t>1. SR102589
2. SR102778
3. SR102827
4. SR100368, SR102999, SR103566</t>
  </si>
  <si>
    <t>SR102778</t>
  </si>
  <si>
    <t>SR102827</t>
  </si>
  <si>
    <t>SR100368</t>
  </si>
  <si>
    <t>SR102999</t>
  </si>
  <si>
    <t>SR103566</t>
  </si>
  <si>
    <t>1. All inverters went offline at 20:45 on 06/05 due to a "Fault: Loss of Main - GridV.OutLim" and came back online at 15:30 on 06/06.
2. Site tripped offline at 11:32 on 06/11 and later came back online at 16:42 on 06/12.
3. Inverters 4.6 and 4.8 have been offline since 06/26 due to "Fault Bus Sum High Fault - Fault0130".</t>
  </si>
  <si>
    <t>1. SR102588
2. SR102828
3. SR103584</t>
  </si>
  <si>
    <t>SR102828</t>
  </si>
  <si>
    <t>SR103584</t>
  </si>
  <si>
    <t>1. Inverter 7 was underproduced 10 kW lower than the other inverters from 05/02 to 06/26.</t>
  </si>
  <si>
    <t>1. SR100904</t>
  </si>
  <si>
    <t>1. The site tripped offline at 12:45 on 05/15 and will remain offline until further notice.</t>
  </si>
  <si>
    <t>1. SR101516</t>
  </si>
  <si>
    <t>1. The site tripped offline at 13:30 on 05/15 and will remain offline until further notice.</t>
  </si>
  <si>
    <t>1. SR101517</t>
  </si>
  <si>
    <t xml:space="preserve">1. Site was offline from 14:00 on 06/22 to 10:00 on 06/23.
2. Site was offline from 23:00 on 06/27 to 15:00 on 06/30. </t>
  </si>
  <si>
    <t>1. SR103278
2. PM8453, SR103928</t>
  </si>
  <si>
    <t>SR103928</t>
  </si>
  <si>
    <t>1. Inverter 3 is producing less power  between 11:00 to 14:30 starting from 05/08.</t>
  </si>
  <si>
    <t>1. SR101794, SR103308</t>
  </si>
  <si>
    <t>SR103308</t>
  </si>
  <si>
    <t>1. Inverter 11 central unit has been RMA'd from 03/31.
2. Inverter 6 had been offline since 05/23 and came back online, resuming production from 06/24 after a firmware update.
3. The middle unit of Inverter 7 has been experiencing frequent trip events since 05/15 and is currently being RMA’d.
4. Inverter 1 went offline on 06/14 due to a "Grid Voltage" issue and came back online at 13:15 on 06/21 and inverter was underproduced 35kW from 06/21 to 06/23.
5. Inverter 7 center unit was being RMA'd.</t>
  </si>
  <si>
    <t>1. SR098878
2. SR099915
3. SR101758
4. SR102980
5. SR101758</t>
  </si>
  <si>
    <t>SR101758</t>
  </si>
  <si>
    <t>SR102980</t>
  </si>
  <si>
    <t>1.The site tripped offline at 12:30 on 05/15 and will remain offline until further notice.</t>
  </si>
  <si>
    <t>1. SR101493</t>
  </si>
  <si>
    <t>July Actual v. Expected</t>
  </si>
  <si>
    <t>July Actual v. Forecasted</t>
  </si>
  <si>
    <t>1. Inverter 5 has experienced multiple tripping events since 12/30 due to a "Fault to Stop DC Wrong Polarity". Inverter being RMA'D</t>
  </si>
  <si>
    <t>1.SR102597</t>
  </si>
  <si>
    <t xml:space="preserve"> 1. Site was shut down on 06/18 at 10:15am due to transformer issue till the date
2. No forcasted data available from 03/27 after Aderis has done some backend work.</t>
  </si>
  <si>
    <t xml:space="preserve">1.SR102554
</t>
  </si>
  <si>
    <t>1. Inverter tripped offline at 17:15 on 07/27 and later backonline at 08:30 on 07/28</t>
  </si>
  <si>
    <t>1.SR105137</t>
  </si>
  <si>
    <t>1. Low production/generation due to  low irradiance on 07/09, 07/10, 07/27</t>
  </si>
  <si>
    <t xml:space="preserve">1. Inverter 3 was kept offline from 05/29 at 13:00 and  being RMA'd. </t>
  </si>
  <si>
    <t>1.Tracker 2 is currently stuck at 1.25 DEG from 06/13</t>
  </si>
  <si>
    <t>1.SR103022</t>
  </si>
  <si>
    <t>1.Inverter 2.6 has tripping offline since 06/11, and the inverter is being RMA’d. Inverter 2.4 has been experiencing mid-morning/early afternoon trip events and staying offline since 6/28
2.Site tripped offline at 09:11AM on 07/06 and back online 08:45 on 07/07</t>
  </si>
  <si>
    <t>1.SR103842
2.SR104049</t>
  </si>
  <si>
    <t>SR104049</t>
  </si>
  <si>
    <t>1.Site tripped offline at 09:11AM on 07/06 and back online 08:45 on 07/07
2.Inverters 4.6 and 4.8 have been offline since 06/26 due to "Fault Bus Sum High Fault - Fault0130".
3.Inverter 4.9  has mutliple tripping event from 07/26
4.Inverter 4.3 is derating at 35kW from 07/28 at 11:00 and offline on 07/20</t>
  </si>
  <si>
    <t>1.SR104050
2.SR103584
3.SR105109
4.SR105181</t>
  </si>
  <si>
    <t>SR105109</t>
  </si>
  <si>
    <t>SR105181</t>
  </si>
  <si>
    <t>-</t>
  </si>
  <si>
    <t>1.SR101516,SR104969</t>
  </si>
  <si>
    <t>SR104969</t>
  </si>
  <si>
    <t>1.SR101517,SR104968</t>
  </si>
  <si>
    <t>SR104968</t>
  </si>
  <si>
    <t>1.Site tripped offline at 14:29 on 07/04 and back online at 13:15 on 07/06
2.Site tripped offline at 05:00 on 07/08 and back online at 06:30 on 07/09
3.Site tripped offline at 12:30 on 07/20 and back online at 12:15 on 07/21</t>
  </si>
  <si>
    <t>1.SR104026
2.SR104133
3.SR104663</t>
  </si>
  <si>
    <t>SR104133</t>
  </si>
  <si>
    <t>SR104663</t>
  </si>
  <si>
    <t>1.Inverter 3 middle unit and right unit tripped offline on 07/01 at 16:00 and back online on 07/14
2.Inverter 10 tripped offline at 14:30 on 07/17 and offline throught the month
3. Inverter 7 tripped offline at 06:30 on 07/21 and back online on 07/27
4. inverter 4 unit 4.2 was tripped offline on 04/13 at 12:15 and back online at 11:00 on 07/29
5. Inverter 11 center unit was offline from 03/31 to 12:30 on 07/29. Since 07/29 inverter 11 was underperforming due to string 3 of the left unit requires additional troubleshooting</t>
  </si>
  <si>
    <t>1.SR104022
2.SR104573
3.SR104743
4.SR105104
5. SR098878, SR104573</t>
  </si>
  <si>
    <t>SR104573</t>
  </si>
  <si>
    <t>SR104743</t>
  </si>
  <si>
    <t>SR105104</t>
  </si>
  <si>
    <t>1.SR101493</t>
  </si>
  <si>
    <t>August Actual v. Expected</t>
  </si>
  <si>
    <t>August Actual v. Forecasted</t>
  </si>
  <si>
    <t>1. Inverter 5 was offline from 10:00 on 07/21 to 13:00 on 08/06.</t>
  </si>
  <si>
    <t>1. SR102597</t>
  </si>
  <si>
    <t>N/A</t>
  </si>
  <si>
    <t>1. Inverter 8 was offline from 06:00 on 08/12 to 18:00 on 08/13 and inverter 12 was offline from 12:10 on 08/12 to 18:00 on 08/13
2. Site was offline from 08/01 to 08/10 at 06:00, but on 08/11 inverter 17 didn't start for production later on 08/13 technician brought the inverter 17 back online at 16:00
3. No forcasted data available from 03/27 after Aderis has done some backend work.</t>
  </si>
  <si>
    <t>1. SR106140
2. SR103751, SR105980, 	SR103010</t>
  </si>
  <si>
    <t>SR103751</t>
  </si>
  <si>
    <t>SR105980</t>
  </si>
  <si>
    <t>1. Inverter 1 was offline from 09:45 to 11:45 on 08/14 and again offline from 15:30 to 17:45 on 08/17.</t>
  </si>
  <si>
    <t>1. SR106259</t>
  </si>
  <si>
    <t>1. Inverter 3 was offline for whole month.</t>
  </si>
  <si>
    <t>1. SR100950</t>
  </si>
  <si>
    <t>1. Site was offline from 07:00 to 08:10 on 08/28.</t>
  </si>
  <si>
    <t>1. SR107065</t>
  </si>
  <si>
    <t>1. Site was offline from 14:15 on 08/17 to 16:00 on 08/26 and inverter 1.9 was LOTO'd for whole month and being RMA'd 
2. Inverter 2.6 was offline for whole month and being RMA'd. Inverter 2.4 was offline from 08/01 to16:00 on 08/26</t>
  </si>
  <si>
    <t>1. SR106396, SR100507
2. 	SR103842</t>
  </si>
  <si>
    <t>SR103842</t>
  </si>
  <si>
    <t xml:space="preserve">1. Inverters 4.6 and 4.8 were offline form 08/01 to 08/04 and inverters were offline from 08/13 to 08:15. Inverters 3.1, 3.3, 3.4, 3.7,3.9,3.10 and 4.9  were offline from 13:15 on 08/18 to 07:15 on 08/20 and again they are offline from 14:00 on 08/21 to 08:00 on 08/22.  Inverters 3.1 to 3.3, 3.5 , 3.7, 4.6 and 4.9 were offline from 17:45 on 08/24 to 07:15 on 08/26.  Inverters 3.4, 3.6 - 3.10, and 4.1 - 4.3  were offline from 08/27 at 08:00 to End of month.
2. Site was offline from 14:15 on 08/17 to 08:45 on 08/18
3. PAD 4 inverters tripped offline at 16:00 on 08/01 and back online at 06:00 on 08/02.
</t>
  </si>
  <si>
    <t xml:space="preserve">1. SR103584
2. SR106397
3. SR105521
</t>
  </si>
  <si>
    <t>SR106397</t>
  </si>
  <si>
    <t>SR105521</t>
  </si>
  <si>
    <t>1.Inverter 5 was underperforming by 6kW due to shading at afternoon hours</t>
  </si>
  <si>
    <t>1.SR099959</t>
  </si>
  <si>
    <t>1. Site was offline for whole month due to TIGO issues.</t>
  </si>
  <si>
    <t>1. SR104969</t>
  </si>
  <si>
    <t>1. SR104968</t>
  </si>
  <si>
    <t>1. Inverter 4 tripped offline at 09:30 on 08/27 and back online at 06:00 on 08/28 and again inverter 4 was offline from 09:00 on 08/28 to
2. Site was offline from 17:30 on 08/17 to 08:30 on 08/18. 
3. Site was offline from 18:45 on 08/14 to 10:00 on 08/15.</t>
  </si>
  <si>
    <t>1. SR107030
2. SR106401
3. SR106315</t>
  </si>
  <si>
    <t>SR106401</t>
  </si>
  <si>
    <t>SR106315</t>
  </si>
  <si>
    <t>1. Inverter 7 middle and center units were offline from 06/24 to end of the month and inverter 7 right unit was offline from 06:00 on 08/09 to end of the month.
2. Inverter 4 unit 4.1 was offline from 11:00 on 08/23 to end of the month. 
3. Inverter 6 was offline from 06:00 on 08/04 to 10:00 on 08/08
4. Inverter 2 was tripped offline on 08/26 at 18:00
5. Inverter 8 unit 8.6 was offline from 09:15 on 08/18 to end of the month.
6. Inverter 11 had string 3 down.</t>
  </si>
  <si>
    <t>1. SR104743, SR101758
2. SR106796
3. SR105582
4. SR106973
5. SR107165
6. SR098747</t>
  </si>
  <si>
    <t>SR106796</t>
  </si>
  <si>
    <t>SR105582</t>
  </si>
  <si>
    <t>SR106973</t>
  </si>
  <si>
    <t>SR107165</t>
  </si>
  <si>
    <t>SR098747</t>
  </si>
  <si>
    <t>1. 	SR106827</t>
  </si>
  <si>
    <t>1. Inverter 9 was underproducing by 6kW due to afternoon shading.</t>
  </si>
  <si>
    <t>1.  Site was curtailed to to 12 kW, despite having a capacity of 1600 kW.</t>
  </si>
  <si>
    <t>1. SR105503</t>
  </si>
  <si>
    <t>1.Site was offline from 08/14 at 15:15 and it came back online at 17:30 on 08/19</t>
  </si>
  <si>
    <t>1.SR106073</t>
  </si>
  <si>
    <t>September Actual v. Expected</t>
  </si>
  <si>
    <t>September Actual v. Forecasted</t>
  </si>
  <si>
    <t>1. Inverter 12 was offline from 13:00 on 09/23 to end of the month.
2. Inverter 1 was offline from 09/01 to 11:00 on 09/05
3. Inverter 11 was offline from 09/26 to end of month and being RMA'd
4. Inverter 2 was offline from 09/26 to end of month and being RMA'd</t>
  </si>
  <si>
    <t>1. SR108478
2. SR107289
3. SR108629
4. SR108628</t>
  </si>
  <si>
    <t>1. Site was offline from 18:00 on 09/10 to 11:15 on 09/11 and again the site was offline from 15:30 on 09/11 to 13:45 on 09/16.</t>
  </si>
  <si>
    <t>1. SR107920, SR107793</t>
  </si>
  <si>
    <t>1. Inverter 1 was offline from 07:00 on 09/21 to end of the day on 09/21.</t>
  </si>
  <si>
    <t>1. SR108317</t>
  </si>
  <si>
    <t>1. Morning shading was called out on several DC zones and inverter 2 from 6-9AM.
2. Site was offline from 19:00 to 20:30 on 09/29.</t>
  </si>
  <si>
    <t>1. SR106444
2. SR108742</t>
  </si>
  <si>
    <t>1. Inverter 1.9 was offline for whole month. 
2. Inverter 2.6 was offline for whole month.</t>
  </si>
  <si>
    <t>1. SR107283
2. SR103842</t>
  </si>
  <si>
    <t>1. Inverters 3.4, 4.8, 4.9 were offline for whole month. 
2. Site was offline from 06:00 on 09/06 to end of the month.</t>
  </si>
  <si>
    <t>1. SR106469
2. SR107546</t>
  </si>
  <si>
    <t>1. Inverter 4 was offline for whole month.</t>
  </si>
  <si>
    <t>1. SR107030</t>
  </si>
  <si>
    <t>1. Inverter 3 has afternoon shading.</t>
  </si>
  <si>
    <t>1. Inverter 2 was offline for whole month.
2. Inverter 7 was offline for whole month.
3. Inverter 4 unit 4.1 was offline from 07:00 on 09/09 to end of the month.
4. Inverter 8 right unit was offline from 07:00 on 09/01 to 16:00 on 09/02 and string 8 was isolated and offline for whole month.
5. Inverter 11 had string 3 down.</t>
  </si>
  <si>
    <t>1. SR106973
2. SR104743, SR101758
3. SR107806
4. SR107165
5. SR098747</t>
  </si>
  <si>
    <t>1.  Site was curtailed to to 12 kW, despite having a capacity of 1600 kW. Waiting for response from EPC.</t>
  </si>
  <si>
    <t>1. Site was offline from 08:00 on 09/11 to end of the month.</t>
  </si>
  <si>
    <t>1. SR107904</t>
  </si>
  <si>
    <t>1. SR107906, SR107786</t>
  </si>
  <si>
    <t>October Actual v. Expected</t>
  </si>
  <si>
    <t>October Actual v. Forecasted</t>
  </si>
  <si>
    <t>November Actual v. Expected</t>
  </si>
  <si>
    <t>November Actual v. Forecasted</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</si>
  <si>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</si>
  <si>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</si>
  <si>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</si>
  <si>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</si>
  <si>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</si>
  <si>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</si>
  <si>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</si>
  <si>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</si>
  <si>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</si>
  <si>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</si>
  <si>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</si>
  <si>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</si>
  <si>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</si>
  <si>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</si>
  <si>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</si>
  <si>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</si>
  <si>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</si>
  <si>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</si>
  <si>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</si>
  <si>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</si>
  <si>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</si>
  <si>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</si>
  <si>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</si>
  <si>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</si>
  <si>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</si>
  <si>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</si>
  <si>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</si>
  <si>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</si>
  <si>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</si>
  <si>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</si>
  <si>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Schoelles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</si>
  <si>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</si>
  <si>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</si>
  <si>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</si>
  <si>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</si>
  <si>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</si>
  <si>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</si>
  <si>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</si>
  <si>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</si>
  <si>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</si>
  <si>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</si>
  <si>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</si>
  <si>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</si>
  <si>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</si>
  <si>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</si>
  <si>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</si>
  <si>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</si>
  <si>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</si>
  <si>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</si>
  <si>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</si>
  <si>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</si>
  <si>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</si>
  <si>
    <t>NY: Clifton Springs - Ontario 2 (21597)</t>
  </si>
  <si>
    <t>CA Oxnard - 2600 Sakioka Dr System A - 18249</t>
  </si>
  <si>
    <t>CA: Oxnard - 2600 Sakioka - System A</t>
  </si>
  <si>
    <t>CA Oxnard - 2600 Sakioka Dr System B - 21387</t>
  </si>
  <si>
    <t>CA: Oxnard - 2600 Sakioka - System B</t>
  </si>
  <si>
    <t>NY FONDA 182 BOSHART RD - Montgomery 1 (21601)</t>
  </si>
  <si>
    <t>NY: Fonda - Montgomery 1 (21601)</t>
  </si>
  <si>
    <t>NY EVANS 7690 SOUTHWESTER BLVD - SL EVANS ARRAY 1 (21106)</t>
  </si>
  <si>
    <t>NY: Evans - SL Evans Array 1 (21106) - (PW)</t>
  </si>
  <si>
    <t>NY EVANS 7690 SOUTHWESTER BLVD - SL EVANS ARRAY 2 (21107)</t>
  </si>
  <si>
    <t>NY: Evans - SL Evans Array 2 (21107) - (PW)</t>
  </si>
  <si>
    <t>SR107289</t>
  </si>
  <si>
    <t>SR108629</t>
  </si>
  <si>
    <t>SR108628</t>
  </si>
  <si>
    <t>SR107793</t>
  </si>
  <si>
    <t>SR108742</t>
  </si>
  <si>
    <t>SR107546</t>
  </si>
  <si>
    <t>SR107806</t>
  </si>
  <si>
    <t>SR107786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</si>
</sst>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41"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b/>
      <sz val="11"/>
      <color rgb="FF000000"/>
      <name val="Calibri"/>
      <family val="2"/>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164"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0">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3" fontId="31" fillId="0" borderId="0" xfId="0" applyNumberFormat="1" applyFont="1" applyAlignment="1">
      <alignment horizontal="righ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5"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5"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5"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9" fontId="31" fillId="0" borderId="1" xfId="2" applyFont="1" applyBorder="1" applyAlignment="1">
      <alignment horizontal="center" vertical="center"/>
    </xf>
    <xf numFmtId="0" fontId="24" fillId="0" borderId="0" xfId="0" applyFont="1"/>
    <xf numFmtId="0" fontId="24" fillId="0" borderId="0" xfId="0" applyFont="1" applyAlignment="1">
      <alignment horizontal="left" vertical="top" wrapText="1"/>
    </xf>
    <xf numFmtId="49" fontId="38" fillId="0" borderId="1" xfId="45" applyNumberFormat="1" applyBorder="1" applyAlignment="1">
      <alignment horizontal="left" vertical="center" wrapText="1"/>
    </xf>
    <xf numFmtId="0" fontId="23" fillId="0" borderId="0" xfId="43" applyFont="1" applyAlignment="1">
      <alignment horizontal="left" vertical="top" wrapText="1"/>
    </xf>
    <xf numFmtId="3" fontId="31" fillId="0" borderId="1" xfId="1" applyNumberFormat="1" applyFont="1" applyFill="1" applyBorder="1" applyAlignment="1">
      <alignment horizontal="right" vertical="center"/>
    </xf>
    <xf numFmtId="0" fontId="33" fillId="0" borderId="0" xfId="0" applyFont="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38" fillId="0" borderId="1" xfId="45" applyNumberFormat="1" applyBorder="1" applyAlignment="1">
      <alignment vertical="center"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7" totalsRowShown="0">
  <autoFilter ref="A3:E27" xr:uid="{C9C95D9E-67ED-41E0-9F41-9C3DA4ACF4CD}"/>
  <sortState xmlns:xlrd2="http://schemas.microsoft.com/office/spreadsheetml/2017/richdata2" ref="A4:D6">
    <sortCondition ref="C3:C6"/>
  </sortState>
  <tableColumns count="5">
    <tableColumn id="3" xr3:uid="{3FB6FBC9-911C-415A-89D1-91E602B41CD0}" name="Site DAS Name" dataDxfId="54" dataCellStyle="Normal 2"/>
    <tableColumn id="1" xr3:uid="{9A753695-C18C-437C-AD9C-C2CE5C1A806E}" name="Site" dataDxfId="53" dataCellStyle="Normal 2"/>
    <tableColumn id="2" xr3:uid="{250F229D-34D2-4043-BE8F-6D9C210E223F}" name="State" dataDxfId="52"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0507" TargetMode="External"/><Relationship Id="rId18" Type="http://schemas.openxmlformats.org/officeDocument/2006/relationships/hyperlink" Target="https://us3.assetplanner.com/service_request?ID=101259" TargetMode="External"/><Relationship Id="rId26" Type="http://schemas.openxmlformats.org/officeDocument/2006/relationships/hyperlink" Target="https://us3.assetplanner.com/service_request?ID=101758" TargetMode="External"/><Relationship Id="rId3" Type="http://schemas.openxmlformats.org/officeDocument/2006/relationships/hyperlink" Target="https://us3.assetplanner.com/service_request?ID=100199" TargetMode="External"/><Relationship Id="rId21" Type="http://schemas.openxmlformats.org/officeDocument/2006/relationships/hyperlink" Target="https://us3.assetplanner.com/service_request?ID=101516" TargetMode="External"/><Relationship Id="rId7" Type="http://schemas.openxmlformats.org/officeDocument/2006/relationships/hyperlink" Target="https://us3.assetplanner.com/service_request?ID=101246" TargetMode="External"/><Relationship Id="rId12" Type="http://schemas.openxmlformats.org/officeDocument/2006/relationships/hyperlink" Target="https://us3.assetplanner.com/service_request?ID=100368" TargetMode="External"/><Relationship Id="rId17" Type="http://schemas.openxmlformats.org/officeDocument/2006/relationships/hyperlink" Target="https://us3.assetplanner.com/service_request?ID=099959" TargetMode="External"/><Relationship Id="rId25" Type="http://schemas.openxmlformats.org/officeDocument/2006/relationships/hyperlink" Target="https://us3.assetplanner.com/service_request?ID=101794" TargetMode="External"/><Relationship Id="rId33" Type="http://schemas.openxmlformats.org/officeDocument/2006/relationships/hyperlink" Target="https://us3.assetplanner.com/service_request?ID=101271" TargetMode="External"/><Relationship Id="rId2" Type="http://schemas.openxmlformats.org/officeDocument/2006/relationships/hyperlink" Target="https://us3.assetplanner.com/service_request?ID=101027" TargetMode="External"/><Relationship Id="rId16" Type="http://schemas.openxmlformats.org/officeDocument/2006/relationships/hyperlink" Target="https://us3.assetplanner.com/service_request?ID=098941" TargetMode="External"/><Relationship Id="rId20" Type="http://schemas.openxmlformats.org/officeDocument/2006/relationships/hyperlink" Target="https://us3.assetplanner.com/service_request?ID=100904"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101370" TargetMode="External"/><Relationship Id="rId6" Type="http://schemas.openxmlformats.org/officeDocument/2006/relationships/hyperlink" Target="https://us3.assetplanner.com/service_request?ID=100654" TargetMode="External"/><Relationship Id="rId11" Type="http://schemas.openxmlformats.org/officeDocument/2006/relationships/hyperlink" Target="https://us3.assetplanner.com/service_request?ID=100051" TargetMode="External"/><Relationship Id="rId24" Type="http://schemas.openxmlformats.org/officeDocument/2006/relationships/hyperlink" Target="https://us3.assetplanner.com/service_request?ID=100043" TargetMode="External"/><Relationship Id="rId32" Type="http://schemas.openxmlformats.org/officeDocument/2006/relationships/hyperlink" Target="https://us3.assetplanner.com/service_request?ID=101275" TargetMode="External"/><Relationship Id="rId5" Type="http://schemas.openxmlformats.org/officeDocument/2006/relationships/hyperlink" Target="https://us3.assetplanner.com/service_request?ID=100896" TargetMode="External"/><Relationship Id="rId15" Type="http://schemas.openxmlformats.org/officeDocument/2006/relationships/hyperlink" Target="https://us3.assetplanner.com/service_request?ID=101937" TargetMode="External"/><Relationship Id="rId23" Type="http://schemas.openxmlformats.org/officeDocument/2006/relationships/hyperlink" Target="https://us3.assetplanner.com/service_request?ID=101517" TargetMode="External"/><Relationship Id="rId28" Type="http://schemas.openxmlformats.org/officeDocument/2006/relationships/hyperlink" Target="https://us3.assetplanner.com/service_request?ID=099672" TargetMode="External"/><Relationship Id="rId10" Type="http://schemas.openxmlformats.org/officeDocument/2006/relationships/hyperlink" Target="https://us3.assetplanner.com/service_request?ID=100950" TargetMode="External"/><Relationship Id="rId19" Type="http://schemas.openxmlformats.org/officeDocument/2006/relationships/hyperlink" Target="https://us3.assetplanner.com/service_request?ID=099959" TargetMode="External"/><Relationship Id="rId31" Type="http://schemas.openxmlformats.org/officeDocument/2006/relationships/hyperlink" Target="https://us3.assetplanner.com/service_request?ID=101392" TargetMode="External"/><Relationship Id="rId4" Type="http://schemas.openxmlformats.org/officeDocument/2006/relationships/hyperlink" Target="https://us3.assetplanner.com/service_request?ID=100654" TargetMode="External"/><Relationship Id="rId9" Type="http://schemas.openxmlformats.org/officeDocument/2006/relationships/hyperlink" Target="https://us3.assetplanner.com/service_request?ID=102215" TargetMode="External"/><Relationship Id="rId14" Type="http://schemas.openxmlformats.org/officeDocument/2006/relationships/hyperlink" Target="https://us3.assetplanner.com/service_request?ID=100837" TargetMode="External"/><Relationship Id="rId22" Type="http://schemas.openxmlformats.org/officeDocument/2006/relationships/hyperlink" Target="https://us3.assetplanner.com/service_request?ID=098463" TargetMode="External"/><Relationship Id="rId27" Type="http://schemas.openxmlformats.org/officeDocument/2006/relationships/hyperlink" Target="https://us3.assetplanner.com/service_request?ID=099915" TargetMode="External"/><Relationship Id="rId30" Type="http://schemas.openxmlformats.org/officeDocument/2006/relationships/hyperlink" Target="https://us3.assetplanner.com/service_request?ID=101493" TargetMode="External"/><Relationship Id="rId8" Type="http://schemas.openxmlformats.org/officeDocument/2006/relationships/hyperlink" Target="https://us3.assetplanner.com/service_request?ID=10120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2452" TargetMode="External"/><Relationship Id="rId18" Type="http://schemas.openxmlformats.org/officeDocument/2006/relationships/hyperlink" Target="https://us3.assetplanner.com/service_request?ID=102778" TargetMode="External"/><Relationship Id="rId26" Type="http://schemas.openxmlformats.org/officeDocument/2006/relationships/hyperlink" Target="https://us3.assetplanner.com/service_request?ID=100904" TargetMode="External"/><Relationship Id="rId21" Type="http://schemas.openxmlformats.org/officeDocument/2006/relationships/hyperlink" Target="https://us3.assetplanner.com/service_request?ID=102999" TargetMode="External"/><Relationship Id="rId34" Type="http://schemas.openxmlformats.org/officeDocument/2006/relationships/hyperlink" Target="https://us3.assetplanner.com/service_request?ID=099915" TargetMode="External"/><Relationship Id="rId7" Type="http://schemas.openxmlformats.org/officeDocument/2006/relationships/hyperlink" Target="https://us3.assetplanner.com/service_request?ID=102941"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2589" TargetMode="External"/><Relationship Id="rId25" Type="http://schemas.openxmlformats.org/officeDocument/2006/relationships/hyperlink" Target="https://us3.assetplanner.com/service_request?ID=103584" TargetMode="External"/><Relationship Id="rId33" Type="http://schemas.openxmlformats.org/officeDocument/2006/relationships/hyperlink" Target="https://us3.assetplanner.com/service_request?ID=098878" TargetMode="External"/><Relationship Id="rId38"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103022" TargetMode="External"/><Relationship Id="rId20" Type="http://schemas.openxmlformats.org/officeDocument/2006/relationships/hyperlink" Target="https://us3.assetplanner.com/service_request?ID=100368" TargetMode="External"/><Relationship Id="rId29" Type="http://schemas.openxmlformats.org/officeDocument/2006/relationships/hyperlink" Target="https://us3.assetplanner.com/service_request?ID=103278"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350" TargetMode="External"/><Relationship Id="rId11" Type="http://schemas.openxmlformats.org/officeDocument/2006/relationships/hyperlink" Target="https://us3.assetplanner.com/service_request?ID=102260" TargetMode="External"/><Relationship Id="rId24" Type="http://schemas.openxmlformats.org/officeDocument/2006/relationships/hyperlink" Target="https://us3.assetplanner.com/service_request?ID=102828" TargetMode="External"/><Relationship Id="rId32" Type="http://schemas.openxmlformats.org/officeDocument/2006/relationships/hyperlink" Target="https://us3.assetplanner.com/service_request?ID=103308" TargetMode="External"/><Relationship Id="rId37" Type="http://schemas.openxmlformats.org/officeDocument/2006/relationships/hyperlink" Target="https://us3.assetplanner.com/service_request?ID=101758" TargetMode="External"/><Relationship Id="rId5" Type="http://schemas.openxmlformats.org/officeDocument/2006/relationships/hyperlink" Target="https://us3.assetplanner.com/service_request?ID=103231" TargetMode="External"/><Relationship Id="rId15" Type="http://schemas.openxmlformats.org/officeDocument/2006/relationships/hyperlink" Target="https://us3.assetplanner.com/service_request?ID=102830" TargetMode="External"/><Relationship Id="rId23" Type="http://schemas.openxmlformats.org/officeDocument/2006/relationships/hyperlink" Target="https://us3.assetplanner.com/service_request?ID=102588" TargetMode="External"/><Relationship Id="rId28" Type="http://schemas.openxmlformats.org/officeDocument/2006/relationships/hyperlink" Target="https://us3.assetplanner.com/service_request?ID=101517" TargetMode="External"/><Relationship Id="rId36" Type="http://schemas.openxmlformats.org/officeDocument/2006/relationships/hyperlink" Target="https://us3.assetplanner.com/service_request?ID=102980" TargetMode="External"/><Relationship Id="rId10" Type="http://schemas.openxmlformats.org/officeDocument/2006/relationships/hyperlink" Target="https://us3.assetplanner.com/service_request?ID=103596" TargetMode="External"/><Relationship Id="rId19" Type="http://schemas.openxmlformats.org/officeDocument/2006/relationships/hyperlink" Target="https://us3.assetplanner.com/service_request?ID=102827" TargetMode="External"/><Relationship Id="rId31" Type="http://schemas.openxmlformats.org/officeDocument/2006/relationships/hyperlink" Target="https://us3.assetplanner.com/service_request?ID=101794" TargetMode="External"/><Relationship Id="rId4" Type="http://schemas.openxmlformats.org/officeDocument/2006/relationships/hyperlink" Target="https://us3.assetplanner.com/service_request?ID=103010" TargetMode="External"/><Relationship Id="rId9" Type="http://schemas.openxmlformats.org/officeDocument/2006/relationships/hyperlink" Target="https://us3.assetplanner.com/service_request?ID=102586" TargetMode="External"/><Relationship Id="rId14" Type="http://schemas.openxmlformats.org/officeDocument/2006/relationships/hyperlink" Target="https://us3.assetplanner.com/service_request?ID=102558" TargetMode="External"/><Relationship Id="rId22" Type="http://schemas.openxmlformats.org/officeDocument/2006/relationships/hyperlink" Target="https://us3.assetplanner.com/service_request?ID=103566" TargetMode="External"/><Relationship Id="rId27" Type="http://schemas.openxmlformats.org/officeDocument/2006/relationships/hyperlink" Target="https://us3.assetplanner.com/service_request?ID=101516" TargetMode="External"/><Relationship Id="rId30" Type="http://schemas.openxmlformats.org/officeDocument/2006/relationships/hyperlink" Target="https://us3.assetplanner.com/service_request?ID=103928" TargetMode="External"/><Relationship Id="rId35" Type="http://schemas.openxmlformats.org/officeDocument/2006/relationships/hyperlink" Target="https://us3.assetplanner.com/service_request?ID=101758" TargetMode="External"/><Relationship Id="rId8" Type="http://schemas.openxmlformats.org/officeDocument/2006/relationships/hyperlink" Target="https://us3.assetplanner.com/service_request?ID=102312" TargetMode="External"/><Relationship Id="rId3" Type="http://schemas.openxmlformats.org/officeDocument/2006/relationships/hyperlink" Target="https://us3.assetplanner.com/service_request?ID=10255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050" TargetMode="External"/><Relationship Id="rId13" Type="http://schemas.openxmlformats.org/officeDocument/2006/relationships/hyperlink" Target="https://us3.assetplanner.com/service_request?ID=104969" TargetMode="External"/><Relationship Id="rId18" Type="http://schemas.openxmlformats.org/officeDocument/2006/relationships/hyperlink" Target="https://us3.assetplanner.com/service_request?ID=104663" TargetMode="External"/><Relationship Id="rId3" Type="http://schemas.openxmlformats.org/officeDocument/2006/relationships/hyperlink" Target="https://us3.assetplanner.com/service_request?ID=105137"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4049" TargetMode="External"/><Relationship Id="rId12" Type="http://schemas.openxmlformats.org/officeDocument/2006/relationships/hyperlink" Target="https://us3.assetplanner.com/service_request?ID=101516" TargetMode="External"/><Relationship Id="rId17" Type="http://schemas.openxmlformats.org/officeDocument/2006/relationships/hyperlink" Target="https://us3.assetplanner.com/service_request?ID=104133" TargetMode="External"/><Relationship Id="rId25"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102554" TargetMode="External"/><Relationship Id="rId16" Type="http://schemas.openxmlformats.org/officeDocument/2006/relationships/hyperlink" Target="https://us3.assetplanner.com/service_request?ID=104026" TargetMode="External"/><Relationship Id="rId20" Type="http://schemas.openxmlformats.org/officeDocument/2006/relationships/hyperlink" Target="https://us3.assetplanner.com/service_request?ID=104573"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842" TargetMode="External"/><Relationship Id="rId11" Type="http://schemas.openxmlformats.org/officeDocument/2006/relationships/hyperlink" Target="https://us3.assetplanner.com/service_request?ID=105181" TargetMode="External"/><Relationship Id="rId24" Type="http://schemas.openxmlformats.org/officeDocument/2006/relationships/hyperlink" Target="https://us3.assetplanner.com/service_request?ID=104573" TargetMode="External"/><Relationship Id="rId5" Type="http://schemas.openxmlformats.org/officeDocument/2006/relationships/hyperlink" Target="https://us3.assetplanner.com/service_request?ID=103022" TargetMode="External"/><Relationship Id="rId15" Type="http://schemas.openxmlformats.org/officeDocument/2006/relationships/hyperlink" Target="https://us3.assetplanner.com/service_request?ID=104968" TargetMode="External"/><Relationship Id="rId23" Type="http://schemas.openxmlformats.org/officeDocument/2006/relationships/hyperlink" Target="https://us3.assetplanner.com/service_request?ID=098878" TargetMode="External"/><Relationship Id="rId10" Type="http://schemas.openxmlformats.org/officeDocument/2006/relationships/hyperlink" Target="https://us3.assetplanner.com/service_request?ID=105109" TargetMode="External"/><Relationship Id="rId19" Type="http://schemas.openxmlformats.org/officeDocument/2006/relationships/hyperlink" Target="https://us3.assetplanner.com/service_request?ID=104022" TargetMode="External"/><Relationship Id="rId4" Type="http://schemas.openxmlformats.org/officeDocument/2006/relationships/hyperlink" Target="https://us3.assetplanner.com/service_request?ID=100950" TargetMode="External"/><Relationship Id="rId9" Type="http://schemas.openxmlformats.org/officeDocument/2006/relationships/hyperlink" Target="https://us3.assetplanner.com/service_request?ID=103584" TargetMode="External"/><Relationship Id="rId14" Type="http://schemas.openxmlformats.org/officeDocument/2006/relationships/hyperlink" Target="https://us3.assetplanner.com/service_request?ID=101517" TargetMode="External"/><Relationship Id="rId22" Type="http://schemas.openxmlformats.org/officeDocument/2006/relationships/hyperlink" Target="https://us3.assetplanner.com/service_request?ID=1051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7065" TargetMode="External"/><Relationship Id="rId13" Type="http://schemas.openxmlformats.org/officeDocument/2006/relationships/hyperlink" Target="https://us3.assetplanner.com/service_request?ID=106397" TargetMode="External"/><Relationship Id="rId18" Type="http://schemas.openxmlformats.org/officeDocument/2006/relationships/hyperlink" Target="https://us3.assetplanner.com/service_request?ID=107030" TargetMode="External"/><Relationship Id="rId26" Type="http://schemas.openxmlformats.org/officeDocument/2006/relationships/hyperlink" Target="https://us3.assetplanner.com/service_request?ID=107165" TargetMode="External"/><Relationship Id="rId3" Type="http://schemas.openxmlformats.org/officeDocument/2006/relationships/hyperlink" Target="https://us3.assetplanner.com/service_request?ID=103751"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0950" TargetMode="External"/><Relationship Id="rId12" Type="http://schemas.openxmlformats.org/officeDocument/2006/relationships/hyperlink" Target="https://us3.assetplanner.com/service_request?ID=103584" TargetMode="External"/><Relationship Id="rId17" Type="http://schemas.openxmlformats.org/officeDocument/2006/relationships/hyperlink" Target="https://us3.assetplanner.com/service_request?ID=104968" TargetMode="External"/><Relationship Id="rId25" Type="http://schemas.openxmlformats.org/officeDocument/2006/relationships/hyperlink" Target="https://us3.assetplanner.com/service_request?ID=106973" TargetMode="External"/><Relationship Id="rId2" Type="http://schemas.openxmlformats.org/officeDocument/2006/relationships/hyperlink" Target="https://us3.assetplanner.com/service_request?ID=106140" TargetMode="External"/><Relationship Id="rId16" Type="http://schemas.openxmlformats.org/officeDocument/2006/relationships/hyperlink" Target="https://us3.assetplanner.com/service_request?ID=104969" TargetMode="External"/><Relationship Id="rId20" Type="http://schemas.openxmlformats.org/officeDocument/2006/relationships/hyperlink" Target="https://us3.assetplanner.com/service_request?ID=106315" TargetMode="External"/><Relationship Id="rId29" Type="http://schemas.openxmlformats.org/officeDocument/2006/relationships/hyperlink" Target="https://us3.assetplanner.com/service_request?ID=106827"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6259" TargetMode="External"/><Relationship Id="rId11" Type="http://schemas.openxmlformats.org/officeDocument/2006/relationships/hyperlink" Target="https://us3.assetplanner.com/service_request?ID=103842" TargetMode="External"/><Relationship Id="rId24" Type="http://schemas.openxmlformats.org/officeDocument/2006/relationships/hyperlink" Target="https://us3.assetplanner.com/service_request?ID=105582" TargetMode="External"/><Relationship Id="rId5" Type="http://schemas.openxmlformats.org/officeDocument/2006/relationships/hyperlink" Target="https://us3.assetplanner.com/service_request?ID=103010" TargetMode="External"/><Relationship Id="rId15" Type="http://schemas.openxmlformats.org/officeDocument/2006/relationships/hyperlink" Target="https://us3.assetplanner.com/service_request?ID=099959" TargetMode="External"/><Relationship Id="rId23" Type="http://schemas.openxmlformats.org/officeDocument/2006/relationships/hyperlink" Target="https://us3.assetplanner.com/service_request?ID=106796" TargetMode="External"/><Relationship Id="rId28" Type="http://schemas.openxmlformats.org/officeDocument/2006/relationships/hyperlink" Target="https://us3.assetplanner.com/service_request?ID=101493" TargetMode="External"/><Relationship Id="rId10" Type="http://schemas.openxmlformats.org/officeDocument/2006/relationships/hyperlink" Target="https://us3.assetplanner.com/service_request?ID=100507" TargetMode="External"/><Relationship Id="rId19" Type="http://schemas.openxmlformats.org/officeDocument/2006/relationships/hyperlink" Target="https://us3.assetplanner.com/service_request?ID=106401" TargetMode="External"/><Relationship Id="rId31" Type="http://schemas.openxmlformats.org/officeDocument/2006/relationships/hyperlink" Target="https://us3.assetplanner.com/service_request?ID=106073" TargetMode="External"/><Relationship Id="rId4" Type="http://schemas.openxmlformats.org/officeDocument/2006/relationships/hyperlink" Target="https://us3.assetplanner.com/service_request?ID=105980" TargetMode="External"/><Relationship Id="rId9" Type="http://schemas.openxmlformats.org/officeDocument/2006/relationships/hyperlink" Target="https://us3.assetplanner.com/service_request?ID=106396" TargetMode="External"/><Relationship Id="rId14" Type="http://schemas.openxmlformats.org/officeDocument/2006/relationships/hyperlink" Target="https://us3.assetplanner.com/service_request?ID=105521"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098747" TargetMode="External"/><Relationship Id="rId30" Type="http://schemas.openxmlformats.org/officeDocument/2006/relationships/hyperlink" Target="https://us3.assetplanner.com/service_request?ID=10550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8628" TargetMode="External"/><Relationship Id="rId13" Type="http://schemas.openxmlformats.org/officeDocument/2006/relationships/hyperlink" Target="https://us3.assetplanner.com/service_request?ID=106444" TargetMode="External"/><Relationship Id="rId18" Type="http://schemas.openxmlformats.org/officeDocument/2006/relationships/hyperlink" Target="https://us3.assetplanner.com/service_request?ID=107546" TargetMode="External"/><Relationship Id="rId26" Type="http://schemas.openxmlformats.org/officeDocument/2006/relationships/hyperlink" Target="https://us3.assetplanner.com/service_request?ID=105503" TargetMode="External"/><Relationship Id="rId3" Type="http://schemas.openxmlformats.org/officeDocument/2006/relationships/hyperlink" Target="https://us3.assetplanner.com/service_request?ID=099959"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8629"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6469" TargetMode="External"/><Relationship Id="rId25" Type="http://schemas.openxmlformats.org/officeDocument/2006/relationships/hyperlink" Target="https://us3.assetplanner.com/service_request?ID=098747" TargetMode="External"/><Relationship Id="rId2" Type="http://schemas.openxmlformats.org/officeDocument/2006/relationships/hyperlink" Target="https://us3.assetplanner.com/service_request?ID=104968" TargetMode="External"/><Relationship Id="rId16" Type="http://schemas.openxmlformats.org/officeDocument/2006/relationships/hyperlink" Target="https://us3.assetplanner.com/service_request?ID=103842" TargetMode="External"/><Relationship Id="rId20" Type="http://schemas.openxmlformats.org/officeDocument/2006/relationships/hyperlink" Target="https://us3.assetplanner.com/service_request?ID=106973" TargetMode="External"/><Relationship Id="rId29" Type="http://schemas.openxmlformats.org/officeDocument/2006/relationships/hyperlink" Target="https://us3.assetplanner.com/service_request?ID=107786" TargetMode="External"/><Relationship Id="rId1" Type="http://schemas.openxmlformats.org/officeDocument/2006/relationships/hyperlink" Target="https://us3.assetplanner.com/service_request?ID=104969" TargetMode="External"/><Relationship Id="rId6" Type="http://schemas.openxmlformats.org/officeDocument/2006/relationships/hyperlink" Target="https://us3.assetplanner.com/service_request?ID=107289" TargetMode="External"/><Relationship Id="rId11" Type="http://schemas.openxmlformats.org/officeDocument/2006/relationships/hyperlink" Target="https://us3.assetplanner.com/service_request?ID=108317" TargetMode="External"/><Relationship Id="rId24" Type="http://schemas.openxmlformats.org/officeDocument/2006/relationships/hyperlink" Target="https://us3.assetplanner.com/service_request?ID=107165" TargetMode="External"/><Relationship Id="rId5" Type="http://schemas.openxmlformats.org/officeDocument/2006/relationships/hyperlink" Target="https://us3.assetplanner.com/service_request?ID=108478" TargetMode="External"/><Relationship Id="rId15" Type="http://schemas.openxmlformats.org/officeDocument/2006/relationships/hyperlink" Target="https://us3.assetplanner.com/service_request?ID=107283" TargetMode="External"/><Relationship Id="rId23" Type="http://schemas.openxmlformats.org/officeDocument/2006/relationships/hyperlink" Target="https://us3.assetplanner.com/service_request?ID=107806" TargetMode="External"/><Relationship Id="rId28" Type="http://schemas.openxmlformats.org/officeDocument/2006/relationships/hyperlink" Target="https://us3.assetplanner.com/service_request?ID=107906" TargetMode="External"/><Relationship Id="rId10" Type="http://schemas.openxmlformats.org/officeDocument/2006/relationships/hyperlink" Target="https://us3.assetplanner.com/service_request?ID=107793" TargetMode="External"/><Relationship Id="rId19" Type="http://schemas.openxmlformats.org/officeDocument/2006/relationships/hyperlink" Target="https://us3.assetplanner.com/service_request?ID=107030" TargetMode="External"/><Relationship Id="rId4" Type="http://schemas.openxmlformats.org/officeDocument/2006/relationships/hyperlink" Target="https://us3.assetplanner.com/service_request?ID=101493" TargetMode="External"/><Relationship Id="rId9" Type="http://schemas.openxmlformats.org/officeDocument/2006/relationships/hyperlink" Target="https://us3.assetplanner.com/service_request?ID=107920" TargetMode="External"/><Relationship Id="rId14" Type="http://schemas.openxmlformats.org/officeDocument/2006/relationships/hyperlink" Target="https://us3.assetplanner.com/service_request?ID=108742"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10790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12" activePane="bottomRight" state="frozen"/>
      <selection pane="topRight"/>
      <selection pane="bottomLeft"/>
      <selection pane="bottomRight" activeCell="G33" sqref="G32:G33"/>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96" t="str" cm="1">
        <f t="array" ref="A1">portfolio</f>
        <v>Catalyze</v>
      </c>
      <c r="B1" s="96"/>
      <c r="C1" s="96"/>
      <c r="D1" s="97" t="s">
        <v>0</v>
      </c>
      <c r="E1" s="97"/>
      <c r="F1" s="97"/>
      <c r="G1" s="95" t="s">
        <v>1</v>
      </c>
      <c r="H1" s="95"/>
      <c r="I1" s="95"/>
    </row>
    <row r="2" spans="1:9" ht="19.5" customHeight="1" x14ac:dyDescent="0.25">
      <c r="A2" s="98" t="s">
        <v>2</v>
      </c>
      <c r="B2" s="98"/>
      <c r="C2" s="5">
        <f>SUM(C4:C92)</f>
        <v>43142590.71521616</v>
      </c>
      <c r="D2" s="5">
        <f>SUM(D4:D92)</f>
        <v>50344030.907100007</v>
      </c>
      <c r="E2" s="5">
        <f>C2-D2</f>
        <v>-7201440.1918838471</v>
      </c>
      <c r="F2" s="6">
        <f>IFERROR(E2/D2, 0)</f>
        <v>-0.14304456878259683</v>
      </c>
      <c r="G2" s="5">
        <f>SUM(G4:G92)</f>
        <v>51991892.252000004</v>
      </c>
      <c r="H2" s="7">
        <f>C2-G2</f>
        <v>-8849301.5367838442</v>
      </c>
      <c r="I2" s="6">
        <f>IFERROR(H2/G2, 0)</f>
        <v>-0.17020541383437401</v>
      </c>
    </row>
    <row r="3" spans="1:9" ht="14.25" customHeight="1" x14ac:dyDescent="0.25">
      <c r="A3" s="13" t="s">
        <v>3</v>
      </c>
      <c r="B3" s="13" t="s">
        <v>4</v>
      </c>
      <c r="C3" s="20" t="s">
        <v>5</v>
      </c>
      <c r="D3" s="21" t="s">
        <v>6</v>
      </c>
      <c r="E3" s="21" t="s">
        <v>7</v>
      </c>
      <c r="F3" s="22" t="s">
        <v>8</v>
      </c>
      <c r="G3" s="23" t="s">
        <v>9</v>
      </c>
      <c r="H3" s="24" t="s">
        <v>7</v>
      </c>
      <c r="I3" s="25" t="s">
        <v>8</v>
      </c>
    </row>
    <row r="4" spans="1:9" ht="15.6" x14ac:dyDescent="0.25">
      <c r="A4" s="27" t="str" cm="1">
        <f t="array" ref="A4:A27">Sites[Site]</f>
        <v>Fresno - 3150 Shaw Ave</v>
      </c>
      <c r="B4" s="28" t="str" cm="1">
        <f t="array" ref="B4:B27">Sites[State]</f>
        <v>CA</v>
      </c>
      <c r="C4" s="29">
        <f>SUM('1st Qtr'!C4, '2nd Qtr'!C4, '3rd Qtr'!C4, '4th Qtr'!C4)</f>
        <v>840381.5</v>
      </c>
      <c r="D4" s="30">
        <f>SUM('1st Qtr'!D4, '2nd Qtr'!D4, '3rd Qtr'!D4, '4th Qtr'!D4)</f>
        <v>825725.96</v>
      </c>
      <c r="E4" s="30">
        <f>IF(AND(ISNUMBER(C4),ISNUMBER(D4)), C4-D4, "")</f>
        <v>14655.540000000037</v>
      </c>
      <c r="F4" s="31">
        <f>IFERROR(E4/D4, "")</f>
        <v>1.774867293744772E-2</v>
      </c>
      <c r="G4" s="32">
        <f>SUM('1st Qtr'!G4, '2nd Qtr'!G4, '3rd Qtr'!G4, '4th Qtr'!G4)</f>
        <v>946559.96</v>
      </c>
      <c r="H4" s="32">
        <f>SUM('1st Qtr'!H4, '2nd Qtr'!H4, '3rd Qtr'!H4, '4th Qtr'!H4)</f>
        <v>-106178.46</v>
      </c>
      <c r="I4" s="33">
        <f>IFERROR(H4/G4, "")</f>
        <v>-0.11217298902015675</v>
      </c>
    </row>
    <row r="5" spans="1:9" ht="15.6" x14ac:dyDescent="0.25">
      <c r="A5" s="34" t="str">
        <v>Adelanto - 1 Sheep Creek Road</v>
      </c>
      <c r="B5" s="35" t="str">
        <v>CA</v>
      </c>
      <c r="C5" s="36">
        <f>SUM('1st Qtr'!C5, '2nd Qtr'!C5, '3rd Qtr'!C5, '4th Qtr'!C5)</f>
        <v>5124031</v>
      </c>
      <c r="D5" s="36">
        <f>SUM('1st Qtr'!D5, '2nd Qtr'!D5, '3rd Qtr'!D5, '4th Qtr'!D5)</f>
        <v>3875911.7981000002</v>
      </c>
      <c r="E5" s="37">
        <f t="shared" ref="E5:E15" si="0">IF(AND(ISNUMBER(C5),ISNUMBER(D5)), C5-D5, "")</f>
        <v>1248119.2018999998</v>
      </c>
      <c r="F5" s="38">
        <f>IFERROR(E5/D5, "")</f>
        <v>0.32201950583907424</v>
      </c>
      <c r="G5" s="39">
        <f>SUM('1st Qtr'!G5, '2nd Qtr'!G5, '3rd Qtr'!G5, '4th Qtr'!G5)</f>
        <v>1729663.7399999998</v>
      </c>
      <c r="H5" s="39">
        <f>SUM('1st Qtr'!H5, '2nd Qtr'!H5, '3rd Qtr'!H5, '4th Qtr'!H5)</f>
        <v>-142320.74</v>
      </c>
      <c r="I5" s="38">
        <f>IFERROR(H5/G5, "")</f>
        <v>-8.2282316908603298E-2</v>
      </c>
    </row>
    <row r="6" spans="1:9" ht="15.6" x14ac:dyDescent="0.25">
      <c r="A6" s="27" t="str">
        <v>Blackstone - 83 Federal Street</v>
      </c>
      <c r="B6" s="28" t="str">
        <v>MA</v>
      </c>
      <c r="C6" s="29">
        <f>SUM('1st Qtr'!C6, '2nd Qtr'!C6, '3rd Qtr'!C6, '4th Qtr'!C6)</f>
        <v>5523735.1022279356</v>
      </c>
      <c r="D6" s="30">
        <f>SUM('1st Qtr'!D6, '2nd Qtr'!D6, '3rd Qtr'!D6, '4th Qtr'!D6)</f>
        <v>6139740.3000000007</v>
      </c>
      <c r="E6" s="30">
        <f t="shared" si="0"/>
        <v>-616005.19777206518</v>
      </c>
      <c r="F6" s="31">
        <f t="shared" ref="F6:F15" si="1">IFERROR(E6/D6, "")</f>
        <v>-0.10033082307602899</v>
      </c>
      <c r="G6" s="32">
        <f>SUM('1st Qtr'!G6, '2nd Qtr'!G6, '3rd Qtr'!G6, '4th Qtr'!G6)</f>
        <v>6569844.9999999991</v>
      </c>
      <c r="H6" s="32">
        <f>SUM('1st Qtr'!H6, '2nd Qtr'!H6, '3rd Qtr'!H6, '4th Qtr'!H6)</f>
        <v>-1046109.8977720649</v>
      </c>
      <c r="I6" s="33">
        <f t="shared" ref="I6:I15" si="2">IFERROR(H6/G6, "")</f>
        <v>-0.15922900734675857</v>
      </c>
    </row>
    <row r="7" spans="1:9" ht="15.6" x14ac:dyDescent="0.25">
      <c r="A7" s="34" t="str">
        <v>Charlton - 299 Worcester Road</v>
      </c>
      <c r="B7" s="35" t="str">
        <v>MA</v>
      </c>
      <c r="C7" s="36">
        <f>SUM('1st Qtr'!C7, '2nd Qtr'!C7, '3rd Qtr'!C7, '4th Qtr'!C7)</f>
        <v>469612.75</v>
      </c>
      <c r="D7" s="36">
        <f>SUM('1st Qtr'!D7, '2nd Qtr'!D7, '3rd Qtr'!D7, '4th Qtr'!D7)</f>
        <v>509726.74</v>
      </c>
      <c r="E7" s="37">
        <f t="shared" si="0"/>
        <v>-40113.989999999991</v>
      </c>
      <c r="F7" s="38">
        <f t="shared" si="1"/>
        <v>-7.8697048540164863E-2</v>
      </c>
      <c r="G7" s="39">
        <f>SUM('1st Qtr'!G7, '2nd Qtr'!G7, '3rd Qtr'!G7, '4th Qtr'!G7)</f>
        <v>514271.15</v>
      </c>
      <c r="H7" s="39">
        <f>SUM('1st Qtr'!H7, '2nd Qtr'!H7, '3rd Qtr'!H7, '4th Qtr'!H7)</f>
        <v>-44658.400000000001</v>
      </c>
      <c r="I7" s="38">
        <f t="shared" si="2"/>
        <v>-8.6838236988405829E-2</v>
      </c>
    </row>
    <row r="8" spans="1:9" ht="15.6" x14ac:dyDescent="0.25">
      <c r="A8" s="27" t="str">
        <v>Wareham - 8 Thatcher Drive</v>
      </c>
      <c r="B8" s="28" t="str">
        <v>MA</v>
      </c>
      <c r="C8" s="29">
        <f>SUM('1st Qtr'!C8, '2nd Qtr'!C8, '3rd Qtr'!C8, '4th Qtr'!C8)</f>
        <v>144842.5625</v>
      </c>
      <c r="D8" s="30">
        <f>SUM('1st Qtr'!D8, '2nd Qtr'!D8, '3rd Qtr'!D8, '4th Qtr'!D8)</f>
        <v>152296.448</v>
      </c>
      <c r="E8" s="30">
        <f t="shared" si="0"/>
        <v>-7453.885500000004</v>
      </c>
      <c r="F8" s="31">
        <f t="shared" si="1"/>
        <v>-4.8943265571105135E-2</v>
      </c>
      <c r="G8" s="32">
        <f>SUM('1st Qtr'!G8, '2nd Qtr'!G8, '3rd Qtr'!G8, '4th Qtr'!G8)</f>
        <v>155990.83000000002</v>
      </c>
      <c r="H8" s="32">
        <f>SUM('1st Qtr'!H8, '2nd Qtr'!H8, '3rd Qtr'!H8, '4th Qtr'!H8)</f>
        <v>-11148.2675</v>
      </c>
      <c r="I8" s="33">
        <f t="shared" si="2"/>
        <v>-7.1467454208686484E-2</v>
      </c>
    </row>
    <row r="9" spans="1:9" ht="15.6" x14ac:dyDescent="0.25">
      <c r="A9" s="34" t="str">
        <v>West Yarmouth - 42 Mid Tech</v>
      </c>
      <c r="B9" s="35" t="str">
        <v>MA</v>
      </c>
      <c r="C9" s="36">
        <f>SUM('1st Qtr'!C9, '2nd Qtr'!C9, '3rd Qtr'!C9, '4th Qtr'!C9)</f>
        <v>128742.14574388516</v>
      </c>
      <c r="D9" s="36">
        <f>SUM('1st Qtr'!D9, '2nd Qtr'!D9, '3rd Qtr'!D9, '4th Qtr'!D9)</f>
        <v>145040.99</v>
      </c>
      <c r="E9" s="37">
        <f t="shared" si="0"/>
        <v>-16298.844256114826</v>
      </c>
      <c r="F9" s="38">
        <f t="shared" si="1"/>
        <v>-0.11237405547297234</v>
      </c>
      <c r="G9" s="39">
        <f>SUM('1st Qtr'!G9, '2nd Qtr'!G9, '3rd Qtr'!G9, '4th Qtr'!G9)</f>
        <v>153031.20699999999</v>
      </c>
      <c r="H9" s="39">
        <f>SUM('1st Qtr'!H9, '2nd Qtr'!H9, '3rd Qtr'!H9, '4th Qtr'!H9)</f>
        <v>-24289.061256114823</v>
      </c>
      <c r="I9" s="38">
        <f t="shared" si="2"/>
        <v>-0.1587196607298198</v>
      </c>
    </row>
    <row r="10" spans="1:9" ht="15.6" x14ac:dyDescent="0.25">
      <c r="A10" s="27" t="str">
        <v>Harrison - 130 Union Street</v>
      </c>
      <c r="B10" s="28" t="str">
        <v>NY</v>
      </c>
      <c r="C10" s="29">
        <f>SUM('1st Qtr'!C10, '2nd Qtr'!C10, '3rd Qtr'!C10, '4th Qtr'!C10)</f>
        <v>173741.8125</v>
      </c>
      <c r="D10" s="30">
        <f>SUM('1st Qtr'!D10, '2nd Qtr'!D10, '3rd Qtr'!D10, '4th Qtr'!D10)</f>
        <v>221022.62</v>
      </c>
      <c r="E10" s="30">
        <f t="shared" si="0"/>
        <v>-47280.807499999995</v>
      </c>
      <c r="F10" s="31">
        <f t="shared" si="1"/>
        <v>-0.21391841025140321</v>
      </c>
      <c r="G10" s="32">
        <f>SUM('1st Qtr'!G10, '2nd Qtr'!G10, '3rd Qtr'!G10, '4th Qtr'!G10)</f>
        <v>217265.18</v>
      </c>
      <c r="H10" s="32">
        <f>SUM('1st Qtr'!H10, '2nd Qtr'!H10, '3rd Qtr'!H10, '4th Qtr'!H10)</f>
        <v>-43523.3675</v>
      </c>
      <c r="I10" s="33">
        <f t="shared" si="2"/>
        <v>-0.20032371270904983</v>
      </c>
    </row>
    <row r="11" spans="1:9" ht="15.6" x14ac:dyDescent="0.25">
      <c r="A11" s="34" t="str">
        <v>Staten Island - Ellis Storage</v>
      </c>
      <c r="B11" s="35" t="str">
        <v>NY</v>
      </c>
      <c r="C11" s="36">
        <f>SUM('1st Qtr'!C11, '2nd Qtr'!C11, '3rd Qtr'!C11, '4th Qtr'!C11)</f>
        <v>476066</v>
      </c>
      <c r="D11" s="36">
        <f>SUM('1st Qtr'!D11, '2nd Qtr'!D11, '3rd Qtr'!D11, '4th Qtr'!D11)</f>
        <v>430768.88</v>
      </c>
      <c r="E11" s="37">
        <f t="shared" si="0"/>
        <v>45297.119999999995</v>
      </c>
      <c r="F11" s="38">
        <f t="shared" si="1"/>
        <v>0.10515411419692154</v>
      </c>
      <c r="G11" s="39">
        <f>SUM('1st Qtr'!G11, '2nd Qtr'!G11, '3rd Qtr'!G11, '4th Qtr'!G11)</f>
        <v>501779.99</v>
      </c>
      <c r="H11" s="39">
        <f>SUM('1st Qtr'!H11, '2nd Qtr'!H11, '3rd Qtr'!H11, '4th Qtr'!H11)</f>
        <v>-25713.990000000005</v>
      </c>
      <c r="I11" s="38">
        <f t="shared" si="2"/>
        <v>-5.1245546878025176E-2</v>
      </c>
    </row>
    <row r="12" spans="1:9" ht="15.6" x14ac:dyDescent="0.25">
      <c r="A12" s="27" t="str">
        <v>Amherst - 595 Schoelles Road</v>
      </c>
      <c r="B12" s="28" t="str">
        <v>NY</v>
      </c>
      <c r="C12" s="29">
        <f>SUM('1st Qtr'!C12, '2nd Qtr'!C12, '3rd Qtr'!C12, '4th Qtr'!C12)</f>
        <v>6739760</v>
      </c>
      <c r="D12" s="30">
        <f>SUM('1st Qtr'!D12, '2nd Qtr'!D12, '3rd Qtr'!D12, '4th Qtr'!D12)</f>
        <v>7550894.7999999998</v>
      </c>
      <c r="E12" s="30">
        <f t="shared" si="0"/>
        <v>-811134.79999999981</v>
      </c>
      <c r="F12" s="31">
        <f t="shared" si="1"/>
        <v>-0.10742234152169619</v>
      </c>
      <c r="G12" s="32">
        <f>SUM('1st Qtr'!G12, '2nd Qtr'!G12, '3rd Qtr'!G12, '4th Qtr'!G12)</f>
        <v>7837282.1999999993</v>
      </c>
      <c r="H12" s="32">
        <f>SUM('1st Qtr'!H12, '2nd Qtr'!H12, '3rd Qtr'!H12, '4th Qtr'!H12)</f>
        <v>-1097522.2</v>
      </c>
      <c r="I12" s="33">
        <f t="shared" si="2"/>
        <v>-0.1400386220621225</v>
      </c>
    </row>
    <row r="13" spans="1:9" ht="15.6" x14ac:dyDescent="0.25">
      <c r="A13" s="34" t="str">
        <v>Lancaster 1 - Gunnville Road</v>
      </c>
      <c r="B13" s="35" t="str">
        <v>NY</v>
      </c>
      <c r="C13" s="36">
        <f>SUM('1st Qtr'!C13, '2nd Qtr'!C13, '3rd Qtr'!C13, '4th Qtr'!C13)</f>
        <v>5041128</v>
      </c>
      <c r="D13" s="36">
        <f>SUM('1st Qtr'!D13, '2nd Qtr'!D13, '3rd Qtr'!D13, '4th Qtr'!D13)</f>
        <v>6006217.7999999998</v>
      </c>
      <c r="E13" s="37">
        <f t="shared" si="0"/>
        <v>-965089.79999999981</v>
      </c>
      <c r="F13" s="38">
        <f t="shared" si="1"/>
        <v>-0.16068178546572184</v>
      </c>
      <c r="G13" s="39">
        <f>SUM('1st Qtr'!G13, '2nd Qtr'!G13, '3rd Qtr'!G13, '4th Qtr'!G13)</f>
        <v>6273675.5</v>
      </c>
      <c r="H13" s="39">
        <f>SUM('1st Qtr'!H13, '2nd Qtr'!H13, '3rd Qtr'!H13, '4th Qtr'!H13)</f>
        <v>-1232547.5000000002</v>
      </c>
      <c r="I13" s="38">
        <f t="shared" si="2"/>
        <v>-0.19646338099571778</v>
      </c>
    </row>
    <row r="14" spans="1:9" ht="15.6" x14ac:dyDescent="0.25">
      <c r="A14" s="27" t="str">
        <v>Lancaster 2 - Shisler Road</v>
      </c>
      <c r="B14" s="28" t="str">
        <v>NY</v>
      </c>
      <c r="C14" s="29">
        <f>SUM('1st Qtr'!C14, '2nd Qtr'!C14, '3rd Qtr'!C14, '4th Qtr'!C14)</f>
        <v>4963845</v>
      </c>
      <c r="D14" s="30">
        <f>SUM('1st Qtr'!D14, '2nd Qtr'!D14, '3rd Qtr'!D14, '4th Qtr'!D14)</f>
        <v>5744192.3000000007</v>
      </c>
      <c r="E14" s="30">
        <f t="shared" si="0"/>
        <v>-780347.30000000075</v>
      </c>
      <c r="F14" s="31">
        <f t="shared" si="1"/>
        <v>-0.13584978692304583</v>
      </c>
      <c r="G14" s="32">
        <f>SUM('1st Qtr'!G14, '2nd Qtr'!G14, '3rd Qtr'!G14, '4th Qtr'!G14)</f>
        <v>6870386</v>
      </c>
      <c r="H14" s="32">
        <f>SUM('1st Qtr'!H14, '2nd Qtr'!H14, '3rd Qtr'!H14, '4th Qtr'!H14)</f>
        <v>-1906540.9999999998</v>
      </c>
      <c r="I14" s="33">
        <f t="shared" si="2"/>
        <v>-0.27750129323155931</v>
      </c>
    </row>
    <row r="15" spans="1:9" ht="15.6" x14ac:dyDescent="0.25">
      <c r="A15" s="34" t="str">
        <v>Fullerton - 200 W Orangethorpe</v>
      </c>
      <c r="B15" s="35" t="str">
        <v>CA</v>
      </c>
      <c r="C15" s="36">
        <f>SUM('1st Qtr'!C15, '2nd Qtr'!C15, '3rd Qtr'!C15, '4th Qtr'!C15)</f>
        <v>918891</v>
      </c>
      <c r="D15" s="36">
        <f>SUM('1st Qtr'!D15, '2nd Qtr'!D15, '3rd Qtr'!D15, '4th Qtr'!D15)</f>
        <v>962433.48</v>
      </c>
      <c r="E15" s="37">
        <f t="shared" si="0"/>
        <v>-43542.479999999981</v>
      </c>
      <c r="F15" s="38">
        <f t="shared" si="1"/>
        <v>-4.5242067015374386E-2</v>
      </c>
      <c r="G15" s="39">
        <f>SUM('1st Qtr'!G15, '2nd Qtr'!G15, '3rd Qtr'!G15, '4th Qtr'!G15)</f>
        <v>1069420.44</v>
      </c>
      <c r="H15" s="39">
        <f>SUM('1st Qtr'!H15, '2nd Qtr'!H15, '3rd Qtr'!H15, '4th Qtr'!H15)</f>
        <v>-150529.44</v>
      </c>
      <c r="I15" s="38">
        <f t="shared" si="2"/>
        <v>-0.14075796045192479</v>
      </c>
    </row>
    <row r="16" spans="1:9" ht="15.6" x14ac:dyDescent="0.25">
      <c r="A16" s="27" t="str">
        <v>El Paso - 10500 Railroad Drive</v>
      </c>
      <c r="B16" s="28" t="str">
        <v>TX</v>
      </c>
      <c r="C16" s="29">
        <f>SUM('1st Qtr'!C16, '2nd Qtr'!C16, '3rd Qtr'!C16, '4th Qtr'!C16)</f>
        <v>567848.25</v>
      </c>
      <c r="D16" s="30">
        <f>SUM('1st Qtr'!D16, '2nd Qtr'!D16, '3rd Qtr'!D16, '4th Qtr'!D16)</f>
        <v>532299.82999999996</v>
      </c>
      <c r="E16" s="30">
        <f t="shared" ref="E16:E22" si="3">IF(AND(ISNUMBER(C16),ISNUMBER(D16)), C16-D16, "")</f>
        <v>35548.420000000042</v>
      </c>
      <c r="F16" s="31">
        <f t="shared" ref="F16:F23" si="4">IFERROR(E16/D16, "")</f>
        <v>6.6782700268756504E-2</v>
      </c>
      <c r="G16" s="32">
        <f>SUM('1st Qtr'!G16, '2nd Qtr'!G16, '3rd Qtr'!G16, '4th Qtr'!G16)</f>
        <v>637061.5</v>
      </c>
      <c r="H16" s="32">
        <f>SUM('1st Qtr'!H16, '2nd Qtr'!H16, '3rd Qtr'!H16, '4th Qtr'!H16)</f>
        <v>-69213.25</v>
      </c>
      <c r="I16" s="33">
        <f t="shared" ref="I16:I23" si="5">IFERROR(H16/G16, "")</f>
        <v>-0.10864453431890014</v>
      </c>
    </row>
    <row r="17" spans="1:9" ht="15.6" x14ac:dyDescent="0.25">
      <c r="A17" s="34" t="str">
        <v>Friona - 900 Millard Ave</v>
      </c>
      <c r="B17" s="35" t="str">
        <v>TX</v>
      </c>
      <c r="C17" s="36">
        <f>SUM('1st Qtr'!C17, '2nd Qtr'!C17, '3rd Qtr'!C17, '4th Qtr'!C17)</f>
        <v>449914.62500000023</v>
      </c>
      <c r="D17" s="36">
        <f>SUM('1st Qtr'!D17, '2nd Qtr'!D17, '3rd Qtr'!D17, '4th Qtr'!D17)</f>
        <v>737066.01</v>
      </c>
      <c r="E17" s="37">
        <f t="shared" si="3"/>
        <v>-287151.38499999978</v>
      </c>
      <c r="F17" s="38">
        <f t="shared" si="4"/>
        <v>-0.38958706697111128</v>
      </c>
      <c r="G17" s="39">
        <f>SUM('1st Qtr'!G17, '2nd Qtr'!G17, '3rd Qtr'!G17, '4th Qtr'!G17)</f>
        <v>908773.7</v>
      </c>
      <c r="H17" s="39">
        <f>SUM('1st Qtr'!H17, '2nd Qtr'!H17, '3rd Qtr'!H17, '4th Qtr'!H17)</f>
        <v>-458859.07499999978</v>
      </c>
      <c r="I17" s="38">
        <f t="shared" si="5"/>
        <v>-0.50492116464197834</v>
      </c>
    </row>
    <row r="18" spans="1:9" ht="15.6" x14ac:dyDescent="0.25">
      <c r="A18" s="27" t="str">
        <v>Augusta - 13 York Farm Road</v>
      </c>
      <c r="B18" s="28" t="str">
        <v>ME</v>
      </c>
      <c r="C18" s="29">
        <f>SUM('1st Qtr'!C18, '2nd Qtr'!C18, '3rd Qtr'!C18, '4th Qtr'!C18)</f>
        <v>1275516.7749999999</v>
      </c>
      <c r="D18" s="30">
        <f>SUM('1st Qtr'!D18, '2nd Qtr'!D18, '3rd Qtr'!D18, '4th Qtr'!D18)</f>
        <v>1505693.3</v>
      </c>
      <c r="E18" s="30">
        <f t="shared" si="3"/>
        <v>-230176.52500000014</v>
      </c>
      <c r="F18" s="31">
        <f t="shared" si="4"/>
        <v>-0.15287079048568533</v>
      </c>
      <c r="G18" s="32">
        <f>SUM('1st Qtr'!G18, '2nd Qtr'!G18, '3rd Qtr'!G18, '4th Qtr'!G18)</f>
        <v>1548651.3</v>
      </c>
      <c r="H18" s="32">
        <f>SUM('1st Qtr'!H18, '2nd Qtr'!H18, '3rd Qtr'!H18, '4th Qtr'!H18)</f>
        <v>-273134.52500000002</v>
      </c>
      <c r="I18" s="33">
        <f t="shared" si="5"/>
        <v>-0.17636928661732956</v>
      </c>
    </row>
    <row r="19" spans="1:9" ht="15.6" x14ac:dyDescent="0.25">
      <c r="A19" s="34" t="str">
        <v xml:space="preserve">Santa Ana - 1441 West </v>
      </c>
      <c r="B19" s="35" t="str">
        <v>CA</v>
      </c>
      <c r="C19" s="36">
        <f>SUM('1st Qtr'!C19, '2nd Qtr'!C19, '3rd Qtr'!C19, '4th Qtr'!C19)</f>
        <v>590740.68749999988</v>
      </c>
      <c r="D19" s="36">
        <f>SUM('1st Qtr'!D19, '2nd Qtr'!D19, '3rd Qtr'!D19, '4th Qtr'!D19)</f>
        <v>584659.40099999995</v>
      </c>
      <c r="E19" s="37">
        <f t="shared" si="3"/>
        <v>6081.2864999999292</v>
      </c>
      <c r="F19" s="38">
        <f t="shared" si="4"/>
        <v>1.0401417457067332E-2</v>
      </c>
      <c r="G19" s="39">
        <f>SUM('1st Qtr'!G19, '2nd Qtr'!G19, '3rd Qtr'!G19, '4th Qtr'!G19)</f>
        <v>656422.14300000004</v>
      </c>
      <c r="H19" s="39">
        <f>SUM('1st Qtr'!H19, '2nd Qtr'!H19, '3rd Qtr'!H19, '4th Qtr'!H19)</f>
        <v>-65681.455500000127</v>
      </c>
      <c r="I19" s="38">
        <f t="shared" si="5"/>
        <v>-0.10005978043309262</v>
      </c>
    </row>
    <row r="20" spans="1:9" ht="15.6" x14ac:dyDescent="0.25">
      <c r="A20" s="27" t="str">
        <v>Jessup -7950 Oceano Ave</v>
      </c>
      <c r="B20" s="28" t="str">
        <v>MD</v>
      </c>
      <c r="C20" s="29">
        <f>SUM('1st Qtr'!C20, '2nd Qtr'!C20, '3rd Qtr'!C20, '4th Qtr'!C20)</f>
        <v>1839661.600088083</v>
      </c>
      <c r="D20" s="30">
        <f>SUM('1st Qtr'!D20, '2nd Qtr'!D20, '3rd Qtr'!D20, '4th Qtr'!D20)</f>
        <v>1837874.412</v>
      </c>
      <c r="E20" s="30">
        <f t="shared" si="3"/>
        <v>1787.1880880829412</v>
      </c>
      <c r="F20" s="31">
        <f t="shared" si="4"/>
        <v>9.7242122552764572E-4</v>
      </c>
      <c r="G20" s="32">
        <f>SUM('1st Qtr'!G20, '2nd Qtr'!G20, '3rd Qtr'!G20, '4th Qtr'!G20)</f>
        <v>2152135.182</v>
      </c>
      <c r="H20" s="32">
        <f>SUM('1st Qtr'!H20, '2nd Qtr'!H20, '3rd Qtr'!H20, '4th Qtr'!H20)</f>
        <v>-312473.58191191696</v>
      </c>
      <c r="I20" s="33">
        <f t="shared" si="5"/>
        <v>-0.14519235804766328</v>
      </c>
    </row>
    <row r="21" spans="1:9" ht="15.6" x14ac:dyDescent="0.25">
      <c r="A21" s="34" t="str">
        <v xml:space="preserve">TX: Fort Worth - 5200 Gold Spike Dr </v>
      </c>
      <c r="B21" s="35" t="str">
        <v>TX</v>
      </c>
      <c r="C21" s="36">
        <f>SUM('1st Qtr'!C21, '2nd Qtr'!C21, '3rd Qtr'!C21, '4th Qtr'!C21)</f>
        <v>1248879</v>
      </c>
      <c r="D21" s="36">
        <f>SUM('1st Qtr'!D21, '2nd Qtr'!D21, '3rd Qtr'!D21, '4th Qtr'!D21)</f>
        <v>4868044.3279999997</v>
      </c>
      <c r="E21" s="37">
        <f t="shared" si="3"/>
        <v>-3619165.3279999997</v>
      </c>
      <c r="F21" s="38">
        <f>IFERROR(E21/D21, "")</f>
        <v>-0.74345365081893311</v>
      </c>
      <c r="G21" s="39">
        <f>SUM('1st Qtr'!G21, '2nd Qtr'!G21, '3rd Qtr'!G21, '4th Qtr'!G21)</f>
        <v>4914214.21</v>
      </c>
      <c r="H21" s="39">
        <f>SUM('1st Qtr'!H21, '2nd Qtr'!H21, '3rd Qtr'!H21, '4th Qtr'!H21)</f>
        <v>-3665335.21</v>
      </c>
      <c r="I21" s="38">
        <f>IFERROR(H21/G21, "")</f>
        <v>-0.74586394759539798</v>
      </c>
    </row>
    <row r="22" spans="1:9" ht="15.6" x14ac:dyDescent="0.25">
      <c r="A22" s="27" t="str">
        <v>NY: Clifton Springs - Ontario 2 (21597)</v>
      </c>
      <c r="B22" s="28" t="str">
        <v>NY</v>
      </c>
      <c r="C22" s="29">
        <f>SUM('1st Qtr'!C22, '2nd Qtr'!C22, '3rd Qtr'!C22, '4th Qtr'!C22)</f>
        <v>3537684</v>
      </c>
      <c r="D22" s="30">
        <f>SUM('1st Qtr'!D22, '2nd Qtr'!D22, '3rd Qtr'!D22, '4th Qtr'!D22)</f>
        <v>3757076.4819999998</v>
      </c>
      <c r="E22" s="30">
        <f t="shared" si="3"/>
        <v>-219392.48199999984</v>
      </c>
      <c r="F22" s="31">
        <f t="shared" si="4"/>
        <v>-5.8394467893081302E-2</v>
      </c>
      <c r="G22" s="32">
        <f>SUM('1st Qtr'!G22, '2nd Qtr'!G22, '3rd Qtr'!G22, '4th Qtr'!G22)</f>
        <v>3354986.88</v>
      </c>
      <c r="H22" s="32">
        <f>SUM('1st Qtr'!H22, '2nd Qtr'!H22, '3rd Qtr'!H22, '4th Qtr'!H22)</f>
        <v>182697.12</v>
      </c>
      <c r="I22" s="33">
        <f t="shared" si="5"/>
        <v>5.4455390299469664E-2</v>
      </c>
    </row>
    <row r="23" spans="1:9" ht="15.6" x14ac:dyDescent="0.25">
      <c r="A23" s="34" t="str">
        <v>CA: Oxnard - 2600 Sakioka - System A</v>
      </c>
      <c r="B23" s="35" t="str">
        <v>CA</v>
      </c>
      <c r="C23" s="36">
        <f>SUM('1st Qtr'!C23, '2nd Qtr'!C23, '3rd Qtr'!C23, '4th Qtr'!C23)</f>
        <v>595811.97437499999</v>
      </c>
      <c r="D23" s="36">
        <f>SUM('1st Qtr'!D23, '2nd Qtr'!D23, '3rd Qtr'!D23, '4th Qtr'!D23)</f>
        <v>680189.2</v>
      </c>
      <c r="E23" s="37">
        <f t="shared" ref="E23:E25" si="6">IF(AND(ISNUMBER(C23),ISNUMBER(D23)), C23-D23, "")</f>
        <v>-84377.225624999963</v>
      </c>
      <c r="F23" s="38">
        <f t="shared" si="4"/>
        <v>-0.12404964034271636</v>
      </c>
      <c r="G23" s="39">
        <f>SUM('1st Qtr'!G23, '2nd Qtr'!G23, '3rd Qtr'!G23, '4th Qtr'!G23)</f>
        <v>664127.19999999995</v>
      </c>
      <c r="H23" s="39">
        <f>SUM('1st Qtr'!H23, '2nd Qtr'!H23, '3rd Qtr'!H23, '4th Qtr'!H23)</f>
        <v>-68315.225625000021</v>
      </c>
      <c r="I23" s="38">
        <f t="shared" si="5"/>
        <v>-0.10286467054052299</v>
      </c>
    </row>
    <row r="24" spans="1:9" ht="15.6" x14ac:dyDescent="0.25">
      <c r="A24" s="27" t="str">
        <v>CA: Oxnard - 2600 Sakioka - System B</v>
      </c>
      <c r="B24" s="28" t="str">
        <v>CA</v>
      </c>
      <c r="C24" s="29">
        <f>SUM('1st Qtr'!C24, '2nd Qtr'!C24, '3rd Qtr'!C24, '4th Qtr'!C24)</f>
        <v>8922.2632812499996</v>
      </c>
      <c r="D24" s="30">
        <f>SUM('1st Qtr'!D24, '2nd Qtr'!D24, '3rd Qtr'!D24, '4th Qtr'!D24)</f>
        <v>618586.39999999991</v>
      </c>
      <c r="E24" s="30">
        <f t="shared" si="6"/>
        <v>-609664.13671874988</v>
      </c>
      <c r="F24" s="31">
        <f t="shared" ref="F24:F25" si="7">IFERROR(E24/D24, "")</f>
        <v>-0.98557636688868355</v>
      </c>
      <c r="G24" s="32">
        <f>SUM('1st Qtr'!G24, '2nd Qtr'!G24, '3rd Qtr'!G24, '4th Qtr'!G24)</f>
        <v>670165</v>
      </c>
      <c r="H24" s="32">
        <f>SUM('1st Qtr'!H24, '2nd Qtr'!H24, '3rd Qtr'!H24, '4th Qtr'!H24)</f>
        <v>-661242.73671875009</v>
      </c>
      <c r="I24" s="33">
        <f t="shared" ref="I24:I25" si="8">IFERROR(H24/G24, "")</f>
        <v>-0.98668646783814451</v>
      </c>
    </row>
    <row r="25" spans="1:9" ht="15.6" x14ac:dyDescent="0.25">
      <c r="A25" s="34" t="str">
        <v>NY: Fonda - Montgomery 1 (21601)</v>
      </c>
      <c r="B25" s="35" t="str">
        <v>NY</v>
      </c>
      <c r="C25" s="36">
        <f>SUM('1st Qtr'!C25, '2nd Qtr'!C25, '3rd Qtr'!C25, '4th Qtr'!C25)</f>
        <v>1918267.6669999999</v>
      </c>
      <c r="D25" s="36">
        <f>SUM('1st Qtr'!D25, '2nd Qtr'!D25, '3rd Qtr'!D25, '4th Qtr'!D25)</f>
        <v>2005687.2209999999</v>
      </c>
      <c r="E25" s="37">
        <f t="shared" si="6"/>
        <v>-87419.554000000004</v>
      </c>
      <c r="F25" s="38">
        <f t="shared" si="7"/>
        <v>-4.3585835859498656E-2</v>
      </c>
      <c r="G25" s="39">
        <f>SUM('1st Qtr'!G25, '2nd Qtr'!G25, '3rd Qtr'!G25, '4th Qtr'!G25)</f>
        <v>2168148.94</v>
      </c>
      <c r="H25" s="39">
        <f>SUM('1st Qtr'!H25, '2nd Qtr'!H25, '3rd Qtr'!H25, '4th Qtr'!H25)</f>
        <v>-249881.27299999993</v>
      </c>
      <c r="I25" s="38">
        <f t="shared" si="8"/>
        <v>-0.11525097210342014</v>
      </c>
    </row>
    <row r="26" spans="1:9" ht="15.6" x14ac:dyDescent="0.25">
      <c r="A26" s="27" t="str">
        <v>NY: Evans - SL Evans Array 1 (21106) - (PW)</v>
      </c>
      <c r="B26" s="28" t="str">
        <v>NY</v>
      </c>
      <c r="C26" s="29">
        <f>SUM('1st Qtr'!C26, '2nd Qtr'!C26, '3rd Qtr'!C26, '4th Qtr'!C26)</f>
        <v>289481</v>
      </c>
      <c r="D26" s="30">
        <f>SUM('1st Qtr'!D26, '2nd Qtr'!D26, '3rd Qtr'!D26, '4th Qtr'!D26)</f>
        <v>345406.31300000002</v>
      </c>
      <c r="E26" s="30">
        <f t="shared" ref="E26:E27" si="9">IF(AND(ISNUMBER(C26),ISNUMBER(D26)), C26-D26, "")</f>
        <v>-55925.313000000024</v>
      </c>
      <c r="F26" s="31">
        <f t="shared" ref="F26:F27" si="10">IFERROR(E26/D26, "")</f>
        <v>-0.1619116700973558</v>
      </c>
      <c r="G26" s="32">
        <f>SUM('1st Qtr'!G26, '2nd Qtr'!G26, '3rd Qtr'!G26, '4th Qtr'!G26)</f>
        <v>762556</v>
      </c>
      <c r="H26" s="32">
        <f>SUM('1st Qtr'!H26, '2nd Qtr'!H26, '3rd Qtr'!H26, '4th Qtr'!H26)</f>
        <v>-473075</v>
      </c>
      <c r="I26" s="33">
        <f t="shared" ref="I26:I27" si="11">IFERROR(H26/G26, "")</f>
        <v>-0.62038066712477513</v>
      </c>
    </row>
    <row r="27" spans="1:9" ht="15.6" x14ac:dyDescent="0.25">
      <c r="A27" s="34" t="str">
        <v>NY: Evans - SL Evans Array 2 (21107) - (PW)</v>
      </c>
      <c r="B27" s="35" t="str">
        <v>NY</v>
      </c>
      <c r="C27" s="36">
        <f>SUM('1st Qtr'!C27, '2nd Qtr'!C27, '3rd Qtr'!C27, '4th Qtr'!C27)</f>
        <v>275086</v>
      </c>
      <c r="D27" s="36">
        <f>SUM('1st Qtr'!D27, '2nd Qtr'!D27, '3rd Qtr'!D27, '4th Qtr'!D27)</f>
        <v>307475.89399999997</v>
      </c>
      <c r="E27" s="37">
        <f t="shared" si="9"/>
        <v>-32389.893999999971</v>
      </c>
      <c r="F27" s="38">
        <f t="shared" si="10"/>
        <v>-0.10534124668648</v>
      </c>
      <c r="G27" s="39">
        <f>SUM('1st Qtr'!G27, '2nd Qtr'!G27, '3rd Qtr'!G27, '4th Qtr'!G27)</f>
        <v>715479</v>
      </c>
      <c r="H27" s="39">
        <f>SUM('1st Qtr'!H27, '2nd Qtr'!H27, '3rd Qtr'!H27, '4th Qtr'!H27)</f>
        <v>-440393</v>
      </c>
      <c r="I27" s="38">
        <f t="shared" si="11"/>
        <v>-0.61552190909865978</v>
      </c>
    </row>
    <row r="28" spans="1:9" ht="13.8" x14ac:dyDescent="0.3">
      <c r="A28" s="9"/>
      <c r="B28" s="9"/>
      <c r="C28" s="9"/>
      <c r="D28" s="9"/>
      <c r="E28" s="9"/>
      <c r="F28" s="10"/>
      <c r="G28" s="9"/>
      <c r="H28" s="9"/>
      <c r="I28" s="10"/>
    </row>
    <row r="29" spans="1:9" ht="13.8" x14ac:dyDescent="0.3">
      <c r="A29" s="9"/>
      <c r="B29" s="9"/>
      <c r="C29" s="9"/>
      <c r="D29" s="9"/>
      <c r="E29" s="9"/>
      <c r="F29" s="10"/>
      <c r="G29" s="9"/>
      <c r="H29" s="9"/>
      <c r="I29" s="10"/>
    </row>
    <row r="30" spans="1:9" ht="13.8" x14ac:dyDescent="0.3">
      <c r="A30" s="9"/>
      <c r="B30" s="9"/>
      <c r="C30" s="9"/>
      <c r="D30" s="9"/>
      <c r="E30" s="9"/>
      <c r="F30" s="10"/>
      <c r="G30" s="9"/>
      <c r="H30" s="9"/>
      <c r="I30" s="10"/>
    </row>
    <row r="31" spans="1:9" ht="13.8" x14ac:dyDescent="0.3">
      <c r="A31" s="9"/>
      <c r="B31" s="9"/>
      <c r="C31" s="9"/>
      <c r="D31" s="9"/>
      <c r="E31" s="9"/>
      <c r="F31" s="10"/>
      <c r="G31" s="9"/>
      <c r="H31" s="9"/>
      <c r="I31" s="10"/>
    </row>
    <row r="32" spans="1:9" ht="13.8" x14ac:dyDescent="0.3">
      <c r="A32" s="9"/>
      <c r="B32" s="9"/>
      <c r="C32" s="9"/>
      <c r="D32" s="9"/>
      <c r="E32" s="9"/>
      <c r="F32" s="10"/>
      <c r="G32" s="9"/>
      <c r="H32" s="9"/>
      <c r="I32" s="10"/>
    </row>
    <row r="33" spans="1:9" ht="13.8" x14ac:dyDescent="0.3">
      <c r="A33" s="9"/>
      <c r="B33" s="9"/>
      <c r="C33" s="9"/>
      <c r="D33" s="9"/>
      <c r="E33" s="9"/>
      <c r="F33" s="10"/>
      <c r="G33" s="9"/>
      <c r="H33" s="9"/>
      <c r="I33" s="10"/>
    </row>
    <row r="34" spans="1:9" ht="13.8" x14ac:dyDescent="0.3">
      <c r="A34" s="9"/>
      <c r="B34" s="9"/>
      <c r="C34" s="9"/>
      <c r="D34" s="9"/>
      <c r="E34" s="9"/>
      <c r="F34" s="10"/>
      <c r="G34" s="9"/>
      <c r="H34" s="9"/>
      <c r="I34" s="10"/>
    </row>
    <row r="35" spans="1:9" ht="13.8" x14ac:dyDescent="0.3">
      <c r="A35" s="9"/>
      <c r="B35" s="9"/>
      <c r="C35" s="9"/>
      <c r="D35" s="9"/>
      <c r="E35" s="9"/>
      <c r="F35" s="10"/>
      <c r="G35" s="9"/>
      <c r="H35" s="9"/>
      <c r="I35" s="10"/>
    </row>
    <row r="36" spans="1:9" ht="13.8" x14ac:dyDescent="0.3">
      <c r="A36" s="9"/>
      <c r="B36" s="9"/>
      <c r="C36" s="9"/>
      <c r="D36" s="9"/>
      <c r="E36" s="9"/>
      <c r="F36" s="10"/>
      <c r="G36" s="9"/>
      <c r="H36" s="9"/>
      <c r="I36" s="10"/>
    </row>
    <row r="37" spans="1:9" ht="13.8" x14ac:dyDescent="0.3">
      <c r="A37" s="9"/>
      <c r="B37" s="9"/>
      <c r="C37" s="9"/>
      <c r="D37" s="9"/>
      <c r="E37" s="9"/>
      <c r="F37" s="10"/>
      <c r="G37" s="9"/>
      <c r="H37" s="9"/>
      <c r="I37" s="10"/>
    </row>
    <row r="38" spans="1:9" ht="13.8" x14ac:dyDescent="0.3">
      <c r="A38" s="9"/>
      <c r="B38" s="9"/>
      <c r="C38" s="9"/>
      <c r="D38" s="9"/>
      <c r="E38" s="9"/>
      <c r="F38" s="10"/>
      <c r="G38" s="9"/>
      <c r="H38" s="9"/>
      <c r="I38" s="10"/>
    </row>
    <row r="39" spans="1:9" ht="13.8" x14ac:dyDescent="0.3">
      <c r="A39" s="9"/>
      <c r="B39" s="9"/>
      <c r="C39" s="9"/>
      <c r="D39" s="9"/>
      <c r="E39" s="9"/>
      <c r="F39" s="10"/>
      <c r="G39" s="9"/>
      <c r="H39" s="9"/>
      <c r="I39" s="10"/>
    </row>
    <row r="40" spans="1:9" ht="13.8" x14ac:dyDescent="0.3">
      <c r="A40" s="9"/>
      <c r="B40" s="9"/>
      <c r="C40" s="9"/>
      <c r="D40" s="9"/>
      <c r="E40" s="9"/>
      <c r="F40" s="10"/>
      <c r="G40" s="9"/>
      <c r="H40" s="9"/>
      <c r="I40" s="10"/>
    </row>
    <row r="41" spans="1:9" ht="13.8" x14ac:dyDescent="0.3">
      <c r="A41" s="9"/>
      <c r="B41" s="9"/>
      <c r="C41" s="9"/>
      <c r="D41" s="9"/>
      <c r="E41" s="9"/>
      <c r="F41" s="10"/>
      <c r="G41" s="9"/>
      <c r="H41" s="9"/>
      <c r="I41" s="10"/>
    </row>
    <row r="42" spans="1:9" ht="13.8" x14ac:dyDescent="0.3">
      <c r="A42" s="9"/>
      <c r="B42" s="9"/>
      <c r="C42" s="9"/>
      <c r="D42" s="9"/>
      <c r="E42" s="9"/>
      <c r="F42" s="10"/>
      <c r="G42" s="9"/>
      <c r="H42" s="9"/>
      <c r="I42" s="10"/>
    </row>
    <row r="43" spans="1:9" ht="13.8" x14ac:dyDescent="0.3">
      <c r="A43" s="9"/>
      <c r="B43" s="9"/>
      <c r="C43" s="9"/>
      <c r="D43" s="9"/>
      <c r="E43" s="9"/>
      <c r="F43" s="10"/>
      <c r="G43" s="9"/>
      <c r="H43" s="9"/>
      <c r="I43" s="10"/>
    </row>
    <row r="44" spans="1:9" ht="13.8" x14ac:dyDescent="0.3">
      <c r="A44" s="9"/>
      <c r="B44" s="9"/>
      <c r="C44" s="9"/>
      <c r="D44" s="9"/>
      <c r="E44" s="9"/>
      <c r="F44" s="10"/>
      <c r="G44" s="9"/>
      <c r="H44" s="9"/>
      <c r="I44" s="10"/>
    </row>
    <row r="45" spans="1:9" ht="13.8" x14ac:dyDescent="0.3">
      <c r="A45" s="9"/>
      <c r="B45" s="9"/>
      <c r="C45" s="9"/>
      <c r="D45" s="9"/>
      <c r="E45" s="9"/>
      <c r="F45" s="10"/>
      <c r="G45" s="9"/>
      <c r="H45" s="9"/>
      <c r="I45" s="10"/>
    </row>
    <row r="46" spans="1:9" ht="13.8" x14ac:dyDescent="0.3">
      <c r="A46" s="9"/>
      <c r="B46" s="9"/>
      <c r="C46" s="9"/>
      <c r="D46" s="9"/>
      <c r="E46" s="9"/>
      <c r="F46" s="10"/>
      <c r="G46" s="9"/>
      <c r="H46" s="9"/>
      <c r="I46" s="10"/>
    </row>
    <row r="47" spans="1:9" ht="13.8" x14ac:dyDescent="0.3">
      <c r="A47" s="9"/>
      <c r="B47" s="9"/>
      <c r="C47" s="9"/>
      <c r="D47" s="9"/>
      <c r="E47" s="9"/>
      <c r="F47" s="10"/>
      <c r="G47" s="9"/>
      <c r="H47" s="9"/>
      <c r="I47" s="10"/>
    </row>
    <row r="48" spans="1:9" ht="13.8" x14ac:dyDescent="0.3">
      <c r="A48" s="9"/>
      <c r="B48" s="9"/>
      <c r="C48" s="9"/>
      <c r="D48" s="9"/>
      <c r="E48" s="9"/>
      <c r="F48" s="10"/>
      <c r="G48" s="9"/>
      <c r="H48" s="9"/>
      <c r="I48" s="10"/>
    </row>
    <row r="49" spans="1:9" ht="13.8" x14ac:dyDescent="0.3">
      <c r="A49" s="9"/>
      <c r="B49" s="9"/>
      <c r="C49" s="9"/>
      <c r="D49" s="9"/>
      <c r="E49" s="9"/>
      <c r="F49" s="10"/>
      <c r="G49" s="9"/>
      <c r="H49" s="9"/>
      <c r="I49" s="10"/>
    </row>
    <row r="50" spans="1:9" ht="13.8" x14ac:dyDescent="0.3">
      <c r="A50" s="9"/>
      <c r="B50" s="9"/>
      <c r="C50" s="9"/>
      <c r="D50" s="9"/>
      <c r="E50" s="9"/>
      <c r="F50" s="10"/>
      <c r="G50" s="9"/>
      <c r="H50" s="9"/>
      <c r="I50" s="10"/>
    </row>
    <row r="51" spans="1:9" ht="13.8" x14ac:dyDescent="0.3">
      <c r="A51" s="9"/>
      <c r="B51" s="9"/>
      <c r="C51" s="9"/>
      <c r="D51" s="9"/>
      <c r="E51" s="9"/>
      <c r="F51" s="10"/>
      <c r="G51" s="9"/>
      <c r="H51" s="9"/>
      <c r="I51" s="10"/>
    </row>
    <row r="52" spans="1:9" ht="13.8" x14ac:dyDescent="0.3">
      <c r="A52" s="9"/>
      <c r="B52" s="9"/>
      <c r="C52" s="9"/>
      <c r="D52" s="9"/>
      <c r="E52" s="9"/>
      <c r="F52" s="10"/>
      <c r="G52" s="9"/>
      <c r="H52" s="9"/>
      <c r="I52" s="10"/>
    </row>
    <row r="53" spans="1:9" ht="13.8" x14ac:dyDescent="0.3">
      <c r="A53" s="9"/>
      <c r="B53" s="9"/>
      <c r="C53" s="9"/>
      <c r="D53" s="9"/>
      <c r="E53" s="9"/>
      <c r="F53" s="10"/>
      <c r="G53" s="9"/>
      <c r="H53" s="9"/>
      <c r="I53" s="10"/>
    </row>
    <row r="54" spans="1:9" ht="13.8" x14ac:dyDescent="0.3">
      <c r="A54" s="9"/>
      <c r="B54" s="9"/>
      <c r="C54" s="9"/>
      <c r="D54" s="9"/>
      <c r="E54" s="9"/>
      <c r="F54" s="10"/>
      <c r="G54" s="9"/>
      <c r="H54" s="9"/>
      <c r="I54" s="10"/>
    </row>
    <row r="55" spans="1:9" ht="13.8" x14ac:dyDescent="0.3">
      <c r="A55" s="9"/>
      <c r="B55" s="9"/>
      <c r="C55" s="9"/>
      <c r="D55" s="9"/>
      <c r="E55" s="9"/>
      <c r="F55" s="10"/>
      <c r="G55" s="9"/>
      <c r="H55" s="9"/>
      <c r="I55" s="10"/>
    </row>
    <row r="56" spans="1:9" ht="13.8" x14ac:dyDescent="0.3">
      <c r="A56" s="9"/>
      <c r="B56" s="9"/>
      <c r="C56" s="9"/>
      <c r="D56" s="9"/>
      <c r="E56" s="9"/>
      <c r="F56" s="10"/>
      <c r="G56" s="9"/>
      <c r="H56" s="9"/>
      <c r="I56" s="10"/>
    </row>
    <row r="57" spans="1:9" ht="13.8" x14ac:dyDescent="0.3">
      <c r="A57" s="9"/>
      <c r="B57" s="9"/>
      <c r="C57" s="9"/>
      <c r="D57" s="9"/>
      <c r="E57" s="9"/>
      <c r="F57" s="10"/>
      <c r="G57" s="9"/>
      <c r="H57" s="9"/>
      <c r="I57" s="10"/>
    </row>
    <row r="58" spans="1:9" ht="13.8" x14ac:dyDescent="0.3">
      <c r="A58" s="9"/>
      <c r="B58" s="9"/>
      <c r="C58" s="9"/>
      <c r="D58" s="9"/>
      <c r="E58" s="9"/>
      <c r="F58" s="10"/>
      <c r="G58" s="9"/>
      <c r="H58" s="9"/>
      <c r="I58" s="10"/>
    </row>
    <row r="59" spans="1:9" ht="13.8" x14ac:dyDescent="0.3">
      <c r="A59" s="9"/>
      <c r="B59" s="9"/>
      <c r="C59" s="9"/>
      <c r="D59" s="9"/>
      <c r="E59" s="9"/>
      <c r="F59" s="10"/>
      <c r="G59" s="9"/>
      <c r="H59" s="9"/>
      <c r="I59" s="10"/>
    </row>
    <row r="60" spans="1:9" ht="13.8" x14ac:dyDescent="0.3">
      <c r="A60" s="9"/>
      <c r="B60" s="9"/>
      <c r="C60" s="9"/>
      <c r="D60" s="9"/>
      <c r="E60" s="9"/>
      <c r="F60" s="10"/>
      <c r="G60" s="9"/>
      <c r="H60" s="9"/>
      <c r="I60" s="10"/>
    </row>
    <row r="61" spans="1:9" ht="13.8" x14ac:dyDescent="0.3">
      <c r="A61" s="9"/>
      <c r="B61" s="9"/>
      <c r="C61" s="9"/>
      <c r="D61" s="9"/>
      <c r="E61" s="9"/>
      <c r="F61" s="10"/>
      <c r="G61" s="9"/>
      <c r="H61" s="9"/>
      <c r="I61" s="10"/>
    </row>
    <row r="62" spans="1:9" ht="13.8" x14ac:dyDescent="0.3">
      <c r="A62" s="9"/>
      <c r="B62" s="9"/>
      <c r="C62" s="9"/>
      <c r="D62" s="9"/>
      <c r="E62" s="9"/>
      <c r="F62" s="10"/>
      <c r="G62" s="9"/>
      <c r="H62" s="9"/>
      <c r="I62" s="10"/>
    </row>
    <row r="63" spans="1:9" ht="13.8" x14ac:dyDescent="0.3">
      <c r="A63" s="9"/>
      <c r="B63" s="9"/>
      <c r="C63" s="9"/>
      <c r="D63" s="9"/>
      <c r="E63" s="9"/>
      <c r="F63" s="10"/>
      <c r="G63" s="9"/>
      <c r="H63" s="9"/>
      <c r="I63" s="10"/>
    </row>
    <row r="64" spans="1:9" ht="13.8" x14ac:dyDescent="0.3">
      <c r="A64" s="9"/>
      <c r="B64" s="9"/>
      <c r="C64" s="9"/>
      <c r="D64" s="9"/>
      <c r="E64" s="9"/>
      <c r="F64" s="10"/>
      <c r="G64" s="9"/>
      <c r="H64" s="9"/>
      <c r="I64" s="10"/>
    </row>
    <row r="65" spans="1:9" ht="13.8" x14ac:dyDescent="0.3">
      <c r="A65" s="9"/>
      <c r="B65" s="9"/>
      <c r="C65" s="9"/>
      <c r="D65" s="9"/>
      <c r="E65" s="9"/>
      <c r="F65" s="10"/>
      <c r="G65" s="9"/>
      <c r="H65" s="9"/>
      <c r="I65" s="10"/>
    </row>
    <row r="66" spans="1:9" ht="13.8" x14ac:dyDescent="0.3">
      <c r="A66" s="9"/>
      <c r="B66" s="9"/>
      <c r="C66" s="9"/>
      <c r="D66" s="9"/>
      <c r="E66" s="9"/>
      <c r="F66" s="10"/>
      <c r="G66" s="9"/>
      <c r="H66" s="9"/>
      <c r="I66" s="10"/>
    </row>
    <row r="67" spans="1:9" ht="13.8" x14ac:dyDescent="0.3">
      <c r="A67" s="9"/>
      <c r="B67" s="9"/>
      <c r="C67" s="9"/>
      <c r="D67" s="9"/>
      <c r="E67" s="9"/>
      <c r="F67" s="10"/>
      <c r="G67" s="9"/>
      <c r="H67" s="9"/>
      <c r="I67" s="10"/>
    </row>
    <row r="68" spans="1:9" ht="13.8" x14ac:dyDescent="0.3">
      <c r="A68" s="9"/>
      <c r="B68" s="9"/>
      <c r="C68" s="9"/>
      <c r="D68" s="9"/>
      <c r="E68" s="9"/>
      <c r="F68" s="10"/>
      <c r="G68" s="9"/>
      <c r="H68" s="9"/>
      <c r="I68" s="10"/>
    </row>
    <row r="69" spans="1:9" ht="13.8" x14ac:dyDescent="0.3">
      <c r="A69" s="9"/>
      <c r="B69" s="9"/>
      <c r="C69" s="9"/>
      <c r="D69" s="9"/>
      <c r="E69" s="9"/>
      <c r="F69" s="10"/>
      <c r="G69" s="9"/>
      <c r="H69" s="9"/>
      <c r="I69" s="10"/>
    </row>
    <row r="70" spans="1:9" ht="13.8" x14ac:dyDescent="0.3">
      <c r="A70" s="9"/>
      <c r="B70" s="9"/>
      <c r="C70" s="9"/>
      <c r="D70" s="9"/>
      <c r="E70" s="9"/>
      <c r="F70" s="10"/>
      <c r="G70" s="9"/>
      <c r="H70" s="9"/>
      <c r="I70" s="10"/>
    </row>
    <row r="71" spans="1:9" ht="13.8" x14ac:dyDescent="0.3">
      <c r="A71" s="9"/>
      <c r="B71" s="9"/>
      <c r="C71" s="9"/>
      <c r="D71" s="9"/>
      <c r="E71" s="9"/>
      <c r="F71" s="10"/>
      <c r="G71" s="9"/>
      <c r="H71" s="9"/>
      <c r="I71" s="10"/>
    </row>
    <row r="72" spans="1:9" ht="13.8" x14ac:dyDescent="0.3">
      <c r="A72" s="9"/>
      <c r="B72" s="9"/>
      <c r="C72" s="9"/>
      <c r="D72" s="9"/>
      <c r="E72" s="9"/>
      <c r="F72" s="10"/>
      <c r="G72" s="9"/>
      <c r="H72" s="9"/>
      <c r="I72" s="10"/>
    </row>
    <row r="73" spans="1:9" ht="13.8" x14ac:dyDescent="0.3">
      <c r="A73" s="9"/>
      <c r="B73" s="9"/>
      <c r="C73" s="9"/>
      <c r="D73" s="9"/>
      <c r="E73" s="9"/>
      <c r="F73" s="10"/>
      <c r="G73" s="9"/>
      <c r="H73" s="9"/>
      <c r="I73" s="10"/>
    </row>
    <row r="74" spans="1:9" ht="13.8" x14ac:dyDescent="0.3">
      <c r="A74" s="9"/>
      <c r="B74" s="9"/>
      <c r="C74" s="9"/>
      <c r="D74" s="9"/>
      <c r="E74" s="9"/>
      <c r="F74" s="10"/>
      <c r="G74" s="9"/>
      <c r="H74" s="9"/>
      <c r="I74" s="10"/>
    </row>
    <row r="75" spans="1:9" ht="13.8" x14ac:dyDescent="0.3">
      <c r="A75" s="9"/>
      <c r="B75" s="9"/>
      <c r="C75" s="9"/>
      <c r="D75" s="9"/>
      <c r="E75" s="9"/>
      <c r="F75" s="10"/>
      <c r="G75" s="9"/>
      <c r="H75" s="9"/>
      <c r="I75" s="10"/>
    </row>
    <row r="76" spans="1:9" ht="13.8" x14ac:dyDescent="0.3">
      <c r="A76" s="9"/>
      <c r="B76" s="9"/>
      <c r="C76" s="9"/>
      <c r="D76" s="9"/>
      <c r="E76" s="9"/>
      <c r="F76" s="10"/>
      <c r="G76" s="9"/>
      <c r="H76" s="9"/>
      <c r="I76" s="10"/>
    </row>
    <row r="77" spans="1:9" ht="13.8" x14ac:dyDescent="0.3">
      <c r="A77" s="9"/>
      <c r="B77" s="9"/>
      <c r="C77" s="9"/>
      <c r="D77" s="9"/>
      <c r="E77" s="9"/>
      <c r="F77" s="10"/>
      <c r="G77" s="9"/>
      <c r="H77" s="9"/>
      <c r="I77" s="10"/>
    </row>
    <row r="78" spans="1:9" ht="13.8" x14ac:dyDescent="0.3">
      <c r="A78" s="9"/>
      <c r="B78" s="9"/>
      <c r="C78" s="9"/>
      <c r="D78" s="9"/>
      <c r="E78" s="9"/>
      <c r="F78" s="10"/>
      <c r="G78" s="9"/>
      <c r="H78" s="9"/>
      <c r="I78" s="10"/>
    </row>
    <row r="79" spans="1:9" ht="13.8" x14ac:dyDescent="0.3">
      <c r="A79" s="9"/>
      <c r="B79" s="9"/>
      <c r="C79" s="9"/>
      <c r="D79" s="9"/>
      <c r="E79" s="9"/>
      <c r="F79" s="10"/>
      <c r="G79" s="9"/>
      <c r="H79" s="9"/>
      <c r="I79" s="10"/>
    </row>
    <row r="80" spans="1:9" ht="13.8" x14ac:dyDescent="0.3">
      <c r="A80" s="9"/>
      <c r="B80" s="9"/>
      <c r="C80" s="9"/>
      <c r="D80" s="9"/>
      <c r="E80" s="9"/>
      <c r="F80" s="10"/>
      <c r="G80" s="9"/>
      <c r="H80" s="9"/>
      <c r="I80" s="10"/>
    </row>
    <row r="81" spans="1:9" ht="13.8" x14ac:dyDescent="0.3">
      <c r="A81" s="9"/>
      <c r="B81" s="9"/>
      <c r="C81" s="9"/>
      <c r="D81" s="9"/>
      <c r="E81" s="9"/>
      <c r="F81" s="10"/>
      <c r="G81" s="9"/>
      <c r="H81" s="9"/>
      <c r="I81" s="10"/>
    </row>
    <row r="82" spans="1:9" ht="13.8" x14ac:dyDescent="0.3">
      <c r="A82" s="9"/>
      <c r="B82" s="9"/>
      <c r="C82" s="9"/>
      <c r="D82" s="9"/>
      <c r="E82" s="9"/>
      <c r="F82" s="10"/>
      <c r="G82" s="9"/>
      <c r="H82" s="9"/>
      <c r="I82" s="10"/>
    </row>
    <row r="83" spans="1:9" ht="13.8" x14ac:dyDescent="0.3">
      <c r="A83" s="9"/>
      <c r="B83" s="9"/>
      <c r="C83" s="9"/>
      <c r="D83" s="9"/>
      <c r="E83" s="9"/>
      <c r="F83" s="10"/>
      <c r="G83" s="9"/>
      <c r="H83" s="9"/>
      <c r="I83" s="10"/>
    </row>
    <row r="84" spans="1:9" ht="13.8" x14ac:dyDescent="0.3">
      <c r="A84" s="9"/>
      <c r="B84" s="9"/>
      <c r="C84" s="9"/>
      <c r="D84" s="9"/>
      <c r="E84" s="9"/>
      <c r="F84" s="10"/>
      <c r="G84" s="9"/>
      <c r="H84" s="9"/>
      <c r="I84" s="10"/>
    </row>
    <row r="85" spans="1:9" ht="13.8" x14ac:dyDescent="0.3">
      <c r="A85" s="9"/>
      <c r="B85" s="9"/>
      <c r="C85" s="9"/>
      <c r="D85" s="9"/>
      <c r="E85" s="9"/>
      <c r="F85" s="10"/>
      <c r="G85" s="9"/>
      <c r="H85" s="9"/>
      <c r="I85" s="10"/>
    </row>
    <row r="86" spans="1:9" ht="13.8" x14ac:dyDescent="0.3">
      <c r="A86" s="9"/>
      <c r="B86" s="9"/>
      <c r="C86" s="9"/>
      <c r="D86" s="9"/>
      <c r="E86" s="9"/>
      <c r="F86" s="10"/>
      <c r="G86" s="9"/>
      <c r="H86" s="9"/>
      <c r="I86" s="10"/>
    </row>
    <row r="87" spans="1:9" ht="13.8" x14ac:dyDescent="0.3">
      <c r="A87" s="9"/>
      <c r="B87" s="9"/>
      <c r="C87" s="9"/>
      <c r="D87" s="9"/>
      <c r="E87" s="9"/>
      <c r="F87" s="10"/>
      <c r="G87" s="9"/>
      <c r="H87" s="9"/>
      <c r="I87" s="10"/>
    </row>
    <row r="88" spans="1:9" ht="13.8" x14ac:dyDescent="0.3">
      <c r="A88" s="9"/>
      <c r="B88" s="9"/>
      <c r="C88" s="9"/>
      <c r="D88" s="9"/>
      <c r="E88" s="9"/>
      <c r="F88" s="10"/>
      <c r="G88" s="9"/>
      <c r="H88" s="9"/>
      <c r="I88" s="10"/>
    </row>
    <row r="89" spans="1:9" ht="13.8" x14ac:dyDescent="0.3">
      <c r="A89" s="9"/>
      <c r="B89" s="9"/>
      <c r="C89" s="9"/>
      <c r="D89" s="9"/>
      <c r="E89" s="9"/>
      <c r="F89" s="10"/>
      <c r="G89" s="9"/>
      <c r="H89" s="9"/>
      <c r="I89" s="10"/>
    </row>
    <row r="90" spans="1:9" ht="13.8" x14ac:dyDescent="0.3">
      <c r="A90" s="9"/>
      <c r="B90" s="9"/>
      <c r="C90" s="9"/>
      <c r="D90" s="9"/>
      <c r="E90" s="9"/>
      <c r="F90" s="10"/>
      <c r="G90" s="9"/>
      <c r="H90" s="9"/>
      <c r="I90" s="10"/>
    </row>
    <row r="91" spans="1:9" ht="13.8" x14ac:dyDescent="0.3">
      <c r="A91" s="9"/>
      <c r="B91" s="9"/>
      <c r="C91" s="9"/>
      <c r="D91" s="9"/>
      <c r="E91" s="9"/>
      <c r="F91" s="10"/>
      <c r="G91" s="9"/>
      <c r="H91" s="9"/>
      <c r="I91" s="10"/>
    </row>
    <row r="92" spans="1:9" ht="13.8" x14ac:dyDescent="0.3">
      <c r="A92" s="9"/>
      <c r="B92" s="9"/>
      <c r="C92" s="9"/>
      <c r="D92" s="9"/>
      <c r="E92" s="9"/>
      <c r="F92" s="10"/>
      <c r="G92" s="9"/>
      <c r="H92" s="9"/>
      <c r="I92" s="10"/>
    </row>
    <row r="93" spans="1:9" ht="13.8" x14ac:dyDescent="0.3">
      <c r="A93" s="9"/>
      <c r="B93" s="9"/>
      <c r="C93" s="9"/>
      <c r="D93" s="9"/>
      <c r="E93" s="9"/>
      <c r="F93" s="10"/>
      <c r="G93" s="9"/>
      <c r="H93" s="9"/>
      <c r="I93" s="10"/>
    </row>
    <row r="94" spans="1:9" ht="13.8" x14ac:dyDescent="0.3">
      <c r="A94" s="9"/>
      <c r="B94" s="9"/>
      <c r="C94" s="9"/>
      <c r="D94" s="9"/>
      <c r="E94" s="9"/>
      <c r="F94" s="10"/>
      <c r="G94" s="9"/>
      <c r="H94" s="9"/>
      <c r="I94" s="10"/>
    </row>
    <row r="95" spans="1:9" ht="13.8" x14ac:dyDescent="0.3">
      <c r="A95" s="9"/>
      <c r="B95" s="9"/>
      <c r="C95" s="9"/>
      <c r="D95" s="9"/>
      <c r="E95" s="9"/>
      <c r="F95" s="10"/>
      <c r="G95" s="9"/>
      <c r="H95" s="9"/>
      <c r="I95" s="10"/>
    </row>
    <row r="96" spans="1:9" ht="13.8" x14ac:dyDescent="0.3">
      <c r="A96" s="9"/>
      <c r="B96" s="9"/>
      <c r="C96" s="9"/>
      <c r="D96" s="9"/>
      <c r="E96" s="9"/>
      <c r="F96" s="10"/>
      <c r="G96" s="9"/>
      <c r="H96" s="9"/>
      <c r="I96" s="10"/>
    </row>
    <row r="97" spans="1:9" ht="13.8" x14ac:dyDescent="0.3">
      <c r="A97" s="9"/>
      <c r="B97" s="9"/>
      <c r="C97" s="9"/>
      <c r="D97" s="9"/>
      <c r="E97" s="9"/>
      <c r="F97" s="10"/>
      <c r="G97" s="9"/>
      <c r="H97" s="9"/>
      <c r="I97" s="10"/>
    </row>
    <row r="98" spans="1:9" ht="13.8" x14ac:dyDescent="0.3">
      <c r="A98" s="9"/>
      <c r="B98" s="9"/>
      <c r="C98" s="9"/>
      <c r="D98" s="9"/>
      <c r="E98" s="9"/>
      <c r="F98" s="10"/>
      <c r="G98" s="9"/>
      <c r="H98" s="9"/>
      <c r="I98" s="10"/>
    </row>
    <row r="99" spans="1:9" ht="13.8" x14ac:dyDescent="0.3">
      <c r="A99" s="9"/>
      <c r="B99" s="9"/>
      <c r="C99" s="9"/>
      <c r="D99" s="9"/>
      <c r="E99" s="9"/>
      <c r="F99" s="10"/>
      <c r="G99" s="9"/>
      <c r="H99" s="9"/>
      <c r="I99" s="10"/>
    </row>
    <row r="100" spans="1:9" ht="13.8" x14ac:dyDescent="0.3">
      <c r="A100" s="9"/>
      <c r="B100" s="9"/>
      <c r="C100" s="9"/>
      <c r="D100" s="9"/>
      <c r="E100" s="9"/>
      <c r="F100" s="10"/>
      <c r="G100" s="9"/>
      <c r="H100" s="9"/>
      <c r="I100" s="10"/>
    </row>
    <row r="101" spans="1:9" ht="13.8" x14ac:dyDescent="0.3">
      <c r="A101" s="9"/>
      <c r="B101" s="9"/>
      <c r="C101" s="9"/>
      <c r="D101" s="9"/>
      <c r="E101" s="9"/>
      <c r="F101" s="10"/>
      <c r="G101" s="9"/>
      <c r="H101" s="9"/>
      <c r="I101" s="10"/>
    </row>
    <row r="102" spans="1:9" ht="13.8" x14ac:dyDescent="0.3">
      <c r="A102" s="9"/>
      <c r="B102" s="9"/>
      <c r="C102" s="9"/>
      <c r="D102" s="9"/>
      <c r="E102" s="9"/>
      <c r="F102" s="10"/>
      <c r="G102" s="9"/>
      <c r="H102" s="9"/>
      <c r="I102" s="10"/>
    </row>
    <row r="103" spans="1:9" ht="13.8" x14ac:dyDescent="0.3">
      <c r="A103" s="9"/>
      <c r="B103" s="9"/>
      <c r="C103" s="9"/>
      <c r="D103" s="9"/>
      <c r="E103" s="9"/>
      <c r="F103" s="10"/>
      <c r="G103" s="9"/>
      <c r="H103" s="9"/>
      <c r="I103" s="10"/>
    </row>
    <row r="104" spans="1:9" ht="13.8" x14ac:dyDescent="0.3">
      <c r="A104" s="9"/>
      <c r="B104" s="9"/>
      <c r="C104" s="9"/>
      <c r="D104" s="9"/>
      <c r="E104" s="9"/>
      <c r="F104" s="10"/>
      <c r="G104" s="9"/>
      <c r="H104" s="9"/>
      <c r="I104" s="10"/>
    </row>
    <row r="105" spans="1:9" ht="13.8" x14ac:dyDescent="0.3">
      <c r="A105" s="9"/>
      <c r="B105" s="9"/>
      <c r="C105" s="9"/>
      <c r="D105" s="9"/>
      <c r="E105" s="9"/>
      <c r="F105" s="10"/>
      <c r="G105" s="9"/>
      <c r="H105" s="9"/>
      <c r="I105" s="10"/>
    </row>
    <row r="106" spans="1:9" ht="13.8" x14ac:dyDescent="0.3">
      <c r="A106" s="9"/>
      <c r="B106" s="9"/>
      <c r="C106" s="9"/>
      <c r="D106" s="9"/>
      <c r="E106" s="9"/>
      <c r="F106" s="10"/>
      <c r="G106" s="9"/>
      <c r="H106" s="9"/>
      <c r="I106" s="10"/>
    </row>
    <row r="107" spans="1:9" ht="13.8" x14ac:dyDescent="0.3">
      <c r="A107" s="9"/>
      <c r="B107" s="9"/>
      <c r="C107" s="9"/>
      <c r="D107" s="9"/>
      <c r="E107" s="9"/>
      <c r="F107" s="10"/>
      <c r="G107" s="9"/>
      <c r="H107" s="9"/>
      <c r="I107" s="10"/>
    </row>
    <row r="108" spans="1:9" ht="13.8" x14ac:dyDescent="0.3">
      <c r="A108" s="9"/>
      <c r="B108" s="9"/>
      <c r="C108" s="9"/>
      <c r="D108" s="9"/>
      <c r="E108" s="9"/>
      <c r="F108" s="10"/>
      <c r="G108" s="9"/>
      <c r="H108" s="9"/>
      <c r="I108" s="10"/>
    </row>
    <row r="109" spans="1:9" ht="13.8" x14ac:dyDescent="0.3">
      <c r="A109" s="9"/>
      <c r="B109" s="9"/>
      <c r="C109" s="9"/>
      <c r="D109" s="9"/>
      <c r="E109" s="9"/>
      <c r="F109" s="10"/>
      <c r="G109" s="9"/>
      <c r="H109" s="9"/>
      <c r="I109" s="10"/>
    </row>
    <row r="110" spans="1:9" ht="13.8" x14ac:dyDescent="0.3">
      <c r="A110" s="9"/>
      <c r="B110" s="9"/>
      <c r="C110" s="9"/>
      <c r="D110" s="9"/>
      <c r="E110" s="9"/>
      <c r="F110" s="10"/>
      <c r="G110" s="9"/>
      <c r="H110" s="9"/>
      <c r="I110" s="10"/>
    </row>
    <row r="111" spans="1:9" ht="13.8" x14ac:dyDescent="0.3">
      <c r="A111" s="9"/>
      <c r="B111" s="9"/>
      <c r="C111" s="9"/>
      <c r="D111" s="9"/>
      <c r="E111" s="9"/>
      <c r="F111" s="10"/>
      <c r="G111" s="9"/>
      <c r="H111" s="9"/>
      <c r="I111" s="10"/>
    </row>
    <row r="112" spans="1:9" ht="13.8" x14ac:dyDescent="0.3">
      <c r="A112" s="9"/>
      <c r="B112" s="9"/>
      <c r="C112" s="9"/>
      <c r="D112" s="9"/>
      <c r="E112" s="9"/>
      <c r="F112" s="10"/>
      <c r="G112" s="9"/>
      <c r="H112" s="9"/>
      <c r="I112" s="10"/>
    </row>
    <row r="113" spans="1:9" ht="13.8" x14ac:dyDescent="0.3">
      <c r="A113" s="9"/>
      <c r="B113" s="9"/>
      <c r="C113" s="9"/>
      <c r="D113" s="9"/>
      <c r="E113" s="9"/>
      <c r="F113" s="10"/>
      <c r="G113" s="9"/>
      <c r="H113" s="9"/>
      <c r="I113" s="10"/>
    </row>
    <row r="114" spans="1:9" ht="13.8" x14ac:dyDescent="0.3">
      <c r="A114" s="9"/>
      <c r="B114" s="9"/>
      <c r="C114" s="9"/>
      <c r="D114" s="9"/>
      <c r="E114" s="9"/>
      <c r="F114" s="10"/>
      <c r="G114" s="9"/>
      <c r="H114" s="9"/>
      <c r="I114" s="10"/>
    </row>
    <row r="115" spans="1:9" ht="13.8" x14ac:dyDescent="0.3">
      <c r="A115" s="9"/>
      <c r="B115" s="9"/>
      <c r="C115" s="9"/>
      <c r="D115" s="9"/>
      <c r="E115" s="9"/>
      <c r="F115" s="10"/>
      <c r="G115" s="9"/>
      <c r="H115" s="9"/>
      <c r="I115" s="10"/>
    </row>
    <row r="116" spans="1:9" ht="13.8" x14ac:dyDescent="0.3">
      <c r="A116" s="9"/>
      <c r="B116" s="9"/>
      <c r="C116" s="9"/>
      <c r="D116" s="9"/>
      <c r="E116" s="9"/>
      <c r="F116" s="10"/>
      <c r="G116" s="9"/>
      <c r="H116" s="9"/>
      <c r="I116" s="10"/>
    </row>
    <row r="117" spans="1:9" ht="13.8" x14ac:dyDescent="0.3">
      <c r="A117" s="9"/>
      <c r="B117" s="9"/>
      <c r="C117" s="9"/>
      <c r="D117" s="9"/>
      <c r="E117" s="9"/>
      <c r="F117" s="10"/>
      <c r="G117" s="9"/>
      <c r="H117" s="9"/>
      <c r="I117" s="10"/>
    </row>
    <row r="118" spans="1:9" ht="13.8" x14ac:dyDescent="0.3">
      <c r="A118" s="9"/>
      <c r="B118" s="9"/>
      <c r="C118" s="9"/>
      <c r="D118" s="9"/>
      <c r="E118" s="9"/>
      <c r="F118" s="10"/>
      <c r="G118" s="9"/>
      <c r="H118" s="9"/>
      <c r="I118" s="10"/>
    </row>
    <row r="119" spans="1:9" ht="13.8" x14ac:dyDescent="0.3">
      <c r="A119" s="9"/>
      <c r="B119" s="9"/>
      <c r="C119" s="9"/>
      <c r="D119" s="9"/>
      <c r="E119" s="9"/>
      <c r="F119" s="10"/>
      <c r="G119" s="9"/>
      <c r="H119" s="9"/>
      <c r="I119" s="10"/>
    </row>
    <row r="120" spans="1:9" ht="13.8" x14ac:dyDescent="0.3">
      <c r="A120" s="9"/>
      <c r="B120" s="9"/>
      <c r="C120" s="9"/>
      <c r="D120" s="9"/>
      <c r="E120" s="9"/>
      <c r="F120" s="10"/>
      <c r="G120" s="9"/>
      <c r="H120" s="9"/>
      <c r="I120" s="10"/>
    </row>
    <row r="121" spans="1:9" ht="13.8" x14ac:dyDescent="0.3">
      <c r="A121" s="9"/>
      <c r="B121" s="9"/>
      <c r="C121" s="9"/>
      <c r="D121" s="9"/>
      <c r="E121" s="9"/>
      <c r="F121" s="10"/>
      <c r="G121" s="9"/>
      <c r="H121" s="9"/>
      <c r="I121" s="10"/>
    </row>
    <row r="122" spans="1:9" ht="13.8" x14ac:dyDescent="0.3">
      <c r="A122" s="9"/>
      <c r="B122" s="9"/>
      <c r="C122" s="9"/>
      <c r="D122" s="9"/>
      <c r="E122" s="9"/>
      <c r="F122" s="10"/>
      <c r="G122" s="9"/>
      <c r="H122" s="9"/>
      <c r="I122" s="10"/>
    </row>
    <row r="123" spans="1:9" ht="13.8" x14ac:dyDescent="0.3">
      <c r="A123" s="9"/>
      <c r="B123" s="9"/>
      <c r="C123" s="9"/>
      <c r="D123" s="9"/>
      <c r="E123" s="9"/>
      <c r="F123" s="10"/>
      <c r="G123" s="9"/>
      <c r="H123" s="9"/>
      <c r="I123" s="10"/>
    </row>
    <row r="124" spans="1:9" ht="13.8" x14ac:dyDescent="0.3">
      <c r="A124" s="9"/>
      <c r="B124" s="9"/>
      <c r="C124" s="9"/>
      <c r="D124" s="9"/>
      <c r="E124" s="9"/>
      <c r="F124" s="10"/>
      <c r="G124" s="9"/>
      <c r="H124" s="9"/>
      <c r="I124" s="10"/>
    </row>
    <row r="125" spans="1:9" ht="13.8" x14ac:dyDescent="0.3">
      <c r="A125" s="9"/>
      <c r="B125" s="9"/>
      <c r="C125" s="9"/>
      <c r="D125" s="9"/>
      <c r="E125" s="9"/>
      <c r="F125" s="10"/>
      <c r="G125" s="9"/>
      <c r="H125" s="9"/>
      <c r="I125" s="10"/>
    </row>
    <row r="126" spans="1:9" ht="13.8" x14ac:dyDescent="0.3">
      <c r="A126" s="9"/>
      <c r="B126" s="9"/>
      <c r="C126" s="9"/>
      <c r="D126" s="9"/>
      <c r="E126" s="9"/>
      <c r="F126" s="10"/>
      <c r="G126" s="9"/>
      <c r="H126" s="9"/>
      <c r="I126" s="10"/>
    </row>
    <row r="127" spans="1:9" ht="13.8" x14ac:dyDescent="0.3">
      <c r="A127" s="9"/>
      <c r="B127" s="9"/>
      <c r="C127" s="9"/>
      <c r="D127" s="9"/>
      <c r="E127" s="9"/>
      <c r="F127" s="10"/>
      <c r="G127" s="9"/>
      <c r="H127" s="9"/>
      <c r="I127" s="10"/>
    </row>
    <row r="128" spans="1:9" ht="13.8" x14ac:dyDescent="0.3">
      <c r="A128" s="9"/>
      <c r="B128" s="9"/>
      <c r="C128" s="9"/>
      <c r="D128" s="9"/>
      <c r="E128" s="9"/>
      <c r="F128" s="10"/>
      <c r="G128" s="9"/>
      <c r="H128" s="9"/>
      <c r="I128" s="10"/>
    </row>
    <row r="129" spans="1:9" ht="13.8" x14ac:dyDescent="0.3">
      <c r="A129" s="9"/>
      <c r="B129" s="9"/>
      <c r="C129" s="9"/>
      <c r="D129" s="9"/>
      <c r="E129" s="9"/>
      <c r="F129" s="10"/>
      <c r="G129" s="9"/>
      <c r="H129" s="9"/>
      <c r="I129" s="10"/>
    </row>
    <row r="130" spans="1:9" ht="13.8" x14ac:dyDescent="0.3">
      <c r="A130" s="9"/>
      <c r="B130" s="9"/>
      <c r="C130" s="9"/>
      <c r="D130" s="9"/>
      <c r="E130" s="9"/>
      <c r="F130" s="10"/>
      <c r="G130" s="9"/>
      <c r="H130" s="9"/>
      <c r="I130" s="10"/>
    </row>
    <row r="131" spans="1:9" ht="13.8" x14ac:dyDescent="0.3">
      <c r="A131" s="9"/>
      <c r="B131" s="9"/>
      <c r="C131" s="9"/>
      <c r="D131" s="9"/>
      <c r="E131" s="9"/>
      <c r="F131" s="10"/>
      <c r="G131" s="9"/>
      <c r="H131" s="9"/>
      <c r="I131" s="10"/>
    </row>
    <row r="132" spans="1:9" ht="13.8" x14ac:dyDescent="0.3">
      <c r="A132" s="9"/>
      <c r="B132" s="9"/>
      <c r="C132" s="9"/>
      <c r="D132" s="9"/>
      <c r="E132" s="9"/>
      <c r="F132" s="10"/>
      <c r="G132" s="9"/>
      <c r="H132" s="9"/>
      <c r="I132" s="10"/>
    </row>
    <row r="133" spans="1:9" ht="13.8" x14ac:dyDescent="0.3">
      <c r="A133" s="9"/>
      <c r="B133" s="9"/>
      <c r="C133" s="9"/>
      <c r="D133" s="9"/>
      <c r="E133" s="9"/>
      <c r="F133" s="10"/>
      <c r="G133" s="9"/>
      <c r="H133" s="9"/>
      <c r="I133" s="10"/>
    </row>
    <row r="134" spans="1:9" ht="13.8" x14ac:dyDescent="0.3">
      <c r="A134" s="9"/>
      <c r="B134" s="9"/>
      <c r="C134" s="9"/>
      <c r="D134" s="9"/>
      <c r="E134" s="9"/>
      <c r="F134" s="10"/>
      <c r="G134" s="9"/>
      <c r="H134" s="9"/>
      <c r="I134" s="10"/>
    </row>
    <row r="135" spans="1:9" ht="13.8" x14ac:dyDescent="0.3">
      <c r="A135" s="9"/>
      <c r="B135" s="9"/>
      <c r="C135" s="9"/>
      <c r="D135" s="9"/>
      <c r="E135" s="9"/>
      <c r="F135" s="10"/>
      <c r="G135" s="9"/>
      <c r="H135" s="9"/>
      <c r="I135" s="10"/>
    </row>
    <row r="136" spans="1:9" ht="13.8" x14ac:dyDescent="0.3">
      <c r="A136" s="9"/>
      <c r="B136" s="9"/>
      <c r="C136" s="9"/>
      <c r="D136" s="9"/>
      <c r="E136" s="9"/>
      <c r="F136" s="10"/>
      <c r="G136" s="9"/>
      <c r="H136" s="9"/>
      <c r="I136" s="10"/>
    </row>
    <row r="137" spans="1:9" ht="13.8" x14ac:dyDescent="0.3">
      <c r="A137" s="9"/>
      <c r="B137" s="9"/>
      <c r="C137" s="9"/>
      <c r="D137" s="9"/>
      <c r="E137" s="9"/>
      <c r="F137" s="10"/>
      <c r="G137" s="9"/>
      <c r="H137" s="9"/>
      <c r="I137" s="10"/>
    </row>
    <row r="138" spans="1:9" ht="13.8" x14ac:dyDescent="0.3">
      <c r="A138" s="9"/>
      <c r="B138" s="9"/>
      <c r="C138" s="9"/>
      <c r="D138" s="9"/>
      <c r="E138" s="9"/>
      <c r="F138" s="10"/>
      <c r="G138" s="9"/>
      <c r="H138" s="9"/>
      <c r="I138" s="10"/>
    </row>
    <row r="139" spans="1:9" ht="13.8" x14ac:dyDescent="0.3">
      <c r="A139" s="9"/>
      <c r="B139" s="9"/>
      <c r="C139" s="9"/>
      <c r="D139" s="9"/>
      <c r="E139" s="9"/>
      <c r="F139" s="10"/>
      <c r="G139" s="9"/>
      <c r="H139" s="9"/>
      <c r="I139" s="10"/>
    </row>
    <row r="140" spans="1:9" ht="13.8" x14ac:dyDescent="0.3">
      <c r="A140" s="9"/>
      <c r="B140" s="9"/>
      <c r="C140" s="9"/>
      <c r="D140" s="9"/>
      <c r="E140" s="9"/>
      <c r="F140" s="10"/>
      <c r="G140" s="9"/>
      <c r="H140" s="9"/>
      <c r="I140" s="10"/>
    </row>
    <row r="141" spans="1:9" ht="13.8" x14ac:dyDescent="0.3">
      <c r="A141" s="9"/>
      <c r="B141" s="9"/>
      <c r="C141" s="9"/>
      <c r="D141" s="9"/>
      <c r="E141" s="9"/>
      <c r="F141" s="10"/>
      <c r="G141" s="9"/>
      <c r="H141" s="9"/>
      <c r="I141" s="10"/>
    </row>
    <row r="142" spans="1:9" ht="13.8" x14ac:dyDescent="0.3">
      <c r="A142" s="9"/>
      <c r="B142" s="9"/>
      <c r="C142" s="9"/>
      <c r="D142" s="9"/>
      <c r="E142" s="9"/>
      <c r="F142" s="10"/>
      <c r="G142" s="9"/>
      <c r="H142" s="9"/>
      <c r="I142" s="10"/>
    </row>
    <row r="143" spans="1:9" ht="13.8" x14ac:dyDescent="0.3">
      <c r="A143" s="9"/>
      <c r="B143" s="9"/>
      <c r="C143" s="9"/>
      <c r="D143" s="9"/>
      <c r="E143" s="9"/>
      <c r="F143" s="10"/>
      <c r="G143" s="9"/>
      <c r="H143" s="9"/>
      <c r="I143" s="10"/>
    </row>
    <row r="144" spans="1:9" ht="13.8" x14ac:dyDescent="0.3">
      <c r="A144" s="9"/>
      <c r="B144" s="9"/>
      <c r="C144" s="9"/>
      <c r="D144" s="9"/>
      <c r="E144" s="9"/>
      <c r="F144" s="10"/>
      <c r="G144" s="9"/>
      <c r="H144" s="9"/>
      <c r="I144" s="10"/>
    </row>
    <row r="145" spans="1:9" ht="13.8" x14ac:dyDescent="0.3">
      <c r="A145" s="9"/>
      <c r="B145" s="9"/>
      <c r="C145" s="9"/>
      <c r="D145" s="9"/>
      <c r="E145" s="9"/>
      <c r="F145" s="10"/>
      <c r="G145" s="9"/>
      <c r="H145" s="9"/>
      <c r="I145" s="10"/>
    </row>
    <row r="146" spans="1:9" ht="13.8" x14ac:dyDescent="0.3">
      <c r="A146" s="9"/>
      <c r="B146" s="9"/>
      <c r="C146" s="9"/>
      <c r="D146" s="9"/>
      <c r="E146" s="9"/>
      <c r="F146" s="10"/>
      <c r="G146" s="9"/>
      <c r="H146" s="9"/>
      <c r="I146" s="10"/>
    </row>
    <row r="147" spans="1:9" ht="13.8" x14ac:dyDescent="0.3">
      <c r="A147" s="9"/>
      <c r="B147" s="9"/>
      <c r="C147" s="9"/>
      <c r="D147" s="9"/>
      <c r="E147" s="9"/>
      <c r="F147" s="10"/>
      <c r="G147" s="9"/>
      <c r="H147" s="9"/>
      <c r="I147" s="10"/>
    </row>
    <row r="148" spans="1:9" ht="13.8" x14ac:dyDescent="0.3">
      <c r="A148" s="9"/>
      <c r="B148" s="9"/>
      <c r="C148" s="9"/>
      <c r="D148" s="9"/>
      <c r="E148" s="9"/>
      <c r="F148" s="10"/>
      <c r="G148" s="9"/>
      <c r="H148" s="9"/>
      <c r="I148" s="10"/>
    </row>
    <row r="149" spans="1:9" ht="13.8" x14ac:dyDescent="0.3">
      <c r="A149" s="9"/>
      <c r="B149" s="9"/>
      <c r="C149" s="9"/>
      <c r="D149" s="9"/>
      <c r="E149" s="9"/>
      <c r="F149" s="10"/>
      <c r="G149" s="9"/>
      <c r="H149" s="9"/>
      <c r="I149" s="10"/>
    </row>
    <row r="150" spans="1:9" ht="13.8" x14ac:dyDescent="0.3">
      <c r="A150" s="9"/>
      <c r="B150" s="9"/>
      <c r="C150" s="9"/>
      <c r="D150" s="9"/>
      <c r="E150" s="9"/>
      <c r="F150" s="10"/>
      <c r="G150" s="9"/>
      <c r="H150" s="9"/>
      <c r="I150" s="10"/>
    </row>
    <row r="151" spans="1:9" ht="13.8" x14ac:dyDescent="0.3">
      <c r="A151" s="9"/>
      <c r="B151" s="9"/>
      <c r="C151" s="9"/>
      <c r="D151" s="9"/>
      <c r="E151" s="9"/>
      <c r="F151" s="10"/>
      <c r="G151" s="9"/>
      <c r="H151" s="9"/>
      <c r="I151" s="10"/>
    </row>
    <row r="152" spans="1:9" ht="13.8" x14ac:dyDescent="0.3">
      <c r="A152" s="9"/>
      <c r="B152" s="9"/>
      <c r="C152" s="9"/>
      <c r="D152" s="9"/>
      <c r="E152" s="9"/>
      <c r="F152" s="10"/>
      <c r="G152" s="9"/>
      <c r="H152" s="9"/>
      <c r="I152" s="10"/>
    </row>
    <row r="153" spans="1:9" ht="13.8" x14ac:dyDescent="0.3">
      <c r="A153" s="9"/>
      <c r="B153" s="9"/>
      <c r="C153" s="9"/>
      <c r="D153" s="9"/>
      <c r="E153" s="9"/>
      <c r="F153" s="10"/>
      <c r="G153" s="9"/>
      <c r="H153" s="9"/>
      <c r="I153" s="10"/>
    </row>
    <row r="154" spans="1:9" ht="13.8" x14ac:dyDescent="0.3">
      <c r="A154" s="9"/>
      <c r="B154" s="9"/>
      <c r="C154" s="9"/>
      <c r="D154" s="9"/>
      <c r="E154" s="9"/>
      <c r="F154" s="10"/>
      <c r="G154" s="9"/>
      <c r="H154" s="9"/>
      <c r="I154" s="10"/>
    </row>
    <row r="155" spans="1:9" ht="13.8" x14ac:dyDescent="0.3">
      <c r="A155" s="9"/>
      <c r="B155" s="9"/>
      <c r="C155" s="9"/>
      <c r="D155" s="9"/>
      <c r="E155" s="9"/>
      <c r="F155" s="10"/>
      <c r="G155" s="9"/>
      <c r="H155" s="9"/>
      <c r="I155" s="10"/>
    </row>
    <row r="156" spans="1:9" ht="13.8" x14ac:dyDescent="0.3">
      <c r="A156" s="9"/>
      <c r="B156" s="9"/>
      <c r="C156" s="9"/>
      <c r="D156" s="9"/>
      <c r="E156" s="9"/>
      <c r="F156" s="10"/>
      <c r="G156" s="9"/>
      <c r="H156" s="9"/>
      <c r="I156" s="10"/>
    </row>
    <row r="157" spans="1:9" ht="13.8" x14ac:dyDescent="0.3">
      <c r="A157" s="9"/>
      <c r="B157" s="9"/>
      <c r="C157" s="9"/>
      <c r="D157" s="9"/>
      <c r="E157" s="9"/>
      <c r="F157" s="10"/>
      <c r="G157" s="9"/>
      <c r="H157" s="9"/>
      <c r="I157" s="10"/>
    </row>
    <row r="158" spans="1:9" ht="13.8" x14ac:dyDescent="0.3">
      <c r="A158" s="9"/>
      <c r="B158" s="9"/>
      <c r="C158" s="9"/>
      <c r="D158" s="9"/>
      <c r="E158" s="9"/>
      <c r="F158" s="10"/>
      <c r="G158" s="9"/>
      <c r="H158" s="9"/>
      <c r="I158" s="10"/>
    </row>
    <row r="159" spans="1:9" ht="13.8" x14ac:dyDescent="0.3">
      <c r="A159" s="9"/>
      <c r="B159" s="9"/>
      <c r="C159" s="9"/>
      <c r="D159" s="9"/>
      <c r="E159" s="9"/>
      <c r="F159" s="10"/>
      <c r="G159" s="9"/>
      <c r="H159" s="9"/>
      <c r="I159" s="10"/>
    </row>
    <row r="160" spans="1:9" ht="13.8" x14ac:dyDescent="0.3">
      <c r="A160" s="9"/>
      <c r="B160" s="9"/>
      <c r="C160" s="9"/>
      <c r="D160" s="9"/>
      <c r="E160" s="9"/>
      <c r="F160" s="10"/>
      <c r="G160" s="9"/>
      <c r="H160" s="9"/>
      <c r="I160" s="10"/>
    </row>
    <row r="161" spans="1:9" ht="13.8" x14ac:dyDescent="0.3">
      <c r="A161" s="9"/>
      <c r="B161" s="9"/>
      <c r="C161" s="9"/>
      <c r="D161" s="9"/>
      <c r="E161" s="9"/>
      <c r="F161" s="10"/>
      <c r="G161" s="9"/>
      <c r="H161" s="9"/>
      <c r="I161" s="10"/>
    </row>
    <row r="162" spans="1:9" ht="13.8" x14ac:dyDescent="0.3">
      <c r="A162" s="9"/>
      <c r="B162" s="9"/>
      <c r="C162" s="9"/>
      <c r="D162" s="9"/>
      <c r="E162" s="9"/>
      <c r="F162" s="10"/>
      <c r="G162" s="9"/>
      <c r="H162" s="9"/>
      <c r="I162" s="10"/>
    </row>
    <row r="163" spans="1:9" ht="13.8" x14ac:dyDescent="0.3">
      <c r="A163" s="9"/>
      <c r="B163" s="9"/>
      <c r="C163" s="9"/>
      <c r="D163" s="9"/>
      <c r="E163" s="9"/>
      <c r="F163" s="10"/>
      <c r="G163" s="9"/>
      <c r="H163" s="9"/>
      <c r="I163" s="10"/>
    </row>
    <row r="164" spans="1:9" ht="13.8" x14ac:dyDescent="0.3">
      <c r="A164" s="9"/>
      <c r="B164" s="9"/>
      <c r="C164" s="9"/>
      <c r="D164" s="9"/>
      <c r="E164" s="9"/>
      <c r="F164" s="10"/>
      <c r="G164" s="9"/>
      <c r="H164" s="9"/>
      <c r="I164" s="10"/>
    </row>
    <row r="165" spans="1:9" ht="13.8" x14ac:dyDescent="0.3">
      <c r="A165" s="9"/>
      <c r="B165" s="9"/>
      <c r="C165" s="9"/>
      <c r="D165" s="9"/>
      <c r="E165" s="9"/>
      <c r="F165" s="10"/>
      <c r="G165" s="9"/>
      <c r="H165" s="9"/>
      <c r="I165" s="10"/>
    </row>
    <row r="166" spans="1:9" ht="13.8" x14ac:dyDescent="0.3">
      <c r="A166" s="9"/>
      <c r="B166" s="9"/>
      <c r="C166" s="9"/>
      <c r="D166" s="9"/>
      <c r="E166" s="9"/>
      <c r="F166" s="10"/>
      <c r="G166" s="9"/>
      <c r="H166" s="9"/>
      <c r="I166" s="10"/>
    </row>
    <row r="167" spans="1:9" ht="13.8" x14ac:dyDescent="0.3">
      <c r="A167" s="9"/>
      <c r="B167" s="9"/>
      <c r="C167" s="9"/>
      <c r="D167" s="9"/>
      <c r="E167" s="9"/>
      <c r="F167" s="10"/>
      <c r="G167" s="9"/>
      <c r="H167" s="9"/>
      <c r="I167" s="10"/>
    </row>
    <row r="168" spans="1:9" ht="13.8" x14ac:dyDescent="0.3">
      <c r="A168" s="9"/>
      <c r="B168" s="9"/>
      <c r="C168" s="9"/>
      <c r="D168" s="9"/>
      <c r="E168" s="9"/>
      <c r="F168" s="10"/>
      <c r="G168" s="9"/>
      <c r="H168" s="9"/>
      <c r="I168" s="10"/>
    </row>
    <row r="169" spans="1:9" ht="13.8" x14ac:dyDescent="0.3">
      <c r="A169" s="9"/>
      <c r="B169" s="9"/>
      <c r="C169" s="9"/>
      <c r="D169" s="9"/>
      <c r="E169" s="9"/>
      <c r="F169" s="10"/>
      <c r="G169" s="9"/>
      <c r="H169" s="9"/>
      <c r="I169" s="10"/>
    </row>
    <row r="170" spans="1:9" ht="13.8" x14ac:dyDescent="0.3">
      <c r="A170" s="9"/>
      <c r="B170" s="9"/>
      <c r="C170" s="9"/>
      <c r="D170" s="9"/>
      <c r="E170" s="9"/>
      <c r="F170" s="10"/>
      <c r="G170" s="9"/>
      <c r="H170" s="9"/>
      <c r="I170" s="10"/>
    </row>
    <row r="171" spans="1:9" ht="13.8" x14ac:dyDescent="0.3">
      <c r="A171" s="9"/>
      <c r="B171" s="9"/>
      <c r="C171" s="9"/>
      <c r="D171" s="9"/>
      <c r="E171" s="9"/>
      <c r="F171" s="10"/>
      <c r="G171" s="9"/>
      <c r="H171" s="9"/>
      <c r="I171" s="10"/>
    </row>
    <row r="172" spans="1:9" ht="13.8" x14ac:dyDescent="0.3">
      <c r="A172" s="9"/>
      <c r="B172" s="9"/>
      <c r="C172" s="9"/>
      <c r="D172" s="9"/>
      <c r="E172" s="9"/>
      <c r="F172" s="10"/>
      <c r="G172" s="9"/>
      <c r="H172" s="9"/>
      <c r="I172" s="10"/>
    </row>
    <row r="173" spans="1:9" ht="13.8" x14ac:dyDescent="0.3">
      <c r="A173" s="9"/>
      <c r="B173" s="9"/>
      <c r="C173" s="9"/>
      <c r="D173" s="9"/>
      <c r="E173" s="9"/>
      <c r="F173" s="10"/>
      <c r="G173" s="9"/>
      <c r="H173" s="9"/>
      <c r="I173" s="10"/>
    </row>
    <row r="174" spans="1:9" ht="13.8" x14ac:dyDescent="0.3">
      <c r="A174" s="9"/>
      <c r="B174" s="9"/>
      <c r="C174" s="9"/>
      <c r="D174" s="9"/>
      <c r="E174" s="9"/>
      <c r="F174" s="10"/>
      <c r="G174" s="9"/>
      <c r="H174" s="9"/>
      <c r="I174" s="10"/>
    </row>
    <row r="175" spans="1:9" ht="13.8" x14ac:dyDescent="0.3">
      <c r="A175" s="9"/>
      <c r="B175" s="9"/>
      <c r="C175" s="9"/>
      <c r="D175" s="9"/>
      <c r="E175" s="9"/>
      <c r="F175" s="10"/>
      <c r="G175" s="9"/>
      <c r="H175" s="9"/>
      <c r="I175" s="10"/>
    </row>
    <row r="176" spans="1:9" ht="13.8" x14ac:dyDescent="0.3">
      <c r="A176" s="9"/>
      <c r="B176" s="9"/>
      <c r="C176" s="9"/>
      <c r="D176" s="9"/>
      <c r="E176" s="9"/>
      <c r="F176" s="10"/>
      <c r="G176" s="9"/>
      <c r="H176" s="9"/>
      <c r="I176" s="10"/>
    </row>
    <row r="177" spans="1:9" ht="13.8" x14ac:dyDescent="0.3">
      <c r="A177" s="9"/>
      <c r="B177" s="9"/>
      <c r="C177" s="9"/>
      <c r="D177" s="9"/>
      <c r="E177" s="9"/>
      <c r="F177" s="10"/>
      <c r="G177" s="9"/>
      <c r="H177" s="9"/>
      <c r="I177" s="10"/>
    </row>
    <row r="178" spans="1:9" ht="13.8" x14ac:dyDescent="0.3">
      <c r="A178" s="9"/>
      <c r="B178" s="9"/>
      <c r="C178" s="9"/>
      <c r="D178" s="9"/>
      <c r="E178" s="9"/>
      <c r="F178" s="10"/>
      <c r="G178" s="9"/>
      <c r="H178" s="9"/>
      <c r="I178" s="10"/>
    </row>
    <row r="179" spans="1:9" ht="13.8" x14ac:dyDescent="0.3">
      <c r="A179" s="9"/>
      <c r="B179" s="9"/>
      <c r="C179" s="9"/>
      <c r="D179" s="9"/>
      <c r="E179" s="9"/>
      <c r="F179" s="10"/>
      <c r="G179" s="9"/>
      <c r="H179" s="9"/>
      <c r="I179" s="10"/>
    </row>
    <row r="180" spans="1:9" ht="13.8" x14ac:dyDescent="0.3">
      <c r="A180" s="9"/>
      <c r="B180" s="9"/>
      <c r="C180" s="9"/>
      <c r="D180" s="9"/>
      <c r="E180" s="9"/>
      <c r="F180" s="10"/>
      <c r="G180" s="9"/>
      <c r="H180" s="9"/>
      <c r="I180" s="10"/>
    </row>
    <row r="181" spans="1:9" ht="13.8" x14ac:dyDescent="0.3">
      <c r="A181" s="9"/>
      <c r="B181" s="9"/>
      <c r="C181" s="9"/>
      <c r="D181" s="9"/>
      <c r="E181" s="9"/>
      <c r="F181" s="10"/>
      <c r="G181" s="9"/>
      <c r="H181" s="9"/>
      <c r="I181" s="10"/>
    </row>
    <row r="182" spans="1:9" ht="13.8" x14ac:dyDescent="0.3">
      <c r="A182" s="9"/>
      <c r="B182" s="9"/>
      <c r="C182" s="9"/>
      <c r="D182" s="9"/>
      <c r="E182" s="9"/>
      <c r="F182" s="10"/>
      <c r="G182" s="9"/>
      <c r="H182" s="9"/>
      <c r="I182" s="10"/>
    </row>
    <row r="183" spans="1:9" ht="13.8" x14ac:dyDescent="0.3">
      <c r="A183" s="9"/>
      <c r="B183" s="9"/>
      <c r="C183" s="9"/>
      <c r="D183" s="9"/>
      <c r="E183" s="9"/>
      <c r="F183" s="10"/>
      <c r="G183" s="9"/>
      <c r="H183" s="9"/>
      <c r="I183" s="10"/>
    </row>
    <row r="184" spans="1:9" ht="13.8" x14ac:dyDescent="0.3">
      <c r="A184" s="9"/>
      <c r="B184" s="9"/>
      <c r="C184" s="9"/>
      <c r="D184" s="9"/>
      <c r="E184" s="9"/>
      <c r="F184" s="10"/>
      <c r="G184" s="9"/>
      <c r="H184" s="9"/>
      <c r="I184" s="10"/>
    </row>
    <row r="185" spans="1:9" ht="13.8" x14ac:dyDescent="0.3">
      <c r="A185" s="9"/>
      <c r="B185" s="9"/>
      <c r="C185" s="9"/>
      <c r="D185" s="9"/>
      <c r="E185" s="9"/>
      <c r="F185" s="10"/>
      <c r="G185" s="9"/>
      <c r="H185" s="9"/>
      <c r="I185" s="10"/>
    </row>
    <row r="186" spans="1:9" ht="13.8" x14ac:dyDescent="0.3">
      <c r="A186" s="9"/>
      <c r="B186" s="9"/>
      <c r="C186" s="9"/>
      <c r="D186" s="9"/>
      <c r="E186" s="9"/>
      <c r="F186" s="10"/>
      <c r="G186" s="9"/>
      <c r="H186" s="9"/>
      <c r="I186" s="10"/>
    </row>
    <row r="187" spans="1:9" ht="13.8" x14ac:dyDescent="0.3">
      <c r="A187" s="9"/>
      <c r="B187" s="9"/>
      <c r="C187" s="9"/>
      <c r="D187" s="9"/>
      <c r="E187" s="9"/>
      <c r="F187" s="10"/>
      <c r="G187" s="9"/>
      <c r="H187" s="9"/>
      <c r="I187" s="10"/>
    </row>
    <row r="188" spans="1:9" ht="13.8" x14ac:dyDescent="0.3">
      <c r="A188" s="9"/>
      <c r="B188" s="9"/>
      <c r="C188" s="9"/>
      <c r="D188" s="9"/>
      <c r="E188" s="9"/>
      <c r="F188" s="10"/>
      <c r="G188" s="9"/>
      <c r="H188" s="9"/>
      <c r="I188" s="10"/>
    </row>
    <row r="189" spans="1:9" ht="13.8" x14ac:dyDescent="0.3">
      <c r="A189" s="9"/>
      <c r="B189" s="9"/>
      <c r="C189" s="9"/>
      <c r="D189" s="9"/>
      <c r="E189" s="9"/>
      <c r="F189" s="10"/>
      <c r="G189" s="9"/>
      <c r="H189" s="9"/>
      <c r="I189" s="10"/>
    </row>
    <row r="190" spans="1:9" ht="13.8" x14ac:dyDescent="0.3">
      <c r="A190" s="9"/>
      <c r="B190" s="9"/>
      <c r="C190" s="9"/>
      <c r="D190" s="9"/>
      <c r="E190" s="9"/>
      <c r="F190" s="10"/>
      <c r="G190" s="9"/>
      <c r="H190" s="9"/>
      <c r="I190" s="10"/>
    </row>
    <row r="191" spans="1:9" ht="13.8" x14ac:dyDescent="0.3">
      <c r="A191" s="9"/>
      <c r="B191" s="9"/>
      <c r="C191" s="9"/>
      <c r="D191" s="9"/>
      <c r="E191" s="9"/>
      <c r="F191" s="10"/>
      <c r="G191" s="9"/>
      <c r="H191" s="9"/>
      <c r="I191" s="10"/>
    </row>
    <row r="192" spans="1:9" ht="13.8" x14ac:dyDescent="0.3">
      <c r="A192" s="9"/>
      <c r="B192" s="9"/>
      <c r="C192" s="9"/>
      <c r="D192" s="9"/>
      <c r="E192" s="9"/>
      <c r="F192" s="10"/>
      <c r="G192" s="9"/>
      <c r="H192" s="9"/>
      <c r="I192" s="10"/>
    </row>
    <row r="193" spans="1:9" ht="13.8" x14ac:dyDescent="0.3">
      <c r="A193" s="9"/>
      <c r="B193" s="9"/>
      <c r="C193" s="9"/>
      <c r="D193" s="9"/>
      <c r="E193" s="9"/>
      <c r="F193" s="10"/>
      <c r="G193" s="9"/>
      <c r="H193" s="9"/>
      <c r="I193" s="10"/>
    </row>
    <row r="194" spans="1:9" ht="13.8" x14ac:dyDescent="0.3">
      <c r="A194" s="9"/>
      <c r="B194" s="9"/>
      <c r="C194" s="9"/>
      <c r="D194" s="9"/>
      <c r="E194" s="9"/>
      <c r="F194" s="10"/>
      <c r="G194" s="9"/>
      <c r="H194" s="9"/>
      <c r="I194" s="10"/>
    </row>
    <row r="195" spans="1:9" ht="13.8" x14ac:dyDescent="0.3">
      <c r="A195" s="9"/>
      <c r="B195" s="9"/>
      <c r="C195" s="9"/>
      <c r="D195" s="9"/>
      <c r="E195" s="9"/>
      <c r="F195" s="10"/>
      <c r="G195" s="9"/>
      <c r="H195" s="9"/>
      <c r="I195" s="10"/>
    </row>
    <row r="196" spans="1:9" ht="13.8" x14ac:dyDescent="0.3">
      <c r="A196" s="9"/>
      <c r="B196" s="9"/>
      <c r="C196" s="9"/>
      <c r="D196" s="9"/>
      <c r="E196" s="9"/>
      <c r="F196" s="10"/>
      <c r="G196" s="9"/>
      <c r="H196" s="9"/>
      <c r="I196" s="10"/>
    </row>
    <row r="197" spans="1:9" ht="13.8" x14ac:dyDescent="0.3">
      <c r="A197" s="9"/>
      <c r="B197" s="9"/>
      <c r="C197" s="9"/>
      <c r="D197" s="9"/>
      <c r="E197" s="9"/>
      <c r="F197" s="10"/>
      <c r="G197" s="9"/>
      <c r="H197" s="9"/>
      <c r="I197" s="10"/>
    </row>
    <row r="198" spans="1:9" ht="13.8" x14ac:dyDescent="0.3">
      <c r="A198" s="9"/>
      <c r="B198" s="9"/>
      <c r="C198" s="9"/>
      <c r="D198" s="9"/>
      <c r="E198" s="9"/>
      <c r="F198" s="10"/>
      <c r="G198" s="9"/>
      <c r="H198" s="9"/>
      <c r="I198" s="10"/>
    </row>
    <row r="199" spans="1:9" ht="13.8" x14ac:dyDescent="0.3">
      <c r="A199" s="9"/>
      <c r="B199" s="9"/>
      <c r="C199" s="9"/>
      <c r="D199" s="9"/>
      <c r="E199" s="9"/>
      <c r="F199" s="10"/>
      <c r="G199" s="9"/>
      <c r="H199" s="9"/>
      <c r="I199" s="10"/>
    </row>
    <row r="200" spans="1:9" ht="13.8" x14ac:dyDescent="0.3">
      <c r="A200" s="9"/>
      <c r="B200" s="9"/>
      <c r="C200" s="9"/>
      <c r="D200" s="9"/>
      <c r="E200" s="9"/>
      <c r="F200" s="10"/>
      <c r="G200" s="9"/>
      <c r="H200" s="9"/>
      <c r="I200" s="10"/>
    </row>
    <row r="201" spans="1:9" ht="13.8" x14ac:dyDescent="0.3">
      <c r="A201" s="9"/>
      <c r="B201" s="9"/>
      <c r="C201" s="9"/>
      <c r="D201" s="9"/>
      <c r="E201" s="9"/>
      <c r="F201" s="10"/>
      <c r="G201" s="9"/>
      <c r="H201" s="9"/>
      <c r="I201" s="10"/>
    </row>
    <row r="202" spans="1:9" ht="13.8" x14ac:dyDescent="0.3">
      <c r="A202" s="9"/>
      <c r="B202" s="9"/>
      <c r="C202" s="9"/>
      <c r="D202" s="9"/>
      <c r="E202" s="9"/>
      <c r="F202" s="10"/>
      <c r="G202" s="9"/>
      <c r="H202" s="9"/>
      <c r="I202" s="10"/>
    </row>
    <row r="203" spans="1:9" ht="13.8" x14ac:dyDescent="0.3">
      <c r="A203" s="9"/>
      <c r="B203" s="9"/>
      <c r="C203" s="9"/>
      <c r="D203" s="9"/>
      <c r="E203" s="9"/>
      <c r="F203" s="10"/>
      <c r="G203" s="9"/>
      <c r="H203" s="9"/>
      <c r="I203" s="10"/>
    </row>
    <row r="204" spans="1:9" ht="13.8" x14ac:dyDescent="0.3">
      <c r="A204" s="9"/>
      <c r="B204" s="9"/>
      <c r="C204" s="9"/>
      <c r="D204" s="9"/>
      <c r="E204" s="9"/>
      <c r="F204" s="10"/>
      <c r="G204" s="9"/>
      <c r="H204" s="9"/>
      <c r="I204" s="10"/>
    </row>
    <row r="205" spans="1:9" ht="13.8" x14ac:dyDescent="0.3">
      <c r="A205" s="9"/>
      <c r="B205" s="9"/>
      <c r="C205" s="9"/>
      <c r="D205" s="9"/>
      <c r="E205" s="9"/>
      <c r="F205" s="10"/>
      <c r="G205" s="9"/>
      <c r="H205" s="9"/>
      <c r="I205" s="10"/>
    </row>
    <row r="206" spans="1:9" ht="13.8" x14ac:dyDescent="0.3">
      <c r="A206" s="9"/>
      <c r="B206" s="9"/>
      <c r="C206" s="9"/>
      <c r="D206" s="9"/>
      <c r="E206" s="9"/>
      <c r="F206" s="10"/>
      <c r="G206" s="9"/>
      <c r="H206" s="9"/>
      <c r="I206" s="10"/>
    </row>
    <row r="207" spans="1:9" ht="13.8" x14ac:dyDescent="0.3">
      <c r="A207" s="9"/>
      <c r="B207" s="9"/>
      <c r="C207" s="9"/>
      <c r="D207" s="9"/>
      <c r="E207" s="9"/>
      <c r="F207" s="10"/>
      <c r="G207" s="9"/>
      <c r="H207" s="9"/>
      <c r="I207" s="10"/>
    </row>
    <row r="208" spans="1:9" ht="13.8" x14ac:dyDescent="0.3">
      <c r="A208" s="9"/>
      <c r="B208" s="9"/>
      <c r="C208" s="9"/>
      <c r="D208" s="9"/>
      <c r="E208" s="9"/>
      <c r="F208" s="10"/>
      <c r="G208" s="9"/>
      <c r="H208" s="9"/>
      <c r="I208" s="10"/>
    </row>
    <row r="209" spans="1:9" ht="13.8" x14ac:dyDescent="0.3">
      <c r="A209" s="9"/>
      <c r="B209" s="9"/>
      <c r="C209" s="9"/>
      <c r="D209" s="9"/>
      <c r="E209" s="9"/>
      <c r="F209" s="10"/>
      <c r="G209" s="9"/>
      <c r="H209" s="9"/>
      <c r="I209" s="10"/>
    </row>
    <row r="210" spans="1:9" ht="13.8" x14ac:dyDescent="0.3">
      <c r="A210" s="9"/>
      <c r="B210" s="9"/>
      <c r="C210" s="9"/>
      <c r="D210" s="9"/>
      <c r="E210" s="9"/>
      <c r="F210" s="10"/>
      <c r="G210" s="9"/>
      <c r="H210" s="9"/>
      <c r="I210" s="10"/>
    </row>
    <row r="211" spans="1:9" ht="13.8" x14ac:dyDescent="0.3">
      <c r="A211" s="9"/>
      <c r="B211" s="9"/>
      <c r="C211" s="9"/>
      <c r="D211" s="9"/>
      <c r="E211" s="9"/>
      <c r="F211" s="10"/>
      <c r="G211" s="9"/>
      <c r="H211" s="9"/>
      <c r="I211" s="10"/>
    </row>
    <row r="212" spans="1:9" ht="13.8" x14ac:dyDescent="0.3">
      <c r="A212" s="9"/>
      <c r="B212" s="9"/>
      <c r="C212" s="9"/>
      <c r="D212" s="9"/>
      <c r="E212" s="9"/>
      <c r="F212" s="10"/>
      <c r="G212" s="9"/>
      <c r="H212" s="9"/>
      <c r="I212" s="10"/>
    </row>
    <row r="213" spans="1:9" ht="13.8" x14ac:dyDescent="0.3">
      <c r="A213" s="9"/>
      <c r="B213" s="9"/>
      <c r="C213" s="9"/>
      <c r="D213" s="9"/>
      <c r="E213" s="9"/>
      <c r="F213" s="10"/>
      <c r="G213" s="9"/>
      <c r="H213" s="9"/>
      <c r="I213" s="10"/>
    </row>
    <row r="214" spans="1:9" ht="13.8" x14ac:dyDescent="0.3">
      <c r="A214" s="9"/>
      <c r="B214" s="9"/>
      <c r="C214" s="9"/>
      <c r="D214" s="9"/>
      <c r="E214" s="9"/>
      <c r="F214" s="10"/>
      <c r="G214" s="9"/>
      <c r="H214" s="9"/>
      <c r="I214" s="10"/>
    </row>
    <row r="215" spans="1:9" ht="13.8" x14ac:dyDescent="0.3">
      <c r="A215" s="9"/>
      <c r="B215" s="9"/>
      <c r="C215" s="9"/>
      <c r="D215" s="9"/>
      <c r="E215" s="9"/>
      <c r="F215" s="10"/>
      <c r="G215" s="9"/>
      <c r="H215" s="9"/>
      <c r="I215" s="10"/>
    </row>
    <row r="216" spans="1:9" ht="13.8" x14ac:dyDescent="0.3">
      <c r="A216" s="9"/>
      <c r="B216" s="9"/>
      <c r="C216" s="9"/>
      <c r="D216" s="9"/>
      <c r="E216" s="9"/>
      <c r="F216" s="10"/>
      <c r="G216" s="9"/>
      <c r="H216" s="9"/>
      <c r="I216" s="10"/>
    </row>
    <row r="217" spans="1:9" ht="13.8" x14ac:dyDescent="0.3">
      <c r="A217" s="9"/>
      <c r="B217" s="9"/>
      <c r="C217" s="9"/>
      <c r="D217" s="9"/>
      <c r="E217" s="9"/>
      <c r="F217" s="10"/>
      <c r="G217" s="9"/>
      <c r="H217" s="9"/>
      <c r="I217" s="10"/>
    </row>
    <row r="218" spans="1:9" ht="13.8" x14ac:dyDescent="0.3">
      <c r="A218" s="9"/>
      <c r="B218" s="9"/>
      <c r="C218" s="9"/>
      <c r="D218" s="9"/>
      <c r="E218" s="9"/>
      <c r="F218" s="10"/>
      <c r="G218" s="9"/>
      <c r="H218" s="9"/>
      <c r="I218" s="10"/>
    </row>
    <row r="219" spans="1:9" ht="13.8" x14ac:dyDescent="0.3">
      <c r="A219" s="9"/>
      <c r="B219" s="9"/>
      <c r="C219" s="9"/>
      <c r="D219" s="9"/>
      <c r="E219" s="9"/>
      <c r="F219" s="10"/>
      <c r="G219" s="9"/>
      <c r="H219" s="9"/>
      <c r="I219" s="10"/>
    </row>
    <row r="220" spans="1:9" ht="13.8" x14ac:dyDescent="0.3">
      <c r="A220" s="9"/>
      <c r="B220" s="9"/>
      <c r="C220" s="9"/>
      <c r="D220" s="9"/>
      <c r="E220" s="9"/>
      <c r="F220" s="10"/>
      <c r="G220" s="9"/>
      <c r="H220" s="9"/>
      <c r="I220" s="10"/>
    </row>
    <row r="221" spans="1:9" ht="13.8" x14ac:dyDescent="0.3">
      <c r="A221" s="9"/>
      <c r="B221" s="9"/>
      <c r="C221" s="9"/>
      <c r="D221" s="9"/>
      <c r="E221" s="9"/>
      <c r="F221" s="10"/>
      <c r="G221" s="9"/>
      <c r="H221" s="9"/>
      <c r="I221" s="10"/>
    </row>
    <row r="222" spans="1:9" ht="13.8" x14ac:dyDescent="0.3">
      <c r="A222" s="9"/>
      <c r="B222" s="9"/>
      <c r="C222" s="9"/>
      <c r="D222" s="9"/>
      <c r="E222" s="9"/>
      <c r="F222" s="10"/>
      <c r="G222" s="9"/>
      <c r="H222" s="9"/>
      <c r="I222" s="10"/>
    </row>
    <row r="223" spans="1:9" ht="13.8" x14ac:dyDescent="0.3">
      <c r="A223" s="9"/>
      <c r="B223" s="9"/>
      <c r="C223" s="9"/>
      <c r="D223" s="9"/>
      <c r="E223" s="9"/>
      <c r="F223" s="10"/>
      <c r="G223" s="9"/>
      <c r="H223" s="9"/>
      <c r="I223" s="10"/>
    </row>
    <row r="224" spans="1:9" ht="13.8" x14ac:dyDescent="0.3">
      <c r="A224" s="9"/>
      <c r="B224" s="9"/>
      <c r="C224" s="9"/>
      <c r="D224" s="9"/>
      <c r="E224" s="9"/>
      <c r="F224" s="10"/>
      <c r="G224" s="9"/>
      <c r="H224" s="9"/>
      <c r="I224" s="10"/>
    </row>
    <row r="225" spans="1:9" ht="13.8" x14ac:dyDescent="0.3">
      <c r="A225" s="9"/>
      <c r="B225" s="9"/>
      <c r="C225" s="9"/>
      <c r="D225" s="9"/>
      <c r="E225" s="9"/>
      <c r="F225" s="10"/>
      <c r="G225" s="9"/>
      <c r="H225" s="9"/>
      <c r="I225" s="10"/>
    </row>
    <row r="226" spans="1:9" ht="13.8" x14ac:dyDescent="0.3">
      <c r="A226" s="9"/>
      <c r="B226" s="9"/>
      <c r="C226" s="9"/>
      <c r="D226" s="9"/>
      <c r="E226" s="9"/>
      <c r="F226" s="10"/>
      <c r="G226" s="9"/>
      <c r="H226" s="9"/>
      <c r="I226" s="10"/>
    </row>
    <row r="227" spans="1:9" ht="13.8" x14ac:dyDescent="0.3">
      <c r="A227" s="9"/>
      <c r="B227" s="9"/>
      <c r="C227" s="9"/>
      <c r="D227" s="9"/>
      <c r="E227" s="9"/>
      <c r="F227" s="10"/>
      <c r="G227" s="9"/>
      <c r="H227" s="9"/>
      <c r="I227" s="10"/>
    </row>
    <row r="228" spans="1:9" ht="13.8" x14ac:dyDescent="0.3">
      <c r="A228" s="9"/>
      <c r="B228" s="9"/>
      <c r="C228" s="9"/>
      <c r="D228" s="9"/>
      <c r="E228" s="9"/>
      <c r="F228" s="10"/>
      <c r="G228" s="9"/>
      <c r="H228" s="9"/>
      <c r="I228" s="10"/>
    </row>
    <row r="229" spans="1:9" ht="13.8" x14ac:dyDescent="0.3">
      <c r="A229" s="9"/>
      <c r="B229" s="9"/>
      <c r="C229" s="9"/>
      <c r="D229" s="9"/>
      <c r="E229" s="9"/>
      <c r="F229" s="10"/>
      <c r="G229" s="9"/>
      <c r="H229" s="9"/>
      <c r="I229" s="10"/>
    </row>
    <row r="230" spans="1:9" ht="13.8" x14ac:dyDescent="0.3">
      <c r="A230" s="9"/>
      <c r="B230" s="9"/>
      <c r="C230" s="9"/>
      <c r="D230" s="9"/>
      <c r="E230" s="9"/>
      <c r="F230" s="10"/>
      <c r="G230" s="9"/>
      <c r="H230" s="9"/>
      <c r="I230" s="10"/>
    </row>
    <row r="231" spans="1:9" ht="13.8" x14ac:dyDescent="0.3">
      <c r="A231" s="9"/>
      <c r="B231" s="9"/>
      <c r="C231" s="9"/>
      <c r="D231" s="9"/>
      <c r="E231" s="9"/>
      <c r="F231" s="10"/>
      <c r="G231" s="9"/>
      <c r="H231" s="9"/>
      <c r="I231" s="10"/>
    </row>
    <row r="232" spans="1:9" ht="13.8" x14ac:dyDescent="0.3">
      <c r="A232" s="9"/>
      <c r="B232" s="9"/>
      <c r="C232" s="9"/>
      <c r="D232" s="9"/>
      <c r="E232" s="9"/>
      <c r="F232" s="10"/>
      <c r="G232" s="9"/>
      <c r="H232" s="9"/>
      <c r="I232" s="10"/>
    </row>
    <row r="233" spans="1:9" ht="13.8" x14ac:dyDescent="0.3">
      <c r="A233" s="9"/>
      <c r="B233" s="9"/>
      <c r="C233" s="9"/>
      <c r="D233" s="9"/>
      <c r="E233" s="9"/>
      <c r="F233" s="10"/>
      <c r="G233" s="9"/>
      <c r="H233" s="9"/>
      <c r="I233" s="10"/>
    </row>
    <row r="234" spans="1:9" ht="13.8" x14ac:dyDescent="0.3">
      <c r="A234" s="9"/>
      <c r="B234" s="9"/>
      <c r="C234" s="9"/>
      <c r="D234" s="9"/>
      <c r="E234" s="9"/>
      <c r="F234" s="10"/>
      <c r="G234" s="9"/>
      <c r="H234" s="9"/>
      <c r="I234" s="10"/>
    </row>
    <row r="235" spans="1:9" ht="13.8" x14ac:dyDescent="0.3">
      <c r="A235" s="9"/>
      <c r="B235" s="9"/>
      <c r="C235" s="9"/>
      <c r="D235" s="9"/>
      <c r="E235" s="9"/>
      <c r="F235" s="10"/>
      <c r="G235" s="9"/>
      <c r="H235" s="9"/>
      <c r="I235" s="10"/>
    </row>
    <row r="236" spans="1:9" ht="13.8" x14ac:dyDescent="0.3">
      <c r="A236" s="9"/>
      <c r="B236" s="9"/>
      <c r="C236" s="9"/>
      <c r="D236" s="9"/>
      <c r="E236" s="9"/>
      <c r="F236" s="10"/>
      <c r="G236" s="9"/>
      <c r="H236" s="9"/>
      <c r="I236" s="10"/>
    </row>
    <row r="237" spans="1:9" ht="13.8" x14ac:dyDescent="0.3">
      <c r="A237" s="9"/>
      <c r="B237" s="9"/>
      <c r="C237" s="9"/>
      <c r="D237" s="9"/>
      <c r="E237" s="9"/>
      <c r="F237" s="10"/>
      <c r="G237" s="9"/>
      <c r="H237" s="9"/>
      <c r="I237" s="10"/>
    </row>
    <row r="238" spans="1:9" ht="13.8" x14ac:dyDescent="0.3">
      <c r="A238" s="9"/>
      <c r="B238" s="9"/>
      <c r="C238" s="9"/>
      <c r="D238" s="9"/>
      <c r="E238" s="9"/>
      <c r="F238" s="10"/>
      <c r="G238" s="9"/>
      <c r="H238" s="9"/>
      <c r="I238" s="10"/>
    </row>
    <row r="239" spans="1:9" ht="13.8" x14ac:dyDescent="0.3">
      <c r="A239" s="9"/>
      <c r="B239" s="9"/>
      <c r="C239" s="9"/>
      <c r="D239" s="9"/>
      <c r="E239" s="9"/>
      <c r="F239" s="10"/>
      <c r="G239" s="9"/>
      <c r="H239" s="9"/>
      <c r="I239" s="10"/>
    </row>
    <row r="240" spans="1:9" ht="13.8" x14ac:dyDescent="0.3">
      <c r="A240" s="9"/>
      <c r="B240" s="9"/>
      <c r="C240" s="9"/>
      <c r="D240" s="9"/>
      <c r="E240" s="9"/>
      <c r="F240" s="10"/>
      <c r="G240" s="9"/>
      <c r="H240" s="9"/>
      <c r="I240" s="10"/>
    </row>
    <row r="241" spans="1:9" ht="13.8" x14ac:dyDescent="0.3">
      <c r="A241" s="9"/>
      <c r="B241" s="9"/>
      <c r="C241" s="9"/>
      <c r="D241" s="9"/>
      <c r="E241" s="9"/>
      <c r="F241" s="10"/>
      <c r="G241" s="9"/>
      <c r="H241" s="9"/>
      <c r="I241" s="10"/>
    </row>
    <row r="242" spans="1:9" ht="13.8" x14ac:dyDescent="0.3">
      <c r="A242" s="9"/>
      <c r="B242" s="9"/>
      <c r="C242" s="9"/>
      <c r="D242" s="9"/>
      <c r="E242" s="9"/>
      <c r="F242" s="10"/>
      <c r="G242" s="9"/>
      <c r="H242" s="9"/>
      <c r="I242" s="10"/>
    </row>
    <row r="243" spans="1:9" ht="13.8" x14ac:dyDescent="0.3">
      <c r="A243" s="9"/>
      <c r="B243" s="9"/>
      <c r="C243" s="9"/>
      <c r="D243" s="9"/>
      <c r="E243" s="9"/>
      <c r="F243" s="10"/>
      <c r="G243" s="9"/>
      <c r="H243" s="9"/>
      <c r="I243" s="10"/>
    </row>
    <row r="244" spans="1:9" ht="13.8" x14ac:dyDescent="0.3">
      <c r="A244" s="9"/>
      <c r="B244" s="9"/>
      <c r="C244" s="9"/>
      <c r="D244" s="9"/>
      <c r="E244" s="9"/>
      <c r="F244" s="10"/>
      <c r="G244" s="9"/>
      <c r="H244" s="9"/>
      <c r="I244" s="10"/>
    </row>
    <row r="245" spans="1:9" ht="13.8" x14ac:dyDescent="0.3">
      <c r="A245" s="9"/>
      <c r="B245" s="9"/>
      <c r="C245" s="9"/>
      <c r="D245" s="9"/>
      <c r="E245" s="9"/>
      <c r="F245" s="10"/>
      <c r="G245" s="9"/>
      <c r="H245" s="9"/>
      <c r="I245" s="10"/>
    </row>
    <row r="246" spans="1:9" ht="13.8" x14ac:dyDescent="0.3">
      <c r="A246" s="9"/>
      <c r="B246" s="9"/>
      <c r="C246" s="9"/>
      <c r="D246" s="9"/>
      <c r="E246" s="9"/>
      <c r="F246" s="10"/>
      <c r="G246" s="9"/>
      <c r="H246" s="9"/>
      <c r="I246" s="10"/>
    </row>
    <row r="247" spans="1:9" ht="13.8" x14ac:dyDescent="0.3">
      <c r="A247" s="9"/>
      <c r="B247" s="9"/>
      <c r="C247" s="9"/>
      <c r="D247" s="9"/>
      <c r="E247" s="9"/>
      <c r="F247" s="10"/>
      <c r="G247" s="9"/>
      <c r="H247" s="9"/>
      <c r="I247" s="10"/>
    </row>
    <row r="248" spans="1:9" ht="13.8" x14ac:dyDescent="0.3">
      <c r="A248" s="9"/>
      <c r="B248" s="9"/>
      <c r="C248" s="9"/>
      <c r="D248" s="9"/>
      <c r="E248" s="9"/>
      <c r="F248" s="10"/>
      <c r="G248" s="9"/>
      <c r="H248" s="9"/>
      <c r="I248" s="10"/>
    </row>
    <row r="249" spans="1:9" ht="13.8" x14ac:dyDescent="0.3">
      <c r="A249" s="9"/>
      <c r="B249" s="9"/>
      <c r="C249" s="9"/>
      <c r="D249" s="9"/>
      <c r="E249" s="9"/>
      <c r="F249" s="10"/>
      <c r="G249" s="9"/>
      <c r="H249" s="9"/>
      <c r="I249" s="10"/>
    </row>
    <row r="250" spans="1:9" ht="13.8" x14ac:dyDescent="0.3">
      <c r="A250" s="9"/>
      <c r="B250" s="9"/>
      <c r="C250" s="9"/>
      <c r="D250" s="9"/>
      <c r="E250" s="9"/>
      <c r="F250" s="10"/>
      <c r="G250" s="9"/>
      <c r="H250" s="9"/>
      <c r="I250" s="10"/>
    </row>
    <row r="251" spans="1:9" ht="13.8" x14ac:dyDescent="0.3">
      <c r="A251" s="9"/>
      <c r="B251" s="9"/>
      <c r="C251" s="9"/>
      <c r="D251" s="9"/>
      <c r="E251" s="9"/>
      <c r="F251" s="10"/>
      <c r="G251" s="9"/>
      <c r="H251" s="9"/>
      <c r="I251" s="10"/>
    </row>
    <row r="252" spans="1:9" ht="13.8" x14ac:dyDescent="0.3">
      <c r="A252" s="9"/>
      <c r="B252" s="9"/>
      <c r="C252" s="9"/>
      <c r="D252" s="9"/>
      <c r="E252" s="9"/>
      <c r="F252" s="10"/>
      <c r="G252" s="9"/>
      <c r="H252" s="9"/>
      <c r="I252" s="10"/>
    </row>
    <row r="253" spans="1:9" ht="13.8" x14ac:dyDescent="0.3">
      <c r="A253" s="9"/>
      <c r="B253" s="9"/>
      <c r="C253" s="9"/>
      <c r="D253" s="9"/>
      <c r="E253" s="9"/>
      <c r="F253" s="10"/>
      <c r="G253" s="9"/>
      <c r="H253" s="9"/>
      <c r="I253" s="10"/>
    </row>
    <row r="254" spans="1:9" ht="13.8" x14ac:dyDescent="0.3">
      <c r="A254" s="9"/>
      <c r="B254" s="9"/>
      <c r="C254" s="9"/>
      <c r="D254" s="9"/>
      <c r="E254" s="9"/>
      <c r="F254" s="10"/>
      <c r="G254" s="9"/>
      <c r="H254" s="9"/>
      <c r="I254" s="10"/>
    </row>
    <row r="255" spans="1:9" ht="13.8" x14ac:dyDescent="0.3">
      <c r="A255" s="9"/>
      <c r="B255" s="9"/>
      <c r="C255" s="9"/>
      <c r="D255" s="9"/>
      <c r="E255" s="9"/>
      <c r="F255" s="10"/>
      <c r="G255" s="9"/>
      <c r="H255" s="9"/>
      <c r="I255" s="10"/>
    </row>
    <row r="256" spans="1:9" ht="13.8" x14ac:dyDescent="0.3">
      <c r="A256" s="9"/>
      <c r="B256" s="9"/>
      <c r="C256" s="9"/>
      <c r="D256" s="9"/>
      <c r="E256" s="9"/>
      <c r="F256" s="10"/>
      <c r="G256" s="9"/>
      <c r="H256" s="9"/>
      <c r="I256" s="10"/>
    </row>
    <row r="257" spans="1:9" ht="13.8" x14ac:dyDescent="0.3">
      <c r="A257" s="9"/>
      <c r="B257" s="9"/>
      <c r="C257" s="9"/>
      <c r="D257" s="9"/>
      <c r="E257" s="9"/>
      <c r="F257" s="10"/>
      <c r="G257" s="9"/>
      <c r="H257" s="9"/>
      <c r="I257" s="10"/>
    </row>
    <row r="258" spans="1:9" ht="13.8" x14ac:dyDescent="0.3">
      <c r="A258" s="9"/>
      <c r="B258" s="9"/>
      <c r="C258" s="9"/>
      <c r="D258" s="9"/>
      <c r="E258" s="9"/>
      <c r="F258" s="10"/>
      <c r="G258" s="9"/>
      <c r="H258" s="9"/>
      <c r="I258" s="10"/>
    </row>
    <row r="259" spans="1:9" ht="13.8" x14ac:dyDescent="0.3">
      <c r="A259" s="9"/>
      <c r="B259" s="9"/>
      <c r="C259" s="9"/>
      <c r="D259" s="9"/>
      <c r="E259" s="9"/>
      <c r="F259" s="10"/>
      <c r="G259" s="9"/>
      <c r="H259" s="9"/>
      <c r="I259" s="10"/>
    </row>
    <row r="260" spans="1:9" ht="13.8" x14ac:dyDescent="0.3">
      <c r="A260" s="9"/>
      <c r="B260" s="9"/>
      <c r="C260" s="9"/>
      <c r="D260" s="9"/>
      <c r="E260" s="9"/>
      <c r="F260" s="10"/>
      <c r="G260" s="9"/>
      <c r="H260" s="9"/>
      <c r="I260" s="10"/>
    </row>
    <row r="261" spans="1:9" ht="13.8" x14ac:dyDescent="0.3">
      <c r="A261" s="9"/>
      <c r="B261" s="9"/>
      <c r="C261" s="9"/>
      <c r="D261" s="9"/>
      <c r="E261" s="9"/>
      <c r="F261" s="10"/>
      <c r="G261" s="9"/>
      <c r="H261" s="9"/>
      <c r="I261" s="10"/>
    </row>
    <row r="262" spans="1:9" ht="13.8" x14ac:dyDescent="0.3">
      <c r="A262" s="9"/>
      <c r="B262" s="9"/>
      <c r="C262" s="9"/>
      <c r="D262" s="9"/>
      <c r="E262" s="9"/>
      <c r="F262" s="10"/>
      <c r="G262" s="9"/>
      <c r="H262" s="9"/>
      <c r="I262" s="10"/>
    </row>
    <row r="263" spans="1:9" ht="13.8" x14ac:dyDescent="0.3">
      <c r="A263" s="9"/>
      <c r="B263" s="9"/>
      <c r="C263" s="9"/>
      <c r="D263" s="9"/>
      <c r="E263" s="9"/>
      <c r="F263" s="10"/>
      <c r="G263" s="9"/>
      <c r="H263" s="9"/>
      <c r="I263" s="10"/>
    </row>
    <row r="264" spans="1:9" ht="13.8" x14ac:dyDescent="0.3">
      <c r="A264" s="9"/>
      <c r="B264" s="9"/>
      <c r="C264" s="9"/>
      <c r="D264" s="9"/>
      <c r="E264" s="9"/>
      <c r="F264" s="10"/>
      <c r="G264" s="9"/>
      <c r="H264" s="9"/>
      <c r="I264" s="10"/>
    </row>
    <row r="265" spans="1:9" ht="13.8" x14ac:dyDescent="0.3">
      <c r="A265" s="9"/>
      <c r="B265" s="9"/>
      <c r="C265" s="9"/>
      <c r="D265" s="9"/>
      <c r="E265" s="9"/>
      <c r="F265" s="10"/>
      <c r="G265" s="9"/>
      <c r="H265" s="9"/>
      <c r="I265" s="10"/>
    </row>
    <row r="266" spans="1:9" ht="13.8" x14ac:dyDescent="0.3">
      <c r="A266" s="9"/>
      <c r="B266" s="9"/>
      <c r="C266" s="9"/>
      <c r="D266" s="9"/>
      <c r="E266" s="9"/>
      <c r="F266" s="10"/>
      <c r="G266" s="9"/>
      <c r="H266" s="9"/>
      <c r="I266" s="10"/>
    </row>
    <row r="267" spans="1:9" ht="13.8" x14ac:dyDescent="0.3">
      <c r="A267" s="9"/>
      <c r="B267" s="9"/>
      <c r="C267" s="9"/>
      <c r="D267" s="9"/>
      <c r="E267" s="9"/>
      <c r="F267" s="10"/>
      <c r="G267" s="9"/>
      <c r="H267" s="9"/>
      <c r="I267" s="10"/>
    </row>
    <row r="268" spans="1:9" ht="13.8" x14ac:dyDescent="0.3">
      <c r="A268" s="9"/>
      <c r="B268" s="9"/>
      <c r="C268" s="9"/>
      <c r="D268" s="9"/>
      <c r="E268" s="9"/>
      <c r="F268" s="10"/>
      <c r="G268" s="9"/>
      <c r="H268" s="9"/>
      <c r="I268" s="10"/>
    </row>
    <row r="269" spans="1:9" ht="13.8" x14ac:dyDescent="0.3">
      <c r="A269" s="9"/>
      <c r="B269" s="9"/>
      <c r="C269" s="9"/>
      <c r="D269" s="9"/>
      <c r="E269" s="9"/>
      <c r="F269" s="10"/>
      <c r="G269" s="9"/>
      <c r="H269" s="9"/>
      <c r="I269" s="10"/>
    </row>
    <row r="270" spans="1:9" ht="13.8" x14ac:dyDescent="0.3">
      <c r="A270" s="9"/>
      <c r="B270" s="9"/>
      <c r="C270" s="9"/>
      <c r="D270" s="9"/>
      <c r="E270" s="9"/>
      <c r="F270" s="10"/>
      <c r="G270" s="9"/>
      <c r="H270" s="9"/>
      <c r="I270" s="10"/>
    </row>
    <row r="271" spans="1:9" ht="13.8" x14ac:dyDescent="0.3">
      <c r="A271" s="9"/>
      <c r="B271" s="9"/>
      <c r="C271" s="9"/>
      <c r="D271" s="9"/>
      <c r="E271" s="9"/>
      <c r="F271" s="10"/>
      <c r="G271" s="9"/>
      <c r="H271" s="9"/>
      <c r="I271" s="10"/>
    </row>
    <row r="272" spans="1:9" ht="13.8" x14ac:dyDescent="0.3">
      <c r="A272" s="9"/>
      <c r="B272" s="9"/>
      <c r="C272" s="9"/>
      <c r="D272" s="9"/>
      <c r="E272" s="9"/>
      <c r="F272" s="10"/>
      <c r="G272" s="9"/>
      <c r="H272" s="9"/>
      <c r="I272" s="10"/>
    </row>
    <row r="273" spans="1:9" ht="13.8" x14ac:dyDescent="0.3">
      <c r="A273" s="9"/>
      <c r="B273" s="9"/>
      <c r="C273" s="9"/>
      <c r="D273" s="9"/>
      <c r="E273" s="9"/>
      <c r="F273" s="10"/>
      <c r="G273" s="9"/>
      <c r="H273" s="9"/>
      <c r="I273" s="10"/>
    </row>
    <row r="274" spans="1:9" ht="13.8" x14ac:dyDescent="0.3">
      <c r="A274" s="9"/>
      <c r="B274" s="9"/>
      <c r="C274" s="9"/>
      <c r="D274" s="9"/>
      <c r="E274" s="9"/>
      <c r="F274" s="10"/>
      <c r="G274" s="9"/>
      <c r="H274" s="9"/>
      <c r="I274" s="10"/>
    </row>
    <row r="275" spans="1:9" ht="13.8" x14ac:dyDescent="0.3">
      <c r="A275" s="9"/>
      <c r="B275" s="9"/>
      <c r="C275" s="9"/>
      <c r="D275" s="9"/>
      <c r="E275" s="9"/>
      <c r="F275" s="10"/>
      <c r="G275" s="9"/>
      <c r="H275" s="9"/>
      <c r="I275" s="10"/>
    </row>
    <row r="276" spans="1:9" ht="13.8" x14ac:dyDescent="0.3">
      <c r="A276" s="9"/>
      <c r="B276" s="9"/>
      <c r="C276" s="9"/>
      <c r="D276" s="9"/>
      <c r="E276" s="9"/>
      <c r="F276" s="10"/>
      <c r="G276" s="9"/>
      <c r="H276" s="9"/>
      <c r="I276" s="10"/>
    </row>
    <row r="277" spans="1:9" ht="13.8" x14ac:dyDescent="0.3">
      <c r="A277" s="9"/>
      <c r="B277" s="9"/>
      <c r="C277" s="9"/>
      <c r="D277" s="9"/>
      <c r="E277" s="9"/>
      <c r="F277" s="10"/>
      <c r="G277" s="9"/>
      <c r="H277" s="9"/>
      <c r="I277" s="10"/>
    </row>
    <row r="278" spans="1:9" ht="13.8" x14ac:dyDescent="0.3">
      <c r="A278" s="9"/>
      <c r="B278" s="9"/>
      <c r="C278" s="9"/>
      <c r="D278" s="9"/>
      <c r="E278" s="9"/>
      <c r="F278" s="10"/>
      <c r="G278" s="9"/>
      <c r="H278" s="9"/>
      <c r="I278" s="10"/>
    </row>
    <row r="279" spans="1:9" ht="13.8" x14ac:dyDescent="0.3">
      <c r="A279" s="9"/>
      <c r="B279" s="9"/>
      <c r="C279" s="9"/>
      <c r="D279" s="9"/>
      <c r="E279" s="9"/>
      <c r="F279" s="10"/>
      <c r="G279" s="9"/>
      <c r="H279" s="9"/>
      <c r="I279" s="10"/>
    </row>
    <row r="280" spans="1:9" ht="13.8" x14ac:dyDescent="0.3">
      <c r="A280" s="9"/>
      <c r="B280" s="9"/>
      <c r="C280" s="9"/>
      <c r="D280" s="9"/>
      <c r="E280" s="9"/>
      <c r="F280" s="10"/>
      <c r="G280" s="9"/>
      <c r="H280" s="9"/>
      <c r="I280" s="10"/>
    </row>
    <row r="281" spans="1:9" ht="13.8" x14ac:dyDescent="0.3">
      <c r="A281" s="9"/>
      <c r="B281" s="9"/>
      <c r="C281" s="9"/>
      <c r="D281" s="9"/>
      <c r="E281" s="9"/>
      <c r="F281" s="10"/>
      <c r="G281" s="9"/>
      <c r="H281" s="9"/>
      <c r="I281" s="10"/>
    </row>
    <row r="282" spans="1:9" ht="13.8" x14ac:dyDescent="0.3">
      <c r="A282" s="9"/>
      <c r="B282" s="9"/>
      <c r="C282" s="9"/>
      <c r="D282" s="9"/>
      <c r="E282" s="9"/>
      <c r="F282" s="10"/>
      <c r="G282" s="9"/>
      <c r="H282" s="9"/>
      <c r="I282" s="10"/>
    </row>
    <row r="283" spans="1:9" ht="13.8" x14ac:dyDescent="0.3">
      <c r="A283" s="9"/>
      <c r="B283" s="9"/>
      <c r="C283" s="9"/>
      <c r="D283" s="9"/>
      <c r="E283" s="9"/>
      <c r="F283" s="10"/>
      <c r="G283" s="9"/>
      <c r="H283" s="9"/>
      <c r="I283" s="10"/>
    </row>
    <row r="284" spans="1:9" ht="13.8" x14ac:dyDescent="0.3">
      <c r="A284" s="9"/>
      <c r="B284" s="9"/>
      <c r="C284" s="9"/>
      <c r="D284" s="9"/>
      <c r="E284" s="9"/>
      <c r="F284" s="10"/>
      <c r="G284" s="9"/>
      <c r="H284" s="9"/>
      <c r="I284" s="10"/>
    </row>
    <row r="285" spans="1:9" ht="13.8" x14ac:dyDescent="0.3">
      <c r="A285" s="9"/>
      <c r="B285" s="9"/>
      <c r="C285" s="9"/>
      <c r="D285" s="9"/>
      <c r="E285" s="9"/>
      <c r="F285" s="10"/>
      <c r="G285" s="9"/>
      <c r="H285" s="9"/>
      <c r="I285" s="10"/>
    </row>
    <row r="286" spans="1:9" ht="13.8" x14ac:dyDescent="0.3">
      <c r="A286" s="9"/>
      <c r="B286" s="9"/>
      <c r="C286" s="9"/>
      <c r="D286" s="9"/>
      <c r="E286" s="9"/>
      <c r="F286" s="10"/>
      <c r="G286" s="9"/>
      <c r="H286" s="9"/>
      <c r="I286" s="10"/>
    </row>
    <row r="287" spans="1:9" ht="13.8" x14ac:dyDescent="0.3">
      <c r="A287" s="9"/>
      <c r="B287" s="9"/>
      <c r="C287" s="9"/>
      <c r="D287" s="9"/>
      <c r="E287" s="9"/>
      <c r="F287" s="10"/>
      <c r="G287" s="9"/>
      <c r="H287" s="9"/>
      <c r="I287" s="10"/>
    </row>
    <row r="288" spans="1:9" ht="13.8" x14ac:dyDescent="0.3">
      <c r="A288" s="9"/>
      <c r="B288" s="9"/>
      <c r="C288" s="9"/>
      <c r="D288" s="9"/>
      <c r="E288" s="9"/>
      <c r="F288" s="10"/>
      <c r="G288" s="9"/>
      <c r="H288" s="9"/>
      <c r="I288" s="10"/>
    </row>
    <row r="289" spans="1:9" ht="13.8" x14ac:dyDescent="0.3">
      <c r="A289" s="9"/>
      <c r="B289" s="9"/>
      <c r="C289" s="9"/>
      <c r="D289" s="9"/>
      <c r="E289" s="9"/>
      <c r="F289" s="10"/>
      <c r="G289" s="9"/>
      <c r="H289" s="9"/>
      <c r="I289" s="10"/>
    </row>
    <row r="290" spans="1:9" ht="13.8" x14ac:dyDescent="0.3">
      <c r="A290" s="9"/>
      <c r="B290" s="9"/>
      <c r="C290" s="9"/>
      <c r="D290" s="9"/>
      <c r="E290" s="9"/>
      <c r="F290" s="10"/>
      <c r="G290" s="9"/>
      <c r="H290" s="9"/>
      <c r="I290" s="10"/>
    </row>
    <row r="291" spans="1:9" ht="13.8" x14ac:dyDescent="0.3">
      <c r="A291" s="9"/>
      <c r="B291" s="9"/>
      <c r="C291" s="9"/>
      <c r="D291" s="9"/>
      <c r="E291" s="9"/>
      <c r="F291" s="10"/>
      <c r="G291" s="9"/>
      <c r="H291" s="9"/>
      <c r="I291" s="10"/>
    </row>
    <row r="292" spans="1:9" ht="13.8" x14ac:dyDescent="0.3">
      <c r="A292" s="9"/>
      <c r="B292" s="9"/>
      <c r="C292" s="9"/>
      <c r="D292" s="9"/>
      <c r="E292" s="9"/>
      <c r="F292" s="10"/>
      <c r="G292" s="9"/>
      <c r="H292" s="9"/>
      <c r="I292" s="10"/>
    </row>
    <row r="293" spans="1:9" ht="13.8" x14ac:dyDescent="0.3">
      <c r="A293" s="9"/>
      <c r="B293" s="9"/>
      <c r="C293" s="9"/>
      <c r="D293" s="9"/>
      <c r="E293" s="9"/>
      <c r="F293" s="10"/>
      <c r="G293" s="9"/>
      <c r="H293" s="9"/>
      <c r="I293" s="10"/>
    </row>
    <row r="294" spans="1:9" ht="13.8" x14ac:dyDescent="0.3">
      <c r="A294" s="9"/>
      <c r="B294" s="9"/>
      <c r="C294" s="9"/>
      <c r="D294" s="9"/>
      <c r="E294" s="9"/>
      <c r="F294" s="10"/>
      <c r="G294" s="9"/>
      <c r="H294" s="9"/>
      <c r="I294" s="10"/>
    </row>
    <row r="295" spans="1:9" ht="13.8" x14ac:dyDescent="0.3">
      <c r="A295" s="9"/>
      <c r="B295" s="9"/>
      <c r="C295" s="9"/>
      <c r="D295" s="9"/>
      <c r="E295" s="9"/>
      <c r="F295" s="10"/>
      <c r="G295" s="9"/>
      <c r="H295" s="9"/>
      <c r="I295" s="10"/>
    </row>
    <row r="296" spans="1:9" ht="13.8" x14ac:dyDescent="0.3">
      <c r="A296" s="9"/>
      <c r="B296" s="9"/>
      <c r="C296" s="9"/>
      <c r="D296" s="9"/>
      <c r="E296" s="9"/>
      <c r="F296" s="10"/>
      <c r="G296" s="9"/>
      <c r="H296" s="9"/>
      <c r="I296" s="10"/>
    </row>
    <row r="297" spans="1:9" ht="13.8" x14ac:dyDescent="0.3">
      <c r="A297" s="9"/>
      <c r="B297" s="9"/>
      <c r="C297" s="9"/>
      <c r="D297" s="9"/>
      <c r="E297" s="9"/>
      <c r="F297" s="10"/>
      <c r="G297" s="9"/>
      <c r="H297" s="9"/>
      <c r="I297" s="10"/>
    </row>
    <row r="298" spans="1:9" ht="13.8" x14ac:dyDescent="0.3">
      <c r="A298" s="9"/>
      <c r="B298" s="9"/>
      <c r="C298" s="9"/>
      <c r="D298" s="9"/>
      <c r="E298" s="9"/>
      <c r="F298" s="10"/>
      <c r="G298" s="9"/>
      <c r="H298" s="9"/>
      <c r="I298" s="10"/>
    </row>
    <row r="299" spans="1:9" ht="13.8" x14ac:dyDescent="0.3">
      <c r="A299" s="9"/>
      <c r="B299" s="9"/>
      <c r="C299" s="9"/>
      <c r="D299" s="9"/>
      <c r="E299" s="9"/>
      <c r="F299" s="10"/>
      <c r="G299" s="9"/>
      <c r="H299" s="9"/>
      <c r="I299" s="10"/>
    </row>
    <row r="300" spans="1:9" ht="13.8" x14ac:dyDescent="0.3">
      <c r="A300" s="9"/>
      <c r="B300" s="9"/>
      <c r="C300" s="9"/>
      <c r="D300" s="9"/>
      <c r="E300" s="9"/>
      <c r="F300" s="10"/>
      <c r="G300" s="9"/>
      <c r="H300" s="9"/>
      <c r="I300" s="10"/>
    </row>
    <row r="301" spans="1:9" ht="13.8" x14ac:dyDescent="0.3">
      <c r="A301" s="9"/>
      <c r="B301" s="9"/>
      <c r="C301" s="9"/>
      <c r="D301" s="9"/>
      <c r="E301" s="9"/>
      <c r="F301" s="10"/>
      <c r="G301" s="9"/>
      <c r="H301" s="9"/>
      <c r="I301" s="10"/>
    </row>
    <row r="302" spans="1:9" ht="13.8" x14ac:dyDescent="0.3">
      <c r="A302" s="9"/>
      <c r="B302" s="9"/>
      <c r="C302" s="9"/>
      <c r="D302" s="9"/>
      <c r="E302" s="9"/>
      <c r="F302" s="10"/>
      <c r="G302" s="9"/>
      <c r="H302" s="9"/>
      <c r="I302" s="10"/>
    </row>
    <row r="303" spans="1:9" ht="13.8" x14ac:dyDescent="0.3">
      <c r="A303" s="9"/>
      <c r="B303" s="9"/>
      <c r="C303" s="9"/>
      <c r="D303" s="9"/>
      <c r="E303" s="9"/>
      <c r="F303" s="10"/>
      <c r="G303" s="9"/>
      <c r="H303" s="9"/>
      <c r="I303" s="10"/>
    </row>
    <row r="304" spans="1:9" ht="13.8" x14ac:dyDescent="0.3">
      <c r="A304" s="9"/>
      <c r="B304" s="9"/>
      <c r="C304" s="9"/>
      <c r="D304" s="9"/>
      <c r="E304" s="9"/>
      <c r="F304" s="10"/>
      <c r="G304" s="9"/>
      <c r="H304" s="9"/>
      <c r="I304" s="10"/>
    </row>
    <row r="305" spans="1:9" ht="13.8" x14ac:dyDescent="0.3">
      <c r="A305" s="9"/>
      <c r="B305" s="9"/>
      <c r="C305" s="9"/>
      <c r="D305" s="9"/>
      <c r="E305" s="9"/>
      <c r="F305" s="10"/>
      <c r="G305" s="9"/>
      <c r="H305" s="9"/>
      <c r="I305" s="10"/>
    </row>
    <row r="306" spans="1:9" ht="13.8" x14ac:dyDescent="0.3">
      <c r="A306" s="9"/>
      <c r="B306" s="9"/>
      <c r="C306" s="9"/>
      <c r="D306" s="9"/>
      <c r="E306" s="9"/>
      <c r="F306" s="10"/>
      <c r="G306" s="9"/>
      <c r="H306" s="9"/>
      <c r="I306" s="10"/>
    </row>
    <row r="307" spans="1:9" ht="13.8" x14ac:dyDescent="0.3">
      <c r="A307" s="9"/>
      <c r="B307" s="9"/>
      <c r="C307" s="9"/>
      <c r="D307" s="9"/>
      <c r="E307" s="9"/>
      <c r="F307" s="10"/>
      <c r="G307" s="9"/>
      <c r="H307" s="9"/>
      <c r="I307" s="10"/>
    </row>
    <row r="308" spans="1:9" ht="13.8" x14ac:dyDescent="0.3">
      <c r="A308" s="9"/>
      <c r="B308" s="9"/>
      <c r="C308" s="9"/>
      <c r="D308" s="9"/>
      <c r="E308" s="9"/>
      <c r="F308" s="10"/>
      <c r="G308" s="9"/>
      <c r="H308" s="9"/>
      <c r="I308" s="10"/>
    </row>
    <row r="309" spans="1:9" ht="13.8" x14ac:dyDescent="0.3">
      <c r="A309" s="9"/>
      <c r="B309" s="9"/>
      <c r="C309" s="9"/>
      <c r="D309" s="9"/>
      <c r="E309" s="9"/>
      <c r="F309" s="10"/>
      <c r="G309" s="9"/>
      <c r="H309" s="9"/>
      <c r="I309" s="10"/>
    </row>
    <row r="310" spans="1:9" ht="13.8" x14ac:dyDescent="0.3">
      <c r="A310" s="9"/>
      <c r="B310" s="9"/>
      <c r="C310" s="9"/>
      <c r="D310" s="9"/>
      <c r="E310" s="9"/>
      <c r="F310" s="10"/>
      <c r="G310" s="9"/>
      <c r="H310" s="9"/>
      <c r="I310" s="10"/>
    </row>
    <row r="311" spans="1:9" ht="13.8" x14ac:dyDescent="0.3">
      <c r="A311" s="9"/>
      <c r="B311" s="9"/>
      <c r="C311" s="9"/>
      <c r="D311" s="9"/>
      <c r="E311" s="9"/>
      <c r="F311" s="10"/>
      <c r="G311" s="9"/>
      <c r="H311" s="9"/>
      <c r="I311" s="10"/>
    </row>
    <row r="312" spans="1:9" ht="13.8" x14ac:dyDescent="0.3">
      <c r="A312" s="9"/>
      <c r="B312" s="9"/>
      <c r="C312" s="9"/>
      <c r="D312" s="9"/>
      <c r="E312" s="9"/>
      <c r="F312" s="10"/>
      <c r="G312" s="9"/>
      <c r="H312" s="9"/>
      <c r="I312" s="10"/>
    </row>
    <row r="313" spans="1:9" ht="13.8" x14ac:dyDescent="0.3">
      <c r="A313" s="9"/>
      <c r="B313" s="9"/>
      <c r="C313" s="9"/>
      <c r="D313" s="9"/>
      <c r="E313" s="9"/>
      <c r="F313" s="10"/>
      <c r="G313" s="9"/>
      <c r="H313" s="9"/>
      <c r="I313" s="10"/>
    </row>
    <row r="314" spans="1:9" ht="13.8" x14ac:dyDescent="0.3">
      <c r="A314" s="9"/>
      <c r="B314" s="9"/>
      <c r="C314" s="9"/>
      <c r="D314" s="9"/>
      <c r="E314" s="9"/>
      <c r="F314" s="10"/>
      <c r="G314" s="9"/>
      <c r="H314" s="9"/>
      <c r="I314" s="10"/>
    </row>
    <row r="315" spans="1:9" ht="13.8" x14ac:dyDescent="0.3">
      <c r="A315" s="9"/>
      <c r="B315" s="9"/>
      <c r="C315" s="9"/>
      <c r="D315" s="9"/>
      <c r="E315" s="9"/>
      <c r="F315" s="10"/>
      <c r="G315" s="9"/>
      <c r="H315" s="9"/>
      <c r="I315" s="10"/>
    </row>
    <row r="316" spans="1:9" ht="13.8" x14ac:dyDescent="0.3">
      <c r="A316" s="9"/>
      <c r="B316" s="9"/>
      <c r="C316" s="9"/>
      <c r="D316" s="9"/>
      <c r="E316" s="9"/>
      <c r="F316" s="10"/>
      <c r="G316" s="9"/>
      <c r="H316" s="9"/>
      <c r="I316" s="10"/>
    </row>
    <row r="317" spans="1:9" ht="13.8" x14ac:dyDescent="0.3">
      <c r="A317" s="9"/>
      <c r="B317" s="9"/>
      <c r="C317" s="9"/>
      <c r="D317" s="9"/>
      <c r="E317" s="9"/>
      <c r="F317" s="10"/>
      <c r="G317" s="9"/>
      <c r="H317" s="9"/>
      <c r="I317" s="10"/>
    </row>
    <row r="318" spans="1:9" ht="13.8" x14ac:dyDescent="0.3">
      <c r="A318" s="9"/>
      <c r="B318" s="9"/>
      <c r="C318" s="9"/>
      <c r="D318" s="9"/>
      <c r="E318" s="9"/>
      <c r="F318" s="10"/>
      <c r="G318" s="9"/>
      <c r="H318" s="9"/>
      <c r="I318" s="10"/>
    </row>
    <row r="319" spans="1:9" ht="13.8" x14ac:dyDescent="0.3">
      <c r="A319" s="9"/>
      <c r="B319" s="9"/>
      <c r="C319" s="9"/>
      <c r="D319" s="9"/>
      <c r="E319" s="9"/>
      <c r="F319" s="10"/>
      <c r="G319" s="9"/>
      <c r="H319" s="9"/>
      <c r="I319" s="10"/>
    </row>
    <row r="320" spans="1:9" ht="13.8" x14ac:dyDescent="0.3">
      <c r="A320" s="9"/>
      <c r="B320" s="9"/>
      <c r="C320" s="9"/>
      <c r="D320" s="9"/>
      <c r="E320" s="9"/>
      <c r="F320" s="10"/>
      <c r="G320" s="9"/>
      <c r="H320" s="9"/>
      <c r="I320" s="10"/>
    </row>
    <row r="321" spans="1:9" ht="13.8" x14ac:dyDescent="0.3">
      <c r="A321" s="9"/>
      <c r="B321" s="9"/>
      <c r="C321" s="9"/>
      <c r="D321" s="9"/>
      <c r="E321" s="9"/>
      <c r="F321" s="10"/>
      <c r="G321" s="9"/>
      <c r="H321" s="9"/>
      <c r="I321" s="10"/>
    </row>
    <row r="322" spans="1:9" ht="13.8" x14ac:dyDescent="0.3">
      <c r="A322" s="9"/>
      <c r="B322" s="9"/>
      <c r="C322" s="9"/>
      <c r="D322" s="9"/>
      <c r="E322" s="9"/>
      <c r="F322" s="10"/>
      <c r="G322" s="9"/>
      <c r="H322" s="9"/>
      <c r="I322" s="10"/>
    </row>
    <row r="323" spans="1:9" ht="13.8" x14ac:dyDescent="0.3">
      <c r="A323" s="9"/>
      <c r="B323" s="9"/>
      <c r="C323" s="9"/>
      <c r="D323" s="9"/>
      <c r="E323" s="9"/>
      <c r="F323" s="10"/>
      <c r="G323" s="9"/>
      <c r="H323" s="9"/>
      <c r="I323" s="10"/>
    </row>
    <row r="324" spans="1:9" ht="13.8" x14ac:dyDescent="0.3">
      <c r="A324" s="9"/>
      <c r="B324" s="9"/>
      <c r="C324" s="9"/>
      <c r="D324" s="9"/>
      <c r="E324" s="9"/>
      <c r="F324" s="10"/>
      <c r="G324" s="9"/>
      <c r="H324" s="9"/>
      <c r="I324" s="10"/>
    </row>
    <row r="325" spans="1:9" ht="13.8" x14ac:dyDescent="0.3">
      <c r="A325" s="9"/>
      <c r="B325" s="9"/>
      <c r="C325" s="9"/>
      <c r="D325" s="9"/>
      <c r="E325" s="9"/>
      <c r="F325" s="10"/>
      <c r="G325" s="9"/>
      <c r="H325" s="9"/>
      <c r="I325" s="10"/>
    </row>
    <row r="326" spans="1:9" ht="13.8" x14ac:dyDescent="0.3">
      <c r="A326" s="9"/>
      <c r="B326" s="9"/>
      <c r="C326" s="9"/>
      <c r="D326" s="9"/>
      <c r="E326" s="9"/>
      <c r="F326" s="10"/>
      <c r="G326" s="9"/>
      <c r="H326" s="9"/>
      <c r="I326" s="10"/>
    </row>
    <row r="327" spans="1:9" ht="13.8" x14ac:dyDescent="0.3">
      <c r="A327" s="9"/>
      <c r="B327" s="9"/>
      <c r="C327" s="9"/>
      <c r="D327" s="9"/>
      <c r="E327" s="9"/>
      <c r="F327" s="10"/>
      <c r="G327" s="9"/>
      <c r="H327" s="9"/>
      <c r="I327" s="10"/>
    </row>
    <row r="328" spans="1:9" ht="13.8" x14ac:dyDescent="0.3">
      <c r="A328" s="9"/>
      <c r="B328" s="9"/>
      <c r="C328" s="9"/>
      <c r="D328" s="9"/>
      <c r="E328" s="9"/>
      <c r="F328" s="10"/>
      <c r="G328" s="9"/>
      <c r="H328" s="9"/>
      <c r="I328" s="10"/>
    </row>
    <row r="329" spans="1:9" ht="13.8" x14ac:dyDescent="0.3">
      <c r="A329" s="9"/>
      <c r="B329" s="9"/>
      <c r="C329" s="9"/>
      <c r="D329" s="9"/>
      <c r="E329" s="9"/>
      <c r="F329" s="10"/>
      <c r="G329" s="9"/>
      <c r="H329" s="9"/>
      <c r="I329" s="10"/>
    </row>
    <row r="330" spans="1:9" ht="13.8" x14ac:dyDescent="0.3">
      <c r="A330" s="9"/>
      <c r="B330" s="9"/>
      <c r="C330" s="9"/>
      <c r="D330" s="9"/>
      <c r="E330" s="9"/>
      <c r="F330" s="10"/>
      <c r="G330" s="9"/>
      <c r="H330" s="9"/>
      <c r="I330" s="10"/>
    </row>
    <row r="331" spans="1:9" ht="13.8" x14ac:dyDescent="0.3">
      <c r="A331" s="9"/>
      <c r="B331" s="9"/>
      <c r="C331" s="9"/>
      <c r="D331" s="9"/>
      <c r="E331" s="9"/>
      <c r="F331" s="10"/>
      <c r="G331" s="9"/>
      <c r="H331" s="9"/>
      <c r="I331" s="10"/>
    </row>
    <row r="332" spans="1:9" ht="13.8" x14ac:dyDescent="0.3">
      <c r="A332" s="9"/>
      <c r="B332" s="9"/>
      <c r="C332" s="9"/>
      <c r="D332" s="9"/>
      <c r="E332" s="9"/>
      <c r="F332" s="10"/>
      <c r="G332" s="9"/>
      <c r="H332" s="9"/>
      <c r="I332" s="10"/>
    </row>
    <row r="333" spans="1:9" ht="13.8" x14ac:dyDescent="0.3">
      <c r="A333" s="9"/>
      <c r="B333" s="9"/>
      <c r="C333" s="9"/>
      <c r="D333" s="9"/>
      <c r="E333" s="9"/>
      <c r="F333" s="10"/>
      <c r="G333" s="9"/>
      <c r="H333" s="9"/>
      <c r="I333" s="10"/>
    </row>
    <row r="334" spans="1:9" ht="13.8" x14ac:dyDescent="0.3">
      <c r="A334" s="9"/>
      <c r="B334" s="9"/>
      <c r="C334" s="9"/>
      <c r="D334" s="9"/>
      <c r="E334" s="9"/>
      <c r="F334" s="10"/>
      <c r="G334" s="9"/>
      <c r="H334" s="9"/>
      <c r="I334" s="10"/>
    </row>
  </sheetData>
  <autoFilter ref="A2:I2" xr:uid="{D5C25034-9971-4A61-864F-C938F31EB1B8}"/>
  <mergeCells count="4">
    <mergeCell ref="G1:I1"/>
    <mergeCell ref="A1:C1"/>
    <mergeCell ref="D1:F1"/>
    <mergeCell ref="A2:B2"/>
  </mergeCells>
  <conditionalFormatting sqref="F2 I2 F4:F92 I4:I92">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12" activePane="bottomRight" state="frozen"/>
      <selection pane="topRight" activeCell="A18" sqref="A18:XFD24"/>
      <selection pane="bottomLeft" activeCell="A18" sqref="A18:XFD24"/>
      <selection pane="bottomRight" activeCell="L23" sqref="L23"/>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96" t="str" cm="1">
        <f t="array" ref="A1">portfolio</f>
        <v>Catalyze</v>
      </c>
      <c r="B1" s="96"/>
      <c r="C1" s="96"/>
      <c r="D1" s="97" t="s">
        <v>10</v>
      </c>
      <c r="E1" s="97"/>
      <c r="F1" s="97"/>
      <c r="G1" s="95" t="s">
        <v>11</v>
      </c>
      <c r="H1" s="95"/>
      <c r="I1" s="95"/>
    </row>
    <row r="2" spans="1:9" ht="19.5" customHeight="1" x14ac:dyDescent="0.25">
      <c r="A2" s="98" t="s">
        <v>2</v>
      </c>
      <c r="B2" s="98"/>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x14ac:dyDescent="0.25">
      <c r="A3" s="13" t="s">
        <v>3</v>
      </c>
      <c r="B3" s="13" t="s">
        <v>4</v>
      </c>
      <c r="C3" s="20" t="s">
        <v>5</v>
      </c>
      <c r="D3" s="21" t="s">
        <v>6</v>
      </c>
      <c r="E3" s="21" t="s">
        <v>7</v>
      </c>
      <c r="F3" s="22" t="s">
        <v>8</v>
      </c>
      <c r="G3" s="23" t="s">
        <v>9</v>
      </c>
      <c r="H3" s="24" t="s">
        <v>7</v>
      </c>
      <c r="I3" s="25" t="s">
        <v>8</v>
      </c>
    </row>
    <row r="4" spans="1:9" ht="15.6" x14ac:dyDescent="0.25">
      <c r="A4" s="48" t="str" cm="1">
        <f t="array" ref="A4:A27">Sites[Site]</f>
        <v>Fresno - 3150 Shaw Ave</v>
      </c>
      <c r="B4" s="28" t="str" cm="1">
        <f t="array" ref="B4:B27">Sites[State]</f>
        <v>CA</v>
      </c>
      <c r="C4" s="29">
        <f>SUM(Jan!C4, Feb!C4, Mar!C4)</f>
        <v>191319.25</v>
      </c>
      <c r="D4" s="30">
        <f>SUM(Jan!D4, Feb!D4, Mar!D4)</f>
        <v>182900.38999999998</v>
      </c>
      <c r="E4" s="30">
        <f>IF(AND(ISNUMBER(C4),ISNUMBER(D4)), C4-D4, "")</f>
        <v>8418.8600000000151</v>
      </c>
      <c r="F4" s="31">
        <f>IFERROR(E4/D4, "")</f>
        <v>4.6029754228517586E-2</v>
      </c>
      <c r="G4" s="32">
        <f>SUM(Jan!G4, Feb!G4, Mar!G4)</f>
        <v>210362.36</v>
      </c>
      <c r="H4" s="32">
        <f>SUM(Jan!H4, Feb!H4, Mar!H4)</f>
        <v>-19043.11</v>
      </c>
      <c r="I4" s="33">
        <f>IFERROR(H4/G4, "")</f>
        <v>-9.0525272677108221E-2</v>
      </c>
    </row>
    <row r="5" spans="1:9" ht="15.6" x14ac:dyDescent="0.25">
      <c r="A5" s="49" t="str">
        <v>Adelanto - 1 Sheep Creek Road</v>
      </c>
      <c r="B5" s="35" t="str">
        <v>CA</v>
      </c>
      <c r="C5" s="36">
        <f>SUM(Jan!C5, Feb!C5, Mar!C5)</f>
        <v>1587343</v>
      </c>
      <c r="D5" s="37">
        <f>SUM(Jan!D5, Feb!D5, Mar!D5)</f>
        <v>1054002.04</v>
      </c>
      <c r="E5" s="37">
        <f t="shared" ref="E5:E15" si="0">IF(AND(ISNUMBER(C5),ISNUMBER(D5)), C5-D5, "")</f>
        <v>533340.96</v>
      </c>
      <c r="F5" s="38">
        <f>IFERROR(E5/D5, "")</f>
        <v>0.50601511169750668</v>
      </c>
      <c r="G5" s="39">
        <f>SUM(Jan!G5, Feb!G5, Mar!G5)</f>
        <v>1729663.7399999998</v>
      </c>
      <c r="H5" s="39">
        <f>SUM(Jan!H5, Feb!H5, Mar!H5)</f>
        <v>-142320.74</v>
      </c>
      <c r="I5" s="38">
        <f>IFERROR(H5/G5, "")</f>
        <v>-8.2282316908603298E-2</v>
      </c>
    </row>
    <row r="6" spans="1:9" ht="15.6" x14ac:dyDescent="0.25">
      <c r="A6" s="48" t="str">
        <v>Blackstone - 83 Federal Street</v>
      </c>
      <c r="B6" s="28" t="str">
        <v>MA</v>
      </c>
      <c r="C6" s="29">
        <f>SUM(Jan!C6, Feb!C6, Mar!C6)</f>
        <v>1187392.8</v>
      </c>
      <c r="D6" s="30">
        <f>SUM(Jan!D6, Feb!D6, Mar!D6)</f>
        <v>1690571.4</v>
      </c>
      <c r="E6" s="30">
        <f t="shared" si="0"/>
        <v>-503178.59999999986</v>
      </c>
      <c r="F6" s="31">
        <f t="shared" ref="F6:F15" si="1">IFERROR(E6/D6, "")</f>
        <v>-0.29763818316103058</v>
      </c>
      <c r="G6" s="32">
        <f>SUM(Jan!G6, Feb!G6, Mar!G6)</f>
        <v>1569257.0999999999</v>
      </c>
      <c r="H6" s="32">
        <f>SUM(Jan!H6, Feb!H6, Mar!H6)</f>
        <v>-381864.29999999987</v>
      </c>
      <c r="I6" s="33">
        <f t="shared" ref="I6:I15" si="2">IFERROR(H6/G6, "")</f>
        <v>-0.24334081394310716</v>
      </c>
    </row>
    <row r="7" spans="1:9" ht="15.6" x14ac:dyDescent="0.25">
      <c r="A7" s="49" t="str">
        <v>Charlton - 299 Worcester Road</v>
      </c>
      <c r="B7" s="35" t="str">
        <v>MA</v>
      </c>
      <c r="C7" s="36">
        <f>SUM(Jan!C7, Feb!C7, Mar!C7)</f>
        <v>106801.75</v>
      </c>
      <c r="D7" s="37">
        <f>SUM(Jan!D7, Feb!D7, Mar!D7)</f>
        <v>132014.25</v>
      </c>
      <c r="E7" s="37">
        <f t="shared" si="0"/>
        <v>-25212.5</v>
      </c>
      <c r="F7" s="38">
        <f t="shared" si="1"/>
        <v>-0.19098317037744031</v>
      </c>
      <c r="G7" s="39">
        <f>SUM(Jan!G7, Feb!G7, Mar!G7)</f>
        <v>122312.48999999999</v>
      </c>
      <c r="H7" s="39">
        <f>SUM(Jan!H7, Feb!H7, Mar!H7)</f>
        <v>-15510.739999999998</v>
      </c>
      <c r="I7" s="38">
        <f t="shared" si="2"/>
        <v>-0.12681239667347136</v>
      </c>
    </row>
    <row r="8" spans="1:9" ht="15.6" x14ac:dyDescent="0.25">
      <c r="A8" s="48" t="str">
        <v>Wareham - 8 Thatcher Drive</v>
      </c>
      <c r="B8" s="28" t="str">
        <v>MA</v>
      </c>
      <c r="C8" s="29">
        <f>SUM(Jan!C8, Feb!C8, Mar!C8)</f>
        <v>31580.9375</v>
      </c>
      <c r="D8" s="30">
        <f>SUM(Jan!D8, Feb!D8, Mar!D8)</f>
        <v>35070.627999999997</v>
      </c>
      <c r="E8" s="30">
        <f t="shared" si="0"/>
        <v>-3489.690499999997</v>
      </c>
      <c r="F8" s="31">
        <f t="shared" si="1"/>
        <v>-9.9504648163129483E-2</v>
      </c>
      <c r="G8" s="32">
        <f>SUM(Jan!G8, Feb!G8, Mar!G8)</f>
        <v>36936.370000000003</v>
      </c>
      <c r="H8" s="32">
        <f>SUM(Jan!H8, Feb!H8, Mar!H8)</f>
        <v>-5355.4325000000008</v>
      </c>
      <c r="I8" s="33">
        <f t="shared" si="2"/>
        <v>-0.14499076384604118</v>
      </c>
    </row>
    <row r="9" spans="1:9" ht="15.6" x14ac:dyDescent="0.25">
      <c r="A9" s="49" t="str">
        <v>West Yarmouth - 42 Mid Tech</v>
      </c>
      <c r="B9" s="35" t="str">
        <v>MA</v>
      </c>
      <c r="C9" s="36">
        <f>SUM(Jan!C9, Feb!C9, Mar!C9)</f>
        <v>24674.208702191569</v>
      </c>
      <c r="D9" s="37">
        <f>SUM(Jan!D9, Feb!D9, Mar!D9)</f>
        <v>29517.25</v>
      </c>
      <c r="E9" s="37">
        <f t="shared" si="0"/>
        <v>-4843.0412978084314</v>
      </c>
      <c r="F9" s="38">
        <f t="shared" si="1"/>
        <v>-0.16407494931975139</v>
      </c>
      <c r="G9" s="39">
        <f>SUM(Jan!G9, Feb!G9, Mar!G9)</f>
        <v>30853.656999999999</v>
      </c>
      <c r="H9" s="39">
        <f>SUM(Jan!H9, Feb!H9, Mar!H9)</f>
        <v>-6179.4482978084297</v>
      </c>
      <c r="I9" s="38">
        <f t="shared" si="2"/>
        <v>-0.20028252397465979</v>
      </c>
    </row>
    <row r="10" spans="1:9" ht="15.6" x14ac:dyDescent="0.25">
      <c r="A10" s="48" t="str">
        <v>Harrison - 130 Union Street</v>
      </c>
      <c r="B10" s="28" t="str">
        <v>NY</v>
      </c>
      <c r="C10" s="29">
        <f>SUM(Jan!C10, Feb!C10, Mar!C10)</f>
        <v>45554.375</v>
      </c>
      <c r="D10" s="30">
        <f>SUM(Jan!D10, Feb!D10, Mar!D10)</f>
        <v>54840.160000000003</v>
      </c>
      <c r="E10" s="30">
        <f t="shared" si="0"/>
        <v>-9285.7850000000035</v>
      </c>
      <c r="F10" s="31">
        <f t="shared" si="1"/>
        <v>-0.16932454245210085</v>
      </c>
      <c r="G10" s="32">
        <f>SUM(Jan!G10, Feb!G10, Mar!G10)</f>
        <v>46386.630000000005</v>
      </c>
      <c r="H10" s="32">
        <f>SUM(Jan!H10, Feb!H10, Mar!H10)</f>
        <v>-832.25500000000102</v>
      </c>
      <c r="I10" s="33">
        <f t="shared" si="2"/>
        <v>-1.7941700011404167E-2</v>
      </c>
    </row>
    <row r="11" spans="1:9" ht="15.6" x14ac:dyDescent="0.25">
      <c r="A11" s="49" t="str">
        <v>Staten Island - Ellis Storage</v>
      </c>
      <c r="B11" s="35" t="str">
        <v>NY</v>
      </c>
      <c r="C11" s="36">
        <f>SUM(Jan!C11, Feb!C11, Mar!C11)</f>
        <v>107385.75</v>
      </c>
      <c r="D11" s="37">
        <f>SUM(Jan!D11, Feb!D11, Mar!D11)</f>
        <v>111143.44</v>
      </c>
      <c r="E11" s="37">
        <f t="shared" si="0"/>
        <v>-3757.6900000000023</v>
      </c>
      <c r="F11" s="38">
        <f t="shared" si="1"/>
        <v>-3.3809372824882895E-2</v>
      </c>
      <c r="G11" s="39">
        <f>SUM(Jan!G11, Feb!G11, Mar!G11)</f>
        <v>101748.88</v>
      </c>
      <c r="H11" s="39">
        <f>SUM(Jan!H11, Feb!H11, Mar!H11)</f>
        <v>5636.8699999999953</v>
      </c>
      <c r="I11" s="38">
        <f t="shared" si="2"/>
        <v>5.5399823565625443E-2</v>
      </c>
    </row>
    <row r="12" spans="1:9" ht="15.6" x14ac:dyDescent="0.25">
      <c r="A12" s="48" t="str">
        <v>Amherst - 595 Schoelles Road</v>
      </c>
      <c r="B12" s="28" t="str">
        <v>NY</v>
      </c>
      <c r="C12" s="29">
        <f>SUM(Jan!C12, Feb!C12, Mar!C12)</f>
        <v>980445</v>
      </c>
      <c r="D12" s="30">
        <f>SUM(Jan!D12, Feb!D12, Mar!D12)</f>
        <v>1472428.2000000002</v>
      </c>
      <c r="E12" s="30">
        <f t="shared" si="0"/>
        <v>-491983.20000000019</v>
      </c>
      <c r="F12" s="31">
        <f t="shared" si="1"/>
        <v>-0.33413051991261788</v>
      </c>
      <c r="G12" s="32">
        <f>SUM(Jan!G12, Feb!G12, Mar!G12)</f>
        <v>1409205.7999999998</v>
      </c>
      <c r="H12" s="32">
        <f>SUM(Jan!H12, Feb!H12, Mar!H12)</f>
        <v>-428760.79999999993</v>
      </c>
      <c r="I12" s="33">
        <f t="shared" si="2"/>
        <v>-0.30425705031869721</v>
      </c>
    </row>
    <row r="13" spans="1:9" ht="15.6" x14ac:dyDescent="0.25">
      <c r="A13" s="49" t="str">
        <v>Lancaster 1 - Gunnville Road</v>
      </c>
      <c r="B13" s="35" t="str">
        <v>NY</v>
      </c>
      <c r="C13" s="36">
        <f>SUM(Jan!C13, Feb!C13, Mar!C13)</f>
        <v>994031</v>
      </c>
      <c r="D13" s="37">
        <f>SUM(Jan!D13, Feb!D13, Mar!D13)</f>
        <v>1280756.5</v>
      </c>
      <c r="E13" s="37">
        <f t="shared" si="0"/>
        <v>-286725.5</v>
      </c>
      <c r="F13" s="38">
        <f t="shared" si="1"/>
        <v>-0.22387198503384523</v>
      </c>
      <c r="G13" s="39">
        <f>SUM(Jan!G13, Feb!G13, Mar!G13)</f>
        <v>1213137.7000000002</v>
      </c>
      <c r="H13" s="39">
        <f>SUM(Jan!H13, Feb!H13, Mar!H13)</f>
        <v>-219106.70000000007</v>
      </c>
      <c r="I13" s="38">
        <f t="shared" si="2"/>
        <v>-0.18061156618906496</v>
      </c>
    </row>
    <row r="14" spans="1:9" ht="15.6" x14ac:dyDescent="0.25">
      <c r="A14" s="48" t="str">
        <v>Lancaster 2 - Shisler Road</v>
      </c>
      <c r="B14" s="28" t="str">
        <v>NY</v>
      </c>
      <c r="C14" s="29">
        <f>SUM(Jan!C14, Feb!C14, Mar!C14)</f>
        <v>1018864</v>
      </c>
      <c r="D14" s="30">
        <f>SUM(Jan!D14, Feb!D14, Mar!D14)</f>
        <v>1447535.4</v>
      </c>
      <c r="E14" s="30">
        <f t="shared" si="0"/>
        <v>-428671.39999999991</v>
      </c>
      <c r="F14" s="31">
        <f t="shared" si="1"/>
        <v>-0.2961388025467287</v>
      </c>
      <c r="G14" s="32">
        <f>SUM(Jan!G14, Feb!G14, Mar!G14)</f>
        <v>1320331.2999999998</v>
      </c>
      <c r="H14" s="32">
        <f>SUM(Jan!H14, Feb!H14, Mar!H14)</f>
        <v>-301467.3</v>
      </c>
      <c r="I14" s="33">
        <f t="shared" si="2"/>
        <v>-0.22832701156141647</v>
      </c>
    </row>
    <row r="15" spans="1:9" ht="15.6" x14ac:dyDescent="0.25">
      <c r="A15" s="49" t="str">
        <v>Fullerton - 200 W Orangethorpe</v>
      </c>
      <c r="B15" s="35" t="str">
        <v>CA</v>
      </c>
      <c r="C15" s="36">
        <f>SUM(Jan!C15, Feb!C15, Mar!C15)</f>
        <v>233829</v>
      </c>
      <c r="D15" s="37">
        <f>SUM(Jan!D15, Feb!D15, Mar!D15)</f>
        <v>248271.58000000002</v>
      </c>
      <c r="E15" s="37">
        <f t="shared" si="0"/>
        <v>-14442.580000000016</v>
      </c>
      <c r="F15" s="38">
        <f t="shared" si="1"/>
        <v>-5.8172506091917632E-2</v>
      </c>
      <c r="G15" s="39">
        <f>SUM(Jan!G15, Feb!G15, Mar!G15)</f>
        <v>267643.14</v>
      </c>
      <c r="H15" s="39">
        <f>SUM(Jan!H15, Feb!H15, Mar!H15)</f>
        <v>-33814.14</v>
      </c>
      <c r="I15" s="38">
        <f t="shared" si="2"/>
        <v>-0.12634039490046334</v>
      </c>
    </row>
    <row r="16" spans="1:9" ht="15.6" x14ac:dyDescent="0.25">
      <c r="A16" s="48" t="str">
        <v>El Paso - 10500 Railroad Drive</v>
      </c>
      <c r="B16" s="28" t="str">
        <v>TX</v>
      </c>
      <c r="C16" s="29">
        <f>SUM(Jan!C16, Feb!C16, Mar!C16)</f>
        <v>336379.75</v>
      </c>
      <c r="D16" s="30">
        <f>SUM(Jan!D16, Feb!D16, Mar!D16)</f>
        <v>316832.5</v>
      </c>
      <c r="E16" s="30">
        <f t="shared" ref="E16:E17" si="3">IF(AND(ISNUMBER(C16),ISNUMBER(D16)), C16-D16, "")</f>
        <v>19547.25</v>
      </c>
      <c r="F16" s="31">
        <f t="shared" ref="F16:F21" si="4">IFERROR(E16/D16, "")</f>
        <v>6.1695848752889935E-2</v>
      </c>
      <c r="G16" s="32">
        <f>SUM(Jan!G16, Feb!G16, Mar!G16)</f>
        <v>329629.5</v>
      </c>
      <c r="H16" s="32">
        <f>SUM(Jan!H16, Feb!H16, Mar!H16)</f>
        <v>6750.25</v>
      </c>
      <c r="I16" s="33">
        <f t="shared" ref="I16:I21" si="5">IFERROR(H16/G16, "")</f>
        <v>2.0478294570115841E-2</v>
      </c>
    </row>
    <row r="17" spans="1:9" ht="15.6" x14ac:dyDescent="0.25">
      <c r="A17" s="49" t="str">
        <v>Friona - 900 Millard Ave</v>
      </c>
      <c r="B17" s="35" t="str">
        <v>TX</v>
      </c>
      <c r="C17" s="36">
        <f>SUM(Jan!C17, Feb!C17, Mar!C17)</f>
        <v>261826.1250000002</v>
      </c>
      <c r="D17" s="37">
        <f>SUM(Jan!D17, Feb!D17, Mar!D17)</f>
        <v>251426.81</v>
      </c>
      <c r="E17" s="37">
        <f t="shared" si="3"/>
        <v>10399.315000000206</v>
      </c>
      <c r="F17" s="38">
        <f t="shared" si="4"/>
        <v>4.1361201695237694E-2</v>
      </c>
      <c r="G17" s="39">
        <f>SUM(Jan!G17, Feb!G17, Mar!G17)</f>
        <v>257416.8</v>
      </c>
      <c r="H17" s="39">
        <f>SUM(Jan!H17, Feb!H17, Mar!H17)</f>
        <v>4409.3250000002154</v>
      </c>
      <c r="I17" s="38">
        <f t="shared" si="5"/>
        <v>1.7129126770281566E-2</v>
      </c>
    </row>
    <row r="18" spans="1:9" ht="15.6" x14ac:dyDescent="0.25">
      <c r="A18" s="48" t="str">
        <v>Augusta - 13 York Farm Road</v>
      </c>
      <c r="B18" s="28" t="str">
        <v>ME</v>
      </c>
      <c r="C18" s="29">
        <f>SUM(Jan!C18, Feb!C18, Mar!C18)</f>
        <v>249165.875</v>
      </c>
      <c r="D18" s="30">
        <f>SUM(Jan!D18, Feb!D18, Mar!D18)</f>
        <v>430137</v>
      </c>
      <c r="E18" s="30">
        <f>IF(AND(ISNUMBER(C18),ISNUMBER(D18)), C18-D18, "")</f>
        <v>-180971.125</v>
      </c>
      <c r="F18" s="31">
        <f t="shared" si="4"/>
        <v>-0.42072903516786514</v>
      </c>
      <c r="G18" s="32">
        <f>SUM(Jan!G18, Feb!G18, Mar!G18)</f>
        <v>370860.9</v>
      </c>
      <c r="H18" s="32">
        <f>SUM(Jan!H18, Feb!H18, Mar!H18)</f>
        <v>-121695.02499999999</v>
      </c>
      <c r="I18" s="33">
        <f t="shared" si="5"/>
        <v>-0.32814196643539395</v>
      </c>
    </row>
    <row r="19" spans="1:9" ht="15.6" x14ac:dyDescent="0.25">
      <c r="A19" s="49" t="str">
        <v xml:space="preserve">Santa Ana - 1441 West </v>
      </c>
      <c r="B19" s="35" t="str">
        <v>CA</v>
      </c>
      <c r="C19" s="36">
        <f>SUM(Jan!C19, Feb!C19, Mar!C19)</f>
        <v>149317.34125</v>
      </c>
      <c r="D19" s="37">
        <f>SUM(Jan!D19, Feb!D19, Mar!D19)</f>
        <v>147455.37</v>
      </c>
      <c r="E19" s="37">
        <f>SUM(Jan!E19, Feb!E19, Mar!E19)</f>
        <v>1861.9712499999951</v>
      </c>
      <c r="F19" s="38">
        <f t="shared" si="4"/>
        <v>1.2627354636185818E-2</v>
      </c>
      <c r="G19" s="39">
        <f>SUM(Jan!G19, Feb!G19, Mar!G19)</f>
        <v>171259.21000000002</v>
      </c>
      <c r="H19" s="39">
        <f>SUM(Jan!H19, Feb!H19, Mar!H19)</f>
        <v>-21941.868750000001</v>
      </c>
      <c r="I19" s="38">
        <f t="shared" si="5"/>
        <v>-0.12812081026182473</v>
      </c>
    </row>
    <row r="20" spans="1:9" ht="15.6" x14ac:dyDescent="0.25">
      <c r="A20" s="48" t="str">
        <v>Jessup -7950 Oceano Ave</v>
      </c>
      <c r="B20" s="28" t="str">
        <v>MD</v>
      </c>
      <c r="C20" s="29">
        <f>SUM(Jan!C20, Feb!C20, Mar!C20)</f>
        <v>468523.25</v>
      </c>
      <c r="D20" s="30">
        <f>SUM(Jan!D20, Feb!D20, Mar!D20)</f>
        <v>510687.1</v>
      </c>
      <c r="E20" s="30">
        <f>SUM(Jan!E20, Feb!E20, Mar!E20)</f>
        <v>-42163.849999999977</v>
      </c>
      <c r="F20" s="31">
        <f t="shared" si="4"/>
        <v>-8.256298230364538E-2</v>
      </c>
      <c r="G20" s="32">
        <f>SUM(Jan!G20, Feb!G20, Mar!G20)</f>
        <v>480450.7</v>
      </c>
      <c r="H20" s="32">
        <f>SUM(Jan!H20, Feb!H20, Mar!H20)</f>
        <v>-11927.449999999997</v>
      </c>
      <c r="I20" s="33">
        <f t="shared" si="5"/>
        <v>-2.4825544015234024E-2</v>
      </c>
    </row>
    <row r="21" spans="1:9" ht="15.6" x14ac:dyDescent="0.25">
      <c r="A21" s="49" t="str">
        <v xml:space="preserve">TX: Fort Worth - 5200 Gold Spike Dr </v>
      </c>
      <c r="B21" s="35" t="str">
        <v>TX</v>
      </c>
      <c r="C21" s="36">
        <f>SUM(Jan!C21, Feb!C21, Mar!C21)</f>
        <v>295518</v>
      </c>
      <c r="D21" s="37">
        <f>SUM(Jan!D21, Feb!D21, Mar!D21)</f>
        <v>1021534.3999999999</v>
      </c>
      <c r="E21" s="37">
        <f>SUM(Jan!E21, Feb!E21, Mar!E21)</f>
        <v>-726016.4</v>
      </c>
      <c r="F21" s="38">
        <f t="shared" si="4"/>
        <v>-0.710711651022227</v>
      </c>
      <c r="G21" s="39">
        <f>SUM(Jan!G21, Feb!G21, Mar!G21)</f>
        <v>948956.4</v>
      </c>
      <c r="H21" s="39">
        <f>SUM(Jan!H21, Feb!H21, Mar!H21)</f>
        <v>-653438.4</v>
      </c>
      <c r="I21" s="38">
        <f t="shared" si="5"/>
        <v>-0.68858632493547645</v>
      </c>
    </row>
    <row r="22" spans="1:9" ht="15.6" x14ac:dyDescent="0.25">
      <c r="A22" s="48" t="str">
        <v>NY: Clifton Springs - Ontario 2 (21597)</v>
      </c>
      <c r="B22" s="28" t="str">
        <v>NY</v>
      </c>
      <c r="C22" s="29">
        <f>SUM(Jan!C22, Feb!C22, Mar!C22)</f>
        <v>0</v>
      </c>
      <c r="D22" s="30">
        <f>SUM(Jan!D22, Feb!D22, Mar!D22)</f>
        <v>0</v>
      </c>
      <c r="E22" s="30">
        <f>SUM(Jan!E22, Feb!E22, Mar!E22)</f>
        <v>0</v>
      </c>
      <c r="F22" s="31" t="str">
        <f t="shared" ref="F22:F25" si="6">IFERROR(E22/D22, "")</f>
        <v/>
      </c>
      <c r="G22" s="32">
        <f>SUM(Jan!G22, Feb!G22, Mar!G22)</f>
        <v>0</v>
      </c>
      <c r="H22" s="32">
        <f>SUM(Jan!H22, Feb!H22, Mar!H22)</f>
        <v>0</v>
      </c>
      <c r="I22" s="33" t="str">
        <f t="shared" ref="I22:I25" si="7">IFERROR(H22/G22, "")</f>
        <v/>
      </c>
    </row>
    <row r="23" spans="1:9" ht="15.6" x14ac:dyDescent="0.25">
      <c r="A23" s="49" t="str">
        <v>CA: Oxnard - 2600 Sakioka - System A</v>
      </c>
      <c r="B23" s="35" t="str">
        <v>CA</v>
      </c>
      <c r="C23" s="36">
        <f>SUM(Jan!C23, Feb!C23, Mar!C23)</f>
        <v>0</v>
      </c>
      <c r="D23" s="37">
        <f>SUM(Jan!D23, Feb!D23, Mar!D23)</f>
        <v>0</v>
      </c>
      <c r="E23" s="37">
        <f>SUM(Jan!E23, Feb!E23, Mar!E23)</f>
        <v>0</v>
      </c>
      <c r="F23" s="38" t="str">
        <f t="shared" si="6"/>
        <v/>
      </c>
      <c r="G23" s="39">
        <f>SUM(Jan!G23, Feb!G23, Mar!G23)</f>
        <v>0</v>
      </c>
      <c r="H23" s="39">
        <f>SUM(Jan!H23, Feb!H23, Mar!H23)</f>
        <v>0</v>
      </c>
      <c r="I23" s="38" t="str">
        <f t="shared" si="7"/>
        <v/>
      </c>
    </row>
    <row r="24" spans="1:9" ht="15.6" x14ac:dyDescent="0.25">
      <c r="A24" s="48" t="str">
        <v>CA: Oxnard - 2600 Sakioka - System B</v>
      </c>
      <c r="B24" s="28" t="str">
        <v>CA</v>
      </c>
      <c r="C24" s="29">
        <f>SUM(Jan!C24, Feb!C24, Mar!C24)</f>
        <v>0</v>
      </c>
      <c r="D24" s="30">
        <f>SUM(Jan!D24, Feb!D24, Mar!D24)</f>
        <v>0</v>
      </c>
      <c r="E24" s="30">
        <f>SUM(Jan!E24, Feb!E24, Mar!E24)</f>
        <v>0</v>
      </c>
      <c r="F24" s="31" t="str">
        <f t="shared" si="6"/>
        <v/>
      </c>
      <c r="G24" s="32">
        <f>SUM(Jan!G24, Feb!G24, Mar!G24)</f>
        <v>0</v>
      </c>
      <c r="H24" s="32">
        <f>SUM(Jan!H24, Feb!H24, Mar!H24)</f>
        <v>0</v>
      </c>
      <c r="I24" s="33" t="str">
        <f t="shared" si="7"/>
        <v/>
      </c>
    </row>
    <row r="25" spans="1:9" ht="15.6" x14ac:dyDescent="0.25">
      <c r="A25" s="49" t="str">
        <v>NY: Fonda - Montgomery 1 (21601)</v>
      </c>
      <c r="B25" s="35" t="str">
        <v>NY</v>
      </c>
      <c r="C25" s="36">
        <f>SUM(Jan!C25, Feb!C25, Mar!C25)</f>
        <v>0</v>
      </c>
      <c r="D25" s="37">
        <f>SUM(Jan!D25, Feb!D25, Mar!D25)</f>
        <v>0</v>
      </c>
      <c r="E25" s="37">
        <f>SUM(Jan!E25, Feb!E25, Mar!E25)</f>
        <v>0</v>
      </c>
      <c r="F25" s="38" t="str">
        <f t="shared" si="6"/>
        <v/>
      </c>
      <c r="G25" s="39">
        <f>SUM(Jan!G25, Feb!G25, Mar!G25)</f>
        <v>0</v>
      </c>
      <c r="H25" s="39">
        <f>SUM(Jan!H25, Feb!H25, Mar!H25)</f>
        <v>0</v>
      </c>
      <c r="I25" s="38" t="str">
        <f t="shared" si="7"/>
        <v/>
      </c>
    </row>
    <row r="26" spans="1:9" ht="15.6" x14ac:dyDescent="0.25">
      <c r="A26" s="48" t="str">
        <v>NY: Evans - SL Evans Array 1 (21106) - (PW)</v>
      </c>
      <c r="B26" s="28" t="str">
        <v>NY</v>
      </c>
      <c r="C26" s="29">
        <f>SUM(Jan!C26, Feb!C26, Mar!C26)</f>
        <v>0</v>
      </c>
      <c r="D26" s="30">
        <f>SUM(Jan!D26, Feb!D26, Mar!D26)</f>
        <v>0</v>
      </c>
      <c r="E26" s="30">
        <f>SUM(Jan!E26, Feb!E26, Mar!E26)</f>
        <v>0</v>
      </c>
      <c r="F26" s="31" t="str">
        <f t="shared" ref="F26:F27" si="8">IFERROR(E26/D26, "")</f>
        <v/>
      </c>
      <c r="G26" s="32">
        <f>SUM(Jan!G26, Feb!G26, Mar!G26)</f>
        <v>0</v>
      </c>
      <c r="H26" s="32">
        <f>SUM(Jan!H26, Feb!H26, Mar!H26)</f>
        <v>0</v>
      </c>
      <c r="I26" s="33" t="str">
        <f t="shared" ref="I26:I27" si="9">IFERROR(H26/G26, "")</f>
        <v/>
      </c>
    </row>
    <row r="27" spans="1:9" ht="15.6" x14ac:dyDescent="0.25">
      <c r="A27" s="49" t="str">
        <v>NY: Evans - SL Evans Array 2 (21107) - (PW)</v>
      </c>
      <c r="B27" s="35" t="str">
        <v>NY</v>
      </c>
      <c r="C27" s="36">
        <f>SUM(Jan!C27, Feb!C27, Mar!C27)</f>
        <v>0</v>
      </c>
      <c r="D27" s="37">
        <f>SUM(Jan!D27, Feb!D27, Mar!D27)</f>
        <v>0</v>
      </c>
      <c r="E27" s="37">
        <f>SUM(Jan!E27, Feb!E27, Mar!E27)</f>
        <v>0</v>
      </c>
      <c r="F27" s="38" t="str">
        <f t="shared" si="8"/>
        <v/>
      </c>
      <c r="G27" s="39">
        <f>SUM(Jan!G27, Feb!G27, Mar!G27)</f>
        <v>0</v>
      </c>
      <c r="H27" s="39">
        <f>SUM(Jan!H27, Feb!H27, Mar!H27)</f>
        <v>0</v>
      </c>
      <c r="I27" s="38" t="str">
        <f t="shared" si="9"/>
        <v/>
      </c>
    </row>
    <row r="28" spans="1:9" ht="13.8" x14ac:dyDescent="0.3">
      <c r="A28" s="9"/>
      <c r="B28" s="9"/>
      <c r="C28" s="9"/>
      <c r="D28" s="9"/>
      <c r="E28" s="9"/>
      <c r="F28" s="10"/>
      <c r="G28" s="9"/>
      <c r="H28" s="9"/>
      <c r="I28" s="10"/>
    </row>
    <row r="29" spans="1:9" ht="13.8" x14ac:dyDescent="0.3">
      <c r="A29" s="9"/>
      <c r="B29" s="9"/>
      <c r="C29" s="9"/>
      <c r="D29" s="9"/>
      <c r="E29" s="9"/>
      <c r="F29" s="10"/>
      <c r="G29" s="9"/>
      <c r="H29" s="9"/>
      <c r="I29" s="10"/>
    </row>
    <row r="30" spans="1:9" ht="13.8" x14ac:dyDescent="0.3">
      <c r="A30" s="9"/>
      <c r="B30" s="9"/>
      <c r="C30" s="9"/>
      <c r="D30" s="9"/>
      <c r="E30" s="9"/>
      <c r="F30" s="10"/>
      <c r="G30" s="9"/>
      <c r="H30" s="9"/>
      <c r="I30" s="10"/>
    </row>
    <row r="31" spans="1:9" ht="13.8" x14ac:dyDescent="0.3">
      <c r="A31" s="9"/>
      <c r="B31" s="9"/>
      <c r="C31" s="9"/>
      <c r="D31" s="9"/>
      <c r="E31" s="9"/>
      <c r="F31" s="10"/>
      <c r="G31" s="9"/>
      <c r="H31" s="9"/>
      <c r="I31" s="10"/>
    </row>
    <row r="32" spans="1:9" ht="13.8" x14ac:dyDescent="0.3">
      <c r="A32" s="9"/>
      <c r="B32" s="9"/>
      <c r="C32" s="9"/>
      <c r="D32" s="9"/>
      <c r="E32" s="9"/>
      <c r="F32" s="10"/>
      <c r="G32" s="9"/>
      <c r="H32" s="9"/>
      <c r="I32" s="10"/>
    </row>
    <row r="33" spans="1:9" ht="13.8" x14ac:dyDescent="0.3">
      <c r="A33" s="9"/>
      <c r="B33" s="9"/>
      <c r="C33" s="9"/>
      <c r="D33" s="9"/>
      <c r="E33" s="9"/>
      <c r="F33" s="10"/>
      <c r="G33" s="9"/>
      <c r="H33" s="9"/>
      <c r="I33" s="10"/>
    </row>
    <row r="34" spans="1:9" ht="13.8" x14ac:dyDescent="0.3">
      <c r="A34" s="9"/>
      <c r="B34" s="9"/>
      <c r="C34" s="9"/>
      <c r="D34" s="9"/>
      <c r="E34" s="9"/>
      <c r="F34" s="10"/>
      <c r="G34" s="9"/>
      <c r="H34" s="9"/>
      <c r="I34" s="10"/>
    </row>
    <row r="35" spans="1:9" ht="13.8" x14ac:dyDescent="0.3">
      <c r="A35" s="9"/>
      <c r="B35" s="9"/>
      <c r="C35" s="9"/>
      <c r="D35" s="9"/>
      <c r="E35" s="9"/>
      <c r="F35" s="10"/>
      <c r="G35" s="9"/>
      <c r="H35" s="9"/>
      <c r="I35" s="10"/>
    </row>
    <row r="36" spans="1:9" ht="13.8" x14ac:dyDescent="0.3">
      <c r="A36" s="9"/>
      <c r="B36" s="9"/>
      <c r="C36" s="9"/>
      <c r="D36" s="9"/>
      <c r="E36" s="9"/>
      <c r="F36" s="10"/>
      <c r="G36" s="9"/>
      <c r="H36" s="9"/>
      <c r="I36" s="10"/>
    </row>
    <row r="37" spans="1:9" ht="13.8" x14ac:dyDescent="0.3">
      <c r="A37" s="9"/>
      <c r="B37" s="9"/>
      <c r="C37" s="9"/>
      <c r="D37" s="9"/>
      <c r="E37" s="9"/>
      <c r="F37" s="10"/>
      <c r="G37" s="9"/>
      <c r="H37" s="9"/>
      <c r="I37" s="10"/>
    </row>
    <row r="38" spans="1:9" ht="13.8" x14ac:dyDescent="0.3">
      <c r="A38" s="9"/>
      <c r="B38" s="9"/>
      <c r="C38" s="9"/>
      <c r="D38" s="9"/>
      <c r="E38" s="9"/>
      <c r="F38" s="10"/>
      <c r="G38" s="9"/>
      <c r="H38" s="9"/>
      <c r="I38" s="10"/>
    </row>
    <row r="39" spans="1:9" ht="13.8" x14ac:dyDescent="0.3">
      <c r="A39" s="9"/>
      <c r="B39" s="9"/>
      <c r="C39" s="9"/>
      <c r="D39" s="9"/>
      <c r="E39" s="9"/>
      <c r="F39" s="10"/>
      <c r="G39" s="9"/>
      <c r="H39" s="9"/>
      <c r="I39" s="10"/>
    </row>
    <row r="40" spans="1:9" ht="13.8" x14ac:dyDescent="0.3">
      <c r="A40" s="9"/>
      <c r="B40" s="9"/>
      <c r="C40" s="9"/>
      <c r="D40" s="9"/>
      <c r="E40" s="9"/>
      <c r="F40" s="10"/>
      <c r="G40" s="9"/>
      <c r="H40" s="9"/>
      <c r="I40" s="10"/>
    </row>
    <row r="41" spans="1:9" ht="13.8" x14ac:dyDescent="0.3">
      <c r="A41" s="9"/>
      <c r="B41" s="9"/>
      <c r="C41" s="9"/>
      <c r="D41" s="9"/>
      <c r="E41" s="9"/>
      <c r="F41" s="10"/>
      <c r="G41" s="9"/>
      <c r="H41" s="9"/>
      <c r="I41" s="10"/>
    </row>
    <row r="42" spans="1:9" ht="13.8" x14ac:dyDescent="0.3">
      <c r="A42" s="9"/>
      <c r="B42" s="9"/>
      <c r="C42" s="9"/>
      <c r="D42" s="9"/>
      <c r="E42" s="9"/>
      <c r="F42" s="10"/>
      <c r="G42" s="9"/>
      <c r="H42" s="9"/>
      <c r="I42" s="10"/>
    </row>
    <row r="43" spans="1:9" ht="13.8" x14ac:dyDescent="0.3">
      <c r="A43" s="9"/>
      <c r="B43" s="9"/>
      <c r="C43" s="9"/>
      <c r="D43" s="9"/>
      <c r="E43" s="9"/>
      <c r="F43" s="10"/>
      <c r="G43" s="9"/>
      <c r="H43" s="9"/>
      <c r="I43" s="10"/>
    </row>
    <row r="44" spans="1:9" ht="13.8" x14ac:dyDescent="0.3">
      <c r="A44" s="9"/>
      <c r="B44" s="9"/>
      <c r="C44" s="9"/>
      <c r="D44" s="9"/>
      <c r="E44" s="9"/>
      <c r="F44" s="10"/>
      <c r="G44" s="9"/>
      <c r="H44" s="9"/>
      <c r="I44" s="10"/>
    </row>
    <row r="45" spans="1:9" ht="13.8" x14ac:dyDescent="0.3">
      <c r="A45" s="9"/>
      <c r="B45" s="9"/>
      <c r="C45" s="9"/>
      <c r="D45" s="9"/>
      <c r="E45" s="9"/>
      <c r="F45" s="10"/>
      <c r="G45" s="9"/>
      <c r="H45" s="9"/>
      <c r="I45" s="10"/>
    </row>
    <row r="46" spans="1:9" ht="13.8" x14ac:dyDescent="0.3">
      <c r="A46" s="9"/>
      <c r="B46" s="9"/>
      <c r="C46" s="9"/>
      <c r="D46" s="9"/>
      <c r="E46" s="9"/>
      <c r="F46" s="10"/>
      <c r="G46" s="9"/>
      <c r="H46" s="9"/>
      <c r="I46" s="10"/>
    </row>
    <row r="47" spans="1:9" ht="13.8" x14ac:dyDescent="0.3">
      <c r="A47" s="9"/>
      <c r="B47" s="9"/>
      <c r="C47" s="9"/>
      <c r="D47" s="9"/>
      <c r="E47" s="9"/>
      <c r="F47" s="10"/>
      <c r="G47" s="9"/>
      <c r="H47" s="9"/>
      <c r="I47" s="10"/>
    </row>
    <row r="48" spans="1:9" ht="13.8" x14ac:dyDescent="0.3">
      <c r="A48" s="9"/>
      <c r="B48" s="9"/>
      <c r="C48" s="9"/>
      <c r="D48" s="9"/>
      <c r="E48" s="9"/>
      <c r="F48" s="10"/>
      <c r="G48" s="9"/>
      <c r="H48" s="9"/>
      <c r="I48" s="10"/>
    </row>
    <row r="49" spans="1:9" ht="13.8" x14ac:dyDescent="0.3">
      <c r="A49" s="9"/>
      <c r="B49" s="9"/>
      <c r="C49" s="9"/>
      <c r="D49" s="9"/>
      <c r="E49" s="9"/>
      <c r="F49" s="10"/>
      <c r="G49" s="9"/>
      <c r="H49" s="9"/>
      <c r="I49" s="10"/>
    </row>
    <row r="50" spans="1:9" ht="13.8" x14ac:dyDescent="0.3">
      <c r="A50" s="9"/>
      <c r="B50" s="9"/>
      <c r="C50" s="9"/>
      <c r="D50" s="9"/>
      <c r="E50" s="9"/>
      <c r="F50" s="10"/>
      <c r="G50" s="9"/>
      <c r="H50" s="9"/>
      <c r="I50" s="10"/>
    </row>
    <row r="51" spans="1:9" ht="13.8" x14ac:dyDescent="0.3">
      <c r="A51" s="9"/>
      <c r="B51" s="9"/>
      <c r="C51" s="9"/>
      <c r="D51" s="9"/>
      <c r="E51" s="9"/>
      <c r="F51" s="10"/>
      <c r="G51" s="9"/>
      <c r="H51" s="9"/>
      <c r="I51" s="10"/>
    </row>
    <row r="52" spans="1:9" ht="13.8" x14ac:dyDescent="0.3">
      <c r="A52" s="9"/>
      <c r="B52" s="9"/>
      <c r="C52" s="9"/>
      <c r="D52" s="9"/>
      <c r="E52" s="9"/>
      <c r="F52" s="10"/>
      <c r="G52" s="9"/>
      <c r="H52" s="9"/>
      <c r="I52" s="10"/>
    </row>
    <row r="53" spans="1:9" ht="13.8" x14ac:dyDescent="0.3">
      <c r="A53" s="9"/>
      <c r="B53" s="9"/>
      <c r="C53" s="9"/>
      <c r="D53" s="9"/>
      <c r="E53" s="9"/>
      <c r="F53" s="10"/>
      <c r="G53" s="9"/>
      <c r="H53" s="9"/>
      <c r="I53" s="10"/>
    </row>
    <row r="54" spans="1:9" ht="13.8" x14ac:dyDescent="0.3">
      <c r="A54" s="9"/>
      <c r="B54" s="9"/>
      <c r="C54" s="9"/>
      <c r="D54" s="9"/>
      <c r="E54" s="9"/>
      <c r="F54" s="10"/>
      <c r="G54" s="9"/>
      <c r="H54" s="9"/>
      <c r="I54" s="10"/>
    </row>
    <row r="55" spans="1:9" ht="13.8" x14ac:dyDescent="0.3">
      <c r="A55" s="9"/>
      <c r="B55" s="9"/>
      <c r="C55" s="9"/>
      <c r="D55" s="9"/>
      <c r="E55" s="9"/>
      <c r="F55" s="10"/>
      <c r="G55" s="9"/>
      <c r="H55" s="9"/>
      <c r="I55" s="10"/>
    </row>
    <row r="56" spans="1:9" ht="13.8" x14ac:dyDescent="0.3">
      <c r="A56" s="9"/>
      <c r="B56" s="9"/>
      <c r="C56" s="9"/>
      <c r="D56" s="9"/>
      <c r="E56" s="9"/>
      <c r="F56" s="10"/>
      <c r="G56" s="9"/>
      <c r="H56" s="9"/>
      <c r="I56" s="10"/>
    </row>
    <row r="57" spans="1:9" ht="13.8" x14ac:dyDescent="0.3">
      <c r="A57" s="9"/>
      <c r="B57" s="9"/>
      <c r="C57" s="9"/>
      <c r="D57" s="9"/>
      <c r="E57" s="9"/>
      <c r="F57" s="10"/>
      <c r="G57" s="9"/>
      <c r="H57" s="9"/>
      <c r="I57" s="10"/>
    </row>
    <row r="58" spans="1:9" ht="13.8" x14ac:dyDescent="0.3">
      <c r="A58" s="9"/>
      <c r="B58" s="9"/>
      <c r="C58" s="9"/>
      <c r="D58" s="9"/>
      <c r="E58" s="9"/>
      <c r="F58" s="10"/>
      <c r="G58" s="9"/>
      <c r="H58" s="9"/>
      <c r="I58" s="10"/>
    </row>
    <row r="59" spans="1:9" ht="13.8" x14ac:dyDescent="0.3">
      <c r="A59" s="9"/>
      <c r="B59" s="9"/>
      <c r="C59" s="9"/>
      <c r="D59" s="9"/>
      <c r="E59" s="9"/>
      <c r="F59" s="10"/>
      <c r="G59" s="9"/>
      <c r="H59" s="9"/>
      <c r="I59" s="10"/>
    </row>
    <row r="60" spans="1:9" ht="13.8" x14ac:dyDescent="0.3">
      <c r="A60" s="9"/>
      <c r="B60" s="9"/>
      <c r="C60" s="9"/>
      <c r="D60" s="9"/>
      <c r="E60" s="9"/>
      <c r="F60" s="10"/>
      <c r="G60" s="9"/>
      <c r="H60" s="9"/>
      <c r="I60" s="10"/>
    </row>
    <row r="61" spans="1:9" ht="13.8" x14ac:dyDescent="0.3">
      <c r="A61" s="9"/>
      <c r="B61" s="9"/>
      <c r="C61" s="9"/>
      <c r="D61" s="9"/>
      <c r="E61" s="9"/>
      <c r="F61" s="10"/>
      <c r="G61" s="9"/>
      <c r="H61" s="9"/>
      <c r="I61" s="10"/>
    </row>
    <row r="62" spans="1:9" ht="13.8" x14ac:dyDescent="0.3">
      <c r="A62" s="9"/>
      <c r="B62" s="9"/>
      <c r="C62" s="9"/>
      <c r="D62" s="9"/>
      <c r="E62" s="9"/>
      <c r="F62" s="10"/>
      <c r="G62" s="9"/>
      <c r="H62" s="9"/>
      <c r="I62" s="10"/>
    </row>
    <row r="63" spans="1:9" ht="13.8" x14ac:dyDescent="0.3">
      <c r="A63" s="9"/>
      <c r="B63" s="9"/>
      <c r="C63" s="9"/>
      <c r="D63" s="9"/>
      <c r="E63" s="9"/>
      <c r="F63" s="10"/>
      <c r="G63" s="9"/>
      <c r="H63" s="9"/>
      <c r="I63" s="10"/>
    </row>
    <row r="64" spans="1:9" ht="13.8" x14ac:dyDescent="0.3">
      <c r="A64" s="9"/>
      <c r="B64" s="9"/>
      <c r="C64" s="9"/>
      <c r="D64" s="9"/>
      <c r="E64" s="9"/>
      <c r="F64" s="10"/>
      <c r="G64" s="9"/>
      <c r="H64" s="9"/>
      <c r="I64" s="10"/>
    </row>
    <row r="65" spans="1:9" ht="13.8" x14ac:dyDescent="0.3">
      <c r="A65" s="9"/>
      <c r="B65" s="9"/>
      <c r="C65" s="9"/>
      <c r="D65" s="9"/>
      <c r="E65" s="9"/>
      <c r="F65" s="10"/>
      <c r="G65" s="9"/>
      <c r="H65" s="9"/>
      <c r="I65" s="10"/>
    </row>
    <row r="66" spans="1:9" ht="13.8" x14ac:dyDescent="0.3">
      <c r="A66" s="9"/>
      <c r="B66" s="9"/>
      <c r="C66" s="9"/>
      <c r="D66" s="9"/>
      <c r="E66" s="9"/>
      <c r="F66" s="10"/>
      <c r="G66" s="9"/>
      <c r="H66" s="9"/>
      <c r="I66" s="10"/>
    </row>
    <row r="67" spans="1:9" ht="13.8" x14ac:dyDescent="0.3">
      <c r="A67" s="9"/>
      <c r="B67" s="9"/>
      <c r="C67" s="9"/>
      <c r="D67" s="9"/>
      <c r="E67" s="9"/>
      <c r="F67" s="10"/>
      <c r="G67" s="9"/>
      <c r="H67" s="9"/>
      <c r="I67" s="10"/>
    </row>
    <row r="68" spans="1:9" ht="13.8" x14ac:dyDescent="0.3">
      <c r="A68" s="9"/>
      <c r="B68" s="9"/>
      <c r="C68" s="9"/>
      <c r="D68" s="9"/>
      <c r="E68" s="9"/>
      <c r="F68" s="10"/>
      <c r="G68" s="9"/>
      <c r="H68" s="9"/>
      <c r="I68" s="10"/>
    </row>
    <row r="69" spans="1:9" ht="13.8" x14ac:dyDescent="0.3">
      <c r="A69" s="9"/>
      <c r="B69" s="9"/>
      <c r="C69" s="9"/>
      <c r="D69" s="9"/>
      <c r="E69" s="9"/>
      <c r="F69" s="10"/>
      <c r="G69" s="9"/>
      <c r="H69" s="9"/>
      <c r="I69" s="10"/>
    </row>
    <row r="70" spans="1:9" ht="13.8" x14ac:dyDescent="0.3">
      <c r="A70" s="9"/>
      <c r="B70" s="9"/>
      <c r="C70" s="9"/>
      <c r="D70" s="9"/>
      <c r="E70" s="9"/>
      <c r="F70" s="10"/>
      <c r="G70" s="9"/>
      <c r="H70" s="9"/>
      <c r="I70" s="10"/>
    </row>
    <row r="71" spans="1:9" ht="13.8" x14ac:dyDescent="0.3">
      <c r="A71" s="9"/>
      <c r="B71" s="9"/>
      <c r="C71" s="9"/>
      <c r="D71" s="9"/>
      <c r="E71" s="9"/>
      <c r="F71" s="10"/>
      <c r="G71" s="9"/>
      <c r="H71" s="9"/>
      <c r="I71" s="10"/>
    </row>
    <row r="72" spans="1:9" ht="13.8" x14ac:dyDescent="0.3">
      <c r="A72" s="9"/>
      <c r="B72" s="9"/>
      <c r="C72" s="9"/>
      <c r="D72" s="9"/>
      <c r="E72" s="9"/>
      <c r="F72" s="10"/>
      <c r="G72" s="9"/>
      <c r="H72" s="9"/>
      <c r="I72" s="10"/>
    </row>
    <row r="73" spans="1:9" ht="13.8" x14ac:dyDescent="0.3">
      <c r="A73" s="9"/>
      <c r="B73" s="9"/>
      <c r="C73" s="9"/>
      <c r="D73" s="9"/>
      <c r="E73" s="9"/>
      <c r="F73" s="10"/>
      <c r="G73" s="9"/>
      <c r="H73" s="9"/>
      <c r="I73" s="10"/>
    </row>
    <row r="74" spans="1:9" ht="13.8" x14ac:dyDescent="0.3">
      <c r="A74" s="9"/>
      <c r="B74" s="9"/>
      <c r="C74" s="9"/>
      <c r="D74" s="9"/>
      <c r="E74" s="9"/>
      <c r="F74" s="10"/>
      <c r="G74" s="9"/>
      <c r="H74" s="9"/>
      <c r="I74" s="10"/>
    </row>
    <row r="75" spans="1:9" ht="13.8" x14ac:dyDescent="0.3">
      <c r="A75" s="9"/>
      <c r="B75" s="9"/>
      <c r="C75" s="9"/>
      <c r="D75" s="9"/>
      <c r="E75" s="9"/>
      <c r="F75" s="10"/>
      <c r="G75" s="9"/>
      <c r="H75" s="9"/>
      <c r="I75" s="10"/>
    </row>
    <row r="76" spans="1:9" ht="13.8" x14ac:dyDescent="0.3">
      <c r="A76" s="9"/>
      <c r="B76" s="9"/>
      <c r="C76" s="9"/>
      <c r="D76" s="9"/>
      <c r="E76" s="9"/>
      <c r="F76" s="10"/>
      <c r="G76" s="9"/>
      <c r="H76" s="9"/>
      <c r="I76" s="10"/>
    </row>
    <row r="77" spans="1:9" ht="13.8" x14ac:dyDescent="0.3">
      <c r="A77" s="9"/>
      <c r="B77" s="9"/>
      <c r="C77" s="9"/>
      <c r="D77" s="9"/>
      <c r="E77" s="9"/>
      <c r="F77" s="10"/>
      <c r="G77" s="9"/>
      <c r="H77" s="9"/>
      <c r="I77" s="10"/>
    </row>
    <row r="78" spans="1:9" ht="13.8" x14ac:dyDescent="0.3">
      <c r="A78" s="9"/>
      <c r="B78" s="9"/>
      <c r="C78" s="9"/>
      <c r="D78" s="9"/>
      <c r="E78" s="9"/>
      <c r="F78" s="10"/>
      <c r="G78" s="9"/>
      <c r="H78" s="9"/>
      <c r="I78" s="10"/>
    </row>
    <row r="79" spans="1:9" ht="13.8" x14ac:dyDescent="0.3">
      <c r="A79" s="9"/>
      <c r="B79" s="9"/>
      <c r="C79" s="9"/>
      <c r="D79" s="9"/>
      <c r="E79" s="9"/>
      <c r="F79" s="10"/>
      <c r="G79" s="9"/>
      <c r="H79" s="9"/>
      <c r="I79" s="10"/>
    </row>
    <row r="80" spans="1:9" ht="13.8" x14ac:dyDescent="0.3">
      <c r="A80" s="9"/>
      <c r="B80" s="9"/>
      <c r="C80" s="9"/>
      <c r="D80" s="9"/>
      <c r="E80" s="9"/>
      <c r="F80" s="10"/>
      <c r="G80" s="9"/>
      <c r="H80" s="9"/>
      <c r="I80" s="10"/>
    </row>
    <row r="81" spans="1:9" ht="13.8" x14ac:dyDescent="0.3">
      <c r="A81" s="9"/>
      <c r="B81" s="9"/>
      <c r="C81" s="9"/>
      <c r="D81" s="9"/>
      <c r="E81" s="9"/>
      <c r="F81" s="10"/>
      <c r="G81" s="9"/>
      <c r="H81" s="9"/>
      <c r="I81" s="10"/>
    </row>
    <row r="82" spans="1:9" ht="13.8" x14ac:dyDescent="0.3">
      <c r="A82" s="9"/>
      <c r="B82" s="9"/>
      <c r="C82" s="9"/>
      <c r="D82" s="9"/>
      <c r="E82" s="9"/>
      <c r="F82" s="10"/>
      <c r="G82" s="9"/>
      <c r="H82" s="9"/>
      <c r="I82" s="10"/>
    </row>
    <row r="83" spans="1:9" ht="13.8" x14ac:dyDescent="0.3">
      <c r="A83" s="9"/>
      <c r="B83" s="9"/>
      <c r="C83" s="9"/>
      <c r="D83" s="9"/>
      <c r="E83" s="9"/>
      <c r="F83" s="10"/>
      <c r="G83" s="9"/>
      <c r="H83" s="9"/>
      <c r="I83" s="10"/>
    </row>
    <row r="84" spans="1:9" ht="13.8" x14ac:dyDescent="0.3">
      <c r="A84" s="9"/>
      <c r="B84" s="9"/>
      <c r="C84" s="9"/>
      <c r="D84" s="9"/>
      <c r="E84" s="9"/>
      <c r="F84" s="10"/>
      <c r="G84" s="9"/>
      <c r="H84" s="9"/>
      <c r="I84" s="10"/>
    </row>
    <row r="85" spans="1:9" ht="13.8" x14ac:dyDescent="0.3">
      <c r="A85" s="9"/>
      <c r="B85" s="9"/>
      <c r="C85" s="9"/>
      <c r="D85" s="9"/>
      <c r="E85" s="9"/>
      <c r="F85" s="10"/>
      <c r="G85" s="9"/>
      <c r="H85" s="9"/>
      <c r="I85" s="10"/>
    </row>
    <row r="86" spans="1:9" ht="13.8" x14ac:dyDescent="0.3">
      <c r="A86" s="9"/>
      <c r="B86" s="9"/>
      <c r="C86" s="9"/>
      <c r="D86" s="9"/>
      <c r="E86" s="9"/>
      <c r="F86" s="10"/>
      <c r="G86" s="9"/>
      <c r="H86" s="9"/>
      <c r="I86" s="10"/>
    </row>
    <row r="87" spans="1:9" ht="13.8" x14ac:dyDescent="0.3">
      <c r="A87" s="9"/>
      <c r="B87" s="9"/>
      <c r="C87" s="9"/>
      <c r="D87" s="9"/>
      <c r="E87" s="9"/>
      <c r="F87" s="10"/>
      <c r="G87" s="9"/>
      <c r="H87" s="9"/>
      <c r="I87" s="10"/>
    </row>
    <row r="88" spans="1:9" ht="13.8" x14ac:dyDescent="0.3">
      <c r="A88" s="9"/>
      <c r="B88" s="9"/>
      <c r="C88" s="9"/>
      <c r="D88" s="9"/>
      <c r="E88" s="9"/>
      <c r="F88" s="10"/>
      <c r="G88" s="9"/>
      <c r="H88" s="9"/>
      <c r="I88" s="10"/>
    </row>
    <row r="89" spans="1:9" ht="13.8" x14ac:dyDescent="0.3">
      <c r="A89" s="9"/>
      <c r="B89" s="9"/>
      <c r="C89" s="9"/>
      <c r="D89" s="9"/>
      <c r="E89" s="9"/>
      <c r="F89" s="10"/>
      <c r="G89" s="9"/>
      <c r="H89" s="9"/>
      <c r="I89" s="10"/>
    </row>
    <row r="90" spans="1:9" ht="13.8" x14ac:dyDescent="0.3">
      <c r="A90" s="9"/>
      <c r="B90" s="9"/>
      <c r="C90" s="9"/>
      <c r="D90" s="9"/>
      <c r="E90" s="9"/>
      <c r="F90" s="10"/>
      <c r="G90" s="9"/>
      <c r="H90" s="9"/>
      <c r="I90" s="10"/>
    </row>
    <row r="91" spans="1:9" ht="13.8" x14ac:dyDescent="0.3">
      <c r="A91" s="9"/>
      <c r="B91" s="9"/>
      <c r="C91" s="9"/>
      <c r="D91" s="9"/>
      <c r="E91" s="9"/>
      <c r="F91" s="10"/>
      <c r="G91" s="9"/>
      <c r="H91" s="9"/>
      <c r="I91" s="10"/>
    </row>
    <row r="92" spans="1:9" ht="13.8" x14ac:dyDescent="0.3">
      <c r="A92" s="9"/>
      <c r="B92" s="9"/>
      <c r="C92" s="9"/>
      <c r="D92" s="9"/>
      <c r="E92" s="9"/>
      <c r="F92" s="10"/>
      <c r="G92" s="9"/>
      <c r="H92" s="9"/>
      <c r="I92" s="10"/>
    </row>
    <row r="93" spans="1:9" ht="13.8" x14ac:dyDescent="0.3">
      <c r="A93" s="9"/>
      <c r="B93" s="9"/>
      <c r="C93" s="9"/>
      <c r="D93" s="9"/>
      <c r="E93" s="9"/>
      <c r="F93" s="10"/>
      <c r="G93" s="9"/>
      <c r="H93" s="9"/>
      <c r="I93" s="10"/>
    </row>
    <row r="94" spans="1:9" ht="13.8" x14ac:dyDescent="0.3">
      <c r="A94" s="9"/>
      <c r="B94" s="9"/>
      <c r="C94" s="9"/>
      <c r="D94" s="9"/>
      <c r="E94" s="9"/>
      <c r="F94" s="10"/>
      <c r="G94" s="9"/>
      <c r="H94" s="9"/>
      <c r="I94" s="10"/>
    </row>
    <row r="95" spans="1:9" ht="13.8" x14ac:dyDescent="0.3">
      <c r="A95" s="9"/>
      <c r="B95" s="9"/>
      <c r="C95" s="9"/>
      <c r="D95" s="9"/>
      <c r="E95" s="9"/>
      <c r="F95" s="10"/>
      <c r="G95" s="9"/>
      <c r="H95" s="9"/>
      <c r="I95" s="10"/>
    </row>
    <row r="96" spans="1:9" ht="13.8" x14ac:dyDescent="0.3">
      <c r="A96" s="9"/>
      <c r="B96" s="9"/>
      <c r="C96" s="9"/>
      <c r="D96" s="9"/>
      <c r="E96" s="9"/>
      <c r="F96" s="10"/>
      <c r="G96" s="9"/>
      <c r="H96" s="9"/>
      <c r="I96" s="10"/>
    </row>
    <row r="97" spans="1:9" ht="13.8" x14ac:dyDescent="0.3">
      <c r="A97" s="9"/>
      <c r="B97" s="9"/>
      <c r="C97" s="9"/>
      <c r="D97" s="9"/>
      <c r="E97" s="9"/>
      <c r="F97" s="10"/>
      <c r="G97" s="9"/>
      <c r="H97" s="9"/>
      <c r="I97" s="10"/>
    </row>
    <row r="98" spans="1:9" ht="13.8" x14ac:dyDescent="0.3">
      <c r="A98" s="9"/>
      <c r="B98" s="9"/>
      <c r="C98" s="9"/>
      <c r="D98" s="9"/>
      <c r="E98" s="9"/>
      <c r="F98" s="10"/>
      <c r="G98" s="9"/>
      <c r="H98" s="9"/>
      <c r="I98" s="10"/>
    </row>
    <row r="99" spans="1:9" ht="13.8" x14ac:dyDescent="0.3">
      <c r="A99" s="9"/>
      <c r="B99" s="9"/>
      <c r="C99" s="9"/>
      <c r="D99" s="9"/>
      <c r="E99" s="9"/>
      <c r="F99" s="10"/>
      <c r="G99" s="9"/>
      <c r="H99" s="9"/>
      <c r="I99" s="10"/>
    </row>
    <row r="100" spans="1:9" ht="13.8" x14ac:dyDescent="0.3">
      <c r="A100" s="9"/>
      <c r="B100" s="9"/>
      <c r="C100" s="9"/>
      <c r="D100" s="9"/>
      <c r="E100" s="9"/>
      <c r="F100" s="10"/>
      <c r="G100" s="9"/>
      <c r="H100" s="9"/>
      <c r="I100" s="10"/>
    </row>
    <row r="101" spans="1:9" ht="13.8" x14ac:dyDescent="0.3">
      <c r="A101" s="9"/>
      <c r="B101" s="9"/>
      <c r="C101" s="9"/>
      <c r="D101" s="9"/>
      <c r="E101" s="9"/>
      <c r="F101" s="10"/>
      <c r="G101" s="9"/>
      <c r="H101" s="9"/>
      <c r="I101" s="10"/>
    </row>
    <row r="102" spans="1:9" ht="13.8" x14ac:dyDescent="0.3">
      <c r="A102" s="9"/>
      <c r="B102" s="9"/>
      <c r="C102" s="9"/>
      <c r="D102" s="9"/>
      <c r="E102" s="9"/>
      <c r="F102" s="10"/>
      <c r="G102" s="9"/>
      <c r="H102" s="9"/>
      <c r="I102" s="10"/>
    </row>
    <row r="103" spans="1:9" ht="13.8" x14ac:dyDescent="0.3">
      <c r="A103" s="9"/>
      <c r="B103" s="9"/>
      <c r="C103" s="9"/>
      <c r="D103" s="9"/>
      <c r="E103" s="9"/>
      <c r="F103" s="10"/>
      <c r="G103" s="9"/>
      <c r="H103" s="9"/>
      <c r="I103" s="10"/>
    </row>
    <row r="104" spans="1:9" ht="13.8" x14ac:dyDescent="0.3">
      <c r="A104" s="9"/>
      <c r="B104" s="9"/>
      <c r="C104" s="9"/>
      <c r="D104" s="9"/>
      <c r="E104" s="9"/>
      <c r="F104" s="10"/>
      <c r="G104" s="9"/>
      <c r="H104" s="9"/>
      <c r="I104" s="10"/>
    </row>
    <row r="105" spans="1:9" ht="13.8" x14ac:dyDescent="0.3">
      <c r="A105" s="9"/>
      <c r="B105" s="9"/>
      <c r="C105" s="9"/>
      <c r="D105" s="9"/>
      <c r="E105" s="9"/>
      <c r="F105" s="10"/>
      <c r="G105" s="9"/>
      <c r="H105" s="9"/>
      <c r="I105" s="10"/>
    </row>
    <row r="106" spans="1:9" ht="13.8" x14ac:dyDescent="0.3">
      <c r="A106" s="9"/>
      <c r="B106" s="9"/>
      <c r="C106" s="9"/>
      <c r="D106" s="9"/>
      <c r="E106" s="9"/>
      <c r="F106" s="10"/>
      <c r="G106" s="9"/>
      <c r="H106" s="9"/>
      <c r="I106" s="10"/>
    </row>
    <row r="107" spans="1:9" ht="13.8" x14ac:dyDescent="0.3">
      <c r="A107" s="9"/>
      <c r="B107" s="9"/>
      <c r="C107" s="9"/>
      <c r="D107" s="9"/>
      <c r="E107" s="9"/>
      <c r="F107" s="10"/>
      <c r="G107" s="9"/>
      <c r="H107" s="9"/>
      <c r="I107" s="10"/>
    </row>
    <row r="108" spans="1:9" ht="13.8" x14ac:dyDescent="0.3">
      <c r="A108" s="9"/>
      <c r="B108" s="9"/>
      <c r="C108" s="9"/>
      <c r="D108" s="9"/>
      <c r="E108" s="9"/>
      <c r="F108" s="10"/>
      <c r="G108" s="9"/>
      <c r="H108" s="9"/>
      <c r="I108" s="10"/>
    </row>
    <row r="109" spans="1:9" ht="13.8" x14ac:dyDescent="0.3">
      <c r="A109" s="9"/>
      <c r="B109" s="9"/>
      <c r="C109" s="9"/>
      <c r="D109" s="9"/>
      <c r="E109" s="9"/>
      <c r="F109" s="10"/>
      <c r="G109" s="9"/>
      <c r="H109" s="9"/>
      <c r="I109" s="10"/>
    </row>
    <row r="110" spans="1:9" ht="13.8" x14ac:dyDescent="0.3">
      <c r="A110" s="9"/>
      <c r="B110" s="9"/>
      <c r="C110" s="9"/>
      <c r="D110" s="9"/>
      <c r="E110" s="9"/>
      <c r="F110" s="10"/>
      <c r="G110" s="9"/>
      <c r="H110" s="9"/>
      <c r="I110" s="10"/>
    </row>
    <row r="111" spans="1:9" ht="13.8" x14ac:dyDescent="0.3">
      <c r="A111" s="9"/>
      <c r="B111" s="9"/>
      <c r="C111" s="9"/>
      <c r="D111" s="9"/>
      <c r="E111" s="9"/>
      <c r="F111" s="10"/>
      <c r="G111" s="9"/>
      <c r="H111" s="9"/>
      <c r="I111" s="10"/>
    </row>
    <row r="112" spans="1:9" ht="13.8" x14ac:dyDescent="0.3">
      <c r="A112" s="9"/>
      <c r="B112" s="9"/>
      <c r="C112" s="9"/>
      <c r="D112" s="9"/>
      <c r="E112" s="9"/>
      <c r="F112" s="10"/>
      <c r="G112" s="9"/>
      <c r="H112" s="9"/>
      <c r="I112" s="10"/>
    </row>
    <row r="113" spans="1:9" ht="13.8" x14ac:dyDescent="0.3">
      <c r="A113" s="9"/>
      <c r="B113" s="9"/>
      <c r="C113" s="9"/>
      <c r="D113" s="9"/>
      <c r="E113" s="9"/>
      <c r="F113" s="10"/>
      <c r="G113" s="9"/>
      <c r="H113" s="9"/>
      <c r="I113" s="10"/>
    </row>
    <row r="114" spans="1:9" ht="13.8" x14ac:dyDescent="0.3">
      <c r="A114" s="9"/>
      <c r="B114" s="9"/>
      <c r="C114" s="9"/>
      <c r="D114" s="9"/>
      <c r="E114" s="9"/>
      <c r="F114" s="10"/>
      <c r="G114" s="9"/>
      <c r="H114" s="9"/>
      <c r="I114" s="10"/>
    </row>
    <row r="115" spans="1:9" ht="13.8" x14ac:dyDescent="0.3">
      <c r="A115" s="9"/>
      <c r="B115" s="9"/>
      <c r="C115" s="9"/>
      <c r="D115" s="9"/>
      <c r="E115" s="9"/>
      <c r="F115" s="10"/>
      <c r="G115" s="9"/>
      <c r="H115" s="9"/>
      <c r="I115" s="10"/>
    </row>
    <row r="116" spans="1:9" ht="13.8" x14ac:dyDescent="0.3">
      <c r="A116" s="9"/>
      <c r="B116" s="9"/>
      <c r="C116" s="9"/>
      <c r="D116" s="9"/>
      <c r="E116" s="9"/>
      <c r="F116" s="10"/>
      <c r="G116" s="9"/>
      <c r="H116" s="9"/>
      <c r="I116" s="10"/>
    </row>
    <row r="117" spans="1:9" ht="13.8" x14ac:dyDescent="0.3">
      <c r="A117" s="9"/>
      <c r="B117" s="9"/>
      <c r="C117" s="9"/>
      <c r="D117" s="9"/>
      <c r="E117" s="9"/>
      <c r="F117" s="10"/>
      <c r="G117" s="9"/>
      <c r="H117" s="9"/>
      <c r="I117" s="10"/>
    </row>
    <row r="118" spans="1:9" ht="13.8" x14ac:dyDescent="0.3">
      <c r="A118" s="9"/>
      <c r="B118" s="9"/>
      <c r="C118" s="9"/>
      <c r="D118" s="9"/>
      <c r="E118" s="9"/>
      <c r="F118" s="10"/>
      <c r="G118" s="9"/>
      <c r="H118" s="9"/>
      <c r="I118" s="10"/>
    </row>
    <row r="119" spans="1:9" ht="13.8" x14ac:dyDescent="0.3">
      <c r="A119" s="9"/>
      <c r="B119" s="9"/>
      <c r="C119" s="9"/>
      <c r="D119" s="9"/>
      <c r="E119" s="9"/>
      <c r="F119" s="10"/>
      <c r="G119" s="9"/>
      <c r="H119" s="9"/>
      <c r="I119" s="10"/>
    </row>
    <row r="120" spans="1:9" ht="13.8" x14ac:dyDescent="0.3">
      <c r="A120" s="9"/>
      <c r="B120" s="9"/>
      <c r="C120" s="9"/>
      <c r="D120" s="9"/>
      <c r="E120" s="9"/>
      <c r="F120" s="10"/>
      <c r="G120" s="9"/>
      <c r="H120" s="9"/>
      <c r="I120" s="10"/>
    </row>
    <row r="121" spans="1:9" ht="13.8" x14ac:dyDescent="0.3">
      <c r="A121" s="9"/>
      <c r="B121" s="9"/>
      <c r="C121" s="9"/>
      <c r="D121" s="9"/>
      <c r="E121" s="9"/>
      <c r="F121" s="10"/>
      <c r="G121" s="9"/>
      <c r="H121" s="9"/>
      <c r="I121" s="10"/>
    </row>
    <row r="122" spans="1:9" ht="13.8" x14ac:dyDescent="0.3">
      <c r="A122" s="9"/>
      <c r="B122" s="9"/>
      <c r="C122" s="9"/>
      <c r="D122" s="9"/>
      <c r="E122" s="9"/>
      <c r="F122" s="10"/>
      <c r="G122" s="9"/>
      <c r="H122" s="9"/>
      <c r="I122" s="10"/>
    </row>
    <row r="123" spans="1:9" ht="13.8" x14ac:dyDescent="0.3">
      <c r="A123" s="9"/>
      <c r="B123" s="9"/>
      <c r="C123" s="9"/>
      <c r="D123" s="9"/>
      <c r="E123" s="9"/>
      <c r="F123" s="10"/>
      <c r="G123" s="9"/>
      <c r="H123" s="9"/>
      <c r="I123" s="10"/>
    </row>
    <row r="124" spans="1:9" ht="13.8" x14ac:dyDescent="0.3">
      <c r="A124" s="9"/>
      <c r="B124" s="9"/>
      <c r="C124" s="9"/>
      <c r="D124" s="9"/>
      <c r="E124" s="9"/>
      <c r="F124" s="10"/>
      <c r="G124" s="9"/>
      <c r="H124" s="9"/>
      <c r="I124" s="10"/>
    </row>
    <row r="125" spans="1:9" ht="13.8" x14ac:dyDescent="0.3">
      <c r="A125" s="9"/>
      <c r="B125" s="9"/>
      <c r="C125" s="9"/>
      <c r="D125" s="9"/>
      <c r="E125" s="9"/>
      <c r="F125" s="10"/>
      <c r="G125" s="9"/>
      <c r="H125" s="9"/>
      <c r="I125" s="10"/>
    </row>
    <row r="126" spans="1:9" ht="13.8" x14ac:dyDescent="0.3">
      <c r="A126" s="9"/>
      <c r="B126" s="9"/>
      <c r="C126" s="9"/>
      <c r="D126" s="9"/>
      <c r="E126" s="9"/>
      <c r="F126" s="10"/>
      <c r="G126" s="9"/>
      <c r="H126" s="9"/>
      <c r="I126" s="10"/>
    </row>
    <row r="127" spans="1:9" ht="13.8" x14ac:dyDescent="0.3">
      <c r="A127" s="9"/>
      <c r="B127" s="9"/>
      <c r="C127" s="9"/>
      <c r="D127" s="9"/>
      <c r="E127" s="9"/>
      <c r="F127" s="10"/>
      <c r="G127" s="9"/>
      <c r="H127" s="9"/>
      <c r="I127" s="10"/>
    </row>
    <row r="128" spans="1:9" ht="13.8" x14ac:dyDescent="0.3">
      <c r="A128" s="9"/>
      <c r="B128" s="9"/>
      <c r="C128" s="9"/>
      <c r="D128" s="9"/>
      <c r="E128" s="9"/>
      <c r="F128" s="10"/>
      <c r="G128" s="9"/>
      <c r="H128" s="9"/>
      <c r="I128" s="10"/>
    </row>
    <row r="129" spans="1:9" ht="13.8" x14ac:dyDescent="0.3">
      <c r="A129" s="9"/>
      <c r="B129" s="9"/>
      <c r="C129" s="9"/>
      <c r="D129" s="9"/>
      <c r="E129" s="9"/>
      <c r="F129" s="10"/>
      <c r="G129" s="9"/>
      <c r="H129" s="9"/>
      <c r="I129" s="10"/>
    </row>
    <row r="130" spans="1:9" ht="13.8" x14ac:dyDescent="0.3">
      <c r="A130" s="9"/>
      <c r="B130" s="9"/>
      <c r="C130" s="9"/>
      <c r="D130" s="9"/>
      <c r="E130" s="9"/>
      <c r="F130" s="10"/>
      <c r="G130" s="9"/>
      <c r="H130" s="9"/>
      <c r="I130" s="10"/>
    </row>
    <row r="131" spans="1:9" ht="13.8" x14ac:dyDescent="0.3">
      <c r="A131" s="9"/>
      <c r="B131" s="9"/>
      <c r="C131" s="9"/>
      <c r="D131" s="9"/>
      <c r="E131" s="9"/>
      <c r="F131" s="10"/>
      <c r="G131" s="9"/>
      <c r="H131" s="9"/>
      <c r="I131" s="10"/>
    </row>
    <row r="132" spans="1:9" ht="13.8" x14ac:dyDescent="0.3">
      <c r="A132" s="9"/>
      <c r="B132" s="9"/>
      <c r="C132" s="9"/>
      <c r="D132" s="9"/>
      <c r="E132" s="9"/>
      <c r="F132" s="10"/>
      <c r="G132" s="9"/>
      <c r="H132" s="9"/>
      <c r="I132" s="10"/>
    </row>
    <row r="133" spans="1:9" ht="13.8" x14ac:dyDescent="0.3">
      <c r="A133" s="9"/>
      <c r="B133" s="9"/>
      <c r="C133" s="9"/>
      <c r="D133" s="9"/>
      <c r="E133" s="9"/>
      <c r="F133" s="10"/>
      <c r="G133" s="9"/>
      <c r="H133" s="9"/>
      <c r="I133" s="10"/>
    </row>
    <row r="134" spans="1:9" ht="13.8" x14ac:dyDescent="0.3">
      <c r="A134" s="9"/>
      <c r="B134" s="9"/>
      <c r="C134" s="9"/>
      <c r="D134" s="9"/>
      <c r="E134" s="9"/>
      <c r="F134" s="10"/>
      <c r="G134" s="9"/>
      <c r="H134" s="9"/>
      <c r="I134" s="10"/>
    </row>
    <row r="135" spans="1:9" ht="13.8" x14ac:dyDescent="0.3">
      <c r="A135" s="9"/>
      <c r="B135" s="9"/>
      <c r="C135" s="9"/>
      <c r="D135" s="9"/>
      <c r="E135" s="9"/>
      <c r="F135" s="10"/>
      <c r="G135" s="9"/>
      <c r="H135" s="9"/>
      <c r="I135" s="10"/>
    </row>
    <row r="136" spans="1:9" ht="13.8" x14ac:dyDescent="0.3">
      <c r="A136" s="9"/>
      <c r="B136" s="9"/>
      <c r="C136" s="9"/>
      <c r="D136" s="9"/>
      <c r="E136" s="9"/>
      <c r="F136" s="10"/>
      <c r="G136" s="9"/>
      <c r="H136" s="9"/>
      <c r="I136" s="10"/>
    </row>
    <row r="137" spans="1:9" ht="13.8" x14ac:dyDescent="0.3">
      <c r="A137" s="9"/>
      <c r="B137" s="9"/>
      <c r="C137" s="9"/>
      <c r="D137" s="9"/>
      <c r="E137" s="9"/>
      <c r="F137" s="10"/>
      <c r="G137" s="9"/>
      <c r="H137" s="9"/>
      <c r="I137" s="10"/>
    </row>
    <row r="138" spans="1:9" ht="13.8" x14ac:dyDescent="0.3">
      <c r="A138" s="9"/>
      <c r="B138" s="9"/>
      <c r="C138" s="9"/>
      <c r="D138" s="9"/>
      <c r="E138" s="9"/>
      <c r="F138" s="10"/>
      <c r="G138" s="9"/>
      <c r="H138" s="9"/>
      <c r="I138" s="10"/>
    </row>
    <row r="139" spans="1:9" ht="13.8" x14ac:dyDescent="0.3">
      <c r="A139" s="9"/>
      <c r="B139" s="9"/>
      <c r="C139" s="9"/>
      <c r="D139" s="9"/>
      <c r="E139" s="9"/>
      <c r="F139" s="10"/>
      <c r="G139" s="9"/>
      <c r="H139" s="9"/>
      <c r="I139" s="10"/>
    </row>
    <row r="140" spans="1:9" ht="13.8" x14ac:dyDescent="0.3">
      <c r="A140" s="9"/>
      <c r="B140" s="9"/>
      <c r="C140" s="9"/>
      <c r="D140" s="9"/>
      <c r="E140" s="9"/>
      <c r="F140" s="10"/>
      <c r="G140" s="9"/>
      <c r="H140" s="9"/>
      <c r="I140" s="10"/>
    </row>
    <row r="141" spans="1:9" ht="13.8" x14ac:dyDescent="0.3">
      <c r="A141" s="9"/>
      <c r="B141" s="9"/>
      <c r="C141" s="9"/>
      <c r="D141" s="9"/>
      <c r="E141" s="9"/>
      <c r="F141" s="10"/>
      <c r="G141" s="9"/>
      <c r="H141" s="9"/>
      <c r="I141" s="10"/>
    </row>
    <row r="142" spans="1:9" ht="13.8" x14ac:dyDescent="0.3">
      <c r="A142" s="9"/>
      <c r="B142" s="9"/>
      <c r="C142" s="9"/>
      <c r="D142" s="9"/>
      <c r="E142" s="9"/>
      <c r="F142" s="10"/>
      <c r="G142" s="9"/>
      <c r="H142" s="9"/>
      <c r="I142" s="10"/>
    </row>
    <row r="143" spans="1:9" ht="13.8" x14ac:dyDescent="0.3">
      <c r="A143" s="9"/>
      <c r="B143" s="9"/>
      <c r="C143" s="9"/>
      <c r="D143" s="9"/>
      <c r="E143" s="9"/>
      <c r="F143" s="10"/>
      <c r="G143" s="9"/>
      <c r="H143" s="9"/>
      <c r="I143" s="10"/>
    </row>
    <row r="144" spans="1:9" ht="13.8" x14ac:dyDescent="0.3">
      <c r="A144" s="9"/>
      <c r="B144" s="9"/>
      <c r="C144" s="9"/>
      <c r="D144" s="9"/>
      <c r="E144" s="9"/>
      <c r="F144" s="10"/>
      <c r="G144" s="9"/>
      <c r="H144" s="9"/>
      <c r="I144" s="10"/>
    </row>
    <row r="145" spans="1:9" ht="13.8" x14ac:dyDescent="0.3">
      <c r="A145" s="9"/>
      <c r="B145" s="9"/>
      <c r="C145" s="9"/>
      <c r="D145" s="9"/>
      <c r="E145" s="9"/>
      <c r="F145" s="10"/>
      <c r="G145" s="9"/>
      <c r="H145" s="9"/>
      <c r="I145" s="10"/>
    </row>
    <row r="146" spans="1:9" ht="13.8" x14ac:dyDescent="0.3">
      <c r="A146" s="9"/>
      <c r="B146" s="9"/>
      <c r="C146" s="9"/>
      <c r="D146" s="9"/>
      <c r="E146" s="9"/>
      <c r="F146" s="10"/>
      <c r="G146" s="9"/>
      <c r="H146" s="9"/>
      <c r="I146" s="10"/>
    </row>
    <row r="147" spans="1:9" ht="13.8" x14ac:dyDescent="0.3">
      <c r="A147" s="9"/>
      <c r="B147" s="9"/>
      <c r="C147" s="9"/>
      <c r="D147" s="9"/>
      <c r="E147" s="9"/>
      <c r="F147" s="10"/>
      <c r="G147" s="9"/>
      <c r="H147" s="9"/>
      <c r="I147" s="10"/>
    </row>
    <row r="148" spans="1:9" ht="13.8" x14ac:dyDescent="0.3">
      <c r="A148" s="9"/>
      <c r="B148" s="9"/>
      <c r="C148" s="9"/>
      <c r="D148" s="9"/>
      <c r="E148" s="9"/>
      <c r="F148" s="10"/>
      <c r="G148" s="9"/>
      <c r="H148" s="9"/>
      <c r="I148" s="10"/>
    </row>
    <row r="149" spans="1:9" ht="13.8" x14ac:dyDescent="0.3">
      <c r="A149" s="9"/>
      <c r="B149" s="9"/>
      <c r="C149" s="9"/>
      <c r="D149" s="9"/>
      <c r="E149" s="9"/>
      <c r="F149" s="10"/>
      <c r="G149" s="9"/>
      <c r="H149" s="9"/>
      <c r="I149" s="10"/>
    </row>
    <row r="150" spans="1:9" ht="13.8" x14ac:dyDescent="0.3">
      <c r="A150" s="9"/>
      <c r="B150" s="9"/>
      <c r="C150" s="9"/>
      <c r="D150" s="9"/>
      <c r="E150" s="9"/>
      <c r="F150" s="10"/>
      <c r="G150" s="9"/>
      <c r="H150" s="9"/>
      <c r="I150" s="10"/>
    </row>
    <row r="151" spans="1:9" ht="13.8" x14ac:dyDescent="0.3">
      <c r="A151" s="9"/>
      <c r="B151" s="9"/>
      <c r="C151" s="9"/>
      <c r="D151" s="9"/>
      <c r="E151" s="9"/>
      <c r="F151" s="10"/>
      <c r="G151" s="9"/>
      <c r="H151" s="9"/>
      <c r="I151" s="10"/>
    </row>
    <row r="152" spans="1:9" ht="13.8" x14ac:dyDescent="0.3">
      <c r="A152" s="9"/>
      <c r="B152" s="9"/>
      <c r="C152" s="9"/>
      <c r="D152" s="9"/>
      <c r="E152" s="9"/>
      <c r="F152" s="10"/>
      <c r="G152" s="9"/>
      <c r="H152" s="9"/>
      <c r="I152" s="10"/>
    </row>
    <row r="153" spans="1:9" ht="13.8" x14ac:dyDescent="0.3">
      <c r="A153" s="9"/>
      <c r="B153" s="9"/>
      <c r="C153" s="9"/>
      <c r="D153" s="9"/>
      <c r="E153" s="9"/>
      <c r="F153" s="10"/>
      <c r="G153" s="9"/>
      <c r="H153" s="9"/>
      <c r="I153" s="10"/>
    </row>
    <row r="154" spans="1:9" ht="13.8" x14ac:dyDescent="0.3">
      <c r="A154" s="9"/>
      <c r="B154" s="9"/>
      <c r="C154" s="9"/>
      <c r="D154" s="9"/>
      <c r="E154" s="9"/>
      <c r="F154" s="10"/>
      <c r="G154" s="9"/>
      <c r="H154" s="9"/>
      <c r="I154" s="10"/>
    </row>
    <row r="155" spans="1:9" ht="13.8" x14ac:dyDescent="0.3">
      <c r="A155" s="9"/>
      <c r="B155" s="9"/>
      <c r="C155" s="9"/>
      <c r="D155" s="9"/>
      <c r="E155" s="9"/>
      <c r="F155" s="10"/>
      <c r="G155" s="9"/>
      <c r="H155" s="9"/>
      <c r="I155" s="10"/>
    </row>
    <row r="156" spans="1:9" ht="13.8" x14ac:dyDescent="0.3">
      <c r="A156" s="9"/>
      <c r="B156" s="9"/>
      <c r="C156" s="9"/>
      <c r="D156" s="9"/>
      <c r="E156" s="9"/>
      <c r="F156" s="10"/>
      <c r="G156" s="9"/>
      <c r="H156" s="9"/>
      <c r="I156" s="10"/>
    </row>
    <row r="157" spans="1:9" ht="13.8" x14ac:dyDescent="0.3">
      <c r="A157" s="9"/>
      <c r="B157" s="9"/>
      <c r="C157" s="9"/>
      <c r="D157" s="9"/>
      <c r="E157" s="9"/>
      <c r="F157" s="10"/>
      <c r="G157" s="9"/>
      <c r="H157" s="9"/>
      <c r="I157" s="10"/>
    </row>
    <row r="158" spans="1:9" ht="13.8" x14ac:dyDescent="0.3">
      <c r="A158" s="9"/>
      <c r="B158" s="9"/>
      <c r="C158" s="9"/>
      <c r="D158" s="9"/>
      <c r="E158" s="9"/>
      <c r="F158" s="10"/>
      <c r="G158" s="9"/>
      <c r="H158" s="9"/>
      <c r="I158" s="10"/>
    </row>
    <row r="159" spans="1:9" ht="13.8" x14ac:dyDescent="0.3">
      <c r="A159" s="9"/>
      <c r="B159" s="9"/>
      <c r="C159" s="9"/>
      <c r="D159" s="9"/>
      <c r="E159" s="9"/>
      <c r="F159" s="10"/>
      <c r="G159" s="9"/>
      <c r="H159" s="9"/>
      <c r="I159" s="10"/>
    </row>
    <row r="160" spans="1:9" ht="13.8" x14ac:dyDescent="0.3">
      <c r="A160" s="9"/>
      <c r="B160" s="9"/>
      <c r="C160" s="9"/>
      <c r="D160" s="9"/>
      <c r="E160" s="9"/>
      <c r="F160" s="10"/>
      <c r="G160" s="9"/>
      <c r="H160" s="9"/>
      <c r="I160" s="10"/>
    </row>
    <row r="161" spans="1:9" ht="13.8" x14ac:dyDescent="0.3">
      <c r="A161" s="9"/>
      <c r="B161" s="9"/>
      <c r="C161" s="9"/>
      <c r="D161" s="9"/>
      <c r="E161" s="9"/>
      <c r="F161" s="10"/>
      <c r="G161" s="9"/>
      <c r="H161" s="9"/>
      <c r="I161" s="10"/>
    </row>
    <row r="162" spans="1:9" ht="13.8" x14ac:dyDescent="0.3">
      <c r="A162" s="9"/>
      <c r="B162" s="9"/>
      <c r="C162" s="9"/>
      <c r="D162" s="9"/>
      <c r="E162" s="9"/>
      <c r="F162" s="10"/>
      <c r="G162" s="9"/>
      <c r="H162" s="9"/>
      <c r="I162" s="10"/>
    </row>
    <row r="163" spans="1:9" ht="13.8" x14ac:dyDescent="0.3">
      <c r="A163" s="9"/>
      <c r="B163" s="9"/>
      <c r="C163" s="9"/>
      <c r="D163" s="9"/>
      <c r="E163" s="9"/>
      <c r="F163" s="10"/>
      <c r="G163" s="9"/>
      <c r="H163" s="9"/>
      <c r="I163" s="10"/>
    </row>
    <row r="164" spans="1:9" ht="13.8" x14ac:dyDescent="0.3">
      <c r="A164" s="9"/>
      <c r="B164" s="9"/>
      <c r="C164" s="9"/>
      <c r="D164" s="9"/>
      <c r="E164" s="9"/>
      <c r="F164" s="10"/>
      <c r="G164" s="9"/>
      <c r="H164" s="9"/>
      <c r="I164" s="10"/>
    </row>
    <row r="165" spans="1:9" ht="13.8" x14ac:dyDescent="0.3">
      <c r="A165" s="9"/>
      <c r="B165" s="9"/>
      <c r="C165" s="9"/>
      <c r="D165" s="9"/>
      <c r="E165" s="9"/>
      <c r="F165" s="10"/>
      <c r="G165" s="9"/>
      <c r="H165" s="9"/>
      <c r="I165" s="10"/>
    </row>
    <row r="166" spans="1:9" ht="13.8" x14ac:dyDescent="0.3">
      <c r="A166" s="9"/>
      <c r="B166" s="9"/>
      <c r="C166" s="9"/>
      <c r="D166" s="9"/>
      <c r="E166" s="9"/>
      <c r="F166" s="10"/>
      <c r="G166" s="9"/>
      <c r="H166" s="9"/>
      <c r="I166" s="10"/>
    </row>
    <row r="167" spans="1:9" ht="13.8" x14ac:dyDescent="0.3">
      <c r="A167" s="9"/>
      <c r="B167" s="9"/>
      <c r="C167" s="9"/>
      <c r="D167" s="9"/>
      <c r="E167" s="9"/>
      <c r="F167" s="10"/>
      <c r="G167" s="9"/>
      <c r="H167" s="9"/>
      <c r="I167" s="10"/>
    </row>
    <row r="168" spans="1:9" ht="13.8" x14ac:dyDescent="0.3">
      <c r="A168" s="9"/>
      <c r="B168" s="9"/>
      <c r="C168" s="9"/>
      <c r="D168" s="9"/>
      <c r="E168" s="9"/>
      <c r="F168" s="10"/>
      <c r="G168" s="9"/>
      <c r="H168" s="9"/>
      <c r="I168" s="10"/>
    </row>
    <row r="169" spans="1:9" ht="13.8" x14ac:dyDescent="0.3">
      <c r="A169" s="9"/>
      <c r="B169" s="9"/>
      <c r="C169" s="9"/>
      <c r="D169" s="9"/>
      <c r="E169" s="9"/>
      <c r="F169" s="10"/>
      <c r="G169" s="9"/>
      <c r="H169" s="9"/>
      <c r="I169" s="10"/>
    </row>
    <row r="170" spans="1:9" ht="13.8" x14ac:dyDescent="0.3">
      <c r="A170" s="9"/>
      <c r="B170" s="9"/>
      <c r="C170" s="9"/>
      <c r="D170" s="9"/>
      <c r="E170" s="9"/>
      <c r="F170" s="10"/>
      <c r="G170" s="9"/>
      <c r="H170" s="9"/>
      <c r="I170" s="10"/>
    </row>
    <row r="171" spans="1:9" ht="13.8" x14ac:dyDescent="0.3">
      <c r="A171" s="9"/>
      <c r="B171" s="9"/>
      <c r="C171" s="9"/>
      <c r="D171" s="9"/>
      <c r="E171" s="9"/>
      <c r="F171" s="10"/>
      <c r="G171" s="9"/>
      <c r="H171" s="9"/>
      <c r="I171" s="10"/>
    </row>
    <row r="172" spans="1:9" ht="13.8" x14ac:dyDescent="0.3">
      <c r="A172" s="9"/>
      <c r="B172" s="9"/>
      <c r="C172" s="9"/>
      <c r="D172" s="9"/>
      <c r="E172" s="9"/>
      <c r="F172" s="10"/>
      <c r="G172" s="9"/>
      <c r="H172" s="9"/>
      <c r="I172" s="10"/>
    </row>
    <row r="173" spans="1:9" ht="13.8" x14ac:dyDescent="0.3">
      <c r="A173" s="9"/>
      <c r="B173" s="9"/>
      <c r="C173" s="9"/>
      <c r="D173" s="9"/>
      <c r="E173" s="9"/>
      <c r="F173" s="10"/>
      <c r="G173" s="9"/>
      <c r="H173" s="9"/>
      <c r="I173" s="10"/>
    </row>
    <row r="174" spans="1:9" ht="13.8" x14ac:dyDescent="0.3">
      <c r="A174" s="9"/>
      <c r="B174" s="9"/>
      <c r="C174" s="9"/>
      <c r="D174" s="9"/>
      <c r="E174" s="9"/>
      <c r="F174" s="10"/>
      <c r="G174" s="9"/>
      <c r="H174" s="9"/>
      <c r="I174" s="10"/>
    </row>
    <row r="175" spans="1:9" ht="13.8" x14ac:dyDescent="0.3">
      <c r="A175" s="9"/>
      <c r="B175" s="9"/>
      <c r="C175" s="9"/>
      <c r="D175" s="9"/>
      <c r="E175" s="9"/>
      <c r="F175" s="10"/>
      <c r="G175" s="9"/>
      <c r="H175" s="9"/>
      <c r="I175" s="10"/>
    </row>
    <row r="176" spans="1:9" ht="13.8" x14ac:dyDescent="0.3">
      <c r="A176" s="9"/>
      <c r="B176" s="9"/>
      <c r="C176" s="9"/>
      <c r="D176" s="9"/>
      <c r="E176" s="9"/>
      <c r="F176" s="10"/>
      <c r="G176" s="9"/>
      <c r="H176" s="9"/>
      <c r="I176" s="10"/>
    </row>
    <row r="177" spans="1:9" ht="13.8" x14ac:dyDescent="0.3">
      <c r="A177" s="9"/>
      <c r="B177" s="9"/>
      <c r="C177" s="9"/>
      <c r="D177" s="9"/>
      <c r="E177" s="9"/>
      <c r="F177" s="10"/>
      <c r="G177" s="9"/>
      <c r="H177" s="9"/>
      <c r="I177" s="10"/>
    </row>
    <row r="178" spans="1:9" ht="13.8" x14ac:dyDescent="0.3">
      <c r="A178" s="9"/>
      <c r="B178" s="9"/>
      <c r="C178" s="9"/>
      <c r="D178" s="9"/>
      <c r="E178" s="9"/>
      <c r="F178" s="10"/>
      <c r="G178" s="9"/>
      <c r="H178" s="9"/>
      <c r="I178" s="10"/>
    </row>
    <row r="179" spans="1:9" ht="13.8" x14ac:dyDescent="0.3">
      <c r="A179" s="9"/>
      <c r="B179" s="9"/>
      <c r="C179" s="9"/>
      <c r="D179" s="9"/>
      <c r="E179" s="9"/>
      <c r="F179" s="10"/>
      <c r="G179" s="9"/>
      <c r="H179" s="9"/>
      <c r="I179" s="10"/>
    </row>
    <row r="180" spans="1:9" ht="13.8" x14ac:dyDescent="0.3">
      <c r="A180" s="9"/>
      <c r="B180" s="9"/>
      <c r="C180" s="9"/>
      <c r="D180" s="9"/>
      <c r="E180" s="9"/>
      <c r="F180" s="10"/>
      <c r="G180" s="9"/>
      <c r="H180" s="9"/>
      <c r="I180" s="10"/>
    </row>
    <row r="181" spans="1:9" ht="13.8" x14ac:dyDescent="0.3">
      <c r="A181" s="9"/>
      <c r="B181" s="9"/>
      <c r="C181" s="9"/>
      <c r="D181" s="9"/>
      <c r="E181" s="9"/>
      <c r="F181" s="10"/>
      <c r="G181" s="9"/>
      <c r="H181" s="9"/>
      <c r="I181" s="10"/>
    </row>
    <row r="182" spans="1:9" ht="13.8" x14ac:dyDescent="0.3">
      <c r="A182" s="9"/>
      <c r="B182" s="9"/>
      <c r="C182" s="9"/>
      <c r="D182" s="9"/>
      <c r="E182" s="9"/>
      <c r="F182" s="10"/>
      <c r="G182" s="9"/>
      <c r="H182" s="9"/>
      <c r="I182" s="10"/>
    </row>
    <row r="183" spans="1:9" ht="13.8" x14ac:dyDescent="0.3">
      <c r="A183" s="9"/>
      <c r="B183" s="9"/>
      <c r="C183" s="9"/>
      <c r="D183" s="9"/>
      <c r="E183" s="9"/>
      <c r="F183" s="10"/>
      <c r="G183" s="9"/>
      <c r="H183" s="9"/>
      <c r="I183" s="10"/>
    </row>
    <row r="184" spans="1:9" ht="13.8" x14ac:dyDescent="0.3">
      <c r="A184" s="9"/>
      <c r="B184" s="9"/>
      <c r="C184" s="9"/>
      <c r="D184" s="9"/>
      <c r="E184" s="9"/>
      <c r="F184" s="10"/>
      <c r="G184" s="9"/>
      <c r="H184" s="9"/>
      <c r="I184" s="10"/>
    </row>
    <row r="185" spans="1:9" ht="13.8" x14ac:dyDescent="0.3">
      <c r="A185" s="9"/>
      <c r="B185" s="9"/>
      <c r="C185" s="9"/>
      <c r="D185" s="9"/>
      <c r="E185" s="9"/>
      <c r="F185" s="10"/>
      <c r="G185" s="9"/>
      <c r="H185" s="9"/>
      <c r="I185" s="10"/>
    </row>
    <row r="186" spans="1:9" ht="13.8" x14ac:dyDescent="0.3">
      <c r="A186" s="9"/>
      <c r="B186" s="9"/>
      <c r="C186" s="9"/>
      <c r="D186" s="9"/>
      <c r="E186" s="9"/>
      <c r="F186" s="10"/>
      <c r="G186" s="9"/>
      <c r="H186" s="9"/>
      <c r="I186" s="10"/>
    </row>
    <row r="187" spans="1:9" ht="13.8" x14ac:dyDescent="0.3">
      <c r="A187" s="9"/>
      <c r="B187" s="9"/>
      <c r="C187" s="9"/>
      <c r="D187" s="9"/>
      <c r="E187" s="9"/>
      <c r="F187" s="10"/>
      <c r="G187" s="9"/>
      <c r="H187" s="9"/>
      <c r="I187" s="10"/>
    </row>
    <row r="188" spans="1:9" ht="13.8" x14ac:dyDescent="0.3">
      <c r="A188" s="9"/>
      <c r="B188" s="9"/>
      <c r="C188" s="9"/>
      <c r="D188" s="9"/>
      <c r="E188" s="9"/>
      <c r="F188" s="10"/>
      <c r="G188" s="9"/>
      <c r="H188" s="9"/>
      <c r="I188" s="10"/>
    </row>
    <row r="189" spans="1:9" ht="13.8" x14ac:dyDescent="0.3">
      <c r="A189" s="9"/>
      <c r="B189" s="9"/>
      <c r="C189" s="9"/>
      <c r="D189" s="9"/>
      <c r="E189" s="9"/>
      <c r="F189" s="10"/>
      <c r="G189" s="9"/>
      <c r="H189" s="9"/>
      <c r="I189" s="10"/>
    </row>
    <row r="190" spans="1:9" ht="13.8" x14ac:dyDescent="0.3">
      <c r="A190" s="9"/>
      <c r="B190" s="9"/>
      <c r="C190" s="9"/>
      <c r="D190" s="9"/>
      <c r="E190" s="9"/>
      <c r="F190" s="10"/>
      <c r="G190" s="9"/>
      <c r="H190" s="9"/>
      <c r="I190" s="10"/>
    </row>
    <row r="191" spans="1:9" ht="13.8" x14ac:dyDescent="0.3">
      <c r="A191" s="9"/>
      <c r="B191" s="9"/>
      <c r="C191" s="9"/>
      <c r="D191" s="9"/>
      <c r="E191" s="9"/>
      <c r="F191" s="10"/>
      <c r="G191" s="9"/>
      <c r="H191" s="9"/>
      <c r="I191" s="10"/>
    </row>
    <row r="192" spans="1:9" ht="13.8" x14ac:dyDescent="0.3">
      <c r="A192" s="9"/>
      <c r="B192" s="9"/>
      <c r="C192" s="9"/>
      <c r="D192" s="9"/>
      <c r="E192" s="9"/>
      <c r="F192" s="10"/>
      <c r="G192" s="9"/>
      <c r="H192" s="9"/>
      <c r="I192" s="10"/>
    </row>
    <row r="193" spans="1:9" ht="13.8" x14ac:dyDescent="0.3">
      <c r="A193" s="9"/>
      <c r="B193" s="9"/>
      <c r="C193" s="9"/>
      <c r="D193" s="9"/>
      <c r="E193" s="9"/>
      <c r="F193" s="10"/>
      <c r="G193" s="9"/>
      <c r="H193" s="9"/>
      <c r="I193" s="10"/>
    </row>
    <row r="194" spans="1:9" ht="13.8" x14ac:dyDescent="0.3">
      <c r="A194" s="9"/>
      <c r="B194" s="9"/>
      <c r="C194" s="9"/>
      <c r="D194" s="9"/>
      <c r="E194" s="9"/>
      <c r="F194" s="10"/>
      <c r="G194" s="9"/>
      <c r="H194" s="9"/>
      <c r="I194" s="10"/>
    </row>
    <row r="195" spans="1:9" ht="13.8" x14ac:dyDescent="0.3">
      <c r="A195" s="9"/>
      <c r="B195" s="9"/>
      <c r="C195" s="9"/>
      <c r="D195" s="9"/>
      <c r="E195" s="9"/>
      <c r="F195" s="10"/>
      <c r="G195" s="9"/>
      <c r="H195" s="9"/>
      <c r="I195" s="10"/>
    </row>
    <row r="196" spans="1:9" ht="13.8" x14ac:dyDescent="0.3">
      <c r="A196" s="9"/>
      <c r="B196" s="9"/>
      <c r="C196" s="9"/>
      <c r="D196" s="9"/>
      <c r="E196" s="9"/>
      <c r="F196" s="10"/>
      <c r="G196" s="9"/>
      <c r="H196" s="9"/>
      <c r="I196" s="10"/>
    </row>
    <row r="197" spans="1:9" ht="13.8" x14ac:dyDescent="0.3">
      <c r="A197" s="9"/>
      <c r="B197" s="9"/>
      <c r="C197" s="9"/>
      <c r="D197" s="9"/>
      <c r="E197" s="9"/>
      <c r="F197" s="10"/>
      <c r="G197" s="9"/>
      <c r="H197" s="9"/>
      <c r="I197" s="10"/>
    </row>
    <row r="198" spans="1:9" ht="13.8" x14ac:dyDescent="0.3">
      <c r="A198" s="9"/>
      <c r="B198" s="9"/>
      <c r="C198" s="9"/>
      <c r="D198" s="9"/>
      <c r="E198" s="9"/>
      <c r="F198" s="10"/>
      <c r="G198" s="9"/>
      <c r="H198" s="9"/>
      <c r="I198" s="10"/>
    </row>
    <row r="199" spans="1:9" ht="13.8" x14ac:dyDescent="0.3">
      <c r="A199" s="9"/>
      <c r="B199" s="9"/>
      <c r="C199" s="9"/>
      <c r="D199" s="9"/>
      <c r="E199" s="9"/>
      <c r="F199" s="10"/>
      <c r="G199" s="9"/>
      <c r="H199" s="9"/>
      <c r="I199" s="10"/>
    </row>
    <row r="200" spans="1:9" ht="13.8" x14ac:dyDescent="0.3">
      <c r="A200" s="9"/>
      <c r="B200" s="9"/>
      <c r="C200" s="9"/>
      <c r="D200" s="9"/>
      <c r="E200" s="9"/>
      <c r="F200" s="10"/>
      <c r="G200" s="9"/>
      <c r="H200" s="9"/>
      <c r="I200" s="10"/>
    </row>
    <row r="201" spans="1:9" ht="13.8" x14ac:dyDescent="0.3">
      <c r="A201" s="9"/>
      <c r="B201" s="9"/>
      <c r="C201" s="9"/>
      <c r="D201" s="9"/>
      <c r="E201" s="9"/>
      <c r="F201" s="10"/>
      <c r="G201" s="9"/>
      <c r="H201" s="9"/>
      <c r="I201" s="10"/>
    </row>
    <row r="202" spans="1:9" ht="13.8" x14ac:dyDescent="0.3">
      <c r="A202" s="9"/>
      <c r="B202" s="9"/>
      <c r="C202" s="9"/>
      <c r="D202" s="9"/>
      <c r="E202" s="9"/>
      <c r="F202" s="10"/>
      <c r="G202" s="9"/>
      <c r="H202" s="9"/>
      <c r="I202" s="10"/>
    </row>
    <row r="203" spans="1:9" ht="13.8" x14ac:dyDescent="0.3">
      <c r="A203" s="9"/>
      <c r="B203" s="9"/>
      <c r="C203" s="9"/>
      <c r="D203" s="9"/>
      <c r="E203" s="9"/>
      <c r="F203" s="10"/>
      <c r="G203" s="9"/>
      <c r="H203" s="9"/>
      <c r="I203" s="10"/>
    </row>
    <row r="204" spans="1:9" ht="13.8" x14ac:dyDescent="0.3">
      <c r="A204" s="9"/>
      <c r="B204" s="9"/>
      <c r="C204" s="9"/>
      <c r="D204" s="9"/>
      <c r="E204" s="9"/>
      <c r="F204" s="10"/>
      <c r="G204" s="9"/>
      <c r="H204" s="9"/>
      <c r="I204" s="10"/>
    </row>
    <row r="205" spans="1:9" ht="13.8" x14ac:dyDescent="0.3">
      <c r="A205" s="9"/>
      <c r="B205" s="9"/>
      <c r="C205" s="9"/>
      <c r="D205" s="9"/>
      <c r="E205" s="9"/>
      <c r="F205" s="10"/>
      <c r="G205" s="9"/>
      <c r="H205" s="9"/>
      <c r="I205" s="10"/>
    </row>
    <row r="206" spans="1:9" ht="13.8" x14ac:dyDescent="0.3">
      <c r="A206" s="9"/>
      <c r="B206" s="9"/>
      <c r="C206" s="9"/>
      <c r="D206" s="9"/>
      <c r="E206" s="9"/>
      <c r="F206" s="10"/>
      <c r="G206" s="9"/>
      <c r="H206" s="9"/>
      <c r="I206" s="10"/>
    </row>
    <row r="207" spans="1:9" ht="13.8" x14ac:dyDescent="0.3">
      <c r="A207" s="9"/>
      <c r="B207" s="9"/>
      <c r="C207" s="9"/>
      <c r="D207" s="9"/>
      <c r="E207" s="9"/>
      <c r="F207" s="10"/>
      <c r="G207" s="9"/>
      <c r="H207" s="9"/>
      <c r="I207" s="10"/>
    </row>
    <row r="208" spans="1:9" ht="13.8" x14ac:dyDescent="0.3">
      <c r="A208" s="9"/>
      <c r="B208" s="9"/>
      <c r="C208" s="9"/>
      <c r="D208" s="9"/>
      <c r="E208" s="9"/>
      <c r="F208" s="10"/>
      <c r="G208" s="9"/>
      <c r="H208" s="9"/>
      <c r="I208" s="10"/>
    </row>
    <row r="209" spans="1:9" ht="13.8" x14ac:dyDescent="0.3">
      <c r="A209" s="9"/>
      <c r="B209" s="9"/>
      <c r="C209" s="9"/>
      <c r="D209" s="9"/>
      <c r="E209" s="9"/>
      <c r="F209" s="10"/>
      <c r="G209" s="9"/>
      <c r="H209" s="9"/>
      <c r="I209" s="10"/>
    </row>
    <row r="210" spans="1:9" ht="13.8" x14ac:dyDescent="0.3">
      <c r="A210" s="9"/>
      <c r="B210" s="9"/>
      <c r="C210" s="9"/>
      <c r="D210" s="9"/>
      <c r="E210" s="9"/>
      <c r="F210" s="10"/>
      <c r="G210" s="9"/>
      <c r="H210" s="9"/>
      <c r="I210" s="10"/>
    </row>
    <row r="211" spans="1:9" ht="13.8" x14ac:dyDescent="0.3">
      <c r="A211" s="9"/>
      <c r="B211" s="9"/>
      <c r="C211" s="9"/>
      <c r="D211" s="9"/>
      <c r="E211" s="9"/>
      <c r="F211" s="10"/>
      <c r="G211" s="9"/>
      <c r="H211" s="9"/>
      <c r="I211" s="10"/>
    </row>
    <row r="212" spans="1:9" ht="13.8" x14ac:dyDescent="0.3">
      <c r="A212" s="9"/>
      <c r="B212" s="9"/>
      <c r="C212" s="9"/>
      <c r="D212" s="9"/>
      <c r="E212" s="9"/>
      <c r="F212" s="10"/>
      <c r="G212" s="9"/>
      <c r="H212" s="9"/>
      <c r="I212" s="10"/>
    </row>
    <row r="213" spans="1:9" ht="13.8" x14ac:dyDescent="0.3">
      <c r="A213" s="9"/>
      <c r="B213" s="9"/>
      <c r="C213" s="9"/>
      <c r="D213" s="9"/>
      <c r="E213" s="9"/>
      <c r="F213" s="10"/>
      <c r="G213" s="9"/>
      <c r="H213" s="9"/>
      <c r="I213" s="10"/>
    </row>
    <row r="214" spans="1:9" ht="13.8" x14ac:dyDescent="0.3">
      <c r="A214" s="9"/>
      <c r="B214" s="9"/>
      <c r="C214" s="9"/>
      <c r="D214" s="9"/>
      <c r="E214" s="9"/>
      <c r="F214" s="10"/>
      <c r="G214" s="9"/>
      <c r="H214" s="9"/>
      <c r="I214" s="10"/>
    </row>
    <row r="215" spans="1:9" ht="13.8" x14ac:dyDescent="0.3">
      <c r="A215" s="9"/>
      <c r="B215" s="9"/>
      <c r="C215" s="9"/>
      <c r="D215" s="9"/>
      <c r="E215" s="9"/>
      <c r="F215" s="10"/>
      <c r="G215" s="9"/>
      <c r="H215" s="9"/>
      <c r="I215" s="10"/>
    </row>
    <row r="216" spans="1:9" ht="13.8" x14ac:dyDescent="0.3">
      <c r="A216" s="9"/>
      <c r="B216" s="9"/>
      <c r="C216" s="9"/>
      <c r="D216" s="9"/>
      <c r="E216" s="9"/>
      <c r="F216" s="10"/>
      <c r="G216" s="9"/>
      <c r="H216" s="9"/>
      <c r="I216" s="10"/>
    </row>
    <row r="217" spans="1:9" ht="13.8" x14ac:dyDescent="0.3">
      <c r="A217" s="9"/>
      <c r="B217" s="9"/>
      <c r="C217" s="9"/>
      <c r="D217" s="9"/>
      <c r="E217" s="9"/>
      <c r="F217" s="10"/>
      <c r="G217" s="9"/>
      <c r="H217" s="9"/>
      <c r="I217" s="10"/>
    </row>
    <row r="218" spans="1:9" ht="13.8" x14ac:dyDescent="0.3">
      <c r="A218" s="9"/>
      <c r="B218" s="9"/>
      <c r="C218" s="9"/>
      <c r="D218" s="9"/>
      <c r="E218" s="9"/>
      <c r="F218" s="10"/>
      <c r="G218" s="9"/>
      <c r="H218" s="9"/>
      <c r="I218" s="10"/>
    </row>
    <row r="219" spans="1:9" ht="13.8" x14ac:dyDescent="0.3">
      <c r="A219" s="9"/>
      <c r="B219" s="9"/>
      <c r="C219" s="9"/>
      <c r="D219" s="9"/>
      <c r="E219" s="9"/>
      <c r="F219" s="10"/>
      <c r="G219" s="9"/>
      <c r="H219" s="9"/>
      <c r="I219" s="10"/>
    </row>
    <row r="220" spans="1:9" ht="13.8" x14ac:dyDescent="0.3">
      <c r="A220" s="9"/>
      <c r="B220" s="9"/>
      <c r="C220" s="9"/>
      <c r="D220" s="9"/>
      <c r="E220" s="9"/>
      <c r="F220" s="10"/>
      <c r="G220" s="9"/>
      <c r="H220" s="9"/>
      <c r="I220" s="10"/>
    </row>
    <row r="221" spans="1:9" ht="13.8" x14ac:dyDescent="0.3">
      <c r="A221" s="9"/>
      <c r="B221" s="9"/>
      <c r="C221" s="9"/>
      <c r="D221" s="9"/>
      <c r="E221" s="9"/>
      <c r="F221" s="10"/>
      <c r="G221" s="9"/>
      <c r="H221" s="9"/>
      <c r="I221" s="10"/>
    </row>
    <row r="222" spans="1:9" ht="13.8" x14ac:dyDescent="0.3">
      <c r="A222" s="9"/>
      <c r="B222" s="9"/>
      <c r="C222" s="9"/>
      <c r="D222" s="9"/>
      <c r="E222" s="9"/>
      <c r="F222" s="10"/>
      <c r="G222" s="9"/>
      <c r="H222" s="9"/>
      <c r="I222" s="10"/>
    </row>
    <row r="223" spans="1:9" ht="13.8" x14ac:dyDescent="0.3">
      <c r="A223" s="9"/>
      <c r="B223" s="9"/>
      <c r="C223" s="9"/>
      <c r="D223" s="9"/>
      <c r="E223" s="9"/>
      <c r="F223" s="10"/>
      <c r="G223" s="9"/>
      <c r="H223" s="9"/>
      <c r="I223" s="10"/>
    </row>
    <row r="224" spans="1:9" ht="13.8" x14ac:dyDescent="0.3">
      <c r="A224" s="9"/>
      <c r="B224" s="9"/>
      <c r="C224" s="9"/>
      <c r="D224" s="9"/>
      <c r="E224" s="9"/>
      <c r="F224" s="10"/>
      <c r="G224" s="9"/>
      <c r="H224" s="9"/>
      <c r="I224" s="10"/>
    </row>
    <row r="225" spans="1:9" ht="13.8" x14ac:dyDescent="0.3">
      <c r="A225" s="9"/>
      <c r="B225" s="9"/>
      <c r="C225" s="9"/>
      <c r="D225" s="9"/>
      <c r="E225" s="9"/>
      <c r="F225" s="10"/>
      <c r="G225" s="9"/>
      <c r="H225" s="9"/>
      <c r="I225" s="10"/>
    </row>
    <row r="226" spans="1:9" ht="13.8" x14ac:dyDescent="0.3">
      <c r="A226" s="9"/>
      <c r="B226" s="9"/>
      <c r="C226" s="9"/>
      <c r="D226" s="9"/>
      <c r="E226" s="9"/>
      <c r="F226" s="10"/>
      <c r="G226" s="9"/>
      <c r="H226" s="9"/>
      <c r="I226" s="10"/>
    </row>
    <row r="227" spans="1:9" ht="13.8" x14ac:dyDescent="0.3">
      <c r="A227" s="9"/>
      <c r="B227" s="9"/>
      <c r="C227" s="9"/>
      <c r="D227" s="9"/>
      <c r="E227" s="9"/>
      <c r="F227" s="10"/>
      <c r="G227" s="9"/>
      <c r="H227" s="9"/>
      <c r="I227" s="10"/>
    </row>
    <row r="228" spans="1:9" ht="13.8" x14ac:dyDescent="0.3">
      <c r="A228" s="9"/>
      <c r="B228" s="9"/>
      <c r="C228" s="9"/>
      <c r="D228" s="9"/>
      <c r="E228" s="9"/>
      <c r="F228" s="10"/>
      <c r="G228" s="9"/>
      <c r="H228" s="9"/>
      <c r="I228" s="10"/>
    </row>
    <row r="229" spans="1:9" ht="13.8" x14ac:dyDescent="0.3">
      <c r="A229" s="9"/>
      <c r="B229" s="9"/>
      <c r="C229" s="9"/>
      <c r="D229" s="9"/>
      <c r="E229" s="9"/>
      <c r="F229" s="10"/>
      <c r="G229" s="9"/>
      <c r="H229" s="9"/>
      <c r="I229" s="10"/>
    </row>
    <row r="230" spans="1:9" ht="13.8" x14ac:dyDescent="0.3">
      <c r="A230" s="9"/>
      <c r="B230" s="9"/>
      <c r="C230" s="9"/>
      <c r="D230" s="9"/>
      <c r="E230" s="9"/>
      <c r="F230" s="10"/>
      <c r="G230" s="9"/>
      <c r="H230" s="9"/>
      <c r="I230" s="10"/>
    </row>
    <row r="231" spans="1:9" ht="13.8" x14ac:dyDescent="0.3">
      <c r="A231" s="9"/>
      <c r="B231" s="9"/>
      <c r="C231" s="9"/>
      <c r="D231" s="9"/>
      <c r="E231" s="9"/>
      <c r="F231" s="10"/>
      <c r="G231" s="9"/>
      <c r="H231" s="9"/>
      <c r="I231" s="10"/>
    </row>
    <row r="232" spans="1:9" ht="13.8" x14ac:dyDescent="0.3">
      <c r="A232" s="9"/>
      <c r="B232" s="9"/>
      <c r="C232" s="9"/>
      <c r="D232" s="9"/>
      <c r="E232" s="9"/>
      <c r="F232" s="10"/>
      <c r="G232" s="9"/>
      <c r="H232" s="9"/>
      <c r="I232" s="10"/>
    </row>
    <row r="233" spans="1:9" ht="13.8" x14ac:dyDescent="0.3">
      <c r="A233" s="9"/>
      <c r="B233" s="9"/>
      <c r="C233" s="9"/>
      <c r="D233" s="9"/>
      <c r="E233" s="9"/>
      <c r="F233" s="10"/>
      <c r="G233" s="9"/>
      <c r="H233" s="9"/>
      <c r="I233" s="10"/>
    </row>
    <row r="234" spans="1:9" ht="13.8" x14ac:dyDescent="0.3">
      <c r="A234" s="9"/>
      <c r="B234" s="9"/>
      <c r="C234" s="9"/>
      <c r="D234" s="9"/>
      <c r="E234" s="9"/>
      <c r="F234" s="10"/>
      <c r="G234" s="9"/>
      <c r="H234" s="9"/>
      <c r="I234" s="10"/>
    </row>
    <row r="235" spans="1:9" ht="13.8" x14ac:dyDescent="0.3">
      <c r="A235" s="9"/>
      <c r="B235" s="9"/>
      <c r="C235" s="9"/>
      <c r="D235" s="9"/>
      <c r="E235" s="9"/>
      <c r="F235" s="10"/>
      <c r="G235" s="9"/>
      <c r="H235" s="9"/>
      <c r="I235" s="10"/>
    </row>
    <row r="236" spans="1:9" ht="13.8" x14ac:dyDescent="0.3">
      <c r="A236" s="9"/>
      <c r="B236" s="9"/>
      <c r="C236" s="9"/>
      <c r="D236" s="9"/>
      <c r="E236" s="9"/>
      <c r="F236" s="10"/>
      <c r="G236" s="9"/>
      <c r="H236" s="9"/>
      <c r="I236" s="10"/>
    </row>
    <row r="237" spans="1:9" ht="13.8" x14ac:dyDescent="0.3">
      <c r="A237" s="9"/>
      <c r="B237" s="9"/>
      <c r="C237" s="9"/>
      <c r="D237" s="9"/>
      <c r="E237" s="9"/>
      <c r="F237" s="10"/>
      <c r="G237" s="9"/>
      <c r="H237" s="9"/>
      <c r="I237" s="10"/>
    </row>
    <row r="238" spans="1:9" ht="13.8" x14ac:dyDescent="0.3">
      <c r="A238" s="9"/>
      <c r="B238" s="9"/>
      <c r="C238" s="9"/>
      <c r="D238" s="9"/>
      <c r="E238" s="9"/>
      <c r="F238" s="10"/>
      <c r="G238" s="9"/>
      <c r="H238" s="9"/>
      <c r="I238" s="10"/>
    </row>
    <row r="239" spans="1:9" ht="13.8" x14ac:dyDescent="0.3">
      <c r="A239" s="9"/>
      <c r="B239" s="9"/>
      <c r="C239" s="9"/>
      <c r="D239" s="9"/>
      <c r="E239" s="9"/>
      <c r="F239" s="10"/>
      <c r="G239" s="9"/>
      <c r="H239" s="9"/>
      <c r="I239" s="10"/>
    </row>
    <row r="240" spans="1:9" ht="13.8" x14ac:dyDescent="0.3">
      <c r="A240" s="9"/>
      <c r="B240" s="9"/>
      <c r="C240" s="9"/>
      <c r="D240" s="9"/>
      <c r="E240" s="9"/>
      <c r="F240" s="10"/>
      <c r="G240" s="9"/>
      <c r="H240" s="9"/>
      <c r="I240" s="10"/>
    </row>
    <row r="241" spans="1:9" ht="13.8" x14ac:dyDescent="0.3">
      <c r="A241" s="9"/>
      <c r="B241" s="9"/>
      <c r="C241" s="9"/>
      <c r="D241" s="9"/>
      <c r="E241" s="9"/>
      <c r="F241" s="10"/>
      <c r="G241" s="9"/>
      <c r="H241" s="9"/>
      <c r="I241" s="10"/>
    </row>
    <row r="242" spans="1:9" ht="13.8" x14ac:dyDescent="0.3">
      <c r="A242" s="9"/>
      <c r="B242" s="9"/>
      <c r="C242" s="9"/>
      <c r="D242" s="9"/>
      <c r="E242" s="9"/>
      <c r="F242" s="10"/>
      <c r="G242" s="9"/>
      <c r="H242" s="9"/>
      <c r="I242" s="10"/>
    </row>
    <row r="243" spans="1:9" ht="13.8" x14ac:dyDescent="0.3">
      <c r="A243" s="9"/>
      <c r="B243" s="9"/>
      <c r="C243" s="9"/>
      <c r="D243" s="9"/>
      <c r="E243" s="9"/>
      <c r="F243" s="10"/>
      <c r="G243" s="9"/>
      <c r="H243" s="9"/>
      <c r="I243" s="10"/>
    </row>
    <row r="244" spans="1:9" ht="13.8" x14ac:dyDescent="0.3">
      <c r="A244" s="9"/>
      <c r="B244" s="9"/>
      <c r="C244" s="9"/>
      <c r="D244" s="9"/>
      <c r="E244" s="9"/>
      <c r="F244" s="10"/>
      <c r="G244" s="9"/>
      <c r="H244" s="9"/>
      <c r="I244" s="10"/>
    </row>
    <row r="245" spans="1:9" ht="13.8" x14ac:dyDescent="0.3">
      <c r="A245" s="9"/>
      <c r="B245" s="9"/>
      <c r="C245" s="9"/>
      <c r="D245" s="9"/>
      <c r="E245" s="9"/>
      <c r="F245" s="10"/>
      <c r="G245" s="9"/>
      <c r="H245" s="9"/>
      <c r="I245" s="10"/>
    </row>
    <row r="246" spans="1:9" ht="13.8" x14ac:dyDescent="0.3">
      <c r="A246" s="9"/>
      <c r="B246" s="9"/>
      <c r="C246" s="9"/>
      <c r="D246" s="9"/>
      <c r="E246" s="9"/>
      <c r="F246" s="10"/>
      <c r="G246" s="9"/>
      <c r="H246" s="9"/>
      <c r="I246" s="10"/>
    </row>
    <row r="247" spans="1:9" ht="13.8" x14ac:dyDescent="0.3">
      <c r="A247" s="9"/>
      <c r="B247" s="9"/>
      <c r="C247" s="9"/>
      <c r="D247" s="9"/>
      <c r="E247" s="9"/>
      <c r="F247" s="10"/>
      <c r="G247" s="9"/>
      <c r="H247" s="9"/>
      <c r="I247" s="10"/>
    </row>
    <row r="248" spans="1:9" ht="13.8" x14ac:dyDescent="0.3">
      <c r="A248" s="9"/>
      <c r="B248" s="9"/>
      <c r="C248" s="9"/>
      <c r="D248" s="9"/>
      <c r="E248" s="9"/>
      <c r="F248" s="10"/>
      <c r="G248" s="9"/>
      <c r="H248" s="9"/>
      <c r="I248" s="10"/>
    </row>
    <row r="249" spans="1:9" ht="13.8" x14ac:dyDescent="0.3">
      <c r="A249" s="9"/>
      <c r="B249" s="9"/>
      <c r="C249" s="9"/>
      <c r="D249" s="9"/>
      <c r="E249" s="9"/>
      <c r="F249" s="10"/>
      <c r="G249" s="9"/>
      <c r="H249" s="9"/>
      <c r="I249" s="10"/>
    </row>
    <row r="250" spans="1:9" ht="13.8" x14ac:dyDescent="0.3">
      <c r="A250" s="9"/>
      <c r="B250" s="9"/>
      <c r="C250" s="9"/>
      <c r="D250" s="9"/>
      <c r="E250" s="9"/>
      <c r="F250" s="10"/>
      <c r="G250" s="9"/>
      <c r="H250" s="9"/>
      <c r="I250" s="10"/>
    </row>
    <row r="251" spans="1:9" ht="13.8" x14ac:dyDescent="0.3">
      <c r="A251" s="9"/>
      <c r="B251" s="9"/>
      <c r="C251" s="9"/>
      <c r="D251" s="9"/>
      <c r="E251" s="9"/>
      <c r="F251" s="10"/>
      <c r="G251" s="9"/>
      <c r="H251" s="9"/>
      <c r="I251" s="10"/>
    </row>
    <row r="252" spans="1:9" ht="13.8" x14ac:dyDescent="0.3">
      <c r="A252" s="9"/>
      <c r="B252" s="9"/>
      <c r="C252" s="9"/>
      <c r="D252" s="9"/>
      <c r="E252" s="9"/>
      <c r="F252" s="10"/>
      <c r="G252" s="9"/>
      <c r="H252" s="9"/>
      <c r="I252" s="10"/>
    </row>
    <row r="253" spans="1:9" ht="13.8" x14ac:dyDescent="0.3">
      <c r="A253" s="9"/>
      <c r="B253" s="9"/>
      <c r="C253" s="9"/>
      <c r="D253" s="9"/>
      <c r="E253" s="9"/>
      <c r="F253" s="10"/>
      <c r="G253" s="9"/>
      <c r="H253" s="9"/>
      <c r="I253" s="10"/>
    </row>
    <row r="254" spans="1:9" ht="13.8" x14ac:dyDescent="0.3">
      <c r="A254" s="9"/>
      <c r="B254" s="9"/>
      <c r="C254" s="9"/>
      <c r="D254" s="9"/>
      <c r="E254" s="9"/>
      <c r="F254" s="10"/>
      <c r="G254" s="9"/>
      <c r="H254" s="9"/>
      <c r="I254" s="10"/>
    </row>
    <row r="255" spans="1:9" ht="13.8" x14ac:dyDescent="0.3">
      <c r="A255" s="9"/>
      <c r="B255" s="9"/>
      <c r="C255" s="9"/>
      <c r="D255" s="9"/>
      <c r="E255" s="9"/>
      <c r="F255" s="10"/>
      <c r="G255" s="9"/>
      <c r="H255" s="9"/>
      <c r="I255" s="10"/>
    </row>
    <row r="256" spans="1:9" ht="13.8" x14ac:dyDescent="0.3">
      <c r="A256" s="9"/>
      <c r="B256" s="9"/>
      <c r="C256" s="9"/>
      <c r="D256" s="9"/>
      <c r="E256" s="9"/>
      <c r="F256" s="10"/>
      <c r="G256" s="9"/>
      <c r="H256" s="9"/>
      <c r="I256" s="10"/>
    </row>
    <row r="257" spans="1:9" ht="13.8" x14ac:dyDescent="0.3">
      <c r="A257" s="9"/>
      <c r="B257" s="9"/>
      <c r="C257" s="9"/>
      <c r="D257" s="9"/>
      <c r="E257" s="9"/>
      <c r="F257" s="10"/>
      <c r="G257" s="9"/>
      <c r="H257" s="9"/>
      <c r="I257" s="10"/>
    </row>
    <row r="258" spans="1:9" ht="13.8" x14ac:dyDescent="0.3">
      <c r="A258" s="9"/>
      <c r="B258" s="9"/>
      <c r="C258" s="9"/>
      <c r="D258" s="9"/>
      <c r="E258" s="9"/>
      <c r="F258" s="10"/>
      <c r="G258" s="9"/>
      <c r="H258" s="9"/>
      <c r="I258" s="10"/>
    </row>
    <row r="259" spans="1:9" ht="13.8" x14ac:dyDescent="0.3">
      <c r="A259" s="9"/>
      <c r="B259" s="9"/>
      <c r="C259" s="9"/>
      <c r="D259" s="9"/>
      <c r="E259" s="9"/>
      <c r="F259" s="10"/>
      <c r="G259" s="9"/>
      <c r="H259" s="9"/>
      <c r="I259" s="10"/>
    </row>
    <row r="260" spans="1:9" ht="13.8" x14ac:dyDescent="0.3">
      <c r="A260" s="9"/>
      <c r="B260" s="9"/>
      <c r="C260" s="9"/>
      <c r="D260" s="9"/>
      <c r="E260" s="9"/>
      <c r="F260" s="10"/>
      <c r="G260" s="9"/>
      <c r="H260" s="9"/>
      <c r="I260" s="10"/>
    </row>
    <row r="261" spans="1:9" ht="13.8" x14ac:dyDescent="0.3">
      <c r="A261" s="9"/>
      <c r="B261" s="9"/>
      <c r="C261" s="9"/>
      <c r="D261" s="9"/>
      <c r="E261" s="9"/>
      <c r="F261" s="10"/>
      <c r="G261" s="9"/>
      <c r="H261" s="9"/>
      <c r="I261" s="10"/>
    </row>
    <row r="262" spans="1:9" ht="13.8" x14ac:dyDescent="0.3">
      <c r="A262" s="9"/>
      <c r="B262" s="9"/>
      <c r="C262" s="9"/>
      <c r="D262" s="9"/>
      <c r="E262" s="9"/>
      <c r="F262" s="10"/>
      <c r="G262" s="9"/>
      <c r="H262" s="9"/>
      <c r="I262" s="10"/>
    </row>
    <row r="263" spans="1:9" ht="13.8" x14ac:dyDescent="0.3">
      <c r="A263" s="9"/>
      <c r="B263" s="9"/>
      <c r="C263" s="9"/>
      <c r="D263" s="9"/>
      <c r="E263" s="9"/>
      <c r="F263" s="10"/>
      <c r="G263" s="9"/>
      <c r="H263" s="9"/>
      <c r="I263" s="10"/>
    </row>
    <row r="264" spans="1:9" ht="13.8" x14ac:dyDescent="0.3">
      <c r="A264" s="9"/>
      <c r="B264" s="9"/>
      <c r="C264" s="9"/>
      <c r="D264" s="9"/>
      <c r="E264" s="9"/>
      <c r="F264" s="10"/>
      <c r="G264" s="9"/>
      <c r="H264" s="9"/>
      <c r="I264" s="10"/>
    </row>
    <row r="265" spans="1:9" ht="13.8" x14ac:dyDescent="0.3">
      <c r="A265" s="9"/>
      <c r="B265" s="9"/>
      <c r="C265" s="9"/>
      <c r="D265" s="9"/>
      <c r="E265" s="9"/>
      <c r="F265" s="10"/>
      <c r="G265" s="9"/>
      <c r="H265" s="9"/>
      <c r="I265" s="10"/>
    </row>
    <row r="266" spans="1:9" ht="13.8" x14ac:dyDescent="0.3">
      <c r="A266" s="9"/>
      <c r="B266" s="9"/>
      <c r="C266" s="9"/>
      <c r="D266" s="9"/>
      <c r="E266" s="9"/>
      <c r="F266" s="10"/>
      <c r="G266" s="9"/>
      <c r="H266" s="9"/>
      <c r="I266" s="10"/>
    </row>
    <row r="267" spans="1:9" ht="13.8" x14ac:dyDescent="0.3">
      <c r="A267" s="9"/>
      <c r="B267" s="9"/>
      <c r="C267" s="9"/>
      <c r="D267" s="9"/>
      <c r="E267" s="9"/>
      <c r="F267" s="10"/>
      <c r="G267" s="9"/>
      <c r="H267" s="9"/>
      <c r="I267" s="10"/>
    </row>
    <row r="268" spans="1:9" ht="13.8" x14ac:dyDescent="0.3">
      <c r="A268" s="9"/>
      <c r="B268" s="9"/>
      <c r="C268" s="9"/>
      <c r="D268" s="9"/>
      <c r="E268" s="9"/>
      <c r="F268" s="10"/>
      <c r="G268" s="9"/>
      <c r="H268" s="9"/>
      <c r="I268" s="10"/>
    </row>
    <row r="269" spans="1:9" ht="13.8" x14ac:dyDescent="0.3">
      <c r="A269" s="9"/>
      <c r="B269" s="9"/>
      <c r="C269" s="9"/>
      <c r="D269" s="9"/>
      <c r="E269" s="9"/>
      <c r="F269" s="10"/>
      <c r="G269" s="9"/>
      <c r="H269" s="9"/>
      <c r="I269" s="10"/>
    </row>
    <row r="270" spans="1:9" ht="13.8" x14ac:dyDescent="0.3">
      <c r="A270" s="9"/>
      <c r="B270" s="9"/>
      <c r="C270" s="9"/>
      <c r="D270" s="9"/>
      <c r="E270" s="9"/>
      <c r="F270" s="10"/>
      <c r="G270" s="9"/>
      <c r="H270" s="9"/>
      <c r="I270" s="10"/>
    </row>
    <row r="271" spans="1:9" ht="13.8" x14ac:dyDescent="0.3">
      <c r="A271" s="9"/>
      <c r="B271" s="9"/>
      <c r="C271" s="9"/>
      <c r="D271" s="9"/>
      <c r="E271" s="9"/>
      <c r="F271" s="10"/>
      <c r="G271" s="9"/>
      <c r="H271" s="9"/>
      <c r="I271" s="10"/>
    </row>
    <row r="272" spans="1:9" ht="13.8" x14ac:dyDescent="0.3">
      <c r="A272" s="9"/>
      <c r="B272" s="9"/>
      <c r="C272" s="9"/>
      <c r="D272" s="9"/>
      <c r="E272" s="9"/>
      <c r="F272" s="10"/>
      <c r="G272" s="9"/>
      <c r="H272" s="9"/>
      <c r="I272" s="10"/>
    </row>
    <row r="273" spans="1:9" ht="13.8" x14ac:dyDescent="0.3">
      <c r="A273" s="9"/>
      <c r="B273" s="9"/>
      <c r="C273" s="9"/>
      <c r="D273" s="9"/>
      <c r="E273" s="9"/>
      <c r="F273" s="10"/>
      <c r="G273" s="9"/>
      <c r="H273" s="9"/>
      <c r="I273" s="10"/>
    </row>
    <row r="274" spans="1:9" ht="13.8" x14ac:dyDescent="0.3">
      <c r="A274" s="9"/>
      <c r="B274" s="9"/>
      <c r="C274" s="9"/>
      <c r="D274" s="9"/>
      <c r="E274" s="9"/>
      <c r="F274" s="10"/>
      <c r="G274" s="9"/>
      <c r="H274" s="9"/>
      <c r="I274" s="10"/>
    </row>
    <row r="275" spans="1:9" ht="13.8" x14ac:dyDescent="0.3">
      <c r="A275" s="9"/>
      <c r="B275" s="9"/>
      <c r="C275" s="9"/>
      <c r="D275" s="9"/>
      <c r="E275" s="9"/>
      <c r="F275" s="10"/>
      <c r="G275" s="9"/>
      <c r="H275" s="9"/>
      <c r="I275" s="10"/>
    </row>
    <row r="276" spans="1:9" ht="13.8" x14ac:dyDescent="0.3">
      <c r="A276" s="9"/>
      <c r="B276" s="9"/>
      <c r="C276" s="9"/>
      <c r="D276" s="9"/>
      <c r="E276" s="9"/>
      <c r="F276" s="10"/>
      <c r="G276" s="9"/>
      <c r="H276" s="9"/>
      <c r="I276" s="10"/>
    </row>
    <row r="277" spans="1:9" ht="13.8" x14ac:dyDescent="0.3">
      <c r="A277" s="9"/>
      <c r="B277" s="9"/>
      <c r="C277" s="9"/>
      <c r="D277" s="9"/>
      <c r="E277" s="9"/>
      <c r="F277" s="10"/>
      <c r="G277" s="9"/>
      <c r="H277" s="9"/>
      <c r="I277" s="10"/>
    </row>
    <row r="278" spans="1:9" ht="13.8" x14ac:dyDescent="0.3">
      <c r="A278" s="9"/>
      <c r="B278" s="9"/>
      <c r="C278" s="9"/>
      <c r="D278" s="9"/>
      <c r="E278" s="9"/>
      <c r="F278" s="10"/>
      <c r="G278" s="9"/>
      <c r="H278" s="9"/>
      <c r="I278" s="10"/>
    </row>
    <row r="279" spans="1:9" ht="13.8" x14ac:dyDescent="0.3">
      <c r="A279" s="9"/>
      <c r="B279" s="9"/>
      <c r="C279" s="9"/>
      <c r="D279" s="9"/>
      <c r="E279" s="9"/>
      <c r="F279" s="10"/>
      <c r="G279" s="9"/>
      <c r="H279" s="9"/>
      <c r="I279" s="10"/>
    </row>
    <row r="280" spans="1:9" ht="13.8" x14ac:dyDescent="0.3">
      <c r="A280" s="9"/>
      <c r="B280" s="9"/>
      <c r="C280" s="9"/>
      <c r="D280" s="9"/>
      <c r="E280" s="9"/>
      <c r="F280" s="10"/>
      <c r="G280" s="9"/>
      <c r="H280" s="9"/>
      <c r="I280" s="10"/>
    </row>
    <row r="281" spans="1:9" ht="13.8" x14ac:dyDescent="0.3">
      <c r="A281" s="9"/>
      <c r="B281" s="9"/>
      <c r="C281" s="9"/>
      <c r="D281" s="9"/>
      <c r="E281" s="9"/>
      <c r="F281" s="10"/>
      <c r="G281" s="9"/>
      <c r="H281" s="9"/>
      <c r="I281" s="10"/>
    </row>
    <row r="282" spans="1:9" ht="13.8" x14ac:dyDescent="0.3">
      <c r="A282" s="9"/>
      <c r="B282" s="9"/>
      <c r="C282" s="9"/>
      <c r="D282" s="9"/>
      <c r="E282" s="9"/>
      <c r="F282" s="10"/>
      <c r="G282" s="9"/>
      <c r="H282" s="9"/>
      <c r="I282" s="10"/>
    </row>
    <row r="283" spans="1:9" ht="13.8" x14ac:dyDescent="0.3">
      <c r="A283" s="9"/>
      <c r="B283" s="9"/>
      <c r="C283" s="9"/>
      <c r="D283" s="9"/>
      <c r="E283" s="9"/>
      <c r="F283" s="10"/>
      <c r="G283" s="9"/>
      <c r="H283" s="9"/>
      <c r="I283" s="10"/>
    </row>
    <row r="284" spans="1:9" ht="13.8" x14ac:dyDescent="0.3">
      <c r="A284" s="9"/>
      <c r="B284" s="9"/>
      <c r="C284" s="9"/>
      <c r="D284" s="9"/>
      <c r="E284" s="9"/>
      <c r="F284" s="10"/>
      <c r="G284" s="9"/>
      <c r="H284" s="9"/>
      <c r="I284" s="10"/>
    </row>
    <row r="285" spans="1:9" ht="13.8" x14ac:dyDescent="0.3">
      <c r="A285" s="9"/>
      <c r="B285" s="9"/>
      <c r="C285" s="9"/>
      <c r="D285" s="9"/>
      <c r="E285" s="9"/>
      <c r="F285" s="10"/>
      <c r="G285" s="9"/>
      <c r="H285" s="9"/>
      <c r="I285" s="10"/>
    </row>
    <row r="286" spans="1:9" ht="13.8" x14ac:dyDescent="0.3">
      <c r="A286" s="9"/>
      <c r="B286" s="9"/>
      <c r="C286" s="9"/>
      <c r="D286" s="9"/>
      <c r="E286" s="9"/>
      <c r="F286" s="10"/>
      <c r="G286" s="9"/>
      <c r="H286" s="9"/>
      <c r="I286" s="10"/>
    </row>
    <row r="287" spans="1:9" ht="13.8" x14ac:dyDescent="0.3">
      <c r="A287" s="9"/>
      <c r="B287" s="9"/>
      <c r="C287" s="9"/>
      <c r="D287" s="9"/>
      <c r="E287" s="9"/>
      <c r="F287" s="10"/>
      <c r="G287" s="9"/>
      <c r="H287" s="9"/>
      <c r="I287" s="10"/>
    </row>
    <row r="288" spans="1:9" ht="13.8" x14ac:dyDescent="0.3">
      <c r="A288" s="9"/>
      <c r="B288" s="9"/>
      <c r="C288" s="9"/>
      <c r="D288" s="9"/>
      <c r="E288" s="9"/>
      <c r="F288" s="10"/>
      <c r="G288" s="9"/>
      <c r="H288" s="9"/>
      <c r="I288" s="10"/>
    </row>
    <row r="289" spans="1:9" ht="13.8" x14ac:dyDescent="0.3">
      <c r="A289" s="9"/>
      <c r="B289" s="9"/>
      <c r="C289" s="9"/>
      <c r="D289" s="9"/>
      <c r="E289" s="9"/>
      <c r="F289" s="10"/>
      <c r="G289" s="9"/>
      <c r="H289" s="9"/>
      <c r="I289" s="10"/>
    </row>
    <row r="290" spans="1:9" ht="13.8" x14ac:dyDescent="0.3">
      <c r="A290" s="9"/>
      <c r="B290" s="9"/>
      <c r="C290" s="9"/>
      <c r="D290" s="9"/>
      <c r="E290" s="9"/>
      <c r="F290" s="10"/>
      <c r="G290" s="9"/>
      <c r="H290" s="9"/>
      <c r="I290" s="10"/>
    </row>
    <row r="291" spans="1:9" ht="13.8" x14ac:dyDescent="0.3">
      <c r="A291" s="9"/>
      <c r="B291" s="9"/>
      <c r="C291" s="9"/>
      <c r="D291" s="9"/>
      <c r="E291" s="9"/>
      <c r="F291" s="10"/>
      <c r="G291" s="9"/>
      <c r="H291" s="9"/>
      <c r="I291" s="10"/>
    </row>
    <row r="292" spans="1:9" ht="13.8" x14ac:dyDescent="0.3">
      <c r="A292" s="9"/>
      <c r="B292" s="9"/>
      <c r="C292" s="9"/>
      <c r="D292" s="9"/>
      <c r="E292" s="9"/>
      <c r="F292" s="10"/>
      <c r="G292" s="9"/>
      <c r="H292" s="9"/>
      <c r="I292" s="10"/>
    </row>
    <row r="293" spans="1:9" ht="13.8" x14ac:dyDescent="0.3">
      <c r="A293" s="9"/>
      <c r="B293" s="9"/>
      <c r="C293" s="9"/>
      <c r="D293" s="9"/>
      <c r="E293" s="9"/>
      <c r="F293" s="10"/>
      <c r="G293" s="9"/>
      <c r="H293" s="9"/>
      <c r="I293" s="10"/>
    </row>
    <row r="294" spans="1:9" ht="13.8" x14ac:dyDescent="0.3">
      <c r="A294" s="9"/>
      <c r="B294" s="9"/>
      <c r="C294" s="9"/>
      <c r="D294" s="9"/>
      <c r="E294" s="9"/>
      <c r="F294" s="10"/>
      <c r="G294" s="9"/>
      <c r="H294" s="9"/>
      <c r="I294" s="10"/>
    </row>
    <row r="295" spans="1:9" ht="13.8" x14ac:dyDescent="0.3">
      <c r="A295" s="9"/>
      <c r="B295" s="9"/>
      <c r="C295" s="9"/>
      <c r="D295" s="9"/>
      <c r="E295" s="9"/>
      <c r="F295" s="10"/>
      <c r="G295" s="9"/>
      <c r="H295" s="9"/>
      <c r="I295" s="10"/>
    </row>
    <row r="296" spans="1:9" ht="13.8" x14ac:dyDescent="0.3">
      <c r="A296" s="9"/>
      <c r="B296" s="9"/>
      <c r="C296" s="9"/>
      <c r="D296" s="9"/>
      <c r="E296" s="9"/>
      <c r="F296" s="10"/>
      <c r="G296" s="9"/>
      <c r="H296" s="9"/>
      <c r="I296" s="10"/>
    </row>
    <row r="297" spans="1:9" ht="13.8" x14ac:dyDescent="0.3">
      <c r="A297" s="9"/>
      <c r="B297" s="9"/>
      <c r="C297" s="9"/>
      <c r="D297" s="9"/>
      <c r="E297" s="9"/>
      <c r="F297" s="10"/>
      <c r="G297" s="9"/>
      <c r="H297" s="9"/>
      <c r="I297" s="10"/>
    </row>
    <row r="298" spans="1:9" ht="13.8" x14ac:dyDescent="0.3">
      <c r="A298" s="9"/>
      <c r="B298" s="9"/>
      <c r="C298" s="9"/>
      <c r="D298" s="9"/>
      <c r="E298" s="9"/>
      <c r="F298" s="10"/>
      <c r="G298" s="9"/>
      <c r="H298" s="9"/>
      <c r="I298" s="10"/>
    </row>
    <row r="299" spans="1:9" ht="13.8" x14ac:dyDescent="0.3">
      <c r="A299" s="9"/>
      <c r="B299" s="9"/>
      <c r="C299" s="9"/>
      <c r="D299" s="9"/>
      <c r="E299" s="9"/>
      <c r="F299" s="10"/>
      <c r="G299" s="9"/>
      <c r="H299" s="9"/>
      <c r="I299" s="10"/>
    </row>
    <row r="300" spans="1:9" ht="13.8" x14ac:dyDescent="0.3">
      <c r="A300" s="9"/>
      <c r="B300" s="9"/>
      <c r="C300" s="9"/>
      <c r="D300" s="9"/>
      <c r="E300" s="9"/>
      <c r="F300" s="10"/>
      <c r="G300" s="9"/>
      <c r="H300" s="9"/>
      <c r="I300" s="10"/>
    </row>
    <row r="301" spans="1:9" ht="13.8" x14ac:dyDescent="0.3">
      <c r="A301" s="9"/>
      <c r="B301" s="9"/>
      <c r="C301" s="9"/>
      <c r="D301" s="9"/>
      <c r="E301" s="9"/>
      <c r="F301" s="10"/>
      <c r="G301" s="9"/>
      <c r="H301" s="9"/>
      <c r="I301" s="10"/>
    </row>
    <row r="302" spans="1:9" ht="13.8" x14ac:dyDescent="0.3">
      <c r="A302" s="9"/>
      <c r="B302" s="9"/>
      <c r="C302" s="9"/>
      <c r="D302" s="9"/>
      <c r="E302" s="9"/>
      <c r="F302" s="10"/>
      <c r="G302" s="9"/>
      <c r="H302" s="9"/>
      <c r="I302" s="10"/>
    </row>
    <row r="303" spans="1:9" ht="13.8" x14ac:dyDescent="0.3">
      <c r="A303" s="9"/>
      <c r="B303" s="9"/>
      <c r="C303" s="9"/>
      <c r="D303" s="9"/>
      <c r="E303" s="9"/>
      <c r="F303" s="10"/>
      <c r="G303" s="9"/>
      <c r="H303" s="9"/>
      <c r="I303" s="10"/>
    </row>
    <row r="304" spans="1:9" ht="13.8" x14ac:dyDescent="0.3">
      <c r="A304" s="9"/>
      <c r="B304" s="9"/>
      <c r="C304" s="9"/>
      <c r="D304" s="9"/>
      <c r="E304" s="9"/>
      <c r="F304" s="10"/>
      <c r="G304" s="9"/>
      <c r="H304" s="9"/>
      <c r="I304" s="10"/>
    </row>
    <row r="305" spans="1:9" ht="13.8" x14ac:dyDescent="0.3">
      <c r="A305" s="9"/>
      <c r="B305" s="9"/>
      <c r="C305" s="9"/>
      <c r="D305" s="9"/>
      <c r="E305" s="9"/>
      <c r="F305" s="10"/>
      <c r="G305" s="9"/>
      <c r="H305" s="9"/>
      <c r="I305" s="10"/>
    </row>
    <row r="306" spans="1:9" ht="13.8" x14ac:dyDescent="0.3">
      <c r="A306" s="9"/>
      <c r="B306" s="9"/>
      <c r="C306" s="9"/>
      <c r="D306" s="9"/>
      <c r="E306" s="9"/>
      <c r="F306" s="10"/>
      <c r="G306" s="9"/>
      <c r="H306" s="9"/>
      <c r="I306" s="10"/>
    </row>
    <row r="307" spans="1:9" ht="13.8" x14ac:dyDescent="0.3">
      <c r="A307" s="9"/>
      <c r="B307" s="9"/>
      <c r="C307" s="9"/>
      <c r="D307" s="9"/>
      <c r="E307" s="9"/>
      <c r="F307" s="10"/>
      <c r="G307" s="9"/>
      <c r="H307" s="9"/>
      <c r="I307" s="10"/>
    </row>
    <row r="308" spans="1:9" ht="13.8" x14ac:dyDescent="0.3">
      <c r="A308" s="9"/>
      <c r="B308" s="9"/>
      <c r="C308" s="9"/>
      <c r="D308" s="9"/>
      <c r="E308" s="9"/>
      <c r="F308" s="10"/>
      <c r="G308" s="9"/>
      <c r="H308" s="9"/>
      <c r="I308" s="10"/>
    </row>
    <row r="309" spans="1:9" ht="13.8" x14ac:dyDescent="0.3">
      <c r="A309" s="9"/>
      <c r="B309" s="9"/>
      <c r="C309" s="9"/>
      <c r="D309" s="9"/>
      <c r="E309" s="9"/>
      <c r="F309" s="10"/>
      <c r="G309" s="9"/>
      <c r="H309" s="9"/>
      <c r="I309" s="10"/>
    </row>
    <row r="310" spans="1:9" ht="13.8" x14ac:dyDescent="0.3">
      <c r="A310" s="9"/>
      <c r="B310" s="9"/>
      <c r="C310" s="9"/>
      <c r="D310" s="9"/>
      <c r="E310" s="9"/>
      <c r="F310" s="10"/>
      <c r="G310" s="9"/>
      <c r="H310" s="9"/>
      <c r="I310" s="10"/>
    </row>
    <row r="311" spans="1:9" ht="13.8" x14ac:dyDescent="0.3">
      <c r="A311" s="9"/>
      <c r="B311" s="9"/>
      <c r="C311" s="9"/>
      <c r="D311" s="9"/>
      <c r="E311" s="9"/>
      <c r="F311" s="10"/>
      <c r="G311" s="9"/>
      <c r="H311" s="9"/>
      <c r="I311" s="10"/>
    </row>
    <row r="312" spans="1:9" ht="13.8" x14ac:dyDescent="0.3">
      <c r="A312" s="9"/>
      <c r="B312" s="9"/>
      <c r="C312" s="9"/>
      <c r="D312" s="9"/>
      <c r="E312" s="9"/>
      <c r="F312" s="10"/>
      <c r="G312" s="9"/>
      <c r="H312" s="9"/>
      <c r="I312" s="10"/>
    </row>
    <row r="313" spans="1:9" ht="13.8" x14ac:dyDescent="0.3">
      <c r="A313" s="9"/>
      <c r="B313" s="9"/>
      <c r="C313" s="9"/>
      <c r="D313" s="9"/>
      <c r="E313" s="9"/>
      <c r="F313" s="10"/>
      <c r="G313" s="9"/>
      <c r="H313" s="9"/>
      <c r="I313" s="10"/>
    </row>
    <row r="314" spans="1:9" ht="13.8" x14ac:dyDescent="0.3">
      <c r="A314" s="9"/>
      <c r="B314" s="9"/>
      <c r="C314" s="9"/>
      <c r="D314" s="9"/>
      <c r="E314" s="9"/>
      <c r="F314" s="10"/>
      <c r="G314" s="9"/>
      <c r="H314" s="9"/>
      <c r="I314" s="10"/>
    </row>
    <row r="315" spans="1:9" ht="13.8" x14ac:dyDescent="0.3">
      <c r="A315" s="9"/>
      <c r="B315" s="9"/>
      <c r="C315" s="9"/>
      <c r="D315" s="9"/>
      <c r="E315" s="9"/>
      <c r="F315" s="10"/>
      <c r="G315" s="9"/>
      <c r="H315" s="9"/>
      <c r="I315" s="10"/>
    </row>
    <row r="316" spans="1:9" ht="13.8" x14ac:dyDescent="0.3">
      <c r="A316" s="9"/>
      <c r="B316" s="9"/>
      <c r="C316" s="9"/>
      <c r="D316" s="9"/>
      <c r="E316" s="9"/>
      <c r="F316" s="10"/>
      <c r="G316" s="9"/>
      <c r="H316" s="9"/>
      <c r="I316" s="10"/>
    </row>
    <row r="317" spans="1:9" ht="13.8" x14ac:dyDescent="0.3">
      <c r="A317" s="9"/>
      <c r="B317" s="9"/>
      <c r="C317" s="9"/>
      <c r="D317" s="9"/>
      <c r="E317" s="9"/>
      <c r="F317" s="10"/>
      <c r="G317" s="9"/>
      <c r="H317" s="9"/>
      <c r="I317" s="10"/>
    </row>
    <row r="318" spans="1:9" ht="13.8" x14ac:dyDescent="0.3">
      <c r="A318" s="9"/>
      <c r="B318" s="9"/>
      <c r="C318" s="9"/>
      <c r="D318" s="9"/>
      <c r="E318" s="9"/>
      <c r="F318" s="10"/>
      <c r="G318" s="9"/>
      <c r="H318" s="9"/>
      <c r="I318" s="10"/>
    </row>
    <row r="319" spans="1:9" ht="13.8" x14ac:dyDescent="0.3">
      <c r="A319" s="9"/>
      <c r="B319" s="9"/>
      <c r="C319" s="9"/>
      <c r="D319" s="9"/>
      <c r="E319" s="9"/>
      <c r="F319" s="10"/>
      <c r="G319" s="9"/>
      <c r="H319" s="9"/>
      <c r="I319" s="10"/>
    </row>
    <row r="320" spans="1:9" ht="13.8" x14ac:dyDescent="0.3">
      <c r="A320" s="9"/>
      <c r="B320" s="9"/>
      <c r="C320" s="9"/>
      <c r="D320" s="9"/>
      <c r="E320" s="9"/>
      <c r="F320" s="10"/>
      <c r="G320" s="9"/>
      <c r="H320" s="9"/>
      <c r="I320" s="10"/>
    </row>
    <row r="321" spans="1:9" ht="13.8" x14ac:dyDescent="0.3">
      <c r="A321" s="9"/>
      <c r="B321" s="9"/>
      <c r="C321" s="9"/>
      <c r="D321" s="9"/>
      <c r="E321" s="9"/>
      <c r="F321" s="10"/>
      <c r="G321" s="9"/>
      <c r="H321" s="9"/>
      <c r="I321" s="10"/>
    </row>
    <row r="322" spans="1:9" ht="13.8" x14ac:dyDescent="0.3">
      <c r="A322" s="9"/>
      <c r="B322" s="9"/>
      <c r="C322" s="9"/>
      <c r="D322" s="9"/>
      <c r="E322" s="9"/>
      <c r="F322" s="10"/>
      <c r="G322" s="9"/>
      <c r="H322" s="9"/>
      <c r="I322" s="10"/>
    </row>
    <row r="323" spans="1:9" ht="13.8" x14ac:dyDescent="0.3">
      <c r="A323" s="9"/>
      <c r="B323" s="9"/>
      <c r="C323" s="9"/>
      <c r="D323" s="9"/>
      <c r="E323" s="9"/>
      <c r="F323" s="10"/>
      <c r="G323" s="9"/>
      <c r="H323" s="9"/>
      <c r="I323" s="10"/>
    </row>
    <row r="324" spans="1:9" ht="13.8" x14ac:dyDescent="0.3">
      <c r="A324" s="9"/>
      <c r="B324" s="9"/>
      <c r="C324" s="9"/>
      <c r="D324" s="9"/>
      <c r="E324" s="9"/>
      <c r="F324" s="10"/>
      <c r="G324" s="9"/>
      <c r="H324" s="9"/>
      <c r="I324" s="10"/>
    </row>
    <row r="325" spans="1:9" ht="13.8" x14ac:dyDescent="0.3">
      <c r="A325" s="9"/>
      <c r="B325" s="9"/>
      <c r="C325" s="9"/>
      <c r="D325" s="9"/>
      <c r="E325" s="9"/>
      <c r="F325" s="10"/>
      <c r="G325" s="9"/>
      <c r="H325" s="9"/>
      <c r="I325" s="10"/>
    </row>
    <row r="326" spans="1:9" ht="13.8" x14ac:dyDescent="0.3">
      <c r="A326" s="9"/>
      <c r="B326" s="9"/>
      <c r="C326" s="9"/>
      <c r="D326" s="9"/>
      <c r="E326" s="9"/>
      <c r="F326" s="10"/>
      <c r="G326" s="9"/>
      <c r="H326" s="9"/>
      <c r="I326" s="10"/>
    </row>
    <row r="327" spans="1:9" ht="13.8" x14ac:dyDescent="0.3">
      <c r="A327" s="9"/>
      <c r="B327" s="9"/>
      <c r="C327" s="9"/>
      <c r="D327" s="9"/>
      <c r="E327" s="9"/>
      <c r="F327" s="10"/>
      <c r="G327" s="9"/>
      <c r="H327" s="9"/>
      <c r="I327" s="10"/>
    </row>
    <row r="328" spans="1:9" ht="13.8" x14ac:dyDescent="0.3">
      <c r="A328" s="9"/>
      <c r="B328" s="9"/>
      <c r="C328" s="9"/>
      <c r="D328" s="9"/>
      <c r="E328" s="9"/>
      <c r="F328" s="10"/>
      <c r="G328" s="9"/>
      <c r="H328" s="9"/>
      <c r="I328" s="10"/>
    </row>
    <row r="329" spans="1:9" ht="13.8" x14ac:dyDescent="0.3">
      <c r="A329" s="9"/>
      <c r="B329" s="9"/>
      <c r="C329" s="9"/>
      <c r="D329" s="9"/>
      <c r="E329" s="9"/>
      <c r="F329" s="10"/>
      <c r="G329" s="9"/>
      <c r="H329" s="9"/>
      <c r="I329" s="10"/>
    </row>
    <row r="330" spans="1:9" ht="13.8" x14ac:dyDescent="0.3">
      <c r="A330" s="9"/>
      <c r="B330" s="9"/>
      <c r="C330" s="9"/>
      <c r="D330" s="9"/>
      <c r="E330" s="9"/>
      <c r="F330" s="10"/>
      <c r="G330" s="9"/>
      <c r="H330" s="9"/>
      <c r="I330" s="10"/>
    </row>
    <row r="331" spans="1:9" ht="13.8" x14ac:dyDescent="0.3">
      <c r="A331" s="9"/>
      <c r="B331" s="9"/>
      <c r="C331" s="9"/>
      <c r="D331" s="9"/>
      <c r="E331" s="9"/>
      <c r="F331" s="10"/>
      <c r="G331" s="9"/>
      <c r="H331" s="9"/>
      <c r="I331" s="10"/>
    </row>
    <row r="332" spans="1:9" ht="13.8" x14ac:dyDescent="0.3">
      <c r="A332" s="9"/>
      <c r="B332" s="9"/>
      <c r="C332" s="9"/>
      <c r="D332" s="9"/>
      <c r="E332" s="9"/>
      <c r="F332" s="10"/>
      <c r="G332" s="9"/>
      <c r="H332" s="9"/>
      <c r="I332" s="10"/>
    </row>
    <row r="333" spans="1:9" ht="13.8" x14ac:dyDescent="0.3">
      <c r="A333" s="9"/>
      <c r="B333" s="9"/>
      <c r="C333" s="9"/>
      <c r="D333" s="9"/>
      <c r="E333" s="9"/>
      <c r="F333" s="10"/>
      <c r="G333" s="9"/>
      <c r="H333" s="9"/>
      <c r="I333" s="10"/>
    </row>
    <row r="334" spans="1:9" ht="13.8" x14ac:dyDescent="0.3">
      <c r="A334" s="9"/>
      <c r="B334" s="9"/>
      <c r="C334" s="9"/>
      <c r="D334" s="9"/>
      <c r="E334" s="9"/>
      <c r="F334" s="10"/>
      <c r="G334" s="9"/>
      <c r="H334" s="9"/>
      <c r="I334" s="10"/>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49" priority="1" stopIfTrue="1" operator="lessThanOrEqual">
      <formula>-0.1</formula>
    </cfRule>
    <cfRule type="expression" dxfId="48"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10" activePane="bottomRight" state="frozen"/>
      <selection pane="topRight" activeCell="A18" sqref="A18:XFD24"/>
      <selection pane="bottomLeft" activeCell="A18" sqref="A18:XFD24"/>
      <selection pane="bottomRight" activeCell="H27" sqref="H27"/>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96" t="str" cm="1">
        <f t="array" ref="A1">portfolio</f>
        <v>Catalyze</v>
      </c>
      <c r="B1" s="96"/>
      <c r="C1" s="96"/>
      <c r="D1" s="97" t="s">
        <v>12</v>
      </c>
      <c r="E1" s="97"/>
      <c r="F1" s="97"/>
      <c r="G1" s="95" t="s">
        <v>13</v>
      </c>
      <c r="H1" s="95"/>
      <c r="I1" s="95"/>
    </row>
    <row r="2" spans="1:9" ht="19.5" customHeight="1" x14ac:dyDescent="0.25">
      <c r="A2" s="98" t="s">
        <v>2</v>
      </c>
      <c r="B2" s="98"/>
      <c r="C2" s="5">
        <f>SUM(C4:C92)</f>
        <v>15350624.491748305</v>
      </c>
      <c r="D2" s="5">
        <f>SUM(D4:D92)</f>
        <v>14934047.525899999</v>
      </c>
      <c r="E2" s="5">
        <f>C2-D2</f>
        <v>416576.96584830619</v>
      </c>
      <c r="F2" s="6">
        <f>IFERROR(E2/D2, 0)</f>
        <v>2.7894444900208072E-2</v>
      </c>
      <c r="G2" s="5">
        <f>SUM(G4:G92)</f>
        <v>16198515.895</v>
      </c>
      <c r="H2" s="7">
        <f>C2-G2</f>
        <v>-847891.40325169452</v>
      </c>
      <c r="I2" s="6">
        <f>IFERROR(H2/G2, 0)</f>
        <v>-5.2343770796521763E-2</v>
      </c>
    </row>
    <row r="3" spans="1:9" ht="14.25" customHeight="1" x14ac:dyDescent="0.25">
      <c r="A3" s="13" t="s">
        <v>3</v>
      </c>
      <c r="B3" s="13" t="s">
        <v>4</v>
      </c>
      <c r="C3" s="20" t="s">
        <v>5</v>
      </c>
      <c r="D3" s="21" t="s">
        <v>6</v>
      </c>
      <c r="E3" s="21" t="s">
        <v>7</v>
      </c>
      <c r="F3" s="22" t="s">
        <v>8</v>
      </c>
      <c r="G3" s="23" t="s">
        <v>9</v>
      </c>
      <c r="H3" s="24" t="s">
        <v>7</v>
      </c>
      <c r="I3" s="25" t="s">
        <v>8</v>
      </c>
    </row>
    <row r="4" spans="1:9" ht="15.6" x14ac:dyDescent="0.25">
      <c r="A4" s="48" t="str" cm="1">
        <f t="array" ref="A4:A27">Sites[Site]</f>
        <v>Fresno - 3150 Shaw Ave</v>
      </c>
      <c r="B4" s="28" t="str" cm="1">
        <f t="array" ref="B4:B27">Sites[State]</f>
        <v>CA</v>
      </c>
      <c r="C4" s="29">
        <f>SUM(Apr!C4, May!C4, Jun!C4)</f>
        <v>346396</v>
      </c>
      <c r="D4" s="30">
        <f>SUM(Apr!D4, May!D4, Jun!D4)</f>
        <v>339259.99</v>
      </c>
      <c r="E4" s="30">
        <f>IF(AND(ISNUMBER(C4),ISNUMBER(D4)), C4-D4, "")</f>
        <v>7136.0100000000093</v>
      </c>
      <c r="F4" s="31">
        <f>IFERROR(E4/D4, "")</f>
        <v>2.1034045305489781E-2</v>
      </c>
      <c r="G4" s="32">
        <f>SUM(Apr!G4+May!G4+Jun!G4)</f>
        <v>378908</v>
      </c>
      <c r="H4" s="32">
        <f>SUM(Apr!H4, May!H4, Jun!H4)</f>
        <v>-32512.000000000015</v>
      </c>
      <c r="I4" s="33">
        <f>IFERROR(H4/G4, "")</f>
        <v>-8.5804469686573029E-2</v>
      </c>
    </row>
    <row r="5" spans="1:9" ht="15.6" x14ac:dyDescent="0.25">
      <c r="A5" s="49" t="str">
        <v>Adelanto - 1 Sheep Creek Road</v>
      </c>
      <c r="B5" s="35" t="str">
        <v>CA</v>
      </c>
      <c r="C5" s="36">
        <f>SUM(Apr!C5, May!C5, Jun!C5)</f>
        <v>2238750</v>
      </c>
      <c r="D5" s="37">
        <f>SUM(Apr!D5, May!D5, Jun!D5)</f>
        <v>1160367.1549</v>
      </c>
      <c r="E5" s="37">
        <f t="shared" ref="E5:E15" si="0">IF(AND(ISNUMBER(C5),ISNUMBER(D5)), C5-D5, "")</f>
        <v>1078382.8451</v>
      </c>
      <c r="F5" s="38">
        <f>IFERROR(E5/D5, "")</f>
        <v>0.9293462336866426</v>
      </c>
      <c r="G5" s="39">
        <f>SUM(Apr!G5+May!G5+Jun!G5)</f>
        <v>0</v>
      </c>
      <c r="H5" s="39">
        <f>SUM(Apr!H5, May!H5, Jun!H5)</f>
        <v>0</v>
      </c>
      <c r="I5" s="38" t="str">
        <f>IFERROR(H5/G5, "")</f>
        <v/>
      </c>
    </row>
    <row r="6" spans="1:9" ht="15.6" x14ac:dyDescent="0.25">
      <c r="A6" s="48" t="str">
        <v>Blackstone - 83 Federal Street</v>
      </c>
      <c r="B6" s="28" t="str">
        <v>MA</v>
      </c>
      <c r="C6" s="29">
        <f>SUM(Apr!C6, May!C6, Jun!C6)</f>
        <v>1984775.1022279342</v>
      </c>
      <c r="D6" s="30">
        <f>SUM(Apr!D6, May!D6, Jun!D6)</f>
        <v>2078573.1</v>
      </c>
      <c r="E6" s="30">
        <f t="shared" si="0"/>
        <v>-93797.997772065923</v>
      </c>
      <c r="F6" s="31">
        <f t="shared" ref="F6:F21" si="1">IFERROR(E6/D6, "")</f>
        <v>-4.5126148208146213E-2</v>
      </c>
      <c r="G6" s="32">
        <f>SUM(Apr!G6+May!G6+Jun!G6)</f>
        <v>2479544.0999999996</v>
      </c>
      <c r="H6" s="32">
        <f>SUM(Apr!H6, May!H6, Jun!H6)</f>
        <v>-494768.99777206604</v>
      </c>
      <c r="I6" s="33">
        <f t="shared" ref="I6:I21" si="2">IFERROR(H6/G6, "")</f>
        <v>-0.19954030975777609</v>
      </c>
    </row>
    <row r="7" spans="1:9" ht="15.6" x14ac:dyDescent="0.25">
      <c r="A7" s="49" t="str">
        <v>Charlton - 299 Worcester Road</v>
      </c>
      <c r="B7" s="35" t="str">
        <v>MA</v>
      </c>
      <c r="C7" s="36">
        <f>SUM(Apr!C7, May!C7, Jun!C7)</f>
        <v>166857.25</v>
      </c>
      <c r="D7" s="37">
        <f>SUM(Apr!D7, May!D7, Jun!D7)</f>
        <v>170294.03000000003</v>
      </c>
      <c r="E7" s="37">
        <f t="shared" si="0"/>
        <v>-3436.7800000000279</v>
      </c>
      <c r="F7" s="38">
        <f t="shared" si="1"/>
        <v>-2.018144734727358E-2</v>
      </c>
      <c r="G7" s="39">
        <f>SUM(Apr!G7+May!G7+Jun!G7)</f>
        <v>202020.58000000002</v>
      </c>
      <c r="H7" s="39">
        <f>SUM(Apr!H7, May!H7, Jun!H7)</f>
        <v>-35163.330000000009</v>
      </c>
      <c r="I7" s="38">
        <f t="shared" si="2"/>
        <v>-0.17405815783718673</v>
      </c>
    </row>
    <row r="8" spans="1:9" ht="15.6" x14ac:dyDescent="0.25">
      <c r="A8" s="48" t="str">
        <v>Wareham - 8 Thatcher Drive</v>
      </c>
      <c r="B8" s="28" t="str">
        <v>MA</v>
      </c>
      <c r="C8" s="29">
        <f>SUM(Apr!C8, May!C8, Jun!C8)</f>
        <v>55670.5625</v>
      </c>
      <c r="D8" s="30">
        <f>SUM(Apr!D8, May!D8, Jun!D8)</f>
        <v>57321.729999999996</v>
      </c>
      <c r="E8" s="30">
        <f t="shared" si="0"/>
        <v>-1651.1674999999959</v>
      </c>
      <c r="F8" s="31">
        <f t="shared" si="1"/>
        <v>-2.8805262855813949E-2</v>
      </c>
      <c r="G8" s="32">
        <f>SUM(Apr!G8+May!G8+Jun!G8)</f>
        <v>62112.17</v>
      </c>
      <c r="H8" s="32">
        <f>SUM(Apr!H8, May!H8, Jun!H8)</f>
        <v>-6441.6074999999983</v>
      </c>
      <c r="I8" s="33">
        <f t="shared" si="2"/>
        <v>-0.10370926502809351</v>
      </c>
    </row>
    <row r="9" spans="1:9" ht="15.6" x14ac:dyDescent="0.25">
      <c r="A9" s="49" t="str">
        <v>West Yarmouth - 42 Mid Tech</v>
      </c>
      <c r="B9" s="35" t="str">
        <v>MA</v>
      </c>
      <c r="C9" s="36">
        <f>SUM(Apr!C9, May!C9, Jun!C9)</f>
        <v>52233.168182288908</v>
      </c>
      <c r="D9" s="37">
        <f>SUM(Apr!D9, May!D9, Jun!D9)</f>
        <v>58112.09</v>
      </c>
      <c r="E9" s="37">
        <f t="shared" si="0"/>
        <v>-5878.9218177110888</v>
      </c>
      <c r="F9" s="38">
        <f t="shared" si="1"/>
        <v>-0.10116521050457984</v>
      </c>
      <c r="G9" s="39">
        <f>SUM(Apr!G9+May!G9+Jun!G9)</f>
        <v>63067.369999999995</v>
      </c>
      <c r="H9" s="39">
        <f>SUM(Apr!H9, May!H9, Jun!H9)</f>
        <v>-10834.201817711095</v>
      </c>
      <c r="I9" s="38">
        <f t="shared" si="2"/>
        <v>-0.17178775359922407</v>
      </c>
    </row>
    <row r="10" spans="1:9" ht="15.6" x14ac:dyDescent="0.25">
      <c r="A10" s="48" t="str">
        <v>Harrison - 130 Union Street</v>
      </c>
      <c r="B10" s="28" t="str">
        <v>NY</v>
      </c>
      <c r="C10" s="29">
        <f>SUM(Apr!C10, May!C10, Jun!C10)</f>
        <v>66585.875</v>
      </c>
      <c r="D10" s="30">
        <f>SUM(Apr!D10, May!D10, Jun!D10)</f>
        <v>77963.94</v>
      </c>
      <c r="E10" s="30">
        <f t="shared" si="0"/>
        <v>-11378.065000000002</v>
      </c>
      <c r="F10" s="31">
        <f t="shared" si="1"/>
        <v>-0.14594009743478847</v>
      </c>
      <c r="G10" s="32">
        <f>SUM(Apr!G10+May!G10+Jun!G10)</f>
        <v>86720.98</v>
      </c>
      <c r="H10" s="32">
        <f>SUM(Apr!H10, May!H10, Jun!H10)</f>
        <v>-20135.105</v>
      </c>
      <c r="I10" s="33">
        <f t="shared" si="2"/>
        <v>-0.23218262754872004</v>
      </c>
    </row>
    <row r="11" spans="1:9" ht="15.6" x14ac:dyDescent="0.25">
      <c r="A11" s="49" t="str">
        <v>Staten Island - Ellis Storage</v>
      </c>
      <c r="B11" s="35" t="str">
        <v>NY</v>
      </c>
      <c r="C11" s="36">
        <f>SUM(Apr!C11, May!C11, Jun!C11)</f>
        <v>173769.875</v>
      </c>
      <c r="D11" s="37">
        <f>SUM(Apr!D11, May!D11, Jun!D11)</f>
        <v>148187.32</v>
      </c>
      <c r="E11" s="37">
        <f t="shared" si="0"/>
        <v>25582.554999999993</v>
      </c>
      <c r="F11" s="38">
        <f t="shared" si="1"/>
        <v>0.1726365994067508</v>
      </c>
      <c r="G11" s="39">
        <f>SUM(Apr!G11+May!G11+Jun!G11)</f>
        <v>205349.19</v>
      </c>
      <c r="H11" s="39">
        <f>SUM(Apr!H11, May!H11, Jun!H11)</f>
        <v>-31579.315000000002</v>
      </c>
      <c r="I11" s="38">
        <f t="shared" si="2"/>
        <v>-0.15378348947955434</v>
      </c>
    </row>
    <row r="12" spans="1:9" ht="15.6" x14ac:dyDescent="0.25">
      <c r="A12" s="48" t="str">
        <v>Amherst - 595 Schoelles Road</v>
      </c>
      <c r="B12" s="28" t="str">
        <v>NY</v>
      </c>
      <c r="C12" s="29">
        <f>SUM(Apr!C12, May!C12, Jun!C12)</f>
        <v>2774532</v>
      </c>
      <c r="D12" s="30">
        <f>SUM(Apr!D12, May!D12, Jun!D12)</f>
        <v>2888555.8</v>
      </c>
      <c r="E12" s="30">
        <f t="shared" si="0"/>
        <v>-114023.79999999981</v>
      </c>
      <c r="F12" s="31">
        <f t="shared" si="1"/>
        <v>-3.9474328313131364E-2</v>
      </c>
      <c r="G12" s="32">
        <f>SUM(Apr!G12+May!G12+Jun!G12)</f>
        <v>3248259.3</v>
      </c>
      <c r="H12" s="32">
        <f>SUM(Apr!H12, May!H12, Jun!H12)</f>
        <v>-473727.30000000005</v>
      </c>
      <c r="I12" s="33">
        <f t="shared" si="2"/>
        <v>-0.14584035824972472</v>
      </c>
    </row>
    <row r="13" spans="1:9" ht="15.6" x14ac:dyDescent="0.25">
      <c r="A13" s="49" t="str">
        <v>Lancaster 1 - Gunnville Road</v>
      </c>
      <c r="B13" s="35" t="str">
        <v>NY</v>
      </c>
      <c r="C13" s="36">
        <f>SUM(Apr!C13, May!C13, Jun!C13)</f>
        <v>2095567</v>
      </c>
      <c r="D13" s="37">
        <f>SUM(Apr!D13, May!D13, Jun!D13)</f>
        <v>2148098.2999999998</v>
      </c>
      <c r="E13" s="37">
        <f t="shared" si="0"/>
        <v>-52531.299999999814</v>
      </c>
      <c r="F13" s="38">
        <f t="shared" si="1"/>
        <v>-2.4454793339764674E-2</v>
      </c>
      <c r="G13" s="39">
        <f>SUM(Apr!G13+May!G13+Jun!G13)</f>
        <v>2535076.7000000002</v>
      </c>
      <c r="H13" s="39">
        <f>SUM(Apr!H13, May!H13, Jun!H13)</f>
        <v>-439509.70000000007</v>
      </c>
      <c r="I13" s="38">
        <f t="shared" si="2"/>
        <v>-0.1733713619000167</v>
      </c>
    </row>
    <row r="14" spans="1:9" ht="15.6" x14ac:dyDescent="0.25">
      <c r="A14" s="48" t="str">
        <v>Lancaster 2 - Shisler Road</v>
      </c>
      <c r="B14" s="28" t="str">
        <v>NY</v>
      </c>
      <c r="C14" s="29">
        <f>SUM(Apr!C14, May!C14, Jun!C14)</f>
        <v>2266198</v>
      </c>
      <c r="D14" s="30">
        <f>SUM(Apr!D14, May!D14, Jun!D14)</f>
        <v>2268322.7000000002</v>
      </c>
      <c r="E14" s="30">
        <f t="shared" si="0"/>
        <v>-2124.7000000001863</v>
      </c>
      <c r="F14" s="31">
        <f t="shared" si="1"/>
        <v>-9.3668330348243049E-4</v>
      </c>
      <c r="G14" s="32">
        <f>SUM(Apr!G14+May!G14+Jun!G14)</f>
        <v>2781914</v>
      </c>
      <c r="H14" s="32">
        <f>SUM(Apr!H14, May!H14, Jun!H14)</f>
        <v>-515715.99999999988</v>
      </c>
      <c r="I14" s="33">
        <f t="shared" si="2"/>
        <v>-0.18538171920483518</v>
      </c>
    </row>
    <row r="15" spans="1:9" ht="15.6" x14ac:dyDescent="0.25">
      <c r="A15" s="49" t="str">
        <v>Fullerton - 200 W Orangethorpe</v>
      </c>
      <c r="B15" s="35" t="str">
        <v>CA</v>
      </c>
      <c r="C15" s="36">
        <f>SUM(Apr!C15, May!C15, Jun!C15)</f>
        <v>355166.875</v>
      </c>
      <c r="D15" s="37">
        <f>SUM(Apr!D15, May!D15, Jun!D15)</f>
        <v>351640.1</v>
      </c>
      <c r="E15" s="37">
        <f t="shared" si="0"/>
        <v>3526.7750000000233</v>
      </c>
      <c r="F15" s="38">
        <f t="shared" si="1"/>
        <v>1.0029501754777181E-2</v>
      </c>
      <c r="G15" s="39">
        <f>SUM(Apr!G15+May!G15+Jun!G15)</f>
        <v>392681.69999999995</v>
      </c>
      <c r="H15" s="39">
        <f>SUM(Apr!H15, May!H15, Jun!H15)</f>
        <v>-37514.824999999983</v>
      </c>
      <c r="I15" s="38">
        <f t="shared" si="2"/>
        <v>-9.5534945988061032E-2</v>
      </c>
    </row>
    <row r="16" spans="1:9" ht="15.6" x14ac:dyDescent="0.25">
      <c r="A16" s="48" t="str">
        <v>El Paso - 10500 Railroad Drive</v>
      </c>
      <c r="B16" s="28" t="str">
        <v>TX</v>
      </c>
      <c r="C16" s="29">
        <f>SUM(Apr!C16, May!C16, Jun!C16)</f>
        <v>231468.5</v>
      </c>
      <c r="D16" s="30">
        <f>SUM(Apr!D16, May!D16, Jun!D16)</f>
        <v>215467.33</v>
      </c>
      <c r="E16" s="30">
        <f t="shared" ref="E16:E21" si="3">IF(AND(ISNUMBER(C16),ISNUMBER(D16)), C16-D16, "")</f>
        <v>16001.170000000013</v>
      </c>
      <c r="F16" s="31">
        <f t="shared" si="1"/>
        <v>7.4262627192716466E-2</v>
      </c>
      <c r="G16" s="32">
        <f>SUM(Apr!G16+May!G16+Jun!G16)</f>
        <v>307432</v>
      </c>
      <c r="H16" s="32">
        <f>SUM(Apr!H16, May!H16, Jun!H16)</f>
        <v>-75963.5</v>
      </c>
      <c r="I16" s="33">
        <f>IFERROR(H16/G16, "")</f>
        <v>-0.24709041348981239</v>
      </c>
    </row>
    <row r="17" spans="1:9" ht="15.6" x14ac:dyDescent="0.25">
      <c r="A17" s="49" t="str">
        <v>Friona - 900 Millard Ave</v>
      </c>
      <c r="B17" s="35" t="str">
        <v>TX</v>
      </c>
      <c r="C17" s="36">
        <f>SUM(Apr!C17, May!C17, Jun!C17)</f>
        <v>184410</v>
      </c>
      <c r="D17" s="37">
        <f>SUM(Apr!D17, May!D17, Jun!D17)</f>
        <v>176485.52000000002</v>
      </c>
      <c r="E17" s="37">
        <f t="shared" si="3"/>
        <v>7924.4799999999814</v>
      </c>
      <c r="F17" s="38">
        <f t="shared" si="1"/>
        <v>4.4901587393685216E-2</v>
      </c>
      <c r="G17" s="39">
        <f>SUM(Apr!G17+May!G17+Jun!G17)</f>
        <v>263310.40000000002</v>
      </c>
      <c r="H17" s="39">
        <f>SUM(Apr!H17, May!H17, Jun!H17)</f>
        <v>-78900.400000000009</v>
      </c>
      <c r="I17" s="38">
        <f t="shared" si="2"/>
        <v>-0.29964786806749755</v>
      </c>
    </row>
    <row r="18" spans="1:9" ht="15.6" x14ac:dyDescent="0.25">
      <c r="A18" s="48" t="str">
        <v>Augusta - 13 York Farm Road</v>
      </c>
      <c r="B18" s="28" t="str">
        <v>ME</v>
      </c>
      <c r="C18" s="29">
        <f>SUM(Apr!C18, May!C18, Jun!C18)</f>
        <v>496871.77500000002</v>
      </c>
      <c r="D18" s="30">
        <f>SUM(Apr!D18, May!D18, Jun!D18)</f>
        <v>484552.8</v>
      </c>
      <c r="E18" s="30">
        <f t="shared" si="3"/>
        <v>12318.975000000035</v>
      </c>
      <c r="F18" s="31">
        <f t="shared" si="1"/>
        <v>2.5423390392130714E-2</v>
      </c>
      <c r="G18" s="32">
        <f>SUM(Apr!G18+May!G18+Jun!G18)</f>
        <v>577791.80000000005</v>
      </c>
      <c r="H18" s="32">
        <f>SUM(Apr!H18, May!H18, Jun!H18)</f>
        <v>-80920.024999999994</v>
      </c>
      <c r="I18" s="33">
        <f t="shared" si="2"/>
        <v>-0.14005049050540347</v>
      </c>
    </row>
    <row r="19" spans="1:9" ht="15.6" x14ac:dyDescent="0.25">
      <c r="A19" s="49" t="str">
        <v xml:space="preserve">Santa Ana - 1441 West </v>
      </c>
      <c r="B19" s="35" t="str">
        <v>CA</v>
      </c>
      <c r="C19" s="36">
        <f>SUM(Apr!C19, May!C19, Jun!C19)</f>
        <v>217337.15874999989</v>
      </c>
      <c r="D19" s="37">
        <f>SUM(Apr!D19, May!D19, Jun!D19)</f>
        <v>218090.08100000001</v>
      </c>
      <c r="E19" s="37">
        <f t="shared" si="3"/>
        <v>-752.92225000011967</v>
      </c>
      <c r="F19" s="38">
        <f t="shared" si="1"/>
        <v>-3.4523452261000336E-3</v>
      </c>
      <c r="G19" s="39">
        <f>SUM(Apr!G19+May!G19+Jun!G19)</f>
        <v>239339.81299999999</v>
      </c>
      <c r="H19" s="39">
        <f>SUM(Apr!H19, May!H19, Jun!H19)</f>
        <v>-22002.654250000109</v>
      </c>
      <c r="I19" s="38">
        <f t="shared" si="2"/>
        <v>-9.19306068397409E-2</v>
      </c>
    </row>
    <row r="20" spans="1:9" ht="15.6" x14ac:dyDescent="0.25">
      <c r="A20" s="48" t="str">
        <v>Jessup -7950 Oceano Ave</v>
      </c>
      <c r="B20" s="28" t="str">
        <v>MD</v>
      </c>
      <c r="C20" s="29">
        <f>SUM(Apr!C20, May!C20, Jun!C20)</f>
        <v>690674.35008808295</v>
      </c>
      <c r="D20" s="30">
        <f>SUM(Apr!D20, May!D20, Jun!D20)</f>
        <v>666041.51199999999</v>
      </c>
      <c r="E20" s="30">
        <f t="shared" si="3"/>
        <v>24632.838088082965</v>
      </c>
      <c r="F20" s="31">
        <f t="shared" si="1"/>
        <v>3.6983938154417868E-2</v>
      </c>
      <c r="G20" s="32">
        <f>SUM(Apr!G20+May!G20+Jun!G20)</f>
        <v>857702.28200000001</v>
      </c>
      <c r="H20" s="32">
        <f>SUM(Apr!H20, May!H20, Jun!H20)</f>
        <v>-167027.931911917</v>
      </c>
      <c r="I20" s="33">
        <f t="shared" si="2"/>
        <v>-0.19473882187003089</v>
      </c>
    </row>
    <row r="21" spans="1:9" ht="15.6" x14ac:dyDescent="0.25">
      <c r="A21" s="49" t="str">
        <v xml:space="preserve">TX: Fort Worth - 5200 Gold Spike Dr </v>
      </c>
      <c r="B21" s="35" t="str">
        <v>TX</v>
      </c>
      <c r="C21" s="36">
        <f>SUM(Apr!C21, May!C21, Jun!C21)</f>
        <v>953361</v>
      </c>
      <c r="D21" s="37">
        <f>SUM(Apr!D21, May!D21, Jun!D21)</f>
        <v>1426714.0279999999</v>
      </c>
      <c r="E21" s="37">
        <f t="shared" si="3"/>
        <v>-473353.02799999993</v>
      </c>
      <c r="F21" s="38">
        <f t="shared" si="1"/>
        <v>-0.33177849149177913</v>
      </c>
      <c r="G21" s="39">
        <f>SUM(Apr!G21+May!G21+Jun!G21)</f>
        <v>1517285.51</v>
      </c>
      <c r="H21" s="39">
        <f>SUM(Apr!H21, May!H21, Jun!H21)</f>
        <v>-563924.51</v>
      </c>
      <c r="I21" s="38">
        <f t="shared" si="2"/>
        <v>-0.37166670760600623</v>
      </c>
    </row>
    <row r="22" spans="1:9" ht="15.6" x14ac:dyDescent="0.25">
      <c r="A22" s="48" t="str">
        <v>NY: Clifton Springs - Ontario 2 (21597)</v>
      </c>
      <c r="B22" s="28" t="str">
        <v>NY</v>
      </c>
      <c r="C22" s="29">
        <f>SUM(Apr!C22, May!C22, Jun!C22)</f>
        <v>0</v>
      </c>
      <c r="D22" s="30">
        <f>SUM(Apr!D22, May!D22, Jun!D22)</f>
        <v>0</v>
      </c>
      <c r="E22" s="30">
        <f t="shared" ref="E22:E25" si="4">IF(AND(ISNUMBER(C22),ISNUMBER(D22)), C22-D22, "")</f>
        <v>0</v>
      </c>
      <c r="F22" s="31" t="str">
        <f t="shared" ref="F22:F25" si="5">IFERROR(E22/D22, "")</f>
        <v/>
      </c>
      <c r="G22" s="32">
        <f>SUM(Apr!G22+May!G22+Jun!G22)</f>
        <v>0</v>
      </c>
      <c r="H22" s="32">
        <f>SUM(Apr!H22, May!H22, Jun!H22)</f>
        <v>0</v>
      </c>
      <c r="I22" s="33" t="str">
        <f t="shared" ref="I22:I25" si="6">IFERROR(H22/G22, "")</f>
        <v/>
      </c>
    </row>
    <row r="23" spans="1:9" ht="15.6" x14ac:dyDescent="0.25">
      <c r="A23" s="49" t="str">
        <v>CA: Oxnard - 2600 Sakioka - System A</v>
      </c>
      <c r="B23" s="35" t="str">
        <v>CA</v>
      </c>
      <c r="C23" s="36">
        <f>SUM(Apr!C23, May!C23, Jun!C23)</f>
        <v>0</v>
      </c>
      <c r="D23" s="37">
        <f>SUM(Apr!D23, May!D23, Jun!D23)</f>
        <v>0</v>
      </c>
      <c r="E23" s="37">
        <f t="shared" si="4"/>
        <v>0</v>
      </c>
      <c r="F23" s="38" t="str">
        <f t="shared" si="5"/>
        <v/>
      </c>
      <c r="G23" s="39">
        <f>SUM(Apr!G23+May!G23+Jun!G23)</f>
        <v>0</v>
      </c>
      <c r="H23" s="39">
        <f>SUM(Apr!H23, May!H23, Jun!H23)</f>
        <v>0</v>
      </c>
      <c r="I23" s="38" t="str">
        <f t="shared" si="6"/>
        <v/>
      </c>
    </row>
    <row r="24" spans="1:9" ht="15.6" x14ac:dyDescent="0.25">
      <c r="A24" s="48" t="str">
        <v>CA: Oxnard - 2600 Sakioka - System B</v>
      </c>
      <c r="B24" s="28" t="str">
        <v>CA</v>
      </c>
      <c r="C24" s="29">
        <f>SUM(Apr!C24, May!C24, Jun!C24)</f>
        <v>0</v>
      </c>
      <c r="D24" s="30">
        <f>SUM(Apr!D24, May!D24, Jun!D24)</f>
        <v>0</v>
      </c>
      <c r="E24" s="30">
        <f t="shared" si="4"/>
        <v>0</v>
      </c>
      <c r="F24" s="31" t="str">
        <f t="shared" si="5"/>
        <v/>
      </c>
      <c r="G24" s="32">
        <f>SUM(Apr!G24+May!G24+Jun!G24)</f>
        <v>0</v>
      </c>
      <c r="H24" s="32">
        <f>SUM(Apr!H24, May!H24, Jun!H24)</f>
        <v>0</v>
      </c>
      <c r="I24" s="33" t="str">
        <f t="shared" si="6"/>
        <v/>
      </c>
    </row>
    <row r="25" spans="1:9" ht="15.6" x14ac:dyDescent="0.25">
      <c r="A25" s="49" t="str">
        <v>NY: Fonda - Montgomery 1 (21601)</v>
      </c>
      <c r="B25" s="35" t="str">
        <v>NY</v>
      </c>
      <c r="C25" s="36">
        <f>SUM(Apr!C25, May!C25, Jun!C25)</f>
        <v>0</v>
      </c>
      <c r="D25" s="37">
        <f>SUM(Apr!D25, May!D25, Jun!D25)</f>
        <v>0</v>
      </c>
      <c r="E25" s="37">
        <f t="shared" si="4"/>
        <v>0</v>
      </c>
      <c r="F25" s="38" t="str">
        <f t="shared" si="5"/>
        <v/>
      </c>
      <c r="G25" s="39">
        <f>SUM(Apr!G25+May!G25+Jun!G25)</f>
        <v>0</v>
      </c>
      <c r="H25" s="39">
        <f>SUM(Apr!H25, May!H25, Jun!H25)</f>
        <v>0</v>
      </c>
      <c r="I25" s="38" t="str">
        <f t="shared" si="6"/>
        <v/>
      </c>
    </row>
    <row r="26" spans="1:9" ht="15.6" x14ac:dyDescent="0.25">
      <c r="A26" s="48" t="str">
        <v>NY: Evans - SL Evans Array 1 (21106) - (PW)</v>
      </c>
      <c r="B26" s="28" t="str">
        <v>NY</v>
      </c>
      <c r="C26" s="29">
        <f>SUM(Apr!C26, May!C26, Jun!C26)</f>
        <v>0</v>
      </c>
      <c r="D26" s="30">
        <f>SUM(Apr!D26, May!D26, Jun!D26)</f>
        <v>0</v>
      </c>
      <c r="E26" s="30">
        <f t="shared" ref="E26:E27" si="7">IF(AND(ISNUMBER(C26),ISNUMBER(D26)), C26-D26, "")</f>
        <v>0</v>
      </c>
      <c r="F26" s="31" t="str">
        <f t="shared" ref="F26:F27" si="8">IFERROR(E26/D26, "")</f>
        <v/>
      </c>
      <c r="G26" s="32">
        <f>SUM(Apr!G26+May!G26+Jun!G26)</f>
        <v>0</v>
      </c>
      <c r="H26" s="32">
        <f>SUM(Apr!H26, May!H26, Jun!H26)</f>
        <v>0</v>
      </c>
      <c r="I26" s="33" t="str">
        <f t="shared" ref="I26:I27" si="9">IFERROR(H26/G26, "")</f>
        <v/>
      </c>
    </row>
    <row r="27" spans="1:9" ht="15.6" x14ac:dyDescent="0.25">
      <c r="A27" s="49" t="str">
        <v>NY: Evans - SL Evans Array 2 (21107) - (PW)</v>
      </c>
      <c r="B27" s="35" t="str">
        <v>NY</v>
      </c>
      <c r="C27" s="36">
        <f>SUM(Apr!C27, May!C27, Jun!C27)</f>
        <v>0</v>
      </c>
      <c r="D27" s="37">
        <f>SUM(Apr!D27, May!D27, Jun!D27)</f>
        <v>0</v>
      </c>
      <c r="E27" s="37">
        <f t="shared" si="7"/>
        <v>0</v>
      </c>
      <c r="F27" s="38" t="str">
        <f t="shared" si="8"/>
        <v/>
      </c>
      <c r="G27" s="39">
        <f>SUM(Apr!G27+May!G27+Jun!G27)</f>
        <v>0</v>
      </c>
      <c r="H27" s="39">
        <f>SUM(Apr!H27, May!H27, Jun!H27)</f>
        <v>0</v>
      </c>
      <c r="I27" s="38" t="str">
        <f t="shared" si="9"/>
        <v/>
      </c>
    </row>
    <row r="28" spans="1:9" ht="13.8" x14ac:dyDescent="0.3">
      <c r="A28" s="9"/>
      <c r="B28" s="9"/>
      <c r="C28" s="9"/>
      <c r="D28" s="9"/>
      <c r="E28" s="9"/>
      <c r="F28" s="10"/>
      <c r="G28" s="9"/>
      <c r="H28" s="9"/>
      <c r="I28" s="10"/>
    </row>
    <row r="29" spans="1:9" ht="13.8" x14ac:dyDescent="0.3">
      <c r="A29" s="9"/>
      <c r="B29" s="9"/>
      <c r="C29" s="9"/>
      <c r="D29" s="9"/>
      <c r="E29" s="9"/>
      <c r="F29" s="10"/>
      <c r="G29" s="9"/>
      <c r="H29" s="9"/>
      <c r="I29" s="10"/>
    </row>
    <row r="30" spans="1:9" ht="13.8" x14ac:dyDescent="0.3">
      <c r="A30" s="9"/>
      <c r="B30" s="9"/>
      <c r="C30" s="9"/>
      <c r="D30" s="9"/>
      <c r="E30" s="9"/>
      <c r="F30" s="10"/>
      <c r="G30" s="9"/>
      <c r="H30" s="9"/>
      <c r="I30" s="10"/>
    </row>
    <row r="31" spans="1:9" ht="13.8" x14ac:dyDescent="0.3">
      <c r="A31" s="9"/>
      <c r="B31" s="9"/>
      <c r="C31" s="9"/>
      <c r="D31" s="9"/>
      <c r="E31" s="9"/>
      <c r="F31" s="10"/>
      <c r="G31" s="9"/>
      <c r="H31" s="9"/>
      <c r="I31" s="10"/>
    </row>
    <row r="32" spans="1:9" ht="13.8" x14ac:dyDescent="0.3">
      <c r="A32" s="9"/>
      <c r="B32" s="9"/>
      <c r="C32" s="9"/>
      <c r="D32" s="9"/>
      <c r="E32" s="9"/>
      <c r="F32" s="10"/>
      <c r="G32" s="9"/>
      <c r="H32" s="9"/>
      <c r="I32" s="10"/>
    </row>
    <row r="33" spans="1:9" ht="13.8" x14ac:dyDescent="0.3">
      <c r="A33" s="9"/>
      <c r="B33" s="9"/>
      <c r="C33" s="9"/>
      <c r="D33" s="9"/>
      <c r="E33" s="9"/>
      <c r="F33" s="10"/>
      <c r="G33" s="9"/>
      <c r="H33" s="9"/>
      <c r="I33" s="10"/>
    </row>
    <row r="34" spans="1:9" ht="13.8" x14ac:dyDescent="0.3">
      <c r="A34" s="9"/>
      <c r="B34" s="9"/>
      <c r="C34" s="9"/>
      <c r="D34" s="9"/>
      <c r="E34" s="9"/>
      <c r="F34" s="10"/>
      <c r="G34" s="9"/>
      <c r="H34" s="9"/>
      <c r="I34" s="10"/>
    </row>
    <row r="35" spans="1:9" ht="13.8" x14ac:dyDescent="0.3">
      <c r="A35" s="9"/>
      <c r="B35" s="9"/>
      <c r="C35" s="9"/>
      <c r="D35" s="9"/>
      <c r="E35" s="9"/>
      <c r="F35" s="10"/>
      <c r="G35" s="9"/>
      <c r="H35" s="9"/>
      <c r="I35" s="10"/>
    </row>
    <row r="36" spans="1:9" ht="13.8" x14ac:dyDescent="0.3">
      <c r="A36" s="9"/>
      <c r="B36" s="9"/>
      <c r="C36" s="9"/>
      <c r="D36" s="9"/>
      <c r="E36" s="9"/>
      <c r="F36" s="10"/>
      <c r="G36" s="9"/>
      <c r="H36" s="9"/>
      <c r="I36" s="10"/>
    </row>
    <row r="37" spans="1:9" ht="13.8" x14ac:dyDescent="0.3">
      <c r="A37" s="9"/>
      <c r="B37" s="9"/>
      <c r="C37" s="9"/>
      <c r="D37" s="9"/>
      <c r="E37" s="9"/>
      <c r="F37" s="10"/>
      <c r="G37" s="9"/>
      <c r="H37" s="9"/>
      <c r="I37" s="10"/>
    </row>
    <row r="38" spans="1:9" ht="13.8" x14ac:dyDescent="0.3">
      <c r="A38" s="9"/>
      <c r="B38" s="9"/>
      <c r="C38" s="9"/>
      <c r="D38" s="9"/>
      <c r="E38" s="9"/>
      <c r="F38" s="10"/>
      <c r="G38" s="9"/>
      <c r="H38" s="9"/>
      <c r="I38" s="10"/>
    </row>
    <row r="39" spans="1:9" ht="13.8" x14ac:dyDescent="0.3">
      <c r="A39" s="9"/>
      <c r="B39" s="9"/>
      <c r="C39" s="9"/>
      <c r="D39" s="9"/>
      <c r="E39" s="9"/>
      <c r="F39" s="10"/>
      <c r="G39" s="9"/>
      <c r="H39" s="9"/>
      <c r="I39" s="10"/>
    </row>
    <row r="40" spans="1:9" ht="13.8" x14ac:dyDescent="0.3">
      <c r="A40" s="9"/>
      <c r="B40" s="9"/>
      <c r="C40" s="9"/>
      <c r="D40" s="9"/>
      <c r="E40" s="9"/>
      <c r="F40" s="10"/>
      <c r="G40" s="9"/>
      <c r="H40" s="9"/>
      <c r="I40" s="10"/>
    </row>
    <row r="41" spans="1:9" ht="13.8" x14ac:dyDescent="0.3">
      <c r="A41" s="9"/>
      <c r="B41" s="9"/>
      <c r="C41" s="9"/>
      <c r="D41" s="9"/>
      <c r="E41" s="9"/>
      <c r="F41" s="10"/>
      <c r="G41" s="9"/>
      <c r="H41" s="9"/>
      <c r="I41" s="10"/>
    </row>
    <row r="42" spans="1:9" ht="13.8" x14ac:dyDescent="0.3">
      <c r="A42" s="9"/>
      <c r="B42" s="9"/>
      <c r="C42" s="9"/>
      <c r="D42" s="9"/>
      <c r="E42" s="9"/>
      <c r="F42" s="10"/>
      <c r="G42" s="9"/>
      <c r="H42" s="9"/>
      <c r="I42" s="10"/>
    </row>
    <row r="43" spans="1:9" ht="13.8" x14ac:dyDescent="0.3">
      <c r="A43" s="9"/>
      <c r="B43" s="9"/>
      <c r="C43" s="9"/>
      <c r="D43" s="9"/>
      <c r="E43" s="9"/>
      <c r="F43" s="10"/>
      <c r="G43" s="9"/>
      <c r="H43" s="9"/>
      <c r="I43" s="10"/>
    </row>
    <row r="44" spans="1:9" ht="13.8" x14ac:dyDescent="0.3">
      <c r="A44" s="9"/>
      <c r="B44" s="9"/>
      <c r="C44" s="9"/>
      <c r="D44" s="9"/>
      <c r="E44" s="9"/>
      <c r="F44" s="10"/>
      <c r="G44" s="9"/>
      <c r="H44" s="9"/>
      <c r="I44" s="10"/>
    </row>
    <row r="45" spans="1:9" ht="13.8" x14ac:dyDescent="0.3">
      <c r="A45" s="9"/>
      <c r="B45" s="9"/>
      <c r="C45" s="9"/>
      <c r="D45" s="9"/>
      <c r="E45" s="9"/>
      <c r="F45" s="10"/>
      <c r="G45" s="9"/>
      <c r="H45" s="9"/>
      <c r="I45" s="10"/>
    </row>
    <row r="46" spans="1:9" ht="13.8" x14ac:dyDescent="0.3">
      <c r="A46" s="9"/>
      <c r="B46" s="9"/>
      <c r="C46" s="9"/>
      <c r="D46" s="9"/>
      <c r="E46" s="9"/>
      <c r="F46" s="10"/>
      <c r="G46" s="9"/>
      <c r="H46" s="9"/>
      <c r="I46" s="10"/>
    </row>
    <row r="47" spans="1:9" ht="13.8" x14ac:dyDescent="0.3">
      <c r="A47" s="9"/>
      <c r="B47" s="9"/>
      <c r="C47" s="9"/>
      <c r="D47" s="9"/>
      <c r="E47" s="9"/>
      <c r="F47" s="10"/>
      <c r="G47" s="9"/>
      <c r="H47" s="9"/>
      <c r="I47" s="10"/>
    </row>
    <row r="48" spans="1:9" ht="13.8" x14ac:dyDescent="0.3">
      <c r="A48" s="9"/>
      <c r="B48" s="9"/>
      <c r="C48" s="9"/>
      <c r="D48" s="9"/>
      <c r="E48" s="9"/>
      <c r="F48" s="10"/>
      <c r="G48" s="9"/>
      <c r="H48" s="9"/>
      <c r="I48" s="10"/>
    </row>
    <row r="49" spans="1:9" ht="13.8" x14ac:dyDescent="0.3">
      <c r="A49" s="9"/>
      <c r="B49" s="9"/>
      <c r="C49" s="9"/>
      <c r="D49" s="9"/>
      <c r="E49" s="9"/>
      <c r="F49" s="10"/>
      <c r="G49" s="9"/>
      <c r="H49" s="9"/>
      <c r="I49" s="10"/>
    </row>
    <row r="50" spans="1:9" ht="13.8" x14ac:dyDescent="0.3">
      <c r="A50" s="9"/>
      <c r="B50" s="9"/>
      <c r="C50" s="9"/>
      <c r="D50" s="9"/>
      <c r="E50" s="9"/>
      <c r="F50" s="10"/>
      <c r="G50" s="9"/>
      <c r="H50" s="9"/>
      <c r="I50" s="10"/>
    </row>
    <row r="51" spans="1:9" ht="13.8" x14ac:dyDescent="0.3">
      <c r="A51" s="9"/>
      <c r="B51" s="9"/>
      <c r="C51" s="9"/>
      <c r="D51" s="9"/>
      <c r="E51" s="9"/>
      <c r="F51" s="10"/>
      <c r="G51" s="9"/>
      <c r="H51" s="9"/>
      <c r="I51" s="10"/>
    </row>
    <row r="52" spans="1:9" ht="13.8" x14ac:dyDescent="0.3">
      <c r="A52" s="9"/>
      <c r="B52" s="9"/>
      <c r="C52" s="9"/>
      <c r="D52" s="9"/>
      <c r="E52" s="9"/>
      <c r="F52" s="10"/>
      <c r="G52" s="9"/>
      <c r="H52" s="9"/>
      <c r="I52" s="10"/>
    </row>
    <row r="53" spans="1:9" ht="13.8" x14ac:dyDescent="0.3">
      <c r="A53" s="9"/>
      <c r="B53" s="9"/>
      <c r="C53" s="9"/>
      <c r="D53" s="9"/>
      <c r="E53" s="9"/>
      <c r="F53" s="10"/>
      <c r="G53" s="9"/>
      <c r="H53" s="9"/>
      <c r="I53" s="10"/>
    </row>
    <row r="54" spans="1:9" ht="13.8" x14ac:dyDescent="0.3">
      <c r="A54" s="9"/>
      <c r="B54" s="9"/>
      <c r="C54" s="9"/>
      <c r="D54" s="9"/>
      <c r="E54" s="9"/>
      <c r="F54" s="10"/>
      <c r="G54" s="9"/>
      <c r="H54" s="9"/>
      <c r="I54" s="10"/>
    </row>
    <row r="55" spans="1:9" ht="13.8" x14ac:dyDescent="0.3">
      <c r="A55" s="9"/>
      <c r="B55" s="9"/>
      <c r="C55" s="9"/>
      <c r="D55" s="9"/>
      <c r="E55" s="9"/>
      <c r="F55" s="10"/>
      <c r="G55" s="9"/>
      <c r="H55" s="9"/>
      <c r="I55" s="10"/>
    </row>
    <row r="56" spans="1:9" ht="13.8" x14ac:dyDescent="0.3">
      <c r="A56" s="9"/>
      <c r="B56" s="9"/>
      <c r="C56" s="9"/>
      <c r="D56" s="9"/>
      <c r="E56" s="9"/>
      <c r="F56" s="10"/>
      <c r="G56" s="9"/>
      <c r="H56" s="9"/>
      <c r="I56" s="10"/>
    </row>
    <row r="57" spans="1:9" ht="13.8" x14ac:dyDescent="0.3">
      <c r="A57" s="9"/>
      <c r="B57" s="9"/>
      <c r="C57" s="9"/>
      <c r="D57" s="9"/>
      <c r="E57" s="9"/>
      <c r="F57" s="10"/>
      <c r="G57" s="9"/>
      <c r="H57" s="9"/>
      <c r="I57" s="10"/>
    </row>
    <row r="58" spans="1:9" ht="13.8" x14ac:dyDescent="0.3">
      <c r="A58" s="9"/>
      <c r="B58" s="9"/>
      <c r="C58" s="9"/>
      <c r="D58" s="9"/>
      <c r="E58" s="9"/>
      <c r="F58" s="10"/>
      <c r="G58" s="9"/>
      <c r="H58" s="9"/>
      <c r="I58" s="10"/>
    </row>
    <row r="59" spans="1:9" ht="13.8" x14ac:dyDescent="0.3">
      <c r="A59" s="9"/>
      <c r="B59" s="9"/>
      <c r="C59" s="9"/>
      <c r="D59" s="9"/>
      <c r="E59" s="9"/>
      <c r="F59" s="10"/>
      <c r="G59" s="9"/>
      <c r="H59" s="9"/>
      <c r="I59" s="10"/>
    </row>
    <row r="60" spans="1:9" ht="13.8" x14ac:dyDescent="0.3">
      <c r="A60" s="9"/>
      <c r="B60" s="9"/>
      <c r="C60" s="9"/>
      <c r="D60" s="9"/>
      <c r="E60" s="9"/>
      <c r="F60" s="10"/>
      <c r="G60" s="9"/>
      <c r="H60" s="9"/>
      <c r="I60" s="10"/>
    </row>
    <row r="61" spans="1:9" ht="13.8" x14ac:dyDescent="0.3">
      <c r="A61" s="9"/>
      <c r="B61" s="9"/>
      <c r="C61" s="9"/>
      <c r="D61" s="9"/>
      <c r="E61" s="9"/>
      <c r="F61" s="10"/>
      <c r="G61" s="9"/>
      <c r="H61" s="9"/>
      <c r="I61" s="10"/>
    </row>
    <row r="62" spans="1:9" ht="13.8" x14ac:dyDescent="0.3">
      <c r="A62" s="9"/>
      <c r="B62" s="9"/>
      <c r="C62" s="9"/>
      <c r="D62" s="9"/>
      <c r="E62" s="9"/>
      <c r="F62" s="10"/>
      <c r="G62" s="9"/>
      <c r="H62" s="9"/>
      <c r="I62" s="10"/>
    </row>
    <row r="63" spans="1:9" ht="13.8" x14ac:dyDescent="0.3">
      <c r="A63" s="9"/>
      <c r="B63" s="9"/>
      <c r="C63" s="9"/>
      <c r="D63" s="9"/>
      <c r="E63" s="9"/>
      <c r="F63" s="10"/>
      <c r="G63" s="9"/>
      <c r="H63" s="9"/>
      <c r="I63" s="10"/>
    </row>
    <row r="64" spans="1:9" ht="13.8" x14ac:dyDescent="0.3">
      <c r="A64" s="9"/>
      <c r="B64" s="9"/>
      <c r="C64" s="9"/>
      <c r="D64" s="9"/>
      <c r="E64" s="9"/>
      <c r="F64" s="10"/>
      <c r="G64" s="9"/>
      <c r="H64" s="9"/>
      <c r="I64" s="10"/>
    </row>
    <row r="65" spans="1:9" ht="13.8" x14ac:dyDescent="0.3">
      <c r="A65" s="9"/>
      <c r="B65" s="9"/>
      <c r="C65" s="9"/>
      <c r="D65" s="9"/>
      <c r="E65" s="9"/>
      <c r="F65" s="10"/>
      <c r="G65" s="9"/>
      <c r="H65" s="9"/>
      <c r="I65" s="10"/>
    </row>
    <row r="66" spans="1:9" ht="13.8" x14ac:dyDescent="0.3">
      <c r="A66" s="9"/>
      <c r="B66" s="9"/>
      <c r="C66" s="9"/>
      <c r="D66" s="9"/>
      <c r="E66" s="9"/>
      <c r="F66" s="10"/>
      <c r="G66" s="9"/>
      <c r="H66" s="9"/>
      <c r="I66" s="10"/>
    </row>
    <row r="67" spans="1:9" ht="13.8" x14ac:dyDescent="0.3">
      <c r="A67" s="9"/>
      <c r="B67" s="9"/>
      <c r="C67" s="9"/>
      <c r="D67" s="9"/>
      <c r="E67" s="9"/>
      <c r="F67" s="10"/>
      <c r="G67" s="9"/>
      <c r="H67" s="9"/>
      <c r="I67" s="10"/>
    </row>
    <row r="68" spans="1:9" ht="13.8" x14ac:dyDescent="0.3">
      <c r="A68" s="9"/>
      <c r="B68" s="9"/>
      <c r="C68" s="9"/>
      <c r="D68" s="9"/>
      <c r="E68" s="9"/>
      <c r="F68" s="10"/>
      <c r="G68" s="9"/>
      <c r="H68" s="9"/>
      <c r="I68" s="10"/>
    </row>
    <row r="69" spans="1:9" ht="13.8" x14ac:dyDescent="0.3">
      <c r="A69" s="9"/>
      <c r="B69" s="9"/>
      <c r="C69" s="9"/>
      <c r="D69" s="9"/>
      <c r="E69" s="9"/>
      <c r="F69" s="10"/>
      <c r="G69" s="9"/>
      <c r="H69" s="9"/>
      <c r="I69" s="10"/>
    </row>
    <row r="70" spans="1:9" ht="13.8" x14ac:dyDescent="0.3">
      <c r="A70" s="9"/>
      <c r="B70" s="9"/>
      <c r="C70" s="9"/>
      <c r="D70" s="9"/>
      <c r="E70" s="9"/>
      <c r="F70" s="10"/>
      <c r="G70" s="9"/>
      <c r="H70" s="9"/>
      <c r="I70" s="10"/>
    </row>
    <row r="71" spans="1:9" ht="13.8" x14ac:dyDescent="0.3">
      <c r="A71" s="9"/>
      <c r="B71" s="9"/>
      <c r="C71" s="9"/>
      <c r="D71" s="9"/>
      <c r="E71" s="9"/>
      <c r="F71" s="10"/>
      <c r="G71" s="9"/>
      <c r="H71" s="9"/>
      <c r="I71" s="10"/>
    </row>
    <row r="72" spans="1:9" ht="13.8" x14ac:dyDescent="0.3">
      <c r="A72" s="9"/>
      <c r="B72" s="9"/>
      <c r="C72" s="9"/>
      <c r="D72" s="9"/>
      <c r="E72" s="9"/>
      <c r="F72" s="10"/>
      <c r="G72" s="9"/>
      <c r="H72" s="9"/>
      <c r="I72" s="10"/>
    </row>
    <row r="73" spans="1:9" ht="13.8" x14ac:dyDescent="0.3">
      <c r="A73" s="9"/>
      <c r="B73" s="9"/>
      <c r="C73" s="9"/>
      <c r="D73" s="9"/>
      <c r="E73" s="9"/>
      <c r="F73" s="10"/>
      <c r="G73" s="9"/>
      <c r="H73" s="9"/>
      <c r="I73" s="10"/>
    </row>
    <row r="74" spans="1:9" ht="13.8" x14ac:dyDescent="0.3">
      <c r="A74" s="9"/>
      <c r="B74" s="9"/>
      <c r="C74" s="9"/>
      <c r="D74" s="9"/>
      <c r="E74" s="9"/>
      <c r="F74" s="10"/>
      <c r="G74" s="9"/>
      <c r="H74" s="9"/>
      <c r="I74" s="10"/>
    </row>
    <row r="75" spans="1:9" ht="13.8" x14ac:dyDescent="0.3">
      <c r="A75" s="9"/>
      <c r="B75" s="9"/>
      <c r="C75" s="9"/>
      <c r="D75" s="9"/>
      <c r="E75" s="9"/>
      <c r="F75" s="10"/>
      <c r="G75" s="9"/>
      <c r="H75" s="9"/>
      <c r="I75" s="10"/>
    </row>
    <row r="76" spans="1:9" ht="13.8" x14ac:dyDescent="0.3">
      <c r="A76" s="9"/>
      <c r="B76" s="9"/>
      <c r="C76" s="9"/>
      <c r="D76" s="9"/>
      <c r="E76" s="9"/>
      <c r="F76" s="10"/>
      <c r="G76" s="9"/>
      <c r="H76" s="9"/>
      <c r="I76" s="10"/>
    </row>
    <row r="77" spans="1:9" ht="13.8" x14ac:dyDescent="0.3">
      <c r="A77" s="9"/>
      <c r="B77" s="9"/>
      <c r="C77" s="9"/>
      <c r="D77" s="9"/>
      <c r="E77" s="9"/>
      <c r="F77" s="10"/>
      <c r="G77" s="9"/>
      <c r="H77" s="9"/>
      <c r="I77" s="10"/>
    </row>
    <row r="78" spans="1:9" ht="13.8" x14ac:dyDescent="0.3">
      <c r="A78" s="9"/>
      <c r="B78" s="9"/>
      <c r="C78" s="9"/>
      <c r="D78" s="9"/>
      <c r="E78" s="9"/>
      <c r="F78" s="10"/>
      <c r="G78" s="9"/>
      <c r="H78" s="9"/>
      <c r="I78" s="10"/>
    </row>
    <row r="79" spans="1:9" ht="13.8" x14ac:dyDescent="0.3">
      <c r="A79" s="9"/>
      <c r="B79" s="9"/>
      <c r="C79" s="9"/>
      <c r="D79" s="9"/>
      <c r="E79" s="9"/>
      <c r="F79" s="10"/>
      <c r="G79" s="9"/>
      <c r="H79" s="9"/>
      <c r="I79" s="10"/>
    </row>
    <row r="80" spans="1:9" ht="13.8" x14ac:dyDescent="0.3">
      <c r="A80" s="9"/>
      <c r="B80" s="9"/>
      <c r="C80" s="9"/>
      <c r="D80" s="9"/>
      <c r="E80" s="9"/>
      <c r="F80" s="10"/>
      <c r="G80" s="9"/>
      <c r="H80" s="9"/>
      <c r="I80" s="10"/>
    </row>
    <row r="81" spans="1:9" ht="13.8" x14ac:dyDescent="0.3">
      <c r="A81" s="9"/>
      <c r="B81" s="9"/>
      <c r="C81" s="9"/>
      <c r="D81" s="9"/>
      <c r="E81" s="9"/>
      <c r="F81" s="10"/>
      <c r="G81" s="9"/>
      <c r="H81" s="9"/>
      <c r="I81" s="10"/>
    </row>
    <row r="82" spans="1:9" ht="13.8" x14ac:dyDescent="0.3">
      <c r="A82" s="9"/>
      <c r="B82" s="9"/>
      <c r="C82" s="9"/>
      <c r="D82" s="9"/>
      <c r="E82" s="9"/>
      <c r="F82" s="10"/>
      <c r="G82" s="9"/>
      <c r="H82" s="9"/>
      <c r="I82" s="10"/>
    </row>
    <row r="83" spans="1:9" ht="13.8" x14ac:dyDescent="0.3">
      <c r="A83" s="9"/>
      <c r="B83" s="9"/>
      <c r="C83" s="9"/>
      <c r="D83" s="9"/>
      <c r="E83" s="9"/>
      <c r="F83" s="10"/>
      <c r="G83" s="9"/>
      <c r="H83" s="9"/>
      <c r="I83" s="10"/>
    </row>
    <row r="84" spans="1:9" ht="13.8" x14ac:dyDescent="0.3">
      <c r="A84" s="9"/>
      <c r="B84" s="9"/>
      <c r="C84" s="9"/>
      <c r="D84" s="9"/>
      <c r="E84" s="9"/>
      <c r="F84" s="10"/>
      <c r="G84" s="9"/>
      <c r="H84" s="9"/>
      <c r="I84" s="10"/>
    </row>
    <row r="85" spans="1:9" ht="13.8" x14ac:dyDescent="0.3">
      <c r="A85" s="9"/>
      <c r="B85" s="9"/>
      <c r="C85" s="9"/>
      <c r="D85" s="9"/>
      <c r="E85" s="9"/>
      <c r="F85" s="10"/>
      <c r="G85" s="9"/>
      <c r="H85" s="9"/>
      <c r="I85" s="10"/>
    </row>
    <row r="86" spans="1:9" ht="13.8" x14ac:dyDescent="0.3">
      <c r="A86" s="9"/>
      <c r="B86" s="9"/>
      <c r="C86" s="9"/>
      <c r="D86" s="9"/>
      <c r="E86" s="9"/>
      <c r="F86" s="10"/>
      <c r="G86" s="9"/>
      <c r="H86" s="9"/>
      <c r="I86" s="10"/>
    </row>
    <row r="87" spans="1:9" ht="13.8" x14ac:dyDescent="0.3">
      <c r="A87" s="9"/>
      <c r="B87" s="9"/>
      <c r="C87" s="9"/>
      <c r="D87" s="9"/>
      <c r="E87" s="9"/>
      <c r="F87" s="10"/>
      <c r="G87" s="9"/>
      <c r="H87" s="9"/>
      <c r="I87" s="10"/>
    </row>
    <row r="88" spans="1:9" ht="13.8" x14ac:dyDescent="0.3">
      <c r="A88" s="9"/>
      <c r="B88" s="9"/>
      <c r="C88" s="9"/>
      <c r="D88" s="9"/>
      <c r="E88" s="9"/>
      <c r="F88" s="10"/>
      <c r="G88" s="9"/>
      <c r="H88" s="9"/>
      <c r="I88" s="10"/>
    </row>
    <row r="89" spans="1:9" ht="13.8" x14ac:dyDescent="0.3">
      <c r="A89" s="9"/>
      <c r="B89" s="9"/>
      <c r="C89" s="9"/>
      <c r="D89" s="9"/>
      <c r="E89" s="9"/>
      <c r="F89" s="10"/>
      <c r="G89" s="9"/>
      <c r="H89" s="9"/>
      <c r="I89" s="10"/>
    </row>
    <row r="90" spans="1:9" ht="13.8" x14ac:dyDescent="0.3">
      <c r="A90" s="9"/>
      <c r="B90" s="9"/>
      <c r="C90" s="9"/>
      <c r="D90" s="9"/>
      <c r="E90" s="9"/>
      <c r="F90" s="10"/>
      <c r="G90" s="9"/>
      <c r="H90" s="9"/>
      <c r="I90" s="10"/>
    </row>
    <row r="91" spans="1:9" ht="13.8" x14ac:dyDescent="0.3">
      <c r="A91" s="9"/>
      <c r="B91" s="9"/>
      <c r="C91" s="9"/>
      <c r="D91" s="9"/>
      <c r="E91" s="9"/>
      <c r="F91" s="10"/>
      <c r="G91" s="9"/>
      <c r="H91" s="9"/>
      <c r="I91" s="10"/>
    </row>
    <row r="92" spans="1:9" ht="13.8" x14ac:dyDescent="0.3">
      <c r="A92" s="9"/>
      <c r="B92" s="9"/>
      <c r="C92" s="9"/>
      <c r="D92" s="9"/>
      <c r="E92" s="9"/>
      <c r="F92" s="10"/>
      <c r="G92" s="9"/>
      <c r="H92" s="9"/>
      <c r="I92" s="10"/>
    </row>
    <row r="93" spans="1:9" ht="13.8" x14ac:dyDescent="0.3">
      <c r="A93" s="9"/>
      <c r="B93" s="9"/>
      <c r="C93" s="9"/>
      <c r="D93" s="9"/>
      <c r="E93" s="9"/>
      <c r="F93" s="10"/>
      <c r="G93" s="9"/>
      <c r="H93" s="9"/>
      <c r="I93" s="10"/>
    </row>
    <row r="94" spans="1:9" ht="13.8" x14ac:dyDescent="0.3">
      <c r="A94" s="9"/>
      <c r="B94" s="9"/>
      <c r="C94" s="9"/>
      <c r="D94" s="9"/>
      <c r="E94" s="9"/>
      <c r="F94" s="10"/>
      <c r="G94" s="9"/>
      <c r="H94" s="9"/>
      <c r="I94" s="10"/>
    </row>
    <row r="95" spans="1:9" ht="13.8" x14ac:dyDescent="0.3">
      <c r="A95" s="9"/>
      <c r="B95" s="9"/>
      <c r="C95" s="9"/>
      <c r="D95" s="9"/>
      <c r="E95" s="9"/>
      <c r="F95" s="10"/>
      <c r="G95" s="9"/>
      <c r="H95" s="9"/>
      <c r="I95" s="10"/>
    </row>
    <row r="96" spans="1:9" ht="13.8" x14ac:dyDescent="0.3">
      <c r="A96" s="9"/>
      <c r="B96" s="9"/>
      <c r="C96" s="9"/>
      <c r="D96" s="9"/>
      <c r="E96" s="9"/>
      <c r="F96" s="10"/>
      <c r="G96" s="9"/>
      <c r="H96" s="9"/>
      <c r="I96" s="10"/>
    </row>
    <row r="97" spans="1:9" ht="13.8" x14ac:dyDescent="0.3">
      <c r="A97" s="9"/>
      <c r="B97" s="9"/>
      <c r="C97" s="9"/>
      <c r="D97" s="9"/>
      <c r="E97" s="9"/>
      <c r="F97" s="10"/>
      <c r="G97" s="9"/>
      <c r="H97" s="9"/>
      <c r="I97" s="10"/>
    </row>
    <row r="98" spans="1:9" ht="13.8" x14ac:dyDescent="0.3">
      <c r="A98" s="9"/>
      <c r="B98" s="9"/>
      <c r="C98" s="9"/>
      <c r="D98" s="9"/>
      <c r="E98" s="9"/>
      <c r="F98" s="10"/>
      <c r="G98" s="9"/>
      <c r="H98" s="9"/>
      <c r="I98" s="10"/>
    </row>
    <row r="99" spans="1:9" ht="13.8" x14ac:dyDescent="0.3">
      <c r="A99" s="9"/>
      <c r="B99" s="9"/>
      <c r="C99" s="9"/>
      <c r="D99" s="9"/>
      <c r="E99" s="9"/>
      <c r="F99" s="10"/>
      <c r="G99" s="9"/>
      <c r="H99" s="9"/>
      <c r="I99" s="10"/>
    </row>
    <row r="100" spans="1:9" ht="13.8" x14ac:dyDescent="0.3">
      <c r="A100" s="9"/>
      <c r="B100" s="9"/>
      <c r="C100" s="9"/>
      <c r="D100" s="9"/>
      <c r="E100" s="9"/>
      <c r="F100" s="10"/>
      <c r="G100" s="9"/>
      <c r="H100" s="9"/>
      <c r="I100" s="10"/>
    </row>
    <row r="101" spans="1:9" ht="13.8" x14ac:dyDescent="0.3">
      <c r="A101" s="9"/>
      <c r="B101" s="9"/>
      <c r="C101" s="9"/>
      <c r="D101" s="9"/>
      <c r="E101" s="9"/>
      <c r="F101" s="10"/>
      <c r="G101" s="9"/>
      <c r="H101" s="9"/>
      <c r="I101" s="10"/>
    </row>
    <row r="102" spans="1:9" ht="13.8" x14ac:dyDescent="0.3">
      <c r="A102" s="9"/>
      <c r="B102" s="9"/>
      <c r="C102" s="9"/>
      <c r="D102" s="9"/>
      <c r="E102" s="9"/>
      <c r="F102" s="10"/>
      <c r="G102" s="9"/>
      <c r="H102" s="9"/>
      <c r="I102" s="10"/>
    </row>
    <row r="103" spans="1:9" ht="13.8" x14ac:dyDescent="0.3">
      <c r="A103" s="9"/>
      <c r="B103" s="9"/>
      <c r="C103" s="9"/>
      <c r="D103" s="9"/>
      <c r="E103" s="9"/>
      <c r="F103" s="10"/>
      <c r="G103" s="9"/>
      <c r="H103" s="9"/>
      <c r="I103" s="10"/>
    </row>
    <row r="104" spans="1:9" ht="13.8" x14ac:dyDescent="0.3">
      <c r="A104" s="9"/>
      <c r="B104" s="9"/>
      <c r="C104" s="9"/>
      <c r="D104" s="9"/>
      <c r="E104" s="9"/>
      <c r="F104" s="10"/>
      <c r="G104" s="9"/>
      <c r="H104" s="9"/>
      <c r="I104" s="10"/>
    </row>
    <row r="105" spans="1:9" ht="13.8" x14ac:dyDescent="0.3">
      <c r="A105" s="9"/>
      <c r="B105" s="9"/>
      <c r="C105" s="9"/>
      <c r="D105" s="9"/>
      <c r="E105" s="9"/>
      <c r="F105" s="10"/>
      <c r="G105" s="9"/>
      <c r="H105" s="9"/>
      <c r="I105" s="10"/>
    </row>
    <row r="106" spans="1:9" ht="13.8" x14ac:dyDescent="0.3">
      <c r="A106" s="9"/>
      <c r="B106" s="9"/>
      <c r="C106" s="9"/>
      <c r="D106" s="9"/>
      <c r="E106" s="9"/>
      <c r="F106" s="10"/>
      <c r="G106" s="9"/>
      <c r="H106" s="9"/>
      <c r="I106" s="10"/>
    </row>
    <row r="107" spans="1:9" ht="13.8" x14ac:dyDescent="0.3">
      <c r="A107" s="9"/>
      <c r="B107" s="9"/>
      <c r="C107" s="9"/>
      <c r="D107" s="9"/>
      <c r="E107" s="9"/>
      <c r="F107" s="10"/>
      <c r="G107" s="9"/>
      <c r="H107" s="9"/>
      <c r="I107" s="10"/>
    </row>
    <row r="108" spans="1:9" ht="13.8" x14ac:dyDescent="0.3">
      <c r="A108" s="9"/>
      <c r="B108" s="9"/>
      <c r="C108" s="9"/>
      <c r="D108" s="9"/>
      <c r="E108" s="9"/>
      <c r="F108" s="10"/>
      <c r="G108" s="9"/>
      <c r="H108" s="9"/>
      <c r="I108" s="10"/>
    </row>
    <row r="109" spans="1:9" ht="13.8" x14ac:dyDescent="0.3">
      <c r="A109" s="9"/>
      <c r="B109" s="9"/>
      <c r="C109" s="9"/>
      <c r="D109" s="9"/>
      <c r="E109" s="9"/>
      <c r="F109" s="10"/>
      <c r="G109" s="9"/>
      <c r="H109" s="9"/>
      <c r="I109" s="10"/>
    </row>
    <row r="110" spans="1:9" ht="13.8" x14ac:dyDescent="0.3">
      <c r="A110" s="9"/>
      <c r="B110" s="9"/>
      <c r="C110" s="9"/>
      <c r="D110" s="9"/>
      <c r="E110" s="9"/>
      <c r="F110" s="10"/>
      <c r="G110" s="9"/>
      <c r="H110" s="9"/>
      <c r="I110" s="10"/>
    </row>
    <row r="111" spans="1:9" ht="13.8" x14ac:dyDescent="0.3">
      <c r="A111" s="9"/>
      <c r="B111" s="9"/>
      <c r="C111" s="9"/>
      <c r="D111" s="9"/>
      <c r="E111" s="9"/>
      <c r="F111" s="10"/>
      <c r="G111" s="9"/>
      <c r="H111" s="9"/>
      <c r="I111" s="10"/>
    </row>
    <row r="112" spans="1:9" ht="13.8" x14ac:dyDescent="0.3">
      <c r="A112" s="9"/>
      <c r="B112" s="9"/>
      <c r="C112" s="9"/>
      <c r="D112" s="9"/>
      <c r="E112" s="9"/>
      <c r="F112" s="10"/>
      <c r="G112" s="9"/>
      <c r="H112" s="9"/>
      <c r="I112" s="10"/>
    </row>
    <row r="113" spans="1:9" ht="13.8" x14ac:dyDescent="0.3">
      <c r="A113" s="9"/>
      <c r="B113" s="9"/>
      <c r="C113" s="9"/>
      <c r="D113" s="9"/>
      <c r="E113" s="9"/>
      <c r="F113" s="10"/>
      <c r="G113" s="9"/>
      <c r="H113" s="9"/>
      <c r="I113" s="10"/>
    </row>
    <row r="114" spans="1:9" ht="13.8" x14ac:dyDescent="0.3">
      <c r="A114" s="9"/>
      <c r="B114" s="9"/>
      <c r="C114" s="9"/>
      <c r="D114" s="9"/>
      <c r="E114" s="9"/>
      <c r="F114" s="10"/>
      <c r="G114" s="9"/>
      <c r="H114" s="9"/>
      <c r="I114" s="10"/>
    </row>
    <row r="115" spans="1:9" ht="13.8" x14ac:dyDescent="0.3">
      <c r="A115" s="9"/>
      <c r="B115" s="9"/>
      <c r="C115" s="9"/>
      <c r="D115" s="9"/>
      <c r="E115" s="9"/>
      <c r="F115" s="10"/>
      <c r="G115" s="9"/>
      <c r="H115" s="9"/>
      <c r="I115" s="10"/>
    </row>
    <row r="116" spans="1:9" ht="13.8" x14ac:dyDescent="0.3">
      <c r="A116" s="9"/>
      <c r="B116" s="9"/>
      <c r="C116" s="9"/>
      <c r="D116" s="9"/>
      <c r="E116" s="9"/>
      <c r="F116" s="10"/>
      <c r="G116" s="9"/>
      <c r="H116" s="9"/>
      <c r="I116" s="10"/>
    </row>
    <row r="117" spans="1:9" ht="13.8" x14ac:dyDescent="0.3">
      <c r="A117" s="9"/>
      <c r="B117" s="9"/>
      <c r="C117" s="9"/>
      <c r="D117" s="9"/>
      <c r="E117" s="9"/>
      <c r="F117" s="10"/>
      <c r="G117" s="9"/>
      <c r="H117" s="9"/>
      <c r="I117" s="10"/>
    </row>
    <row r="118" spans="1:9" ht="13.8" x14ac:dyDescent="0.3">
      <c r="A118" s="9"/>
      <c r="B118" s="9"/>
      <c r="C118" s="9"/>
      <c r="D118" s="9"/>
      <c r="E118" s="9"/>
      <c r="F118" s="10"/>
      <c r="G118" s="9"/>
      <c r="H118" s="9"/>
      <c r="I118" s="10"/>
    </row>
    <row r="119" spans="1:9" ht="13.8" x14ac:dyDescent="0.3">
      <c r="A119" s="9"/>
      <c r="B119" s="9"/>
      <c r="C119" s="9"/>
      <c r="D119" s="9"/>
      <c r="E119" s="9"/>
      <c r="F119" s="10"/>
      <c r="G119" s="9"/>
      <c r="H119" s="9"/>
      <c r="I119" s="10"/>
    </row>
    <row r="120" spans="1:9" ht="13.8" x14ac:dyDescent="0.3">
      <c r="A120" s="9"/>
      <c r="B120" s="9"/>
      <c r="C120" s="9"/>
      <c r="D120" s="9"/>
      <c r="E120" s="9"/>
      <c r="F120" s="10"/>
      <c r="G120" s="9"/>
      <c r="H120" s="9"/>
      <c r="I120" s="10"/>
    </row>
    <row r="121" spans="1:9" ht="13.8" x14ac:dyDescent="0.3">
      <c r="A121" s="9"/>
      <c r="B121" s="9"/>
      <c r="C121" s="9"/>
      <c r="D121" s="9"/>
      <c r="E121" s="9"/>
      <c r="F121" s="10"/>
      <c r="G121" s="9"/>
      <c r="H121" s="9"/>
      <c r="I121" s="10"/>
    </row>
    <row r="122" spans="1:9" ht="13.8" x14ac:dyDescent="0.3">
      <c r="A122" s="9"/>
      <c r="B122" s="9"/>
      <c r="C122" s="9"/>
      <c r="D122" s="9"/>
      <c r="E122" s="9"/>
      <c r="F122" s="10"/>
      <c r="G122" s="9"/>
      <c r="H122" s="9"/>
      <c r="I122" s="10"/>
    </row>
    <row r="123" spans="1:9" ht="13.8" x14ac:dyDescent="0.3">
      <c r="A123" s="9"/>
      <c r="B123" s="9"/>
      <c r="C123" s="9"/>
      <c r="D123" s="9"/>
      <c r="E123" s="9"/>
      <c r="F123" s="10"/>
      <c r="G123" s="9"/>
      <c r="H123" s="9"/>
      <c r="I123" s="10"/>
    </row>
    <row r="124" spans="1:9" ht="13.8" x14ac:dyDescent="0.3">
      <c r="A124" s="9"/>
      <c r="B124" s="9"/>
      <c r="C124" s="9"/>
      <c r="D124" s="9"/>
      <c r="E124" s="9"/>
      <c r="F124" s="10"/>
      <c r="G124" s="9"/>
      <c r="H124" s="9"/>
      <c r="I124" s="10"/>
    </row>
    <row r="125" spans="1:9" ht="13.8" x14ac:dyDescent="0.3">
      <c r="A125" s="9"/>
      <c r="B125" s="9"/>
      <c r="C125" s="9"/>
      <c r="D125" s="9"/>
      <c r="E125" s="9"/>
      <c r="F125" s="10"/>
      <c r="G125" s="9"/>
      <c r="H125" s="9"/>
      <c r="I125" s="10"/>
    </row>
    <row r="126" spans="1:9" ht="13.8" x14ac:dyDescent="0.3">
      <c r="A126" s="9"/>
      <c r="B126" s="9"/>
      <c r="C126" s="9"/>
      <c r="D126" s="9"/>
      <c r="E126" s="9"/>
      <c r="F126" s="10"/>
      <c r="G126" s="9"/>
      <c r="H126" s="9"/>
      <c r="I126" s="10"/>
    </row>
    <row r="127" spans="1:9" ht="13.8" x14ac:dyDescent="0.3">
      <c r="A127" s="9"/>
      <c r="B127" s="9"/>
      <c r="C127" s="9"/>
      <c r="D127" s="9"/>
      <c r="E127" s="9"/>
      <c r="F127" s="10"/>
      <c r="G127" s="9"/>
      <c r="H127" s="9"/>
      <c r="I127" s="10"/>
    </row>
    <row r="128" spans="1:9" ht="13.8" x14ac:dyDescent="0.3">
      <c r="A128" s="9"/>
      <c r="B128" s="9"/>
      <c r="C128" s="9"/>
      <c r="D128" s="9"/>
      <c r="E128" s="9"/>
      <c r="F128" s="10"/>
      <c r="G128" s="9"/>
      <c r="H128" s="9"/>
      <c r="I128" s="10"/>
    </row>
    <row r="129" spans="1:9" ht="13.8" x14ac:dyDescent="0.3">
      <c r="A129" s="9"/>
      <c r="B129" s="9"/>
      <c r="C129" s="9"/>
      <c r="D129" s="9"/>
      <c r="E129" s="9"/>
      <c r="F129" s="10"/>
      <c r="G129" s="9"/>
      <c r="H129" s="9"/>
      <c r="I129" s="10"/>
    </row>
    <row r="130" spans="1:9" ht="13.8" x14ac:dyDescent="0.3">
      <c r="A130" s="9"/>
      <c r="B130" s="9"/>
      <c r="C130" s="9"/>
      <c r="D130" s="9"/>
      <c r="E130" s="9"/>
      <c r="F130" s="10"/>
      <c r="G130" s="9"/>
      <c r="H130" s="9"/>
      <c r="I130" s="10"/>
    </row>
    <row r="131" spans="1:9" ht="13.8" x14ac:dyDescent="0.3">
      <c r="A131" s="9"/>
      <c r="B131" s="9"/>
      <c r="C131" s="9"/>
      <c r="D131" s="9"/>
      <c r="E131" s="9"/>
      <c r="F131" s="10"/>
      <c r="G131" s="9"/>
      <c r="H131" s="9"/>
      <c r="I131" s="10"/>
    </row>
    <row r="132" spans="1:9" ht="13.8" x14ac:dyDescent="0.3">
      <c r="A132" s="9"/>
      <c r="B132" s="9"/>
      <c r="C132" s="9"/>
      <c r="D132" s="9"/>
      <c r="E132" s="9"/>
      <c r="F132" s="10"/>
      <c r="G132" s="9"/>
      <c r="H132" s="9"/>
      <c r="I132" s="10"/>
    </row>
    <row r="133" spans="1:9" ht="13.8" x14ac:dyDescent="0.3">
      <c r="A133" s="9"/>
      <c r="B133" s="9"/>
      <c r="C133" s="9"/>
      <c r="D133" s="9"/>
      <c r="E133" s="9"/>
      <c r="F133" s="10"/>
      <c r="G133" s="9"/>
      <c r="H133" s="9"/>
      <c r="I133" s="10"/>
    </row>
    <row r="134" spans="1:9" ht="13.8" x14ac:dyDescent="0.3">
      <c r="A134" s="9"/>
      <c r="B134" s="9"/>
      <c r="C134" s="9"/>
      <c r="D134" s="9"/>
      <c r="E134" s="9"/>
      <c r="F134" s="10"/>
      <c r="G134" s="9"/>
      <c r="H134" s="9"/>
      <c r="I134" s="10"/>
    </row>
    <row r="135" spans="1:9" ht="13.8" x14ac:dyDescent="0.3">
      <c r="A135" s="9"/>
      <c r="B135" s="9"/>
      <c r="C135" s="9"/>
      <c r="D135" s="9"/>
      <c r="E135" s="9"/>
      <c r="F135" s="10"/>
      <c r="G135" s="9"/>
      <c r="H135" s="9"/>
      <c r="I135" s="10"/>
    </row>
    <row r="136" spans="1:9" ht="13.8" x14ac:dyDescent="0.3">
      <c r="A136" s="9"/>
      <c r="B136" s="9"/>
      <c r="C136" s="9"/>
      <c r="D136" s="9"/>
      <c r="E136" s="9"/>
      <c r="F136" s="10"/>
      <c r="G136" s="9"/>
      <c r="H136" s="9"/>
      <c r="I136" s="10"/>
    </row>
    <row r="137" spans="1:9" ht="13.8" x14ac:dyDescent="0.3">
      <c r="A137" s="9"/>
      <c r="B137" s="9"/>
      <c r="C137" s="9"/>
      <c r="D137" s="9"/>
      <c r="E137" s="9"/>
      <c r="F137" s="10"/>
      <c r="G137" s="9"/>
      <c r="H137" s="9"/>
      <c r="I137" s="10"/>
    </row>
    <row r="138" spans="1:9" ht="13.8" x14ac:dyDescent="0.3">
      <c r="A138" s="9"/>
      <c r="B138" s="9"/>
      <c r="C138" s="9"/>
      <c r="D138" s="9"/>
      <c r="E138" s="9"/>
      <c r="F138" s="10"/>
      <c r="G138" s="9"/>
      <c r="H138" s="9"/>
      <c r="I138" s="10"/>
    </row>
    <row r="139" spans="1:9" ht="13.8" x14ac:dyDescent="0.3">
      <c r="A139" s="9"/>
      <c r="B139" s="9"/>
      <c r="C139" s="9"/>
      <c r="D139" s="9"/>
      <c r="E139" s="9"/>
      <c r="F139" s="10"/>
      <c r="G139" s="9"/>
      <c r="H139" s="9"/>
      <c r="I139" s="10"/>
    </row>
    <row r="140" spans="1:9" ht="13.8" x14ac:dyDescent="0.3">
      <c r="A140" s="9"/>
      <c r="B140" s="9"/>
      <c r="C140" s="9"/>
      <c r="D140" s="9"/>
      <c r="E140" s="9"/>
      <c r="F140" s="10"/>
      <c r="G140" s="9"/>
      <c r="H140" s="9"/>
      <c r="I140" s="10"/>
    </row>
    <row r="141" spans="1:9" ht="13.8" x14ac:dyDescent="0.3">
      <c r="A141" s="9"/>
      <c r="B141" s="9"/>
      <c r="C141" s="9"/>
      <c r="D141" s="9"/>
      <c r="E141" s="9"/>
      <c r="F141" s="10"/>
      <c r="G141" s="9"/>
      <c r="H141" s="9"/>
      <c r="I141" s="10"/>
    </row>
    <row r="142" spans="1:9" ht="13.8" x14ac:dyDescent="0.3">
      <c r="A142" s="9"/>
      <c r="B142" s="9"/>
      <c r="C142" s="9"/>
      <c r="D142" s="9"/>
      <c r="E142" s="9"/>
      <c r="F142" s="10"/>
      <c r="G142" s="9"/>
      <c r="H142" s="9"/>
      <c r="I142" s="10"/>
    </row>
    <row r="143" spans="1:9" ht="13.8" x14ac:dyDescent="0.3">
      <c r="A143" s="9"/>
      <c r="B143" s="9"/>
      <c r="C143" s="9"/>
      <c r="D143" s="9"/>
      <c r="E143" s="9"/>
      <c r="F143" s="10"/>
      <c r="G143" s="9"/>
      <c r="H143" s="9"/>
      <c r="I143" s="10"/>
    </row>
    <row r="144" spans="1:9" ht="13.8" x14ac:dyDescent="0.3">
      <c r="A144" s="9"/>
      <c r="B144" s="9"/>
      <c r="C144" s="9"/>
      <c r="D144" s="9"/>
      <c r="E144" s="9"/>
      <c r="F144" s="10"/>
      <c r="G144" s="9"/>
      <c r="H144" s="9"/>
      <c r="I144" s="10"/>
    </row>
    <row r="145" spans="1:9" ht="13.8" x14ac:dyDescent="0.3">
      <c r="A145" s="9"/>
      <c r="B145" s="9"/>
      <c r="C145" s="9"/>
      <c r="D145" s="9"/>
      <c r="E145" s="9"/>
      <c r="F145" s="10"/>
      <c r="G145" s="9"/>
      <c r="H145" s="9"/>
      <c r="I145" s="10"/>
    </row>
    <row r="146" spans="1:9" ht="13.8" x14ac:dyDescent="0.3">
      <c r="A146" s="9"/>
      <c r="B146" s="9"/>
      <c r="C146" s="9"/>
      <c r="D146" s="9"/>
      <c r="E146" s="9"/>
      <c r="F146" s="10"/>
      <c r="G146" s="9"/>
      <c r="H146" s="9"/>
      <c r="I146" s="10"/>
    </row>
    <row r="147" spans="1:9" ht="13.8" x14ac:dyDescent="0.3">
      <c r="A147" s="9"/>
      <c r="B147" s="9"/>
      <c r="C147" s="9"/>
      <c r="D147" s="9"/>
      <c r="E147" s="9"/>
      <c r="F147" s="10"/>
      <c r="G147" s="9"/>
      <c r="H147" s="9"/>
      <c r="I147" s="10"/>
    </row>
    <row r="148" spans="1:9" ht="13.8" x14ac:dyDescent="0.3">
      <c r="A148" s="9"/>
      <c r="B148" s="9"/>
      <c r="C148" s="9"/>
      <c r="D148" s="9"/>
      <c r="E148" s="9"/>
      <c r="F148" s="10"/>
      <c r="G148" s="9"/>
      <c r="H148" s="9"/>
      <c r="I148" s="10"/>
    </row>
    <row r="149" spans="1:9" ht="13.8" x14ac:dyDescent="0.3">
      <c r="A149" s="9"/>
      <c r="B149" s="9"/>
      <c r="C149" s="9"/>
      <c r="D149" s="9"/>
      <c r="E149" s="9"/>
      <c r="F149" s="10"/>
      <c r="G149" s="9"/>
      <c r="H149" s="9"/>
      <c r="I149" s="10"/>
    </row>
    <row r="150" spans="1:9" ht="13.8" x14ac:dyDescent="0.3">
      <c r="A150" s="9"/>
      <c r="B150" s="9"/>
      <c r="C150" s="9"/>
      <c r="D150" s="9"/>
      <c r="E150" s="9"/>
      <c r="F150" s="10"/>
      <c r="G150" s="9"/>
      <c r="H150" s="9"/>
      <c r="I150" s="10"/>
    </row>
    <row r="151" spans="1:9" ht="13.8" x14ac:dyDescent="0.3">
      <c r="A151" s="9"/>
      <c r="B151" s="9"/>
      <c r="C151" s="9"/>
      <c r="D151" s="9"/>
      <c r="E151" s="9"/>
      <c r="F151" s="10"/>
      <c r="G151" s="9"/>
      <c r="H151" s="9"/>
      <c r="I151" s="10"/>
    </row>
    <row r="152" spans="1:9" ht="13.8" x14ac:dyDescent="0.3">
      <c r="A152" s="9"/>
      <c r="B152" s="9"/>
      <c r="C152" s="9"/>
      <c r="D152" s="9"/>
      <c r="E152" s="9"/>
      <c r="F152" s="10"/>
      <c r="G152" s="9"/>
      <c r="H152" s="9"/>
      <c r="I152" s="10"/>
    </row>
    <row r="153" spans="1:9" ht="13.8" x14ac:dyDescent="0.3">
      <c r="A153" s="9"/>
      <c r="B153" s="9"/>
      <c r="C153" s="9"/>
      <c r="D153" s="9"/>
      <c r="E153" s="9"/>
      <c r="F153" s="10"/>
      <c r="G153" s="9"/>
      <c r="H153" s="9"/>
      <c r="I153" s="10"/>
    </row>
    <row r="154" spans="1:9" ht="13.8" x14ac:dyDescent="0.3">
      <c r="A154" s="9"/>
      <c r="B154" s="9"/>
      <c r="C154" s="9"/>
      <c r="D154" s="9"/>
      <c r="E154" s="9"/>
      <c r="F154" s="10"/>
      <c r="G154" s="9"/>
      <c r="H154" s="9"/>
      <c r="I154" s="10"/>
    </row>
    <row r="155" spans="1:9" ht="13.8" x14ac:dyDescent="0.3">
      <c r="A155" s="9"/>
      <c r="B155" s="9"/>
      <c r="C155" s="9"/>
      <c r="D155" s="9"/>
      <c r="E155" s="9"/>
      <c r="F155" s="10"/>
      <c r="G155" s="9"/>
      <c r="H155" s="9"/>
      <c r="I155" s="10"/>
    </row>
    <row r="156" spans="1:9" ht="13.8" x14ac:dyDescent="0.3">
      <c r="A156" s="9"/>
      <c r="B156" s="9"/>
      <c r="C156" s="9"/>
      <c r="D156" s="9"/>
      <c r="E156" s="9"/>
      <c r="F156" s="10"/>
      <c r="G156" s="9"/>
      <c r="H156" s="9"/>
      <c r="I156" s="10"/>
    </row>
    <row r="157" spans="1:9" ht="13.8" x14ac:dyDescent="0.3">
      <c r="A157" s="9"/>
      <c r="B157" s="9"/>
      <c r="C157" s="9"/>
      <c r="D157" s="9"/>
      <c r="E157" s="9"/>
      <c r="F157" s="10"/>
      <c r="G157" s="9"/>
      <c r="H157" s="9"/>
      <c r="I157" s="10"/>
    </row>
    <row r="158" spans="1:9" ht="13.8" x14ac:dyDescent="0.3">
      <c r="A158" s="9"/>
      <c r="B158" s="9"/>
      <c r="C158" s="9"/>
      <c r="D158" s="9"/>
      <c r="E158" s="9"/>
      <c r="F158" s="10"/>
      <c r="G158" s="9"/>
      <c r="H158" s="9"/>
      <c r="I158" s="10"/>
    </row>
    <row r="159" spans="1:9" ht="13.8" x14ac:dyDescent="0.3">
      <c r="A159" s="9"/>
      <c r="B159" s="9"/>
      <c r="C159" s="9"/>
      <c r="D159" s="9"/>
      <c r="E159" s="9"/>
      <c r="F159" s="10"/>
      <c r="G159" s="9"/>
      <c r="H159" s="9"/>
      <c r="I159" s="10"/>
    </row>
    <row r="160" spans="1:9" ht="13.8" x14ac:dyDescent="0.3">
      <c r="A160" s="9"/>
      <c r="B160" s="9"/>
      <c r="C160" s="9"/>
      <c r="D160" s="9"/>
      <c r="E160" s="9"/>
      <c r="F160" s="10"/>
      <c r="G160" s="9"/>
      <c r="H160" s="9"/>
      <c r="I160" s="10"/>
    </row>
    <row r="161" spans="1:9" ht="13.8" x14ac:dyDescent="0.3">
      <c r="A161" s="9"/>
      <c r="B161" s="9"/>
      <c r="C161" s="9"/>
      <c r="D161" s="9"/>
      <c r="E161" s="9"/>
      <c r="F161" s="10"/>
      <c r="G161" s="9"/>
      <c r="H161" s="9"/>
      <c r="I161" s="10"/>
    </row>
    <row r="162" spans="1:9" ht="13.8" x14ac:dyDescent="0.3">
      <c r="A162" s="9"/>
      <c r="B162" s="9"/>
      <c r="C162" s="9"/>
      <c r="D162" s="9"/>
      <c r="E162" s="9"/>
      <c r="F162" s="10"/>
      <c r="G162" s="9"/>
      <c r="H162" s="9"/>
      <c r="I162" s="10"/>
    </row>
    <row r="163" spans="1:9" ht="13.8" x14ac:dyDescent="0.3">
      <c r="A163" s="9"/>
      <c r="B163" s="9"/>
      <c r="C163" s="9"/>
      <c r="D163" s="9"/>
      <c r="E163" s="9"/>
      <c r="F163" s="10"/>
      <c r="G163" s="9"/>
      <c r="H163" s="9"/>
      <c r="I163" s="10"/>
    </row>
    <row r="164" spans="1:9" ht="13.8" x14ac:dyDescent="0.3">
      <c r="A164" s="9"/>
      <c r="B164" s="9"/>
      <c r="C164" s="9"/>
      <c r="D164" s="9"/>
      <c r="E164" s="9"/>
      <c r="F164" s="10"/>
      <c r="G164" s="9"/>
      <c r="H164" s="9"/>
      <c r="I164" s="10"/>
    </row>
    <row r="165" spans="1:9" ht="13.8" x14ac:dyDescent="0.3">
      <c r="A165" s="9"/>
      <c r="B165" s="9"/>
      <c r="C165" s="9"/>
      <c r="D165" s="9"/>
      <c r="E165" s="9"/>
      <c r="F165" s="10"/>
      <c r="G165" s="9"/>
      <c r="H165" s="9"/>
      <c r="I165" s="10"/>
    </row>
    <row r="166" spans="1:9" ht="13.8" x14ac:dyDescent="0.3">
      <c r="A166" s="9"/>
      <c r="B166" s="9"/>
      <c r="C166" s="9"/>
      <c r="D166" s="9"/>
      <c r="E166" s="9"/>
      <c r="F166" s="10"/>
      <c r="G166" s="9"/>
      <c r="H166" s="9"/>
      <c r="I166" s="10"/>
    </row>
    <row r="167" spans="1:9" ht="13.8" x14ac:dyDescent="0.3">
      <c r="A167" s="9"/>
      <c r="B167" s="9"/>
      <c r="C167" s="9"/>
      <c r="D167" s="9"/>
      <c r="E167" s="9"/>
      <c r="F167" s="10"/>
      <c r="G167" s="9"/>
      <c r="H167" s="9"/>
      <c r="I167" s="10"/>
    </row>
    <row r="168" spans="1:9" ht="13.8" x14ac:dyDescent="0.3">
      <c r="A168" s="9"/>
      <c r="B168" s="9"/>
      <c r="C168" s="9"/>
      <c r="D168" s="9"/>
      <c r="E168" s="9"/>
      <c r="F168" s="10"/>
      <c r="G168" s="9"/>
      <c r="H168" s="9"/>
      <c r="I168" s="10"/>
    </row>
    <row r="169" spans="1:9" ht="13.8" x14ac:dyDescent="0.3">
      <c r="A169" s="9"/>
      <c r="B169" s="9"/>
      <c r="C169" s="9"/>
      <c r="D169" s="9"/>
      <c r="E169" s="9"/>
      <c r="F169" s="10"/>
      <c r="G169" s="9"/>
      <c r="H169" s="9"/>
      <c r="I169" s="10"/>
    </row>
    <row r="170" spans="1:9" ht="13.8" x14ac:dyDescent="0.3">
      <c r="A170" s="9"/>
      <c r="B170" s="9"/>
      <c r="C170" s="9"/>
      <c r="D170" s="9"/>
      <c r="E170" s="9"/>
      <c r="F170" s="10"/>
      <c r="G170" s="9"/>
      <c r="H170" s="9"/>
      <c r="I170" s="10"/>
    </row>
    <row r="171" spans="1:9" ht="13.8" x14ac:dyDescent="0.3">
      <c r="A171" s="9"/>
      <c r="B171" s="9"/>
      <c r="C171" s="9"/>
      <c r="D171" s="9"/>
      <c r="E171" s="9"/>
      <c r="F171" s="10"/>
      <c r="G171" s="9"/>
      <c r="H171" s="9"/>
      <c r="I171" s="10"/>
    </row>
    <row r="172" spans="1:9" ht="13.8" x14ac:dyDescent="0.3">
      <c r="A172" s="9"/>
      <c r="B172" s="9"/>
      <c r="C172" s="9"/>
      <c r="D172" s="9"/>
      <c r="E172" s="9"/>
      <c r="F172" s="10"/>
      <c r="G172" s="9"/>
      <c r="H172" s="9"/>
      <c r="I172" s="10"/>
    </row>
    <row r="173" spans="1:9" ht="13.8" x14ac:dyDescent="0.3">
      <c r="A173" s="9"/>
      <c r="B173" s="9"/>
      <c r="C173" s="9"/>
      <c r="D173" s="9"/>
      <c r="E173" s="9"/>
      <c r="F173" s="10"/>
      <c r="G173" s="9"/>
      <c r="H173" s="9"/>
      <c r="I173" s="10"/>
    </row>
    <row r="174" spans="1:9" ht="13.8" x14ac:dyDescent="0.3">
      <c r="A174" s="9"/>
      <c r="B174" s="9"/>
      <c r="C174" s="9"/>
      <c r="D174" s="9"/>
      <c r="E174" s="9"/>
      <c r="F174" s="10"/>
      <c r="G174" s="9"/>
      <c r="H174" s="9"/>
      <c r="I174" s="10"/>
    </row>
    <row r="175" spans="1:9" ht="13.8" x14ac:dyDescent="0.3">
      <c r="A175" s="9"/>
      <c r="B175" s="9"/>
      <c r="C175" s="9"/>
      <c r="D175" s="9"/>
      <c r="E175" s="9"/>
      <c r="F175" s="10"/>
      <c r="G175" s="9"/>
      <c r="H175" s="9"/>
      <c r="I175" s="10"/>
    </row>
    <row r="176" spans="1:9" ht="13.8" x14ac:dyDescent="0.3">
      <c r="A176" s="9"/>
      <c r="B176" s="9"/>
      <c r="C176" s="9"/>
      <c r="D176" s="9"/>
      <c r="E176" s="9"/>
      <c r="F176" s="10"/>
      <c r="G176" s="9"/>
      <c r="H176" s="9"/>
      <c r="I176" s="10"/>
    </row>
    <row r="177" spans="1:9" ht="13.8" x14ac:dyDescent="0.3">
      <c r="A177" s="9"/>
      <c r="B177" s="9"/>
      <c r="C177" s="9"/>
      <c r="D177" s="9"/>
      <c r="E177" s="9"/>
      <c r="F177" s="10"/>
      <c r="G177" s="9"/>
      <c r="H177" s="9"/>
      <c r="I177" s="10"/>
    </row>
    <row r="178" spans="1:9" ht="13.8" x14ac:dyDescent="0.3">
      <c r="A178" s="9"/>
      <c r="B178" s="9"/>
      <c r="C178" s="9"/>
      <c r="D178" s="9"/>
      <c r="E178" s="9"/>
      <c r="F178" s="10"/>
      <c r="G178" s="9"/>
      <c r="H178" s="9"/>
      <c r="I178" s="10"/>
    </row>
    <row r="179" spans="1:9" ht="13.8" x14ac:dyDescent="0.3">
      <c r="A179" s="9"/>
      <c r="B179" s="9"/>
      <c r="C179" s="9"/>
      <c r="D179" s="9"/>
      <c r="E179" s="9"/>
      <c r="F179" s="10"/>
      <c r="G179" s="9"/>
      <c r="H179" s="9"/>
      <c r="I179" s="10"/>
    </row>
    <row r="180" spans="1:9" ht="13.8" x14ac:dyDescent="0.3">
      <c r="A180" s="9"/>
      <c r="B180" s="9"/>
      <c r="C180" s="9"/>
      <c r="D180" s="9"/>
      <c r="E180" s="9"/>
      <c r="F180" s="10"/>
      <c r="G180" s="9"/>
      <c r="H180" s="9"/>
      <c r="I180" s="10"/>
    </row>
    <row r="181" spans="1:9" ht="13.8" x14ac:dyDescent="0.3">
      <c r="A181" s="9"/>
      <c r="B181" s="9"/>
      <c r="C181" s="9"/>
      <c r="D181" s="9"/>
      <c r="E181" s="9"/>
      <c r="F181" s="10"/>
      <c r="G181" s="9"/>
      <c r="H181" s="9"/>
      <c r="I181" s="10"/>
    </row>
    <row r="182" spans="1:9" ht="13.8" x14ac:dyDescent="0.3">
      <c r="A182" s="9"/>
      <c r="B182" s="9"/>
      <c r="C182" s="9"/>
      <c r="D182" s="9"/>
      <c r="E182" s="9"/>
      <c r="F182" s="10"/>
      <c r="G182" s="9"/>
      <c r="H182" s="9"/>
      <c r="I182" s="10"/>
    </row>
    <row r="183" spans="1:9" ht="13.8" x14ac:dyDescent="0.3">
      <c r="A183" s="9"/>
      <c r="B183" s="9"/>
      <c r="C183" s="9"/>
      <c r="D183" s="9"/>
      <c r="E183" s="9"/>
      <c r="F183" s="10"/>
      <c r="G183" s="9"/>
      <c r="H183" s="9"/>
      <c r="I183" s="10"/>
    </row>
    <row r="184" spans="1:9" ht="13.8" x14ac:dyDescent="0.3">
      <c r="A184" s="9"/>
      <c r="B184" s="9"/>
      <c r="C184" s="9"/>
      <c r="D184" s="9"/>
      <c r="E184" s="9"/>
      <c r="F184" s="10"/>
      <c r="G184" s="9"/>
      <c r="H184" s="9"/>
      <c r="I184" s="10"/>
    </row>
    <row r="185" spans="1:9" ht="13.8" x14ac:dyDescent="0.3">
      <c r="A185" s="9"/>
      <c r="B185" s="9"/>
      <c r="C185" s="9"/>
      <c r="D185" s="9"/>
      <c r="E185" s="9"/>
      <c r="F185" s="10"/>
      <c r="G185" s="9"/>
      <c r="H185" s="9"/>
      <c r="I185" s="10"/>
    </row>
    <row r="186" spans="1:9" ht="13.8" x14ac:dyDescent="0.3">
      <c r="A186" s="9"/>
      <c r="B186" s="9"/>
      <c r="C186" s="9"/>
      <c r="D186" s="9"/>
      <c r="E186" s="9"/>
      <c r="F186" s="10"/>
      <c r="G186" s="9"/>
      <c r="H186" s="9"/>
      <c r="I186" s="10"/>
    </row>
    <row r="187" spans="1:9" ht="13.8" x14ac:dyDescent="0.3">
      <c r="A187" s="9"/>
      <c r="B187" s="9"/>
      <c r="C187" s="9"/>
      <c r="D187" s="9"/>
      <c r="E187" s="9"/>
      <c r="F187" s="10"/>
      <c r="G187" s="9"/>
      <c r="H187" s="9"/>
      <c r="I187" s="10"/>
    </row>
    <row r="188" spans="1:9" ht="13.8" x14ac:dyDescent="0.3">
      <c r="A188" s="9"/>
      <c r="B188" s="9"/>
      <c r="C188" s="9"/>
      <c r="D188" s="9"/>
      <c r="E188" s="9"/>
      <c r="F188" s="10"/>
      <c r="G188" s="9"/>
      <c r="H188" s="9"/>
      <c r="I188" s="10"/>
    </row>
    <row r="189" spans="1:9" ht="13.8" x14ac:dyDescent="0.3">
      <c r="A189" s="9"/>
      <c r="B189" s="9"/>
      <c r="C189" s="9"/>
      <c r="D189" s="9"/>
      <c r="E189" s="9"/>
      <c r="F189" s="10"/>
      <c r="G189" s="9"/>
      <c r="H189" s="9"/>
      <c r="I189" s="10"/>
    </row>
    <row r="190" spans="1:9" ht="13.8" x14ac:dyDescent="0.3">
      <c r="A190" s="9"/>
      <c r="B190" s="9"/>
      <c r="C190" s="9"/>
      <c r="D190" s="9"/>
      <c r="E190" s="9"/>
      <c r="F190" s="10"/>
      <c r="G190" s="9"/>
      <c r="H190" s="9"/>
      <c r="I190" s="10"/>
    </row>
    <row r="191" spans="1:9" ht="13.8" x14ac:dyDescent="0.3">
      <c r="A191" s="9"/>
      <c r="B191" s="9"/>
      <c r="C191" s="9"/>
      <c r="D191" s="9"/>
      <c r="E191" s="9"/>
      <c r="F191" s="10"/>
      <c r="G191" s="9"/>
      <c r="H191" s="9"/>
      <c r="I191" s="10"/>
    </row>
    <row r="192" spans="1:9" ht="13.8" x14ac:dyDescent="0.3">
      <c r="A192" s="9"/>
      <c r="B192" s="9"/>
      <c r="C192" s="9"/>
      <c r="D192" s="9"/>
      <c r="E192" s="9"/>
      <c r="F192" s="10"/>
      <c r="G192" s="9"/>
      <c r="H192" s="9"/>
      <c r="I192" s="10"/>
    </row>
    <row r="193" spans="1:9" ht="13.8" x14ac:dyDescent="0.3">
      <c r="A193" s="9"/>
      <c r="B193" s="9"/>
      <c r="C193" s="9"/>
      <c r="D193" s="9"/>
      <c r="E193" s="9"/>
      <c r="F193" s="10"/>
      <c r="G193" s="9"/>
      <c r="H193" s="9"/>
      <c r="I193" s="10"/>
    </row>
    <row r="194" spans="1:9" ht="13.8" x14ac:dyDescent="0.3">
      <c r="A194" s="9"/>
      <c r="B194" s="9"/>
      <c r="C194" s="9"/>
      <c r="D194" s="9"/>
      <c r="E194" s="9"/>
      <c r="F194" s="10"/>
      <c r="G194" s="9"/>
      <c r="H194" s="9"/>
      <c r="I194" s="10"/>
    </row>
    <row r="195" spans="1:9" ht="13.8" x14ac:dyDescent="0.3">
      <c r="A195" s="9"/>
      <c r="B195" s="9"/>
      <c r="C195" s="9"/>
      <c r="D195" s="9"/>
      <c r="E195" s="9"/>
      <c r="F195" s="10"/>
      <c r="G195" s="9"/>
      <c r="H195" s="9"/>
      <c r="I195" s="10"/>
    </row>
    <row r="196" spans="1:9" ht="13.8" x14ac:dyDescent="0.3">
      <c r="A196" s="9"/>
      <c r="B196" s="9"/>
      <c r="C196" s="9"/>
      <c r="D196" s="9"/>
      <c r="E196" s="9"/>
      <c r="F196" s="10"/>
      <c r="G196" s="9"/>
      <c r="H196" s="9"/>
      <c r="I196" s="10"/>
    </row>
    <row r="197" spans="1:9" ht="13.8" x14ac:dyDescent="0.3">
      <c r="A197" s="9"/>
      <c r="B197" s="9"/>
      <c r="C197" s="9"/>
      <c r="D197" s="9"/>
      <c r="E197" s="9"/>
      <c r="F197" s="10"/>
      <c r="G197" s="9"/>
      <c r="H197" s="9"/>
      <c r="I197" s="10"/>
    </row>
    <row r="198" spans="1:9" ht="13.8" x14ac:dyDescent="0.3">
      <c r="A198" s="9"/>
      <c r="B198" s="9"/>
      <c r="C198" s="9"/>
      <c r="D198" s="9"/>
      <c r="E198" s="9"/>
      <c r="F198" s="10"/>
      <c r="G198" s="9"/>
      <c r="H198" s="9"/>
      <c r="I198" s="10"/>
    </row>
    <row r="199" spans="1:9" ht="13.8" x14ac:dyDescent="0.3">
      <c r="A199" s="9"/>
      <c r="B199" s="9"/>
      <c r="C199" s="9"/>
      <c r="D199" s="9"/>
      <c r="E199" s="9"/>
      <c r="F199" s="10"/>
      <c r="G199" s="9"/>
      <c r="H199" s="9"/>
      <c r="I199" s="10"/>
    </row>
    <row r="200" spans="1:9" ht="13.8" x14ac:dyDescent="0.3">
      <c r="A200" s="9"/>
      <c r="B200" s="9"/>
      <c r="C200" s="9"/>
      <c r="D200" s="9"/>
      <c r="E200" s="9"/>
      <c r="F200" s="10"/>
      <c r="G200" s="9"/>
      <c r="H200" s="9"/>
      <c r="I200" s="10"/>
    </row>
    <row r="201" spans="1:9" ht="13.8" x14ac:dyDescent="0.3">
      <c r="A201" s="9"/>
      <c r="B201" s="9"/>
      <c r="C201" s="9"/>
      <c r="D201" s="9"/>
      <c r="E201" s="9"/>
      <c r="F201" s="10"/>
      <c r="G201" s="9"/>
      <c r="H201" s="9"/>
      <c r="I201" s="10"/>
    </row>
    <row r="202" spans="1:9" ht="13.8" x14ac:dyDescent="0.3">
      <c r="A202" s="9"/>
      <c r="B202" s="9"/>
      <c r="C202" s="9"/>
      <c r="D202" s="9"/>
      <c r="E202" s="9"/>
      <c r="F202" s="10"/>
      <c r="G202" s="9"/>
      <c r="H202" s="9"/>
      <c r="I202" s="10"/>
    </row>
    <row r="203" spans="1:9" ht="13.8" x14ac:dyDescent="0.3">
      <c r="A203" s="9"/>
      <c r="B203" s="9"/>
      <c r="C203" s="9"/>
      <c r="D203" s="9"/>
      <c r="E203" s="9"/>
      <c r="F203" s="10"/>
      <c r="G203" s="9"/>
      <c r="H203" s="9"/>
      <c r="I203" s="10"/>
    </row>
    <row r="204" spans="1:9" ht="13.8" x14ac:dyDescent="0.3">
      <c r="A204" s="9"/>
      <c r="B204" s="9"/>
      <c r="C204" s="9"/>
      <c r="D204" s="9"/>
      <c r="E204" s="9"/>
      <c r="F204" s="10"/>
      <c r="G204" s="9"/>
      <c r="H204" s="9"/>
      <c r="I204" s="10"/>
    </row>
    <row r="205" spans="1:9" ht="13.8" x14ac:dyDescent="0.3">
      <c r="A205" s="9"/>
      <c r="B205" s="9"/>
      <c r="C205" s="9"/>
      <c r="D205" s="9"/>
      <c r="E205" s="9"/>
      <c r="F205" s="10"/>
      <c r="G205" s="9"/>
      <c r="H205" s="9"/>
      <c r="I205" s="10"/>
    </row>
    <row r="206" spans="1:9" ht="13.8" x14ac:dyDescent="0.3">
      <c r="A206" s="9"/>
      <c r="B206" s="9"/>
      <c r="C206" s="9"/>
      <c r="D206" s="9"/>
      <c r="E206" s="9"/>
      <c r="F206" s="10"/>
      <c r="G206" s="9"/>
      <c r="H206" s="9"/>
      <c r="I206" s="10"/>
    </row>
    <row r="207" spans="1:9" ht="13.8" x14ac:dyDescent="0.3">
      <c r="A207" s="9"/>
      <c r="B207" s="9"/>
      <c r="C207" s="9"/>
      <c r="D207" s="9"/>
      <c r="E207" s="9"/>
      <c r="F207" s="10"/>
      <c r="G207" s="9"/>
      <c r="H207" s="9"/>
      <c r="I207" s="10"/>
    </row>
    <row r="208" spans="1:9" ht="13.8" x14ac:dyDescent="0.3">
      <c r="A208" s="9"/>
      <c r="B208" s="9"/>
      <c r="C208" s="9"/>
      <c r="D208" s="9"/>
      <c r="E208" s="9"/>
      <c r="F208" s="10"/>
      <c r="G208" s="9"/>
      <c r="H208" s="9"/>
      <c r="I208" s="10"/>
    </row>
    <row r="209" spans="1:9" ht="13.8" x14ac:dyDescent="0.3">
      <c r="A209" s="9"/>
      <c r="B209" s="9"/>
      <c r="C209" s="9"/>
      <c r="D209" s="9"/>
      <c r="E209" s="9"/>
      <c r="F209" s="10"/>
      <c r="G209" s="9"/>
      <c r="H209" s="9"/>
      <c r="I209" s="10"/>
    </row>
    <row r="210" spans="1:9" ht="13.8" x14ac:dyDescent="0.3">
      <c r="A210" s="9"/>
      <c r="B210" s="9"/>
      <c r="C210" s="9"/>
      <c r="D210" s="9"/>
      <c r="E210" s="9"/>
      <c r="F210" s="10"/>
      <c r="G210" s="9"/>
      <c r="H210" s="9"/>
      <c r="I210" s="10"/>
    </row>
    <row r="211" spans="1:9" ht="13.8" x14ac:dyDescent="0.3">
      <c r="A211" s="9"/>
      <c r="B211" s="9"/>
      <c r="C211" s="9"/>
      <c r="D211" s="9"/>
      <c r="E211" s="9"/>
      <c r="F211" s="10"/>
      <c r="G211" s="9"/>
      <c r="H211" s="9"/>
      <c r="I211" s="10"/>
    </row>
    <row r="212" spans="1:9" ht="13.8" x14ac:dyDescent="0.3">
      <c r="A212" s="9"/>
      <c r="B212" s="9"/>
      <c r="C212" s="9"/>
      <c r="D212" s="9"/>
      <c r="E212" s="9"/>
      <c r="F212" s="10"/>
      <c r="G212" s="9"/>
      <c r="H212" s="9"/>
      <c r="I212" s="10"/>
    </row>
    <row r="213" spans="1:9" ht="13.8" x14ac:dyDescent="0.3">
      <c r="A213" s="9"/>
      <c r="B213" s="9"/>
      <c r="C213" s="9"/>
      <c r="D213" s="9"/>
      <c r="E213" s="9"/>
      <c r="F213" s="10"/>
      <c r="G213" s="9"/>
      <c r="H213" s="9"/>
      <c r="I213" s="10"/>
    </row>
    <row r="214" spans="1:9" ht="13.8" x14ac:dyDescent="0.3">
      <c r="A214" s="9"/>
      <c r="B214" s="9"/>
      <c r="C214" s="9"/>
      <c r="D214" s="9"/>
      <c r="E214" s="9"/>
      <c r="F214" s="10"/>
      <c r="G214" s="9"/>
      <c r="H214" s="9"/>
      <c r="I214" s="10"/>
    </row>
    <row r="215" spans="1:9" ht="13.8" x14ac:dyDescent="0.3">
      <c r="A215" s="9"/>
      <c r="B215" s="9"/>
      <c r="C215" s="9"/>
      <c r="D215" s="9"/>
      <c r="E215" s="9"/>
      <c r="F215" s="10"/>
      <c r="G215" s="9"/>
      <c r="H215" s="9"/>
      <c r="I215" s="10"/>
    </row>
    <row r="216" spans="1:9" ht="13.8" x14ac:dyDescent="0.3">
      <c r="A216" s="9"/>
      <c r="B216" s="9"/>
      <c r="C216" s="9"/>
      <c r="D216" s="9"/>
      <c r="E216" s="9"/>
      <c r="F216" s="10"/>
      <c r="G216" s="9"/>
      <c r="H216" s="9"/>
      <c r="I216" s="10"/>
    </row>
    <row r="217" spans="1:9" ht="13.8" x14ac:dyDescent="0.3">
      <c r="A217" s="9"/>
      <c r="B217" s="9"/>
      <c r="C217" s="9"/>
      <c r="D217" s="9"/>
      <c r="E217" s="9"/>
      <c r="F217" s="10"/>
      <c r="G217" s="9"/>
      <c r="H217" s="9"/>
      <c r="I217" s="10"/>
    </row>
    <row r="218" spans="1:9" ht="13.8" x14ac:dyDescent="0.3">
      <c r="A218" s="9"/>
      <c r="B218" s="9"/>
      <c r="C218" s="9"/>
      <c r="D218" s="9"/>
      <c r="E218" s="9"/>
      <c r="F218" s="10"/>
      <c r="G218" s="9"/>
      <c r="H218" s="9"/>
      <c r="I218" s="10"/>
    </row>
    <row r="219" spans="1:9" ht="13.8" x14ac:dyDescent="0.3">
      <c r="A219" s="9"/>
      <c r="B219" s="9"/>
      <c r="C219" s="9"/>
      <c r="D219" s="9"/>
      <c r="E219" s="9"/>
      <c r="F219" s="10"/>
      <c r="G219" s="9"/>
      <c r="H219" s="9"/>
      <c r="I219" s="10"/>
    </row>
    <row r="220" spans="1:9" ht="13.8" x14ac:dyDescent="0.3">
      <c r="A220" s="9"/>
      <c r="B220" s="9"/>
      <c r="C220" s="9"/>
      <c r="D220" s="9"/>
      <c r="E220" s="9"/>
      <c r="F220" s="10"/>
      <c r="G220" s="9"/>
      <c r="H220" s="9"/>
      <c r="I220" s="10"/>
    </row>
    <row r="221" spans="1:9" ht="13.8" x14ac:dyDescent="0.3">
      <c r="A221" s="9"/>
      <c r="B221" s="9"/>
      <c r="C221" s="9"/>
      <c r="D221" s="9"/>
      <c r="E221" s="9"/>
      <c r="F221" s="10"/>
      <c r="G221" s="9"/>
      <c r="H221" s="9"/>
      <c r="I221" s="10"/>
    </row>
    <row r="222" spans="1:9" ht="13.8" x14ac:dyDescent="0.3">
      <c r="A222" s="9"/>
      <c r="B222" s="9"/>
      <c r="C222" s="9"/>
      <c r="D222" s="9"/>
      <c r="E222" s="9"/>
      <c r="F222" s="10"/>
      <c r="G222" s="9"/>
      <c r="H222" s="9"/>
      <c r="I222" s="10"/>
    </row>
    <row r="223" spans="1:9" ht="13.8" x14ac:dyDescent="0.3">
      <c r="A223" s="9"/>
      <c r="B223" s="9"/>
      <c r="C223" s="9"/>
      <c r="D223" s="9"/>
      <c r="E223" s="9"/>
      <c r="F223" s="10"/>
      <c r="G223" s="9"/>
      <c r="H223" s="9"/>
      <c r="I223" s="10"/>
    </row>
    <row r="224" spans="1:9" ht="13.8" x14ac:dyDescent="0.3">
      <c r="A224" s="9"/>
      <c r="B224" s="9"/>
      <c r="C224" s="9"/>
      <c r="D224" s="9"/>
      <c r="E224" s="9"/>
      <c r="F224" s="10"/>
      <c r="G224" s="9"/>
      <c r="H224" s="9"/>
      <c r="I224" s="10"/>
    </row>
    <row r="225" spans="1:9" ht="13.8" x14ac:dyDescent="0.3">
      <c r="A225" s="9"/>
      <c r="B225" s="9"/>
      <c r="C225" s="9"/>
      <c r="D225" s="9"/>
      <c r="E225" s="9"/>
      <c r="F225" s="10"/>
      <c r="G225" s="9"/>
      <c r="H225" s="9"/>
      <c r="I225" s="10"/>
    </row>
    <row r="226" spans="1:9" ht="13.8" x14ac:dyDescent="0.3">
      <c r="A226" s="9"/>
      <c r="B226" s="9"/>
      <c r="C226" s="9"/>
      <c r="D226" s="9"/>
      <c r="E226" s="9"/>
      <c r="F226" s="10"/>
      <c r="G226" s="9"/>
      <c r="H226" s="9"/>
      <c r="I226" s="10"/>
    </row>
    <row r="227" spans="1:9" ht="13.8" x14ac:dyDescent="0.3">
      <c r="A227" s="9"/>
      <c r="B227" s="9"/>
      <c r="C227" s="9"/>
      <c r="D227" s="9"/>
      <c r="E227" s="9"/>
      <c r="F227" s="10"/>
      <c r="G227" s="9"/>
      <c r="H227" s="9"/>
      <c r="I227" s="10"/>
    </row>
    <row r="228" spans="1:9" ht="13.8" x14ac:dyDescent="0.3">
      <c r="A228" s="9"/>
      <c r="B228" s="9"/>
      <c r="C228" s="9"/>
      <c r="D228" s="9"/>
      <c r="E228" s="9"/>
      <c r="F228" s="10"/>
      <c r="G228" s="9"/>
      <c r="H228" s="9"/>
      <c r="I228" s="10"/>
    </row>
    <row r="229" spans="1:9" ht="13.8" x14ac:dyDescent="0.3">
      <c r="A229" s="9"/>
      <c r="B229" s="9"/>
      <c r="C229" s="9"/>
      <c r="D229" s="9"/>
      <c r="E229" s="9"/>
      <c r="F229" s="10"/>
      <c r="G229" s="9"/>
      <c r="H229" s="9"/>
      <c r="I229" s="10"/>
    </row>
    <row r="230" spans="1:9" ht="13.8" x14ac:dyDescent="0.3">
      <c r="A230" s="9"/>
      <c r="B230" s="9"/>
      <c r="C230" s="9"/>
      <c r="D230" s="9"/>
      <c r="E230" s="9"/>
      <c r="F230" s="10"/>
      <c r="G230" s="9"/>
      <c r="H230" s="9"/>
      <c r="I230" s="10"/>
    </row>
    <row r="231" spans="1:9" ht="13.8" x14ac:dyDescent="0.3">
      <c r="A231" s="9"/>
      <c r="B231" s="9"/>
      <c r="C231" s="9"/>
      <c r="D231" s="9"/>
      <c r="E231" s="9"/>
      <c r="F231" s="10"/>
      <c r="G231" s="9"/>
      <c r="H231" s="9"/>
      <c r="I231" s="10"/>
    </row>
    <row r="232" spans="1:9" ht="13.8" x14ac:dyDescent="0.3">
      <c r="A232" s="9"/>
      <c r="B232" s="9"/>
      <c r="C232" s="9"/>
      <c r="D232" s="9"/>
      <c r="E232" s="9"/>
      <c r="F232" s="10"/>
      <c r="G232" s="9"/>
      <c r="H232" s="9"/>
      <c r="I232" s="10"/>
    </row>
    <row r="233" spans="1:9" ht="13.8" x14ac:dyDescent="0.3">
      <c r="A233" s="9"/>
      <c r="B233" s="9"/>
      <c r="C233" s="9"/>
      <c r="D233" s="9"/>
      <c r="E233" s="9"/>
      <c r="F233" s="10"/>
      <c r="G233" s="9"/>
      <c r="H233" s="9"/>
      <c r="I233" s="10"/>
    </row>
    <row r="234" spans="1:9" ht="13.8" x14ac:dyDescent="0.3">
      <c r="A234" s="9"/>
      <c r="B234" s="9"/>
      <c r="C234" s="9"/>
      <c r="D234" s="9"/>
      <c r="E234" s="9"/>
      <c r="F234" s="10"/>
      <c r="G234" s="9"/>
      <c r="H234" s="9"/>
      <c r="I234" s="10"/>
    </row>
    <row r="235" spans="1:9" ht="13.8" x14ac:dyDescent="0.3">
      <c r="A235" s="9"/>
      <c r="B235" s="9"/>
      <c r="C235" s="9"/>
      <c r="D235" s="9"/>
      <c r="E235" s="9"/>
      <c r="F235" s="10"/>
      <c r="G235" s="9"/>
      <c r="H235" s="9"/>
      <c r="I235" s="10"/>
    </row>
    <row r="236" spans="1:9" ht="13.8" x14ac:dyDescent="0.3">
      <c r="A236" s="9"/>
      <c r="B236" s="9"/>
      <c r="C236" s="9"/>
      <c r="D236" s="9"/>
      <c r="E236" s="9"/>
      <c r="F236" s="10"/>
      <c r="G236" s="9"/>
      <c r="H236" s="9"/>
      <c r="I236" s="10"/>
    </row>
    <row r="237" spans="1:9" ht="13.8" x14ac:dyDescent="0.3">
      <c r="A237" s="9"/>
      <c r="B237" s="9"/>
      <c r="C237" s="9"/>
      <c r="D237" s="9"/>
      <c r="E237" s="9"/>
      <c r="F237" s="10"/>
      <c r="G237" s="9"/>
      <c r="H237" s="9"/>
      <c r="I237" s="10"/>
    </row>
    <row r="238" spans="1:9" ht="13.8" x14ac:dyDescent="0.3">
      <c r="A238" s="9"/>
      <c r="B238" s="9"/>
      <c r="C238" s="9"/>
      <c r="D238" s="9"/>
      <c r="E238" s="9"/>
      <c r="F238" s="10"/>
      <c r="G238" s="9"/>
      <c r="H238" s="9"/>
      <c r="I238" s="10"/>
    </row>
    <row r="239" spans="1:9" ht="13.8" x14ac:dyDescent="0.3">
      <c r="A239" s="9"/>
      <c r="B239" s="9"/>
      <c r="C239" s="9"/>
      <c r="D239" s="9"/>
      <c r="E239" s="9"/>
      <c r="F239" s="10"/>
      <c r="G239" s="9"/>
      <c r="H239" s="9"/>
      <c r="I239" s="10"/>
    </row>
    <row r="240" spans="1:9" ht="13.8" x14ac:dyDescent="0.3">
      <c r="A240" s="9"/>
      <c r="B240" s="9"/>
      <c r="C240" s="9"/>
      <c r="D240" s="9"/>
      <c r="E240" s="9"/>
      <c r="F240" s="10"/>
      <c r="G240" s="9"/>
      <c r="H240" s="9"/>
      <c r="I240" s="10"/>
    </row>
    <row r="241" spans="1:9" ht="13.8" x14ac:dyDescent="0.3">
      <c r="A241" s="9"/>
      <c r="B241" s="9"/>
      <c r="C241" s="9"/>
      <c r="D241" s="9"/>
      <c r="E241" s="9"/>
      <c r="F241" s="10"/>
      <c r="G241" s="9"/>
      <c r="H241" s="9"/>
      <c r="I241" s="10"/>
    </row>
    <row r="242" spans="1:9" ht="13.8" x14ac:dyDescent="0.3">
      <c r="A242" s="9"/>
      <c r="B242" s="9"/>
      <c r="C242" s="9"/>
      <c r="D242" s="9"/>
      <c r="E242" s="9"/>
      <c r="F242" s="10"/>
      <c r="G242" s="9"/>
      <c r="H242" s="9"/>
      <c r="I242" s="10"/>
    </row>
    <row r="243" spans="1:9" ht="13.8" x14ac:dyDescent="0.3">
      <c r="A243" s="9"/>
      <c r="B243" s="9"/>
      <c r="C243" s="9"/>
      <c r="D243" s="9"/>
      <c r="E243" s="9"/>
      <c r="F243" s="10"/>
      <c r="G243" s="9"/>
      <c r="H243" s="9"/>
      <c r="I243" s="10"/>
    </row>
    <row r="244" spans="1:9" ht="13.8" x14ac:dyDescent="0.3">
      <c r="A244" s="9"/>
      <c r="B244" s="9"/>
      <c r="C244" s="9"/>
      <c r="D244" s="9"/>
      <c r="E244" s="9"/>
      <c r="F244" s="10"/>
      <c r="G244" s="9"/>
      <c r="H244" s="9"/>
      <c r="I244" s="10"/>
    </row>
    <row r="245" spans="1:9" ht="13.8" x14ac:dyDescent="0.3">
      <c r="A245" s="9"/>
      <c r="B245" s="9"/>
      <c r="C245" s="9"/>
      <c r="D245" s="9"/>
      <c r="E245" s="9"/>
      <c r="F245" s="10"/>
      <c r="G245" s="9"/>
      <c r="H245" s="9"/>
      <c r="I245" s="10"/>
    </row>
    <row r="246" spans="1:9" ht="13.8" x14ac:dyDescent="0.3">
      <c r="A246" s="9"/>
      <c r="B246" s="9"/>
      <c r="C246" s="9"/>
      <c r="D246" s="9"/>
      <c r="E246" s="9"/>
      <c r="F246" s="10"/>
      <c r="G246" s="9"/>
      <c r="H246" s="9"/>
      <c r="I246" s="10"/>
    </row>
    <row r="247" spans="1:9" ht="13.8" x14ac:dyDescent="0.3">
      <c r="A247" s="9"/>
      <c r="B247" s="9"/>
      <c r="C247" s="9"/>
      <c r="D247" s="9"/>
      <c r="E247" s="9"/>
      <c r="F247" s="10"/>
      <c r="G247" s="9"/>
      <c r="H247" s="9"/>
      <c r="I247" s="10"/>
    </row>
    <row r="248" spans="1:9" ht="13.8" x14ac:dyDescent="0.3">
      <c r="A248" s="9"/>
      <c r="B248" s="9"/>
      <c r="C248" s="9"/>
      <c r="D248" s="9"/>
      <c r="E248" s="9"/>
      <c r="F248" s="10"/>
      <c r="G248" s="9"/>
      <c r="H248" s="9"/>
      <c r="I248" s="10"/>
    </row>
    <row r="249" spans="1:9" ht="13.8" x14ac:dyDescent="0.3">
      <c r="A249" s="9"/>
      <c r="B249" s="9"/>
      <c r="C249" s="9"/>
      <c r="D249" s="9"/>
      <c r="E249" s="9"/>
      <c r="F249" s="10"/>
      <c r="G249" s="9"/>
      <c r="H249" s="9"/>
      <c r="I249" s="10"/>
    </row>
    <row r="250" spans="1:9" ht="13.8" x14ac:dyDescent="0.3">
      <c r="A250" s="9"/>
      <c r="B250" s="9"/>
      <c r="C250" s="9"/>
      <c r="D250" s="9"/>
      <c r="E250" s="9"/>
      <c r="F250" s="10"/>
      <c r="G250" s="9"/>
      <c r="H250" s="9"/>
      <c r="I250" s="10"/>
    </row>
    <row r="251" spans="1:9" ht="13.8" x14ac:dyDescent="0.3">
      <c r="A251" s="9"/>
      <c r="B251" s="9"/>
      <c r="C251" s="9"/>
      <c r="D251" s="9"/>
      <c r="E251" s="9"/>
      <c r="F251" s="10"/>
      <c r="G251" s="9"/>
      <c r="H251" s="9"/>
      <c r="I251" s="10"/>
    </row>
    <row r="252" spans="1:9" ht="13.8" x14ac:dyDescent="0.3">
      <c r="A252" s="9"/>
      <c r="B252" s="9"/>
      <c r="C252" s="9"/>
      <c r="D252" s="9"/>
      <c r="E252" s="9"/>
      <c r="F252" s="10"/>
      <c r="G252" s="9"/>
      <c r="H252" s="9"/>
      <c r="I252" s="10"/>
    </row>
    <row r="253" spans="1:9" ht="13.8" x14ac:dyDescent="0.3">
      <c r="A253" s="9"/>
      <c r="B253" s="9"/>
      <c r="C253" s="9"/>
      <c r="D253" s="9"/>
      <c r="E253" s="9"/>
      <c r="F253" s="10"/>
      <c r="G253" s="9"/>
      <c r="H253" s="9"/>
      <c r="I253" s="10"/>
    </row>
    <row r="254" spans="1:9" ht="13.8" x14ac:dyDescent="0.3">
      <c r="A254" s="9"/>
      <c r="B254" s="9"/>
      <c r="C254" s="9"/>
      <c r="D254" s="9"/>
      <c r="E254" s="9"/>
      <c r="F254" s="10"/>
      <c r="G254" s="9"/>
      <c r="H254" s="9"/>
      <c r="I254" s="10"/>
    </row>
    <row r="255" spans="1:9" ht="13.8" x14ac:dyDescent="0.3">
      <c r="A255" s="9"/>
      <c r="B255" s="9"/>
      <c r="C255" s="9"/>
      <c r="D255" s="9"/>
      <c r="E255" s="9"/>
      <c r="F255" s="10"/>
      <c r="G255" s="9"/>
      <c r="H255" s="9"/>
      <c r="I255" s="10"/>
    </row>
    <row r="256" spans="1:9" ht="13.8" x14ac:dyDescent="0.3">
      <c r="A256" s="9"/>
      <c r="B256" s="9"/>
      <c r="C256" s="9"/>
      <c r="D256" s="9"/>
      <c r="E256" s="9"/>
      <c r="F256" s="10"/>
      <c r="G256" s="9"/>
      <c r="H256" s="9"/>
      <c r="I256" s="10"/>
    </row>
    <row r="257" spans="1:9" ht="13.8" x14ac:dyDescent="0.3">
      <c r="A257" s="9"/>
      <c r="B257" s="9"/>
      <c r="C257" s="9"/>
      <c r="D257" s="9"/>
      <c r="E257" s="9"/>
      <c r="F257" s="10"/>
      <c r="G257" s="9"/>
      <c r="H257" s="9"/>
      <c r="I257" s="10"/>
    </row>
    <row r="258" spans="1:9" ht="13.8" x14ac:dyDescent="0.3">
      <c r="A258" s="9"/>
      <c r="B258" s="9"/>
      <c r="C258" s="9"/>
      <c r="D258" s="9"/>
      <c r="E258" s="9"/>
      <c r="F258" s="10"/>
      <c r="G258" s="9"/>
      <c r="H258" s="9"/>
      <c r="I258" s="10"/>
    </row>
    <row r="259" spans="1:9" ht="13.8" x14ac:dyDescent="0.3">
      <c r="A259" s="9"/>
      <c r="B259" s="9"/>
      <c r="C259" s="9"/>
      <c r="D259" s="9"/>
      <c r="E259" s="9"/>
      <c r="F259" s="10"/>
      <c r="G259" s="9"/>
      <c r="H259" s="9"/>
      <c r="I259" s="10"/>
    </row>
    <row r="260" spans="1:9" ht="13.8" x14ac:dyDescent="0.3">
      <c r="A260" s="9"/>
      <c r="B260" s="9"/>
      <c r="C260" s="9"/>
      <c r="D260" s="9"/>
      <c r="E260" s="9"/>
      <c r="F260" s="10"/>
      <c r="G260" s="9"/>
      <c r="H260" s="9"/>
      <c r="I260" s="10"/>
    </row>
    <row r="261" spans="1:9" ht="13.8" x14ac:dyDescent="0.3">
      <c r="A261" s="9"/>
      <c r="B261" s="9"/>
      <c r="C261" s="9"/>
      <c r="D261" s="9"/>
      <c r="E261" s="9"/>
      <c r="F261" s="10"/>
      <c r="G261" s="9"/>
      <c r="H261" s="9"/>
      <c r="I261" s="10"/>
    </row>
    <row r="262" spans="1:9" ht="13.8" x14ac:dyDescent="0.3">
      <c r="A262" s="9"/>
      <c r="B262" s="9"/>
      <c r="C262" s="9"/>
      <c r="D262" s="9"/>
      <c r="E262" s="9"/>
      <c r="F262" s="10"/>
      <c r="G262" s="9"/>
      <c r="H262" s="9"/>
      <c r="I262" s="10"/>
    </row>
    <row r="263" spans="1:9" ht="13.8" x14ac:dyDescent="0.3">
      <c r="A263" s="9"/>
      <c r="B263" s="9"/>
      <c r="C263" s="9"/>
      <c r="D263" s="9"/>
      <c r="E263" s="9"/>
      <c r="F263" s="10"/>
      <c r="G263" s="9"/>
      <c r="H263" s="9"/>
      <c r="I263" s="10"/>
    </row>
    <row r="264" spans="1:9" ht="13.8" x14ac:dyDescent="0.3">
      <c r="A264" s="9"/>
      <c r="B264" s="9"/>
      <c r="C264" s="9"/>
      <c r="D264" s="9"/>
      <c r="E264" s="9"/>
      <c r="F264" s="10"/>
      <c r="G264" s="9"/>
      <c r="H264" s="9"/>
      <c r="I264" s="10"/>
    </row>
    <row r="265" spans="1:9" ht="13.8" x14ac:dyDescent="0.3">
      <c r="A265" s="9"/>
      <c r="B265" s="9"/>
      <c r="C265" s="9"/>
      <c r="D265" s="9"/>
      <c r="E265" s="9"/>
      <c r="F265" s="10"/>
      <c r="G265" s="9"/>
      <c r="H265" s="9"/>
      <c r="I265" s="10"/>
    </row>
    <row r="266" spans="1:9" ht="13.8" x14ac:dyDescent="0.3">
      <c r="A266" s="9"/>
      <c r="B266" s="9"/>
      <c r="C266" s="9"/>
      <c r="D266" s="9"/>
      <c r="E266" s="9"/>
      <c r="F266" s="10"/>
      <c r="G266" s="9"/>
      <c r="H266" s="9"/>
      <c r="I266" s="10"/>
    </row>
    <row r="267" spans="1:9" ht="13.8" x14ac:dyDescent="0.3">
      <c r="A267" s="9"/>
      <c r="B267" s="9"/>
      <c r="C267" s="9"/>
      <c r="D267" s="9"/>
      <c r="E267" s="9"/>
      <c r="F267" s="10"/>
      <c r="G267" s="9"/>
      <c r="H267" s="9"/>
      <c r="I267" s="10"/>
    </row>
    <row r="268" spans="1:9" ht="13.8" x14ac:dyDescent="0.3">
      <c r="A268" s="9"/>
      <c r="B268" s="9"/>
      <c r="C268" s="9"/>
      <c r="D268" s="9"/>
      <c r="E268" s="9"/>
      <c r="F268" s="10"/>
      <c r="G268" s="9"/>
      <c r="H268" s="9"/>
      <c r="I268" s="10"/>
    </row>
    <row r="269" spans="1:9" ht="13.8" x14ac:dyDescent="0.3">
      <c r="A269" s="9"/>
      <c r="B269" s="9"/>
      <c r="C269" s="9"/>
      <c r="D269" s="9"/>
      <c r="E269" s="9"/>
      <c r="F269" s="10"/>
      <c r="G269" s="9"/>
      <c r="H269" s="9"/>
      <c r="I269" s="10"/>
    </row>
    <row r="270" spans="1:9" ht="13.8" x14ac:dyDescent="0.3">
      <c r="A270" s="9"/>
      <c r="B270" s="9"/>
      <c r="C270" s="9"/>
      <c r="D270" s="9"/>
      <c r="E270" s="9"/>
      <c r="F270" s="10"/>
      <c r="G270" s="9"/>
      <c r="H270" s="9"/>
      <c r="I270" s="10"/>
    </row>
    <row r="271" spans="1:9" ht="13.8" x14ac:dyDescent="0.3">
      <c r="A271" s="9"/>
      <c r="B271" s="9"/>
      <c r="C271" s="9"/>
      <c r="D271" s="9"/>
      <c r="E271" s="9"/>
      <c r="F271" s="10"/>
      <c r="G271" s="9"/>
      <c r="H271" s="9"/>
      <c r="I271" s="10"/>
    </row>
    <row r="272" spans="1:9" ht="13.8" x14ac:dyDescent="0.3">
      <c r="A272" s="9"/>
      <c r="B272" s="9"/>
      <c r="C272" s="9"/>
      <c r="D272" s="9"/>
      <c r="E272" s="9"/>
      <c r="F272" s="10"/>
      <c r="G272" s="9"/>
      <c r="H272" s="9"/>
      <c r="I272" s="10"/>
    </row>
    <row r="273" spans="1:9" ht="13.8" x14ac:dyDescent="0.3">
      <c r="A273" s="9"/>
      <c r="B273" s="9"/>
      <c r="C273" s="9"/>
      <c r="D273" s="9"/>
      <c r="E273" s="9"/>
      <c r="F273" s="10"/>
      <c r="G273" s="9"/>
      <c r="H273" s="9"/>
      <c r="I273" s="10"/>
    </row>
    <row r="274" spans="1:9" ht="13.8" x14ac:dyDescent="0.3">
      <c r="A274" s="9"/>
      <c r="B274" s="9"/>
      <c r="C274" s="9"/>
      <c r="D274" s="9"/>
      <c r="E274" s="9"/>
      <c r="F274" s="10"/>
      <c r="G274" s="9"/>
      <c r="H274" s="9"/>
      <c r="I274" s="10"/>
    </row>
    <row r="275" spans="1:9" ht="13.8" x14ac:dyDescent="0.3">
      <c r="A275" s="9"/>
      <c r="B275" s="9"/>
      <c r="C275" s="9"/>
      <c r="D275" s="9"/>
      <c r="E275" s="9"/>
      <c r="F275" s="10"/>
      <c r="G275" s="9"/>
      <c r="H275" s="9"/>
      <c r="I275" s="10"/>
    </row>
    <row r="276" spans="1:9" ht="13.8" x14ac:dyDescent="0.3">
      <c r="A276" s="9"/>
      <c r="B276" s="9"/>
      <c r="C276" s="9"/>
      <c r="D276" s="9"/>
      <c r="E276" s="9"/>
      <c r="F276" s="10"/>
      <c r="G276" s="9"/>
      <c r="H276" s="9"/>
      <c r="I276" s="10"/>
    </row>
    <row r="277" spans="1:9" ht="13.8" x14ac:dyDescent="0.3">
      <c r="A277" s="9"/>
      <c r="B277" s="9"/>
      <c r="C277" s="9"/>
      <c r="D277" s="9"/>
      <c r="E277" s="9"/>
      <c r="F277" s="10"/>
      <c r="G277" s="9"/>
      <c r="H277" s="9"/>
      <c r="I277" s="10"/>
    </row>
    <row r="278" spans="1:9" ht="13.8" x14ac:dyDescent="0.3">
      <c r="A278" s="9"/>
      <c r="B278" s="9"/>
      <c r="C278" s="9"/>
      <c r="D278" s="9"/>
      <c r="E278" s="9"/>
      <c r="F278" s="10"/>
      <c r="G278" s="9"/>
      <c r="H278" s="9"/>
      <c r="I278" s="10"/>
    </row>
    <row r="279" spans="1:9" ht="13.8" x14ac:dyDescent="0.3">
      <c r="A279" s="9"/>
      <c r="B279" s="9"/>
      <c r="C279" s="9"/>
      <c r="D279" s="9"/>
      <c r="E279" s="9"/>
      <c r="F279" s="10"/>
      <c r="G279" s="9"/>
      <c r="H279" s="9"/>
      <c r="I279" s="10"/>
    </row>
    <row r="280" spans="1:9" ht="13.8" x14ac:dyDescent="0.3">
      <c r="A280" s="9"/>
      <c r="B280" s="9"/>
      <c r="C280" s="9"/>
      <c r="D280" s="9"/>
      <c r="E280" s="9"/>
      <c r="F280" s="10"/>
      <c r="G280" s="9"/>
      <c r="H280" s="9"/>
      <c r="I280" s="10"/>
    </row>
    <row r="281" spans="1:9" ht="13.8" x14ac:dyDescent="0.3">
      <c r="A281" s="9"/>
      <c r="B281" s="9"/>
      <c r="C281" s="9"/>
      <c r="D281" s="9"/>
      <c r="E281" s="9"/>
      <c r="F281" s="10"/>
      <c r="G281" s="9"/>
      <c r="H281" s="9"/>
      <c r="I281" s="10"/>
    </row>
    <row r="282" spans="1:9" ht="13.8" x14ac:dyDescent="0.3">
      <c r="A282" s="9"/>
      <c r="B282" s="9"/>
      <c r="C282" s="9"/>
      <c r="D282" s="9"/>
      <c r="E282" s="9"/>
      <c r="F282" s="10"/>
      <c r="G282" s="9"/>
      <c r="H282" s="9"/>
      <c r="I282" s="10"/>
    </row>
    <row r="283" spans="1:9" ht="13.8" x14ac:dyDescent="0.3">
      <c r="A283" s="9"/>
      <c r="B283" s="9"/>
      <c r="C283" s="9"/>
      <c r="D283" s="9"/>
      <c r="E283" s="9"/>
      <c r="F283" s="10"/>
      <c r="G283" s="9"/>
      <c r="H283" s="9"/>
      <c r="I283" s="10"/>
    </row>
    <row r="284" spans="1:9" ht="13.8" x14ac:dyDescent="0.3">
      <c r="A284" s="9"/>
      <c r="B284" s="9"/>
      <c r="C284" s="9"/>
      <c r="D284" s="9"/>
      <c r="E284" s="9"/>
      <c r="F284" s="10"/>
      <c r="G284" s="9"/>
      <c r="H284" s="9"/>
      <c r="I284" s="10"/>
    </row>
    <row r="285" spans="1:9" ht="13.8" x14ac:dyDescent="0.3">
      <c r="A285" s="9"/>
      <c r="B285" s="9"/>
      <c r="C285" s="9"/>
      <c r="D285" s="9"/>
      <c r="E285" s="9"/>
      <c r="F285" s="10"/>
      <c r="G285" s="9"/>
      <c r="H285" s="9"/>
      <c r="I285" s="10"/>
    </row>
    <row r="286" spans="1:9" ht="13.8" x14ac:dyDescent="0.3">
      <c r="A286" s="9"/>
      <c r="B286" s="9"/>
      <c r="C286" s="9"/>
      <c r="D286" s="9"/>
      <c r="E286" s="9"/>
      <c r="F286" s="10"/>
      <c r="G286" s="9"/>
      <c r="H286" s="9"/>
      <c r="I286" s="10"/>
    </row>
    <row r="287" spans="1:9" ht="13.8" x14ac:dyDescent="0.3">
      <c r="A287" s="9"/>
      <c r="B287" s="9"/>
      <c r="C287" s="9"/>
      <c r="D287" s="9"/>
      <c r="E287" s="9"/>
      <c r="F287" s="10"/>
      <c r="G287" s="9"/>
      <c r="H287" s="9"/>
      <c r="I287" s="10"/>
    </row>
    <row r="288" spans="1:9" ht="13.8" x14ac:dyDescent="0.3">
      <c r="A288" s="9"/>
      <c r="B288" s="9"/>
      <c r="C288" s="9"/>
      <c r="D288" s="9"/>
      <c r="E288" s="9"/>
      <c r="F288" s="10"/>
      <c r="G288" s="9"/>
      <c r="H288" s="9"/>
      <c r="I288" s="10"/>
    </row>
    <row r="289" spans="1:9" ht="13.8" x14ac:dyDescent="0.3">
      <c r="A289" s="9"/>
      <c r="B289" s="9"/>
      <c r="C289" s="9"/>
      <c r="D289" s="9"/>
      <c r="E289" s="9"/>
      <c r="F289" s="10"/>
      <c r="G289" s="9"/>
      <c r="H289" s="9"/>
      <c r="I289" s="10"/>
    </row>
    <row r="290" spans="1:9" ht="13.8" x14ac:dyDescent="0.3">
      <c r="A290" s="9"/>
      <c r="B290" s="9"/>
      <c r="C290" s="9"/>
      <c r="D290" s="9"/>
      <c r="E290" s="9"/>
      <c r="F290" s="10"/>
      <c r="G290" s="9"/>
      <c r="H290" s="9"/>
      <c r="I290" s="10"/>
    </row>
    <row r="291" spans="1:9" ht="13.8" x14ac:dyDescent="0.3">
      <c r="A291" s="9"/>
      <c r="B291" s="9"/>
      <c r="C291" s="9"/>
      <c r="D291" s="9"/>
      <c r="E291" s="9"/>
      <c r="F291" s="10"/>
      <c r="G291" s="9"/>
      <c r="H291" s="9"/>
      <c r="I291" s="10"/>
    </row>
    <row r="292" spans="1:9" ht="13.8" x14ac:dyDescent="0.3">
      <c r="A292" s="9"/>
      <c r="B292" s="9"/>
      <c r="C292" s="9"/>
      <c r="D292" s="9"/>
      <c r="E292" s="9"/>
      <c r="F292" s="10"/>
      <c r="G292" s="9"/>
      <c r="H292" s="9"/>
      <c r="I292" s="10"/>
    </row>
    <row r="293" spans="1:9" ht="13.8" x14ac:dyDescent="0.3">
      <c r="A293" s="9"/>
      <c r="B293" s="9"/>
      <c r="C293" s="9"/>
      <c r="D293" s="9"/>
      <c r="E293" s="9"/>
      <c r="F293" s="10"/>
      <c r="G293" s="9"/>
      <c r="H293" s="9"/>
      <c r="I293" s="10"/>
    </row>
    <row r="294" spans="1:9" ht="13.8" x14ac:dyDescent="0.3">
      <c r="A294" s="9"/>
      <c r="B294" s="9"/>
      <c r="C294" s="9"/>
      <c r="D294" s="9"/>
      <c r="E294" s="9"/>
      <c r="F294" s="10"/>
      <c r="G294" s="9"/>
      <c r="H294" s="9"/>
      <c r="I294" s="10"/>
    </row>
    <row r="295" spans="1:9" ht="13.8" x14ac:dyDescent="0.3">
      <c r="A295" s="9"/>
      <c r="B295" s="9"/>
      <c r="C295" s="9"/>
      <c r="D295" s="9"/>
      <c r="E295" s="9"/>
      <c r="F295" s="10"/>
      <c r="G295" s="9"/>
      <c r="H295" s="9"/>
      <c r="I295" s="10"/>
    </row>
    <row r="296" spans="1:9" ht="13.8" x14ac:dyDescent="0.3">
      <c r="A296" s="9"/>
      <c r="B296" s="9"/>
      <c r="C296" s="9"/>
      <c r="D296" s="9"/>
      <c r="E296" s="9"/>
      <c r="F296" s="10"/>
      <c r="G296" s="9"/>
      <c r="H296" s="9"/>
      <c r="I296" s="10"/>
    </row>
    <row r="297" spans="1:9" ht="13.8" x14ac:dyDescent="0.3">
      <c r="A297" s="9"/>
      <c r="B297" s="9"/>
      <c r="C297" s="9"/>
      <c r="D297" s="9"/>
      <c r="E297" s="9"/>
      <c r="F297" s="10"/>
      <c r="G297" s="9"/>
      <c r="H297" s="9"/>
      <c r="I297" s="10"/>
    </row>
    <row r="298" spans="1:9" ht="13.8" x14ac:dyDescent="0.3">
      <c r="A298" s="9"/>
      <c r="B298" s="9"/>
      <c r="C298" s="9"/>
      <c r="D298" s="9"/>
      <c r="E298" s="9"/>
      <c r="F298" s="10"/>
      <c r="G298" s="9"/>
      <c r="H298" s="9"/>
      <c r="I298" s="10"/>
    </row>
    <row r="299" spans="1:9" ht="13.8" x14ac:dyDescent="0.3">
      <c r="A299" s="9"/>
      <c r="B299" s="9"/>
      <c r="C299" s="9"/>
      <c r="D299" s="9"/>
      <c r="E299" s="9"/>
      <c r="F299" s="10"/>
      <c r="G299" s="9"/>
      <c r="H299" s="9"/>
      <c r="I299" s="10"/>
    </row>
    <row r="300" spans="1:9" ht="13.8" x14ac:dyDescent="0.3">
      <c r="A300" s="9"/>
      <c r="B300" s="9"/>
      <c r="C300" s="9"/>
      <c r="D300" s="9"/>
      <c r="E300" s="9"/>
      <c r="F300" s="10"/>
      <c r="G300" s="9"/>
      <c r="H300" s="9"/>
      <c r="I300" s="10"/>
    </row>
    <row r="301" spans="1:9" ht="13.8" x14ac:dyDescent="0.3">
      <c r="A301" s="9"/>
      <c r="B301" s="9"/>
      <c r="C301" s="9"/>
      <c r="D301" s="9"/>
      <c r="E301" s="9"/>
      <c r="F301" s="10"/>
      <c r="G301" s="9"/>
      <c r="H301" s="9"/>
      <c r="I301" s="10"/>
    </row>
    <row r="302" spans="1:9" ht="13.8" x14ac:dyDescent="0.3">
      <c r="A302" s="9"/>
      <c r="B302" s="9"/>
      <c r="C302" s="9"/>
      <c r="D302" s="9"/>
      <c r="E302" s="9"/>
      <c r="F302" s="10"/>
      <c r="G302" s="9"/>
      <c r="H302" s="9"/>
      <c r="I302" s="10"/>
    </row>
    <row r="303" spans="1:9" ht="13.8" x14ac:dyDescent="0.3">
      <c r="A303" s="9"/>
      <c r="B303" s="9"/>
      <c r="C303" s="9"/>
      <c r="D303" s="9"/>
      <c r="E303" s="9"/>
      <c r="F303" s="10"/>
      <c r="G303" s="9"/>
      <c r="H303" s="9"/>
      <c r="I303" s="10"/>
    </row>
    <row r="304" spans="1:9" ht="13.8" x14ac:dyDescent="0.3">
      <c r="A304" s="9"/>
      <c r="B304" s="9"/>
      <c r="C304" s="9"/>
      <c r="D304" s="9"/>
      <c r="E304" s="9"/>
      <c r="F304" s="10"/>
      <c r="G304" s="9"/>
      <c r="H304" s="9"/>
      <c r="I304" s="10"/>
    </row>
    <row r="305" spans="1:9" ht="13.8" x14ac:dyDescent="0.3">
      <c r="A305" s="9"/>
      <c r="B305" s="9"/>
      <c r="C305" s="9"/>
      <c r="D305" s="9"/>
      <c r="E305" s="9"/>
      <c r="F305" s="10"/>
      <c r="G305" s="9"/>
      <c r="H305" s="9"/>
      <c r="I305" s="10"/>
    </row>
    <row r="306" spans="1:9" ht="13.8" x14ac:dyDescent="0.3">
      <c r="A306" s="9"/>
      <c r="B306" s="9"/>
      <c r="C306" s="9"/>
      <c r="D306" s="9"/>
      <c r="E306" s="9"/>
      <c r="F306" s="10"/>
      <c r="G306" s="9"/>
      <c r="H306" s="9"/>
      <c r="I306" s="10"/>
    </row>
    <row r="307" spans="1:9" ht="13.8" x14ac:dyDescent="0.3">
      <c r="A307" s="9"/>
      <c r="B307" s="9"/>
      <c r="C307" s="9"/>
      <c r="D307" s="9"/>
      <c r="E307" s="9"/>
      <c r="F307" s="10"/>
      <c r="G307" s="9"/>
      <c r="H307" s="9"/>
      <c r="I307" s="10"/>
    </row>
    <row r="308" spans="1:9" ht="13.8" x14ac:dyDescent="0.3">
      <c r="A308" s="9"/>
      <c r="B308" s="9"/>
      <c r="C308" s="9"/>
      <c r="D308" s="9"/>
      <c r="E308" s="9"/>
      <c r="F308" s="10"/>
      <c r="G308" s="9"/>
      <c r="H308" s="9"/>
      <c r="I308" s="10"/>
    </row>
    <row r="309" spans="1:9" ht="13.8" x14ac:dyDescent="0.3">
      <c r="A309" s="9"/>
      <c r="B309" s="9"/>
      <c r="C309" s="9"/>
      <c r="D309" s="9"/>
      <c r="E309" s="9"/>
      <c r="F309" s="10"/>
      <c r="G309" s="9"/>
      <c r="H309" s="9"/>
      <c r="I309" s="10"/>
    </row>
    <row r="310" spans="1:9" ht="13.8" x14ac:dyDescent="0.3">
      <c r="A310" s="9"/>
      <c r="B310" s="9"/>
      <c r="C310" s="9"/>
      <c r="D310" s="9"/>
      <c r="E310" s="9"/>
      <c r="F310" s="10"/>
      <c r="G310" s="9"/>
      <c r="H310" s="9"/>
      <c r="I310" s="10"/>
    </row>
    <row r="311" spans="1:9" ht="13.8" x14ac:dyDescent="0.3">
      <c r="A311" s="9"/>
      <c r="B311" s="9"/>
      <c r="C311" s="9"/>
      <c r="D311" s="9"/>
      <c r="E311" s="9"/>
      <c r="F311" s="10"/>
      <c r="G311" s="9"/>
      <c r="H311" s="9"/>
      <c r="I311" s="10"/>
    </row>
    <row r="312" spans="1:9" ht="13.8" x14ac:dyDescent="0.3">
      <c r="A312" s="9"/>
      <c r="B312" s="9"/>
      <c r="C312" s="9"/>
      <c r="D312" s="9"/>
      <c r="E312" s="9"/>
      <c r="F312" s="10"/>
      <c r="G312" s="9"/>
      <c r="H312" s="9"/>
      <c r="I312" s="10"/>
    </row>
    <row r="313" spans="1:9" ht="13.8" x14ac:dyDescent="0.3">
      <c r="A313" s="9"/>
      <c r="B313" s="9"/>
      <c r="C313" s="9"/>
      <c r="D313" s="9"/>
      <c r="E313" s="9"/>
      <c r="F313" s="10"/>
      <c r="G313" s="9"/>
      <c r="H313" s="9"/>
      <c r="I313" s="10"/>
    </row>
    <row r="314" spans="1:9" ht="13.8" x14ac:dyDescent="0.3">
      <c r="A314" s="9"/>
      <c r="B314" s="9"/>
      <c r="C314" s="9"/>
      <c r="D314" s="9"/>
      <c r="E314" s="9"/>
      <c r="F314" s="10"/>
      <c r="G314" s="9"/>
      <c r="H314" s="9"/>
      <c r="I314" s="10"/>
    </row>
    <row r="315" spans="1:9" ht="13.8" x14ac:dyDescent="0.3">
      <c r="A315" s="9"/>
      <c r="B315" s="9"/>
      <c r="C315" s="9"/>
      <c r="D315" s="9"/>
      <c r="E315" s="9"/>
      <c r="F315" s="10"/>
      <c r="G315" s="9"/>
      <c r="H315" s="9"/>
      <c r="I315" s="10"/>
    </row>
    <row r="316" spans="1:9" ht="13.8" x14ac:dyDescent="0.3">
      <c r="A316" s="9"/>
      <c r="B316" s="9"/>
      <c r="C316" s="9"/>
      <c r="D316" s="9"/>
      <c r="E316" s="9"/>
      <c r="F316" s="10"/>
      <c r="G316" s="9"/>
      <c r="H316" s="9"/>
      <c r="I316" s="10"/>
    </row>
    <row r="317" spans="1:9" ht="13.8" x14ac:dyDescent="0.3">
      <c r="A317" s="9"/>
      <c r="B317" s="9"/>
      <c r="C317" s="9"/>
      <c r="D317" s="9"/>
      <c r="E317" s="9"/>
      <c r="F317" s="10"/>
      <c r="G317" s="9"/>
      <c r="H317" s="9"/>
      <c r="I317" s="10"/>
    </row>
    <row r="318" spans="1:9" ht="13.8" x14ac:dyDescent="0.3">
      <c r="A318" s="9"/>
      <c r="B318" s="9"/>
      <c r="C318" s="9"/>
      <c r="D318" s="9"/>
      <c r="E318" s="9"/>
      <c r="F318" s="10"/>
      <c r="G318" s="9"/>
      <c r="H318" s="9"/>
      <c r="I318" s="10"/>
    </row>
    <row r="319" spans="1:9" ht="13.8" x14ac:dyDescent="0.3">
      <c r="A319" s="9"/>
      <c r="B319" s="9"/>
      <c r="C319" s="9"/>
      <c r="D319" s="9"/>
      <c r="E319" s="9"/>
      <c r="F319" s="10"/>
      <c r="G319" s="9"/>
      <c r="H319" s="9"/>
      <c r="I319" s="10"/>
    </row>
    <row r="320" spans="1:9" ht="13.8" x14ac:dyDescent="0.3">
      <c r="A320" s="9"/>
      <c r="B320" s="9"/>
      <c r="C320" s="9"/>
      <c r="D320" s="9"/>
      <c r="E320" s="9"/>
      <c r="F320" s="10"/>
      <c r="G320" s="9"/>
      <c r="H320" s="9"/>
      <c r="I320" s="10"/>
    </row>
    <row r="321" spans="1:9" ht="13.8" x14ac:dyDescent="0.3">
      <c r="A321" s="9"/>
      <c r="B321" s="9"/>
      <c r="C321" s="9"/>
      <c r="D321" s="9"/>
      <c r="E321" s="9"/>
      <c r="F321" s="10"/>
      <c r="G321" s="9"/>
      <c r="H321" s="9"/>
      <c r="I321" s="10"/>
    </row>
    <row r="322" spans="1:9" ht="13.8" x14ac:dyDescent="0.3">
      <c r="A322" s="9"/>
      <c r="B322" s="9"/>
      <c r="C322" s="9"/>
      <c r="D322" s="9"/>
      <c r="E322" s="9"/>
      <c r="F322" s="10"/>
      <c r="G322" s="9"/>
      <c r="H322" s="9"/>
      <c r="I322" s="10"/>
    </row>
    <row r="323" spans="1:9" ht="13.8" x14ac:dyDescent="0.3">
      <c r="A323" s="9"/>
      <c r="B323" s="9"/>
      <c r="C323" s="9"/>
      <c r="D323" s="9"/>
      <c r="E323" s="9"/>
      <c r="F323" s="10"/>
      <c r="G323" s="9"/>
      <c r="H323" s="9"/>
      <c r="I323" s="10"/>
    </row>
    <row r="324" spans="1:9" ht="13.8" x14ac:dyDescent="0.3">
      <c r="A324" s="9"/>
      <c r="B324" s="9"/>
      <c r="C324" s="9"/>
      <c r="D324" s="9"/>
      <c r="E324" s="9"/>
      <c r="F324" s="10"/>
      <c r="G324" s="9"/>
      <c r="H324" s="9"/>
      <c r="I324" s="10"/>
    </row>
    <row r="325" spans="1:9" ht="13.8" x14ac:dyDescent="0.3">
      <c r="A325" s="9"/>
      <c r="B325" s="9"/>
      <c r="C325" s="9"/>
      <c r="D325" s="9"/>
      <c r="E325" s="9"/>
      <c r="F325" s="10"/>
      <c r="G325" s="9"/>
      <c r="H325" s="9"/>
      <c r="I325" s="10"/>
    </row>
    <row r="326" spans="1:9" ht="13.8" x14ac:dyDescent="0.3">
      <c r="A326" s="9"/>
      <c r="B326" s="9"/>
      <c r="C326" s="9"/>
      <c r="D326" s="9"/>
      <c r="E326" s="9"/>
      <c r="F326" s="10"/>
      <c r="G326" s="9"/>
      <c r="H326" s="9"/>
      <c r="I326" s="10"/>
    </row>
    <row r="327" spans="1:9" ht="13.8" x14ac:dyDescent="0.3">
      <c r="A327" s="9"/>
      <c r="B327" s="9"/>
      <c r="C327" s="9"/>
      <c r="D327" s="9"/>
      <c r="E327" s="9"/>
      <c r="F327" s="10"/>
      <c r="G327" s="9"/>
      <c r="H327" s="9"/>
      <c r="I327" s="10"/>
    </row>
    <row r="328" spans="1:9" ht="13.8" x14ac:dyDescent="0.3">
      <c r="A328" s="9"/>
      <c r="B328" s="9"/>
      <c r="C328" s="9"/>
      <c r="D328" s="9"/>
      <c r="E328" s="9"/>
      <c r="F328" s="10"/>
      <c r="G328" s="9"/>
      <c r="H328" s="9"/>
      <c r="I328" s="10"/>
    </row>
    <row r="329" spans="1:9" ht="13.8" x14ac:dyDescent="0.3">
      <c r="A329" s="9"/>
      <c r="B329" s="9"/>
      <c r="C329" s="9"/>
      <c r="D329" s="9"/>
      <c r="E329" s="9"/>
      <c r="F329" s="10"/>
      <c r="G329" s="9"/>
      <c r="H329" s="9"/>
      <c r="I329" s="10"/>
    </row>
    <row r="330" spans="1:9" ht="13.8" x14ac:dyDescent="0.3">
      <c r="A330" s="9"/>
      <c r="B330" s="9"/>
      <c r="C330" s="9"/>
      <c r="D330" s="9"/>
      <c r="E330" s="9"/>
      <c r="F330" s="10"/>
      <c r="G330" s="9"/>
      <c r="H330" s="9"/>
      <c r="I330" s="10"/>
    </row>
    <row r="331" spans="1:9" ht="13.8" x14ac:dyDescent="0.3">
      <c r="A331" s="9"/>
      <c r="B331" s="9"/>
      <c r="C331" s="9"/>
      <c r="D331" s="9"/>
      <c r="E331" s="9"/>
      <c r="F331" s="10"/>
      <c r="G331" s="9"/>
      <c r="H331" s="9"/>
      <c r="I331" s="10"/>
    </row>
    <row r="332" spans="1:9" ht="13.8" x14ac:dyDescent="0.3">
      <c r="A332" s="9"/>
      <c r="B332" s="9"/>
      <c r="C332" s="9"/>
      <c r="D332" s="9"/>
      <c r="E332" s="9"/>
      <c r="F332" s="10"/>
      <c r="G332" s="9"/>
      <c r="H332" s="9"/>
      <c r="I332" s="10"/>
    </row>
    <row r="333" spans="1:9" ht="13.8" x14ac:dyDescent="0.3">
      <c r="A333" s="9"/>
      <c r="B333" s="9"/>
      <c r="C333" s="9"/>
      <c r="D333" s="9"/>
      <c r="E333" s="9"/>
      <c r="F333" s="10"/>
      <c r="G333" s="9"/>
      <c r="H333" s="9"/>
      <c r="I333" s="10"/>
    </row>
    <row r="334" spans="1:9" ht="13.8" x14ac:dyDescent="0.3">
      <c r="A334" s="9"/>
      <c r="B334" s="9"/>
      <c r="C334" s="9"/>
      <c r="D334" s="9"/>
      <c r="E334" s="9"/>
      <c r="F334" s="10"/>
      <c r="G334" s="9"/>
      <c r="H334" s="9"/>
      <c r="I334" s="10"/>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47" priority="1" stopIfTrue="1" operator="lessThanOrEqual">
      <formula>-0.1</formula>
    </cfRule>
    <cfRule type="expression" dxfId="46"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13" activePane="bottomRight" state="frozen"/>
      <selection pane="topRight" activeCell="A18" sqref="A18:XFD24"/>
      <selection pane="bottomLeft" activeCell="A18" sqref="A18:XFD24"/>
      <selection pane="bottomRight" activeCell="H32" sqref="H32"/>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96" t="str" cm="1">
        <f t="array" ref="A1">portfolio</f>
        <v>Catalyze</v>
      </c>
      <c r="B1" s="96"/>
      <c r="C1" s="96"/>
      <c r="D1" s="97" t="s">
        <v>14</v>
      </c>
      <c r="E1" s="97"/>
      <c r="F1" s="97"/>
      <c r="G1" s="95" t="s">
        <v>15</v>
      </c>
      <c r="H1" s="95"/>
      <c r="I1" s="95"/>
    </row>
    <row r="2" spans="1:9" ht="19.5" customHeight="1" x14ac:dyDescent="0.25">
      <c r="A2" s="98" t="s">
        <v>2</v>
      </c>
      <c r="B2" s="98"/>
      <c r="C2" s="5">
        <f>SUM(C4:C92)</f>
        <v>19522014.811015654</v>
      </c>
      <c r="D2" s="5">
        <f>SUM(D4:D92)</f>
        <v>24992858.963199999</v>
      </c>
      <c r="E2" s="5">
        <f>C2-D2</f>
        <v>-5470844.1521843448</v>
      </c>
      <c r="F2" s="6">
        <f>IFERROR(E2/D2, 0)</f>
        <v>-0.21889629194642071</v>
      </c>
      <c r="G2" s="5">
        <f>SUM(G4:G92)</f>
        <v>25176963.679999996</v>
      </c>
      <c r="H2" s="7">
        <f>C2-G2</f>
        <v>-5654948.8689843416</v>
      </c>
      <c r="I2" s="6">
        <f>IFERROR(H2/G2, 0)</f>
        <v>-0.22460805603324216</v>
      </c>
    </row>
    <row r="3" spans="1:9" ht="14.25" customHeight="1" x14ac:dyDescent="0.25">
      <c r="A3" s="13" t="s">
        <v>3</v>
      </c>
      <c r="B3" s="13" t="s">
        <v>4</v>
      </c>
      <c r="C3" s="20" t="s">
        <v>5</v>
      </c>
      <c r="D3" s="21" t="s">
        <v>6</v>
      </c>
      <c r="E3" s="21" t="s">
        <v>7</v>
      </c>
      <c r="F3" s="22" t="s">
        <v>8</v>
      </c>
      <c r="G3" s="23" t="s">
        <v>9</v>
      </c>
      <c r="H3" s="24" t="s">
        <v>7</v>
      </c>
      <c r="I3" s="25" t="s">
        <v>8</v>
      </c>
    </row>
    <row r="4" spans="1:9" ht="15.6" x14ac:dyDescent="0.25">
      <c r="A4" s="48" t="str" cm="1">
        <f t="array" ref="A4:A27">Sites[Site]</f>
        <v>Fresno - 3150 Shaw Ave</v>
      </c>
      <c r="B4" s="28" t="str" cm="1">
        <f t="array" ref="B4:B27">Sites[State]</f>
        <v>CA</v>
      </c>
      <c r="C4" s="29">
        <f>SUM(Jul!C4, Aug!C4, Sep!C4)</f>
        <v>302666.25</v>
      </c>
      <c r="D4" s="30">
        <f>SUM(Jul!D4, Aug!D4, Sep!D4)</f>
        <v>303565.58</v>
      </c>
      <c r="E4" s="30">
        <f>IF(AND(ISNUMBER(C4),ISNUMBER(D4)), C4-D4, "")</f>
        <v>-899.3300000000163</v>
      </c>
      <c r="F4" s="31">
        <f>IFERROR(E4/D4, "")</f>
        <v>-2.9625558997828944E-3</v>
      </c>
      <c r="G4" s="32">
        <f>SUM(Jul!G4,Aug!G4,Sep!G4)</f>
        <v>357289.6</v>
      </c>
      <c r="H4" s="32">
        <f>SUM(Jul!H4, Aug!H4, Sep!H4)</f>
        <v>-54623.349999999991</v>
      </c>
      <c r="I4" s="33">
        <f>IFERROR(H4/G4, "")</f>
        <v>-0.15288256361226299</v>
      </c>
    </row>
    <row r="5" spans="1:9" ht="15.6" x14ac:dyDescent="0.25">
      <c r="A5" s="49" t="str">
        <v>Adelanto - 1 Sheep Creek Road</v>
      </c>
      <c r="B5" s="35" t="str">
        <v>CA</v>
      </c>
      <c r="C5" s="36">
        <f>SUM(Jul!C5, Aug!C5, Sep!C5)</f>
        <v>1297938</v>
      </c>
      <c r="D5" s="37">
        <f>SUM(Jul!D5, Aug!D5, Sep!D5)</f>
        <v>1661542.6032000002</v>
      </c>
      <c r="E5" s="37">
        <f t="shared" ref="E5:E15" si="0">IF(AND(ISNUMBER(C5),ISNUMBER(D5)), C5-D5, "")</f>
        <v>-363604.60320000025</v>
      </c>
      <c r="F5" s="38">
        <f>IFERROR(E5/D5, "")</f>
        <v>-0.21883555829367626</v>
      </c>
      <c r="G5" s="39">
        <f>SUM(Jul!G5,Aug!G5,Sep!G5)</f>
        <v>0</v>
      </c>
      <c r="H5" s="39">
        <f>SUM(Jul!H5, Aug!H5, Sep!H5)</f>
        <v>0</v>
      </c>
      <c r="I5" s="38" t="str">
        <f>IFERROR(H5/G5, "")</f>
        <v/>
      </c>
    </row>
    <row r="6" spans="1:9" ht="15.6" x14ac:dyDescent="0.25">
      <c r="A6" s="48" t="str">
        <v>Blackstone - 83 Federal Street</v>
      </c>
      <c r="B6" s="28" t="str">
        <v>MA</v>
      </c>
      <c r="C6" s="29">
        <f>SUM(Jul!C6, Aug!C6, Sep!C6)</f>
        <v>2351567.2000000011</v>
      </c>
      <c r="D6" s="30">
        <f>SUM(Jul!D6, Aug!D6, Sep!D6)</f>
        <v>2370595.8000000003</v>
      </c>
      <c r="E6" s="30">
        <f t="shared" si="0"/>
        <v>-19028.599999999162</v>
      </c>
      <c r="F6" s="31">
        <f t="shared" ref="F6:F15" si="1">IFERROR(E6/D6, "")</f>
        <v>-8.0269272391350569E-3</v>
      </c>
      <c r="G6" s="32">
        <f>SUM(Jul!G6,Aug!G6,Sep!G6)</f>
        <v>2521043.7999999998</v>
      </c>
      <c r="H6" s="32">
        <f>SUM(Jul!H6, Aug!H6, Sep!H6)</f>
        <v>-169476.59999999893</v>
      </c>
      <c r="I6" s="33">
        <f t="shared" ref="I6:I15" si="2">IFERROR(H6/G6, "")</f>
        <v>-6.722477411935443E-2</v>
      </c>
    </row>
    <row r="7" spans="1:9" ht="15.6" x14ac:dyDescent="0.25">
      <c r="A7" s="49" t="str">
        <v>Charlton - 299 Worcester Road</v>
      </c>
      <c r="B7" s="35" t="str">
        <v>MA</v>
      </c>
      <c r="C7" s="36">
        <f>SUM(Jul!C7, Aug!C7, Sep!C7)</f>
        <v>195953.75</v>
      </c>
      <c r="D7" s="37">
        <f>SUM(Jul!D7, Aug!D7, Sep!D7)</f>
        <v>207418.46</v>
      </c>
      <c r="E7" s="37">
        <f t="shared" si="0"/>
        <v>-11464.709999999992</v>
      </c>
      <c r="F7" s="38">
        <f t="shared" si="1"/>
        <v>-5.5273334880607983E-2</v>
      </c>
      <c r="G7" s="39">
        <f>SUM(Jul!G7,Aug!G7,Sep!G7)</f>
        <v>189938.08</v>
      </c>
      <c r="H7" s="39">
        <f>SUM(Jul!H7, Aug!H7, Sep!H7)</f>
        <v>6015.6700000000055</v>
      </c>
      <c r="I7" s="38">
        <f t="shared" si="2"/>
        <v>3.1671742706886399E-2</v>
      </c>
    </row>
    <row r="8" spans="1:9" ht="15.6" x14ac:dyDescent="0.25">
      <c r="A8" s="48" t="str">
        <v>Wareham - 8 Thatcher Drive</v>
      </c>
      <c r="B8" s="28" t="str">
        <v>MA</v>
      </c>
      <c r="C8" s="29">
        <f>SUM(Jul!C8, Aug!C8, Sep!C8)</f>
        <v>57591.0625</v>
      </c>
      <c r="D8" s="30">
        <f>SUM(Jul!D8, Aug!D8, Sep!D8)</f>
        <v>59904.090000000004</v>
      </c>
      <c r="E8" s="30">
        <f t="shared" si="0"/>
        <v>-2313.0275000000038</v>
      </c>
      <c r="F8" s="31">
        <f t="shared" si="1"/>
        <v>-3.8612179902908196E-2</v>
      </c>
      <c r="G8" s="32">
        <f>SUM(Jul!G8,Aug!G8,Sep!G8)</f>
        <v>56942.29</v>
      </c>
      <c r="H8" s="32">
        <f>SUM(Jul!H8, Aug!H8, Sep!H8)</f>
        <v>648.77249999999913</v>
      </c>
      <c r="I8" s="33">
        <f t="shared" si="2"/>
        <v>1.1393509112471577E-2</v>
      </c>
    </row>
    <row r="9" spans="1:9" ht="15.6" x14ac:dyDescent="0.25">
      <c r="A9" s="49" t="str">
        <v>West Yarmouth - 42 Mid Tech</v>
      </c>
      <c r="B9" s="35" t="str">
        <v>MA</v>
      </c>
      <c r="C9" s="36">
        <f>SUM(Jul!C9, Aug!C9, Sep!C9)</f>
        <v>51834.768859404699</v>
      </c>
      <c r="D9" s="37">
        <f>SUM(Jul!D9, Aug!D9, Sep!D9)</f>
        <v>57411.65</v>
      </c>
      <c r="E9" s="37">
        <f t="shared" si="0"/>
        <v>-5576.881140595302</v>
      </c>
      <c r="F9" s="38">
        <f t="shared" si="1"/>
        <v>-9.7138492633381937E-2</v>
      </c>
      <c r="G9" s="39">
        <f>SUM(Jul!G9,Aug!G9,Sep!G9)</f>
        <v>59110.18</v>
      </c>
      <c r="H9" s="39">
        <f>SUM(Jul!H9, Aug!H9, Sep!H9)</f>
        <v>-7275.411140595299</v>
      </c>
      <c r="I9" s="38">
        <f t="shared" si="2"/>
        <v>-0.12308220243273323</v>
      </c>
    </row>
    <row r="10" spans="1:9" ht="15.6" x14ac:dyDescent="0.25">
      <c r="A10" s="48" t="str">
        <v>Harrison - 130 Union Street</v>
      </c>
      <c r="B10" s="28" t="str">
        <v>NY</v>
      </c>
      <c r="C10" s="29">
        <f>SUM(Jul!C10, Aug!C10, Sep!C10)</f>
        <v>61601.5625</v>
      </c>
      <c r="D10" s="30">
        <f>SUM(Jul!D10, Aug!D10, Sep!D10)</f>
        <v>88218.51999999999</v>
      </c>
      <c r="E10" s="30">
        <f t="shared" si="0"/>
        <v>-26616.95749999999</v>
      </c>
      <c r="F10" s="31">
        <f t="shared" si="1"/>
        <v>-0.30171620992961562</v>
      </c>
      <c r="G10" s="32">
        <f>SUM(Jul!G10,Aug!G10,Sep!G10)</f>
        <v>84157.57</v>
      </c>
      <c r="H10" s="32">
        <f>SUM(Jul!H10, Aug!H10, Sep!H10)</f>
        <v>-22556.0075</v>
      </c>
      <c r="I10" s="33">
        <f t="shared" si="2"/>
        <v>-0.26802113582889808</v>
      </c>
    </row>
    <row r="11" spans="1:9" ht="15.6" x14ac:dyDescent="0.25">
      <c r="A11" s="49" t="str">
        <v>Staten Island - Ellis Storage</v>
      </c>
      <c r="B11" s="35" t="str">
        <v>NY</v>
      </c>
      <c r="C11" s="36">
        <f>SUM(Jul!C11, Aug!C11, Sep!C11)</f>
        <v>194910.375</v>
      </c>
      <c r="D11" s="37">
        <f>SUM(Jul!D11, Aug!D11, Sep!D11)</f>
        <v>171438.12</v>
      </c>
      <c r="E11" s="37">
        <f t="shared" si="0"/>
        <v>23472.255000000005</v>
      </c>
      <c r="F11" s="38">
        <f t="shared" si="1"/>
        <v>0.13691386139792017</v>
      </c>
      <c r="G11" s="39">
        <f>SUM(Jul!G11,Aug!G11,Sep!G11)</f>
        <v>194681.91999999998</v>
      </c>
      <c r="H11" s="39">
        <f>SUM(Jul!H11, Aug!H11, Sep!H11)</f>
        <v>228.45500000000175</v>
      </c>
      <c r="I11" s="38">
        <f t="shared" si="2"/>
        <v>1.1734782562243158E-3</v>
      </c>
    </row>
    <row r="12" spans="1:9" ht="15.6" x14ac:dyDescent="0.25">
      <c r="A12" s="48" t="str">
        <v>Amherst - 595 Schoelles Road</v>
      </c>
      <c r="B12" s="28" t="str">
        <v>NY</v>
      </c>
      <c r="C12" s="29">
        <f>SUM(Jul!C12, Aug!C12, Sep!C12)</f>
        <v>2984783</v>
      </c>
      <c r="D12" s="30">
        <f>SUM(Jul!D12, Aug!D12, Sep!D12)</f>
        <v>3189910.8</v>
      </c>
      <c r="E12" s="30">
        <f t="shared" si="0"/>
        <v>-205127.79999999981</v>
      </c>
      <c r="F12" s="31">
        <f t="shared" si="1"/>
        <v>-6.430518370607724E-2</v>
      </c>
      <c r="G12" s="32">
        <f>SUM(Jul!G12,Aug!G12,Sep!G12)</f>
        <v>3179817.1</v>
      </c>
      <c r="H12" s="32">
        <f>SUM(Jul!H12, Aug!H12, Sep!H12)</f>
        <v>-195034.09999999998</v>
      </c>
      <c r="I12" s="33">
        <f t="shared" si="2"/>
        <v>-6.1335005714636848E-2</v>
      </c>
    </row>
    <row r="13" spans="1:9" ht="15.6" x14ac:dyDescent="0.25">
      <c r="A13" s="49" t="str">
        <v>Lancaster 1 - Gunnville Road</v>
      </c>
      <c r="B13" s="35" t="str">
        <v>NY</v>
      </c>
      <c r="C13" s="36">
        <f>SUM(Jul!C13, Aug!C13, Sep!C13)</f>
        <v>1951530</v>
      </c>
      <c r="D13" s="37">
        <f>SUM(Jul!D13, Aug!D13, Sep!D13)</f>
        <v>2577363</v>
      </c>
      <c r="E13" s="37">
        <f t="shared" si="0"/>
        <v>-625833</v>
      </c>
      <c r="F13" s="38">
        <f t="shared" si="1"/>
        <v>-0.24281911395484454</v>
      </c>
      <c r="G13" s="39">
        <f>SUM(Jul!G13,Aug!G13,Sep!G13)</f>
        <v>2525461.1</v>
      </c>
      <c r="H13" s="39">
        <f>SUM(Jul!H13, Aug!H13, Sep!H13)</f>
        <v>-573931.10000000009</v>
      </c>
      <c r="I13" s="38">
        <f t="shared" si="2"/>
        <v>-0.22725794509367025</v>
      </c>
    </row>
    <row r="14" spans="1:9" ht="15.6" x14ac:dyDescent="0.25">
      <c r="A14" s="48" t="str">
        <v>Lancaster 2 - Shisler Road</v>
      </c>
      <c r="B14" s="28" t="str">
        <v>NY</v>
      </c>
      <c r="C14" s="29">
        <f>SUM(Jul!C14, Aug!C14, Sep!C14)</f>
        <v>1678783</v>
      </c>
      <c r="D14" s="30">
        <f>SUM(Jul!D14, Aug!D14, Sep!D14)</f>
        <v>2028334.2000000002</v>
      </c>
      <c r="E14" s="30">
        <f t="shared" si="0"/>
        <v>-349551.20000000019</v>
      </c>
      <c r="F14" s="31">
        <f t="shared" si="1"/>
        <v>-0.17233412521467131</v>
      </c>
      <c r="G14" s="32">
        <f>SUM(Jul!G14,Aug!G14,Sep!G14)</f>
        <v>2768140.7</v>
      </c>
      <c r="H14" s="32">
        <f>SUM(Jul!H14, Aug!H14, Sep!H14)</f>
        <v>-1089357.7</v>
      </c>
      <c r="I14" s="33">
        <f t="shared" si="2"/>
        <v>-0.39353407866876128</v>
      </c>
    </row>
    <row r="15" spans="1:9" ht="15.6" x14ac:dyDescent="0.25">
      <c r="A15" s="49" t="str">
        <v>Fullerton - 200 W Orangethorpe</v>
      </c>
      <c r="B15" s="35" t="str">
        <v>CA</v>
      </c>
      <c r="C15" s="36">
        <f>SUM(Jul!C15, Aug!C15, Sep!C15)</f>
        <v>329895.125</v>
      </c>
      <c r="D15" s="37">
        <f>SUM(Jul!D15, Aug!D15, Sep!D15)</f>
        <v>362521.80000000005</v>
      </c>
      <c r="E15" s="37">
        <f t="shared" si="0"/>
        <v>-32626.675000000047</v>
      </c>
      <c r="F15" s="38">
        <f t="shared" si="1"/>
        <v>-8.9999208323471969E-2</v>
      </c>
      <c r="G15" s="39">
        <f>SUM(Jul!G15,Aug!G15,Sep!G15)</f>
        <v>409095.6</v>
      </c>
      <c r="H15" s="39">
        <f>SUM(Jul!H15, Aug!H15, Sep!H15)</f>
        <v>-79200.475000000006</v>
      </c>
      <c r="I15" s="38">
        <f t="shared" si="2"/>
        <v>-0.19359894117658563</v>
      </c>
    </row>
    <row r="16" spans="1:9" ht="15.6" x14ac:dyDescent="0.25">
      <c r="A16" s="48" t="str">
        <v>El Paso - 10500 Railroad Drive</v>
      </c>
      <c r="B16" s="28" t="str">
        <v>TX</v>
      </c>
      <c r="C16" s="29">
        <f>SUM(Jul!C16, Aug!C16, Sep!C16)</f>
        <v>0</v>
      </c>
      <c r="D16" s="30">
        <f>SUM(Jul!D16, Aug!D16, Sep!D16)</f>
        <v>0</v>
      </c>
      <c r="E16" s="30">
        <f t="shared" ref="E16:E19" si="3">IF(AND(ISNUMBER(C16),ISNUMBER(D16)), C16-D16, "")</f>
        <v>0</v>
      </c>
      <c r="F16" s="31" t="str">
        <f t="shared" ref="F16:F21" si="4">IFERROR(E16/D16, "")</f>
        <v/>
      </c>
      <c r="G16" s="32">
        <f>SUM(Jul!G16,Aug!G16,Sep!G16)</f>
        <v>0</v>
      </c>
      <c r="H16" s="32">
        <f>SUM(Jul!H16, Aug!H16, Sep!H16)</f>
        <v>0</v>
      </c>
      <c r="I16" s="33" t="str">
        <f t="shared" ref="I16:I22" si="5">IFERROR(H16/G16, "")</f>
        <v/>
      </c>
    </row>
    <row r="17" spans="1:9" ht="15.6" x14ac:dyDescent="0.25">
      <c r="A17" s="49" t="str">
        <v>Friona - 900 Millard Ave</v>
      </c>
      <c r="B17" s="35" t="str">
        <v>TX</v>
      </c>
      <c r="C17" s="36">
        <f>SUM(Jul!C17, Aug!C17, Sep!C17)</f>
        <v>3678.5</v>
      </c>
      <c r="D17" s="37">
        <f>SUM(Jul!D17, Aug!D17, Sep!D17)</f>
        <v>309153.68</v>
      </c>
      <c r="E17" s="37">
        <f t="shared" si="3"/>
        <v>-305475.18</v>
      </c>
      <c r="F17" s="38">
        <f t="shared" si="4"/>
        <v>-0.9881013869865628</v>
      </c>
      <c r="G17" s="39">
        <f>SUM(Jul!G17,Aug!G17,Sep!G17)</f>
        <v>388046.5</v>
      </c>
      <c r="H17" s="39">
        <f>SUM(Jul!H17, Aug!H17, Sep!H17)</f>
        <v>-384368</v>
      </c>
      <c r="I17" s="38">
        <f t="shared" si="5"/>
        <v>-0.99052046597508292</v>
      </c>
    </row>
    <row r="18" spans="1:9" ht="15.6" x14ac:dyDescent="0.25">
      <c r="A18" s="48" t="str">
        <v>Augusta - 13 York Farm Road</v>
      </c>
      <c r="B18" s="28" t="str">
        <v>ME</v>
      </c>
      <c r="C18" s="29">
        <f>SUM(Jul!C18, Aug!C18, Sep!C18)</f>
        <v>529479.125</v>
      </c>
      <c r="D18" s="30">
        <f>SUM(Jul!D18, Aug!D18, Sep!D18)</f>
        <v>591003.5</v>
      </c>
      <c r="E18" s="30">
        <f t="shared" si="3"/>
        <v>-61524.375</v>
      </c>
      <c r="F18" s="31">
        <f t="shared" si="4"/>
        <v>-0.10410154085381897</v>
      </c>
      <c r="G18" s="32">
        <f>SUM(Jul!G18,Aug!G18,Sep!G18)</f>
        <v>599998.6</v>
      </c>
      <c r="H18" s="32">
        <f>SUM(Jul!H18, Aug!H18, Sep!H18)</f>
        <v>-70519.475000000006</v>
      </c>
      <c r="I18" s="33">
        <f t="shared" si="5"/>
        <v>-0.11753273257637603</v>
      </c>
    </row>
    <row r="19" spans="1:9" ht="15.6" x14ac:dyDescent="0.25">
      <c r="A19" s="49" t="str">
        <v xml:space="preserve">Santa Ana - 1441 West </v>
      </c>
      <c r="B19" s="35" t="str">
        <v>CA</v>
      </c>
      <c r="C19" s="36">
        <f>SUM(Jul!C19, Aug!C19, Sep!C19)</f>
        <v>224086.1875</v>
      </c>
      <c r="D19" s="37">
        <f>SUM(Jul!D19, Aug!D19, Sep!D19)</f>
        <v>219113.94999999998</v>
      </c>
      <c r="E19" s="37">
        <f t="shared" si="3"/>
        <v>4972.2375000000175</v>
      </c>
      <c r="F19" s="38">
        <f t="shared" si="4"/>
        <v>2.2692473482405013E-2</v>
      </c>
      <c r="G19" s="39">
        <f>SUM(Jul!G19,Aug!G19,Sep!G19)</f>
        <v>245823.12</v>
      </c>
      <c r="H19" s="39">
        <f>SUM(Jul!H19, Aug!H19, Sep!H19)</f>
        <v>-21736.93250000001</v>
      </c>
      <c r="I19" s="38">
        <f t="shared" si="5"/>
        <v>-8.8425094026957307E-2</v>
      </c>
    </row>
    <row r="20" spans="1:9" ht="15.6" x14ac:dyDescent="0.25">
      <c r="A20" s="48" t="str">
        <v>Jessup -7950 Oceano Ave</v>
      </c>
      <c r="B20" s="28" t="str">
        <v>MD</v>
      </c>
      <c r="C20" s="29">
        <f>SUM(Jul!C20, Aug!C20, Sep!C20)</f>
        <v>680464</v>
      </c>
      <c r="D20" s="30">
        <f>SUM(Jul!D20, Aug!D20, Sep!D20)</f>
        <v>661145.80000000005</v>
      </c>
      <c r="E20" s="30">
        <f>IF(AND(ISNUMBER(C20),ISNUMBER(D20)), C20-D20, "")</f>
        <v>19318.199999999953</v>
      </c>
      <c r="F20" s="31">
        <f>IFERROR(E20/D20, "")</f>
        <v>2.9219273570216964E-2</v>
      </c>
      <c r="G20" s="32">
        <f>SUM(Jul!G20,Aug!G20,Sep!G20)</f>
        <v>813982.2</v>
      </c>
      <c r="H20" s="32">
        <f>SUM(Jul!H20, Aug!H20, Sep!H20)</f>
        <v>-133518.19999999998</v>
      </c>
      <c r="I20" s="33">
        <f t="shared" si="5"/>
        <v>-0.1640308596428767</v>
      </c>
    </row>
    <row r="21" spans="1:9" ht="15.6" x14ac:dyDescent="0.25">
      <c r="A21" s="49" t="str">
        <v xml:space="preserve">TX: Fort Worth - 5200 Gold Spike Dr </v>
      </c>
      <c r="B21" s="35" t="str">
        <v>TX</v>
      </c>
      <c r="C21" s="36">
        <f>SUM(Jul!C21, Aug!C21, Sep!C21)</f>
        <v>0</v>
      </c>
      <c r="D21" s="37">
        <f>SUM(Jul!D21, Aug!D21, Sep!D21)</f>
        <v>2419795.9</v>
      </c>
      <c r="E21" s="37">
        <f>IF(AND(ISNUMBER(C21),ISNUMBER(D21)), C21-D21, "")</f>
        <v>-2419795.9</v>
      </c>
      <c r="F21" s="38">
        <f t="shared" si="4"/>
        <v>-1</v>
      </c>
      <c r="G21" s="39">
        <f>SUM(Jul!G21,Aug!G21,Sep!G21)</f>
        <v>2447972.2999999998</v>
      </c>
      <c r="H21" s="39">
        <f>SUM(Jul!H21, Aug!H21, Sep!H21)</f>
        <v>-2447972.2999999998</v>
      </c>
      <c r="I21" s="38">
        <f t="shared" si="5"/>
        <v>-1</v>
      </c>
    </row>
    <row r="22" spans="1:9" ht="15.6" x14ac:dyDescent="0.25">
      <c r="A22" s="48" t="str">
        <v>NY: Clifton Springs - Ontario 2 (21597)</v>
      </c>
      <c r="B22" s="28" t="str">
        <v>NY</v>
      </c>
      <c r="C22" s="29">
        <f>SUM(Jul!C22, Aug!C22, Sep!C22)</f>
        <v>3537684</v>
      </c>
      <c r="D22" s="30">
        <f>SUM(Jul!D22, Aug!D22, Sep!D22)</f>
        <v>3757076.4819999998</v>
      </c>
      <c r="E22" s="30">
        <f>IF(AND(ISNUMBER(C22),ISNUMBER(D22)), C22-D22, "")</f>
        <v>-219392.48199999984</v>
      </c>
      <c r="F22" s="31">
        <f>IFERROR(E22/D22, "")</f>
        <v>-5.8394467893081302E-2</v>
      </c>
      <c r="G22" s="32">
        <f>SUM(Jul!G22,Aug!G22,Sep!G22)</f>
        <v>3354986.88</v>
      </c>
      <c r="H22" s="32">
        <f>SUM(Jul!H22, Aug!H22, Sep!H22)</f>
        <v>182697.12</v>
      </c>
      <c r="I22" s="33">
        <f t="shared" si="5"/>
        <v>5.4455390299469664E-2</v>
      </c>
    </row>
    <row r="23" spans="1:9" ht="15.6" x14ac:dyDescent="0.25">
      <c r="A23" s="49" t="str">
        <v>CA: Oxnard - 2600 Sakioka - System A</v>
      </c>
      <c r="B23" s="35" t="str">
        <v>CA</v>
      </c>
      <c r="C23" s="36">
        <f>SUM(Jul!C23, Aug!C23, Sep!C23)</f>
        <v>595811.97437499999</v>
      </c>
      <c r="D23" s="37">
        <f>SUM(Jul!D23, Aug!D23, Sep!D23)</f>
        <v>680189.2</v>
      </c>
      <c r="E23" s="37">
        <f t="shared" ref="E23:E25" si="6">IF(AND(ISNUMBER(C23),ISNUMBER(D23)), C23-D23, "")</f>
        <v>-84377.225624999963</v>
      </c>
      <c r="F23" s="38">
        <f t="shared" ref="F23:F25" si="7">IFERROR(E23/D23, "")</f>
        <v>-0.12404964034271636</v>
      </c>
      <c r="G23" s="39">
        <f>SUM(Jul!G23,Aug!G23,Sep!G23)</f>
        <v>664127.19999999995</v>
      </c>
      <c r="H23" s="39">
        <f>SUM(Jul!H23, Aug!H23, Sep!H23)</f>
        <v>-68315.225625000021</v>
      </c>
      <c r="I23" s="38">
        <f t="shared" ref="I23:I25" si="8">IFERROR(H23/G23, "")</f>
        <v>-0.10286467054052299</v>
      </c>
    </row>
    <row r="24" spans="1:9" ht="15.6" x14ac:dyDescent="0.25">
      <c r="A24" s="48" t="str">
        <v>CA: Oxnard - 2600 Sakioka - System B</v>
      </c>
      <c r="B24" s="28" t="str">
        <v>CA</v>
      </c>
      <c r="C24" s="29">
        <f>SUM(Jul!C24, Aug!C24, Sep!C24)</f>
        <v>8922.2632812499996</v>
      </c>
      <c r="D24" s="30">
        <f>SUM(Jul!D24, Aug!D24, Sep!D24)</f>
        <v>618586.39999999991</v>
      </c>
      <c r="E24" s="30">
        <f t="shared" si="6"/>
        <v>-609664.13671874988</v>
      </c>
      <c r="F24" s="31">
        <f t="shared" si="7"/>
        <v>-0.98557636688868355</v>
      </c>
      <c r="G24" s="32">
        <f>SUM(Jul!G24,Aug!G24,Sep!G24)</f>
        <v>670165</v>
      </c>
      <c r="H24" s="32">
        <f>SUM(Jul!H24, Aug!H24, Sep!H24)</f>
        <v>-661242.73671875009</v>
      </c>
      <c r="I24" s="33">
        <f t="shared" si="8"/>
        <v>-0.98668646783814451</v>
      </c>
    </row>
    <row r="25" spans="1:9" ht="15.6" x14ac:dyDescent="0.25">
      <c r="A25" s="49" t="str">
        <v>NY: Fonda - Montgomery 1 (21601)</v>
      </c>
      <c r="B25" s="35" t="str">
        <v>NY</v>
      </c>
      <c r="C25" s="36">
        <f>SUM(Jul!C25, Aug!C25, Sep!C25)</f>
        <v>1918267.6669999999</v>
      </c>
      <c r="D25" s="37">
        <f>SUM(Jul!D25, Aug!D25, Sep!D25)</f>
        <v>2005687.2209999999</v>
      </c>
      <c r="E25" s="37">
        <f t="shared" si="6"/>
        <v>-87419.554000000004</v>
      </c>
      <c r="F25" s="38">
        <f t="shared" si="7"/>
        <v>-4.3585835859498656E-2</v>
      </c>
      <c r="G25" s="39">
        <f>SUM(Jul!G25,Aug!G25,Sep!G25)</f>
        <v>2168148.94</v>
      </c>
      <c r="H25" s="39">
        <f>SUM(Jul!H25, Aug!H25, Sep!H25)</f>
        <v>-249881.27299999993</v>
      </c>
      <c r="I25" s="38">
        <f t="shared" si="8"/>
        <v>-0.11525097210342014</v>
      </c>
    </row>
    <row r="26" spans="1:9" ht="15.6" x14ac:dyDescent="0.25">
      <c r="A26" s="48" t="str">
        <v>NY: Evans - SL Evans Array 1 (21106) - (PW)</v>
      </c>
      <c r="B26" s="28" t="str">
        <v>NY</v>
      </c>
      <c r="C26" s="29">
        <f>SUM(Jul!C26, Aug!C26, Sep!C26)</f>
        <v>289481</v>
      </c>
      <c r="D26" s="30">
        <f>SUM(Jul!D26, Aug!D26, Sep!D26)</f>
        <v>345406.31300000002</v>
      </c>
      <c r="E26" s="30">
        <f>IF(AND(ISNUMBER(C26),ISNUMBER(D26)), C26-D26, "")</f>
        <v>-55925.313000000024</v>
      </c>
      <c r="F26" s="31">
        <f>IFERROR(E26/D26, "")</f>
        <v>-0.1619116700973558</v>
      </c>
      <c r="G26" s="32">
        <f>SUM(Jul!G26,Aug!G26,Sep!G26)</f>
        <v>762556</v>
      </c>
      <c r="H26" s="32">
        <f>SUM(Jul!H26, Aug!H26, Sep!H26)</f>
        <v>-473075</v>
      </c>
      <c r="I26" s="33">
        <f>IFERROR(H26/G26, "")</f>
        <v>-0.62038066712477513</v>
      </c>
    </row>
    <row r="27" spans="1:9" ht="15.6" x14ac:dyDescent="0.25">
      <c r="A27" s="49" t="str">
        <v>NY: Evans - SL Evans Array 2 (21107) - (PW)</v>
      </c>
      <c r="B27" s="35" t="str">
        <v>NY</v>
      </c>
      <c r="C27" s="36">
        <f>SUM(Jul!C27, Aug!C27, Sep!C27)</f>
        <v>275086</v>
      </c>
      <c r="D27" s="37">
        <f>SUM(Jul!D27, Aug!D27, Sep!D27)</f>
        <v>307475.89399999997</v>
      </c>
      <c r="E27" s="37">
        <f>IF(AND(ISNUMBER(C27),ISNUMBER(D27)), C27-D27, "")</f>
        <v>-32389.893999999971</v>
      </c>
      <c r="F27" s="88">
        <f>IFERROR(E27/D27, "")</f>
        <v>-0.10534124668648</v>
      </c>
      <c r="G27" s="55">
        <f>SUM(Jul!G27,Aug!G27,Sep!G27)</f>
        <v>715479</v>
      </c>
      <c r="H27" s="55">
        <f>SUM(Jul!H27, Aug!H27, Sep!H27)</f>
        <v>-440393</v>
      </c>
      <c r="I27" s="88">
        <f>IFERROR(H27/G27, "")</f>
        <v>-0.61552190909865978</v>
      </c>
    </row>
    <row r="28" spans="1:9" ht="13.8" x14ac:dyDescent="0.3">
      <c r="A28" s="9"/>
      <c r="B28" s="9"/>
      <c r="C28" s="9"/>
      <c r="D28" s="9"/>
      <c r="E28" s="9"/>
      <c r="F28" s="10"/>
      <c r="G28" s="9"/>
      <c r="H28" s="9"/>
      <c r="I28" s="10"/>
    </row>
    <row r="29" spans="1:9" ht="13.8" x14ac:dyDescent="0.3">
      <c r="A29" s="9"/>
      <c r="B29" s="9"/>
      <c r="C29" s="9"/>
      <c r="D29" s="9"/>
      <c r="E29" s="9"/>
      <c r="F29" s="10"/>
      <c r="G29" s="9"/>
      <c r="H29" s="9"/>
      <c r="I29" s="10"/>
    </row>
    <row r="30" spans="1:9" ht="13.8" x14ac:dyDescent="0.3">
      <c r="A30" s="9"/>
      <c r="B30" s="9"/>
      <c r="C30" s="9"/>
      <c r="D30" s="9"/>
      <c r="E30" s="9"/>
      <c r="F30" s="10"/>
      <c r="G30" s="9"/>
      <c r="H30" s="9"/>
      <c r="I30" s="10"/>
    </row>
    <row r="31" spans="1:9" ht="13.8" x14ac:dyDescent="0.3">
      <c r="A31" s="9"/>
      <c r="B31" s="9"/>
      <c r="C31" s="9"/>
      <c r="D31" s="9"/>
      <c r="E31" s="9"/>
      <c r="F31" s="10"/>
      <c r="G31" s="9"/>
      <c r="H31" s="9"/>
      <c r="I31" s="10"/>
    </row>
    <row r="32" spans="1:9" ht="13.8" x14ac:dyDescent="0.3">
      <c r="A32" s="9"/>
      <c r="B32" s="9"/>
      <c r="C32" s="9"/>
      <c r="D32" s="9"/>
      <c r="E32" s="9"/>
      <c r="F32" s="10"/>
      <c r="G32" s="9"/>
      <c r="H32" s="9"/>
      <c r="I32" s="10"/>
    </row>
    <row r="33" spans="1:9" ht="13.8" x14ac:dyDescent="0.3">
      <c r="A33" s="9"/>
      <c r="B33" s="9"/>
      <c r="C33" s="9"/>
      <c r="D33" s="9"/>
      <c r="E33" s="9"/>
      <c r="F33" s="10"/>
      <c r="G33" s="9"/>
      <c r="H33" s="9"/>
      <c r="I33" s="10"/>
    </row>
    <row r="34" spans="1:9" ht="13.8" x14ac:dyDescent="0.3">
      <c r="A34" s="9"/>
      <c r="B34" s="9"/>
      <c r="C34" s="9"/>
      <c r="D34" s="9"/>
      <c r="E34" s="9"/>
      <c r="F34" s="10"/>
      <c r="G34" s="9"/>
      <c r="H34" s="9"/>
      <c r="I34" s="10"/>
    </row>
    <row r="35" spans="1:9" ht="13.8" x14ac:dyDescent="0.3">
      <c r="A35" s="9"/>
      <c r="B35" s="9"/>
      <c r="C35" s="9"/>
      <c r="D35" s="9"/>
      <c r="E35" s="9"/>
      <c r="F35" s="10"/>
      <c r="G35" s="9"/>
      <c r="H35" s="9"/>
      <c r="I35" s="10"/>
    </row>
    <row r="36" spans="1:9" ht="13.8" x14ac:dyDescent="0.3">
      <c r="A36" s="9"/>
      <c r="B36" s="9"/>
      <c r="C36" s="9"/>
      <c r="D36" s="9"/>
      <c r="E36" s="9"/>
      <c r="F36" s="10"/>
      <c r="G36" s="9"/>
      <c r="H36" s="9"/>
      <c r="I36" s="10"/>
    </row>
    <row r="37" spans="1:9" ht="13.8" x14ac:dyDescent="0.3">
      <c r="A37" s="9"/>
      <c r="B37" s="9"/>
      <c r="C37" s="9"/>
      <c r="D37" s="9"/>
      <c r="E37" s="9"/>
      <c r="F37" s="10"/>
      <c r="G37" s="9"/>
      <c r="H37" s="9"/>
      <c r="I37" s="10"/>
    </row>
    <row r="38" spans="1:9" ht="13.8" x14ac:dyDescent="0.3">
      <c r="A38" s="9"/>
      <c r="B38" s="9"/>
      <c r="C38" s="9"/>
      <c r="D38" s="9"/>
      <c r="E38" s="9"/>
      <c r="F38" s="10"/>
      <c r="G38" s="9"/>
      <c r="H38" s="9"/>
      <c r="I38" s="10"/>
    </row>
    <row r="39" spans="1:9" ht="13.8" x14ac:dyDescent="0.3">
      <c r="A39" s="9"/>
      <c r="B39" s="9"/>
      <c r="C39" s="9"/>
      <c r="D39" s="9"/>
      <c r="E39" s="9"/>
      <c r="F39" s="10"/>
      <c r="G39" s="9"/>
      <c r="H39" s="9"/>
      <c r="I39" s="10"/>
    </row>
    <row r="40" spans="1:9" ht="13.8" x14ac:dyDescent="0.3">
      <c r="A40" s="9"/>
      <c r="B40" s="9"/>
      <c r="C40" s="9"/>
      <c r="D40" s="9"/>
      <c r="E40" s="9"/>
      <c r="F40" s="10"/>
      <c r="G40" s="9"/>
      <c r="H40" s="9"/>
      <c r="I40" s="10"/>
    </row>
    <row r="41" spans="1:9" ht="13.8" x14ac:dyDescent="0.3">
      <c r="A41" s="9"/>
      <c r="B41" s="9"/>
      <c r="C41" s="9"/>
      <c r="D41" s="9"/>
      <c r="E41" s="9"/>
      <c r="F41" s="10"/>
      <c r="G41" s="9"/>
      <c r="H41" s="9"/>
      <c r="I41" s="10"/>
    </row>
    <row r="42" spans="1:9" ht="13.8" x14ac:dyDescent="0.3">
      <c r="A42" s="9"/>
      <c r="B42" s="9"/>
      <c r="C42" s="9"/>
      <c r="D42" s="9"/>
      <c r="E42" s="9"/>
      <c r="F42" s="10"/>
      <c r="G42" s="9"/>
      <c r="H42" s="9"/>
      <c r="I42" s="10"/>
    </row>
    <row r="43" spans="1:9" ht="13.8" x14ac:dyDescent="0.3">
      <c r="A43" s="9"/>
      <c r="B43" s="9"/>
      <c r="C43" s="9"/>
      <c r="D43" s="9"/>
      <c r="E43" s="9"/>
      <c r="F43" s="10"/>
      <c r="G43" s="9"/>
      <c r="H43" s="9"/>
      <c r="I43" s="10"/>
    </row>
    <row r="44" spans="1:9" ht="13.8" x14ac:dyDescent="0.3">
      <c r="A44" s="9"/>
      <c r="B44" s="9"/>
      <c r="C44" s="9"/>
      <c r="D44" s="9"/>
      <c r="E44" s="9"/>
      <c r="F44" s="10"/>
      <c r="G44" s="9"/>
      <c r="H44" s="9"/>
      <c r="I44" s="10"/>
    </row>
    <row r="45" spans="1:9" ht="13.8" x14ac:dyDescent="0.3">
      <c r="A45" s="9"/>
      <c r="B45" s="9"/>
      <c r="C45" s="9"/>
      <c r="D45" s="9"/>
      <c r="E45" s="9"/>
      <c r="F45" s="10"/>
      <c r="G45" s="9"/>
      <c r="H45" s="9"/>
      <c r="I45" s="10"/>
    </row>
    <row r="46" spans="1:9" ht="13.8" x14ac:dyDescent="0.3">
      <c r="A46" s="9"/>
      <c r="B46" s="9"/>
      <c r="C46" s="9"/>
      <c r="D46" s="9"/>
      <c r="E46" s="9"/>
      <c r="F46" s="10"/>
      <c r="G46" s="9"/>
      <c r="H46" s="9"/>
      <c r="I46" s="10"/>
    </row>
    <row r="47" spans="1:9" ht="13.8" x14ac:dyDescent="0.3">
      <c r="A47" s="9"/>
      <c r="B47" s="9"/>
      <c r="C47" s="9"/>
      <c r="D47" s="9"/>
      <c r="E47" s="9"/>
      <c r="F47" s="10"/>
      <c r="G47" s="9"/>
      <c r="H47" s="9"/>
      <c r="I47" s="10"/>
    </row>
    <row r="48" spans="1:9" ht="13.8" x14ac:dyDescent="0.3">
      <c r="A48" s="9"/>
      <c r="B48" s="9"/>
      <c r="C48" s="9"/>
      <c r="D48" s="9"/>
      <c r="E48" s="9"/>
      <c r="F48" s="10"/>
      <c r="G48" s="9"/>
      <c r="H48" s="9"/>
      <c r="I48" s="10"/>
    </row>
    <row r="49" spans="1:9" ht="13.8" x14ac:dyDescent="0.3">
      <c r="A49" s="9"/>
      <c r="B49" s="9"/>
      <c r="C49" s="9"/>
      <c r="D49" s="9"/>
      <c r="E49" s="9"/>
      <c r="F49" s="10"/>
      <c r="G49" s="9"/>
      <c r="H49" s="9"/>
      <c r="I49" s="10"/>
    </row>
    <row r="50" spans="1:9" ht="13.8" x14ac:dyDescent="0.3">
      <c r="A50" s="9"/>
      <c r="B50" s="9"/>
      <c r="C50" s="9"/>
      <c r="D50" s="9"/>
      <c r="E50" s="9"/>
      <c r="F50" s="10"/>
      <c r="G50" s="9"/>
      <c r="H50" s="9"/>
      <c r="I50" s="10"/>
    </row>
    <row r="51" spans="1:9" ht="13.8" x14ac:dyDescent="0.3">
      <c r="A51" s="9"/>
      <c r="B51" s="9"/>
      <c r="C51" s="9"/>
      <c r="D51" s="9"/>
      <c r="E51" s="9"/>
      <c r="F51" s="10"/>
      <c r="G51" s="9"/>
      <c r="H51" s="9"/>
      <c r="I51" s="10"/>
    </row>
    <row r="52" spans="1:9" ht="13.8" x14ac:dyDescent="0.3">
      <c r="A52" s="9"/>
      <c r="B52" s="9"/>
      <c r="C52" s="9"/>
      <c r="D52" s="9"/>
      <c r="E52" s="9"/>
      <c r="F52" s="10"/>
      <c r="G52" s="9"/>
      <c r="H52" s="9"/>
      <c r="I52" s="10"/>
    </row>
    <row r="53" spans="1:9" ht="13.8" x14ac:dyDescent="0.3">
      <c r="A53" s="9"/>
      <c r="B53" s="9"/>
      <c r="C53" s="9"/>
      <c r="D53" s="9"/>
      <c r="E53" s="9"/>
      <c r="F53" s="10"/>
      <c r="G53" s="9"/>
      <c r="H53" s="9"/>
      <c r="I53" s="10"/>
    </row>
    <row r="54" spans="1:9" ht="13.8" x14ac:dyDescent="0.3">
      <c r="A54" s="9"/>
      <c r="B54" s="9"/>
      <c r="C54" s="9"/>
      <c r="D54" s="9"/>
      <c r="E54" s="9"/>
      <c r="F54" s="10"/>
      <c r="G54" s="9"/>
      <c r="H54" s="9"/>
      <c r="I54" s="10"/>
    </row>
    <row r="55" spans="1:9" ht="13.8" x14ac:dyDescent="0.3">
      <c r="A55" s="9"/>
      <c r="B55" s="9"/>
      <c r="C55" s="9"/>
      <c r="D55" s="9"/>
      <c r="E55" s="9"/>
      <c r="F55" s="10"/>
      <c r="G55" s="9"/>
      <c r="H55" s="9"/>
      <c r="I55" s="10"/>
    </row>
    <row r="56" spans="1:9" ht="13.8" x14ac:dyDescent="0.3">
      <c r="A56" s="9"/>
      <c r="B56" s="9"/>
      <c r="C56" s="9"/>
      <c r="D56" s="9"/>
      <c r="E56" s="9"/>
      <c r="F56" s="10"/>
      <c r="G56" s="9"/>
      <c r="H56" s="9"/>
      <c r="I56" s="10"/>
    </row>
    <row r="57" spans="1:9" ht="13.8" x14ac:dyDescent="0.3">
      <c r="A57" s="9"/>
      <c r="B57" s="9"/>
      <c r="C57" s="9"/>
      <c r="D57" s="9"/>
      <c r="E57" s="9"/>
      <c r="F57" s="10"/>
      <c r="G57" s="9"/>
      <c r="H57" s="9"/>
      <c r="I57" s="10"/>
    </row>
    <row r="58" spans="1:9" ht="13.8" x14ac:dyDescent="0.3">
      <c r="A58" s="9"/>
      <c r="B58" s="9"/>
      <c r="C58" s="9"/>
      <c r="D58" s="9"/>
      <c r="E58" s="9"/>
      <c r="F58" s="10"/>
      <c r="G58" s="9"/>
      <c r="H58" s="9"/>
      <c r="I58" s="10"/>
    </row>
    <row r="59" spans="1:9" ht="13.8" x14ac:dyDescent="0.3">
      <c r="A59" s="9"/>
      <c r="B59" s="9"/>
      <c r="C59" s="9"/>
      <c r="D59" s="9"/>
      <c r="E59" s="9"/>
      <c r="F59" s="10"/>
      <c r="G59" s="9"/>
      <c r="H59" s="9"/>
      <c r="I59" s="10"/>
    </row>
    <row r="60" spans="1:9" ht="13.8" x14ac:dyDescent="0.3">
      <c r="A60" s="9"/>
      <c r="B60" s="9"/>
      <c r="C60" s="9"/>
      <c r="D60" s="9"/>
      <c r="E60" s="9"/>
      <c r="F60" s="10"/>
      <c r="G60" s="9"/>
      <c r="H60" s="9"/>
      <c r="I60" s="10"/>
    </row>
    <row r="61" spans="1:9" ht="13.8" x14ac:dyDescent="0.3">
      <c r="A61" s="9"/>
      <c r="B61" s="9"/>
      <c r="C61" s="9"/>
      <c r="D61" s="9"/>
      <c r="E61" s="9"/>
      <c r="F61" s="10"/>
      <c r="G61" s="9"/>
      <c r="H61" s="9"/>
      <c r="I61" s="10"/>
    </row>
    <row r="62" spans="1:9" ht="13.8" x14ac:dyDescent="0.3">
      <c r="A62" s="9"/>
      <c r="B62" s="9"/>
      <c r="C62" s="9"/>
      <c r="D62" s="9"/>
      <c r="E62" s="9"/>
      <c r="F62" s="10"/>
      <c r="G62" s="9"/>
      <c r="H62" s="9"/>
      <c r="I62" s="10"/>
    </row>
    <row r="63" spans="1:9" ht="13.8" x14ac:dyDescent="0.3">
      <c r="A63" s="9"/>
      <c r="B63" s="9"/>
      <c r="C63" s="9"/>
      <c r="D63" s="9"/>
      <c r="E63" s="9"/>
      <c r="F63" s="10"/>
      <c r="G63" s="9"/>
      <c r="H63" s="9"/>
      <c r="I63" s="10"/>
    </row>
    <row r="64" spans="1:9" ht="13.8" x14ac:dyDescent="0.3">
      <c r="A64" s="9"/>
      <c r="B64" s="9"/>
      <c r="C64" s="9"/>
      <c r="D64" s="9"/>
      <c r="E64" s="9"/>
      <c r="F64" s="10"/>
      <c r="G64" s="9"/>
      <c r="H64" s="9"/>
      <c r="I64" s="10"/>
    </row>
    <row r="65" spans="1:9" ht="13.8" x14ac:dyDescent="0.3">
      <c r="A65" s="9"/>
      <c r="B65" s="9"/>
      <c r="C65" s="9"/>
      <c r="D65" s="9"/>
      <c r="E65" s="9"/>
      <c r="F65" s="10"/>
      <c r="G65" s="9"/>
      <c r="H65" s="9"/>
      <c r="I65" s="10"/>
    </row>
    <row r="66" spans="1:9" ht="13.8" x14ac:dyDescent="0.3">
      <c r="A66" s="9"/>
      <c r="B66" s="9"/>
      <c r="C66" s="9"/>
      <c r="D66" s="9"/>
      <c r="E66" s="9"/>
      <c r="F66" s="10"/>
      <c r="G66" s="9"/>
      <c r="H66" s="9"/>
      <c r="I66" s="10"/>
    </row>
    <row r="67" spans="1:9" ht="13.8" x14ac:dyDescent="0.3">
      <c r="A67" s="9"/>
      <c r="B67" s="9"/>
      <c r="C67" s="9"/>
      <c r="D67" s="9"/>
      <c r="E67" s="9"/>
      <c r="F67" s="10"/>
      <c r="G67" s="9"/>
      <c r="H67" s="9"/>
      <c r="I67" s="10"/>
    </row>
    <row r="68" spans="1:9" ht="13.8" x14ac:dyDescent="0.3">
      <c r="A68" s="9"/>
      <c r="B68" s="9"/>
      <c r="C68" s="9"/>
      <c r="D68" s="9"/>
      <c r="E68" s="9"/>
      <c r="F68" s="10"/>
      <c r="G68" s="9"/>
      <c r="H68" s="9"/>
      <c r="I68" s="10"/>
    </row>
    <row r="69" spans="1:9" ht="13.8" x14ac:dyDescent="0.3">
      <c r="A69" s="9"/>
      <c r="B69" s="9"/>
      <c r="C69" s="9"/>
      <c r="D69" s="9"/>
      <c r="E69" s="9"/>
      <c r="F69" s="10"/>
      <c r="G69" s="9"/>
      <c r="H69" s="9"/>
      <c r="I69" s="10"/>
    </row>
    <row r="70" spans="1:9" ht="13.8" x14ac:dyDescent="0.3">
      <c r="A70" s="9"/>
      <c r="B70" s="9"/>
      <c r="C70" s="9"/>
      <c r="D70" s="9"/>
      <c r="E70" s="9"/>
      <c r="F70" s="10"/>
      <c r="G70" s="9"/>
      <c r="H70" s="9"/>
      <c r="I70" s="10"/>
    </row>
    <row r="71" spans="1:9" ht="13.8" x14ac:dyDescent="0.3">
      <c r="A71" s="9"/>
      <c r="B71" s="9"/>
      <c r="C71" s="9"/>
      <c r="D71" s="9"/>
      <c r="E71" s="9"/>
      <c r="F71" s="10"/>
      <c r="G71" s="9"/>
      <c r="H71" s="9"/>
      <c r="I71" s="10"/>
    </row>
    <row r="72" spans="1:9" ht="13.8" x14ac:dyDescent="0.3">
      <c r="A72" s="9"/>
      <c r="B72" s="9"/>
      <c r="C72" s="9"/>
      <c r="D72" s="9"/>
      <c r="E72" s="9"/>
      <c r="F72" s="10"/>
      <c r="G72" s="9"/>
      <c r="H72" s="9"/>
      <c r="I72" s="10"/>
    </row>
    <row r="73" spans="1:9" ht="13.8" x14ac:dyDescent="0.3">
      <c r="A73" s="9"/>
      <c r="B73" s="9"/>
      <c r="C73" s="9"/>
      <c r="D73" s="9"/>
      <c r="E73" s="9"/>
      <c r="F73" s="10"/>
      <c r="G73" s="9"/>
      <c r="H73" s="9"/>
      <c r="I73" s="10"/>
    </row>
    <row r="74" spans="1:9" ht="13.8" x14ac:dyDescent="0.3">
      <c r="A74" s="9"/>
      <c r="B74" s="9"/>
      <c r="C74" s="9"/>
      <c r="D74" s="9"/>
      <c r="E74" s="9"/>
      <c r="F74" s="10"/>
      <c r="G74" s="9"/>
      <c r="H74" s="9"/>
      <c r="I74" s="10"/>
    </row>
    <row r="75" spans="1:9" ht="13.8" x14ac:dyDescent="0.3">
      <c r="A75" s="9"/>
      <c r="B75" s="9"/>
      <c r="C75" s="9"/>
      <c r="D75" s="9"/>
      <c r="E75" s="9"/>
      <c r="F75" s="10"/>
      <c r="G75" s="9"/>
      <c r="H75" s="9"/>
      <c r="I75" s="10"/>
    </row>
    <row r="76" spans="1:9" ht="13.8" x14ac:dyDescent="0.3">
      <c r="A76" s="9"/>
      <c r="B76" s="9"/>
      <c r="C76" s="9"/>
      <c r="D76" s="9"/>
      <c r="E76" s="9"/>
      <c r="F76" s="10"/>
      <c r="G76" s="9"/>
      <c r="H76" s="9"/>
      <c r="I76" s="10"/>
    </row>
    <row r="77" spans="1:9" ht="13.8" x14ac:dyDescent="0.3">
      <c r="A77" s="9"/>
      <c r="B77" s="9"/>
      <c r="C77" s="9"/>
      <c r="D77" s="9"/>
      <c r="E77" s="9"/>
      <c r="F77" s="10"/>
      <c r="G77" s="9"/>
      <c r="H77" s="9"/>
      <c r="I77" s="10"/>
    </row>
    <row r="78" spans="1:9" ht="13.8" x14ac:dyDescent="0.3">
      <c r="A78" s="9"/>
      <c r="B78" s="9"/>
      <c r="C78" s="9"/>
      <c r="D78" s="9"/>
      <c r="E78" s="9"/>
      <c r="F78" s="10"/>
      <c r="G78" s="9"/>
      <c r="H78" s="9"/>
      <c r="I78" s="10"/>
    </row>
    <row r="79" spans="1:9" ht="13.8" x14ac:dyDescent="0.3">
      <c r="A79" s="9"/>
      <c r="B79" s="9"/>
      <c r="C79" s="9"/>
      <c r="D79" s="9"/>
      <c r="E79" s="9"/>
      <c r="F79" s="10"/>
      <c r="G79" s="9"/>
      <c r="H79" s="9"/>
      <c r="I79" s="10"/>
    </row>
    <row r="80" spans="1:9" ht="13.8" x14ac:dyDescent="0.3">
      <c r="A80" s="9"/>
      <c r="B80" s="9"/>
      <c r="C80" s="9"/>
      <c r="D80" s="9"/>
      <c r="E80" s="9"/>
      <c r="F80" s="10"/>
      <c r="G80" s="9"/>
      <c r="H80" s="9"/>
      <c r="I80" s="10"/>
    </row>
    <row r="81" spans="1:9" ht="13.8" x14ac:dyDescent="0.3">
      <c r="A81" s="9"/>
      <c r="B81" s="9"/>
      <c r="C81" s="9"/>
      <c r="D81" s="9"/>
      <c r="E81" s="9"/>
      <c r="F81" s="10"/>
      <c r="G81" s="9"/>
      <c r="H81" s="9"/>
      <c r="I81" s="10"/>
    </row>
    <row r="82" spans="1:9" ht="13.8" x14ac:dyDescent="0.3">
      <c r="A82" s="9"/>
      <c r="B82" s="9"/>
      <c r="C82" s="9"/>
      <c r="D82" s="9"/>
      <c r="E82" s="9"/>
      <c r="F82" s="10"/>
      <c r="G82" s="9"/>
      <c r="H82" s="9"/>
      <c r="I82" s="10"/>
    </row>
    <row r="83" spans="1:9" ht="13.8" x14ac:dyDescent="0.3">
      <c r="A83" s="9"/>
      <c r="B83" s="9"/>
      <c r="C83" s="9"/>
      <c r="D83" s="9"/>
      <c r="E83" s="9"/>
      <c r="F83" s="10"/>
      <c r="G83" s="9"/>
      <c r="H83" s="9"/>
      <c r="I83" s="10"/>
    </row>
    <row r="84" spans="1:9" ht="13.8" x14ac:dyDescent="0.3">
      <c r="A84" s="9"/>
      <c r="B84" s="9"/>
      <c r="C84" s="9"/>
      <c r="D84" s="9"/>
      <c r="E84" s="9"/>
      <c r="F84" s="10"/>
      <c r="G84" s="9"/>
      <c r="H84" s="9"/>
      <c r="I84" s="10"/>
    </row>
    <row r="85" spans="1:9" ht="13.8" x14ac:dyDescent="0.3">
      <c r="A85" s="9"/>
      <c r="B85" s="9"/>
      <c r="C85" s="9"/>
      <c r="D85" s="9"/>
      <c r="E85" s="9"/>
      <c r="F85" s="10"/>
      <c r="G85" s="9"/>
      <c r="H85" s="9"/>
      <c r="I85" s="10"/>
    </row>
    <row r="86" spans="1:9" ht="13.8" x14ac:dyDescent="0.3">
      <c r="A86" s="9"/>
      <c r="B86" s="9"/>
      <c r="C86" s="9"/>
      <c r="D86" s="9"/>
      <c r="E86" s="9"/>
      <c r="F86" s="10"/>
      <c r="G86" s="9"/>
      <c r="H86" s="9"/>
      <c r="I86" s="10"/>
    </row>
    <row r="87" spans="1:9" ht="13.8" x14ac:dyDescent="0.3">
      <c r="A87" s="9"/>
      <c r="B87" s="9"/>
      <c r="C87" s="9"/>
      <c r="D87" s="9"/>
      <c r="E87" s="9"/>
      <c r="F87" s="10"/>
      <c r="G87" s="9"/>
      <c r="H87" s="9"/>
      <c r="I87" s="10"/>
    </row>
    <row r="88" spans="1:9" ht="13.8" x14ac:dyDescent="0.3">
      <c r="A88" s="9"/>
      <c r="B88" s="9"/>
      <c r="C88" s="9"/>
      <c r="D88" s="9"/>
      <c r="E88" s="9"/>
      <c r="F88" s="10"/>
      <c r="G88" s="9"/>
      <c r="H88" s="9"/>
      <c r="I88" s="10"/>
    </row>
    <row r="89" spans="1:9" ht="13.8" x14ac:dyDescent="0.3">
      <c r="A89" s="9"/>
      <c r="B89" s="9"/>
      <c r="C89" s="9"/>
      <c r="D89" s="9"/>
      <c r="E89" s="9"/>
      <c r="F89" s="10"/>
      <c r="G89" s="9"/>
      <c r="H89" s="9"/>
      <c r="I89" s="10"/>
    </row>
    <row r="90" spans="1:9" ht="13.8" x14ac:dyDescent="0.3">
      <c r="A90" s="9"/>
      <c r="B90" s="9"/>
      <c r="C90" s="9"/>
      <c r="D90" s="9"/>
      <c r="E90" s="9"/>
      <c r="F90" s="10"/>
      <c r="G90" s="9"/>
      <c r="H90" s="9"/>
      <c r="I90" s="10"/>
    </row>
    <row r="91" spans="1:9" ht="13.8" x14ac:dyDescent="0.3">
      <c r="A91" s="9"/>
      <c r="B91" s="9"/>
      <c r="C91" s="9"/>
      <c r="D91" s="9"/>
      <c r="E91" s="9"/>
      <c r="F91" s="10"/>
      <c r="G91" s="9"/>
      <c r="H91" s="9"/>
      <c r="I91" s="10"/>
    </row>
    <row r="92" spans="1:9" ht="13.8" x14ac:dyDescent="0.3">
      <c r="A92" s="9"/>
      <c r="B92" s="9"/>
      <c r="C92" s="9"/>
      <c r="D92" s="9"/>
      <c r="E92" s="9"/>
      <c r="F92" s="10"/>
      <c r="G92" s="9"/>
      <c r="H92" s="9"/>
      <c r="I92" s="10"/>
    </row>
    <row r="93" spans="1:9" ht="13.8" x14ac:dyDescent="0.3">
      <c r="A93" s="9"/>
      <c r="B93" s="9"/>
      <c r="C93" s="9"/>
      <c r="D93" s="9"/>
      <c r="E93" s="9"/>
      <c r="F93" s="10"/>
      <c r="G93" s="9"/>
      <c r="H93" s="9"/>
      <c r="I93" s="10"/>
    </row>
    <row r="94" spans="1:9" ht="13.8" x14ac:dyDescent="0.3">
      <c r="A94" s="9"/>
      <c r="B94" s="9"/>
      <c r="C94" s="9"/>
      <c r="D94" s="9"/>
      <c r="E94" s="9"/>
      <c r="F94" s="10"/>
      <c r="G94" s="9"/>
      <c r="H94" s="9"/>
      <c r="I94" s="10"/>
    </row>
    <row r="95" spans="1:9" ht="13.8" x14ac:dyDescent="0.3">
      <c r="A95" s="9"/>
      <c r="B95" s="9"/>
      <c r="C95" s="9"/>
      <c r="D95" s="9"/>
      <c r="E95" s="9"/>
      <c r="F95" s="10"/>
      <c r="G95" s="9"/>
      <c r="H95" s="9"/>
      <c r="I95" s="10"/>
    </row>
    <row r="96" spans="1:9" ht="13.8" x14ac:dyDescent="0.3">
      <c r="A96" s="9"/>
      <c r="B96" s="9"/>
      <c r="C96" s="9"/>
      <c r="D96" s="9"/>
      <c r="E96" s="9"/>
      <c r="F96" s="10"/>
      <c r="G96" s="9"/>
      <c r="H96" s="9"/>
      <c r="I96" s="10"/>
    </row>
    <row r="97" spans="1:9" ht="13.8" x14ac:dyDescent="0.3">
      <c r="A97" s="9"/>
      <c r="B97" s="9"/>
      <c r="C97" s="9"/>
      <c r="D97" s="9"/>
      <c r="E97" s="9"/>
      <c r="F97" s="10"/>
      <c r="G97" s="9"/>
      <c r="H97" s="9"/>
      <c r="I97" s="10"/>
    </row>
    <row r="98" spans="1:9" ht="13.8" x14ac:dyDescent="0.3">
      <c r="A98" s="9"/>
      <c r="B98" s="9"/>
      <c r="C98" s="9"/>
      <c r="D98" s="9"/>
      <c r="E98" s="9"/>
      <c r="F98" s="10"/>
      <c r="G98" s="9"/>
      <c r="H98" s="9"/>
      <c r="I98" s="10"/>
    </row>
    <row r="99" spans="1:9" ht="13.8" x14ac:dyDescent="0.3">
      <c r="A99" s="9"/>
      <c r="B99" s="9"/>
      <c r="C99" s="9"/>
      <c r="D99" s="9"/>
      <c r="E99" s="9"/>
      <c r="F99" s="10"/>
      <c r="G99" s="9"/>
      <c r="H99" s="9"/>
      <c r="I99" s="10"/>
    </row>
    <row r="100" spans="1:9" ht="13.8" x14ac:dyDescent="0.3">
      <c r="A100" s="9"/>
      <c r="B100" s="9"/>
      <c r="C100" s="9"/>
      <c r="D100" s="9"/>
      <c r="E100" s="9"/>
      <c r="F100" s="10"/>
      <c r="G100" s="9"/>
      <c r="H100" s="9"/>
      <c r="I100" s="10"/>
    </row>
    <row r="101" spans="1:9" ht="13.8" x14ac:dyDescent="0.3">
      <c r="A101" s="9"/>
      <c r="B101" s="9"/>
      <c r="C101" s="9"/>
      <c r="D101" s="9"/>
      <c r="E101" s="9"/>
      <c r="F101" s="10"/>
      <c r="G101" s="9"/>
      <c r="H101" s="9"/>
      <c r="I101" s="10"/>
    </row>
    <row r="102" spans="1:9" ht="13.8" x14ac:dyDescent="0.3">
      <c r="A102" s="9"/>
      <c r="B102" s="9"/>
      <c r="C102" s="9"/>
      <c r="D102" s="9"/>
      <c r="E102" s="9"/>
      <c r="F102" s="10"/>
      <c r="G102" s="9"/>
      <c r="H102" s="9"/>
      <c r="I102" s="10"/>
    </row>
    <row r="103" spans="1:9" ht="13.8" x14ac:dyDescent="0.3">
      <c r="A103" s="9"/>
      <c r="B103" s="9"/>
      <c r="C103" s="9"/>
      <c r="D103" s="9"/>
      <c r="E103" s="9"/>
      <c r="F103" s="10"/>
      <c r="G103" s="9"/>
      <c r="H103" s="9"/>
      <c r="I103" s="10"/>
    </row>
    <row r="104" spans="1:9" ht="13.8" x14ac:dyDescent="0.3">
      <c r="A104" s="9"/>
      <c r="B104" s="9"/>
      <c r="C104" s="9"/>
      <c r="D104" s="9"/>
      <c r="E104" s="9"/>
      <c r="F104" s="10"/>
      <c r="G104" s="9"/>
      <c r="H104" s="9"/>
      <c r="I104" s="10"/>
    </row>
    <row r="105" spans="1:9" ht="13.8" x14ac:dyDescent="0.3">
      <c r="A105" s="9"/>
      <c r="B105" s="9"/>
      <c r="C105" s="9"/>
      <c r="D105" s="9"/>
      <c r="E105" s="9"/>
      <c r="F105" s="10"/>
      <c r="G105" s="9"/>
      <c r="H105" s="9"/>
      <c r="I105" s="10"/>
    </row>
    <row r="106" spans="1:9" ht="13.8" x14ac:dyDescent="0.3">
      <c r="A106" s="9"/>
      <c r="B106" s="9"/>
      <c r="C106" s="9"/>
      <c r="D106" s="9"/>
      <c r="E106" s="9"/>
      <c r="F106" s="10"/>
      <c r="G106" s="9"/>
      <c r="H106" s="9"/>
      <c r="I106" s="10"/>
    </row>
    <row r="107" spans="1:9" ht="13.8" x14ac:dyDescent="0.3">
      <c r="A107" s="9"/>
      <c r="B107" s="9"/>
      <c r="C107" s="9"/>
      <c r="D107" s="9"/>
      <c r="E107" s="9"/>
      <c r="F107" s="10"/>
      <c r="G107" s="9"/>
      <c r="H107" s="9"/>
      <c r="I107" s="10"/>
    </row>
    <row r="108" spans="1:9" ht="13.8" x14ac:dyDescent="0.3">
      <c r="A108" s="9"/>
      <c r="B108" s="9"/>
      <c r="C108" s="9"/>
      <c r="D108" s="9"/>
      <c r="E108" s="9"/>
      <c r="F108" s="10"/>
      <c r="G108" s="9"/>
      <c r="H108" s="9"/>
      <c r="I108" s="10"/>
    </row>
    <row r="109" spans="1:9" ht="13.8" x14ac:dyDescent="0.3">
      <c r="A109" s="9"/>
      <c r="B109" s="9"/>
      <c r="C109" s="9"/>
      <c r="D109" s="9"/>
      <c r="E109" s="9"/>
      <c r="F109" s="10"/>
      <c r="G109" s="9"/>
      <c r="H109" s="9"/>
      <c r="I109" s="10"/>
    </row>
    <row r="110" spans="1:9" ht="13.8" x14ac:dyDescent="0.3">
      <c r="A110" s="9"/>
      <c r="B110" s="9"/>
      <c r="C110" s="9"/>
      <c r="D110" s="9"/>
      <c r="E110" s="9"/>
      <c r="F110" s="10"/>
      <c r="G110" s="9"/>
      <c r="H110" s="9"/>
      <c r="I110" s="10"/>
    </row>
    <row r="111" spans="1:9" ht="13.8" x14ac:dyDescent="0.3">
      <c r="A111" s="9"/>
      <c r="B111" s="9"/>
      <c r="C111" s="9"/>
      <c r="D111" s="9"/>
      <c r="E111" s="9"/>
      <c r="F111" s="10"/>
      <c r="G111" s="9"/>
      <c r="H111" s="9"/>
      <c r="I111" s="10"/>
    </row>
    <row r="112" spans="1:9" ht="13.8" x14ac:dyDescent="0.3">
      <c r="A112" s="9"/>
      <c r="B112" s="9"/>
      <c r="C112" s="9"/>
      <c r="D112" s="9"/>
      <c r="E112" s="9"/>
      <c r="F112" s="10"/>
      <c r="G112" s="9"/>
      <c r="H112" s="9"/>
      <c r="I112" s="10"/>
    </row>
    <row r="113" spans="1:9" ht="13.8" x14ac:dyDescent="0.3">
      <c r="A113" s="9"/>
      <c r="B113" s="9"/>
      <c r="C113" s="9"/>
      <c r="D113" s="9"/>
      <c r="E113" s="9"/>
      <c r="F113" s="10"/>
      <c r="G113" s="9"/>
      <c r="H113" s="9"/>
      <c r="I113" s="10"/>
    </row>
    <row r="114" spans="1:9" ht="13.8" x14ac:dyDescent="0.3">
      <c r="A114" s="9"/>
      <c r="B114" s="9"/>
      <c r="C114" s="9"/>
      <c r="D114" s="9"/>
      <c r="E114" s="9"/>
      <c r="F114" s="10"/>
      <c r="G114" s="9"/>
      <c r="H114" s="9"/>
      <c r="I114" s="10"/>
    </row>
    <row r="115" spans="1:9" ht="13.8" x14ac:dyDescent="0.3">
      <c r="A115" s="9"/>
      <c r="B115" s="9"/>
      <c r="C115" s="9"/>
      <c r="D115" s="9"/>
      <c r="E115" s="9"/>
      <c r="F115" s="10"/>
      <c r="G115" s="9"/>
      <c r="H115" s="9"/>
      <c r="I115" s="10"/>
    </row>
    <row r="116" spans="1:9" ht="13.8" x14ac:dyDescent="0.3">
      <c r="A116" s="9"/>
      <c r="B116" s="9"/>
      <c r="C116" s="9"/>
      <c r="D116" s="9"/>
      <c r="E116" s="9"/>
      <c r="F116" s="10"/>
      <c r="G116" s="9"/>
      <c r="H116" s="9"/>
      <c r="I116" s="10"/>
    </row>
    <row r="117" spans="1:9" ht="13.8" x14ac:dyDescent="0.3">
      <c r="A117" s="9"/>
      <c r="B117" s="9"/>
      <c r="C117" s="9"/>
      <c r="D117" s="9"/>
      <c r="E117" s="9"/>
      <c r="F117" s="10"/>
      <c r="G117" s="9"/>
      <c r="H117" s="9"/>
      <c r="I117" s="10"/>
    </row>
    <row r="118" spans="1:9" ht="13.8" x14ac:dyDescent="0.3">
      <c r="A118" s="9"/>
      <c r="B118" s="9"/>
      <c r="C118" s="9"/>
      <c r="D118" s="9"/>
      <c r="E118" s="9"/>
      <c r="F118" s="10"/>
      <c r="G118" s="9"/>
      <c r="H118" s="9"/>
      <c r="I118" s="10"/>
    </row>
    <row r="119" spans="1:9" ht="13.8" x14ac:dyDescent="0.3">
      <c r="A119" s="9"/>
      <c r="B119" s="9"/>
      <c r="C119" s="9"/>
      <c r="D119" s="9"/>
      <c r="E119" s="9"/>
      <c r="F119" s="10"/>
      <c r="G119" s="9"/>
      <c r="H119" s="9"/>
      <c r="I119" s="10"/>
    </row>
    <row r="120" spans="1:9" ht="13.8" x14ac:dyDescent="0.3">
      <c r="A120" s="9"/>
      <c r="B120" s="9"/>
      <c r="C120" s="9"/>
      <c r="D120" s="9"/>
      <c r="E120" s="9"/>
      <c r="F120" s="10"/>
      <c r="G120" s="9"/>
      <c r="H120" s="9"/>
      <c r="I120" s="10"/>
    </row>
    <row r="121" spans="1:9" ht="13.8" x14ac:dyDescent="0.3">
      <c r="A121" s="9"/>
      <c r="B121" s="9"/>
      <c r="C121" s="9"/>
      <c r="D121" s="9"/>
      <c r="E121" s="9"/>
      <c r="F121" s="10"/>
      <c r="G121" s="9"/>
      <c r="H121" s="9"/>
      <c r="I121" s="10"/>
    </row>
    <row r="122" spans="1:9" ht="13.8" x14ac:dyDescent="0.3">
      <c r="A122" s="9"/>
      <c r="B122" s="9"/>
      <c r="C122" s="9"/>
      <c r="D122" s="9"/>
      <c r="E122" s="9"/>
      <c r="F122" s="10"/>
      <c r="G122" s="9"/>
      <c r="H122" s="9"/>
      <c r="I122" s="10"/>
    </row>
    <row r="123" spans="1:9" ht="13.8" x14ac:dyDescent="0.3">
      <c r="A123" s="9"/>
      <c r="B123" s="9"/>
      <c r="C123" s="9"/>
      <c r="D123" s="9"/>
      <c r="E123" s="9"/>
      <c r="F123" s="10"/>
      <c r="G123" s="9"/>
      <c r="H123" s="9"/>
      <c r="I123" s="10"/>
    </row>
    <row r="124" spans="1:9" ht="13.8" x14ac:dyDescent="0.3">
      <c r="A124" s="9"/>
      <c r="B124" s="9"/>
      <c r="C124" s="9"/>
      <c r="D124" s="9"/>
      <c r="E124" s="9"/>
      <c r="F124" s="10"/>
      <c r="G124" s="9"/>
      <c r="H124" s="9"/>
      <c r="I124" s="10"/>
    </row>
    <row r="125" spans="1:9" ht="13.8" x14ac:dyDescent="0.3">
      <c r="A125" s="9"/>
      <c r="B125" s="9"/>
      <c r="C125" s="9"/>
      <c r="D125" s="9"/>
      <c r="E125" s="9"/>
      <c r="F125" s="10"/>
      <c r="G125" s="9"/>
      <c r="H125" s="9"/>
      <c r="I125" s="10"/>
    </row>
    <row r="126" spans="1:9" ht="13.8" x14ac:dyDescent="0.3">
      <c r="A126" s="9"/>
      <c r="B126" s="9"/>
      <c r="C126" s="9"/>
      <c r="D126" s="9"/>
      <c r="E126" s="9"/>
      <c r="F126" s="10"/>
      <c r="G126" s="9"/>
      <c r="H126" s="9"/>
      <c r="I126" s="10"/>
    </row>
    <row r="127" spans="1:9" ht="13.8" x14ac:dyDescent="0.3">
      <c r="A127" s="9"/>
      <c r="B127" s="9"/>
      <c r="C127" s="9"/>
      <c r="D127" s="9"/>
      <c r="E127" s="9"/>
      <c r="F127" s="10"/>
      <c r="G127" s="9"/>
      <c r="H127" s="9"/>
      <c r="I127" s="10"/>
    </row>
    <row r="128" spans="1:9" ht="13.8" x14ac:dyDescent="0.3">
      <c r="A128" s="9"/>
      <c r="B128" s="9"/>
      <c r="C128" s="9"/>
      <c r="D128" s="9"/>
      <c r="E128" s="9"/>
      <c r="F128" s="10"/>
      <c r="G128" s="9"/>
      <c r="H128" s="9"/>
      <c r="I128" s="10"/>
    </row>
    <row r="129" spans="1:9" ht="13.8" x14ac:dyDescent="0.3">
      <c r="A129" s="9"/>
      <c r="B129" s="9"/>
      <c r="C129" s="9"/>
      <c r="D129" s="9"/>
      <c r="E129" s="9"/>
      <c r="F129" s="10"/>
      <c r="G129" s="9"/>
      <c r="H129" s="9"/>
      <c r="I129" s="10"/>
    </row>
    <row r="130" spans="1:9" ht="13.8" x14ac:dyDescent="0.3">
      <c r="A130" s="9"/>
      <c r="B130" s="9"/>
      <c r="C130" s="9"/>
      <c r="D130" s="9"/>
      <c r="E130" s="9"/>
      <c r="F130" s="10"/>
      <c r="G130" s="9"/>
      <c r="H130" s="9"/>
      <c r="I130" s="10"/>
    </row>
    <row r="131" spans="1:9" ht="13.8" x14ac:dyDescent="0.3">
      <c r="A131" s="9"/>
      <c r="B131" s="9"/>
      <c r="C131" s="9"/>
      <c r="D131" s="9"/>
      <c r="E131" s="9"/>
      <c r="F131" s="10"/>
      <c r="G131" s="9"/>
      <c r="H131" s="9"/>
      <c r="I131" s="10"/>
    </row>
    <row r="132" spans="1:9" ht="13.8" x14ac:dyDescent="0.3">
      <c r="A132" s="9"/>
      <c r="B132" s="9"/>
      <c r="C132" s="9"/>
      <c r="D132" s="9"/>
      <c r="E132" s="9"/>
      <c r="F132" s="10"/>
      <c r="G132" s="9"/>
      <c r="H132" s="9"/>
      <c r="I132" s="10"/>
    </row>
    <row r="133" spans="1:9" ht="13.8" x14ac:dyDescent="0.3">
      <c r="A133" s="9"/>
      <c r="B133" s="9"/>
      <c r="C133" s="9"/>
      <c r="D133" s="9"/>
      <c r="E133" s="9"/>
      <c r="F133" s="10"/>
      <c r="G133" s="9"/>
      <c r="H133" s="9"/>
      <c r="I133" s="10"/>
    </row>
    <row r="134" spans="1:9" ht="13.8" x14ac:dyDescent="0.3">
      <c r="A134" s="9"/>
      <c r="B134" s="9"/>
      <c r="C134" s="9"/>
      <c r="D134" s="9"/>
      <c r="E134" s="9"/>
      <c r="F134" s="10"/>
      <c r="G134" s="9"/>
      <c r="H134" s="9"/>
      <c r="I134" s="10"/>
    </row>
    <row r="135" spans="1:9" ht="13.8" x14ac:dyDescent="0.3">
      <c r="A135" s="9"/>
      <c r="B135" s="9"/>
      <c r="C135" s="9"/>
      <c r="D135" s="9"/>
      <c r="E135" s="9"/>
      <c r="F135" s="10"/>
      <c r="G135" s="9"/>
      <c r="H135" s="9"/>
      <c r="I135" s="10"/>
    </row>
    <row r="136" spans="1:9" ht="13.8" x14ac:dyDescent="0.3">
      <c r="A136" s="9"/>
      <c r="B136" s="9"/>
      <c r="C136" s="9"/>
      <c r="D136" s="9"/>
      <c r="E136" s="9"/>
      <c r="F136" s="10"/>
      <c r="G136" s="9"/>
      <c r="H136" s="9"/>
      <c r="I136" s="10"/>
    </row>
    <row r="137" spans="1:9" ht="13.8" x14ac:dyDescent="0.3">
      <c r="A137" s="9"/>
      <c r="B137" s="9"/>
      <c r="C137" s="9"/>
      <c r="D137" s="9"/>
      <c r="E137" s="9"/>
      <c r="F137" s="10"/>
      <c r="G137" s="9"/>
      <c r="H137" s="9"/>
      <c r="I137" s="10"/>
    </row>
    <row r="138" spans="1:9" ht="13.8" x14ac:dyDescent="0.3">
      <c r="A138" s="9"/>
      <c r="B138" s="9"/>
      <c r="C138" s="9"/>
      <c r="D138" s="9"/>
      <c r="E138" s="9"/>
      <c r="F138" s="10"/>
      <c r="G138" s="9"/>
      <c r="H138" s="9"/>
      <c r="I138" s="10"/>
    </row>
    <row r="139" spans="1:9" ht="13.8" x14ac:dyDescent="0.3">
      <c r="A139" s="9"/>
      <c r="B139" s="9"/>
      <c r="C139" s="9"/>
      <c r="D139" s="9"/>
      <c r="E139" s="9"/>
      <c r="F139" s="10"/>
      <c r="G139" s="9"/>
      <c r="H139" s="9"/>
      <c r="I139" s="10"/>
    </row>
    <row r="140" spans="1:9" ht="13.8" x14ac:dyDescent="0.3">
      <c r="A140" s="9"/>
      <c r="B140" s="9"/>
      <c r="C140" s="9"/>
      <c r="D140" s="9"/>
      <c r="E140" s="9"/>
      <c r="F140" s="10"/>
      <c r="G140" s="9"/>
      <c r="H140" s="9"/>
      <c r="I140" s="10"/>
    </row>
    <row r="141" spans="1:9" ht="13.8" x14ac:dyDescent="0.3">
      <c r="A141" s="9"/>
      <c r="B141" s="9"/>
      <c r="C141" s="9"/>
      <c r="D141" s="9"/>
      <c r="E141" s="9"/>
      <c r="F141" s="10"/>
      <c r="G141" s="9"/>
      <c r="H141" s="9"/>
      <c r="I141" s="10"/>
    </row>
    <row r="142" spans="1:9" ht="13.8" x14ac:dyDescent="0.3">
      <c r="A142" s="9"/>
      <c r="B142" s="9"/>
      <c r="C142" s="9"/>
      <c r="D142" s="9"/>
      <c r="E142" s="9"/>
      <c r="F142" s="10"/>
      <c r="G142" s="9"/>
      <c r="H142" s="9"/>
      <c r="I142" s="10"/>
    </row>
    <row r="143" spans="1:9" ht="13.8" x14ac:dyDescent="0.3">
      <c r="A143" s="9"/>
      <c r="B143" s="9"/>
      <c r="C143" s="9"/>
      <c r="D143" s="9"/>
      <c r="E143" s="9"/>
      <c r="F143" s="10"/>
      <c r="G143" s="9"/>
      <c r="H143" s="9"/>
      <c r="I143" s="10"/>
    </row>
    <row r="144" spans="1:9" ht="13.8" x14ac:dyDescent="0.3">
      <c r="A144" s="9"/>
      <c r="B144" s="9"/>
      <c r="C144" s="9"/>
      <c r="D144" s="9"/>
      <c r="E144" s="9"/>
      <c r="F144" s="10"/>
      <c r="G144" s="9"/>
      <c r="H144" s="9"/>
      <c r="I144" s="10"/>
    </row>
    <row r="145" spans="1:9" ht="13.8" x14ac:dyDescent="0.3">
      <c r="A145" s="9"/>
      <c r="B145" s="9"/>
      <c r="C145" s="9"/>
      <c r="D145" s="9"/>
      <c r="E145" s="9"/>
      <c r="F145" s="10"/>
      <c r="G145" s="9"/>
      <c r="H145" s="9"/>
      <c r="I145" s="10"/>
    </row>
    <row r="146" spans="1:9" ht="13.8" x14ac:dyDescent="0.3">
      <c r="A146" s="9"/>
      <c r="B146" s="9"/>
      <c r="C146" s="9"/>
      <c r="D146" s="9"/>
      <c r="E146" s="9"/>
      <c r="F146" s="10"/>
      <c r="G146" s="9"/>
      <c r="H146" s="9"/>
      <c r="I146" s="10"/>
    </row>
    <row r="147" spans="1:9" ht="13.8" x14ac:dyDescent="0.3">
      <c r="A147" s="9"/>
      <c r="B147" s="9"/>
      <c r="C147" s="9"/>
      <c r="D147" s="9"/>
      <c r="E147" s="9"/>
      <c r="F147" s="10"/>
      <c r="G147" s="9"/>
      <c r="H147" s="9"/>
      <c r="I147" s="10"/>
    </row>
    <row r="148" spans="1:9" ht="13.8" x14ac:dyDescent="0.3">
      <c r="A148" s="9"/>
      <c r="B148" s="9"/>
      <c r="C148" s="9"/>
      <c r="D148" s="9"/>
      <c r="E148" s="9"/>
      <c r="F148" s="10"/>
      <c r="G148" s="9"/>
      <c r="H148" s="9"/>
      <c r="I148" s="10"/>
    </row>
    <row r="149" spans="1:9" ht="13.8" x14ac:dyDescent="0.3">
      <c r="A149" s="9"/>
      <c r="B149" s="9"/>
      <c r="C149" s="9"/>
      <c r="D149" s="9"/>
      <c r="E149" s="9"/>
      <c r="F149" s="10"/>
      <c r="G149" s="9"/>
      <c r="H149" s="9"/>
      <c r="I149" s="10"/>
    </row>
    <row r="150" spans="1:9" ht="13.8" x14ac:dyDescent="0.3">
      <c r="A150" s="9"/>
      <c r="B150" s="9"/>
      <c r="C150" s="9"/>
      <c r="D150" s="9"/>
      <c r="E150" s="9"/>
      <c r="F150" s="10"/>
      <c r="G150" s="9"/>
      <c r="H150" s="9"/>
      <c r="I150" s="10"/>
    </row>
    <row r="151" spans="1:9" ht="13.8" x14ac:dyDescent="0.3">
      <c r="A151" s="9"/>
      <c r="B151" s="9"/>
      <c r="C151" s="9"/>
      <c r="D151" s="9"/>
      <c r="E151" s="9"/>
      <c r="F151" s="10"/>
      <c r="G151" s="9"/>
      <c r="H151" s="9"/>
      <c r="I151" s="10"/>
    </row>
    <row r="152" spans="1:9" ht="13.8" x14ac:dyDescent="0.3">
      <c r="A152" s="9"/>
      <c r="B152" s="9"/>
      <c r="C152" s="9"/>
      <c r="D152" s="9"/>
      <c r="E152" s="9"/>
      <c r="F152" s="10"/>
      <c r="G152" s="9"/>
      <c r="H152" s="9"/>
      <c r="I152" s="10"/>
    </row>
    <row r="153" spans="1:9" ht="13.8" x14ac:dyDescent="0.3">
      <c r="A153" s="9"/>
      <c r="B153" s="9"/>
      <c r="C153" s="9"/>
      <c r="D153" s="9"/>
      <c r="E153" s="9"/>
      <c r="F153" s="10"/>
      <c r="G153" s="9"/>
      <c r="H153" s="9"/>
      <c r="I153" s="10"/>
    </row>
    <row r="154" spans="1:9" ht="13.8" x14ac:dyDescent="0.3">
      <c r="A154" s="9"/>
      <c r="B154" s="9"/>
      <c r="C154" s="9"/>
      <c r="D154" s="9"/>
      <c r="E154" s="9"/>
      <c r="F154" s="10"/>
      <c r="G154" s="9"/>
      <c r="H154" s="9"/>
      <c r="I154" s="10"/>
    </row>
    <row r="155" spans="1:9" ht="13.8" x14ac:dyDescent="0.3">
      <c r="A155" s="9"/>
      <c r="B155" s="9"/>
      <c r="C155" s="9"/>
      <c r="D155" s="9"/>
      <c r="E155" s="9"/>
      <c r="F155" s="10"/>
      <c r="G155" s="9"/>
      <c r="H155" s="9"/>
      <c r="I155" s="10"/>
    </row>
    <row r="156" spans="1:9" ht="13.8" x14ac:dyDescent="0.3">
      <c r="A156" s="9"/>
      <c r="B156" s="9"/>
      <c r="C156" s="9"/>
      <c r="D156" s="9"/>
      <c r="E156" s="9"/>
      <c r="F156" s="10"/>
      <c r="G156" s="9"/>
      <c r="H156" s="9"/>
      <c r="I156" s="10"/>
    </row>
    <row r="157" spans="1:9" ht="13.8" x14ac:dyDescent="0.3">
      <c r="A157" s="9"/>
      <c r="B157" s="9"/>
      <c r="C157" s="9"/>
      <c r="D157" s="9"/>
      <c r="E157" s="9"/>
      <c r="F157" s="10"/>
      <c r="G157" s="9"/>
      <c r="H157" s="9"/>
      <c r="I157" s="10"/>
    </row>
    <row r="158" spans="1:9" ht="13.8" x14ac:dyDescent="0.3">
      <c r="A158" s="9"/>
      <c r="B158" s="9"/>
      <c r="C158" s="9"/>
      <c r="D158" s="9"/>
      <c r="E158" s="9"/>
      <c r="F158" s="10"/>
      <c r="G158" s="9"/>
      <c r="H158" s="9"/>
      <c r="I158" s="10"/>
    </row>
    <row r="159" spans="1:9" ht="13.8" x14ac:dyDescent="0.3">
      <c r="A159" s="9"/>
      <c r="B159" s="9"/>
      <c r="C159" s="9"/>
      <c r="D159" s="9"/>
      <c r="E159" s="9"/>
      <c r="F159" s="10"/>
      <c r="G159" s="9"/>
      <c r="H159" s="9"/>
      <c r="I159" s="10"/>
    </row>
    <row r="160" spans="1:9" ht="13.8" x14ac:dyDescent="0.3">
      <c r="A160" s="9"/>
      <c r="B160" s="9"/>
      <c r="C160" s="9"/>
      <c r="D160" s="9"/>
      <c r="E160" s="9"/>
      <c r="F160" s="10"/>
      <c r="G160" s="9"/>
      <c r="H160" s="9"/>
      <c r="I160" s="10"/>
    </row>
    <row r="161" spans="1:9" ht="13.8" x14ac:dyDescent="0.3">
      <c r="A161" s="9"/>
      <c r="B161" s="9"/>
      <c r="C161" s="9"/>
      <c r="D161" s="9"/>
      <c r="E161" s="9"/>
      <c r="F161" s="10"/>
      <c r="G161" s="9"/>
      <c r="H161" s="9"/>
      <c r="I161" s="10"/>
    </row>
    <row r="162" spans="1:9" ht="13.8" x14ac:dyDescent="0.3">
      <c r="A162" s="9"/>
      <c r="B162" s="9"/>
      <c r="C162" s="9"/>
      <c r="D162" s="9"/>
      <c r="E162" s="9"/>
      <c r="F162" s="10"/>
      <c r="G162" s="9"/>
      <c r="H162" s="9"/>
      <c r="I162" s="10"/>
    </row>
    <row r="163" spans="1:9" ht="13.8" x14ac:dyDescent="0.3">
      <c r="A163" s="9"/>
      <c r="B163" s="9"/>
      <c r="C163" s="9"/>
      <c r="D163" s="9"/>
      <c r="E163" s="9"/>
      <c r="F163" s="10"/>
      <c r="G163" s="9"/>
      <c r="H163" s="9"/>
      <c r="I163" s="10"/>
    </row>
    <row r="164" spans="1:9" ht="13.8" x14ac:dyDescent="0.3">
      <c r="A164" s="9"/>
      <c r="B164" s="9"/>
      <c r="C164" s="9"/>
      <c r="D164" s="9"/>
      <c r="E164" s="9"/>
      <c r="F164" s="10"/>
      <c r="G164" s="9"/>
      <c r="H164" s="9"/>
      <c r="I164" s="10"/>
    </row>
    <row r="165" spans="1:9" ht="13.8" x14ac:dyDescent="0.3">
      <c r="A165" s="9"/>
      <c r="B165" s="9"/>
      <c r="C165" s="9"/>
      <c r="D165" s="9"/>
      <c r="E165" s="9"/>
      <c r="F165" s="10"/>
      <c r="G165" s="9"/>
      <c r="H165" s="9"/>
      <c r="I165" s="10"/>
    </row>
    <row r="166" spans="1:9" ht="13.8" x14ac:dyDescent="0.3">
      <c r="A166" s="9"/>
      <c r="B166" s="9"/>
      <c r="C166" s="9"/>
      <c r="D166" s="9"/>
      <c r="E166" s="9"/>
      <c r="F166" s="10"/>
      <c r="G166" s="9"/>
      <c r="H166" s="9"/>
      <c r="I166" s="10"/>
    </row>
    <row r="167" spans="1:9" ht="13.8" x14ac:dyDescent="0.3">
      <c r="A167" s="9"/>
      <c r="B167" s="9"/>
      <c r="C167" s="9"/>
      <c r="D167" s="9"/>
      <c r="E167" s="9"/>
      <c r="F167" s="10"/>
      <c r="G167" s="9"/>
      <c r="H167" s="9"/>
      <c r="I167" s="10"/>
    </row>
    <row r="168" spans="1:9" ht="13.8" x14ac:dyDescent="0.3">
      <c r="A168" s="9"/>
      <c r="B168" s="9"/>
      <c r="C168" s="9"/>
      <c r="D168" s="9"/>
      <c r="E168" s="9"/>
      <c r="F168" s="10"/>
      <c r="G168" s="9"/>
      <c r="H168" s="9"/>
      <c r="I168" s="10"/>
    </row>
    <row r="169" spans="1:9" ht="13.8" x14ac:dyDescent="0.3">
      <c r="A169" s="9"/>
      <c r="B169" s="9"/>
      <c r="C169" s="9"/>
      <c r="D169" s="9"/>
      <c r="E169" s="9"/>
      <c r="F169" s="10"/>
      <c r="G169" s="9"/>
      <c r="H169" s="9"/>
      <c r="I169" s="10"/>
    </row>
    <row r="170" spans="1:9" ht="13.8" x14ac:dyDescent="0.3">
      <c r="A170" s="9"/>
      <c r="B170" s="9"/>
      <c r="C170" s="9"/>
      <c r="D170" s="9"/>
      <c r="E170" s="9"/>
      <c r="F170" s="10"/>
      <c r="G170" s="9"/>
      <c r="H170" s="9"/>
      <c r="I170" s="10"/>
    </row>
    <row r="171" spans="1:9" ht="13.8" x14ac:dyDescent="0.3">
      <c r="A171" s="9"/>
      <c r="B171" s="9"/>
      <c r="C171" s="9"/>
      <c r="D171" s="9"/>
      <c r="E171" s="9"/>
      <c r="F171" s="10"/>
      <c r="G171" s="9"/>
      <c r="H171" s="9"/>
      <c r="I171" s="10"/>
    </row>
    <row r="172" spans="1:9" ht="13.8" x14ac:dyDescent="0.3">
      <c r="A172" s="9"/>
      <c r="B172" s="9"/>
      <c r="C172" s="9"/>
      <c r="D172" s="9"/>
      <c r="E172" s="9"/>
      <c r="F172" s="10"/>
      <c r="G172" s="9"/>
      <c r="H172" s="9"/>
      <c r="I172" s="10"/>
    </row>
    <row r="173" spans="1:9" ht="13.8" x14ac:dyDescent="0.3">
      <c r="A173" s="9"/>
      <c r="B173" s="9"/>
      <c r="C173" s="9"/>
      <c r="D173" s="9"/>
      <c r="E173" s="9"/>
      <c r="F173" s="10"/>
      <c r="G173" s="9"/>
      <c r="H173" s="9"/>
      <c r="I173" s="10"/>
    </row>
    <row r="174" spans="1:9" ht="13.8" x14ac:dyDescent="0.3">
      <c r="A174" s="9"/>
      <c r="B174" s="9"/>
      <c r="C174" s="9"/>
      <c r="D174" s="9"/>
      <c r="E174" s="9"/>
      <c r="F174" s="10"/>
      <c r="G174" s="9"/>
      <c r="H174" s="9"/>
      <c r="I174" s="10"/>
    </row>
    <row r="175" spans="1:9" ht="13.8" x14ac:dyDescent="0.3">
      <c r="A175" s="9"/>
      <c r="B175" s="9"/>
      <c r="C175" s="9"/>
      <c r="D175" s="9"/>
      <c r="E175" s="9"/>
      <c r="F175" s="10"/>
      <c r="G175" s="9"/>
      <c r="H175" s="9"/>
      <c r="I175" s="10"/>
    </row>
    <row r="176" spans="1:9" ht="13.8" x14ac:dyDescent="0.3">
      <c r="A176" s="9"/>
      <c r="B176" s="9"/>
      <c r="C176" s="9"/>
      <c r="D176" s="9"/>
      <c r="E176" s="9"/>
      <c r="F176" s="10"/>
      <c r="G176" s="9"/>
      <c r="H176" s="9"/>
      <c r="I176" s="10"/>
    </row>
    <row r="177" spans="1:9" ht="13.8" x14ac:dyDescent="0.3">
      <c r="A177" s="9"/>
      <c r="B177" s="9"/>
      <c r="C177" s="9"/>
      <c r="D177" s="9"/>
      <c r="E177" s="9"/>
      <c r="F177" s="10"/>
      <c r="G177" s="9"/>
      <c r="H177" s="9"/>
      <c r="I177" s="10"/>
    </row>
    <row r="178" spans="1:9" ht="13.8" x14ac:dyDescent="0.3">
      <c r="A178" s="9"/>
      <c r="B178" s="9"/>
      <c r="C178" s="9"/>
      <c r="D178" s="9"/>
      <c r="E178" s="9"/>
      <c r="F178" s="10"/>
      <c r="G178" s="9"/>
      <c r="H178" s="9"/>
      <c r="I178" s="10"/>
    </row>
    <row r="179" spans="1:9" ht="13.8" x14ac:dyDescent="0.3">
      <c r="A179" s="9"/>
      <c r="B179" s="9"/>
      <c r="C179" s="9"/>
      <c r="D179" s="9"/>
      <c r="E179" s="9"/>
      <c r="F179" s="10"/>
      <c r="G179" s="9"/>
      <c r="H179" s="9"/>
      <c r="I179" s="10"/>
    </row>
    <row r="180" spans="1:9" ht="13.8" x14ac:dyDescent="0.3">
      <c r="A180" s="9"/>
      <c r="B180" s="9"/>
      <c r="C180" s="9"/>
      <c r="D180" s="9"/>
      <c r="E180" s="9"/>
      <c r="F180" s="10"/>
      <c r="G180" s="9"/>
      <c r="H180" s="9"/>
      <c r="I180" s="10"/>
    </row>
    <row r="181" spans="1:9" ht="13.8" x14ac:dyDescent="0.3">
      <c r="A181" s="9"/>
      <c r="B181" s="9"/>
      <c r="C181" s="9"/>
      <c r="D181" s="9"/>
      <c r="E181" s="9"/>
      <c r="F181" s="10"/>
      <c r="G181" s="9"/>
      <c r="H181" s="9"/>
      <c r="I181" s="10"/>
    </row>
    <row r="182" spans="1:9" ht="13.8" x14ac:dyDescent="0.3">
      <c r="A182" s="9"/>
      <c r="B182" s="9"/>
      <c r="C182" s="9"/>
      <c r="D182" s="9"/>
      <c r="E182" s="9"/>
      <c r="F182" s="10"/>
      <c r="G182" s="9"/>
      <c r="H182" s="9"/>
      <c r="I182" s="10"/>
    </row>
    <row r="183" spans="1:9" ht="13.8" x14ac:dyDescent="0.3">
      <c r="A183" s="9"/>
      <c r="B183" s="9"/>
      <c r="C183" s="9"/>
      <c r="D183" s="9"/>
      <c r="E183" s="9"/>
      <c r="F183" s="10"/>
      <c r="G183" s="9"/>
      <c r="H183" s="9"/>
      <c r="I183" s="10"/>
    </row>
    <row r="184" spans="1:9" ht="13.8" x14ac:dyDescent="0.3">
      <c r="A184" s="9"/>
      <c r="B184" s="9"/>
      <c r="C184" s="9"/>
      <c r="D184" s="9"/>
      <c r="E184" s="9"/>
      <c r="F184" s="10"/>
      <c r="G184" s="9"/>
      <c r="H184" s="9"/>
      <c r="I184" s="10"/>
    </row>
    <row r="185" spans="1:9" ht="13.8" x14ac:dyDescent="0.3">
      <c r="A185" s="9"/>
      <c r="B185" s="9"/>
      <c r="C185" s="9"/>
      <c r="D185" s="9"/>
      <c r="E185" s="9"/>
      <c r="F185" s="10"/>
      <c r="G185" s="9"/>
      <c r="H185" s="9"/>
      <c r="I185" s="10"/>
    </row>
    <row r="186" spans="1:9" ht="13.8" x14ac:dyDescent="0.3">
      <c r="A186" s="9"/>
      <c r="B186" s="9"/>
      <c r="C186" s="9"/>
      <c r="D186" s="9"/>
      <c r="E186" s="9"/>
      <c r="F186" s="10"/>
      <c r="G186" s="9"/>
      <c r="H186" s="9"/>
      <c r="I186" s="10"/>
    </row>
    <row r="187" spans="1:9" ht="13.8" x14ac:dyDescent="0.3">
      <c r="A187" s="9"/>
      <c r="B187" s="9"/>
      <c r="C187" s="9"/>
      <c r="D187" s="9"/>
      <c r="E187" s="9"/>
      <c r="F187" s="10"/>
      <c r="G187" s="9"/>
      <c r="H187" s="9"/>
      <c r="I187" s="10"/>
    </row>
    <row r="188" spans="1:9" ht="13.8" x14ac:dyDescent="0.3">
      <c r="A188" s="9"/>
      <c r="B188" s="9"/>
      <c r="C188" s="9"/>
      <c r="D188" s="9"/>
      <c r="E188" s="9"/>
      <c r="F188" s="10"/>
      <c r="G188" s="9"/>
      <c r="H188" s="9"/>
      <c r="I188" s="10"/>
    </row>
    <row r="189" spans="1:9" ht="13.8" x14ac:dyDescent="0.3">
      <c r="A189" s="9"/>
      <c r="B189" s="9"/>
      <c r="C189" s="9"/>
      <c r="D189" s="9"/>
      <c r="E189" s="9"/>
      <c r="F189" s="10"/>
      <c r="G189" s="9"/>
      <c r="H189" s="9"/>
      <c r="I189" s="10"/>
    </row>
    <row r="190" spans="1:9" ht="13.8" x14ac:dyDescent="0.3">
      <c r="A190" s="9"/>
      <c r="B190" s="9"/>
      <c r="C190" s="9"/>
      <c r="D190" s="9"/>
      <c r="E190" s="9"/>
      <c r="F190" s="10"/>
      <c r="G190" s="9"/>
      <c r="H190" s="9"/>
      <c r="I190" s="10"/>
    </row>
    <row r="191" spans="1:9" ht="13.8" x14ac:dyDescent="0.3">
      <c r="A191" s="9"/>
      <c r="B191" s="9"/>
      <c r="C191" s="9"/>
      <c r="D191" s="9"/>
      <c r="E191" s="9"/>
      <c r="F191" s="10"/>
      <c r="G191" s="9"/>
      <c r="H191" s="9"/>
      <c r="I191" s="10"/>
    </row>
    <row r="192" spans="1:9" ht="13.8" x14ac:dyDescent="0.3">
      <c r="A192" s="9"/>
      <c r="B192" s="9"/>
      <c r="C192" s="9"/>
      <c r="D192" s="9"/>
      <c r="E192" s="9"/>
      <c r="F192" s="10"/>
      <c r="G192" s="9"/>
      <c r="H192" s="9"/>
      <c r="I192" s="10"/>
    </row>
    <row r="193" spans="1:9" ht="13.8" x14ac:dyDescent="0.3">
      <c r="A193" s="9"/>
      <c r="B193" s="9"/>
      <c r="C193" s="9"/>
      <c r="D193" s="9"/>
      <c r="E193" s="9"/>
      <c r="F193" s="10"/>
      <c r="G193" s="9"/>
      <c r="H193" s="9"/>
      <c r="I193" s="10"/>
    </row>
    <row r="194" spans="1:9" ht="13.8" x14ac:dyDescent="0.3">
      <c r="A194" s="9"/>
      <c r="B194" s="9"/>
      <c r="C194" s="9"/>
      <c r="D194" s="9"/>
      <c r="E194" s="9"/>
      <c r="F194" s="10"/>
      <c r="G194" s="9"/>
      <c r="H194" s="9"/>
      <c r="I194" s="10"/>
    </row>
    <row r="195" spans="1:9" ht="13.8" x14ac:dyDescent="0.3">
      <c r="A195" s="9"/>
      <c r="B195" s="9"/>
      <c r="C195" s="9"/>
      <c r="D195" s="9"/>
      <c r="E195" s="9"/>
      <c r="F195" s="10"/>
      <c r="G195" s="9"/>
      <c r="H195" s="9"/>
      <c r="I195" s="10"/>
    </row>
    <row r="196" spans="1:9" ht="13.8" x14ac:dyDescent="0.3">
      <c r="A196" s="9"/>
      <c r="B196" s="9"/>
      <c r="C196" s="9"/>
      <c r="D196" s="9"/>
      <c r="E196" s="9"/>
      <c r="F196" s="10"/>
      <c r="G196" s="9"/>
      <c r="H196" s="9"/>
      <c r="I196" s="10"/>
    </row>
    <row r="197" spans="1:9" ht="13.8" x14ac:dyDescent="0.3">
      <c r="A197" s="9"/>
      <c r="B197" s="9"/>
      <c r="C197" s="9"/>
      <c r="D197" s="9"/>
      <c r="E197" s="9"/>
      <c r="F197" s="10"/>
      <c r="G197" s="9"/>
      <c r="H197" s="9"/>
      <c r="I197" s="10"/>
    </row>
    <row r="198" spans="1:9" ht="13.8" x14ac:dyDescent="0.3">
      <c r="A198" s="9"/>
      <c r="B198" s="9"/>
      <c r="C198" s="9"/>
      <c r="D198" s="9"/>
      <c r="E198" s="9"/>
      <c r="F198" s="10"/>
      <c r="G198" s="9"/>
      <c r="H198" s="9"/>
      <c r="I198" s="10"/>
    </row>
    <row r="199" spans="1:9" ht="13.8" x14ac:dyDescent="0.3">
      <c r="A199" s="9"/>
      <c r="B199" s="9"/>
      <c r="C199" s="9"/>
      <c r="D199" s="9"/>
      <c r="E199" s="9"/>
      <c r="F199" s="10"/>
      <c r="G199" s="9"/>
      <c r="H199" s="9"/>
      <c r="I199" s="10"/>
    </row>
    <row r="200" spans="1:9" ht="13.8" x14ac:dyDescent="0.3">
      <c r="A200" s="9"/>
      <c r="B200" s="9"/>
      <c r="C200" s="9"/>
      <c r="D200" s="9"/>
      <c r="E200" s="9"/>
      <c r="F200" s="10"/>
      <c r="G200" s="9"/>
      <c r="H200" s="9"/>
      <c r="I200" s="10"/>
    </row>
    <row r="201" spans="1:9" ht="13.8" x14ac:dyDescent="0.3">
      <c r="A201" s="9"/>
      <c r="B201" s="9"/>
      <c r="C201" s="9"/>
      <c r="D201" s="9"/>
      <c r="E201" s="9"/>
      <c r="F201" s="10"/>
      <c r="G201" s="9"/>
      <c r="H201" s="9"/>
      <c r="I201" s="10"/>
    </row>
    <row r="202" spans="1:9" ht="13.8" x14ac:dyDescent="0.3">
      <c r="A202" s="9"/>
      <c r="B202" s="9"/>
      <c r="C202" s="9"/>
      <c r="D202" s="9"/>
      <c r="E202" s="9"/>
      <c r="F202" s="10"/>
      <c r="G202" s="9"/>
      <c r="H202" s="9"/>
      <c r="I202" s="10"/>
    </row>
    <row r="203" spans="1:9" ht="13.8" x14ac:dyDescent="0.3">
      <c r="A203" s="9"/>
      <c r="B203" s="9"/>
      <c r="C203" s="9"/>
      <c r="D203" s="9"/>
      <c r="E203" s="9"/>
      <c r="F203" s="10"/>
      <c r="G203" s="9"/>
      <c r="H203" s="9"/>
      <c r="I203" s="10"/>
    </row>
    <row r="204" spans="1:9" ht="13.8" x14ac:dyDescent="0.3">
      <c r="A204" s="9"/>
      <c r="B204" s="9"/>
      <c r="C204" s="9"/>
      <c r="D204" s="9"/>
      <c r="E204" s="9"/>
      <c r="F204" s="10"/>
      <c r="G204" s="9"/>
      <c r="H204" s="9"/>
      <c r="I204" s="10"/>
    </row>
    <row r="205" spans="1:9" ht="13.8" x14ac:dyDescent="0.3">
      <c r="A205" s="9"/>
      <c r="B205" s="9"/>
      <c r="C205" s="9"/>
      <c r="D205" s="9"/>
      <c r="E205" s="9"/>
      <c r="F205" s="10"/>
      <c r="G205" s="9"/>
      <c r="H205" s="9"/>
      <c r="I205" s="10"/>
    </row>
    <row r="206" spans="1:9" ht="13.8" x14ac:dyDescent="0.3">
      <c r="A206" s="9"/>
      <c r="B206" s="9"/>
      <c r="C206" s="9"/>
      <c r="D206" s="9"/>
      <c r="E206" s="9"/>
      <c r="F206" s="10"/>
      <c r="G206" s="9"/>
      <c r="H206" s="9"/>
      <c r="I206" s="10"/>
    </row>
    <row r="207" spans="1:9" ht="13.8" x14ac:dyDescent="0.3">
      <c r="A207" s="9"/>
      <c r="B207" s="9"/>
      <c r="C207" s="9"/>
      <c r="D207" s="9"/>
      <c r="E207" s="9"/>
      <c r="F207" s="10"/>
      <c r="G207" s="9"/>
      <c r="H207" s="9"/>
      <c r="I207" s="10"/>
    </row>
    <row r="208" spans="1:9" ht="13.8" x14ac:dyDescent="0.3">
      <c r="A208" s="9"/>
      <c r="B208" s="9"/>
      <c r="C208" s="9"/>
      <c r="D208" s="9"/>
      <c r="E208" s="9"/>
      <c r="F208" s="10"/>
      <c r="G208" s="9"/>
      <c r="H208" s="9"/>
      <c r="I208" s="10"/>
    </row>
    <row r="209" spans="1:9" ht="13.8" x14ac:dyDescent="0.3">
      <c r="A209" s="9"/>
      <c r="B209" s="9"/>
      <c r="C209" s="9"/>
      <c r="D209" s="9"/>
      <c r="E209" s="9"/>
      <c r="F209" s="10"/>
      <c r="G209" s="9"/>
      <c r="H209" s="9"/>
      <c r="I209" s="10"/>
    </row>
    <row r="210" spans="1:9" ht="13.8" x14ac:dyDescent="0.3">
      <c r="A210" s="9"/>
      <c r="B210" s="9"/>
      <c r="C210" s="9"/>
      <c r="D210" s="9"/>
      <c r="E210" s="9"/>
      <c r="F210" s="10"/>
      <c r="G210" s="9"/>
      <c r="H210" s="9"/>
      <c r="I210" s="10"/>
    </row>
    <row r="211" spans="1:9" ht="13.8" x14ac:dyDescent="0.3">
      <c r="A211" s="9"/>
      <c r="B211" s="9"/>
      <c r="C211" s="9"/>
      <c r="D211" s="9"/>
      <c r="E211" s="9"/>
      <c r="F211" s="10"/>
      <c r="G211" s="9"/>
      <c r="H211" s="9"/>
      <c r="I211" s="10"/>
    </row>
    <row r="212" spans="1:9" ht="13.8" x14ac:dyDescent="0.3">
      <c r="A212" s="9"/>
      <c r="B212" s="9"/>
      <c r="C212" s="9"/>
      <c r="D212" s="9"/>
      <c r="E212" s="9"/>
      <c r="F212" s="10"/>
      <c r="G212" s="9"/>
      <c r="H212" s="9"/>
      <c r="I212" s="10"/>
    </row>
    <row r="213" spans="1:9" ht="13.8" x14ac:dyDescent="0.3">
      <c r="A213" s="9"/>
      <c r="B213" s="9"/>
      <c r="C213" s="9"/>
      <c r="D213" s="9"/>
      <c r="E213" s="9"/>
      <c r="F213" s="10"/>
      <c r="G213" s="9"/>
      <c r="H213" s="9"/>
      <c r="I213" s="10"/>
    </row>
    <row r="214" spans="1:9" ht="13.8" x14ac:dyDescent="0.3">
      <c r="A214" s="9"/>
      <c r="B214" s="9"/>
      <c r="C214" s="9"/>
      <c r="D214" s="9"/>
      <c r="E214" s="9"/>
      <c r="F214" s="10"/>
      <c r="G214" s="9"/>
      <c r="H214" s="9"/>
      <c r="I214" s="10"/>
    </row>
    <row r="215" spans="1:9" ht="13.8" x14ac:dyDescent="0.3">
      <c r="A215" s="9"/>
      <c r="B215" s="9"/>
      <c r="C215" s="9"/>
      <c r="D215" s="9"/>
      <c r="E215" s="9"/>
      <c r="F215" s="10"/>
      <c r="G215" s="9"/>
      <c r="H215" s="9"/>
      <c r="I215" s="10"/>
    </row>
    <row r="216" spans="1:9" ht="13.8" x14ac:dyDescent="0.3">
      <c r="A216" s="9"/>
      <c r="B216" s="9"/>
      <c r="C216" s="9"/>
      <c r="D216" s="9"/>
      <c r="E216" s="9"/>
      <c r="F216" s="10"/>
      <c r="G216" s="9"/>
      <c r="H216" s="9"/>
      <c r="I216" s="10"/>
    </row>
    <row r="217" spans="1:9" ht="13.8" x14ac:dyDescent="0.3">
      <c r="A217" s="9"/>
      <c r="B217" s="9"/>
      <c r="C217" s="9"/>
      <c r="D217" s="9"/>
      <c r="E217" s="9"/>
      <c r="F217" s="10"/>
      <c r="G217" s="9"/>
      <c r="H217" s="9"/>
      <c r="I217" s="10"/>
    </row>
    <row r="218" spans="1:9" ht="13.8" x14ac:dyDescent="0.3">
      <c r="A218" s="9"/>
      <c r="B218" s="9"/>
      <c r="C218" s="9"/>
      <c r="D218" s="9"/>
      <c r="E218" s="9"/>
      <c r="F218" s="10"/>
      <c r="G218" s="9"/>
      <c r="H218" s="9"/>
      <c r="I218" s="10"/>
    </row>
    <row r="219" spans="1:9" ht="13.8" x14ac:dyDescent="0.3">
      <c r="A219" s="9"/>
      <c r="B219" s="9"/>
      <c r="C219" s="9"/>
      <c r="D219" s="9"/>
      <c r="E219" s="9"/>
      <c r="F219" s="10"/>
      <c r="G219" s="9"/>
      <c r="H219" s="9"/>
      <c r="I219" s="10"/>
    </row>
    <row r="220" spans="1:9" ht="13.8" x14ac:dyDescent="0.3">
      <c r="A220" s="9"/>
      <c r="B220" s="9"/>
      <c r="C220" s="9"/>
      <c r="D220" s="9"/>
      <c r="E220" s="9"/>
      <c r="F220" s="10"/>
      <c r="G220" s="9"/>
      <c r="H220" s="9"/>
      <c r="I220" s="10"/>
    </row>
    <row r="221" spans="1:9" ht="13.8" x14ac:dyDescent="0.3">
      <c r="A221" s="9"/>
      <c r="B221" s="9"/>
      <c r="C221" s="9"/>
      <c r="D221" s="9"/>
      <c r="E221" s="9"/>
      <c r="F221" s="10"/>
      <c r="G221" s="9"/>
      <c r="H221" s="9"/>
      <c r="I221" s="10"/>
    </row>
    <row r="222" spans="1:9" ht="13.8" x14ac:dyDescent="0.3">
      <c r="A222" s="9"/>
      <c r="B222" s="9"/>
      <c r="C222" s="9"/>
      <c r="D222" s="9"/>
      <c r="E222" s="9"/>
      <c r="F222" s="10"/>
      <c r="G222" s="9"/>
      <c r="H222" s="9"/>
      <c r="I222" s="10"/>
    </row>
    <row r="223" spans="1:9" ht="13.8" x14ac:dyDescent="0.3">
      <c r="A223" s="9"/>
      <c r="B223" s="9"/>
      <c r="C223" s="9"/>
      <c r="D223" s="9"/>
      <c r="E223" s="9"/>
      <c r="F223" s="10"/>
      <c r="G223" s="9"/>
      <c r="H223" s="9"/>
      <c r="I223" s="10"/>
    </row>
    <row r="224" spans="1:9" ht="13.8" x14ac:dyDescent="0.3">
      <c r="A224" s="9"/>
      <c r="B224" s="9"/>
      <c r="C224" s="9"/>
      <c r="D224" s="9"/>
      <c r="E224" s="9"/>
      <c r="F224" s="10"/>
      <c r="G224" s="9"/>
      <c r="H224" s="9"/>
      <c r="I224" s="10"/>
    </row>
    <row r="225" spans="1:9" ht="13.8" x14ac:dyDescent="0.3">
      <c r="A225" s="9"/>
      <c r="B225" s="9"/>
      <c r="C225" s="9"/>
      <c r="D225" s="9"/>
      <c r="E225" s="9"/>
      <c r="F225" s="10"/>
      <c r="G225" s="9"/>
      <c r="H225" s="9"/>
      <c r="I225" s="10"/>
    </row>
    <row r="226" spans="1:9" ht="13.8" x14ac:dyDescent="0.3">
      <c r="A226" s="9"/>
      <c r="B226" s="9"/>
      <c r="C226" s="9"/>
      <c r="D226" s="9"/>
      <c r="E226" s="9"/>
      <c r="F226" s="10"/>
      <c r="G226" s="9"/>
      <c r="H226" s="9"/>
      <c r="I226" s="10"/>
    </row>
    <row r="227" spans="1:9" ht="13.8" x14ac:dyDescent="0.3">
      <c r="A227" s="9"/>
      <c r="B227" s="9"/>
      <c r="C227" s="9"/>
      <c r="D227" s="9"/>
      <c r="E227" s="9"/>
      <c r="F227" s="10"/>
      <c r="G227" s="9"/>
      <c r="H227" s="9"/>
      <c r="I227" s="10"/>
    </row>
    <row r="228" spans="1:9" ht="13.8" x14ac:dyDescent="0.3">
      <c r="A228" s="9"/>
      <c r="B228" s="9"/>
      <c r="C228" s="9"/>
      <c r="D228" s="9"/>
      <c r="E228" s="9"/>
      <c r="F228" s="10"/>
      <c r="G228" s="9"/>
      <c r="H228" s="9"/>
      <c r="I228" s="10"/>
    </row>
    <row r="229" spans="1:9" ht="13.8" x14ac:dyDescent="0.3">
      <c r="A229" s="9"/>
      <c r="B229" s="9"/>
      <c r="C229" s="9"/>
      <c r="D229" s="9"/>
      <c r="E229" s="9"/>
      <c r="F229" s="10"/>
      <c r="G229" s="9"/>
      <c r="H229" s="9"/>
      <c r="I229" s="10"/>
    </row>
    <row r="230" spans="1:9" ht="13.8" x14ac:dyDescent="0.3">
      <c r="A230" s="9"/>
      <c r="B230" s="9"/>
      <c r="C230" s="9"/>
      <c r="D230" s="9"/>
      <c r="E230" s="9"/>
      <c r="F230" s="10"/>
      <c r="G230" s="9"/>
      <c r="H230" s="9"/>
      <c r="I230" s="10"/>
    </row>
    <row r="231" spans="1:9" ht="13.8" x14ac:dyDescent="0.3">
      <c r="A231" s="9"/>
      <c r="B231" s="9"/>
      <c r="C231" s="9"/>
      <c r="D231" s="9"/>
      <c r="E231" s="9"/>
      <c r="F231" s="10"/>
      <c r="G231" s="9"/>
      <c r="H231" s="9"/>
      <c r="I231" s="10"/>
    </row>
    <row r="232" spans="1:9" ht="13.8" x14ac:dyDescent="0.3">
      <c r="A232" s="9"/>
      <c r="B232" s="9"/>
      <c r="C232" s="9"/>
      <c r="D232" s="9"/>
      <c r="E232" s="9"/>
      <c r="F232" s="10"/>
      <c r="G232" s="9"/>
      <c r="H232" s="9"/>
      <c r="I232" s="10"/>
    </row>
    <row r="233" spans="1:9" ht="13.8" x14ac:dyDescent="0.3">
      <c r="A233" s="9"/>
      <c r="B233" s="9"/>
      <c r="C233" s="9"/>
      <c r="D233" s="9"/>
      <c r="E233" s="9"/>
      <c r="F233" s="10"/>
      <c r="G233" s="9"/>
      <c r="H233" s="9"/>
      <c r="I233" s="10"/>
    </row>
    <row r="234" spans="1:9" ht="13.8" x14ac:dyDescent="0.3">
      <c r="A234" s="9"/>
      <c r="B234" s="9"/>
      <c r="C234" s="9"/>
      <c r="D234" s="9"/>
      <c r="E234" s="9"/>
      <c r="F234" s="10"/>
      <c r="G234" s="9"/>
      <c r="H234" s="9"/>
      <c r="I234" s="10"/>
    </row>
    <row r="235" spans="1:9" ht="13.8" x14ac:dyDescent="0.3">
      <c r="A235" s="9"/>
      <c r="B235" s="9"/>
      <c r="C235" s="9"/>
      <c r="D235" s="9"/>
      <c r="E235" s="9"/>
      <c r="F235" s="10"/>
      <c r="G235" s="9"/>
      <c r="H235" s="9"/>
      <c r="I235" s="10"/>
    </row>
    <row r="236" spans="1:9" ht="13.8" x14ac:dyDescent="0.3">
      <c r="A236" s="9"/>
      <c r="B236" s="9"/>
      <c r="C236" s="9"/>
      <c r="D236" s="9"/>
      <c r="E236" s="9"/>
      <c r="F236" s="10"/>
      <c r="G236" s="9"/>
      <c r="H236" s="9"/>
      <c r="I236" s="10"/>
    </row>
    <row r="237" spans="1:9" ht="13.8" x14ac:dyDescent="0.3">
      <c r="A237" s="9"/>
      <c r="B237" s="9"/>
      <c r="C237" s="9"/>
      <c r="D237" s="9"/>
      <c r="E237" s="9"/>
      <c r="F237" s="10"/>
      <c r="G237" s="9"/>
      <c r="H237" s="9"/>
      <c r="I237" s="10"/>
    </row>
    <row r="238" spans="1:9" ht="13.8" x14ac:dyDescent="0.3">
      <c r="A238" s="9"/>
      <c r="B238" s="9"/>
      <c r="C238" s="9"/>
      <c r="D238" s="9"/>
      <c r="E238" s="9"/>
      <c r="F238" s="10"/>
      <c r="G238" s="9"/>
      <c r="H238" s="9"/>
      <c r="I238" s="10"/>
    </row>
    <row r="239" spans="1:9" ht="13.8" x14ac:dyDescent="0.3">
      <c r="A239" s="9"/>
      <c r="B239" s="9"/>
      <c r="C239" s="9"/>
      <c r="D239" s="9"/>
      <c r="E239" s="9"/>
      <c r="F239" s="10"/>
      <c r="G239" s="9"/>
      <c r="H239" s="9"/>
      <c r="I239" s="10"/>
    </row>
    <row r="240" spans="1:9" ht="13.8" x14ac:dyDescent="0.3">
      <c r="A240" s="9"/>
      <c r="B240" s="9"/>
      <c r="C240" s="9"/>
      <c r="D240" s="9"/>
      <c r="E240" s="9"/>
      <c r="F240" s="10"/>
      <c r="G240" s="9"/>
      <c r="H240" s="9"/>
      <c r="I240" s="10"/>
    </row>
    <row r="241" spans="1:9" ht="13.8" x14ac:dyDescent="0.3">
      <c r="A241" s="9"/>
      <c r="B241" s="9"/>
      <c r="C241" s="9"/>
      <c r="D241" s="9"/>
      <c r="E241" s="9"/>
      <c r="F241" s="10"/>
      <c r="G241" s="9"/>
      <c r="H241" s="9"/>
      <c r="I241" s="10"/>
    </row>
    <row r="242" spans="1:9" ht="13.8" x14ac:dyDescent="0.3">
      <c r="A242" s="9"/>
      <c r="B242" s="9"/>
      <c r="C242" s="9"/>
      <c r="D242" s="9"/>
      <c r="E242" s="9"/>
      <c r="F242" s="10"/>
      <c r="G242" s="9"/>
      <c r="H242" s="9"/>
      <c r="I242" s="10"/>
    </row>
    <row r="243" spans="1:9" ht="13.8" x14ac:dyDescent="0.3">
      <c r="A243" s="9"/>
      <c r="B243" s="9"/>
      <c r="C243" s="9"/>
      <c r="D243" s="9"/>
      <c r="E243" s="9"/>
      <c r="F243" s="10"/>
      <c r="G243" s="9"/>
      <c r="H243" s="9"/>
      <c r="I243" s="10"/>
    </row>
    <row r="244" spans="1:9" ht="13.8" x14ac:dyDescent="0.3">
      <c r="A244" s="9"/>
      <c r="B244" s="9"/>
      <c r="C244" s="9"/>
      <c r="D244" s="9"/>
      <c r="E244" s="9"/>
      <c r="F244" s="10"/>
      <c r="G244" s="9"/>
      <c r="H244" s="9"/>
      <c r="I244" s="10"/>
    </row>
    <row r="245" spans="1:9" ht="13.8" x14ac:dyDescent="0.3">
      <c r="A245" s="9"/>
      <c r="B245" s="9"/>
      <c r="C245" s="9"/>
      <c r="D245" s="9"/>
      <c r="E245" s="9"/>
      <c r="F245" s="10"/>
      <c r="G245" s="9"/>
      <c r="H245" s="9"/>
      <c r="I245" s="10"/>
    </row>
    <row r="246" spans="1:9" ht="13.8" x14ac:dyDescent="0.3">
      <c r="A246" s="9"/>
      <c r="B246" s="9"/>
      <c r="C246" s="9"/>
      <c r="D246" s="9"/>
      <c r="E246" s="9"/>
      <c r="F246" s="10"/>
      <c r="G246" s="9"/>
      <c r="H246" s="9"/>
      <c r="I246" s="10"/>
    </row>
    <row r="247" spans="1:9" ht="13.8" x14ac:dyDescent="0.3">
      <c r="A247" s="9"/>
      <c r="B247" s="9"/>
      <c r="C247" s="9"/>
      <c r="D247" s="9"/>
      <c r="E247" s="9"/>
      <c r="F247" s="10"/>
      <c r="G247" s="9"/>
      <c r="H247" s="9"/>
      <c r="I247" s="10"/>
    </row>
    <row r="248" spans="1:9" ht="13.8" x14ac:dyDescent="0.3">
      <c r="A248" s="9"/>
      <c r="B248" s="9"/>
      <c r="C248" s="9"/>
      <c r="D248" s="9"/>
      <c r="E248" s="9"/>
      <c r="F248" s="10"/>
      <c r="G248" s="9"/>
      <c r="H248" s="9"/>
      <c r="I248" s="10"/>
    </row>
    <row r="249" spans="1:9" ht="13.8" x14ac:dyDescent="0.3">
      <c r="A249" s="9"/>
      <c r="B249" s="9"/>
      <c r="C249" s="9"/>
      <c r="D249" s="9"/>
      <c r="E249" s="9"/>
      <c r="F249" s="10"/>
      <c r="G249" s="9"/>
      <c r="H249" s="9"/>
      <c r="I249" s="10"/>
    </row>
    <row r="250" spans="1:9" ht="13.8" x14ac:dyDescent="0.3">
      <c r="A250" s="9"/>
      <c r="B250" s="9"/>
      <c r="C250" s="9"/>
      <c r="D250" s="9"/>
      <c r="E250" s="9"/>
      <c r="F250" s="10"/>
      <c r="G250" s="9"/>
      <c r="H250" s="9"/>
      <c r="I250" s="10"/>
    </row>
    <row r="251" spans="1:9" ht="13.8" x14ac:dyDescent="0.3">
      <c r="A251" s="9"/>
      <c r="B251" s="9"/>
      <c r="C251" s="9"/>
      <c r="D251" s="9"/>
      <c r="E251" s="9"/>
      <c r="F251" s="10"/>
      <c r="G251" s="9"/>
      <c r="H251" s="9"/>
      <c r="I251" s="10"/>
    </row>
    <row r="252" spans="1:9" ht="13.8" x14ac:dyDescent="0.3">
      <c r="A252" s="9"/>
      <c r="B252" s="9"/>
      <c r="C252" s="9"/>
      <c r="D252" s="9"/>
      <c r="E252" s="9"/>
      <c r="F252" s="10"/>
      <c r="G252" s="9"/>
      <c r="H252" s="9"/>
      <c r="I252" s="10"/>
    </row>
    <row r="253" spans="1:9" ht="13.8" x14ac:dyDescent="0.3">
      <c r="A253" s="9"/>
      <c r="B253" s="9"/>
      <c r="C253" s="9"/>
      <c r="D253" s="9"/>
      <c r="E253" s="9"/>
      <c r="F253" s="10"/>
      <c r="G253" s="9"/>
      <c r="H253" s="9"/>
      <c r="I253" s="10"/>
    </row>
    <row r="254" spans="1:9" ht="13.8" x14ac:dyDescent="0.3">
      <c r="A254" s="9"/>
      <c r="B254" s="9"/>
      <c r="C254" s="9"/>
      <c r="D254" s="9"/>
      <c r="E254" s="9"/>
      <c r="F254" s="10"/>
      <c r="G254" s="9"/>
      <c r="H254" s="9"/>
      <c r="I254" s="10"/>
    </row>
    <row r="255" spans="1:9" ht="13.8" x14ac:dyDescent="0.3">
      <c r="A255" s="9"/>
      <c r="B255" s="9"/>
      <c r="C255" s="9"/>
      <c r="D255" s="9"/>
      <c r="E255" s="9"/>
      <c r="F255" s="10"/>
      <c r="G255" s="9"/>
      <c r="H255" s="9"/>
      <c r="I255" s="10"/>
    </row>
    <row r="256" spans="1:9" ht="13.8" x14ac:dyDescent="0.3">
      <c r="A256" s="9"/>
      <c r="B256" s="9"/>
      <c r="C256" s="9"/>
      <c r="D256" s="9"/>
      <c r="E256" s="9"/>
      <c r="F256" s="10"/>
      <c r="G256" s="9"/>
      <c r="H256" s="9"/>
      <c r="I256" s="10"/>
    </row>
    <row r="257" spans="1:9" ht="13.8" x14ac:dyDescent="0.3">
      <c r="A257" s="9"/>
      <c r="B257" s="9"/>
      <c r="C257" s="9"/>
      <c r="D257" s="9"/>
      <c r="E257" s="9"/>
      <c r="F257" s="10"/>
      <c r="G257" s="9"/>
      <c r="H257" s="9"/>
      <c r="I257" s="10"/>
    </row>
    <row r="258" spans="1:9" ht="13.8" x14ac:dyDescent="0.3">
      <c r="A258" s="9"/>
      <c r="B258" s="9"/>
      <c r="C258" s="9"/>
      <c r="D258" s="9"/>
      <c r="E258" s="9"/>
      <c r="F258" s="10"/>
      <c r="G258" s="9"/>
      <c r="H258" s="9"/>
      <c r="I258" s="10"/>
    </row>
    <row r="259" spans="1:9" ht="13.8" x14ac:dyDescent="0.3">
      <c r="A259" s="9"/>
      <c r="B259" s="9"/>
      <c r="C259" s="9"/>
      <c r="D259" s="9"/>
      <c r="E259" s="9"/>
      <c r="F259" s="10"/>
      <c r="G259" s="9"/>
      <c r="H259" s="9"/>
      <c r="I259" s="10"/>
    </row>
    <row r="260" spans="1:9" ht="13.8" x14ac:dyDescent="0.3">
      <c r="A260" s="9"/>
      <c r="B260" s="9"/>
      <c r="C260" s="9"/>
      <c r="D260" s="9"/>
      <c r="E260" s="9"/>
      <c r="F260" s="10"/>
      <c r="G260" s="9"/>
      <c r="H260" s="9"/>
      <c r="I260" s="10"/>
    </row>
    <row r="261" spans="1:9" ht="13.8" x14ac:dyDescent="0.3">
      <c r="A261" s="9"/>
      <c r="B261" s="9"/>
      <c r="C261" s="9"/>
      <c r="D261" s="9"/>
      <c r="E261" s="9"/>
      <c r="F261" s="10"/>
      <c r="G261" s="9"/>
      <c r="H261" s="9"/>
      <c r="I261" s="10"/>
    </row>
    <row r="262" spans="1:9" ht="13.8" x14ac:dyDescent="0.3">
      <c r="A262" s="9"/>
      <c r="B262" s="9"/>
      <c r="C262" s="9"/>
      <c r="D262" s="9"/>
      <c r="E262" s="9"/>
      <c r="F262" s="10"/>
      <c r="G262" s="9"/>
      <c r="H262" s="9"/>
      <c r="I262" s="10"/>
    </row>
    <row r="263" spans="1:9" ht="13.8" x14ac:dyDescent="0.3">
      <c r="A263" s="9"/>
      <c r="B263" s="9"/>
      <c r="C263" s="9"/>
      <c r="D263" s="9"/>
      <c r="E263" s="9"/>
      <c r="F263" s="10"/>
      <c r="G263" s="9"/>
      <c r="H263" s="9"/>
      <c r="I263" s="10"/>
    </row>
    <row r="264" spans="1:9" ht="13.8" x14ac:dyDescent="0.3">
      <c r="A264" s="9"/>
      <c r="B264" s="9"/>
      <c r="C264" s="9"/>
      <c r="D264" s="9"/>
      <c r="E264" s="9"/>
      <c r="F264" s="10"/>
      <c r="G264" s="9"/>
      <c r="H264" s="9"/>
      <c r="I264" s="10"/>
    </row>
    <row r="265" spans="1:9" ht="13.8" x14ac:dyDescent="0.3">
      <c r="A265" s="9"/>
      <c r="B265" s="9"/>
      <c r="C265" s="9"/>
      <c r="D265" s="9"/>
      <c r="E265" s="9"/>
      <c r="F265" s="10"/>
      <c r="G265" s="9"/>
      <c r="H265" s="9"/>
      <c r="I265" s="10"/>
    </row>
    <row r="266" spans="1:9" ht="13.8" x14ac:dyDescent="0.3">
      <c r="A266" s="9"/>
      <c r="B266" s="9"/>
      <c r="C266" s="9"/>
      <c r="D266" s="9"/>
      <c r="E266" s="9"/>
      <c r="F266" s="10"/>
      <c r="G266" s="9"/>
      <c r="H266" s="9"/>
      <c r="I266" s="10"/>
    </row>
    <row r="267" spans="1:9" ht="13.8" x14ac:dyDescent="0.3">
      <c r="A267" s="9"/>
      <c r="B267" s="9"/>
      <c r="C267" s="9"/>
      <c r="D267" s="9"/>
      <c r="E267" s="9"/>
      <c r="F267" s="10"/>
      <c r="G267" s="9"/>
      <c r="H267" s="9"/>
      <c r="I267" s="10"/>
    </row>
    <row r="268" spans="1:9" ht="13.8" x14ac:dyDescent="0.3">
      <c r="A268" s="9"/>
      <c r="B268" s="9"/>
      <c r="C268" s="9"/>
      <c r="D268" s="9"/>
      <c r="E268" s="9"/>
      <c r="F268" s="10"/>
      <c r="G268" s="9"/>
      <c r="H268" s="9"/>
      <c r="I268" s="10"/>
    </row>
    <row r="269" spans="1:9" ht="13.8" x14ac:dyDescent="0.3">
      <c r="A269" s="9"/>
      <c r="B269" s="9"/>
      <c r="C269" s="9"/>
      <c r="D269" s="9"/>
      <c r="E269" s="9"/>
      <c r="F269" s="10"/>
      <c r="G269" s="9"/>
      <c r="H269" s="9"/>
      <c r="I269" s="10"/>
    </row>
    <row r="270" spans="1:9" ht="13.8" x14ac:dyDescent="0.3">
      <c r="A270" s="9"/>
      <c r="B270" s="9"/>
      <c r="C270" s="9"/>
      <c r="D270" s="9"/>
      <c r="E270" s="9"/>
      <c r="F270" s="10"/>
      <c r="G270" s="9"/>
      <c r="H270" s="9"/>
      <c r="I270" s="10"/>
    </row>
    <row r="271" spans="1:9" ht="13.8" x14ac:dyDescent="0.3">
      <c r="A271" s="9"/>
      <c r="B271" s="9"/>
      <c r="C271" s="9"/>
      <c r="D271" s="9"/>
      <c r="E271" s="9"/>
      <c r="F271" s="10"/>
      <c r="G271" s="9"/>
      <c r="H271" s="9"/>
      <c r="I271" s="10"/>
    </row>
    <row r="272" spans="1:9" ht="13.8" x14ac:dyDescent="0.3">
      <c r="A272" s="9"/>
      <c r="B272" s="9"/>
      <c r="C272" s="9"/>
      <c r="D272" s="9"/>
      <c r="E272" s="9"/>
      <c r="F272" s="10"/>
      <c r="G272" s="9"/>
      <c r="H272" s="9"/>
      <c r="I272" s="10"/>
    </row>
    <row r="273" spans="1:9" ht="13.8" x14ac:dyDescent="0.3">
      <c r="A273" s="9"/>
      <c r="B273" s="9"/>
      <c r="C273" s="9"/>
      <c r="D273" s="9"/>
      <c r="E273" s="9"/>
      <c r="F273" s="10"/>
      <c r="G273" s="9"/>
      <c r="H273" s="9"/>
      <c r="I273" s="10"/>
    </row>
    <row r="274" spans="1:9" ht="13.8" x14ac:dyDescent="0.3">
      <c r="A274" s="9"/>
      <c r="B274" s="9"/>
      <c r="C274" s="9"/>
      <c r="D274" s="9"/>
      <c r="E274" s="9"/>
      <c r="F274" s="10"/>
      <c r="G274" s="9"/>
      <c r="H274" s="9"/>
      <c r="I274" s="10"/>
    </row>
    <row r="275" spans="1:9" ht="13.8" x14ac:dyDescent="0.3">
      <c r="A275" s="9"/>
      <c r="B275" s="9"/>
      <c r="C275" s="9"/>
      <c r="D275" s="9"/>
      <c r="E275" s="9"/>
      <c r="F275" s="10"/>
      <c r="G275" s="9"/>
      <c r="H275" s="9"/>
      <c r="I275" s="10"/>
    </row>
    <row r="276" spans="1:9" ht="13.8" x14ac:dyDescent="0.3">
      <c r="A276" s="9"/>
      <c r="B276" s="9"/>
      <c r="C276" s="9"/>
      <c r="D276" s="9"/>
      <c r="E276" s="9"/>
      <c r="F276" s="10"/>
      <c r="G276" s="9"/>
      <c r="H276" s="9"/>
      <c r="I276" s="10"/>
    </row>
    <row r="277" spans="1:9" ht="13.8" x14ac:dyDescent="0.3">
      <c r="A277" s="9"/>
      <c r="B277" s="9"/>
      <c r="C277" s="9"/>
      <c r="D277" s="9"/>
      <c r="E277" s="9"/>
      <c r="F277" s="10"/>
      <c r="G277" s="9"/>
      <c r="H277" s="9"/>
      <c r="I277" s="10"/>
    </row>
    <row r="278" spans="1:9" ht="13.8" x14ac:dyDescent="0.3">
      <c r="A278" s="9"/>
      <c r="B278" s="9"/>
      <c r="C278" s="9"/>
      <c r="D278" s="9"/>
      <c r="E278" s="9"/>
      <c r="F278" s="10"/>
      <c r="G278" s="9"/>
      <c r="H278" s="9"/>
      <c r="I278" s="10"/>
    </row>
    <row r="279" spans="1:9" ht="13.8" x14ac:dyDescent="0.3">
      <c r="A279" s="9"/>
      <c r="B279" s="9"/>
      <c r="C279" s="9"/>
      <c r="D279" s="9"/>
      <c r="E279" s="9"/>
      <c r="F279" s="10"/>
      <c r="G279" s="9"/>
      <c r="H279" s="9"/>
      <c r="I279" s="10"/>
    </row>
    <row r="280" spans="1:9" ht="13.8" x14ac:dyDescent="0.3">
      <c r="A280" s="9"/>
      <c r="B280" s="9"/>
      <c r="C280" s="9"/>
      <c r="D280" s="9"/>
      <c r="E280" s="9"/>
      <c r="F280" s="10"/>
      <c r="G280" s="9"/>
      <c r="H280" s="9"/>
      <c r="I280" s="10"/>
    </row>
    <row r="281" spans="1:9" ht="13.8" x14ac:dyDescent="0.3">
      <c r="A281" s="9"/>
      <c r="B281" s="9"/>
      <c r="C281" s="9"/>
      <c r="D281" s="9"/>
      <c r="E281" s="9"/>
      <c r="F281" s="10"/>
      <c r="G281" s="9"/>
      <c r="H281" s="9"/>
      <c r="I281" s="10"/>
    </row>
    <row r="282" spans="1:9" ht="13.8" x14ac:dyDescent="0.3">
      <c r="A282" s="9"/>
      <c r="B282" s="9"/>
      <c r="C282" s="9"/>
      <c r="D282" s="9"/>
      <c r="E282" s="9"/>
      <c r="F282" s="10"/>
      <c r="G282" s="9"/>
      <c r="H282" s="9"/>
      <c r="I282" s="10"/>
    </row>
    <row r="283" spans="1:9" ht="13.8" x14ac:dyDescent="0.3">
      <c r="A283" s="9"/>
      <c r="B283" s="9"/>
      <c r="C283" s="9"/>
      <c r="D283" s="9"/>
      <c r="E283" s="9"/>
      <c r="F283" s="10"/>
      <c r="G283" s="9"/>
      <c r="H283" s="9"/>
      <c r="I283" s="10"/>
    </row>
    <row r="284" spans="1:9" ht="13.8" x14ac:dyDescent="0.3">
      <c r="A284" s="9"/>
      <c r="B284" s="9"/>
      <c r="C284" s="9"/>
      <c r="D284" s="9"/>
      <c r="E284" s="9"/>
      <c r="F284" s="10"/>
      <c r="G284" s="9"/>
      <c r="H284" s="9"/>
      <c r="I284" s="10"/>
    </row>
    <row r="285" spans="1:9" ht="13.8" x14ac:dyDescent="0.3">
      <c r="A285" s="9"/>
      <c r="B285" s="9"/>
      <c r="C285" s="9"/>
      <c r="D285" s="9"/>
      <c r="E285" s="9"/>
      <c r="F285" s="10"/>
      <c r="G285" s="9"/>
      <c r="H285" s="9"/>
      <c r="I285" s="10"/>
    </row>
    <row r="286" spans="1:9" ht="13.8" x14ac:dyDescent="0.3">
      <c r="A286" s="9"/>
      <c r="B286" s="9"/>
      <c r="C286" s="9"/>
      <c r="D286" s="9"/>
      <c r="E286" s="9"/>
      <c r="F286" s="10"/>
      <c r="G286" s="9"/>
      <c r="H286" s="9"/>
      <c r="I286" s="10"/>
    </row>
    <row r="287" spans="1:9" ht="13.8" x14ac:dyDescent="0.3">
      <c r="A287" s="9"/>
      <c r="B287" s="9"/>
      <c r="C287" s="9"/>
      <c r="D287" s="9"/>
      <c r="E287" s="9"/>
      <c r="F287" s="10"/>
      <c r="G287" s="9"/>
      <c r="H287" s="9"/>
      <c r="I287" s="10"/>
    </row>
    <row r="288" spans="1:9" ht="13.8" x14ac:dyDescent="0.3">
      <c r="A288" s="9"/>
      <c r="B288" s="9"/>
      <c r="C288" s="9"/>
      <c r="D288" s="9"/>
      <c r="E288" s="9"/>
      <c r="F288" s="10"/>
      <c r="G288" s="9"/>
      <c r="H288" s="9"/>
      <c r="I288" s="10"/>
    </row>
    <row r="289" spans="1:9" ht="13.8" x14ac:dyDescent="0.3">
      <c r="A289" s="9"/>
      <c r="B289" s="9"/>
      <c r="C289" s="9"/>
      <c r="D289" s="9"/>
      <c r="E289" s="9"/>
      <c r="F289" s="10"/>
      <c r="G289" s="9"/>
      <c r="H289" s="9"/>
      <c r="I289" s="10"/>
    </row>
    <row r="290" spans="1:9" ht="13.8" x14ac:dyDescent="0.3">
      <c r="A290" s="9"/>
      <c r="B290" s="9"/>
      <c r="C290" s="9"/>
      <c r="D290" s="9"/>
      <c r="E290" s="9"/>
      <c r="F290" s="10"/>
      <c r="G290" s="9"/>
      <c r="H290" s="9"/>
      <c r="I290" s="10"/>
    </row>
    <row r="291" spans="1:9" ht="13.8" x14ac:dyDescent="0.3">
      <c r="A291" s="9"/>
      <c r="B291" s="9"/>
      <c r="C291" s="9"/>
      <c r="D291" s="9"/>
      <c r="E291" s="9"/>
      <c r="F291" s="10"/>
      <c r="G291" s="9"/>
      <c r="H291" s="9"/>
      <c r="I291" s="10"/>
    </row>
    <row r="292" spans="1:9" ht="13.8" x14ac:dyDescent="0.3">
      <c r="A292" s="9"/>
      <c r="B292" s="9"/>
      <c r="C292" s="9"/>
      <c r="D292" s="9"/>
      <c r="E292" s="9"/>
      <c r="F292" s="10"/>
      <c r="G292" s="9"/>
      <c r="H292" s="9"/>
      <c r="I292" s="10"/>
    </row>
    <row r="293" spans="1:9" ht="13.8" x14ac:dyDescent="0.3">
      <c r="A293" s="9"/>
      <c r="B293" s="9"/>
      <c r="C293" s="9"/>
      <c r="D293" s="9"/>
      <c r="E293" s="9"/>
      <c r="F293" s="10"/>
      <c r="G293" s="9"/>
      <c r="H293" s="9"/>
      <c r="I293" s="10"/>
    </row>
    <row r="294" spans="1:9" ht="13.8" x14ac:dyDescent="0.3">
      <c r="A294" s="9"/>
      <c r="B294" s="9"/>
      <c r="C294" s="9"/>
      <c r="D294" s="9"/>
      <c r="E294" s="9"/>
      <c r="F294" s="10"/>
      <c r="G294" s="9"/>
      <c r="H294" s="9"/>
      <c r="I294" s="10"/>
    </row>
    <row r="295" spans="1:9" ht="13.8" x14ac:dyDescent="0.3">
      <c r="A295" s="9"/>
      <c r="B295" s="9"/>
      <c r="C295" s="9"/>
      <c r="D295" s="9"/>
      <c r="E295" s="9"/>
      <c r="F295" s="10"/>
      <c r="G295" s="9"/>
      <c r="H295" s="9"/>
      <c r="I295" s="10"/>
    </row>
    <row r="296" spans="1:9" ht="13.8" x14ac:dyDescent="0.3">
      <c r="A296" s="9"/>
      <c r="B296" s="9"/>
      <c r="C296" s="9"/>
      <c r="D296" s="9"/>
      <c r="E296" s="9"/>
      <c r="F296" s="10"/>
      <c r="G296" s="9"/>
      <c r="H296" s="9"/>
      <c r="I296" s="10"/>
    </row>
    <row r="297" spans="1:9" ht="13.8" x14ac:dyDescent="0.3">
      <c r="A297" s="9"/>
      <c r="B297" s="9"/>
      <c r="C297" s="9"/>
      <c r="D297" s="9"/>
      <c r="E297" s="9"/>
      <c r="F297" s="10"/>
      <c r="G297" s="9"/>
      <c r="H297" s="9"/>
      <c r="I297" s="10"/>
    </row>
    <row r="298" spans="1:9" ht="13.8" x14ac:dyDescent="0.3">
      <c r="A298" s="9"/>
      <c r="B298" s="9"/>
      <c r="C298" s="9"/>
      <c r="D298" s="9"/>
      <c r="E298" s="9"/>
      <c r="F298" s="10"/>
      <c r="G298" s="9"/>
      <c r="H298" s="9"/>
      <c r="I298" s="10"/>
    </row>
    <row r="299" spans="1:9" ht="13.8" x14ac:dyDescent="0.3">
      <c r="A299" s="9"/>
      <c r="B299" s="9"/>
      <c r="C299" s="9"/>
      <c r="D299" s="9"/>
      <c r="E299" s="9"/>
      <c r="F299" s="10"/>
      <c r="G299" s="9"/>
      <c r="H299" s="9"/>
      <c r="I299" s="10"/>
    </row>
    <row r="300" spans="1:9" ht="13.8" x14ac:dyDescent="0.3">
      <c r="A300" s="9"/>
      <c r="B300" s="9"/>
      <c r="C300" s="9"/>
      <c r="D300" s="9"/>
      <c r="E300" s="9"/>
      <c r="F300" s="10"/>
      <c r="G300" s="9"/>
      <c r="H300" s="9"/>
      <c r="I300" s="10"/>
    </row>
    <row r="301" spans="1:9" ht="13.8" x14ac:dyDescent="0.3">
      <c r="A301" s="9"/>
      <c r="B301" s="9"/>
      <c r="C301" s="9"/>
      <c r="D301" s="9"/>
      <c r="E301" s="9"/>
      <c r="F301" s="10"/>
      <c r="G301" s="9"/>
      <c r="H301" s="9"/>
      <c r="I301" s="10"/>
    </row>
    <row r="302" spans="1:9" ht="13.8" x14ac:dyDescent="0.3">
      <c r="A302" s="9"/>
      <c r="B302" s="9"/>
      <c r="C302" s="9"/>
      <c r="D302" s="9"/>
      <c r="E302" s="9"/>
      <c r="F302" s="10"/>
      <c r="G302" s="9"/>
      <c r="H302" s="9"/>
      <c r="I302" s="10"/>
    </row>
    <row r="303" spans="1:9" ht="13.8" x14ac:dyDescent="0.3">
      <c r="A303" s="9"/>
      <c r="B303" s="9"/>
      <c r="C303" s="9"/>
      <c r="D303" s="9"/>
      <c r="E303" s="9"/>
      <c r="F303" s="10"/>
      <c r="G303" s="9"/>
      <c r="H303" s="9"/>
      <c r="I303" s="10"/>
    </row>
    <row r="304" spans="1:9" ht="13.8" x14ac:dyDescent="0.3">
      <c r="A304" s="9"/>
      <c r="B304" s="9"/>
      <c r="C304" s="9"/>
      <c r="D304" s="9"/>
      <c r="E304" s="9"/>
      <c r="F304" s="10"/>
      <c r="G304" s="9"/>
      <c r="H304" s="9"/>
      <c r="I304" s="10"/>
    </row>
    <row r="305" spans="1:9" ht="13.8" x14ac:dyDescent="0.3">
      <c r="A305" s="9"/>
      <c r="B305" s="9"/>
      <c r="C305" s="9"/>
      <c r="D305" s="9"/>
      <c r="E305" s="9"/>
      <c r="F305" s="10"/>
      <c r="G305" s="9"/>
      <c r="H305" s="9"/>
      <c r="I305" s="10"/>
    </row>
    <row r="306" spans="1:9" ht="13.8" x14ac:dyDescent="0.3">
      <c r="A306" s="9"/>
      <c r="B306" s="9"/>
      <c r="C306" s="9"/>
      <c r="D306" s="9"/>
      <c r="E306" s="9"/>
      <c r="F306" s="10"/>
      <c r="G306" s="9"/>
      <c r="H306" s="9"/>
      <c r="I306" s="10"/>
    </row>
    <row r="307" spans="1:9" ht="13.8" x14ac:dyDescent="0.3">
      <c r="A307" s="9"/>
      <c r="B307" s="9"/>
      <c r="C307" s="9"/>
      <c r="D307" s="9"/>
      <c r="E307" s="9"/>
      <c r="F307" s="10"/>
      <c r="G307" s="9"/>
      <c r="H307" s="9"/>
      <c r="I307" s="10"/>
    </row>
    <row r="308" spans="1:9" ht="13.8" x14ac:dyDescent="0.3">
      <c r="A308" s="9"/>
      <c r="B308" s="9"/>
      <c r="C308" s="9"/>
      <c r="D308" s="9"/>
      <c r="E308" s="9"/>
      <c r="F308" s="10"/>
      <c r="G308" s="9"/>
      <c r="H308" s="9"/>
      <c r="I308" s="10"/>
    </row>
    <row r="309" spans="1:9" ht="13.8" x14ac:dyDescent="0.3">
      <c r="A309" s="9"/>
      <c r="B309" s="9"/>
      <c r="C309" s="9"/>
      <c r="D309" s="9"/>
      <c r="E309" s="9"/>
      <c r="F309" s="10"/>
      <c r="G309" s="9"/>
      <c r="H309" s="9"/>
      <c r="I309" s="10"/>
    </row>
    <row r="310" spans="1:9" ht="13.8" x14ac:dyDescent="0.3">
      <c r="A310" s="9"/>
      <c r="B310" s="9"/>
      <c r="C310" s="9"/>
      <c r="D310" s="9"/>
      <c r="E310" s="9"/>
      <c r="F310" s="10"/>
      <c r="G310" s="9"/>
      <c r="H310" s="9"/>
      <c r="I310" s="10"/>
    </row>
    <row r="311" spans="1:9" ht="13.8" x14ac:dyDescent="0.3">
      <c r="A311" s="9"/>
      <c r="B311" s="9"/>
      <c r="C311" s="9"/>
      <c r="D311" s="9"/>
      <c r="E311" s="9"/>
      <c r="F311" s="10"/>
      <c r="G311" s="9"/>
      <c r="H311" s="9"/>
      <c r="I311" s="10"/>
    </row>
    <row r="312" spans="1:9" ht="13.8" x14ac:dyDescent="0.3">
      <c r="A312" s="9"/>
      <c r="B312" s="9"/>
      <c r="C312" s="9"/>
      <c r="D312" s="9"/>
      <c r="E312" s="9"/>
      <c r="F312" s="10"/>
      <c r="G312" s="9"/>
      <c r="H312" s="9"/>
      <c r="I312" s="10"/>
    </row>
    <row r="313" spans="1:9" ht="13.8" x14ac:dyDescent="0.3">
      <c r="A313" s="9"/>
      <c r="B313" s="9"/>
      <c r="C313" s="9"/>
      <c r="D313" s="9"/>
      <c r="E313" s="9"/>
      <c r="F313" s="10"/>
      <c r="G313" s="9"/>
      <c r="H313" s="9"/>
      <c r="I313" s="10"/>
    </row>
    <row r="314" spans="1:9" ht="13.8" x14ac:dyDescent="0.3">
      <c r="A314" s="9"/>
      <c r="B314" s="9"/>
      <c r="C314" s="9"/>
      <c r="D314" s="9"/>
      <c r="E314" s="9"/>
      <c r="F314" s="10"/>
      <c r="G314" s="9"/>
      <c r="H314" s="9"/>
      <c r="I314" s="10"/>
    </row>
    <row r="315" spans="1:9" ht="13.8" x14ac:dyDescent="0.3">
      <c r="A315" s="9"/>
      <c r="B315" s="9"/>
      <c r="C315" s="9"/>
      <c r="D315" s="9"/>
      <c r="E315" s="9"/>
      <c r="F315" s="10"/>
      <c r="G315" s="9"/>
      <c r="H315" s="9"/>
      <c r="I315" s="10"/>
    </row>
    <row r="316" spans="1:9" ht="13.8" x14ac:dyDescent="0.3">
      <c r="A316" s="9"/>
      <c r="B316" s="9"/>
      <c r="C316" s="9"/>
      <c r="D316" s="9"/>
      <c r="E316" s="9"/>
      <c r="F316" s="10"/>
      <c r="G316" s="9"/>
      <c r="H316" s="9"/>
      <c r="I316" s="10"/>
    </row>
    <row r="317" spans="1:9" ht="13.8" x14ac:dyDescent="0.3">
      <c r="A317" s="9"/>
      <c r="B317" s="9"/>
      <c r="C317" s="9"/>
      <c r="D317" s="9"/>
      <c r="E317" s="9"/>
      <c r="F317" s="10"/>
      <c r="G317" s="9"/>
      <c r="H317" s="9"/>
      <c r="I317" s="10"/>
    </row>
    <row r="318" spans="1:9" ht="13.8" x14ac:dyDescent="0.3">
      <c r="A318" s="9"/>
      <c r="B318" s="9"/>
      <c r="C318" s="9"/>
      <c r="D318" s="9"/>
      <c r="E318" s="9"/>
      <c r="F318" s="10"/>
      <c r="G318" s="9"/>
      <c r="H318" s="9"/>
      <c r="I318" s="10"/>
    </row>
    <row r="319" spans="1:9" ht="13.8" x14ac:dyDescent="0.3">
      <c r="A319" s="9"/>
      <c r="B319" s="9"/>
      <c r="C319" s="9"/>
      <c r="D319" s="9"/>
      <c r="E319" s="9"/>
      <c r="F319" s="10"/>
      <c r="G319" s="9"/>
      <c r="H319" s="9"/>
      <c r="I319" s="10"/>
    </row>
    <row r="320" spans="1:9" ht="13.8" x14ac:dyDescent="0.3">
      <c r="A320" s="9"/>
      <c r="B320" s="9"/>
      <c r="C320" s="9"/>
      <c r="D320" s="9"/>
      <c r="E320" s="9"/>
      <c r="F320" s="10"/>
      <c r="G320" s="9"/>
      <c r="H320" s="9"/>
      <c r="I320" s="10"/>
    </row>
    <row r="321" spans="1:9" ht="13.8" x14ac:dyDescent="0.3">
      <c r="A321" s="9"/>
      <c r="B321" s="9"/>
      <c r="C321" s="9"/>
      <c r="D321" s="9"/>
      <c r="E321" s="9"/>
      <c r="F321" s="10"/>
      <c r="G321" s="9"/>
      <c r="H321" s="9"/>
      <c r="I321" s="10"/>
    </row>
    <row r="322" spans="1:9" ht="13.8" x14ac:dyDescent="0.3">
      <c r="A322" s="9"/>
      <c r="B322" s="9"/>
      <c r="C322" s="9"/>
      <c r="D322" s="9"/>
      <c r="E322" s="9"/>
      <c r="F322" s="10"/>
      <c r="G322" s="9"/>
      <c r="H322" s="9"/>
      <c r="I322" s="10"/>
    </row>
    <row r="323" spans="1:9" ht="13.8" x14ac:dyDescent="0.3">
      <c r="A323" s="9"/>
      <c r="B323" s="9"/>
      <c r="C323" s="9"/>
      <c r="D323" s="9"/>
      <c r="E323" s="9"/>
      <c r="F323" s="10"/>
      <c r="G323" s="9"/>
      <c r="H323" s="9"/>
      <c r="I323" s="10"/>
    </row>
    <row r="324" spans="1:9" ht="13.8" x14ac:dyDescent="0.3">
      <c r="A324" s="9"/>
      <c r="B324" s="9"/>
      <c r="C324" s="9"/>
      <c r="D324" s="9"/>
      <c r="E324" s="9"/>
      <c r="F324" s="10"/>
      <c r="G324" s="9"/>
      <c r="H324" s="9"/>
      <c r="I324" s="10"/>
    </row>
    <row r="325" spans="1:9" ht="13.8" x14ac:dyDescent="0.3">
      <c r="A325" s="9"/>
      <c r="B325" s="9"/>
      <c r="C325" s="9"/>
      <c r="D325" s="9"/>
      <c r="E325" s="9"/>
      <c r="F325" s="10"/>
      <c r="G325" s="9"/>
      <c r="H325" s="9"/>
      <c r="I325" s="10"/>
    </row>
    <row r="326" spans="1:9" ht="13.8" x14ac:dyDescent="0.3">
      <c r="A326" s="9"/>
      <c r="B326" s="9"/>
      <c r="C326" s="9"/>
      <c r="D326" s="9"/>
      <c r="E326" s="9"/>
      <c r="F326" s="10"/>
      <c r="G326" s="9"/>
      <c r="H326" s="9"/>
      <c r="I326" s="10"/>
    </row>
    <row r="327" spans="1:9" ht="13.8" x14ac:dyDescent="0.3">
      <c r="A327" s="9"/>
      <c r="B327" s="9"/>
      <c r="C327" s="9"/>
      <c r="D327" s="9"/>
      <c r="E327" s="9"/>
      <c r="F327" s="10"/>
      <c r="G327" s="9"/>
      <c r="H327" s="9"/>
      <c r="I327" s="10"/>
    </row>
    <row r="328" spans="1:9" ht="13.8" x14ac:dyDescent="0.3">
      <c r="A328" s="9"/>
      <c r="B328" s="9"/>
      <c r="C328" s="9"/>
      <c r="D328" s="9"/>
      <c r="E328" s="9"/>
      <c r="F328" s="10"/>
      <c r="G328" s="9"/>
      <c r="H328" s="9"/>
      <c r="I328" s="10"/>
    </row>
    <row r="329" spans="1:9" ht="13.8" x14ac:dyDescent="0.3">
      <c r="A329" s="9"/>
      <c r="B329" s="9"/>
      <c r="C329" s="9"/>
      <c r="D329" s="9"/>
      <c r="E329" s="9"/>
      <c r="F329" s="10"/>
      <c r="G329" s="9"/>
      <c r="H329" s="9"/>
      <c r="I329" s="10"/>
    </row>
    <row r="330" spans="1:9" ht="13.8" x14ac:dyDescent="0.3">
      <c r="A330" s="9"/>
      <c r="B330" s="9"/>
      <c r="C330" s="9"/>
      <c r="D330" s="9"/>
      <c r="E330" s="9"/>
      <c r="F330" s="10"/>
      <c r="G330" s="9"/>
      <c r="H330" s="9"/>
      <c r="I330" s="10"/>
    </row>
    <row r="331" spans="1:9" ht="13.8" x14ac:dyDescent="0.3">
      <c r="A331" s="9"/>
      <c r="B331" s="9"/>
      <c r="C331" s="9"/>
      <c r="D331" s="9"/>
      <c r="E331" s="9"/>
      <c r="F331" s="10"/>
      <c r="G331" s="9"/>
      <c r="H331" s="9"/>
      <c r="I331" s="10"/>
    </row>
    <row r="332" spans="1:9" ht="13.8" x14ac:dyDescent="0.3">
      <c r="A332" s="9"/>
      <c r="B332" s="9"/>
      <c r="C332" s="9"/>
      <c r="D332" s="9"/>
      <c r="E332" s="9"/>
      <c r="F332" s="10"/>
      <c r="G332" s="9"/>
      <c r="H332" s="9"/>
      <c r="I332" s="10"/>
    </row>
    <row r="333" spans="1:9" ht="13.8" x14ac:dyDescent="0.3">
      <c r="A333" s="9"/>
      <c r="B333" s="9"/>
      <c r="C333" s="9"/>
      <c r="D333" s="9"/>
      <c r="E333" s="9"/>
      <c r="F333" s="10"/>
      <c r="G333" s="9"/>
      <c r="H333" s="9"/>
      <c r="I333" s="10"/>
    </row>
    <row r="334" spans="1:9" ht="13.8" x14ac:dyDescent="0.3">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5" priority="1" stopIfTrue="1" operator="lessThanOrEqual">
      <formula>-0.1</formula>
    </cfRule>
    <cfRule type="expression" dxfId="44"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13" activePane="bottomRight" state="frozen"/>
      <selection pane="topRight" activeCell="A18" sqref="A18:XFD24"/>
      <selection pane="bottomLeft" activeCell="A18" sqref="A18:XFD24"/>
      <selection pane="bottomRight" activeCell="F16" sqref="F16"/>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96" t="str" cm="1">
        <f t="array" ref="A1">portfolio</f>
        <v>Catalyze</v>
      </c>
      <c r="B1" s="96"/>
      <c r="C1" s="96"/>
      <c r="D1" s="97" t="s">
        <v>16</v>
      </c>
      <c r="E1" s="97"/>
      <c r="F1" s="97"/>
      <c r="G1" s="95" t="s">
        <v>17</v>
      </c>
      <c r="H1" s="95"/>
      <c r="I1" s="95"/>
    </row>
    <row r="2" spans="1:9" ht="19.5" customHeight="1" x14ac:dyDescent="0.25">
      <c r="A2" s="98" t="s">
        <v>2</v>
      </c>
      <c r="B2" s="98"/>
      <c r="C2" s="5">
        <f>SUM(C4:C92)</f>
        <v>0</v>
      </c>
      <c r="D2" s="5">
        <f>SUM(D4:D92)</f>
        <v>0</v>
      </c>
      <c r="E2" s="5">
        <f>C2-D2</f>
        <v>0</v>
      </c>
      <c r="F2" s="6">
        <f>IFERROR(E2/D2, 0)</f>
        <v>0</v>
      </c>
      <c r="G2" s="5">
        <f>SUM(G4:G92)</f>
        <v>0</v>
      </c>
      <c r="H2" s="7">
        <f>C2-G2</f>
        <v>0</v>
      </c>
      <c r="I2" s="6">
        <f>IFERROR(H2/G2, 0)</f>
        <v>0</v>
      </c>
    </row>
    <row r="3" spans="1:9" ht="14.25" customHeight="1" x14ac:dyDescent="0.25">
      <c r="A3" s="13" t="s">
        <v>3</v>
      </c>
      <c r="B3" s="13" t="s">
        <v>4</v>
      </c>
      <c r="C3" s="20" t="s">
        <v>5</v>
      </c>
      <c r="D3" s="21" t="s">
        <v>6</v>
      </c>
      <c r="E3" s="21" t="s">
        <v>7</v>
      </c>
      <c r="F3" s="22" t="s">
        <v>8</v>
      </c>
      <c r="G3" s="23" t="s">
        <v>9</v>
      </c>
      <c r="H3" s="24" t="s">
        <v>7</v>
      </c>
      <c r="I3" s="25" t="s">
        <v>8</v>
      </c>
    </row>
    <row r="4" spans="1:9" ht="15.6" x14ac:dyDescent="0.25">
      <c r="A4" s="48" t="str" cm="1">
        <f t="array" ref="A4:A27">Sites[Site]</f>
        <v>Fresno - 3150 Shaw Ave</v>
      </c>
      <c r="B4" s="28" t="str" cm="1">
        <f t="array" ref="B4:B27">Sites[State]</f>
        <v>CA</v>
      </c>
      <c r="C4" s="29">
        <f>SUM(Oct!C4, Nov!C4, Dec!C4)</f>
        <v>0</v>
      </c>
      <c r="D4" s="30">
        <f>SUM(Oct!D4, Nov!D4, Dec!D4)</f>
        <v>0</v>
      </c>
      <c r="E4" s="30">
        <f>IF(AND(ISNUMBER(C4),ISNUMBER(D4)), C4-D4, "")</f>
        <v>0</v>
      </c>
      <c r="F4" s="31" t="str">
        <f>IFERROR(E4/D4, "")</f>
        <v/>
      </c>
      <c r="G4" s="32">
        <f>SUM(Oct!G4,Nov!G4,Dec!G4)</f>
        <v>0</v>
      </c>
      <c r="H4" s="32">
        <f>SUM(Oct!H4, Nov!H4, Dec!H4)</f>
        <v>0</v>
      </c>
      <c r="I4" s="33" t="str">
        <f>IFERROR(H4/G4, "")</f>
        <v/>
      </c>
    </row>
    <row r="5" spans="1:9" ht="15.6" x14ac:dyDescent="0.25">
      <c r="A5" s="49" t="str">
        <v>Adelanto - 1 Sheep Creek Road</v>
      </c>
      <c r="B5" s="35" t="str">
        <v>CA</v>
      </c>
      <c r="C5" s="36">
        <f>SUM(Oct!C5, Nov!C5, Dec!C5)</f>
        <v>0</v>
      </c>
      <c r="D5" s="37">
        <f>SUM(Oct!D5, Nov!D5, Dec!D5)</f>
        <v>0</v>
      </c>
      <c r="E5" s="37">
        <f t="shared" ref="E5:E15" si="0">IF(AND(ISNUMBER(C5),ISNUMBER(D5)), C5-D5, "")</f>
        <v>0</v>
      </c>
      <c r="F5" s="38" t="str">
        <f>IFERROR(E5/D5, "")</f>
        <v/>
      </c>
      <c r="G5" s="37">
        <f>SUM(Oct!G5,Nov!G5,Dec!G5)</f>
        <v>0</v>
      </c>
      <c r="H5" s="39">
        <f>SUM(Oct!H5, Nov!H5, Dec!H5)</f>
        <v>0</v>
      </c>
      <c r="I5" s="38" t="str">
        <f>IFERROR(H5/G5, "")</f>
        <v/>
      </c>
    </row>
    <row r="6" spans="1:9" ht="15.6" x14ac:dyDescent="0.25">
      <c r="A6" s="48" t="str">
        <v>Blackstone - 83 Federal Street</v>
      </c>
      <c r="B6" s="28" t="str">
        <v>MA</v>
      </c>
      <c r="C6" s="29">
        <f>SUM(Oct!C6, Nov!C6, Dec!C6)</f>
        <v>0</v>
      </c>
      <c r="D6" s="30">
        <f>SUM(Oct!D6, Nov!D6, Dec!D6)</f>
        <v>0</v>
      </c>
      <c r="E6" s="30">
        <f t="shared" si="0"/>
        <v>0</v>
      </c>
      <c r="F6" s="31" t="str">
        <f t="shared" ref="F6:F15" si="1">IFERROR(E6/D6, "")</f>
        <v/>
      </c>
      <c r="G6" s="32">
        <f>SUM(Oct!G6,Nov!G6,Dec!G6)</f>
        <v>0</v>
      </c>
      <c r="H6" s="32">
        <f>SUM(Oct!H6, Nov!H6, Dec!H6)</f>
        <v>0</v>
      </c>
      <c r="I6" s="33" t="str">
        <f t="shared" ref="I6:I15" si="2">IFERROR(H6/G6, "")</f>
        <v/>
      </c>
    </row>
    <row r="7" spans="1:9" ht="15.6" x14ac:dyDescent="0.25">
      <c r="A7" s="49" t="str">
        <v>Charlton - 299 Worcester Road</v>
      </c>
      <c r="B7" s="35" t="str">
        <v>MA</v>
      </c>
      <c r="C7" s="36">
        <f>SUM(Oct!C7, Nov!C7, Dec!C7)</f>
        <v>0</v>
      </c>
      <c r="D7" s="37">
        <f>SUM(Oct!D7, Nov!D7, Dec!D7)</f>
        <v>0</v>
      </c>
      <c r="E7" s="37">
        <f t="shared" si="0"/>
        <v>0</v>
      </c>
      <c r="F7" s="38" t="str">
        <f t="shared" si="1"/>
        <v/>
      </c>
      <c r="G7" s="37">
        <f>SUM(Oct!G7,Nov!G7,Dec!G7)</f>
        <v>0</v>
      </c>
      <c r="H7" s="39">
        <f>SUM(Oct!H7, Nov!H7, Dec!H7)</f>
        <v>0</v>
      </c>
      <c r="I7" s="38" t="str">
        <f t="shared" si="2"/>
        <v/>
      </c>
    </row>
    <row r="8" spans="1:9" ht="15.6" x14ac:dyDescent="0.25">
      <c r="A8" s="48" t="str">
        <v>Wareham - 8 Thatcher Drive</v>
      </c>
      <c r="B8" s="28" t="str">
        <v>MA</v>
      </c>
      <c r="C8" s="29">
        <f>SUM(Oct!C8, Nov!C8, Dec!C8)</f>
        <v>0</v>
      </c>
      <c r="D8" s="30">
        <f>SUM(Oct!D8, Nov!D8, Dec!D8)</f>
        <v>0</v>
      </c>
      <c r="E8" s="30">
        <f t="shared" si="0"/>
        <v>0</v>
      </c>
      <c r="F8" s="31" t="str">
        <f t="shared" si="1"/>
        <v/>
      </c>
      <c r="G8" s="32">
        <f>SUM(Oct!G8,Nov!G8,Dec!G8)</f>
        <v>0</v>
      </c>
      <c r="H8" s="32">
        <f>SUM(Oct!H8, Nov!H8, Dec!H8)</f>
        <v>0</v>
      </c>
      <c r="I8" s="33" t="str">
        <f t="shared" si="2"/>
        <v/>
      </c>
    </row>
    <row r="9" spans="1:9" ht="15.6" x14ac:dyDescent="0.25">
      <c r="A9" s="49" t="str">
        <v>West Yarmouth - 42 Mid Tech</v>
      </c>
      <c r="B9" s="35" t="str">
        <v>MA</v>
      </c>
      <c r="C9" s="36">
        <f>SUM(Oct!C9, Nov!C9, Dec!C9)</f>
        <v>0</v>
      </c>
      <c r="D9" s="37">
        <f>SUM(Oct!D9, Nov!D9, Dec!D9)</f>
        <v>0</v>
      </c>
      <c r="E9" s="37">
        <f t="shared" si="0"/>
        <v>0</v>
      </c>
      <c r="F9" s="38" t="str">
        <f t="shared" si="1"/>
        <v/>
      </c>
      <c r="G9" s="37">
        <f>SUM(Oct!G9,Nov!G9,Dec!G9)</f>
        <v>0</v>
      </c>
      <c r="H9" s="39">
        <f>SUM(Oct!H9, Nov!H9, Dec!H9)</f>
        <v>0</v>
      </c>
      <c r="I9" s="38" t="str">
        <f t="shared" si="2"/>
        <v/>
      </c>
    </row>
    <row r="10" spans="1:9" ht="15.6" x14ac:dyDescent="0.25">
      <c r="A10" s="48" t="str">
        <v>Harrison - 130 Union Street</v>
      </c>
      <c r="B10" s="28" t="str">
        <v>NY</v>
      </c>
      <c r="C10" s="29">
        <f>SUM(Oct!C10, Nov!C10, Dec!C10)</f>
        <v>0</v>
      </c>
      <c r="D10" s="30">
        <f>SUM(Oct!D10, Nov!D10, Dec!D10)</f>
        <v>0</v>
      </c>
      <c r="E10" s="30">
        <f t="shared" si="0"/>
        <v>0</v>
      </c>
      <c r="F10" s="31" t="str">
        <f t="shared" si="1"/>
        <v/>
      </c>
      <c r="G10" s="32">
        <f>SUM(Oct!G10,Nov!G10,Dec!G10)</f>
        <v>0</v>
      </c>
      <c r="H10" s="32">
        <f>SUM(Oct!H10, Nov!H10, Dec!H10)</f>
        <v>0</v>
      </c>
      <c r="I10" s="33" t="str">
        <f t="shared" si="2"/>
        <v/>
      </c>
    </row>
    <row r="11" spans="1:9" ht="15.6" x14ac:dyDescent="0.25">
      <c r="A11" s="49" t="str">
        <v>Staten Island - Ellis Storage</v>
      </c>
      <c r="B11" s="35" t="str">
        <v>NY</v>
      </c>
      <c r="C11" s="36">
        <f>SUM(Oct!C11, Nov!C11, Dec!C11)</f>
        <v>0</v>
      </c>
      <c r="D11" s="37">
        <f>SUM(Oct!D11, Nov!D11, Dec!D11)</f>
        <v>0</v>
      </c>
      <c r="E11" s="37">
        <f t="shared" si="0"/>
        <v>0</v>
      </c>
      <c r="F11" s="38" t="str">
        <f t="shared" si="1"/>
        <v/>
      </c>
      <c r="G11" s="37">
        <f>SUM(Oct!G11,Nov!G11,Dec!G11)</f>
        <v>0</v>
      </c>
      <c r="H11" s="39">
        <f>SUM(Oct!H11, Nov!H11, Dec!H11)</f>
        <v>0</v>
      </c>
      <c r="I11" s="38" t="str">
        <f t="shared" si="2"/>
        <v/>
      </c>
    </row>
    <row r="12" spans="1:9" ht="15.6" x14ac:dyDescent="0.25">
      <c r="A12" s="48" t="str">
        <v>Amherst - 595 Schoelles Road</v>
      </c>
      <c r="B12" s="28" t="str">
        <v>NY</v>
      </c>
      <c r="C12" s="29">
        <f>SUM(Oct!C12, Nov!C12, Dec!C12)</f>
        <v>0</v>
      </c>
      <c r="D12" s="30">
        <f>SUM(Oct!D12, Nov!D12, Dec!D12)</f>
        <v>0</v>
      </c>
      <c r="E12" s="30">
        <f t="shared" si="0"/>
        <v>0</v>
      </c>
      <c r="F12" s="31" t="str">
        <f t="shared" si="1"/>
        <v/>
      </c>
      <c r="G12" s="32">
        <f>SUM(Oct!G12,Nov!G12,Dec!G12)</f>
        <v>0</v>
      </c>
      <c r="H12" s="32">
        <f>SUM(Oct!H12, Nov!H12, Dec!H12)</f>
        <v>0</v>
      </c>
      <c r="I12" s="33" t="str">
        <f t="shared" si="2"/>
        <v/>
      </c>
    </row>
    <row r="13" spans="1:9" ht="15.6" x14ac:dyDescent="0.25">
      <c r="A13" s="49" t="str">
        <v>Lancaster 1 - Gunnville Road</v>
      </c>
      <c r="B13" s="35" t="str">
        <v>NY</v>
      </c>
      <c r="C13" s="36">
        <f>SUM(Oct!C13, Nov!C13, Dec!C13)</f>
        <v>0</v>
      </c>
      <c r="D13" s="37">
        <f>SUM(Oct!D13, Nov!D13, Dec!D13)</f>
        <v>0</v>
      </c>
      <c r="E13" s="37">
        <f t="shared" si="0"/>
        <v>0</v>
      </c>
      <c r="F13" s="38" t="str">
        <f t="shared" si="1"/>
        <v/>
      </c>
      <c r="G13" s="37">
        <f>SUM(Oct!G13,Nov!G13,Dec!G13)</f>
        <v>0</v>
      </c>
      <c r="H13" s="39">
        <f>SUM(Oct!H13, Nov!H13, Dec!H13)</f>
        <v>0</v>
      </c>
      <c r="I13" s="38" t="str">
        <f t="shared" si="2"/>
        <v/>
      </c>
    </row>
    <row r="14" spans="1:9" ht="15.6" x14ac:dyDescent="0.25">
      <c r="A14" s="48" t="str">
        <v>Lancaster 2 - Shisler Road</v>
      </c>
      <c r="B14" s="28" t="str">
        <v>NY</v>
      </c>
      <c r="C14" s="29">
        <f>SUM(Oct!C14, Nov!C14, Dec!C14)</f>
        <v>0</v>
      </c>
      <c r="D14" s="30">
        <f>SUM(Oct!D14, Nov!D14, Dec!D14)</f>
        <v>0</v>
      </c>
      <c r="E14" s="30">
        <f t="shared" si="0"/>
        <v>0</v>
      </c>
      <c r="F14" s="31" t="str">
        <f t="shared" si="1"/>
        <v/>
      </c>
      <c r="G14" s="32">
        <f>SUM(Oct!G14,Nov!G14,Dec!G14)</f>
        <v>0</v>
      </c>
      <c r="H14" s="32">
        <f>SUM(Oct!H14, Nov!H14, Dec!H14)</f>
        <v>0</v>
      </c>
      <c r="I14" s="33" t="str">
        <f t="shared" si="2"/>
        <v/>
      </c>
    </row>
    <row r="15" spans="1:9" ht="15.6" x14ac:dyDescent="0.25">
      <c r="A15" s="49" t="str">
        <v>Fullerton - 200 W Orangethorpe</v>
      </c>
      <c r="B15" s="35" t="str">
        <v>CA</v>
      </c>
      <c r="C15" s="36">
        <f>SUM(Oct!C15, Nov!C15, Dec!C15)</f>
        <v>0</v>
      </c>
      <c r="D15" s="37">
        <f>SUM(Oct!D15, Nov!D15, Dec!D15)</f>
        <v>0</v>
      </c>
      <c r="E15" s="37">
        <f t="shared" si="0"/>
        <v>0</v>
      </c>
      <c r="F15" s="38" t="str">
        <f t="shared" si="1"/>
        <v/>
      </c>
      <c r="G15" s="37">
        <f>SUM(Oct!G15,Nov!G15,Dec!G15)</f>
        <v>0</v>
      </c>
      <c r="H15" s="39">
        <f>SUM(Oct!H15, Nov!H15, Dec!H15)</f>
        <v>0</v>
      </c>
      <c r="I15" s="38" t="str">
        <f t="shared" si="2"/>
        <v/>
      </c>
    </row>
    <row r="16" spans="1:9" ht="15.6" x14ac:dyDescent="0.25">
      <c r="A16" s="48" t="str">
        <v>El Paso - 10500 Railroad Drive</v>
      </c>
      <c r="B16" s="28" t="str">
        <v>TX</v>
      </c>
      <c r="C16" s="29">
        <f>SUM(Oct!C16, Nov!C16, Dec!C16)</f>
        <v>0</v>
      </c>
      <c r="D16" s="30">
        <f>SUM(Oct!D16, Nov!D16, Dec!D16)</f>
        <v>0</v>
      </c>
      <c r="E16" s="30">
        <f t="shared" ref="E16:E21" si="3">IF(AND(ISNUMBER(C16),ISNUMBER(D16)), C16-D16, "")</f>
        <v>0</v>
      </c>
      <c r="F16" s="31" t="str">
        <f t="shared" ref="F16:F25" si="4">IFERROR(E16/D16, "")</f>
        <v/>
      </c>
      <c r="G16" s="32">
        <f>SUM(Oct!G16,Nov!G16,Dec!G16)</f>
        <v>0</v>
      </c>
      <c r="H16" s="32">
        <f>SUM(Oct!H16, Nov!H16, Dec!H16)</f>
        <v>0</v>
      </c>
      <c r="I16" s="33" t="str">
        <f t="shared" ref="I16:I25" si="5">IFERROR(H16/G16, "")</f>
        <v/>
      </c>
    </row>
    <row r="17" spans="1:9" ht="15.6" x14ac:dyDescent="0.25">
      <c r="A17" s="49" t="str">
        <v>Friona - 900 Millard Ave</v>
      </c>
      <c r="B17" s="35" t="str">
        <v>TX</v>
      </c>
      <c r="C17" s="36">
        <f>SUM(Oct!C17, Nov!C17, Dec!C17)</f>
        <v>0</v>
      </c>
      <c r="D17" s="37">
        <f>SUM(Oct!D17, Nov!D17, Dec!D17)</f>
        <v>0</v>
      </c>
      <c r="E17" s="37">
        <f t="shared" si="3"/>
        <v>0</v>
      </c>
      <c r="F17" s="38" t="str">
        <f t="shared" si="4"/>
        <v/>
      </c>
      <c r="G17" s="37">
        <f>SUM(Oct!G17,Nov!G17,Dec!G17)</f>
        <v>0</v>
      </c>
      <c r="H17" s="39">
        <f>SUM(Oct!H17, Nov!H17, Dec!H17)</f>
        <v>0</v>
      </c>
      <c r="I17" s="38" t="str">
        <f t="shared" si="5"/>
        <v/>
      </c>
    </row>
    <row r="18" spans="1:9" ht="15.6" x14ac:dyDescent="0.25">
      <c r="A18" s="48" t="str">
        <v>Augusta - 13 York Farm Road</v>
      </c>
      <c r="B18" s="28" t="str">
        <v>ME</v>
      </c>
      <c r="C18" s="29">
        <f>SUM(Oct!C18, Nov!C18, Dec!C18)</f>
        <v>0</v>
      </c>
      <c r="D18" s="30">
        <f>SUM(Oct!D18, Nov!D18, Dec!D18)</f>
        <v>0</v>
      </c>
      <c r="E18" s="30">
        <f t="shared" si="3"/>
        <v>0</v>
      </c>
      <c r="F18" s="31" t="str">
        <f t="shared" si="4"/>
        <v/>
      </c>
      <c r="G18" s="32">
        <f>SUM(Oct!G18,Nov!G18,Dec!G18)</f>
        <v>0</v>
      </c>
      <c r="H18" s="32">
        <f>SUM(Oct!H18, Nov!H18, Dec!H18)</f>
        <v>0</v>
      </c>
      <c r="I18" s="33" t="str">
        <f t="shared" si="5"/>
        <v/>
      </c>
    </row>
    <row r="19" spans="1:9" ht="15.6" x14ac:dyDescent="0.25">
      <c r="A19" s="49" t="str">
        <v xml:space="preserve">Santa Ana - 1441 West </v>
      </c>
      <c r="B19" s="35" t="str">
        <v>CA</v>
      </c>
      <c r="C19" s="36">
        <f>SUM(Oct!C19, Nov!C19, Dec!C19)</f>
        <v>0</v>
      </c>
      <c r="D19" s="37">
        <f>SUM(Oct!D19, Nov!D19, Dec!D19)</f>
        <v>0</v>
      </c>
      <c r="E19" s="37">
        <f t="shared" si="3"/>
        <v>0</v>
      </c>
      <c r="F19" s="38" t="str">
        <f t="shared" si="4"/>
        <v/>
      </c>
      <c r="G19" s="37">
        <f>SUM(Oct!G19,Nov!G19,Dec!G19)</f>
        <v>0</v>
      </c>
      <c r="H19" s="39">
        <f>SUM(Oct!H19, Nov!H19, Dec!H19)</f>
        <v>0</v>
      </c>
      <c r="I19" s="38" t="str">
        <f t="shared" si="5"/>
        <v/>
      </c>
    </row>
    <row r="20" spans="1:9" ht="15.6" x14ac:dyDescent="0.25">
      <c r="A20" s="48" t="str">
        <v>Jessup -7950 Oceano Ave</v>
      </c>
      <c r="B20" s="28" t="str">
        <v>MD</v>
      </c>
      <c r="C20" s="29">
        <f>SUM(Oct!C20, Nov!C20, Dec!C20)</f>
        <v>0</v>
      </c>
      <c r="D20" s="30">
        <f>SUM(Oct!D20, Nov!D20, Dec!D20)</f>
        <v>0</v>
      </c>
      <c r="E20" s="30">
        <f t="shared" si="3"/>
        <v>0</v>
      </c>
      <c r="F20" s="31" t="str">
        <f t="shared" si="4"/>
        <v/>
      </c>
      <c r="G20" s="32">
        <f>SUM(Oct!G20,Nov!G20,Dec!G20)</f>
        <v>0</v>
      </c>
      <c r="H20" s="32">
        <f>SUM(Oct!H20, Nov!H20, Dec!H20)</f>
        <v>0</v>
      </c>
      <c r="I20" s="33" t="str">
        <f t="shared" si="5"/>
        <v/>
      </c>
    </row>
    <row r="21" spans="1:9" ht="15.6" x14ac:dyDescent="0.25">
      <c r="A21" s="49" t="str">
        <v xml:space="preserve">TX: Fort Worth - 5200 Gold Spike Dr </v>
      </c>
      <c r="B21" s="35" t="str">
        <v>TX</v>
      </c>
      <c r="C21" s="36">
        <f>SUM(Oct!C21, Nov!C21, Dec!C21)</f>
        <v>0</v>
      </c>
      <c r="D21" s="37">
        <f>SUM(Oct!D21, Nov!D21, Dec!D21)</f>
        <v>0</v>
      </c>
      <c r="E21" s="37">
        <f t="shared" si="3"/>
        <v>0</v>
      </c>
      <c r="F21" s="38" t="str">
        <f t="shared" si="4"/>
        <v/>
      </c>
      <c r="G21" s="37">
        <f>SUM(Oct!G21,Nov!G21,Dec!G21)</f>
        <v>0</v>
      </c>
      <c r="H21" s="39">
        <f>SUM(Oct!H21, Nov!H21, Dec!H21)</f>
        <v>0</v>
      </c>
      <c r="I21" s="38" t="str">
        <f t="shared" si="5"/>
        <v/>
      </c>
    </row>
    <row r="22" spans="1:9" ht="15.6" x14ac:dyDescent="0.25">
      <c r="A22" s="48" t="str">
        <v>NY: Clifton Springs - Ontario 2 (21597)</v>
      </c>
      <c r="B22" s="28" t="str">
        <v>NY</v>
      </c>
      <c r="C22" s="29">
        <f>SUM(Oct!C22, Nov!C22, Dec!C22)</f>
        <v>0</v>
      </c>
      <c r="D22" s="30">
        <f>SUM(Oct!D22, Nov!D22, Dec!D22)</f>
        <v>0</v>
      </c>
      <c r="E22" s="30">
        <f t="shared" ref="E22:E25" si="6">IF(AND(ISNUMBER(C22),ISNUMBER(D22)), C22-D22, "")</f>
        <v>0</v>
      </c>
      <c r="F22" s="31" t="str">
        <f t="shared" si="4"/>
        <v/>
      </c>
      <c r="G22" s="32">
        <f>SUM(Oct!G22,Nov!G22,Dec!G22)</f>
        <v>0</v>
      </c>
      <c r="H22" s="32">
        <f>SUM(Oct!H22, Nov!H22, Dec!H22)</f>
        <v>0</v>
      </c>
      <c r="I22" s="33" t="str">
        <f t="shared" si="5"/>
        <v/>
      </c>
    </row>
    <row r="23" spans="1:9" ht="15.6" x14ac:dyDescent="0.25">
      <c r="A23" s="49" t="str">
        <v>CA: Oxnard - 2600 Sakioka - System A</v>
      </c>
      <c r="B23" s="35" t="str">
        <v>CA</v>
      </c>
      <c r="C23" s="36">
        <f>SUM(Oct!C23, Nov!C23, Dec!C23)</f>
        <v>0</v>
      </c>
      <c r="D23" s="37">
        <f>SUM(Oct!D23, Nov!D23, Dec!D23)</f>
        <v>0</v>
      </c>
      <c r="E23" s="37">
        <f t="shared" si="6"/>
        <v>0</v>
      </c>
      <c r="F23" s="38" t="str">
        <f t="shared" si="4"/>
        <v/>
      </c>
      <c r="G23" s="37">
        <f>SUM(Oct!G23,Nov!G23,Dec!G23)</f>
        <v>0</v>
      </c>
      <c r="H23" s="39">
        <f>SUM(Oct!H23, Nov!H23, Dec!H23)</f>
        <v>0</v>
      </c>
      <c r="I23" s="38" t="str">
        <f t="shared" si="5"/>
        <v/>
      </c>
    </row>
    <row r="24" spans="1:9" ht="15.6" x14ac:dyDescent="0.25">
      <c r="A24" s="48" t="str">
        <v>CA: Oxnard - 2600 Sakioka - System B</v>
      </c>
      <c r="B24" s="28" t="str">
        <v>CA</v>
      </c>
      <c r="C24" s="29">
        <f>SUM(Oct!C24, Nov!C24, Dec!C24)</f>
        <v>0</v>
      </c>
      <c r="D24" s="30">
        <f>SUM(Oct!D24, Nov!D24, Dec!D24)</f>
        <v>0</v>
      </c>
      <c r="E24" s="30">
        <f t="shared" si="6"/>
        <v>0</v>
      </c>
      <c r="F24" s="31" t="str">
        <f t="shared" si="4"/>
        <v/>
      </c>
      <c r="G24" s="32">
        <f>SUM(Oct!G24,Nov!G24,Dec!G24)</f>
        <v>0</v>
      </c>
      <c r="H24" s="32">
        <f>SUM(Oct!H24, Nov!H24, Dec!H24)</f>
        <v>0</v>
      </c>
      <c r="I24" s="33" t="str">
        <f t="shared" si="5"/>
        <v/>
      </c>
    </row>
    <row r="25" spans="1:9" ht="15.6" x14ac:dyDescent="0.25">
      <c r="A25" s="49" t="str">
        <v>NY: Fonda - Montgomery 1 (21601)</v>
      </c>
      <c r="B25" s="35" t="str">
        <v>NY</v>
      </c>
      <c r="C25" s="36">
        <f>SUM(Oct!C25, Nov!C25, Dec!C25)</f>
        <v>0</v>
      </c>
      <c r="D25" s="37">
        <f>SUM(Oct!D25, Nov!D25, Dec!D25)</f>
        <v>0</v>
      </c>
      <c r="E25" s="37">
        <f t="shared" si="6"/>
        <v>0</v>
      </c>
      <c r="F25" s="38" t="str">
        <f t="shared" si="4"/>
        <v/>
      </c>
      <c r="G25" s="37">
        <f>SUM(Oct!G25,Nov!G25,Dec!G25)</f>
        <v>0</v>
      </c>
      <c r="H25" s="39">
        <f>SUM(Oct!H25, Nov!H25, Dec!H25)</f>
        <v>0</v>
      </c>
      <c r="I25" s="38" t="str">
        <f t="shared" si="5"/>
        <v/>
      </c>
    </row>
    <row r="26" spans="1:9" ht="13.8" x14ac:dyDescent="0.3">
      <c r="A26" s="9" t="str">
        <v>NY: Evans - SL Evans Array 1 (21106) - (PW)</v>
      </c>
      <c r="B26" s="9" t="str">
        <v>NY</v>
      </c>
      <c r="C26" s="9"/>
      <c r="D26" s="9"/>
      <c r="E26" s="9"/>
      <c r="F26" s="10"/>
      <c r="G26" s="9"/>
      <c r="H26" s="9"/>
      <c r="I26" s="10"/>
    </row>
    <row r="27" spans="1:9" ht="13.8" x14ac:dyDescent="0.3">
      <c r="A27" s="9" t="str">
        <v>NY: Evans - SL Evans Array 2 (21107) - (PW)</v>
      </c>
      <c r="B27" s="9" t="str">
        <v>NY</v>
      </c>
      <c r="C27" s="9"/>
      <c r="D27" s="9"/>
      <c r="E27" s="9"/>
      <c r="F27" s="10"/>
      <c r="G27" s="9"/>
      <c r="H27" s="9"/>
      <c r="I27" s="10"/>
    </row>
    <row r="28" spans="1:9" ht="13.8" x14ac:dyDescent="0.3">
      <c r="A28" s="9"/>
      <c r="B28" s="9"/>
      <c r="C28" s="9"/>
      <c r="D28" s="9"/>
      <c r="E28" s="9"/>
      <c r="F28" s="10"/>
      <c r="G28" s="9"/>
      <c r="H28" s="9"/>
      <c r="I28" s="10"/>
    </row>
    <row r="29" spans="1:9" ht="13.8" x14ac:dyDescent="0.3">
      <c r="A29" s="9"/>
      <c r="B29" s="9"/>
      <c r="C29" s="9"/>
      <c r="D29" s="9"/>
      <c r="E29" s="9"/>
      <c r="F29" s="10"/>
      <c r="G29" s="9"/>
      <c r="H29" s="9"/>
      <c r="I29" s="10"/>
    </row>
    <row r="30" spans="1:9" ht="13.8" x14ac:dyDescent="0.3">
      <c r="A30" s="9"/>
      <c r="B30" s="9"/>
      <c r="C30" s="9"/>
      <c r="D30" s="9"/>
      <c r="E30" s="9"/>
      <c r="F30" s="10"/>
      <c r="G30" s="9"/>
      <c r="H30" s="9"/>
      <c r="I30" s="10"/>
    </row>
    <row r="31" spans="1:9" ht="13.8" x14ac:dyDescent="0.3">
      <c r="A31" s="9"/>
      <c r="B31" s="9"/>
      <c r="C31" s="9"/>
      <c r="D31" s="9"/>
      <c r="E31" s="9"/>
      <c r="F31" s="10"/>
      <c r="G31" s="9"/>
      <c r="H31" s="9"/>
      <c r="I31" s="10"/>
    </row>
    <row r="32" spans="1:9" ht="13.8" x14ac:dyDescent="0.3">
      <c r="A32" s="9"/>
      <c r="B32" s="9"/>
      <c r="C32" s="9"/>
      <c r="D32" s="9"/>
      <c r="E32" s="9"/>
      <c r="F32" s="10"/>
      <c r="G32" s="9"/>
      <c r="H32" s="9"/>
      <c r="I32" s="10"/>
    </row>
    <row r="33" spans="1:9" ht="13.8" x14ac:dyDescent="0.3">
      <c r="A33" s="9"/>
      <c r="B33" s="9"/>
      <c r="C33" s="9"/>
      <c r="D33" s="9"/>
      <c r="E33" s="9"/>
      <c r="F33" s="10"/>
      <c r="G33" s="9"/>
      <c r="H33" s="9"/>
      <c r="I33" s="10"/>
    </row>
    <row r="34" spans="1:9" ht="13.8" x14ac:dyDescent="0.3">
      <c r="A34" s="9"/>
      <c r="B34" s="9"/>
      <c r="C34" s="9"/>
      <c r="D34" s="9"/>
      <c r="E34" s="9"/>
      <c r="F34" s="10"/>
      <c r="G34" s="9"/>
      <c r="H34" s="9"/>
      <c r="I34" s="10"/>
    </row>
    <row r="35" spans="1:9" ht="13.8" x14ac:dyDescent="0.3">
      <c r="A35" s="9"/>
      <c r="B35" s="9"/>
      <c r="C35" s="9"/>
      <c r="D35" s="9"/>
      <c r="E35" s="9"/>
      <c r="F35" s="10"/>
      <c r="G35" s="9"/>
      <c r="H35" s="9"/>
      <c r="I35" s="10"/>
    </row>
    <row r="36" spans="1:9" ht="13.8" x14ac:dyDescent="0.3">
      <c r="A36" s="9"/>
      <c r="B36" s="9"/>
      <c r="C36" s="9"/>
      <c r="D36" s="9"/>
      <c r="E36" s="9"/>
      <c r="F36" s="10"/>
      <c r="G36" s="9"/>
      <c r="H36" s="9"/>
      <c r="I36" s="10"/>
    </row>
    <row r="37" spans="1:9" ht="13.8" x14ac:dyDescent="0.3">
      <c r="A37" s="9"/>
      <c r="B37" s="9"/>
      <c r="C37" s="9"/>
      <c r="D37" s="9"/>
      <c r="E37" s="9"/>
      <c r="F37" s="10"/>
      <c r="G37" s="9"/>
      <c r="H37" s="9"/>
      <c r="I37" s="10"/>
    </row>
    <row r="38" spans="1:9" ht="13.8" x14ac:dyDescent="0.3">
      <c r="A38" s="9"/>
      <c r="B38" s="9"/>
      <c r="C38" s="9"/>
      <c r="D38" s="9"/>
      <c r="E38" s="9"/>
      <c r="F38" s="10"/>
      <c r="G38" s="9"/>
      <c r="H38" s="9"/>
      <c r="I38" s="10"/>
    </row>
    <row r="39" spans="1:9" ht="13.8" x14ac:dyDescent="0.3">
      <c r="A39" s="9"/>
      <c r="B39" s="9"/>
      <c r="C39" s="9"/>
      <c r="D39" s="9"/>
      <c r="E39" s="9"/>
      <c r="F39" s="10"/>
      <c r="G39" s="9"/>
      <c r="H39" s="9"/>
      <c r="I39" s="10"/>
    </row>
    <row r="40" spans="1:9" ht="13.8" x14ac:dyDescent="0.3">
      <c r="A40" s="9"/>
      <c r="B40" s="9"/>
      <c r="C40" s="9"/>
      <c r="D40" s="9"/>
      <c r="E40" s="9"/>
      <c r="F40" s="10"/>
      <c r="G40" s="9"/>
      <c r="H40" s="9"/>
      <c r="I40" s="10"/>
    </row>
    <row r="41" spans="1:9" ht="13.8" x14ac:dyDescent="0.3">
      <c r="A41" s="9"/>
      <c r="B41" s="9"/>
      <c r="C41" s="9"/>
      <c r="D41" s="9"/>
      <c r="E41" s="9"/>
      <c r="F41" s="10"/>
      <c r="G41" s="9"/>
      <c r="H41" s="9"/>
      <c r="I41" s="10"/>
    </row>
    <row r="42" spans="1:9" ht="13.8" x14ac:dyDescent="0.3">
      <c r="A42" s="9"/>
      <c r="B42" s="9"/>
      <c r="C42" s="9"/>
      <c r="D42" s="9"/>
      <c r="E42" s="9"/>
      <c r="F42" s="10"/>
      <c r="G42" s="9"/>
      <c r="H42" s="9"/>
      <c r="I42" s="10"/>
    </row>
    <row r="43" spans="1:9" ht="13.8" x14ac:dyDescent="0.3">
      <c r="A43" s="9"/>
      <c r="B43" s="9"/>
      <c r="C43" s="9"/>
      <c r="D43" s="9"/>
      <c r="E43" s="9"/>
      <c r="F43" s="10"/>
      <c r="G43" s="9"/>
      <c r="H43" s="9"/>
      <c r="I43" s="10"/>
    </row>
    <row r="44" spans="1:9" ht="13.8" x14ac:dyDescent="0.3">
      <c r="A44" s="9"/>
      <c r="B44" s="9"/>
      <c r="C44" s="9"/>
      <c r="D44" s="9"/>
      <c r="E44" s="9"/>
      <c r="F44" s="10"/>
      <c r="G44" s="9"/>
      <c r="H44" s="9"/>
      <c r="I44" s="10"/>
    </row>
    <row r="45" spans="1:9" ht="13.8" x14ac:dyDescent="0.3">
      <c r="A45" s="9"/>
      <c r="B45" s="9"/>
      <c r="C45" s="9"/>
      <c r="D45" s="9"/>
      <c r="E45" s="9"/>
      <c r="F45" s="10"/>
      <c r="G45" s="9"/>
      <c r="H45" s="9"/>
      <c r="I45" s="10"/>
    </row>
    <row r="46" spans="1:9" ht="13.8" x14ac:dyDescent="0.3">
      <c r="A46" s="9"/>
      <c r="B46" s="9"/>
      <c r="C46" s="9"/>
      <c r="D46" s="9"/>
      <c r="E46" s="9"/>
      <c r="F46" s="10"/>
      <c r="G46" s="9"/>
      <c r="H46" s="9"/>
      <c r="I46" s="10"/>
    </row>
    <row r="47" spans="1:9" ht="13.8" x14ac:dyDescent="0.3">
      <c r="A47" s="9"/>
      <c r="B47" s="9"/>
      <c r="C47" s="9"/>
      <c r="D47" s="9"/>
      <c r="E47" s="9"/>
      <c r="F47" s="10"/>
      <c r="G47" s="9"/>
      <c r="H47" s="9"/>
      <c r="I47" s="10"/>
    </row>
    <row r="48" spans="1:9" ht="13.8" x14ac:dyDescent="0.3">
      <c r="A48" s="9"/>
      <c r="B48" s="9"/>
      <c r="C48" s="9"/>
      <c r="D48" s="9"/>
      <c r="E48" s="9"/>
      <c r="F48" s="10"/>
      <c r="G48" s="9"/>
      <c r="H48" s="9"/>
      <c r="I48" s="10"/>
    </row>
    <row r="49" spans="1:9" ht="13.8" x14ac:dyDescent="0.3">
      <c r="A49" s="9"/>
      <c r="B49" s="9"/>
      <c r="C49" s="9"/>
      <c r="D49" s="9"/>
      <c r="E49" s="9"/>
      <c r="F49" s="10"/>
      <c r="G49" s="9"/>
      <c r="H49" s="9"/>
      <c r="I49" s="10"/>
    </row>
    <row r="50" spans="1:9" ht="13.8" x14ac:dyDescent="0.3">
      <c r="A50" s="9"/>
      <c r="B50" s="9"/>
      <c r="C50" s="9"/>
      <c r="D50" s="9"/>
      <c r="E50" s="9"/>
      <c r="F50" s="10"/>
      <c r="G50" s="9"/>
      <c r="H50" s="9"/>
      <c r="I50" s="10"/>
    </row>
    <row r="51" spans="1:9" ht="13.8" x14ac:dyDescent="0.3">
      <c r="A51" s="9"/>
      <c r="B51" s="9"/>
      <c r="C51" s="9"/>
      <c r="D51" s="9"/>
      <c r="E51" s="9"/>
      <c r="F51" s="10"/>
      <c r="G51" s="9"/>
      <c r="H51" s="9"/>
      <c r="I51" s="10"/>
    </row>
    <row r="52" spans="1:9" ht="13.8" x14ac:dyDescent="0.3">
      <c r="A52" s="9"/>
      <c r="B52" s="9"/>
      <c r="C52" s="9"/>
      <c r="D52" s="9"/>
      <c r="E52" s="9"/>
      <c r="F52" s="10"/>
      <c r="G52" s="9"/>
      <c r="H52" s="9"/>
      <c r="I52" s="10"/>
    </row>
    <row r="53" spans="1:9" ht="13.8" x14ac:dyDescent="0.3">
      <c r="A53" s="9"/>
      <c r="B53" s="9"/>
      <c r="C53" s="9"/>
      <c r="D53" s="9"/>
      <c r="E53" s="9"/>
      <c r="F53" s="10"/>
      <c r="G53" s="9"/>
      <c r="H53" s="9"/>
      <c r="I53" s="10"/>
    </row>
    <row r="54" spans="1:9" ht="13.8" x14ac:dyDescent="0.3">
      <c r="A54" s="9"/>
      <c r="B54" s="9"/>
      <c r="C54" s="9"/>
      <c r="D54" s="9"/>
      <c r="E54" s="9"/>
      <c r="F54" s="10"/>
      <c r="G54" s="9"/>
      <c r="H54" s="9"/>
      <c r="I54" s="10"/>
    </row>
    <row r="55" spans="1:9" ht="13.8" x14ac:dyDescent="0.3">
      <c r="A55" s="9"/>
      <c r="B55" s="9"/>
      <c r="C55" s="9"/>
      <c r="D55" s="9"/>
      <c r="E55" s="9"/>
      <c r="F55" s="10"/>
      <c r="G55" s="9"/>
      <c r="H55" s="9"/>
      <c r="I55" s="10"/>
    </row>
    <row r="56" spans="1:9" ht="13.8" x14ac:dyDescent="0.3">
      <c r="A56" s="9"/>
      <c r="B56" s="9"/>
      <c r="C56" s="9"/>
      <c r="D56" s="9"/>
      <c r="E56" s="9"/>
      <c r="F56" s="10"/>
      <c r="G56" s="9"/>
      <c r="H56" s="9"/>
      <c r="I56" s="10"/>
    </row>
    <row r="57" spans="1:9" ht="13.8" x14ac:dyDescent="0.3">
      <c r="A57" s="9"/>
      <c r="B57" s="9"/>
      <c r="C57" s="9"/>
      <c r="D57" s="9"/>
      <c r="E57" s="9"/>
      <c r="F57" s="10"/>
      <c r="G57" s="9"/>
      <c r="H57" s="9"/>
      <c r="I57" s="10"/>
    </row>
    <row r="58" spans="1:9" ht="13.8" x14ac:dyDescent="0.3">
      <c r="A58" s="9"/>
      <c r="B58" s="9"/>
      <c r="C58" s="9"/>
      <c r="D58" s="9"/>
      <c r="E58" s="9"/>
      <c r="F58" s="10"/>
      <c r="G58" s="9"/>
      <c r="H58" s="9"/>
      <c r="I58" s="10"/>
    </row>
    <row r="59" spans="1:9" ht="13.8" x14ac:dyDescent="0.3">
      <c r="A59" s="9"/>
      <c r="B59" s="9"/>
      <c r="C59" s="9"/>
      <c r="D59" s="9"/>
      <c r="E59" s="9"/>
      <c r="F59" s="10"/>
      <c r="G59" s="9"/>
      <c r="H59" s="9"/>
      <c r="I59" s="10"/>
    </row>
    <row r="60" spans="1:9" ht="13.8" x14ac:dyDescent="0.3">
      <c r="A60" s="9"/>
      <c r="B60" s="9"/>
      <c r="C60" s="9"/>
      <c r="D60" s="9"/>
      <c r="E60" s="9"/>
      <c r="F60" s="10"/>
      <c r="G60" s="9"/>
      <c r="H60" s="9"/>
      <c r="I60" s="10"/>
    </row>
    <row r="61" spans="1:9" ht="13.8" x14ac:dyDescent="0.3">
      <c r="A61" s="9"/>
      <c r="B61" s="9"/>
      <c r="C61" s="9"/>
      <c r="D61" s="9"/>
      <c r="E61" s="9"/>
      <c r="F61" s="10"/>
      <c r="G61" s="9"/>
      <c r="H61" s="9"/>
      <c r="I61" s="10"/>
    </row>
    <row r="62" spans="1:9" ht="13.8" x14ac:dyDescent="0.3">
      <c r="A62" s="9"/>
      <c r="B62" s="9"/>
      <c r="C62" s="9"/>
      <c r="D62" s="9"/>
      <c r="E62" s="9"/>
      <c r="F62" s="10"/>
      <c r="G62" s="9"/>
      <c r="H62" s="9"/>
      <c r="I62" s="10"/>
    </row>
    <row r="63" spans="1:9" ht="13.8" x14ac:dyDescent="0.3">
      <c r="A63" s="9"/>
      <c r="B63" s="9"/>
      <c r="C63" s="9"/>
      <c r="D63" s="9"/>
      <c r="E63" s="9"/>
      <c r="F63" s="10"/>
      <c r="G63" s="9"/>
      <c r="H63" s="9"/>
      <c r="I63" s="10"/>
    </row>
    <row r="64" spans="1:9" ht="13.8" x14ac:dyDescent="0.3">
      <c r="A64" s="9"/>
      <c r="B64" s="9"/>
      <c r="C64" s="9"/>
      <c r="D64" s="9"/>
      <c r="E64" s="9"/>
      <c r="F64" s="10"/>
      <c r="G64" s="9"/>
      <c r="H64" s="9"/>
      <c r="I64" s="10"/>
    </row>
    <row r="65" spans="1:9" ht="13.8" x14ac:dyDescent="0.3">
      <c r="A65" s="9"/>
      <c r="B65" s="9"/>
      <c r="C65" s="9"/>
      <c r="D65" s="9"/>
      <c r="E65" s="9"/>
      <c r="F65" s="10"/>
      <c r="G65" s="9"/>
      <c r="H65" s="9"/>
      <c r="I65" s="10"/>
    </row>
    <row r="66" spans="1:9" ht="13.8" x14ac:dyDescent="0.3">
      <c r="A66" s="9"/>
      <c r="B66" s="9"/>
      <c r="C66" s="9"/>
      <c r="D66" s="9"/>
      <c r="E66" s="9"/>
      <c r="F66" s="10"/>
      <c r="G66" s="9"/>
      <c r="H66" s="9"/>
      <c r="I66" s="10"/>
    </row>
    <row r="67" spans="1:9" ht="13.8" x14ac:dyDescent="0.3">
      <c r="A67" s="9"/>
      <c r="B67" s="9"/>
      <c r="C67" s="9"/>
      <c r="D67" s="9"/>
      <c r="E67" s="9"/>
      <c r="F67" s="10"/>
      <c r="G67" s="9"/>
      <c r="H67" s="9"/>
      <c r="I67" s="10"/>
    </row>
    <row r="68" spans="1:9" ht="13.8" x14ac:dyDescent="0.3">
      <c r="A68" s="9"/>
      <c r="B68" s="9"/>
      <c r="C68" s="9"/>
      <c r="D68" s="9"/>
      <c r="E68" s="9"/>
      <c r="F68" s="10"/>
      <c r="G68" s="9"/>
      <c r="H68" s="9"/>
      <c r="I68" s="10"/>
    </row>
    <row r="69" spans="1:9" ht="13.8" x14ac:dyDescent="0.3">
      <c r="A69" s="9"/>
      <c r="B69" s="9"/>
      <c r="C69" s="9"/>
      <c r="D69" s="9"/>
      <c r="E69" s="9"/>
      <c r="F69" s="10"/>
      <c r="G69" s="9"/>
      <c r="H69" s="9"/>
      <c r="I69" s="10"/>
    </row>
    <row r="70" spans="1:9" ht="13.8" x14ac:dyDescent="0.3">
      <c r="A70" s="9"/>
      <c r="B70" s="9"/>
      <c r="C70" s="9"/>
      <c r="D70" s="9"/>
      <c r="E70" s="9"/>
      <c r="F70" s="10"/>
      <c r="G70" s="9"/>
      <c r="H70" s="9"/>
      <c r="I70" s="10"/>
    </row>
    <row r="71" spans="1:9" ht="13.8" x14ac:dyDescent="0.3">
      <c r="A71" s="9"/>
      <c r="B71" s="9"/>
      <c r="C71" s="9"/>
      <c r="D71" s="9"/>
      <c r="E71" s="9"/>
      <c r="F71" s="10"/>
      <c r="G71" s="9"/>
      <c r="H71" s="9"/>
      <c r="I71" s="10"/>
    </row>
    <row r="72" spans="1:9" ht="13.8" x14ac:dyDescent="0.3">
      <c r="A72" s="9"/>
      <c r="B72" s="9"/>
      <c r="C72" s="9"/>
      <c r="D72" s="9"/>
      <c r="E72" s="9"/>
      <c r="F72" s="10"/>
      <c r="G72" s="9"/>
      <c r="H72" s="9"/>
      <c r="I72" s="10"/>
    </row>
    <row r="73" spans="1:9" ht="13.8" x14ac:dyDescent="0.3">
      <c r="A73" s="9"/>
      <c r="B73" s="9"/>
      <c r="C73" s="9"/>
      <c r="D73" s="9"/>
      <c r="E73" s="9"/>
      <c r="F73" s="10"/>
      <c r="G73" s="9"/>
      <c r="H73" s="9"/>
      <c r="I73" s="10"/>
    </row>
    <row r="74" spans="1:9" ht="13.8" x14ac:dyDescent="0.3">
      <c r="A74" s="9"/>
      <c r="B74" s="9"/>
      <c r="C74" s="9"/>
      <c r="D74" s="9"/>
      <c r="E74" s="9"/>
      <c r="F74" s="10"/>
      <c r="G74" s="9"/>
      <c r="H74" s="9"/>
      <c r="I74" s="10"/>
    </row>
    <row r="75" spans="1:9" ht="13.8" x14ac:dyDescent="0.3">
      <c r="A75" s="9"/>
      <c r="B75" s="9"/>
      <c r="C75" s="9"/>
      <c r="D75" s="9"/>
      <c r="E75" s="9"/>
      <c r="F75" s="10"/>
      <c r="G75" s="9"/>
      <c r="H75" s="9"/>
      <c r="I75" s="10"/>
    </row>
    <row r="76" spans="1:9" ht="13.8" x14ac:dyDescent="0.3">
      <c r="A76" s="9"/>
      <c r="B76" s="9"/>
      <c r="C76" s="9"/>
      <c r="D76" s="9"/>
      <c r="E76" s="9"/>
      <c r="F76" s="10"/>
      <c r="G76" s="9"/>
      <c r="H76" s="9"/>
      <c r="I76" s="10"/>
    </row>
    <row r="77" spans="1:9" ht="13.8" x14ac:dyDescent="0.3">
      <c r="A77" s="9"/>
      <c r="B77" s="9"/>
      <c r="C77" s="9"/>
      <c r="D77" s="9"/>
      <c r="E77" s="9"/>
      <c r="F77" s="10"/>
      <c r="G77" s="9"/>
      <c r="H77" s="9"/>
      <c r="I77" s="10"/>
    </row>
    <row r="78" spans="1:9" ht="13.8" x14ac:dyDescent="0.3">
      <c r="A78" s="9"/>
      <c r="B78" s="9"/>
      <c r="C78" s="9"/>
      <c r="D78" s="9"/>
      <c r="E78" s="9"/>
      <c r="F78" s="10"/>
      <c r="G78" s="9"/>
      <c r="H78" s="9"/>
      <c r="I78" s="10"/>
    </row>
    <row r="79" spans="1:9" ht="13.8" x14ac:dyDescent="0.3">
      <c r="A79" s="9"/>
      <c r="B79" s="9"/>
      <c r="C79" s="9"/>
      <c r="D79" s="9"/>
      <c r="E79" s="9"/>
      <c r="F79" s="10"/>
      <c r="G79" s="9"/>
      <c r="H79" s="9"/>
      <c r="I79" s="10"/>
    </row>
    <row r="80" spans="1:9" ht="13.8" x14ac:dyDescent="0.3">
      <c r="A80" s="9"/>
      <c r="B80" s="9"/>
      <c r="C80" s="9"/>
      <c r="D80" s="9"/>
      <c r="E80" s="9"/>
      <c r="F80" s="10"/>
      <c r="G80" s="9"/>
      <c r="H80" s="9"/>
      <c r="I80" s="10"/>
    </row>
    <row r="81" spans="1:9" ht="13.8" x14ac:dyDescent="0.3">
      <c r="A81" s="9"/>
      <c r="B81" s="9"/>
      <c r="C81" s="9"/>
      <c r="D81" s="9"/>
      <c r="E81" s="9"/>
      <c r="F81" s="10"/>
      <c r="G81" s="9"/>
      <c r="H81" s="9"/>
      <c r="I81" s="10"/>
    </row>
    <row r="82" spans="1:9" ht="13.8" x14ac:dyDescent="0.3">
      <c r="A82" s="9"/>
      <c r="B82" s="9"/>
      <c r="C82" s="9"/>
      <c r="D82" s="9"/>
      <c r="E82" s="9"/>
      <c r="F82" s="10"/>
      <c r="G82" s="9"/>
      <c r="H82" s="9"/>
      <c r="I82" s="10"/>
    </row>
    <row r="83" spans="1:9" ht="13.8" x14ac:dyDescent="0.3">
      <c r="A83" s="9"/>
      <c r="B83" s="9"/>
      <c r="C83" s="9"/>
      <c r="D83" s="9"/>
      <c r="E83" s="9"/>
      <c r="F83" s="10"/>
      <c r="G83" s="9"/>
      <c r="H83" s="9"/>
      <c r="I83" s="10"/>
    </row>
    <row r="84" spans="1:9" ht="13.8" x14ac:dyDescent="0.3">
      <c r="A84" s="9"/>
      <c r="B84" s="9"/>
      <c r="C84" s="9"/>
      <c r="D84" s="9"/>
      <c r="E84" s="9"/>
      <c r="F84" s="10"/>
      <c r="G84" s="9"/>
      <c r="H84" s="9"/>
      <c r="I84" s="10"/>
    </row>
    <row r="85" spans="1:9" ht="13.8" x14ac:dyDescent="0.3">
      <c r="A85" s="9"/>
      <c r="B85" s="9"/>
      <c r="C85" s="9"/>
      <c r="D85" s="9"/>
      <c r="E85" s="9"/>
      <c r="F85" s="10"/>
      <c r="G85" s="9"/>
      <c r="H85" s="9"/>
      <c r="I85" s="10"/>
    </row>
    <row r="86" spans="1:9" ht="13.8" x14ac:dyDescent="0.3">
      <c r="A86" s="9"/>
      <c r="B86" s="9"/>
      <c r="C86" s="9"/>
      <c r="D86" s="9"/>
      <c r="E86" s="9"/>
      <c r="F86" s="10"/>
      <c r="G86" s="9"/>
      <c r="H86" s="9"/>
      <c r="I86" s="10"/>
    </row>
    <row r="87" spans="1:9" ht="13.8" x14ac:dyDescent="0.3">
      <c r="A87" s="9"/>
      <c r="B87" s="9"/>
      <c r="C87" s="9"/>
      <c r="D87" s="9"/>
      <c r="E87" s="9"/>
      <c r="F87" s="10"/>
      <c r="G87" s="9"/>
      <c r="H87" s="9"/>
      <c r="I87" s="10"/>
    </row>
    <row r="88" spans="1:9" ht="13.8" x14ac:dyDescent="0.3">
      <c r="A88" s="9"/>
      <c r="B88" s="9"/>
      <c r="C88" s="9"/>
      <c r="D88" s="9"/>
      <c r="E88" s="9"/>
      <c r="F88" s="10"/>
      <c r="G88" s="9"/>
      <c r="H88" s="9"/>
      <c r="I88" s="10"/>
    </row>
    <row r="89" spans="1:9" ht="13.8" x14ac:dyDescent="0.3">
      <c r="A89" s="9"/>
      <c r="B89" s="9"/>
      <c r="C89" s="9"/>
      <c r="D89" s="9"/>
      <c r="E89" s="9"/>
      <c r="F89" s="10"/>
      <c r="G89" s="9"/>
      <c r="H89" s="9"/>
      <c r="I89" s="10"/>
    </row>
    <row r="90" spans="1:9" ht="13.8" x14ac:dyDescent="0.3">
      <c r="A90" s="9"/>
      <c r="B90" s="9"/>
      <c r="C90" s="9"/>
      <c r="D90" s="9"/>
      <c r="E90" s="9"/>
      <c r="F90" s="10"/>
      <c r="G90" s="9"/>
      <c r="H90" s="9"/>
      <c r="I90" s="10"/>
    </row>
    <row r="91" spans="1:9" ht="13.8" x14ac:dyDescent="0.3">
      <c r="A91" s="9"/>
      <c r="B91" s="9"/>
      <c r="C91" s="9"/>
      <c r="D91" s="9"/>
      <c r="E91" s="9"/>
      <c r="F91" s="10"/>
      <c r="G91" s="9"/>
      <c r="H91" s="9"/>
      <c r="I91" s="10"/>
    </row>
    <row r="92" spans="1:9" ht="13.8" x14ac:dyDescent="0.3">
      <c r="A92" s="9"/>
      <c r="B92" s="9"/>
      <c r="C92" s="9"/>
      <c r="D92" s="9"/>
      <c r="E92" s="9"/>
      <c r="F92" s="10"/>
      <c r="G92" s="9"/>
      <c r="H92" s="9"/>
      <c r="I92" s="10"/>
    </row>
    <row r="93" spans="1:9" ht="13.8" x14ac:dyDescent="0.3">
      <c r="A93" s="9"/>
      <c r="B93" s="9"/>
      <c r="C93" s="9"/>
      <c r="D93" s="9"/>
      <c r="E93" s="9"/>
      <c r="F93" s="10"/>
      <c r="G93" s="9"/>
      <c r="H93" s="9"/>
      <c r="I93" s="10"/>
    </row>
    <row r="94" spans="1:9" ht="13.8" x14ac:dyDescent="0.3">
      <c r="A94" s="9"/>
      <c r="B94" s="9"/>
      <c r="C94" s="9"/>
      <c r="D94" s="9"/>
      <c r="E94" s="9"/>
      <c r="F94" s="10"/>
      <c r="G94" s="9"/>
      <c r="H94" s="9"/>
      <c r="I94" s="10"/>
    </row>
    <row r="95" spans="1:9" ht="13.8" x14ac:dyDescent="0.3">
      <c r="A95" s="9"/>
      <c r="B95" s="9"/>
      <c r="C95" s="9"/>
      <c r="D95" s="9"/>
      <c r="E95" s="9"/>
      <c r="F95" s="10"/>
      <c r="G95" s="9"/>
      <c r="H95" s="9"/>
      <c r="I95" s="10"/>
    </row>
    <row r="96" spans="1:9" ht="13.8" x14ac:dyDescent="0.3">
      <c r="A96" s="9"/>
      <c r="B96" s="9"/>
      <c r="C96" s="9"/>
      <c r="D96" s="9"/>
      <c r="E96" s="9"/>
      <c r="F96" s="10"/>
      <c r="G96" s="9"/>
      <c r="H96" s="9"/>
      <c r="I96" s="10"/>
    </row>
    <row r="97" spans="1:9" ht="13.8" x14ac:dyDescent="0.3">
      <c r="A97" s="9"/>
      <c r="B97" s="9"/>
      <c r="C97" s="9"/>
      <c r="D97" s="9"/>
      <c r="E97" s="9"/>
      <c r="F97" s="10"/>
      <c r="G97" s="9"/>
      <c r="H97" s="9"/>
      <c r="I97" s="10"/>
    </row>
    <row r="98" spans="1:9" ht="13.8" x14ac:dyDescent="0.3">
      <c r="A98" s="9"/>
      <c r="B98" s="9"/>
      <c r="C98" s="9"/>
      <c r="D98" s="9"/>
      <c r="E98" s="9"/>
      <c r="F98" s="10"/>
      <c r="G98" s="9"/>
      <c r="H98" s="9"/>
      <c r="I98" s="10"/>
    </row>
    <row r="99" spans="1:9" ht="13.8" x14ac:dyDescent="0.3">
      <c r="A99" s="9"/>
      <c r="B99" s="9"/>
      <c r="C99" s="9"/>
      <c r="D99" s="9"/>
      <c r="E99" s="9"/>
      <c r="F99" s="10"/>
      <c r="G99" s="9"/>
      <c r="H99" s="9"/>
      <c r="I99" s="10"/>
    </row>
    <row r="100" spans="1:9" ht="13.8" x14ac:dyDescent="0.3">
      <c r="A100" s="9"/>
      <c r="B100" s="9"/>
      <c r="C100" s="9"/>
      <c r="D100" s="9"/>
      <c r="E100" s="9"/>
      <c r="F100" s="10"/>
      <c r="G100" s="9"/>
      <c r="H100" s="9"/>
      <c r="I100" s="10"/>
    </row>
    <row r="101" spans="1:9" ht="13.8" x14ac:dyDescent="0.3">
      <c r="A101" s="9"/>
      <c r="B101" s="9"/>
      <c r="C101" s="9"/>
      <c r="D101" s="9"/>
      <c r="E101" s="9"/>
      <c r="F101" s="10"/>
      <c r="G101" s="9"/>
      <c r="H101" s="9"/>
      <c r="I101" s="10"/>
    </row>
    <row r="102" spans="1:9" ht="13.8" x14ac:dyDescent="0.3">
      <c r="A102" s="9"/>
      <c r="B102" s="9"/>
      <c r="C102" s="9"/>
      <c r="D102" s="9"/>
      <c r="E102" s="9"/>
      <c r="F102" s="10"/>
      <c r="G102" s="9"/>
      <c r="H102" s="9"/>
      <c r="I102" s="10"/>
    </row>
    <row r="103" spans="1:9" ht="13.8" x14ac:dyDescent="0.3">
      <c r="A103" s="9"/>
      <c r="B103" s="9"/>
      <c r="C103" s="9"/>
      <c r="D103" s="9"/>
      <c r="E103" s="9"/>
      <c r="F103" s="10"/>
      <c r="G103" s="9"/>
      <c r="H103" s="9"/>
      <c r="I103" s="10"/>
    </row>
    <row r="104" spans="1:9" ht="13.8" x14ac:dyDescent="0.3">
      <c r="A104" s="9"/>
      <c r="B104" s="9"/>
      <c r="C104" s="9"/>
      <c r="D104" s="9"/>
      <c r="E104" s="9"/>
      <c r="F104" s="10"/>
      <c r="G104" s="9"/>
      <c r="H104" s="9"/>
      <c r="I104" s="10"/>
    </row>
    <row r="105" spans="1:9" ht="13.8" x14ac:dyDescent="0.3">
      <c r="A105" s="9"/>
      <c r="B105" s="9"/>
      <c r="C105" s="9"/>
      <c r="D105" s="9"/>
      <c r="E105" s="9"/>
      <c r="F105" s="10"/>
      <c r="G105" s="9"/>
      <c r="H105" s="9"/>
      <c r="I105" s="10"/>
    </row>
    <row r="106" spans="1:9" ht="13.8" x14ac:dyDescent="0.3">
      <c r="A106" s="9"/>
      <c r="B106" s="9"/>
      <c r="C106" s="9"/>
      <c r="D106" s="9"/>
      <c r="E106" s="9"/>
      <c r="F106" s="10"/>
      <c r="G106" s="9"/>
      <c r="H106" s="9"/>
      <c r="I106" s="10"/>
    </row>
    <row r="107" spans="1:9" ht="13.8" x14ac:dyDescent="0.3">
      <c r="A107" s="9"/>
      <c r="B107" s="9"/>
      <c r="C107" s="9"/>
      <c r="D107" s="9"/>
      <c r="E107" s="9"/>
      <c r="F107" s="10"/>
      <c r="G107" s="9"/>
      <c r="H107" s="9"/>
      <c r="I107" s="10"/>
    </row>
    <row r="108" spans="1:9" ht="13.8" x14ac:dyDescent="0.3">
      <c r="A108" s="9"/>
      <c r="B108" s="9"/>
      <c r="C108" s="9"/>
      <c r="D108" s="9"/>
      <c r="E108" s="9"/>
      <c r="F108" s="10"/>
      <c r="G108" s="9"/>
      <c r="H108" s="9"/>
      <c r="I108" s="10"/>
    </row>
    <row r="109" spans="1:9" ht="13.8" x14ac:dyDescent="0.3">
      <c r="A109" s="9"/>
      <c r="B109" s="9"/>
      <c r="C109" s="9"/>
      <c r="D109" s="9"/>
      <c r="E109" s="9"/>
      <c r="F109" s="10"/>
      <c r="G109" s="9"/>
      <c r="H109" s="9"/>
      <c r="I109" s="10"/>
    </row>
    <row r="110" spans="1:9" ht="13.8" x14ac:dyDescent="0.3">
      <c r="A110" s="9"/>
      <c r="B110" s="9"/>
      <c r="C110" s="9"/>
      <c r="D110" s="9"/>
      <c r="E110" s="9"/>
      <c r="F110" s="10"/>
      <c r="G110" s="9"/>
      <c r="H110" s="9"/>
      <c r="I110" s="10"/>
    </row>
    <row r="111" spans="1:9" ht="13.8" x14ac:dyDescent="0.3">
      <c r="A111" s="9"/>
      <c r="B111" s="9"/>
      <c r="C111" s="9"/>
      <c r="D111" s="9"/>
      <c r="E111" s="9"/>
      <c r="F111" s="10"/>
      <c r="G111" s="9"/>
      <c r="H111" s="9"/>
      <c r="I111" s="10"/>
    </row>
    <row r="112" spans="1:9" ht="13.8" x14ac:dyDescent="0.3">
      <c r="A112" s="9"/>
      <c r="B112" s="9"/>
      <c r="C112" s="9"/>
      <c r="D112" s="9"/>
      <c r="E112" s="9"/>
      <c r="F112" s="10"/>
      <c r="G112" s="9"/>
      <c r="H112" s="9"/>
      <c r="I112" s="10"/>
    </row>
    <row r="113" spans="1:9" ht="13.8" x14ac:dyDescent="0.3">
      <c r="A113" s="9"/>
      <c r="B113" s="9"/>
      <c r="C113" s="9"/>
      <c r="D113" s="9"/>
      <c r="E113" s="9"/>
      <c r="F113" s="10"/>
      <c r="G113" s="9"/>
      <c r="H113" s="9"/>
      <c r="I113" s="10"/>
    </row>
    <row r="114" spans="1:9" ht="13.8" x14ac:dyDescent="0.3">
      <c r="A114" s="9"/>
      <c r="B114" s="9"/>
      <c r="C114" s="9"/>
      <c r="D114" s="9"/>
      <c r="E114" s="9"/>
      <c r="F114" s="10"/>
      <c r="G114" s="9"/>
      <c r="H114" s="9"/>
      <c r="I114" s="10"/>
    </row>
    <row r="115" spans="1:9" ht="13.8" x14ac:dyDescent="0.3">
      <c r="A115" s="9"/>
      <c r="B115" s="9"/>
      <c r="C115" s="9"/>
      <c r="D115" s="9"/>
      <c r="E115" s="9"/>
      <c r="F115" s="10"/>
      <c r="G115" s="9"/>
      <c r="H115" s="9"/>
      <c r="I115" s="10"/>
    </row>
    <row r="116" spans="1:9" ht="13.8" x14ac:dyDescent="0.3">
      <c r="A116" s="9"/>
      <c r="B116" s="9"/>
      <c r="C116" s="9"/>
      <c r="D116" s="9"/>
      <c r="E116" s="9"/>
      <c r="F116" s="10"/>
      <c r="G116" s="9"/>
      <c r="H116" s="9"/>
      <c r="I116" s="10"/>
    </row>
    <row r="117" spans="1:9" ht="13.8" x14ac:dyDescent="0.3">
      <c r="A117" s="9"/>
      <c r="B117" s="9"/>
      <c r="C117" s="9"/>
      <c r="D117" s="9"/>
      <c r="E117" s="9"/>
      <c r="F117" s="10"/>
      <c r="G117" s="9"/>
      <c r="H117" s="9"/>
      <c r="I117" s="10"/>
    </row>
    <row r="118" spans="1:9" ht="13.8" x14ac:dyDescent="0.3">
      <c r="A118" s="9"/>
      <c r="B118" s="9"/>
      <c r="C118" s="9"/>
      <c r="D118" s="9"/>
      <c r="E118" s="9"/>
      <c r="F118" s="10"/>
      <c r="G118" s="9"/>
      <c r="H118" s="9"/>
      <c r="I118" s="10"/>
    </row>
    <row r="119" spans="1:9" ht="13.8" x14ac:dyDescent="0.3">
      <c r="A119" s="9"/>
      <c r="B119" s="9"/>
      <c r="C119" s="9"/>
      <c r="D119" s="9"/>
      <c r="E119" s="9"/>
      <c r="F119" s="10"/>
      <c r="G119" s="9"/>
      <c r="H119" s="9"/>
      <c r="I119" s="10"/>
    </row>
    <row r="120" spans="1:9" ht="13.8" x14ac:dyDescent="0.3">
      <c r="A120" s="9"/>
      <c r="B120" s="9"/>
      <c r="C120" s="9"/>
      <c r="D120" s="9"/>
      <c r="E120" s="9"/>
      <c r="F120" s="10"/>
      <c r="G120" s="9"/>
      <c r="H120" s="9"/>
      <c r="I120" s="10"/>
    </row>
    <row r="121" spans="1:9" ht="13.8" x14ac:dyDescent="0.3">
      <c r="A121" s="9"/>
      <c r="B121" s="9"/>
      <c r="C121" s="9"/>
      <c r="D121" s="9"/>
      <c r="E121" s="9"/>
      <c r="F121" s="10"/>
      <c r="G121" s="9"/>
      <c r="H121" s="9"/>
      <c r="I121" s="10"/>
    </row>
    <row r="122" spans="1:9" ht="13.8" x14ac:dyDescent="0.3">
      <c r="A122" s="9"/>
      <c r="B122" s="9"/>
      <c r="C122" s="9"/>
      <c r="D122" s="9"/>
      <c r="E122" s="9"/>
      <c r="F122" s="10"/>
      <c r="G122" s="9"/>
      <c r="H122" s="9"/>
      <c r="I122" s="10"/>
    </row>
    <row r="123" spans="1:9" ht="13.8" x14ac:dyDescent="0.3">
      <c r="A123" s="9"/>
      <c r="B123" s="9"/>
      <c r="C123" s="9"/>
      <c r="D123" s="9"/>
      <c r="E123" s="9"/>
      <c r="F123" s="10"/>
      <c r="G123" s="9"/>
      <c r="H123" s="9"/>
      <c r="I123" s="10"/>
    </row>
    <row r="124" spans="1:9" ht="13.8" x14ac:dyDescent="0.3">
      <c r="A124" s="9"/>
      <c r="B124" s="9"/>
      <c r="C124" s="9"/>
      <c r="D124" s="9"/>
      <c r="E124" s="9"/>
      <c r="F124" s="10"/>
      <c r="G124" s="9"/>
      <c r="H124" s="9"/>
      <c r="I124" s="10"/>
    </row>
    <row r="125" spans="1:9" ht="13.8" x14ac:dyDescent="0.3">
      <c r="A125" s="9"/>
      <c r="B125" s="9"/>
      <c r="C125" s="9"/>
      <c r="D125" s="9"/>
      <c r="E125" s="9"/>
      <c r="F125" s="10"/>
      <c r="G125" s="9"/>
      <c r="H125" s="9"/>
      <c r="I125" s="10"/>
    </row>
    <row r="126" spans="1:9" ht="13.8" x14ac:dyDescent="0.3">
      <c r="A126" s="9"/>
      <c r="B126" s="9"/>
      <c r="C126" s="9"/>
      <c r="D126" s="9"/>
      <c r="E126" s="9"/>
      <c r="F126" s="10"/>
      <c r="G126" s="9"/>
      <c r="H126" s="9"/>
      <c r="I126" s="10"/>
    </row>
    <row r="127" spans="1:9" ht="13.8" x14ac:dyDescent="0.3">
      <c r="A127" s="9"/>
      <c r="B127" s="9"/>
      <c r="C127" s="9"/>
      <c r="D127" s="9"/>
      <c r="E127" s="9"/>
      <c r="F127" s="10"/>
      <c r="G127" s="9"/>
      <c r="H127" s="9"/>
      <c r="I127" s="10"/>
    </row>
    <row r="128" spans="1:9" ht="13.8" x14ac:dyDescent="0.3">
      <c r="A128" s="9"/>
      <c r="B128" s="9"/>
      <c r="C128" s="9"/>
      <c r="D128" s="9"/>
      <c r="E128" s="9"/>
      <c r="F128" s="10"/>
      <c r="G128" s="9"/>
      <c r="H128" s="9"/>
      <c r="I128" s="10"/>
    </row>
    <row r="129" spans="1:9" ht="13.8" x14ac:dyDescent="0.3">
      <c r="A129" s="9"/>
      <c r="B129" s="9"/>
      <c r="C129" s="9"/>
      <c r="D129" s="9"/>
      <c r="E129" s="9"/>
      <c r="F129" s="10"/>
      <c r="G129" s="9"/>
      <c r="H129" s="9"/>
      <c r="I129" s="10"/>
    </row>
    <row r="130" spans="1:9" ht="13.8" x14ac:dyDescent="0.3">
      <c r="A130" s="9"/>
      <c r="B130" s="9"/>
      <c r="C130" s="9"/>
      <c r="D130" s="9"/>
      <c r="E130" s="9"/>
      <c r="F130" s="10"/>
      <c r="G130" s="9"/>
      <c r="H130" s="9"/>
      <c r="I130" s="10"/>
    </row>
    <row r="131" spans="1:9" ht="13.8" x14ac:dyDescent="0.3">
      <c r="A131" s="9"/>
      <c r="B131" s="9"/>
      <c r="C131" s="9"/>
      <c r="D131" s="9"/>
      <c r="E131" s="9"/>
      <c r="F131" s="10"/>
      <c r="G131" s="9"/>
      <c r="H131" s="9"/>
      <c r="I131" s="10"/>
    </row>
    <row r="132" spans="1:9" ht="13.8" x14ac:dyDescent="0.3">
      <c r="A132" s="9"/>
      <c r="B132" s="9"/>
      <c r="C132" s="9"/>
      <c r="D132" s="9"/>
      <c r="E132" s="9"/>
      <c r="F132" s="10"/>
      <c r="G132" s="9"/>
      <c r="H132" s="9"/>
      <c r="I132" s="10"/>
    </row>
    <row r="133" spans="1:9" ht="13.8" x14ac:dyDescent="0.3">
      <c r="A133" s="9"/>
      <c r="B133" s="9"/>
      <c r="C133" s="9"/>
      <c r="D133" s="9"/>
      <c r="E133" s="9"/>
      <c r="F133" s="10"/>
      <c r="G133" s="9"/>
      <c r="H133" s="9"/>
      <c r="I133" s="10"/>
    </row>
    <row r="134" spans="1:9" ht="13.8" x14ac:dyDescent="0.3">
      <c r="A134" s="9"/>
      <c r="B134" s="9"/>
      <c r="C134" s="9"/>
      <c r="D134" s="9"/>
      <c r="E134" s="9"/>
      <c r="F134" s="10"/>
      <c r="G134" s="9"/>
      <c r="H134" s="9"/>
      <c r="I134" s="10"/>
    </row>
    <row r="135" spans="1:9" ht="13.8" x14ac:dyDescent="0.3">
      <c r="A135" s="9"/>
      <c r="B135" s="9"/>
      <c r="C135" s="9"/>
      <c r="D135" s="9"/>
      <c r="E135" s="9"/>
      <c r="F135" s="10"/>
      <c r="G135" s="9"/>
      <c r="H135" s="9"/>
      <c r="I135" s="10"/>
    </row>
    <row r="136" spans="1:9" ht="13.8" x14ac:dyDescent="0.3">
      <c r="A136" s="9"/>
      <c r="B136" s="9"/>
      <c r="C136" s="9"/>
      <c r="D136" s="9"/>
      <c r="E136" s="9"/>
      <c r="F136" s="10"/>
      <c r="G136" s="9"/>
      <c r="H136" s="9"/>
      <c r="I136" s="10"/>
    </row>
    <row r="137" spans="1:9" ht="13.8" x14ac:dyDescent="0.3">
      <c r="A137" s="9"/>
      <c r="B137" s="9"/>
      <c r="C137" s="9"/>
      <c r="D137" s="9"/>
      <c r="E137" s="9"/>
      <c r="F137" s="10"/>
      <c r="G137" s="9"/>
      <c r="H137" s="9"/>
      <c r="I137" s="10"/>
    </row>
    <row r="138" spans="1:9" ht="13.8" x14ac:dyDescent="0.3">
      <c r="A138" s="9"/>
      <c r="B138" s="9"/>
      <c r="C138" s="9"/>
      <c r="D138" s="9"/>
      <c r="E138" s="9"/>
      <c r="F138" s="10"/>
      <c r="G138" s="9"/>
      <c r="H138" s="9"/>
      <c r="I138" s="10"/>
    </row>
    <row r="139" spans="1:9" ht="13.8" x14ac:dyDescent="0.3">
      <c r="A139" s="9"/>
      <c r="B139" s="9"/>
      <c r="C139" s="9"/>
      <c r="D139" s="9"/>
      <c r="E139" s="9"/>
      <c r="F139" s="10"/>
      <c r="G139" s="9"/>
      <c r="H139" s="9"/>
      <c r="I139" s="10"/>
    </row>
    <row r="140" spans="1:9" ht="13.8" x14ac:dyDescent="0.3">
      <c r="A140" s="9"/>
      <c r="B140" s="9"/>
      <c r="C140" s="9"/>
      <c r="D140" s="9"/>
      <c r="E140" s="9"/>
      <c r="F140" s="10"/>
      <c r="G140" s="9"/>
      <c r="H140" s="9"/>
      <c r="I140" s="10"/>
    </row>
    <row r="141" spans="1:9" ht="13.8" x14ac:dyDescent="0.3">
      <c r="A141" s="9"/>
      <c r="B141" s="9"/>
      <c r="C141" s="9"/>
      <c r="D141" s="9"/>
      <c r="E141" s="9"/>
      <c r="F141" s="10"/>
      <c r="G141" s="9"/>
      <c r="H141" s="9"/>
      <c r="I141" s="10"/>
    </row>
    <row r="142" spans="1:9" ht="13.8" x14ac:dyDescent="0.3">
      <c r="A142" s="9"/>
      <c r="B142" s="9"/>
      <c r="C142" s="9"/>
      <c r="D142" s="9"/>
      <c r="E142" s="9"/>
      <c r="F142" s="10"/>
      <c r="G142" s="9"/>
      <c r="H142" s="9"/>
      <c r="I142" s="10"/>
    </row>
    <row r="143" spans="1:9" ht="13.8" x14ac:dyDescent="0.3">
      <c r="A143" s="9"/>
      <c r="B143" s="9"/>
      <c r="C143" s="9"/>
      <c r="D143" s="9"/>
      <c r="E143" s="9"/>
      <c r="F143" s="10"/>
      <c r="G143" s="9"/>
      <c r="H143" s="9"/>
      <c r="I143" s="10"/>
    </row>
    <row r="144" spans="1:9" ht="13.8" x14ac:dyDescent="0.3">
      <c r="A144" s="9"/>
      <c r="B144" s="9"/>
      <c r="C144" s="9"/>
      <c r="D144" s="9"/>
      <c r="E144" s="9"/>
      <c r="F144" s="10"/>
      <c r="G144" s="9"/>
      <c r="H144" s="9"/>
      <c r="I144" s="10"/>
    </row>
    <row r="145" spans="1:9" ht="13.8" x14ac:dyDescent="0.3">
      <c r="A145" s="9"/>
      <c r="B145" s="9"/>
      <c r="C145" s="9"/>
      <c r="D145" s="9"/>
      <c r="E145" s="9"/>
      <c r="F145" s="10"/>
      <c r="G145" s="9"/>
      <c r="H145" s="9"/>
      <c r="I145" s="10"/>
    </row>
    <row r="146" spans="1:9" ht="13.8" x14ac:dyDescent="0.3">
      <c r="A146" s="9"/>
      <c r="B146" s="9"/>
      <c r="C146" s="9"/>
      <c r="D146" s="9"/>
      <c r="E146" s="9"/>
      <c r="F146" s="10"/>
      <c r="G146" s="9"/>
      <c r="H146" s="9"/>
      <c r="I146" s="10"/>
    </row>
    <row r="147" spans="1:9" ht="13.8" x14ac:dyDescent="0.3">
      <c r="A147" s="9"/>
      <c r="B147" s="9"/>
      <c r="C147" s="9"/>
      <c r="D147" s="9"/>
      <c r="E147" s="9"/>
      <c r="F147" s="10"/>
      <c r="G147" s="9"/>
      <c r="H147" s="9"/>
      <c r="I147" s="10"/>
    </row>
    <row r="148" spans="1:9" ht="13.8" x14ac:dyDescent="0.3">
      <c r="A148" s="9"/>
      <c r="B148" s="9"/>
      <c r="C148" s="9"/>
      <c r="D148" s="9"/>
      <c r="E148" s="9"/>
      <c r="F148" s="10"/>
      <c r="G148" s="9"/>
      <c r="H148" s="9"/>
      <c r="I148" s="10"/>
    </row>
    <row r="149" spans="1:9" ht="13.8" x14ac:dyDescent="0.3">
      <c r="A149" s="9"/>
      <c r="B149" s="9"/>
      <c r="C149" s="9"/>
      <c r="D149" s="9"/>
      <c r="E149" s="9"/>
      <c r="F149" s="10"/>
      <c r="G149" s="9"/>
      <c r="H149" s="9"/>
      <c r="I149" s="10"/>
    </row>
    <row r="150" spans="1:9" ht="13.8" x14ac:dyDescent="0.3">
      <c r="A150" s="9"/>
      <c r="B150" s="9"/>
      <c r="C150" s="9"/>
      <c r="D150" s="9"/>
      <c r="E150" s="9"/>
      <c r="F150" s="10"/>
      <c r="G150" s="9"/>
      <c r="H150" s="9"/>
      <c r="I150" s="10"/>
    </row>
    <row r="151" spans="1:9" ht="13.8" x14ac:dyDescent="0.3">
      <c r="A151" s="9"/>
      <c r="B151" s="9"/>
      <c r="C151" s="9"/>
      <c r="D151" s="9"/>
      <c r="E151" s="9"/>
      <c r="F151" s="10"/>
      <c r="G151" s="9"/>
      <c r="H151" s="9"/>
      <c r="I151" s="10"/>
    </row>
    <row r="152" spans="1:9" ht="13.8" x14ac:dyDescent="0.3">
      <c r="A152" s="9"/>
      <c r="B152" s="9"/>
      <c r="C152" s="9"/>
      <c r="D152" s="9"/>
      <c r="E152" s="9"/>
      <c r="F152" s="10"/>
      <c r="G152" s="9"/>
      <c r="H152" s="9"/>
      <c r="I152" s="10"/>
    </row>
    <row r="153" spans="1:9" ht="13.8" x14ac:dyDescent="0.3">
      <c r="A153" s="9"/>
      <c r="B153" s="9"/>
      <c r="C153" s="9"/>
      <c r="D153" s="9"/>
      <c r="E153" s="9"/>
      <c r="F153" s="10"/>
      <c r="G153" s="9"/>
      <c r="H153" s="9"/>
      <c r="I153" s="10"/>
    </row>
    <row r="154" spans="1:9" ht="13.8" x14ac:dyDescent="0.3">
      <c r="A154" s="9"/>
      <c r="B154" s="9"/>
      <c r="C154" s="9"/>
      <c r="D154" s="9"/>
      <c r="E154" s="9"/>
      <c r="F154" s="10"/>
      <c r="G154" s="9"/>
      <c r="H154" s="9"/>
      <c r="I154" s="10"/>
    </row>
    <row r="155" spans="1:9" ht="13.8" x14ac:dyDescent="0.3">
      <c r="A155" s="9"/>
      <c r="B155" s="9"/>
      <c r="C155" s="9"/>
      <c r="D155" s="9"/>
      <c r="E155" s="9"/>
      <c r="F155" s="10"/>
      <c r="G155" s="9"/>
      <c r="H155" s="9"/>
      <c r="I155" s="10"/>
    </row>
    <row r="156" spans="1:9" ht="13.8" x14ac:dyDescent="0.3">
      <c r="A156" s="9"/>
      <c r="B156" s="9"/>
      <c r="C156" s="9"/>
      <c r="D156" s="9"/>
      <c r="E156" s="9"/>
      <c r="F156" s="10"/>
      <c r="G156" s="9"/>
      <c r="H156" s="9"/>
      <c r="I156" s="10"/>
    </row>
    <row r="157" spans="1:9" ht="13.8" x14ac:dyDescent="0.3">
      <c r="A157" s="9"/>
      <c r="B157" s="9"/>
      <c r="C157" s="9"/>
      <c r="D157" s="9"/>
      <c r="E157" s="9"/>
      <c r="F157" s="10"/>
      <c r="G157" s="9"/>
      <c r="H157" s="9"/>
      <c r="I157" s="10"/>
    </row>
    <row r="158" spans="1:9" ht="13.8" x14ac:dyDescent="0.3">
      <c r="A158" s="9"/>
      <c r="B158" s="9"/>
      <c r="C158" s="9"/>
      <c r="D158" s="9"/>
      <c r="E158" s="9"/>
      <c r="F158" s="10"/>
      <c r="G158" s="9"/>
      <c r="H158" s="9"/>
      <c r="I158" s="10"/>
    </row>
    <row r="159" spans="1:9" ht="13.8" x14ac:dyDescent="0.3">
      <c r="A159" s="9"/>
      <c r="B159" s="9"/>
      <c r="C159" s="9"/>
      <c r="D159" s="9"/>
      <c r="E159" s="9"/>
      <c r="F159" s="10"/>
      <c r="G159" s="9"/>
      <c r="H159" s="9"/>
      <c r="I159" s="10"/>
    </row>
    <row r="160" spans="1:9" ht="13.8" x14ac:dyDescent="0.3">
      <c r="A160" s="9"/>
      <c r="B160" s="9"/>
      <c r="C160" s="9"/>
      <c r="D160" s="9"/>
      <c r="E160" s="9"/>
      <c r="F160" s="10"/>
      <c r="G160" s="9"/>
      <c r="H160" s="9"/>
      <c r="I160" s="10"/>
    </row>
    <row r="161" spans="1:9" ht="13.8" x14ac:dyDescent="0.3">
      <c r="A161" s="9"/>
      <c r="B161" s="9"/>
      <c r="C161" s="9"/>
      <c r="D161" s="9"/>
      <c r="E161" s="9"/>
      <c r="F161" s="10"/>
      <c r="G161" s="9"/>
      <c r="H161" s="9"/>
      <c r="I161" s="10"/>
    </row>
    <row r="162" spans="1:9" ht="13.8" x14ac:dyDescent="0.3">
      <c r="A162" s="9"/>
      <c r="B162" s="9"/>
      <c r="C162" s="9"/>
      <c r="D162" s="9"/>
      <c r="E162" s="9"/>
      <c r="F162" s="10"/>
      <c r="G162" s="9"/>
      <c r="H162" s="9"/>
      <c r="I162" s="10"/>
    </row>
    <row r="163" spans="1:9" ht="13.8" x14ac:dyDescent="0.3">
      <c r="A163" s="9"/>
      <c r="B163" s="9"/>
      <c r="C163" s="9"/>
      <c r="D163" s="9"/>
      <c r="E163" s="9"/>
      <c r="F163" s="10"/>
      <c r="G163" s="9"/>
      <c r="H163" s="9"/>
      <c r="I163" s="10"/>
    </row>
    <row r="164" spans="1:9" ht="13.8" x14ac:dyDescent="0.3">
      <c r="A164" s="9"/>
      <c r="B164" s="9"/>
      <c r="C164" s="9"/>
      <c r="D164" s="9"/>
      <c r="E164" s="9"/>
      <c r="F164" s="10"/>
      <c r="G164" s="9"/>
      <c r="H164" s="9"/>
      <c r="I164" s="10"/>
    </row>
    <row r="165" spans="1:9" ht="13.8" x14ac:dyDescent="0.3">
      <c r="A165" s="9"/>
      <c r="B165" s="9"/>
      <c r="C165" s="9"/>
      <c r="D165" s="9"/>
      <c r="E165" s="9"/>
      <c r="F165" s="10"/>
      <c r="G165" s="9"/>
      <c r="H165" s="9"/>
      <c r="I165" s="10"/>
    </row>
    <row r="166" spans="1:9" ht="13.8" x14ac:dyDescent="0.3">
      <c r="A166" s="9"/>
      <c r="B166" s="9"/>
      <c r="C166" s="9"/>
      <c r="D166" s="9"/>
      <c r="E166" s="9"/>
      <c r="F166" s="10"/>
      <c r="G166" s="9"/>
      <c r="H166" s="9"/>
      <c r="I166" s="10"/>
    </row>
    <row r="167" spans="1:9" ht="13.8" x14ac:dyDescent="0.3">
      <c r="A167" s="9"/>
      <c r="B167" s="9"/>
      <c r="C167" s="9"/>
      <c r="D167" s="9"/>
      <c r="E167" s="9"/>
      <c r="F167" s="10"/>
      <c r="G167" s="9"/>
      <c r="H167" s="9"/>
      <c r="I167" s="10"/>
    </row>
    <row r="168" spans="1:9" ht="13.8" x14ac:dyDescent="0.3">
      <c r="A168" s="9"/>
      <c r="B168" s="9"/>
      <c r="C168" s="9"/>
      <c r="D168" s="9"/>
      <c r="E168" s="9"/>
      <c r="F168" s="10"/>
      <c r="G168" s="9"/>
      <c r="H168" s="9"/>
      <c r="I168" s="10"/>
    </row>
    <row r="169" spans="1:9" ht="13.8" x14ac:dyDescent="0.3">
      <c r="A169" s="9"/>
      <c r="B169" s="9"/>
      <c r="C169" s="9"/>
      <c r="D169" s="9"/>
      <c r="E169" s="9"/>
      <c r="F169" s="10"/>
      <c r="G169" s="9"/>
      <c r="H169" s="9"/>
      <c r="I169" s="10"/>
    </row>
    <row r="170" spans="1:9" ht="13.8" x14ac:dyDescent="0.3">
      <c r="A170" s="9"/>
      <c r="B170" s="9"/>
      <c r="C170" s="9"/>
      <c r="D170" s="9"/>
      <c r="E170" s="9"/>
      <c r="F170" s="10"/>
      <c r="G170" s="9"/>
      <c r="H170" s="9"/>
      <c r="I170" s="10"/>
    </row>
    <row r="171" spans="1:9" ht="13.8" x14ac:dyDescent="0.3">
      <c r="A171" s="9"/>
      <c r="B171" s="9"/>
      <c r="C171" s="9"/>
      <c r="D171" s="9"/>
      <c r="E171" s="9"/>
      <c r="F171" s="10"/>
      <c r="G171" s="9"/>
      <c r="H171" s="9"/>
      <c r="I171" s="10"/>
    </row>
    <row r="172" spans="1:9" ht="13.8" x14ac:dyDescent="0.3">
      <c r="A172" s="9"/>
      <c r="B172" s="9"/>
      <c r="C172" s="9"/>
      <c r="D172" s="9"/>
      <c r="E172" s="9"/>
      <c r="F172" s="10"/>
      <c r="G172" s="9"/>
      <c r="H172" s="9"/>
      <c r="I172" s="10"/>
    </row>
    <row r="173" spans="1:9" ht="13.8" x14ac:dyDescent="0.3">
      <c r="A173" s="9"/>
      <c r="B173" s="9"/>
      <c r="C173" s="9"/>
      <c r="D173" s="9"/>
      <c r="E173" s="9"/>
      <c r="F173" s="10"/>
      <c r="G173" s="9"/>
      <c r="H173" s="9"/>
      <c r="I173" s="10"/>
    </row>
    <row r="174" spans="1:9" ht="13.8" x14ac:dyDescent="0.3">
      <c r="A174" s="9"/>
      <c r="B174" s="9"/>
      <c r="C174" s="9"/>
      <c r="D174" s="9"/>
      <c r="E174" s="9"/>
      <c r="F174" s="10"/>
      <c r="G174" s="9"/>
      <c r="H174" s="9"/>
      <c r="I174" s="10"/>
    </row>
    <row r="175" spans="1:9" ht="13.8" x14ac:dyDescent="0.3">
      <c r="A175" s="9"/>
      <c r="B175" s="9"/>
      <c r="C175" s="9"/>
      <c r="D175" s="9"/>
      <c r="E175" s="9"/>
      <c r="F175" s="10"/>
      <c r="G175" s="9"/>
      <c r="H175" s="9"/>
      <c r="I175" s="10"/>
    </row>
    <row r="176" spans="1:9" ht="13.8" x14ac:dyDescent="0.3">
      <c r="A176" s="9"/>
      <c r="B176" s="9"/>
      <c r="C176" s="9"/>
      <c r="D176" s="9"/>
      <c r="E176" s="9"/>
      <c r="F176" s="10"/>
      <c r="G176" s="9"/>
      <c r="H176" s="9"/>
      <c r="I176" s="10"/>
    </row>
    <row r="177" spans="1:9" ht="13.8" x14ac:dyDescent="0.3">
      <c r="A177" s="9"/>
      <c r="B177" s="9"/>
      <c r="C177" s="9"/>
      <c r="D177" s="9"/>
      <c r="E177" s="9"/>
      <c r="F177" s="10"/>
      <c r="G177" s="9"/>
      <c r="H177" s="9"/>
      <c r="I177" s="10"/>
    </row>
    <row r="178" spans="1:9" ht="13.8" x14ac:dyDescent="0.3">
      <c r="A178" s="9"/>
      <c r="B178" s="9"/>
      <c r="C178" s="9"/>
      <c r="D178" s="9"/>
      <c r="E178" s="9"/>
      <c r="F178" s="10"/>
      <c r="G178" s="9"/>
      <c r="H178" s="9"/>
      <c r="I178" s="10"/>
    </row>
    <row r="179" spans="1:9" ht="13.8" x14ac:dyDescent="0.3">
      <c r="A179" s="9"/>
      <c r="B179" s="9"/>
      <c r="C179" s="9"/>
      <c r="D179" s="9"/>
      <c r="E179" s="9"/>
      <c r="F179" s="10"/>
      <c r="G179" s="9"/>
      <c r="H179" s="9"/>
      <c r="I179" s="10"/>
    </row>
    <row r="180" spans="1:9" ht="13.8" x14ac:dyDescent="0.3">
      <c r="A180" s="9"/>
      <c r="B180" s="9"/>
      <c r="C180" s="9"/>
      <c r="D180" s="9"/>
      <c r="E180" s="9"/>
      <c r="F180" s="10"/>
      <c r="G180" s="9"/>
      <c r="H180" s="9"/>
      <c r="I180" s="10"/>
    </row>
    <row r="181" spans="1:9" ht="13.8" x14ac:dyDescent="0.3">
      <c r="A181" s="9"/>
      <c r="B181" s="9"/>
      <c r="C181" s="9"/>
      <c r="D181" s="9"/>
      <c r="E181" s="9"/>
      <c r="F181" s="10"/>
      <c r="G181" s="9"/>
      <c r="H181" s="9"/>
      <c r="I181" s="10"/>
    </row>
    <row r="182" spans="1:9" ht="13.8" x14ac:dyDescent="0.3">
      <c r="A182" s="9"/>
      <c r="B182" s="9"/>
      <c r="C182" s="9"/>
      <c r="D182" s="9"/>
      <c r="E182" s="9"/>
      <c r="F182" s="10"/>
      <c r="G182" s="9"/>
      <c r="H182" s="9"/>
      <c r="I182" s="10"/>
    </row>
    <row r="183" spans="1:9" ht="13.8" x14ac:dyDescent="0.3">
      <c r="A183" s="9"/>
      <c r="B183" s="9"/>
      <c r="C183" s="9"/>
      <c r="D183" s="9"/>
      <c r="E183" s="9"/>
      <c r="F183" s="10"/>
      <c r="G183" s="9"/>
      <c r="H183" s="9"/>
      <c r="I183" s="10"/>
    </row>
    <row r="184" spans="1:9" ht="13.8" x14ac:dyDescent="0.3">
      <c r="A184" s="9"/>
      <c r="B184" s="9"/>
      <c r="C184" s="9"/>
      <c r="D184" s="9"/>
      <c r="E184" s="9"/>
      <c r="F184" s="10"/>
      <c r="G184" s="9"/>
      <c r="H184" s="9"/>
      <c r="I184" s="10"/>
    </row>
    <row r="185" spans="1:9" ht="13.8" x14ac:dyDescent="0.3">
      <c r="A185" s="9"/>
      <c r="B185" s="9"/>
      <c r="C185" s="9"/>
      <c r="D185" s="9"/>
      <c r="E185" s="9"/>
      <c r="F185" s="10"/>
      <c r="G185" s="9"/>
      <c r="H185" s="9"/>
      <c r="I185" s="10"/>
    </row>
    <row r="186" spans="1:9" ht="13.8" x14ac:dyDescent="0.3">
      <c r="A186" s="9"/>
      <c r="B186" s="9"/>
      <c r="C186" s="9"/>
      <c r="D186" s="9"/>
      <c r="E186" s="9"/>
      <c r="F186" s="10"/>
      <c r="G186" s="9"/>
      <c r="H186" s="9"/>
      <c r="I186" s="10"/>
    </row>
    <row r="187" spans="1:9" ht="13.8" x14ac:dyDescent="0.3">
      <c r="A187" s="9"/>
      <c r="B187" s="9"/>
      <c r="C187" s="9"/>
      <c r="D187" s="9"/>
      <c r="E187" s="9"/>
      <c r="F187" s="10"/>
      <c r="G187" s="9"/>
      <c r="H187" s="9"/>
      <c r="I187" s="10"/>
    </row>
    <row r="188" spans="1:9" ht="13.8" x14ac:dyDescent="0.3">
      <c r="A188" s="9"/>
      <c r="B188" s="9"/>
      <c r="C188" s="9"/>
      <c r="D188" s="9"/>
      <c r="E188" s="9"/>
      <c r="F188" s="10"/>
      <c r="G188" s="9"/>
      <c r="H188" s="9"/>
      <c r="I188" s="10"/>
    </row>
    <row r="189" spans="1:9" ht="13.8" x14ac:dyDescent="0.3">
      <c r="A189" s="9"/>
      <c r="B189" s="9"/>
      <c r="C189" s="9"/>
      <c r="D189" s="9"/>
      <c r="E189" s="9"/>
      <c r="F189" s="10"/>
      <c r="G189" s="9"/>
      <c r="H189" s="9"/>
      <c r="I189" s="10"/>
    </row>
    <row r="190" spans="1:9" ht="13.8" x14ac:dyDescent="0.3">
      <c r="A190" s="9"/>
      <c r="B190" s="9"/>
      <c r="C190" s="9"/>
      <c r="D190" s="9"/>
      <c r="E190" s="9"/>
      <c r="F190" s="10"/>
      <c r="G190" s="9"/>
      <c r="H190" s="9"/>
      <c r="I190" s="10"/>
    </row>
    <row r="191" spans="1:9" ht="13.8" x14ac:dyDescent="0.3">
      <c r="A191" s="9"/>
      <c r="B191" s="9"/>
      <c r="C191" s="9"/>
      <c r="D191" s="9"/>
      <c r="E191" s="9"/>
      <c r="F191" s="10"/>
      <c r="G191" s="9"/>
      <c r="H191" s="9"/>
      <c r="I191" s="10"/>
    </row>
    <row r="192" spans="1:9" ht="13.8" x14ac:dyDescent="0.3">
      <c r="A192" s="9"/>
      <c r="B192" s="9"/>
      <c r="C192" s="9"/>
      <c r="D192" s="9"/>
      <c r="E192" s="9"/>
      <c r="F192" s="10"/>
      <c r="G192" s="9"/>
      <c r="H192" s="9"/>
      <c r="I192" s="10"/>
    </row>
    <row r="193" spans="1:9" ht="13.8" x14ac:dyDescent="0.3">
      <c r="A193" s="9"/>
      <c r="B193" s="9"/>
      <c r="C193" s="9"/>
      <c r="D193" s="9"/>
      <c r="E193" s="9"/>
      <c r="F193" s="10"/>
      <c r="G193" s="9"/>
      <c r="H193" s="9"/>
      <c r="I193" s="10"/>
    </row>
    <row r="194" spans="1:9" ht="13.8" x14ac:dyDescent="0.3">
      <c r="A194" s="9"/>
      <c r="B194" s="9"/>
      <c r="C194" s="9"/>
      <c r="D194" s="9"/>
      <c r="E194" s="9"/>
      <c r="F194" s="10"/>
      <c r="G194" s="9"/>
      <c r="H194" s="9"/>
      <c r="I194" s="10"/>
    </row>
    <row r="195" spans="1:9" ht="13.8" x14ac:dyDescent="0.3">
      <c r="A195" s="9"/>
      <c r="B195" s="9"/>
      <c r="C195" s="9"/>
      <c r="D195" s="9"/>
      <c r="E195" s="9"/>
      <c r="F195" s="10"/>
      <c r="G195" s="9"/>
      <c r="H195" s="9"/>
      <c r="I195" s="10"/>
    </row>
    <row r="196" spans="1:9" ht="13.8" x14ac:dyDescent="0.3">
      <c r="A196" s="9"/>
      <c r="B196" s="9"/>
      <c r="C196" s="9"/>
      <c r="D196" s="9"/>
      <c r="E196" s="9"/>
      <c r="F196" s="10"/>
      <c r="G196" s="9"/>
      <c r="H196" s="9"/>
      <c r="I196" s="10"/>
    </row>
    <row r="197" spans="1:9" ht="13.8" x14ac:dyDescent="0.3">
      <c r="A197" s="9"/>
      <c r="B197" s="9"/>
      <c r="C197" s="9"/>
      <c r="D197" s="9"/>
      <c r="E197" s="9"/>
      <c r="F197" s="10"/>
      <c r="G197" s="9"/>
      <c r="H197" s="9"/>
      <c r="I197" s="10"/>
    </row>
    <row r="198" spans="1:9" ht="13.8" x14ac:dyDescent="0.3">
      <c r="A198" s="9"/>
      <c r="B198" s="9"/>
      <c r="C198" s="9"/>
      <c r="D198" s="9"/>
      <c r="E198" s="9"/>
      <c r="F198" s="10"/>
      <c r="G198" s="9"/>
      <c r="H198" s="9"/>
      <c r="I198" s="10"/>
    </row>
    <row r="199" spans="1:9" ht="13.8" x14ac:dyDescent="0.3">
      <c r="A199" s="9"/>
      <c r="B199" s="9"/>
      <c r="C199" s="9"/>
      <c r="D199" s="9"/>
      <c r="E199" s="9"/>
      <c r="F199" s="10"/>
      <c r="G199" s="9"/>
      <c r="H199" s="9"/>
      <c r="I199" s="10"/>
    </row>
    <row r="200" spans="1:9" ht="13.8" x14ac:dyDescent="0.3">
      <c r="A200" s="9"/>
      <c r="B200" s="9"/>
      <c r="C200" s="9"/>
      <c r="D200" s="9"/>
      <c r="E200" s="9"/>
      <c r="F200" s="10"/>
      <c r="G200" s="9"/>
      <c r="H200" s="9"/>
      <c r="I200" s="10"/>
    </row>
    <row r="201" spans="1:9" ht="13.8" x14ac:dyDescent="0.3">
      <c r="A201" s="9"/>
      <c r="B201" s="9"/>
      <c r="C201" s="9"/>
      <c r="D201" s="9"/>
      <c r="E201" s="9"/>
      <c r="F201" s="10"/>
      <c r="G201" s="9"/>
      <c r="H201" s="9"/>
      <c r="I201" s="10"/>
    </row>
    <row r="202" spans="1:9" ht="13.8" x14ac:dyDescent="0.3">
      <c r="A202" s="9"/>
      <c r="B202" s="9"/>
      <c r="C202" s="9"/>
      <c r="D202" s="9"/>
      <c r="E202" s="9"/>
      <c r="F202" s="10"/>
      <c r="G202" s="9"/>
      <c r="H202" s="9"/>
      <c r="I202" s="10"/>
    </row>
    <row r="203" spans="1:9" ht="13.8" x14ac:dyDescent="0.3">
      <c r="A203" s="9"/>
      <c r="B203" s="9"/>
      <c r="C203" s="9"/>
      <c r="D203" s="9"/>
      <c r="E203" s="9"/>
      <c r="F203" s="10"/>
      <c r="G203" s="9"/>
      <c r="H203" s="9"/>
      <c r="I203" s="10"/>
    </row>
    <row r="204" spans="1:9" ht="13.8" x14ac:dyDescent="0.3">
      <c r="A204" s="9"/>
      <c r="B204" s="9"/>
      <c r="C204" s="9"/>
      <c r="D204" s="9"/>
      <c r="E204" s="9"/>
      <c r="F204" s="10"/>
      <c r="G204" s="9"/>
      <c r="H204" s="9"/>
      <c r="I204" s="10"/>
    </row>
    <row r="205" spans="1:9" ht="13.8" x14ac:dyDescent="0.3">
      <c r="A205" s="9"/>
      <c r="B205" s="9"/>
      <c r="C205" s="9"/>
      <c r="D205" s="9"/>
      <c r="E205" s="9"/>
      <c r="F205" s="10"/>
      <c r="G205" s="9"/>
      <c r="H205" s="9"/>
      <c r="I205" s="10"/>
    </row>
    <row r="206" spans="1:9" ht="13.8" x14ac:dyDescent="0.3">
      <c r="A206" s="9"/>
      <c r="B206" s="9"/>
      <c r="C206" s="9"/>
      <c r="D206" s="9"/>
      <c r="E206" s="9"/>
      <c r="F206" s="10"/>
      <c r="G206" s="9"/>
      <c r="H206" s="9"/>
      <c r="I206" s="10"/>
    </row>
    <row r="207" spans="1:9" ht="13.8" x14ac:dyDescent="0.3">
      <c r="A207" s="9"/>
      <c r="B207" s="9"/>
      <c r="C207" s="9"/>
      <c r="D207" s="9"/>
      <c r="E207" s="9"/>
      <c r="F207" s="10"/>
      <c r="G207" s="9"/>
      <c r="H207" s="9"/>
      <c r="I207" s="10"/>
    </row>
    <row r="208" spans="1:9" ht="13.8" x14ac:dyDescent="0.3">
      <c r="A208" s="9"/>
      <c r="B208" s="9"/>
      <c r="C208" s="9"/>
      <c r="D208" s="9"/>
      <c r="E208" s="9"/>
      <c r="F208" s="10"/>
      <c r="G208" s="9"/>
      <c r="H208" s="9"/>
      <c r="I208" s="10"/>
    </row>
    <row r="209" spans="1:9" ht="13.8" x14ac:dyDescent="0.3">
      <c r="A209" s="9"/>
      <c r="B209" s="9"/>
      <c r="C209" s="9"/>
      <c r="D209" s="9"/>
      <c r="E209" s="9"/>
      <c r="F209" s="10"/>
      <c r="G209" s="9"/>
      <c r="H209" s="9"/>
      <c r="I209" s="10"/>
    </row>
    <row r="210" spans="1:9" ht="13.8" x14ac:dyDescent="0.3">
      <c r="A210" s="9"/>
      <c r="B210" s="9"/>
      <c r="C210" s="9"/>
      <c r="D210" s="9"/>
      <c r="E210" s="9"/>
      <c r="F210" s="10"/>
      <c r="G210" s="9"/>
      <c r="H210" s="9"/>
      <c r="I210" s="10"/>
    </row>
    <row r="211" spans="1:9" ht="13.8" x14ac:dyDescent="0.3">
      <c r="A211" s="9"/>
      <c r="B211" s="9"/>
      <c r="C211" s="9"/>
      <c r="D211" s="9"/>
      <c r="E211" s="9"/>
      <c r="F211" s="10"/>
      <c r="G211" s="9"/>
      <c r="H211" s="9"/>
      <c r="I211" s="10"/>
    </row>
    <row r="212" spans="1:9" ht="13.8" x14ac:dyDescent="0.3">
      <c r="A212" s="9"/>
      <c r="B212" s="9"/>
      <c r="C212" s="9"/>
      <c r="D212" s="9"/>
      <c r="E212" s="9"/>
      <c r="F212" s="10"/>
      <c r="G212" s="9"/>
      <c r="H212" s="9"/>
      <c r="I212" s="10"/>
    </row>
    <row r="213" spans="1:9" ht="13.8" x14ac:dyDescent="0.3">
      <c r="A213" s="9"/>
      <c r="B213" s="9"/>
      <c r="C213" s="9"/>
      <c r="D213" s="9"/>
      <c r="E213" s="9"/>
      <c r="F213" s="10"/>
      <c r="G213" s="9"/>
      <c r="H213" s="9"/>
      <c r="I213" s="10"/>
    </row>
    <row r="214" spans="1:9" ht="13.8" x14ac:dyDescent="0.3">
      <c r="A214" s="9"/>
      <c r="B214" s="9"/>
      <c r="C214" s="9"/>
      <c r="D214" s="9"/>
      <c r="E214" s="9"/>
      <c r="F214" s="10"/>
      <c r="G214" s="9"/>
      <c r="H214" s="9"/>
      <c r="I214" s="10"/>
    </row>
    <row r="215" spans="1:9" ht="13.8" x14ac:dyDescent="0.3">
      <c r="A215" s="9"/>
      <c r="B215" s="9"/>
      <c r="C215" s="9"/>
      <c r="D215" s="9"/>
      <c r="E215" s="9"/>
      <c r="F215" s="10"/>
      <c r="G215" s="9"/>
      <c r="H215" s="9"/>
      <c r="I215" s="10"/>
    </row>
    <row r="216" spans="1:9" ht="13.8" x14ac:dyDescent="0.3">
      <c r="A216" s="9"/>
      <c r="B216" s="9"/>
      <c r="C216" s="9"/>
      <c r="D216" s="9"/>
      <c r="E216" s="9"/>
      <c r="F216" s="10"/>
      <c r="G216" s="9"/>
      <c r="H216" s="9"/>
      <c r="I216" s="10"/>
    </row>
    <row r="217" spans="1:9" ht="13.8" x14ac:dyDescent="0.3">
      <c r="A217" s="9"/>
      <c r="B217" s="9"/>
      <c r="C217" s="9"/>
      <c r="D217" s="9"/>
      <c r="E217" s="9"/>
      <c r="F217" s="10"/>
      <c r="G217" s="9"/>
      <c r="H217" s="9"/>
      <c r="I217" s="10"/>
    </row>
    <row r="218" spans="1:9" ht="13.8" x14ac:dyDescent="0.3">
      <c r="A218" s="9"/>
      <c r="B218" s="9"/>
      <c r="C218" s="9"/>
      <c r="D218" s="9"/>
      <c r="E218" s="9"/>
      <c r="F218" s="10"/>
      <c r="G218" s="9"/>
      <c r="H218" s="9"/>
      <c r="I218" s="10"/>
    </row>
    <row r="219" spans="1:9" ht="13.8" x14ac:dyDescent="0.3">
      <c r="A219" s="9"/>
      <c r="B219" s="9"/>
      <c r="C219" s="9"/>
      <c r="D219" s="9"/>
      <c r="E219" s="9"/>
      <c r="F219" s="10"/>
      <c r="G219" s="9"/>
      <c r="H219" s="9"/>
      <c r="I219" s="10"/>
    </row>
    <row r="220" spans="1:9" ht="13.8" x14ac:dyDescent="0.3">
      <c r="A220" s="9"/>
      <c r="B220" s="9"/>
      <c r="C220" s="9"/>
      <c r="D220" s="9"/>
      <c r="E220" s="9"/>
      <c r="F220" s="10"/>
      <c r="G220" s="9"/>
      <c r="H220" s="9"/>
      <c r="I220" s="10"/>
    </row>
    <row r="221" spans="1:9" ht="13.8" x14ac:dyDescent="0.3">
      <c r="A221" s="9"/>
      <c r="B221" s="9"/>
      <c r="C221" s="9"/>
      <c r="D221" s="9"/>
      <c r="E221" s="9"/>
      <c r="F221" s="10"/>
      <c r="G221" s="9"/>
      <c r="H221" s="9"/>
      <c r="I221" s="10"/>
    </row>
    <row r="222" spans="1:9" ht="13.8" x14ac:dyDescent="0.3">
      <c r="A222" s="9"/>
      <c r="B222" s="9"/>
      <c r="C222" s="9"/>
      <c r="D222" s="9"/>
      <c r="E222" s="9"/>
      <c r="F222" s="10"/>
      <c r="G222" s="9"/>
      <c r="H222" s="9"/>
      <c r="I222" s="10"/>
    </row>
    <row r="223" spans="1:9" ht="13.8" x14ac:dyDescent="0.3">
      <c r="A223" s="9"/>
      <c r="B223" s="9"/>
      <c r="C223" s="9"/>
      <c r="D223" s="9"/>
      <c r="E223" s="9"/>
      <c r="F223" s="10"/>
      <c r="G223" s="9"/>
      <c r="H223" s="9"/>
      <c r="I223" s="10"/>
    </row>
    <row r="224" spans="1:9" ht="13.8" x14ac:dyDescent="0.3">
      <c r="A224" s="9"/>
      <c r="B224" s="9"/>
      <c r="C224" s="9"/>
      <c r="D224" s="9"/>
      <c r="E224" s="9"/>
      <c r="F224" s="10"/>
      <c r="G224" s="9"/>
      <c r="H224" s="9"/>
      <c r="I224" s="10"/>
    </row>
    <row r="225" spans="1:9" ht="13.8" x14ac:dyDescent="0.3">
      <c r="A225" s="9"/>
      <c r="B225" s="9"/>
      <c r="C225" s="9"/>
      <c r="D225" s="9"/>
      <c r="E225" s="9"/>
      <c r="F225" s="10"/>
      <c r="G225" s="9"/>
      <c r="H225" s="9"/>
      <c r="I225" s="10"/>
    </row>
    <row r="226" spans="1:9" ht="13.8" x14ac:dyDescent="0.3">
      <c r="A226" s="9"/>
      <c r="B226" s="9"/>
      <c r="C226" s="9"/>
      <c r="D226" s="9"/>
      <c r="E226" s="9"/>
      <c r="F226" s="10"/>
      <c r="G226" s="9"/>
      <c r="H226" s="9"/>
      <c r="I226" s="10"/>
    </row>
    <row r="227" spans="1:9" ht="13.8" x14ac:dyDescent="0.3">
      <c r="A227" s="9"/>
      <c r="B227" s="9"/>
      <c r="C227" s="9"/>
      <c r="D227" s="9"/>
      <c r="E227" s="9"/>
      <c r="F227" s="10"/>
      <c r="G227" s="9"/>
      <c r="H227" s="9"/>
      <c r="I227" s="10"/>
    </row>
    <row r="228" spans="1:9" ht="13.8" x14ac:dyDescent="0.3">
      <c r="A228" s="9"/>
      <c r="B228" s="9"/>
      <c r="C228" s="9"/>
      <c r="D228" s="9"/>
      <c r="E228" s="9"/>
      <c r="F228" s="10"/>
      <c r="G228" s="9"/>
      <c r="H228" s="9"/>
      <c r="I228" s="10"/>
    </row>
    <row r="229" spans="1:9" ht="13.8" x14ac:dyDescent="0.3">
      <c r="A229" s="9"/>
      <c r="B229" s="9"/>
      <c r="C229" s="9"/>
      <c r="D229" s="9"/>
      <c r="E229" s="9"/>
      <c r="F229" s="10"/>
      <c r="G229" s="9"/>
      <c r="H229" s="9"/>
      <c r="I229" s="10"/>
    </row>
    <row r="230" spans="1:9" ht="13.8" x14ac:dyDescent="0.3">
      <c r="A230" s="9"/>
      <c r="B230" s="9"/>
      <c r="C230" s="9"/>
      <c r="D230" s="9"/>
      <c r="E230" s="9"/>
      <c r="F230" s="10"/>
      <c r="G230" s="9"/>
      <c r="H230" s="9"/>
      <c r="I230" s="10"/>
    </row>
    <row r="231" spans="1:9" ht="13.8" x14ac:dyDescent="0.3">
      <c r="A231" s="9"/>
      <c r="B231" s="9"/>
      <c r="C231" s="9"/>
      <c r="D231" s="9"/>
      <c r="E231" s="9"/>
      <c r="F231" s="10"/>
      <c r="G231" s="9"/>
      <c r="H231" s="9"/>
      <c r="I231" s="10"/>
    </row>
    <row r="232" spans="1:9" ht="13.8" x14ac:dyDescent="0.3">
      <c r="A232" s="9"/>
      <c r="B232" s="9"/>
      <c r="C232" s="9"/>
      <c r="D232" s="9"/>
      <c r="E232" s="9"/>
      <c r="F232" s="10"/>
      <c r="G232" s="9"/>
      <c r="H232" s="9"/>
      <c r="I232" s="10"/>
    </row>
    <row r="233" spans="1:9" ht="13.8" x14ac:dyDescent="0.3">
      <c r="A233" s="9"/>
      <c r="B233" s="9"/>
      <c r="C233" s="9"/>
      <c r="D233" s="9"/>
      <c r="E233" s="9"/>
      <c r="F233" s="10"/>
      <c r="G233" s="9"/>
      <c r="H233" s="9"/>
      <c r="I233" s="10"/>
    </row>
    <row r="234" spans="1:9" ht="13.8" x14ac:dyDescent="0.3">
      <c r="A234" s="9"/>
      <c r="B234" s="9"/>
      <c r="C234" s="9"/>
      <c r="D234" s="9"/>
      <c r="E234" s="9"/>
      <c r="F234" s="10"/>
      <c r="G234" s="9"/>
      <c r="H234" s="9"/>
      <c r="I234" s="10"/>
    </row>
    <row r="235" spans="1:9" ht="13.8" x14ac:dyDescent="0.3">
      <c r="A235" s="9"/>
      <c r="B235" s="9"/>
      <c r="C235" s="9"/>
      <c r="D235" s="9"/>
      <c r="E235" s="9"/>
      <c r="F235" s="10"/>
      <c r="G235" s="9"/>
      <c r="H235" s="9"/>
      <c r="I235" s="10"/>
    </row>
    <row r="236" spans="1:9" ht="13.8" x14ac:dyDescent="0.3">
      <c r="A236" s="9"/>
      <c r="B236" s="9"/>
      <c r="C236" s="9"/>
      <c r="D236" s="9"/>
      <c r="E236" s="9"/>
      <c r="F236" s="10"/>
      <c r="G236" s="9"/>
      <c r="H236" s="9"/>
      <c r="I236" s="10"/>
    </row>
    <row r="237" spans="1:9" ht="13.8" x14ac:dyDescent="0.3">
      <c r="A237" s="9"/>
      <c r="B237" s="9"/>
      <c r="C237" s="9"/>
      <c r="D237" s="9"/>
      <c r="E237" s="9"/>
      <c r="F237" s="10"/>
      <c r="G237" s="9"/>
      <c r="H237" s="9"/>
      <c r="I237" s="10"/>
    </row>
    <row r="238" spans="1:9" ht="13.8" x14ac:dyDescent="0.3">
      <c r="A238" s="9"/>
      <c r="B238" s="9"/>
      <c r="C238" s="9"/>
      <c r="D238" s="9"/>
      <c r="E238" s="9"/>
      <c r="F238" s="10"/>
      <c r="G238" s="9"/>
      <c r="H238" s="9"/>
      <c r="I238" s="10"/>
    </row>
    <row r="239" spans="1:9" ht="13.8" x14ac:dyDescent="0.3">
      <c r="A239" s="9"/>
      <c r="B239" s="9"/>
      <c r="C239" s="9"/>
      <c r="D239" s="9"/>
      <c r="E239" s="9"/>
      <c r="F239" s="10"/>
      <c r="G239" s="9"/>
      <c r="H239" s="9"/>
      <c r="I239" s="10"/>
    </row>
    <row r="240" spans="1:9" ht="13.8" x14ac:dyDescent="0.3">
      <c r="A240" s="9"/>
      <c r="B240" s="9"/>
      <c r="C240" s="9"/>
      <c r="D240" s="9"/>
      <c r="E240" s="9"/>
      <c r="F240" s="10"/>
      <c r="G240" s="9"/>
      <c r="H240" s="9"/>
      <c r="I240" s="10"/>
    </row>
    <row r="241" spans="1:9" ht="13.8" x14ac:dyDescent="0.3">
      <c r="A241" s="9"/>
      <c r="B241" s="9"/>
      <c r="C241" s="9"/>
      <c r="D241" s="9"/>
      <c r="E241" s="9"/>
      <c r="F241" s="10"/>
      <c r="G241" s="9"/>
      <c r="H241" s="9"/>
      <c r="I241" s="10"/>
    </row>
    <row r="242" spans="1:9" ht="13.8" x14ac:dyDescent="0.3">
      <c r="A242" s="9"/>
      <c r="B242" s="9"/>
      <c r="C242" s="9"/>
      <c r="D242" s="9"/>
      <c r="E242" s="9"/>
      <c r="F242" s="10"/>
      <c r="G242" s="9"/>
      <c r="H242" s="9"/>
      <c r="I242" s="10"/>
    </row>
    <row r="243" spans="1:9" ht="13.8" x14ac:dyDescent="0.3">
      <c r="A243" s="9"/>
      <c r="B243" s="9"/>
      <c r="C243" s="9"/>
      <c r="D243" s="9"/>
      <c r="E243" s="9"/>
      <c r="F243" s="10"/>
      <c r="G243" s="9"/>
      <c r="H243" s="9"/>
      <c r="I243" s="10"/>
    </row>
    <row r="244" spans="1:9" ht="13.8" x14ac:dyDescent="0.3">
      <c r="A244" s="9"/>
      <c r="B244" s="9"/>
      <c r="C244" s="9"/>
      <c r="D244" s="9"/>
      <c r="E244" s="9"/>
      <c r="F244" s="10"/>
      <c r="G244" s="9"/>
      <c r="H244" s="9"/>
      <c r="I244" s="10"/>
    </row>
    <row r="245" spans="1:9" ht="13.8" x14ac:dyDescent="0.3">
      <c r="A245" s="9"/>
      <c r="B245" s="9"/>
      <c r="C245" s="9"/>
      <c r="D245" s="9"/>
      <c r="E245" s="9"/>
      <c r="F245" s="10"/>
      <c r="G245" s="9"/>
      <c r="H245" s="9"/>
      <c r="I245" s="10"/>
    </row>
    <row r="246" spans="1:9" ht="13.8" x14ac:dyDescent="0.3">
      <c r="A246" s="9"/>
      <c r="B246" s="9"/>
      <c r="C246" s="9"/>
      <c r="D246" s="9"/>
      <c r="E246" s="9"/>
      <c r="F246" s="10"/>
      <c r="G246" s="9"/>
      <c r="H246" s="9"/>
      <c r="I246" s="10"/>
    </row>
    <row r="247" spans="1:9" ht="13.8" x14ac:dyDescent="0.3">
      <c r="A247" s="9"/>
      <c r="B247" s="9"/>
      <c r="C247" s="9"/>
      <c r="D247" s="9"/>
      <c r="E247" s="9"/>
      <c r="F247" s="10"/>
      <c r="G247" s="9"/>
      <c r="H247" s="9"/>
      <c r="I247" s="10"/>
    </row>
    <row r="248" spans="1:9" ht="13.8" x14ac:dyDescent="0.3">
      <c r="A248" s="9"/>
      <c r="B248" s="9"/>
      <c r="C248" s="9"/>
      <c r="D248" s="9"/>
      <c r="E248" s="9"/>
      <c r="F248" s="10"/>
      <c r="G248" s="9"/>
      <c r="H248" s="9"/>
      <c r="I248" s="10"/>
    </row>
    <row r="249" spans="1:9" ht="13.8" x14ac:dyDescent="0.3">
      <c r="A249" s="9"/>
      <c r="B249" s="9"/>
      <c r="C249" s="9"/>
      <c r="D249" s="9"/>
      <c r="E249" s="9"/>
      <c r="F249" s="10"/>
      <c r="G249" s="9"/>
      <c r="H249" s="9"/>
      <c r="I249" s="10"/>
    </row>
    <row r="250" spans="1:9" ht="13.8" x14ac:dyDescent="0.3">
      <c r="A250" s="9"/>
      <c r="B250" s="9"/>
      <c r="C250" s="9"/>
      <c r="D250" s="9"/>
      <c r="E250" s="9"/>
      <c r="F250" s="10"/>
      <c r="G250" s="9"/>
      <c r="H250" s="9"/>
      <c r="I250" s="10"/>
    </row>
    <row r="251" spans="1:9" ht="13.8" x14ac:dyDescent="0.3">
      <c r="A251" s="9"/>
      <c r="B251" s="9"/>
      <c r="C251" s="9"/>
      <c r="D251" s="9"/>
      <c r="E251" s="9"/>
      <c r="F251" s="10"/>
      <c r="G251" s="9"/>
      <c r="H251" s="9"/>
      <c r="I251" s="10"/>
    </row>
    <row r="252" spans="1:9" ht="13.8" x14ac:dyDescent="0.3">
      <c r="A252" s="9"/>
      <c r="B252" s="9"/>
      <c r="C252" s="9"/>
      <c r="D252" s="9"/>
      <c r="E252" s="9"/>
      <c r="F252" s="10"/>
      <c r="G252" s="9"/>
      <c r="H252" s="9"/>
      <c r="I252" s="10"/>
    </row>
    <row r="253" spans="1:9" ht="13.8" x14ac:dyDescent="0.3">
      <c r="A253" s="9"/>
      <c r="B253" s="9"/>
      <c r="C253" s="9"/>
      <c r="D253" s="9"/>
      <c r="E253" s="9"/>
      <c r="F253" s="10"/>
      <c r="G253" s="9"/>
      <c r="H253" s="9"/>
      <c r="I253" s="10"/>
    </row>
    <row r="254" spans="1:9" ht="13.8" x14ac:dyDescent="0.3">
      <c r="A254" s="9"/>
      <c r="B254" s="9"/>
      <c r="C254" s="9"/>
      <c r="D254" s="9"/>
      <c r="E254" s="9"/>
      <c r="F254" s="10"/>
      <c r="G254" s="9"/>
      <c r="H254" s="9"/>
      <c r="I254" s="10"/>
    </row>
    <row r="255" spans="1:9" ht="13.8" x14ac:dyDescent="0.3">
      <c r="A255" s="9"/>
      <c r="B255" s="9"/>
      <c r="C255" s="9"/>
      <c r="D255" s="9"/>
      <c r="E255" s="9"/>
      <c r="F255" s="10"/>
      <c r="G255" s="9"/>
      <c r="H255" s="9"/>
      <c r="I255" s="10"/>
    </row>
    <row r="256" spans="1:9" ht="13.8" x14ac:dyDescent="0.3">
      <c r="A256" s="9"/>
      <c r="B256" s="9"/>
      <c r="C256" s="9"/>
      <c r="D256" s="9"/>
      <c r="E256" s="9"/>
      <c r="F256" s="10"/>
      <c r="G256" s="9"/>
      <c r="H256" s="9"/>
      <c r="I256" s="10"/>
    </row>
    <row r="257" spans="1:9" ht="13.8" x14ac:dyDescent="0.3">
      <c r="A257" s="9"/>
      <c r="B257" s="9"/>
      <c r="C257" s="9"/>
      <c r="D257" s="9"/>
      <c r="E257" s="9"/>
      <c r="F257" s="10"/>
      <c r="G257" s="9"/>
      <c r="H257" s="9"/>
      <c r="I257" s="10"/>
    </row>
    <row r="258" spans="1:9" ht="13.8" x14ac:dyDescent="0.3">
      <c r="A258" s="9"/>
      <c r="B258" s="9"/>
      <c r="C258" s="9"/>
      <c r="D258" s="9"/>
      <c r="E258" s="9"/>
      <c r="F258" s="10"/>
      <c r="G258" s="9"/>
      <c r="H258" s="9"/>
      <c r="I258" s="10"/>
    </row>
    <row r="259" spans="1:9" ht="13.8" x14ac:dyDescent="0.3">
      <c r="A259" s="9"/>
      <c r="B259" s="9"/>
      <c r="C259" s="9"/>
      <c r="D259" s="9"/>
      <c r="E259" s="9"/>
      <c r="F259" s="10"/>
      <c r="G259" s="9"/>
      <c r="H259" s="9"/>
      <c r="I259" s="10"/>
    </row>
    <row r="260" spans="1:9" ht="13.8" x14ac:dyDescent="0.3">
      <c r="A260" s="9"/>
      <c r="B260" s="9"/>
      <c r="C260" s="9"/>
      <c r="D260" s="9"/>
      <c r="E260" s="9"/>
      <c r="F260" s="10"/>
      <c r="G260" s="9"/>
      <c r="H260" s="9"/>
      <c r="I260" s="10"/>
    </row>
    <row r="261" spans="1:9" ht="13.8" x14ac:dyDescent="0.3">
      <c r="A261" s="9"/>
      <c r="B261" s="9"/>
      <c r="C261" s="9"/>
      <c r="D261" s="9"/>
      <c r="E261" s="9"/>
      <c r="F261" s="10"/>
      <c r="G261" s="9"/>
      <c r="H261" s="9"/>
      <c r="I261" s="10"/>
    </row>
    <row r="262" spans="1:9" ht="13.8" x14ac:dyDescent="0.3">
      <c r="A262" s="9"/>
      <c r="B262" s="9"/>
      <c r="C262" s="9"/>
      <c r="D262" s="9"/>
      <c r="E262" s="9"/>
      <c r="F262" s="10"/>
      <c r="G262" s="9"/>
      <c r="H262" s="9"/>
      <c r="I262" s="10"/>
    </row>
    <row r="263" spans="1:9" ht="13.8" x14ac:dyDescent="0.3">
      <c r="A263" s="9"/>
      <c r="B263" s="9"/>
      <c r="C263" s="9"/>
      <c r="D263" s="9"/>
      <c r="E263" s="9"/>
      <c r="F263" s="10"/>
      <c r="G263" s="9"/>
      <c r="H263" s="9"/>
      <c r="I263" s="10"/>
    </row>
    <row r="264" spans="1:9" ht="13.8" x14ac:dyDescent="0.3">
      <c r="A264" s="9"/>
      <c r="B264" s="9"/>
      <c r="C264" s="9"/>
      <c r="D264" s="9"/>
      <c r="E264" s="9"/>
      <c r="F264" s="10"/>
      <c r="G264" s="9"/>
      <c r="H264" s="9"/>
      <c r="I264" s="10"/>
    </row>
    <row r="265" spans="1:9" ht="13.8" x14ac:dyDescent="0.3">
      <c r="A265" s="9"/>
      <c r="B265" s="9"/>
      <c r="C265" s="9"/>
      <c r="D265" s="9"/>
      <c r="E265" s="9"/>
      <c r="F265" s="10"/>
      <c r="G265" s="9"/>
      <c r="H265" s="9"/>
      <c r="I265" s="10"/>
    </row>
    <row r="266" spans="1:9" ht="13.8" x14ac:dyDescent="0.3">
      <c r="A266" s="9"/>
      <c r="B266" s="9"/>
      <c r="C266" s="9"/>
      <c r="D266" s="9"/>
      <c r="E266" s="9"/>
      <c r="F266" s="10"/>
      <c r="G266" s="9"/>
      <c r="H266" s="9"/>
      <c r="I266" s="10"/>
    </row>
    <row r="267" spans="1:9" ht="13.8" x14ac:dyDescent="0.3">
      <c r="A267" s="9"/>
      <c r="B267" s="9"/>
      <c r="C267" s="9"/>
      <c r="D267" s="9"/>
      <c r="E267" s="9"/>
      <c r="F267" s="10"/>
      <c r="G267" s="9"/>
      <c r="H267" s="9"/>
      <c r="I267" s="10"/>
    </row>
    <row r="268" spans="1:9" ht="13.8" x14ac:dyDescent="0.3">
      <c r="A268" s="9"/>
      <c r="B268" s="9"/>
      <c r="C268" s="9"/>
      <c r="D268" s="9"/>
      <c r="E268" s="9"/>
      <c r="F268" s="10"/>
      <c r="G268" s="9"/>
      <c r="H268" s="9"/>
      <c r="I268" s="10"/>
    </row>
    <row r="269" spans="1:9" ht="13.8" x14ac:dyDescent="0.3">
      <c r="A269" s="9"/>
      <c r="B269" s="9"/>
      <c r="C269" s="9"/>
      <c r="D269" s="9"/>
      <c r="E269" s="9"/>
      <c r="F269" s="10"/>
      <c r="G269" s="9"/>
      <c r="H269" s="9"/>
      <c r="I269" s="10"/>
    </row>
    <row r="270" spans="1:9" ht="13.8" x14ac:dyDescent="0.3">
      <c r="A270" s="9"/>
      <c r="B270" s="9"/>
      <c r="C270" s="9"/>
      <c r="D270" s="9"/>
      <c r="E270" s="9"/>
      <c r="F270" s="10"/>
      <c r="G270" s="9"/>
      <c r="H270" s="9"/>
      <c r="I270" s="10"/>
    </row>
    <row r="271" spans="1:9" ht="13.8" x14ac:dyDescent="0.3">
      <c r="A271" s="9"/>
      <c r="B271" s="9"/>
      <c r="C271" s="9"/>
      <c r="D271" s="9"/>
      <c r="E271" s="9"/>
      <c r="F271" s="10"/>
      <c r="G271" s="9"/>
      <c r="H271" s="9"/>
      <c r="I271" s="10"/>
    </row>
    <row r="272" spans="1:9" ht="13.8" x14ac:dyDescent="0.3">
      <c r="A272" s="9"/>
      <c r="B272" s="9"/>
      <c r="C272" s="9"/>
      <c r="D272" s="9"/>
      <c r="E272" s="9"/>
      <c r="F272" s="10"/>
      <c r="G272" s="9"/>
      <c r="H272" s="9"/>
      <c r="I272" s="10"/>
    </row>
    <row r="273" spans="1:9" ht="13.8" x14ac:dyDescent="0.3">
      <c r="A273" s="9"/>
      <c r="B273" s="9"/>
      <c r="C273" s="9"/>
      <c r="D273" s="9"/>
      <c r="E273" s="9"/>
      <c r="F273" s="10"/>
      <c r="G273" s="9"/>
      <c r="H273" s="9"/>
      <c r="I273" s="10"/>
    </row>
    <row r="274" spans="1:9" ht="13.8" x14ac:dyDescent="0.3">
      <c r="A274" s="9"/>
      <c r="B274" s="9"/>
      <c r="C274" s="9"/>
      <c r="D274" s="9"/>
      <c r="E274" s="9"/>
      <c r="F274" s="10"/>
      <c r="G274" s="9"/>
      <c r="H274" s="9"/>
      <c r="I274" s="10"/>
    </row>
    <row r="275" spans="1:9" ht="13.8" x14ac:dyDescent="0.3">
      <c r="A275" s="9"/>
      <c r="B275" s="9"/>
      <c r="C275" s="9"/>
      <c r="D275" s="9"/>
      <c r="E275" s="9"/>
      <c r="F275" s="10"/>
      <c r="G275" s="9"/>
      <c r="H275" s="9"/>
      <c r="I275" s="10"/>
    </row>
    <row r="276" spans="1:9" ht="13.8" x14ac:dyDescent="0.3">
      <c r="A276" s="9"/>
      <c r="B276" s="9"/>
      <c r="C276" s="9"/>
      <c r="D276" s="9"/>
      <c r="E276" s="9"/>
      <c r="F276" s="10"/>
      <c r="G276" s="9"/>
      <c r="H276" s="9"/>
      <c r="I276" s="10"/>
    </row>
    <row r="277" spans="1:9" ht="13.8" x14ac:dyDescent="0.3">
      <c r="A277" s="9"/>
      <c r="B277" s="9"/>
      <c r="C277" s="9"/>
      <c r="D277" s="9"/>
      <c r="E277" s="9"/>
      <c r="F277" s="10"/>
      <c r="G277" s="9"/>
      <c r="H277" s="9"/>
      <c r="I277" s="10"/>
    </row>
    <row r="278" spans="1:9" ht="13.8" x14ac:dyDescent="0.3">
      <c r="A278" s="9"/>
      <c r="B278" s="9"/>
      <c r="C278" s="9"/>
      <c r="D278" s="9"/>
      <c r="E278" s="9"/>
      <c r="F278" s="10"/>
      <c r="G278" s="9"/>
      <c r="H278" s="9"/>
      <c r="I278" s="10"/>
    </row>
    <row r="279" spans="1:9" ht="13.8" x14ac:dyDescent="0.3">
      <c r="A279" s="9"/>
      <c r="B279" s="9"/>
      <c r="C279" s="9"/>
      <c r="D279" s="9"/>
      <c r="E279" s="9"/>
      <c r="F279" s="10"/>
      <c r="G279" s="9"/>
      <c r="H279" s="9"/>
      <c r="I279" s="10"/>
    </row>
    <row r="280" spans="1:9" ht="13.8" x14ac:dyDescent="0.3">
      <c r="A280" s="9"/>
      <c r="B280" s="9"/>
      <c r="C280" s="9"/>
      <c r="D280" s="9"/>
      <c r="E280" s="9"/>
      <c r="F280" s="10"/>
      <c r="G280" s="9"/>
      <c r="H280" s="9"/>
      <c r="I280" s="10"/>
    </row>
    <row r="281" spans="1:9" ht="13.8" x14ac:dyDescent="0.3">
      <c r="A281" s="9"/>
      <c r="B281" s="9"/>
      <c r="C281" s="9"/>
      <c r="D281" s="9"/>
      <c r="E281" s="9"/>
      <c r="F281" s="10"/>
      <c r="G281" s="9"/>
      <c r="H281" s="9"/>
      <c r="I281" s="10"/>
    </row>
    <row r="282" spans="1:9" ht="13.8" x14ac:dyDescent="0.3">
      <c r="A282" s="9"/>
      <c r="B282" s="9"/>
      <c r="C282" s="9"/>
      <c r="D282" s="9"/>
      <c r="E282" s="9"/>
      <c r="F282" s="10"/>
      <c r="G282" s="9"/>
      <c r="H282" s="9"/>
      <c r="I282" s="10"/>
    </row>
    <row r="283" spans="1:9" ht="13.8" x14ac:dyDescent="0.3">
      <c r="A283" s="9"/>
      <c r="B283" s="9"/>
      <c r="C283" s="9"/>
      <c r="D283" s="9"/>
      <c r="E283" s="9"/>
      <c r="F283" s="10"/>
      <c r="G283" s="9"/>
      <c r="H283" s="9"/>
      <c r="I283" s="10"/>
    </row>
    <row r="284" spans="1:9" ht="13.8" x14ac:dyDescent="0.3">
      <c r="A284" s="9"/>
      <c r="B284" s="9"/>
      <c r="C284" s="9"/>
      <c r="D284" s="9"/>
      <c r="E284" s="9"/>
      <c r="F284" s="10"/>
      <c r="G284" s="9"/>
      <c r="H284" s="9"/>
      <c r="I284" s="10"/>
    </row>
    <row r="285" spans="1:9" ht="13.8" x14ac:dyDescent="0.3">
      <c r="A285" s="9"/>
      <c r="B285" s="9"/>
      <c r="C285" s="9"/>
      <c r="D285" s="9"/>
      <c r="E285" s="9"/>
      <c r="F285" s="10"/>
      <c r="G285" s="9"/>
      <c r="H285" s="9"/>
      <c r="I285" s="10"/>
    </row>
    <row r="286" spans="1:9" ht="13.8" x14ac:dyDescent="0.3">
      <c r="A286" s="9"/>
      <c r="B286" s="9"/>
      <c r="C286" s="9"/>
      <c r="D286" s="9"/>
      <c r="E286" s="9"/>
      <c r="F286" s="10"/>
      <c r="G286" s="9"/>
      <c r="H286" s="9"/>
      <c r="I286" s="10"/>
    </row>
    <row r="287" spans="1:9" ht="13.8" x14ac:dyDescent="0.3">
      <c r="A287" s="9"/>
      <c r="B287" s="9"/>
      <c r="C287" s="9"/>
      <c r="D287" s="9"/>
      <c r="E287" s="9"/>
      <c r="F287" s="10"/>
      <c r="G287" s="9"/>
      <c r="H287" s="9"/>
      <c r="I287" s="10"/>
    </row>
    <row r="288" spans="1:9" ht="13.8" x14ac:dyDescent="0.3">
      <c r="A288" s="9"/>
      <c r="B288" s="9"/>
      <c r="C288" s="9"/>
      <c r="D288" s="9"/>
      <c r="E288" s="9"/>
      <c r="F288" s="10"/>
      <c r="G288" s="9"/>
      <c r="H288" s="9"/>
      <c r="I288" s="10"/>
    </row>
    <row r="289" spans="1:9" ht="13.8" x14ac:dyDescent="0.3">
      <c r="A289" s="9"/>
      <c r="B289" s="9"/>
      <c r="C289" s="9"/>
      <c r="D289" s="9"/>
      <c r="E289" s="9"/>
      <c r="F289" s="10"/>
      <c r="G289" s="9"/>
      <c r="H289" s="9"/>
      <c r="I289" s="10"/>
    </row>
    <row r="290" spans="1:9" ht="13.8" x14ac:dyDescent="0.3">
      <c r="A290" s="9"/>
      <c r="B290" s="9"/>
      <c r="C290" s="9"/>
      <c r="D290" s="9"/>
      <c r="E290" s="9"/>
      <c r="F290" s="10"/>
      <c r="G290" s="9"/>
      <c r="H290" s="9"/>
      <c r="I290" s="10"/>
    </row>
    <row r="291" spans="1:9" ht="13.8" x14ac:dyDescent="0.3">
      <c r="A291" s="9"/>
      <c r="B291" s="9"/>
      <c r="C291" s="9"/>
      <c r="D291" s="9"/>
      <c r="E291" s="9"/>
      <c r="F291" s="10"/>
      <c r="G291" s="9"/>
      <c r="H291" s="9"/>
      <c r="I291" s="10"/>
    </row>
    <row r="292" spans="1:9" ht="13.8" x14ac:dyDescent="0.3">
      <c r="A292" s="9"/>
      <c r="B292" s="9"/>
      <c r="C292" s="9"/>
      <c r="D292" s="9"/>
      <c r="E292" s="9"/>
      <c r="F292" s="10"/>
      <c r="G292" s="9"/>
      <c r="H292" s="9"/>
      <c r="I292" s="10"/>
    </row>
    <row r="293" spans="1:9" ht="13.8" x14ac:dyDescent="0.3">
      <c r="A293" s="9"/>
      <c r="B293" s="9"/>
      <c r="C293" s="9"/>
      <c r="D293" s="9"/>
      <c r="E293" s="9"/>
      <c r="F293" s="10"/>
      <c r="G293" s="9"/>
      <c r="H293" s="9"/>
      <c r="I293" s="10"/>
    </row>
    <row r="294" spans="1:9" ht="13.8" x14ac:dyDescent="0.3">
      <c r="A294" s="9"/>
      <c r="B294" s="9"/>
      <c r="C294" s="9"/>
      <c r="D294" s="9"/>
      <c r="E294" s="9"/>
      <c r="F294" s="10"/>
      <c r="G294" s="9"/>
      <c r="H294" s="9"/>
      <c r="I294" s="10"/>
    </row>
    <row r="295" spans="1:9" ht="13.8" x14ac:dyDescent="0.3">
      <c r="A295" s="9"/>
      <c r="B295" s="9"/>
      <c r="C295" s="9"/>
      <c r="D295" s="9"/>
      <c r="E295" s="9"/>
      <c r="F295" s="10"/>
      <c r="G295" s="9"/>
      <c r="H295" s="9"/>
      <c r="I295" s="10"/>
    </row>
    <row r="296" spans="1:9" ht="13.8" x14ac:dyDescent="0.3">
      <c r="A296" s="9"/>
      <c r="B296" s="9"/>
      <c r="C296" s="9"/>
      <c r="D296" s="9"/>
      <c r="E296" s="9"/>
      <c r="F296" s="10"/>
      <c r="G296" s="9"/>
      <c r="H296" s="9"/>
      <c r="I296" s="10"/>
    </row>
    <row r="297" spans="1:9" ht="13.8" x14ac:dyDescent="0.3">
      <c r="A297" s="9"/>
      <c r="B297" s="9"/>
      <c r="C297" s="9"/>
      <c r="D297" s="9"/>
      <c r="E297" s="9"/>
      <c r="F297" s="10"/>
      <c r="G297" s="9"/>
      <c r="H297" s="9"/>
      <c r="I297" s="10"/>
    </row>
    <row r="298" spans="1:9" ht="13.8" x14ac:dyDescent="0.3">
      <c r="A298" s="9"/>
      <c r="B298" s="9"/>
      <c r="C298" s="9"/>
      <c r="D298" s="9"/>
      <c r="E298" s="9"/>
      <c r="F298" s="10"/>
      <c r="G298" s="9"/>
      <c r="H298" s="9"/>
      <c r="I298" s="10"/>
    </row>
    <row r="299" spans="1:9" ht="13.8" x14ac:dyDescent="0.3">
      <c r="A299" s="9"/>
      <c r="B299" s="9"/>
      <c r="C299" s="9"/>
      <c r="D299" s="9"/>
      <c r="E299" s="9"/>
      <c r="F299" s="10"/>
      <c r="G299" s="9"/>
      <c r="H299" s="9"/>
      <c r="I299" s="10"/>
    </row>
    <row r="300" spans="1:9" ht="13.8" x14ac:dyDescent="0.3">
      <c r="A300" s="9"/>
      <c r="B300" s="9"/>
      <c r="C300" s="9"/>
      <c r="D300" s="9"/>
      <c r="E300" s="9"/>
      <c r="F300" s="10"/>
      <c r="G300" s="9"/>
      <c r="H300" s="9"/>
      <c r="I300" s="10"/>
    </row>
    <row r="301" spans="1:9" ht="13.8" x14ac:dyDescent="0.3">
      <c r="A301" s="9"/>
      <c r="B301" s="9"/>
      <c r="C301" s="9"/>
      <c r="D301" s="9"/>
      <c r="E301" s="9"/>
      <c r="F301" s="10"/>
      <c r="G301" s="9"/>
      <c r="H301" s="9"/>
      <c r="I301" s="10"/>
    </row>
    <row r="302" spans="1:9" ht="13.8" x14ac:dyDescent="0.3">
      <c r="A302" s="9"/>
      <c r="B302" s="9"/>
      <c r="C302" s="9"/>
      <c r="D302" s="9"/>
      <c r="E302" s="9"/>
      <c r="F302" s="10"/>
      <c r="G302" s="9"/>
      <c r="H302" s="9"/>
      <c r="I302" s="10"/>
    </row>
    <row r="303" spans="1:9" ht="13.8" x14ac:dyDescent="0.3">
      <c r="A303" s="9"/>
      <c r="B303" s="9"/>
      <c r="C303" s="9"/>
      <c r="D303" s="9"/>
      <c r="E303" s="9"/>
      <c r="F303" s="10"/>
      <c r="G303" s="9"/>
      <c r="H303" s="9"/>
      <c r="I303" s="10"/>
    </row>
    <row r="304" spans="1:9" ht="13.8" x14ac:dyDescent="0.3">
      <c r="A304" s="9"/>
      <c r="B304" s="9"/>
      <c r="C304" s="9"/>
      <c r="D304" s="9"/>
      <c r="E304" s="9"/>
      <c r="F304" s="10"/>
      <c r="G304" s="9"/>
      <c r="H304" s="9"/>
      <c r="I304" s="10"/>
    </row>
    <row r="305" spans="1:9" ht="13.8" x14ac:dyDescent="0.3">
      <c r="A305" s="9"/>
      <c r="B305" s="9"/>
      <c r="C305" s="9"/>
      <c r="D305" s="9"/>
      <c r="E305" s="9"/>
      <c r="F305" s="10"/>
      <c r="G305" s="9"/>
      <c r="H305" s="9"/>
      <c r="I305" s="10"/>
    </row>
    <row r="306" spans="1:9" ht="13.8" x14ac:dyDescent="0.3">
      <c r="A306" s="9"/>
      <c r="B306" s="9"/>
      <c r="C306" s="9"/>
      <c r="D306" s="9"/>
      <c r="E306" s="9"/>
      <c r="F306" s="10"/>
      <c r="G306" s="9"/>
      <c r="H306" s="9"/>
      <c r="I306" s="10"/>
    </row>
    <row r="307" spans="1:9" ht="13.8" x14ac:dyDescent="0.3">
      <c r="A307" s="9"/>
      <c r="B307" s="9"/>
      <c r="C307" s="9"/>
      <c r="D307" s="9"/>
      <c r="E307" s="9"/>
      <c r="F307" s="10"/>
      <c r="G307" s="9"/>
      <c r="H307" s="9"/>
      <c r="I307" s="10"/>
    </row>
    <row r="308" spans="1:9" ht="13.8" x14ac:dyDescent="0.3">
      <c r="A308" s="9"/>
      <c r="B308" s="9"/>
      <c r="C308" s="9"/>
      <c r="D308" s="9"/>
      <c r="E308" s="9"/>
      <c r="F308" s="10"/>
      <c r="G308" s="9"/>
      <c r="H308" s="9"/>
      <c r="I308" s="10"/>
    </row>
    <row r="309" spans="1:9" ht="13.8" x14ac:dyDescent="0.3">
      <c r="A309" s="9"/>
      <c r="B309" s="9"/>
      <c r="C309" s="9"/>
      <c r="D309" s="9"/>
      <c r="E309" s="9"/>
      <c r="F309" s="10"/>
      <c r="G309" s="9"/>
      <c r="H309" s="9"/>
      <c r="I309" s="10"/>
    </row>
    <row r="310" spans="1:9" ht="13.8" x14ac:dyDescent="0.3">
      <c r="A310" s="9"/>
      <c r="B310" s="9"/>
      <c r="C310" s="9"/>
      <c r="D310" s="9"/>
      <c r="E310" s="9"/>
      <c r="F310" s="10"/>
      <c r="G310" s="9"/>
      <c r="H310" s="9"/>
      <c r="I310" s="10"/>
    </row>
    <row r="311" spans="1:9" ht="13.8" x14ac:dyDescent="0.3">
      <c r="A311" s="9"/>
      <c r="B311" s="9"/>
      <c r="C311" s="9"/>
      <c r="D311" s="9"/>
      <c r="E311" s="9"/>
      <c r="F311" s="10"/>
      <c r="G311" s="9"/>
      <c r="H311" s="9"/>
      <c r="I311" s="10"/>
    </row>
    <row r="312" spans="1:9" ht="13.8" x14ac:dyDescent="0.3">
      <c r="A312" s="9"/>
      <c r="B312" s="9"/>
      <c r="C312" s="9"/>
      <c r="D312" s="9"/>
      <c r="E312" s="9"/>
      <c r="F312" s="10"/>
      <c r="G312" s="9"/>
      <c r="H312" s="9"/>
      <c r="I312" s="10"/>
    </row>
    <row r="313" spans="1:9" ht="13.8" x14ac:dyDescent="0.3">
      <c r="A313" s="9"/>
      <c r="B313" s="9"/>
      <c r="C313" s="9"/>
      <c r="D313" s="9"/>
      <c r="E313" s="9"/>
      <c r="F313" s="10"/>
      <c r="G313" s="9"/>
      <c r="H313" s="9"/>
      <c r="I313" s="10"/>
    </row>
    <row r="314" spans="1:9" ht="13.8" x14ac:dyDescent="0.3">
      <c r="A314" s="9"/>
      <c r="B314" s="9"/>
      <c r="C314" s="9"/>
      <c r="D314" s="9"/>
      <c r="E314" s="9"/>
      <c r="F314" s="10"/>
      <c r="G314" s="9"/>
      <c r="H314" s="9"/>
      <c r="I314" s="10"/>
    </row>
    <row r="315" spans="1:9" ht="13.8" x14ac:dyDescent="0.3">
      <c r="A315" s="9"/>
      <c r="B315" s="9"/>
      <c r="C315" s="9"/>
      <c r="D315" s="9"/>
      <c r="E315" s="9"/>
      <c r="F315" s="10"/>
      <c r="G315" s="9"/>
      <c r="H315" s="9"/>
      <c r="I315" s="10"/>
    </row>
    <row r="316" spans="1:9" ht="13.8" x14ac:dyDescent="0.3">
      <c r="A316" s="9"/>
      <c r="B316" s="9"/>
      <c r="C316" s="9"/>
      <c r="D316" s="9"/>
      <c r="E316" s="9"/>
      <c r="F316" s="10"/>
      <c r="G316" s="9"/>
      <c r="H316" s="9"/>
      <c r="I316" s="10"/>
    </row>
    <row r="317" spans="1:9" ht="13.8" x14ac:dyDescent="0.3">
      <c r="A317" s="9"/>
      <c r="B317" s="9"/>
      <c r="C317" s="9"/>
      <c r="D317" s="9"/>
      <c r="E317" s="9"/>
      <c r="F317" s="10"/>
      <c r="G317" s="9"/>
      <c r="H317" s="9"/>
      <c r="I317" s="10"/>
    </row>
    <row r="318" spans="1:9" ht="13.8" x14ac:dyDescent="0.3">
      <c r="A318" s="9"/>
      <c r="B318" s="9"/>
      <c r="C318" s="9"/>
      <c r="D318" s="9"/>
      <c r="E318" s="9"/>
      <c r="F318" s="10"/>
      <c r="G318" s="9"/>
      <c r="H318" s="9"/>
      <c r="I318" s="10"/>
    </row>
    <row r="319" spans="1:9" ht="13.8" x14ac:dyDescent="0.3">
      <c r="A319" s="9"/>
      <c r="B319" s="9"/>
      <c r="C319" s="9"/>
      <c r="D319" s="9"/>
      <c r="E319" s="9"/>
      <c r="F319" s="10"/>
      <c r="G319" s="9"/>
      <c r="H319" s="9"/>
      <c r="I319" s="10"/>
    </row>
    <row r="320" spans="1:9" ht="13.8" x14ac:dyDescent="0.3">
      <c r="A320" s="9"/>
      <c r="B320" s="9"/>
      <c r="C320" s="9"/>
      <c r="D320" s="9"/>
      <c r="E320" s="9"/>
      <c r="F320" s="10"/>
      <c r="G320" s="9"/>
      <c r="H320" s="9"/>
      <c r="I320" s="10"/>
    </row>
    <row r="321" spans="1:9" ht="13.8" x14ac:dyDescent="0.3">
      <c r="A321" s="9"/>
      <c r="B321" s="9"/>
      <c r="C321" s="9"/>
      <c r="D321" s="9"/>
      <c r="E321" s="9"/>
      <c r="F321" s="10"/>
      <c r="G321" s="9"/>
      <c r="H321" s="9"/>
      <c r="I321" s="10"/>
    </row>
    <row r="322" spans="1:9" ht="13.8" x14ac:dyDescent="0.3">
      <c r="A322" s="9"/>
      <c r="B322" s="9"/>
      <c r="C322" s="9"/>
      <c r="D322" s="9"/>
      <c r="E322" s="9"/>
      <c r="F322" s="10"/>
      <c r="G322" s="9"/>
      <c r="H322" s="9"/>
      <c r="I322" s="10"/>
    </row>
    <row r="323" spans="1:9" ht="13.8" x14ac:dyDescent="0.3">
      <c r="A323" s="9"/>
      <c r="B323" s="9"/>
      <c r="C323" s="9"/>
      <c r="D323" s="9"/>
      <c r="E323" s="9"/>
      <c r="F323" s="10"/>
      <c r="G323" s="9"/>
      <c r="H323" s="9"/>
      <c r="I323" s="10"/>
    </row>
    <row r="324" spans="1:9" ht="13.8" x14ac:dyDescent="0.3">
      <c r="A324" s="9"/>
      <c r="B324" s="9"/>
      <c r="C324" s="9"/>
      <c r="D324" s="9"/>
      <c r="E324" s="9"/>
      <c r="F324" s="10"/>
      <c r="G324" s="9"/>
      <c r="H324" s="9"/>
      <c r="I324" s="10"/>
    </row>
    <row r="325" spans="1:9" ht="13.8" x14ac:dyDescent="0.3">
      <c r="A325" s="9"/>
      <c r="B325" s="9"/>
      <c r="C325" s="9"/>
      <c r="D325" s="9"/>
      <c r="E325" s="9"/>
      <c r="F325" s="10"/>
      <c r="G325" s="9"/>
      <c r="H325" s="9"/>
      <c r="I325" s="10"/>
    </row>
    <row r="326" spans="1:9" ht="13.8" x14ac:dyDescent="0.3">
      <c r="A326" s="9"/>
      <c r="B326" s="9"/>
      <c r="C326" s="9"/>
      <c r="D326" s="9"/>
      <c r="E326" s="9"/>
      <c r="F326" s="10"/>
      <c r="G326" s="9"/>
      <c r="H326" s="9"/>
      <c r="I326" s="10"/>
    </row>
    <row r="327" spans="1:9" ht="13.8" x14ac:dyDescent="0.3">
      <c r="A327" s="9"/>
      <c r="B327" s="9"/>
      <c r="C327" s="9"/>
      <c r="D327" s="9"/>
      <c r="E327" s="9"/>
      <c r="F327" s="10"/>
      <c r="G327" s="9"/>
      <c r="H327" s="9"/>
      <c r="I327" s="10"/>
    </row>
    <row r="328" spans="1:9" ht="13.8" x14ac:dyDescent="0.3">
      <c r="A328" s="9"/>
      <c r="B328" s="9"/>
      <c r="C328" s="9"/>
      <c r="D328" s="9"/>
      <c r="E328" s="9"/>
      <c r="F328" s="10"/>
      <c r="G328" s="9"/>
      <c r="H328" s="9"/>
      <c r="I328" s="10"/>
    </row>
    <row r="329" spans="1:9" ht="13.8" x14ac:dyDescent="0.3">
      <c r="A329" s="9"/>
      <c r="B329" s="9"/>
      <c r="C329" s="9"/>
      <c r="D329" s="9"/>
      <c r="E329" s="9"/>
      <c r="F329" s="10"/>
      <c r="G329" s="9"/>
      <c r="H329" s="9"/>
      <c r="I329" s="10"/>
    </row>
    <row r="330" spans="1:9" ht="13.8" x14ac:dyDescent="0.3">
      <c r="A330" s="9"/>
      <c r="B330" s="9"/>
      <c r="C330" s="9"/>
      <c r="D330" s="9"/>
      <c r="E330" s="9"/>
      <c r="F330" s="10"/>
      <c r="G330" s="9"/>
      <c r="H330" s="9"/>
      <c r="I330" s="10"/>
    </row>
    <row r="331" spans="1:9" ht="13.8" x14ac:dyDescent="0.3">
      <c r="A331" s="9"/>
      <c r="B331" s="9"/>
      <c r="C331" s="9"/>
      <c r="D331" s="9"/>
      <c r="E331" s="9"/>
      <c r="F331" s="10"/>
      <c r="G331" s="9"/>
      <c r="H331" s="9"/>
      <c r="I331" s="10"/>
    </row>
    <row r="332" spans="1:9" ht="13.8" x14ac:dyDescent="0.3">
      <c r="A332" s="9"/>
      <c r="B332" s="9"/>
      <c r="C332" s="9"/>
      <c r="D332" s="9"/>
      <c r="E332" s="9"/>
      <c r="F332" s="10"/>
      <c r="G332" s="9"/>
      <c r="H332" s="9"/>
      <c r="I332" s="10"/>
    </row>
    <row r="333" spans="1:9" ht="13.8" x14ac:dyDescent="0.3">
      <c r="A333" s="9"/>
      <c r="B333" s="9"/>
      <c r="C333" s="9"/>
      <c r="D333" s="9"/>
      <c r="E333" s="9"/>
      <c r="F333" s="10"/>
      <c r="G333" s="9"/>
      <c r="H333" s="9"/>
      <c r="I333" s="10"/>
    </row>
    <row r="334" spans="1:9" ht="13.8" x14ac:dyDescent="0.3">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3" priority="1" stopIfTrue="1" operator="lessThanOrEqual">
      <formula>-0.1</formula>
    </cfRule>
    <cfRule type="expression" dxfId="42"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E4" activePane="bottomRight" state="frozen"/>
      <selection pane="topRight" activeCell="E11" sqref="E11"/>
      <selection pane="bottomLeft" activeCell="E11" sqref="E11"/>
      <selection pane="bottomRight" activeCell="J22" sqref="J22"/>
    </sheetView>
  </sheetViews>
  <sheetFormatPr defaultRowHeight="13.8" x14ac:dyDescent="0.25"/>
  <cols>
    <col min="1" max="1" width="28.88671875" bestFit="1" customWidth="1"/>
    <col min="2" max="2" width="14.5546875" style="15" customWidth="1"/>
    <col min="3" max="5" width="14.5546875" customWidth="1"/>
    <col min="6" max="6" width="14.5546875" style="1" customWidth="1"/>
    <col min="7" max="8" width="14.5546875" customWidth="1"/>
    <col min="9" max="9" width="14.5546875" style="1" customWidth="1"/>
    <col min="10" max="10" width="96.109375" bestFit="1" customWidth="1"/>
    <col min="11" max="11" width="19.109375" bestFit="1" customWidth="1"/>
  </cols>
  <sheetData>
    <row r="1" spans="1:16" ht="15.6" x14ac:dyDescent="0.25">
      <c r="A1" s="96" t="str" cm="1">
        <f t="array" ref="A1">portfolio</f>
        <v>Catalyze</v>
      </c>
      <c r="B1" s="96"/>
      <c r="C1" s="96"/>
      <c r="D1" s="97" t="s">
        <v>18</v>
      </c>
      <c r="E1" s="97"/>
      <c r="F1" s="97"/>
      <c r="G1" s="95" t="s">
        <v>19</v>
      </c>
      <c r="H1" s="95"/>
      <c r="I1" s="95"/>
      <c r="J1" s="4"/>
      <c r="K1" s="4"/>
    </row>
    <row r="2" spans="1:16" ht="15.6" x14ac:dyDescent="0.25">
      <c r="A2" s="98" t="s">
        <v>2</v>
      </c>
      <c r="B2" s="98"/>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x14ac:dyDescent="0.25">
      <c r="A3" s="13" t="s">
        <v>3</v>
      </c>
      <c r="B3" s="13" t="s">
        <v>4</v>
      </c>
      <c r="C3" s="20" t="s">
        <v>5</v>
      </c>
      <c r="D3" s="21" t="s">
        <v>6</v>
      </c>
      <c r="E3" s="21" t="s">
        <v>7</v>
      </c>
      <c r="F3" s="22" t="s">
        <v>8</v>
      </c>
      <c r="G3" s="26" t="s">
        <v>9</v>
      </c>
      <c r="H3" s="24" t="s">
        <v>7</v>
      </c>
      <c r="I3" s="25" t="s">
        <v>8</v>
      </c>
      <c r="J3" s="11" t="s">
        <v>20</v>
      </c>
      <c r="K3" s="11" t="s">
        <v>21</v>
      </c>
    </row>
    <row r="4" spans="1:16" ht="28.8" x14ac:dyDescent="0.25">
      <c r="A4" s="44" t="str" cm="1">
        <f t="array" ref="A4:A27">Sites[Site]</f>
        <v>Fresno - 3150 Shaw Ave</v>
      </c>
      <c r="B4" s="41" t="str" cm="1">
        <f t="array" ref="B4:B27">Sites[State]</f>
        <v>CA</v>
      </c>
      <c r="C4" s="29">
        <v>53422.875</v>
      </c>
      <c r="D4" s="30">
        <v>50400.42</v>
      </c>
      <c r="E4" s="30">
        <f>IF(AND(ISNUMBER(C4),ISNUMBER(D4)), C4-D4, "")</f>
        <v>3022.4550000000017</v>
      </c>
      <c r="F4" s="33">
        <f>IFERROR(E4/D4, "")</f>
        <v>5.9968845497716125E-2</v>
      </c>
      <c r="G4" s="32">
        <v>49997</v>
      </c>
      <c r="H4" s="32">
        <f>IF(AND(ISNUMBER(C4),ISNUMBER(G4)), C4-G4, "")</f>
        <v>3425.875</v>
      </c>
      <c r="I4" s="33">
        <f>IFERROR(H4/G4, "")</f>
        <v>6.8521611296677803E-2</v>
      </c>
      <c r="J4" s="50" t="s">
        <v>22</v>
      </c>
      <c r="K4" s="67" t="s">
        <v>23</v>
      </c>
      <c r="L4" s="71"/>
      <c r="M4" s="71"/>
      <c r="N4" s="71"/>
      <c r="O4" s="71"/>
    </row>
    <row r="5" spans="1:16" ht="111.75" customHeight="1" x14ac:dyDescent="0.25">
      <c r="A5" s="46" t="str">
        <v>Adelanto - 1 Sheep Creek Road</v>
      </c>
      <c r="B5" s="43" t="str">
        <v>CA</v>
      </c>
      <c r="C5" s="37">
        <v>434343</v>
      </c>
      <c r="D5" s="37">
        <v>163616.26999999999</v>
      </c>
      <c r="E5" s="37">
        <f t="shared" ref="E5:E15" si="0">IF(AND(ISNUMBER(C5),ISNUMBER(D5)), C5-D5, "")</f>
        <v>270726.73</v>
      </c>
      <c r="F5" s="38">
        <f t="shared" ref="F5:F21" si="1">IFERROR(E5/D5, "")</f>
        <v>1.6546443089064431</v>
      </c>
      <c r="G5" s="39">
        <v>479912.62</v>
      </c>
      <c r="H5" s="39">
        <f t="shared" ref="H5:H6" si="2">IF(AND(ISNUMBER(C5),ISNUMBER(G5)), C5-G5, "")</f>
        <v>-45569.619999999995</v>
      </c>
      <c r="I5" s="38">
        <f t="shared" ref="I5:I6" si="3">IFERROR(H5/G5, "")</f>
        <v>-9.4953993916642568E-2</v>
      </c>
      <c r="J5" s="59" t="s">
        <v>24</v>
      </c>
      <c r="K5" s="68" t="s">
        <v>25</v>
      </c>
      <c r="L5" s="72" t="s">
        <v>26</v>
      </c>
      <c r="M5" s="72" t="s">
        <v>27</v>
      </c>
      <c r="N5" s="72" t="s">
        <v>28</v>
      </c>
      <c r="O5" s="71"/>
    </row>
    <row r="6" spans="1:16" ht="171.75" customHeight="1" x14ac:dyDescent="0.25">
      <c r="A6" s="44" t="str">
        <v>Blackstone - 83 Federal Street</v>
      </c>
      <c r="B6" s="41" t="str">
        <v>MA</v>
      </c>
      <c r="C6" s="29">
        <v>221322</v>
      </c>
      <c r="D6" s="30">
        <v>519101.6</v>
      </c>
      <c r="E6" s="30">
        <f t="shared" si="0"/>
        <v>-297779.59999999998</v>
      </c>
      <c r="F6" s="33">
        <f t="shared" si="1"/>
        <v>-0.57364415752137921</v>
      </c>
      <c r="G6" s="32">
        <v>384369.8</v>
      </c>
      <c r="H6" s="32">
        <f t="shared" si="2"/>
        <v>-163047.79999999999</v>
      </c>
      <c r="I6" s="33">
        <f t="shared" si="3"/>
        <v>-0.42419513707892764</v>
      </c>
      <c r="J6" s="50" t="s">
        <v>29</v>
      </c>
      <c r="K6" s="67" t="s">
        <v>30</v>
      </c>
      <c r="L6" s="72" t="s">
        <v>31</v>
      </c>
      <c r="M6" s="72" t="s">
        <v>32</v>
      </c>
      <c r="N6" s="72" t="s">
        <v>33</v>
      </c>
      <c r="O6" s="72" t="s">
        <v>34</v>
      </c>
      <c r="P6" s="69" t="s">
        <v>35</v>
      </c>
    </row>
    <row r="7" spans="1:16" ht="15.6" x14ac:dyDescent="0.25">
      <c r="A7" s="46" t="str">
        <v>Charlton - 299 Worcester Road</v>
      </c>
      <c r="B7" s="43" t="str">
        <v>MA</v>
      </c>
      <c r="C7" s="37">
        <v>23675</v>
      </c>
      <c r="D7" s="37">
        <v>33780.06</v>
      </c>
      <c r="E7" s="37">
        <f t="shared" si="0"/>
        <v>-10105.059999999998</v>
      </c>
      <c r="F7" s="38">
        <f t="shared" si="1"/>
        <v>-0.29914274871033381</v>
      </c>
      <c r="G7" s="39">
        <v>31670.95</v>
      </c>
      <c r="H7" s="39">
        <f t="shared" ref="H7:H15" si="4">IF(AND(ISNUMBER(C7),ISNUMBER(G7)), C7-G7, "")</f>
        <v>-7995.9500000000007</v>
      </c>
      <c r="I7" s="38">
        <f t="shared" ref="I7:I15" si="5">IFERROR(H7/G7, "")</f>
        <v>-0.25246953438403336</v>
      </c>
      <c r="J7" s="51" t="s">
        <v>36</v>
      </c>
      <c r="K7" s="51"/>
      <c r="L7" s="71"/>
      <c r="M7" s="71"/>
      <c r="N7" s="71"/>
      <c r="O7" s="71"/>
    </row>
    <row r="8" spans="1:16" ht="15.6" x14ac:dyDescent="0.25">
      <c r="A8" s="44" t="str">
        <v>Wareham - 8 Thatcher Drive</v>
      </c>
      <c r="B8" s="41" t="str">
        <v>MA</v>
      </c>
      <c r="C8" s="29">
        <v>7554.0625</v>
      </c>
      <c r="D8" s="30">
        <v>9317.2880000000005</v>
      </c>
      <c r="E8" s="30">
        <f t="shared" si="0"/>
        <v>-1763.2255000000005</v>
      </c>
      <c r="F8" s="33">
        <f t="shared" si="1"/>
        <v>-0.18924235249570481</v>
      </c>
      <c r="G8" s="32">
        <v>8974.43</v>
      </c>
      <c r="H8" s="32">
        <f t="shared" si="4"/>
        <v>-1420.3675000000003</v>
      </c>
      <c r="I8" s="33">
        <f t="shared" si="5"/>
        <v>-0.15826826884827228</v>
      </c>
      <c r="J8" s="50" t="s">
        <v>36</v>
      </c>
      <c r="K8" s="50"/>
      <c r="L8" s="71"/>
      <c r="M8" s="71"/>
      <c r="N8" s="71"/>
      <c r="O8" s="71"/>
    </row>
    <row r="9" spans="1:16" ht="26.4" x14ac:dyDescent="0.25">
      <c r="A9" s="46" t="str">
        <v>West Yarmouth - 42 Mid Tech</v>
      </c>
      <c r="B9" s="43" t="str">
        <v>MA</v>
      </c>
      <c r="C9" s="37">
        <v>5192.6951828540796</v>
      </c>
      <c r="D9" s="37">
        <v>6591.808</v>
      </c>
      <c r="E9" s="37">
        <f t="shared" si="0"/>
        <v>-1399.1128171459204</v>
      </c>
      <c r="F9" s="38">
        <f t="shared" si="1"/>
        <v>-0.21225023804484602</v>
      </c>
      <c r="G9" s="39">
        <v>6769.91</v>
      </c>
      <c r="H9" s="39">
        <f t="shared" si="4"/>
        <v>-1577.2148171459203</v>
      </c>
      <c r="I9" s="38">
        <f t="shared" si="5"/>
        <v>-0.2329742665923063</v>
      </c>
      <c r="J9" s="59" t="s">
        <v>37</v>
      </c>
      <c r="K9" s="68" t="s">
        <v>38</v>
      </c>
      <c r="L9" s="72" t="s">
        <v>39</v>
      </c>
      <c r="M9" s="71"/>
      <c r="N9" s="71"/>
      <c r="O9" s="71"/>
    </row>
    <row r="10" spans="1:16" ht="15.6" x14ac:dyDescent="0.25">
      <c r="A10" s="44" t="str">
        <v>Harrison - 130 Union Street</v>
      </c>
      <c r="B10" s="41" t="str">
        <v>NY</v>
      </c>
      <c r="C10" s="29">
        <v>9045.625</v>
      </c>
      <c r="D10" s="30">
        <v>14196.66</v>
      </c>
      <c r="E10" s="30">
        <f t="shared" si="0"/>
        <v>-5151.0349999999999</v>
      </c>
      <c r="F10" s="33">
        <f t="shared" si="1"/>
        <v>-0.36283428637440074</v>
      </c>
      <c r="G10" s="32">
        <v>10694.18</v>
      </c>
      <c r="H10" s="32">
        <f t="shared" si="4"/>
        <v>-1648.5550000000003</v>
      </c>
      <c r="I10" s="33">
        <f t="shared" si="5"/>
        <v>-0.15415440922071633</v>
      </c>
      <c r="J10" s="50" t="s">
        <v>36</v>
      </c>
      <c r="K10" s="50"/>
      <c r="L10" s="71"/>
      <c r="M10" s="71"/>
      <c r="N10" s="71"/>
      <c r="O10" s="71"/>
    </row>
    <row r="11" spans="1:16" ht="15.6" x14ac:dyDescent="0.25">
      <c r="A11" s="46" t="str">
        <v>Staten Island - Ellis Storage</v>
      </c>
      <c r="B11" s="43" t="str">
        <v>NY</v>
      </c>
      <c r="C11" s="37">
        <v>22396.625</v>
      </c>
      <c r="D11" s="37">
        <v>27928.2</v>
      </c>
      <c r="E11" s="37">
        <f t="shared" si="0"/>
        <v>-5531.5750000000007</v>
      </c>
      <c r="F11" s="38">
        <f t="shared" si="1"/>
        <v>-0.19806414305254189</v>
      </c>
      <c r="G11" s="39">
        <v>22865</v>
      </c>
      <c r="H11" s="39">
        <f t="shared" si="4"/>
        <v>-468.375</v>
      </c>
      <c r="I11" s="38">
        <f t="shared" si="5"/>
        <v>-2.0484364749617318E-2</v>
      </c>
      <c r="J11" s="51" t="s">
        <v>36</v>
      </c>
      <c r="K11" s="51"/>
      <c r="L11" s="71"/>
      <c r="M11" s="71"/>
      <c r="N11" s="71"/>
      <c r="O11" s="71"/>
    </row>
    <row r="12" spans="1:16" ht="28.8" x14ac:dyDescent="0.25">
      <c r="A12" s="44" t="str">
        <v>Amherst - 595 Schoelles Road</v>
      </c>
      <c r="B12" s="41" t="str">
        <v>NY</v>
      </c>
      <c r="C12" s="29">
        <v>176317</v>
      </c>
      <c r="D12" s="30">
        <v>351737</v>
      </c>
      <c r="E12" s="30">
        <f t="shared" si="0"/>
        <v>-175420</v>
      </c>
      <c r="F12" s="33">
        <f t="shared" si="1"/>
        <v>-0.49872489956984906</v>
      </c>
      <c r="G12" s="32">
        <v>279121.59999999998</v>
      </c>
      <c r="H12" s="32">
        <f t="shared" si="4"/>
        <v>-102804.59999999998</v>
      </c>
      <c r="I12" s="33">
        <f t="shared" si="5"/>
        <v>-0.36831474167531281</v>
      </c>
      <c r="J12" s="50" t="s">
        <v>40</v>
      </c>
      <c r="K12" s="67" t="s">
        <v>41</v>
      </c>
      <c r="L12" s="71"/>
      <c r="M12" s="71"/>
      <c r="N12" s="71"/>
      <c r="O12" s="71"/>
    </row>
    <row r="13" spans="1:16" ht="15.6" x14ac:dyDescent="0.25">
      <c r="A13" s="46" t="str">
        <v>Lancaster 1 - Gunnville Road</v>
      </c>
      <c r="B13" s="43" t="str">
        <v>NY</v>
      </c>
      <c r="C13" s="37">
        <v>167972</v>
      </c>
      <c r="D13" s="37">
        <v>298839.7</v>
      </c>
      <c r="E13" s="37">
        <f t="shared" si="0"/>
        <v>-130867.70000000001</v>
      </c>
      <c r="F13" s="38">
        <f t="shared" si="1"/>
        <v>-0.43791939290529341</v>
      </c>
      <c r="G13" s="39">
        <v>191771</v>
      </c>
      <c r="H13" s="39">
        <f t="shared" si="4"/>
        <v>-23799</v>
      </c>
      <c r="I13" s="38">
        <f t="shared" si="5"/>
        <v>-0.12410114146560221</v>
      </c>
      <c r="J13" s="51" t="s">
        <v>36</v>
      </c>
      <c r="K13" s="51"/>
      <c r="L13" s="71"/>
      <c r="M13" s="71"/>
      <c r="N13" s="71"/>
      <c r="O13" s="71"/>
    </row>
    <row r="14" spans="1:16" ht="62.25" customHeight="1" x14ac:dyDescent="0.25">
      <c r="A14" s="44" t="str">
        <v>Lancaster 2 - Shisler Road</v>
      </c>
      <c r="B14" s="41" t="str">
        <v>NY</v>
      </c>
      <c r="C14" s="29">
        <v>146912</v>
      </c>
      <c r="D14" s="30">
        <v>352791.9</v>
      </c>
      <c r="E14" s="30">
        <f t="shared" si="0"/>
        <v>-205879.90000000002</v>
      </c>
      <c r="F14" s="33">
        <f t="shared" si="1"/>
        <v>-0.58357320562065063</v>
      </c>
      <c r="G14" s="32">
        <v>204880</v>
      </c>
      <c r="H14" s="32">
        <f t="shared" si="4"/>
        <v>-57968</v>
      </c>
      <c r="I14" s="33">
        <f t="shared" si="5"/>
        <v>-0.28293635298711439</v>
      </c>
      <c r="J14" s="50" t="s">
        <v>42</v>
      </c>
      <c r="K14" s="67" t="s">
        <v>43</v>
      </c>
      <c r="L14" s="72" t="s">
        <v>44</v>
      </c>
      <c r="M14" s="72" t="s">
        <v>45</v>
      </c>
      <c r="N14" s="72" t="s">
        <v>46</v>
      </c>
      <c r="O14" s="71"/>
    </row>
    <row r="15" spans="1:16" ht="15.6" x14ac:dyDescent="0.25">
      <c r="A15" s="46" t="str">
        <v>Fullerton - 200 W Orangethorpe</v>
      </c>
      <c r="B15" s="43" t="str">
        <v>CA</v>
      </c>
      <c r="C15" s="37">
        <v>63628.546250000101</v>
      </c>
      <c r="D15" s="37">
        <v>73372.12</v>
      </c>
      <c r="E15" s="37">
        <f t="shared" si="0"/>
        <v>-9743.5737499998941</v>
      </c>
      <c r="F15" s="38">
        <f t="shared" si="1"/>
        <v>-0.13279667740280496</v>
      </c>
      <c r="G15" s="39">
        <v>74894</v>
      </c>
      <c r="H15" s="39">
        <f t="shared" si="4"/>
        <v>-11265.453749999899</v>
      </c>
      <c r="I15" s="38">
        <f t="shared" si="5"/>
        <v>-0.15041864168024005</v>
      </c>
      <c r="J15" s="51" t="s">
        <v>36</v>
      </c>
      <c r="K15" s="51"/>
      <c r="L15" s="71"/>
      <c r="M15" s="71"/>
      <c r="N15" s="71"/>
      <c r="O15" s="71"/>
    </row>
    <row r="16" spans="1:16" ht="15.6" x14ac:dyDescent="0.25">
      <c r="A16" s="44" t="str">
        <v>El Paso - 10500 Railroad Drive</v>
      </c>
      <c r="B16" s="41" t="str">
        <v>TX</v>
      </c>
      <c r="C16" s="29">
        <v>93351.5</v>
      </c>
      <c r="D16" s="30">
        <v>90713.1</v>
      </c>
      <c r="E16" s="30">
        <f t="shared" ref="E16:E21" si="6">IF(AND(ISNUMBER(C16),ISNUMBER(D16)), C16-D16, "")</f>
        <v>2638.3999999999942</v>
      </c>
      <c r="F16" s="33">
        <f t="shared" si="1"/>
        <v>2.9085104576957396E-2</v>
      </c>
      <c r="G16" s="32">
        <v>95865</v>
      </c>
      <c r="H16" s="32">
        <f t="shared" ref="H16:H21" si="7">IF(AND(ISNUMBER(C16),ISNUMBER(G16)), C16-G16, "")</f>
        <v>-2513.5</v>
      </c>
      <c r="I16" s="33">
        <f t="shared" ref="I16:I21" si="8">IFERROR(H16/G16, "")</f>
        <v>-2.6219162363740677E-2</v>
      </c>
      <c r="J16" s="50"/>
      <c r="K16" s="50"/>
      <c r="L16" s="71"/>
      <c r="M16" s="71"/>
      <c r="N16" s="71"/>
      <c r="O16" s="71"/>
    </row>
    <row r="17" spans="1:15" ht="28.8" x14ac:dyDescent="0.25">
      <c r="A17" s="46" t="str">
        <v>Friona - 900 Millard Ave</v>
      </c>
      <c r="B17" s="42" t="str">
        <v>TX</v>
      </c>
      <c r="C17" s="37">
        <v>69688.25</v>
      </c>
      <c r="D17" s="37">
        <v>68867.83</v>
      </c>
      <c r="E17" s="37">
        <f t="shared" si="6"/>
        <v>820.41999999999825</v>
      </c>
      <c r="F17" s="33">
        <f t="shared" si="1"/>
        <v>1.1912964296972885E-2</v>
      </c>
      <c r="G17" s="39">
        <v>72736</v>
      </c>
      <c r="H17" s="39">
        <f t="shared" si="7"/>
        <v>-3047.75</v>
      </c>
      <c r="I17" s="33">
        <f t="shared" si="8"/>
        <v>-4.1901534315882095E-2</v>
      </c>
      <c r="J17" s="51" t="s">
        <v>47</v>
      </c>
      <c r="K17" s="70" t="s">
        <v>48</v>
      </c>
      <c r="L17" s="71"/>
      <c r="M17" s="71"/>
      <c r="N17" s="71"/>
      <c r="O17" s="71"/>
    </row>
    <row r="18" spans="1:15" ht="15.6" x14ac:dyDescent="0.25">
      <c r="A18" s="44" t="str">
        <v>Augusta - 13 York Farm Road</v>
      </c>
      <c r="B18" s="41" t="str">
        <v>ME</v>
      </c>
      <c r="C18" s="29">
        <v>69027.875</v>
      </c>
      <c r="D18" s="30">
        <v>131266.29999999999</v>
      </c>
      <c r="E18" s="30">
        <f t="shared" si="6"/>
        <v>-62238.424999999988</v>
      </c>
      <c r="F18" s="33">
        <f t="shared" si="1"/>
        <v>-0.47413864030600383</v>
      </c>
      <c r="G18" s="32">
        <v>92474</v>
      </c>
      <c r="H18" s="32">
        <f t="shared" si="7"/>
        <v>-23446.125</v>
      </c>
      <c r="I18" s="33">
        <f t="shared" si="8"/>
        <v>-0.25354288773060535</v>
      </c>
      <c r="J18" s="50" t="s">
        <v>36</v>
      </c>
      <c r="K18" s="50"/>
      <c r="L18" s="71"/>
      <c r="M18" s="71"/>
      <c r="N18" s="71"/>
      <c r="O18" s="71"/>
    </row>
    <row r="19" spans="1:15" ht="15.6" x14ac:dyDescent="0.25">
      <c r="A19" s="42" t="str">
        <v xml:space="preserve">Santa Ana - 1441 West </v>
      </c>
      <c r="B19" s="43" t="str">
        <v>CA</v>
      </c>
      <c r="C19" s="36">
        <v>36286.8125</v>
      </c>
      <c r="D19" s="37">
        <v>40826.68</v>
      </c>
      <c r="E19" s="37">
        <f t="shared" si="6"/>
        <v>-4539.8675000000003</v>
      </c>
      <c r="F19" s="33">
        <f t="shared" si="1"/>
        <v>-0.11119854712653589</v>
      </c>
      <c r="G19" s="39">
        <v>47186.47</v>
      </c>
      <c r="H19" s="39">
        <f t="shared" si="7"/>
        <v>-10899.657500000001</v>
      </c>
      <c r="I19" s="65">
        <f t="shared" si="8"/>
        <v>-0.23099116123753272</v>
      </c>
      <c r="J19" s="66" t="s">
        <v>36</v>
      </c>
      <c r="K19" s="52"/>
      <c r="L19" s="71"/>
      <c r="M19" s="71"/>
      <c r="N19" s="71"/>
      <c r="O19" s="71"/>
    </row>
    <row r="20" spans="1:15" ht="15.6" x14ac:dyDescent="0.25">
      <c r="A20" s="44" t="str">
        <v>Jessup -7950 Oceano Ave</v>
      </c>
      <c r="B20" s="41" t="str">
        <v>MD</v>
      </c>
      <c r="C20" s="29">
        <v>84487.625</v>
      </c>
      <c r="D20" s="30">
        <v>145532</v>
      </c>
      <c r="E20" s="30">
        <f t="shared" si="6"/>
        <v>-61044.375</v>
      </c>
      <c r="F20" s="33">
        <f t="shared" si="1"/>
        <v>-0.41945671742297225</v>
      </c>
      <c r="G20" s="32">
        <v>121367.7</v>
      </c>
      <c r="H20" s="32">
        <f t="shared" si="7"/>
        <v>-36880.074999999997</v>
      </c>
      <c r="I20" s="33">
        <f t="shared" si="8"/>
        <v>-0.30387059324680288</v>
      </c>
      <c r="J20" s="50" t="s">
        <v>49</v>
      </c>
      <c r="K20" s="67" t="s">
        <v>50</v>
      </c>
      <c r="L20" s="71"/>
      <c r="M20" s="71"/>
      <c r="N20" s="71"/>
      <c r="O20" s="71"/>
    </row>
    <row r="21" spans="1:15" ht="15.6" x14ac:dyDescent="0.25">
      <c r="A21" s="42" t="str">
        <v xml:space="preserve">TX: Fort Worth - 5200 Gold Spike Dr </v>
      </c>
      <c r="B21" s="43" t="str">
        <v>TX</v>
      </c>
      <c r="C21" s="36"/>
      <c r="D21" s="37"/>
      <c r="E21" s="37" t="str">
        <f t="shared" si="6"/>
        <v/>
      </c>
      <c r="F21" s="33" t="str">
        <f t="shared" si="1"/>
        <v/>
      </c>
      <c r="G21" s="39"/>
      <c r="H21" s="39" t="str">
        <f t="shared" si="7"/>
        <v/>
      </c>
      <c r="I21" s="65" t="str">
        <f t="shared" si="8"/>
        <v/>
      </c>
      <c r="J21" s="66"/>
      <c r="K21" s="52"/>
      <c r="L21" s="71"/>
      <c r="M21" s="71"/>
      <c r="N21" s="71"/>
      <c r="O21" s="71"/>
    </row>
    <row r="22" spans="1:15" ht="14.4" x14ac:dyDescent="0.3">
      <c r="A22" s="9" t="str">
        <v>NY: Clifton Springs - Ontario 2 (21597)</v>
      </c>
      <c r="B22" s="14" t="str">
        <v>NY</v>
      </c>
      <c r="C22" s="9"/>
      <c r="D22" s="9"/>
      <c r="E22" s="9"/>
      <c r="F22" s="9"/>
      <c r="G22" s="9"/>
      <c r="H22" s="9"/>
      <c r="I22" s="9"/>
      <c r="J22" s="9"/>
      <c r="K22" s="9"/>
    </row>
    <row r="23" spans="1:15" ht="14.4" x14ac:dyDescent="0.3">
      <c r="A23" s="9" t="str">
        <v>CA: Oxnard - 2600 Sakioka - System A</v>
      </c>
      <c r="B23" s="14" t="str">
        <v>CA</v>
      </c>
      <c r="C23" s="9"/>
      <c r="D23" s="9"/>
      <c r="E23" s="9"/>
      <c r="F23" s="9"/>
      <c r="G23" s="9"/>
      <c r="H23" s="9"/>
      <c r="I23" s="9"/>
      <c r="J23" s="9"/>
      <c r="K23" s="9"/>
    </row>
    <row r="24" spans="1:15" ht="14.4" x14ac:dyDescent="0.3">
      <c r="A24" s="9" t="str">
        <v>CA: Oxnard - 2600 Sakioka - System B</v>
      </c>
      <c r="B24" s="14" t="str">
        <v>CA</v>
      </c>
      <c r="C24" s="9"/>
      <c r="D24" s="9"/>
      <c r="E24" s="9"/>
      <c r="F24" s="10"/>
      <c r="G24" s="9"/>
      <c r="H24" s="9"/>
      <c r="I24" s="10"/>
      <c r="J24" s="9"/>
      <c r="K24" s="9"/>
    </row>
    <row r="25" spans="1:15" ht="14.4" x14ac:dyDescent="0.3">
      <c r="A25" s="9" t="str">
        <v>NY: Fonda - Montgomery 1 (21601)</v>
      </c>
      <c r="B25" s="14" t="str">
        <v>NY</v>
      </c>
      <c r="C25" s="9"/>
      <c r="D25" s="9"/>
      <c r="E25" s="9"/>
      <c r="F25" s="10"/>
      <c r="G25" s="9"/>
      <c r="H25" s="9"/>
      <c r="I25" s="10"/>
      <c r="J25" s="9"/>
      <c r="K25" s="9"/>
    </row>
    <row r="26" spans="1:15" ht="14.4" x14ac:dyDescent="0.3">
      <c r="A26" s="9" t="str">
        <v>NY: Evans - SL Evans Array 1 (21106) - (PW)</v>
      </c>
      <c r="B26" s="14" t="str">
        <v>NY</v>
      </c>
      <c r="C26" s="9"/>
      <c r="D26" s="9"/>
      <c r="E26" s="9"/>
      <c r="F26" s="10"/>
      <c r="G26" s="9"/>
      <c r="H26" s="9"/>
      <c r="I26" s="10"/>
      <c r="J26" s="9"/>
      <c r="K26" s="9"/>
    </row>
    <row r="27" spans="1:15" ht="14.4" x14ac:dyDescent="0.3">
      <c r="A27" s="9" t="str">
        <v>NY: Evans - SL Evans Array 2 (21107) - (PW)</v>
      </c>
      <c r="B27" s="14" t="str">
        <v>NY</v>
      </c>
      <c r="C27" s="9"/>
      <c r="D27" s="9"/>
      <c r="E27" s="9"/>
      <c r="F27" s="10"/>
      <c r="G27" s="9"/>
      <c r="H27" s="9"/>
      <c r="I27" s="10"/>
      <c r="J27" s="9"/>
      <c r="K27" s="9"/>
    </row>
    <row r="28" spans="1:15" ht="14.4" x14ac:dyDescent="0.3">
      <c r="A28" s="9"/>
      <c r="B28" s="14"/>
      <c r="C28" s="9"/>
      <c r="D28" s="9"/>
      <c r="E28" s="9"/>
      <c r="F28" s="10"/>
      <c r="G28" s="9"/>
      <c r="H28" s="9"/>
      <c r="I28" s="10"/>
      <c r="J28" s="9"/>
      <c r="K28" s="9"/>
    </row>
    <row r="29" spans="1:15" ht="14.4" x14ac:dyDescent="0.3">
      <c r="A29" s="9"/>
      <c r="B29" s="14"/>
      <c r="C29" s="9"/>
      <c r="D29" s="9"/>
      <c r="E29" s="9"/>
      <c r="F29" s="10"/>
      <c r="G29" s="9"/>
      <c r="H29" s="9"/>
      <c r="I29" s="10"/>
      <c r="J29" s="9"/>
      <c r="K29" s="9"/>
    </row>
    <row r="30" spans="1:15" ht="14.4" x14ac:dyDescent="0.3">
      <c r="A30" s="9"/>
      <c r="B30" s="14"/>
      <c r="C30" s="9"/>
      <c r="D30" s="9"/>
      <c r="E30" s="9"/>
      <c r="F30" s="10"/>
      <c r="G30" s="9"/>
      <c r="H30" s="9"/>
      <c r="I30" s="10"/>
      <c r="J30" s="9"/>
      <c r="K30" s="9"/>
    </row>
    <row r="31" spans="1:15" ht="14.4" x14ac:dyDescent="0.3">
      <c r="A31" s="9"/>
      <c r="B31" s="14"/>
      <c r="C31" s="9"/>
      <c r="D31" s="9"/>
      <c r="E31" s="9"/>
      <c r="F31" s="10"/>
      <c r="G31" s="9"/>
      <c r="H31" s="9"/>
      <c r="I31" s="10"/>
      <c r="J31" s="9"/>
      <c r="K31" s="9"/>
    </row>
    <row r="32" spans="1:15"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sheetData>
  <mergeCells count="4">
    <mergeCell ref="D1:F1"/>
    <mergeCell ref="A1:C1"/>
    <mergeCell ref="G1:I1"/>
    <mergeCell ref="A2:B2"/>
  </mergeCells>
  <conditionalFormatting sqref="F2 I2">
    <cfRule type="cellIs" dxfId="41" priority="8" stopIfTrue="1" operator="lessThanOrEqual">
      <formula>-0.1</formula>
    </cfRule>
    <cfRule type="expression" dxfId="40" priority="9">
      <formula>AND(ISNUMBER(F2), F2&gt;=0.1)</formula>
    </cfRule>
  </conditionalFormatting>
  <conditionalFormatting sqref="F4:F91 I4:I91">
    <cfRule type="cellIs" dxfId="39" priority="1" stopIfTrue="1" operator="lessThanOrEqual">
      <formula>-0.1</formula>
    </cfRule>
    <cfRule type="expression" dxfId="38"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topRight" activeCell="E11" sqref="E11"/>
      <selection pane="bottomLeft" activeCell="E11" sqref="E11"/>
      <selection pane="bottomRight" activeCell="C5" sqref="C5"/>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80.109375" customWidth="1"/>
    <col min="11" max="11" width="20.5546875" bestFit="1" customWidth="1"/>
    <col min="12" max="13" width="8.88671875" style="71"/>
  </cols>
  <sheetData>
    <row r="1" spans="1:13" ht="19.5" customHeight="1" x14ac:dyDescent="0.25">
      <c r="A1" s="96" t="str" cm="1">
        <f t="array" ref="A1">portfolio</f>
        <v>Catalyze</v>
      </c>
      <c r="B1" s="96"/>
      <c r="C1" s="96"/>
      <c r="D1" s="97" t="s">
        <v>51</v>
      </c>
      <c r="E1" s="97"/>
      <c r="F1" s="97"/>
      <c r="G1" s="95" t="s">
        <v>52</v>
      </c>
      <c r="H1" s="95"/>
      <c r="I1" s="95"/>
      <c r="J1" s="4"/>
      <c r="K1" s="4"/>
    </row>
    <row r="2" spans="1:13" ht="19.5" customHeight="1" x14ac:dyDescent="0.25">
      <c r="A2" s="98" t="s">
        <v>2</v>
      </c>
      <c r="B2" s="98"/>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2"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5">
      <c r="A3" s="13" t="s">
        <v>3</v>
      </c>
      <c r="B3" s="13" t="s">
        <v>4</v>
      </c>
      <c r="C3" s="20" t="s">
        <v>5</v>
      </c>
      <c r="D3" s="21" t="s">
        <v>6</v>
      </c>
      <c r="E3" s="21" t="s">
        <v>7</v>
      </c>
      <c r="F3" s="22" t="s">
        <v>8</v>
      </c>
      <c r="G3" s="23" t="s">
        <v>9</v>
      </c>
      <c r="H3" s="24" t="s">
        <v>7</v>
      </c>
      <c r="I3" s="25" t="s">
        <v>8</v>
      </c>
      <c r="J3" s="11" t="s">
        <v>20</v>
      </c>
      <c r="K3" s="11" t="s">
        <v>21</v>
      </c>
    </row>
    <row r="4" spans="1:13" ht="57.6" x14ac:dyDescent="0.3">
      <c r="A4" s="45" t="str" cm="1">
        <f t="array" ref="A4:A27">Sites[Site]</f>
        <v>Fresno - 3150 Shaw Ave</v>
      </c>
      <c r="B4" s="41" t="str" cm="1">
        <f t="array" ref="B4:B27">Sites[State]</f>
        <v>CA</v>
      </c>
      <c r="C4" s="29">
        <v>55837</v>
      </c>
      <c r="D4" s="30">
        <v>53033.79</v>
      </c>
      <c r="E4" s="30">
        <f>IF(AND(ISNUMBER(C4),ISNUMBER(D4)), C4-D4, "")</f>
        <v>2803.2099999999991</v>
      </c>
      <c r="F4" s="31">
        <f>IFERROR(E4/D4, "")</f>
        <v>5.2857055850618992E-2</v>
      </c>
      <c r="G4" s="32">
        <v>57896.36</v>
      </c>
      <c r="H4" s="32">
        <f>IF(AND(ISNUMBER(C4),ISNUMBER(G4)), C4-G4, "")</f>
        <v>-2059.3600000000006</v>
      </c>
      <c r="I4" s="33">
        <f>IFERROR(H4/G4, "")</f>
        <v>-3.556976638945869E-2</v>
      </c>
      <c r="J4" s="50" t="s">
        <v>53</v>
      </c>
      <c r="K4" s="67" t="s">
        <v>54</v>
      </c>
      <c r="L4" s="72" t="s">
        <v>55</v>
      </c>
      <c r="M4" s="72" t="s">
        <v>56</v>
      </c>
    </row>
    <row r="5" spans="1:13" ht="43.2" x14ac:dyDescent="0.25">
      <c r="A5" s="46" t="str">
        <v>Adelanto - 1 Sheep Creek Road</v>
      </c>
      <c r="B5" s="43" t="str">
        <v>CA</v>
      </c>
      <c r="C5" s="36">
        <v>539830</v>
      </c>
      <c r="D5" s="37">
        <v>415542.92</v>
      </c>
      <c r="E5" s="37">
        <f t="shared" ref="E5:E15" si="0">IF(AND(ISNUMBER(C5),ISNUMBER(D5)), C5-D5, "")</f>
        <v>124287.08000000002</v>
      </c>
      <c r="F5" s="38">
        <f>IFERROR(E5/D5, "")</f>
        <v>0.29909565057684057</v>
      </c>
      <c r="G5" s="39">
        <v>569668.74</v>
      </c>
      <c r="H5" s="39">
        <f t="shared" ref="H5:H15" si="1">IF(AND(ISNUMBER(C5),ISNUMBER(G5)), C5-G5, "")</f>
        <v>-29838.739999999991</v>
      </c>
      <c r="I5" s="38">
        <f t="shared" ref="I5:I15" si="2">IFERROR(H5/G5, "")</f>
        <v>-5.2379107198334232E-2</v>
      </c>
      <c r="J5" s="59" t="s">
        <v>57</v>
      </c>
      <c r="K5" s="68" t="s">
        <v>58</v>
      </c>
      <c r="L5" s="72" t="s">
        <v>27</v>
      </c>
      <c r="M5" s="72" t="s">
        <v>59</v>
      </c>
    </row>
    <row r="6" spans="1:13" ht="15.6" x14ac:dyDescent="0.25">
      <c r="A6" s="47" t="str">
        <v>Blackstone - 83 Federal Street</v>
      </c>
      <c r="B6" s="41" t="str">
        <v>MA</v>
      </c>
      <c r="C6" s="29">
        <v>344694.9</v>
      </c>
      <c r="D6" s="37">
        <v>508146.2</v>
      </c>
      <c r="E6" s="30">
        <f t="shared" si="0"/>
        <v>-163451.29999999999</v>
      </c>
      <c r="F6" s="31">
        <f t="shared" ref="F6:F15" si="3">IFERROR(E6/D6, "")</f>
        <v>-0.32166195476813558</v>
      </c>
      <c r="G6" s="32">
        <v>491267.1</v>
      </c>
      <c r="H6" s="32">
        <f t="shared" si="1"/>
        <v>-146572.19999999995</v>
      </c>
      <c r="I6" s="33">
        <f t="shared" si="2"/>
        <v>-0.29835541602521309</v>
      </c>
      <c r="J6" s="50" t="s">
        <v>60</v>
      </c>
      <c r="K6" s="67" t="s">
        <v>61</v>
      </c>
    </row>
    <row r="7" spans="1:13" ht="62.25" customHeight="1" x14ac:dyDescent="0.25">
      <c r="A7" s="46" t="str">
        <v>Charlton - 299 Worcester Road</v>
      </c>
      <c r="B7" s="43" t="str">
        <v>MA</v>
      </c>
      <c r="C7" s="36">
        <v>27164.5</v>
      </c>
      <c r="D7" s="37">
        <v>42025.38</v>
      </c>
      <c r="E7" s="37">
        <f t="shared" si="0"/>
        <v>-14860.879999999997</v>
      </c>
      <c r="F7" s="38">
        <f t="shared" si="3"/>
        <v>-0.3536167906155756</v>
      </c>
      <c r="G7" s="39">
        <v>31343.27</v>
      </c>
      <c r="H7" s="39">
        <f t="shared" si="1"/>
        <v>-4178.7700000000004</v>
      </c>
      <c r="I7" s="38">
        <f t="shared" si="2"/>
        <v>-0.13332271967794043</v>
      </c>
      <c r="J7" s="51" t="s">
        <v>62</v>
      </c>
      <c r="K7" s="70" t="s">
        <v>63</v>
      </c>
    </row>
    <row r="8" spans="1:13" ht="15.6" x14ac:dyDescent="0.25">
      <c r="A8" s="47" t="str">
        <v>Wareham - 8 Thatcher Drive</v>
      </c>
      <c r="B8" s="41" t="str">
        <v>MA</v>
      </c>
      <c r="C8" s="29">
        <v>9151.0625</v>
      </c>
      <c r="D8" s="37">
        <v>10698.21</v>
      </c>
      <c r="E8" s="30">
        <f t="shared" si="0"/>
        <v>-1547.1474999999991</v>
      </c>
      <c r="F8" s="31">
        <f t="shared" si="3"/>
        <v>-0.14461741730625957</v>
      </c>
      <c r="G8" s="32">
        <v>11033.87</v>
      </c>
      <c r="H8" s="32">
        <f t="shared" si="1"/>
        <v>-1882.8075000000008</v>
      </c>
      <c r="I8" s="33">
        <f t="shared" si="2"/>
        <v>-0.17063890547921995</v>
      </c>
      <c r="J8" s="50" t="s">
        <v>64</v>
      </c>
      <c r="K8" s="67"/>
    </row>
    <row r="9" spans="1:13" ht="15.6" x14ac:dyDescent="0.25">
      <c r="A9" s="46" t="str">
        <v>West Yarmouth - 42 Mid Tech</v>
      </c>
      <c r="B9" s="43" t="str">
        <v>MA</v>
      </c>
      <c r="C9" s="36">
        <v>7255.8318474293901</v>
      </c>
      <c r="D9" s="37">
        <v>9324.2019999999993</v>
      </c>
      <c r="E9" s="37">
        <f t="shared" si="0"/>
        <v>-2068.3701525706092</v>
      </c>
      <c r="F9" s="38">
        <f t="shared" si="3"/>
        <v>-0.22182811489611759</v>
      </c>
      <c r="G9" s="39">
        <v>9379.7569999999996</v>
      </c>
      <c r="H9" s="39">
        <f t="shared" si="1"/>
        <v>-2123.9251525706095</v>
      </c>
      <c r="I9" s="38">
        <f t="shared" si="2"/>
        <v>-0.22643711906082531</v>
      </c>
      <c r="J9" s="51" t="s">
        <v>64</v>
      </c>
      <c r="K9" s="51"/>
    </row>
    <row r="10" spans="1:13" ht="15.6" x14ac:dyDescent="0.25">
      <c r="A10" s="47" t="str">
        <v>Harrison - 130 Union Street</v>
      </c>
      <c r="B10" s="41" t="str">
        <v>NY</v>
      </c>
      <c r="C10" s="29">
        <v>13226.875</v>
      </c>
      <c r="D10" s="30">
        <v>16424.34</v>
      </c>
      <c r="E10" s="30">
        <f t="shared" si="0"/>
        <v>-3197.4650000000001</v>
      </c>
      <c r="F10" s="31">
        <f t="shared" si="3"/>
        <v>-0.1946784467442832</v>
      </c>
      <c r="G10" s="32">
        <v>14212.59</v>
      </c>
      <c r="H10" s="32">
        <f t="shared" si="1"/>
        <v>-985.71500000000015</v>
      </c>
      <c r="I10" s="33">
        <f t="shared" si="2"/>
        <v>-6.9355057734023159E-2</v>
      </c>
      <c r="J10" s="50" t="s">
        <v>36</v>
      </c>
      <c r="K10" s="50"/>
    </row>
    <row r="11" spans="1:13" ht="15.6" x14ac:dyDescent="0.25">
      <c r="A11" s="46" t="str">
        <v>Staten Island - Ellis Storage</v>
      </c>
      <c r="B11" s="43" t="str">
        <v>NY</v>
      </c>
      <c r="C11" s="36">
        <v>31295.875</v>
      </c>
      <c r="D11" s="37">
        <v>32267.16</v>
      </c>
      <c r="E11" s="37">
        <f t="shared" si="0"/>
        <v>-971.28499999999985</v>
      </c>
      <c r="F11" s="38">
        <f t="shared" si="3"/>
        <v>-3.0101347624023927E-2</v>
      </c>
      <c r="G11" s="39">
        <v>30624.97</v>
      </c>
      <c r="H11" s="39">
        <f t="shared" si="1"/>
        <v>670.90499999999884</v>
      </c>
      <c r="I11" s="38">
        <f t="shared" si="2"/>
        <v>2.1907123500855635E-2</v>
      </c>
      <c r="J11" s="51"/>
      <c r="K11" s="51"/>
    </row>
    <row r="12" spans="1:13" ht="86.4" x14ac:dyDescent="0.25">
      <c r="A12" s="47" t="str">
        <v>Amherst - 595 Schoelles Road</v>
      </c>
      <c r="B12" s="41" t="str">
        <v>NY</v>
      </c>
      <c r="C12" s="29">
        <v>232611</v>
      </c>
      <c r="D12" s="30">
        <v>417742.3</v>
      </c>
      <c r="E12" s="30">
        <f t="shared" si="0"/>
        <v>-185131.3</v>
      </c>
      <c r="F12" s="31">
        <f t="shared" si="3"/>
        <v>-0.44317106503219805</v>
      </c>
      <c r="G12" s="32">
        <v>401280.1</v>
      </c>
      <c r="H12" s="32">
        <f t="shared" si="1"/>
        <v>-168669.09999999998</v>
      </c>
      <c r="I12" s="33">
        <f t="shared" si="2"/>
        <v>-0.42032759660895219</v>
      </c>
      <c r="J12" s="50" t="s">
        <v>65</v>
      </c>
      <c r="K12" s="67" t="s">
        <v>66</v>
      </c>
      <c r="L12" s="72" t="s">
        <v>67</v>
      </c>
      <c r="M12" s="72" t="s">
        <v>68</v>
      </c>
    </row>
    <row r="13" spans="1:13" ht="15.6" x14ac:dyDescent="0.3">
      <c r="A13" s="46" t="str">
        <v>Lancaster 1 - Gunnville Road</v>
      </c>
      <c r="B13" s="43" t="str">
        <v>NY</v>
      </c>
      <c r="C13" s="36">
        <v>227486</v>
      </c>
      <c r="D13" s="37">
        <v>352750.8</v>
      </c>
      <c r="E13" s="37">
        <f t="shared" si="0"/>
        <v>-125264.79999999999</v>
      </c>
      <c r="F13" s="38">
        <f t="shared" si="3"/>
        <v>-0.35510847884682328</v>
      </c>
      <c r="G13" s="39">
        <v>379774.4</v>
      </c>
      <c r="H13" s="39">
        <f t="shared" si="1"/>
        <v>-152288.40000000002</v>
      </c>
      <c r="I13" s="38">
        <f t="shared" si="2"/>
        <v>-0.40099701296348572</v>
      </c>
      <c r="J13" s="89" t="s">
        <v>64</v>
      </c>
      <c r="K13" s="51"/>
    </row>
    <row r="14" spans="1:13" ht="43.2" x14ac:dyDescent="0.25">
      <c r="A14" s="47" t="str">
        <v>Lancaster 2 - Shisler Road</v>
      </c>
      <c r="B14" s="41" t="str">
        <v>NY</v>
      </c>
      <c r="C14" s="29">
        <v>223663</v>
      </c>
      <c r="D14" s="30">
        <v>402516.6</v>
      </c>
      <c r="E14" s="30">
        <f t="shared" si="0"/>
        <v>-178853.59999999998</v>
      </c>
      <c r="F14" s="31">
        <f t="shared" si="3"/>
        <v>-0.44433844467532518</v>
      </c>
      <c r="G14" s="32">
        <v>410691.2</v>
      </c>
      <c r="H14" s="32">
        <f t="shared" si="1"/>
        <v>-187028.2</v>
      </c>
      <c r="I14" s="33">
        <f t="shared" si="2"/>
        <v>-0.45539860605730048</v>
      </c>
      <c r="J14" s="50" t="s">
        <v>69</v>
      </c>
      <c r="K14" s="67" t="s">
        <v>70</v>
      </c>
    </row>
    <row r="15" spans="1:13" ht="15.6" x14ac:dyDescent="0.25">
      <c r="A15" s="46" t="str">
        <v>Fullerton - 200 W Orangethorpe</v>
      </c>
      <c r="B15" s="43" t="str">
        <v>CA</v>
      </c>
      <c r="C15" s="36">
        <v>73626.953749999899</v>
      </c>
      <c r="D15" s="37">
        <v>75409.94</v>
      </c>
      <c r="E15" s="37">
        <f t="shared" si="0"/>
        <v>-1782.9862500001036</v>
      </c>
      <c r="F15" s="38">
        <f t="shared" si="3"/>
        <v>-2.3643915510343907E-2</v>
      </c>
      <c r="G15" s="39">
        <v>81220.44</v>
      </c>
      <c r="H15" s="39">
        <f t="shared" si="1"/>
        <v>-7593.4862500001036</v>
      </c>
      <c r="I15" s="38">
        <f t="shared" si="2"/>
        <v>-9.3492306247049434E-2</v>
      </c>
      <c r="J15" s="51"/>
      <c r="K15" s="51"/>
    </row>
    <row r="16" spans="1:13" ht="15.6" x14ac:dyDescent="0.25">
      <c r="A16" s="47" t="str">
        <v>El Paso - 10500 Railroad Drive</v>
      </c>
      <c r="B16" s="41" t="str">
        <v>TX</v>
      </c>
      <c r="C16" s="29">
        <v>105996.5</v>
      </c>
      <c r="D16" s="30">
        <v>100797.2</v>
      </c>
      <c r="E16" s="30">
        <f t="shared" ref="E16:E17" si="4">IF(AND(ISNUMBER(C16),ISNUMBER(D16)), C16-D16, "")</f>
        <v>5199.3000000000029</v>
      </c>
      <c r="F16" s="31">
        <f t="shared" ref="F16:F17" si="5">IFERROR(E16/D16, "")</f>
        <v>5.1581789970356347E-2</v>
      </c>
      <c r="G16" s="32">
        <v>101055</v>
      </c>
      <c r="H16" s="32">
        <f t="shared" ref="H16:H17" si="6">IF(AND(ISNUMBER(C16),ISNUMBER(G16)), C16-G16, "")</f>
        <v>4941.5</v>
      </c>
      <c r="I16" s="33">
        <f t="shared" ref="I16:I17" si="7">IFERROR(H16/G16, "")</f>
        <v>4.8899114343674235E-2</v>
      </c>
      <c r="J16" s="50"/>
      <c r="K16" s="50"/>
    </row>
    <row r="17" spans="1:13" ht="28.8" x14ac:dyDescent="0.3">
      <c r="A17" s="46" t="str">
        <v>Friona - 900 Millard Ave</v>
      </c>
      <c r="B17" s="43" t="str">
        <v>TX</v>
      </c>
      <c r="C17" s="36">
        <v>81985.000000000204</v>
      </c>
      <c r="D17" s="37">
        <v>72229.98</v>
      </c>
      <c r="E17" s="37">
        <f t="shared" si="4"/>
        <v>9755.0200000002078</v>
      </c>
      <c r="F17" s="38">
        <f t="shared" si="5"/>
        <v>0.13505500070746534</v>
      </c>
      <c r="G17" s="39">
        <v>78972.399999999994</v>
      </c>
      <c r="H17" s="39">
        <f t="shared" si="6"/>
        <v>3012.6000000002095</v>
      </c>
      <c r="I17" s="38">
        <f t="shared" si="7"/>
        <v>3.814750469784646E-2</v>
      </c>
      <c r="J17" s="76" t="s">
        <v>71</v>
      </c>
      <c r="K17" s="82" t="s">
        <v>72</v>
      </c>
    </row>
    <row r="18" spans="1:13" ht="15.6" x14ac:dyDescent="0.25">
      <c r="A18" s="47" t="str">
        <v>Augusta - 13 York Farm Road</v>
      </c>
      <c r="B18" s="41" t="str">
        <v>ME</v>
      </c>
      <c r="C18" s="29">
        <v>43748.5</v>
      </c>
      <c r="D18" s="30">
        <v>150180.79999999999</v>
      </c>
      <c r="E18" s="30">
        <f>IF(AND(ISNUMBER(C18),ISNUMBER(D18)), C18-D18, "")</f>
        <v>-106432.29999999999</v>
      </c>
      <c r="F18" s="31">
        <f>IFERROR(E18/D18, "")</f>
        <v>-0.70869445361857175</v>
      </c>
      <c r="G18" s="32">
        <v>115391.9</v>
      </c>
      <c r="H18" s="32">
        <f>IF(AND(ISNUMBER(C18),ISNUMBER(G18)), C18-G18, "")</f>
        <v>-71643.399999999994</v>
      </c>
      <c r="I18" s="33">
        <f>IFERROR(H18/G18, "")</f>
        <v>-0.62087026905701348</v>
      </c>
      <c r="J18" s="50" t="s">
        <v>64</v>
      </c>
      <c r="K18" s="50"/>
    </row>
    <row r="19" spans="1:13" ht="15.6" x14ac:dyDescent="0.25">
      <c r="A19" s="42" t="str">
        <v xml:space="preserve">Santa Ana - 1441 West </v>
      </c>
      <c r="B19" s="43" t="str">
        <v>CA</v>
      </c>
      <c r="C19" s="36">
        <v>47461.375</v>
      </c>
      <c r="D19" s="37">
        <v>45475.040000000001</v>
      </c>
      <c r="E19" s="37">
        <f>IF(AND(ISNUMBER(C19),ISNUMBER(D19)), C19-D19, "")</f>
        <v>1986.3349999999991</v>
      </c>
      <c r="F19" s="38">
        <f>IFERROR(E19/D19, "")</f>
        <v>4.3679675707816841E-2</v>
      </c>
      <c r="G19" s="39">
        <v>53286.01</v>
      </c>
      <c r="H19" s="39">
        <f>IF(AND(ISNUMBER(C19),ISNUMBER(G19)), C19-G19, "")</f>
        <v>-5824.635000000002</v>
      </c>
      <c r="I19" s="38">
        <f>IFERROR(H19/G19, "")</f>
        <v>-0.10930889740102519</v>
      </c>
      <c r="J19" s="51"/>
      <c r="K19" s="52"/>
    </row>
    <row r="20" spans="1:13" ht="36" customHeight="1" x14ac:dyDescent="0.3">
      <c r="A20" s="45" t="str">
        <v>Jessup -7950 Oceano Ave</v>
      </c>
      <c r="B20" s="41" t="str">
        <v>MD</v>
      </c>
      <c r="C20" s="29">
        <v>143523.25</v>
      </c>
      <c r="D20" s="30">
        <v>137903.29999999999</v>
      </c>
      <c r="E20" s="30">
        <f>IF(AND(ISNUMBER(C20),ISNUMBER(D20)), C20-D20, "")</f>
        <v>5619.9500000000116</v>
      </c>
      <c r="F20" s="80">
        <f>IFERROR(E20/D20, "")</f>
        <v>4.0752831875669485E-2</v>
      </c>
      <c r="G20" s="32">
        <v>143903.70000000001</v>
      </c>
      <c r="H20" s="32">
        <f>IF(AND(ISNUMBER(C20),ISNUMBER(G20)), C20-G20, "")</f>
        <v>-380.45000000001164</v>
      </c>
      <c r="I20" s="33">
        <f>IFERROR(H20/G20, "")</f>
        <v>-2.6437819180466634E-3</v>
      </c>
      <c r="J20" s="50" t="s">
        <v>73</v>
      </c>
      <c r="K20" s="67" t="s">
        <v>74</v>
      </c>
    </row>
    <row r="21" spans="1:13" ht="105" customHeight="1" x14ac:dyDescent="0.25">
      <c r="A21" s="42" t="str">
        <v xml:space="preserve">TX: Fort Worth - 5200 Gold Spike Dr </v>
      </c>
      <c r="B21" s="43" t="str">
        <v>TX</v>
      </c>
      <c r="C21" s="36">
        <v>82092.3</v>
      </c>
      <c r="D21" s="37">
        <v>273384.2</v>
      </c>
      <c r="E21" s="78">
        <f>IF(AND(ISNUMBER(C21),ISNUMBER(D21)), C21-D21, "")</f>
        <v>-191291.90000000002</v>
      </c>
      <c r="F21" s="81">
        <f>IFERROR(E21/D21, "")</f>
        <v>-0.69971819878398245</v>
      </c>
      <c r="G21" s="79">
        <v>293318.40000000002</v>
      </c>
      <c r="H21" s="39">
        <f>IF(AND(ISNUMBER(C21),ISNUMBER(G21)), C21-G21, "")</f>
        <v>-211226.10000000003</v>
      </c>
      <c r="I21" s="38">
        <f>IFERROR(H21/G21, "")</f>
        <v>-0.72012563821430919</v>
      </c>
      <c r="J21" s="51" t="s">
        <v>75</v>
      </c>
      <c r="K21" s="68" t="s">
        <v>76</v>
      </c>
      <c r="L21" s="72" t="s">
        <v>77</v>
      </c>
      <c r="M21" s="72" t="s">
        <v>78</v>
      </c>
    </row>
    <row r="22" spans="1:13" ht="14.4" x14ac:dyDescent="0.3">
      <c r="A22" s="9" t="str">
        <v>NY: Clifton Springs - Ontario 2 (21597)</v>
      </c>
      <c r="B22" s="14" t="str">
        <v>NY</v>
      </c>
      <c r="C22" s="9"/>
      <c r="D22" s="9"/>
      <c r="E22" s="9"/>
      <c r="F22" s="8"/>
      <c r="G22" s="9"/>
      <c r="H22" s="9"/>
      <c r="I22" s="9"/>
      <c r="J22" s="9"/>
      <c r="K22" s="9"/>
    </row>
    <row r="23" spans="1:13" ht="14.4" x14ac:dyDescent="0.3">
      <c r="A23" s="9" t="str">
        <v>CA: Oxnard - 2600 Sakioka - System A</v>
      </c>
      <c r="B23" s="14" t="str">
        <v>CA</v>
      </c>
      <c r="C23" s="9"/>
      <c r="D23" s="9"/>
      <c r="E23" s="9"/>
      <c r="F23" s="9"/>
      <c r="G23" s="9"/>
      <c r="H23" s="9"/>
      <c r="I23" s="9"/>
      <c r="J23" s="9"/>
      <c r="K23" s="9"/>
    </row>
    <row r="24" spans="1:13" ht="14.4" x14ac:dyDescent="0.3">
      <c r="A24" s="9" t="str">
        <v>CA: Oxnard - 2600 Sakioka - System B</v>
      </c>
      <c r="B24" s="14" t="str">
        <v>CA</v>
      </c>
      <c r="C24" s="9"/>
      <c r="D24" s="9"/>
      <c r="E24" s="9"/>
      <c r="F24" s="10"/>
      <c r="G24" s="9"/>
      <c r="H24" s="9"/>
      <c r="I24" s="10"/>
      <c r="J24" s="9"/>
      <c r="K24" s="9"/>
    </row>
    <row r="25" spans="1:13" ht="14.4" x14ac:dyDescent="0.3">
      <c r="A25" s="9" t="str">
        <v>NY: Fonda - Montgomery 1 (21601)</v>
      </c>
      <c r="B25" s="14" t="str">
        <v>NY</v>
      </c>
      <c r="C25" s="9"/>
      <c r="D25" s="9"/>
      <c r="E25" s="9"/>
      <c r="F25" s="10"/>
      <c r="G25" s="9"/>
      <c r="H25" s="9"/>
      <c r="I25" s="10"/>
      <c r="J25" s="9"/>
      <c r="K25" s="9"/>
    </row>
    <row r="26" spans="1:13" ht="14.4" x14ac:dyDescent="0.3">
      <c r="A26" s="9" t="str">
        <v>NY: Evans - SL Evans Array 1 (21106) - (PW)</v>
      </c>
      <c r="B26" s="14" t="str">
        <v>NY</v>
      </c>
      <c r="C26" s="9"/>
      <c r="D26" s="9"/>
      <c r="E26" s="9"/>
      <c r="F26" s="10"/>
      <c r="G26" s="9"/>
      <c r="H26" s="9"/>
      <c r="I26" s="10"/>
      <c r="J26" s="9"/>
      <c r="K26" s="9"/>
    </row>
    <row r="27" spans="1:13" ht="14.4" x14ac:dyDescent="0.3">
      <c r="A27" s="9" t="str">
        <v>NY: Evans - SL Evans Array 2 (21107) - (PW)</v>
      </c>
      <c r="B27" s="14" t="str">
        <v>NY</v>
      </c>
      <c r="C27" s="9"/>
      <c r="D27" s="9"/>
      <c r="E27" s="9"/>
      <c r="F27" s="10"/>
      <c r="G27" s="9"/>
      <c r="H27" s="9"/>
      <c r="I27" s="10"/>
      <c r="J27" s="9"/>
      <c r="K27" s="9"/>
    </row>
    <row r="28" spans="1:13" ht="14.4" x14ac:dyDescent="0.3">
      <c r="A28" s="9"/>
      <c r="B28" s="14"/>
      <c r="C28" s="9"/>
      <c r="D28" s="9"/>
      <c r="E28" s="9"/>
      <c r="F28" s="10"/>
      <c r="G28" s="9"/>
      <c r="H28" s="9"/>
      <c r="I28" s="10"/>
      <c r="J28" s="9"/>
      <c r="K28" s="9"/>
    </row>
    <row r="29" spans="1:13" ht="14.4" x14ac:dyDescent="0.3">
      <c r="A29" s="9"/>
      <c r="B29" s="14"/>
      <c r="C29" s="9"/>
      <c r="D29" s="9"/>
      <c r="E29" s="9"/>
      <c r="F29" s="10"/>
      <c r="G29" s="9"/>
      <c r="H29" s="9"/>
      <c r="I29" s="10"/>
      <c r="J29" s="9"/>
      <c r="K29" s="9"/>
    </row>
    <row r="30" spans="1:13" ht="14.4" x14ac:dyDescent="0.3">
      <c r="A30" s="9"/>
      <c r="B30" s="14"/>
      <c r="C30" s="9"/>
      <c r="D30" s="9"/>
      <c r="E30" s="9"/>
      <c r="F30" s="10"/>
      <c r="G30" s="9"/>
      <c r="H30" s="9"/>
      <c r="I30" s="10"/>
      <c r="J30" s="9"/>
      <c r="K30" s="9"/>
    </row>
    <row r="31" spans="1:13" ht="14.4" x14ac:dyDescent="0.3">
      <c r="A31" s="9"/>
      <c r="B31" s="14"/>
      <c r="C31" s="9"/>
      <c r="D31" s="9"/>
      <c r="E31" s="9"/>
      <c r="F31" s="10"/>
      <c r="G31" s="9"/>
      <c r="H31" s="9"/>
      <c r="I31" s="10"/>
      <c r="J31" s="9"/>
      <c r="K31" s="9"/>
    </row>
    <row r="32" spans="1:13"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C333" s="9"/>
      <c r="D333" s="9"/>
      <c r="E333" s="9"/>
      <c r="F333" s="10"/>
      <c r="G333" s="9"/>
      <c r="H333" s="9"/>
      <c r="I333" s="10"/>
      <c r="J333" s="9"/>
      <c r="K333" s="9"/>
    </row>
  </sheetData>
  <mergeCells count="4">
    <mergeCell ref="G1:I1"/>
    <mergeCell ref="A1:C1"/>
    <mergeCell ref="D1:F1"/>
    <mergeCell ref="A2:B2"/>
  </mergeCells>
  <conditionalFormatting sqref="F2 I2 I4:I91 F23:F91">
    <cfRule type="cellIs" dxfId="37" priority="3" stopIfTrue="1" operator="lessThanOrEqual">
      <formula>-0.1</formula>
    </cfRule>
    <cfRule type="expression" dxfId="36" priority="4">
      <formula>AND(ISNUMBER(F2), F2&gt;=0.1)</formula>
    </cfRule>
  </conditionalFormatting>
  <conditionalFormatting sqref="F4:F21">
    <cfRule type="cellIs" dxfId="35" priority="1" stopIfTrue="1" operator="lessThanOrEqual">
      <formula>-0.1</formula>
    </cfRule>
    <cfRule type="expression" dxfId="34"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H4" activePane="bottomRight" state="frozen"/>
      <selection pane="topRight" activeCell="E11" sqref="E11"/>
      <selection pane="bottomLeft" activeCell="E11" sqref="E11"/>
      <selection pane="bottomRight" activeCell="D1" sqref="D1:F1"/>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4.88671875" bestFit="1" customWidth="1"/>
    <col min="11" max="11" width="20.5546875" bestFit="1" customWidth="1"/>
  </cols>
  <sheetData>
    <row r="1" spans="1:17" ht="19.5" customHeight="1" x14ac:dyDescent="0.25">
      <c r="A1" s="96" t="str" cm="1">
        <f t="array" ref="A1">portfolio</f>
        <v>Catalyze</v>
      </c>
      <c r="B1" s="96"/>
      <c r="C1" s="96"/>
      <c r="D1" s="97" t="s">
        <v>79</v>
      </c>
      <c r="E1" s="97"/>
      <c r="F1" s="97"/>
      <c r="G1" s="95" t="s">
        <v>80</v>
      </c>
      <c r="H1" s="95"/>
      <c r="I1" s="95"/>
      <c r="J1" s="4"/>
      <c r="K1" s="4"/>
    </row>
    <row r="2" spans="1:17" ht="19.5" customHeight="1" x14ac:dyDescent="0.25">
      <c r="A2" s="98" t="s">
        <v>2</v>
      </c>
      <c r="B2" s="98"/>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2"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x14ac:dyDescent="0.25">
      <c r="A3" s="13" t="s">
        <v>3</v>
      </c>
      <c r="B3" s="13" t="s">
        <v>4</v>
      </c>
      <c r="C3" s="20" t="s">
        <v>5</v>
      </c>
      <c r="D3" s="21" t="s">
        <v>6</v>
      </c>
      <c r="E3" s="21" t="s">
        <v>7</v>
      </c>
      <c r="F3" s="22" t="s">
        <v>8</v>
      </c>
      <c r="G3" s="23" t="s">
        <v>9</v>
      </c>
      <c r="H3" s="24" t="s">
        <v>7</v>
      </c>
      <c r="I3" s="25" t="s">
        <v>8</v>
      </c>
      <c r="J3" s="11" t="s">
        <v>20</v>
      </c>
      <c r="K3" s="11" t="s">
        <v>21</v>
      </c>
    </row>
    <row r="4" spans="1:17" ht="72" x14ac:dyDescent="0.3">
      <c r="A4" s="45" t="str" cm="1">
        <f t="array" ref="A4:A27">Sites[Site]</f>
        <v>Fresno - 3150 Shaw Ave</v>
      </c>
      <c r="B4" s="41" t="str" cm="1">
        <f t="array" ref="B4:B27">Sites[State]</f>
        <v>CA</v>
      </c>
      <c r="C4" s="29">
        <v>82059.375</v>
      </c>
      <c r="D4" s="30">
        <v>79466.179999999993</v>
      </c>
      <c r="E4" s="30">
        <f>IF(AND(ISNUMBER(C4),ISNUMBER(D4)), C4-D4, "")</f>
        <v>2593.195000000007</v>
      </c>
      <c r="F4" s="31">
        <f>IFERROR(E4/D4, "")</f>
        <v>3.263268726394055E-2</v>
      </c>
      <c r="G4" s="32">
        <v>102469</v>
      </c>
      <c r="H4" s="32">
        <f>IF(AND(ISNUMBER(C4),ISNUMBER(G4)), C4-G4, "")</f>
        <v>-20409.625</v>
      </c>
      <c r="I4" s="33">
        <f>IFERROR(H4/G4, "")</f>
        <v>-0.19917853204383765</v>
      </c>
      <c r="J4" s="64" t="s">
        <v>81</v>
      </c>
      <c r="K4" s="84" t="s">
        <v>82</v>
      </c>
      <c r="L4" s="69" t="s">
        <v>83</v>
      </c>
      <c r="M4" s="85" t="s">
        <v>84</v>
      </c>
    </row>
    <row r="5" spans="1:17" ht="129.75" customHeight="1" x14ac:dyDescent="0.25">
      <c r="A5" s="46" t="str">
        <v>Adelanto - 1 Sheep Creek Road</v>
      </c>
      <c r="B5" s="43" t="str">
        <v>CA</v>
      </c>
      <c r="C5" s="36">
        <v>613170</v>
      </c>
      <c r="D5" s="37">
        <v>474842.85</v>
      </c>
      <c r="E5" s="37">
        <f t="shared" ref="E5:E17" si="0">IF(AND(ISNUMBER(C5),ISNUMBER(D5)), C5-D5, "")</f>
        <v>138327.15000000002</v>
      </c>
      <c r="F5" s="38">
        <f>IFERROR(E5/D5, "")</f>
        <v>0.29131143071860516</v>
      </c>
      <c r="G5" s="39">
        <v>680082.38</v>
      </c>
      <c r="H5" s="39">
        <f t="shared" ref="H5:H17" si="1">IF(AND(ISNUMBER(C5),ISNUMBER(G5)), C5-G5, "")</f>
        <v>-66912.38</v>
      </c>
      <c r="I5" s="38">
        <f t="shared" ref="I5:I17" si="2">IFERROR(H5/G5, "")</f>
        <v>-9.8388639329253028E-2</v>
      </c>
      <c r="J5" s="59" t="s">
        <v>85</v>
      </c>
      <c r="K5" s="70" t="s">
        <v>86</v>
      </c>
      <c r="L5" s="69" t="s">
        <v>87</v>
      </c>
      <c r="M5" s="85" t="s">
        <v>88</v>
      </c>
      <c r="N5" s="69" t="s">
        <v>89</v>
      </c>
      <c r="O5" s="69" t="s">
        <v>88</v>
      </c>
      <c r="P5" s="69" t="s">
        <v>90</v>
      </c>
      <c r="Q5" s="69" t="s">
        <v>91</v>
      </c>
    </row>
    <row r="6" spans="1:17" ht="52.35" customHeight="1" x14ac:dyDescent="0.25">
      <c r="A6" s="47" t="str">
        <v>Blackstone - 83 Federal Street</v>
      </c>
      <c r="B6" s="41" t="str">
        <v>MA</v>
      </c>
      <c r="C6" s="29">
        <v>621375.9</v>
      </c>
      <c r="D6" s="30">
        <v>663323.6</v>
      </c>
      <c r="E6" s="30">
        <f t="shared" si="0"/>
        <v>-41947.699999999953</v>
      </c>
      <c r="F6" s="31">
        <f t="shared" ref="F6:F17" si="3">IFERROR(E6/D6, "")</f>
        <v>-6.3238666617620648E-2</v>
      </c>
      <c r="G6" s="32">
        <v>693620.2</v>
      </c>
      <c r="H6" s="32">
        <f t="shared" si="1"/>
        <v>-72244.29999999993</v>
      </c>
      <c r="I6" s="33">
        <f t="shared" si="2"/>
        <v>-0.10415541531229906</v>
      </c>
      <c r="J6" s="64" t="s">
        <v>92</v>
      </c>
      <c r="K6" s="84" t="s">
        <v>93</v>
      </c>
      <c r="L6" s="69" t="s">
        <v>94</v>
      </c>
      <c r="M6" s="85" t="s">
        <v>88</v>
      </c>
    </row>
    <row r="7" spans="1:17" ht="89.25" customHeight="1" x14ac:dyDescent="0.25">
      <c r="A7" s="46" t="str">
        <v>Charlton - 299 Worcester Road</v>
      </c>
      <c r="B7" s="43" t="str">
        <v>MA</v>
      </c>
      <c r="C7" s="36">
        <v>55962.25</v>
      </c>
      <c r="D7" s="37">
        <v>56208.81</v>
      </c>
      <c r="E7" s="37">
        <f t="shared" si="0"/>
        <v>-246.55999999999767</v>
      </c>
      <c r="F7" s="38">
        <f t="shared" si="3"/>
        <v>-4.3865009773378528E-3</v>
      </c>
      <c r="G7" s="39">
        <v>59298.27</v>
      </c>
      <c r="H7" s="39">
        <f t="shared" si="1"/>
        <v>-3336.0199999999968</v>
      </c>
      <c r="I7" s="38">
        <f t="shared" si="2"/>
        <v>-5.6258302307976217E-2</v>
      </c>
      <c r="J7" s="59" t="s">
        <v>95</v>
      </c>
      <c r="K7" s="68" t="s">
        <v>96</v>
      </c>
      <c r="L7" s="69" t="s">
        <v>97</v>
      </c>
      <c r="M7" s="85" t="s">
        <v>98</v>
      </c>
    </row>
    <row r="8" spans="1:17" ht="28.8" x14ac:dyDescent="0.25">
      <c r="A8" s="47" t="str">
        <v>Wareham - 8 Thatcher Drive</v>
      </c>
      <c r="B8" s="41" t="str">
        <v>MA</v>
      </c>
      <c r="C8" s="29">
        <v>14875.8125</v>
      </c>
      <c r="D8" s="30">
        <v>15055.13</v>
      </c>
      <c r="E8" s="30">
        <f t="shared" si="0"/>
        <v>-179.3174999999992</v>
      </c>
      <c r="F8" s="31">
        <f t="shared" si="3"/>
        <v>-1.1910724118622637E-2</v>
      </c>
      <c r="G8" s="32">
        <v>16928.07</v>
      </c>
      <c r="H8" s="32">
        <f t="shared" si="1"/>
        <v>-2052.2574999999997</v>
      </c>
      <c r="I8" s="33">
        <f t="shared" si="2"/>
        <v>-0.12123399182541186</v>
      </c>
      <c r="J8" s="64" t="s">
        <v>99</v>
      </c>
      <c r="K8" s="64"/>
      <c r="M8" s="53"/>
    </row>
    <row r="9" spans="1:17" ht="28.8" x14ac:dyDescent="0.25">
      <c r="A9" s="46" t="str">
        <v>West Yarmouth - 42 Mid Tech</v>
      </c>
      <c r="B9" s="43" t="str">
        <v>MA</v>
      </c>
      <c r="C9" s="36">
        <v>12225.6816719081</v>
      </c>
      <c r="D9" s="37">
        <v>13601.24</v>
      </c>
      <c r="E9" s="37">
        <f t="shared" si="0"/>
        <v>-1375.5583280919</v>
      </c>
      <c r="F9" s="38">
        <f t="shared" si="3"/>
        <v>-0.10113477360092903</v>
      </c>
      <c r="G9" s="39">
        <v>14703.99</v>
      </c>
      <c r="H9" s="39">
        <f t="shared" si="1"/>
        <v>-2478.3083280919</v>
      </c>
      <c r="I9" s="38">
        <f t="shared" si="2"/>
        <v>-0.16854665489380094</v>
      </c>
      <c r="J9" s="59" t="s">
        <v>99</v>
      </c>
      <c r="K9" s="58"/>
      <c r="M9" s="53"/>
    </row>
    <row r="10" spans="1:17" ht="15.6" x14ac:dyDescent="0.25">
      <c r="A10" s="47" t="str">
        <v>Harrison - 130 Union Street</v>
      </c>
      <c r="B10" s="41" t="str">
        <v>NY</v>
      </c>
      <c r="C10" s="29">
        <v>23281.875</v>
      </c>
      <c r="D10" s="30">
        <v>24219.16</v>
      </c>
      <c r="E10" s="30">
        <f t="shared" si="0"/>
        <v>-937.28499999999985</v>
      </c>
      <c r="F10" s="31">
        <f t="shared" si="3"/>
        <v>-3.8700144843999536E-2</v>
      </c>
      <c r="G10" s="32">
        <v>21479.86</v>
      </c>
      <c r="H10" s="32">
        <f t="shared" si="1"/>
        <v>1802.0149999999994</v>
      </c>
      <c r="I10" s="33">
        <f t="shared" si="2"/>
        <v>8.3893237665422365E-2</v>
      </c>
      <c r="J10" s="64"/>
      <c r="K10" s="64"/>
      <c r="M10" s="53"/>
    </row>
    <row r="11" spans="1:17" ht="15.6" x14ac:dyDescent="0.25">
      <c r="A11" s="46" t="str">
        <v>Staten Island - Ellis Storage</v>
      </c>
      <c r="B11" s="43" t="str">
        <v>NY</v>
      </c>
      <c r="C11" s="36">
        <v>53693.25</v>
      </c>
      <c r="D11" s="37">
        <v>50948.08</v>
      </c>
      <c r="E11" s="37">
        <f t="shared" si="0"/>
        <v>2745.1699999999983</v>
      </c>
      <c r="F11" s="38">
        <f t="shared" si="3"/>
        <v>5.3881716445447959E-2</v>
      </c>
      <c r="G11" s="39">
        <v>48258.91</v>
      </c>
      <c r="H11" s="39">
        <f t="shared" si="1"/>
        <v>5434.3399999999965</v>
      </c>
      <c r="I11" s="38">
        <f t="shared" si="2"/>
        <v>0.11260801373259355</v>
      </c>
      <c r="J11" s="59"/>
      <c r="K11" s="58"/>
      <c r="M11" s="53"/>
    </row>
    <row r="12" spans="1:17" ht="86.4" x14ac:dyDescent="0.25">
      <c r="A12" s="47" t="str">
        <v>Amherst - 595 Schoelles Road</v>
      </c>
      <c r="B12" s="41" t="str">
        <v>NY</v>
      </c>
      <c r="C12" s="29">
        <v>571517</v>
      </c>
      <c r="D12" s="30">
        <v>702948.9</v>
      </c>
      <c r="E12" s="30">
        <f t="shared" si="0"/>
        <v>-131431.90000000002</v>
      </c>
      <c r="F12" s="31">
        <f t="shared" si="3"/>
        <v>-0.18697219669879278</v>
      </c>
      <c r="G12" s="32">
        <v>728804.1</v>
      </c>
      <c r="H12" s="32">
        <f t="shared" si="1"/>
        <v>-157287.09999999998</v>
      </c>
      <c r="I12" s="33">
        <f t="shared" si="2"/>
        <v>-0.21581533364041172</v>
      </c>
      <c r="J12" s="64" t="s">
        <v>100</v>
      </c>
      <c r="K12" s="84" t="s">
        <v>101</v>
      </c>
      <c r="L12" s="69" t="s">
        <v>102</v>
      </c>
      <c r="M12" s="85" t="s">
        <v>103</v>
      </c>
      <c r="N12" s="69" t="s">
        <v>104</v>
      </c>
    </row>
    <row r="13" spans="1:17" ht="28.8" x14ac:dyDescent="0.25">
      <c r="A13" s="46" t="str">
        <v>Lancaster 1 - Gunnville Road</v>
      </c>
      <c r="B13" s="43" t="str">
        <v>NY</v>
      </c>
      <c r="C13" s="36">
        <v>598573</v>
      </c>
      <c r="D13" s="37">
        <v>629166</v>
      </c>
      <c r="E13" s="37">
        <f t="shared" si="0"/>
        <v>-30593</v>
      </c>
      <c r="F13" s="38">
        <f t="shared" si="3"/>
        <v>-4.8624687284436856E-2</v>
      </c>
      <c r="G13" s="39">
        <v>641592.30000000005</v>
      </c>
      <c r="H13" s="39">
        <f t="shared" si="1"/>
        <v>-43019.300000000047</v>
      </c>
      <c r="I13" s="38">
        <f t="shared" si="2"/>
        <v>-6.7050835865704816E-2</v>
      </c>
      <c r="J13" s="59" t="s">
        <v>105</v>
      </c>
      <c r="K13" s="68" t="s">
        <v>106</v>
      </c>
      <c r="M13" s="53"/>
    </row>
    <row r="14" spans="1:17" ht="43.2" x14ac:dyDescent="0.25">
      <c r="A14" s="47" t="str">
        <v>Lancaster 2 - Shisler Road</v>
      </c>
      <c r="B14" s="41" t="str">
        <v>NY</v>
      </c>
      <c r="C14" s="29">
        <v>648289</v>
      </c>
      <c r="D14" s="30">
        <v>692226.9</v>
      </c>
      <c r="E14" s="30">
        <f t="shared" si="0"/>
        <v>-43937.900000000023</v>
      </c>
      <c r="F14" s="31">
        <f t="shared" si="3"/>
        <v>-6.3473262885334308E-2</v>
      </c>
      <c r="G14" s="32">
        <v>704760.1</v>
      </c>
      <c r="H14" s="32">
        <f t="shared" si="1"/>
        <v>-56471.099999999977</v>
      </c>
      <c r="I14" s="33">
        <f t="shared" si="2"/>
        <v>-8.01281173551113E-2</v>
      </c>
      <c r="J14" s="64" t="s">
        <v>107</v>
      </c>
      <c r="K14" s="84" t="s">
        <v>108</v>
      </c>
      <c r="M14" s="53"/>
    </row>
    <row r="15" spans="1:17" ht="43.2" x14ac:dyDescent="0.25">
      <c r="A15" s="46" t="str">
        <v>Fullerton - 200 W Orangethorpe</v>
      </c>
      <c r="B15" s="43" t="str">
        <v>CA</v>
      </c>
      <c r="C15" s="36">
        <v>96573.5</v>
      </c>
      <c r="D15" s="37">
        <v>99489.52</v>
      </c>
      <c r="E15" s="37">
        <f t="shared" si="0"/>
        <v>-2916.0200000000041</v>
      </c>
      <c r="F15" s="38">
        <f t="shared" si="3"/>
        <v>-2.930982077308247E-2</v>
      </c>
      <c r="G15" s="39">
        <v>111528.7</v>
      </c>
      <c r="H15" s="39">
        <f t="shared" si="1"/>
        <v>-14955.199999999997</v>
      </c>
      <c r="I15" s="38">
        <f t="shared" si="2"/>
        <v>-0.13409283888362367</v>
      </c>
      <c r="J15" s="59" t="s">
        <v>109</v>
      </c>
      <c r="K15" s="68" t="s">
        <v>110</v>
      </c>
      <c r="M15" s="53"/>
    </row>
    <row r="16" spans="1:17" ht="57.6" x14ac:dyDescent="0.25">
      <c r="A16" s="47" t="str">
        <v>El Paso - 10500 Railroad Drive</v>
      </c>
      <c r="B16" s="41" t="str">
        <v>TX</v>
      </c>
      <c r="C16" s="29">
        <v>137031.75</v>
      </c>
      <c r="D16" s="30">
        <v>125322.2</v>
      </c>
      <c r="E16" s="30">
        <f t="shared" si="0"/>
        <v>11709.550000000003</v>
      </c>
      <c r="F16" s="31">
        <f t="shared" si="3"/>
        <v>9.3435560499257136E-2</v>
      </c>
      <c r="G16" s="32">
        <v>132709.5</v>
      </c>
      <c r="H16" s="32">
        <f t="shared" si="1"/>
        <v>4322.25</v>
      </c>
      <c r="I16" s="33">
        <f t="shared" si="2"/>
        <v>3.2569258417822385E-2</v>
      </c>
      <c r="J16" s="64" t="s">
        <v>111</v>
      </c>
      <c r="K16" s="84" t="s">
        <v>112</v>
      </c>
      <c r="M16" s="53"/>
    </row>
    <row r="17" spans="1:20" ht="100.8" x14ac:dyDescent="0.25">
      <c r="A17" s="46" t="str">
        <v>Friona - 900 Millard Ave</v>
      </c>
      <c r="B17" s="43" t="str">
        <v>TX</v>
      </c>
      <c r="C17" s="36">
        <v>110152.875</v>
      </c>
      <c r="D17" s="37">
        <v>110329</v>
      </c>
      <c r="E17" s="37">
        <f t="shared" si="0"/>
        <v>-176.125</v>
      </c>
      <c r="F17" s="38">
        <f t="shared" si="3"/>
        <v>-1.5963617906443455E-3</v>
      </c>
      <c r="G17" s="39">
        <v>105708.4</v>
      </c>
      <c r="H17" s="39">
        <f t="shared" si="1"/>
        <v>4444.4750000000058</v>
      </c>
      <c r="I17" s="38">
        <f t="shared" si="2"/>
        <v>4.2044671946600325E-2</v>
      </c>
      <c r="J17" s="59" t="s">
        <v>113</v>
      </c>
      <c r="K17" s="68" t="s">
        <v>114</v>
      </c>
      <c r="L17" s="69" t="s">
        <v>115</v>
      </c>
      <c r="M17" s="85" t="s">
        <v>116</v>
      </c>
    </row>
    <row r="18" spans="1:20" ht="28.8" x14ac:dyDescent="0.25">
      <c r="A18" s="44" t="str">
        <v>Augusta - 13 York Farm Road</v>
      </c>
      <c r="B18" s="41" t="str">
        <v>ME</v>
      </c>
      <c r="C18" s="29">
        <v>136389.5</v>
      </c>
      <c r="D18" s="30">
        <v>148689.9</v>
      </c>
      <c r="E18" s="30">
        <f>IF(AND(ISNUMBER(C18),ISNUMBER(D18)), C18-D18, "")</f>
        <v>-12300.399999999994</v>
      </c>
      <c r="F18" s="31">
        <f>IFERROR(E18/D18, "")</f>
        <v>-8.2725188462699856E-2</v>
      </c>
      <c r="G18" s="32">
        <v>162995</v>
      </c>
      <c r="H18" s="32">
        <f>IF(AND(ISNUMBER(C18),ISNUMBER(G18)), C18-G18, "")</f>
        <v>-26605.5</v>
      </c>
      <c r="I18" s="33">
        <f>IFERROR(H18/G18, "")</f>
        <v>-0.16322893340286512</v>
      </c>
      <c r="J18" s="50" t="s">
        <v>99</v>
      </c>
      <c r="K18" s="50"/>
    </row>
    <row r="19" spans="1:20" ht="15.6" x14ac:dyDescent="0.25">
      <c r="A19" s="42" t="str">
        <v xml:space="preserve">Santa Ana - 1441 West </v>
      </c>
      <c r="B19" s="43" t="str">
        <v>CA</v>
      </c>
      <c r="C19" s="36">
        <v>65569.153749999998</v>
      </c>
      <c r="D19" s="37">
        <v>61153.65</v>
      </c>
      <c r="E19" s="37">
        <f>IF(AND(ISNUMBER(C19),ISNUMBER(D19)), C19-D19, "")</f>
        <v>4415.5037499999962</v>
      </c>
      <c r="F19" s="38">
        <f>IFERROR(E19/D19, "")</f>
        <v>7.2203437570774534E-2</v>
      </c>
      <c r="G19" s="39">
        <v>70786.73</v>
      </c>
      <c r="H19" s="39">
        <f>IF(AND(ISNUMBER(C19),ISNUMBER(G19)), C19-G19, "")</f>
        <v>-5217.5762499999983</v>
      </c>
      <c r="I19" s="38">
        <f>IFERROR(H19/G19, "")</f>
        <v>-7.3708394920912412E-2</v>
      </c>
      <c r="J19" s="83"/>
      <c r="K19" s="63"/>
    </row>
    <row r="20" spans="1:20" ht="43.2" x14ac:dyDescent="0.25">
      <c r="A20" s="44" t="str">
        <v>Jessup -7950 Oceano Ave</v>
      </c>
      <c r="B20" s="41" t="str">
        <v>MD</v>
      </c>
      <c r="C20" s="29">
        <v>240512.375</v>
      </c>
      <c r="D20" s="30">
        <v>227251.8</v>
      </c>
      <c r="E20" s="30">
        <f>IF(AND(ISNUMBER(C20),ISNUMBER(D20)), C20-D20, "")</f>
        <v>13260.575000000012</v>
      </c>
      <c r="F20" s="31">
        <f>IFERROR(E20/D20, "")</f>
        <v>5.8351903043232276E-2</v>
      </c>
      <c r="G20" s="32">
        <v>215179.3</v>
      </c>
      <c r="H20" s="32">
        <f>IF(AND(ISNUMBER(C20),ISNUMBER(G20)), C20-G20, "")</f>
        <v>25333.075000000012</v>
      </c>
      <c r="I20" s="33">
        <f>IFERROR(H20/G20, "")</f>
        <v>0.11773007440771494</v>
      </c>
      <c r="J20" s="50" t="s">
        <v>117</v>
      </c>
      <c r="K20" s="67" t="s">
        <v>118</v>
      </c>
      <c r="L20" s="69" t="s">
        <v>119</v>
      </c>
    </row>
    <row r="21" spans="1:20" ht="374.4" x14ac:dyDescent="0.25">
      <c r="A21" s="42" t="str">
        <v xml:space="preserve">TX: Fort Worth - 5200 Gold Spike Dr </v>
      </c>
      <c r="B21" s="43" t="str">
        <v>TX</v>
      </c>
      <c r="C21" s="36">
        <v>213425.7</v>
      </c>
      <c r="D21" s="37">
        <v>748150.2</v>
      </c>
      <c r="E21" s="37">
        <f>IF(AND(ISNUMBER(C21),ISNUMBER(D21)), C21-D21, "")</f>
        <v>-534724.5</v>
      </c>
      <c r="F21" s="38">
        <f>IFERROR(E21/D21, "")</f>
        <v>-0.71472880712990527</v>
      </c>
      <c r="G21" s="39">
        <v>655638</v>
      </c>
      <c r="H21" s="39">
        <f>IF(AND(ISNUMBER(C21),ISNUMBER(G21)), C21-G21, "")</f>
        <v>-442212.3</v>
      </c>
      <c r="I21" s="38">
        <f>IFERROR(H21/G21, "")</f>
        <v>-0.67447631162318233</v>
      </c>
      <c r="J21" s="83" t="s">
        <v>120</v>
      </c>
      <c r="K21" s="70" t="s">
        <v>121</v>
      </c>
      <c r="L21" s="69" t="s">
        <v>122</v>
      </c>
      <c r="M21" s="69" t="s">
        <v>78</v>
      </c>
      <c r="N21" s="69" t="s">
        <v>123</v>
      </c>
      <c r="O21" s="69" t="s">
        <v>124</v>
      </c>
      <c r="P21" s="69" t="s">
        <v>122</v>
      </c>
      <c r="Q21" s="69" t="s">
        <v>125</v>
      </c>
      <c r="R21" s="69" t="s">
        <v>126</v>
      </c>
      <c r="S21" s="69" t="s">
        <v>122</v>
      </c>
      <c r="T21" s="69" t="s">
        <v>127</v>
      </c>
    </row>
    <row r="22" spans="1:20" ht="14.4" x14ac:dyDescent="0.3">
      <c r="A22" s="9" t="str">
        <v>NY: Clifton Springs - Ontario 2 (21597)</v>
      </c>
      <c r="B22" s="14" t="str">
        <v>NY</v>
      </c>
      <c r="C22" s="9"/>
      <c r="D22" s="9"/>
      <c r="E22" s="9"/>
      <c r="F22" s="9"/>
      <c r="G22" s="9"/>
      <c r="H22" s="9"/>
      <c r="I22" s="9"/>
      <c r="J22" s="9"/>
      <c r="K22" s="9"/>
      <c r="M22" s="53"/>
    </row>
    <row r="23" spans="1:20" ht="14.4" x14ac:dyDescent="0.3">
      <c r="A23" s="9" t="str">
        <v>CA: Oxnard - 2600 Sakioka - System A</v>
      </c>
      <c r="B23" s="14" t="str">
        <v>CA</v>
      </c>
      <c r="C23" s="9"/>
      <c r="D23" s="9"/>
      <c r="E23" s="9"/>
      <c r="F23" s="9"/>
      <c r="G23" s="9"/>
      <c r="H23" s="9"/>
      <c r="I23" s="9"/>
      <c r="J23" s="9"/>
      <c r="K23" s="9"/>
      <c r="M23" s="53"/>
    </row>
    <row r="24" spans="1:20" ht="14.4" x14ac:dyDescent="0.3">
      <c r="A24" s="9" t="str">
        <v>CA: Oxnard - 2600 Sakioka - System B</v>
      </c>
      <c r="B24" s="14" t="str">
        <v>CA</v>
      </c>
      <c r="C24" s="9"/>
      <c r="D24" s="9"/>
      <c r="E24" s="9"/>
      <c r="F24" s="9"/>
      <c r="G24" s="9"/>
      <c r="H24" s="9"/>
      <c r="I24" s="9"/>
      <c r="J24" s="9"/>
      <c r="K24" s="9"/>
      <c r="M24" s="53"/>
    </row>
    <row r="25" spans="1:20" ht="14.4" x14ac:dyDescent="0.3">
      <c r="A25" s="9" t="str">
        <v>NY: Fonda - Montgomery 1 (21601)</v>
      </c>
      <c r="B25" s="14" t="str">
        <v>NY</v>
      </c>
      <c r="C25" s="9"/>
      <c r="D25" s="9"/>
      <c r="E25" s="9"/>
      <c r="F25" s="10"/>
      <c r="G25" s="9"/>
      <c r="H25" s="9"/>
      <c r="I25" s="10"/>
      <c r="J25" s="9"/>
      <c r="K25" s="9"/>
      <c r="M25" s="53"/>
    </row>
    <row r="26" spans="1:20" ht="14.4" x14ac:dyDescent="0.3">
      <c r="A26" s="9" t="str">
        <v>NY: Evans - SL Evans Array 1 (21106) - (PW)</v>
      </c>
      <c r="B26" s="14" t="str">
        <v>NY</v>
      </c>
      <c r="C26" s="9"/>
      <c r="D26" s="9"/>
      <c r="E26" s="9"/>
      <c r="F26" s="10"/>
      <c r="G26" s="9"/>
      <c r="H26" s="9"/>
      <c r="I26" s="10"/>
      <c r="J26" s="9"/>
      <c r="K26" s="9"/>
      <c r="M26" s="53"/>
    </row>
    <row r="27" spans="1:20" ht="14.4" x14ac:dyDescent="0.3">
      <c r="A27" s="9" t="str">
        <v>NY: Evans - SL Evans Array 2 (21107) - (PW)</v>
      </c>
      <c r="B27" s="14" t="str">
        <v>NY</v>
      </c>
      <c r="C27" s="9"/>
      <c r="D27" s="9"/>
      <c r="E27" s="9"/>
      <c r="F27" s="10"/>
      <c r="G27" s="9"/>
      <c r="H27" s="9"/>
      <c r="I27" s="10"/>
      <c r="J27" s="9"/>
      <c r="K27" s="9"/>
      <c r="M27" s="53"/>
    </row>
    <row r="28" spans="1:20" ht="14.4" x14ac:dyDescent="0.3">
      <c r="A28" s="9"/>
      <c r="B28" s="14"/>
      <c r="C28" s="9"/>
      <c r="D28" s="9"/>
      <c r="E28" s="9"/>
      <c r="F28" s="10"/>
      <c r="G28" s="9"/>
      <c r="H28" s="9"/>
      <c r="I28" s="10"/>
      <c r="J28" s="9"/>
      <c r="K28" s="9"/>
      <c r="M28" s="53"/>
    </row>
    <row r="29" spans="1:20" ht="14.4" x14ac:dyDescent="0.3">
      <c r="A29" s="9"/>
      <c r="B29" s="14"/>
      <c r="C29" s="9"/>
      <c r="D29" s="9"/>
      <c r="E29" s="9"/>
      <c r="F29" s="10"/>
      <c r="G29" s="9"/>
      <c r="H29" s="9"/>
      <c r="I29" s="10"/>
      <c r="J29" s="9"/>
      <c r="K29" s="9"/>
      <c r="M29" s="53"/>
    </row>
    <row r="30" spans="1:20" ht="14.4" x14ac:dyDescent="0.3">
      <c r="A30" s="9"/>
      <c r="B30" s="14"/>
      <c r="C30" s="9"/>
      <c r="D30" s="9"/>
      <c r="E30" s="9"/>
      <c r="F30" s="10"/>
      <c r="G30" s="9"/>
      <c r="H30" s="9"/>
      <c r="I30" s="10"/>
      <c r="J30" s="9"/>
      <c r="K30" s="9"/>
      <c r="M30" s="53"/>
    </row>
    <row r="31" spans="1:20" ht="14.4" x14ac:dyDescent="0.3">
      <c r="A31" s="9"/>
      <c r="B31" s="14"/>
      <c r="C31" s="9"/>
      <c r="D31" s="9"/>
      <c r="E31" s="9"/>
      <c r="F31" s="10"/>
      <c r="G31" s="9"/>
      <c r="H31" s="9"/>
      <c r="I31" s="10"/>
      <c r="J31" s="9"/>
      <c r="K31" s="9"/>
      <c r="M31" s="53"/>
    </row>
    <row r="32" spans="1:20" ht="14.4" x14ac:dyDescent="0.3">
      <c r="A32" s="9"/>
      <c r="B32" s="14"/>
      <c r="C32" s="9"/>
      <c r="D32" s="9"/>
      <c r="E32" s="9"/>
      <c r="F32" s="10"/>
      <c r="G32" s="9"/>
      <c r="H32" s="9"/>
      <c r="I32" s="10"/>
      <c r="J32" s="9"/>
      <c r="K32" s="9"/>
      <c r="M32" s="53"/>
    </row>
    <row r="33" spans="1:13" ht="14.4" x14ac:dyDescent="0.3">
      <c r="A33" s="9"/>
      <c r="B33" s="14"/>
      <c r="C33" s="9"/>
      <c r="D33" s="9"/>
      <c r="E33" s="9"/>
      <c r="F33" s="10"/>
      <c r="G33" s="9"/>
      <c r="H33" s="9"/>
      <c r="I33" s="10"/>
      <c r="J33" s="9"/>
      <c r="K33" s="9"/>
      <c r="M33" s="53"/>
    </row>
    <row r="34" spans="1:13" ht="14.4" x14ac:dyDescent="0.3">
      <c r="A34" s="9"/>
      <c r="B34" s="14"/>
      <c r="C34" s="9"/>
      <c r="D34" s="9"/>
      <c r="E34" s="9"/>
      <c r="F34" s="10"/>
      <c r="G34" s="9"/>
      <c r="H34" s="9"/>
      <c r="I34" s="10"/>
      <c r="J34" s="9"/>
      <c r="K34" s="9"/>
      <c r="M34" s="53"/>
    </row>
    <row r="35" spans="1:13" ht="14.4" x14ac:dyDescent="0.3">
      <c r="A35" s="9"/>
      <c r="B35" s="14"/>
      <c r="C35" s="9"/>
      <c r="D35" s="9"/>
      <c r="E35" s="9"/>
      <c r="F35" s="10"/>
      <c r="G35" s="9"/>
      <c r="H35" s="9"/>
      <c r="I35" s="10"/>
      <c r="J35" s="9"/>
      <c r="K35" s="9"/>
      <c r="M35" s="53"/>
    </row>
    <row r="36" spans="1:13" ht="14.4" x14ac:dyDescent="0.3">
      <c r="A36" s="9"/>
      <c r="B36" s="14"/>
      <c r="C36" s="9"/>
      <c r="D36" s="9"/>
      <c r="E36" s="9"/>
      <c r="F36" s="10"/>
      <c r="G36" s="9"/>
      <c r="H36" s="9"/>
      <c r="I36" s="10"/>
      <c r="J36" s="9"/>
      <c r="K36" s="9"/>
      <c r="M36" s="53"/>
    </row>
    <row r="37" spans="1:13" ht="14.4" x14ac:dyDescent="0.3">
      <c r="A37" s="9"/>
      <c r="B37" s="14"/>
      <c r="C37" s="9"/>
      <c r="D37" s="9"/>
      <c r="E37" s="9"/>
      <c r="F37" s="10"/>
      <c r="G37" s="9"/>
      <c r="H37" s="9"/>
      <c r="I37" s="10"/>
      <c r="J37" s="9"/>
      <c r="K37" s="9"/>
      <c r="M37" s="53"/>
    </row>
    <row r="38" spans="1:13" ht="14.4" x14ac:dyDescent="0.3">
      <c r="A38" s="9"/>
      <c r="B38" s="14"/>
      <c r="C38" s="9"/>
      <c r="D38" s="9"/>
      <c r="E38" s="9"/>
      <c r="F38" s="10"/>
      <c r="G38" s="9"/>
      <c r="H38" s="9"/>
      <c r="I38" s="10"/>
      <c r="J38" s="9"/>
      <c r="K38" s="9"/>
      <c r="M38" s="53"/>
    </row>
    <row r="39" spans="1:13" ht="14.4" x14ac:dyDescent="0.3">
      <c r="A39" s="9"/>
      <c r="B39" s="14"/>
      <c r="C39" s="9"/>
      <c r="D39" s="9"/>
      <c r="E39" s="9"/>
      <c r="F39" s="10"/>
      <c r="G39" s="9"/>
      <c r="H39" s="9"/>
      <c r="I39" s="10"/>
      <c r="J39" s="9"/>
      <c r="K39" s="9"/>
      <c r="M39" s="53"/>
    </row>
    <row r="40" spans="1:13" ht="14.4" x14ac:dyDescent="0.3">
      <c r="A40" s="9"/>
      <c r="B40" s="14"/>
      <c r="C40" s="9"/>
      <c r="D40" s="9"/>
      <c r="E40" s="9"/>
      <c r="F40" s="10"/>
      <c r="G40" s="9"/>
      <c r="H40" s="9"/>
      <c r="I40" s="10"/>
      <c r="J40" s="9"/>
      <c r="K40" s="9"/>
      <c r="M40" s="53"/>
    </row>
    <row r="41" spans="1:13" ht="14.4" x14ac:dyDescent="0.3">
      <c r="A41" s="9"/>
      <c r="B41" s="14"/>
      <c r="C41" s="9"/>
      <c r="D41" s="9"/>
      <c r="E41" s="9"/>
      <c r="F41" s="10"/>
      <c r="G41" s="9"/>
      <c r="H41" s="9"/>
      <c r="I41" s="10"/>
      <c r="J41" s="9"/>
      <c r="K41" s="9"/>
      <c r="M41" s="53"/>
    </row>
    <row r="42" spans="1:13" ht="14.4" x14ac:dyDescent="0.3">
      <c r="A42" s="9"/>
      <c r="B42" s="14"/>
      <c r="C42" s="9"/>
      <c r="D42" s="9"/>
      <c r="E42" s="9"/>
      <c r="F42" s="10"/>
      <c r="G42" s="9"/>
      <c r="H42" s="9"/>
      <c r="I42" s="10"/>
      <c r="J42" s="9"/>
      <c r="K42" s="9"/>
    </row>
    <row r="43" spans="1:13" ht="14.4" x14ac:dyDescent="0.3">
      <c r="A43" s="9"/>
      <c r="B43" s="14"/>
      <c r="C43" s="9"/>
      <c r="D43" s="9"/>
      <c r="E43" s="9"/>
      <c r="F43" s="10"/>
      <c r="G43" s="9"/>
      <c r="H43" s="9"/>
      <c r="I43" s="10"/>
      <c r="J43" s="9"/>
      <c r="K43" s="9"/>
    </row>
    <row r="44" spans="1:13" ht="14.4" x14ac:dyDescent="0.3">
      <c r="A44" s="9"/>
      <c r="B44" s="14"/>
      <c r="C44" s="9"/>
      <c r="D44" s="9"/>
      <c r="E44" s="9"/>
      <c r="F44" s="10"/>
      <c r="G44" s="9"/>
      <c r="H44" s="9"/>
      <c r="I44" s="10"/>
      <c r="J44" s="9"/>
      <c r="K44" s="9"/>
    </row>
    <row r="45" spans="1:13" ht="14.4" x14ac:dyDescent="0.3">
      <c r="A45" s="9"/>
      <c r="B45" s="14"/>
      <c r="C45" s="9"/>
      <c r="D45" s="9"/>
      <c r="E45" s="9"/>
      <c r="F45" s="10"/>
      <c r="G45" s="9"/>
      <c r="H45" s="9"/>
      <c r="I45" s="10"/>
      <c r="J45" s="9"/>
      <c r="K45" s="9"/>
    </row>
    <row r="46" spans="1:13" ht="14.4" x14ac:dyDescent="0.3">
      <c r="A46" s="9"/>
      <c r="B46" s="14"/>
      <c r="C46" s="9"/>
      <c r="D46" s="9"/>
      <c r="E46" s="9"/>
      <c r="F46" s="10"/>
      <c r="G46" s="9"/>
      <c r="H46" s="9"/>
      <c r="I46" s="10"/>
      <c r="J46" s="9"/>
      <c r="K46" s="9"/>
    </row>
    <row r="47" spans="1:13" ht="14.4" x14ac:dyDescent="0.3">
      <c r="A47" s="9"/>
      <c r="B47" s="14"/>
      <c r="C47" s="9"/>
      <c r="D47" s="9"/>
      <c r="E47" s="9"/>
      <c r="F47" s="10"/>
      <c r="G47" s="9"/>
      <c r="H47" s="9"/>
      <c r="I47" s="10"/>
      <c r="J47" s="9"/>
      <c r="K47" s="9"/>
    </row>
    <row r="48" spans="1:13"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cfRule type="cellIs" dxfId="33" priority="5" stopIfTrue="1" operator="lessThanOrEqual">
      <formula>-0.1</formula>
    </cfRule>
    <cfRule type="expression" dxfId="32" priority="6">
      <formula>AND(ISNUMBER(F2), F2&gt;=0.1)</formula>
    </cfRule>
  </conditionalFormatting>
  <conditionalFormatting sqref="F4:F92 I4:I92">
    <cfRule type="cellIs" dxfId="31" priority="1" stopIfTrue="1" operator="lessThanOrEqual">
      <formula>-0.1</formula>
    </cfRule>
    <cfRule type="expression" dxfId="30"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zoomScale="70" zoomScaleNormal="70" workbookViewId="0">
      <pane xSplit="2" ySplit="3" topLeftCell="C6" activePane="bottomRight" state="frozen"/>
      <selection pane="topRight" activeCell="E11" sqref="E11"/>
      <selection pane="bottomLeft" activeCell="E11" sqref="E11"/>
      <selection pane="bottomRight" activeCell="G5" sqref="G5"/>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7" ht="19.5" customHeight="1" x14ac:dyDescent="0.25">
      <c r="A1" s="96" t="str" cm="1">
        <f t="array" ref="A1">portfolio</f>
        <v>Catalyze</v>
      </c>
      <c r="B1" s="96"/>
      <c r="C1" s="96"/>
      <c r="D1" s="97" t="s">
        <v>128</v>
      </c>
      <c r="E1" s="97"/>
      <c r="F1" s="97"/>
      <c r="G1" s="95" t="s">
        <v>129</v>
      </c>
      <c r="H1" s="95"/>
      <c r="I1" s="95"/>
      <c r="J1" s="4"/>
      <c r="K1" s="4"/>
    </row>
    <row r="2" spans="1:17" ht="19.5" customHeight="1" x14ac:dyDescent="0.25">
      <c r="A2" s="98" t="s">
        <v>2</v>
      </c>
      <c r="B2" s="98"/>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2"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x14ac:dyDescent="0.25">
      <c r="A3" s="13" t="s">
        <v>3</v>
      </c>
      <c r="B3" s="13" t="s">
        <v>4</v>
      </c>
      <c r="C3" s="20" t="s">
        <v>5</v>
      </c>
      <c r="D3" s="21" t="s">
        <v>6</v>
      </c>
      <c r="E3" s="21" t="s">
        <v>7</v>
      </c>
      <c r="F3" s="22" t="s">
        <v>8</v>
      </c>
      <c r="G3" s="23" t="s">
        <v>9</v>
      </c>
      <c r="H3" s="24" t="s">
        <v>7</v>
      </c>
      <c r="I3" s="25" t="s">
        <v>8</v>
      </c>
      <c r="J3" s="11" t="s">
        <v>20</v>
      </c>
      <c r="K3" s="11" t="s">
        <v>21</v>
      </c>
    </row>
    <row r="4" spans="1:17" ht="28.8" x14ac:dyDescent="0.3">
      <c r="A4" s="40" t="str" cm="1">
        <f t="array" ref="A4:A27">Sites[Site]</f>
        <v>Fresno - 3150 Shaw Ave</v>
      </c>
      <c r="B4" s="41" t="str" cm="1">
        <f t="array" ref="B4:B27">Sites[State]</f>
        <v>CA</v>
      </c>
      <c r="C4" s="29">
        <v>100611</v>
      </c>
      <c r="D4" s="30">
        <v>98633.69</v>
      </c>
      <c r="E4" s="30">
        <f>IF(AND(ISNUMBER(C4),ISNUMBER(D4)), C4-D4, "")</f>
        <v>1977.3099999999977</v>
      </c>
      <c r="F4" s="31">
        <f>IFERROR(E4/D4, "")</f>
        <v>2.0047004223404778E-2</v>
      </c>
      <c r="G4" s="32">
        <v>109007.3</v>
      </c>
      <c r="H4" s="32">
        <f>IF(AND(ISNUMBER(C4),ISNUMBER(G4)), C4-G4, "")</f>
        <v>-8396.3000000000029</v>
      </c>
      <c r="I4" s="33">
        <f>IFERROR(H4/G4, "")</f>
        <v>-7.7025116666498514E-2</v>
      </c>
      <c r="J4" s="64" t="s">
        <v>130</v>
      </c>
      <c r="K4" s="84" t="s">
        <v>131</v>
      </c>
      <c r="L4" s="71"/>
      <c r="M4" s="71"/>
      <c r="N4" s="71"/>
      <c r="O4" s="71"/>
      <c r="P4" s="71"/>
      <c r="Q4" s="71"/>
    </row>
    <row r="5" spans="1:17" ht="121.5" customHeight="1" x14ac:dyDescent="0.25">
      <c r="A5" s="42" t="str">
        <v>Adelanto - 1 Sheep Creek Road</v>
      </c>
      <c r="B5" s="43" t="str">
        <v>CA</v>
      </c>
      <c r="C5" s="36">
        <v>786306</v>
      </c>
      <c r="D5" s="37">
        <v>174230.64749999999</v>
      </c>
      <c r="E5" s="37">
        <f t="shared" ref="E5:E21" si="0">IF(AND(ISNUMBER(C5),ISNUMBER(D5)), C5-D5, "")</f>
        <v>612075.35250000004</v>
      </c>
      <c r="F5" s="38">
        <f>IFERROR(E5/D5, "")</f>
        <v>3.5130177226713233</v>
      </c>
      <c r="G5" s="54"/>
      <c r="H5" s="39" t="str">
        <f t="shared" ref="H5:H21" si="1">IF(AND(ISNUMBER(C5),ISNUMBER(G5)), C5-G5, "")</f>
        <v/>
      </c>
      <c r="I5" s="38" t="str">
        <f t="shared" ref="I5:I21" si="2">IFERROR(H5/G5, "")</f>
        <v/>
      </c>
      <c r="J5" s="77" t="s">
        <v>132</v>
      </c>
      <c r="K5" s="68" t="s">
        <v>133</v>
      </c>
      <c r="L5" s="72" t="s">
        <v>134</v>
      </c>
      <c r="M5" s="72" t="s">
        <v>135</v>
      </c>
      <c r="N5" s="71"/>
      <c r="O5" s="71"/>
      <c r="P5" s="71"/>
      <c r="Q5" s="71"/>
    </row>
    <row r="6" spans="1:17" ht="225" customHeight="1" x14ac:dyDescent="0.25">
      <c r="A6" s="44" t="str">
        <v>Blackstone - 83 Federal Street</v>
      </c>
      <c r="B6" s="41" t="str">
        <v>MA</v>
      </c>
      <c r="C6" s="29">
        <v>490582.5</v>
      </c>
      <c r="D6" s="30">
        <v>697581.8</v>
      </c>
      <c r="E6" s="30">
        <f t="shared" si="0"/>
        <v>-206999.30000000005</v>
      </c>
      <c r="F6" s="31">
        <f t="shared" ref="F6:F21" si="3">IFERROR(E6/D6, "")</f>
        <v>-0.29673838967702432</v>
      </c>
      <c r="G6" s="32">
        <v>768668.8</v>
      </c>
      <c r="H6" s="32">
        <f t="shared" si="1"/>
        <v>-278086.30000000005</v>
      </c>
      <c r="I6" s="33">
        <f t="shared" si="2"/>
        <v>-0.36177648943211954</v>
      </c>
      <c r="J6" s="64" t="s">
        <v>136</v>
      </c>
      <c r="K6" s="84" t="s">
        <v>137</v>
      </c>
      <c r="L6" s="72" t="s">
        <v>138</v>
      </c>
      <c r="M6" s="72" t="s">
        <v>139</v>
      </c>
      <c r="N6" s="72" t="s">
        <v>140</v>
      </c>
      <c r="O6" s="72" t="s">
        <v>141</v>
      </c>
      <c r="P6" s="72" t="s">
        <v>141</v>
      </c>
      <c r="Q6" s="72" t="s">
        <v>142</v>
      </c>
    </row>
    <row r="7" spans="1:17" ht="36" customHeight="1" x14ac:dyDescent="0.25">
      <c r="A7" s="42" t="str">
        <v>Charlton - 299 Worcester Road</v>
      </c>
      <c r="B7" s="43" t="str">
        <v>MA</v>
      </c>
      <c r="C7" s="36">
        <v>59872.5</v>
      </c>
      <c r="D7" s="37">
        <v>60825.16</v>
      </c>
      <c r="E7" s="37">
        <f t="shared" si="0"/>
        <v>-952.66000000000349</v>
      </c>
      <c r="F7" s="38">
        <f t="shared" si="3"/>
        <v>-1.566226870591057E-2</v>
      </c>
      <c r="G7" s="39">
        <v>69479.320000000007</v>
      </c>
      <c r="H7" s="39">
        <f t="shared" si="1"/>
        <v>-9606.820000000007</v>
      </c>
      <c r="I7" s="38">
        <f t="shared" si="2"/>
        <v>-0.13826876831840043</v>
      </c>
      <c r="J7" s="59" t="s">
        <v>143</v>
      </c>
      <c r="K7" s="68" t="s">
        <v>144</v>
      </c>
      <c r="L7" s="71"/>
      <c r="M7" s="71"/>
      <c r="N7" s="71"/>
      <c r="O7" s="71"/>
      <c r="P7" s="71"/>
      <c r="Q7" s="71"/>
    </row>
    <row r="8" spans="1:17" ht="15.6" x14ac:dyDescent="0.25">
      <c r="A8" s="44" t="str">
        <v>Wareham - 8 Thatcher Drive</v>
      </c>
      <c r="B8" s="41" t="str">
        <v>MA</v>
      </c>
      <c r="C8" s="29">
        <v>17115.3125</v>
      </c>
      <c r="D8" s="30">
        <v>17134.03</v>
      </c>
      <c r="E8" s="30">
        <f t="shared" si="0"/>
        <v>-18.717499999998836</v>
      </c>
      <c r="F8" s="31">
        <f t="shared" si="3"/>
        <v>-1.092416670217038E-3</v>
      </c>
      <c r="G8" s="32">
        <v>20513.509999999998</v>
      </c>
      <c r="H8" s="32">
        <f t="shared" si="1"/>
        <v>-3398.1974999999984</v>
      </c>
      <c r="I8" s="33">
        <f t="shared" si="2"/>
        <v>-0.16565655999387713</v>
      </c>
      <c r="J8" s="64" t="s">
        <v>145</v>
      </c>
      <c r="K8" s="64"/>
      <c r="L8" s="71"/>
      <c r="M8" s="71"/>
      <c r="N8" s="71"/>
      <c r="O8" s="71"/>
      <c r="P8" s="71"/>
      <c r="Q8" s="71"/>
    </row>
    <row r="9" spans="1:17" ht="15.6" x14ac:dyDescent="0.25">
      <c r="A9" s="42" t="str">
        <v>West Yarmouth - 42 Mid Tech</v>
      </c>
      <c r="B9" s="43" t="str">
        <v>MA</v>
      </c>
      <c r="C9" s="36">
        <v>15407.110626703001</v>
      </c>
      <c r="D9" s="37">
        <v>16609.13</v>
      </c>
      <c r="E9" s="37">
        <f t="shared" si="0"/>
        <v>-1202.0193732970001</v>
      </c>
      <c r="F9" s="38">
        <f t="shared" si="3"/>
        <v>-7.2371001569438015E-2</v>
      </c>
      <c r="G9" s="39">
        <v>19005.689999999999</v>
      </c>
      <c r="H9" s="39">
        <f t="shared" si="1"/>
        <v>-3598.5793732969978</v>
      </c>
      <c r="I9" s="38">
        <f t="shared" si="2"/>
        <v>-0.18934221137443566</v>
      </c>
      <c r="J9" s="86" t="s">
        <v>146</v>
      </c>
      <c r="K9" s="87"/>
      <c r="L9" s="71"/>
      <c r="M9" s="71"/>
      <c r="N9" s="71"/>
      <c r="O9" s="71"/>
      <c r="P9" s="71"/>
      <c r="Q9" s="71"/>
    </row>
    <row r="10" spans="1:17" ht="16.5" customHeight="1" x14ac:dyDescent="0.25">
      <c r="A10" s="44" t="str">
        <v>Harrison - 130 Union Street</v>
      </c>
      <c r="B10" s="41" t="str">
        <v>NY</v>
      </c>
      <c r="C10" s="29">
        <v>25339.3125</v>
      </c>
      <c r="D10" s="30">
        <v>25779.61</v>
      </c>
      <c r="E10" s="30">
        <f t="shared" si="0"/>
        <v>-440.29750000000058</v>
      </c>
      <c r="F10" s="31">
        <f t="shared" si="3"/>
        <v>-1.7079292510631488E-2</v>
      </c>
      <c r="G10" s="32">
        <v>26043.9</v>
      </c>
      <c r="H10" s="32">
        <f t="shared" si="1"/>
        <v>-704.58750000000146</v>
      </c>
      <c r="I10" s="33">
        <f t="shared" si="2"/>
        <v>-2.705383986269343E-2</v>
      </c>
      <c r="J10" s="64"/>
      <c r="K10" s="64"/>
      <c r="L10" s="71"/>
      <c r="M10" s="71"/>
      <c r="N10" s="71"/>
      <c r="O10" s="71"/>
      <c r="P10" s="71"/>
      <c r="Q10" s="71"/>
    </row>
    <row r="11" spans="1:17" ht="15.6" x14ac:dyDescent="0.25">
      <c r="A11" s="42" t="str">
        <v>Staten Island - Ellis Storage</v>
      </c>
      <c r="B11" s="43" t="str">
        <v>NY</v>
      </c>
      <c r="C11" s="36">
        <v>55255.625</v>
      </c>
      <c r="D11" s="37">
        <v>49684.37</v>
      </c>
      <c r="E11" s="37">
        <f t="shared" si="0"/>
        <v>5571.2549999999974</v>
      </c>
      <c r="F11" s="38">
        <f t="shared" si="3"/>
        <v>0.11213295046309327</v>
      </c>
      <c r="G11" s="39">
        <v>60526.2</v>
      </c>
      <c r="H11" s="39">
        <f t="shared" si="1"/>
        <v>-5270.5749999999971</v>
      </c>
      <c r="I11" s="38">
        <f t="shared" si="2"/>
        <v>-8.7079231803747756E-2</v>
      </c>
      <c r="J11" s="86"/>
      <c r="K11" s="87"/>
      <c r="L11" s="71"/>
      <c r="M11" s="71"/>
      <c r="N11" s="71"/>
      <c r="O11" s="71"/>
      <c r="P11" s="71"/>
      <c r="Q11" s="71"/>
    </row>
    <row r="12" spans="1:17" ht="28.8" x14ac:dyDescent="0.25">
      <c r="A12" s="44" t="str">
        <v>Amherst - 595 Schoelles Road</v>
      </c>
      <c r="B12" s="41" t="str">
        <v>NY</v>
      </c>
      <c r="C12" s="29">
        <v>812218.5</v>
      </c>
      <c r="D12" s="30">
        <v>838338.8</v>
      </c>
      <c r="E12" s="30">
        <f t="shared" si="0"/>
        <v>-26120.300000000047</v>
      </c>
      <c r="F12" s="31">
        <f t="shared" si="3"/>
        <v>-3.1157212334679066E-2</v>
      </c>
      <c r="G12" s="32">
        <v>916083.3</v>
      </c>
      <c r="H12" s="32">
        <f t="shared" si="1"/>
        <v>-103864.80000000005</v>
      </c>
      <c r="I12" s="33">
        <f t="shared" si="2"/>
        <v>-0.11337920907410935</v>
      </c>
      <c r="J12" s="64" t="s">
        <v>147</v>
      </c>
      <c r="K12" s="84" t="s">
        <v>148</v>
      </c>
      <c r="L12" s="71"/>
      <c r="M12" s="71"/>
      <c r="N12" s="71"/>
      <c r="O12" s="71"/>
      <c r="P12" s="71"/>
      <c r="Q12" s="71"/>
    </row>
    <row r="13" spans="1:17" ht="98.25" customHeight="1" x14ac:dyDescent="0.25">
      <c r="A13" s="42" t="str">
        <v>Lancaster 1 - Gunnville Road</v>
      </c>
      <c r="B13" s="43" t="str">
        <v>NY</v>
      </c>
      <c r="C13" s="36">
        <v>667894</v>
      </c>
      <c r="D13" s="37">
        <v>658923.30000000005</v>
      </c>
      <c r="E13" s="37">
        <f t="shared" si="0"/>
        <v>8970.6999999999534</v>
      </c>
      <c r="F13" s="38">
        <f t="shared" si="3"/>
        <v>1.3614179374139529E-2</v>
      </c>
      <c r="G13" s="39">
        <v>743810.8</v>
      </c>
      <c r="H13" s="39">
        <f t="shared" si="1"/>
        <v>-75916.800000000047</v>
      </c>
      <c r="I13" s="38">
        <f t="shared" si="2"/>
        <v>-0.10206466483143299</v>
      </c>
      <c r="J13" s="59" t="s">
        <v>149</v>
      </c>
      <c r="K13" s="68" t="s">
        <v>150</v>
      </c>
      <c r="L13" s="72" t="s">
        <v>151</v>
      </c>
      <c r="M13" s="72" t="s">
        <v>152</v>
      </c>
      <c r="N13" s="72" t="s">
        <v>151</v>
      </c>
      <c r="O13" s="71"/>
      <c r="P13" s="71"/>
      <c r="Q13" s="71"/>
    </row>
    <row r="14" spans="1:17" ht="86.4" x14ac:dyDescent="0.25">
      <c r="A14" s="44" t="str">
        <v>Lancaster 2 - Shisler Road</v>
      </c>
      <c r="B14" s="41" t="str">
        <v>NY</v>
      </c>
      <c r="C14" s="29">
        <v>701885</v>
      </c>
      <c r="D14" s="30">
        <v>723030.1</v>
      </c>
      <c r="E14" s="30">
        <f t="shared" si="0"/>
        <v>-21145.099999999977</v>
      </c>
      <c r="F14" s="31">
        <f t="shared" si="3"/>
        <v>-2.92451171811519E-2</v>
      </c>
      <c r="G14" s="32">
        <v>817032.2</v>
      </c>
      <c r="H14" s="32">
        <f t="shared" si="1"/>
        <v>-115147.19999999995</v>
      </c>
      <c r="I14" s="33">
        <f t="shared" si="2"/>
        <v>-0.1409334907485898</v>
      </c>
      <c r="J14" s="64" t="s">
        <v>153</v>
      </c>
      <c r="K14" s="84" t="s">
        <v>154</v>
      </c>
      <c r="L14" s="72" t="s">
        <v>155</v>
      </c>
      <c r="M14" s="71"/>
      <c r="N14" s="71"/>
      <c r="O14" s="71"/>
      <c r="P14" s="71"/>
      <c r="Q14" s="71"/>
    </row>
    <row r="15" spans="1:17" ht="15.6" x14ac:dyDescent="0.25">
      <c r="A15" s="42" t="str">
        <v>Fullerton - 200 W Orangethorpe</v>
      </c>
      <c r="B15" s="43" t="str">
        <v>CA</v>
      </c>
      <c r="C15" s="36">
        <v>111484.625</v>
      </c>
      <c r="D15" s="37">
        <v>112078.2</v>
      </c>
      <c r="E15" s="37">
        <f t="shared" si="0"/>
        <v>-593.57499999999709</v>
      </c>
      <c r="F15" s="38">
        <f t="shared" si="3"/>
        <v>-5.2960789877067715E-3</v>
      </c>
      <c r="G15" s="39">
        <v>121425.9</v>
      </c>
      <c r="H15" s="39">
        <f t="shared" si="1"/>
        <v>-9941.2749999999942</v>
      </c>
      <c r="I15" s="38">
        <f t="shared" si="2"/>
        <v>-8.1871124694154987E-2</v>
      </c>
      <c r="J15" s="86"/>
      <c r="K15" s="87"/>
      <c r="L15" s="71"/>
      <c r="M15" s="71"/>
      <c r="N15" s="71"/>
      <c r="O15" s="71"/>
      <c r="P15" s="71"/>
      <c r="Q15" s="71"/>
    </row>
    <row r="16" spans="1:17" ht="28.8" x14ac:dyDescent="0.25">
      <c r="A16" s="44" t="str">
        <v>El Paso - 10500 Railroad Drive</v>
      </c>
      <c r="B16" s="41" t="str">
        <v>TX</v>
      </c>
      <c r="C16" s="29">
        <v>153942.5</v>
      </c>
      <c r="D16" s="30">
        <v>135732.4</v>
      </c>
      <c r="E16" s="30">
        <f t="shared" si="0"/>
        <v>18210.100000000006</v>
      </c>
      <c r="F16" s="31">
        <f t="shared" si="3"/>
        <v>0.13416177714385075</v>
      </c>
      <c r="G16" s="32">
        <v>147311.9</v>
      </c>
      <c r="H16" s="32">
        <f t="shared" si="1"/>
        <v>6630.6000000000058</v>
      </c>
      <c r="I16" s="33">
        <f t="shared" si="2"/>
        <v>4.5010620323273312E-2</v>
      </c>
      <c r="J16" s="90" t="s">
        <v>156</v>
      </c>
      <c r="K16" s="84" t="s">
        <v>157</v>
      </c>
      <c r="L16" s="71"/>
      <c r="M16" s="71"/>
      <c r="N16" s="71"/>
      <c r="O16" s="71"/>
      <c r="P16" s="71"/>
      <c r="Q16" s="71"/>
    </row>
    <row r="17" spans="1:17" ht="28.8" x14ac:dyDescent="0.25">
      <c r="A17" s="42" t="str">
        <v>Friona - 900 Millard Ave</v>
      </c>
      <c r="B17" s="43" t="str">
        <v>TX</v>
      </c>
      <c r="C17" s="36">
        <v>121081</v>
      </c>
      <c r="D17" s="37">
        <v>109536.6</v>
      </c>
      <c r="E17" s="37">
        <f t="shared" si="0"/>
        <v>11544.399999999994</v>
      </c>
      <c r="F17" s="38">
        <f t="shared" si="3"/>
        <v>0.10539308322515026</v>
      </c>
      <c r="G17" s="39">
        <v>124471.2</v>
      </c>
      <c r="H17" s="39">
        <f t="shared" si="1"/>
        <v>-3390.1999999999971</v>
      </c>
      <c r="I17" s="38">
        <f t="shared" si="2"/>
        <v>-2.7236822654557818E-2</v>
      </c>
      <c r="J17" s="64" t="s">
        <v>158</v>
      </c>
      <c r="K17" s="68" t="s">
        <v>159</v>
      </c>
      <c r="L17" s="71"/>
      <c r="M17" s="71"/>
      <c r="N17" s="71"/>
      <c r="O17" s="71"/>
      <c r="P17" s="71"/>
      <c r="Q17" s="71"/>
    </row>
    <row r="18" spans="1:17" ht="15.6" x14ac:dyDescent="0.25">
      <c r="A18" s="44" t="str">
        <v>Augusta - 13 York Farm Road</v>
      </c>
      <c r="B18" s="41" t="str">
        <v>ME</v>
      </c>
      <c r="C18" s="29">
        <v>162062.75</v>
      </c>
      <c r="D18" s="30">
        <v>162237.4</v>
      </c>
      <c r="E18" s="30">
        <f t="shared" si="0"/>
        <v>-174.64999999999418</v>
      </c>
      <c r="F18" s="31">
        <f t="shared" si="3"/>
        <v>-1.0765088691016634E-3</v>
      </c>
      <c r="G18" s="32">
        <v>179807.8</v>
      </c>
      <c r="H18" s="32">
        <f t="shared" si="1"/>
        <v>-17745.049999999988</v>
      </c>
      <c r="I18" s="33">
        <f t="shared" si="2"/>
        <v>-9.8688989020498497E-2</v>
      </c>
      <c r="J18" s="64"/>
      <c r="K18" s="64"/>
      <c r="L18" s="71"/>
      <c r="M18" s="71"/>
      <c r="N18" s="71"/>
      <c r="O18" s="71"/>
      <c r="P18" s="71"/>
      <c r="Q18" s="71"/>
    </row>
    <row r="19" spans="1:17" ht="57.6" x14ac:dyDescent="0.25">
      <c r="A19" s="42" t="str">
        <v xml:space="preserve">Santa Ana - 1441 West </v>
      </c>
      <c r="B19" s="43" t="str">
        <v>CA</v>
      </c>
      <c r="C19" s="36">
        <v>61971.8462499999</v>
      </c>
      <c r="D19" s="37">
        <v>67920.710000000006</v>
      </c>
      <c r="E19" s="37">
        <f t="shared" si="0"/>
        <v>-5948.8637500001059</v>
      </c>
      <c r="F19" s="38">
        <f t="shared" si="3"/>
        <v>-8.7585417614157821E-2</v>
      </c>
      <c r="G19" s="39">
        <v>77132.41</v>
      </c>
      <c r="H19" s="39">
        <f t="shared" si="1"/>
        <v>-15160.563750000103</v>
      </c>
      <c r="I19" s="38">
        <f t="shared" si="2"/>
        <v>-0.19655244468570479</v>
      </c>
      <c r="J19" s="59" t="s">
        <v>160</v>
      </c>
      <c r="K19" s="68" t="s">
        <v>161</v>
      </c>
      <c r="L19" s="71"/>
      <c r="M19" s="71"/>
      <c r="N19" s="71"/>
      <c r="O19" s="71"/>
      <c r="P19" s="71"/>
      <c r="Q19" s="71"/>
    </row>
    <row r="20" spans="1:17" ht="172.5" customHeight="1" x14ac:dyDescent="0.25">
      <c r="A20" s="44" t="str">
        <v>Jessup -7950 Oceano Ave</v>
      </c>
      <c r="B20" s="41" t="str">
        <v>MD</v>
      </c>
      <c r="C20" s="29">
        <v>210761.90608808299</v>
      </c>
      <c r="D20" s="30">
        <v>220062.8</v>
      </c>
      <c r="E20" s="30">
        <f t="shared" si="0"/>
        <v>-9300.8939119169954</v>
      </c>
      <c r="F20" s="31">
        <f t="shared" si="3"/>
        <v>-4.2264725850607171E-2</v>
      </c>
      <c r="G20" s="32">
        <v>259363.5</v>
      </c>
      <c r="H20" s="32">
        <f t="shared" si="1"/>
        <v>-48601.593911917007</v>
      </c>
      <c r="I20" s="33">
        <f t="shared" si="2"/>
        <v>-0.18738794746337478</v>
      </c>
      <c r="J20" s="64" t="s">
        <v>162</v>
      </c>
      <c r="K20" s="84" t="s">
        <v>163</v>
      </c>
      <c r="L20" s="72" t="s">
        <v>164</v>
      </c>
      <c r="M20" s="72" t="s">
        <v>165</v>
      </c>
      <c r="N20" s="72" t="s">
        <v>166</v>
      </c>
      <c r="O20" s="71"/>
      <c r="P20" s="71"/>
      <c r="Q20" s="71"/>
    </row>
    <row r="21" spans="1:17" ht="129.6" x14ac:dyDescent="0.25">
      <c r="A21" s="42" t="str">
        <v xml:space="preserve">TX: Fort Worth - 5200 Gold Spike Dr </v>
      </c>
      <c r="B21" s="43" t="str">
        <v>TX</v>
      </c>
      <c r="C21" s="36">
        <v>609595</v>
      </c>
      <c r="D21" s="37">
        <v>655419.9</v>
      </c>
      <c r="E21" s="37">
        <f t="shared" si="0"/>
        <v>-45824.900000000023</v>
      </c>
      <c r="F21" s="38">
        <f t="shared" si="3"/>
        <v>-6.9916857879963698E-2</v>
      </c>
      <c r="G21" s="39">
        <v>740663.3</v>
      </c>
      <c r="H21" s="39">
        <f t="shared" si="1"/>
        <v>-131068.30000000005</v>
      </c>
      <c r="I21" s="38">
        <f t="shared" si="2"/>
        <v>-0.17696070535694158</v>
      </c>
      <c r="J21" s="86" t="s">
        <v>167</v>
      </c>
      <c r="K21" s="68" t="s">
        <v>168</v>
      </c>
      <c r="L21" s="72" t="s">
        <v>169</v>
      </c>
      <c r="M21" s="72" t="s">
        <v>170</v>
      </c>
      <c r="N21" s="72" t="s">
        <v>171</v>
      </c>
      <c r="O21" s="71"/>
      <c r="P21" s="71"/>
      <c r="Q21" s="71"/>
    </row>
    <row r="22" spans="1:17" ht="14.4" x14ac:dyDescent="0.3">
      <c r="A22" s="9" t="str">
        <v>NY: Clifton Springs - Ontario 2 (21597)</v>
      </c>
      <c r="B22" s="14" t="str">
        <v>NY</v>
      </c>
      <c r="C22" s="9"/>
      <c r="D22" s="9"/>
      <c r="E22" s="9"/>
      <c r="F22" s="9"/>
      <c r="G22" s="9"/>
      <c r="H22" s="9"/>
      <c r="I22" s="9"/>
      <c r="J22" s="9"/>
      <c r="K22" s="9"/>
    </row>
    <row r="23" spans="1:17" ht="14.4" x14ac:dyDescent="0.3">
      <c r="A23" s="9" t="str">
        <v>CA: Oxnard - 2600 Sakioka - System A</v>
      </c>
      <c r="B23" s="14" t="str">
        <v>CA</v>
      </c>
      <c r="C23" s="9"/>
      <c r="D23" s="9"/>
      <c r="E23" s="9"/>
      <c r="F23" s="9"/>
      <c r="G23" s="9"/>
      <c r="H23" s="9"/>
      <c r="I23" s="9"/>
      <c r="J23" s="9"/>
      <c r="K23" s="9"/>
    </row>
    <row r="24" spans="1:17" ht="14.4" x14ac:dyDescent="0.3">
      <c r="A24" s="9" t="str">
        <v>CA: Oxnard - 2600 Sakioka - System B</v>
      </c>
      <c r="B24" s="14" t="str">
        <v>CA</v>
      </c>
      <c r="C24" s="9"/>
      <c r="D24" s="9"/>
      <c r="E24" s="9"/>
      <c r="F24" s="9"/>
      <c r="G24" s="9"/>
      <c r="H24" s="9"/>
      <c r="I24" s="9"/>
      <c r="J24" s="9"/>
      <c r="K24" s="9"/>
    </row>
    <row r="25" spans="1:17" ht="14.4" x14ac:dyDescent="0.3">
      <c r="A25" s="9" t="str">
        <v>NY: Fonda - Montgomery 1 (21601)</v>
      </c>
      <c r="B25" s="14" t="str">
        <v>NY</v>
      </c>
      <c r="C25" s="9"/>
      <c r="D25" s="9"/>
      <c r="E25" s="9"/>
      <c r="F25" s="10"/>
      <c r="G25" s="9"/>
      <c r="H25" s="9"/>
      <c r="I25" s="10"/>
      <c r="J25" s="9"/>
      <c r="K25" s="9"/>
    </row>
    <row r="26" spans="1:17" ht="14.4" x14ac:dyDescent="0.3">
      <c r="A26" s="9" t="str">
        <v>NY: Evans - SL Evans Array 1 (21106) - (PW)</v>
      </c>
      <c r="B26" s="14" t="str">
        <v>NY</v>
      </c>
      <c r="C26" s="9"/>
      <c r="D26" s="9"/>
      <c r="E26" s="9"/>
      <c r="F26" s="10"/>
      <c r="G26" s="9"/>
      <c r="H26" s="9"/>
      <c r="I26" s="10"/>
      <c r="J26" s="9"/>
      <c r="K26" s="9"/>
    </row>
    <row r="27" spans="1:17" ht="14.4" x14ac:dyDescent="0.3">
      <c r="A27" s="9" t="str">
        <v>NY: Evans - SL Evans Array 2 (21107) - (PW)</v>
      </c>
      <c r="B27" s="14" t="str">
        <v>NY</v>
      </c>
      <c r="C27" s="9"/>
      <c r="D27" s="9"/>
      <c r="E27" s="9"/>
      <c r="F27" s="10"/>
      <c r="G27" s="9"/>
      <c r="H27" s="9"/>
      <c r="I27" s="10"/>
      <c r="J27" s="9"/>
      <c r="K27" s="9"/>
    </row>
    <row r="28" spans="1:17" ht="14.4" x14ac:dyDescent="0.3">
      <c r="A28" s="9"/>
      <c r="B28" s="14"/>
      <c r="C28" s="9"/>
      <c r="D28" s="9"/>
      <c r="E28" s="9"/>
      <c r="F28" s="10"/>
      <c r="G28" s="9"/>
      <c r="H28" s="9"/>
      <c r="I28" s="10"/>
      <c r="J28" s="9"/>
      <c r="K28" s="9"/>
    </row>
    <row r="29" spans="1:17" ht="14.4" x14ac:dyDescent="0.3">
      <c r="A29" s="9"/>
      <c r="B29" s="14"/>
      <c r="C29" s="9"/>
      <c r="D29" s="9"/>
      <c r="E29" s="9"/>
      <c r="F29" s="10"/>
      <c r="G29" s="9"/>
      <c r="H29" s="9"/>
      <c r="I29" s="10"/>
      <c r="J29" s="9"/>
      <c r="K29" s="9"/>
    </row>
    <row r="30" spans="1:17" ht="14.4" x14ac:dyDescent="0.3">
      <c r="A30" s="9"/>
      <c r="B30" s="14"/>
      <c r="C30" s="9"/>
      <c r="D30" s="9"/>
      <c r="E30" s="9"/>
      <c r="F30" s="10"/>
      <c r="G30" s="9"/>
      <c r="H30" s="9"/>
      <c r="I30" s="10"/>
      <c r="J30" s="9"/>
      <c r="K30" s="9"/>
    </row>
    <row r="31" spans="1:17" ht="14.4" x14ac:dyDescent="0.3">
      <c r="A31" s="9"/>
      <c r="B31" s="14"/>
      <c r="C31" s="9"/>
      <c r="D31" s="9"/>
      <c r="E31" s="9"/>
      <c r="F31" s="10"/>
      <c r="G31" s="9"/>
      <c r="H31" s="9"/>
      <c r="I31" s="10"/>
      <c r="J31" s="9"/>
      <c r="K31" s="9"/>
    </row>
    <row r="32" spans="1:17"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cfRule type="cellIs" dxfId="29" priority="5" stopIfTrue="1" operator="lessThanOrEqual">
      <formula>-0.1</formula>
    </cfRule>
    <cfRule type="expression" dxfId="28" priority="6">
      <formula>AND(ISNUMBER(F2), F2&gt;=0.1)</formula>
    </cfRule>
  </conditionalFormatting>
  <conditionalFormatting sqref="F4:F92 I4:I92">
    <cfRule type="cellIs" dxfId="27" priority="1" stopIfTrue="1" operator="lessThanOrEqual">
      <formula>-0.1</formula>
    </cfRule>
    <cfRule type="expression" dxfId="26"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4"/>
  <sheetViews>
    <sheetView zoomScale="60" zoomScaleNormal="60" workbookViewId="0">
      <pane xSplit="2" ySplit="3" topLeftCell="C7" activePane="bottomRight" state="frozen"/>
      <selection pane="topRight" activeCell="J4" activeCellId="3" sqref="C4:C20 D4:D20 G4:G20 J4:K19"/>
      <selection pane="bottomLeft" activeCell="J4" activeCellId="3" sqref="C4:C20 D4:D20 G4:G20 J4:K19"/>
      <selection pane="bottomRight" activeCell="J11" sqref="J11"/>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7" ht="19.5" customHeight="1" x14ac:dyDescent="0.25">
      <c r="A1" s="96" t="str" cm="1">
        <f t="array" ref="A1">portfolio</f>
        <v>Catalyze</v>
      </c>
      <c r="B1" s="96"/>
      <c r="C1" s="96"/>
      <c r="D1" s="97" t="s">
        <v>172</v>
      </c>
      <c r="E1" s="97"/>
      <c r="F1" s="97"/>
      <c r="G1" s="95" t="s">
        <v>173</v>
      </c>
      <c r="H1" s="95"/>
      <c r="I1" s="95"/>
      <c r="J1" s="4"/>
      <c r="K1" s="4"/>
    </row>
    <row r="2" spans="1:17" ht="19.5" customHeight="1" x14ac:dyDescent="0.25">
      <c r="A2" s="98" t="s">
        <v>2</v>
      </c>
      <c r="B2" s="98"/>
      <c r="C2" s="5">
        <f>SUM(C4:C92)</f>
        <v>5303468.4408390755</v>
      </c>
      <c r="D2" s="5">
        <f>SUM(D4:D92)</f>
        <v>5160859.0473999996</v>
      </c>
      <c r="E2" s="5">
        <f>C2-D2</f>
        <v>142609.39343907591</v>
      </c>
      <c r="F2" s="6">
        <f>IFERROR(E2/D2, 0)</f>
        <v>2.763287897020195E-2</v>
      </c>
      <c r="G2" s="5">
        <f>SUM(G4:G92)</f>
        <v>6003345.2719999989</v>
      </c>
      <c r="H2" s="7">
        <f>C2-G2</f>
        <v>-699876.83116092347</v>
      </c>
      <c r="I2" s="6">
        <f>IFERROR(H2/G2, 0)</f>
        <v>-0.11658113925667335</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x14ac:dyDescent="0.25">
      <c r="A3" s="13" t="s">
        <v>3</v>
      </c>
      <c r="B3" s="13" t="s">
        <v>4</v>
      </c>
      <c r="C3" s="20" t="s">
        <v>5</v>
      </c>
      <c r="D3" s="21" t="s">
        <v>6</v>
      </c>
      <c r="E3" s="21" t="s">
        <v>7</v>
      </c>
      <c r="F3" s="22" t="s">
        <v>8</v>
      </c>
      <c r="G3" s="23" t="s">
        <v>9</v>
      </c>
      <c r="H3" s="24" t="s">
        <v>7</v>
      </c>
      <c r="I3" s="25" t="s">
        <v>8</v>
      </c>
      <c r="J3" s="11" t="s">
        <v>20</v>
      </c>
      <c r="K3" s="11" t="s">
        <v>21</v>
      </c>
    </row>
    <row r="4" spans="1:17" ht="15.6" x14ac:dyDescent="0.3">
      <c r="A4" s="40" t="str" cm="1">
        <f t="array" ref="A4:A27">Sites[Site]</f>
        <v>Fresno - 3150 Shaw Ave</v>
      </c>
      <c r="B4" s="41" t="str" cm="1">
        <f t="array" ref="B4:B27">Sites[State]</f>
        <v>CA</v>
      </c>
      <c r="C4" s="29">
        <v>130416.75</v>
      </c>
      <c r="D4" s="30">
        <v>121464.5</v>
      </c>
      <c r="E4" s="30">
        <f>IF(AND(ISNUMBER(C4),ISNUMBER(D4)), C4-D4, "")</f>
        <v>8952.25</v>
      </c>
      <c r="F4" s="31">
        <f>IFERROR(E4/D4, "")</f>
        <v>7.3702604464678981E-2</v>
      </c>
      <c r="G4" s="32">
        <v>135280</v>
      </c>
      <c r="H4" s="32">
        <f>IF(AND(ISNUMBER(C4),ISNUMBER(G4)), C4-G4, "")</f>
        <v>-4863.25</v>
      </c>
      <c r="I4" s="33">
        <f>IFERROR(H4/G4, "")</f>
        <v>-3.5949512123004138E-2</v>
      </c>
      <c r="J4" s="50"/>
      <c r="K4" s="50"/>
      <c r="L4" s="71"/>
      <c r="M4" s="71"/>
      <c r="N4" s="71"/>
      <c r="O4" s="71"/>
      <c r="P4" s="71"/>
      <c r="Q4" s="71"/>
    </row>
    <row r="5" spans="1:17" ht="100.8" x14ac:dyDescent="0.25">
      <c r="A5" s="42" t="str">
        <v>Adelanto - 1 Sheep Creek Road</v>
      </c>
      <c r="B5" s="43" t="str">
        <v>CA</v>
      </c>
      <c r="C5" s="36">
        <v>887612</v>
      </c>
      <c r="D5" s="37">
        <v>504761.40740000003</v>
      </c>
      <c r="E5" s="37">
        <f>IF(AND(ISNUMBER(C5),ISNUMBER(D5)), C5-D5, "")</f>
        <v>382850.59259999997</v>
      </c>
      <c r="F5" s="38">
        <f>IFERROR(E5/D5, "")</f>
        <v>0.75847833647196528</v>
      </c>
      <c r="G5" s="39"/>
      <c r="H5" s="39" t="str">
        <f t="shared" ref="H5:H17" si="0">IF(AND(ISNUMBER(C5),ISNUMBER(G5)), C5-G5, "")</f>
        <v/>
      </c>
      <c r="I5" s="38" t="str">
        <f t="shared" ref="I5:I17" si="1">IFERROR(H5/G5, "")</f>
        <v/>
      </c>
      <c r="J5" s="59" t="s">
        <v>174</v>
      </c>
      <c r="K5" s="68" t="s">
        <v>175</v>
      </c>
      <c r="L5" s="72" t="s">
        <v>176</v>
      </c>
      <c r="M5" s="72" t="s">
        <v>135</v>
      </c>
      <c r="N5" s="71"/>
      <c r="O5" s="71"/>
      <c r="P5" s="71"/>
      <c r="Q5" s="71"/>
    </row>
    <row r="6" spans="1:17" ht="115.2" x14ac:dyDescent="0.25">
      <c r="A6" s="44" t="str">
        <v>Blackstone - 83 Federal Street</v>
      </c>
      <c r="B6" s="41" t="str">
        <v>MA</v>
      </c>
      <c r="C6" s="29">
        <v>720855.50222793396</v>
      </c>
      <c r="D6" s="30">
        <v>634671.80000000005</v>
      </c>
      <c r="E6" s="30">
        <f t="shared" ref="E6:E17" si="2">IF(AND(ISNUMBER(C6),ISNUMBER(D6)), C6-D6, "")</f>
        <v>86183.702227933914</v>
      </c>
      <c r="F6" s="31">
        <f t="shared" ref="F6:F17" si="3">IFERROR(E6/D6, "")</f>
        <v>0.13579255014628649</v>
      </c>
      <c r="G6" s="32">
        <v>847935.1</v>
      </c>
      <c r="H6" s="32">
        <f t="shared" si="0"/>
        <v>-127079.59777206602</v>
      </c>
      <c r="I6" s="33">
        <f t="shared" si="1"/>
        <v>-0.14986948620485932</v>
      </c>
      <c r="J6" s="50" t="s">
        <v>177</v>
      </c>
      <c r="K6" s="67" t="s">
        <v>178</v>
      </c>
      <c r="L6" s="72" t="s">
        <v>179</v>
      </c>
      <c r="M6" s="72" t="s">
        <v>142</v>
      </c>
      <c r="N6" s="72" t="s">
        <v>180</v>
      </c>
      <c r="O6" s="71"/>
      <c r="P6" s="71"/>
      <c r="Q6" s="71"/>
    </row>
    <row r="7" spans="1:17" ht="72" x14ac:dyDescent="0.25">
      <c r="A7" s="42" t="str">
        <v>Charlton - 299 Worcester Road</v>
      </c>
      <c r="B7" s="43" t="str">
        <v>MA</v>
      </c>
      <c r="C7" s="36">
        <v>44041</v>
      </c>
      <c r="D7" s="37">
        <v>45788.82</v>
      </c>
      <c r="E7" s="37">
        <f t="shared" si="2"/>
        <v>-1747.8199999999997</v>
      </c>
      <c r="F7" s="38">
        <f t="shared" si="3"/>
        <v>-3.8171326537788042E-2</v>
      </c>
      <c r="G7" s="39">
        <v>68502.44</v>
      </c>
      <c r="H7" s="39">
        <f t="shared" si="0"/>
        <v>-24461.440000000002</v>
      </c>
      <c r="I7" s="38">
        <f t="shared" si="1"/>
        <v>-0.35708859421649802</v>
      </c>
      <c r="J7" s="51" t="s">
        <v>181</v>
      </c>
      <c r="K7" s="68" t="s">
        <v>182</v>
      </c>
      <c r="L7" s="71"/>
      <c r="M7" s="71"/>
      <c r="N7" s="71"/>
      <c r="O7" s="71"/>
      <c r="P7" s="71"/>
      <c r="Q7" s="71"/>
    </row>
    <row r="8" spans="1:17" ht="28.8" x14ac:dyDescent="0.25">
      <c r="A8" s="44" t="str">
        <v>Wareham - 8 Thatcher Drive</v>
      </c>
      <c r="B8" s="41" t="str">
        <v>MA</v>
      </c>
      <c r="C8" s="29">
        <v>18896.6875</v>
      </c>
      <c r="D8" s="30">
        <v>19480.04</v>
      </c>
      <c r="E8" s="30">
        <f t="shared" si="2"/>
        <v>-583.35250000000087</v>
      </c>
      <c r="F8" s="31">
        <f t="shared" si="3"/>
        <v>-2.9946165408284625E-2</v>
      </c>
      <c r="G8" s="32">
        <v>21158.03</v>
      </c>
      <c r="H8" s="32">
        <f t="shared" si="0"/>
        <v>-2261.3424999999988</v>
      </c>
      <c r="I8" s="33">
        <f t="shared" si="1"/>
        <v>-0.10687868861136877</v>
      </c>
      <c r="J8" s="50" t="s">
        <v>183</v>
      </c>
      <c r="K8" s="67" t="s">
        <v>184</v>
      </c>
      <c r="L8" s="71"/>
      <c r="M8" s="71"/>
      <c r="N8" s="71"/>
      <c r="O8" s="71"/>
      <c r="P8" s="71"/>
      <c r="Q8" s="71"/>
    </row>
    <row r="9" spans="1:17" ht="15.6" x14ac:dyDescent="0.3">
      <c r="A9" s="42" t="str">
        <v>West Yarmouth - 42 Mid Tech</v>
      </c>
      <c r="B9" s="43" t="str">
        <v>MA</v>
      </c>
      <c r="C9" s="36">
        <v>17967.344611141401</v>
      </c>
      <c r="D9" s="37">
        <v>19926.91</v>
      </c>
      <c r="E9" s="37">
        <f t="shared" si="2"/>
        <v>-1959.5653888585985</v>
      </c>
      <c r="F9" s="38">
        <f t="shared" si="3"/>
        <v>-9.8337644364259111E-2</v>
      </c>
      <c r="G9" s="39">
        <v>21988.85</v>
      </c>
      <c r="H9" s="39">
        <f t="shared" si="0"/>
        <v>-4021.5053888585971</v>
      </c>
      <c r="I9" s="38">
        <f t="shared" si="1"/>
        <v>-0.18288839065520013</v>
      </c>
      <c r="J9" s="89" t="s">
        <v>185</v>
      </c>
      <c r="K9" s="52"/>
      <c r="L9" s="71"/>
      <c r="M9" s="71"/>
      <c r="N9" s="71"/>
      <c r="O9" s="71"/>
      <c r="P9" s="71"/>
      <c r="Q9" s="71"/>
    </row>
    <row r="10" spans="1:17" ht="57.6" x14ac:dyDescent="0.25">
      <c r="A10" s="44" t="str">
        <v>Harrison - 130 Union Street</v>
      </c>
      <c r="B10" s="41" t="str">
        <v>NY</v>
      </c>
      <c r="C10" s="29">
        <v>21616.625</v>
      </c>
      <c r="D10" s="30">
        <v>24650.15</v>
      </c>
      <c r="E10" s="30">
        <f t="shared" si="2"/>
        <v>-3033.5250000000015</v>
      </c>
      <c r="F10" s="31">
        <f t="shared" si="3"/>
        <v>-0.12306314566037128</v>
      </c>
      <c r="G10" s="32">
        <v>30159.71</v>
      </c>
      <c r="H10" s="32">
        <f t="shared" si="0"/>
        <v>-8543.0849999999991</v>
      </c>
      <c r="I10" s="33">
        <f t="shared" si="1"/>
        <v>-0.28326151014051526</v>
      </c>
      <c r="J10" s="50" t="s">
        <v>186</v>
      </c>
      <c r="K10" s="67" t="s">
        <v>187</v>
      </c>
      <c r="L10" s="71"/>
      <c r="M10" s="71"/>
      <c r="N10" s="71"/>
      <c r="O10" s="71"/>
      <c r="P10" s="71"/>
      <c r="Q10" s="71"/>
    </row>
    <row r="11" spans="1:17" ht="45.75" customHeight="1" x14ac:dyDescent="0.25">
      <c r="A11" s="42" t="str">
        <v>Staten Island - Ellis Storage</v>
      </c>
      <c r="B11" s="43" t="str">
        <v>NY</v>
      </c>
      <c r="C11" s="36">
        <v>57266.75</v>
      </c>
      <c r="D11" s="37">
        <v>48791.45</v>
      </c>
      <c r="E11" s="37">
        <f t="shared" si="2"/>
        <v>8475.3000000000029</v>
      </c>
      <c r="F11" s="38">
        <f t="shared" si="3"/>
        <v>0.1737046142305671</v>
      </c>
      <c r="G11" s="39">
        <v>71362.38</v>
      </c>
      <c r="H11" s="39">
        <f t="shared" si="0"/>
        <v>-14095.630000000005</v>
      </c>
      <c r="I11" s="38">
        <f t="shared" si="1"/>
        <v>-0.19752185955681417</v>
      </c>
      <c r="J11" s="59" t="s">
        <v>188</v>
      </c>
      <c r="K11" s="52"/>
      <c r="L11" s="71"/>
      <c r="M11" s="71"/>
      <c r="N11" s="71"/>
      <c r="O11" s="71"/>
      <c r="P11" s="71"/>
      <c r="Q11" s="71"/>
    </row>
    <row r="12" spans="1:17" ht="28.8" x14ac:dyDescent="0.25">
      <c r="A12" s="44" t="str">
        <v>Amherst - 595 Schoelles Road</v>
      </c>
      <c r="B12" s="41" t="str">
        <v>NY</v>
      </c>
      <c r="C12" s="29">
        <v>904020.5</v>
      </c>
      <c r="D12" s="30">
        <v>903508</v>
      </c>
      <c r="E12" s="30">
        <f t="shared" si="2"/>
        <v>512.5</v>
      </c>
      <c r="F12" s="31">
        <f t="shared" si="3"/>
        <v>5.6723349433541266E-4</v>
      </c>
      <c r="G12" s="32">
        <v>1145964</v>
      </c>
      <c r="H12" s="32">
        <f t="shared" si="0"/>
        <v>-241943.5</v>
      </c>
      <c r="I12" s="33">
        <f t="shared" si="1"/>
        <v>-0.21112661479767253</v>
      </c>
      <c r="J12" s="50" t="s">
        <v>147</v>
      </c>
      <c r="K12" s="67" t="s">
        <v>148</v>
      </c>
      <c r="L12" s="71"/>
      <c r="M12" s="71"/>
      <c r="N12" s="71"/>
      <c r="O12" s="71"/>
      <c r="P12" s="71"/>
      <c r="Q12" s="71"/>
    </row>
    <row r="13" spans="1:17" ht="100.8" x14ac:dyDescent="0.25">
      <c r="A13" s="42" t="str">
        <v>Lancaster 1 - Gunnville Road</v>
      </c>
      <c r="B13" s="43" t="str">
        <v>NY</v>
      </c>
      <c r="C13" s="36">
        <v>680597</v>
      </c>
      <c r="D13" s="37">
        <v>667291.19999999995</v>
      </c>
      <c r="E13" s="37">
        <f t="shared" si="2"/>
        <v>13305.800000000047</v>
      </c>
      <c r="F13" s="38">
        <f t="shared" si="3"/>
        <v>1.9940020189086933E-2</v>
      </c>
      <c r="G13" s="55">
        <v>890932.6</v>
      </c>
      <c r="H13" s="39">
        <f t="shared" si="0"/>
        <v>-210335.59999999998</v>
      </c>
      <c r="I13" s="38">
        <f t="shared" si="1"/>
        <v>-0.23608474984527447</v>
      </c>
      <c r="J13" s="59" t="s">
        <v>189</v>
      </c>
      <c r="K13" s="70" t="s">
        <v>190</v>
      </c>
      <c r="L13" s="72" t="s">
        <v>191</v>
      </c>
      <c r="M13" s="72" t="s">
        <v>192</v>
      </c>
      <c r="N13" s="72" t="s">
        <v>193</v>
      </c>
      <c r="O13" s="71"/>
      <c r="P13" s="71"/>
      <c r="Q13" s="71"/>
    </row>
    <row r="14" spans="1:17" ht="66" customHeight="1" x14ac:dyDescent="0.25">
      <c r="A14" s="44" t="str">
        <v>Lancaster 2 - Shisler Road</v>
      </c>
      <c r="B14" s="41" t="str">
        <v>NY</v>
      </c>
      <c r="C14" s="29">
        <v>749610</v>
      </c>
      <c r="D14" s="30">
        <v>696616.4</v>
      </c>
      <c r="E14" s="30">
        <f t="shared" si="2"/>
        <v>52993.599999999977</v>
      </c>
      <c r="F14" s="31">
        <f t="shared" si="3"/>
        <v>7.6072857314298054E-2</v>
      </c>
      <c r="G14" s="32">
        <v>977951.1</v>
      </c>
      <c r="H14" s="32">
        <f t="shared" si="0"/>
        <v>-228341.09999999998</v>
      </c>
      <c r="I14" s="33">
        <f t="shared" si="1"/>
        <v>-0.23348928182605447</v>
      </c>
      <c r="J14" s="50" t="s">
        <v>194</v>
      </c>
      <c r="K14" s="67" t="s">
        <v>195</v>
      </c>
      <c r="L14" s="71"/>
      <c r="M14" s="71"/>
      <c r="N14" s="71"/>
      <c r="O14" s="71"/>
      <c r="P14" s="71"/>
      <c r="Q14" s="71"/>
    </row>
    <row r="15" spans="1:17" ht="172.8" x14ac:dyDescent="0.25">
      <c r="A15" s="42" t="str">
        <v>Fullerton - 200 W Orangethorpe</v>
      </c>
      <c r="B15" s="43" t="str">
        <v>CA</v>
      </c>
      <c r="C15" s="36">
        <v>119409.375</v>
      </c>
      <c r="D15" s="37">
        <v>115839.1</v>
      </c>
      <c r="E15" s="37">
        <f t="shared" si="2"/>
        <v>3570.2749999999942</v>
      </c>
      <c r="F15" s="38">
        <f t="shared" si="3"/>
        <v>3.0820983588442884E-2</v>
      </c>
      <c r="G15" s="39">
        <v>134722</v>
      </c>
      <c r="H15" s="39">
        <f t="shared" si="0"/>
        <v>-15312.625</v>
      </c>
      <c r="I15" s="38">
        <f t="shared" si="1"/>
        <v>-0.11366090913139651</v>
      </c>
      <c r="J15" s="51" t="s">
        <v>196</v>
      </c>
      <c r="K15" s="70" t="s">
        <v>197</v>
      </c>
      <c r="L15" s="72" t="s">
        <v>198</v>
      </c>
      <c r="M15" s="72" t="s">
        <v>199</v>
      </c>
      <c r="N15" s="72" t="s">
        <v>200</v>
      </c>
      <c r="O15" s="71"/>
      <c r="P15" s="71"/>
      <c r="Q15" s="71"/>
    </row>
    <row r="16" spans="1:17" ht="43.2" x14ac:dyDescent="0.25">
      <c r="A16" s="44" t="str">
        <v>El Paso - 10500 Railroad Drive</v>
      </c>
      <c r="B16" s="41" t="str">
        <v>TX</v>
      </c>
      <c r="C16" s="29">
        <v>77526</v>
      </c>
      <c r="D16" s="30">
        <v>79734.929999999993</v>
      </c>
      <c r="E16" s="30">
        <f t="shared" si="2"/>
        <v>-2208.929999999993</v>
      </c>
      <c r="F16" s="31">
        <f t="shared" si="3"/>
        <v>-2.7703416808668335E-2</v>
      </c>
      <c r="G16" s="32">
        <v>160120.1</v>
      </c>
      <c r="H16" s="32">
        <f t="shared" si="0"/>
        <v>-82594.100000000006</v>
      </c>
      <c r="I16" s="33">
        <f t="shared" si="1"/>
        <v>-0.51582593315892256</v>
      </c>
      <c r="J16" s="50" t="s">
        <v>201</v>
      </c>
      <c r="K16" s="67" t="s">
        <v>202</v>
      </c>
      <c r="L16" s="71"/>
      <c r="M16" s="71"/>
      <c r="N16" s="71"/>
      <c r="O16" s="71"/>
      <c r="P16" s="71"/>
      <c r="Q16" s="71"/>
    </row>
    <row r="17" spans="1:17" ht="90.75" customHeight="1" x14ac:dyDescent="0.25">
      <c r="A17" s="42" t="str">
        <v>Friona - 900 Millard Ave</v>
      </c>
      <c r="B17" s="43" t="str">
        <v>TX</v>
      </c>
      <c r="C17" s="36">
        <v>63329</v>
      </c>
      <c r="D17" s="37">
        <v>66948.92</v>
      </c>
      <c r="E17" s="37">
        <f t="shared" si="2"/>
        <v>-3619.9199999999983</v>
      </c>
      <c r="F17" s="38">
        <f t="shared" si="3"/>
        <v>-5.4069878946516214E-2</v>
      </c>
      <c r="G17" s="39">
        <v>138839.20000000001</v>
      </c>
      <c r="H17" s="39">
        <f t="shared" si="0"/>
        <v>-75510.200000000012</v>
      </c>
      <c r="I17" s="38">
        <f t="shared" si="1"/>
        <v>-0.54386801422076769</v>
      </c>
      <c r="J17" s="83" t="s">
        <v>203</v>
      </c>
      <c r="K17" s="70" t="s">
        <v>204</v>
      </c>
      <c r="L17" s="72" t="s">
        <v>205</v>
      </c>
      <c r="M17" s="71"/>
      <c r="N17" s="71"/>
      <c r="O17" s="71"/>
      <c r="P17" s="71"/>
      <c r="Q17" s="71"/>
    </row>
    <row r="18" spans="1:17" ht="15.6" x14ac:dyDescent="0.25">
      <c r="A18" s="44" t="str">
        <v>Augusta - 13 York Farm Road</v>
      </c>
      <c r="B18" s="41" t="str">
        <v>ME</v>
      </c>
      <c r="C18" s="29">
        <v>160743.125</v>
      </c>
      <c r="D18" s="30">
        <v>150116.70000000001</v>
      </c>
      <c r="E18" s="30">
        <f>IF(AND(ISNUMBER(C18),ISNUMBER(D18)), C18-D18, "")</f>
        <v>10626.424999999988</v>
      </c>
      <c r="F18" s="31">
        <f>IFERROR(E18/D18, "")</f>
        <v>7.078776045569872E-2</v>
      </c>
      <c r="G18" s="32">
        <v>200843</v>
      </c>
      <c r="H18" s="32">
        <f>IF(AND(ISNUMBER(C18),ISNUMBER(G18)), C18-G18, "")</f>
        <v>-40099.875</v>
      </c>
      <c r="I18" s="33">
        <f>IFERROR(H18/G18, "")</f>
        <v>-0.19965781730008017</v>
      </c>
      <c r="J18" s="50" t="s">
        <v>206</v>
      </c>
      <c r="K18" s="50"/>
      <c r="L18" s="71"/>
      <c r="M18" s="71"/>
      <c r="N18" s="71"/>
      <c r="O18" s="71"/>
      <c r="P18" s="71"/>
      <c r="Q18" s="71"/>
    </row>
    <row r="19" spans="1:17" ht="86.4" x14ac:dyDescent="0.25">
      <c r="A19" s="42" t="str">
        <v xml:space="preserve">Santa Ana - 1441 West </v>
      </c>
      <c r="B19" s="43" t="str">
        <v>CA</v>
      </c>
      <c r="C19" s="36">
        <v>75553.9375</v>
      </c>
      <c r="D19" s="37">
        <v>72601.38</v>
      </c>
      <c r="E19" s="37">
        <f>IF(AND(ISNUMBER(C19),ISNUMBER(D19)), C19-D19, "")</f>
        <v>2952.5574999999953</v>
      </c>
      <c r="F19" s="38">
        <f>IFERROR(E19/D19, "")</f>
        <v>4.0668063058856389E-2</v>
      </c>
      <c r="G19" s="39">
        <v>81082.77</v>
      </c>
      <c r="H19" s="39">
        <f>IF(AND(ISNUMBER(C19),ISNUMBER(G19)), C19-G19, "")</f>
        <v>-5528.8325000000041</v>
      </c>
      <c r="I19" s="38">
        <f>IFERROR(H19/G19, "")</f>
        <v>-6.8187513820753831E-2</v>
      </c>
      <c r="J19" s="51" t="s">
        <v>207</v>
      </c>
      <c r="K19" s="70" t="s">
        <v>208</v>
      </c>
      <c r="L19" s="72" t="s">
        <v>209</v>
      </c>
      <c r="M19" s="71"/>
      <c r="N19" s="71"/>
      <c r="O19" s="71"/>
      <c r="P19" s="71"/>
      <c r="Q19" s="71"/>
    </row>
    <row r="20" spans="1:17" ht="196.5" customHeight="1" x14ac:dyDescent="0.25">
      <c r="A20" s="44" t="str">
        <v>Jessup -7950 Oceano Ave</v>
      </c>
      <c r="B20" s="41" t="str">
        <v>MD</v>
      </c>
      <c r="C20" s="29">
        <v>230240.84400000001</v>
      </c>
      <c r="D20" s="30">
        <v>217373.212</v>
      </c>
      <c r="E20" s="30">
        <f>IF(AND(ISNUMBER(C20),ISNUMBER(D20)), C20-D20, "")</f>
        <v>12867.632000000012</v>
      </c>
      <c r="F20" s="31">
        <f>IFERROR(E20/D20, "")</f>
        <v>5.9196033778072032E-2</v>
      </c>
      <c r="G20" s="32">
        <v>299881.78200000001</v>
      </c>
      <c r="H20" s="32">
        <f>IF(AND(ISNUMBER(C20),ISNUMBER(G20)), C20-G20, "")</f>
        <v>-69640.937999999995</v>
      </c>
      <c r="I20" s="33">
        <f>IFERROR(H20/G20, "")</f>
        <v>-0.23222797175454957</v>
      </c>
      <c r="J20" s="50" t="s">
        <v>210</v>
      </c>
      <c r="K20" s="67" t="s">
        <v>211</v>
      </c>
      <c r="L20" s="72" t="s">
        <v>166</v>
      </c>
      <c r="M20" s="72" t="s">
        <v>165</v>
      </c>
      <c r="N20" s="72" t="s">
        <v>119</v>
      </c>
      <c r="O20" s="71"/>
      <c r="P20" s="71"/>
      <c r="Q20" s="71"/>
    </row>
    <row r="21" spans="1:17" ht="106.5" customHeight="1" x14ac:dyDescent="0.25">
      <c r="A21" s="42" t="str">
        <v xml:space="preserve">TX: Fort Worth - 5200 Gold Spike Dr </v>
      </c>
      <c r="B21" s="43" t="str">
        <v>TX</v>
      </c>
      <c r="C21" s="36">
        <v>343766</v>
      </c>
      <c r="D21" s="37">
        <v>771294.12800000003</v>
      </c>
      <c r="E21" s="37">
        <f>IF(AND(ISNUMBER(C21),ISNUMBER(D21)), C21-D21, "")</f>
        <v>-427528.12800000003</v>
      </c>
      <c r="F21" s="88">
        <f>IFERROR(E21/D21, "")</f>
        <v>-0.55429973142489686</v>
      </c>
      <c r="G21" s="55">
        <v>776622.21</v>
      </c>
      <c r="H21" s="55">
        <f>IF(AND(ISNUMBER(C21),ISNUMBER(G21)), C21-G21, "")</f>
        <v>-432856.20999999996</v>
      </c>
      <c r="I21" s="88">
        <f>IFERROR(H21/G21, "")</f>
        <v>-0.55735749560909409</v>
      </c>
      <c r="J21" s="83" t="s">
        <v>212</v>
      </c>
      <c r="K21" s="68" t="s">
        <v>213</v>
      </c>
      <c r="L21" s="72" t="s">
        <v>214</v>
      </c>
      <c r="M21" s="72" t="s">
        <v>215</v>
      </c>
      <c r="N21" s="72" t="s">
        <v>216</v>
      </c>
      <c r="O21" s="71"/>
      <c r="P21" s="71"/>
      <c r="Q21" s="71"/>
    </row>
    <row r="22" spans="1:17" ht="14.4" x14ac:dyDescent="0.3">
      <c r="A22" s="9" t="str">
        <v>NY: Clifton Springs - Ontario 2 (21597)</v>
      </c>
      <c r="B22" s="14" t="str">
        <v>NY</v>
      </c>
      <c r="C22" s="9"/>
      <c r="D22" s="9"/>
      <c r="E22" s="9" t="str">
        <f>IF(AND(ISNUMBER(C22),ISNUMBER(D22)), C22-D22, "")</f>
        <v/>
      </c>
      <c r="F22" s="9"/>
      <c r="G22" s="9"/>
      <c r="H22" s="9"/>
      <c r="I22" s="9"/>
      <c r="J22" s="9"/>
      <c r="K22" s="9"/>
    </row>
    <row r="23" spans="1:17" ht="14.4" x14ac:dyDescent="0.3">
      <c r="A23" s="9" t="str">
        <v>CA: Oxnard - 2600 Sakioka - System A</v>
      </c>
      <c r="B23" s="14" t="str">
        <v>CA</v>
      </c>
      <c r="C23" s="9"/>
      <c r="D23" s="9"/>
      <c r="E23" s="9"/>
      <c r="F23" s="9"/>
      <c r="G23" s="9"/>
      <c r="H23" s="9"/>
      <c r="I23" s="9"/>
      <c r="J23" s="9"/>
      <c r="K23" s="9"/>
    </row>
    <row r="24" spans="1:17" ht="14.4" x14ac:dyDescent="0.3">
      <c r="A24" s="9" t="str">
        <v>CA: Oxnard - 2600 Sakioka - System B</v>
      </c>
      <c r="B24" s="14" t="str">
        <v>CA</v>
      </c>
      <c r="C24" s="9"/>
      <c r="D24" s="9"/>
      <c r="E24" s="9"/>
      <c r="F24" s="9"/>
      <c r="G24" s="9"/>
      <c r="H24" s="9"/>
      <c r="I24" s="9"/>
      <c r="J24" s="9"/>
      <c r="K24" s="9"/>
    </row>
    <row r="25" spans="1:17" ht="14.4" x14ac:dyDescent="0.3">
      <c r="A25" s="9" t="str">
        <v>NY: Fonda - Montgomery 1 (21601)</v>
      </c>
      <c r="B25" s="14" t="str">
        <v>NY</v>
      </c>
      <c r="C25" s="9"/>
      <c r="D25" s="9"/>
      <c r="E25" s="9"/>
      <c r="F25" s="10"/>
      <c r="G25" s="9"/>
      <c r="H25" s="9"/>
      <c r="I25" s="10"/>
      <c r="J25" s="9"/>
      <c r="K25" s="9"/>
    </row>
    <row r="26" spans="1:17" ht="14.4" x14ac:dyDescent="0.3">
      <c r="A26" s="9" t="str">
        <v>NY: Evans - SL Evans Array 1 (21106) - (PW)</v>
      </c>
      <c r="B26" s="14" t="str">
        <v>NY</v>
      </c>
      <c r="C26" s="9"/>
      <c r="D26" s="9"/>
      <c r="E26" s="9"/>
      <c r="F26" s="10"/>
      <c r="G26" s="9"/>
      <c r="H26" s="9"/>
      <c r="I26" s="10"/>
      <c r="J26" s="9"/>
      <c r="K26" s="9"/>
    </row>
    <row r="27" spans="1:17" ht="14.4" x14ac:dyDescent="0.3">
      <c r="A27" s="9" t="str">
        <v>NY: Evans - SL Evans Array 2 (21107) - (PW)</v>
      </c>
      <c r="B27" s="14" t="str">
        <v>NY</v>
      </c>
      <c r="C27" s="9"/>
      <c r="D27" s="9"/>
      <c r="E27" s="9"/>
      <c r="F27" s="10"/>
      <c r="G27" s="9"/>
      <c r="H27" s="9"/>
      <c r="I27" s="10"/>
      <c r="J27" s="9"/>
      <c r="K27" s="9"/>
    </row>
    <row r="28" spans="1:17" ht="14.4" x14ac:dyDescent="0.3">
      <c r="A28" s="9"/>
      <c r="B28" s="14"/>
      <c r="C28" s="9"/>
      <c r="D28" s="9"/>
      <c r="E28" s="9"/>
      <c r="F28" s="10"/>
      <c r="G28" s="9"/>
      <c r="H28" s="9"/>
      <c r="I28" s="10"/>
      <c r="J28" s="9"/>
      <c r="K28" s="9"/>
    </row>
    <row r="29" spans="1:17" ht="14.4" x14ac:dyDescent="0.3">
      <c r="A29" s="9"/>
      <c r="B29" s="14"/>
      <c r="C29" s="9"/>
      <c r="D29" s="9"/>
      <c r="E29" s="9"/>
      <c r="F29" s="10"/>
      <c r="G29" s="9"/>
      <c r="H29" s="9"/>
      <c r="I29" s="10"/>
      <c r="J29" s="9"/>
      <c r="K29" s="9"/>
    </row>
    <row r="30" spans="1:17" ht="14.4" x14ac:dyDescent="0.3">
      <c r="A30" s="9"/>
      <c r="B30" s="14"/>
      <c r="C30" s="9"/>
      <c r="D30" s="9"/>
      <c r="E30" s="9"/>
      <c r="F30" s="10"/>
      <c r="G30" s="9"/>
      <c r="H30" s="9"/>
      <c r="I30" s="10"/>
      <c r="J30" s="9"/>
      <c r="K30" s="9"/>
    </row>
    <row r="31" spans="1:17" ht="14.4" x14ac:dyDescent="0.3">
      <c r="A31" s="9"/>
      <c r="B31" s="14"/>
      <c r="C31" s="9"/>
      <c r="D31" s="9"/>
      <c r="E31" s="9"/>
      <c r="F31" s="10"/>
      <c r="G31" s="9"/>
      <c r="H31" s="9"/>
      <c r="I31" s="10"/>
      <c r="J31" s="9"/>
      <c r="K31" s="9"/>
    </row>
    <row r="32" spans="1:17"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cfRule type="cellIs" dxfId="25" priority="5" stopIfTrue="1" operator="lessThanOrEqual">
      <formula>-0.1</formula>
    </cfRule>
    <cfRule type="expression" dxfId="24" priority="6">
      <formula>AND(ISNUMBER(F2), F2&gt;=0.1)</formula>
    </cfRule>
  </conditionalFormatting>
  <conditionalFormatting sqref="F4:F92 I4:I92">
    <cfRule type="cellIs" dxfId="23" priority="1" stopIfTrue="1" operator="lessThanOrEqual">
      <formula>-0.1</formula>
    </cfRule>
    <cfRule type="expression" dxfId="22" priority="2">
      <formula>AND(ISNUMBER(F4), F4&gt;=0.1)</formula>
    </cfRule>
  </conditionalFormatting>
  <hyperlinks>
    <hyperlink ref="K5" r:id="rId1" display="https://us3.assetplanner.com/service_request?ID=101370" xr:uid="{613CDB8E-206C-40C1-B7E3-C738DE808E8A}"/>
    <hyperlink ref="L5" r:id="rId2" display="https://us3.assetplanner.com/service_request?ID=101027" xr:uid="{89DB5D2E-7425-43CF-95F3-D3A589ACB16C}"/>
    <hyperlink ref="M5" r:id="rId3" display="https://us3.assetplanner.com/service_request?ID=100199" xr:uid="{8A2D5F0A-6891-4BD3-A5EF-2A9FE194190E}"/>
    <hyperlink ref="K6" r:id="rId4" display="https://us3.assetplanner.com/service_request?ID=100654" xr:uid="{C71C35EB-DCD3-4639-BC77-5EB018F830A9}"/>
    <hyperlink ref="L6" r:id="rId5" display="https://us3.assetplanner.com/service_request?ID=100896" xr:uid="{BAA6D35E-6321-4DA6-9592-3E48927DABFE}"/>
    <hyperlink ref="M6" r:id="rId6" display="https://us3.assetplanner.com/service_request?ID=100654" xr:uid="{68420BCB-19D6-4269-83D4-BB0E860217C3}"/>
    <hyperlink ref="N6" r:id="rId7" display="https://us3.assetplanner.com/service_request?ID=101246" xr:uid="{34E6349D-0326-4E4F-A10B-6169315E9AEF}"/>
    <hyperlink ref="K7" r:id="rId8" display="https://us3.assetplanner.com/service_request?ID=101207" xr:uid="{701CCC94-4870-46AB-AE8C-07BFF76BFEE7}"/>
    <hyperlink ref="K8" r:id="rId9" display="https://us3.assetplanner.com/service_request?ID=102215" xr:uid="{9ECCB5E0-08E2-494B-B14C-AF796932D336}"/>
    <hyperlink ref="K10" r:id="rId10" display="https://us3.assetplanner.com/service_request?ID=100950" xr:uid="{D0F850AC-2912-4137-8B5F-A00168EC8992}"/>
    <hyperlink ref="K12" r:id="rId11" display="https://us3.assetplanner.com/service_request?ID=100051" xr:uid="{588BA8C7-69A7-4A38-B5DE-45A7C93C54E9}"/>
    <hyperlink ref="K13" r:id="rId12" display="https://us3.assetplanner.com/service_request?ID=100368" xr:uid="{33ADFC52-D708-46F2-953F-C06A6EDDB058}"/>
    <hyperlink ref="L13" r:id="rId13" display="https://us3.assetplanner.com/service_request?ID=100507" xr:uid="{9CB92B6B-820A-4709-BC73-8C2A19560364}"/>
    <hyperlink ref="M13" r:id="rId14" display="https://us3.assetplanner.com/service_request?ID=100837" xr:uid="{48B51CA0-BBF6-4FD6-B7D9-F72B27771C08}"/>
    <hyperlink ref="N13" r:id="rId15" display="https://us3.assetplanner.com/service_request?ID=101937" xr:uid="{5B521B2E-14EF-48D6-85C2-8A3CEEBEC731}"/>
    <hyperlink ref="K14" r:id="rId16" display="https://us3.assetplanner.com/service_request?ID=098941" xr:uid="{A8AF4AE9-3E5C-4042-8A26-7CD5152E2DAF}"/>
    <hyperlink ref="K15" r:id="rId17" display="https://us3.assetplanner.com/service_request?ID=099959" xr:uid="{DEA8D7CC-85B3-44F7-94C3-F4206EB498CA}"/>
    <hyperlink ref="L15" r:id="rId18" display="https://us3.assetplanner.com/service_request?ID=101259" xr:uid="{5C86A9FA-D26E-442E-9A7F-9D87CAFB14E1}"/>
    <hyperlink ref="M15" r:id="rId19" display="https://us3.assetplanner.com/service_request?ID=099959" xr:uid="{E930B93A-5F65-44CA-A121-8D7FCCF94C15}"/>
    <hyperlink ref="N15" r:id="rId20" display="https://us3.assetplanner.com/service_request?ID=100904" xr:uid="{13D64B71-34BB-481E-A875-ADBCE34FDD28}"/>
    <hyperlink ref="K16" r:id="rId21" display="https://us3.assetplanner.com/service_request?ID=101516" xr:uid="{5A2611C0-AF4E-49AF-BEC1-16BF80A80190}"/>
    <hyperlink ref="K17" r:id="rId22" display="https://us3.assetplanner.com/service_request?ID=098463" xr:uid="{9E4F6DC8-0127-4A71-B273-B0764EADF5D4}"/>
    <hyperlink ref="L17" r:id="rId23" display="https://us3.assetplanner.com/service_request?ID=101517" xr:uid="{1A888DB2-BD70-4ED9-B4E8-F68E2BB8FB32}"/>
    <hyperlink ref="K19" r:id="rId24" display="https://us3.assetplanner.com/service_request?ID=100043" xr:uid="{9C388853-8425-4736-969B-599910CD0B9D}"/>
    <hyperlink ref="L19" r:id="rId25" display="https://us3.assetplanner.com/service_request?ID=101794" xr:uid="{3BBA5E20-E96D-446D-87EE-CC7124F16DEE}"/>
    <hyperlink ref="K20" r:id="rId26" display="https://us3.assetplanner.com/service_request?ID=101758" xr:uid="{9EDC5A51-BFE5-4C88-AAB9-69B6157226F5}"/>
    <hyperlink ref="L20" r:id="rId27" display="https://us3.assetplanner.com/service_request?ID=099915" xr:uid="{8C9D7F68-6895-4FAA-B597-881BDD139984}"/>
    <hyperlink ref="M20" r:id="rId28" display="https://us3.assetplanner.com/service_request?ID=099672" xr:uid="{786724CF-39D6-412B-A70A-0B039B92CE3F}"/>
    <hyperlink ref="N20" r:id="rId29" display="https://us3.assetplanner.com/service_request?ID=098878" xr:uid="{A05D2FB6-1F5E-4EC5-9DB0-A563348EFC52}"/>
    <hyperlink ref="K21" r:id="rId30" display="https://us3.assetplanner.com/service_request?ID=101493" xr:uid="{461353AF-EC7D-4CDA-87DF-6CBAABB9082D}"/>
    <hyperlink ref="L21" r:id="rId31" display="https://us3.assetplanner.com/service_request?ID=101392" xr:uid="{22006807-65AD-4FDD-A870-E13E0B177FAD}"/>
    <hyperlink ref="M21" r:id="rId32" display="https://us3.assetplanner.com/service_request?ID=101275" xr:uid="{D5FA5D53-82E0-4D25-B99F-11E359BD8E37}"/>
    <hyperlink ref="N21" r:id="rId33" display="https://us3.assetplanner.com/service_request?ID=101271" xr:uid="{CCF43416-475A-4DBF-81A0-A2BD68B255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34"/>
  <sheetViews>
    <sheetView zoomScale="70" zoomScaleNormal="70" workbookViewId="0">
      <pane xSplit="2" ySplit="3" topLeftCell="G4" activePane="bottomRight" state="frozen"/>
      <selection pane="topRight" activeCell="E11" sqref="E11"/>
      <selection pane="bottomLeft" activeCell="E11" sqref="E11"/>
      <selection pane="bottomRight" activeCell="G5" sqref="G5"/>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6" ht="19.5" customHeight="1" x14ac:dyDescent="0.25">
      <c r="A1" s="96" t="str" cm="1">
        <f t="array" ref="A1">portfolio</f>
        <v>Catalyze</v>
      </c>
      <c r="B1" s="96"/>
      <c r="C1" s="96"/>
      <c r="D1" s="97" t="s">
        <v>217</v>
      </c>
      <c r="E1" s="97"/>
      <c r="F1" s="97"/>
      <c r="G1" s="95" t="s">
        <v>218</v>
      </c>
      <c r="H1" s="95"/>
      <c r="I1" s="95"/>
      <c r="J1" s="4"/>
      <c r="K1" s="4"/>
    </row>
    <row r="2" spans="1:16" ht="19.5" customHeight="1" x14ac:dyDescent="0.25">
      <c r="A2" s="98" t="s">
        <v>2</v>
      </c>
      <c r="B2" s="98"/>
      <c r="C2" s="5">
        <f>SUM(C4:C92)</f>
        <v>4883769.5629444448</v>
      </c>
      <c r="D2" s="5">
        <f>SUM(D4:D92)</f>
        <v>4949429.8310000002</v>
      </c>
      <c r="E2" s="5">
        <f>C2-D2</f>
        <v>-65660.268055555411</v>
      </c>
      <c r="F2" s="6">
        <f>IFERROR(E2/D2, 0)</f>
        <v>-1.3266228696546483E-2</v>
      </c>
      <c r="G2" s="5">
        <f>SUM(G4:G92)</f>
        <v>4994823.5930000003</v>
      </c>
      <c r="H2" s="7">
        <f>C2-G2</f>
        <v>-111054.03005555551</v>
      </c>
      <c r="I2" s="6">
        <f>IFERROR(H2/G2, 0)</f>
        <v>-2.2233824275834743E-2</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x14ac:dyDescent="0.25">
      <c r="A3" s="13" t="s">
        <v>3</v>
      </c>
      <c r="B3" s="13" t="s">
        <v>4</v>
      </c>
      <c r="C3" s="20" t="s">
        <v>5</v>
      </c>
      <c r="D3" s="21" t="s">
        <v>6</v>
      </c>
      <c r="E3" s="21" t="s">
        <v>7</v>
      </c>
      <c r="F3" s="22" t="s">
        <v>8</v>
      </c>
      <c r="G3" s="23" t="s">
        <v>9</v>
      </c>
      <c r="H3" s="24" t="s">
        <v>7</v>
      </c>
      <c r="I3" s="25" t="s">
        <v>8</v>
      </c>
      <c r="J3" s="11" t="s">
        <v>20</v>
      </c>
      <c r="K3" s="11" t="s">
        <v>21</v>
      </c>
    </row>
    <row r="4" spans="1:16" ht="49.5" customHeight="1" x14ac:dyDescent="0.3">
      <c r="A4" s="40" t="str" cm="1">
        <f t="array" ref="A4:A27">Sites[Site]</f>
        <v>Fresno - 3150 Shaw Ave</v>
      </c>
      <c r="B4" s="41" t="str" cm="1">
        <f t="array" ref="B4:B27">Sites[State]</f>
        <v>CA</v>
      </c>
      <c r="C4" s="29">
        <v>115368.25</v>
      </c>
      <c r="D4" s="30">
        <v>119161.8</v>
      </c>
      <c r="E4" s="30">
        <f>IF(AND(ISNUMBER(C4),ISNUMBER(D4)), C4-D4, "")</f>
        <v>-3793.5500000000029</v>
      </c>
      <c r="F4" s="31">
        <f>IFERROR(E4/D4, "")</f>
        <v>-3.1835286140357084E-2</v>
      </c>
      <c r="G4" s="32">
        <v>134620.70000000001</v>
      </c>
      <c r="H4" s="32">
        <f>IF(AND(ISNUMBER(C4),ISNUMBER(G4)), C4-G4, "")</f>
        <v>-19252.450000000012</v>
      </c>
      <c r="I4" s="33">
        <f>IFERROR(H4/G4, "")</f>
        <v>-0.14301255304719118</v>
      </c>
      <c r="J4" s="56" t="s">
        <v>130</v>
      </c>
      <c r="K4" s="84" t="s">
        <v>219</v>
      </c>
      <c r="L4" s="72" t="s">
        <v>83</v>
      </c>
      <c r="M4" s="71"/>
      <c r="N4" s="71"/>
      <c r="O4" s="71"/>
      <c r="P4" s="71"/>
    </row>
    <row r="5" spans="1:16" ht="111.75" customHeight="1" x14ac:dyDescent="0.25">
      <c r="A5" s="42" t="str">
        <v>Adelanto - 1 Sheep Creek Road</v>
      </c>
      <c r="B5" s="43" t="str">
        <v>CA</v>
      </c>
      <c r="C5" s="36">
        <v>564832</v>
      </c>
      <c r="D5" s="57">
        <v>481375.1</v>
      </c>
      <c r="E5" s="37">
        <f t="shared" ref="E5:E16" si="0">IF(AND(ISNUMBER(C5),ISNUMBER(D5)), C5-D5, "")</f>
        <v>83456.900000000023</v>
      </c>
      <c r="F5" s="38">
        <f>IFERROR(E5/D5, "")</f>
        <v>0.17337186738574561</v>
      </c>
      <c r="G5" s="57"/>
      <c r="H5" s="39" t="str">
        <f t="shared" ref="H5:H16" si="1">IF(AND(ISNUMBER(C5),ISNUMBER(G5)), C5-G5, "")</f>
        <v/>
      </c>
      <c r="I5" s="38" t="str">
        <f t="shared" ref="I5:I16" si="2">IFERROR(H5/G5, "")</f>
        <v/>
      </c>
      <c r="J5" s="74" t="s">
        <v>220</v>
      </c>
      <c r="K5" s="68" t="s">
        <v>221</v>
      </c>
      <c r="L5" s="72" t="s">
        <v>222</v>
      </c>
      <c r="M5" s="71"/>
      <c r="N5" s="71"/>
      <c r="O5" s="71"/>
      <c r="P5" s="71"/>
    </row>
    <row r="6" spans="1:16" ht="110.25" customHeight="1" x14ac:dyDescent="0.25">
      <c r="A6" s="44" t="str">
        <v>Blackstone - 83 Federal Street</v>
      </c>
      <c r="B6" s="41" t="str">
        <v>MA</v>
      </c>
      <c r="C6" s="29">
        <v>773337.1</v>
      </c>
      <c r="D6" s="30">
        <v>746319.5</v>
      </c>
      <c r="E6" s="30">
        <f t="shared" si="0"/>
        <v>27017.599999999977</v>
      </c>
      <c r="F6" s="31">
        <f t="shared" ref="F6:F16" si="3">IFERROR(E6/D6, "")</f>
        <v>3.6201117617856667E-2</v>
      </c>
      <c r="G6" s="32">
        <v>862940.2</v>
      </c>
      <c r="H6" s="32">
        <f t="shared" si="1"/>
        <v>-89603.099999999977</v>
      </c>
      <c r="I6" s="33">
        <f t="shared" si="2"/>
        <v>-0.10383465737255024</v>
      </c>
      <c r="J6" s="56" t="s">
        <v>223</v>
      </c>
      <c r="K6" s="84" t="s">
        <v>224</v>
      </c>
      <c r="L6" s="72" t="s">
        <v>225</v>
      </c>
      <c r="M6" s="72" t="s">
        <v>226</v>
      </c>
      <c r="N6" s="72" t="s">
        <v>227</v>
      </c>
      <c r="O6" s="72" t="s">
        <v>228</v>
      </c>
      <c r="P6" s="71"/>
    </row>
    <row r="7" spans="1:16" ht="61.5" customHeight="1" x14ac:dyDescent="0.25">
      <c r="A7" s="42" t="str">
        <v>Charlton - 299 Worcester Road</v>
      </c>
      <c r="B7" s="43" t="str">
        <v>MA</v>
      </c>
      <c r="C7" s="36">
        <v>62943.75</v>
      </c>
      <c r="D7" s="37">
        <v>63680.05</v>
      </c>
      <c r="E7" s="37">
        <f t="shared" si="0"/>
        <v>-736.30000000000291</v>
      </c>
      <c r="F7" s="38">
        <f t="shared" si="3"/>
        <v>-1.1562490921411067E-2</v>
      </c>
      <c r="G7" s="39">
        <v>64038.82</v>
      </c>
      <c r="H7" s="39">
        <f t="shared" si="1"/>
        <v>-1095.0699999999997</v>
      </c>
      <c r="I7" s="38">
        <f t="shared" si="2"/>
        <v>-1.7100096472733254E-2</v>
      </c>
      <c r="J7" s="74" t="s">
        <v>229</v>
      </c>
      <c r="K7" s="68" t="s">
        <v>230</v>
      </c>
      <c r="L7" s="72" t="s">
        <v>231</v>
      </c>
      <c r="M7" s="71"/>
      <c r="N7" s="71"/>
      <c r="O7" s="71"/>
      <c r="P7" s="71"/>
    </row>
    <row r="8" spans="1:16" ht="15.6" x14ac:dyDescent="0.25">
      <c r="A8" s="44" t="str">
        <v>Wareham - 8 Thatcher Drive</v>
      </c>
      <c r="B8" s="41" t="str">
        <v>MA</v>
      </c>
      <c r="C8" s="29">
        <v>19658.5625</v>
      </c>
      <c r="D8" s="30">
        <v>20707.66</v>
      </c>
      <c r="E8" s="30">
        <f t="shared" si="0"/>
        <v>-1049.0974999999999</v>
      </c>
      <c r="F8" s="31">
        <f t="shared" si="3"/>
        <v>-5.066229115216301E-2</v>
      </c>
      <c r="G8" s="32">
        <v>20440.63</v>
      </c>
      <c r="H8" s="32">
        <f t="shared" si="1"/>
        <v>-782.06750000000102</v>
      </c>
      <c r="I8" s="33">
        <f t="shared" si="2"/>
        <v>-3.8260440113636468E-2</v>
      </c>
      <c r="J8" s="56"/>
      <c r="K8" s="56"/>
      <c r="L8" s="71"/>
      <c r="M8" s="71"/>
      <c r="N8" s="71"/>
      <c r="O8" s="71"/>
      <c r="P8" s="71"/>
    </row>
    <row r="9" spans="1:16" ht="28.8" x14ac:dyDescent="0.25">
      <c r="A9" s="42" t="str">
        <v>West Yarmouth - 42 Mid Tech</v>
      </c>
      <c r="B9" s="43" t="str">
        <v>MA</v>
      </c>
      <c r="C9" s="36">
        <v>18858.712944444502</v>
      </c>
      <c r="D9" s="37">
        <v>21576.05</v>
      </c>
      <c r="E9" s="37">
        <f t="shared" si="0"/>
        <v>-2717.3370555554975</v>
      </c>
      <c r="F9" s="38">
        <f t="shared" si="3"/>
        <v>-0.12594228580094585</v>
      </c>
      <c r="G9" s="39">
        <v>22072.83</v>
      </c>
      <c r="H9" s="39">
        <f t="shared" si="1"/>
        <v>-3214.1170555555</v>
      </c>
      <c r="I9" s="38">
        <f t="shared" si="2"/>
        <v>-0.14561418067169002</v>
      </c>
      <c r="J9" s="73" t="s">
        <v>232</v>
      </c>
      <c r="K9" s="73"/>
      <c r="L9" s="71"/>
      <c r="M9" s="71"/>
      <c r="N9" s="71"/>
      <c r="O9" s="71"/>
      <c r="P9" s="71"/>
    </row>
    <row r="10" spans="1:16" ht="38.25" customHeight="1" x14ac:dyDescent="0.25">
      <c r="A10" s="44" t="str">
        <v>Harrison - 130 Union Street</v>
      </c>
      <c r="B10" s="41" t="str">
        <v>NY</v>
      </c>
      <c r="C10" s="29">
        <v>19629.9375</v>
      </c>
      <c r="D10" s="30">
        <v>27534.18</v>
      </c>
      <c r="E10" s="30">
        <f t="shared" si="0"/>
        <v>-7904.2425000000003</v>
      </c>
      <c r="F10" s="31">
        <f t="shared" si="3"/>
        <v>-0.28707019784137389</v>
      </c>
      <c r="G10" s="32">
        <v>30517.37</v>
      </c>
      <c r="H10" s="32">
        <f t="shared" si="1"/>
        <v>-10887.432499999999</v>
      </c>
      <c r="I10" s="33">
        <f t="shared" si="2"/>
        <v>-0.35676182121853878</v>
      </c>
      <c r="J10" s="56" t="s">
        <v>233</v>
      </c>
      <c r="K10" s="84" t="s">
        <v>187</v>
      </c>
      <c r="L10" s="71"/>
      <c r="M10" s="71"/>
      <c r="N10" s="71"/>
      <c r="O10" s="71"/>
      <c r="P10" s="71"/>
    </row>
    <row r="11" spans="1:16" ht="28.8" x14ac:dyDescent="0.25">
      <c r="A11" s="42" t="str">
        <v>Staten Island - Ellis Storage</v>
      </c>
      <c r="B11" s="43" t="str">
        <v>NY</v>
      </c>
      <c r="C11" s="36">
        <v>61247.5</v>
      </c>
      <c r="D11" s="37">
        <v>49711.5</v>
      </c>
      <c r="E11" s="37">
        <f t="shared" si="0"/>
        <v>11536</v>
      </c>
      <c r="F11" s="38">
        <f t="shared" si="3"/>
        <v>0.23205898031642577</v>
      </c>
      <c r="G11" s="39">
        <v>73460.61</v>
      </c>
      <c r="H11" s="39">
        <f t="shared" si="1"/>
        <v>-12213.11</v>
      </c>
      <c r="I11" s="38">
        <f t="shared" si="2"/>
        <v>-0.16625386040219378</v>
      </c>
      <c r="J11" s="73" t="s">
        <v>234</v>
      </c>
      <c r="K11" s="73"/>
      <c r="L11" s="71"/>
      <c r="M11" s="71"/>
      <c r="N11" s="71"/>
      <c r="O11" s="71"/>
      <c r="P11" s="71"/>
    </row>
    <row r="12" spans="1:16" ht="98.25" customHeight="1" x14ac:dyDescent="0.25">
      <c r="A12" s="44" t="str">
        <v>Amherst - 595 Schoelles Road</v>
      </c>
      <c r="B12" s="41" t="str">
        <v>NY</v>
      </c>
      <c r="C12" s="29">
        <v>1058293</v>
      </c>
      <c r="D12" s="30">
        <v>1146709</v>
      </c>
      <c r="E12" s="30">
        <f t="shared" si="0"/>
        <v>-88416</v>
      </c>
      <c r="F12" s="31">
        <f t="shared" si="3"/>
        <v>-7.7104130167287427E-2</v>
      </c>
      <c r="G12" s="32">
        <v>1186212</v>
      </c>
      <c r="H12" s="32">
        <f t="shared" si="1"/>
        <v>-127919</v>
      </c>
      <c r="I12" s="33">
        <f t="shared" si="2"/>
        <v>-0.10783822790529855</v>
      </c>
      <c r="J12" s="56" t="s">
        <v>235</v>
      </c>
      <c r="K12" s="84" t="s">
        <v>236</v>
      </c>
      <c r="L12" s="72" t="s">
        <v>237</v>
      </c>
      <c r="M12" s="72" t="s">
        <v>238</v>
      </c>
      <c r="N12" s="72" t="s">
        <v>239</v>
      </c>
      <c r="O12" s="71"/>
      <c r="P12" s="71"/>
    </row>
    <row r="13" spans="1:16" ht="137.25" customHeight="1" x14ac:dyDescent="0.25">
      <c r="A13" s="42" t="str">
        <v>Lancaster 1 - Gunnville Road</v>
      </c>
      <c r="B13" s="43" t="str">
        <v>NY</v>
      </c>
      <c r="C13" s="36">
        <v>747076</v>
      </c>
      <c r="D13" s="37">
        <v>821883.8</v>
      </c>
      <c r="E13" s="37">
        <f t="shared" si="0"/>
        <v>-74807.800000000047</v>
      </c>
      <c r="F13" s="38">
        <f t="shared" si="3"/>
        <v>-9.1019922767671096E-2</v>
      </c>
      <c r="G13" s="39">
        <v>900333.3</v>
      </c>
      <c r="H13" s="39">
        <f t="shared" si="1"/>
        <v>-153257.30000000005</v>
      </c>
      <c r="I13" s="38">
        <f t="shared" si="2"/>
        <v>-0.17022284969355242</v>
      </c>
      <c r="J13" s="73" t="s">
        <v>240</v>
      </c>
      <c r="K13" s="70" t="s">
        <v>241</v>
      </c>
      <c r="L13" s="72" t="s">
        <v>242</v>
      </c>
      <c r="M13" s="72" t="s">
        <v>243</v>
      </c>
      <c r="N13" s="72" t="s">
        <v>244</v>
      </c>
      <c r="O13" s="72" t="s">
        <v>245</v>
      </c>
      <c r="P13" s="72" t="s">
        <v>246</v>
      </c>
    </row>
    <row r="14" spans="1:16" ht="86.4" x14ac:dyDescent="0.25">
      <c r="A14" s="44" t="str">
        <v>Lancaster 2 - Shisler Road</v>
      </c>
      <c r="B14" s="41" t="str">
        <v>NY</v>
      </c>
      <c r="C14" s="29">
        <v>814703</v>
      </c>
      <c r="D14" s="30">
        <v>848676.2</v>
      </c>
      <c r="E14" s="30">
        <f t="shared" si="0"/>
        <v>-33973.199999999953</v>
      </c>
      <c r="F14" s="31">
        <f t="shared" si="3"/>
        <v>-4.0030815050545725E-2</v>
      </c>
      <c r="G14" s="32">
        <v>986930.7</v>
      </c>
      <c r="H14" s="32">
        <f t="shared" si="1"/>
        <v>-172227.69999999995</v>
      </c>
      <c r="I14" s="33">
        <f t="shared" si="2"/>
        <v>-0.17450840266697545</v>
      </c>
      <c r="J14" s="56" t="s">
        <v>247</v>
      </c>
      <c r="K14" s="84" t="s">
        <v>248</v>
      </c>
      <c r="L14" s="72" t="s">
        <v>249</v>
      </c>
      <c r="M14" s="72" t="s">
        <v>250</v>
      </c>
      <c r="N14" s="71"/>
      <c r="O14" s="71"/>
      <c r="P14" s="71"/>
    </row>
    <row r="15" spans="1:16" ht="28.8" x14ac:dyDescent="0.25">
      <c r="A15" s="42" t="str">
        <v>Fullerton - 200 W Orangethorpe</v>
      </c>
      <c r="B15" s="43" t="str">
        <v>CA</v>
      </c>
      <c r="C15" s="36">
        <v>124272.875</v>
      </c>
      <c r="D15" s="37">
        <v>123722.8</v>
      </c>
      <c r="E15" s="37">
        <f t="shared" si="0"/>
        <v>550.07499999999709</v>
      </c>
      <c r="F15" s="38">
        <f t="shared" si="3"/>
        <v>4.4460277329643125E-3</v>
      </c>
      <c r="G15" s="39">
        <v>136533.79999999999</v>
      </c>
      <c r="H15" s="39">
        <f t="shared" si="1"/>
        <v>-12260.924999999988</v>
      </c>
      <c r="I15" s="38">
        <f t="shared" si="2"/>
        <v>-8.980138983899949E-2</v>
      </c>
      <c r="J15" s="73" t="s">
        <v>251</v>
      </c>
      <c r="K15" s="91" t="s">
        <v>252</v>
      </c>
      <c r="L15" s="71"/>
      <c r="M15" s="71"/>
      <c r="N15" s="71"/>
      <c r="O15" s="71"/>
      <c r="P15" s="71"/>
    </row>
    <row r="16" spans="1:16" ht="28.8" x14ac:dyDescent="0.25">
      <c r="A16" s="44" t="str">
        <v>El Paso - 10500 Railroad Drive</v>
      </c>
      <c r="B16" s="41" t="str">
        <v>TX</v>
      </c>
      <c r="C16" s="29">
        <v>0</v>
      </c>
      <c r="D16" s="30">
        <v>0</v>
      </c>
      <c r="E16" s="30">
        <f t="shared" si="0"/>
        <v>0</v>
      </c>
      <c r="F16" s="31" t="str">
        <f t="shared" si="3"/>
        <v/>
      </c>
      <c r="G16" s="32">
        <v>0</v>
      </c>
      <c r="H16" s="32">
        <f t="shared" si="1"/>
        <v>0</v>
      </c>
      <c r="I16" s="33" t="str">
        <f t="shared" si="2"/>
        <v/>
      </c>
      <c r="J16" s="56" t="s">
        <v>253</v>
      </c>
      <c r="K16" s="84" t="s">
        <v>254</v>
      </c>
      <c r="L16" s="71"/>
      <c r="M16" s="71"/>
      <c r="N16" s="71"/>
      <c r="O16" s="71"/>
      <c r="P16" s="71"/>
    </row>
    <row r="17" spans="1:16" ht="28.8" x14ac:dyDescent="0.25">
      <c r="A17" s="42" t="str">
        <v>Friona - 900 Millard Ave</v>
      </c>
      <c r="B17" s="43" t="str">
        <v>TX</v>
      </c>
      <c r="C17" s="36">
        <v>0</v>
      </c>
      <c r="D17" s="37">
        <v>0</v>
      </c>
      <c r="E17" s="37">
        <f t="shared" ref="E17:E21" si="4">IF(AND(ISNUMBER(C17),ISNUMBER(D17)), C17-D17, "")</f>
        <v>0</v>
      </c>
      <c r="F17" s="38" t="str">
        <f t="shared" ref="F17:F21" si="5">IFERROR(E17/D17, "")</f>
        <v/>
      </c>
      <c r="G17" s="39">
        <v>0</v>
      </c>
      <c r="H17" s="39">
        <f t="shared" ref="H17:H21" si="6">IF(AND(ISNUMBER(C17),ISNUMBER(G17)), C17-G17, "")</f>
        <v>0</v>
      </c>
      <c r="I17" s="38" t="str">
        <f t="shared" ref="I17:I21" si="7">IFERROR(H17/G17, "")</f>
        <v/>
      </c>
      <c r="J17" s="73" t="s">
        <v>255</v>
      </c>
      <c r="K17" s="68" t="s">
        <v>256</v>
      </c>
      <c r="L17" s="71"/>
      <c r="M17" s="71"/>
      <c r="N17" s="71"/>
      <c r="O17" s="71"/>
      <c r="P17" s="71"/>
    </row>
    <row r="18" spans="1:16" ht="28.8" x14ac:dyDescent="0.25">
      <c r="A18" s="44" t="str">
        <v>Augusta - 13 York Farm Road</v>
      </c>
      <c r="B18" s="41" t="str">
        <v>ME</v>
      </c>
      <c r="C18" s="29">
        <v>174065.9</v>
      </c>
      <c r="D18" s="30">
        <v>172198.7</v>
      </c>
      <c r="E18" s="30">
        <f t="shared" si="4"/>
        <v>1867.1999999999825</v>
      </c>
      <c r="F18" s="31">
        <f t="shared" si="5"/>
        <v>1.0843287434806316E-2</v>
      </c>
      <c r="G18" s="32">
        <v>197141</v>
      </c>
      <c r="H18" s="32">
        <f t="shared" si="6"/>
        <v>-23075.100000000006</v>
      </c>
      <c r="I18" s="33">
        <f t="shared" si="7"/>
        <v>-0.11704871132844008</v>
      </c>
      <c r="J18" s="56" t="s">
        <v>257</v>
      </c>
      <c r="K18" s="84" t="s">
        <v>258</v>
      </c>
      <c r="L18" s="72" t="s">
        <v>259</v>
      </c>
      <c r="M18" s="71"/>
      <c r="N18" s="71"/>
      <c r="O18" s="71"/>
      <c r="P18" s="71"/>
    </row>
    <row r="19" spans="1:16" ht="26.4" x14ac:dyDescent="0.25">
      <c r="A19" s="42" t="str">
        <v xml:space="preserve">Santa Ana - 1441 West </v>
      </c>
      <c r="B19" s="43" t="str">
        <v>CA</v>
      </c>
      <c r="C19" s="36">
        <v>79811.375</v>
      </c>
      <c r="D19" s="37">
        <v>77567.990999999995</v>
      </c>
      <c r="E19" s="37">
        <f t="shared" si="4"/>
        <v>2243.3840000000055</v>
      </c>
      <c r="F19" s="38">
        <f t="shared" si="5"/>
        <v>2.8921517382086197E-2</v>
      </c>
      <c r="G19" s="39">
        <v>81124.633000000002</v>
      </c>
      <c r="H19" s="39">
        <f t="shared" si="6"/>
        <v>-1313.2580000000016</v>
      </c>
      <c r="I19" s="38">
        <f t="shared" si="7"/>
        <v>-1.6188153356576685E-2</v>
      </c>
      <c r="J19" s="74" t="s">
        <v>260</v>
      </c>
      <c r="K19" s="68" t="s">
        <v>261</v>
      </c>
      <c r="L19" s="72" t="s">
        <v>262</v>
      </c>
      <c r="M19" s="71"/>
      <c r="N19" s="71"/>
      <c r="O19" s="71"/>
      <c r="P19" s="71"/>
    </row>
    <row r="20" spans="1:16" ht="148.5" customHeight="1" x14ac:dyDescent="0.25">
      <c r="A20" s="44" t="str">
        <v>Jessup -7950 Oceano Ave</v>
      </c>
      <c r="B20" s="41" t="str">
        <v>MD</v>
      </c>
      <c r="C20" s="29">
        <v>249671.6</v>
      </c>
      <c r="D20" s="30">
        <v>228605.5</v>
      </c>
      <c r="E20" s="30">
        <f t="shared" si="4"/>
        <v>21066.100000000006</v>
      </c>
      <c r="F20" s="31">
        <f t="shared" si="5"/>
        <v>9.2150451323349633E-2</v>
      </c>
      <c r="G20" s="32">
        <v>298457</v>
      </c>
      <c r="H20" s="32">
        <f t="shared" si="6"/>
        <v>-48785.399999999994</v>
      </c>
      <c r="I20" s="33">
        <f t="shared" si="7"/>
        <v>-0.16345872269707193</v>
      </c>
      <c r="J20" s="56" t="s">
        <v>263</v>
      </c>
      <c r="K20" s="84" t="s">
        <v>264</v>
      </c>
      <c r="L20" s="72" t="s">
        <v>166</v>
      </c>
      <c r="M20" s="72" t="s">
        <v>265</v>
      </c>
      <c r="N20" s="72" t="s">
        <v>266</v>
      </c>
      <c r="O20" s="72" t="s">
        <v>265</v>
      </c>
      <c r="P20" s="71"/>
    </row>
    <row r="21" spans="1:16" ht="28.8" x14ac:dyDescent="0.25">
      <c r="A21" s="42" t="str">
        <v xml:space="preserve">TX: Fort Worth - 5200 Gold Spike Dr </v>
      </c>
      <c r="B21" s="43" t="str">
        <v>TX</v>
      </c>
      <c r="C21" s="36">
        <v>0</v>
      </c>
      <c r="D21" s="37">
        <v>0</v>
      </c>
      <c r="E21" s="37">
        <f t="shared" si="4"/>
        <v>0</v>
      </c>
      <c r="F21" s="38" t="str">
        <f t="shared" si="5"/>
        <v/>
      </c>
      <c r="G21" s="39">
        <v>0</v>
      </c>
      <c r="H21" s="39">
        <f t="shared" si="6"/>
        <v>0</v>
      </c>
      <c r="I21" s="38" t="str">
        <f t="shared" si="7"/>
        <v/>
      </c>
      <c r="J21" s="73" t="s">
        <v>267</v>
      </c>
      <c r="K21" s="68" t="s">
        <v>268</v>
      </c>
      <c r="L21" s="71"/>
      <c r="M21" s="71"/>
      <c r="N21" s="71"/>
      <c r="O21" s="71"/>
      <c r="P21" s="71"/>
    </row>
    <row r="22" spans="1:16" ht="14.4" x14ac:dyDescent="0.3">
      <c r="A22" s="9" t="str">
        <v>NY: Clifton Springs - Ontario 2 (21597)</v>
      </c>
      <c r="B22" s="14" t="str">
        <v>NY</v>
      </c>
      <c r="C22" s="9"/>
      <c r="D22" s="9"/>
      <c r="E22" s="9"/>
      <c r="F22" s="9"/>
      <c r="G22" s="9"/>
      <c r="H22" s="9"/>
      <c r="I22" s="9"/>
      <c r="J22" s="9"/>
      <c r="K22" s="9"/>
    </row>
    <row r="23" spans="1:16" ht="14.4" x14ac:dyDescent="0.3">
      <c r="A23" s="9" t="str">
        <v>CA: Oxnard - 2600 Sakioka - System A</v>
      </c>
      <c r="B23" s="14" t="str">
        <v>CA</v>
      </c>
      <c r="C23" s="9"/>
      <c r="D23" s="9"/>
      <c r="E23" s="9"/>
      <c r="F23" s="9"/>
      <c r="G23" s="9"/>
      <c r="H23" s="9"/>
      <c r="I23" s="9"/>
      <c r="J23" s="9"/>
      <c r="K23" s="9"/>
    </row>
    <row r="24" spans="1:16" ht="14.4" x14ac:dyDescent="0.3">
      <c r="A24" s="9" t="str">
        <v>CA: Oxnard - 2600 Sakioka - System B</v>
      </c>
      <c r="B24" s="14" t="str">
        <v>CA</v>
      </c>
      <c r="C24" s="9"/>
      <c r="D24" s="9"/>
      <c r="E24" s="9"/>
      <c r="F24" s="9"/>
      <c r="G24" s="9"/>
      <c r="H24" s="9"/>
      <c r="I24" s="9"/>
      <c r="J24" s="9"/>
      <c r="K24" s="9"/>
    </row>
    <row r="25" spans="1:16" ht="14.4" x14ac:dyDescent="0.3">
      <c r="A25" s="9" t="str">
        <v>NY: Fonda - Montgomery 1 (21601)</v>
      </c>
      <c r="B25" s="14" t="str">
        <v>NY</v>
      </c>
      <c r="C25" s="9"/>
      <c r="D25" s="9"/>
      <c r="E25" s="9"/>
      <c r="F25" s="10"/>
      <c r="G25" s="9"/>
      <c r="H25" s="9"/>
      <c r="I25" s="10"/>
      <c r="J25" s="9"/>
      <c r="K25" s="9"/>
    </row>
    <row r="26" spans="1:16" ht="14.4" x14ac:dyDescent="0.3">
      <c r="A26" s="9" t="str">
        <v>NY: Evans - SL Evans Array 1 (21106) - (PW)</v>
      </c>
      <c r="B26" s="14" t="str">
        <v>NY</v>
      </c>
      <c r="C26" s="9"/>
      <c r="D26" s="9"/>
      <c r="E26" s="9"/>
      <c r="F26" s="10"/>
      <c r="G26" s="9"/>
      <c r="H26" s="9"/>
      <c r="I26" s="10"/>
      <c r="J26" s="9"/>
      <c r="K26" s="9"/>
    </row>
    <row r="27" spans="1:16" ht="14.4" x14ac:dyDescent="0.3">
      <c r="A27" s="9" t="str">
        <v>NY: Evans - SL Evans Array 2 (21107) - (PW)</v>
      </c>
      <c r="B27" s="14" t="str">
        <v>NY</v>
      </c>
      <c r="C27" s="9"/>
      <c r="D27" s="9"/>
      <c r="E27" s="9"/>
      <c r="F27" s="10"/>
      <c r="G27" s="9"/>
      <c r="H27" s="9"/>
      <c r="I27" s="10"/>
      <c r="J27" s="9"/>
      <c r="K27" s="9"/>
    </row>
    <row r="28" spans="1:16" ht="14.4" x14ac:dyDescent="0.3">
      <c r="A28" s="9"/>
      <c r="B28" s="14"/>
      <c r="C28" s="9"/>
      <c r="D28" s="9"/>
      <c r="E28" s="9"/>
      <c r="F28" s="10"/>
      <c r="G28" s="9"/>
      <c r="H28" s="9"/>
      <c r="I28" s="10"/>
      <c r="J28" s="9"/>
      <c r="K28" s="9"/>
    </row>
    <row r="29" spans="1:16" ht="14.4" x14ac:dyDescent="0.3">
      <c r="A29" s="9"/>
      <c r="B29" s="14"/>
      <c r="C29" s="9"/>
      <c r="D29" s="9"/>
      <c r="E29" s="9"/>
      <c r="F29" s="10"/>
      <c r="G29" s="9"/>
      <c r="H29" s="9"/>
      <c r="I29" s="10"/>
      <c r="J29" s="9"/>
      <c r="K29" s="9"/>
    </row>
    <row r="30" spans="1:16" ht="14.4" x14ac:dyDescent="0.3">
      <c r="A30" s="9"/>
      <c r="B30" s="14"/>
      <c r="C30" s="9"/>
      <c r="D30" s="9"/>
      <c r="E30" s="9"/>
      <c r="F30" s="10"/>
      <c r="G30" s="9"/>
      <c r="H30" s="9"/>
      <c r="I30" s="10"/>
      <c r="J30" s="9"/>
      <c r="K30" s="9"/>
    </row>
    <row r="31" spans="1:16" ht="14.4" x14ac:dyDescent="0.3">
      <c r="A31" s="9"/>
      <c r="B31" s="14"/>
      <c r="C31" s="9"/>
      <c r="D31" s="9"/>
      <c r="E31" s="9"/>
      <c r="F31" s="10"/>
      <c r="G31" s="9"/>
      <c r="H31" s="9"/>
      <c r="I31" s="10"/>
      <c r="J31" s="9"/>
      <c r="K31" s="9"/>
    </row>
    <row r="32" spans="1:16"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cfRule type="cellIs" dxfId="21" priority="5" stopIfTrue="1" operator="lessThanOrEqual">
      <formula>-0.1</formula>
    </cfRule>
    <cfRule type="expression" dxfId="20" priority="6">
      <formula>AND(ISNUMBER(F2), F2&gt;=0.1)</formula>
    </cfRule>
  </conditionalFormatting>
  <conditionalFormatting sqref="F4:F92 I4:I92">
    <cfRule type="cellIs" dxfId="19" priority="1" stopIfTrue="1" operator="lessThanOrEqual">
      <formula>-0.1</formula>
    </cfRule>
    <cfRule type="expression" dxfId="18" priority="2">
      <formula>AND(ISNUMBER(F4), F4&gt;=0.1)</formula>
    </cfRule>
  </conditionalFormatting>
  <hyperlinks>
    <hyperlink ref="K4" r:id="rId1" display="https://us3.assetplanner.com/service_request?ID=102597" xr:uid="{A3979874-3F1A-43B5-AFD5-E7089B01CC0D}"/>
    <hyperlink ref="L4" r:id="rId2" display="https://us3.assetplanner.com/service_request?ID=098835" xr:uid="{C12A28D3-48BF-4C56-923C-DDBCFC7709E6}"/>
    <hyperlink ref="K5" r:id="rId3" display="https://us3.assetplanner.com/service_request?ID=102554" xr:uid="{0C86BE3A-8906-4A38-8008-C9C72B869ABB}"/>
    <hyperlink ref="L5" r:id="rId4" display="https://us3.assetplanner.com/service_request?ID=103010" xr:uid="{8EDF5A53-6D0E-4214-A314-E8CF36729A69}"/>
    <hyperlink ref="K6" r:id="rId5" display="https://us3.assetplanner.com/service_request?ID=103231" xr:uid="{69135032-B8D1-4A0A-96E2-54259555EE22}"/>
    <hyperlink ref="L6" r:id="rId6" display="https://us3.assetplanner.com/service_request?ID=103350" xr:uid="{F2E395F5-1F0A-438A-B262-C25B2BA6CB87}"/>
    <hyperlink ref="M6" r:id="rId7" display="https://us3.assetplanner.com/service_request?ID=102941" xr:uid="{CEE31DC5-5A49-41D3-9C64-9EE540BA47DB}"/>
    <hyperlink ref="N6" r:id="rId8" display="https://us3.assetplanner.com/service_request?ID=102312" xr:uid="{810C233B-3D66-43A0-B6A3-A7B547234BAF}"/>
    <hyperlink ref="O6" r:id="rId9" display="https://us3.assetplanner.com/service_request?ID=102586" xr:uid="{B8628CA0-BA67-455B-9196-F6BFB3A91CEE}"/>
    <hyperlink ref="K7" r:id="rId10" display="https://us3.assetplanner.com/service_request?ID=103596" xr:uid="{57D434A5-79A6-45DE-8E89-D0875D1ECC2A}"/>
    <hyperlink ref="L7" r:id="rId11" display="https://us3.assetplanner.com/service_request?ID=102260" xr:uid="{9348F532-278E-41C0-A769-84A7E94949B5}"/>
    <hyperlink ref="K10" r:id="rId12" display="https://us3.assetplanner.com/service_request?ID=100950" xr:uid="{2C6E42EA-E4AC-45E1-9D3D-74C7337D9E22}"/>
    <hyperlink ref="K12" r:id="rId13" display="https://us3.assetplanner.com/service_request?ID=102452" xr:uid="{EB75E6A3-B15B-4F31-B449-16306E16A571}"/>
    <hyperlink ref="L12" r:id="rId14" display="https://us3.assetplanner.com/service_request?ID=102558" xr:uid="{9A780A98-3E7C-4D9D-8783-499EFBF8E4AC}"/>
    <hyperlink ref="M12" r:id="rId15" display="https://us3.assetplanner.com/service_request?ID=102830" xr:uid="{A292422C-261D-4E38-91AD-467D80EBBE17}"/>
    <hyperlink ref="N12" r:id="rId16" display="https://us3.assetplanner.com/service_request?ID=103022" xr:uid="{E03E7EF8-E510-4255-A18A-1A7CD6483F7D}"/>
    <hyperlink ref="K13" r:id="rId17" display="https://us3.assetplanner.com/service_request?ID=102589" xr:uid="{11B5426B-8080-4D58-89FE-C602DE4A6F0B}"/>
    <hyperlink ref="L13" r:id="rId18" display="https://us3.assetplanner.com/service_request?ID=102778" xr:uid="{F0FCA665-918F-4C37-8DD5-5EA16E521742}"/>
    <hyperlink ref="M13" r:id="rId19" display="https://us3.assetplanner.com/service_request?ID=102827" xr:uid="{03F2B15B-98E9-4BCF-885F-F5AA189E0B0A}"/>
    <hyperlink ref="N13" r:id="rId20" display="https://us3.assetplanner.com/service_request?ID=100368" xr:uid="{E9CD0FBA-E4D2-4123-B1D7-7A9139FE9892}"/>
    <hyperlink ref="O13" r:id="rId21" display="https://us3.assetplanner.com/service_request?ID=102999" xr:uid="{F19661FE-F240-4760-8044-B0B8E5DE8095}"/>
    <hyperlink ref="P13" r:id="rId22" display="https://us3.assetplanner.com/service_request?ID=103566" xr:uid="{7E1FB7F5-9A96-4439-9C16-DC5D9DDD4F99}"/>
    <hyperlink ref="K14" r:id="rId23" display="https://us3.assetplanner.com/service_request?ID=102588" xr:uid="{132DD202-1747-4726-B3DC-BEC6A471054E}"/>
    <hyperlink ref="L14" r:id="rId24" display="https://us3.assetplanner.com/service_request?ID=102828" xr:uid="{BAE27117-5810-4EEF-868E-A0A1A5D107C4}"/>
    <hyperlink ref="M14" r:id="rId25" display="https://us3.assetplanner.com/service_request?ID=103584" xr:uid="{7BD62B9C-A238-4142-BD16-9FEE9B4C6003}"/>
    <hyperlink ref="K15" r:id="rId26" display="https://us3.assetplanner.com/service_request?ID=100904" xr:uid="{B43408F7-6AC3-49A4-888A-BC76BF636D39}"/>
    <hyperlink ref="K16" r:id="rId27" display="https://us3.assetplanner.com/service_request?ID=101516" xr:uid="{F61837D2-B8A2-4158-BEC1-349E9DADDD0D}"/>
    <hyperlink ref="K17" r:id="rId28" display="https://us3.assetplanner.com/service_request?ID=101517" xr:uid="{C31A27F7-52C6-481A-AABE-8C08B8ACC4A4}"/>
    <hyperlink ref="K18" r:id="rId29" display="https://us3.assetplanner.com/service_request?ID=103278" xr:uid="{CADCA333-E70E-43DE-90A8-C90469C54A22}"/>
    <hyperlink ref="L18" r:id="rId30" display="https://us3.assetplanner.com/service_request?ID=103928" xr:uid="{53A5D375-4D8C-43CB-B802-3EE2D20FBB06}"/>
    <hyperlink ref="K19" r:id="rId31" display="https://us3.assetplanner.com/service_request?ID=101794" xr:uid="{9639F419-15C7-4411-AC29-590B9F5AA6AF}"/>
    <hyperlink ref="L19" r:id="rId32" display="https://us3.assetplanner.com/service_request?ID=103308" xr:uid="{8C828AE9-F494-4F8C-BD16-4A8AA91AB78A}"/>
    <hyperlink ref="K20" r:id="rId33" display="https://us3.assetplanner.com/service_request?ID=098878" xr:uid="{6B08E1BB-C9EE-4CC9-A19F-0872A156CEBE}"/>
    <hyperlink ref="L20" r:id="rId34" display="https://us3.assetplanner.com/service_request?ID=099915" xr:uid="{350E1D1C-B212-4AF9-814E-E3CC6BFBF530}"/>
    <hyperlink ref="M20" r:id="rId35" display="https://us3.assetplanner.com/service_request?ID=101758" xr:uid="{961DCAE5-3CA0-4CEF-833D-8C92EADA5A6C}"/>
    <hyperlink ref="N20" r:id="rId36" display="https://us3.assetplanner.com/service_request?ID=102980" xr:uid="{8B2ABE2E-FE58-41BF-BEBB-FAC1CAA58974}"/>
    <hyperlink ref="O20" r:id="rId37" display="https://us3.assetplanner.com/service_request?ID=101758" xr:uid="{EF277718-0EB1-42DB-83BF-56F8CB8AC7E6}"/>
    <hyperlink ref="K21" r:id="rId38" display="https://us3.assetplanner.com/service_request?ID=101493" xr:uid="{BB0D45BA-C02A-488A-9F75-4117FA99057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S334"/>
  <sheetViews>
    <sheetView zoomScale="70" zoomScaleNormal="70" workbookViewId="0">
      <pane xSplit="2" ySplit="3" topLeftCell="G16" activePane="bottomRight" state="frozen"/>
      <selection pane="topRight" activeCell="E11" sqref="E11"/>
      <selection pane="bottomLeft" activeCell="E11" sqref="E11"/>
      <selection pane="bottomRight" activeCell="G31" sqref="G31"/>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9" ht="19.5" customHeight="1" x14ac:dyDescent="0.25">
      <c r="A1" s="96" t="str" cm="1">
        <f t="array" ref="A1">portfolio</f>
        <v>Catalyze</v>
      </c>
      <c r="B1" s="96"/>
      <c r="C1" s="96"/>
      <c r="D1" s="97" t="s">
        <v>269</v>
      </c>
      <c r="E1" s="97"/>
      <c r="F1" s="97"/>
      <c r="G1" s="95" t="s">
        <v>270</v>
      </c>
      <c r="H1" s="95"/>
      <c r="I1" s="95"/>
      <c r="J1" s="4"/>
      <c r="K1" s="4"/>
    </row>
    <row r="2" spans="1:19" ht="19.5" customHeight="1" x14ac:dyDescent="0.25">
      <c r="A2" s="98" t="s">
        <v>2</v>
      </c>
      <c r="B2" s="98"/>
      <c r="C2" s="5">
        <f>SUM(C4:C92)</f>
        <v>5941708.1351613533</v>
      </c>
      <c r="D2" s="5">
        <f>SUM(D4:D92)</f>
        <v>7773446.5399999991</v>
      </c>
      <c r="E2" s="5">
        <f>C2-D2</f>
        <v>-1831738.4048386458</v>
      </c>
      <c r="F2" s="6">
        <f>IFERROR(E2/D2, 0)</f>
        <v>-0.23564044538198445</v>
      </c>
      <c r="G2" s="5">
        <f>SUM(G4:G92)</f>
        <v>7522355.1699999999</v>
      </c>
      <c r="H2" s="7">
        <f>C2-G2</f>
        <v>-1580647.0348386467</v>
      </c>
      <c r="I2" s="6">
        <f>IFERROR(H2/G2, 0)</f>
        <v>-0.21012661581607381</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x14ac:dyDescent="0.25">
      <c r="A3" s="13" t="s">
        <v>3</v>
      </c>
      <c r="B3" s="13" t="s">
        <v>4</v>
      </c>
      <c r="C3" s="20" t="s">
        <v>5</v>
      </c>
      <c r="D3" s="21" t="s">
        <v>6</v>
      </c>
      <c r="E3" s="21" t="s">
        <v>7</v>
      </c>
      <c r="F3" s="22" t="s">
        <v>8</v>
      </c>
      <c r="G3" s="23" t="s">
        <v>9</v>
      </c>
      <c r="H3" s="24" t="s">
        <v>7</v>
      </c>
      <c r="I3" s="25" t="s">
        <v>8</v>
      </c>
      <c r="J3" s="11" t="s">
        <v>20</v>
      </c>
      <c r="K3" s="11" t="s">
        <v>21</v>
      </c>
    </row>
    <row r="4" spans="1:19" ht="42" customHeight="1" x14ac:dyDescent="0.3">
      <c r="A4" s="40" t="str" cm="1">
        <f t="array" ref="A4:A27">Sites[Site]</f>
        <v>Fresno - 3150 Shaw Ave</v>
      </c>
      <c r="B4" s="41" t="str" cm="1">
        <f t="array" ref="B4:B27">Sites[State]</f>
        <v>CA</v>
      </c>
      <c r="C4" s="29">
        <v>105481.5</v>
      </c>
      <c r="D4" s="30">
        <v>116640.3</v>
      </c>
      <c r="E4" s="30">
        <f>IF(AND(ISNUMBER(C4),ISNUMBER(D4)), C4-D4, "")</f>
        <v>-11158.800000000003</v>
      </c>
      <c r="F4" s="31">
        <f>IFERROR(E4/D4, "")</f>
        <v>-9.5668478218934649E-2</v>
      </c>
      <c r="G4" s="32">
        <v>129527.9</v>
      </c>
      <c r="H4" s="32">
        <f>IF(AND(ISNUMBER(C4),ISNUMBER(G4)), C4-G4, "")</f>
        <v>-24046.399999999994</v>
      </c>
      <c r="I4" s="33">
        <f>IFERROR(H4/G4, "")</f>
        <v>-0.18564649006121459</v>
      </c>
      <c r="J4" s="56" t="s">
        <v>271</v>
      </c>
      <c r="K4" s="67" t="s">
        <v>272</v>
      </c>
      <c r="L4" s="71"/>
      <c r="M4" s="71"/>
      <c r="N4" s="71"/>
      <c r="O4" s="71"/>
      <c r="P4" s="71"/>
      <c r="Q4" s="71"/>
      <c r="R4" s="71"/>
      <c r="S4" s="71"/>
    </row>
    <row r="5" spans="1:19" ht="62.25" customHeight="1" x14ac:dyDescent="0.25">
      <c r="A5" s="42" t="str">
        <v>Adelanto - 1 Sheep Creek Road</v>
      </c>
      <c r="B5" s="43" t="str">
        <v>CA</v>
      </c>
      <c r="C5" s="36">
        <v>0</v>
      </c>
      <c r="D5" s="37">
        <v>499964</v>
      </c>
      <c r="E5" s="37">
        <f t="shared" ref="E5:E22" si="0">IF(AND(ISNUMBER(C5),ISNUMBER(D5)), C5-D5, "")</f>
        <v>-499964</v>
      </c>
      <c r="F5" s="38">
        <f>IFERROR(E5/D5, "")</f>
        <v>-1</v>
      </c>
      <c r="G5" s="39"/>
      <c r="H5" s="39" t="str">
        <f t="shared" ref="H5:H22" si="1">IF(AND(ISNUMBER(C5),ISNUMBER(G5)), C5-G5, "")</f>
        <v/>
      </c>
      <c r="I5" s="38" t="str">
        <f t="shared" ref="I5:I22" si="2">IFERROR(H5/G5, "")</f>
        <v/>
      </c>
      <c r="J5" s="74" t="s">
        <v>273</v>
      </c>
      <c r="K5" s="70" t="s">
        <v>274</v>
      </c>
      <c r="L5" s="71"/>
      <c r="M5" s="71"/>
      <c r="N5" s="71"/>
      <c r="O5" s="71"/>
      <c r="P5" s="71"/>
      <c r="Q5" s="71"/>
      <c r="R5" s="71"/>
      <c r="S5" s="71"/>
    </row>
    <row r="6" spans="1:19" ht="15.6" x14ac:dyDescent="0.25">
      <c r="A6" s="44" t="str">
        <v>Blackstone - 83 Federal Street</v>
      </c>
      <c r="B6" s="41" t="str">
        <v>MA</v>
      </c>
      <c r="C6" s="29">
        <v>873092</v>
      </c>
      <c r="D6" s="30">
        <v>817809.3</v>
      </c>
      <c r="E6" s="30">
        <f t="shared" si="0"/>
        <v>55282.699999999953</v>
      </c>
      <c r="F6" s="31">
        <f t="shared" ref="F6:F22" si="3">IFERROR(E6/D6, "")</f>
        <v>6.7598522051534451E-2</v>
      </c>
      <c r="G6" s="32">
        <v>921306.5</v>
      </c>
      <c r="H6" s="32">
        <f t="shared" si="1"/>
        <v>-48214.5</v>
      </c>
      <c r="I6" s="33">
        <f t="shared" si="2"/>
        <v>-5.2332747028269094E-2</v>
      </c>
      <c r="J6" s="50" t="s">
        <v>275</v>
      </c>
      <c r="K6" s="67" t="s">
        <v>276</v>
      </c>
      <c r="L6" s="71"/>
      <c r="M6" s="71"/>
      <c r="N6" s="71"/>
      <c r="O6" s="71"/>
      <c r="P6" s="71"/>
      <c r="Q6" s="71"/>
      <c r="R6" s="71"/>
      <c r="S6" s="71"/>
    </row>
    <row r="7" spans="1:19" ht="15.6" x14ac:dyDescent="0.25">
      <c r="A7" s="42" t="str">
        <v>Charlton - 299 Worcester Road</v>
      </c>
      <c r="B7" s="43" t="str">
        <v>MA</v>
      </c>
      <c r="C7" s="36">
        <v>67250.5</v>
      </c>
      <c r="D7" s="37">
        <v>71010.960000000006</v>
      </c>
      <c r="E7" s="37">
        <f t="shared" si="0"/>
        <v>-3760.4600000000064</v>
      </c>
      <c r="F7" s="38">
        <f t="shared" si="3"/>
        <v>-5.2956050727944057E-2</v>
      </c>
      <c r="G7" s="39">
        <v>66359.28</v>
      </c>
      <c r="H7" s="39">
        <f t="shared" si="1"/>
        <v>891.22000000000116</v>
      </c>
      <c r="I7" s="38">
        <f t="shared" si="2"/>
        <v>1.3430224077175057E-2</v>
      </c>
      <c r="J7" s="51"/>
      <c r="K7" s="52"/>
      <c r="L7" s="71"/>
      <c r="M7" s="71"/>
      <c r="N7" s="71"/>
      <c r="O7" s="71"/>
      <c r="P7" s="71"/>
      <c r="Q7" s="71"/>
      <c r="R7" s="71"/>
      <c r="S7" s="71"/>
    </row>
    <row r="8" spans="1:19" ht="15.6" x14ac:dyDescent="0.25">
      <c r="A8" s="44" t="str">
        <v>Wareham - 8 Thatcher Drive</v>
      </c>
      <c r="B8" s="41" t="str">
        <v>MA</v>
      </c>
      <c r="C8" s="29">
        <v>20666.6875</v>
      </c>
      <c r="D8" s="30">
        <v>21644.77</v>
      </c>
      <c r="E8" s="30">
        <f t="shared" si="0"/>
        <v>-978.08250000000044</v>
      </c>
      <c r="F8" s="31">
        <f t="shared" si="3"/>
        <v>-4.5187936854953897E-2</v>
      </c>
      <c r="G8" s="32">
        <v>20765.72</v>
      </c>
      <c r="H8" s="32">
        <f t="shared" si="1"/>
        <v>-99.032500000001164</v>
      </c>
      <c r="I8" s="33">
        <f t="shared" si="2"/>
        <v>-4.7690376254712653E-3</v>
      </c>
      <c r="J8" s="50"/>
      <c r="K8" s="50"/>
      <c r="L8" s="71"/>
      <c r="M8" s="71"/>
      <c r="N8" s="71"/>
      <c r="O8" s="71"/>
      <c r="P8" s="71"/>
      <c r="Q8" s="71"/>
      <c r="R8" s="71"/>
      <c r="S8" s="71"/>
    </row>
    <row r="9" spans="1:19" ht="15.6" x14ac:dyDescent="0.25">
      <c r="A9" s="42" t="str">
        <v>West Yarmouth - 42 Mid Tech</v>
      </c>
      <c r="B9" s="43" t="str">
        <v>MA</v>
      </c>
      <c r="C9" s="36">
        <v>19231.3944088026</v>
      </c>
      <c r="D9" s="37">
        <v>21683.27</v>
      </c>
      <c r="E9" s="37">
        <f t="shared" si="0"/>
        <v>-2451.8755911974004</v>
      </c>
      <c r="F9" s="38">
        <f t="shared" si="3"/>
        <v>-0.11307683717434687</v>
      </c>
      <c r="G9" s="39">
        <v>22774.39</v>
      </c>
      <c r="H9" s="39">
        <f t="shared" si="1"/>
        <v>-3542.9955911973993</v>
      </c>
      <c r="I9" s="38">
        <f t="shared" si="2"/>
        <v>-0.15556928599173894</v>
      </c>
      <c r="J9" s="51" t="s">
        <v>277</v>
      </c>
      <c r="K9" s="52"/>
      <c r="L9" s="71"/>
      <c r="M9" s="71"/>
      <c r="N9" s="71"/>
      <c r="O9" s="71"/>
      <c r="P9" s="71"/>
      <c r="Q9" s="71"/>
      <c r="R9" s="71"/>
      <c r="S9" s="71"/>
    </row>
    <row r="10" spans="1:19" ht="15.6" x14ac:dyDescent="0.25">
      <c r="A10" s="44" t="str">
        <v>Harrison - 130 Union Street</v>
      </c>
      <c r="B10" s="41" t="str">
        <v>NY</v>
      </c>
      <c r="C10" s="29">
        <v>22933.3125</v>
      </c>
      <c r="D10" s="30">
        <v>32350.12</v>
      </c>
      <c r="E10" s="30">
        <f t="shared" si="0"/>
        <v>-9416.807499999999</v>
      </c>
      <c r="F10" s="31">
        <f t="shared" si="3"/>
        <v>-0.29109034216874619</v>
      </c>
      <c r="G10" s="32">
        <v>32205.39</v>
      </c>
      <c r="H10" s="32">
        <f t="shared" si="1"/>
        <v>-9272.0774999999994</v>
      </c>
      <c r="I10" s="33">
        <f t="shared" si="2"/>
        <v>-0.28790452467739097</v>
      </c>
      <c r="J10" s="56" t="s">
        <v>278</v>
      </c>
      <c r="K10" s="67" t="s">
        <v>187</v>
      </c>
      <c r="L10" s="71"/>
      <c r="M10" s="71"/>
      <c r="N10" s="71"/>
      <c r="O10" s="71"/>
      <c r="P10" s="71"/>
      <c r="Q10" s="71"/>
      <c r="R10" s="71"/>
      <c r="S10" s="71"/>
    </row>
    <row r="11" spans="1:19" ht="15.6" x14ac:dyDescent="0.25">
      <c r="A11" s="42" t="str">
        <v>Staten Island - Ellis Storage</v>
      </c>
      <c r="B11" s="43" t="str">
        <v>NY</v>
      </c>
      <c r="C11" s="36">
        <v>73787.5</v>
      </c>
      <c r="D11" s="37">
        <v>63480.86</v>
      </c>
      <c r="E11" s="37">
        <f t="shared" si="0"/>
        <v>10306.64</v>
      </c>
      <c r="F11" s="38">
        <f t="shared" si="3"/>
        <v>0.16235822892128429</v>
      </c>
      <c r="G11" s="39">
        <v>73833.38</v>
      </c>
      <c r="H11" s="39">
        <f t="shared" si="1"/>
        <v>-45.880000000004657</v>
      </c>
      <c r="I11" s="38">
        <f t="shared" si="2"/>
        <v>-6.2139915577486297E-4</v>
      </c>
      <c r="J11" s="51"/>
      <c r="K11" s="52"/>
      <c r="L11" s="71"/>
      <c r="M11" s="71"/>
      <c r="N11" s="71"/>
      <c r="O11" s="71"/>
      <c r="P11" s="71"/>
      <c r="Q11" s="71"/>
      <c r="R11" s="71"/>
      <c r="S11" s="71"/>
    </row>
    <row r="12" spans="1:19" ht="15.6" x14ac:dyDescent="0.25">
      <c r="A12" s="44" t="str">
        <v>Amherst - 595 Schoelles Road</v>
      </c>
      <c r="B12" s="41" t="str">
        <v>NY</v>
      </c>
      <c r="C12" s="29">
        <v>1201793</v>
      </c>
      <c r="D12" s="30">
        <v>1273216</v>
      </c>
      <c r="E12" s="30">
        <f t="shared" si="0"/>
        <v>-71423</v>
      </c>
      <c r="F12" s="31">
        <f t="shared" si="3"/>
        <v>-5.609653036091284E-2</v>
      </c>
      <c r="G12" s="32">
        <v>1219682</v>
      </c>
      <c r="H12" s="32">
        <f t="shared" si="1"/>
        <v>-17889</v>
      </c>
      <c r="I12" s="33">
        <f t="shared" si="2"/>
        <v>-1.4666937775584128E-2</v>
      </c>
      <c r="J12" s="50" t="s">
        <v>279</v>
      </c>
      <c r="K12" s="67" t="s">
        <v>280</v>
      </c>
      <c r="L12" s="71"/>
      <c r="M12" s="71"/>
      <c r="N12" s="71"/>
      <c r="O12" s="71"/>
      <c r="P12" s="71"/>
      <c r="Q12" s="71"/>
      <c r="R12" s="71"/>
      <c r="S12" s="71"/>
    </row>
    <row r="13" spans="1:19" ht="93.75" customHeight="1" x14ac:dyDescent="0.25">
      <c r="A13" s="42" t="str">
        <v>Lancaster 1 - Gunnville Road</v>
      </c>
      <c r="B13" s="43" t="str">
        <v>NY</v>
      </c>
      <c r="C13" s="36">
        <v>768592</v>
      </c>
      <c r="D13" s="37">
        <v>909610.4</v>
      </c>
      <c r="E13" s="37">
        <f t="shared" si="0"/>
        <v>-141018.40000000002</v>
      </c>
      <c r="F13" s="38">
        <f t="shared" si="3"/>
        <v>-0.15503164871465852</v>
      </c>
      <c r="G13" s="39">
        <v>927008.5</v>
      </c>
      <c r="H13" s="39">
        <f t="shared" si="1"/>
        <v>-158416.5</v>
      </c>
      <c r="I13" s="38">
        <f t="shared" si="2"/>
        <v>-0.1708900188078103</v>
      </c>
      <c r="J13" s="59" t="s">
        <v>281</v>
      </c>
      <c r="K13" s="68" t="s">
        <v>282</v>
      </c>
      <c r="L13" s="72" t="s">
        <v>283</v>
      </c>
      <c r="M13" s="71"/>
      <c r="N13" s="71"/>
      <c r="O13" s="71"/>
      <c r="P13" s="71"/>
      <c r="Q13" s="71"/>
      <c r="R13" s="71"/>
      <c r="S13" s="71"/>
    </row>
    <row r="14" spans="1:19" ht="80.25" customHeight="1" x14ac:dyDescent="0.25">
      <c r="A14" s="44" t="str">
        <v>Lancaster 2 - Shisler Road</v>
      </c>
      <c r="B14" s="41" t="str">
        <v>NY</v>
      </c>
      <c r="C14" s="29">
        <v>840379</v>
      </c>
      <c r="D14" s="30">
        <v>935735.2</v>
      </c>
      <c r="E14" s="30">
        <f>IF(AND(ISNUMBER(C14),ISNUMBER(D14)), C14-D14, "")</f>
        <v>-95356.199999999953</v>
      </c>
      <c r="F14" s="31">
        <f t="shared" si="3"/>
        <v>-0.10190511161704717</v>
      </c>
      <c r="G14" s="32">
        <v>1015648</v>
      </c>
      <c r="H14" s="32">
        <f>IF(AND(ISNUMBER(C14),ISNUMBER(G14)), C14-G14, "")</f>
        <v>-175269</v>
      </c>
      <c r="I14" s="33">
        <f t="shared" si="2"/>
        <v>-0.17256864583005135</v>
      </c>
      <c r="J14" s="50" t="s">
        <v>284</v>
      </c>
      <c r="K14" s="67" t="s">
        <v>285</v>
      </c>
      <c r="L14" s="72" t="s">
        <v>250</v>
      </c>
      <c r="M14" s="72" t="s">
        <v>286</v>
      </c>
      <c r="N14" s="72" t="s">
        <v>287</v>
      </c>
      <c r="O14" s="71"/>
      <c r="P14" s="71"/>
      <c r="Q14" s="71"/>
      <c r="R14" s="71"/>
      <c r="S14" s="71"/>
    </row>
    <row r="15" spans="1:19" ht="15.6" x14ac:dyDescent="0.25">
      <c r="A15" s="42" t="str">
        <v>Fullerton - 200 W Orangethorpe</v>
      </c>
      <c r="B15" s="43" t="str">
        <v>CA</v>
      </c>
      <c r="C15" s="36">
        <v>127781.375</v>
      </c>
      <c r="D15" s="37">
        <v>133872.20000000001</v>
      </c>
      <c r="E15" s="55">
        <f>IF(AND(ISNUMBER(C15),ISNUMBER(D15)), C15-D15, "")</f>
        <v>-6090.8250000000116</v>
      </c>
      <c r="F15" s="38">
        <f t="shared" si="3"/>
        <v>-4.5497310121145475E-2</v>
      </c>
      <c r="G15" s="39">
        <v>145971</v>
      </c>
      <c r="H15" s="55">
        <f>IF(AND(ISNUMBER(C15),ISNUMBER(G15)), C15-G15, "")</f>
        <v>-18189.625</v>
      </c>
      <c r="I15" s="38">
        <f t="shared" si="2"/>
        <v>-0.12461122414726213</v>
      </c>
      <c r="J15" s="51"/>
      <c r="K15" s="52"/>
      <c r="L15" s="71"/>
      <c r="M15" s="71"/>
      <c r="N15" s="71"/>
      <c r="O15" s="71"/>
      <c r="P15" s="71"/>
      <c r="Q15" s="71"/>
      <c r="R15" s="71"/>
      <c r="S15" s="71"/>
    </row>
    <row r="16" spans="1:19" ht="28.8" x14ac:dyDescent="0.25">
      <c r="A16" s="44" t="str">
        <v>El Paso - 10500 Railroad Drive</v>
      </c>
      <c r="B16" s="41" t="str">
        <v>TX</v>
      </c>
      <c r="C16" s="29" t="s">
        <v>288</v>
      </c>
      <c r="D16" s="30">
        <v>0</v>
      </c>
      <c r="E16" s="30">
        <v>0</v>
      </c>
      <c r="F16" s="31" t="str">
        <f t="shared" si="3"/>
        <v/>
      </c>
      <c r="G16" s="32">
        <v>0</v>
      </c>
      <c r="H16" s="32">
        <v>0</v>
      </c>
      <c r="I16" s="33" t="str">
        <f t="shared" si="2"/>
        <v/>
      </c>
      <c r="J16" s="56" t="s">
        <v>253</v>
      </c>
      <c r="K16" s="67" t="s">
        <v>289</v>
      </c>
      <c r="L16" s="72" t="s">
        <v>290</v>
      </c>
      <c r="M16" s="71"/>
      <c r="N16" s="71"/>
      <c r="O16" s="71"/>
      <c r="P16" s="71"/>
      <c r="Q16" s="71"/>
      <c r="R16" s="71"/>
      <c r="S16" s="71"/>
    </row>
    <row r="17" spans="1:19" ht="28.8" x14ac:dyDescent="0.25">
      <c r="A17" s="42" t="str">
        <v>Friona - 900 Millard Ave</v>
      </c>
      <c r="B17" s="43" t="str">
        <v>TX</v>
      </c>
      <c r="C17" s="36">
        <v>3678.5</v>
      </c>
      <c r="D17" s="37">
        <v>112331.1</v>
      </c>
      <c r="E17" s="37">
        <f t="shared" si="0"/>
        <v>-108652.6</v>
      </c>
      <c r="F17" s="38">
        <f t="shared" si="3"/>
        <v>-0.96725305814685336</v>
      </c>
      <c r="G17" s="39">
        <v>142280.5</v>
      </c>
      <c r="H17" s="39">
        <f t="shared" si="1"/>
        <v>-138602</v>
      </c>
      <c r="I17" s="38">
        <f t="shared" si="2"/>
        <v>-0.97414614089773366</v>
      </c>
      <c r="J17" s="73" t="s">
        <v>255</v>
      </c>
      <c r="K17" s="68" t="s">
        <v>291</v>
      </c>
      <c r="L17" s="72" t="s">
        <v>292</v>
      </c>
      <c r="M17" s="71"/>
      <c r="N17" s="71"/>
      <c r="O17" s="71"/>
      <c r="P17" s="71"/>
      <c r="Q17" s="71"/>
      <c r="R17" s="71"/>
      <c r="S17" s="71"/>
    </row>
    <row r="18" spans="1:19" ht="43.2" x14ac:dyDescent="0.25">
      <c r="A18" s="44" t="str">
        <v>Augusta - 13 York Farm Road</v>
      </c>
      <c r="B18" s="41" t="str">
        <v>ME</v>
      </c>
      <c r="C18" s="29">
        <v>168888.375</v>
      </c>
      <c r="D18" s="30">
        <v>173690.8</v>
      </c>
      <c r="E18" s="30">
        <f t="shared" si="0"/>
        <v>-4802.4249999999884</v>
      </c>
      <c r="F18" s="31">
        <f t="shared" si="3"/>
        <v>-2.7649276760772525E-2</v>
      </c>
      <c r="G18" s="32">
        <v>216032.7</v>
      </c>
      <c r="H18" s="32">
        <f t="shared" si="1"/>
        <v>-47144.325000000012</v>
      </c>
      <c r="I18" s="33">
        <f t="shared" si="2"/>
        <v>-0.21822772663582879</v>
      </c>
      <c r="J18" s="50" t="s">
        <v>293</v>
      </c>
      <c r="K18" s="67" t="s">
        <v>294</v>
      </c>
      <c r="L18" s="72" t="s">
        <v>295</v>
      </c>
      <c r="M18" s="72" t="s">
        <v>296</v>
      </c>
      <c r="N18" s="71"/>
      <c r="O18" s="71"/>
      <c r="P18" s="71"/>
      <c r="Q18" s="71"/>
      <c r="R18" s="71"/>
      <c r="S18" s="71"/>
    </row>
    <row r="19" spans="1:19" ht="15.6" x14ac:dyDescent="0.25">
      <c r="A19" s="42" t="str">
        <v xml:space="preserve">Santa Ana - 1441 West </v>
      </c>
      <c r="B19" s="43" t="str">
        <v>CA</v>
      </c>
      <c r="C19" s="36">
        <v>82976.990752551006</v>
      </c>
      <c r="D19" s="37">
        <v>81541.259999999995</v>
      </c>
      <c r="E19" s="37">
        <f t="shared" si="0"/>
        <v>1435.7307525510114</v>
      </c>
      <c r="F19" s="38">
        <f t="shared" si="3"/>
        <v>1.7607414363611889E-2</v>
      </c>
      <c r="G19" s="39">
        <v>87849.61</v>
      </c>
      <c r="H19" s="39">
        <f t="shared" si="1"/>
        <v>-4872.6192474489944</v>
      </c>
      <c r="I19" s="38">
        <f t="shared" si="2"/>
        <v>-5.5465462481267637E-2</v>
      </c>
      <c r="J19" s="51"/>
      <c r="K19" s="52"/>
      <c r="L19" s="71"/>
      <c r="M19" s="71"/>
      <c r="N19" s="71"/>
      <c r="O19" s="71"/>
      <c r="P19" s="71"/>
      <c r="Q19" s="71"/>
      <c r="R19" s="71"/>
      <c r="S19" s="71"/>
    </row>
    <row r="20" spans="1:19" ht="117.75" customHeight="1" x14ac:dyDescent="0.25">
      <c r="A20" s="44" t="str">
        <v>Jessup -7950 Oceano Ave</v>
      </c>
      <c r="B20" s="41" t="str">
        <v>MD</v>
      </c>
      <c r="C20" s="29">
        <v>249524</v>
      </c>
      <c r="D20" s="30">
        <v>239145</v>
      </c>
      <c r="E20" s="30">
        <f t="shared" si="0"/>
        <v>10379</v>
      </c>
      <c r="F20" s="31">
        <f t="shared" si="3"/>
        <v>4.3400447427293064E-2</v>
      </c>
      <c r="G20" s="32">
        <v>311235.3</v>
      </c>
      <c r="H20" s="32">
        <f t="shared" si="1"/>
        <v>-61711.299999999988</v>
      </c>
      <c r="I20" s="33">
        <f t="shared" si="2"/>
        <v>-0.19827860143113582</v>
      </c>
      <c r="J20" s="50" t="s">
        <v>297</v>
      </c>
      <c r="K20" s="67" t="s">
        <v>298</v>
      </c>
      <c r="L20" s="72" t="s">
        <v>299</v>
      </c>
      <c r="M20" s="72" t="s">
        <v>300</v>
      </c>
      <c r="N20" s="72" t="s">
        <v>301</v>
      </c>
      <c r="O20" s="72" t="s">
        <v>119</v>
      </c>
      <c r="P20" s="72" t="s">
        <v>299</v>
      </c>
      <c r="Q20" s="71"/>
      <c r="R20" s="71"/>
      <c r="S20" s="71"/>
    </row>
    <row r="21" spans="1:19" ht="28.8" x14ac:dyDescent="0.25">
      <c r="A21" s="42" t="str">
        <v xml:space="preserve">TX: Fort Worth - 5200 Gold Spike Dr </v>
      </c>
      <c r="B21" s="43" t="str">
        <v>TX</v>
      </c>
      <c r="C21" s="36">
        <v>0</v>
      </c>
      <c r="D21" s="37">
        <v>869530.1</v>
      </c>
      <c r="E21" s="37">
        <f t="shared" si="0"/>
        <v>-869530.1</v>
      </c>
      <c r="F21" s="38">
        <f t="shared" si="3"/>
        <v>-1</v>
      </c>
      <c r="G21" s="39">
        <v>895796.2</v>
      </c>
      <c r="H21" s="39">
        <f t="shared" si="1"/>
        <v>-895796.2</v>
      </c>
      <c r="I21" s="38">
        <f t="shared" si="2"/>
        <v>-1</v>
      </c>
      <c r="J21" s="74" t="s">
        <v>267</v>
      </c>
      <c r="K21" s="70" t="s">
        <v>302</v>
      </c>
      <c r="L21" s="71"/>
      <c r="M21" s="71"/>
      <c r="N21" s="71"/>
      <c r="O21" s="71"/>
      <c r="P21" s="71"/>
      <c r="Q21" s="71"/>
      <c r="R21" s="71"/>
      <c r="S21" s="71"/>
    </row>
    <row r="22" spans="1:19" ht="15.6" x14ac:dyDescent="0.25">
      <c r="A22" s="44" t="str">
        <v>NY: Clifton Springs - Ontario 2 (21597)</v>
      </c>
      <c r="B22" s="41" t="str">
        <v>NY</v>
      </c>
      <c r="C22" s="29">
        <v>1315652</v>
      </c>
      <c r="D22" s="30">
        <v>1400190.9</v>
      </c>
      <c r="E22" s="30">
        <f t="shared" si="0"/>
        <v>-84538.899999999907</v>
      </c>
      <c r="F22" s="31">
        <f t="shared" si="3"/>
        <v>-6.0376695777697109E-2</v>
      </c>
      <c r="G22" s="32">
        <v>1294078.8</v>
      </c>
      <c r="H22" s="32">
        <f t="shared" si="1"/>
        <v>21573.199999999953</v>
      </c>
      <c r="I22" s="33">
        <f t="shared" si="2"/>
        <v>1.6670700424116332E-2</v>
      </c>
      <c r="J22" s="56"/>
      <c r="K22" s="50"/>
      <c r="L22" s="71"/>
      <c r="M22" s="71"/>
      <c r="N22" s="71"/>
      <c r="O22" s="71"/>
      <c r="P22" s="71"/>
      <c r="Q22" s="71"/>
      <c r="R22" s="71"/>
      <c r="S22" s="71"/>
    </row>
    <row r="23" spans="1:19" ht="14.4" x14ac:dyDescent="0.3">
      <c r="A23" s="9" t="str">
        <v>CA: Oxnard - 2600 Sakioka - System A</v>
      </c>
      <c r="B23" s="14" t="str">
        <v>CA</v>
      </c>
      <c r="C23" s="9"/>
      <c r="D23" s="9"/>
      <c r="E23" s="9"/>
      <c r="F23" s="9"/>
      <c r="G23" s="9"/>
      <c r="H23" s="9"/>
      <c r="I23" s="9"/>
      <c r="J23" s="9"/>
      <c r="K23" s="9"/>
    </row>
    <row r="24" spans="1:19" ht="14.4" x14ac:dyDescent="0.3">
      <c r="A24" s="9" t="str">
        <v>CA: Oxnard - 2600 Sakioka - System B</v>
      </c>
      <c r="B24" s="14" t="str">
        <v>CA</v>
      </c>
      <c r="C24" s="9"/>
      <c r="D24" s="9"/>
      <c r="E24" s="9"/>
      <c r="F24" s="9"/>
      <c r="G24" s="9"/>
      <c r="H24" s="9"/>
      <c r="I24" s="9"/>
      <c r="J24" s="9"/>
      <c r="K24" s="9"/>
    </row>
    <row r="25" spans="1:19" ht="14.4" x14ac:dyDescent="0.3">
      <c r="A25" s="9" t="str">
        <v>NY: Fonda - Montgomery 1 (21601)</v>
      </c>
      <c r="B25" s="14" t="str">
        <v>NY</v>
      </c>
      <c r="C25" s="9"/>
      <c r="D25" s="9"/>
      <c r="E25" s="9"/>
      <c r="F25" s="10"/>
      <c r="G25" s="9"/>
      <c r="H25" s="9"/>
      <c r="I25" s="10"/>
      <c r="J25" s="9"/>
      <c r="K25" s="9"/>
    </row>
    <row r="26" spans="1:19" ht="14.4" x14ac:dyDescent="0.3">
      <c r="A26" s="9" t="str">
        <v>NY: Evans - SL Evans Array 1 (21106) - (PW)</v>
      </c>
      <c r="B26" s="14" t="str">
        <v>NY</v>
      </c>
      <c r="C26" s="9"/>
      <c r="D26" s="9"/>
      <c r="E26" s="9"/>
      <c r="F26" s="10"/>
      <c r="G26" s="9"/>
      <c r="H26" s="9"/>
      <c r="I26" s="10"/>
      <c r="J26" s="9"/>
      <c r="K26" s="9"/>
    </row>
    <row r="27" spans="1:19" ht="14.4" x14ac:dyDescent="0.3">
      <c r="A27" s="9" t="str">
        <v>NY: Evans - SL Evans Array 2 (21107) - (PW)</v>
      </c>
      <c r="B27" s="14" t="str">
        <v>NY</v>
      </c>
      <c r="C27" s="9"/>
      <c r="D27" s="9"/>
      <c r="E27" s="9"/>
      <c r="F27" s="10"/>
      <c r="G27" s="9"/>
      <c r="H27" s="9"/>
      <c r="I27" s="10"/>
      <c r="J27" s="9"/>
      <c r="K27" s="9"/>
    </row>
    <row r="28" spans="1:19" ht="14.4" x14ac:dyDescent="0.3">
      <c r="A28" s="9"/>
      <c r="B28" s="14"/>
      <c r="C28" s="9"/>
      <c r="D28" s="9"/>
      <c r="E28" s="9"/>
      <c r="F28" s="10"/>
      <c r="G28" s="9"/>
      <c r="H28" s="9"/>
      <c r="I28" s="10"/>
      <c r="J28" s="9"/>
      <c r="K28" s="9"/>
    </row>
    <row r="29" spans="1:19" ht="14.4" x14ac:dyDescent="0.3">
      <c r="A29" s="9"/>
      <c r="B29" s="14"/>
      <c r="C29" s="9"/>
      <c r="D29" s="9"/>
      <c r="E29" s="9"/>
      <c r="F29" s="10"/>
      <c r="G29" s="9"/>
      <c r="H29" s="9"/>
      <c r="I29" s="10"/>
      <c r="J29" s="9"/>
      <c r="K29" s="9"/>
    </row>
    <row r="30" spans="1:19" ht="14.4" x14ac:dyDescent="0.3">
      <c r="A30" s="9"/>
      <c r="B30" s="14"/>
      <c r="C30" s="9"/>
      <c r="D30" s="9"/>
      <c r="E30" s="9"/>
      <c r="F30" s="10"/>
      <c r="G30" s="9"/>
      <c r="H30" s="9"/>
      <c r="I30" s="10"/>
      <c r="J30" s="9"/>
      <c r="K30" s="9"/>
    </row>
    <row r="31" spans="1:19" ht="14.4" x14ac:dyDescent="0.3">
      <c r="A31" s="9"/>
      <c r="B31" s="14"/>
      <c r="C31" s="9"/>
      <c r="D31" s="9"/>
      <c r="E31" s="9"/>
      <c r="F31" s="10"/>
      <c r="G31" s="9"/>
      <c r="H31" s="9"/>
      <c r="I31" s="10"/>
      <c r="J31" s="9"/>
      <c r="K31" s="9"/>
    </row>
    <row r="32" spans="1:19"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sortState xmlns:xlrd2="http://schemas.microsoft.com/office/spreadsheetml/2017/richdata2" ref="A3:K15">
    <sortCondition ref="A3:A15"/>
  </sortState>
  <mergeCells count="4">
    <mergeCell ref="G1:I1"/>
    <mergeCell ref="A1:C1"/>
    <mergeCell ref="D1:F1"/>
    <mergeCell ref="A2:B2"/>
  </mergeCells>
  <phoneticPr fontId="40" type="noConversion"/>
  <conditionalFormatting sqref="F2 I2">
    <cfRule type="cellIs" dxfId="17" priority="5" stopIfTrue="1" operator="lessThanOrEqual">
      <formula>-0.1</formula>
    </cfRule>
    <cfRule type="expression" dxfId="16" priority="6">
      <formula>AND(ISNUMBER(F2), F2&gt;=0.1)</formula>
    </cfRule>
  </conditionalFormatting>
  <conditionalFormatting sqref="F4:F92 I4:I92">
    <cfRule type="cellIs" dxfId="15" priority="1" stopIfTrue="1" operator="lessThanOrEqual">
      <formula>-0.1</formula>
    </cfRule>
    <cfRule type="expression" dxfId="14" priority="2">
      <formula>AND(ISNUMBER(F4), F4&gt;=0.1)</formula>
    </cfRule>
  </conditionalFormatting>
  <hyperlinks>
    <hyperlink ref="K4" r:id="rId1" display="https://us3.assetplanner.com/service_request?ID=102597" xr:uid="{E9AA450F-EEED-4DB3-B224-44C651D59B98}"/>
    <hyperlink ref="K5" r:id="rId2" display="https://us3.assetplanner.com/service_request?ID=102554" xr:uid="{4DB73161-B66A-4EFD-B832-EA5ADF070ECC}"/>
    <hyperlink ref="K6" r:id="rId3" display="https://us3.assetplanner.com/service_request?ID=105137" xr:uid="{18C86C61-CAB3-4F43-8093-D58C8BCD991C}"/>
    <hyperlink ref="K10" r:id="rId4" display="https://us3.assetplanner.com/service_request?ID=100950" xr:uid="{42FC1EBE-EAC7-4EE2-AE92-7D254EC6E3C3}"/>
    <hyperlink ref="K12" r:id="rId5" display="https://us3.assetplanner.com/service_request?ID=103022" xr:uid="{B421B41D-6B57-447A-9CD0-886646F84C0B}"/>
    <hyperlink ref="K13" r:id="rId6" display="https://us3.assetplanner.com/service_request?ID=103842" xr:uid="{C7D0A3B2-9E35-489E-85CF-7A8D46D78270}"/>
    <hyperlink ref="L13" r:id="rId7" display="https://us3.assetplanner.com/service_request?ID=104049" xr:uid="{B9D09B0B-06ED-4D78-9FFD-E3EE966DB79E}"/>
    <hyperlink ref="K14" r:id="rId8" display="https://us3.assetplanner.com/service_request?ID=104050" xr:uid="{A0E47D2E-73D8-427F-A89A-F9F5A1C2D0FE}"/>
    <hyperlink ref="L14" r:id="rId9" display="https://us3.assetplanner.com/service_request?ID=103584" xr:uid="{4253F364-7EEE-465B-99F7-C8CC1DA44995}"/>
    <hyperlink ref="M14" r:id="rId10" display="https://us3.assetplanner.com/service_request?ID=105109" xr:uid="{2FC1337C-2B57-42EA-AD6C-54CCD3E884FD}"/>
    <hyperlink ref="N14" r:id="rId11" display="https://us3.assetplanner.com/service_request?ID=105181" xr:uid="{572746AC-D718-4B6D-892E-BFAA640EE175}"/>
    <hyperlink ref="K16" r:id="rId12" display="https://us3.assetplanner.com/service_request?ID=101516" xr:uid="{5157D2C8-FFFF-4EFB-B448-38349DCCEFD5}"/>
    <hyperlink ref="L16" r:id="rId13" display="https://us3.assetplanner.com/service_request?ID=104969" xr:uid="{D521F0EE-BC8E-47F3-8C01-79F3D3868405}"/>
    <hyperlink ref="K17" r:id="rId14" display="https://us3.assetplanner.com/service_request?ID=101517" xr:uid="{C2B5ED70-2D95-4CD9-8FA3-7E192558E053}"/>
    <hyperlink ref="L17" r:id="rId15" display="https://us3.assetplanner.com/service_request?ID=104968" xr:uid="{6FE3F78E-ABD1-437B-979A-3383FDA5A14C}"/>
    <hyperlink ref="K18" r:id="rId16" display="https://us3.assetplanner.com/service_request?ID=104026" xr:uid="{EE2D28EE-ABF5-4417-8759-5470633D79E8}"/>
    <hyperlink ref="L18" r:id="rId17" display="https://us3.assetplanner.com/service_request?ID=104133" xr:uid="{38F1EFE9-ED66-453E-8D19-A94F76265815}"/>
    <hyperlink ref="M18" r:id="rId18" display="https://us3.assetplanner.com/service_request?ID=104663" xr:uid="{85FE88DC-AABE-4789-9E7F-F6367506FA96}"/>
    <hyperlink ref="K20" r:id="rId19" display="https://us3.assetplanner.com/service_request?ID=104022" xr:uid="{5A96359F-5D11-46BC-85CF-0CD5234457BE}"/>
    <hyperlink ref="L20" r:id="rId20" display="https://us3.assetplanner.com/service_request?ID=104573" xr:uid="{40484823-D47E-42A4-9B6E-DDCE1344FA4C}"/>
    <hyperlink ref="M20" r:id="rId21" display="https://us3.assetplanner.com/service_request?ID=104743" xr:uid="{7973DECA-F0FB-49F8-AF99-1492F248920D}"/>
    <hyperlink ref="N20" r:id="rId22" display="https://us3.assetplanner.com/service_request?ID=105104" xr:uid="{7F264DB2-B4A7-47D4-AF1C-6D69804BF931}"/>
    <hyperlink ref="O20" r:id="rId23" display="https://us3.assetplanner.com/service_request?ID=098878" xr:uid="{1FB6267D-043A-4A9F-89EC-6C4226DFE5E3}"/>
    <hyperlink ref="P20" r:id="rId24" display="https://us3.assetplanner.com/service_request?ID=104573" xr:uid="{88ED7E80-62B3-44C1-AB49-D3CF771B3526}"/>
    <hyperlink ref="K21" r:id="rId25" display="https://us3.assetplanner.com/service_request?ID=101493" xr:uid="{CC6C140D-566C-49E7-B674-AC74C03D4A2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334"/>
  <sheetViews>
    <sheetView zoomScale="80" zoomScaleNormal="80" workbookViewId="0">
      <pane xSplit="2" ySplit="3" topLeftCell="D4" activePane="bottomRight" state="frozen"/>
      <selection pane="topRight" activeCell="E11" sqref="E11"/>
      <selection pane="bottomLeft" activeCell="E11" sqref="E11"/>
      <selection pane="bottomRight" activeCell="K20" sqref="K20"/>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8" ht="19.5" customHeight="1" x14ac:dyDescent="0.25">
      <c r="A1" s="96" t="str" cm="1">
        <f t="array" ref="A1">portfolio</f>
        <v>Catalyze</v>
      </c>
      <c r="B1" s="96"/>
      <c r="C1" s="96"/>
      <c r="D1" s="97" t="s">
        <v>303</v>
      </c>
      <c r="E1" s="97"/>
      <c r="F1" s="97"/>
      <c r="G1" s="95" t="s">
        <v>304</v>
      </c>
      <c r="H1" s="95"/>
      <c r="I1" s="95"/>
      <c r="J1" s="4"/>
      <c r="K1" s="4"/>
    </row>
    <row r="2" spans="1:18" ht="19.5" customHeight="1" x14ac:dyDescent="0.25">
      <c r="A2" s="98" t="s">
        <v>2</v>
      </c>
      <c r="B2" s="98"/>
      <c r="C2" s="5">
        <f>SUM(C4:C92)</f>
        <v>7152091.3864681842</v>
      </c>
      <c r="D2" s="5">
        <f>SUM(D4:D92)</f>
        <v>9146479.479100002</v>
      </c>
      <c r="E2" s="5">
        <f>C2-D2</f>
        <v>-1994388.0926318178</v>
      </c>
      <c r="F2" s="6">
        <f>IFERROR(E2/D2, 0)</f>
        <v>-0.21804980781830413</v>
      </c>
      <c r="G2" s="5">
        <f>SUM(G4:G92)</f>
        <v>8866989.2599999998</v>
      </c>
      <c r="H2" s="7">
        <f>C2-G2</f>
        <v>-1714897.8735318156</v>
      </c>
      <c r="I2" s="6">
        <f>IFERROR(H2/G2, 0)</f>
        <v>-0.19340249810247492</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8" ht="14.25" customHeight="1" x14ac:dyDescent="0.25">
      <c r="A3" s="13" t="s">
        <v>3</v>
      </c>
      <c r="B3" s="13" t="s">
        <v>4</v>
      </c>
      <c r="C3" s="20" t="s">
        <v>5</v>
      </c>
      <c r="D3" s="21" t="s">
        <v>6</v>
      </c>
      <c r="E3" s="21" t="s">
        <v>7</v>
      </c>
      <c r="F3" s="22" t="s">
        <v>8</v>
      </c>
      <c r="G3" s="23" t="s">
        <v>9</v>
      </c>
      <c r="H3" s="24" t="s">
        <v>7</v>
      </c>
      <c r="I3" s="25" t="s">
        <v>8</v>
      </c>
      <c r="J3" s="11" t="s">
        <v>20</v>
      </c>
      <c r="K3" s="11" t="s">
        <v>21</v>
      </c>
    </row>
    <row r="4" spans="1:18" ht="15.6" x14ac:dyDescent="0.3">
      <c r="A4" s="40" t="str" cm="1">
        <f t="array" ref="A4:A27">Sites[Site]</f>
        <v>Fresno - 3150 Shaw Ave</v>
      </c>
      <c r="B4" s="41" t="str" cm="1">
        <f t="array" ref="B4:B27">Sites[State]</f>
        <v>CA</v>
      </c>
      <c r="C4" s="29">
        <v>100745.75</v>
      </c>
      <c r="D4" s="30">
        <v>101706.8</v>
      </c>
      <c r="E4" s="30">
        <f>IF(AND(ISNUMBER(C4),ISNUMBER(D4)), C4-D4, "")</f>
        <v>-961.05000000000291</v>
      </c>
      <c r="F4" s="31">
        <f>IFERROR(E4/D4, "")</f>
        <v>-9.4492207010740958E-3</v>
      </c>
      <c r="G4" s="32">
        <v>130168.7</v>
      </c>
      <c r="H4" s="32">
        <f>IF(AND(ISNUMBER(C4),ISNUMBER(G4)), C4-G4, "")</f>
        <v>-29422.949999999997</v>
      </c>
      <c r="I4" s="33">
        <f>IFERROR(H4/G4, "")</f>
        <v>-0.22603705806388169</v>
      </c>
      <c r="J4" s="64" t="s">
        <v>305</v>
      </c>
      <c r="K4" s="84" t="s">
        <v>306</v>
      </c>
      <c r="L4" s="71"/>
      <c r="M4" s="71"/>
      <c r="N4" s="71"/>
      <c r="O4" s="71"/>
      <c r="P4" s="71"/>
      <c r="Q4" s="71"/>
      <c r="R4" s="71"/>
    </row>
    <row r="5" spans="1:18" ht="104.25" customHeight="1" x14ac:dyDescent="0.25">
      <c r="A5" s="42" t="str">
        <v>Adelanto - 1 Sheep Creek Road</v>
      </c>
      <c r="B5" s="43" t="str">
        <v>CA</v>
      </c>
      <c r="C5" s="36">
        <v>582365</v>
      </c>
      <c r="D5" s="37">
        <v>593036.67810000002</v>
      </c>
      <c r="E5" s="37">
        <f t="shared" ref="E5:E15" si="0">IF(AND(ISNUMBER(C5),ISNUMBER(D5)), C5-D5, "")</f>
        <v>-10671.678100000019</v>
      </c>
      <c r="F5" s="38">
        <f>IFERROR(E5/D5, "")</f>
        <v>-1.7994971464818103E-2</v>
      </c>
      <c r="G5" s="93" t="s">
        <v>307</v>
      </c>
      <c r="H5" s="39" t="str">
        <f t="shared" ref="H5:H7" si="1">IF(AND(ISNUMBER(C5),ISNUMBER(G5)), C5-G5, "")</f>
        <v/>
      </c>
      <c r="I5" s="38" t="str">
        <f t="shared" ref="I5:I7" si="2">IFERROR(H5/G5, "")</f>
        <v/>
      </c>
      <c r="J5" s="59" t="s">
        <v>308</v>
      </c>
      <c r="K5" s="68" t="s">
        <v>309</v>
      </c>
      <c r="L5" s="72" t="s">
        <v>310</v>
      </c>
      <c r="M5" s="72" t="s">
        <v>311</v>
      </c>
      <c r="N5" s="72" t="s">
        <v>222</v>
      </c>
      <c r="O5" s="71"/>
      <c r="P5" s="71"/>
      <c r="Q5" s="71"/>
      <c r="R5" s="71"/>
    </row>
    <row r="6" spans="1:18" ht="28.8" x14ac:dyDescent="0.25">
      <c r="A6" s="44" t="str">
        <v>Blackstone - 83 Federal Street</v>
      </c>
      <c r="B6" s="41" t="str">
        <v>MA</v>
      </c>
      <c r="C6" s="29">
        <v>903613.299999999</v>
      </c>
      <c r="D6" s="30">
        <v>863530.9</v>
      </c>
      <c r="E6" s="30">
        <f t="shared" si="0"/>
        <v>40082.399999998976</v>
      </c>
      <c r="F6" s="31">
        <f t="shared" ref="F6:F11" si="3">IFERROR(E6/D6, "")</f>
        <v>4.6416868232507923E-2</v>
      </c>
      <c r="G6" s="32">
        <v>861697.1</v>
      </c>
      <c r="H6" s="32">
        <f t="shared" si="1"/>
        <v>41916.199999999022</v>
      </c>
      <c r="I6" s="33">
        <f t="shared" si="2"/>
        <v>4.8643775173432782E-2</v>
      </c>
      <c r="J6" s="64" t="s">
        <v>312</v>
      </c>
      <c r="K6" s="84" t="s">
        <v>313</v>
      </c>
      <c r="L6" s="71"/>
      <c r="M6" s="71"/>
      <c r="N6" s="71"/>
      <c r="O6" s="71"/>
      <c r="P6" s="71"/>
      <c r="Q6" s="71"/>
      <c r="R6" s="71"/>
    </row>
    <row r="7" spans="1:18" ht="15.6" x14ac:dyDescent="0.25">
      <c r="A7" s="42" t="str">
        <v>Charlton - 299 Worcester Road</v>
      </c>
      <c r="B7" s="43" t="str">
        <v>MA</v>
      </c>
      <c r="C7" s="36">
        <v>70127.25</v>
      </c>
      <c r="D7" s="37">
        <v>73761.03</v>
      </c>
      <c r="E7" s="37">
        <f t="shared" si="0"/>
        <v>-3633.7799999999988</v>
      </c>
      <c r="F7" s="38">
        <f t="shared" si="3"/>
        <v>-4.926422529620314E-2</v>
      </c>
      <c r="G7" s="39">
        <v>64468.03</v>
      </c>
      <c r="H7" s="39">
        <f t="shared" si="1"/>
        <v>5659.2200000000012</v>
      </c>
      <c r="I7" s="38">
        <f t="shared" si="2"/>
        <v>8.7783355563990417E-2</v>
      </c>
      <c r="J7" s="59"/>
      <c r="K7" s="59"/>
      <c r="L7" s="71"/>
      <c r="M7" s="71"/>
      <c r="N7" s="71"/>
      <c r="O7" s="71"/>
      <c r="P7" s="71"/>
      <c r="Q7" s="71"/>
      <c r="R7" s="71"/>
    </row>
    <row r="8" spans="1:18" ht="15.6" x14ac:dyDescent="0.25">
      <c r="A8" s="44" t="str">
        <v>Wareham - 8 Thatcher Drive</v>
      </c>
      <c r="B8" s="41" t="str">
        <v>MA</v>
      </c>
      <c r="C8" s="29">
        <v>21269.75</v>
      </c>
      <c r="D8" s="30">
        <v>22087.42</v>
      </c>
      <c r="E8" s="30">
        <f t="shared" si="0"/>
        <v>-817.66999999999825</v>
      </c>
      <c r="F8" s="31">
        <f t="shared" si="3"/>
        <v>-3.7019715294950621E-2</v>
      </c>
      <c r="G8" s="32">
        <v>19614.07</v>
      </c>
      <c r="H8" s="32">
        <f t="shared" ref="H8:H25" si="4">IF(AND(ISNUMBER(C8),ISNUMBER(G8)), C8-G8, "")</f>
        <v>1655.6800000000003</v>
      </c>
      <c r="I8" s="33">
        <f t="shared" ref="I8:I25" si="5">IFERROR(H8/G8, "")</f>
        <v>8.4412873003920155E-2</v>
      </c>
      <c r="J8" s="64"/>
      <c r="K8" s="64"/>
      <c r="L8" s="71"/>
      <c r="M8" s="71"/>
      <c r="N8" s="71"/>
      <c r="O8" s="71"/>
      <c r="P8" s="71"/>
      <c r="Q8" s="71"/>
      <c r="R8" s="71"/>
    </row>
    <row r="9" spans="1:18" ht="15.6" x14ac:dyDescent="0.25">
      <c r="A9" s="42" t="str">
        <v>West Yarmouth - 42 Mid Tech</v>
      </c>
      <c r="B9" s="43" t="str">
        <v>MA</v>
      </c>
      <c r="C9" s="36">
        <v>19575.073033235301</v>
      </c>
      <c r="D9" s="37">
        <v>21231.41</v>
      </c>
      <c r="E9" s="37">
        <f t="shared" si="0"/>
        <v>-1656.3369667646984</v>
      </c>
      <c r="F9" s="38">
        <f t="shared" si="3"/>
        <v>-7.8013517084578862E-2</v>
      </c>
      <c r="G9" s="39">
        <v>20373.75</v>
      </c>
      <c r="H9" s="39">
        <f t="shared" si="4"/>
        <v>-798.67696676469859</v>
      </c>
      <c r="I9" s="38">
        <f t="shared" si="5"/>
        <v>-3.9201274520630644E-2</v>
      </c>
      <c r="J9" s="59"/>
      <c r="K9" s="58"/>
      <c r="L9" s="71"/>
      <c r="M9" s="71"/>
      <c r="N9" s="71"/>
      <c r="O9" s="71"/>
      <c r="P9" s="71"/>
      <c r="Q9" s="71"/>
      <c r="R9" s="71"/>
    </row>
    <row r="10" spans="1:18" ht="15.6" x14ac:dyDescent="0.25">
      <c r="A10" s="44" t="str">
        <v>Harrison - 130 Union Street</v>
      </c>
      <c r="B10" s="41" t="str">
        <v>NY</v>
      </c>
      <c r="C10" s="29">
        <v>21840.25</v>
      </c>
      <c r="D10" s="30">
        <v>31590.75</v>
      </c>
      <c r="E10" s="30">
        <f t="shared" si="0"/>
        <v>-9750.5</v>
      </c>
      <c r="F10" s="31">
        <f t="shared" si="3"/>
        <v>-0.30865047521822053</v>
      </c>
      <c r="G10" s="32">
        <v>28474.11</v>
      </c>
      <c r="H10" s="32">
        <f t="shared" si="4"/>
        <v>-6633.8600000000006</v>
      </c>
      <c r="I10" s="33">
        <f t="shared" si="5"/>
        <v>-0.23297866026365707</v>
      </c>
      <c r="J10" s="64" t="s">
        <v>314</v>
      </c>
      <c r="K10" s="84" t="s">
        <v>315</v>
      </c>
      <c r="L10" s="71"/>
      <c r="M10" s="71"/>
      <c r="N10" s="71"/>
      <c r="O10" s="71"/>
      <c r="P10" s="71"/>
      <c r="Q10" s="71"/>
      <c r="R10" s="71"/>
    </row>
    <row r="11" spans="1:18" ht="15.6" x14ac:dyDescent="0.25">
      <c r="A11" s="42" t="str">
        <v>Staten Island - Ellis Storage</v>
      </c>
      <c r="B11" s="43" t="str">
        <v>NY</v>
      </c>
      <c r="C11" s="36">
        <v>68122.125</v>
      </c>
      <c r="D11" s="37">
        <v>60060.39</v>
      </c>
      <c r="E11" s="37">
        <f t="shared" si="0"/>
        <v>8061.7350000000006</v>
      </c>
      <c r="F11" s="38">
        <f t="shared" si="3"/>
        <v>0.13422715037314945</v>
      </c>
      <c r="G11" s="39">
        <v>66123.34</v>
      </c>
      <c r="H11" s="39">
        <f t="shared" si="4"/>
        <v>1998.7850000000035</v>
      </c>
      <c r="I11" s="38">
        <f t="shared" si="5"/>
        <v>3.0228131246848748E-2</v>
      </c>
      <c r="J11" s="59"/>
      <c r="K11" s="58"/>
      <c r="L11" s="71"/>
      <c r="M11" s="71"/>
      <c r="N11" s="71"/>
      <c r="O11" s="71"/>
      <c r="P11" s="71"/>
      <c r="Q11" s="71"/>
      <c r="R11" s="71"/>
    </row>
    <row r="12" spans="1:18" ht="15.6" x14ac:dyDescent="0.25">
      <c r="A12" s="44" t="str">
        <v>Amherst - 595 Schoelles Road</v>
      </c>
      <c r="B12" s="41" t="str">
        <v>NY</v>
      </c>
      <c r="C12" s="29">
        <v>1024684</v>
      </c>
      <c r="D12" s="30">
        <v>1096184</v>
      </c>
      <c r="E12" s="30">
        <f t="shared" si="0"/>
        <v>-71500</v>
      </c>
      <c r="F12" s="31">
        <f t="shared" ref="F12:F25" si="6">IFERROR(E12/D12, "")</f>
        <v>-6.5226275880691562E-2</v>
      </c>
      <c r="G12" s="32">
        <v>1095828</v>
      </c>
      <c r="H12" s="32">
        <f t="shared" si="4"/>
        <v>-71144</v>
      </c>
      <c r="I12" s="33">
        <f t="shared" si="5"/>
        <v>-6.4922597341918617E-2</v>
      </c>
      <c r="J12" s="64" t="s">
        <v>316</v>
      </c>
      <c r="K12" s="84" t="s">
        <v>317</v>
      </c>
      <c r="L12" s="71"/>
      <c r="M12" s="71"/>
      <c r="N12" s="71"/>
      <c r="O12" s="71"/>
      <c r="P12" s="71"/>
      <c r="Q12" s="71"/>
      <c r="R12" s="71"/>
    </row>
    <row r="13" spans="1:18" ht="57.6" x14ac:dyDescent="0.25">
      <c r="A13" s="42" t="str">
        <v>Lancaster 1 - Gunnville Road</v>
      </c>
      <c r="B13" s="43" t="str">
        <v>NY</v>
      </c>
      <c r="C13" s="36">
        <v>533716</v>
      </c>
      <c r="D13" s="37">
        <v>849651.8</v>
      </c>
      <c r="E13" s="37">
        <f t="shared" si="0"/>
        <v>-315935.80000000005</v>
      </c>
      <c r="F13" s="38">
        <f t="shared" si="6"/>
        <v>-0.37184150024751317</v>
      </c>
      <c r="G13" s="39">
        <v>860164.8</v>
      </c>
      <c r="H13" s="39">
        <f t="shared" si="4"/>
        <v>-326448.80000000005</v>
      </c>
      <c r="I13" s="38">
        <f t="shared" si="5"/>
        <v>-0.37951890149422535</v>
      </c>
      <c r="J13" s="59" t="s">
        <v>318</v>
      </c>
      <c r="K13" s="68" t="s">
        <v>319</v>
      </c>
      <c r="L13" s="72" t="s">
        <v>191</v>
      </c>
      <c r="M13" s="72" t="s">
        <v>320</v>
      </c>
      <c r="N13" s="71"/>
      <c r="O13" s="71"/>
      <c r="P13" s="71"/>
      <c r="Q13" s="71"/>
      <c r="R13" s="71"/>
    </row>
    <row r="14" spans="1:18" ht="144" x14ac:dyDescent="0.25">
      <c r="A14" s="44" t="str">
        <v>Lancaster 2 - Shisler Road</v>
      </c>
      <c r="B14" s="41" t="str">
        <v>NY</v>
      </c>
      <c r="C14" s="29">
        <v>719620</v>
      </c>
      <c r="D14" s="30">
        <v>894279.4</v>
      </c>
      <c r="E14" s="30">
        <f t="shared" si="0"/>
        <v>-174659.40000000002</v>
      </c>
      <c r="F14" s="31">
        <f t="shared" si="6"/>
        <v>-0.19530741734630142</v>
      </c>
      <c r="G14" s="32">
        <v>943660.5</v>
      </c>
      <c r="H14" s="32">
        <f t="shared" si="4"/>
        <v>-224040.5</v>
      </c>
      <c r="I14" s="33">
        <f t="shared" si="5"/>
        <v>-0.23741642253755454</v>
      </c>
      <c r="J14" s="64" t="s">
        <v>321</v>
      </c>
      <c r="K14" s="84" t="s">
        <v>322</v>
      </c>
      <c r="L14" s="72" t="s">
        <v>323</v>
      </c>
      <c r="M14" s="72" t="s">
        <v>324</v>
      </c>
      <c r="N14" s="71"/>
      <c r="O14" s="71"/>
      <c r="P14" s="71"/>
      <c r="Q14" s="71"/>
      <c r="R14" s="71"/>
    </row>
    <row r="15" spans="1:18" ht="15.6" x14ac:dyDescent="0.25">
      <c r="A15" s="42" t="str">
        <v>Fullerton - 200 W Orangethorpe</v>
      </c>
      <c r="B15" s="43" t="str">
        <v>CA</v>
      </c>
      <c r="C15" s="36">
        <v>111944.25</v>
      </c>
      <c r="D15" s="37">
        <v>126225.2</v>
      </c>
      <c r="E15" s="37">
        <f t="shared" si="0"/>
        <v>-14280.949999999997</v>
      </c>
      <c r="F15" s="38">
        <f t="shared" si="6"/>
        <v>-0.11313866010907488</v>
      </c>
      <c r="G15" s="39">
        <v>141877.6</v>
      </c>
      <c r="H15" s="39">
        <f t="shared" si="4"/>
        <v>-29933.350000000006</v>
      </c>
      <c r="I15" s="38">
        <f t="shared" si="5"/>
        <v>-0.21098009833828599</v>
      </c>
      <c r="J15" s="59" t="s">
        <v>325</v>
      </c>
      <c r="K15" s="68" t="s">
        <v>326</v>
      </c>
      <c r="L15" s="71"/>
      <c r="M15" s="71"/>
      <c r="N15" s="71"/>
      <c r="O15" s="71"/>
      <c r="P15" s="71"/>
      <c r="Q15" s="71"/>
      <c r="R15" s="71"/>
    </row>
    <row r="16" spans="1:18" ht="15.6" x14ac:dyDescent="0.25">
      <c r="A16" s="44" t="str">
        <v>El Paso - 10500 Railroad Drive</v>
      </c>
      <c r="B16" s="41" t="str">
        <v>TX</v>
      </c>
      <c r="C16" s="29">
        <v>0</v>
      </c>
      <c r="D16" s="30">
        <v>0</v>
      </c>
      <c r="E16" s="30">
        <f t="shared" ref="E16:E25" si="7">IF(AND(ISNUMBER(C16),ISNUMBER(D16)), C16-D16, "")</f>
        <v>0</v>
      </c>
      <c r="F16" s="31" t="str">
        <f t="shared" si="6"/>
        <v/>
      </c>
      <c r="G16" s="32">
        <v>0</v>
      </c>
      <c r="H16" s="32">
        <f t="shared" si="4"/>
        <v>0</v>
      </c>
      <c r="I16" s="33" t="str">
        <f t="shared" si="5"/>
        <v/>
      </c>
      <c r="J16" s="64" t="s">
        <v>327</v>
      </c>
      <c r="K16" s="84" t="s">
        <v>328</v>
      </c>
      <c r="L16" s="71"/>
      <c r="M16" s="71"/>
      <c r="N16" s="71"/>
      <c r="O16" s="71"/>
      <c r="P16" s="71"/>
      <c r="Q16" s="71"/>
      <c r="R16" s="71"/>
    </row>
    <row r="17" spans="1:18" ht="15.6" x14ac:dyDescent="0.25">
      <c r="A17" s="42" t="str">
        <v>Friona - 900 Millard Ave</v>
      </c>
      <c r="B17" s="43" t="str">
        <v>TX</v>
      </c>
      <c r="C17" s="36">
        <v>0</v>
      </c>
      <c r="D17" s="37">
        <v>103994.7</v>
      </c>
      <c r="E17" s="37">
        <f t="shared" si="7"/>
        <v>-103994.7</v>
      </c>
      <c r="F17" s="38">
        <f t="shared" si="6"/>
        <v>-1</v>
      </c>
      <c r="G17" s="39">
        <v>132600.79999999999</v>
      </c>
      <c r="H17" s="39">
        <f t="shared" si="4"/>
        <v>-132600.79999999999</v>
      </c>
      <c r="I17" s="38">
        <f t="shared" si="5"/>
        <v>-1</v>
      </c>
      <c r="J17" s="59" t="s">
        <v>327</v>
      </c>
      <c r="K17" s="68" t="s">
        <v>329</v>
      </c>
      <c r="L17" s="71"/>
      <c r="M17" s="71"/>
      <c r="N17" s="71"/>
      <c r="O17" s="71"/>
      <c r="P17" s="71"/>
      <c r="Q17" s="71"/>
      <c r="R17" s="71"/>
    </row>
    <row r="18" spans="1:18" ht="57.6" x14ac:dyDescent="0.25">
      <c r="A18" s="44" t="str">
        <v>Augusta - 13 York Farm Road</v>
      </c>
      <c r="B18" s="41" t="str">
        <v>ME</v>
      </c>
      <c r="C18" s="29">
        <v>206157</v>
      </c>
      <c r="D18" s="30">
        <v>225101.1</v>
      </c>
      <c r="E18" s="30">
        <f t="shared" si="7"/>
        <v>-18944.100000000006</v>
      </c>
      <c r="F18" s="31">
        <f t="shared" si="6"/>
        <v>-8.4158184922241627E-2</v>
      </c>
      <c r="G18" s="32">
        <v>204912</v>
      </c>
      <c r="H18" s="32">
        <f t="shared" si="4"/>
        <v>1245</v>
      </c>
      <c r="I18" s="33">
        <f t="shared" si="5"/>
        <v>6.0757788709299605E-3</v>
      </c>
      <c r="J18" s="64" t="s">
        <v>330</v>
      </c>
      <c r="K18" s="84" t="s">
        <v>331</v>
      </c>
      <c r="L18" s="72" t="s">
        <v>332</v>
      </c>
      <c r="M18" s="72" t="s">
        <v>333</v>
      </c>
      <c r="N18" s="71"/>
      <c r="O18" s="71"/>
      <c r="P18" s="71"/>
      <c r="Q18" s="71"/>
      <c r="R18" s="71"/>
    </row>
    <row r="19" spans="1:18" ht="15.6" x14ac:dyDescent="0.25">
      <c r="A19" s="42" t="str">
        <v xml:space="preserve">Santa Ana - 1441 West </v>
      </c>
      <c r="B19" s="43" t="str">
        <v>CA</v>
      </c>
      <c r="C19" s="36">
        <v>76949.321747448994</v>
      </c>
      <c r="D19" s="37">
        <v>76157.78</v>
      </c>
      <c r="E19" s="37">
        <f t="shared" si="7"/>
        <v>791.54174744899501</v>
      </c>
      <c r="F19" s="88">
        <f t="shared" si="6"/>
        <v>1.0393445652551781E-2</v>
      </c>
      <c r="G19" s="39">
        <v>84602.32</v>
      </c>
      <c r="H19" s="39">
        <f t="shared" si="4"/>
        <v>-7652.9982525510131</v>
      </c>
      <c r="I19" s="38">
        <f t="shared" si="5"/>
        <v>-9.0458491593977716E-2</v>
      </c>
      <c r="J19" s="59"/>
      <c r="K19" s="58"/>
      <c r="L19" s="71"/>
      <c r="M19" s="71"/>
      <c r="N19" s="71"/>
      <c r="O19" s="71"/>
      <c r="P19" s="71"/>
      <c r="Q19" s="71"/>
      <c r="R19" s="71"/>
    </row>
    <row r="20" spans="1:18" ht="100.8" x14ac:dyDescent="0.25">
      <c r="A20" s="44" t="str">
        <v>Jessup -7950 Oceano Ave</v>
      </c>
      <c r="B20" s="41" t="str">
        <v>MD</v>
      </c>
      <c r="C20" s="29">
        <v>236247.75</v>
      </c>
      <c r="D20" s="30">
        <v>227341.4</v>
      </c>
      <c r="E20" s="30">
        <f t="shared" si="7"/>
        <v>8906.3500000000058</v>
      </c>
      <c r="F20" s="31">
        <f t="shared" si="6"/>
        <v>3.9176102548853863E-2</v>
      </c>
      <c r="G20" s="32">
        <v>276198.8</v>
      </c>
      <c r="H20" s="32">
        <f t="shared" si="4"/>
        <v>-39951.049999999988</v>
      </c>
      <c r="I20" s="33">
        <f t="shared" si="5"/>
        <v>-0.14464599411728071</v>
      </c>
      <c r="J20" s="64" t="s">
        <v>334</v>
      </c>
      <c r="K20" s="84" t="s">
        <v>335</v>
      </c>
      <c r="L20" s="72" t="s">
        <v>265</v>
      </c>
      <c r="M20" s="72" t="s">
        <v>336</v>
      </c>
      <c r="N20" s="72" t="s">
        <v>337</v>
      </c>
      <c r="O20" s="72" t="s">
        <v>338</v>
      </c>
      <c r="P20" s="72" t="s">
        <v>339</v>
      </c>
      <c r="Q20" s="72" t="s">
        <v>340</v>
      </c>
      <c r="R20" s="71"/>
    </row>
    <row r="21" spans="1:18" ht="15.6" x14ac:dyDescent="0.3">
      <c r="A21" s="42" t="str">
        <v xml:space="preserve">TX: Fort Worth - 5200 Gold Spike Dr </v>
      </c>
      <c r="B21" s="43" t="str">
        <v>TX</v>
      </c>
      <c r="C21" s="36">
        <v>0</v>
      </c>
      <c r="D21" s="37">
        <v>783358.2</v>
      </c>
      <c r="E21" s="37">
        <f t="shared" si="7"/>
        <v>-783358.2</v>
      </c>
      <c r="F21" s="38">
        <f t="shared" si="6"/>
        <v>-1</v>
      </c>
      <c r="G21" s="39">
        <v>837027.9</v>
      </c>
      <c r="H21" s="39">
        <f t="shared" si="4"/>
        <v>-837027.9</v>
      </c>
      <c r="I21" s="38">
        <f t="shared" si="5"/>
        <v>-1</v>
      </c>
      <c r="J21" s="89" t="s">
        <v>327</v>
      </c>
      <c r="K21" s="68" t="s">
        <v>268</v>
      </c>
      <c r="L21" s="71"/>
      <c r="M21" s="71"/>
      <c r="N21" s="71"/>
      <c r="O21" s="71"/>
      <c r="P21" s="71"/>
      <c r="Q21" s="71"/>
      <c r="R21" s="71"/>
    </row>
    <row r="22" spans="1:18" ht="15.6" x14ac:dyDescent="0.25">
      <c r="A22" s="44" t="str">
        <v>NY: Clifton Springs - Ontario 2 (21597)</v>
      </c>
      <c r="B22" s="41" t="str">
        <v>NY</v>
      </c>
      <c r="C22" s="29">
        <v>1220950</v>
      </c>
      <c r="D22" s="30">
        <v>1302380</v>
      </c>
      <c r="E22" s="30">
        <f t="shared" si="7"/>
        <v>-81430</v>
      </c>
      <c r="F22" s="31">
        <f t="shared" si="6"/>
        <v>-6.2523994533085575E-2</v>
      </c>
      <c r="G22" s="32">
        <v>1162995</v>
      </c>
      <c r="H22" s="32">
        <f t="shared" si="4"/>
        <v>57955</v>
      </c>
      <c r="I22" s="33">
        <f t="shared" si="5"/>
        <v>4.9832544421945062E-2</v>
      </c>
      <c r="J22" s="64" t="s">
        <v>327</v>
      </c>
      <c r="K22" s="84" t="s">
        <v>341</v>
      </c>
      <c r="L22" s="71"/>
      <c r="M22" s="71"/>
      <c r="N22" s="71"/>
      <c r="O22" s="71"/>
      <c r="P22" s="71"/>
      <c r="Q22" s="71"/>
      <c r="R22" s="71"/>
    </row>
    <row r="23" spans="1:18" ht="15.6" x14ac:dyDescent="0.25">
      <c r="A23" s="42" t="str">
        <v>CA: Oxnard - 2600 Sakioka - System A</v>
      </c>
      <c r="B23" s="43" t="str">
        <v>CA</v>
      </c>
      <c r="C23" s="36">
        <v>316571.84937499999</v>
      </c>
      <c r="D23" s="37">
        <v>381593.5</v>
      </c>
      <c r="E23" s="37">
        <f t="shared" si="7"/>
        <v>-65021.650625000009</v>
      </c>
      <c r="F23" s="38">
        <f t="shared" si="6"/>
        <v>-0.17039506863979603</v>
      </c>
      <c r="G23" s="39">
        <v>362300.5</v>
      </c>
      <c r="H23" s="39">
        <f t="shared" si="4"/>
        <v>-45728.650625000009</v>
      </c>
      <c r="I23" s="38">
        <f t="shared" si="5"/>
        <v>-0.12621746485307089</v>
      </c>
      <c r="J23" s="59" t="s">
        <v>342</v>
      </c>
      <c r="K23" s="58"/>
      <c r="L23" s="71"/>
      <c r="M23" s="71"/>
      <c r="N23" s="71"/>
      <c r="O23" s="71"/>
      <c r="P23" s="71"/>
      <c r="Q23" s="71"/>
      <c r="R23" s="71"/>
    </row>
    <row r="24" spans="1:18" ht="15.6" x14ac:dyDescent="0.25">
      <c r="A24" s="44" t="str">
        <v>CA: Oxnard - 2600 Sakioka - System B</v>
      </c>
      <c r="B24" s="41" t="str">
        <v>CA</v>
      </c>
      <c r="C24" s="29">
        <v>4710.0503124999996</v>
      </c>
      <c r="D24" s="30">
        <v>349355.8</v>
      </c>
      <c r="E24" s="30">
        <f t="shared" si="7"/>
        <v>-344645.74968750001</v>
      </c>
      <c r="F24" s="31">
        <f t="shared" si="6"/>
        <v>-0.98651789862226424</v>
      </c>
      <c r="G24" s="32">
        <v>368582</v>
      </c>
      <c r="H24" s="32">
        <f t="shared" si="4"/>
        <v>-363871.94968750002</v>
      </c>
      <c r="I24" s="33">
        <f t="shared" si="5"/>
        <v>-0.98722116025063622</v>
      </c>
      <c r="J24" s="64" t="s">
        <v>343</v>
      </c>
      <c r="K24" s="84" t="s">
        <v>344</v>
      </c>
      <c r="L24" s="71"/>
      <c r="M24" s="71"/>
      <c r="N24" s="71"/>
      <c r="O24" s="71"/>
      <c r="P24" s="71"/>
      <c r="Q24" s="71"/>
      <c r="R24" s="71"/>
    </row>
    <row r="25" spans="1:18" ht="15.6" x14ac:dyDescent="0.25">
      <c r="A25" s="42" t="str">
        <v>NY: Fonda - Montgomery 1 (21601)</v>
      </c>
      <c r="B25" s="43" t="str">
        <v>NY</v>
      </c>
      <c r="C25" s="36">
        <v>912882.66700000002</v>
      </c>
      <c r="D25" s="37">
        <v>963851.22100000002</v>
      </c>
      <c r="E25" s="37">
        <f t="shared" si="7"/>
        <v>-50968.554000000004</v>
      </c>
      <c r="F25" s="88">
        <f t="shared" si="6"/>
        <v>-5.2880105237735654E-2</v>
      </c>
      <c r="G25" s="39">
        <v>1205319.94</v>
      </c>
      <c r="H25" s="39">
        <f t="shared" si="4"/>
        <v>-292437.27299999993</v>
      </c>
      <c r="I25" s="38">
        <f t="shared" si="5"/>
        <v>-0.24262211492161984</v>
      </c>
      <c r="J25" s="59" t="s">
        <v>345</v>
      </c>
      <c r="K25" s="68" t="s">
        <v>346</v>
      </c>
      <c r="L25" s="71"/>
      <c r="M25" s="71"/>
      <c r="N25" s="71"/>
      <c r="O25" s="71"/>
      <c r="P25" s="71"/>
      <c r="Q25" s="71"/>
      <c r="R25" s="71"/>
    </row>
    <row r="26" spans="1:18" ht="14.4" x14ac:dyDescent="0.3">
      <c r="A26" s="9" t="str">
        <v>NY: Evans - SL Evans Array 1 (21106) - (PW)</v>
      </c>
      <c r="B26" s="14" t="str">
        <v>NY</v>
      </c>
      <c r="C26" s="9"/>
      <c r="D26" s="9"/>
      <c r="E26" s="9"/>
      <c r="F26" s="10"/>
      <c r="G26" s="9"/>
      <c r="H26" s="9"/>
      <c r="I26" s="10"/>
      <c r="J26" s="9"/>
      <c r="K26" s="9"/>
    </row>
    <row r="27" spans="1:18" ht="14.4" x14ac:dyDescent="0.3">
      <c r="A27" s="9" t="str">
        <v>NY: Evans - SL Evans Array 2 (21107) - (PW)</v>
      </c>
      <c r="B27" s="14" t="str">
        <v>NY</v>
      </c>
      <c r="C27" s="9"/>
      <c r="D27" s="9"/>
      <c r="E27" s="9"/>
      <c r="F27" s="10"/>
      <c r="G27" s="9"/>
      <c r="H27" s="9"/>
      <c r="I27" s="10"/>
      <c r="J27" s="9"/>
      <c r="K27" s="9"/>
    </row>
    <row r="28" spans="1:18" ht="14.4" x14ac:dyDescent="0.3">
      <c r="A28" s="9"/>
      <c r="B28" s="14"/>
      <c r="C28" s="9"/>
      <c r="D28" s="9"/>
      <c r="E28" s="9"/>
      <c r="F28" s="10"/>
      <c r="G28" s="9"/>
      <c r="H28" s="9"/>
      <c r="I28" s="10"/>
      <c r="J28" s="9"/>
      <c r="K28" s="9"/>
    </row>
    <row r="29" spans="1:18" ht="14.4" x14ac:dyDescent="0.3">
      <c r="A29" s="9"/>
      <c r="B29" s="14"/>
      <c r="C29" s="9"/>
      <c r="D29" s="9"/>
      <c r="E29" s="9"/>
      <c r="F29" s="10"/>
      <c r="G29" s="9"/>
      <c r="H29" s="9"/>
      <c r="I29" s="10"/>
      <c r="J29" s="9"/>
      <c r="K29" s="9"/>
    </row>
    <row r="30" spans="1:18" ht="14.4" x14ac:dyDescent="0.3">
      <c r="A30" s="9"/>
      <c r="B30" s="14"/>
      <c r="C30" s="9"/>
      <c r="D30" s="9"/>
      <c r="E30" s="9"/>
      <c r="F30" s="10"/>
      <c r="G30" s="9"/>
      <c r="H30" s="9"/>
      <c r="I30" s="10"/>
      <c r="J30" s="9"/>
      <c r="K30" s="9"/>
    </row>
    <row r="31" spans="1:18" ht="14.4" x14ac:dyDescent="0.3">
      <c r="A31" s="9"/>
      <c r="B31" s="14"/>
      <c r="C31" s="9"/>
      <c r="D31" s="9"/>
      <c r="E31" s="9"/>
      <c r="F31" s="10"/>
      <c r="G31" s="9"/>
      <c r="H31" s="9"/>
      <c r="I31" s="10"/>
      <c r="J31" s="94"/>
      <c r="K31" s="9"/>
    </row>
    <row r="32" spans="1:18"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cfRule type="cellIs" dxfId="13" priority="5" stopIfTrue="1" operator="lessThanOrEqual">
      <formula>-0.1</formula>
    </cfRule>
    <cfRule type="expression" dxfId="12" priority="6">
      <formula>AND(ISNUMBER(F2), F2&gt;=0.1)</formula>
    </cfRule>
  </conditionalFormatting>
  <conditionalFormatting sqref="F4:F92 I4:I92">
    <cfRule type="cellIs" dxfId="11" priority="1" stopIfTrue="1" operator="lessThanOrEqual">
      <formula>-0.1</formula>
    </cfRule>
    <cfRule type="expression" dxfId="10" priority="2">
      <formula>AND(ISNUMBER(F4), F4&gt;=0.1)</formula>
    </cfRule>
  </conditionalFormatting>
  <hyperlinks>
    <hyperlink ref="K4" r:id="rId1" display="https://us3.assetplanner.com/service_request?ID=102597" xr:uid="{FF1A3725-5C32-4E4A-8D48-8DA9AE6C2A9E}"/>
    <hyperlink ref="K5" r:id="rId2" display="https://us3.assetplanner.com/service_request?ID=106140" xr:uid="{2726DF95-CA1F-4778-A57C-8D9B91990B34}"/>
    <hyperlink ref="L5" r:id="rId3" display="https://us3.assetplanner.com/service_request?ID=103751" xr:uid="{F696DDFC-8753-4EFF-BF37-AB47D1F70359}"/>
    <hyperlink ref="M5" r:id="rId4" display="https://us3.assetplanner.com/service_request?ID=105980" xr:uid="{7421AE20-072F-4F76-9627-9869F89EFD70}"/>
    <hyperlink ref="N5" r:id="rId5" display="https://us3.assetplanner.com/service_request?ID=103010" xr:uid="{60E47A81-5FCD-41CE-90FF-A3112FA0B9B0}"/>
    <hyperlink ref="K6" r:id="rId6" display="https://us3.assetplanner.com/service_request?ID=106259" xr:uid="{785F9510-72E9-47B1-8C72-441DFF169834}"/>
    <hyperlink ref="K10" r:id="rId7" display="https://us3.assetplanner.com/service_request?ID=100950" xr:uid="{DCDF78E8-A847-4AEB-8462-3432D22C88A4}"/>
    <hyperlink ref="K12" r:id="rId8" display="https://us3.assetplanner.com/service_request?ID=107065" xr:uid="{DE867D60-52C9-486A-A3B6-E150AD32ACDC}"/>
    <hyperlink ref="K13" r:id="rId9" display="https://us3.assetplanner.com/service_request?ID=106396" xr:uid="{C93B0D0B-71B9-46D1-8FB5-2B22F7656111}"/>
    <hyperlink ref="L13" r:id="rId10" display="https://us3.assetplanner.com/service_request?ID=100507" xr:uid="{7C783AB2-EB3A-4FC1-AB36-AEF19F7649F6}"/>
    <hyperlink ref="M13" r:id="rId11" display="https://us3.assetplanner.com/service_request?ID=103842" xr:uid="{DD4047A0-C8A2-45F9-9092-EB05D1AA4D23}"/>
    <hyperlink ref="K14" r:id="rId12" display="https://us3.assetplanner.com/service_request?ID=103584" xr:uid="{92141B5B-72CC-4F93-BB78-F25BD55FF05A}"/>
    <hyperlink ref="L14" r:id="rId13" display="https://us3.assetplanner.com/service_request?ID=106397" xr:uid="{947227EB-8946-4A69-AEE1-BF149F4FFECF}"/>
    <hyperlink ref="M14" r:id="rId14" display="https://us3.assetplanner.com/service_request?ID=105521" xr:uid="{99FA1F3D-95AA-4648-85A9-35A21A111198}"/>
    <hyperlink ref="K15" r:id="rId15" display="https://us3.assetplanner.com/service_request?ID=099959" xr:uid="{7E9929CE-3C0A-4CF7-82FF-7D2925EEB4EC}"/>
    <hyperlink ref="K16" r:id="rId16" display="https://us3.assetplanner.com/service_request?ID=104969" xr:uid="{07D49B64-772D-4639-97EE-351D6A580BC7}"/>
    <hyperlink ref="K17" r:id="rId17" display="https://us3.assetplanner.com/service_request?ID=104968" xr:uid="{D534E53F-279A-4346-90BC-23E453C27B87}"/>
    <hyperlink ref="K18" r:id="rId18" display="https://us3.assetplanner.com/service_request?ID=107030" xr:uid="{F5A97CF4-FD8A-4336-B4CA-EFF1A6C807EE}"/>
    <hyperlink ref="L18" r:id="rId19" display="https://us3.assetplanner.com/service_request?ID=106401" xr:uid="{A3333F41-1599-4AB5-8BDA-E59E55A90451}"/>
    <hyperlink ref="M18" r:id="rId20" display="https://us3.assetplanner.com/service_request?ID=106315" xr:uid="{56B31DF5-EBCB-4C08-9C92-B1C39EDFCA2D}"/>
    <hyperlink ref="K20" r:id="rId21" display="https://us3.assetplanner.com/service_request?ID=104743" xr:uid="{C683C477-2F96-48D9-9D35-C0D65E89D212}"/>
    <hyperlink ref="L20" r:id="rId22" display="https://us3.assetplanner.com/service_request?ID=101758" xr:uid="{8B3E23D7-0FCC-46F9-B7E1-0497BD7F0B0F}"/>
    <hyperlink ref="M20" r:id="rId23" display="https://us3.assetplanner.com/service_request?ID=106796" xr:uid="{2F964C41-FA5F-4AEA-84FD-D502B673D145}"/>
    <hyperlink ref="N20" r:id="rId24" display="https://us3.assetplanner.com/service_request?ID=105582" xr:uid="{88C1EA40-4FBE-4070-8DCB-1ECDBCD0C70D}"/>
    <hyperlink ref="O20" r:id="rId25" display="https://us3.assetplanner.com/service_request?ID=106973" xr:uid="{073E3D63-8EEB-4FBD-B9C5-21AB5E52B3F5}"/>
    <hyperlink ref="P20" r:id="rId26" display="https://us3.assetplanner.com/service_request?ID=107165" xr:uid="{BD0994B9-E8D5-45CB-B8A1-46E803F158D3}"/>
    <hyperlink ref="Q20" r:id="rId27" display="https://us3.assetplanner.com/service_request?ID=098747" xr:uid="{F646C296-E1E5-4E1F-BA2B-3A520248272C}"/>
    <hyperlink ref="K21" r:id="rId28" display="https://us3.assetplanner.com/service_request?ID=101493" xr:uid="{399893C6-E655-415F-84F5-A4A4F44AFCB0}"/>
    <hyperlink ref="K22" r:id="rId29" display="https://us3.assetplanner.com/service_request?ID=106827" xr:uid="{AE3316CA-49BF-4246-8B9E-6FECED3750A3}"/>
    <hyperlink ref="K24" r:id="rId30" display="https://us3.assetplanner.com/service_request?ID=105503" xr:uid="{C387F4B3-031F-43D3-980C-7491C24E7BBD}"/>
    <hyperlink ref="K25" r:id="rId31" display="https://us3.assetplanner.com/service_request?ID=106073" xr:uid="{741283DA-4806-4134-936B-3099BED2F57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Q334"/>
  <sheetViews>
    <sheetView tabSelected="1" zoomScale="70" zoomScaleNormal="70" workbookViewId="0">
      <pane xSplit="2" ySplit="3" topLeftCell="C15" activePane="bottomRight" state="frozen"/>
      <selection pane="topRight" activeCell="E11" sqref="E11"/>
      <selection pane="bottomLeft" activeCell="E11" sqref="E11"/>
      <selection pane="bottomRight" activeCell="L1" sqref="L1:Q1048576"/>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 min="12" max="17" width="8.88671875" style="71"/>
  </cols>
  <sheetData>
    <row r="1" spans="1:14" ht="19.5" customHeight="1" x14ac:dyDescent="0.25">
      <c r="A1" s="96" t="str" cm="1">
        <f t="array" ref="A1">portfolio</f>
        <v>Catalyze</v>
      </c>
      <c r="B1" s="96"/>
      <c r="C1" s="96"/>
      <c r="D1" s="97" t="s">
        <v>347</v>
      </c>
      <c r="E1" s="97"/>
      <c r="F1" s="97"/>
      <c r="G1" s="95" t="s">
        <v>348</v>
      </c>
      <c r="H1" s="95"/>
      <c r="I1" s="95"/>
      <c r="J1" s="4"/>
      <c r="K1" s="4"/>
    </row>
    <row r="2" spans="1:14" ht="19.5" customHeight="1" x14ac:dyDescent="0.25">
      <c r="A2" s="98" t="s">
        <v>2</v>
      </c>
      <c r="B2" s="98"/>
      <c r="C2" s="5">
        <f>SUM(C4:C92)</f>
        <v>6428215.2893861188</v>
      </c>
      <c r="D2" s="5">
        <f>SUM(D4:D92)</f>
        <v>8072932.944099999</v>
      </c>
      <c r="E2" s="5">
        <f>C2-D2</f>
        <v>-1644717.6547138803</v>
      </c>
      <c r="F2" s="6">
        <f>IFERROR(E2/D2, 0)</f>
        <v>-0.20373235676581475</v>
      </c>
      <c r="G2" s="5">
        <f>SUM(G4:G92)</f>
        <v>8787619.25</v>
      </c>
      <c r="H2" s="7">
        <f>C2-G2</f>
        <v>-2359403.9606138812</v>
      </c>
      <c r="I2" s="6">
        <f>IFERROR(H2/G2, 0)</f>
        <v>-0.26849182850222841</v>
      </c>
      <c r="J2" s="12" t="str">
        <f ca="1">IF(AND(TODAY()&gt;DATE(2024, 9, 1), COUNTA(Sites[Site])&lt;&gt;(COUNT(C:C)-1)), "Some sites are missing actual data; if new sites were added, make sure they are aligned correctly (including prior months!)", "")</f>
        <v/>
      </c>
      <c r="K2" s="4"/>
    </row>
    <row r="3" spans="1:14" ht="14.25" customHeight="1" x14ac:dyDescent="0.25">
      <c r="A3" s="13" t="s">
        <v>3</v>
      </c>
      <c r="B3" s="13" t="s">
        <v>4</v>
      </c>
      <c r="C3" s="20" t="s">
        <v>5</v>
      </c>
      <c r="D3" s="21" t="s">
        <v>6</v>
      </c>
      <c r="E3" s="21" t="s">
        <v>7</v>
      </c>
      <c r="F3" s="22" t="s">
        <v>8</v>
      </c>
      <c r="G3" s="23" t="s">
        <v>9</v>
      </c>
      <c r="H3" s="24" t="s">
        <v>7</v>
      </c>
      <c r="I3" s="25" t="s">
        <v>8</v>
      </c>
      <c r="J3" s="11" t="s">
        <v>20</v>
      </c>
      <c r="K3" s="11" t="s">
        <v>21</v>
      </c>
    </row>
    <row r="4" spans="1:14" ht="15.6" x14ac:dyDescent="0.3">
      <c r="A4" s="40" t="str" cm="1">
        <f t="array" ref="A4:A27">Sites[Site]</f>
        <v>Fresno - 3150 Shaw Ave</v>
      </c>
      <c r="B4" s="41" t="str" cm="1">
        <f t="array" ref="B4:B27">Sites[State]</f>
        <v>CA</v>
      </c>
      <c r="C4" s="29">
        <v>96439</v>
      </c>
      <c r="D4" s="30">
        <v>85218.48</v>
      </c>
      <c r="E4" s="30">
        <f>IF(AND(ISNUMBER(C4),ISNUMBER(D4)), C4-D4, "")</f>
        <v>11220.520000000004</v>
      </c>
      <c r="F4" s="31">
        <f>IFERROR(E4/D4, "")</f>
        <v>0.13166768522508268</v>
      </c>
      <c r="G4" s="32">
        <v>97593</v>
      </c>
      <c r="H4" s="32">
        <f>IF(AND(ISNUMBER(C4),ISNUMBER(G4)), C4-G4, "")</f>
        <v>-1154</v>
      </c>
      <c r="I4" s="33">
        <f>IFERROR(H4/G4, "")</f>
        <v>-1.1824618568954741E-2</v>
      </c>
      <c r="K4" s="50"/>
    </row>
    <row r="5" spans="1:14" ht="57.6" x14ac:dyDescent="0.25">
      <c r="A5" s="42" t="str">
        <v>Adelanto - 1 Sheep Creek Road</v>
      </c>
      <c r="B5" s="43" t="str">
        <v>CA</v>
      </c>
      <c r="C5" s="62">
        <v>715573</v>
      </c>
      <c r="D5" s="37">
        <v>568541.92509999999</v>
      </c>
      <c r="E5" s="37">
        <f t="shared" ref="E5:E25" si="0">IF(AND(ISNUMBER(C5),ISNUMBER(D5)), C5-D5, "")</f>
        <v>147031.07490000001</v>
      </c>
      <c r="F5" s="38">
        <f>IFERROR(E5/D5, "")</f>
        <v>0.25861078736478216</v>
      </c>
      <c r="G5" s="39" t="s">
        <v>307</v>
      </c>
      <c r="H5" s="55" t="str">
        <f>IF(AND(ISNUMBER(C5),ISNUMBER(G5)), C5-G5, "")</f>
        <v/>
      </c>
      <c r="I5" s="38" t="str">
        <f t="shared" ref="I5:I25" si="1">IFERROR(H5/G5, "")</f>
        <v/>
      </c>
      <c r="J5" s="51" t="s">
        <v>349</v>
      </c>
      <c r="K5" s="68" t="s">
        <v>350</v>
      </c>
      <c r="L5" s="72" t="s">
        <v>437</v>
      </c>
      <c r="M5" s="72" t="s">
        <v>438</v>
      </c>
      <c r="N5" s="72" t="s">
        <v>439</v>
      </c>
    </row>
    <row r="6" spans="1:14" ht="28.8" x14ac:dyDescent="0.25">
      <c r="A6" s="44" t="str">
        <v>Blackstone - 83 Federal Street</v>
      </c>
      <c r="B6" s="41" t="str">
        <v>MA</v>
      </c>
      <c r="C6" s="29">
        <v>574861.900000002</v>
      </c>
      <c r="D6" s="30">
        <v>689255.6</v>
      </c>
      <c r="E6" s="30">
        <f t="shared" si="0"/>
        <v>-114393.69999999797</v>
      </c>
      <c r="F6" s="31">
        <f t="shared" ref="F6:F25" si="2">IFERROR(E6/D6, "")</f>
        <v>-0.16596702297376761</v>
      </c>
      <c r="G6" s="32">
        <v>738040.2</v>
      </c>
      <c r="H6" s="32">
        <f t="shared" ref="H6:H25" si="3">IF(AND(ISNUMBER(C6),ISNUMBER(G6)), C6-G6, "")</f>
        <v>-163178.29999999795</v>
      </c>
      <c r="I6" s="33">
        <f t="shared" si="1"/>
        <v>-0.22109676410580067</v>
      </c>
      <c r="J6" s="50" t="s">
        <v>351</v>
      </c>
      <c r="K6" s="67" t="s">
        <v>352</v>
      </c>
      <c r="L6" s="72" t="s">
        <v>440</v>
      </c>
    </row>
    <row r="7" spans="1:14" ht="15.6" x14ac:dyDescent="0.25">
      <c r="A7" s="42" t="str">
        <v>Charlton - 299 Worcester Road</v>
      </c>
      <c r="B7" s="43" t="str">
        <v>MA</v>
      </c>
      <c r="C7" s="36">
        <v>58576</v>
      </c>
      <c r="D7" s="37">
        <v>62646.47</v>
      </c>
      <c r="E7" s="37">
        <f t="shared" si="0"/>
        <v>-4070.4700000000012</v>
      </c>
      <c r="F7" s="38">
        <f t="shared" si="2"/>
        <v>-6.4975249203985494E-2</v>
      </c>
      <c r="G7" s="39">
        <v>59110.77</v>
      </c>
      <c r="H7" s="39">
        <f t="shared" si="3"/>
        <v>-534.7699999999968</v>
      </c>
      <c r="I7" s="38">
        <f t="shared" si="1"/>
        <v>-9.0469131090661955E-3</v>
      </c>
      <c r="J7" s="51"/>
      <c r="K7" s="52"/>
    </row>
    <row r="8" spans="1:14" ht="15.6" x14ac:dyDescent="0.25">
      <c r="A8" s="44" t="str">
        <v>Wareham - 8 Thatcher Drive</v>
      </c>
      <c r="B8" s="41" t="str">
        <v>MA</v>
      </c>
      <c r="C8" s="29">
        <v>15654.625</v>
      </c>
      <c r="D8" s="30">
        <v>16171.9</v>
      </c>
      <c r="E8" s="30">
        <f t="shared" si="0"/>
        <v>-517.27499999999964</v>
      </c>
      <c r="F8" s="31">
        <f t="shared" si="2"/>
        <v>-3.1986037509507209E-2</v>
      </c>
      <c r="G8" s="32">
        <v>16562.5</v>
      </c>
      <c r="H8" s="32">
        <f t="shared" si="3"/>
        <v>-907.875</v>
      </c>
      <c r="I8" s="33">
        <f t="shared" si="1"/>
        <v>-5.4815094339622644E-2</v>
      </c>
      <c r="J8" s="50"/>
      <c r="K8" s="50"/>
    </row>
    <row r="9" spans="1:14" ht="15.6" x14ac:dyDescent="0.25">
      <c r="A9" s="42" t="str">
        <v>West Yarmouth - 42 Mid Tech</v>
      </c>
      <c r="B9" s="43" t="str">
        <v>MA</v>
      </c>
      <c r="C9" s="36">
        <v>13028.3014173668</v>
      </c>
      <c r="D9" s="37">
        <v>14496.97</v>
      </c>
      <c r="E9" s="37">
        <f t="shared" si="0"/>
        <v>-1468.6685826331995</v>
      </c>
      <c r="F9" s="38">
        <f t="shared" si="2"/>
        <v>-0.10130865847368102</v>
      </c>
      <c r="G9" s="39">
        <v>15962.04</v>
      </c>
      <c r="H9" s="39">
        <f t="shared" si="3"/>
        <v>-2933.7385826332011</v>
      </c>
      <c r="I9" s="38">
        <f t="shared" si="1"/>
        <v>-0.18379471437442838</v>
      </c>
      <c r="J9" s="51" t="s">
        <v>353</v>
      </c>
      <c r="K9" s="99" t="s">
        <v>354</v>
      </c>
    </row>
    <row r="10" spans="1:14" ht="15.6" x14ac:dyDescent="0.25">
      <c r="A10" s="44" t="str">
        <v>Harrison - 130 Union Street</v>
      </c>
      <c r="B10" s="41" t="str">
        <v>NY</v>
      </c>
      <c r="C10" s="29">
        <v>16828</v>
      </c>
      <c r="D10" s="30">
        <v>24277.65</v>
      </c>
      <c r="E10" s="30">
        <f t="shared" si="0"/>
        <v>-7449.6500000000015</v>
      </c>
      <c r="F10" s="31">
        <f t="shared" si="2"/>
        <v>-0.30685218709389095</v>
      </c>
      <c r="G10" s="32">
        <v>23478.07</v>
      </c>
      <c r="H10" s="32">
        <f t="shared" si="3"/>
        <v>-6650.07</v>
      </c>
      <c r="I10" s="33">
        <f t="shared" si="1"/>
        <v>-0.28324602490749878</v>
      </c>
      <c r="J10" s="50" t="s">
        <v>314</v>
      </c>
      <c r="K10" s="67" t="s">
        <v>315</v>
      </c>
    </row>
    <row r="11" spans="1:14" ht="15.6" x14ac:dyDescent="0.25">
      <c r="A11" s="42" t="str">
        <v>Staten Island - Ellis Storage</v>
      </c>
      <c r="B11" s="43" t="str">
        <v>NY</v>
      </c>
      <c r="C11" s="36">
        <v>53000.75</v>
      </c>
      <c r="D11" s="37">
        <v>47896.87</v>
      </c>
      <c r="E11" s="37">
        <f t="shared" si="0"/>
        <v>5103.8799999999974</v>
      </c>
      <c r="F11" s="38">
        <f t="shared" si="2"/>
        <v>0.10655978146379914</v>
      </c>
      <c r="G11" s="39">
        <v>54725.2</v>
      </c>
      <c r="H11" s="39">
        <f t="shared" si="3"/>
        <v>-1724.4499999999971</v>
      </c>
      <c r="I11" s="38">
        <f>IFERROR(H11/G11, "")</f>
        <v>-3.1511077163719772E-2</v>
      </c>
      <c r="J11" s="51"/>
      <c r="K11" s="52"/>
    </row>
    <row r="12" spans="1:14" ht="28.8" x14ac:dyDescent="0.25">
      <c r="A12" s="44" t="str">
        <v>Amherst - 595 Schoelles Road</v>
      </c>
      <c r="B12" s="41" t="str">
        <v>NY</v>
      </c>
      <c r="C12" s="29">
        <v>758306</v>
      </c>
      <c r="D12" s="30">
        <v>820510.8</v>
      </c>
      <c r="E12" s="30">
        <f t="shared" si="0"/>
        <v>-62204.800000000047</v>
      </c>
      <c r="F12" s="31">
        <f t="shared" si="2"/>
        <v>-7.5812286687756025E-2</v>
      </c>
      <c r="G12" s="32">
        <v>864307.1</v>
      </c>
      <c r="H12" s="32">
        <f t="shared" si="3"/>
        <v>-106001.09999999998</v>
      </c>
      <c r="I12" s="33">
        <f t="shared" si="1"/>
        <v>-0.12264286617569146</v>
      </c>
      <c r="J12" s="50" t="s">
        <v>355</v>
      </c>
      <c r="K12" s="67" t="s">
        <v>356</v>
      </c>
      <c r="L12" s="72" t="s">
        <v>441</v>
      </c>
    </row>
    <row r="13" spans="1:14" ht="28.8" x14ac:dyDescent="0.25">
      <c r="A13" s="42" t="str">
        <v>Lancaster 1 - Gunnville Road</v>
      </c>
      <c r="B13" s="43" t="str">
        <v>NY</v>
      </c>
      <c r="C13" s="36">
        <v>649222</v>
      </c>
      <c r="D13" s="37">
        <v>818100.8</v>
      </c>
      <c r="E13" s="37">
        <f t="shared" si="0"/>
        <v>-168878.80000000005</v>
      </c>
      <c r="F13" s="38">
        <f t="shared" si="2"/>
        <v>-0.20642786316796174</v>
      </c>
      <c r="G13" s="39">
        <v>738287.8</v>
      </c>
      <c r="H13" s="39">
        <f t="shared" si="3"/>
        <v>-89065.800000000047</v>
      </c>
      <c r="I13" s="38">
        <f t="shared" si="1"/>
        <v>-0.12063832017812029</v>
      </c>
      <c r="J13" s="51" t="s">
        <v>357</v>
      </c>
      <c r="K13" s="99" t="s">
        <v>358</v>
      </c>
      <c r="L13" s="72" t="s">
        <v>320</v>
      </c>
    </row>
    <row r="14" spans="1:14" ht="28.8" x14ac:dyDescent="0.25">
      <c r="A14" s="44" t="str">
        <v>Lancaster 2 - Shisler Road</v>
      </c>
      <c r="B14" s="41" t="str">
        <v>NY</v>
      </c>
      <c r="C14" s="29">
        <v>118784</v>
      </c>
      <c r="D14" s="30">
        <v>198319.6</v>
      </c>
      <c r="E14" s="30">
        <f t="shared" si="0"/>
        <v>-79535.600000000006</v>
      </c>
      <c r="F14" s="31">
        <f t="shared" si="2"/>
        <v>-0.40104760195159733</v>
      </c>
      <c r="G14" s="32">
        <v>808832.2</v>
      </c>
      <c r="H14" s="32">
        <f t="shared" si="3"/>
        <v>-690048.2</v>
      </c>
      <c r="I14" s="33">
        <f t="shared" si="1"/>
        <v>-0.85314135614284392</v>
      </c>
      <c r="J14" s="50" t="s">
        <v>359</v>
      </c>
      <c r="K14" s="67" t="s">
        <v>360</v>
      </c>
      <c r="L14" s="72" t="s">
        <v>442</v>
      </c>
    </row>
    <row r="15" spans="1:14" ht="15.6" x14ac:dyDescent="0.25">
      <c r="A15" s="42" t="str">
        <v>Fullerton - 200 W Orangethorpe</v>
      </c>
      <c r="B15" s="43" t="str">
        <v>CA</v>
      </c>
      <c r="C15" s="36">
        <v>90169.5</v>
      </c>
      <c r="D15" s="37">
        <v>102424.4</v>
      </c>
      <c r="E15" s="37">
        <f t="shared" si="0"/>
        <v>-12254.899999999994</v>
      </c>
      <c r="F15" s="38">
        <f t="shared" si="2"/>
        <v>-0.11964824787843517</v>
      </c>
      <c r="G15" s="39">
        <v>121247</v>
      </c>
      <c r="H15" s="39">
        <f t="shared" si="3"/>
        <v>-31077.5</v>
      </c>
      <c r="I15" s="38">
        <f t="shared" si="1"/>
        <v>-0.25631562018029314</v>
      </c>
      <c r="J15" s="59" t="s">
        <v>325</v>
      </c>
      <c r="K15" s="99" t="s">
        <v>326</v>
      </c>
    </row>
    <row r="16" spans="1:14" ht="15.6" x14ac:dyDescent="0.25">
      <c r="A16" s="44" t="str">
        <v>El Paso - 10500 Railroad Drive</v>
      </c>
      <c r="B16" s="41" t="str">
        <v>TX</v>
      </c>
      <c r="C16" s="29">
        <v>0</v>
      </c>
      <c r="D16" s="30">
        <v>0</v>
      </c>
      <c r="E16" s="30">
        <f t="shared" si="0"/>
        <v>0</v>
      </c>
      <c r="F16" s="31" t="str">
        <f t="shared" si="2"/>
        <v/>
      </c>
      <c r="G16" s="32">
        <v>0</v>
      </c>
      <c r="H16" s="32">
        <f t="shared" si="3"/>
        <v>0</v>
      </c>
      <c r="I16" s="33" t="str">
        <f t="shared" si="1"/>
        <v/>
      </c>
      <c r="J16" s="64" t="s">
        <v>327</v>
      </c>
      <c r="K16" s="67" t="s">
        <v>328</v>
      </c>
    </row>
    <row r="17" spans="1:16" ht="15.6" x14ac:dyDescent="0.25">
      <c r="A17" s="42" t="str">
        <v>Friona - 900 Millard Ave</v>
      </c>
      <c r="B17" s="43" t="str">
        <v>TX</v>
      </c>
      <c r="C17" s="36">
        <v>0</v>
      </c>
      <c r="D17" s="37">
        <v>92827.88</v>
      </c>
      <c r="E17" s="37">
        <f t="shared" si="0"/>
        <v>-92827.88</v>
      </c>
      <c r="F17" s="38">
        <f t="shared" si="2"/>
        <v>-1</v>
      </c>
      <c r="G17" s="39">
        <v>113165.2</v>
      </c>
      <c r="H17" s="39">
        <f t="shared" si="3"/>
        <v>-113165.2</v>
      </c>
      <c r="I17" s="38">
        <f t="shared" si="1"/>
        <v>-1</v>
      </c>
      <c r="J17" s="59" t="s">
        <v>327</v>
      </c>
      <c r="K17" s="99" t="s">
        <v>329</v>
      </c>
    </row>
    <row r="18" spans="1:16" ht="15.6" x14ac:dyDescent="0.25">
      <c r="A18" s="44" t="str">
        <v>Augusta - 13 York Farm Road</v>
      </c>
      <c r="B18" s="41" t="str">
        <v>ME</v>
      </c>
      <c r="C18" s="29">
        <v>154433.75</v>
      </c>
      <c r="D18" s="30">
        <v>192211.6</v>
      </c>
      <c r="E18" s="30">
        <f t="shared" si="0"/>
        <v>-37777.850000000006</v>
      </c>
      <c r="F18" s="31">
        <f t="shared" si="2"/>
        <v>-0.19654302862054113</v>
      </c>
      <c r="G18" s="32">
        <v>179053.9</v>
      </c>
      <c r="H18" s="32">
        <f t="shared" si="3"/>
        <v>-24620.149999999994</v>
      </c>
      <c r="I18" s="33">
        <f t="shared" si="1"/>
        <v>-0.13750133339737361</v>
      </c>
      <c r="J18" s="50" t="s">
        <v>361</v>
      </c>
      <c r="K18" s="67" t="s">
        <v>362</v>
      </c>
    </row>
    <row r="19" spans="1:16" ht="15.6" x14ac:dyDescent="0.25">
      <c r="A19" s="42" t="str">
        <v xml:space="preserve">Santa Ana - 1441 West </v>
      </c>
      <c r="B19" s="43" t="str">
        <v>CA</v>
      </c>
      <c r="C19" s="36">
        <v>64159.875</v>
      </c>
      <c r="D19" s="37">
        <v>61414.91</v>
      </c>
      <c r="E19" s="37">
        <f t="shared" si="0"/>
        <v>2744.9649999999965</v>
      </c>
      <c r="F19" s="38">
        <f t="shared" si="2"/>
        <v>4.4695416796995978E-2</v>
      </c>
      <c r="G19" s="39">
        <v>73371.19</v>
      </c>
      <c r="H19" s="39">
        <f t="shared" si="3"/>
        <v>-9211.3150000000023</v>
      </c>
      <c r="I19" s="38">
        <f t="shared" si="1"/>
        <v>-0.12554403165602196</v>
      </c>
      <c r="J19" s="51" t="s">
        <v>363</v>
      </c>
      <c r="K19" s="52"/>
    </row>
    <row r="20" spans="1:16" ht="86.4" x14ac:dyDescent="0.25">
      <c r="A20" s="44" t="str">
        <v>Jessup -7950 Oceano Ave</v>
      </c>
      <c r="B20" s="41" t="str">
        <v>MD</v>
      </c>
      <c r="C20" s="29">
        <v>194692.25</v>
      </c>
      <c r="D20" s="30">
        <v>194659.4</v>
      </c>
      <c r="E20" s="30">
        <f t="shared" si="0"/>
        <v>32.850000000005821</v>
      </c>
      <c r="F20" s="31">
        <f t="shared" si="2"/>
        <v>1.6875629946463321E-4</v>
      </c>
      <c r="G20" s="32">
        <v>226548.1</v>
      </c>
      <c r="H20" s="32">
        <f t="shared" si="3"/>
        <v>-31855.850000000006</v>
      </c>
      <c r="I20" s="33">
        <f t="shared" si="1"/>
        <v>-0.14061406827071163</v>
      </c>
      <c r="J20" s="50" t="s">
        <v>364</v>
      </c>
      <c r="K20" s="67" t="s">
        <v>365</v>
      </c>
      <c r="L20" s="72" t="s">
        <v>300</v>
      </c>
      <c r="M20" s="72" t="s">
        <v>265</v>
      </c>
      <c r="N20" s="72" t="s">
        <v>443</v>
      </c>
      <c r="O20" s="72" t="s">
        <v>339</v>
      </c>
      <c r="P20" s="72" t="s">
        <v>340</v>
      </c>
    </row>
    <row r="21" spans="1:16" ht="15.6" x14ac:dyDescent="0.3">
      <c r="A21" s="42" t="str">
        <v xml:space="preserve">TX: Fort Worth - 5200 Gold Spike Dr </v>
      </c>
      <c r="B21" s="43" t="str">
        <v>TX</v>
      </c>
      <c r="C21" s="36">
        <v>0</v>
      </c>
      <c r="D21" s="37">
        <v>766907.6</v>
      </c>
      <c r="E21" s="37">
        <f t="shared" si="0"/>
        <v>-766907.6</v>
      </c>
      <c r="F21" s="38">
        <f t="shared" si="2"/>
        <v>-1</v>
      </c>
      <c r="G21" s="39">
        <v>715148.2</v>
      </c>
      <c r="H21" s="39">
        <f t="shared" si="3"/>
        <v>-715148.2</v>
      </c>
      <c r="I21" s="38">
        <f t="shared" si="1"/>
        <v>-1</v>
      </c>
      <c r="J21" s="89" t="s">
        <v>327</v>
      </c>
      <c r="K21" s="99" t="s">
        <v>268</v>
      </c>
    </row>
    <row r="22" spans="1:16" ht="15.6" x14ac:dyDescent="0.3">
      <c r="A22" s="44" t="str">
        <v>NY: Clifton Springs - Ontario 2 (21597)</v>
      </c>
      <c r="B22" s="41" t="str">
        <v>NY</v>
      </c>
      <c r="C22" s="29">
        <v>1001082</v>
      </c>
      <c r="D22" s="30">
        <v>1054505.5819999999</v>
      </c>
      <c r="E22" s="30">
        <f t="shared" si="0"/>
        <v>-53423.581999999937</v>
      </c>
      <c r="F22" s="31">
        <f t="shared" si="2"/>
        <v>-5.0662208822712461E-2</v>
      </c>
      <c r="G22" s="32">
        <v>897913.08</v>
      </c>
      <c r="H22" s="32">
        <f t="shared" si="3"/>
        <v>103168.92000000004</v>
      </c>
      <c r="I22" s="33">
        <f t="shared" si="1"/>
        <v>0.11489856011452695</v>
      </c>
      <c r="J22" s="9"/>
      <c r="K22" s="50"/>
    </row>
    <row r="23" spans="1:16" ht="15.6" x14ac:dyDescent="0.25">
      <c r="A23" s="42" t="str">
        <v>CA: Oxnard - 2600 Sakioka - System A</v>
      </c>
      <c r="B23" s="43" t="str">
        <v>CA</v>
      </c>
      <c r="C23" s="36">
        <v>279240.125</v>
      </c>
      <c r="D23" s="37">
        <v>298595.7</v>
      </c>
      <c r="E23" s="37">
        <f t="shared" si="0"/>
        <v>-19355.575000000012</v>
      </c>
      <c r="F23" s="38">
        <f t="shared" si="2"/>
        <v>-6.4822015186421E-2</v>
      </c>
      <c r="G23" s="39">
        <v>301826.7</v>
      </c>
      <c r="H23" s="39">
        <f t="shared" si="3"/>
        <v>-22586.575000000012</v>
      </c>
      <c r="I23" s="38">
        <f t="shared" si="1"/>
        <v>-7.4832925649056262E-2</v>
      </c>
      <c r="J23" s="51"/>
      <c r="K23" s="52"/>
    </row>
    <row r="24" spans="1:16" ht="28.8" x14ac:dyDescent="0.25">
      <c r="A24" s="44" t="str">
        <v>CA: Oxnard - 2600 Sakioka - System B</v>
      </c>
      <c r="B24" s="41" t="str">
        <v>CA</v>
      </c>
      <c r="C24" s="29">
        <v>4212.2129687500001</v>
      </c>
      <c r="D24" s="30">
        <v>269230.59999999998</v>
      </c>
      <c r="E24" s="30">
        <f t="shared" si="0"/>
        <v>-265018.38703124999</v>
      </c>
      <c r="F24" s="31">
        <f t="shared" si="2"/>
        <v>-0.98435462771040894</v>
      </c>
      <c r="G24" s="32">
        <v>301583</v>
      </c>
      <c r="H24" s="32">
        <f t="shared" si="3"/>
        <v>-297370.78703125002</v>
      </c>
      <c r="I24" s="33">
        <f t="shared" si="1"/>
        <v>-0.98603298936362471</v>
      </c>
      <c r="J24" s="50" t="s">
        <v>366</v>
      </c>
      <c r="K24" s="67" t="s">
        <v>344</v>
      </c>
    </row>
    <row r="25" spans="1:16" ht="15.6" x14ac:dyDescent="0.25">
      <c r="A25" s="42" t="str">
        <v>NY: Fonda - Montgomery 1 (21601)</v>
      </c>
      <c r="B25" s="43" t="str">
        <v>NY</v>
      </c>
      <c r="C25" s="36">
        <v>1005385</v>
      </c>
      <c r="D25" s="37">
        <v>1041836</v>
      </c>
      <c r="E25" s="37">
        <f t="shared" si="0"/>
        <v>-36451</v>
      </c>
      <c r="F25" s="38">
        <f t="shared" si="2"/>
        <v>-3.4987272468987439E-2</v>
      </c>
      <c r="G25" s="39">
        <v>962829</v>
      </c>
      <c r="H25" s="39">
        <f t="shared" si="3"/>
        <v>42556</v>
      </c>
      <c r="I25" s="38">
        <f t="shared" si="1"/>
        <v>4.4198917980243634E-2</v>
      </c>
      <c r="J25" s="51"/>
      <c r="K25" s="52"/>
    </row>
    <row r="26" spans="1:16" ht="15.6" x14ac:dyDescent="0.25">
      <c r="A26" s="44" t="str">
        <v>NY: Evans - SL Evans Array 1 (21106) - (PW)</v>
      </c>
      <c r="B26" s="41" t="str">
        <v>NY</v>
      </c>
      <c r="C26" s="29">
        <v>289481</v>
      </c>
      <c r="D26" s="30">
        <v>345406.31300000002</v>
      </c>
      <c r="E26" s="30">
        <f t="shared" ref="E26:E27" si="4">IF(AND(ISNUMBER(C26),ISNUMBER(D26)), C26-D26, "")</f>
        <v>-55925.313000000024</v>
      </c>
      <c r="F26" s="31">
        <f t="shared" ref="F26:F27" si="5">IFERROR(E26/D26, "")</f>
        <v>-0.1619116700973558</v>
      </c>
      <c r="G26" s="32">
        <v>762556</v>
      </c>
      <c r="H26" s="32">
        <f t="shared" ref="H26:H27" si="6">IF(AND(ISNUMBER(C26),ISNUMBER(G26)), C26-G26, "")</f>
        <v>-473075</v>
      </c>
      <c r="I26" s="33">
        <f t="shared" ref="I26:I27" si="7">IFERROR(H26/G26, "")</f>
        <v>-0.62038066712477513</v>
      </c>
      <c r="J26" s="50" t="s">
        <v>367</v>
      </c>
      <c r="K26" s="67" t="s">
        <v>368</v>
      </c>
    </row>
    <row r="27" spans="1:16" ht="26.4" x14ac:dyDescent="0.25">
      <c r="A27" s="42" t="str">
        <v>NY: Evans - SL Evans Array 2 (21107) - (PW)</v>
      </c>
      <c r="B27" s="43" t="str">
        <v>NY</v>
      </c>
      <c r="C27" s="36">
        <v>275086</v>
      </c>
      <c r="D27" s="37">
        <v>307475.89399999997</v>
      </c>
      <c r="E27" s="37">
        <f t="shared" si="4"/>
        <v>-32389.893999999971</v>
      </c>
      <c r="F27" s="38">
        <f t="shared" si="5"/>
        <v>-0.10534124668648</v>
      </c>
      <c r="G27" s="39">
        <v>715479</v>
      </c>
      <c r="H27" s="39">
        <f t="shared" si="6"/>
        <v>-440393</v>
      </c>
      <c r="I27" s="38">
        <f t="shared" si="7"/>
        <v>-0.61552190909865978</v>
      </c>
      <c r="J27" s="51" t="s">
        <v>367</v>
      </c>
      <c r="K27" s="68" t="s">
        <v>369</v>
      </c>
      <c r="L27" s="72" t="s">
        <v>444</v>
      </c>
    </row>
    <row r="28" spans="1:16" ht="14.4" x14ac:dyDescent="0.3">
      <c r="A28" s="9"/>
      <c r="B28" s="14"/>
      <c r="C28" s="9"/>
      <c r="D28" s="9"/>
      <c r="E28" s="9"/>
      <c r="F28" s="10"/>
      <c r="G28" s="9"/>
      <c r="H28" s="9"/>
      <c r="I28" s="10"/>
      <c r="J28" s="9"/>
      <c r="K28" s="9"/>
    </row>
    <row r="29" spans="1:16" ht="14.4" x14ac:dyDescent="0.3">
      <c r="A29" s="9"/>
      <c r="B29" s="14"/>
      <c r="C29" s="9"/>
      <c r="D29" s="9"/>
      <c r="E29" s="9"/>
      <c r="F29" s="10"/>
      <c r="G29" s="9"/>
      <c r="H29" s="9"/>
      <c r="I29" s="10"/>
      <c r="J29" s="9"/>
      <c r="K29" s="9"/>
    </row>
    <row r="30" spans="1:16" ht="14.4" x14ac:dyDescent="0.3">
      <c r="A30" s="9"/>
      <c r="B30" s="14"/>
      <c r="C30" s="9"/>
      <c r="D30" s="9"/>
      <c r="E30" s="9"/>
      <c r="F30" s="10"/>
      <c r="G30" s="9"/>
      <c r="H30" s="9"/>
      <c r="I30" s="10"/>
      <c r="J30" s="9"/>
      <c r="K30" s="9"/>
    </row>
    <row r="31" spans="1:16" ht="14.4" x14ac:dyDescent="0.3">
      <c r="A31" s="9"/>
      <c r="B31" s="14"/>
      <c r="C31" s="9"/>
      <c r="D31" s="9"/>
      <c r="E31" s="9"/>
      <c r="F31" s="10"/>
      <c r="G31" s="9"/>
      <c r="H31" s="9"/>
      <c r="I31" s="10"/>
      <c r="J31" s="9"/>
      <c r="K31" s="9"/>
    </row>
    <row r="32" spans="1:16"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9" priority="3" stopIfTrue="1" operator="lessThanOrEqual">
      <formula>-0.1</formula>
    </cfRule>
    <cfRule type="expression" dxfId="8" priority="4">
      <formula>AND(ISNUMBER(F2), F2&gt;=0.1)</formula>
    </cfRule>
  </conditionalFormatting>
  <hyperlinks>
    <hyperlink ref="K16" r:id="rId1" display="https://us3.assetplanner.com/service_request?ID=104969" xr:uid="{85FE0D6E-BA05-48F7-A8DC-4457396DD928}"/>
    <hyperlink ref="K17" r:id="rId2" display="https://us3.assetplanner.com/service_request?ID=104968" xr:uid="{0238D5AA-D343-47D4-82AB-EE32B9A7B8EE}"/>
    <hyperlink ref="K15" r:id="rId3" display="https://us3.assetplanner.com/service_request?ID=099959" xr:uid="{D5DB6B0D-2AAF-4E8A-B703-40093ADB51F9}"/>
    <hyperlink ref="K21" r:id="rId4" display="https://us3.assetplanner.com/service_request?ID=101493" xr:uid="{5B496745-C621-49F7-8A70-DE90C8606589}"/>
    <hyperlink ref="K5" r:id="rId5" display="https://us3.assetplanner.com/service_request?ID=108478" xr:uid="{654DA4B8-D6D8-4DB9-93E9-84DE95490A10}"/>
    <hyperlink ref="L5" r:id="rId6" display="https://us3.assetplanner.com/service_request?ID=107289" xr:uid="{41E66569-A1A1-4E51-B82E-83796B2B6549}"/>
    <hyperlink ref="M5" r:id="rId7" display="https://us3.assetplanner.com/service_request?ID=108629" xr:uid="{2AEB03AC-C04E-4AE8-BFDC-B26FFEF8CEA5}"/>
    <hyperlink ref="N5" r:id="rId8" display="https://us3.assetplanner.com/service_request?ID=108628" xr:uid="{F093B650-4321-4587-9A0D-47AEC12DBBEF}"/>
    <hyperlink ref="K6" r:id="rId9" display="https://us3.assetplanner.com/service_request?ID=107920" xr:uid="{62758584-7554-4DB7-A2BB-72C04EBB1EC1}"/>
    <hyperlink ref="L6" r:id="rId10" display="https://us3.assetplanner.com/service_request?ID=107793" xr:uid="{1571C170-E9BD-4AF5-8382-6E81A14A427F}"/>
    <hyperlink ref="K9" r:id="rId11" display="https://us3.assetplanner.com/service_request?ID=108317" xr:uid="{D56C4B6F-A48B-402B-AA6C-108C8CAC8F84}"/>
    <hyperlink ref="K10" r:id="rId12" display="https://us3.assetplanner.com/service_request?ID=100950" xr:uid="{1B879BF7-F624-42BC-B1AC-00EE9D785009}"/>
    <hyperlink ref="K12" r:id="rId13" display="https://us3.assetplanner.com/service_request?ID=106444" xr:uid="{C23365A0-68EE-45C8-BF5A-27074BC58532}"/>
    <hyperlink ref="L12" r:id="rId14" display="https://us3.assetplanner.com/service_request?ID=108742" xr:uid="{B3917E39-36C8-486F-B52F-F53E78EA8A09}"/>
    <hyperlink ref="K13" r:id="rId15" display="https://us3.assetplanner.com/service_request?ID=107283" xr:uid="{D2308B68-972E-4C44-B5C3-7CC759FBA46F}"/>
    <hyperlink ref="L13" r:id="rId16" display="https://us3.assetplanner.com/service_request?ID=103842" xr:uid="{6ABC0671-5882-4574-86DE-47EAEA5C9697}"/>
    <hyperlink ref="K14" r:id="rId17" display="https://us3.assetplanner.com/service_request?ID=106469" xr:uid="{E088C2AF-EBD9-4DF2-AA77-D35B4E8193B5}"/>
    <hyperlink ref="L14" r:id="rId18" display="https://us3.assetplanner.com/service_request?ID=107546" xr:uid="{454C731A-DA2A-48EC-8072-E378473EB9F9}"/>
    <hyperlink ref="K18" r:id="rId19" display="https://us3.assetplanner.com/service_request?ID=107030" xr:uid="{AD9F6DFA-56F6-4145-A1F1-587AB4D3B26E}"/>
    <hyperlink ref="K20" r:id="rId20" display="https://us3.assetplanner.com/service_request?ID=106973" xr:uid="{30C1A245-DE73-4798-9940-048E9ED74488}"/>
    <hyperlink ref="L20" r:id="rId21" display="https://us3.assetplanner.com/service_request?ID=104743" xr:uid="{7E4A3F01-2D1D-4EE0-9381-C1872A8E8FD7}"/>
    <hyperlink ref="M20" r:id="rId22" display="https://us3.assetplanner.com/service_request?ID=101758" xr:uid="{ABDEC8B1-EAF6-49DE-BAF8-0858A23D1954}"/>
    <hyperlink ref="N20" r:id="rId23" display="https://us3.assetplanner.com/service_request?ID=107806" xr:uid="{39CF6283-3D40-415D-B983-699F35A7C2BC}"/>
    <hyperlink ref="O20" r:id="rId24" display="https://us3.assetplanner.com/service_request?ID=107165" xr:uid="{3677414D-7034-4967-9F81-1E8338F5D046}"/>
    <hyperlink ref="P20" r:id="rId25" display="https://us3.assetplanner.com/service_request?ID=098747" xr:uid="{697AC076-FC23-4914-813D-BDCE97554B1C}"/>
    <hyperlink ref="K24" r:id="rId26" display="https://us3.assetplanner.com/service_request?ID=105503" xr:uid="{2F4B3DF6-318D-4EDA-AADB-91A9F6BEED11}"/>
    <hyperlink ref="K26" r:id="rId27" display="https://us3.assetplanner.com/service_request?ID=107904" xr:uid="{EF06E544-F2F6-4F57-9BE1-076102F13782}"/>
    <hyperlink ref="K27" r:id="rId28" display="https://us3.assetplanner.com/service_request?ID=107906" xr:uid="{8B9FCABD-9328-43BB-B084-C4660C169BC1}"/>
    <hyperlink ref="L27" r:id="rId29" display="https://us3.assetplanner.com/service_request?ID=107786" xr:uid="{16860F5E-9C62-4F90-8049-0C2E412B2220}"/>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E11"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4.88671875" customWidth="1"/>
    <col min="11" max="11" width="20.5546875" bestFit="1" customWidth="1"/>
  </cols>
  <sheetData>
    <row r="1" spans="1:11" ht="19.5" customHeight="1" x14ac:dyDescent="0.25">
      <c r="A1" s="96" t="str" cm="1">
        <f t="array" ref="A1">portfolio</f>
        <v>Catalyze</v>
      </c>
      <c r="B1" s="96"/>
      <c r="C1" s="96"/>
      <c r="D1" s="97" t="s">
        <v>370</v>
      </c>
      <c r="E1" s="97"/>
      <c r="F1" s="97"/>
      <c r="G1" s="95" t="s">
        <v>371</v>
      </c>
      <c r="H1" s="95"/>
      <c r="I1" s="95"/>
      <c r="J1" s="4"/>
      <c r="K1" s="4"/>
    </row>
    <row r="2" spans="1:11" ht="19.5" customHeight="1" x14ac:dyDescent="0.25">
      <c r="A2" s="98" t="s">
        <v>2</v>
      </c>
      <c r="B2" s="98"/>
      <c r="C2" s="5">
        <f>SUM(C4:C92)</f>
        <v>0</v>
      </c>
      <c r="D2" s="5">
        <f>SUM(D4:D92)</f>
        <v>0</v>
      </c>
      <c r="E2" s="5">
        <f>C2-D2</f>
        <v>0</v>
      </c>
      <c r="F2" s="6">
        <f>IFERROR(E2/D2, 0)</f>
        <v>0</v>
      </c>
      <c r="G2" s="5">
        <f>SUM(G4:G92)</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3" t="s">
        <v>3</v>
      </c>
      <c r="B3" s="13" t="s">
        <v>4</v>
      </c>
      <c r="C3" s="20" t="s">
        <v>5</v>
      </c>
      <c r="D3" s="21" t="s">
        <v>6</v>
      </c>
      <c r="E3" s="21" t="s">
        <v>7</v>
      </c>
      <c r="F3" s="22" t="s">
        <v>8</v>
      </c>
      <c r="G3" s="23" t="s">
        <v>9</v>
      </c>
      <c r="H3" s="24" t="s">
        <v>7</v>
      </c>
      <c r="I3" s="25" t="s">
        <v>8</v>
      </c>
      <c r="J3" s="11" t="s">
        <v>20</v>
      </c>
      <c r="K3" s="11" t="s">
        <v>21</v>
      </c>
    </row>
    <row r="4" spans="1:11" ht="15.6" x14ac:dyDescent="0.3">
      <c r="A4" s="40" t="str" cm="1">
        <f t="array" ref="A4:A27">Sites[Site]</f>
        <v>Fresno - 3150 Shaw Ave</v>
      </c>
      <c r="B4" s="41" t="str" cm="1">
        <f t="array" ref="B4:B27">Sites[State]</f>
        <v>CA</v>
      </c>
      <c r="C4" s="29"/>
      <c r="D4" s="30"/>
      <c r="E4" s="30" t="str">
        <f>IF(AND(ISNUMBER(C4),ISNUMBER(D4)), C4-D4, "")</f>
        <v/>
      </c>
      <c r="F4" s="31" t="str">
        <f>IFERROR(E4/D4, "")</f>
        <v/>
      </c>
      <c r="G4" s="32"/>
      <c r="H4" s="32" t="str">
        <f>IF(AND(ISNUMBER(C4),ISNUMBER(G4)), C4-G4, "")</f>
        <v/>
      </c>
      <c r="I4" s="33" t="str">
        <f>IFERROR(H4/G4, "")</f>
        <v/>
      </c>
      <c r="J4" s="64"/>
      <c r="K4" s="64"/>
    </row>
    <row r="5" spans="1:11" ht="84" customHeight="1" x14ac:dyDescent="0.25">
      <c r="A5" s="42" t="str">
        <v>Adelanto - 1 Sheep Creek Road</v>
      </c>
      <c r="B5" s="43" t="str">
        <v>CA</v>
      </c>
      <c r="C5" s="36"/>
      <c r="D5" s="37"/>
      <c r="E5" s="37" t="str">
        <f t="shared" ref="E5:E19" si="0">IF(AND(ISNUMBER(C5),ISNUMBER(D5)), C5-D5, "")</f>
        <v/>
      </c>
      <c r="F5" s="38" t="str">
        <f>IFERROR(E5/D5, "")</f>
        <v/>
      </c>
      <c r="G5" s="39"/>
      <c r="H5" s="39" t="str">
        <f t="shared" ref="H5:H19" si="1">IF(AND(ISNUMBER(C5),ISNUMBER(G5)), C5-G5, "")</f>
        <v/>
      </c>
      <c r="I5" s="38" t="str">
        <f t="shared" ref="I5:I19" si="2">IFERROR(H5/G5, "")</f>
        <v/>
      </c>
      <c r="J5" s="59"/>
      <c r="K5" s="59"/>
    </row>
    <row r="6" spans="1:11" ht="15.6" x14ac:dyDescent="0.25">
      <c r="A6" s="44" t="str">
        <v>Blackstone - 83 Federal Street</v>
      </c>
      <c r="B6" s="41" t="str">
        <v>MA</v>
      </c>
      <c r="C6" s="29"/>
      <c r="D6" s="30"/>
      <c r="E6" s="30" t="str">
        <f t="shared" si="0"/>
        <v/>
      </c>
      <c r="F6" s="31" t="str">
        <f t="shared" ref="F6:F19" si="3">IFERROR(E6/D6, "")</f>
        <v/>
      </c>
      <c r="G6" s="32"/>
      <c r="H6" s="32" t="str">
        <f t="shared" si="1"/>
        <v/>
      </c>
      <c r="I6" s="33" t="str">
        <f t="shared" si="2"/>
        <v/>
      </c>
      <c r="J6" s="64"/>
      <c r="K6" s="64"/>
    </row>
    <row r="7" spans="1:11" ht="15.6" x14ac:dyDescent="0.25">
      <c r="A7" s="42" t="str">
        <v>Charlton - 299 Worcester Road</v>
      </c>
      <c r="B7" s="43" t="str">
        <v>MA</v>
      </c>
      <c r="C7" s="36"/>
      <c r="D7" s="37"/>
      <c r="E7" s="37" t="str">
        <f t="shared" si="0"/>
        <v/>
      </c>
      <c r="F7" s="38" t="str">
        <f t="shared" si="3"/>
        <v/>
      </c>
      <c r="G7" s="39"/>
      <c r="H7" s="39" t="str">
        <f t="shared" si="1"/>
        <v/>
      </c>
      <c r="I7" s="38" t="str">
        <f t="shared" si="2"/>
        <v/>
      </c>
      <c r="J7" s="59"/>
      <c r="K7" s="58"/>
    </row>
    <row r="8" spans="1:11" ht="15.6" x14ac:dyDescent="0.25">
      <c r="A8" s="44" t="str">
        <v>Wareham - 8 Thatcher Drive</v>
      </c>
      <c r="B8" s="41" t="str">
        <v>MA</v>
      </c>
      <c r="C8" s="29"/>
      <c r="D8" s="30"/>
      <c r="E8" s="30" t="str">
        <f t="shared" si="0"/>
        <v/>
      </c>
      <c r="F8" s="31" t="str">
        <f t="shared" si="3"/>
        <v/>
      </c>
      <c r="G8" s="32"/>
      <c r="H8" s="32" t="str">
        <f t="shared" si="1"/>
        <v/>
      </c>
      <c r="I8" s="33" t="str">
        <f t="shared" si="2"/>
        <v/>
      </c>
      <c r="J8" s="64"/>
      <c r="K8" s="64"/>
    </row>
    <row r="9" spans="1:11" ht="15.6" x14ac:dyDescent="0.25">
      <c r="A9" s="42" t="str">
        <v>West Yarmouth - 42 Mid Tech</v>
      </c>
      <c r="B9" s="43" t="str">
        <v>MA</v>
      </c>
      <c r="C9" s="36"/>
      <c r="D9" s="37"/>
      <c r="E9" s="37" t="str">
        <f t="shared" si="0"/>
        <v/>
      </c>
      <c r="F9" s="38" t="str">
        <f t="shared" si="3"/>
        <v/>
      </c>
      <c r="G9" s="39"/>
      <c r="H9" s="39" t="str">
        <f t="shared" si="1"/>
        <v/>
      </c>
      <c r="I9" s="38" t="str">
        <f t="shared" si="2"/>
        <v/>
      </c>
      <c r="J9" s="59"/>
      <c r="K9" s="58"/>
    </row>
    <row r="10" spans="1:11" ht="15.6" x14ac:dyDescent="0.25">
      <c r="A10" s="44" t="str">
        <v>Harrison - 130 Union Street</v>
      </c>
      <c r="B10" s="41" t="str">
        <v>NY</v>
      </c>
      <c r="C10" s="29"/>
      <c r="D10" s="30"/>
      <c r="E10" s="30" t="str">
        <f t="shared" si="0"/>
        <v/>
      </c>
      <c r="F10" s="31" t="str">
        <f t="shared" si="3"/>
        <v/>
      </c>
      <c r="G10" s="32"/>
      <c r="H10" s="32" t="str">
        <f t="shared" si="1"/>
        <v/>
      </c>
      <c r="I10" s="33" t="str">
        <f t="shared" si="2"/>
        <v/>
      </c>
      <c r="J10" s="64"/>
      <c r="K10" s="64"/>
    </row>
    <row r="11" spans="1:11" ht="15.6" x14ac:dyDescent="0.25">
      <c r="A11" s="42" t="str">
        <v>Staten Island - Ellis Storage</v>
      </c>
      <c r="B11" s="43" t="str">
        <v>NY</v>
      </c>
      <c r="C11" s="36"/>
      <c r="D11" s="37"/>
      <c r="E11" s="37" t="str">
        <f t="shared" si="0"/>
        <v/>
      </c>
      <c r="F11" s="38" t="str">
        <f t="shared" si="3"/>
        <v/>
      </c>
      <c r="G11" s="39"/>
      <c r="H11" s="39" t="str">
        <f t="shared" si="1"/>
        <v/>
      </c>
      <c r="I11" s="38" t="str">
        <f t="shared" si="2"/>
        <v/>
      </c>
      <c r="J11" s="59"/>
      <c r="K11" s="58"/>
    </row>
    <row r="12" spans="1:11" ht="51" customHeight="1" x14ac:dyDescent="0.25">
      <c r="A12" s="44" t="str">
        <v>Amherst - 595 Schoelles Road</v>
      </c>
      <c r="B12" s="41" t="str">
        <v>NY</v>
      </c>
      <c r="C12" s="29"/>
      <c r="D12" s="30"/>
      <c r="E12" s="30" t="str">
        <f t="shared" si="0"/>
        <v/>
      </c>
      <c r="F12" s="31" t="str">
        <f t="shared" si="3"/>
        <v/>
      </c>
      <c r="G12" s="32"/>
      <c r="H12" s="32" t="str">
        <f t="shared" si="1"/>
        <v/>
      </c>
      <c r="I12" s="33" t="str">
        <f t="shared" si="2"/>
        <v/>
      </c>
      <c r="J12" s="64"/>
      <c r="K12" s="64"/>
    </row>
    <row r="13" spans="1:11" ht="39.75" customHeight="1" x14ac:dyDescent="0.25">
      <c r="A13" s="42" t="str">
        <v>Lancaster 1 - Gunnville Road</v>
      </c>
      <c r="B13" s="43" t="str">
        <v>NY</v>
      </c>
      <c r="C13" s="36"/>
      <c r="D13" s="37"/>
      <c r="E13" s="37" t="str">
        <f t="shared" si="0"/>
        <v/>
      </c>
      <c r="F13" s="38" t="str">
        <f t="shared" si="3"/>
        <v/>
      </c>
      <c r="G13" s="39"/>
      <c r="H13" s="39" t="str">
        <f t="shared" si="1"/>
        <v/>
      </c>
      <c r="I13" s="38" t="str">
        <f t="shared" si="2"/>
        <v/>
      </c>
      <c r="J13" s="59"/>
      <c r="K13" s="59"/>
    </row>
    <row r="14" spans="1:11" ht="15.6" x14ac:dyDescent="0.25">
      <c r="A14" s="44" t="str">
        <v>Lancaster 2 - Shisler Road</v>
      </c>
      <c r="B14" s="41" t="str">
        <v>NY</v>
      </c>
      <c r="C14" s="29"/>
      <c r="D14" s="30"/>
      <c r="E14" s="30" t="str">
        <f t="shared" si="0"/>
        <v/>
      </c>
      <c r="F14" s="31" t="str">
        <f t="shared" si="3"/>
        <v/>
      </c>
      <c r="G14" s="32"/>
      <c r="H14" s="32" t="str">
        <f t="shared" si="1"/>
        <v/>
      </c>
      <c r="I14" s="33" t="str">
        <f t="shared" si="2"/>
        <v/>
      </c>
      <c r="J14" s="64"/>
      <c r="K14" s="64"/>
    </row>
    <row r="15" spans="1:11" ht="15.6" x14ac:dyDescent="0.25">
      <c r="A15" s="42" t="str">
        <v>Fullerton - 200 W Orangethorpe</v>
      </c>
      <c r="B15" s="43" t="str">
        <v>CA</v>
      </c>
      <c r="C15" s="36"/>
      <c r="D15" s="37"/>
      <c r="E15" s="37" t="str">
        <f t="shared" si="0"/>
        <v/>
      </c>
      <c r="F15" s="38" t="str">
        <f t="shared" si="3"/>
        <v/>
      </c>
      <c r="G15" s="39"/>
      <c r="H15" s="39" t="str">
        <f t="shared" si="1"/>
        <v/>
      </c>
      <c r="I15" s="38" t="str">
        <f t="shared" si="2"/>
        <v/>
      </c>
      <c r="J15" s="59"/>
      <c r="K15" s="58"/>
    </row>
    <row r="16" spans="1:11" ht="15.6" x14ac:dyDescent="0.25">
      <c r="A16" s="44" t="str">
        <v>El Paso - 10500 Railroad Drive</v>
      </c>
      <c r="B16" s="41" t="str">
        <v>TX</v>
      </c>
      <c r="C16" s="29"/>
      <c r="D16" s="30"/>
      <c r="E16" s="30" t="str">
        <f t="shared" si="0"/>
        <v/>
      </c>
      <c r="F16" s="31" t="str">
        <f>IFERROR(E16/D16, "")</f>
        <v/>
      </c>
      <c r="G16" s="32"/>
      <c r="H16" s="32" t="str">
        <f t="shared" si="1"/>
        <v/>
      </c>
      <c r="I16" s="33" t="str">
        <f t="shared" si="2"/>
        <v/>
      </c>
      <c r="J16" s="64"/>
      <c r="K16" s="64"/>
    </row>
    <row r="17" spans="1:11" ht="15.6" x14ac:dyDescent="0.25">
      <c r="A17" s="42" t="str">
        <v>Friona - 900 Millard Ave</v>
      </c>
      <c r="B17" s="43" t="str">
        <v>TX</v>
      </c>
      <c r="C17" s="36"/>
      <c r="D17" s="37"/>
      <c r="E17" s="37" t="str">
        <f t="shared" si="0"/>
        <v/>
      </c>
      <c r="F17" s="38" t="str">
        <f t="shared" si="3"/>
        <v/>
      </c>
      <c r="G17" s="39"/>
      <c r="H17" s="39" t="str">
        <f t="shared" si="1"/>
        <v/>
      </c>
      <c r="I17" s="38" t="str">
        <f t="shared" si="2"/>
        <v/>
      </c>
      <c r="J17" s="59"/>
      <c r="K17" s="59"/>
    </row>
    <row r="18" spans="1:11" ht="15.6" x14ac:dyDescent="0.25">
      <c r="A18" s="44" t="str">
        <v>Augusta - 13 York Farm Road</v>
      </c>
      <c r="B18" s="41" t="str">
        <v>ME</v>
      </c>
      <c r="C18" s="29"/>
      <c r="D18" s="30"/>
      <c r="E18" s="30" t="str">
        <f t="shared" si="0"/>
        <v/>
      </c>
      <c r="F18" s="31" t="str">
        <f>IFERROR(E18/D18, "")</f>
        <v/>
      </c>
      <c r="G18" s="32"/>
      <c r="H18" s="32" t="str">
        <f t="shared" si="1"/>
        <v/>
      </c>
      <c r="I18" s="33" t="str">
        <f t="shared" si="2"/>
        <v/>
      </c>
      <c r="J18" s="64"/>
      <c r="K18" s="64"/>
    </row>
    <row r="19" spans="1:11" ht="15.6" x14ac:dyDescent="0.25">
      <c r="A19" s="42" t="str">
        <v xml:space="preserve">Santa Ana - 1441 West </v>
      </c>
      <c r="B19" s="43" t="str">
        <v>CA</v>
      </c>
      <c r="C19" s="36"/>
      <c r="D19" s="37"/>
      <c r="E19" s="37" t="str">
        <f t="shared" si="0"/>
        <v/>
      </c>
      <c r="F19" s="38" t="str">
        <f t="shared" si="3"/>
        <v/>
      </c>
      <c r="G19" s="39"/>
      <c r="H19" s="39" t="str">
        <f t="shared" si="1"/>
        <v/>
      </c>
      <c r="I19" s="38" t="str">
        <f t="shared" si="2"/>
        <v/>
      </c>
      <c r="J19" s="59"/>
      <c r="K19" s="59"/>
    </row>
    <row r="20" spans="1:11" ht="15.6" x14ac:dyDescent="0.25">
      <c r="A20" s="44" t="str">
        <v>Jessup -7950 Oceano Ave</v>
      </c>
      <c r="B20" s="41" t="str">
        <v>MD</v>
      </c>
      <c r="C20" s="29"/>
      <c r="D20" s="30"/>
      <c r="E20" s="30"/>
      <c r="F20" s="31"/>
      <c r="G20" s="32"/>
      <c r="H20" s="32"/>
      <c r="I20" s="33"/>
      <c r="J20" s="64"/>
      <c r="K20" s="64"/>
    </row>
    <row r="21" spans="1:11" ht="14.4" x14ac:dyDescent="0.3">
      <c r="A21" s="9" t="str">
        <v xml:space="preserve">TX: Fort Worth - 5200 Gold Spike Dr </v>
      </c>
      <c r="B21" s="14" t="str">
        <v>TX</v>
      </c>
      <c r="C21" s="9"/>
      <c r="D21" s="9"/>
      <c r="E21" s="9"/>
      <c r="F21" s="9"/>
      <c r="G21" s="9"/>
      <c r="H21" s="9"/>
      <c r="I21" s="9"/>
      <c r="J21" s="9"/>
      <c r="K21" s="9"/>
    </row>
    <row r="22" spans="1:11" ht="14.4" x14ac:dyDescent="0.3">
      <c r="A22" s="9" t="str">
        <v>NY: Clifton Springs - Ontario 2 (21597)</v>
      </c>
      <c r="B22" s="14" t="str">
        <v>NY</v>
      </c>
      <c r="C22" s="9"/>
      <c r="D22" s="9"/>
      <c r="E22" s="9"/>
      <c r="F22" s="9"/>
      <c r="G22" s="9"/>
      <c r="H22" s="9"/>
      <c r="I22" s="9"/>
      <c r="J22" s="9"/>
      <c r="K22" s="9"/>
    </row>
    <row r="23" spans="1:11" ht="14.4" x14ac:dyDescent="0.3">
      <c r="A23" s="9" t="str">
        <v>CA: Oxnard - 2600 Sakioka - System A</v>
      </c>
      <c r="B23" s="14" t="str">
        <v>CA</v>
      </c>
      <c r="C23" s="9"/>
      <c r="D23" s="9"/>
      <c r="E23" s="9"/>
      <c r="F23" s="9"/>
      <c r="G23" s="9"/>
      <c r="H23" s="9"/>
      <c r="I23" s="9"/>
      <c r="J23" s="9"/>
      <c r="K23" s="9"/>
    </row>
    <row r="24" spans="1:11" ht="14.4" x14ac:dyDescent="0.3">
      <c r="A24" s="9" t="str">
        <v>CA: Oxnard - 2600 Sakioka - System B</v>
      </c>
      <c r="B24" s="14" t="str">
        <v>CA</v>
      </c>
      <c r="C24" s="9"/>
      <c r="D24" s="9"/>
      <c r="E24" s="9"/>
      <c r="F24" s="9"/>
      <c r="G24" s="9"/>
      <c r="H24" s="9"/>
      <c r="I24" s="9"/>
      <c r="J24" s="9"/>
      <c r="K24" s="9"/>
    </row>
    <row r="25" spans="1:11" ht="14.4" x14ac:dyDescent="0.3">
      <c r="A25" s="9" t="str">
        <v>NY: Fonda - Montgomery 1 (21601)</v>
      </c>
      <c r="B25" s="14" t="str">
        <v>NY</v>
      </c>
      <c r="C25" s="9"/>
      <c r="D25" s="9"/>
      <c r="E25" s="9"/>
      <c r="F25" s="10"/>
      <c r="G25" s="9"/>
      <c r="H25" s="9"/>
      <c r="I25" s="10"/>
      <c r="J25" s="9"/>
      <c r="K25" s="9"/>
    </row>
    <row r="26" spans="1:11" ht="14.4" x14ac:dyDescent="0.3">
      <c r="A26" s="9" t="str">
        <v>NY: Evans - SL Evans Array 1 (21106) - (PW)</v>
      </c>
      <c r="B26" s="14" t="str">
        <v>NY</v>
      </c>
      <c r="C26" s="9"/>
      <c r="D26" s="9"/>
      <c r="E26" s="9"/>
      <c r="F26" s="10"/>
      <c r="G26" s="9"/>
      <c r="H26" s="9"/>
      <c r="I26" s="10"/>
      <c r="J26" s="9"/>
      <c r="K26" s="9"/>
    </row>
    <row r="27" spans="1:11" ht="14.4" x14ac:dyDescent="0.3">
      <c r="A27" s="9" t="str">
        <v>NY: Evans - SL Evans Array 2 (21107) - (PW)</v>
      </c>
      <c r="B27" s="14" t="str">
        <v>NY</v>
      </c>
      <c r="C27" s="9"/>
      <c r="D27" s="9"/>
      <c r="E27" s="9"/>
      <c r="F27" s="10"/>
      <c r="G27" s="9"/>
      <c r="H27" s="9"/>
      <c r="I27" s="10"/>
      <c r="J27" s="9"/>
      <c r="K27" s="9"/>
    </row>
    <row r="28" spans="1:11" ht="14.4" x14ac:dyDescent="0.3">
      <c r="A28" s="9"/>
      <c r="B28" s="14"/>
      <c r="C28" s="9"/>
      <c r="D28" s="9"/>
      <c r="E28" s="9"/>
      <c r="F28" s="10"/>
      <c r="G28" s="9"/>
      <c r="H28" s="9"/>
      <c r="I28" s="10"/>
      <c r="J28" s="9"/>
      <c r="K28" s="9"/>
    </row>
    <row r="29" spans="1:11" ht="14.4" x14ac:dyDescent="0.3">
      <c r="A29" s="9"/>
      <c r="B29" s="14"/>
      <c r="C29" s="9"/>
      <c r="D29" s="9"/>
      <c r="E29" s="9"/>
      <c r="F29" s="10"/>
      <c r="G29" s="9"/>
      <c r="H29" s="9"/>
      <c r="I29" s="10"/>
      <c r="J29" s="9"/>
      <c r="K29" s="9"/>
    </row>
    <row r="30" spans="1:11" ht="14.4" x14ac:dyDescent="0.3">
      <c r="A30" s="9"/>
      <c r="B30" s="14"/>
      <c r="C30" s="9"/>
      <c r="D30" s="9"/>
      <c r="E30" s="9"/>
      <c r="F30" s="10"/>
      <c r="G30" s="9"/>
      <c r="H30" s="9"/>
      <c r="I30" s="10"/>
      <c r="J30" s="9"/>
      <c r="K30" s="9"/>
    </row>
    <row r="31" spans="1:11" ht="14.4" x14ac:dyDescent="0.3">
      <c r="A31" s="9"/>
      <c r="B31" s="14"/>
      <c r="C31" s="9"/>
      <c r="D31" s="9"/>
      <c r="E31" s="9"/>
      <c r="F31" s="10"/>
      <c r="G31" s="9"/>
      <c r="H31" s="9"/>
      <c r="I31" s="10"/>
      <c r="J31" s="9"/>
      <c r="K31" s="9"/>
    </row>
    <row r="32" spans="1:11"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1" ht="19.5" customHeight="1" x14ac:dyDescent="0.25">
      <c r="A1" s="96" t="str" cm="1">
        <f t="array" ref="A1">portfolio</f>
        <v>Catalyze</v>
      </c>
      <c r="B1" s="96"/>
      <c r="C1" s="96"/>
      <c r="D1" s="97" t="s">
        <v>372</v>
      </c>
      <c r="E1" s="97"/>
      <c r="F1" s="97"/>
      <c r="G1" s="95" t="s">
        <v>373</v>
      </c>
      <c r="H1" s="95"/>
      <c r="I1" s="95"/>
      <c r="J1" s="4"/>
      <c r="K1" s="4"/>
    </row>
    <row r="2" spans="1:11" ht="19.5" customHeight="1" x14ac:dyDescent="0.25">
      <c r="A2" s="98" t="s">
        <v>2</v>
      </c>
      <c r="B2" s="98"/>
      <c r="C2" s="5">
        <f>SUM(C4:C92)</f>
        <v>0</v>
      </c>
      <c r="D2" s="5">
        <f>SUM(D4:D92)</f>
        <v>0</v>
      </c>
      <c r="E2" s="5">
        <f>C2-D2</f>
        <v>0</v>
      </c>
      <c r="F2" s="6">
        <f>IFERROR(E2/D2, 0)</f>
        <v>0</v>
      </c>
      <c r="G2" s="5">
        <f>SUM(G4:G92)</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3" t="s">
        <v>3</v>
      </c>
      <c r="B3" s="13" t="s">
        <v>4</v>
      </c>
      <c r="C3" s="20" t="s">
        <v>5</v>
      </c>
      <c r="D3" s="21" t="s">
        <v>6</v>
      </c>
      <c r="E3" s="21" t="s">
        <v>7</v>
      </c>
      <c r="F3" s="22" t="s">
        <v>8</v>
      </c>
      <c r="G3" s="23" t="s">
        <v>9</v>
      </c>
      <c r="H3" s="24" t="s">
        <v>7</v>
      </c>
      <c r="I3" s="25" t="s">
        <v>8</v>
      </c>
      <c r="J3" s="11" t="s">
        <v>20</v>
      </c>
      <c r="K3" s="11" t="s">
        <v>21</v>
      </c>
    </row>
    <row r="4" spans="1:11" ht="15.6" x14ac:dyDescent="0.3">
      <c r="A4" s="40" t="str" cm="1">
        <f t="array" ref="A4:A27">Sites[Site]</f>
        <v>Fresno - 3150 Shaw Ave</v>
      </c>
      <c r="B4" s="41" t="str" cm="1">
        <f t="array" ref="B4:B27">Sites[State]</f>
        <v>CA</v>
      </c>
      <c r="C4" s="29"/>
      <c r="D4" s="30"/>
      <c r="E4" s="30" t="str">
        <f>IF(AND(ISNUMBER(C4),ISNUMBER(D4)), C4-D4, "")</f>
        <v/>
      </c>
      <c r="F4" s="31" t="str">
        <f>IFERROR(E4/D4, "")</f>
        <v/>
      </c>
      <c r="G4" s="32"/>
      <c r="H4" s="32" t="str">
        <f>IF(AND(ISNUMBER(C4),ISNUMBER(G4)), C4-G4, "")</f>
        <v/>
      </c>
      <c r="I4" s="33" t="str">
        <f>IFERROR(H4/G4, "")</f>
        <v/>
      </c>
      <c r="J4" s="64"/>
      <c r="K4" s="64"/>
    </row>
    <row r="5" spans="1:11" ht="15.6" x14ac:dyDescent="0.25">
      <c r="A5" s="42" t="str">
        <v>Adelanto - 1 Sheep Creek Road</v>
      </c>
      <c r="B5" s="43" t="str">
        <v>CA</v>
      </c>
      <c r="C5" s="36"/>
      <c r="D5" s="37"/>
      <c r="E5" s="37" t="str">
        <f t="shared" ref="E5:E17" si="0">IF(AND(ISNUMBER(C5),ISNUMBER(D5)), C5-D5, "")</f>
        <v/>
      </c>
      <c r="F5" s="38" t="str">
        <f>IFERROR(E5/D5, "")</f>
        <v/>
      </c>
      <c r="G5" s="39"/>
      <c r="H5" s="39" t="str">
        <f t="shared" ref="H5:H17" si="1">IF(AND(ISNUMBER(C5),ISNUMBER(G5)), C5-G5, "")</f>
        <v/>
      </c>
      <c r="I5" s="38" t="str">
        <f t="shared" ref="I5:I15" si="2">IFERROR(H5/G5, "")</f>
        <v/>
      </c>
      <c r="J5" s="59"/>
      <c r="K5" s="59"/>
    </row>
    <row r="6" spans="1:11" ht="49.5" customHeight="1" x14ac:dyDescent="0.25">
      <c r="A6" s="44" t="str">
        <v>Blackstone - 83 Federal Street</v>
      </c>
      <c r="B6" s="41" t="str">
        <v>MA</v>
      </c>
      <c r="C6" s="29"/>
      <c r="D6" s="30"/>
      <c r="E6" s="30" t="str">
        <f t="shared" si="0"/>
        <v/>
      </c>
      <c r="F6" s="31" t="str">
        <f t="shared" ref="F6:F17" si="3">IFERROR(E6/D6, "")</f>
        <v/>
      </c>
      <c r="G6" s="32"/>
      <c r="H6" s="32" t="str">
        <f t="shared" si="1"/>
        <v/>
      </c>
      <c r="I6" s="33" t="str">
        <f t="shared" si="2"/>
        <v/>
      </c>
      <c r="J6" s="64"/>
      <c r="K6" s="64"/>
    </row>
    <row r="7" spans="1:11" ht="15.6" x14ac:dyDescent="0.25">
      <c r="A7" s="42" t="str">
        <v>Charlton - 299 Worcester Road</v>
      </c>
      <c r="B7" s="43" t="str">
        <v>MA</v>
      </c>
      <c r="C7" s="36"/>
      <c r="D7" s="37"/>
      <c r="E7" s="37" t="str">
        <f t="shared" si="0"/>
        <v/>
      </c>
      <c r="F7" s="38" t="str">
        <f t="shared" si="3"/>
        <v/>
      </c>
      <c r="G7" s="39"/>
      <c r="H7" s="39" t="str">
        <f t="shared" si="1"/>
        <v/>
      </c>
      <c r="I7" s="38" t="str">
        <f t="shared" si="2"/>
        <v/>
      </c>
      <c r="J7" s="59"/>
      <c r="K7" s="58"/>
    </row>
    <row r="8" spans="1:11" ht="15.6" x14ac:dyDescent="0.25">
      <c r="A8" s="44" t="str">
        <v>Wareham - 8 Thatcher Drive</v>
      </c>
      <c r="B8" s="41" t="str">
        <v>MA</v>
      </c>
      <c r="C8" s="29"/>
      <c r="D8" s="30"/>
      <c r="E8" s="30" t="str">
        <f t="shared" si="0"/>
        <v/>
      </c>
      <c r="F8" s="31" t="str">
        <f t="shared" si="3"/>
        <v/>
      </c>
      <c r="G8" s="32"/>
      <c r="H8" s="32" t="str">
        <f t="shared" si="1"/>
        <v/>
      </c>
      <c r="I8" s="33" t="str">
        <f t="shared" si="2"/>
        <v/>
      </c>
      <c r="J8" s="64"/>
      <c r="K8" s="64"/>
    </row>
    <row r="9" spans="1:11" ht="15.6" x14ac:dyDescent="0.25">
      <c r="A9" s="42" t="str">
        <v>West Yarmouth - 42 Mid Tech</v>
      </c>
      <c r="B9" s="43" t="str">
        <v>MA</v>
      </c>
      <c r="C9" s="36"/>
      <c r="D9" s="37"/>
      <c r="E9" s="37" t="str">
        <f t="shared" si="0"/>
        <v/>
      </c>
      <c r="F9" s="38" t="str">
        <f t="shared" si="3"/>
        <v/>
      </c>
      <c r="G9" s="39"/>
      <c r="H9" s="39" t="str">
        <f t="shared" si="1"/>
        <v/>
      </c>
      <c r="I9" s="38" t="str">
        <f t="shared" si="2"/>
        <v/>
      </c>
      <c r="J9" s="59"/>
      <c r="K9" s="77"/>
    </row>
    <row r="10" spans="1:11" ht="15.6" x14ac:dyDescent="0.25">
      <c r="A10" s="44" t="str">
        <v>Harrison - 130 Union Street</v>
      </c>
      <c r="B10" s="41" t="str">
        <v>NY</v>
      </c>
      <c r="C10" s="29"/>
      <c r="D10" s="30"/>
      <c r="E10" s="30" t="str">
        <f t="shared" si="0"/>
        <v/>
      </c>
      <c r="F10" s="31" t="str">
        <f t="shared" si="3"/>
        <v/>
      </c>
      <c r="G10" s="32"/>
      <c r="H10" s="32" t="str">
        <f t="shared" si="1"/>
        <v/>
      </c>
      <c r="I10" s="33" t="str">
        <f t="shared" si="2"/>
        <v/>
      </c>
      <c r="J10" s="64"/>
      <c r="K10" s="64"/>
    </row>
    <row r="11" spans="1:11" ht="15.6" x14ac:dyDescent="0.25">
      <c r="A11" s="42" t="str">
        <v>Staten Island - Ellis Storage</v>
      </c>
      <c r="B11" s="43" t="str">
        <v>NY</v>
      </c>
      <c r="C11" s="36"/>
      <c r="D11" s="37"/>
      <c r="E11" s="37" t="str">
        <f t="shared" si="0"/>
        <v/>
      </c>
      <c r="F11" s="38" t="str">
        <f t="shared" si="3"/>
        <v/>
      </c>
      <c r="G11" s="39"/>
      <c r="H11" s="39" t="str">
        <f t="shared" si="1"/>
        <v/>
      </c>
      <c r="I11" s="38" t="str">
        <f t="shared" si="2"/>
        <v/>
      </c>
      <c r="J11" s="59"/>
      <c r="K11" s="58"/>
    </row>
    <row r="12" spans="1:11" ht="123" customHeight="1" x14ac:dyDescent="0.25">
      <c r="A12" s="44" t="str">
        <v>Amherst - 595 Schoelles Road</v>
      </c>
      <c r="B12" s="41" t="str">
        <v>NY</v>
      </c>
      <c r="C12" s="29"/>
      <c r="D12" s="30"/>
      <c r="E12" s="30" t="str">
        <f t="shared" si="0"/>
        <v/>
      </c>
      <c r="F12" s="31" t="str">
        <f t="shared" si="3"/>
        <v/>
      </c>
      <c r="G12" s="32"/>
      <c r="H12" s="32" t="str">
        <f t="shared" si="1"/>
        <v/>
      </c>
      <c r="I12" s="33" t="str">
        <f t="shared" si="2"/>
        <v/>
      </c>
      <c r="J12" s="64"/>
      <c r="K12" s="64"/>
    </row>
    <row r="13" spans="1:11" ht="15.6" x14ac:dyDescent="0.25">
      <c r="A13" s="42" t="str">
        <v>Lancaster 1 - Gunnville Road</v>
      </c>
      <c r="B13" s="43" t="str">
        <v>NY</v>
      </c>
      <c r="C13" s="36"/>
      <c r="D13" s="37"/>
      <c r="E13" s="37" t="str">
        <f t="shared" si="0"/>
        <v/>
      </c>
      <c r="F13" s="38" t="str">
        <f t="shared" si="3"/>
        <v/>
      </c>
      <c r="G13" s="39"/>
      <c r="H13" s="39" t="str">
        <f t="shared" si="1"/>
        <v/>
      </c>
      <c r="I13" s="38" t="str">
        <f t="shared" si="2"/>
        <v/>
      </c>
      <c r="J13" s="59"/>
      <c r="K13" s="77"/>
    </row>
    <row r="14" spans="1:11" ht="15.6" x14ac:dyDescent="0.25">
      <c r="A14" s="44" t="str">
        <v>Lancaster 2 - Shisler Road</v>
      </c>
      <c r="B14" s="41" t="str">
        <v>NY</v>
      </c>
      <c r="C14" s="29"/>
      <c r="D14" s="30"/>
      <c r="E14" s="30" t="str">
        <f t="shared" si="0"/>
        <v/>
      </c>
      <c r="F14" s="31" t="str">
        <f t="shared" si="3"/>
        <v/>
      </c>
      <c r="G14" s="32"/>
      <c r="H14" s="32" t="str">
        <f t="shared" si="1"/>
        <v/>
      </c>
      <c r="I14" s="33" t="str">
        <f t="shared" si="2"/>
        <v/>
      </c>
      <c r="J14" s="64"/>
      <c r="K14" s="64"/>
    </row>
    <row r="15" spans="1:11" ht="37.5" customHeight="1" x14ac:dyDescent="0.25">
      <c r="A15" s="42" t="str">
        <v>Fullerton - 200 W Orangethorpe</v>
      </c>
      <c r="B15" s="43" t="str">
        <v>CA</v>
      </c>
      <c r="C15" s="36"/>
      <c r="D15" s="37"/>
      <c r="E15" s="37" t="str">
        <f t="shared" si="0"/>
        <v/>
      </c>
      <c r="F15" s="38" t="str">
        <f t="shared" si="3"/>
        <v/>
      </c>
      <c r="G15" s="39"/>
      <c r="H15" s="39" t="str">
        <f t="shared" si="1"/>
        <v/>
      </c>
      <c r="I15" s="38" t="str">
        <f t="shared" si="2"/>
        <v/>
      </c>
      <c r="J15" s="59"/>
      <c r="K15" s="77"/>
    </row>
    <row r="16" spans="1:11" ht="15.6" x14ac:dyDescent="0.25">
      <c r="A16" s="44" t="str">
        <v>El Paso - 10500 Railroad Drive</v>
      </c>
      <c r="B16" s="41" t="str">
        <v>TX</v>
      </c>
      <c r="C16" s="29"/>
      <c r="D16" s="30"/>
      <c r="E16" s="30" t="str">
        <f t="shared" si="0"/>
        <v/>
      </c>
      <c r="F16" s="31" t="str">
        <f t="shared" si="3"/>
        <v/>
      </c>
      <c r="G16" s="32"/>
      <c r="H16" s="32" t="str">
        <f>IF(AND(ISNUMBER(C16),ISNUMBER(G16)), C16-G16, "")</f>
        <v/>
      </c>
      <c r="I16" s="33" t="str">
        <f>IFERROR(H16/G16, "")</f>
        <v/>
      </c>
      <c r="J16" s="64"/>
      <c r="K16" s="64"/>
    </row>
    <row r="17" spans="1:11" ht="15.6" x14ac:dyDescent="0.25">
      <c r="A17" s="42" t="str">
        <v>Friona - 900 Millard Ave</v>
      </c>
      <c r="B17" s="43" t="str">
        <v>TX</v>
      </c>
      <c r="C17" s="36"/>
      <c r="D17" s="37"/>
      <c r="E17" s="37" t="str">
        <f t="shared" si="0"/>
        <v/>
      </c>
      <c r="F17" s="38" t="str">
        <f t="shared" si="3"/>
        <v/>
      </c>
      <c r="G17" s="39"/>
      <c r="H17" s="39" t="str">
        <f t="shared" si="1"/>
        <v/>
      </c>
      <c r="I17" s="38" t="str">
        <f>IFERROR(H17/G17, "")</f>
        <v/>
      </c>
      <c r="J17" s="59"/>
      <c r="K17" s="77"/>
    </row>
    <row r="18" spans="1:11" ht="15.6" x14ac:dyDescent="0.25">
      <c r="A18" s="44" t="str">
        <v>Augusta - 13 York Farm Road</v>
      </c>
      <c r="B18" s="41" t="str">
        <v>ME</v>
      </c>
      <c r="C18" s="29"/>
      <c r="D18" s="30"/>
      <c r="E18" s="30" t="str">
        <f>IF(AND(ISNUMBER(C18),ISNUMBER(D18)), C18-D18, "")</f>
        <v/>
      </c>
      <c r="F18" s="31" t="str">
        <f>IFERROR(E18/D18, "")</f>
        <v/>
      </c>
      <c r="G18" s="32"/>
      <c r="H18" s="32" t="str">
        <f>IF(AND(ISNUMBER(C18),ISNUMBER(G18)), C18-G18, "")</f>
        <v/>
      </c>
      <c r="I18" s="33" t="str">
        <f>IFERROR(H18/G18, "")</f>
        <v/>
      </c>
      <c r="J18" s="64"/>
      <c r="K18" s="64"/>
    </row>
    <row r="19" spans="1:11" ht="15.6" x14ac:dyDescent="0.25">
      <c r="A19" s="42" t="str">
        <v xml:space="preserve">Santa Ana - 1441 West </v>
      </c>
      <c r="B19" s="43" t="str">
        <v>CA</v>
      </c>
      <c r="C19" s="36"/>
      <c r="D19" s="37"/>
      <c r="E19" s="37" t="str">
        <f>IF(AND(ISNUMBER(C19),ISNUMBER(D19)), C19-D19, "")</f>
        <v/>
      </c>
      <c r="F19" s="38" t="str">
        <f>IFERROR(E19/D19, "")</f>
        <v/>
      </c>
      <c r="G19" s="39"/>
      <c r="H19" s="39" t="str">
        <f>IF(AND(ISNUMBER(C19),ISNUMBER(G19)), C19-G19, "")</f>
        <v/>
      </c>
      <c r="I19" s="38" t="str">
        <f>IFERROR(H19/G19, "")</f>
        <v/>
      </c>
      <c r="J19" s="59"/>
      <c r="K19" s="77"/>
    </row>
    <row r="20" spans="1:11" ht="15.6" x14ac:dyDescent="0.25">
      <c r="A20" s="44" t="str">
        <v>Jessup -7950 Oceano Ave</v>
      </c>
      <c r="B20" s="41" t="str">
        <v>MD</v>
      </c>
      <c r="C20" s="29"/>
      <c r="D20" s="30"/>
      <c r="E20" s="30" t="str">
        <f>IF(AND(ISNUMBER(C20),ISNUMBER(D20)), C20-D20, "")</f>
        <v/>
      </c>
      <c r="F20" s="31" t="str">
        <f>IFERROR(E20/D20, "")</f>
        <v/>
      </c>
      <c r="G20" s="32"/>
      <c r="H20" s="32" t="str">
        <f>IF(AND(ISNUMBER(C20),ISNUMBER(G20)), C20-G20, "")</f>
        <v/>
      </c>
      <c r="I20" s="33" t="str">
        <f>IFERROR(H20/G20, "")</f>
        <v/>
      </c>
      <c r="J20" s="64"/>
      <c r="K20" s="50"/>
    </row>
    <row r="21" spans="1:11" ht="14.4" x14ac:dyDescent="0.3">
      <c r="A21" s="9" t="str">
        <v xml:space="preserve">TX: Fort Worth - 5200 Gold Spike Dr </v>
      </c>
      <c r="B21" s="14" t="str">
        <v>TX</v>
      </c>
      <c r="C21" s="9"/>
      <c r="D21" s="9"/>
      <c r="E21" s="9"/>
      <c r="F21" s="9"/>
      <c r="G21" s="9"/>
      <c r="H21" s="9"/>
      <c r="I21" s="9"/>
      <c r="J21" s="9"/>
      <c r="K21" s="9"/>
    </row>
    <row r="22" spans="1:11" ht="14.4" x14ac:dyDescent="0.3">
      <c r="A22" s="9" t="str">
        <v>NY: Clifton Springs - Ontario 2 (21597)</v>
      </c>
      <c r="B22" s="14" t="str">
        <v>NY</v>
      </c>
      <c r="C22" s="9"/>
      <c r="D22" s="9"/>
      <c r="E22" s="9"/>
      <c r="F22" s="9"/>
      <c r="G22" s="9"/>
      <c r="H22" s="9"/>
      <c r="I22" s="9"/>
      <c r="J22" s="9"/>
      <c r="K22" s="9"/>
    </row>
    <row r="23" spans="1:11" ht="14.4" x14ac:dyDescent="0.3">
      <c r="A23" s="9" t="str">
        <v>CA: Oxnard - 2600 Sakioka - System A</v>
      </c>
      <c r="B23" s="14" t="str">
        <v>CA</v>
      </c>
      <c r="C23" s="9"/>
      <c r="D23" s="9"/>
      <c r="E23" s="9"/>
      <c r="F23" s="9"/>
      <c r="G23" s="9"/>
      <c r="H23" s="9"/>
      <c r="I23" s="9"/>
      <c r="J23" s="9"/>
      <c r="K23" s="9"/>
    </row>
    <row r="24" spans="1:11" ht="14.4" x14ac:dyDescent="0.3">
      <c r="A24" s="9" t="str">
        <v>CA: Oxnard - 2600 Sakioka - System B</v>
      </c>
      <c r="B24" s="14" t="str">
        <v>CA</v>
      </c>
      <c r="C24" s="9"/>
      <c r="D24" s="9"/>
      <c r="E24" s="9"/>
      <c r="F24" s="9"/>
      <c r="G24" s="9"/>
      <c r="H24" s="9"/>
      <c r="I24" s="9"/>
      <c r="J24" s="9"/>
      <c r="K24" s="9"/>
    </row>
    <row r="25" spans="1:11" ht="14.4" x14ac:dyDescent="0.3">
      <c r="A25" s="9" t="str">
        <v>NY: Fonda - Montgomery 1 (21601)</v>
      </c>
      <c r="B25" s="14" t="str">
        <v>NY</v>
      </c>
      <c r="C25" s="9"/>
      <c r="D25" s="9"/>
      <c r="E25" s="9"/>
      <c r="F25" s="10"/>
      <c r="G25" s="9"/>
      <c r="H25" s="9"/>
      <c r="I25" s="10"/>
      <c r="J25" s="9"/>
      <c r="K25" s="9"/>
    </row>
    <row r="26" spans="1:11" ht="14.4" x14ac:dyDescent="0.3">
      <c r="A26" s="9" t="str">
        <v>NY: Evans - SL Evans Array 1 (21106) - (PW)</v>
      </c>
      <c r="B26" s="14" t="str">
        <v>NY</v>
      </c>
      <c r="C26" s="9"/>
      <c r="D26" s="9"/>
      <c r="E26" s="9"/>
      <c r="F26" s="10"/>
      <c r="G26" s="9"/>
      <c r="H26" s="9"/>
      <c r="I26" s="10"/>
      <c r="J26" s="9"/>
      <c r="K26" s="9"/>
    </row>
    <row r="27" spans="1:11" ht="14.4" x14ac:dyDescent="0.3">
      <c r="A27" s="9" t="str">
        <v>NY: Evans - SL Evans Array 2 (21107) - (PW)</v>
      </c>
      <c r="B27" s="14" t="str">
        <v>NY</v>
      </c>
      <c r="C27" s="9"/>
      <c r="D27" s="9"/>
      <c r="E27" s="9"/>
      <c r="F27" s="10"/>
      <c r="G27" s="9"/>
      <c r="H27" s="9"/>
      <c r="I27" s="10"/>
      <c r="J27" s="9"/>
      <c r="K27" s="9"/>
    </row>
    <row r="28" spans="1:11" ht="14.4" x14ac:dyDescent="0.3">
      <c r="A28" s="9"/>
      <c r="B28" s="14"/>
      <c r="C28" s="9"/>
      <c r="D28" s="9"/>
      <c r="E28" s="9"/>
      <c r="F28" s="10"/>
      <c r="G28" s="9"/>
      <c r="H28" s="9"/>
      <c r="I28" s="10"/>
      <c r="J28" s="9"/>
      <c r="K28" s="9"/>
    </row>
    <row r="29" spans="1:11" ht="14.4" x14ac:dyDescent="0.3">
      <c r="A29" s="9"/>
      <c r="B29" s="14"/>
      <c r="C29" s="9"/>
      <c r="D29" s="9"/>
      <c r="E29" s="9"/>
      <c r="F29" s="10"/>
      <c r="G29" s="9"/>
      <c r="H29" s="9"/>
      <c r="I29" s="10"/>
      <c r="J29" s="9"/>
      <c r="K29" s="9"/>
    </row>
    <row r="30" spans="1:11" ht="14.4" x14ac:dyDescent="0.3">
      <c r="A30" s="9"/>
      <c r="B30" s="14"/>
      <c r="C30" s="9"/>
      <c r="D30" s="9"/>
      <c r="E30" s="9"/>
      <c r="F30" s="10"/>
      <c r="G30" s="9"/>
      <c r="H30" s="9"/>
      <c r="I30" s="10"/>
      <c r="J30" s="9"/>
      <c r="K30" s="9"/>
    </row>
    <row r="31" spans="1:11" ht="14.4" x14ac:dyDescent="0.3">
      <c r="A31" s="9"/>
      <c r="B31" s="14"/>
      <c r="C31" s="9"/>
      <c r="D31" s="9"/>
      <c r="E31" s="9"/>
      <c r="F31" s="10"/>
      <c r="G31" s="9"/>
      <c r="H31" s="9"/>
      <c r="I31" s="10"/>
      <c r="J31" s="9"/>
      <c r="K31" s="9"/>
    </row>
    <row r="32" spans="1:11"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5"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1" ht="19.5" customHeight="1" x14ac:dyDescent="0.25">
      <c r="A1" s="96" t="str" cm="1">
        <f t="array" ref="A1">portfolio</f>
        <v>Catalyze</v>
      </c>
      <c r="B1" s="96"/>
      <c r="C1" s="96"/>
      <c r="D1" s="97" t="s">
        <v>374</v>
      </c>
      <c r="E1" s="97"/>
      <c r="F1" s="97"/>
      <c r="G1" s="95" t="s">
        <v>375</v>
      </c>
      <c r="H1" s="95"/>
      <c r="I1" s="95"/>
      <c r="J1" s="4"/>
      <c r="K1" s="4"/>
    </row>
    <row r="2" spans="1:11" ht="19.5" customHeight="1" x14ac:dyDescent="0.25">
      <c r="A2" s="98" t="s">
        <v>2</v>
      </c>
      <c r="B2" s="98"/>
      <c r="C2" s="5">
        <f>SUM(C4:C92)</f>
        <v>0</v>
      </c>
      <c r="D2" s="5">
        <f>SUM(D4:D92)</f>
        <v>0</v>
      </c>
      <c r="E2" s="5">
        <f>C2-D2</f>
        <v>0</v>
      </c>
      <c r="F2" s="6">
        <f>IFERROR(E2/D2, 0)</f>
        <v>0</v>
      </c>
      <c r="G2" s="5">
        <f>SUM(G4:G92)</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3" t="s">
        <v>3</v>
      </c>
      <c r="B3" s="13" t="s">
        <v>4</v>
      </c>
      <c r="C3" s="20" t="s">
        <v>5</v>
      </c>
      <c r="D3" s="21" t="s">
        <v>6</v>
      </c>
      <c r="E3" s="21" t="s">
        <v>7</v>
      </c>
      <c r="F3" s="22" t="s">
        <v>8</v>
      </c>
      <c r="G3" s="23" t="s">
        <v>9</v>
      </c>
      <c r="H3" s="24" t="s">
        <v>7</v>
      </c>
      <c r="I3" s="25" t="s">
        <v>8</v>
      </c>
      <c r="J3" s="11" t="s">
        <v>20</v>
      </c>
      <c r="K3" s="11" t="s">
        <v>21</v>
      </c>
    </row>
    <row r="4" spans="1:11" ht="15.6" x14ac:dyDescent="0.3">
      <c r="A4" s="40" t="str" cm="1">
        <f t="array" ref="A4:A27">Sites[Site]</f>
        <v>Fresno - 3150 Shaw Ave</v>
      </c>
      <c r="B4" s="41" t="str" cm="1">
        <f t="array" ref="B4:B27">Sites[State]</f>
        <v>CA</v>
      </c>
      <c r="C4" s="29"/>
      <c r="D4" s="30"/>
      <c r="E4" s="30" t="str">
        <f>IF(AND(ISNUMBER(C4),ISNUMBER(D4)), C4-D4, "")</f>
        <v/>
      </c>
      <c r="F4" s="31" t="str">
        <f>IFERROR(E4/D4, "")</f>
        <v/>
      </c>
      <c r="G4" s="32"/>
      <c r="H4" s="32" t="str">
        <f>IF(AND(ISNUMBER(C4),ISNUMBER(G4)), C4-G4, "")</f>
        <v/>
      </c>
      <c r="I4" s="33" t="str">
        <f>IFERROR(H4/G4, "")</f>
        <v/>
      </c>
      <c r="J4" s="50"/>
      <c r="K4" s="50"/>
    </row>
    <row r="5" spans="1:11" ht="15.6" x14ac:dyDescent="0.25">
      <c r="A5" s="42" t="str">
        <v>Adelanto - 1 Sheep Creek Road</v>
      </c>
      <c r="B5" s="43" t="str">
        <v>CA</v>
      </c>
      <c r="C5" s="36"/>
      <c r="D5" s="37"/>
      <c r="E5" s="37" t="str">
        <f t="shared" ref="E5:E20" si="0">IF(AND(ISNUMBER(C5),ISNUMBER(D5)), C5-D5, "")</f>
        <v/>
      </c>
      <c r="F5" s="38" t="str">
        <f t="shared" ref="F5:F20" si="1">IFERROR(E5/D5, "")</f>
        <v/>
      </c>
      <c r="G5" s="39"/>
      <c r="H5" s="39" t="str">
        <f t="shared" ref="H5:H20" si="2">IF(AND(ISNUMBER(C5),ISNUMBER(G5)), C5-G5, "")</f>
        <v/>
      </c>
      <c r="I5" s="38" t="str">
        <f t="shared" ref="I5:I20" si="3">IFERROR(H5/G5, "")</f>
        <v/>
      </c>
      <c r="J5" s="59"/>
      <c r="K5" s="59"/>
    </row>
    <row r="6" spans="1:11" ht="15.6" x14ac:dyDescent="0.25">
      <c r="A6" s="44" t="str">
        <v>Blackstone - 83 Federal Street</v>
      </c>
      <c r="B6" s="41" t="str">
        <v>MA</v>
      </c>
      <c r="C6" s="29"/>
      <c r="D6" s="30"/>
      <c r="E6" s="30" t="str">
        <f t="shared" si="0"/>
        <v/>
      </c>
      <c r="F6" s="31" t="str">
        <f t="shared" si="1"/>
        <v/>
      </c>
      <c r="G6" s="32"/>
      <c r="H6" s="32" t="str">
        <f t="shared" si="2"/>
        <v/>
      </c>
      <c r="I6" s="33" t="str">
        <f t="shared" si="3"/>
        <v/>
      </c>
      <c r="J6" s="50"/>
      <c r="K6" s="50"/>
    </row>
    <row r="7" spans="1:11" ht="15.6" x14ac:dyDescent="0.25">
      <c r="A7" s="42" t="str">
        <v>Charlton - 299 Worcester Road</v>
      </c>
      <c r="B7" s="43" t="str">
        <v>MA</v>
      </c>
      <c r="C7" s="36"/>
      <c r="D7" s="37"/>
      <c r="E7" s="37" t="str">
        <f t="shared" si="0"/>
        <v/>
      </c>
      <c r="F7" s="38" t="str">
        <f t="shared" si="1"/>
        <v/>
      </c>
      <c r="G7" s="39"/>
      <c r="H7" s="39" t="str">
        <f t="shared" si="2"/>
        <v/>
      </c>
      <c r="I7" s="38" t="str">
        <f t="shared" si="3"/>
        <v/>
      </c>
      <c r="J7" s="59"/>
      <c r="K7" s="59"/>
    </row>
    <row r="8" spans="1:11" ht="15.6" x14ac:dyDescent="0.25">
      <c r="A8" s="44" t="str">
        <v>Wareham - 8 Thatcher Drive</v>
      </c>
      <c r="B8" s="41" t="str">
        <v>MA</v>
      </c>
      <c r="C8" s="29"/>
      <c r="D8" s="30"/>
      <c r="E8" s="30" t="str">
        <f t="shared" si="0"/>
        <v/>
      </c>
      <c r="F8" s="31" t="str">
        <f t="shared" si="1"/>
        <v/>
      </c>
      <c r="G8" s="32"/>
      <c r="H8" s="32" t="str">
        <f t="shared" si="2"/>
        <v/>
      </c>
      <c r="I8" s="33" t="str">
        <f t="shared" si="3"/>
        <v/>
      </c>
      <c r="J8" s="50"/>
      <c r="K8" s="50"/>
    </row>
    <row r="9" spans="1:11" ht="15.6" x14ac:dyDescent="0.25">
      <c r="A9" s="42" t="str">
        <v>West Yarmouth - 42 Mid Tech</v>
      </c>
      <c r="B9" s="43" t="str">
        <v>MA</v>
      </c>
      <c r="C9" s="36"/>
      <c r="D9" s="37"/>
      <c r="E9" s="37" t="str">
        <f t="shared" si="0"/>
        <v/>
      </c>
      <c r="F9" s="38" t="str">
        <f t="shared" si="1"/>
        <v/>
      </c>
      <c r="G9" s="39"/>
      <c r="H9" s="39" t="str">
        <f t="shared" si="2"/>
        <v/>
      </c>
      <c r="I9" s="38" t="str">
        <f t="shared" si="3"/>
        <v/>
      </c>
      <c r="J9" s="59"/>
      <c r="K9" s="59"/>
    </row>
    <row r="10" spans="1:11" ht="15.6" x14ac:dyDescent="0.25">
      <c r="A10" s="44" t="str">
        <v>Harrison - 130 Union Street</v>
      </c>
      <c r="B10" s="41" t="str">
        <v>NY</v>
      </c>
      <c r="C10" s="29"/>
      <c r="D10" s="30"/>
      <c r="E10" s="30" t="str">
        <f t="shared" si="0"/>
        <v/>
      </c>
      <c r="F10" s="31" t="str">
        <f t="shared" si="1"/>
        <v/>
      </c>
      <c r="G10" s="32"/>
      <c r="H10" s="32" t="str">
        <f t="shared" si="2"/>
        <v/>
      </c>
      <c r="I10" s="33" t="str">
        <f t="shared" si="3"/>
        <v/>
      </c>
      <c r="J10" s="50"/>
      <c r="K10" s="50"/>
    </row>
    <row r="11" spans="1:11" ht="15.6" x14ac:dyDescent="0.25">
      <c r="A11" s="42" t="str">
        <v>Staten Island - Ellis Storage</v>
      </c>
      <c r="B11" s="43" t="str">
        <v>NY</v>
      </c>
      <c r="C11" s="36"/>
      <c r="D11" s="37"/>
      <c r="E11" s="37" t="str">
        <f t="shared" si="0"/>
        <v/>
      </c>
      <c r="F11" s="38" t="str">
        <f t="shared" si="1"/>
        <v/>
      </c>
      <c r="G11" s="39"/>
      <c r="H11" s="39" t="str">
        <f t="shared" si="2"/>
        <v/>
      </c>
      <c r="I11" s="38" t="str">
        <f t="shared" si="3"/>
        <v/>
      </c>
      <c r="J11" s="59"/>
      <c r="K11" s="59"/>
    </row>
    <row r="12" spans="1:11" ht="15.6" x14ac:dyDescent="0.25">
      <c r="A12" s="44" t="str">
        <v>Amherst - 595 Schoelles Road</v>
      </c>
      <c r="B12" s="41" t="str">
        <v>NY</v>
      </c>
      <c r="C12" s="29"/>
      <c r="D12" s="30"/>
      <c r="E12" s="30" t="str">
        <f t="shared" si="0"/>
        <v/>
      </c>
      <c r="F12" s="31" t="str">
        <f t="shared" si="1"/>
        <v/>
      </c>
      <c r="G12" s="32"/>
      <c r="H12" s="32" t="str">
        <f t="shared" si="2"/>
        <v/>
      </c>
      <c r="I12" s="33" t="str">
        <f t="shared" si="3"/>
        <v/>
      </c>
      <c r="J12" s="50"/>
      <c r="K12" s="50"/>
    </row>
    <row r="13" spans="1:11" ht="15.6" x14ac:dyDescent="0.25">
      <c r="A13" s="42" t="str">
        <v>Lancaster 1 - Gunnville Road</v>
      </c>
      <c r="B13" s="43" t="str">
        <v>NY</v>
      </c>
      <c r="C13" s="36"/>
      <c r="D13" s="37"/>
      <c r="E13" s="37" t="str">
        <f t="shared" si="0"/>
        <v/>
      </c>
      <c r="F13" s="38" t="str">
        <f t="shared" si="1"/>
        <v/>
      </c>
      <c r="G13" s="39"/>
      <c r="H13" s="39" t="str">
        <f t="shared" si="2"/>
        <v/>
      </c>
      <c r="I13" s="38" t="str">
        <f t="shared" si="3"/>
        <v/>
      </c>
      <c r="J13" s="59"/>
      <c r="K13" s="59"/>
    </row>
    <row r="14" spans="1:11" ht="93.75" customHeight="1" x14ac:dyDescent="0.25">
      <c r="A14" s="44" t="str">
        <v>Lancaster 2 - Shisler Road</v>
      </c>
      <c r="B14" s="41" t="str">
        <v>NY</v>
      </c>
      <c r="C14" s="29"/>
      <c r="D14" s="30"/>
      <c r="E14" s="30" t="str">
        <f t="shared" si="0"/>
        <v/>
      </c>
      <c r="F14" s="31" t="str">
        <f t="shared" si="1"/>
        <v/>
      </c>
      <c r="G14" s="32"/>
      <c r="H14" s="32" t="str">
        <f t="shared" si="2"/>
        <v/>
      </c>
      <c r="I14" s="33" t="str">
        <f t="shared" si="3"/>
        <v/>
      </c>
      <c r="J14" s="50"/>
      <c r="K14" s="50"/>
    </row>
    <row r="15" spans="1:11" ht="15.6" x14ac:dyDescent="0.25">
      <c r="A15" s="42" t="str">
        <v>Fullerton - 200 W Orangethorpe</v>
      </c>
      <c r="B15" s="43" t="str">
        <v>CA</v>
      </c>
      <c r="C15" s="36"/>
      <c r="D15" s="37"/>
      <c r="E15" s="37" t="str">
        <f t="shared" si="0"/>
        <v/>
      </c>
      <c r="F15" s="38" t="str">
        <f t="shared" si="1"/>
        <v/>
      </c>
      <c r="G15" s="39"/>
      <c r="H15" s="39" t="str">
        <f t="shared" si="2"/>
        <v/>
      </c>
      <c r="I15" s="38" t="str">
        <f t="shared" si="3"/>
        <v/>
      </c>
      <c r="J15" s="59"/>
      <c r="K15" s="59"/>
    </row>
    <row r="16" spans="1:11" ht="15.6" x14ac:dyDescent="0.25">
      <c r="A16" s="44" t="str">
        <v>El Paso - 10500 Railroad Drive</v>
      </c>
      <c r="B16" s="41" t="str">
        <v>TX</v>
      </c>
      <c r="C16" s="29"/>
      <c r="D16" s="30"/>
      <c r="E16" s="30" t="str">
        <f t="shared" si="0"/>
        <v/>
      </c>
      <c r="F16" s="31" t="str">
        <f t="shared" si="1"/>
        <v/>
      </c>
      <c r="G16" s="32"/>
      <c r="H16" s="32" t="str">
        <f t="shared" si="2"/>
        <v/>
      </c>
      <c r="I16" s="33" t="str">
        <f t="shared" si="3"/>
        <v/>
      </c>
      <c r="J16" s="50"/>
      <c r="K16" s="50"/>
    </row>
    <row r="17" spans="1:11" ht="15.6" x14ac:dyDescent="0.25">
      <c r="A17" s="42" t="str">
        <v>Friona - 900 Millard Ave</v>
      </c>
      <c r="B17" s="43" t="str">
        <v>TX</v>
      </c>
      <c r="C17" s="36"/>
      <c r="D17" s="37"/>
      <c r="E17" s="37" t="str">
        <f t="shared" si="0"/>
        <v/>
      </c>
      <c r="F17" s="38" t="str">
        <f t="shared" si="1"/>
        <v/>
      </c>
      <c r="G17" s="39"/>
      <c r="H17" s="39" t="str">
        <f t="shared" si="2"/>
        <v/>
      </c>
      <c r="I17" s="38" t="str">
        <f t="shared" si="3"/>
        <v/>
      </c>
      <c r="J17" s="59"/>
      <c r="K17" s="59"/>
    </row>
    <row r="18" spans="1:11" ht="15.6" x14ac:dyDescent="0.25">
      <c r="A18" s="44" t="str">
        <v>Augusta - 13 York Farm Road</v>
      </c>
      <c r="B18" s="41" t="str">
        <v>ME</v>
      </c>
      <c r="C18" s="29"/>
      <c r="D18" s="30"/>
      <c r="E18" s="30" t="str">
        <f t="shared" si="0"/>
        <v/>
      </c>
      <c r="F18" s="31" t="str">
        <f t="shared" si="1"/>
        <v/>
      </c>
      <c r="G18" s="32"/>
      <c r="H18" s="32" t="str">
        <f t="shared" si="2"/>
        <v/>
      </c>
      <c r="I18" s="33" t="str">
        <f t="shared" si="3"/>
        <v/>
      </c>
      <c r="J18" s="64"/>
      <c r="K18" s="64"/>
    </row>
    <row r="19" spans="1:11" ht="15.6" x14ac:dyDescent="0.25">
      <c r="A19" s="42" t="str">
        <v xml:space="preserve">Santa Ana - 1441 West </v>
      </c>
      <c r="B19" s="43" t="str">
        <v>CA</v>
      </c>
      <c r="C19" s="36"/>
      <c r="D19" s="37"/>
      <c r="E19" s="37" t="str">
        <f t="shared" si="0"/>
        <v/>
      </c>
      <c r="F19" s="38" t="str">
        <f t="shared" si="1"/>
        <v/>
      </c>
      <c r="G19" s="39"/>
      <c r="H19" s="39" t="str">
        <f t="shared" si="2"/>
        <v/>
      </c>
      <c r="I19" s="38" t="str">
        <f t="shared" si="3"/>
        <v/>
      </c>
      <c r="J19" s="59"/>
      <c r="K19" s="77"/>
    </row>
    <row r="20" spans="1:11" ht="15.6" x14ac:dyDescent="0.25">
      <c r="A20" s="44" t="str">
        <v>Jessup -7950 Oceano Ave</v>
      </c>
      <c r="B20" s="41" t="str">
        <v>MD</v>
      </c>
      <c r="C20" s="29"/>
      <c r="D20" s="30"/>
      <c r="E20" s="30" t="str">
        <f t="shared" si="0"/>
        <v/>
      </c>
      <c r="F20" s="31" t="str">
        <f t="shared" si="1"/>
        <v/>
      </c>
      <c r="G20" s="32"/>
      <c r="H20" s="32" t="str">
        <f t="shared" si="2"/>
        <v/>
      </c>
      <c r="I20" s="33" t="str">
        <f t="shared" si="3"/>
        <v/>
      </c>
      <c r="J20" s="50"/>
      <c r="K20" s="50"/>
    </row>
    <row r="21" spans="1:11" ht="14.4" x14ac:dyDescent="0.3">
      <c r="A21" s="9" t="str">
        <v xml:space="preserve">TX: Fort Worth - 5200 Gold Spike Dr </v>
      </c>
      <c r="B21" s="14" t="str">
        <v>TX</v>
      </c>
      <c r="C21" s="9"/>
      <c r="D21" s="9"/>
      <c r="E21" s="9"/>
      <c r="F21" s="9"/>
      <c r="G21" s="9"/>
      <c r="H21" s="9"/>
      <c r="I21" s="9"/>
      <c r="J21" s="9"/>
      <c r="K21" s="9"/>
    </row>
    <row r="22" spans="1:11" ht="14.4" x14ac:dyDescent="0.3">
      <c r="A22" s="9" t="str">
        <v>NY: Clifton Springs - Ontario 2 (21597)</v>
      </c>
      <c r="B22" s="14" t="str">
        <v>NY</v>
      </c>
      <c r="C22" s="9"/>
      <c r="D22" s="9"/>
      <c r="E22" s="9"/>
      <c r="F22" s="9"/>
      <c r="G22" s="9"/>
      <c r="H22" s="9"/>
      <c r="I22" s="9"/>
      <c r="J22" s="9"/>
      <c r="K22" s="9"/>
    </row>
    <row r="23" spans="1:11" ht="14.4" x14ac:dyDescent="0.3">
      <c r="A23" s="9" t="str">
        <v>CA: Oxnard - 2600 Sakioka - System A</v>
      </c>
      <c r="B23" s="14" t="str">
        <v>CA</v>
      </c>
      <c r="C23" s="9"/>
      <c r="D23" s="9"/>
      <c r="E23" s="9"/>
      <c r="F23" s="9"/>
      <c r="G23" s="9"/>
      <c r="H23" s="9"/>
      <c r="I23" s="9"/>
      <c r="J23" s="9"/>
      <c r="K23" s="9"/>
    </row>
    <row r="24" spans="1:11" ht="14.4" x14ac:dyDescent="0.3">
      <c r="A24" s="9" t="str">
        <v>CA: Oxnard - 2600 Sakioka - System B</v>
      </c>
      <c r="B24" s="14" t="str">
        <v>CA</v>
      </c>
      <c r="C24" s="9"/>
      <c r="D24" s="9"/>
      <c r="E24" s="9"/>
      <c r="F24" s="9"/>
      <c r="G24" s="9"/>
      <c r="H24" s="9"/>
      <c r="I24" s="9"/>
      <c r="J24" s="9"/>
      <c r="K24" s="9"/>
    </row>
    <row r="25" spans="1:11" ht="14.4" x14ac:dyDescent="0.3">
      <c r="A25" s="9" t="str">
        <v>NY: Fonda - Montgomery 1 (21601)</v>
      </c>
      <c r="B25" s="14" t="str">
        <v>NY</v>
      </c>
      <c r="C25" s="9"/>
      <c r="D25" s="9"/>
      <c r="E25" s="9"/>
      <c r="F25" s="10"/>
      <c r="G25" s="9"/>
      <c r="H25" s="9"/>
      <c r="I25" s="10"/>
      <c r="J25" s="9"/>
      <c r="K25" s="9"/>
    </row>
    <row r="26" spans="1:11" ht="14.4" x14ac:dyDescent="0.3">
      <c r="A26" s="9" t="str">
        <v>NY: Evans - SL Evans Array 1 (21106) - (PW)</v>
      </c>
      <c r="B26" s="14" t="str">
        <v>NY</v>
      </c>
      <c r="C26" s="9"/>
      <c r="D26" s="9"/>
      <c r="E26" s="9"/>
      <c r="F26" s="10"/>
      <c r="G26" s="9"/>
      <c r="H26" s="9"/>
      <c r="I26" s="10"/>
      <c r="J26" s="9"/>
      <c r="K26" s="9"/>
    </row>
    <row r="27" spans="1:11" ht="14.4" x14ac:dyDescent="0.3">
      <c r="A27" s="9" t="str">
        <v>NY: Evans - SL Evans Array 2 (21107) - (PW)</v>
      </c>
      <c r="B27" s="14" t="str">
        <v>NY</v>
      </c>
      <c r="C27" s="9"/>
      <c r="D27" s="9"/>
      <c r="E27" s="9"/>
      <c r="F27" s="10"/>
      <c r="G27" s="9"/>
      <c r="H27" s="9"/>
      <c r="I27" s="10"/>
      <c r="J27" s="9"/>
      <c r="K27" s="9"/>
    </row>
    <row r="28" spans="1:11" ht="14.4" x14ac:dyDescent="0.3">
      <c r="A28" s="9"/>
      <c r="B28" s="14"/>
      <c r="C28" s="9"/>
      <c r="D28" s="9"/>
      <c r="E28" s="9"/>
      <c r="F28" s="10"/>
      <c r="G28" s="9"/>
      <c r="H28" s="9"/>
      <c r="I28" s="10"/>
      <c r="J28" s="9"/>
      <c r="K28" s="9"/>
    </row>
    <row r="29" spans="1:11" ht="14.4" x14ac:dyDescent="0.3">
      <c r="A29" s="9"/>
      <c r="B29" s="14"/>
      <c r="C29" s="9"/>
      <c r="D29" s="9"/>
      <c r="E29" s="9"/>
      <c r="F29" s="10"/>
      <c r="G29" s="9"/>
      <c r="H29" s="9"/>
      <c r="I29" s="10"/>
      <c r="J29" s="9"/>
      <c r="K29" s="9"/>
    </row>
    <row r="30" spans="1:11" ht="14.4" x14ac:dyDescent="0.3">
      <c r="A30" s="9"/>
      <c r="B30" s="14"/>
      <c r="C30" s="9"/>
      <c r="D30" s="9"/>
      <c r="E30" s="9"/>
      <c r="F30" s="10"/>
      <c r="G30" s="9"/>
      <c r="H30" s="9"/>
      <c r="I30" s="10"/>
      <c r="J30" s="9"/>
      <c r="K30" s="9"/>
    </row>
    <row r="31" spans="1:11" ht="14.4" x14ac:dyDescent="0.3">
      <c r="A31" s="9"/>
      <c r="B31" s="14"/>
      <c r="C31" s="9"/>
      <c r="D31" s="9"/>
      <c r="E31" s="9"/>
      <c r="F31" s="10"/>
      <c r="G31" s="9"/>
      <c r="H31" s="9"/>
      <c r="I31" s="10"/>
      <c r="J31" s="9"/>
      <c r="K31" s="9"/>
    </row>
    <row r="32" spans="1:11" ht="14.4" x14ac:dyDescent="0.3">
      <c r="A32" s="9"/>
      <c r="B32" s="14"/>
      <c r="C32" s="9"/>
      <c r="D32" s="9"/>
      <c r="E32" s="9"/>
      <c r="F32" s="10"/>
      <c r="G32" s="9"/>
      <c r="H32" s="9"/>
      <c r="I32" s="10"/>
      <c r="J32" s="9"/>
      <c r="K32" s="9"/>
    </row>
    <row r="33" spans="1:11" ht="14.4" x14ac:dyDescent="0.3">
      <c r="A33" s="9"/>
      <c r="B33" s="14"/>
      <c r="C33" s="9"/>
      <c r="D33" s="9"/>
      <c r="E33" s="9"/>
      <c r="F33" s="10"/>
      <c r="G33" s="9"/>
      <c r="H33" s="9"/>
      <c r="I33" s="10"/>
      <c r="J33" s="9"/>
      <c r="K33" s="9"/>
    </row>
    <row r="34" spans="1:11" ht="14.4" x14ac:dyDescent="0.3">
      <c r="A34" s="9"/>
      <c r="B34" s="14"/>
      <c r="C34" s="9"/>
      <c r="D34" s="9"/>
      <c r="E34" s="9"/>
      <c r="F34" s="10"/>
      <c r="G34" s="9"/>
      <c r="H34" s="9"/>
      <c r="I34" s="10"/>
      <c r="J34" s="9"/>
      <c r="K34" s="9"/>
    </row>
    <row r="35" spans="1:11" ht="14.4" x14ac:dyDescent="0.3">
      <c r="A35" s="9"/>
      <c r="B35" s="14"/>
      <c r="C35" s="9"/>
      <c r="D35" s="9"/>
      <c r="E35" s="9"/>
      <c r="F35" s="10"/>
      <c r="G35" s="9"/>
      <c r="H35" s="9"/>
      <c r="I35" s="10"/>
      <c r="J35" s="9"/>
      <c r="K35" s="9"/>
    </row>
    <row r="36" spans="1:11" ht="14.4" x14ac:dyDescent="0.3">
      <c r="A36" s="9"/>
      <c r="B36" s="14"/>
      <c r="C36" s="9"/>
      <c r="D36" s="9"/>
      <c r="E36" s="9"/>
      <c r="F36" s="10"/>
      <c r="G36" s="9"/>
      <c r="H36" s="9"/>
      <c r="I36" s="10"/>
      <c r="J36" s="9"/>
      <c r="K36" s="9"/>
    </row>
    <row r="37" spans="1:11" ht="14.4" x14ac:dyDescent="0.3">
      <c r="A37" s="9"/>
      <c r="B37" s="14"/>
      <c r="C37" s="9"/>
      <c r="D37" s="9"/>
      <c r="E37" s="9"/>
      <c r="F37" s="10"/>
      <c r="G37" s="9"/>
      <c r="H37" s="9"/>
      <c r="I37" s="10"/>
      <c r="J37" s="9"/>
      <c r="K37" s="9"/>
    </row>
    <row r="38" spans="1:11" ht="14.4" x14ac:dyDescent="0.3">
      <c r="A38" s="9"/>
      <c r="B38" s="14"/>
      <c r="C38" s="9"/>
      <c r="D38" s="9"/>
      <c r="E38" s="9"/>
      <c r="F38" s="10"/>
      <c r="G38" s="9"/>
      <c r="H38" s="9"/>
      <c r="I38" s="10"/>
      <c r="J38" s="9"/>
      <c r="K38" s="9"/>
    </row>
    <row r="39" spans="1:11" ht="14.4" x14ac:dyDescent="0.3">
      <c r="A39" s="9"/>
      <c r="B39" s="14"/>
      <c r="C39" s="9"/>
      <c r="D39" s="9"/>
      <c r="E39" s="9"/>
      <c r="F39" s="10"/>
      <c r="G39" s="9"/>
      <c r="H39" s="9"/>
      <c r="I39" s="10"/>
      <c r="J39" s="9"/>
      <c r="K39" s="9"/>
    </row>
    <row r="40" spans="1:11" ht="14.4" x14ac:dyDescent="0.3">
      <c r="A40" s="9"/>
      <c r="B40" s="14"/>
      <c r="C40" s="9"/>
      <c r="D40" s="9"/>
      <c r="E40" s="9"/>
      <c r="F40" s="10"/>
      <c r="G40" s="9"/>
      <c r="H40" s="9"/>
      <c r="I40" s="10"/>
      <c r="J40" s="9"/>
      <c r="K40" s="9"/>
    </row>
    <row r="41" spans="1:11" ht="14.4" x14ac:dyDescent="0.3">
      <c r="A41" s="9"/>
      <c r="B41" s="14"/>
      <c r="C41" s="9"/>
      <c r="D41" s="9"/>
      <c r="E41" s="9"/>
      <c r="F41" s="10"/>
      <c r="G41" s="9"/>
      <c r="H41" s="9"/>
      <c r="I41" s="10"/>
      <c r="J41" s="9"/>
      <c r="K41" s="9"/>
    </row>
    <row r="42" spans="1:11" ht="14.4" x14ac:dyDescent="0.3">
      <c r="A42" s="9"/>
      <c r="B42" s="14"/>
      <c r="C42" s="9"/>
      <c r="D42" s="9"/>
      <c r="E42" s="9"/>
      <c r="F42" s="10"/>
      <c r="G42" s="9"/>
      <c r="H42" s="9"/>
      <c r="I42" s="10"/>
      <c r="J42" s="9"/>
      <c r="K42" s="9"/>
    </row>
    <row r="43" spans="1:11" ht="14.4" x14ac:dyDescent="0.3">
      <c r="A43" s="9"/>
      <c r="B43" s="14"/>
      <c r="C43" s="9"/>
      <c r="D43" s="9"/>
      <c r="E43" s="9"/>
      <c r="F43" s="10"/>
      <c r="G43" s="9"/>
      <c r="H43" s="9"/>
      <c r="I43" s="10"/>
      <c r="J43" s="9"/>
      <c r="K43" s="9"/>
    </row>
    <row r="44" spans="1:11" ht="14.4" x14ac:dyDescent="0.3">
      <c r="A44" s="9"/>
      <c r="B44" s="14"/>
      <c r="C44" s="9"/>
      <c r="D44" s="9"/>
      <c r="E44" s="9"/>
      <c r="F44" s="10"/>
      <c r="G44" s="9"/>
      <c r="H44" s="9"/>
      <c r="I44" s="10"/>
      <c r="J44" s="9"/>
      <c r="K44" s="9"/>
    </row>
    <row r="45" spans="1:11" ht="14.4" x14ac:dyDescent="0.3">
      <c r="A45" s="9"/>
      <c r="B45" s="14"/>
      <c r="C45" s="9"/>
      <c r="D45" s="9"/>
      <c r="E45" s="9"/>
      <c r="F45" s="10"/>
      <c r="G45" s="9"/>
      <c r="H45" s="9"/>
      <c r="I45" s="10"/>
      <c r="J45" s="9"/>
      <c r="K45" s="9"/>
    </row>
    <row r="46" spans="1:11" ht="14.4" x14ac:dyDescent="0.3">
      <c r="A46" s="9"/>
      <c r="B46" s="14"/>
      <c r="C46" s="9"/>
      <c r="D46" s="9"/>
      <c r="E46" s="9"/>
      <c r="F46" s="10"/>
      <c r="G46" s="9"/>
      <c r="H46" s="9"/>
      <c r="I46" s="10"/>
      <c r="J46" s="9"/>
      <c r="K46" s="9"/>
    </row>
    <row r="47" spans="1:11" ht="14.4" x14ac:dyDescent="0.3">
      <c r="A47" s="9"/>
      <c r="B47" s="14"/>
      <c r="C47" s="9"/>
      <c r="D47" s="9"/>
      <c r="E47" s="9"/>
      <c r="F47" s="10"/>
      <c r="G47" s="9"/>
      <c r="H47" s="9"/>
      <c r="I47" s="10"/>
      <c r="J47" s="9"/>
      <c r="K47" s="9"/>
    </row>
    <row r="48" spans="1:11" ht="14.4" x14ac:dyDescent="0.3">
      <c r="A48" s="9"/>
      <c r="B48" s="14"/>
      <c r="C48" s="9"/>
      <c r="D48" s="9"/>
      <c r="E48" s="9"/>
      <c r="F48" s="10"/>
      <c r="G48" s="9"/>
      <c r="H48" s="9"/>
      <c r="I48" s="10"/>
      <c r="J48" s="9"/>
      <c r="K48" s="9"/>
    </row>
    <row r="49" spans="1:11" ht="14.4" x14ac:dyDescent="0.3">
      <c r="A49" s="9"/>
      <c r="B49" s="14"/>
      <c r="C49" s="9"/>
      <c r="D49" s="9"/>
      <c r="E49" s="9"/>
      <c r="F49" s="10"/>
      <c r="G49" s="9"/>
      <c r="H49" s="9"/>
      <c r="I49" s="10"/>
      <c r="J49" s="9"/>
      <c r="K49" s="9"/>
    </row>
    <row r="50" spans="1:11" ht="14.4" x14ac:dyDescent="0.3">
      <c r="A50" s="9"/>
      <c r="B50" s="14"/>
      <c r="C50" s="9"/>
      <c r="D50" s="9"/>
      <c r="E50" s="9"/>
      <c r="F50" s="10"/>
      <c r="G50" s="9"/>
      <c r="H50" s="9"/>
      <c r="I50" s="10"/>
      <c r="J50" s="9"/>
      <c r="K50" s="9"/>
    </row>
    <row r="51" spans="1:11" ht="14.4" x14ac:dyDescent="0.3">
      <c r="A51" s="9"/>
      <c r="B51" s="14"/>
      <c r="C51" s="9"/>
      <c r="D51" s="9"/>
      <c r="E51" s="9"/>
      <c r="F51" s="10"/>
      <c r="G51" s="9"/>
      <c r="H51" s="9"/>
      <c r="I51" s="10"/>
      <c r="J51" s="9"/>
      <c r="K51" s="9"/>
    </row>
    <row r="52" spans="1:11" ht="14.4" x14ac:dyDescent="0.3">
      <c r="A52" s="9"/>
      <c r="B52" s="14"/>
      <c r="C52" s="9"/>
      <c r="D52" s="9"/>
      <c r="E52" s="9"/>
      <c r="F52" s="10"/>
      <c r="G52" s="9"/>
      <c r="H52" s="9"/>
      <c r="I52" s="10"/>
      <c r="J52" s="9"/>
      <c r="K52" s="9"/>
    </row>
    <row r="53" spans="1:11" ht="14.4" x14ac:dyDescent="0.3">
      <c r="A53" s="9"/>
      <c r="B53" s="14"/>
      <c r="C53" s="9"/>
      <c r="D53" s="9"/>
      <c r="E53" s="9"/>
      <c r="F53" s="10"/>
      <c r="G53" s="9"/>
      <c r="H53" s="9"/>
      <c r="I53" s="10"/>
      <c r="J53" s="9"/>
      <c r="K53" s="9"/>
    </row>
    <row r="54" spans="1:11" ht="14.4" x14ac:dyDescent="0.3">
      <c r="A54" s="9"/>
      <c r="B54" s="14"/>
      <c r="C54" s="9"/>
      <c r="D54" s="9"/>
      <c r="E54" s="9"/>
      <c r="F54" s="10"/>
      <c r="G54" s="9"/>
      <c r="H54" s="9"/>
      <c r="I54" s="10"/>
      <c r="J54" s="9"/>
      <c r="K54" s="9"/>
    </row>
    <row r="55" spans="1:11" ht="14.4" x14ac:dyDescent="0.3">
      <c r="A55" s="9"/>
      <c r="B55" s="14"/>
      <c r="C55" s="9"/>
      <c r="D55" s="9"/>
      <c r="E55" s="9"/>
      <c r="F55" s="10"/>
      <c r="G55" s="9"/>
      <c r="H55" s="9"/>
      <c r="I55" s="10"/>
      <c r="J55" s="9"/>
      <c r="K55" s="9"/>
    </row>
    <row r="56" spans="1:11" ht="14.4" x14ac:dyDescent="0.3">
      <c r="A56" s="9"/>
      <c r="B56" s="14"/>
      <c r="C56" s="9"/>
      <c r="D56" s="9"/>
      <c r="E56" s="9"/>
      <c r="F56" s="10"/>
      <c r="G56" s="9"/>
      <c r="H56" s="9"/>
      <c r="I56" s="10"/>
      <c r="J56" s="9"/>
      <c r="K56" s="9"/>
    </row>
    <row r="57" spans="1:11" ht="14.4" x14ac:dyDescent="0.3">
      <c r="A57" s="9"/>
      <c r="B57" s="14"/>
      <c r="C57" s="9"/>
      <c r="D57" s="9"/>
      <c r="E57" s="9"/>
      <c r="F57" s="10"/>
      <c r="G57" s="9"/>
      <c r="H57" s="9"/>
      <c r="I57" s="10"/>
      <c r="J57" s="9"/>
      <c r="K57" s="9"/>
    </row>
    <row r="58" spans="1:11" ht="14.4" x14ac:dyDescent="0.3">
      <c r="A58" s="9"/>
      <c r="B58" s="14"/>
      <c r="C58" s="9"/>
      <c r="D58" s="9"/>
      <c r="E58" s="9"/>
      <c r="F58" s="10"/>
      <c r="G58" s="9"/>
      <c r="H58" s="9"/>
      <c r="I58" s="10"/>
      <c r="J58" s="9"/>
      <c r="K58" s="9"/>
    </row>
    <row r="59" spans="1:11" ht="14.4" x14ac:dyDescent="0.3">
      <c r="A59" s="9"/>
      <c r="B59" s="14"/>
      <c r="C59" s="9"/>
      <c r="D59" s="9"/>
      <c r="E59" s="9"/>
      <c r="F59" s="10"/>
      <c r="G59" s="9"/>
      <c r="H59" s="9"/>
      <c r="I59" s="10"/>
      <c r="J59" s="9"/>
      <c r="K59" s="9"/>
    </row>
    <row r="60" spans="1:11" ht="14.4" x14ac:dyDescent="0.3">
      <c r="A60" s="9"/>
      <c r="B60" s="14"/>
      <c r="C60" s="9"/>
      <c r="D60" s="9"/>
      <c r="E60" s="9"/>
      <c r="F60" s="10"/>
      <c r="G60" s="9"/>
      <c r="H60" s="9"/>
      <c r="I60" s="10"/>
      <c r="J60" s="9"/>
      <c r="K60" s="9"/>
    </row>
    <row r="61" spans="1:11" ht="14.4" x14ac:dyDescent="0.3">
      <c r="A61" s="9"/>
      <c r="B61" s="14"/>
      <c r="C61" s="9"/>
      <c r="D61" s="9"/>
      <c r="E61" s="9"/>
      <c r="F61" s="10"/>
      <c r="G61" s="9"/>
      <c r="H61" s="9"/>
      <c r="I61" s="10"/>
      <c r="J61" s="9"/>
      <c r="K61" s="9"/>
    </row>
    <row r="62" spans="1:11" ht="14.4" x14ac:dyDescent="0.3">
      <c r="A62" s="9"/>
      <c r="B62" s="14"/>
      <c r="C62" s="9"/>
      <c r="D62" s="9"/>
      <c r="E62" s="9"/>
      <c r="F62" s="10"/>
      <c r="G62" s="9"/>
      <c r="H62" s="9"/>
      <c r="I62" s="10"/>
      <c r="J62" s="9"/>
      <c r="K62" s="9"/>
    </row>
    <row r="63" spans="1:11" ht="14.4" x14ac:dyDescent="0.3">
      <c r="A63" s="9"/>
      <c r="B63" s="14"/>
      <c r="C63" s="9"/>
      <c r="D63" s="9"/>
      <c r="E63" s="9"/>
      <c r="F63" s="10"/>
      <c r="G63" s="9"/>
      <c r="H63" s="9"/>
      <c r="I63" s="10"/>
      <c r="J63" s="9"/>
      <c r="K63" s="9"/>
    </row>
    <row r="64" spans="1:11" ht="14.4" x14ac:dyDescent="0.3">
      <c r="A64" s="9"/>
      <c r="B64" s="14"/>
      <c r="C64" s="9"/>
      <c r="D64" s="9"/>
      <c r="E64" s="9"/>
      <c r="F64" s="10"/>
      <c r="G64" s="9"/>
      <c r="H64" s="9"/>
      <c r="I64" s="10"/>
      <c r="J64" s="9"/>
      <c r="K64" s="9"/>
    </row>
    <row r="65" spans="1:11" ht="14.4" x14ac:dyDescent="0.3">
      <c r="A65" s="9"/>
      <c r="B65" s="14"/>
      <c r="C65" s="9"/>
      <c r="D65" s="9"/>
      <c r="E65" s="9"/>
      <c r="F65" s="10"/>
      <c r="G65" s="9"/>
      <c r="H65" s="9"/>
      <c r="I65" s="10"/>
      <c r="J65" s="9"/>
      <c r="K65" s="9"/>
    </row>
    <row r="66" spans="1:11" ht="14.4" x14ac:dyDescent="0.3">
      <c r="A66" s="9"/>
      <c r="B66" s="14"/>
      <c r="C66" s="9"/>
      <c r="D66" s="9"/>
      <c r="E66" s="9"/>
      <c r="F66" s="10"/>
      <c r="G66" s="9"/>
      <c r="H66" s="9"/>
      <c r="I66" s="10"/>
      <c r="J66" s="9"/>
      <c r="K66" s="9"/>
    </row>
    <row r="67" spans="1:11" ht="14.4" x14ac:dyDescent="0.3">
      <c r="A67" s="9"/>
      <c r="B67" s="14"/>
      <c r="C67" s="9"/>
      <c r="D67" s="9"/>
      <c r="E67" s="9"/>
      <c r="F67" s="10"/>
      <c r="G67" s="9"/>
      <c r="H67" s="9"/>
      <c r="I67" s="10"/>
      <c r="J67" s="9"/>
      <c r="K67" s="9"/>
    </row>
    <row r="68" spans="1:11" ht="14.4" x14ac:dyDescent="0.3">
      <c r="A68" s="9"/>
      <c r="B68" s="14"/>
      <c r="C68" s="9"/>
      <c r="D68" s="9"/>
      <c r="E68" s="9"/>
      <c r="F68" s="10"/>
      <c r="G68" s="9"/>
      <c r="H68" s="9"/>
      <c r="I68" s="10"/>
      <c r="J68" s="9"/>
      <c r="K68" s="9"/>
    </row>
    <row r="69" spans="1:11" ht="14.4" x14ac:dyDescent="0.3">
      <c r="A69" s="9"/>
      <c r="B69" s="14"/>
      <c r="C69" s="9"/>
      <c r="D69" s="9"/>
      <c r="E69" s="9"/>
      <c r="F69" s="10"/>
      <c r="G69" s="9"/>
      <c r="H69" s="9"/>
      <c r="I69" s="10"/>
      <c r="J69" s="9"/>
      <c r="K69" s="9"/>
    </row>
    <row r="70" spans="1:11" ht="14.4" x14ac:dyDescent="0.3">
      <c r="A70" s="9"/>
      <c r="B70" s="14"/>
      <c r="C70" s="9"/>
      <c r="D70" s="9"/>
      <c r="E70" s="9"/>
      <c r="F70" s="10"/>
      <c r="G70" s="9"/>
      <c r="H70" s="9"/>
      <c r="I70" s="10"/>
      <c r="J70" s="9"/>
      <c r="K70" s="9"/>
    </row>
    <row r="71" spans="1:11" ht="14.4" x14ac:dyDescent="0.3">
      <c r="A71" s="9"/>
      <c r="B71" s="14"/>
      <c r="C71" s="9"/>
      <c r="D71" s="9"/>
      <c r="E71" s="9"/>
      <c r="F71" s="10"/>
      <c r="G71" s="9"/>
      <c r="H71" s="9"/>
      <c r="I71" s="10"/>
      <c r="J71" s="9"/>
      <c r="K71" s="9"/>
    </row>
    <row r="72" spans="1:11" ht="14.4" x14ac:dyDescent="0.3">
      <c r="A72" s="9"/>
      <c r="B72" s="14"/>
      <c r="C72" s="9"/>
      <c r="D72" s="9"/>
      <c r="E72" s="9"/>
      <c r="F72" s="10"/>
      <c r="G72" s="9"/>
      <c r="H72" s="9"/>
      <c r="I72" s="10"/>
      <c r="J72" s="9"/>
      <c r="K72" s="9"/>
    </row>
    <row r="73" spans="1:11" ht="14.4" x14ac:dyDescent="0.3">
      <c r="A73" s="9"/>
      <c r="B73" s="14"/>
      <c r="C73" s="9"/>
      <c r="D73" s="9"/>
      <c r="E73" s="9"/>
      <c r="F73" s="10"/>
      <c r="G73" s="9"/>
      <c r="H73" s="9"/>
      <c r="I73" s="10"/>
      <c r="J73" s="9"/>
      <c r="K73" s="9"/>
    </row>
    <row r="74" spans="1:11" ht="14.4" x14ac:dyDescent="0.3">
      <c r="A74" s="9"/>
      <c r="B74" s="14"/>
      <c r="C74" s="9"/>
      <c r="D74" s="9"/>
      <c r="E74" s="9"/>
      <c r="F74" s="10"/>
      <c r="G74" s="9"/>
      <c r="H74" s="9"/>
      <c r="I74" s="10"/>
      <c r="J74" s="9"/>
      <c r="K74" s="9"/>
    </row>
    <row r="75" spans="1:11" ht="14.4" x14ac:dyDescent="0.3">
      <c r="A75" s="9"/>
      <c r="B75" s="14"/>
      <c r="C75" s="9"/>
      <c r="D75" s="9"/>
      <c r="E75" s="9"/>
      <c r="F75" s="10"/>
      <c r="G75" s="9"/>
      <c r="H75" s="9"/>
      <c r="I75" s="10"/>
      <c r="J75" s="9"/>
      <c r="K75" s="9"/>
    </row>
    <row r="76" spans="1:11" ht="14.4" x14ac:dyDescent="0.3">
      <c r="A76" s="9"/>
      <c r="B76" s="14"/>
      <c r="C76" s="9"/>
      <c r="D76" s="9"/>
      <c r="E76" s="9"/>
      <c r="F76" s="10"/>
      <c r="G76" s="9"/>
      <c r="H76" s="9"/>
      <c r="I76" s="10"/>
      <c r="J76" s="9"/>
      <c r="K76" s="9"/>
    </row>
    <row r="77" spans="1:11" ht="14.4" x14ac:dyDescent="0.3">
      <c r="A77" s="9"/>
      <c r="B77" s="14"/>
      <c r="C77" s="9"/>
      <c r="D77" s="9"/>
      <c r="E77" s="9"/>
      <c r="F77" s="10"/>
      <c r="G77" s="9"/>
      <c r="H77" s="9"/>
      <c r="I77" s="10"/>
      <c r="J77" s="9"/>
      <c r="K77" s="9"/>
    </row>
    <row r="78" spans="1:11" ht="14.4" x14ac:dyDescent="0.3">
      <c r="A78" s="9"/>
      <c r="B78" s="14"/>
      <c r="C78" s="9"/>
      <c r="D78" s="9"/>
      <c r="E78" s="9"/>
      <c r="F78" s="10"/>
      <c r="G78" s="9"/>
      <c r="H78" s="9"/>
      <c r="I78" s="10"/>
      <c r="J78" s="9"/>
      <c r="K78" s="9"/>
    </row>
    <row r="79" spans="1:11" ht="14.4" x14ac:dyDescent="0.3">
      <c r="A79" s="9"/>
      <c r="B79" s="14"/>
      <c r="C79" s="9"/>
      <c r="D79" s="9"/>
      <c r="E79" s="9"/>
      <c r="F79" s="10"/>
      <c r="G79" s="9"/>
      <c r="H79" s="9"/>
      <c r="I79" s="10"/>
      <c r="J79" s="9"/>
      <c r="K79" s="9"/>
    </row>
    <row r="80" spans="1:11" ht="14.4" x14ac:dyDescent="0.3">
      <c r="A80" s="9"/>
      <c r="B80" s="14"/>
      <c r="C80" s="9"/>
      <c r="D80" s="9"/>
      <c r="E80" s="9"/>
      <c r="F80" s="10"/>
      <c r="G80" s="9"/>
      <c r="H80" s="9"/>
      <c r="I80" s="10"/>
      <c r="J80" s="9"/>
      <c r="K80" s="9"/>
    </row>
    <row r="81" spans="1:11" ht="14.4" x14ac:dyDescent="0.3">
      <c r="A81" s="9"/>
      <c r="B81" s="14"/>
      <c r="C81" s="9"/>
      <c r="D81" s="9"/>
      <c r="E81" s="9"/>
      <c r="F81" s="10"/>
      <c r="G81" s="9"/>
      <c r="H81" s="9"/>
      <c r="I81" s="10"/>
      <c r="J81" s="9"/>
      <c r="K81" s="9"/>
    </row>
    <row r="82" spans="1:11" ht="14.4" x14ac:dyDescent="0.3">
      <c r="A82" s="9"/>
      <c r="B82" s="14"/>
      <c r="C82" s="9"/>
      <c r="D82" s="9"/>
      <c r="E82" s="9"/>
      <c r="F82" s="10"/>
      <c r="G82" s="9"/>
      <c r="H82" s="9"/>
      <c r="I82" s="10"/>
      <c r="J82" s="9"/>
      <c r="K82" s="9"/>
    </row>
    <row r="83" spans="1:11" ht="14.4" x14ac:dyDescent="0.3">
      <c r="A83" s="9"/>
      <c r="B83" s="14"/>
      <c r="C83" s="9"/>
      <c r="D83" s="9"/>
      <c r="E83" s="9"/>
      <c r="F83" s="10"/>
      <c r="G83" s="9"/>
      <c r="H83" s="9"/>
      <c r="I83" s="10"/>
      <c r="J83" s="9"/>
      <c r="K83" s="9"/>
    </row>
    <row r="84" spans="1:11" ht="14.4" x14ac:dyDescent="0.3">
      <c r="A84" s="9"/>
      <c r="B84" s="14"/>
      <c r="C84" s="9"/>
      <c r="D84" s="9"/>
      <c r="E84" s="9"/>
      <c r="F84" s="10"/>
      <c r="G84" s="9"/>
      <c r="H84" s="9"/>
      <c r="I84" s="10"/>
      <c r="J84" s="9"/>
      <c r="K84" s="9"/>
    </row>
    <row r="85" spans="1:11" ht="14.4" x14ac:dyDescent="0.3">
      <c r="A85" s="9"/>
      <c r="B85" s="14"/>
      <c r="C85" s="9"/>
      <c r="D85" s="9"/>
      <c r="E85" s="9"/>
      <c r="F85" s="10"/>
      <c r="G85" s="9"/>
      <c r="H85" s="9"/>
      <c r="I85" s="10"/>
      <c r="J85" s="9"/>
      <c r="K85" s="9"/>
    </row>
    <row r="86" spans="1:11" ht="14.4" x14ac:dyDescent="0.3">
      <c r="A86" s="9"/>
      <c r="B86" s="14"/>
      <c r="C86" s="9"/>
      <c r="D86" s="9"/>
      <c r="E86" s="9"/>
      <c r="F86" s="10"/>
      <c r="G86" s="9"/>
      <c r="H86" s="9"/>
      <c r="I86" s="10"/>
      <c r="J86" s="9"/>
      <c r="K86" s="9"/>
    </row>
    <row r="87" spans="1:11" ht="14.4" x14ac:dyDescent="0.3">
      <c r="A87" s="9"/>
      <c r="B87" s="14"/>
      <c r="C87" s="9"/>
      <c r="D87" s="9"/>
      <c r="E87" s="9"/>
      <c r="F87" s="10"/>
      <c r="G87" s="9"/>
      <c r="H87" s="9"/>
      <c r="I87" s="10"/>
      <c r="J87" s="9"/>
      <c r="K87" s="9"/>
    </row>
    <row r="88" spans="1:11" ht="14.4" x14ac:dyDescent="0.3">
      <c r="A88" s="9"/>
      <c r="B88" s="14"/>
      <c r="C88" s="9"/>
      <c r="D88" s="9"/>
      <c r="E88" s="9"/>
      <c r="F88" s="10"/>
      <c r="G88" s="9"/>
      <c r="H88" s="9"/>
      <c r="I88" s="10"/>
      <c r="J88" s="9"/>
      <c r="K88" s="9"/>
    </row>
    <row r="89" spans="1:11" ht="14.4" x14ac:dyDescent="0.3">
      <c r="A89" s="9"/>
      <c r="B89" s="14"/>
      <c r="C89" s="9"/>
      <c r="D89" s="9"/>
      <c r="E89" s="9"/>
      <c r="F89" s="10"/>
      <c r="G89" s="9"/>
      <c r="H89" s="9"/>
      <c r="I89" s="10"/>
      <c r="J89" s="9"/>
      <c r="K89" s="9"/>
    </row>
    <row r="90" spans="1:11" ht="14.4" x14ac:dyDescent="0.3">
      <c r="A90" s="9"/>
      <c r="B90" s="14"/>
      <c r="C90" s="9"/>
      <c r="D90" s="9"/>
      <c r="E90" s="9"/>
      <c r="F90" s="10"/>
      <c r="G90" s="9"/>
      <c r="H90" s="9"/>
      <c r="I90" s="10"/>
      <c r="J90" s="9"/>
      <c r="K90" s="9"/>
    </row>
    <row r="91" spans="1:11" ht="14.4" x14ac:dyDescent="0.3">
      <c r="A91" s="9"/>
      <c r="B91" s="14"/>
      <c r="C91" s="9"/>
      <c r="D91" s="9"/>
      <c r="E91" s="9"/>
      <c r="F91" s="10"/>
      <c r="G91" s="9"/>
      <c r="H91" s="9"/>
      <c r="I91" s="10"/>
      <c r="J91" s="9"/>
      <c r="K91" s="9"/>
    </row>
    <row r="92" spans="1:11" ht="14.4" x14ac:dyDescent="0.3">
      <c r="A92" s="9"/>
      <c r="B92" s="14"/>
      <c r="C92" s="9"/>
      <c r="D92" s="9"/>
      <c r="E92" s="9"/>
      <c r="F92" s="10"/>
      <c r="G92" s="9"/>
      <c r="H92" s="9"/>
      <c r="I92" s="10"/>
      <c r="J92" s="9"/>
      <c r="K92" s="9"/>
    </row>
    <row r="93" spans="1:11" ht="14.4" x14ac:dyDescent="0.3">
      <c r="A93" s="9"/>
      <c r="B93" s="14"/>
      <c r="C93" s="9"/>
      <c r="D93" s="9"/>
      <c r="E93" s="9"/>
      <c r="F93" s="10"/>
      <c r="G93" s="9"/>
      <c r="H93" s="9"/>
      <c r="I93" s="10"/>
      <c r="J93" s="9"/>
      <c r="K93" s="9"/>
    </row>
    <row r="94" spans="1:11" ht="14.4" x14ac:dyDescent="0.3">
      <c r="A94" s="9"/>
      <c r="B94" s="14"/>
      <c r="C94" s="9"/>
      <c r="D94" s="9"/>
      <c r="E94" s="9"/>
      <c r="F94" s="10"/>
      <c r="G94" s="9"/>
      <c r="H94" s="9"/>
      <c r="I94" s="10"/>
      <c r="J94" s="9"/>
      <c r="K94" s="9"/>
    </row>
    <row r="95" spans="1:11" ht="14.4" x14ac:dyDescent="0.3">
      <c r="A95" s="9"/>
      <c r="B95" s="14"/>
      <c r="C95" s="9"/>
      <c r="D95" s="9"/>
      <c r="E95" s="9"/>
      <c r="F95" s="10"/>
      <c r="G95" s="9"/>
      <c r="H95" s="9"/>
      <c r="I95" s="10"/>
      <c r="J95" s="9"/>
      <c r="K95" s="9"/>
    </row>
    <row r="96" spans="1:11" ht="14.4" x14ac:dyDescent="0.3">
      <c r="A96" s="9"/>
      <c r="B96" s="14"/>
      <c r="C96" s="9"/>
      <c r="D96" s="9"/>
      <c r="E96" s="9"/>
      <c r="F96" s="10"/>
      <c r="G96" s="9"/>
      <c r="H96" s="9"/>
      <c r="I96" s="10"/>
      <c r="J96" s="9"/>
      <c r="K96" s="9"/>
    </row>
    <row r="97" spans="1:11" ht="14.4" x14ac:dyDescent="0.3">
      <c r="A97" s="9"/>
      <c r="B97" s="14"/>
      <c r="C97" s="9"/>
      <c r="D97" s="9"/>
      <c r="E97" s="9"/>
      <c r="F97" s="10"/>
      <c r="G97" s="9"/>
      <c r="H97" s="9"/>
      <c r="I97" s="10"/>
      <c r="J97" s="9"/>
      <c r="K97" s="9"/>
    </row>
    <row r="98" spans="1:11" ht="14.4" x14ac:dyDescent="0.3">
      <c r="A98" s="9"/>
      <c r="B98" s="14"/>
      <c r="C98" s="9"/>
      <c r="D98" s="9"/>
      <c r="E98" s="9"/>
      <c r="F98" s="10"/>
      <c r="G98" s="9"/>
      <c r="H98" s="9"/>
      <c r="I98" s="10"/>
      <c r="J98" s="9"/>
      <c r="K98" s="9"/>
    </row>
    <row r="99" spans="1:11" ht="14.4" x14ac:dyDescent="0.3">
      <c r="A99" s="9"/>
      <c r="B99" s="14"/>
      <c r="C99" s="9"/>
      <c r="D99" s="9"/>
      <c r="E99" s="9"/>
      <c r="F99" s="10"/>
      <c r="G99" s="9"/>
      <c r="H99" s="9"/>
      <c r="I99" s="10"/>
      <c r="J99" s="9"/>
      <c r="K99" s="9"/>
    </row>
    <row r="100" spans="1:11" ht="14.4" x14ac:dyDescent="0.3">
      <c r="A100" s="9"/>
      <c r="B100" s="14"/>
      <c r="C100" s="9"/>
      <c r="D100" s="9"/>
      <c r="E100" s="9"/>
      <c r="F100" s="10"/>
      <c r="G100" s="9"/>
      <c r="H100" s="9"/>
      <c r="I100" s="10"/>
      <c r="J100" s="9"/>
      <c r="K100" s="9"/>
    </row>
    <row r="101" spans="1:11" ht="14.4" x14ac:dyDescent="0.3">
      <c r="A101" s="9"/>
      <c r="B101" s="14"/>
      <c r="C101" s="9"/>
      <c r="D101" s="9"/>
      <c r="E101" s="9"/>
      <c r="F101" s="10"/>
      <c r="G101" s="9"/>
      <c r="H101" s="9"/>
      <c r="I101" s="10"/>
      <c r="J101" s="9"/>
      <c r="K101" s="9"/>
    </row>
    <row r="102" spans="1:11" ht="14.4" x14ac:dyDescent="0.3">
      <c r="A102" s="9"/>
      <c r="B102" s="14"/>
      <c r="C102" s="9"/>
      <c r="D102" s="9"/>
      <c r="E102" s="9"/>
      <c r="F102" s="10"/>
      <c r="G102" s="9"/>
      <c r="H102" s="9"/>
      <c r="I102" s="10"/>
      <c r="J102" s="9"/>
      <c r="K102" s="9"/>
    </row>
    <row r="103" spans="1:11" ht="14.4" x14ac:dyDescent="0.3">
      <c r="A103" s="9"/>
      <c r="B103" s="14"/>
      <c r="C103" s="9"/>
      <c r="D103" s="9"/>
      <c r="E103" s="9"/>
      <c r="F103" s="10"/>
      <c r="G103" s="9"/>
      <c r="H103" s="9"/>
      <c r="I103" s="10"/>
      <c r="J103" s="9"/>
      <c r="K103" s="9"/>
    </row>
    <row r="104" spans="1:11" ht="14.4" x14ac:dyDescent="0.3">
      <c r="A104" s="9"/>
      <c r="B104" s="14"/>
      <c r="C104" s="9"/>
      <c r="D104" s="9"/>
      <c r="E104" s="9"/>
      <c r="F104" s="10"/>
      <c r="G104" s="9"/>
      <c r="H104" s="9"/>
      <c r="I104" s="10"/>
      <c r="J104" s="9"/>
      <c r="K104" s="9"/>
    </row>
    <row r="105" spans="1:11" ht="14.4" x14ac:dyDescent="0.3">
      <c r="A105" s="9"/>
      <c r="B105" s="14"/>
      <c r="C105" s="9"/>
      <c r="D105" s="9"/>
      <c r="E105" s="9"/>
      <c r="F105" s="10"/>
      <c r="G105" s="9"/>
      <c r="H105" s="9"/>
      <c r="I105" s="10"/>
      <c r="J105" s="9"/>
      <c r="K105" s="9"/>
    </row>
    <row r="106" spans="1:11" ht="14.4" x14ac:dyDescent="0.3">
      <c r="A106" s="9"/>
      <c r="B106" s="14"/>
      <c r="C106" s="9"/>
      <c r="D106" s="9"/>
      <c r="E106" s="9"/>
      <c r="F106" s="10"/>
      <c r="G106" s="9"/>
      <c r="H106" s="9"/>
      <c r="I106" s="10"/>
      <c r="J106" s="9"/>
      <c r="K106" s="9"/>
    </row>
    <row r="107" spans="1:11" ht="14.4" x14ac:dyDescent="0.3">
      <c r="A107" s="9"/>
      <c r="B107" s="14"/>
      <c r="C107" s="9"/>
      <c r="D107" s="9"/>
      <c r="E107" s="9"/>
      <c r="F107" s="10"/>
      <c r="G107" s="9"/>
      <c r="H107" s="9"/>
      <c r="I107" s="10"/>
      <c r="J107" s="9"/>
      <c r="K107" s="9"/>
    </row>
    <row r="108" spans="1:11" ht="14.4" x14ac:dyDescent="0.3">
      <c r="A108" s="9"/>
      <c r="B108" s="14"/>
      <c r="C108" s="9"/>
      <c r="D108" s="9"/>
      <c r="E108" s="9"/>
      <c r="F108" s="10"/>
      <c r="G108" s="9"/>
      <c r="H108" s="9"/>
      <c r="I108" s="10"/>
      <c r="J108" s="9"/>
      <c r="K108" s="9"/>
    </row>
    <row r="109" spans="1:11" ht="14.4" x14ac:dyDescent="0.3">
      <c r="A109" s="9"/>
      <c r="B109" s="14"/>
      <c r="C109" s="9"/>
      <c r="D109" s="9"/>
      <c r="E109" s="9"/>
      <c r="F109" s="10"/>
      <c r="G109" s="9"/>
      <c r="H109" s="9"/>
      <c r="I109" s="10"/>
      <c r="J109" s="9"/>
      <c r="K109" s="9"/>
    </row>
    <row r="110" spans="1:11" ht="14.4" x14ac:dyDescent="0.3">
      <c r="A110" s="9"/>
      <c r="B110" s="14"/>
      <c r="C110" s="9"/>
      <c r="D110" s="9"/>
      <c r="E110" s="9"/>
      <c r="F110" s="10"/>
      <c r="G110" s="9"/>
      <c r="H110" s="9"/>
      <c r="I110" s="10"/>
      <c r="J110" s="9"/>
      <c r="K110" s="9"/>
    </row>
    <row r="111" spans="1:11" ht="14.4" x14ac:dyDescent="0.3">
      <c r="A111" s="9"/>
      <c r="B111" s="14"/>
      <c r="C111" s="9"/>
      <c r="D111" s="9"/>
      <c r="E111" s="9"/>
      <c r="F111" s="10"/>
      <c r="G111" s="9"/>
      <c r="H111" s="9"/>
      <c r="I111" s="10"/>
      <c r="J111" s="9"/>
      <c r="K111" s="9"/>
    </row>
    <row r="112" spans="1:11" ht="14.4" x14ac:dyDescent="0.3">
      <c r="A112" s="9"/>
      <c r="B112" s="14"/>
      <c r="C112" s="9"/>
      <c r="D112" s="9"/>
      <c r="E112" s="9"/>
      <c r="F112" s="10"/>
      <c r="G112" s="9"/>
      <c r="H112" s="9"/>
      <c r="I112" s="10"/>
      <c r="J112" s="9"/>
      <c r="K112" s="9"/>
    </row>
    <row r="113" spans="1:11" ht="14.4" x14ac:dyDescent="0.3">
      <c r="A113" s="9"/>
      <c r="B113" s="14"/>
      <c r="C113" s="9"/>
      <c r="D113" s="9"/>
      <c r="E113" s="9"/>
      <c r="F113" s="10"/>
      <c r="G113" s="9"/>
      <c r="H113" s="9"/>
      <c r="I113" s="10"/>
      <c r="J113" s="9"/>
      <c r="K113" s="9"/>
    </row>
    <row r="114" spans="1:11" ht="14.4" x14ac:dyDescent="0.3">
      <c r="A114" s="9"/>
      <c r="B114" s="14"/>
      <c r="C114" s="9"/>
      <c r="D114" s="9"/>
      <c r="E114" s="9"/>
      <c r="F114" s="10"/>
      <c r="G114" s="9"/>
      <c r="H114" s="9"/>
      <c r="I114" s="10"/>
      <c r="J114" s="9"/>
      <c r="K114" s="9"/>
    </row>
    <row r="115" spans="1:11" ht="14.4" x14ac:dyDescent="0.3">
      <c r="A115" s="9"/>
      <c r="B115" s="14"/>
      <c r="C115" s="9"/>
      <c r="D115" s="9"/>
      <c r="E115" s="9"/>
      <c r="F115" s="10"/>
      <c r="G115" s="9"/>
      <c r="H115" s="9"/>
      <c r="I115" s="10"/>
      <c r="J115" s="9"/>
      <c r="K115" s="9"/>
    </row>
    <row r="116" spans="1:11" ht="14.4" x14ac:dyDescent="0.3">
      <c r="A116" s="9"/>
      <c r="B116" s="14"/>
      <c r="C116" s="9"/>
      <c r="D116" s="9"/>
      <c r="E116" s="9"/>
      <c r="F116" s="10"/>
      <c r="G116" s="9"/>
      <c r="H116" s="9"/>
      <c r="I116" s="10"/>
      <c r="J116" s="9"/>
      <c r="K116" s="9"/>
    </row>
    <row r="117" spans="1:11" ht="14.4" x14ac:dyDescent="0.3">
      <c r="A117" s="9"/>
      <c r="B117" s="14"/>
      <c r="C117" s="9"/>
      <c r="D117" s="9"/>
      <c r="E117" s="9"/>
      <c r="F117" s="10"/>
      <c r="G117" s="9"/>
      <c r="H117" s="9"/>
      <c r="I117" s="10"/>
      <c r="J117" s="9"/>
      <c r="K117" s="9"/>
    </row>
    <row r="118" spans="1:11" ht="14.4" x14ac:dyDescent="0.3">
      <c r="A118" s="9"/>
      <c r="B118" s="14"/>
      <c r="C118" s="9"/>
      <c r="D118" s="9"/>
      <c r="E118" s="9"/>
      <c r="F118" s="10"/>
      <c r="G118" s="9"/>
      <c r="H118" s="9"/>
      <c r="I118" s="10"/>
      <c r="J118" s="9"/>
      <c r="K118" s="9"/>
    </row>
    <row r="119" spans="1:11" ht="14.4" x14ac:dyDescent="0.3">
      <c r="A119" s="9"/>
      <c r="B119" s="14"/>
      <c r="C119" s="9"/>
      <c r="D119" s="9"/>
      <c r="E119" s="9"/>
      <c r="F119" s="10"/>
      <c r="G119" s="9"/>
      <c r="H119" s="9"/>
      <c r="I119" s="10"/>
      <c r="J119" s="9"/>
      <c r="K119" s="9"/>
    </row>
    <row r="120" spans="1:11" ht="14.4" x14ac:dyDescent="0.3">
      <c r="A120" s="9"/>
      <c r="B120" s="14"/>
      <c r="C120" s="9"/>
      <c r="D120" s="9"/>
      <c r="E120" s="9"/>
      <c r="F120" s="10"/>
      <c r="G120" s="9"/>
      <c r="H120" s="9"/>
      <c r="I120" s="10"/>
      <c r="J120" s="9"/>
      <c r="K120" s="9"/>
    </row>
    <row r="121" spans="1:11" ht="14.4" x14ac:dyDescent="0.3">
      <c r="A121" s="9"/>
      <c r="B121" s="14"/>
      <c r="C121" s="9"/>
      <c r="D121" s="9"/>
      <c r="E121" s="9"/>
      <c r="F121" s="10"/>
      <c r="G121" s="9"/>
      <c r="H121" s="9"/>
      <c r="I121" s="10"/>
      <c r="J121" s="9"/>
      <c r="K121" s="9"/>
    </row>
    <row r="122" spans="1:11" ht="14.4" x14ac:dyDescent="0.3">
      <c r="A122" s="9"/>
      <c r="B122" s="14"/>
      <c r="C122" s="9"/>
      <c r="D122" s="9"/>
      <c r="E122" s="9"/>
      <c r="F122" s="10"/>
      <c r="G122" s="9"/>
      <c r="H122" s="9"/>
      <c r="I122" s="10"/>
      <c r="J122" s="9"/>
      <c r="K122" s="9"/>
    </row>
    <row r="123" spans="1:11" ht="14.4" x14ac:dyDescent="0.3">
      <c r="A123" s="9"/>
      <c r="B123" s="14"/>
      <c r="C123" s="9"/>
      <c r="D123" s="9"/>
      <c r="E123" s="9"/>
      <c r="F123" s="10"/>
      <c r="G123" s="9"/>
      <c r="H123" s="9"/>
      <c r="I123" s="10"/>
      <c r="J123" s="9"/>
      <c r="K123" s="9"/>
    </row>
    <row r="124" spans="1:11" ht="14.4" x14ac:dyDescent="0.3">
      <c r="A124" s="9"/>
      <c r="B124" s="14"/>
      <c r="C124" s="9"/>
      <c r="D124" s="9"/>
      <c r="E124" s="9"/>
      <c r="F124" s="10"/>
      <c r="G124" s="9"/>
      <c r="H124" s="9"/>
      <c r="I124" s="10"/>
      <c r="J124" s="9"/>
      <c r="K124" s="9"/>
    </row>
    <row r="125" spans="1:11" ht="14.4" x14ac:dyDescent="0.3">
      <c r="A125" s="9"/>
      <c r="B125" s="14"/>
      <c r="C125" s="9"/>
      <c r="D125" s="9"/>
      <c r="E125" s="9"/>
      <c r="F125" s="10"/>
      <c r="G125" s="9"/>
      <c r="H125" s="9"/>
      <c r="I125" s="10"/>
      <c r="J125" s="9"/>
      <c r="K125" s="9"/>
    </row>
    <row r="126" spans="1:11" ht="14.4" x14ac:dyDescent="0.3">
      <c r="A126" s="9"/>
      <c r="B126" s="14"/>
      <c r="C126" s="9"/>
      <c r="D126" s="9"/>
      <c r="E126" s="9"/>
      <c r="F126" s="10"/>
      <c r="G126" s="9"/>
      <c r="H126" s="9"/>
      <c r="I126" s="10"/>
      <c r="J126" s="9"/>
      <c r="K126" s="9"/>
    </row>
    <row r="127" spans="1:11" ht="14.4" x14ac:dyDescent="0.3">
      <c r="A127" s="9"/>
      <c r="B127" s="14"/>
      <c r="C127" s="9"/>
      <c r="D127" s="9"/>
      <c r="E127" s="9"/>
      <c r="F127" s="10"/>
      <c r="G127" s="9"/>
      <c r="H127" s="9"/>
      <c r="I127" s="10"/>
      <c r="J127" s="9"/>
      <c r="K127" s="9"/>
    </row>
    <row r="128" spans="1:11" ht="14.4" x14ac:dyDescent="0.3">
      <c r="A128" s="9"/>
      <c r="B128" s="14"/>
      <c r="C128" s="9"/>
      <c r="D128" s="9"/>
      <c r="E128" s="9"/>
      <c r="F128" s="10"/>
      <c r="G128" s="9"/>
      <c r="H128" s="9"/>
      <c r="I128" s="10"/>
      <c r="J128" s="9"/>
      <c r="K128" s="9"/>
    </row>
    <row r="129" spans="1:11" ht="14.4" x14ac:dyDescent="0.3">
      <c r="A129" s="9"/>
      <c r="B129" s="14"/>
      <c r="C129" s="9"/>
      <c r="D129" s="9"/>
      <c r="E129" s="9"/>
      <c r="F129" s="10"/>
      <c r="G129" s="9"/>
      <c r="H129" s="9"/>
      <c r="I129" s="10"/>
      <c r="J129" s="9"/>
      <c r="K129" s="9"/>
    </row>
    <row r="130" spans="1:11" ht="14.4" x14ac:dyDescent="0.3">
      <c r="A130" s="9"/>
      <c r="B130" s="14"/>
      <c r="C130" s="9"/>
      <c r="D130" s="9"/>
      <c r="E130" s="9"/>
      <c r="F130" s="10"/>
      <c r="G130" s="9"/>
      <c r="H130" s="9"/>
      <c r="I130" s="10"/>
      <c r="J130" s="9"/>
      <c r="K130" s="9"/>
    </row>
    <row r="131" spans="1:11" ht="14.4" x14ac:dyDescent="0.3">
      <c r="A131" s="9"/>
      <c r="B131" s="14"/>
      <c r="C131" s="9"/>
      <c r="D131" s="9"/>
      <c r="E131" s="9"/>
      <c r="F131" s="10"/>
      <c r="G131" s="9"/>
      <c r="H131" s="9"/>
      <c r="I131" s="10"/>
      <c r="J131" s="9"/>
      <c r="K131" s="9"/>
    </row>
    <row r="132" spans="1:11" ht="14.4" x14ac:dyDescent="0.3">
      <c r="A132" s="9"/>
      <c r="B132" s="14"/>
      <c r="C132" s="9"/>
      <c r="D132" s="9"/>
      <c r="E132" s="9"/>
      <c r="F132" s="10"/>
      <c r="G132" s="9"/>
      <c r="H132" s="9"/>
      <c r="I132" s="10"/>
      <c r="J132" s="9"/>
      <c r="K132" s="9"/>
    </row>
    <row r="133" spans="1:11" ht="14.4" x14ac:dyDescent="0.3">
      <c r="A133" s="9"/>
      <c r="B133" s="14"/>
      <c r="C133" s="9"/>
      <c r="D133" s="9"/>
      <c r="E133" s="9"/>
      <c r="F133" s="10"/>
      <c r="G133" s="9"/>
      <c r="H133" s="9"/>
      <c r="I133" s="10"/>
      <c r="J133" s="9"/>
      <c r="K133" s="9"/>
    </row>
    <row r="134" spans="1:11" ht="14.4" x14ac:dyDescent="0.3">
      <c r="A134" s="9"/>
      <c r="B134" s="14"/>
      <c r="C134" s="9"/>
      <c r="D134" s="9"/>
      <c r="E134" s="9"/>
      <c r="F134" s="10"/>
      <c r="G134" s="9"/>
      <c r="H134" s="9"/>
      <c r="I134" s="10"/>
      <c r="J134" s="9"/>
      <c r="K134" s="9"/>
    </row>
    <row r="135" spans="1:11" ht="14.4" x14ac:dyDescent="0.3">
      <c r="A135" s="9"/>
      <c r="B135" s="14"/>
      <c r="C135" s="9"/>
      <c r="D135" s="9"/>
      <c r="E135" s="9"/>
      <c r="F135" s="10"/>
      <c r="G135" s="9"/>
      <c r="H135" s="9"/>
      <c r="I135" s="10"/>
      <c r="J135" s="9"/>
      <c r="K135" s="9"/>
    </row>
    <row r="136" spans="1:11" ht="14.4" x14ac:dyDescent="0.3">
      <c r="A136" s="9"/>
      <c r="B136" s="14"/>
      <c r="C136" s="9"/>
      <c r="D136" s="9"/>
      <c r="E136" s="9"/>
      <c r="F136" s="10"/>
      <c r="G136" s="9"/>
      <c r="H136" s="9"/>
      <c r="I136" s="10"/>
      <c r="J136" s="9"/>
      <c r="K136" s="9"/>
    </row>
    <row r="137" spans="1:11" ht="14.4" x14ac:dyDescent="0.3">
      <c r="A137" s="9"/>
      <c r="B137" s="14"/>
      <c r="C137" s="9"/>
      <c r="D137" s="9"/>
      <c r="E137" s="9"/>
      <c r="F137" s="10"/>
      <c r="G137" s="9"/>
      <c r="H137" s="9"/>
      <c r="I137" s="10"/>
      <c r="J137" s="9"/>
      <c r="K137" s="9"/>
    </row>
    <row r="138" spans="1:11" ht="14.4" x14ac:dyDescent="0.3">
      <c r="A138" s="9"/>
      <c r="B138" s="14"/>
      <c r="C138" s="9"/>
      <c r="D138" s="9"/>
      <c r="E138" s="9"/>
      <c r="F138" s="10"/>
      <c r="G138" s="9"/>
      <c r="H138" s="9"/>
      <c r="I138" s="10"/>
      <c r="J138" s="9"/>
      <c r="K138" s="9"/>
    </row>
    <row r="139" spans="1:11" ht="14.4" x14ac:dyDescent="0.3">
      <c r="A139" s="9"/>
      <c r="B139" s="14"/>
      <c r="C139" s="9"/>
      <c r="D139" s="9"/>
      <c r="E139" s="9"/>
      <c r="F139" s="10"/>
      <c r="G139" s="9"/>
      <c r="H139" s="9"/>
      <c r="I139" s="10"/>
      <c r="J139" s="9"/>
      <c r="K139" s="9"/>
    </row>
    <row r="140" spans="1:11" ht="14.4" x14ac:dyDescent="0.3">
      <c r="A140" s="9"/>
      <c r="B140" s="14"/>
      <c r="C140" s="9"/>
      <c r="D140" s="9"/>
      <c r="E140" s="9"/>
      <c r="F140" s="10"/>
      <c r="G140" s="9"/>
      <c r="H140" s="9"/>
      <c r="I140" s="10"/>
      <c r="J140" s="9"/>
      <c r="K140" s="9"/>
    </row>
    <row r="141" spans="1:11" ht="14.4" x14ac:dyDescent="0.3">
      <c r="A141" s="9"/>
      <c r="B141" s="14"/>
      <c r="C141" s="9"/>
      <c r="D141" s="9"/>
      <c r="E141" s="9"/>
      <c r="F141" s="10"/>
      <c r="G141" s="9"/>
      <c r="H141" s="9"/>
      <c r="I141" s="10"/>
      <c r="J141" s="9"/>
      <c r="K141" s="9"/>
    </row>
    <row r="142" spans="1:11" ht="14.4" x14ac:dyDescent="0.3">
      <c r="A142" s="9"/>
      <c r="B142" s="14"/>
      <c r="C142" s="9"/>
      <c r="D142" s="9"/>
      <c r="E142" s="9"/>
      <c r="F142" s="10"/>
      <c r="G142" s="9"/>
      <c r="H142" s="9"/>
      <c r="I142" s="10"/>
      <c r="J142" s="9"/>
      <c r="K142" s="9"/>
    </row>
    <row r="143" spans="1:11" ht="14.4" x14ac:dyDescent="0.3">
      <c r="A143" s="9"/>
      <c r="B143" s="14"/>
      <c r="C143" s="9"/>
      <c r="D143" s="9"/>
      <c r="E143" s="9"/>
      <c r="F143" s="10"/>
      <c r="G143" s="9"/>
      <c r="H143" s="9"/>
      <c r="I143" s="10"/>
      <c r="J143" s="9"/>
      <c r="K143" s="9"/>
    </row>
    <row r="144" spans="1:11" ht="14.4" x14ac:dyDescent="0.3">
      <c r="A144" s="9"/>
      <c r="B144" s="14"/>
      <c r="C144" s="9"/>
      <c r="D144" s="9"/>
      <c r="E144" s="9"/>
      <c r="F144" s="10"/>
      <c r="G144" s="9"/>
      <c r="H144" s="9"/>
      <c r="I144" s="10"/>
      <c r="J144" s="9"/>
      <c r="K144" s="9"/>
    </row>
    <row r="145" spans="1:11" ht="14.4" x14ac:dyDescent="0.3">
      <c r="A145" s="9"/>
      <c r="B145" s="14"/>
      <c r="C145" s="9"/>
      <c r="D145" s="9"/>
      <c r="E145" s="9"/>
      <c r="F145" s="10"/>
      <c r="G145" s="9"/>
      <c r="H145" s="9"/>
      <c r="I145" s="10"/>
      <c r="J145" s="9"/>
      <c r="K145" s="9"/>
    </row>
    <row r="146" spans="1:11" ht="14.4" x14ac:dyDescent="0.3">
      <c r="A146" s="9"/>
      <c r="B146" s="14"/>
      <c r="C146" s="9"/>
      <c r="D146" s="9"/>
      <c r="E146" s="9"/>
      <c r="F146" s="10"/>
      <c r="G146" s="9"/>
      <c r="H146" s="9"/>
      <c r="I146" s="10"/>
      <c r="J146" s="9"/>
      <c r="K146" s="9"/>
    </row>
    <row r="147" spans="1:11" ht="14.4" x14ac:dyDescent="0.3">
      <c r="A147" s="9"/>
      <c r="B147" s="14"/>
      <c r="C147" s="9"/>
      <c r="D147" s="9"/>
      <c r="E147" s="9"/>
      <c r="F147" s="10"/>
      <c r="G147" s="9"/>
      <c r="H147" s="9"/>
      <c r="I147" s="10"/>
      <c r="J147" s="9"/>
      <c r="K147" s="9"/>
    </row>
    <row r="148" spans="1:11" ht="14.4" x14ac:dyDescent="0.3">
      <c r="A148" s="9"/>
      <c r="B148" s="14"/>
      <c r="C148" s="9"/>
      <c r="D148" s="9"/>
      <c r="E148" s="9"/>
      <c r="F148" s="10"/>
      <c r="G148" s="9"/>
      <c r="H148" s="9"/>
      <c r="I148" s="10"/>
      <c r="J148" s="9"/>
      <c r="K148" s="9"/>
    </row>
    <row r="149" spans="1:11" ht="14.4" x14ac:dyDescent="0.3">
      <c r="A149" s="9"/>
      <c r="B149" s="14"/>
      <c r="C149" s="9"/>
      <c r="D149" s="9"/>
      <c r="E149" s="9"/>
      <c r="F149" s="10"/>
      <c r="G149" s="9"/>
      <c r="H149" s="9"/>
      <c r="I149" s="10"/>
      <c r="J149" s="9"/>
      <c r="K149" s="9"/>
    </row>
    <row r="150" spans="1:11" ht="14.4" x14ac:dyDescent="0.3">
      <c r="A150" s="9"/>
      <c r="B150" s="14"/>
      <c r="C150" s="9"/>
      <c r="D150" s="9"/>
      <c r="E150" s="9"/>
      <c r="F150" s="10"/>
      <c r="G150" s="9"/>
      <c r="H150" s="9"/>
      <c r="I150" s="10"/>
      <c r="J150" s="9"/>
      <c r="K150" s="9"/>
    </row>
    <row r="151" spans="1:11" ht="14.4" x14ac:dyDescent="0.3">
      <c r="A151" s="9"/>
      <c r="B151" s="14"/>
      <c r="C151" s="9"/>
      <c r="D151" s="9"/>
      <c r="E151" s="9"/>
      <c r="F151" s="10"/>
      <c r="G151" s="9"/>
      <c r="H151" s="9"/>
      <c r="I151" s="10"/>
      <c r="J151" s="9"/>
      <c r="K151" s="9"/>
    </row>
    <row r="152" spans="1:11" ht="14.4" x14ac:dyDescent="0.3">
      <c r="A152" s="9"/>
      <c r="B152" s="14"/>
      <c r="C152" s="9"/>
      <c r="D152" s="9"/>
      <c r="E152" s="9"/>
      <c r="F152" s="10"/>
      <c r="G152" s="9"/>
      <c r="H152" s="9"/>
      <c r="I152" s="10"/>
      <c r="J152" s="9"/>
      <c r="K152" s="9"/>
    </row>
    <row r="153" spans="1:11" ht="14.4" x14ac:dyDescent="0.3">
      <c r="A153" s="9"/>
      <c r="B153" s="14"/>
      <c r="C153" s="9"/>
      <c r="D153" s="9"/>
      <c r="E153" s="9"/>
      <c r="F153" s="10"/>
      <c r="G153" s="9"/>
      <c r="H153" s="9"/>
      <c r="I153" s="10"/>
      <c r="J153" s="9"/>
      <c r="K153" s="9"/>
    </row>
    <row r="154" spans="1:11" ht="14.4" x14ac:dyDescent="0.3">
      <c r="A154" s="9"/>
      <c r="B154" s="14"/>
      <c r="C154" s="9"/>
      <c r="D154" s="9"/>
      <c r="E154" s="9"/>
      <c r="F154" s="10"/>
      <c r="G154" s="9"/>
      <c r="H154" s="9"/>
      <c r="I154" s="10"/>
      <c r="J154" s="9"/>
      <c r="K154" s="9"/>
    </row>
    <row r="155" spans="1:11" ht="14.4" x14ac:dyDescent="0.3">
      <c r="A155" s="9"/>
      <c r="B155" s="14"/>
      <c r="C155" s="9"/>
      <c r="D155" s="9"/>
      <c r="E155" s="9"/>
      <c r="F155" s="10"/>
      <c r="G155" s="9"/>
      <c r="H155" s="9"/>
      <c r="I155" s="10"/>
      <c r="J155" s="9"/>
      <c r="K155" s="9"/>
    </row>
    <row r="156" spans="1:11" ht="14.4" x14ac:dyDescent="0.3">
      <c r="A156" s="9"/>
      <c r="B156" s="14"/>
      <c r="C156" s="9"/>
      <c r="D156" s="9"/>
      <c r="E156" s="9"/>
      <c r="F156" s="10"/>
      <c r="G156" s="9"/>
      <c r="H156" s="9"/>
      <c r="I156" s="10"/>
      <c r="J156" s="9"/>
      <c r="K156" s="9"/>
    </row>
    <row r="157" spans="1:11" ht="14.4" x14ac:dyDescent="0.3">
      <c r="A157" s="9"/>
      <c r="B157" s="14"/>
      <c r="C157" s="9"/>
      <c r="D157" s="9"/>
      <c r="E157" s="9"/>
      <c r="F157" s="10"/>
      <c r="G157" s="9"/>
      <c r="H157" s="9"/>
      <c r="I157" s="10"/>
      <c r="J157" s="9"/>
      <c r="K157" s="9"/>
    </row>
    <row r="158" spans="1:11" ht="14.4" x14ac:dyDescent="0.3">
      <c r="A158" s="9"/>
      <c r="B158" s="14"/>
      <c r="C158" s="9"/>
      <c r="D158" s="9"/>
      <c r="E158" s="9"/>
      <c r="F158" s="10"/>
      <c r="G158" s="9"/>
      <c r="H158" s="9"/>
      <c r="I158" s="10"/>
      <c r="J158" s="9"/>
      <c r="K158" s="9"/>
    </row>
    <row r="159" spans="1:11" ht="14.4" x14ac:dyDescent="0.3">
      <c r="A159" s="9"/>
      <c r="B159" s="14"/>
      <c r="C159" s="9"/>
      <c r="D159" s="9"/>
      <c r="E159" s="9"/>
      <c r="F159" s="10"/>
      <c r="G159" s="9"/>
      <c r="H159" s="9"/>
      <c r="I159" s="10"/>
      <c r="J159" s="9"/>
      <c r="K159" s="9"/>
    </row>
    <row r="160" spans="1:11" ht="14.4" x14ac:dyDescent="0.3">
      <c r="A160" s="9"/>
      <c r="B160" s="14"/>
      <c r="C160" s="9"/>
      <c r="D160" s="9"/>
      <c r="E160" s="9"/>
      <c r="F160" s="10"/>
      <c r="G160" s="9"/>
      <c r="H160" s="9"/>
      <c r="I160" s="10"/>
      <c r="J160" s="9"/>
      <c r="K160" s="9"/>
    </row>
    <row r="161" spans="1:11" ht="14.4" x14ac:dyDescent="0.3">
      <c r="A161" s="9"/>
      <c r="B161" s="14"/>
      <c r="C161" s="9"/>
      <c r="D161" s="9"/>
      <c r="E161" s="9"/>
      <c r="F161" s="10"/>
      <c r="G161" s="9"/>
      <c r="H161" s="9"/>
      <c r="I161" s="10"/>
      <c r="J161" s="9"/>
      <c r="K161" s="9"/>
    </row>
    <row r="162" spans="1:11" ht="14.4" x14ac:dyDescent="0.3">
      <c r="A162" s="9"/>
      <c r="B162" s="14"/>
      <c r="C162" s="9"/>
      <c r="D162" s="9"/>
      <c r="E162" s="9"/>
      <c r="F162" s="10"/>
      <c r="G162" s="9"/>
      <c r="H162" s="9"/>
      <c r="I162" s="10"/>
      <c r="J162" s="9"/>
      <c r="K162" s="9"/>
    </row>
    <row r="163" spans="1:11" ht="14.4" x14ac:dyDescent="0.3">
      <c r="A163" s="9"/>
      <c r="B163" s="14"/>
      <c r="C163" s="9"/>
      <c r="D163" s="9"/>
      <c r="E163" s="9"/>
      <c r="F163" s="10"/>
      <c r="G163" s="9"/>
      <c r="H163" s="9"/>
      <c r="I163" s="10"/>
      <c r="J163" s="9"/>
      <c r="K163" s="9"/>
    </row>
    <row r="164" spans="1:11" ht="14.4" x14ac:dyDescent="0.3">
      <c r="A164" s="9"/>
      <c r="B164" s="14"/>
      <c r="C164" s="9"/>
      <c r="D164" s="9"/>
      <c r="E164" s="9"/>
      <c r="F164" s="10"/>
      <c r="G164" s="9"/>
      <c r="H164" s="9"/>
      <c r="I164" s="10"/>
      <c r="J164" s="9"/>
      <c r="K164" s="9"/>
    </row>
    <row r="165" spans="1:11" ht="14.4" x14ac:dyDescent="0.3">
      <c r="A165" s="9"/>
      <c r="B165" s="14"/>
      <c r="C165" s="9"/>
      <c r="D165" s="9"/>
      <c r="E165" s="9"/>
      <c r="F165" s="10"/>
      <c r="G165" s="9"/>
      <c r="H165" s="9"/>
      <c r="I165" s="10"/>
      <c r="J165" s="9"/>
      <c r="K165" s="9"/>
    </row>
    <row r="166" spans="1:11" ht="14.4" x14ac:dyDescent="0.3">
      <c r="A166" s="9"/>
      <c r="B166" s="14"/>
      <c r="C166" s="9"/>
      <c r="D166" s="9"/>
      <c r="E166" s="9"/>
      <c r="F166" s="10"/>
      <c r="G166" s="9"/>
      <c r="H166" s="9"/>
      <c r="I166" s="10"/>
      <c r="J166" s="9"/>
      <c r="K166" s="9"/>
    </row>
    <row r="167" spans="1:11" ht="14.4" x14ac:dyDescent="0.3">
      <c r="A167" s="9"/>
      <c r="B167" s="14"/>
      <c r="C167" s="9"/>
      <c r="D167" s="9"/>
      <c r="E167" s="9"/>
      <c r="F167" s="10"/>
      <c r="G167" s="9"/>
      <c r="H167" s="9"/>
      <c r="I167" s="10"/>
      <c r="J167" s="9"/>
      <c r="K167" s="9"/>
    </row>
    <row r="168" spans="1:11" ht="14.4" x14ac:dyDescent="0.3">
      <c r="A168" s="9"/>
      <c r="B168" s="14"/>
      <c r="C168" s="9"/>
      <c r="D168" s="9"/>
      <c r="E168" s="9"/>
      <c r="F168" s="10"/>
      <c r="G168" s="9"/>
      <c r="H168" s="9"/>
      <c r="I168" s="10"/>
      <c r="J168" s="9"/>
      <c r="K168" s="9"/>
    </row>
    <row r="169" spans="1:11" ht="14.4" x14ac:dyDescent="0.3">
      <c r="A169" s="9"/>
      <c r="B169" s="14"/>
      <c r="C169" s="9"/>
      <c r="D169" s="9"/>
      <c r="E169" s="9"/>
      <c r="F169" s="10"/>
      <c r="G169" s="9"/>
      <c r="H169" s="9"/>
      <c r="I169" s="10"/>
      <c r="J169" s="9"/>
      <c r="K169" s="9"/>
    </row>
    <row r="170" spans="1:11" ht="14.4" x14ac:dyDescent="0.3">
      <c r="A170" s="9"/>
      <c r="B170" s="14"/>
      <c r="C170" s="9"/>
      <c r="D170" s="9"/>
      <c r="E170" s="9"/>
      <c r="F170" s="10"/>
      <c r="G170" s="9"/>
      <c r="H170" s="9"/>
      <c r="I170" s="10"/>
      <c r="J170" s="9"/>
      <c r="K170" s="9"/>
    </row>
    <row r="171" spans="1:11" ht="14.4" x14ac:dyDescent="0.3">
      <c r="A171" s="9"/>
      <c r="B171" s="14"/>
      <c r="C171" s="9"/>
      <c r="D171" s="9"/>
      <c r="E171" s="9"/>
      <c r="F171" s="10"/>
      <c r="G171" s="9"/>
      <c r="H171" s="9"/>
      <c r="I171" s="10"/>
      <c r="J171" s="9"/>
      <c r="K171" s="9"/>
    </row>
    <row r="172" spans="1:11" ht="14.4" x14ac:dyDescent="0.3">
      <c r="A172" s="9"/>
      <c r="B172" s="14"/>
      <c r="C172" s="9"/>
      <c r="D172" s="9"/>
      <c r="E172" s="9"/>
      <c r="F172" s="10"/>
      <c r="G172" s="9"/>
      <c r="H172" s="9"/>
      <c r="I172" s="10"/>
      <c r="J172" s="9"/>
      <c r="K172" s="9"/>
    </row>
    <row r="173" spans="1:11" ht="14.4" x14ac:dyDescent="0.3">
      <c r="A173" s="9"/>
      <c r="B173" s="14"/>
      <c r="C173" s="9"/>
      <c r="D173" s="9"/>
      <c r="E173" s="9"/>
      <c r="F173" s="10"/>
      <c r="G173" s="9"/>
      <c r="H173" s="9"/>
      <c r="I173" s="10"/>
      <c r="J173" s="9"/>
      <c r="K173" s="9"/>
    </row>
    <row r="174" spans="1:11" ht="14.4" x14ac:dyDescent="0.3">
      <c r="A174" s="9"/>
      <c r="B174" s="14"/>
      <c r="C174" s="9"/>
      <c r="D174" s="9"/>
      <c r="E174" s="9"/>
      <c r="F174" s="10"/>
      <c r="G174" s="9"/>
      <c r="H174" s="9"/>
      <c r="I174" s="10"/>
      <c r="J174" s="9"/>
      <c r="K174" s="9"/>
    </row>
    <row r="175" spans="1:11" ht="14.4" x14ac:dyDescent="0.3">
      <c r="A175" s="9"/>
      <c r="B175" s="14"/>
      <c r="C175" s="9"/>
      <c r="D175" s="9"/>
      <c r="E175" s="9"/>
      <c r="F175" s="10"/>
      <c r="G175" s="9"/>
      <c r="H175" s="9"/>
      <c r="I175" s="10"/>
      <c r="J175" s="9"/>
      <c r="K175" s="9"/>
    </row>
    <row r="176" spans="1:11" ht="14.4" x14ac:dyDescent="0.3">
      <c r="A176" s="9"/>
      <c r="B176" s="14"/>
      <c r="C176" s="9"/>
      <c r="D176" s="9"/>
      <c r="E176" s="9"/>
      <c r="F176" s="10"/>
      <c r="G176" s="9"/>
      <c r="H176" s="9"/>
      <c r="I176" s="10"/>
      <c r="J176" s="9"/>
      <c r="K176" s="9"/>
    </row>
    <row r="177" spans="1:11" ht="14.4" x14ac:dyDescent="0.3">
      <c r="A177" s="9"/>
      <c r="B177" s="14"/>
      <c r="C177" s="9"/>
      <c r="D177" s="9"/>
      <c r="E177" s="9"/>
      <c r="F177" s="10"/>
      <c r="G177" s="9"/>
      <c r="H177" s="9"/>
      <c r="I177" s="10"/>
      <c r="J177" s="9"/>
      <c r="K177" s="9"/>
    </row>
    <row r="178" spans="1:11" ht="14.4" x14ac:dyDescent="0.3">
      <c r="A178" s="9"/>
      <c r="B178" s="14"/>
      <c r="C178" s="9"/>
      <c r="D178" s="9"/>
      <c r="E178" s="9"/>
      <c r="F178" s="10"/>
      <c r="G178" s="9"/>
      <c r="H178" s="9"/>
      <c r="I178" s="10"/>
      <c r="J178" s="9"/>
      <c r="K178" s="9"/>
    </row>
    <row r="179" spans="1:11" ht="14.4" x14ac:dyDescent="0.3">
      <c r="A179" s="9"/>
      <c r="B179" s="14"/>
      <c r="C179" s="9"/>
      <c r="D179" s="9"/>
      <c r="E179" s="9"/>
      <c r="F179" s="10"/>
      <c r="G179" s="9"/>
      <c r="H179" s="9"/>
      <c r="I179" s="10"/>
      <c r="J179" s="9"/>
      <c r="K179" s="9"/>
    </row>
    <row r="180" spans="1:11" ht="14.4" x14ac:dyDescent="0.3">
      <c r="A180" s="9"/>
      <c r="B180" s="14"/>
      <c r="C180" s="9"/>
      <c r="D180" s="9"/>
      <c r="E180" s="9"/>
      <c r="F180" s="10"/>
      <c r="G180" s="9"/>
      <c r="H180" s="9"/>
      <c r="I180" s="10"/>
      <c r="J180" s="9"/>
      <c r="K180" s="9"/>
    </row>
    <row r="181" spans="1:11" ht="14.4" x14ac:dyDescent="0.3">
      <c r="A181" s="9"/>
      <c r="B181" s="14"/>
      <c r="C181" s="9"/>
      <c r="D181" s="9"/>
      <c r="E181" s="9"/>
      <c r="F181" s="10"/>
      <c r="G181" s="9"/>
      <c r="H181" s="9"/>
      <c r="I181" s="10"/>
      <c r="J181" s="9"/>
      <c r="K181" s="9"/>
    </row>
    <row r="182" spans="1:11" ht="14.4" x14ac:dyDescent="0.3">
      <c r="A182" s="9"/>
      <c r="B182" s="14"/>
      <c r="C182" s="9"/>
      <c r="D182" s="9"/>
      <c r="E182" s="9"/>
      <c r="F182" s="10"/>
      <c r="G182" s="9"/>
      <c r="H182" s="9"/>
      <c r="I182" s="10"/>
      <c r="J182" s="9"/>
      <c r="K182" s="9"/>
    </row>
    <row r="183" spans="1:11" ht="14.4" x14ac:dyDescent="0.3">
      <c r="A183" s="9"/>
      <c r="B183" s="14"/>
      <c r="C183" s="9"/>
      <c r="D183" s="9"/>
      <c r="E183" s="9"/>
      <c r="F183" s="10"/>
      <c r="G183" s="9"/>
      <c r="H183" s="9"/>
      <c r="I183" s="10"/>
      <c r="J183" s="9"/>
      <c r="K183" s="9"/>
    </row>
    <row r="184" spans="1:11" ht="14.4" x14ac:dyDescent="0.3">
      <c r="A184" s="9"/>
      <c r="B184" s="14"/>
      <c r="C184" s="9"/>
      <c r="D184" s="9"/>
      <c r="E184" s="9"/>
      <c r="F184" s="10"/>
      <c r="G184" s="9"/>
      <c r="H184" s="9"/>
      <c r="I184" s="10"/>
      <c r="J184" s="9"/>
      <c r="K184" s="9"/>
    </row>
    <row r="185" spans="1:11" ht="14.4" x14ac:dyDescent="0.3">
      <c r="A185" s="9"/>
      <c r="B185" s="14"/>
      <c r="C185" s="9"/>
      <c r="D185" s="9"/>
      <c r="E185" s="9"/>
      <c r="F185" s="10"/>
      <c r="G185" s="9"/>
      <c r="H185" s="9"/>
      <c r="I185" s="10"/>
      <c r="J185" s="9"/>
      <c r="K185" s="9"/>
    </row>
    <row r="186" spans="1:11" ht="14.4" x14ac:dyDescent="0.3">
      <c r="A186" s="9"/>
      <c r="B186" s="14"/>
      <c r="C186" s="9"/>
      <c r="D186" s="9"/>
      <c r="E186" s="9"/>
      <c r="F186" s="10"/>
      <c r="G186" s="9"/>
      <c r="H186" s="9"/>
      <c r="I186" s="10"/>
      <c r="J186" s="9"/>
      <c r="K186" s="9"/>
    </row>
    <row r="187" spans="1:11" ht="14.4" x14ac:dyDescent="0.3">
      <c r="A187" s="9"/>
      <c r="B187" s="14"/>
      <c r="C187" s="9"/>
      <c r="D187" s="9"/>
      <c r="E187" s="9"/>
      <c r="F187" s="10"/>
      <c r="G187" s="9"/>
      <c r="H187" s="9"/>
      <c r="I187" s="10"/>
      <c r="J187" s="9"/>
      <c r="K187" s="9"/>
    </row>
    <row r="188" spans="1:11" ht="14.4" x14ac:dyDescent="0.3">
      <c r="A188" s="9"/>
      <c r="B188" s="14"/>
      <c r="C188" s="9"/>
      <c r="D188" s="9"/>
      <c r="E188" s="9"/>
      <c r="F188" s="10"/>
      <c r="G188" s="9"/>
      <c r="H188" s="9"/>
      <c r="I188" s="10"/>
      <c r="J188" s="9"/>
      <c r="K188" s="9"/>
    </row>
    <row r="189" spans="1:11" ht="14.4" x14ac:dyDescent="0.3">
      <c r="A189" s="9"/>
      <c r="B189" s="14"/>
      <c r="C189" s="9"/>
      <c r="D189" s="9"/>
      <c r="E189" s="9"/>
      <c r="F189" s="10"/>
      <c r="G189" s="9"/>
      <c r="H189" s="9"/>
      <c r="I189" s="10"/>
      <c r="J189" s="9"/>
      <c r="K189" s="9"/>
    </row>
    <row r="190" spans="1:11" ht="14.4" x14ac:dyDescent="0.3">
      <c r="A190" s="9"/>
      <c r="B190" s="14"/>
      <c r="C190" s="9"/>
      <c r="D190" s="9"/>
      <c r="E190" s="9"/>
      <c r="F190" s="10"/>
      <c r="G190" s="9"/>
      <c r="H190" s="9"/>
      <c r="I190" s="10"/>
      <c r="J190" s="9"/>
      <c r="K190" s="9"/>
    </row>
    <row r="191" spans="1:11" ht="14.4" x14ac:dyDescent="0.3">
      <c r="A191" s="9"/>
      <c r="B191" s="14"/>
      <c r="C191" s="9"/>
      <c r="D191" s="9"/>
      <c r="E191" s="9"/>
      <c r="F191" s="10"/>
      <c r="G191" s="9"/>
      <c r="H191" s="9"/>
      <c r="I191" s="10"/>
      <c r="J191" s="9"/>
      <c r="K191" s="9"/>
    </row>
    <row r="192" spans="1:11" ht="14.4" x14ac:dyDescent="0.3">
      <c r="A192" s="9"/>
      <c r="B192" s="14"/>
      <c r="C192" s="9"/>
      <c r="D192" s="9"/>
      <c r="E192" s="9"/>
      <c r="F192" s="10"/>
      <c r="G192" s="9"/>
      <c r="H192" s="9"/>
      <c r="I192" s="10"/>
      <c r="J192" s="9"/>
      <c r="K192" s="9"/>
    </row>
    <row r="193" spans="1:11" ht="14.4" x14ac:dyDescent="0.3">
      <c r="A193" s="9"/>
      <c r="B193" s="14"/>
      <c r="C193" s="9"/>
      <c r="D193" s="9"/>
      <c r="E193" s="9"/>
      <c r="F193" s="10"/>
      <c r="G193" s="9"/>
      <c r="H193" s="9"/>
      <c r="I193" s="10"/>
      <c r="J193" s="9"/>
      <c r="K193" s="9"/>
    </row>
    <row r="194" spans="1:11" ht="14.4" x14ac:dyDescent="0.3">
      <c r="A194" s="9"/>
      <c r="B194" s="14"/>
      <c r="C194" s="9"/>
      <c r="D194" s="9"/>
      <c r="E194" s="9"/>
      <c r="F194" s="10"/>
      <c r="G194" s="9"/>
      <c r="H194" s="9"/>
      <c r="I194" s="10"/>
      <c r="J194" s="9"/>
      <c r="K194" s="9"/>
    </row>
    <row r="195" spans="1:11" ht="14.4" x14ac:dyDescent="0.3">
      <c r="A195" s="9"/>
      <c r="B195" s="14"/>
      <c r="C195" s="9"/>
      <c r="D195" s="9"/>
      <c r="E195" s="9"/>
      <c r="F195" s="10"/>
      <c r="G195" s="9"/>
      <c r="H195" s="9"/>
      <c r="I195" s="10"/>
      <c r="J195" s="9"/>
      <c r="K195" s="9"/>
    </row>
    <row r="196" spans="1:11" ht="14.4" x14ac:dyDescent="0.3">
      <c r="A196" s="9"/>
      <c r="B196" s="14"/>
      <c r="C196" s="9"/>
      <c r="D196" s="9"/>
      <c r="E196" s="9"/>
      <c r="F196" s="10"/>
      <c r="G196" s="9"/>
      <c r="H196" s="9"/>
      <c r="I196" s="10"/>
      <c r="J196" s="9"/>
      <c r="K196" s="9"/>
    </row>
    <row r="197" spans="1:11" ht="14.4" x14ac:dyDescent="0.3">
      <c r="A197" s="9"/>
      <c r="B197" s="14"/>
      <c r="C197" s="9"/>
      <c r="D197" s="9"/>
      <c r="E197" s="9"/>
      <c r="F197" s="10"/>
      <c r="G197" s="9"/>
      <c r="H197" s="9"/>
      <c r="I197" s="10"/>
      <c r="J197" s="9"/>
      <c r="K197" s="9"/>
    </row>
    <row r="198" spans="1:11" ht="14.4" x14ac:dyDescent="0.3">
      <c r="A198" s="9"/>
      <c r="B198" s="14"/>
      <c r="C198" s="9"/>
      <c r="D198" s="9"/>
      <c r="E198" s="9"/>
      <c r="F198" s="10"/>
      <c r="G198" s="9"/>
      <c r="H198" s="9"/>
      <c r="I198" s="10"/>
      <c r="J198" s="9"/>
      <c r="K198" s="9"/>
    </row>
    <row r="199" spans="1:11" ht="14.4" x14ac:dyDescent="0.3">
      <c r="A199" s="9"/>
      <c r="B199" s="14"/>
      <c r="C199" s="9"/>
      <c r="D199" s="9"/>
      <c r="E199" s="9"/>
      <c r="F199" s="10"/>
      <c r="G199" s="9"/>
      <c r="H199" s="9"/>
      <c r="I199" s="10"/>
      <c r="J199" s="9"/>
      <c r="K199" s="9"/>
    </row>
    <row r="200" spans="1:11" ht="14.4" x14ac:dyDescent="0.3">
      <c r="A200" s="9"/>
      <c r="B200" s="14"/>
      <c r="C200" s="9"/>
      <c r="D200" s="9"/>
      <c r="E200" s="9"/>
      <c r="F200" s="10"/>
      <c r="G200" s="9"/>
      <c r="H200" s="9"/>
      <c r="I200" s="10"/>
      <c r="J200" s="9"/>
      <c r="K200" s="9"/>
    </row>
    <row r="201" spans="1:11" ht="14.4" x14ac:dyDescent="0.3">
      <c r="A201" s="9"/>
      <c r="B201" s="14"/>
      <c r="C201" s="9"/>
      <c r="D201" s="9"/>
      <c r="E201" s="9"/>
      <c r="F201" s="10"/>
      <c r="G201" s="9"/>
      <c r="H201" s="9"/>
      <c r="I201" s="10"/>
      <c r="J201" s="9"/>
      <c r="K201" s="9"/>
    </row>
    <row r="202" spans="1:11" ht="14.4" x14ac:dyDescent="0.3">
      <c r="A202" s="9"/>
      <c r="B202" s="14"/>
      <c r="C202" s="9"/>
      <c r="D202" s="9"/>
      <c r="E202" s="9"/>
      <c r="F202" s="10"/>
      <c r="G202" s="9"/>
      <c r="H202" s="9"/>
      <c r="I202" s="10"/>
      <c r="J202" s="9"/>
      <c r="K202" s="9"/>
    </row>
    <row r="203" spans="1:11" ht="14.4" x14ac:dyDescent="0.3">
      <c r="A203" s="9"/>
      <c r="B203" s="14"/>
      <c r="C203" s="9"/>
      <c r="D203" s="9"/>
      <c r="E203" s="9"/>
      <c r="F203" s="10"/>
      <c r="G203" s="9"/>
      <c r="H203" s="9"/>
      <c r="I203" s="10"/>
      <c r="J203" s="9"/>
      <c r="K203" s="9"/>
    </row>
    <row r="204" spans="1:11" ht="14.4" x14ac:dyDescent="0.3">
      <c r="A204" s="9"/>
      <c r="B204" s="14"/>
      <c r="C204" s="9"/>
      <c r="D204" s="9"/>
      <c r="E204" s="9"/>
      <c r="F204" s="10"/>
      <c r="G204" s="9"/>
      <c r="H204" s="9"/>
      <c r="I204" s="10"/>
      <c r="J204" s="9"/>
      <c r="K204" s="9"/>
    </row>
    <row r="205" spans="1:11" ht="14.4" x14ac:dyDescent="0.3">
      <c r="A205" s="9"/>
      <c r="B205" s="14"/>
      <c r="C205" s="9"/>
      <c r="D205" s="9"/>
      <c r="E205" s="9"/>
      <c r="F205" s="10"/>
      <c r="G205" s="9"/>
      <c r="H205" s="9"/>
      <c r="I205" s="10"/>
      <c r="J205" s="9"/>
      <c r="K205" s="9"/>
    </row>
    <row r="206" spans="1:11" ht="14.4" x14ac:dyDescent="0.3">
      <c r="A206" s="9"/>
      <c r="B206" s="14"/>
      <c r="C206" s="9"/>
      <c r="D206" s="9"/>
      <c r="E206" s="9"/>
      <c r="F206" s="10"/>
      <c r="G206" s="9"/>
      <c r="H206" s="9"/>
      <c r="I206" s="10"/>
      <c r="J206" s="9"/>
      <c r="K206" s="9"/>
    </row>
    <row r="207" spans="1:11" ht="14.4" x14ac:dyDescent="0.3">
      <c r="A207" s="9"/>
      <c r="B207" s="14"/>
      <c r="C207" s="9"/>
      <c r="D207" s="9"/>
      <c r="E207" s="9"/>
      <c r="F207" s="10"/>
      <c r="G207" s="9"/>
      <c r="H207" s="9"/>
      <c r="I207" s="10"/>
      <c r="J207" s="9"/>
      <c r="K207" s="9"/>
    </row>
    <row r="208" spans="1:11" ht="14.4" x14ac:dyDescent="0.3">
      <c r="A208" s="9"/>
      <c r="B208" s="14"/>
      <c r="C208" s="9"/>
      <c r="D208" s="9"/>
      <c r="E208" s="9"/>
      <c r="F208" s="10"/>
      <c r="G208" s="9"/>
      <c r="H208" s="9"/>
      <c r="I208" s="10"/>
      <c r="J208" s="9"/>
      <c r="K208" s="9"/>
    </row>
    <row r="209" spans="1:11" ht="14.4" x14ac:dyDescent="0.3">
      <c r="A209" s="9"/>
      <c r="B209" s="14"/>
      <c r="C209" s="9"/>
      <c r="D209" s="9"/>
      <c r="E209" s="9"/>
      <c r="F209" s="10"/>
      <c r="G209" s="9"/>
      <c r="H209" s="9"/>
      <c r="I209" s="10"/>
      <c r="J209" s="9"/>
      <c r="K209" s="9"/>
    </row>
    <row r="210" spans="1:11" ht="14.4" x14ac:dyDescent="0.3">
      <c r="A210" s="9"/>
      <c r="B210" s="14"/>
      <c r="C210" s="9"/>
      <c r="D210" s="9"/>
      <c r="E210" s="9"/>
      <c r="F210" s="10"/>
      <c r="G210" s="9"/>
      <c r="H210" s="9"/>
      <c r="I210" s="10"/>
      <c r="J210" s="9"/>
      <c r="K210" s="9"/>
    </row>
    <row r="211" spans="1:11" ht="14.4" x14ac:dyDescent="0.3">
      <c r="A211" s="9"/>
      <c r="B211" s="14"/>
      <c r="C211" s="9"/>
      <c r="D211" s="9"/>
      <c r="E211" s="9"/>
      <c r="F211" s="10"/>
      <c r="G211" s="9"/>
      <c r="H211" s="9"/>
      <c r="I211" s="10"/>
      <c r="J211" s="9"/>
      <c r="K211" s="9"/>
    </row>
    <row r="212" spans="1:11" ht="14.4" x14ac:dyDescent="0.3">
      <c r="A212" s="9"/>
      <c r="B212" s="14"/>
      <c r="C212" s="9"/>
      <c r="D212" s="9"/>
      <c r="E212" s="9"/>
      <c r="F212" s="10"/>
      <c r="G212" s="9"/>
      <c r="H212" s="9"/>
      <c r="I212" s="10"/>
      <c r="J212" s="9"/>
      <c r="K212" s="9"/>
    </row>
    <row r="213" spans="1:11" ht="14.4" x14ac:dyDescent="0.3">
      <c r="A213" s="9"/>
      <c r="B213" s="14"/>
      <c r="C213" s="9"/>
      <c r="D213" s="9"/>
      <c r="E213" s="9"/>
      <c r="F213" s="10"/>
      <c r="G213" s="9"/>
      <c r="H213" s="9"/>
      <c r="I213" s="10"/>
      <c r="J213" s="9"/>
      <c r="K213" s="9"/>
    </row>
    <row r="214" spans="1:11" ht="14.4" x14ac:dyDescent="0.3">
      <c r="A214" s="9"/>
      <c r="B214" s="14"/>
      <c r="C214" s="9"/>
      <c r="D214" s="9"/>
      <c r="E214" s="9"/>
      <c r="F214" s="10"/>
      <c r="G214" s="9"/>
      <c r="H214" s="9"/>
      <c r="I214" s="10"/>
      <c r="J214" s="9"/>
      <c r="K214" s="9"/>
    </row>
    <row r="215" spans="1:11" ht="14.4" x14ac:dyDescent="0.3">
      <c r="A215" s="9"/>
      <c r="B215" s="14"/>
      <c r="C215" s="9"/>
      <c r="D215" s="9"/>
      <c r="E215" s="9"/>
      <c r="F215" s="10"/>
      <c r="G215" s="9"/>
      <c r="H215" s="9"/>
      <c r="I215" s="10"/>
      <c r="J215" s="9"/>
      <c r="K215" s="9"/>
    </row>
    <row r="216" spans="1:11" ht="14.4" x14ac:dyDescent="0.3">
      <c r="A216" s="9"/>
      <c r="B216" s="14"/>
      <c r="C216" s="9"/>
      <c r="D216" s="9"/>
      <c r="E216" s="9"/>
      <c r="F216" s="10"/>
      <c r="G216" s="9"/>
      <c r="H216" s="9"/>
      <c r="I216" s="10"/>
      <c r="J216" s="9"/>
      <c r="K216" s="9"/>
    </row>
    <row r="217" spans="1:11" ht="14.4" x14ac:dyDescent="0.3">
      <c r="A217" s="9"/>
      <c r="B217" s="14"/>
      <c r="C217" s="9"/>
      <c r="D217" s="9"/>
      <c r="E217" s="9"/>
      <c r="F217" s="10"/>
      <c r="G217" s="9"/>
      <c r="H217" s="9"/>
      <c r="I217" s="10"/>
      <c r="J217" s="9"/>
      <c r="K217" s="9"/>
    </row>
    <row r="218" spans="1:11" ht="14.4" x14ac:dyDescent="0.3">
      <c r="A218" s="9"/>
      <c r="B218" s="14"/>
      <c r="C218" s="9"/>
      <c r="D218" s="9"/>
      <c r="E218" s="9"/>
      <c r="F218" s="10"/>
      <c r="G218" s="9"/>
      <c r="H218" s="9"/>
      <c r="I218" s="10"/>
      <c r="J218" s="9"/>
      <c r="K218" s="9"/>
    </row>
    <row r="219" spans="1:11" ht="14.4" x14ac:dyDescent="0.3">
      <c r="A219" s="9"/>
      <c r="B219" s="14"/>
      <c r="C219" s="9"/>
      <c r="D219" s="9"/>
      <c r="E219" s="9"/>
      <c r="F219" s="10"/>
      <c r="G219" s="9"/>
      <c r="H219" s="9"/>
      <c r="I219" s="10"/>
      <c r="J219" s="9"/>
      <c r="K219" s="9"/>
    </row>
    <row r="220" spans="1:11" ht="14.4" x14ac:dyDescent="0.3">
      <c r="A220" s="9"/>
      <c r="B220" s="14"/>
      <c r="C220" s="9"/>
      <c r="D220" s="9"/>
      <c r="E220" s="9"/>
      <c r="F220" s="10"/>
      <c r="G220" s="9"/>
      <c r="H220" s="9"/>
      <c r="I220" s="10"/>
      <c r="J220" s="9"/>
      <c r="K220" s="9"/>
    </row>
    <row r="221" spans="1:11" ht="14.4" x14ac:dyDescent="0.3">
      <c r="A221" s="9"/>
      <c r="B221" s="14"/>
      <c r="C221" s="9"/>
      <c r="D221" s="9"/>
      <c r="E221" s="9"/>
      <c r="F221" s="10"/>
      <c r="G221" s="9"/>
      <c r="H221" s="9"/>
      <c r="I221" s="10"/>
      <c r="J221" s="9"/>
      <c r="K221" s="9"/>
    </row>
    <row r="222" spans="1:11" ht="14.4" x14ac:dyDescent="0.3">
      <c r="A222" s="9"/>
      <c r="B222" s="14"/>
      <c r="C222" s="9"/>
      <c r="D222" s="9"/>
      <c r="E222" s="9"/>
      <c r="F222" s="10"/>
      <c r="G222" s="9"/>
      <c r="H222" s="9"/>
      <c r="I222" s="10"/>
      <c r="J222" s="9"/>
      <c r="K222" s="9"/>
    </row>
    <row r="223" spans="1:11" ht="14.4" x14ac:dyDescent="0.3">
      <c r="A223" s="9"/>
      <c r="B223" s="14"/>
      <c r="C223" s="9"/>
      <c r="D223" s="9"/>
      <c r="E223" s="9"/>
      <c r="F223" s="10"/>
      <c r="G223" s="9"/>
      <c r="H223" s="9"/>
      <c r="I223" s="10"/>
      <c r="J223" s="9"/>
      <c r="K223" s="9"/>
    </row>
    <row r="224" spans="1:11" ht="14.4" x14ac:dyDescent="0.3">
      <c r="A224" s="9"/>
      <c r="B224" s="14"/>
      <c r="C224" s="9"/>
      <c r="D224" s="9"/>
      <c r="E224" s="9"/>
      <c r="F224" s="10"/>
      <c r="G224" s="9"/>
      <c r="H224" s="9"/>
      <c r="I224" s="10"/>
      <c r="J224" s="9"/>
      <c r="K224" s="9"/>
    </row>
    <row r="225" spans="1:11" ht="14.4" x14ac:dyDescent="0.3">
      <c r="A225" s="9"/>
      <c r="B225" s="14"/>
      <c r="C225" s="9"/>
      <c r="D225" s="9"/>
      <c r="E225" s="9"/>
      <c r="F225" s="10"/>
      <c r="G225" s="9"/>
      <c r="H225" s="9"/>
      <c r="I225" s="10"/>
      <c r="J225" s="9"/>
      <c r="K225" s="9"/>
    </row>
    <row r="226" spans="1:11" ht="14.4" x14ac:dyDescent="0.3">
      <c r="A226" s="9"/>
      <c r="B226" s="14"/>
      <c r="C226" s="9"/>
      <c r="D226" s="9"/>
      <c r="E226" s="9"/>
      <c r="F226" s="10"/>
      <c r="G226" s="9"/>
      <c r="H226" s="9"/>
      <c r="I226" s="10"/>
      <c r="J226" s="9"/>
      <c r="K226" s="9"/>
    </row>
    <row r="227" spans="1:11" ht="14.4" x14ac:dyDescent="0.3">
      <c r="A227" s="9"/>
      <c r="B227" s="14"/>
      <c r="C227" s="9"/>
      <c r="D227" s="9"/>
      <c r="E227" s="9"/>
      <c r="F227" s="10"/>
      <c r="G227" s="9"/>
      <c r="H227" s="9"/>
      <c r="I227" s="10"/>
      <c r="J227" s="9"/>
      <c r="K227" s="9"/>
    </row>
    <row r="228" spans="1:11" ht="14.4" x14ac:dyDescent="0.3">
      <c r="A228" s="9"/>
      <c r="B228" s="14"/>
      <c r="C228" s="9"/>
      <c r="D228" s="9"/>
      <c r="E228" s="9"/>
      <c r="F228" s="10"/>
      <c r="G228" s="9"/>
      <c r="H228" s="9"/>
      <c r="I228" s="10"/>
      <c r="J228" s="9"/>
      <c r="K228" s="9"/>
    </row>
    <row r="229" spans="1:11" ht="14.4" x14ac:dyDescent="0.3">
      <c r="A229" s="9"/>
      <c r="B229" s="14"/>
      <c r="C229" s="9"/>
      <c r="D229" s="9"/>
      <c r="E229" s="9"/>
      <c r="F229" s="10"/>
      <c r="G229" s="9"/>
      <c r="H229" s="9"/>
      <c r="I229" s="10"/>
      <c r="J229" s="9"/>
      <c r="K229" s="9"/>
    </row>
    <row r="230" spans="1:11" ht="14.4" x14ac:dyDescent="0.3">
      <c r="A230" s="9"/>
      <c r="B230" s="14"/>
      <c r="C230" s="9"/>
      <c r="D230" s="9"/>
      <c r="E230" s="9"/>
      <c r="F230" s="10"/>
      <c r="G230" s="9"/>
      <c r="H230" s="9"/>
      <c r="I230" s="10"/>
      <c r="J230" s="9"/>
      <c r="K230" s="9"/>
    </row>
    <row r="231" spans="1:11" ht="14.4" x14ac:dyDescent="0.3">
      <c r="A231" s="9"/>
      <c r="B231" s="14"/>
      <c r="C231" s="9"/>
      <c r="D231" s="9"/>
      <c r="E231" s="9"/>
      <c r="F231" s="10"/>
      <c r="G231" s="9"/>
      <c r="H231" s="9"/>
      <c r="I231" s="10"/>
      <c r="J231" s="9"/>
      <c r="K231" s="9"/>
    </row>
    <row r="232" spans="1:11" ht="14.4" x14ac:dyDescent="0.3">
      <c r="A232" s="9"/>
      <c r="B232" s="14"/>
      <c r="C232" s="9"/>
      <c r="D232" s="9"/>
      <c r="E232" s="9"/>
      <c r="F232" s="10"/>
      <c r="G232" s="9"/>
      <c r="H232" s="9"/>
      <c r="I232" s="10"/>
      <c r="J232" s="9"/>
      <c r="K232" s="9"/>
    </row>
    <row r="233" spans="1:11" ht="14.4" x14ac:dyDescent="0.3">
      <c r="A233" s="9"/>
      <c r="B233" s="14"/>
      <c r="C233" s="9"/>
      <c r="D233" s="9"/>
      <c r="E233" s="9"/>
      <c r="F233" s="10"/>
      <c r="G233" s="9"/>
      <c r="H233" s="9"/>
      <c r="I233" s="10"/>
      <c r="J233" s="9"/>
      <c r="K233" s="9"/>
    </row>
    <row r="234" spans="1:11" ht="14.4" x14ac:dyDescent="0.3">
      <c r="A234" s="9"/>
      <c r="B234" s="14"/>
      <c r="C234" s="9"/>
      <c r="D234" s="9"/>
      <c r="E234" s="9"/>
      <c r="F234" s="10"/>
      <c r="G234" s="9"/>
      <c r="H234" s="9"/>
      <c r="I234" s="10"/>
      <c r="J234" s="9"/>
      <c r="K234" s="9"/>
    </row>
    <row r="235" spans="1:11" ht="14.4" x14ac:dyDescent="0.3">
      <c r="A235" s="9"/>
      <c r="B235" s="14"/>
      <c r="C235" s="9"/>
      <c r="D235" s="9"/>
      <c r="E235" s="9"/>
      <c r="F235" s="10"/>
      <c r="G235" s="9"/>
      <c r="H235" s="9"/>
      <c r="I235" s="10"/>
      <c r="J235" s="9"/>
      <c r="K235" s="9"/>
    </row>
    <row r="236" spans="1:11" ht="14.4" x14ac:dyDescent="0.3">
      <c r="A236" s="9"/>
      <c r="B236" s="14"/>
      <c r="C236" s="9"/>
      <c r="D236" s="9"/>
      <c r="E236" s="9"/>
      <c r="F236" s="10"/>
      <c r="G236" s="9"/>
      <c r="H236" s="9"/>
      <c r="I236" s="10"/>
      <c r="J236" s="9"/>
      <c r="K236" s="9"/>
    </row>
    <row r="237" spans="1:11" ht="14.4" x14ac:dyDescent="0.3">
      <c r="A237" s="9"/>
      <c r="B237" s="14"/>
      <c r="C237" s="9"/>
      <c r="D237" s="9"/>
      <c r="E237" s="9"/>
      <c r="F237" s="10"/>
      <c r="G237" s="9"/>
      <c r="H237" s="9"/>
      <c r="I237" s="10"/>
      <c r="J237" s="9"/>
      <c r="K237" s="9"/>
    </row>
    <row r="238" spans="1:11" ht="14.4" x14ac:dyDescent="0.3">
      <c r="A238" s="9"/>
      <c r="B238" s="14"/>
      <c r="C238" s="9"/>
      <c r="D238" s="9"/>
      <c r="E238" s="9"/>
      <c r="F238" s="10"/>
      <c r="G238" s="9"/>
      <c r="H238" s="9"/>
      <c r="I238" s="10"/>
      <c r="J238" s="9"/>
      <c r="K238" s="9"/>
    </row>
    <row r="239" spans="1:11" ht="14.4" x14ac:dyDescent="0.3">
      <c r="A239" s="9"/>
      <c r="B239" s="14"/>
      <c r="C239" s="9"/>
      <c r="D239" s="9"/>
      <c r="E239" s="9"/>
      <c r="F239" s="10"/>
      <c r="G239" s="9"/>
      <c r="H239" s="9"/>
      <c r="I239" s="10"/>
      <c r="J239" s="9"/>
      <c r="K239" s="9"/>
    </row>
    <row r="240" spans="1:11" ht="14.4" x14ac:dyDescent="0.3">
      <c r="A240" s="9"/>
      <c r="B240" s="14"/>
      <c r="C240" s="9"/>
      <c r="D240" s="9"/>
      <c r="E240" s="9"/>
      <c r="F240" s="10"/>
      <c r="G240" s="9"/>
      <c r="H240" s="9"/>
      <c r="I240" s="10"/>
      <c r="J240" s="9"/>
      <c r="K240" s="9"/>
    </row>
    <row r="241" spans="1:11" ht="14.4" x14ac:dyDescent="0.3">
      <c r="A241" s="9"/>
      <c r="B241" s="14"/>
      <c r="C241" s="9"/>
      <c r="D241" s="9"/>
      <c r="E241" s="9"/>
      <c r="F241" s="10"/>
      <c r="G241" s="9"/>
      <c r="H241" s="9"/>
      <c r="I241" s="10"/>
      <c r="J241" s="9"/>
      <c r="K241" s="9"/>
    </row>
    <row r="242" spans="1:11" ht="14.4" x14ac:dyDescent="0.3">
      <c r="A242" s="9"/>
      <c r="B242" s="14"/>
      <c r="C242" s="9"/>
      <c r="D242" s="9"/>
      <c r="E242" s="9"/>
      <c r="F242" s="10"/>
      <c r="G242" s="9"/>
      <c r="H242" s="9"/>
      <c r="I242" s="10"/>
      <c r="J242" s="9"/>
      <c r="K242" s="9"/>
    </row>
    <row r="243" spans="1:11" ht="14.4" x14ac:dyDescent="0.3">
      <c r="A243" s="9"/>
      <c r="B243" s="14"/>
      <c r="C243" s="9"/>
      <c r="D243" s="9"/>
      <c r="E243" s="9"/>
      <c r="F243" s="10"/>
      <c r="G243" s="9"/>
      <c r="H243" s="9"/>
      <c r="I243" s="10"/>
      <c r="J243" s="9"/>
      <c r="K243" s="9"/>
    </row>
    <row r="244" spans="1:11" ht="14.4" x14ac:dyDescent="0.3">
      <c r="A244" s="9"/>
      <c r="B244" s="14"/>
      <c r="C244" s="9"/>
      <c r="D244" s="9"/>
      <c r="E244" s="9"/>
      <c r="F244" s="10"/>
      <c r="G244" s="9"/>
      <c r="H244" s="9"/>
      <c r="I244" s="10"/>
      <c r="J244" s="9"/>
      <c r="K244" s="9"/>
    </row>
    <row r="245" spans="1:11" ht="14.4" x14ac:dyDescent="0.3">
      <c r="A245" s="9"/>
      <c r="B245" s="14"/>
      <c r="C245" s="9"/>
      <c r="D245" s="9"/>
      <c r="E245" s="9"/>
      <c r="F245" s="10"/>
      <c r="G245" s="9"/>
      <c r="H245" s="9"/>
      <c r="I245" s="10"/>
      <c r="J245" s="9"/>
      <c r="K245" s="9"/>
    </row>
    <row r="246" spans="1:11" ht="14.4" x14ac:dyDescent="0.3">
      <c r="A246" s="9"/>
      <c r="B246" s="14"/>
      <c r="C246" s="9"/>
      <c r="D246" s="9"/>
      <c r="E246" s="9"/>
      <c r="F246" s="10"/>
      <c r="G246" s="9"/>
      <c r="H246" s="9"/>
      <c r="I246" s="10"/>
      <c r="J246" s="9"/>
      <c r="K246" s="9"/>
    </row>
    <row r="247" spans="1:11" ht="14.4" x14ac:dyDescent="0.3">
      <c r="A247" s="9"/>
      <c r="B247" s="14"/>
      <c r="C247" s="9"/>
      <c r="D247" s="9"/>
      <c r="E247" s="9"/>
      <c r="F247" s="10"/>
      <c r="G247" s="9"/>
      <c r="H247" s="9"/>
      <c r="I247" s="10"/>
      <c r="J247" s="9"/>
      <c r="K247" s="9"/>
    </row>
    <row r="248" spans="1:11" ht="14.4" x14ac:dyDescent="0.3">
      <c r="A248" s="9"/>
      <c r="B248" s="14"/>
      <c r="C248" s="9"/>
      <c r="D248" s="9"/>
      <c r="E248" s="9"/>
      <c r="F248" s="10"/>
      <c r="G248" s="9"/>
      <c r="H248" s="9"/>
      <c r="I248" s="10"/>
      <c r="J248" s="9"/>
      <c r="K248" s="9"/>
    </row>
    <row r="249" spans="1:11" ht="14.4" x14ac:dyDescent="0.3">
      <c r="A249" s="9"/>
      <c r="B249" s="14"/>
      <c r="C249" s="9"/>
      <c r="D249" s="9"/>
      <c r="E249" s="9"/>
      <c r="F249" s="10"/>
      <c r="G249" s="9"/>
      <c r="H249" s="9"/>
      <c r="I249" s="10"/>
      <c r="J249" s="9"/>
      <c r="K249" s="9"/>
    </row>
    <row r="250" spans="1:11" ht="14.4" x14ac:dyDescent="0.3">
      <c r="A250" s="9"/>
      <c r="B250" s="14"/>
      <c r="C250" s="9"/>
      <c r="D250" s="9"/>
      <c r="E250" s="9"/>
      <c r="F250" s="10"/>
      <c r="G250" s="9"/>
      <c r="H250" s="9"/>
      <c r="I250" s="10"/>
      <c r="J250" s="9"/>
      <c r="K250" s="9"/>
    </row>
    <row r="251" spans="1:11" ht="14.4" x14ac:dyDescent="0.3">
      <c r="A251" s="9"/>
      <c r="B251" s="14"/>
      <c r="C251" s="9"/>
      <c r="D251" s="9"/>
      <c r="E251" s="9"/>
      <c r="F251" s="10"/>
      <c r="G251" s="9"/>
      <c r="H251" s="9"/>
      <c r="I251" s="10"/>
      <c r="J251" s="9"/>
      <c r="K251" s="9"/>
    </row>
    <row r="252" spans="1:11" ht="14.4" x14ac:dyDescent="0.3">
      <c r="A252" s="9"/>
      <c r="B252" s="14"/>
      <c r="C252" s="9"/>
      <c r="D252" s="9"/>
      <c r="E252" s="9"/>
      <c r="F252" s="10"/>
      <c r="G252" s="9"/>
      <c r="H252" s="9"/>
      <c r="I252" s="10"/>
      <c r="J252" s="9"/>
      <c r="K252" s="9"/>
    </row>
    <row r="253" spans="1:11" ht="14.4" x14ac:dyDescent="0.3">
      <c r="A253" s="9"/>
      <c r="B253" s="14"/>
      <c r="C253" s="9"/>
      <c r="D253" s="9"/>
      <c r="E253" s="9"/>
      <c r="F253" s="10"/>
      <c r="G253" s="9"/>
      <c r="H253" s="9"/>
      <c r="I253" s="10"/>
      <c r="J253" s="9"/>
      <c r="K253" s="9"/>
    </row>
    <row r="254" spans="1:11" ht="14.4" x14ac:dyDescent="0.3">
      <c r="A254" s="9"/>
      <c r="B254" s="14"/>
      <c r="C254" s="9"/>
      <c r="D254" s="9"/>
      <c r="E254" s="9"/>
      <c r="F254" s="10"/>
      <c r="G254" s="9"/>
      <c r="H254" s="9"/>
      <c r="I254" s="10"/>
      <c r="J254" s="9"/>
      <c r="K254" s="9"/>
    </row>
    <row r="255" spans="1:11" ht="14.4" x14ac:dyDescent="0.3">
      <c r="A255" s="9"/>
      <c r="B255" s="14"/>
      <c r="C255" s="9"/>
      <c r="D255" s="9"/>
      <c r="E255" s="9"/>
      <c r="F255" s="10"/>
      <c r="G255" s="9"/>
      <c r="H255" s="9"/>
      <c r="I255" s="10"/>
      <c r="J255" s="9"/>
      <c r="K255" s="9"/>
    </row>
    <row r="256" spans="1:11" ht="14.4" x14ac:dyDescent="0.3">
      <c r="A256" s="9"/>
      <c r="B256" s="14"/>
      <c r="C256" s="9"/>
      <c r="D256" s="9"/>
      <c r="E256" s="9"/>
      <c r="F256" s="10"/>
      <c r="G256" s="9"/>
      <c r="H256" s="9"/>
      <c r="I256" s="10"/>
      <c r="J256" s="9"/>
      <c r="K256" s="9"/>
    </row>
    <row r="257" spans="1:11" ht="14.4" x14ac:dyDescent="0.3">
      <c r="A257" s="9"/>
      <c r="B257" s="14"/>
      <c r="C257" s="9"/>
      <c r="D257" s="9"/>
      <c r="E257" s="9"/>
      <c r="F257" s="10"/>
      <c r="G257" s="9"/>
      <c r="H257" s="9"/>
      <c r="I257" s="10"/>
      <c r="J257" s="9"/>
      <c r="K257" s="9"/>
    </row>
    <row r="258" spans="1:11" ht="14.4" x14ac:dyDescent="0.3">
      <c r="A258" s="9"/>
      <c r="B258" s="14"/>
      <c r="C258" s="9"/>
      <c r="D258" s="9"/>
      <c r="E258" s="9"/>
      <c r="F258" s="10"/>
      <c r="G258" s="9"/>
      <c r="H258" s="9"/>
      <c r="I258" s="10"/>
      <c r="J258" s="9"/>
      <c r="K258" s="9"/>
    </row>
    <row r="259" spans="1:11" ht="14.4" x14ac:dyDescent="0.3">
      <c r="A259" s="9"/>
      <c r="B259" s="14"/>
      <c r="C259" s="9"/>
      <c r="D259" s="9"/>
      <c r="E259" s="9"/>
      <c r="F259" s="10"/>
      <c r="G259" s="9"/>
      <c r="H259" s="9"/>
      <c r="I259" s="10"/>
      <c r="J259" s="9"/>
      <c r="K259" s="9"/>
    </row>
    <row r="260" spans="1:11" ht="14.4" x14ac:dyDescent="0.3">
      <c r="A260" s="9"/>
      <c r="B260" s="14"/>
      <c r="C260" s="9"/>
      <c r="D260" s="9"/>
      <c r="E260" s="9"/>
      <c r="F260" s="10"/>
      <c r="G260" s="9"/>
      <c r="H260" s="9"/>
      <c r="I260" s="10"/>
      <c r="J260" s="9"/>
      <c r="K260" s="9"/>
    </row>
    <row r="261" spans="1:11" ht="14.4" x14ac:dyDescent="0.3">
      <c r="A261" s="9"/>
      <c r="B261" s="14"/>
      <c r="C261" s="9"/>
      <c r="D261" s="9"/>
      <c r="E261" s="9"/>
      <c r="F261" s="10"/>
      <c r="G261" s="9"/>
      <c r="H261" s="9"/>
      <c r="I261" s="10"/>
      <c r="J261" s="9"/>
      <c r="K261" s="9"/>
    </row>
    <row r="262" spans="1:11" ht="14.4" x14ac:dyDescent="0.3">
      <c r="A262" s="9"/>
      <c r="B262" s="14"/>
      <c r="C262" s="9"/>
      <c r="D262" s="9"/>
      <c r="E262" s="9"/>
      <c r="F262" s="10"/>
      <c r="G262" s="9"/>
      <c r="H262" s="9"/>
      <c r="I262" s="10"/>
      <c r="J262" s="9"/>
      <c r="K262" s="9"/>
    </row>
    <row r="263" spans="1:11" ht="14.4" x14ac:dyDescent="0.3">
      <c r="A263" s="9"/>
      <c r="B263" s="14"/>
      <c r="C263" s="9"/>
      <c r="D263" s="9"/>
      <c r="E263" s="9"/>
      <c r="F263" s="10"/>
      <c r="G263" s="9"/>
      <c r="H263" s="9"/>
      <c r="I263" s="10"/>
      <c r="J263" s="9"/>
      <c r="K263" s="9"/>
    </row>
    <row r="264" spans="1:11" ht="14.4" x14ac:dyDescent="0.3">
      <c r="A264" s="9"/>
      <c r="B264" s="14"/>
      <c r="C264" s="9"/>
      <c r="D264" s="9"/>
      <c r="E264" s="9"/>
      <c r="F264" s="10"/>
      <c r="G264" s="9"/>
      <c r="H264" s="9"/>
      <c r="I264" s="10"/>
      <c r="J264" s="9"/>
      <c r="K264" s="9"/>
    </row>
    <row r="265" spans="1:11" ht="14.4" x14ac:dyDescent="0.3">
      <c r="A265" s="9"/>
      <c r="B265" s="14"/>
      <c r="C265" s="9"/>
      <c r="D265" s="9"/>
      <c r="E265" s="9"/>
      <c r="F265" s="10"/>
      <c r="G265" s="9"/>
      <c r="H265" s="9"/>
      <c r="I265" s="10"/>
      <c r="J265" s="9"/>
      <c r="K265" s="9"/>
    </row>
    <row r="266" spans="1:11" ht="14.4" x14ac:dyDescent="0.3">
      <c r="A266" s="9"/>
      <c r="B266" s="14"/>
      <c r="C266" s="9"/>
      <c r="D266" s="9"/>
      <c r="E266" s="9"/>
      <c r="F266" s="10"/>
      <c r="G266" s="9"/>
      <c r="H266" s="9"/>
      <c r="I266" s="10"/>
      <c r="J266" s="9"/>
      <c r="K266" s="9"/>
    </row>
    <row r="267" spans="1:11" ht="14.4" x14ac:dyDescent="0.3">
      <c r="A267" s="9"/>
      <c r="B267" s="14"/>
      <c r="C267" s="9"/>
      <c r="D267" s="9"/>
      <c r="E267" s="9"/>
      <c r="F267" s="10"/>
      <c r="G267" s="9"/>
      <c r="H267" s="9"/>
      <c r="I267" s="10"/>
      <c r="J267" s="9"/>
      <c r="K267" s="9"/>
    </row>
    <row r="268" spans="1:11" ht="14.4" x14ac:dyDescent="0.3">
      <c r="A268" s="9"/>
      <c r="B268" s="14"/>
      <c r="C268" s="9"/>
      <c r="D268" s="9"/>
      <c r="E268" s="9"/>
      <c r="F268" s="10"/>
      <c r="G268" s="9"/>
      <c r="H268" s="9"/>
      <c r="I268" s="10"/>
      <c r="J268" s="9"/>
      <c r="K268" s="9"/>
    </row>
    <row r="269" spans="1:11" ht="14.4" x14ac:dyDescent="0.3">
      <c r="A269" s="9"/>
      <c r="B269" s="14"/>
      <c r="C269" s="9"/>
      <c r="D269" s="9"/>
      <c r="E269" s="9"/>
      <c r="F269" s="10"/>
      <c r="G269" s="9"/>
      <c r="H269" s="9"/>
      <c r="I269" s="10"/>
      <c r="J269" s="9"/>
      <c r="K269" s="9"/>
    </row>
    <row r="270" spans="1:11" ht="14.4" x14ac:dyDescent="0.3">
      <c r="A270" s="9"/>
      <c r="B270" s="14"/>
      <c r="C270" s="9"/>
      <c r="D270" s="9"/>
      <c r="E270" s="9"/>
      <c r="F270" s="10"/>
      <c r="G270" s="9"/>
      <c r="H270" s="9"/>
      <c r="I270" s="10"/>
      <c r="J270" s="9"/>
      <c r="K270" s="9"/>
    </row>
    <row r="271" spans="1:11" ht="14.4" x14ac:dyDescent="0.3">
      <c r="A271" s="9"/>
      <c r="B271" s="14"/>
      <c r="C271" s="9"/>
      <c r="D271" s="9"/>
      <c r="E271" s="9"/>
      <c r="F271" s="10"/>
      <c r="G271" s="9"/>
      <c r="H271" s="9"/>
      <c r="I271" s="10"/>
      <c r="J271" s="9"/>
      <c r="K271" s="9"/>
    </row>
    <row r="272" spans="1:11" ht="14.4" x14ac:dyDescent="0.3">
      <c r="A272" s="9"/>
      <c r="B272" s="14"/>
      <c r="C272" s="9"/>
      <c r="D272" s="9"/>
      <c r="E272" s="9"/>
      <c r="F272" s="10"/>
      <c r="G272" s="9"/>
      <c r="H272" s="9"/>
      <c r="I272" s="10"/>
      <c r="J272" s="9"/>
      <c r="K272" s="9"/>
    </row>
    <row r="273" spans="1:11" ht="14.4" x14ac:dyDescent="0.3">
      <c r="A273" s="9"/>
      <c r="B273" s="14"/>
      <c r="C273" s="9"/>
      <c r="D273" s="9"/>
      <c r="E273" s="9"/>
      <c r="F273" s="10"/>
      <c r="G273" s="9"/>
      <c r="H273" s="9"/>
      <c r="I273" s="10"/>
      <c r="J273" s="9"/>
      <c r="K273" s="9"/>
    </row>
    <row r="274" spans="1:11" ht="14.4" x14ac:dyDescent="0.3">
      <c r="A274" s="9"/>
      <c r="B274" s="14"/>
      <c r="C274" s="9"/>
      <c r="D274" s="9"/>
      <c r="E274" s="9"/>
      <c r="F274" s="10"/>
      <c r="G274" s="9"/>
      <c r="H274" s="9"/>
      <c r="I274" s="10"/>
      <c r="J274" s="9"/>
      <c r="K274" s="9"/>
    </row>
    <row r="275" spans="1:11" ht="14.4" x14ac:dyDescent="0.3">
      <c r="A275" s="9"/>
      <c r="B275" s="14"/>
      <c r="C275" s="9"/>
      <c r="D275" s="9"/>
      <c r="E275" s="9"/>
      <c r="F275" s="10"/>
      <c r="G275" s="9"/>
      <c r="H275" s="9"/>
      <c r="I275" s="10"/>
      <c r="J275" s="9"/>
      <c r="K275" s="9"/>
    </row>
    <row r="276" spans="1:11" ht="14.4" x14ac:dyDescent="0.3">
      <c r="A276" s="9"/>
      <c r="B276" s="14"/>
      <c r="C276" s="9"/>
      <c r="D276" s="9"/>
      <c r="E276" s="9"/>
      <c r="F276" s="10"/>
      <c r="G276" s="9"/>
      <c r="H276" s="9"/>
      <c r="I276" s="10"/>
      <c r="J276" s="9"/>
      <c r="K276" s="9"/>
    </row>
    <row r="277" spans="1:11" ht="14.4" x14ac:dyDescent="0.3">
      <c r="A277" s="9"/>
      <c r="B277" s="14"/>
      <c r="C277" s="9"/>
      <c r="D277" s="9"/>
      <c r="E277" s="9"/>
      <c r="F277" s="10"/>
      <c r="G277" s="9"/>
      <c r="H277" s="9"/>
      <c r="I277" s="10"/>
      <c r="J277" s="9"/>
      <c r="K277" s="9"/>
    </row>
    <row r="278" spans="1:11" ht="14.4" x14ac:dyDescent="0.3">
      <c r="A278" s="9"/>
      <c r="B278" s="14"/>
      <c r="C278" s="9"/>
      <c r="D278" s="9"/>
      <c r="E278" s="9"/>
      <c r="F278" s="10"/>
      <c r="G278" s="9"/>
      <c r="H278" s="9"/>
      <c r="I278" s="10"/>
      <c r="J278" s="9"/>
      <c r="K278" s="9"/>
    </row>
    <row r="279" spans="1:11" ht="14.4" x14ac:dyDescent="0.3">
      <c r="A279" s="9"/>
      <c r="B279" s="14"/>
      <c r="C279" s="9"/>
      <c r="D279" s="9"/>
      <c r="E279" s="9"/>
      <c r="F279" s="10"/>
      <c r="G279" s="9"/>
      <c r="H279" s="9"/>
      <c r="I279" s="10"/>
      <c r="J279" s="9"/>
      <c r="K279" s="9"/>
    </row>
    <row r="280" spans="1:11" ht="14.4" x14ac:dyDescent="0.3">
      <c r="A280" s="9"/>
      <c r="B280" s="14"/>
      <c r="C280" s="9"/>
      <c r="D280" s="9"/>
      <c r="E280" s="9"/>
      <c r="F280" s="10"/>
      <c r="G280" s="9"/>
      <c r="H280" s="9"/>
      <c r="I280" s="10"/>
      <c r="J280" s="9"/>
      <c r="K280" s="9"/>
    </row>
    <row r="281" spans="1:11" ht="14.4" x14ac:dyDescent="0.3">
      <c r="A281" s="9"/>
      <c r="B281" s="14"/>
      <c r="C281" s="9"/>
      <c r="D281" s="9"/>
      <c r="E281" s="9"/>
      <c r="F281" s="10"/>
      <c r="G281" s="9"/>
      <c r="H281" s="9"/>
      <c r="I281" s="10"/>
      <c r="J281" s="9"/>
      <c r="K281" s="9"/>
    </row>
    <row r="282" spans="1:11" ht="14.4" x14ac:dyDescent="0.3">
      <c r="A282" s="9"/>
      <c r="B282" s="14"/>
      <c r="C282" s="9"/>
      <c r="D282" s="9"/>
      <c r="E282" s="9"/>
      <c r="F282" s="10"/>
      <c r="G282" s="9"/>
      <c r="H282" s="9"/>
      <c r="I282" s="10"/>
      <c r="J282" s="9"/>
      <c r="K282" s="9"/>
    </row>
    <row r="283" spans="1:11" ht="14.4" x14ac:dyDescent="0.3">
      <c r="A283" s="9"/>
      <c r="B283" s="14"/>
      <c r="C283" s="9"/>
      <c r="D283" s="9"/>
      <c r="E283" s="9"/>
      <c r="F283" s="10"/>
      <c r="G283" s="9"/>
      <c r="H283" s="9"/>
      <c r="I283" s="10"/>
      <c r="J283" s="9"/>
      <c r="K283" s="9"/>
    </row>
    <row r="284" spans="1:11" ht="14.4" x14ac:dyDescent="0.3">
      <c r="A284" s="9"/>
      <c r="B284" s="14"/>
      <c r="C284" s="9"/>
      <c r="D284" s="9"/>
      <c r="E284" s="9"/>
      <c r="F284" s="10"/>
      <c r="G284" s="9"/>
      <c r="H284" s="9"/>
      <c r="I284" s="10"/>
      <c r="J284" s="9"/>
      <c r="K284" s="9"/>
    </row>
    <row r="285" spans="1:11" ht="14.4" x14ac:dyDescent="0.3">
      <c r="A285" s="9"/>
      <c r="B285" s="14"/>
      <c r="C285" s="9"/>
      <c r="D285" s="9"/>
      <c r="E285" s="9"/>
      <c r="F285" s="10"/>
      <c r="G285" s="9"/>
      <c r="H285" s="9"/>
      <c r="I285" s="10"/>
      <c r="J285" s="9"/>
      <c r="K285" s="9"/>
    </row>
    <row r="286" spans="1:11" ht="14.4" x14ac:dyDescent="0.3">
      <c r="A286" s="9"/>
      <c r="B286" s="14"/>
      <c r="C286" s="9"/>
      <c r="D286" s="9"/>
      <c r="E286" s="9"/>
      <c r="F286" s="10"/>
      <c r="G286" s="9"/>
      <c r="H286" s="9"/>
      <c r="I286" s="10"/>
      <c r="J286" s="9"/>
      <c r="K286" s="9"/>
    </row>
    <row r="287" spans="1:11" ht="14.4" x14ac:dyDescent="0.3">
      <c r="A287" s="9"/>
      <c r="B287" s="14"/>
      <c r="C287" s="9"/>
      <c r="D287" s="9"/>
      <c r="E287" s="9"/>
      <c r="F287" s="10"/>
      <c r="G287" s="9"/>
      <c r="H287" s="9"/>
      <c r="I287" s="10"/>
      <c r="J287" s="9"/>
      <c r="K287" s="9"/>
    </row>
    <row r="288" spans="1:11" ht="14.4" x14ac:dyDescent="0.3">
      <c r="A288" s="9"/>
      <c r="B288" s="14"/>
      <c r="C288" s="9"/>
      <c r="D288" s="9"/>
      <c r="E288" s="9"/>
      <c r="F288" s="10"/>
      <c r="G288" s="9"/>
      <c r="H288" s="9"/>
      <c r="I288" s="10"/>
      <c r="J288" s="9"/>
      <c r="K288" s="9"/>
    </row>
    <row r="289" spans="1:11" ht="14.4" x14ac:dyDescent="0.3">
      <c r="A289" s="9"/>
      <c r="B289" s="14"/>
      <c r="C289" s="9"/>
      <c r="D289" s="9"/>
      <c r="E289" s="9"/>
      <c r="F289" s="10"/>
      <c r="G289" s="9"/>
      <c r="H289" s="9"/>
      <c r="I289" s="10"/>
      <c r="J289" s="9"/>
      <c r="K289" s="9"/>
    </row>
    <row r="290" spans="1:11" ht="14.4" x14ac:dyDescent="0.3">
      <c r="A290" s="9"/>
      <c r="B290" s="14"/>
      <c r="C290" s="9"/>
      <c r="D290" s="9"/>
      <c r="E290" s="9"/>
      <c r="F290" s="10"/>
      <c r="G290" s="9"/>
      <c r="H290" s="9"/>
      <c r="I290" s="10"/>
      <c r="J290" s="9"/>
      <c r="K290" s="9"/>
    </row>
    <row r="291" spans="1:11" ht="14.4" x14ac:dyDescent="0.3">
      <c r="A291" s="9"/>
      <c r="B291" s="14"/>
      <c r="C291" s="9"/>
      <c r="D291" s="9"/>
      <c r="E291" s="9"/>
      <c r="F291" s="10"/>
      <c r="G291" s="9"/>
      <c r="H291" s="9"/>
      <c r="I291" s="10"/>
      <c r="J291" s="9"/>
      <c r="K291" s="9"/>
    </row>
    <row r="292" spans="1:11" ht="14.4" x14ac:dyDescent="0.3">
      <c r="A292" s="9"/>
      <c r="B292" s="14"/>
      <c r="C292" s="9"/>
      <c r="D292" s="9"/>
      <c r="E292" s="9"/>
      <c r="F292" s="10"/>
      <c r="G292" s="9"/>
      <c r="H292" s="9"/>
      <c r="I292" s="10"/>
      <c r="J292" s="9"/>
      <c r="K292" s="9"/>
    </row>
    <row r="293" spans="1:11" ht="14.4" x14ac:dyDescent="0.3">
      <c r="A293" s="9"/>
      <c r="B293" s="14"/>
      <c r="C293" s="9"/>
      <c r="D293" s="9"/>
      <c r="E293" s="9"/>
      <c r="F293" s="10"/>
      <c r="G293" s="9"/>
      <c r="H293" s="9"/>
      <c r="I293" s="10"/>
      <c r="J293" s="9"/>
      <c r="K293" s="9"/>
    </row>
    <row r="294" spans="1:11" ht="14.4" x14ac:dyDescent="0.3">
      <c r="A294" s="9"/>
      <c r="B294" s="14"/>
      <c r="C294" s="9"/>
      <c r="D294" s="9"/>
      <c r="E294" s="9"/>
      <c r="F294" s="10"/>
      <c r="G294" s="9"/>
      <c r="H294" s="9"/>
      <c r="I294" s="10"/>
      <c r="J294" s="9"/>
      <c r="K294" s="9"/>
    </row>
    <row r="295" spans="1:11" ht="14.4" x14ac:dyDescent="0.3">
      <c r="A295" s="9"/>
      <c r="B295" s="14"/>
      <c r="C295" s="9"/>
      <c r="D295" s="9"/>
      <c r="E295" s="9"/>
      <c r="F295" s="10"/>
      <c r="G295" s="9"/>
      <c r="H295" s="9"/>
      <c r="I295" s="10"/>
      <c r="J295" s="9"/>
      <c r="K295" s="9"/>
    </row>
    <row r="296" spans="1:11" ht="14.4" x14ac:dyDescent="0.3">
      <c r="A296" s="9"/>
      <c r="B296" s="14"/>
      <c r="C296" s="9"/>
      <c r="D296" s="9"/>
      <c r="E296" s="9"/>
      <c r="F296" s="10"/>
      <c r="G296" s="9"/>
      <c r="H296" s="9"/>
      <c r="I296" s="10"/>
      <c r="J296" s="9"/>
      <c r="K296" s="9"/>
    </row>
    <row r="297" spans="1:11" ht="14.4" x14ac:dyDescent="0.3">
      <c r="A297" s="9"/>
      <c r="B297" s="14"/>
      <c r="C297" s="9"/>
      <c r="D297" s="9"/>
      <c r="E297" s="9"/>
      <c r="F297" s="10"/>
      <c r="G297" s="9"/>
      <c r="H297" s="9"/>
      <c r="I297" s="10"/>
      <c r="J297" s="9"/>
      <c r="K297" s="9"/>
    </row>
    <row r="298" spans="1:11" ht="14.4" x14ac:dyDescent="0.3">
      <c r="A298" s="9"/>
      <c r="B298" s="14"/>
      <c r="C298" s="9"/>
      <c r="D298" s="9"/>
      <c r="E298" s="9"/>
      <c r="F298" s="10"/>
      <c r="G298" s="9"/>
      <c r="H298" s="9"/>
      <c r="I298" s="10"/>
      <c r="J298" s="9"/>
      <c r="K298" s="9"/>
    </row>
    <row r="299" spans="1:11" ht="14.4" x14ac:dyDescent="0.3">
      <c r="A299" s="9"/>
      <c r="B299" s="14"/>
      <c r="C299" s="9"/>
      <c r="D299" s="9"/>
      <c r="E299" s="9"/>
      <c r="F299" s="10"/>
      <c r="G299" s="9"/>
      <c r="H299" s="9"/>
      <c r="I299" s="10"/>
      <c r="J299" s="9"/>
      <c r="K299" s="9"/>
    </row>
    <row r="300" spans="1:11" ht="14.4" x14ac:dyDescent="0.3">
      <c r="A300" s="9"/>
      <c r="B300" s="14"/>
      <c r="C300" s="9"/>
      <c r="D300" s="9"/>
      <c r="E300" s="9"/>
      <c r="F300" s="10"/>
      <c r="G300" s="9"/>
      <c r="H300" s="9"/>
      <c r="I300" s="10"/>
      <c r="J300" s="9"/>
      <c r="K300" s="9"/>
    </row>
    <row r="301" spans="1:11" ht="14.4" x14ac:dyDescent="0.3">
      <c r="A301" s="9"/>
      <c r="B301" s="14"/>
      <c r="C301" s="9"/>
      <c r="D301" s="9"/>
      <c r="E301" s="9"/>
      <c r="F301" s="10"/>
      <c r="G301" s="9"/>
      <c r="H301" s="9"/>
      <c r="I301" s="10"/>
      <c r="J301" s="9"/>
      <c r="K301" s="9"/>
    </row>
    <row r="302" spans="1:11" ht="14.4" x14ac:dyDescent="0.3">
      <c r="A302" s="9"/>
      <c r="B302" s="14"/>
      <c r="C302" s="9"/>
      <c r="D302" s="9"/>
      <c r="E302" s="9"/>
      <c r="F302" s="10"/>
      <c r="G302" s="9"/>
      <c r="H302" s="9"/>
      <c r="I302" s="10"/>
      <c r="J302" s="9"/>
      <c r="K302" s="9"/>
    </row>
    <row r="303" spans="1:11" ht="14.4" x14ac:dyDescent="0.3">
      <c r="A303" s="9"/>
      <c r="B303" s="14"/>
      <c r="C303" s="9"/>
      <c r="D303" s="9"/>
      <c r="E303" s="9"/>
      <c r="F303" s="10"/>
      <c r="G303" s="9"/>
      <c r="H303" s="9"/>
      <c r="I303" s="10"/>
      <c r="J303" s="9"/>
      <c r="K303" s="9"/>
    </row>
    <row r="304" spans="1:11" ht="14.4" x14ac:dyDescent="0.3">
      <c r="A304" s="9"/>
      <c r="B304" s="14"/>
      <c r="C304" s="9"/>
      <c r="D304" s="9"/>
      <c r="E304" s="9"/>
      <c r="F304" s="10"/>
      <c r="G304" s="9"/>
      <c r="H304" s="9"/>
      <c r="I304" s="10"/>
      <c r="J304" s="9"/>
      <c r="K304" s="9"/>
    </row>
    <row r="305" spans="1:11" ht="14.4" x14ac:dyDescent="0.3">
      <c r="A305" s="9"/>
      <c r="B305" s="14"/>
      <c r="C305" s="9"/>
      <c r="D305" s="9"/>
      <c r="E305" s="9"/>
      <c r="F305" s="10"/>
      <c r="G305" s="9"/>
      <c r="H305" s="9"/>
      <c r="I305" s="10"/>
      <c r="J305" s="9"/>
      <c r="K305" s="9"/>
    </row>
    <row r="306" spans="1:11" ht="14.4" x14ac:dyDescent="0.3">
      <c r="A306" s="9"/>
      <c r="B306" s="14"/>
      <c r="C306" s="9"/>
      <c r="D306" s="9"/>
      <c r="E306" s="9"/>
      <c r="F306" s="10"/>
      <c r="G306" s="9"/>
      <c r="H306" s="9"/>
      <c r="I306" s="10"/>
      <c r="J306" s="9"/>
      <c r="K306" s="9"/>
    </row>
    <row r="307" spans="1:11" ht="14.4" x14ac:dyDescent="0.3">
      <c r="A307" s="9"/>
      <c r="B307" s="14"/>
      <c r="C307" s="9"/>
      <c r="D307" s="9"/>
      <c r="E307" s="9"/>
      <c r="F307" s="10"/>
      <c r="G307" s="9"/>
      <c r="H307" s="9"/>
      <c r="I307" s="10"/>
      <c r="J307" s="9"/>
      <c r="K307" s="9"/>
    </row>
    <row r="308" spans="1:11" ht="14.4" x14ac:dyDescent="0.3">
      <c r="A308" s="9"/>
      <c r="B308" s="14"/>
      <c r="C308" s="9"/>
      <c r="D308" s="9"/>
      <c r="E308" s="9"/>
      <c r="F308" s="10"/>
      <c r="G308" s="9"/>
      <c r="H308" s="9"/>
      <c r="I308" s="10"/>
      <c r="J308" s="9"/>
      <c r="K308" s="9"/>
    </row>
    <row r="309" spans="1:11" ht="14.4" x14ac:dyDescent="0.3">
      <c r="A309" s="9"/>
      <c r="B309" s="14"/>
      <c r="C309" s="9"/>
      <c r="D309" s="9"/>
      <c r="E309" s="9"/>
      <c r="F309" s="10"/>
      <c r="G309" s="9"/>
      <c r="H309" s="9"/>
      <c r="I309" s="10"/>
      <c r="J309" s="9"/>
      <c r="K309" s="9"/>
    </row>
    <row r="310" spans="1:11" ht="14.4" x14ac:dyDescent="0.3">
      <c r="A310" s="9"/>
      <c r="B310" s="14"/>
      <c r="C310" s="9"/>
      <c r="D310" s="9"/>
      <c r="E310" s="9"/>
      <c r="F310" s="10"/>
      <c r="G310" s="9"/>
      <c r="H310" s="9"/>
      <c r="I310" s="10"/>
      <c r="J310" s="9"/>
      <c r="K310" s="9"/>
    </row>
    <row r="311" spans="1:11" ht="14.4" x14ac:dyDescent="0.3">
      <c r="A311" s="9"/>
      <c r="B311" s="14"/>
      <c r="C311" s="9"/>
      <c r="D311" s="9"/>
      <c r="E311" s="9"/>
      <c r="F311" s="10"/>
      <c r="G311" s="9"/>
      <c r="H311" s="9"/>
      <c r="I311" s="10"/>
      <c r="J311" s="9"/>
      <c r="K311" s="9"/>
    </row>
    <row r="312" spans="1:11" ht="14.4" x14ac:dyDescent="0.3">
      <c r="A312" s="9"/>
      <c r="B312" s="14"/>
      <c r="C312" s="9"/>
      <c r="D312" s="9"/>
      <c r="E312" s="9"/>
      <c r="F312" s="10"/>
      <c r="G312" s="9"/>
      <c r="H312" s="9"/>
      <c r="I312" s="10"/>
      <c r="J312" s="9"/>
      <c r="K312" s="9"/>
    </row>
    <row r="313" spans="1:11" ht="14.4" x14ac:dyDescent="0.3">
      <c r="A313" s="9"/>
      <c r="B313" s="14"/>
      <c r="C313" s="9"/>
      <c r="D313" s="9"/>
      <c r="E313" s="9"/>
      <c r="F313" s="10"/>
      <c r="G313" s="9"/>
      <c r="H313" s="9"/>
      <c r="I313" s="10"/>
      <c r="J313" s="9"/>
      <c r="K313" s="9"/>
    </row>
    <row r="314" spans="1:11" ht="14.4" x14ac:dyDescent="0.3">
      <c r="A314" s="9"/>
      <c r="B314" s="14"/>
      <c r="C314" s="9"/>
      <c r="D314" s="9"/>
      <c r="E314" s="9"/>
      <c r="F314" s="10"/>
      <c r="G314" s="9"/>
      <c r="H314" s="9"/>
      <c r="I314" s="10"/>
      <c r="J314" s="9"/>
      <c r="K314" s="9"/>
    </row>
    <row r="315" spans="1:11" ht="14.4" x14ac:dyDescent="0.3">
      <c r="A315" s="9"/>
      <c r="B315" s="14"/>
      <c r="C315" s="9"/>
      <c r="D315" s="9"/>
      <c r="E315" s="9"/>
      <c r="F315" s="10"/>
      <c r="G315" s="9"/>
      <c r="H315" s="9"/>
      <c r="I315" s="10"/>
      <c r="J315" s="9"/>
      <c r="K315" s="9"/>
    </row>
    <row r="316" spans="1:11" ht="14.4" x14ac:dyDescent="0.3">
      <c r="A316" s="9"/>
      <c r="B316" s="14"/>
      <c r="C316" s="9"/>
      <c r="D316" s="9"/>
      <c r="E316" s="9"/>
      <c r="F316" s="10"/>
      <c r="G316" s="9"/>
      <c r="H316" s="9"/>
      <c r="I316" s="10"/>
      <c r="J316" s="9"/>
      <c r="K316" s="9"/>
    </row>
    <row r="317" spans="1:11" ht="14.4" x14ac:dyDescent="0.3">
      <c r="A317" s="9"/>
      <c r="B317" s="14"/>
      <c r="C317" s="9"/>
      <c r="D317" s="9"/>
      <c r="E317" s="9"/>
      <c r="F317" s="10"/>
      <c r="G317" s="9"/>
      <c r="H317" s="9"/>
      <c r="I317" s="10"/>
      <c r="J317" s="9"/>
      <c r="K317" s="9"/>
    </row>
    <row r="318" spans="1:11" ht="14.4" x14ac:dyDescent="0.3">
      <c r="A318" s="9"/>
      <c r="B318" s="14"/>
      <c r="C318" s="9"/>
      <c r="D318" s="9"/>
      <c r="E318" s="9"/>
      <c r="F318" s="10"/>
      <c r="G318" s="9"/>
      <c r="H318" s="9"/>
      <c r="I318" s="10"/>
      <c r="J318" s="9"/>
      <c r="K318" s="9"/>
    </row>
    <row r="319" spans="1:11" ht="14.4" x14ac:dyDescent="0.3">
      <c r="A319" s="9"/>
      <c r="B319" s="14"/>
      <c r="C319" s="9"/>
      <c r="D319" s="9"/>
      <c r="E319" s="9"/>
      <c r="F319" s="10"/>
      <c r="G319" s="9"/>
      <c r="H319" s="9"/>
      <c r="I319" s="10"/>
      <c r="J319" s="9"/>
      <c r="K319" s="9"/>
    </row>
    <row r="320" spans="1:11" ht="14.4" x14ac:dyDescent="0.3">
      <c r="A320" s="9"/>
      <c r="B320" s="14"/>
      <c r="C320" s="9"/>
      <c r="D320" s="9"/>
      <c r="E320" s="9"/>
      <c r="F320" s="10"/>
      <c r="G320" s="9"/>
      <c r="H320" s="9"/>
      <c r="I320" s="10"/>
      <c r="J320" s="9"/>
      <c r="K320" s="9"/>
    </row>
    <row r="321" spans="1:11" ht="14.4" x14ac:dyDescent="0.3">
      <c r="A321" s="9"/>
      <c r="B321" s="14"/>
      <c r="C321" s="9"/>
      <c r="D321" s="9"/>
      <c r="E321" s="9"/>
      <c r="F321" s="10"/>
      <c r="G321" s="9"/>
      <c r="H321" s="9"/>
      <c r="I321" s="10"/>
      <c r="J321" s="9"/>
      <c r="K321" s="9"/>
    </row>
    <row r="322" spans="1:11" ht="14.4" x14ac:dyDescent="0.3">
      <c r="A322" s="9"/>
      <c r="B322" s="14"/>
      <c r="C322" s="9"/>
      <c r="D322" s="9"/>
      <c r="E322" s="9"/>
      <c r="F322" s="10"/>
      <c r="G322" s="9"/>
      <c r="H322" s="9"/>
      <c r="I322" s="10"/>
      <c r="J322" s="9"/>
      <c r="K322" s="9"/>
    </row>
    <row r="323" spans="1:11" ht="14.4" x14ac:dyDescent="0.3">
      <c r="A323" s="9"/>
      <c r="B323" s="14"/>
      <c r="C323" s="9"/>
      <c r="D323" s="9"/>
      <c r="E323" s="9"/>
      <c r="F323" s="10"/>
      <c r="G323" s="9"/>
      <c r="H323" s="9"/>
      <c r="I323" s="10"/>
      <c r="J323" s="9"/>
      <c r="K323" s="9"/>
    </row>
    <row r="324" spans="1:11" ht="14.4" x14ac:dyDescent="0.3">
      <c r="A324" s="9"/>
      <c r="B324" s="14"/>
      <c r="C324" s="9"/>
      <c r="D324" s="9"/>
      <c r="E324" s="9"/>
      <c r="F324" s="10"/>
      <c r="G324" s="9"/>
      <c r="H324" s="9"/>
      <c r="I324" s="10"/>
      <c r="J324" s="9"/>
      <c r="K324" s="9"/>
    </row>
    <row r="325" spans="1:11" ht="14.4" x14ac:dyDescent="0.3">
      <c r="A325" s="9"/>
      <c r="B325" s="14"/>
      <c r="C325" s="9"/>
      <c r="D325" s="9"/>
      <c r="E325" s="9"/>
      <c r="F325" s="10"/>
      <c r="G325" s="9"/>
      <c r="H325" s="9"/>
      <c r="I325" s="10"/>
      <c r="J325" s="9"/>
      <c r="K325" s="9"/>
    </row>
    <row r="326" spans="1:11" ht="14.4" x14ac:dyDescent="0.3">
      <c r="A326" s="9"/>
      <c r="B326" s="14"/>
      <c r="C326" s="9"/>
      <c r="D326" s="9"/>
      <c r="E326" s="9"/>
      <c r="F326" s="10"/>
      <c r="G326" s="9"/>
      <c r="H326" s="9"/>
      <c r="I326" s="10"/>
      <c r="J326" s="9"/>
      <c r="K326" s="9"/>
    </row>
    <row r="327" spans="1:11" ht="14.4" x14ac:dyDescent="0.3">
      <c r="A327" s="9"/>
      <c r="B327" s="14"/>
      <c r="C327" s="9"/>
      <c r="D327" s="9"/>
      <c r="E327" s="9"/>
      <c r="F327" s="10"/>
      <c r="G327" s="9"/>
      <c r="H327" s="9"/>
      <c r="I327" s="10"/>
      <c r="J327" s="9"/>
      <c r="K327" s="9"/>
    </row>
    <row r="328" spans="1:11" ht="14.4" x14ac:dyDescent="0.3">
      <c r="A328" s="9"/>
      <c r="B328" s="14"/>
      <c r="C328" s="9"/>
      <c r="D328" s="9"/>
      <c r="E328" s="9"/>
      <c r="F328" s="10"/>
      <c r="G328" s="9"/>
      <c r="H328" s="9"/>
      <c r="I328" s="10"/>
      <c r="J328" s="9"/>
      <c r="K328" s="9"/>
    </row>
    <row r="329" spans="1:11" ht="14.4" x14ac:dyDescent="0.3">
      <c r="A329" s="9"/>
      <c r="B329" s="14"/>
      <c r="C329" s="9"/>
      <c r="D329" s="9"/>
      <c r="E329" s="9"/>
      <c r="F329" s="10"/>
      <c r="G329" s="9"/>
      <c r="H329" s="9"/>
      <c r="I329" s="10"/>
      <c r="J329" s="9"/>
      <c r="K329" s="9"/>
    </row>
    <row r="330" spans="1:11" ht="14.4" x14ac:dyDescent="0.3">
      <c r="A330" s="9"/>
      <c r="B330" s="14"/>
      <c r="C330" s="9"/>
      <c r="D330" s="9"/>
      <c r="E330" s="9"/>
      <c r="F330" s="10"/>
      <c r="G330" s="9"/>
      <c r="H330" s="9"/>
      <c r="I330" s="10"/>
      <c r="J330" s="9"/>
      <c r="K330" s="9"/>
    </row>
    <row r="331" spans="1:11" ht="14.4" x14ac:dyDescent="0.3">
      <c r="A331" s="9"/>
      <c r="B331" s="14"/>
      <c r="C331" s="9"/>
      <c r="D331" s="9"/>
      <c r="E331" s="9"/>
      <c r="F331" s="10"/>
      <c r="G331" s="9"/>
      <c r="H331" s="9"/>
      <c r="I331" s="10"/>
      <c r="J331" s="9"/>
      <c r="K331" s="9"/>
    </row>
    <row r="332" spans="1:11" ht="14.4" x14ac:dyDescent="0.3">
      <c r="A332" s="9"/>
      <c r="B332" s="14"/>
      <c r="C332" s="9"/>
      <c r="D332" s="9"/>
      <c r="E332" s="9"/>
      <c r="F332" s="10"/>
      <c r="G332" s="9"/>
      <c r="H332" s="9"/>
      <c r="I332" s="10"/>
      <c r="J332" s="9"/>
      <c r="K332" s="9"/>
    </row>
    <row r="333" spans="1:11" ht="14.4" x14ac:dyDescent="0.3">
      <c r="A333" s="9"/>
      <c r="B333" s="14"/>
      <c r="C333" s="9"/>
      <c r="D333" s="9"/>
      <c r="E333" s="9"/>
      <c r="F333" s="10"/>
      <c r="G333" s="9"/>
      <c r="H333" s="9"/>
      <c r="I333" s="10"/>
      <c r="J333" s="9"/>
      <c r="K333" s="9"/>
    </row>
    <row r="334" spans="1:11" ht="14.4" x14ac:dyDescent="0.3">
      <c r="C334" s="9"/>
      <c r="D334" s="9"/>
      <c r="E334" s="9"/>
      <c r="F334" s="10"/>
      <c r="G334" s="9"/>
      <c r="H334" s="9"/>
      <c r="I334" s="10"/>
      <c r="J334" s="9"/>
      <c r="K334" s="9"/>
    </row>
  </sheetData>
  <mergeCells count="4">
    <mergeCell ref="G1:I1"/>
    <mergeCell ref="A1:C1"/>
    <mergeCell ref="D1:F1"/>
    <mergeCell ref="A2:B2"/>
  </mergeCells>
  <conditionalFormatting sqref="F2 I2">
    <cfRule type="cellIs" dxfId="3" priority="19" stopIfTrue="1" operator="lessThanOrEqual">
      <formula>-0.1</formula>
    </cfRule>
    <cfRule type="expression" dxfId="2" priority="20">
      <formula>AND(ISNUMBER(F2), F2&gt;=0.1)</formula>
    </cfRule>
  </conditionalFormatting>
  <conditionalFormatting sqref="F4:F92 I4:I92">
    <cfRule type="cellIs" dxfId="1" priority="1" stopIfTrue="1" operator="lessThanOrEqual">
      <formula>-0.1</formula>
    </cfRule>
    <cfRule type="expression" dxfId="0"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7"/>
  <sheetViews>
    <sheetView workbookViewId="0">
      <pane ySplit="3" topLeftCell="A4" activePane="bottomLeft" state="frozen"/>
      <selection pane="bottomLeft" activeCell="C28" sqref="C28"/>
    </sheetView>
  </sheetViews>
  <sheetFormatPr defaultRowHeight="12.75" customHeight="1" x14ac:dyDescent="0.25"/>
  <cols>
    <col min="1" max="2" width="41.88671875" customWidth="1"/>
    <col min="4" max="4" width="9.109375" customWidth="1"/>
    <col min="5" max="5" width="24.109375" customWidth="1"/>
    <col min="6" max="10" width="9.109375" customWidth="1"/>
    <col min="11" max="12" width="22" bestFit="1" customWidth="1"/>
    <col min="13" max="14" width="9.109375" customWidth="1"/>
  </cols>
  <sheetData>
    <row r="1" spans="1:12" ht="12.75" customHeight="1" x14ac:dyDescent="0.25">
      <c r="A1" t="s">
        <v>376</v>
      </c>
      <c r="B1" t="s">
        <v>377</v>
      </c>
    </row>
    <row r="3" spans="1:12" ht="13.2" x14ac:dyDescent="0.25">
      <c r="A3" t="s">
        <v>378</v>
      </c>
      <c r="B3" t="s">
        <v>3</v>
      </c>
      <c r="C3" t="s">
        <v>4</v>
      </c>
      <c r="D3" t="s">
        <v>379</v>
      </c>
      <c r="E3" s="2" t="s">
        <v>380</v>
      </c>
    </row>
    <row r="4" spans="1:12" ht="14.4" x14ac:dyDescent="0.3">
      <c r="A4" s="19" t="s">
        <v>381</v>
      </c>
      <c r="B4" t="s">
        <v>382</v>
      </c>
      <c r="C4" s="18" t="s">
        <v>383</v>
      </c>
      <c r="D4" s="17" t="s">
        <v>384</v>
      </c>
      <c r="E4" t="s">
        <v>385</v>
      </c>
      <c r="G4" s="3"/>
    </row>
    <row r="5" spans="1:12" ht="14.4" x14ac:dyDescent="0.3">
      <c r="A5" s="19" t="s">
        <v>386</v>
      </c>
      <c r="B5" t="s">
        <v>387</v>
      </c>
      <c r="C5" s="18" t="s">
        <v>383</v>
      </c>
      <c r="D5" s="17"/>
      <c r="E5" t="s">
        <v>388</v>
      </c>
      <c r="G5" s="3"/>
    </row>
    <row r="6" spans="1:12" ht="14.4" x14ac:dyDescent="0.3">
      <c r="A6" s="19" t="s">
        <v>389</v>
      </c>
      <c r="B6" t="s">
        <v>390</v>
      </c>
      <c r="C6" s="18" t="s">
        <v>391</v>
      </c>
      <c r="D6" s="17" t="s">
        <v>384</v>
      </c>
      <c r="E6" t="s">
        <v>385</v>
      </c>
      <c r="G6" s="3"/>
    </row>
    <row r="7" spans="1:12" ht="12.75" customHeight="1" x14ac:dyDescent="0.25">
      <c r="A7" s="19" t="s">
        <v>392</v>
      </c>
      <c r="B7" t="s">
        <v>393</v>
      </c>
      <c r="C7" s="18" t="s">
        <v>391</v>
      </c>
      <c r="D7" s="17" t="s">
        <v>384</v>
      </c>
      <c r="E7" t="s">
        <v>385</v>
      </c>
    </row>
    <row r="8" spans="1:12" ht="12.75" customHeight="1" x14ac:dyDescent="0.25">
      <c r="A8" s="19" t="s">
        <v>394</v>
      </c>
      <c r="B8" t="s">
        <v>395</v>
      </c>
      <c r="C8" s="18" t="s">
        <v>391</v>
      </c>
      <c r="D8" s="17" t="s">
        <v>384</v>
      </c>
      <c r="E8" t="s">
        <v>385</v>
      </c>
    </row>
    <row r="9" spans="1:12" ht="12.75" customHeight="1" x14ac:dyDescent="0.25">
      <c r="A9" s="19" t="s">
        <v>396</v>
      </c>
      <c r="B9" t="s">
        <v>397</v>
      </c>
      <c r="C9" s="18" t="s">
        <v>391</v>
      </c>
      <c r="D9" s="17" t="s">
        <v>384</v>
      </c>
      <c r="E9" t="s">
        <v>385</v>
      </c>
    </row>
    <row r="10" spans="1:12" ht="12.75" customHeight="1" x14ac:dyDescent="0.25">
      <c r="A10" s="19" t="s">
        <v>398</v>
      </c>
      <c r="B10" t="s">
        <v>399</v>
      </c>
      <c r="C10" s="18" t="s">
        <v>400</v>
      </c>
      <c r="D10" s="17" t="s">
        <v>384</v>
      </c>
      <c r="E10" t="s">
        <v>385</v>
      </c>
      <c r="K10" s="16"/>
      <c r="L10" s="16"/>
    </row>
    <row r="11" spans="1:12" ht="12.75" customHeight="1" x14ac:dyDescent="0.25">
      <c r="A11" s="19" t="s">
        <v>401</v>
      </c>
      <c r="B11" t="s">
        <v>402</v>
      </c>
      <c r="C11" s="18" t="s">
        <v>400</v>
      </c>
      <c r="D11" s="17" t="s">
        <v>384</v>
      </c>
      <c r="E11" t="s">
        <v>385</v>
      </c>
      <c r="K11" s="16"/>
      <c r="L11" s="16"/>
    </row>
    <row r="12" spans="1:12" ht="12.75" customHeight="1" x14ac:dyDescent="0.25">
      <c r="A12" s="19" t="s">
        <v>403</v>
      </c>
      <c r="B12" t="s">
        <v>404</v>
      </c>
      <c r="C12" s="18" t="s">
        <v>400</v>
      </c>
      <c r="D12" s="17" t="s">
        <v>384</v>
      </c>
      <c r="E12" t="s">
        <v>388</v>
      </c>
      <c r="K12" s="16"/>
      <c r="L12" s="16"/>
    </row>
    <row r="13" spans="1:12" ht="12.75" customHeight="1" x14ac:dyDescent="0.25">
      <c r="A13" s="19" t="s">
        <v>405</v>
      </c>
      <c r="B13" t="s">
        <v>406</v>
      </c>
      <c r="C13" s="18" t="s">
        <v>400</v>
      </c>
      <c r="D13" s="17" t="s">
        <v>384</v>
      </c>
      <c r="E13" t="s">
        <v>385</v>
      </c>
      <c r="K13" s="16"/>
      <c r="L13" s="16"/>
    </row>
    <row r="14" spans="1:12" ht="12.75" customHeight="1" x14ac:dyDescent="0.25">
      <c r="A14" s="19" t="s">
        <v>407</v>
      </c>
      <c r="B14" t="s">
        <v>408</v>
      </c>
      <c r="C14" s="18" t="s">
        <v>400</v>
      </c>
      <c r="D14" s="17" t="s">
        <v>384</v>
      </c>
      <c r="E14" t="s">
        <v>385</v>
      </c>
      <c r="K14" s="16"/>
      <c r="L14" s="16"/>
    </row>
    <row r="15" spans="1:12" ht="12.75" customHeight="1" x14ac:dyDescent="0.25">
      <c r="A15" s="19" t="s">
        <v>409</v>
      </c>
      <c r="B15" t="s">
        <v>410</v>
      </c>
      <c r="C15" s="18" t="s">
        <v>383</v>
      </c>
      <c r="D15" s="17" t="s">
        <v>384</v>
      </c>
      <c r="E15" t="s">
        <v>385</v>
      </c>
      <c r="K15" s="16"/>
      <c r="L15" s="16"/>
    </row>
    <row r="16" spans="1:12" ht="12.75" customHeight="1" x14ac:dyDescent="0.25">
      <c r="A16" s="19" t="s">
        <v>411</v>
      </c>
      <c r="B16" t="s">
        <v>412</v>
      </c>
      <c r="C16" s="18" t="s">
        <v>413</v>
      </c>
      <c r="D16" s="17" t="s">
        <v>384</v>
      </c>
      <c r="E16" t="s">
        <v>385</v>
      </c>
      <c r="K16" s="16"/>
      <c r="L16" s="16"/>
    </row>
    <row r="17" spans="1:12" ht="12.75" customHeight="1" x14ac:dyDescent="0.25">
      <c r="A17" s="19" t="s">
        <v>414</v>
      </c>
      <c r="B17" t="s">
        <v>415</v>
      </c>
      <c r="C17" s="18" t="s">
        <v>413</v>
      </c>
      <c r="D17" s="17" t="s">
        <v>384</v>
      </c>
      <c r="E17" t="s">
        <v>385</v>
      </c>
      <c r="K17" s="16"/>
      <c r="L17" s="16"/>
    </row>
    <row r="18" spans="1:12" ht="12.75" customHeight="1" x14ac:dyDescent="0.25">
      <c r="A18" s="60" t="s">
        <v>416</v>
      </c>
      <c r="B18" s="61" t="s">
        <v>417</v>
      </c>
      <c r="C18" s="18" t="s">
        <v>418</v>
      </c>
      <c r="D18" s="17" t="s">
        <v>384</v>
      </c>
      <c r="E18" t="s">
        <v>385</v>
      </c>
      <c r="K18" s="16"/>
      <c r="L18" s="16"/>
    </row>
    <row r="19" spans="1:12" ht="12.75" customHeight="1" x14ac:dyDescent="0.25">
      <c r="A19" s="60" t="s">
        <v>419</v>
      </c>
      <c r="B19" s="61" t="s">
        <v>420</v>
      </c>
      <c r="C19" s="18" t="s">
        <v>383</v>
      </c>
      <c r="D19" s="17" t="s">
        <v>384</v>
      </c>
      <c r="E19" t="s">
        <v>385</v>
      </c>
      <c r="K19" s="16"/>
      <c r="L19" s="16"/>
    </row>
    <row r="20" spans="1:12" ht="12.75" customHeight="1" x14ac:dyDescent="0.25">
      <c r="A20" s="60" t="s">
        <v>421</v>
      </c>
      <c r="B20" s="61" t="s">
        <v>422</v>
      </c>
      <c r="C20" s="18" t="s">
        <v>423</v>
      </c>
      <c r="D20" s="17" t="s">
        <v>384</v>
      </c>
      <c r="E20" t="s">
        <v>385</v>
      </c>
      <c r="K20" s="16"/>
      <c r="L20" s="16"/>
    </row>
    <row r="21" spans="1:12" ht="12.75" customHeight="1" x14ac:dyDescent="0.25">
      <c r="A21" s="60" t="s">
        <v>424</v>
      </c>
      <c r="B21" s="61" t="s">
        <v>425</v>
      </c>
      <c r="C21" s="18" t="s">
        <v>413</v>
      </c>
      <c r="D21" s="2" t="s">
        <v>384</v>
      </c>
      <c r="E21" s="75" t="s">
        <v>385</v>
      </c>
      <c r="K21" s="16"/>
      <c r="L21" s="16"/>
    </row>
    <row r="22" spans="1:12" ht="12.75" customHeight="1" x14ac:dyDescent="0.25">
      <c r="A22" s="60" t="s">
        <v>426</v>
      </c>
      <c r="B22" s="61" t="s">
        <v>426</v>
      </c>
      <c r="C22" s="18" t="s">
        <v>400</v>
      </c>
      <c r="D22" s="2"/>
      <c r="E22" t="s">
        <v>385</v>
      </c>
      <c r="K22" s="16"/>
      <c r="L22" s="16"/>
    </row>
    <row r="23" spans="1:12" ht="12.75" customHeight="1" x14ac:dyDescent="0.25">
      <c r="A23" s="92" t="s">
        <v>427</v>
      </c>
      <c r="B23" s="61" t="s">
        <v>428</v>
      </c>
      <c r="C23" s="18" t="s">
        <v>383</v>
      </c>
      <c r="D23" s="2" t="s">
        <v>384</v>
      </c>
      <c r="E23" t="s">
        <v>385</v>
      </c>
      <c r="K23" s="16"/>
      <c r="L23" s="16"/>
    </row>
    <row r="24" spans="1:12" ht="12.75" customHeight="1" x14ac:dyDescent="0.25">
      <c r="A24" s="60" t="s">
        <v>429</v>
      </c>
      <c r="B24" s="61" t="s">
        <v>430</v>
      </c>
      <c r="C24" s="18" t="s">
        <v>383</v>
      </c>
      <c r="D24" s="2" t="s">
        <v>384</v>
      </c>
      <c r="E24" t="s">
        <v>385</v>
      </c>
    </row>
    <row r="25" spans="1:12" ht="12.75" customHeight="1" x14ac:dyDescent="0.25">
      <c r="A25" s="92" t="s">
        <v>431</v>
      </c>
      <c r="B25" s="61" t="s">
        <v>432</v>
      </c>
      <c r="C25" s="18" t="s">
        <v>400</v>
      </c>
      <c r="D25" s="2" t="s">
        <v>384</v>
      </c>
      <c r="E25" t="s">
        <v>385</v>
      </c>
    </row>
    <row r="26" spans="1:12" ht="12.75" customHeight="1" x14ac:dyDescent="0.25">
      <c r="A26" s="92" t="s">
        <v>433</v>
      </c>
      <c r="B26" t="s">
        <v>434</v>
      </c>
      <c r="C26" s="18" t="s">
        <v>400</v>
      </c>
      <c r="D26" s="2" t="s">
        <v>384</v>
      </c>
      <c r="E26" t="s">
        <v>385</v>
      </c>
    </row>
    <row r="27" spans="1:12" ht="12.75" customHeight="1" x14ac:dyDescent="0.25">
      <c r="A27" s="92" t="s">
        <v>435</v>
      </c>
      <c r="B27" t="s">
        <v>436</v>
      </c>
      <c r="C27" s="18" t="s">
        <v>400</v>
      </c>
      <c r="D27" s="2" t="s">
        <v>384</v>
      </c>
      <c r="E27" t="s">
        <v>385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2.xml><?xml version="1.0" encoding="utf-8"?>
<ds:datastoreItem xmlns:ds="http://schemas.openxmlformats.org/officeDocument/2006/customXml" ds:itemID="{0389C43E-394D-44C0-87DC-4780FCFCFB40}">
  <ds:schemaRefs>
    <ds:schemaRef ds:uri="http://gemini/pivotcustomization/Diagrams"/>
  </ds:schemaRefs>
</ds:datastoreItem>
</file>

<file path=customXml/itemProps3.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4.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5.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6.xml><?xml version="1.0" encoding="utf-8"?>
<ds:datastoreItem xmlns:ds="http://schemas.openxmlformats.org/officeDocument/2006/customXml" ds:itemID="{8D732231-4216-4543-A665-18A2886B0EB7}">
  <ds:schemaRefs>
    <ds:schemaRef ds:uri="http://purl.org/dc/elements/1.1/"/>
    <ds:schemaRef ds:uri="http://purl.org/dc/dcmitype/"/>
    <ds:schemaRef ds:uri="http://purl.org/dc/terms/"/>
    <ds:schemaRef ds:uri="http://schemas.microsoft.com/office/2006/metadata/properties"/>
    <ds:schemaRef ds:uri="http://schemas.microsoft.com/office/infopath/2007/PartnerControls"/>
    <ds:schemaRef ds:uri="7f39bfab-6331-41a1-b6d4-5b974a316951"/>
    <ds:schemaRef ds:uri="http://schemas.microsoft.com/office/2006/documentManagement/types"/>
    <ds:schemaRef ds:uri="ddcd8467-55ca-498e-a9f8-86795db5db7a"/>
    <ds:schemaRef ds:uri="http://schemas.openxmlformats.org/package/2006/metadata/core-properties"/>
    <ds:schemaRef ds:uri="http://schemas.microsoft.com/sharepoint/v3"/>
    <ds:schemaRef ds:uri="http://www.w3.org/XML/1998/namespace"/>
  </ds:schemaRefs>
</ds:datastoreItem>
</file>

<file path=customXml/itemProps7.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8.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9.xml><?xml version="1.0" encoding="utf-8"?>
<ds:datastoreItem xmlns:ds="http://schemas.openxmlformats.org/officeDocument/2006/customXml" ds:itemID="{66B09F59-6532-46F8-924A-9A02417E070D}">
  <ds:schemaRefs>
    <ds:schemaRef ds:uri="http://schemas.microsoft.com/DataMashup"/>
  </ds:schemaRefs>
</ds:datastoreItem>
</file>

<file path=customXml/itemProps10.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11.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12.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13.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14.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15.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16.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17.xml><?xml version="1.0" encoding="utf-8"?>
<ds:datastoreItem xmlns:ds="http://schemas.openxmlformats.org/officeDocument/2006/customXml" ds:itemID="{5888AE3C-3AC7-4E0E-90FC-2D2DD7010E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19.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20.xml><?xml version="1.0" encoding="utf-8"?>
<ds:datastoreItem xmlns:ds="http://schemas.openxmlformats.org/officeDocument/2006/customXml" ds:itemID="{2BC74AAC-D69B-4AF1-9649-B21EF3C1C463}">
  <ds:schemaRefs>
    <ds:schemaRef ds:uri="http://gemini/pivotcustomization/TableWidget"/>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Solar Team 2</cp:lastModifiedBy>
  <cp:revision/>
  <dcterms:created xsi:type="dcterms:W3CDTF">2021-01-01T16:39:53Z</dcterms:created>
  <dcterms:modified xsi:type="dcterms:W3CDTF">2025-10-03T07:10:22Z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