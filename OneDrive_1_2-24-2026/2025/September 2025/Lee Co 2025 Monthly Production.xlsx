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EA76DA8-5C0D-4BCF-BFE1-867FD8EAB6AE}" xr6:coauthVersionLast="47" xr6:coauthVersionMax="47" xr10:uidLastSave="{00000000-0000-0000-0000-000000000000}"/>
  <bookViews>
    <workbookView xWindow="43080" yWindow="-120" windowWidth="29040" windowHeight="15720" tabRatio="866" firstSheet="13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2" i="29" s="1"/>
  <c r="G4" i="30"/>
  <c r="G2" i="30" s="1"/>
  <c r="A4" i="26" a="1"/>
  <c r="A4" i="26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<sst xmlns="http://schemas.openxmlformats.org/spreadsheetml/2006/main" count="279" uniqueCount="69">
  <si>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</si>
  <si>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</si>
  <si>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</si>
  <si>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</si>
  <si>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</si>
  <si>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</si>
  <si>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</si>
  <si>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</si>
  <si>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</si>
  <si>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</si>
  <si>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</si>
  <si>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</si>
  <si>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</si>
  <si>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</si>
  <si>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</si>
  <si>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</si>
  <si>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</si>
  <si>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</si>
  <si>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</si>
  <si>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</si>
  <si>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</si>
  <si>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</si>
  <si>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</si>
  <si>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 xml:space="preserve">1. Aerial thermal inspection indicates that Arrays 3A and 3B connected to Inverter 1 are offline and the DMGI for Inverter 1 is due for replacement.
2. Low generation due to snow/rain.
</t>
  </si>
  <si>
    <t xml:space="preserve">1.SR092880,SR089716,
PM4611
</t>
  </si>
  <si>
    <t>SR089716</t>
  </si>
  <si>
    <t>February Actual v. Expected</t>
  </si>
  <si>
    <t>February Actual v. Forecasted</t>
  </si>
  <si>
    <t>1.Aerial thermal inspection indicates that Arrays 3A and 3B connected to Inverter 1 are offline and the DMGI for Inverter 1 is due for replacement.
2. Low generation due to snow/rain.</t>
  </si>
  <si>
    <t>1.SR092880,SR089716,
PM4611</t>
  </si>
  <si>
    <t>March Actual v. Expected</t>
  </si>
  <si>
    <t>March Actual v. Forecasted</t>
  </si>
  <si>
    <t>1.Aerial thermal inspection indicates that Arrays 3A and 3B connected to Inverter 1 are offline and the DMGI for Inverter 1 is due for replacement.</t>
  </si>
  <si>
    <t>April Actual v. Expected</t>
  </si>
  <si>
    <t>April Actual v. Forecasted</t>
  </si>
  <si>
    <t>1. Aerial thermal inspection indicates that Arrays 3A and 3B connected to Inverter 1 were offline and the DMGI for Inverter 1 is due for replacement.</t>
  </si>
  <si>
    <t>1.SR089716,SR092880</t>
  </si>
  <si>
    <t>SR092880</t>
  </si>
  <si>
    <t>May Actual v. Expected</t>
  </si>
  <si>
    <t>May Actual v. Forecasted</t>
  </si>
  <si>
    <t>1.SR089716, SR092880</t>
  </si>
  <si>
    <t>June Actual v. Expected</t>
  </si>
  <si>
    <t>June Actual v. Forecasted</t>
  </si>
  <si>
    <t>July Actual v. Expected</t>
  </si>
  <si>
    <t>July Actual v. Forecasted</t>
  </si>
  <si>
    <t>1.SR089716, SR092880,SR105586</t>
  </si>
  <si>
    <t>SR105586</t>
  </si>
  <si>
    <t>August Actual v. Expected</t>
  </si>
  <si>
    <t>August Actual v. Forecasted</t>
  </si>
  <si>
    <t>1. Aerial thermal inspection indicates that Arrays 3A and 3B connected to Inverter 1 were offline and the DMGI for Inverter 1 is due for replacement.
2. The forecasted values appeared higher compared to previous months' data, which seemed fine. This month, the reported numbers are unusually high, possibly due to a data glitch.</t>
  </si>
  <si>
    <t>September Actual v. Expected</t>
  </si>
  <si>
    <t>September Actual v. Forecasted</t>
  </si>
  <si>
    <t>1. SR089716, SR092880,SR105586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</si>
  <si>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</si>
  <si>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</si>
  <si>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</si>
  <si>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</si>
  <si>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</si>
  <si>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</si>
  <si>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</si>
  <si>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Lee Company</t>
  </si>
  <si>
    <t>Site DAS Name</t>
  </si>
  <si>
    <t>Update</t>
  </si>
  <si>
    <t>DAS</t>
  </si>
  <si>
    <t>Lee Building 41</t>
  </si>
  <si>
    <t>CT: Westbrook - Building #41</t>
  </si>
  <si>
    <t>CT</t>
  </si>
  <si>
    <t>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</si>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</sst>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35" fillId="0" borderId="0" xfId="45" applyAlignment="1">
      <alignment vertical="top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89716" TargetMode="External"/><Relationship Id="rId1" Type="http://schemas.openxmlformats.org/officeDocument/2006/relationships/hyperlink" Target="https://us3.assetplanner.com/service_request?ID=0928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9716" TargetMode="External"/><Relationship Id="rId1" Type="http://schemas.openxmlformats.org/officeDocument/2006/relationships/hyperlink" Target="https://us3.assetplanner.com/service_request?ID=09288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9716" TargetMode="External"/><Relationship Id="rId1" Type="http://schemas.openxmlformats.org/officeDocument/2006/relationships/hyperlink" Target="https://us3.assetplanner.com/service_request?ID=092880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880" TargetMode="External"/><Relationship Id="rId1" Type="http://schemas.openxmlformats.org/officeDocument/2006/relationships/hyperlink" Target="https://us3.assetplanner.com/service_request?ID=0897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880" TargetMode="External"/><Relationship Id="rId1" Type="http://schemas.openxmlformats.org/officeDocument/2006/relationships/hyperlink" Target="https://us3.assetplanner.com/service_request?ID=08971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880" TargetMode="External"/><Relationship Id="rId1" Type="http://schemas.openxmlformats.org/officeDocument/2006/relationships/hyperlink" Target="https://us3.assetplanner.com/service_request?ID=08971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586" TargetMode="External"/><Relationship Id="rId2" Type="http://schemas.openxmlformats.org/officeDocument/2006/relationships/hyperlink" Target="https://us3.assetplanner.com/service_request?ID=092880" TargetMode="External"/><Relationship Id="rId1" Type="http://schemas.openxmlformats.org/officeDocument/2006/relationships/hyperlink" Target="https://us3.assetplanner.com/service_request?ID=08971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586" TargetMode="External"/><Relationship Id="rId2" Type="http://schemas.openxmlformats.org/officeDocument/2006/relationships/hyperlink" Target="https://us3.assetplanner.com/service_request?ID=092880" TargetMode="External"/><Relationship Id="rId1" Type="http://schemas.openxmlformats.org/officeDocument/2006/relationships/hyperlink" Target="https://us3.assetplanner.com/service_request?ID=08971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586" TargetMode="External"/><Relationship Id="rId2" Type="http://schemas.openxmlformats.org/officeDocument/2006/relationships/hyperlink" Target="https://us3.assetplanner.com/service_request?ID=092880" TargetMode="External"/><Relationship Id="rId1" Type="http://schemas.openxmlformats.org/officeDocument/2006/relationships/hyperlink" Target="https://us3.assetplanner.com/service_request?ID=0897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A22" sqref="A22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Lee Company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SUM(C4:C72)</f>
        <v>169742.81263</v>
      </c>
      <c r="D2" s="5">
        <f>SUM(D4:D72)</f>
        <v>0</v>
      </c>
      <c r="E2" s="5">
        <f>C2-D2</f>
        <v>169742.81263</v>
      </c>
      <c r="F2" s="6">
        <f>IFERROR(E2/D2, 0)</f>
        <v>0</v>
      </c>
      <c r="G2" s="5">
        <f>SUM(G4:G72)</f>
        <v>365305503.51499999</v>
      </c>
      <c r="H2" s="7">
        <f>C2-G2</f>
        <v>-365135760.70236999</v>
      </c>
      <c r="I2" s="6">
        <f>IFERROR(H2/G2, 0)</f>
        <v>-0.99953534011670586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10" t="str" cm="1">
        <f t="array" ref="A4">Sites[Site]</f>
        <v>CT: Westbrook - Building #41</v>
      </c>
      <c r="B4" s="9" t="str" cm="1">
        <f t="array" ref="B4">Sites[State]</f>
        <v>CT</v>
      </c>
      <c r="C4" s="18">
        <f>SUM('1st Qtr'!C4, '2nd Qtr'!C4, '3rd Qtr'!C4, '4th Qtr'!C4)</f>
        <v>169742.81263</v>
      </c>
      <c r="D4" s="11">
        <f>SUM('1st Qtr'!D4, '2nd Qtr'!D4, '3rd Qtr'!D4, '4th Qtr'!D4)</f>
        <v>0</v>
      </c>
      <c r="E4" s="11">
        <f>IF(AND(ISNUMBER(C4),ISNUMBER(D4)), C4-D4, "")</f>
        <v>169742.81263</v>
      </c>
      <c r="F4" s="12" t="str">
        <f>IFERROR(E4/D4, "")</f>
        <v/>
      </c>
      <c r="G4" s="13">
        <f>SUM('1st Qtr'!G4, '2nd Qtr'!G4, '3rd Qtr'!G4, '4th Qtr'!G4)</f>
        <v>365305503.51499999</v>
      </c>
      <c r="H4" s="13">
        <f>SUM('1st Qtr'!H4, '2nd Qtr'!H4, '3rd Qtr'!H4, '4th Qtr'!H4)</f>
        <v>-365173135.74924999</v>
      </c>
      <c r="I4" s="14">
        <f>IFERROR(H4/G4, "")</f>
        <v>-0.99963765187089615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15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0" sqref="E10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Lee Company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SUM(C4:C72)</f>
        <v>37375.046880000002</v>
      </c>
      <c r="D2" s="5">
        <f>SUM(D4:D72)</f>
        <v>0</v>
      </c>
      <c r="E2" s="5">
        <f>C2-D2</f>
        <v>37375.046880000002</v>
      </c>
      <c r="F2" s="6">
        <f>IFERROR(E2/D2, 0)</f>
        <v>0</v>
      </c>
      <c r="G2" s="5">
        <f>SUM(G4:G72)</f>
        <v>0</v>
      </c>
      <c r="H2" s="7">
        <f>C2-G2</f>
        <v>37375.046880000002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SUM(Jan!C4, Feb!C4, Mar!C4)</f>
        <v>37375.046880000002</v>
      </c>
      <c r="D4" s="11">
        <f>SUM(Jan!D4, Feb!D4, Mar!D4)</f>
        <v>0</v>
      </c>
      <c r="E4" s="11">
        <f>IF(AND(ISNUMBER(C4),ISNUMBER(D4)), C4-D4, "")</f>
        <v>37375.046880000002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15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G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Lee Company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SUM(C4:C72)</f>
        <v>63096.016000000003</v>
      </c>
      <c r="D2" s="5">
        <f>SUM(D4:D72)</f>
        <v>0</v>
      </c>
      <c r="E2" s="5">
        <f>C2-D2</f>
        <v>63096.016000000003</v>
      </c>
      <c r="F2" s="6">
        <f>IFERROR(E2/D2, 0)</f>
        <v>0</v>
      </c>
      <c r="G2" s="5">
        <f>SUM(G4:G72)</f>
        <v>107381.515</v>
      </c>
      <c r="H2" s="7">
        <f>C2-G2</f>
        <v>-44285.498999999996</v>
      </c>
      <c r="I2" s="6">
        <f>IFERROR(H2/G2, 0)</f>
        <v>-0.4124126857401853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SUM(Apr!C4, May!C4, Jun!C4)</f>
        <v>63096.016000000003</v>
      </c>
      <c r="D4" s="11">
        <f>SUM(Apr!D4, May!D4, Jun!D4)</f>
        <v>0</v>
      </c>
      <c r="E4" s="11">
        <f>IF(AND(ISNUMBER(C4),ISNUMBER(D4)), C4-D4, "")</f>
        <v>63096.016000000003</v>
      </c>
      <c r="F4" s="12" t="str">
        <f>IFERROR(E4/D4, "")</f>
        <v/>
      </c>
      <c r="G4" s="13">
        <f>SUM(Apr!G4,May!G4,Jun!G4)</f>
        <v>107381.515</v>
      </c>
      <c r="H4" s="13">
        <f>SUM(Apr!H4, May!H4, Jun!H4)</f>
        <v>-44285.499000000011</v>
      </c>
      <c r="I4" s="14">
        <f>IFERROR(H4/G4, "")</f>
        <v>-0.41241268574018547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15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Lee Company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SUM(C4:C72)</f>
        <v>69271.749750000003</v>
      </c>
      <c r="D2" s="5">
        <f>SUM(D4:D72)</f>
        <v>0</v>
      </c>
      <c r="E2" s="5">
        <f>C2-D2</f>
        <v>69271.749750000003</v>
      </c>
      <c r="F2" s="6">
        <f>IFERROR(E2/D2, 0)</f>
        <v>0</v>
      </c>
      <c r="G2" s="5">
        <f>SUM(G4:G72)</f>
        <v>365198122</v>
      </c>
      <c r="H2" s="7">
        <f>C2-G2</f>
        <v>-365128850.25024998</v>
      </c>
      <c r="I2" s="6">
        <f>IFERROR(H2/G2, 0)</f>
        <v>-0.99981031734399217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SUM(Jul!C4, Aug!C4, Sep!C4)</f>
        <v>69271.749750000003</v>
      </c>
      <c r="D4" s="11">
        <f>SUM(Jul!D4, Aug!D4, Sep!D4)</f>
        <v>0</v>
      </c>
      <c r="E4" s="11">
        <f>IF(AND(ISNUMBER(C4),ISNUMBER(D4)), C4-D4, "")</f>
        <v>69271.749750000003</v>
      </c>
      <c r="F4" s="12" t="str">
        <f>IFERROR(E4/D4, "")</f>
        <v/>
      </c>
      <c r="G4" s="13">
        <f>SUM(Jul!G4,Aug!G4,Sep!G4)</f>
        <v>365198122</v>
      </c>
      <c r="H4" s="13">
        <f>SUM(Jul!H4, Aug!H4, Sep!H4)</f>
        <v>-365128850.25024998</v>
      </c>
      <c r="I4" s="14">
        <f>IFERROR(H4/G4, "")</f>
        <v>-0.99981031734399217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15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Lee Company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15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13"/>
  <sheetViews>
    <sheetView workbookViewId="0">
      <pane xSplit="2" ySplit="3" topLeftCell="C4" activePane="bottomRight" state="frozen"/>
      <selection pane="bottomRight" activeCell="H19" sqref="H19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9" t="str" cm="1">
        <f t="array" ref="A1">portfolio</f>
        <v>Lee Company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2" ht="19.5" customHeight="1">
      <c r="A2" s="51" t="s">
        <v>2</v>
      </c>
      <c r="B2" s="51"/>
      <c r="C2" s="5">
        <f>SUM(C4:C71)</f>
        <v>7940.359375</v>
      </c>
      <c r="D2" s="5">
        <f>SUM(D4:D71)</f>
        <v>0</v>
      </c>
      <c r="E2" s="5">
        <f>C2-D2</f>
        <v>7940.359375</v>
      </c>
      <c r="F2" s="6">
        <f>IFERROR(E2/D2, 0)</f>
        <v>0</v>
      </c>
      <c r="G2" s="5">
        <f>SUM(G4:G71)</f>
        <v>0</v>
      </c>
      <c r="H2" s="7">
        <f>C2-G2</f>
        <v>7940.359375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49.5" customHeight="1">
      <c r="A4" s="41" t="str" cm="1">
        <f t="array" ref="A4">Sites[Site]</f>
        <v>CT: Westbrook - Building #41</v>
      </c>
      <c r="B4" s="22" t="str" cm="1">
        <f t="array" ref="B4">Sites[State]</f>
        <v>CT</v>
      </c>
      <c r="C4" s="18">
        <v>7940.359375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2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23</v>
      </c>
      <c r="K4" s="43" t="s">
        <v>24</v>
      </c>
      <c r="L4" s="44" t="s">
        <v>25</v>
      </c>
    </row>
    <row r="5" spans="1:12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1 I4:I71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2880" xr:uid="{BD719A58-0C43-4B82-B291-590DDB654A6E}"/>
    <hyperlink ref="L4" r:id="rId2" display="https://us3.assetplanner.com/service_request?ID=089716" xr:uid="{9883A3DC-B6EC-41D8-856A-458EC4040A7A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14"/>
  <sheetViews>
    <sheetView workbookViewId="0">
      <pane xSplit="2" ySplit="3" topLeftCell="G4" activePane="bottomRight" state="frozen"/>
      <selection pane="bottomRight" activeCell="G21" sqref="G21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9" t="str" cm="1">
        <f t="array" ref="A1">portfolio</f>
        <v>Lee Company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4"/>
      <c r="K1" s="4"/>
    </row>
    <row r="2" spans="1:12" ht="19.5" customHeight="1">
      <c r="A2" s="51" t="s">
        <v>2</v>
      </c>
      <c r="B2" s="51"/>
      <c r="C2" s="5">
        <f>SUM(C4:C72)</f>
        <v>11022.765625</v>
      </c>
      <c r="D2" s="5">
        <f>SUM(D4:D72)</f>
        <v>0</v>
      </c>
      <c r="E2" s="5">
        <f>C2-D2</f>
        <v>11022.765625</v>
      </c>
      <c r="F2" s="6">
        <f>IFERROR(E2/D2, 0)</f>
        <v>0</v>
      </c>
      <c r="G2" s="5">
        <f>SUM(G4:G72)</f>
        <v>0</v>
      </c>
      <c r="H2" s="7">
        <f>C2-G2</f>
        <v>11022.765625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42.75">
      <c r="A4" s="38" t="str" cm="1">
        <f t="array" ref="A4">Sites[Site]</f>
        <v>CT: Westbrook - Building #41</v>
      </c>
      <c r="B4" s="22" t="str" cm="1">
        <f t="array" ref="B4">Sites[State]</f>
        <v>CT</v>
      </c>
      <c r="C4" s="18">
        <v>11022.765625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2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28</v>
      </c>
      <c r="K4" s="43" t="s">
        <v>29</v>
      </c>
      <c r="L4" s="44" t="s">
        <v>25</v>
      </c>
    </row>
    <row r="5" spans="1:12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2880" xr:uid="{55A439EA-6E8E-4288-BCE9-024DCA05AEBD}"/>
    <hyperlink ref="L4" r:id="rId2" display="https://us3.assetplanner.com/service_request?ID=089716" xr:uid="{0B359927-EF2A-4277-8DB1-EB081425769A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4"/>
  <sheetViews>
    <sheetView workbookViewId="0">
      <pane xSplit="2" ySplit="3" topLeftCell="J4" activePane="bottomRight" state="frozen"/>
      <selection pane="bottomRight" activeCell="J4" sqref="J4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9" t="str" cm="1">
        <f t="array" ref="A1">portfolio</f>
        <v>Lee Company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4"/>
      <c r="K1" s="4"/>
    </row>
    <row r="2" spans="1:12" ht="19.5" customHeight="1">
      <c r="A2" s="51" t="s">
        <v>2</v>
      </c>
      <c r="B2" s="51"/>
      <c r="C2" s="5">
        <f>SUM(C4:C72)</f>
        <v>18411.921880000002</v>
      </c>
      <c r="D2" s="5">
        <f>SUM(D4:D72)</f>
        <v>0</v>
      </c>
      <c r="E2" s="5">
        <f>C2-D2</f>
        <v>18411.921880000002</v>
      </c>
      <c r="F2" s="6">
        <f>IFERROR(E2/D2, 0)</f>
        <v>0</v>
      </c>
      <c r="G2" s="5">
        <f>SUM(G4:G72)</f>
        <v>0</v>
      </c>
      <c r="H2" s="7">
        <f>C2-G2</f>
        <v>18411.921880000002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34.5" customHeight="1">
      <c r="A4" s="41" t="str" cm="1">
        <f t="array" ref="A4">Sites[Site]</f>
        <v>CT: Westbrook - Building #41</v>
      </c>
      <c r="B4" s="22" t="str" cm="1">
        <f t="array" ref="B4">Sites[State]</f>
        <v>CT</v>
      </c>
      <c r="C4" s="18">
        <v>18411.921880000002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2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43" t="s">
        <v>29</v>
      </c>
      <c r="L4" s="44" t="s">
        <v>25</v>
      </c>
    </row>
    <row r="5" spans="1:12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2880" xr:uid="{AAAC8E91-D86C-4236-9B10-A3AF2B2E7202}"/>
    <hyperlink ref="L4" r:id="rId2" display="https://us3.assetplanner.com/service_request?ID=089716" xr:uid="{C1FF0A3E-5EC2-4EC5-BF44-766574502D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14"/>
  <sheetViews>
    <sheetView workbookViewId="0">
      <pane xSplit="2" ySplit="3" topLeftCell="C24" activePane="bottomRight" state="frozen"/>
      <selection pane="bottomRight" activeCell="J24" sqref="J24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5"/>
  </cols>
  <sheetData>
    <row r="1" spans="1:12" ht="19.5" customHeight="1">
      <c r="A1" s="49" t="str" cm="1">
        <f t="array" ref="A1">portfolio</f>
        <v>Lee Company</v>
      </c>
      <c r="B1" s="49"/>
      <c r="C1" s="49"/>
      <c r="D1" s="50" t="s">
        <v>33</v>
      </c>
      <c r="E1" s="50"/>
      <c r="F1" s="50"/>
      <c r="G1" s="48" t="s">
        <v>34</v>
      </c>
      <c r="H1" s="48"/>
      <c r="I1" s="48"/>
      <c r="J1" s="4"/>
      <c r="K1" s="4"/>
    </row>
    <row r="2" spans="1:12" ht="19.5" customHeight="1">
      <c r="A2" s="51" t="s">
        <v>2</v>
      </c>
      <c r="B2" s="51"/>
      <c r="C2" s="5">
        <f>SUM(C4:C72)</f>
        <v>18411.921999999999</v>
      </c>
      <c r="D2" s="5">
        <f>SUM(D4:D72)</f>
        <v>0</v>
      </c>
      <c r="E2" s="5">
        <f>C2-D2</f>
        <v>18411.921999999999</v>
      </c>
      <c r="F2" s="6">
        <f>IFERROR(E2/D2, 0)</f>
        <v>0</v>
      </c>
      <c r="G2" s="5">
        <f>SUM(G4:G72)</f>
        <v>31757.032999999999</v>
      </c>
      <c r="H2" s="7">
        <f>C2-G2</f>
        <v>-13345.111000000001</v>
      </c>
      <c r="I2" s="6">
        <f>IFERROR(H2/G2, 0)</f>
        <v>-0.42022537180976577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28.5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18411.921999999999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31757.032999999999</v>
      </c>
      <c r="H4" s="13">
        <f>IF(AND(ISNUMBER(C4),ISNUMBER(G4)), C4-G4, "")</f>
        <v>-13345.111000000001</v>
      </c>
      <c r="I4" s="14">
        <f>IFERROR(H4/G4, "")</f>
        <v>-0.42022537180976577</v>
      </c>
      <c r="J4" s="32" t="s">
        <v>35</v>
      </c>
      <c r="K4" s="43" t="s">
        <v>36</v>
      </c>
      <c r="L4" s="46" t="s">
        <v>37</v>
      </c>
    </row>
    <row r="5" spans="1:12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89716" xr:uid="{AD729FAF-CB3C-4739-AEC1-20F1A0389771}"/>
    <hyperlink ref="L4" r:id="rId2" display="https://us3.assetplanner.com/service_request?ID=092880" xr:uid="{F16E38D0-9EF5-465A-951C-0B1B53A0340D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14"/>
  <sheetViews>
    <sheetView workbookViewId="0">
      <pane xSplit="2" ySplit="3" topLeftCell="C4" activePane="bottomRight" state="frozen"/>
      <selection pane="bottomRight" activeCell="J11" sqref="J11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5"/>
  </cols>
  <sheetData>
    <row r="1" spans="1:12" ht="19.5" customHeight="1">
      <c r="A1" s="49" t="str" cm="1">
        <f t="array" ref="A1">portfolio</f>
        <v>Lee Company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4"/>
      <c r="K1" s="4"/>
    </row>
    <row r="2" spans="1:12" ht="19.5" customHeight="1">
      <c r="A2" s="51" t="s">
        <v>2</v>
      </c>
      <c r="B2" s="51"/>
      <c r="C2" s="5">
        <f>SUM(C4:C72)</f>
        <v>21070.562999999998</v>
      </c>
      <c r="D2" s="5">
        <f>SUM(D4:D72)</f>
        <v>0</v>
      </c>
      <c r="E2" s="5">
        <f>C2-D2</f>
        <v>21070.562999999998</v>
      </c>
      <c r="F2" s="6">
        <f>IFERROR(E2/D2, 0)</f>
        <v>0</v>
      </c>
      <c r="G2" s="5">
        <f>SUM(G4:G72)</f>
        <v>37654.482000000004</v>
      </c>
      <c r="H2" s="7">
        <f>C2-G2</f>
        <v>-16583.919000000005</v>
      </c>
      <c r="I2" s="6">
        <f>IFERROR(H2/G2, 0)</f>
        <v>-0.44042350655627138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28.5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21070.562999999998</v>
      </c>
      <c r="D4" s="11">
        <v>0</v>
      </c>
      <c r="E4" s="11">
        <f>IF(AND(ISNUMBER(C4),ISNUMBER(D4)), C4-D4, "")</f>
        <v>21070.562999999998</v>
      </c>
      <c r="F4" s="12" t="str">
        <f>IFERROR(E4/D4, "")</f>
        <v/>
      </c>
      <c r="G4" s="13">
        <v>37654.482000000004</v>
      </c>
      <c r="H4" s="13">
        <f>IF(AND(ISNUMBER(C4),ISNUMBER(G4)), C4-G4, "")</f>
        <v>-16583.919000000005</v>
      </c>
      <c r="I4" s="14">
        <f>IFERROR(H4/G4, "")</f>
        <v>-0.44042350655627138</v>
      </c>
      <c r="J4" s="32" t="s">
        <v>35</v>
      </c>
      <c r="K4" s="43" t="s">
        <v>40</v>
      </c>
      <c r="L4" s="46" t="s">
        <v>37</v>
      </c>
    </row>
    <row r="5" spans="1:12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89716" xr:uid="{4AD4FBF4-9F35-42E7-92D9-26B29F6C03E3}"/>
    <hyperlink ref="L4" r:id="rId2" display="https://us3.assetplanner.com/service_request?ID=092880" xr:uid="{D1709503-1EDD-4F57-95D8-9446B5C0FF2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14"/>
  <sheetViews>
    <sheetView workbookViewId="0">
      <pane xSplit="2" ySplit="3" topLeftCell="D4" activePane="bottomRight" state="frozen"/>
      <selection pane="bottomRight" activeCell="K4" sqref="K4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5"/>
  </cols>
  <sheetData>
    <row r="1" spans="1:12" ht="19.5" customHeight="1">
      <c r="A1" s="49" t="str" cm="1">
        <f t="array" ref="A1">portfolio</f>
        <v>Lee Company</v>
      </c>
      <c r="B1" s="49"/>
      <c r="C1" s="49"/>
      <c r="D1" s="50" t="s">
        <v>41</v>
      </c>
      <c r="E1" s="50"/>
      <c r="F1" s="50"/>
      <c r="G1" s="48" t="s">
        <v>42</v>
      </c>
      <c r="H1" s="48"/>
      <c r="I1" s="48"/>
      <c r="J1" s="4"/>
      <c r="K1" s="4"/>
    </row>
    <row r="2" spans="1:12" ht="19.5" customHeight="1">
      <c r="A2" s="51" t="s">
        <v>2</v>
      </c>
      <c r="B2" s="51"/>
      <c r="C2" s="5">
        <f>SUM(C4:C72)</f>
        <v>23613.530999999999</v>
      </c>
      <c r="D2" s="5">
        <f>SUM(D4:D72)</f>
        <v>0</v>
      </c>
      <c r="E2" s="5">
        <f>C2-D2</f>
        <v>23613.530999999999</v>
      </c>
      <c r="F2" s="6">
        <f>IFERROR(E2/D2, 0)</f>
        <v>0</v>
      </c>
      <c r="G2" s="5">
        <f>SUM(G4:G72)</f>
        <v>37970</v>
      </c>
      <c r="H2" s="7">
        <f>C2-G2</f>
        <v>-14356.469000000001</v>
      </c>
      <c r="I2" s="6">
        <f>IFERROR(H2/G2, 0)</f>
        <v>-0.37810031603897815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28.5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23613.530999999999</v>
      </c>
      <c r="D4" s="11">
        <v>0</v>
      </c>
      <c r="E4" s="11">
        <f>IF(AND(ISNUMBER(C4),ISNUMBER(D4)), C4-D4, "")</f>
        <v>23613.530999999999</v>
      </c>
      <c r="F4" s="12" t="str">
        <f>IFERROR(E4/D4, "")</f>
        <v/>
      </c>
      <c r="G4" s="13">
        <v>37970</v>
      </c>
      <c r="H4" s="13">
        <f>IF(AND(ISNUMBER(C4),ISNUMBER(G4)), C4-G4, "")</f>
        <v>-14356.469000000001</v>
      </c>
      <c r="I4" s="14">
        <f>IFERROR(H4/G4, "")</f>
        <v>-0.37810031603897815</v>
      </c>
      <c r="J4" s="32" t="s">
        <v>35</v>
      </c>
      <c r="K4" s="43" t="s">
        <v>40</v>
      </c>
      <c r="L4" s="46" t="s">
        <v>37</v>
      </c>
    </row>
    <row r="5" spans="1:12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89716" xr:uid="{A265B94C-C544-4ED0-BA63-B8442570F6D7}"/>
    <hyperlink ref="L4" r:id="rId2" display="https://us3.assetplanner.com/service_request?ID=092880" xr:uid="{9CB68175-CA75-4274-B1C6-6759A45579D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14"/>
  <sheetViews>
    <sheetView workbookViewId="0">
      <pane xSplit="2" ySplit="3" topLeftCell="C4" activePane="bottomRight" state="frozen"/>
      <selection pane="bottomRight" activeCell="G24" sqref="G24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47"/>
  </cols>
  <sheetData>
    <row r="1" spans="1:13" ht="19.5" customHeight="1">
      <c r="A1" s="49" t="str" cm="1">
        <f t="array" ref="A1">portfolio</f>
        <v>Lee Company</v>
      </c>
      <c r="B1" s="49"/>
      <c r="C1" s="49"/>
      <c r="D1" s="50" t="s">
        <v>43</v>
      </c>
      <c r="E1" s="50"/>
      <c r="F1" s="50"/>
      <c r="G1" s="48" t="s">
        <v>44</v>
      </c>
      <c r="H1" s="48"/>
      <c r="I1" s="48"/>
      <c r="J1" s="4"/>
      <c r="K1" s="4"/>
    </row>
    <row r="2" spans="1:13" ht="19.5" customHeight="1">
      <c r="A2" s="51" t="s">
        <v>2</v>
      </c>
      <c r="B2" s="51"/>
      <c r="C2" s="5">
        <f>SUM(C4:C72)</f>
        <v>24962.15625</v>
      </c>
      <c r="D2" s="5">
        <f>SUM(D4:D72)</f>
        <v>0</v>
      </c>
      <c r="E2" s="5">
        <f>C2-D2</f>
        <v>24962.15625</v>
      </c>
      <c r="F2" s="6">
        <f>IFERROR(E2/D2, 0)</f>
        <v>0</v>
      </c>
      <c r="G2" s="5">
        <f>SUM(G4:G72)</f>
        <v>39668</v>
      </c>
      <c r="H2" s="7">
        <f>C2-G2</f>
        <v>-14705.84375</v>
      </c>
      <c r="I2" s="6">
        <f>IFERROR(H2/G2, 0)</f>
        <v>-0.37072309544217003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28.5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24962.15625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39668</v>
      </c>
      <c r="H4" s="13">
        <f>IF(AND(ISNUMBER(C4),ISNUMBER(G4)), C4-G4, "")</f>
        <v>-14705.84375</v>
      </c>
      <c r="I4" s="14">
        <f>IFERROR(H4/G4, "")</f>
        <v>-0.37072309544217003</v>
      </c>
      <c r="J4" s="32" t="s">
        <v>35</v>
      </c>
      <c r="K4" s="43" t="s">
        <v>45</v>
      </c>
      <c r="L4" s="44" t="s">
        <v>37</v>
      </c>
      <c r="M4" s="44" t="s">
        <v>46</v>
      </c>
    </row>
    <row r="5" spans="1:13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89716" xr:uid="{378CDC1C-65EF-4E63-820B-5670EA403F50}"/>
    <hyperlink ref="L4" r:id="rId2" display="https://us3.assetplanner.com/service_request?ID=092880" xr:uid="{1A99C3C8-FF25-4DEB-93DF-932BCD7A38FE}"/>
    <hyperlink ref="M4" r:id="rId3" display="https://us3.assetplanner.com/service_request?ID=105586" xr:uid="{0EA52886-AAFF-4CEE-948A-FA8EB816D2C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14"/>
  <sheetViews>
    <sheetView workbookViewId="0">
      <pane xSplit="2" ySplit="3" topLeftCell="C4" activePane="bottomRight" state="frozen"/>
      <selection pane="bottomRight" activeCell="G19" sqref="G18:G19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47"/>
  </cols>
  <sheetData>
    <row r="1" spans="1:13" ht="19.5" customHeight="1">
      <c r="A1" s="49" t="str" cm="1">
        <f t="array" ref="A1">portfolio</f>
        <v>Lee Company</v>
      </c>
      <c r="B1" s="49"/>
      <c r="C1" s="49"/>
      <c r="D1" s="50" t="s">
        <v>47</v>
      </c>
      <c r="E1" s="50"/>
      <c r="F1" s="50"/>
      <c r="G1" s="48" t="s">
        <v>48</v>
      </c>
      <c r="H1" s="48"/>
      <c r="I1" s="48"/>
      <c r="J1" s="4"/>
      <c r="K1" s="4"/>
    </row>
    <row r="2" spans="1:13" ht="19.5" customHeight="1">
      <c r="A2" s="51" t="s">
        <v>2</v>
      </c>
      <c r="B2" s="51"/>
      <c r="C2" s="5">
        <f>SUM(C4:C72)</f>
        <v>24974.0625</v>
      </c>
      <c r="D2" s="5">
        <f>SUM(D4:D72)</f>
        <v>0</v>
      </c>
      <c r="E2" s="5">
        <f>C2-D2</f>
        <v>24974.0625</v>
      </c>
      <c r="F2" s="6">
        <f>IFERROR(E2/D2, 0)</f>
        <v>0</v>
      </c>
      <c r="G2" s="5">
        <f>SUM(G4:G72)</f>
        <v>365126512</v>
      </c>
      <c r="H2" s="7">
        <f>C2-G2</f>
        <v>-365101537.9375</v>
      </c>
      <c r="I2" s="6">
        <f>IFERROR(H2/G2, 0)</f>
        <v>-0.99993160161840011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71.25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24974.0625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365126512</v>
      </c>
      <c r="H4" s="13">
        <f>IF(AND(ISNUMBER(C4),ISNUMBER(G4)), C4-G4, "")</f>
        <v>-365101537.9375</v>
      </c>
      <c r="I4" s="14">
        <f>IFERROR(H4/G4, "")</f>
        <v>-0.99993160161840011</v>
      </c>
      <c r="J4" s="32" t="s">
        <v>49</v>
      </c>
      <c r="K4" s="43" t="s">
        <v>45</v>
      </c>
      <c r="L4" s="44" t="s">
        <v>37</v>
      </c>
      <c r="M4" s="44" t="s">
        <v>46</v>
      </c>
    </row>
    <row r="5" spans="1:13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89716" xr:uid="{4AFB5FF8-1E0C-4A8C-832F-F9167E474B14}"/>
    <hyperlink ref="L4" r:id="rId2" display="https://us3.assetplanner.com/service_request?ID=092880" xr:uid="{78D7B47D-28E6-4F05-906C-CE7FCC010227}"/>
    <hyperlink ref="M4" r:id="rId3" display="https://us3.assetplanner.com/service_request?ID=105586" xr:uid="{C1D3A786-41CA-4986-828A-EE990ABA9493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14"/>
  <sheetViews>
    <sheetView workbookViewId="0">
      <pane xSplit="2" ySplit="3" topLeftCell="C4" activePane="bottomRight" state="frozen"/>
      <selection pane="bottomRight" activeCell="H22" sqref="H22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47"/>
  </cols>
  <sheetData>
    <row r="1" spans="1:13" ht="19.5" customHeight="1">
      <c r="A1" s="49" t="str" cm="1">
        <f t="array" ref="A1">portfolio</f>
        <v>Lee Company</v>
      </c>
      <c r="B1" s="49"/>
      <c r="C1" s="49"/>
      <c r="D1" s="50" t="s">
        <v>50</v>
      </c>
      <c r="E1" s="50"/>
      <c r="F1" s="50"/>
      <c r="G1" s="48" t="s">
        <v>51</v>
      </c>
      <c r="H1" s="48"/>
      <c r="I1" s="48"/>
      <c r="J1" s="4"/>
      <c r="K1" s="4"/>
    </row>
    <row r="2" spans="1:13" ht="19.5" customHeight="1">
      <c r="A2" s="51" t="s">
        <v>2</v>
      </c>
      <c r="B2" s="51"/>
      <c r="C2" s="5">
        <f>SUM(C4:C72)</f>
        <v>19335.530999999999</v>
      </c>
      <c r="D2" s="5">
        <f>SUM(D4:D72)</f>
        <v>0</v>
      </c>
      <c r="E2" s="5">
        <f>C2-D2</f>
        <v>19335.530999999999</v>
      </c>
      <c r="F2" s="6">
        <f>IFERROR(E2/D2, 0)</f>
        <v>0</v>
      </c>
      <c r="G2" s="5">
        <f>SUM(G4:G72)</f>
        <v>31942</v>
      </c>
      <c r="H2" s="7">
        <f>C2-G2</f>
        <v>-12606.469000000001</v>
      </c>
      <c r="I2" s="6">
        <f>IFERROR(H2/G2, 0)</f>
        <v>-0.39466749107757815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28.5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19335.530999999999</v>
      </c>
      <c r="D4" s="11">
        <v>0</v>
      </c>
      <c r="E4" s="11">
        <f>IF(AND(ISNUMBER(C4),ISNUMBER(D4)), C4-D4, "")</f>
        <v>19335.530999999999</v>
      </c>
      <c r="F4" s="12" t="str">
        <f>IFERROR(E4/D4, "")</f>
        <v/>
      </c>
      <c r="G4" s="13">
        <v>31942</v>
      </c>
      <c r="H4" s="13">
        <f>IF(AND(ISNUMBER(C4),ISNUMBER(G4)), C4-G4, "")</f>
        <v>-12606.469000000001</v>
      </c>
      <c r="I4" s="14">
        <f>IFERROR(H4/G4, "")</f>
        <v>-0.39466749107757815</v>
      </c>
      <c r="J4" s="32" t="s">
        <v>35</v>
      </c>
      <c r="K4" s="43" t="s">
        <v>52</v>
      </c>
      <c r="L4" s="44" t="s">
        <v>37</v>
      </c>
      <c r="M4" s="44" t="s">
        <v>46</v>
      </c>
    </row>
    <row r="5" spans="1:13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089716" xr:uid="{7D398BA0-16E5-4B7B-8465-0A4104C019C8}"/>
    <hyperlink ref="L4" r:id="rId2" display="https://us3.assetplanner.com/service_request?ID=092880" xr:uid="{7747410B-2553-4E01-B454-097D9B6175E5}"/>
    <hyperlink ref="M4" r:id="rId3" display="https://us3.assetplanner.com/service_request?ID=105586" xr:uid="{88DCD722-FA50-441B-A3A7-92C67B28CCA9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Lee Company</v>
      </c>
      <c r="B1" s="49"/>
      <c r="C1" s="49"/>
      <c r="D1" s="50" t="s">
        <v>53</v>
      </c>
      <c r="E1" s="50"/>
      <c r="F1" s="50"/>
      <c r="G1" s="48" t="s">
        <v>54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Lee Company</v>
      </c>
      <c r="B1" s="49"/>
      <c r="C1" s="49"/>
      <c r="D1" s="50" t="s">
        <v>55</v>
      </c>
      <c r="E1" s="50"/>
      <c r="F1" s="50"/>
      <c r="G1" s="48" t="s">
        <v>56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tabSelected="1" workbookViewId="0">
      <pane xSplit="2" ySplit="3" topLeftCell="C4" activePane="bottomRight" state="frozen"/>
      <selection pane="bottomRight" activeCell="I21" sqref="I21"/>
      <selection pane="bottomLeft" activeCell="G26" sqref="G26"/>
      <selection pane="topRight" activeCell="G26" sqref="G26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Lee Company</v>
      </c>
      <c r="B1" s="49"/>
      <c r="C1" s="49"/>
      <c r="D1" s="50" t="s">
        <v>57</v>
      </c>
      <c r="E1" s="50"/>
      <c r="F1" s="50"/>
      <c r="G1" s="48" t="s">
        <v>58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2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3.9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59</v>
      </c>
      <c r="B1" s="39" t="s">
        <v>60</v>
      </c>
    </row>
    <row r="3" spans="1:12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12" ht="14.25">
      <c r="A4" s="37" t="s">
        <v>64</v>
      </c>
      <c r="B4" t="s">
        <v>65</v>
      </c>
      <c r="C4" s="35" t="s">
        <v>66</v>
      </c>
      <c r="D4" s="40" t="s">
        <v>67</v>
      </c>
      <c r="E4" s="39" t="s">
        <v>68</v>
      </c>
      <c r="G4" s="3"/>
    </row>
    <row r="5" spans="1:12" ht="14.25">
      <c r="A5" s="37"/>
      <c r="C5" s="35"/>
      <c r="D5" s="34"/>
      <c r="G5" s="3"/>
    </row>
    <row r="6" spans="1:12" ht="14.2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3"/>
      <c r="L10" s="33"/>
    </row>
    <row r="11" spans="1:12" ht="12.75" customHeight="1">
      <c r="A11" s="37"/>
      <c r="C11" s="35"/>
      <c r="D11" s="34"/>
      <c r="K11" s="33"/>
      <c r="L11" s="33"/>
    </row>
    <row r="12" spans="1:12" ht="12.75" customHeight="1">
      <c r="A12" s="37"/>
      <c r="C12" s="35"/>
      <c r="D12" s="34"/>
      <c r="K12" s="33"/>
      <c r="L12" s="33"/>
    </row>
    <row r="13" spans="1:12" ht="12.75" customHeight="1">
      <c r="A13" s="37"/>
      <c r="C13" s="35"/>
      <c r="D13" s="34"/>
      <c r="K13" s="33"/>
      <c r="L13" s="33"/>
    </row>
    <row r="14" spans="1:12" ht="12.75" customHeight="1">
      <c r="A14" s="37"/>
      <c r="C14" s="35"/>
      <c r="D14" s="34"/>
      <c r="K14" s="33"/>
      <c r="L14" s="33"/>
    </row>
    <row r="15" spans="1:12" ht="12.75" customHeight="1">
      <c r="A15" s="37"/>
      <c r="C15" s="35"/>
      <c r="D15" s="34"/>
      <c r="K15" s="33"/>
      <c r="L15" s="33"/>
    </row>
    <row r="16" spans="1:12" ht="12.75" customHeight="1">
      <c r="A16" s="37"/>
      <c r="C16" s="35"/>
      <c r="D16" s="34"/>
      <c r="K16" s="33"/>
      <c r="L16" s="33"/>
    </row>
    <row r="17" spans="1:12" ht="12.75" customHeight="1">
      <c r="A17" s="37"/>
      <c r="C17" s="35"/>
      <c r="D17" s="34"/>
      <c r="K17" s="33"/>
      <c r="L17" s="33"/>
    </row>
    <row r="18" spans="1:12" ht="12.75" customHeight="1">
      <c r="A18" s="37"/>
      <c r="C18" s="35"/>
      <c r="D18" s="34"/>
      <c r="K18" s="33"/>
      <c r="L18" s="33"/>
    </row>
    <row r="19" spans="1:12" ht="12.75" customHeight="1">
      <c r="A19" s="37"/>
      <c r="C19" s="35"/>
      <c r="D19" s="34"/>
      <c r="K19" s="33"/>
      <c r="L19" s="33"/>
    </row>
    <row r="20" spans="1:12" ht="12.75" customHeight="1">
      <c r="A20" s="37"/>
      <c r="C20" s="35"/>
      <c r="D20" s="34"/>
      <c r="K20" s="33"/>
      <c r="L20" s="33"/>
    </row>
    <row r="21" spans="1:12" ht="12.75" customHeight="1">
      <c r="A21" s="37"/>
      <c r="C21" s="35"/>
      <c r="D21" s="34"/>
      <c r="K21" s="33"/>
      <c r="L21" s="33"/>
    </row>
    <row r="22" spans="1:12" ht="12.75" customHeight="1">
      <c r="A22" s="37"/>
      <c r="C22" s="35"/>
      <c r="D22" s="34"/>
      <c r="K22" s="33"/>
      <c r="L22" s="33"/>
    </row>
    <row r="23" spans="1:12" ht="12.75" customHeight="1">
      <c r="A23" s="37"/>
      <c r="C23" s="35"/>
      <c r="D23" s="34"/>
      <c r="K23" s="33"/>
      <c r="L23" s="33"/>
    </row>
    <row r="24" spans="1:12" ht="12.75" customHeight="1">
      <c r="A24" s="37"/>
      <c r="C24" s="35"/>
      <c r="D24" s="34"/>
      <c r="K24" s="33"/>
      <c r="L24" s="33"/>
    </row>
    <row r="25" spans="1:12" ht="12.75" customHeight="1">
      <c r="A25" s="37"/>
      <c r="C25" s="35"/>
      <c r="D25" s="34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14864C3E-990A-4A46-A6BB-63716D11232C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2025-12-17T21:06:50Z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2025-03-11T16:26:23Z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16a3144c-a4b1-4d24-a8f3-ed598bd96e10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