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5D484AB4-9C67-46B7-884D-3B5B551114A6}" xr6:coauthVersionLast="47" xr6:coauthVersionMax="47" xr10:uidLastSave="{00000000-0000-0000-0000-000000000000}"/>
  <bookViews>
    <workbookView xWindow="1500" yWindow="1500" windowWidth="17280" windowHeight="8880" tabRatio="866" firstSheet="6" activeTab="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2" i="30" s="1"/>
  <c r="G4" i="29"/>
  <c r="D4" i="29"/>
  <c r="H4" i="19"/>
  <c r="G4" i="1"/>
  <c r="G4" i="34" s="1"/>
  <c r="G2" i="34" s="1"/>
  <c r="G4" i="18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B4" i="34" a="1"/>
  <c r="B4" i="34" s="1"/>
  <c r="A4" i="34" a="1"/>
  <c r="A4" i="34" s="1"/>
  <c r="A1" i="34" a="1"/>
  <c r="A1" i="34" s="1"/>
  <c r="D4" i="30"/>
  <c r="D2" i="30" s="1"/>
  <c r="C4" i="30"/>
  <c r="C4" i="29"/>
  <c r="D4" i="18"/>
  <c r="D2" i="18" s="1"/>
  <c r="C4" i="18"/>
  <c r="E4" i="18" s="1"/>
  <c r="F4" i="18" s="1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I4" i="19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33" l="1"/>
  <c r="I2" i="33" s="1"/>
  <c r="C4" i="34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<sst xmlns="http://schemas.openxmlformats.org/spreadsheetml/2006/main" count="240" uniqueCount="54">
  <si>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</si>
  <si>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</si>
  <si>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</si>
  <si>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</si>
  <si>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</si>
  <si>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</si>
  <si>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</si>
  <si>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</si>
  <si>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</si>
  <si>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</si>
  <si>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</si>
  <si>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</si>
  <si>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</si>
  <si>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</si>
  <si>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</si>
  <si>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</si>
  <si>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</si>
  <si>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</si>
  <si>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</si>
  <si>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</si>
  <si>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</si>
  <si>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</si>
  <si>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</si>
  <si>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</si>
  <si>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</si>
  <si>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</si>
  <si>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</si>
  <si>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</si>
  <si>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</si>
  <si>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</si>
  <si>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</si>
  <si>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</si>
  <si>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</si>
  <si>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</si>
  <si>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</si>
  <si>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</si>
  <si>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</si>
  <si>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</si>
  <si>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</si>
  <si>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</si>
  <si>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</si>
  <si>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</si>
  <si>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</si>
  <si>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</si>
  <si>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</si>
  <si>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Willwork</t>
  </si>
  <si>
    <t>Site DAS Name</t>
  </si>
  <si>
    <t>Update</t>
  </si>
  <si>
    <t>DAS</t>
  </si>
  <si>
    <t>23 Norfolk Ave - Teamwork/Willwork</t>
  </si>
  <si>
    <t>MA: South Easton - Willwork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</si>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</sst>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164" fontId="28" fillId="44" borderId="0" xfId="1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G3" sqref="G3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SUM(C4:C60)</f>
        <v>7670.5650000000005</v>
      </c>
      <c r="D2" s="6">
        <f>SUM(D4:D60)</f>
        <v>0</v>
      </c>
      <c r="E2" s="6">
        <f>C2-D2</f>
        <v>7670.5650000000005</v>
      </c>
      <c r="F2" s="7">
        <f>IFERROR(E2/D2, 0)</f>
        <v>0</v>
      </c>
      <c r="G2" s="6">
        <f>SUM(G4:G60)</f>
        <v>5492.7639999999992</v>
      </c>
      <c r="H2" s="8">
        <f>C2-G2</f>
        <v>2177.8010000000013</v>
      </c>
      <c r="I2" s="7">
        <f>IFERROR(H2/G2, 0)</f>
        <v>0.39648544885598608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SUM('1st Qtr'!C4, '2nd Qtr'!C4, '3rd Qtr'!C4, '4th Qtr'!C4)</f>
        <v>7670.5650000000005</v>
      </c>
      <c r="D4" s="14">
        <f>SUM('1st Qtr'!D4, '2nd Qtr'!D4, '3rd Qtr'!D4, '4th Qtr'!D4)</f>
        <v>0</v>
      </c>
      <c r="E4" s="14">
        <f>IF(AND(ISNUMBER(C4),ISNUMBER(D4)), C4-D4, "")</f>
        <v>7670.5650000000005</v>
      </c>
      <c r="F4" s="15" t="str">
        <f>IFERROR(E4/D4, "")</f>
        <v/>
      </c>
      <c r="G4" s="16">
        <f>SUM('1st Qtr'!G4,'2nd Qtr'!G4,'3rd Qtr'!G4,'4th Qtr'!G4)</f>
        <v>5492.7639999999992</v>
      </c>
      <c r="H4" s="16">
        <f>SUM('1st Qtr'!H4, '2nd Qtr'!H4, '3rd Qtr'!H4, '4th Qtr'!H4)</f>
        <v>2177.8010000000004</v>
      </c>
      <c r="I4" s="17">
        <f>IFERROR(H4/G4, "")</f>
        <v>0.39648544885598591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G4" sqref="G4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6">
        <f>SUM(C4:C68)</f>
        <v>7670.5650000000005</v>
      </c>
      <c r="D2" s="6">
        <f>SUM(D4:D68)</f>
        <v>0</v>
      </c>
      <c r="E2" s="6">
        <f>C2-D2</f>
        <v>7670.5650000000005</v>
      </c>
      <c r="F2" s="7">
        <f>IFERROR(E2/D2, 0)</f>
        <v>0</v>
      </c>
      <c r="G2" s="6">
        <f>SUM(G4:G68)</f>
        <v>5492.7639999999992</v>
      </c>
      <c r="H2" s="8">
        <f>C2-G2</f>
        <v>2177.8010000000013</v>
      </c>
      <c r="I2" s="7">
        <f>IFERROR(H2/G2, 0)</f>
        <v>0.39648544885598608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SUM(Jan!C4, Feb!C4, Mar!C4)</f>
        <v>7670.5650000000005</v>
      </c>
      <c r="D4" s="14">
        <f>SUM(Jan!D4, Feb!D4, Mar!D4)</f>
        <v>0</v>
      </c>
      <c r="E4" s="14">
        <f>IF(AND(ISNUMBER(C4),ISNUMBER(D4)), C4-D4, "")</f>
        <v>7670.5650000000005</v>
      </c>
      <c r="F4" s="15" t="str">
        <f>IFERROR(E4/D4, "")</f>
        <v/>
      </c>
      <c r="G4" s="16">
        <f>SUM(Jan!G4, Feb!G4, Mar!G4)</f>
        <v>5492.7639999999992</v>
      </c>
      <c r="H4" s="16">
        <f>SUM(Jan!H4, Feb!H4, Mar!H4)</f>
        <v>2177.8010000000004</v>
      </c>
      <c r="I4" s="17">
        <f>IFERROR(H4/G4, "")</f>
        <v>0.39648544885598591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12" sqref="G12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>
        <f>SUM(Apr!G4+May!G4+Jun!G4)</f>
        <v>0</v>
      </c>
      <c r="H4" s="16">
        <f>SUM(Apr!H4, May!H4, Jun!H4)</f>
        <v>0</v>
      </c>
      <c r="I4" s="17" t="str">
        <f>IFERROR(H4/G4, "")</f>
        <v/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G5" sqref="G5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 Aug!G4, Sep!G4)</f>
        <v>0</v>
      </c>
      <c r="H4" s="16">
        <f>SUM(Jul!H4, Aug!H4, Sep!H4)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4" activePane="bottomLeft" state="frozen"/>
      <selection pane="bottomLeft" activeCell="G5" sqref="G5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G4" sqref="G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SUM(C4:C89)</f>
        <v>3291.35</v>
      </c>
      <c r="D2" s="6">
        <f>SUM(D4:D89)</f>
        <v>0</v>
      </c>
      <c r="E2" s="6">
        <f>C2-D2</f>
        <v>3291.35</v>
      </c>
      <c r="F2" s="7">
        <f>IFERROR(E2/D2, 0)</f>
        <v>0</v>
      </c>
      <c r="G2" s="6">
        <f>SUM(G4:G89)</f>
        <v>2331.9609999999998</v>
      </c>
      <c r="H2" s="8">
        <f>C2-G2</f>
        <v>959.38900000000012</v>
      </c>
      <c r="I2" s="7">
        <f>IFERROR(H2/G2, 0)</f>
        <v>0.41140868136302461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3291.35</v>
      </c>
      <c r="D4" s="14">
        <v>0</v>
      </c>
      <c r="E4" s="14">
        <f>IF(AND(ISNUMBER(C4),ISNUMBER(D4)), C4-D4, "")</f>
        <v>3291.35</v>
      </c>
      <c r="F4" s="15" t="str">
        <f>IFERROR(E4/D4, "")</f>
        <v/>
      </c>
      <c r="G4" s="16">
        <v>2331.9609999999998</v>
      </c>
      <c r="H4" s="16">
        <f>IF(AND(ISNUMBER(C4),ISNUMBER(G4)), C4-G4, "")</f>
        <v>959.38900000000012</v>
      </c>
      <c r="I4" s="17">
        <f>IFERROR(H4/G4, "")</f>
        <v>0.41140868136302461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tabSelected="1" workbookViewId="0">
      <pane ySplit="2" topLeftCell="A3" activePane="bottomLeft" state="frozen"/>
      <selection pane="bottomLeft" activeCell="F7" sqref="F7"/>
      <selection activeCell="C23" sqref="C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22</v>
      </c>
      <c r="E1" s="45"/>
      <c r="F1" s="45"/>
      <c r="G1" s="43" t="s">
        <v>23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SUM(C4:C85)</f>
        <v>4379.2150000000001</v>
      </c>
      <c r="D2" s="6">
        <f>SUM(D4:D85)</f>
        <v>0</v>
      </c>
      <c r="E2" s="6">
        <f>C2-D2</f>
        <v>4379.2150000000001</v>
      </c>
      <c r="F2" s="7">
        <f>IFERROR(E2/D2, 0)</f>
        <v>0</v>
      </c>
      <c r="G2" s="6">
        <f>SUM(G4:G85)</f>
        <v>3160.8029999999999</v>
      </c>
      <c r="H2" s="8">
        <f>C2-G2</f>
        <v>1218.4120000000003</v>
      </c>
      <c r="I2" s="7">
        <f>IFERROR(H2/G2, 0)</f>
        <v>0.385475463038981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42">
        <v>4379.2150000000001</v>
      </c>
      <c r="D4" s="14">
        <v>0</v>
      </c>
      <c r="E4" s="14">
        <f>IF(AND(ISNUMBER(C4),ISNUMBER(D4)), C4-D4, "")</f>
        <v>4379.2150000000001</v>
      </c>
      <c r="F4" s="15" t="str">
        <f>IFERROR(E4/D4, "")</f>
        <v/>
      </c>
      <c r="G4" s="16">
        <v>3160.8029999999999</v>
      </c>
      <c r="H4" s="16">
        <f>IF(AND(ISNUMBER(C4),ISNUMBER(G4)), C4-G4, "")</f>
        <v>1218.4120000000003</v>
      </c>
      <c r="I4" s="17">
        <f>IFERROR(H4/G4, "")</f>
        <v>0.385475463038981</v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topLeftCell="B1" workbookViewId="0">
      <pane ySplit="2" topLeftCell="A3" activePane="bottomLeft" state="frozen"/>
      <selection pane="bottomLeft" activeCell="C23" sqref="C23"/>
      <selection activeCell="C23" sqref="C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24</v>
      </c>
      <c r="E1" s="45"/>
      <c r="F1" s="45"/>
      <c r="G1" s="43" t="s">
        <v>25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9" activePane="bottomLeft" state="frozen"/>
      <selection pane="bottomLeft" activeCell="C23" sqref="C23"/>
      <selection activeCell="C23" sqref="C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26</v>
      </c>
      <c r="E1" s="45"/>
      <c r="F1" s="45"/>
      <c r="G1" s="43" t="s">
        <v>27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topLeftCell="C1" workbookViewId="0">
      <pane ySplit="2" topLeftCell="A3" activePane="bottomLeft" state="frozen"/>
      <selection pane="bottomLeft" activeCell="C23" sqref="C23"/>
      <selection activeCell="C23" sqref="C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28</v>
      </c>
      <c r="E1" s="45"/>
      <c r="F1" s="45"/>
      <c r="G1" s="43" t="s">
        <v>29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topLeftCell="B1" workbookViewId="0">
      <pane ySplit="2" topLeftCell="A11" activePane="bottomLeft" state="frozen"/>
      <selection pane="bottomLeft" activeCell="C23" sqref="C23"/>
      <selection activeCell="C23" sqref="C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30</v>
      </c>
      <c r="E1" s="45"/>
      <c r="F1" s="45"/>
      <c r="G1" s="43" t="s">
        <v>31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C23" sqref="C23"/>
      <selection activeCell="C23" sqref="C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32</v>
      </c>
      <c r="E1" s="45"/>
      <c r="F1" s="45"/>
      <c r="G1" s="43" t="s">
        <v>33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3" activePane="bottomLeft" state="frozen"/>
      <selection pane="bottomLeft" activeCell="C23" sqref="C23"/>
      <selection activeCell="C23" sqref="C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34</v>
      </c>
      <c r="E1" s="45"/>
      <c r="F1" s="45"/>
      <c r="G1" s="43" t="s">
        <v>35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C23" sqref="C23"/>
      <selection activeCell="C23" sqref="C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36</v>
      </c>
      <c r="E1" s="45"/>
      <c r="F1" s="45"/>
      <c r="G1" s="43" t="s">
        <v>37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C23" sqref="C23"/>
      <selection activeCell="C23" sqref="C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38</v>
      </c>
      <c r="E1" s="45"/>
      <c r="F1" s="45"/>
      <c r="G1" s="43" t="s">
        <v>39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C23" sqref="C23"/>
      <selection activeCell="C23" sqref="C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40</v>
      </c>
      <c r="E1" s="45"/>
      <c r="F1" s="45"/>
      <c r="G1" s="43" t="s">
        <v>41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C23" sqref="C23"/>
      <selection activeCell="C23" sqref="C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42</v>
      </c>
      <c r="E1" s="45"/>
      <c r="F1" s="45"/>
      <c r="G1" s="43" t="s">
        <v>43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B20" sqref="B20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t="s">
        <v>45</v>
      </c>
    </row>
    <row r="3" spans="1:7" ht="13.1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45">
      <c r="A4" t="s">
        <v>49</v>
      </c>
      <c r="B4" t="s">
        <v>50</v>
      </c>
      <c r="C4" s="4" t="s">
        <v>51</v>
      </c>
      <c r="D4" t="s">
        <v>52</v>
      </c>
      <c r="E4" t="s">
        <v>53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9.xml>��
</file>

<file path=customXml/item10.xml>��
</file>

<file path=customXml/item1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7946C510-7D04-49D8-9B25-EEC04582A1CA}"/>
</file>

<file path=customXml/itemProps2.xml><?xml version="1.0" encoding="utf-8"?>
<ds:datastoreItem xmlns:ds="http://schemas.openxmlformats.org/officeDocument/2006/customXml" ds:itemID="{1954BBA4-0359-438C-B0EC-A756015F7C02}"/>
</file>

<file path=customXml/itemProps3.xml><?xml version="1.0" encoding="utf-8"?>
<ds:datastoreItem xmlns:ds="http://schemas.openxmlformats.org/officeDocument/2006/customXml" ds:itemID="{3AEAA9D8-2182-46BA-A58E-96C72DDA1C54}"/>
</file>

<file path=customXml/itemProps4.xml><?xml version="1.0" encoding="utf-8"?>
<ds:datastoreItem xmlns:ds="http://schemas.openxmlformats.org/officeDocument/2006/customXml" ds:itemID="{D3A7101F-9A85-4235-8B03-415370C100B2}"/>
</file>

<file path=customXml/itemProps5.xml><?xml version="1.0" encoding="utf-8"?>
<ds:datastoreItem xmlns:ds="http://schemas.openxmlformats.org/officeDocument/2006/customXml" ds:itemID="{0389C43E-394D-44C0-87DC-4780FCFCFB40}"/>
</file>

<file path=customXml/itemProps6.xml><?xml version="1.0" encoding="utf-8"?>
<ds:datastoreItem xmlns:ds="http://schemas.openxmlformats.org/officeDocument/2006/customXml" ds:itemID="{BE26B669-A686-459C-A5E9-FEC3409C4C81}"/>
</file>

<file path=customXml/itemProps7.xml><?xml version="1.0" encoding="utf-8"?>
<ds:datastoreItem xmlns:ds="http://schemas.openxmlformats.org/officeDocument/2006/customXml" ds:itemID="{F6B2B1A1-1C4B-4AC9-9A7D-7A102DD1C942}"/>
</file>

<file path=customXml/itemProps8.xml><?xml version="1.0" encoding="utf-8"?>
<ds:datastoreItem xmlns:ds="http://schemas.openxmlformats.org/officeDocument/2006/customXml" ds:itemID="{C0BCDC1E-6052-4E48-9BAF-94A40814E7C2}"/>
</file>

<file path=customXml/itemProps9.xml><?xml version="1.0" encoding="utf-8"?>
<ds:datastoreItem xmlns:ds="http://schemas.openxmlformats.org/officeDocument/2006/customXml" ds:itemID="{078388C9-06F9-42F4-B857-EF76B5CAF1FD}"/>
</file>

<file path=customXml/itemProps10.xml><?xml version="1.0" encoding="utf-8"?>
<ds:datastoreItem xmlns:ds="http://schemas.openxmlformats.org/officeDocument/2006/customXml" ds:itemID="{F12EFA50-0068-4A8C-85A0-F1B26389EBC3}"/>
</file>

<file path=customXml/itemProps11.xml><?xml version="1.0" encoding="utf-8"?>
<ds:datastoreItem xmlns:ds="http://schemas.openxmlformats.org/officeDocument/2006/customXml" ds:itemID="{8D732231-4216-4543-A665-18A2886B0EB7}"/>
</file>

<file path=customXml/itemProps12.xml><?xml version="1.0" encoding="utf-8"?>
<ds:datastoreItem xmlns:ds="http://schemas.openxmlformats.org/officeDocument/2006/customXml" ds:itemID="{66B09F59-6532-46F8-924A-9A02417E070D}"/>
</file>

<file path=customXml/itemProps13.xml><?xml version="1.0" encoding="utf-8"?>
<ds:datastoreItem xmlns:ds="http://schemas.openxmlformats.org/officeDocument/2006/customXml" ds:itemID="{BF5C6359-7763-4C37-8EAF-2BC4698CB285}"/>
</file>

<file path=customXml/itemProps14.xml><?xml version="1.0" encoding="utf-8"?>
<ds:datastoreItem xmlns:ds="http://schemas.openxmlformats.org/officeDocument/2006/customXml" ds:itemID="{E20E8303-6A67-485C-B6F4-303542CC295C}"/>
</file>

<file path=customXml/itemProps15.xml><?xml version="1.0" encoding="utf-8"?>
<ds:datastoreItem xmlns:ds="http://schemas.openxmlformats.org/officeDocument/2006/customXml" ds:itemID="{14966E4F-347B-477B-B74C-9DAC05405806}"/>
</file>

<file path=customXml/itemProps16.xml><?xml version="1.0" encoding="utf-8"?>
<ds:datastoreItem xmlns:ds="http://schemas.openxmlformats.org/officeDocument/2006/customXml" ds:itemID="{CB52044A-5C0B-44A2-99D0-C1C315EC302D}"/>
</file>

<file path=customXml/itemProps17.xml><?xml version="1.0" encoding="utf-8"?>
<ds:datastoreItem xmlns:ds="http://schemas.openxmlformats.org/officeDocument/2006/customXml" ds:itemID="{89CF5C07-45EB-4100-9AFB-2C6AF77FA787}"/>
</file>

<file path=customXml/itemProps18.xml><?xml version="1.0" encoding="utf-8"?>
<ds:datastoreItem xmlns:ds="http://schemas.openxmlformats.org/officeDocument/2006/customXml" ds:itemID="{2BC74AAC-D69B-4AF1-9649-B21EF3C1C463}"/>
</file>

<file path=customXml/itemProps19.xml><?xml version="1.0" encoding="utf-8"?>
<ds:datastoreItem xmlns:ds="http://schemas.openxmlformats.org/officeDocument/2006/customXml" ds:itemID="{98A113BB-8B7A-453C-8BD4-8EFC67FC2D3F}"/>
</file>

<file path=customXml/itemProps20.xml><?xml version="1.0" encoding="utf-8"?>
<ds:datastoreItem xmlns:ds="http://schemas.openxmlformats.org/officeDocument/2006/customXml" ds:itemID="{E3716282-BFD2-4ED2-BA47-BFA1123827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2025-03-11T06:11:08Z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