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8" documentId="13_ncr:1_{3EADB2DB-10A5-479A-8548-E17DE396A4F5}" xr6:coauthVersionLast="47" xr6:coauthVersionMax="47" xr10:uidLastSave="{89856C08-CE2B-44AC-A130-5FEE69B20915}"/>
  <bookViews>
    <workbookView xWindow="-108" yWindow="-108" windowWidth="23256" windowHeight="12456"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34" l="1"/>
  <c r="H21" i="34"/>
  <c r="G21" i="34"/>
  <c r="E21" i="34"/>
  <c r="F21" i="34" s="1"/>
  <c r="D21" i="34"/>
  <c r="C21" i="34"/>
  <c r="E21" i="1"/>
  <c r="F21" i="1" s="1"/>
  <c r="I21" i="1"/>
  <c r="H21" i="1"/>
  <c r="G21" i="1"/>
  <c r="E19" i="1"/>
  <c r="E20" i="1"/>
  <c r="D21" i="1"/>
  <c r="C21" i="1"/>
  <c r="I19" i="3"/>
  <c r="I20" i="3"/>
  <c r="H18" i="3"/>
  <c r="I18" i="3" s="1"/>
  <c r="H19" i="3"/>
  <c r="H20" i="3"/>
  <c r="H21" i="3"/>
  <c r="I21" i="3" s="1"/>
  <c r="E18" i="3"/>
  <c r="F18" i="3" s="1"/>
  <c r="E19" i="3"/>
  <c r="F19" i="3" s="1"/>
  <c r="E20" i="3"/>
  <c r="F20" i="3" s="1"/>
  <c r="E21" i="3"/>
  <c r="F21" i="3" s="1"/>
  <c r="I21" i="72"/>
  <c r="H21" i="72"/>
  <c r="F19" i="72"/>
  <c r="F20" i="72"/>
  <c r="F21" i="72"/>
  <c r="E19" i="72"/>
  <c r="E20" i="72"/>
  <c r="E21" i="72"/>
  <c r="I18" i="72"/>
  <c r="I19" i="72"/>
  <c r="I20" i="72"/>
  <c r="H18" i="72"/>
  <c r="H19" i="72"/>
  <c r="H20" i="72"/>
  <c r="F18" i="72"/>
  <c r="E18" i="72"/>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E5" i="33"/>
  <c r="F5" i="33" s="1"/>
  <c r="E6" i="33"/>
  <c r="F6" i="33" s="1"/>
  <c r="E7" i="33"/>
  <c r="F7" i="33" s="1"/>
  <c r="E8" i="33"/>
  <c r="F8" i="33" s="1"/>
  <c r="E9" i="33"/>
  <c r="F9" i="33" s="1"/>
  <c r="E10" i="33"/>
  <c r="F10" i="33" s="1"/>
  <c r="E11" i="33"/>
  <c r="F11" i="33" s="1"/>
  <c r="E12" i="33"/>
  <c r="F12" i="33" s="1"/>
  <c r="E13" i="33"/>
  <c r="F13" i="33" s="1"/>
  <c r="E14" i="33"/>
  <c r="F14" i="33" s="1"/>
  <c r="E15" i="33"/>
  <c r="F15" i="33" s="1"/>
  <c r="E16" i="33"/>
  <c r="F16" i="33" s="1"/>
  <c r="E17" i="33"/>
  <c r="F17" i="33" s="1"/>
  <c r="E18" i="33"/>
  <c r="F18" i="33" s="1"/>
  <c r="E19" i="33"/>
  <c r="F19" i="33" s="1"/>
  <c r="E20" i="33"/>
  <c r="F20" i="33" s="1"/>
  <c r="H20" i="29" l="1"/>
  <c r="G20" i="29"/>
  <c r="I20" i="29" s="1"/>
  <c r="D20" i="29"/>
  <c r="C20" i="29"/>
  <c r="E20" i="29" s="1"/>
  <c r="F20" i="29" s="1"/>
  <c r="G20" i="30"/>
  <c r="D20" i="30"/>
  <c r="C20" i="30"/>
  <c r="H18" i="1"/>
  <c r="H19" i="1"/>
  <c r="H20" i="1"/>
  <c r="G18" i="1"/>
  <c r="G19" i="1"/>
  <c r="I19" i="1" s="1"/>
  <c r="G20" i="1"/>
  <c r="D20" i="1"/>
  <c r="C20" i="1"/>
  <c r="I18" i="18"/>
  <c r="I19" i="18"/>
  <c r="H18" i="18"/>
  <c r="H19" i="18"/>
  <c r="H20" i="18"/>
  <c r="G18" i="18"/>
  <c r="G19" i="18"/>
  <c r="G20" i="18"/>
  <c r="I20" i="18" s="1"/>
  <c r="E18" i="18"/>
  <c r="F18" i="18" s="1"/>
  <c r="D18" i="18"/>
  <c r="D19" i="18"/>
  <c r="D20" i="18"/>
  <c r="C18" i="18"/>
  <c r="C19" i="18"/>
  <c r="E19" i="18" s="1"/>
  <c r="F19" i="18" s="1"/>
  <c r="C20" i="18"/>
  <c r="E20" i="18" s="1"/>
  <c r="F20" i="18" s="1"/>
  <c r="H18" i="32"/>
  <c r="I18" i="32" s="1"/>
  <c r="H19" i="32"/>
  <c r="I19" i="32" s="1"/>
  <c r="H20" i="32"/>
  <c r="I20" i="32" s="1"/>
  <c r="H16" i="32"/>
  <c r="E18" i="32"/>
  <c r="F18" i="32" s="1"/>
  <c r="E19" i="32"/>
  <c r="F19" i="32" s="1"/>
  <c r="E20" i="32"/>
  <c r="F20" i="32" s="1"/>
  <c r="G6" i="30"/>
  <c r="G7" i="30"/>
  <c r="G8" i="30"/>
  <c r="G9" i="30"/>
  <c r="G10" i="30"/>
  <c r="G11" i="30"/>
  <c r="G12" i="30"/>
  <c r="G13" i="30"/>
  <c r="G14" i="30"/>
  <c r="G15" i="30"/>
  <c r="G16" i="30"/>
  <c r="G17" i="30"/>
  <c r="G18" i="30"/>
  <c r="G19" i="30"/>
  <c r="G5" i="30"/>
  <c r="G4" i="30"/>
  <c r="H18" i="31"/>
  <c r="I18" i="31" s="1"/>
  <c r="H19" i="31"/>
  <c r="I19" i="31" s="1"/>
  <c r="F18" i="31"/>
  <c r="E18" i="31"/>
  <c r="E19" i="31"/>
  <c r="F19" i="31" s="1"/>
  <c r="E5" i="28"/>
  <c r="F5" i="28" s="1"/>
  <c r="E5" i="27"/>
  <c r="D18" i="30"/>
  <c r="D19" i="30"/>
  <c r="C18" i="30"/>
  <c r="C19" i="30"/>
  <c r="D18" i="1"/>
  <c r="D19" i="1"/>
  <c r="C18" i="1"/>
  <c r="C19" i="1"/>
  <c r="H19" i="29"/>
  <c r="I19" i="29" s="1"/>
  <c r="G18" i="29"/>
  <c r="G19" i="29"/>
  <c r="D18" i="29"/>
  <c r="E18" i="29" s="1"/>
  <c r="D19" i="29"/>
  <c r="E19" i="29" s="1"/>
  <c r="F19" i="29" s="1"/>
  <c r="C18" i="29"/>
  <c r="C19" i="29"/>
  <c r="H19" i="28"/>
  <c r="I19" i="28" s="1"/>
  <c r="E19" i="28"/>
  <c r="F19" i="28" s="1"/>
  <c r="H18" i="28"/>
  <c r="E18" i="28"/>
  <c r="F18" i="28" s="1"/>
  <c r="G5" i="29"/>
  <c r="G6" i="29"/>
  <c r="G7" i="29"/>
  <c r="G8" i="29"/>
  <c r="G9" i="29"/>
  <c r="G10" i="29"/>
  <c r="G11" i="29"/>
  <c r="G12" i="29"/>
  <c r="G13" i="29"/>
  <c r="G14" i="29"/>
  <c r="G15" i="29"/>
  <c r="G16" i="29"/>
  <c r="G17" i="29"/>
  <c r="G4" i="29"/>
  <c r="H15" i="26"/>
  <c r="E15" i="26"/>
  <c r="H14" i="26"/>
  <c r="E14" i="26"/>
  <c r="E12" i="19"/>
  <c r="E13" i="19"/>
  <c r="E14" i="19"/>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l="1"/>
  <c r="I20" i="1"/>
  <c r="E18" i="1"/>
  <c r="F18" i="1" s="1"/>
  <c r="G20" i="34"/>
  <c r="D20" i="34"/>
  <c r="F20" i="1"/>
  <c r="F19" i="1"/>
  <c r="D18" i="34"/>
  <c r="H19" i="30"/>
  <c r="H19" i="34" s="1"/>
  <c r="H20" i="30"/>
  <c r="H20" i="34" s="1"/>
  <c r="H18" i="30"/>
  <c r="F18" i="29"/>
  <c r="C18" i="34"/>
  <c r="C20" i="34"/>
  <c r="G19" i="34"/>
  <c r="D19" i="34"/>
  <c r="I19" i="30"/>
  <c r="E19" i="30"/>
  <c r="F19" i="30" s="1"/>
  <c r="C19" i="34"/>
  <c r="I20" i="30"/>
  <c r="E20" i="30"/>
  <c r="F20" i="30" s="1"/>
  <c r="G18" i="34"/>
  <c r="E18" i="30"/>
  <c r="F18" i="30" s="1"/>
  <c r="I18" i="28"/>
  <c r="H18" i="29"/>
  <c r="I18" i="29" s="1"/>
  <c r="E17" i="18"/>
  <c r="F17" i="18" s="1"/>
  <c r="C16" i="30"/>
  <c r="D16" i="30"/>
  <c r="C17" i="30"/>
  <c r="D17" i="30"/>
  <c r="C16" i="29"/>
  <c r="D16" i="29"/>
  <c r="C17" i="29"/>
  <c r="D17" i="29"/>
  <c r="E17" i="29" s="1"/>
  <c r="F17" i="29" s="1"/>
  <c r="C16" i="18"/>
  <c r="D16" i="18"/>
  <c r="C16" i="1"/>
  <c r="D16" i="1"/>
  <c r="G16" i="1"/>
  <c r="G16" i="34" s="1"/>
  <c r="C17" i="1"/>
  <c r="D17" i="1"/>
  <c r="G17" i="1"/>
  <c r="G17" i="34" s="1"/>
  <c r="H17" i="32"/>
  <c r="I17" i="32" s="1"/>
  <c r="E17" i="32"/>
  <c r="F17" i="32" s="1"/>
  <c r="I16" i="32"/>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H17" i="19"/>
  <c r="I17" i="19" s="1"/>
  <c r="E17" i="19"/>
  <c r="F17" i="19" s="1"/>
  <c r="H16" i="19"/>
  <c r="I16" i="19" s="1"/>
  <c r="E16" i="19"/>
  <c r="F16" i="19" s="1"/>
  <c r="H17" i="20"/>
  <c r="I17" i="20" s="1"/>
  <c r="E17" i="20"/>
  <c r="F17" i="20" s="1"/>
  <c r="H16" i="20"/>
  <c r="I16" i="20" s="1"/>
  <c r="E16" i="20"/>
  <c r="F16" i="20" s="1"/>
  <c r="H17" i="21"/>
  <c r="E17" i="21"/>
  <c r="F17" i="21" s="1"/>
  <c r="H16" i="21"/>
  <c r="I16" i="21" s="1"/>
  <c r="E16" i="21"/>
  <c r="F16" i="21" s="1"/>
  <c r="E16" i="3"/>
  <c r="F16" i="3" s="1"/>
  <c r="H16" i="3"/>
  <c r="I16" i="3" s="1"/>
  <c r="E17" i="3"/>
  <c r="F17" i="3" s="1"/>
  <c r="H17" i="3"/>
  <c r="I17" i="3" s="1"/>
  <c r="E16" i="72"/>
  <c r="F16" i="72" s="1"/>
  <c r="H16" i="72"/>
  <c r="E17" i="72"/>
  <c r="F17" i="72" s="1"/>
  <c r="H17" i="72"/>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E13" i="29"/>
  <c r="F13" i="29" s="1"/>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F15" i="26"/>
  <c r="I14" i="26"/>
  <c r="F14" i="26"/>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F15" i="19"/>
  <c r="H14" i="19"/>
  <c r="I14" i="19" s="1"/>
  <c r="F14" i="19"/>
  <c r="H13" i="19"/>
  <c r="I13" i="19" s="1"/>
  <c r="F13" i="19"/>
  <c r="H12" i="19"/>
  <c r="I12" i="19" s="1"/>
  <c r="F12" i="19"/>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E18" i="34" l="1"/>
  <c r="F18" i="34" s="1"/>
  <c r="E20" i="34"/>
  <c r="F20" i="34" s="1"/>
  <c r="I19" i="34"/>
  <c r="I20" i="34"/>
  <c r="C16" i="34"/>
  <c r="E19" i="34"/>
  <c r="F19" i="34" s="1"/>
  <c r="D15" i="34"/>
  <c r="C5" i="34"/>
  <c r="D5" i="34"/>
  <c r="C6" i="34"/>
  <c r="D13" i="34"/>
  <c r="D14" i="34"/>
  <c r="C17" i="34"/>
  <c r="D6" i="34"/>
  <c r="C7" i="34"/>
  <c r="C13" i="34"/>
  <c r="D7" i="34"/>
  <c r="H18" i="34"/>
  <c r="I18" i="34" s="1"/>
  <c r="C14" i="34"/>
  <c r="E15" i="18"/>
  <c r="F15" i="18" s="1"/>
  <c r="C15" i="34"/>
  <c r="D16" i="34"/>
  <c r="E16" i="34" s="1"/>
  <c r="F16" i="34" s="1"/>
  <c r="I18" i="30"/>
  <c r="D17" i="34"/>
  <c r="D11" i="34"/>
  <c r="C11" i="34"/>
  <c r="E11" i="34" s="1"/>
  <c r="F11" i="34" s="1"/>
  <c r="D10" i="34"/>
  <c r="C10" i="34"/>
  <c r="D12" i="34"/>
  <c r="C12" i="34"/>
  <c r="D9" i="34"/>
  <c r="C9" i="34"/>
  <c r="D8" i="34"/>
  <c r="C8" i="34"/>
  <c r="E13" i="30"/>
  <c r="F13" i="30" s="1"/>
  <c r="E11" i="30"/>
  <c r="F11" i="30" s="1"/>
  <c r="E17" i="30"/>
  <c r="F17" i="30" s="1"/>
  <c r="E16" i="30"/>
  <c r="F16" i="30" s="1"/>
  <c r="H13" i="29"/>
  <c r="I13" i="29" s="1"/>
  <c r="H6" i="29"/>
  <c r="I6" i="29" s="1"/>
  <c r="E11" i="29"/>
  <c r="F11" i="29" s="1"/>
  <c r="E7" i="18"/>
  <c r="F7" i="18" s="1"/>
  <c r="E11" i="18"/>
  <c r="F11" i="18" s="1"/>
  <c r="E9" i="18"/>
  <c r="F9" i="18" s="1"/>
  <c r="D4" i="34"/>
  <c r="D2" i="18"/>
  <c r="E15" i="30"/>
  <c r="F15" i="30" s="1"/>
  <c r="H16" i="18"/>
  <c r="I16" i="18" s="1"/>
  <c r="E16" i="29"/>
  <c r="F16" i="29" s="1"/>
  <c r="E16" i="18"/>
  <c r="F16" i="18" s="1"/>
  <c r="E8" i="30"/>
  <c r="F8" i="30" s="1"/>
  <c r="E12" i="30"/>
  <c r="F12" i="30" s="1"/>
  <c r="H16" i="30"/>
  <c r="E10" i="30"/>
  <c r="F10" i="30" s="1"/>
  <c r="E14" i="30"/>
  <c r="F14" i="30" s="1"/>
  <c r="H16" i="1"/>
  <c r="I16" i="1" s="1"/>
  <c r="H6" i="30"/>
  <c r="I13" i="27"/>
  <c r="H17" i="1"/>
  <c r="I17" i="1" s="1"/>
  <c r="H10" i="29"/>
  <c r="I10" i="29" s="1"/>
  <c r="H7" i="29"/>
  <c r="I7" i="29" s="1"/>
  <c r="E4" i="18"/>
  <c r="F4" i="18" s="1"/>
  <c r="E8" i="18"/>
  <c r="F8" i="18" s="1"/>
  <c r="E12" i="18"/>
  <c r="F12" i="18" s="1"/>
  <c r="E8" i="29"/>
  <c r="F8" i="29" s="1"/>
  <c r="E12" i="29"/>
  <c r="F12" i="29" s="1"/>
  <c r="E4" i="30"/>
  <c r="F4" i="30" s="1"/>
  <c r="H17" i="30"/>
  <c r="H15" i="29"/>
  <c r="I15" i="29" s="1"/>
  <c r="H12" i="29"/>
  <c r="I12" i="29" s="1"/>
  <c r="D2" i="29"/>
  <c r="I10" i="27"/>
  <c r="E5" i="18"/>
  <c r="F5" i="18" s="1"/>
  <c r="E13" i="18"/>
  <c r="F13" i="18" s="1"/>
  <c r="E5" i="29"/>
  <c r="F5" i="29" s="1"/>
  <c r="E9" i="29"/>
  <c r="F9" i="29" s="1"/>
  <c r="E5" i="30"/>
  <c r="F5" i="30" s="1"/>
  <c r="I17" i="21"/>
  <c r="H17" i="18"/>
  <c r="I17" i="18" s="1"/>
  <c r="H16" i="29"/>
  <c r="I16" i="29" s="1"/>
  <c r="H9" i="29"/>
  <c r="I9" i="29" s="1"/>
  <c r="E9" i="30"/>
  <c r="F9" i="30" s="1"/>
  <c r="E6" i="18"/>
  <c r="F6" i="18" s="1"/>
  <c r="E10" i="18"/>
  <c r="F10" i="18" s="1"/>
  <c r="E14" i="18"/>
  <c r="F14" i="18" s="1"/>
  <c r="E6" i="29"/>
  <c r="F6" i="29" s="1"/>
  <c r="E10" i="29"/>
  <c r="F10" i="29" s="1"/>
  <c r="E14" i="29"/>
  <c r="F14" i="29" s="1"/>
  <c r="E6" i="30"/>
  <c r="F6" i="30" s="1"/>
  <c r="H17" i="29"/>
  <c r="I17" i="29" s="1"/>
  <c r="D2" i="30"/>
  <c r="E17" i="1"/>
  <c r="F17" i="1" s="1"/>
  <c r="E16" i="1"/>
  <c r="F16" i="1" s="1"/>
  <c r="I17" i="72"/>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E5" i="34"/>
  <c r="F5" i="34"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7" i="30"/>
  <c r="H15" i="30"/>
  <c r="H10" i="30"/>
  <c r="H5" i="30"/>
  <c r="H13" i="30"/>
  <c r="H8" i="30"/>
  <c r="H11" i="30"/>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10" i="34" l="1"/>
  <c r="F10" i="34" s="1"/>
  <c r="E13" i="34"/>
  <c r="F13" i="34" s="1"/>
  <c r="E7" i="34"/>
  <c r="F7" i="34" s="1"/>
  <c r="E15" i="34"/>
  <c r="F15" i="34" s="1"/>
  <c r="E12" i="34"/>
  <c r="F12" i="34" s="1"/>
  <c r="E17" i="34"/>
  <c r="F17" i="34" s="1"/>
  <c r="E14" i="34"/>
  <c r="F14" i="34" s="1"/>
  <c r="E6" i="34"/>
  <c r="F6" i="34" s="1"/>
  <c r="D2" i="34"/>
  <c r="E8" i="34"/>
  <c r="F8" i="34" s="1"/>
  <c r="E9" i="34"/>
  <c r="F9" i="34" s="1"/>
  <c r="I5" i="30"/>
  <c r="H5" i="34"/>
  <c r="I5" i="34" s="1"/>
  <c r="I15" i="30"/>
  <c r="H15" i="34"/>
  <c r="I15" i="34" s="1"/>
  <c r="I14" i="30"/>
  <c r="H14" i="34"/>
  <c r="I14" i="34" s="1"/>
  <c r="I13" i="30"/>
  <c r="H13" i="34"/>
  <c r="I13" i="34" s="1"/>
  <c r="I17" i="30"/>
  <c r="H17" i="34"/>
  <c r="I17" i="34" s="1"/>
  <c r="I16" i="30"/>
  <c r="H16" i="34"/>
  <c r="I16" i="34" s="1"/>
  <c r="I11" i="30"/>
  <c r="H11" i="34"/>
  <c r="I11" i="34" s="1"/>
  <c r="I10" i="30"/>
  <c r="H10" i="34"/>
  <c r="I10" i="34" s="1"/>
  <c r="I9" i="30"/>
  <c r="H9" i="34"/>
  <c r="I9" i="34" s="1"/>
  <c r="I8" i="30"/>
  <c r="H8" i="34"/>
  <c r="I8" i="34" s="1"/>
  <c r="I7" i="30"/>
  <c r="H7" i="34"/>
  <c r="I7" i="34" s="1"/>
  <c r="I12" i="30"/>
  <c r="H12" i="34"/>
  <c r="I12"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<sst xmlns="http://schemas.openxmlformats.org/spreadsheetml/2006/main" count="390" uniqueCount="149">
  <si>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</si>
  <si>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</si>
  <si>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</si>
  <si>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</si>
  <si>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</si>
  <si>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</si>
  <si>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</si>
  <si>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</si>
  <si>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</si>
  <si>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</si>
  <si>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</si>
  <si>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</si>
  <si>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</si>
  <si>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</si>
  <si>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</si>
  <si>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</si>
  <si>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</si>
  <si>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</si>
  <si>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</si>
  <si>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</si>
  <si>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</si>
  <si>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</si>
  <si>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</si>
  <si>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</si>
  <si>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</si>
  <si>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</si>
  <si>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</si>
  <si>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</si>
  <si>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</si>
  <si>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</si>
  <si>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</si>
  <si>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</si>
  <si>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</si>
  <si>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</si>
  <si>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</si>
  <si>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</si>
  <si>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</si>
  <si>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</si>
  <si>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</si>
  <si>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</si>
  <si>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</si>
  <si>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</si>
  <si>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</si>
  <si>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</si>
  <si>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</si>
  <si>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</si>
  <si>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</si>
  <si>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</si>
  <si>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</si>
  <si>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</si>
  <si>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</si>
  <si>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</si>
  <si>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</si>
  <si>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</si>
  <si>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</si>
  <si>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</si>
  <si>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</si>
  <si>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</si>
  <si>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</si>
  <si>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</si>
  <si>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</si>
  <si>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</si>
  <si>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</si>
  <si>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</si>
  <si>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</si>
  <si>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</si>
  <si>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</si>
  <si>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</si>
  <si>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</si>
  <si>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1.Inverters 3.1 to 3.10 experienced tripping events on 02/04, 02/05, 02/07 and 02/10. On 02/11 USNE was onsite and replaced Bay-O-net fuses.</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</si>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</sst>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9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0" fontId="39" fillId="0" borderId="0" xfId="0"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1" totalsRowShown="0">
  <autoFilter ref="A3:E21"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O20" sqref="O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0</v>
      </c>
      <c r="E1" s="97"/>
      <c r="F1" s="97"/>
      <c r="G1" s="95" t="s">
        <v>1</v>
      </c>
      <c r="H1" s="95"/>
      <c r="I1" s="95"/>
    </row>
    <row r="2" spans="1:9" ht="19.5" customHeight="1">
      <c r="A2" s="98" t="s">
        <v>2</v>
      </c>
      <c r="B2" s="98"/>
      <c r="C2" s="5">
        <f>SUM(C4:C92)</f>
        <v>3975273.4145302833</v>
      </c>
      <c r="D2" s="5">
        <f>SUM(D4:D92)</f>
        <v>5494731.2979999986</v>
      </c>
      <c r="E2" s="5">
        <f>C2-D2</f>
        <v>-1519457.8834697152</v>
      </c>
      <c r="F2" s="6">
        <f>IFERROR(E2/D2, 0)</f>
        <v>-0.27652997045056155</v>
      </c>
      <c r="G2" s="5">
        <f>SUM(G4:G92)</f>
        <v>5449869.8670000015</v>
      </c>
      <c r="H2" s="7">
        <f>C2-G2</f>
        <v>-1474596.4524697182</v>
      </c>
      <c r="I2" s="6">
        <f>IFERROR(H2/G2, 0)</f>
        <v>-0.27057461709291081</v>
      </c>
    </row>
    <row r="3" spans="1:9" ht="14.25" customHeight="1">
      <c r="A3" s="17" t="s">
        <v>3</v>
      </c>
      <c r="B3" s="17" t="s">
        <v>4</v>
      </c>
      <c r="C3" s="25" t="s">
        <v>5</v>
      </c>
      <c r="D3" s="26" t="s">
        <v>6</v>
      </c>
      <c r="E3" s="26" t="s">
        <v>7</v>
      </c>
      <c r="F3" s="27" t="s">
        <v>8</v>
      </c>
      <c r="G3" s="28" t="s">
        <v>9</v>
      </c>
      <c r="H3" s="29" t="s">
        <v>7</v>
      </c>
      <c r="I3" s="30" t="s">
        <v>8</v>
      </c>
    </row>
    <row r="4" spans="1:9" ht="15.6">
      <c r="A4" s="32" t="str" cm="1">
        <f t="array" ref="A4:A21">Sites[Site]</f>
        <v>Fresno - 3150 Shaw Ave</v>
      </c>
      <c r="B4" s="33" t="str" cm="1">
        <f t="array" ref="B4:B21">Sites[State]</f>
        <v>CA</v>
      </c>
      <c r="C4" s="34">
        <f>SUM('1st Qtr'!C4, '2nd Qtr'!C4, '3rd Qtr'!C4, '4th Qtr'!C4)</f>
        <v>109259.875</v>
      </c>
      <c r="D4" s="35">
        <f>SUM('1st Qtr'!D4, '2nd Qtr'!D4, '3rd Qtr'!D4, '4th Qtr'!D4)</f>
        <v>103434.20999999999</v>
      </c>
      <c r="E4" s="35">
        <f>IF(AND(ISNUMBER(C4),ISNUMBER(D4)), C4-D4, "")</f>
        <v>5825.6650000000081</v>
      </c>
      <c r="F4" s="36">
        <f>IFERROR(E4/D4, "")</f>
        <v>5.63224198260905E-2</v>
      </c>
      <c r="G4" s="37">
        <f>SUM('1st Qtr'!G4, '2nd Qtr'!G4, '3rd Qtr'!G4, '4th Qtr'!G4)</f>
        <v>107893.36</v>
      </c>
      <c r="H4" s="37">
        <f>SUM('1st Qtr'!H4, '2nd Qtr'!H4, '3rd Qtr'!H4, '4th Qtr'!H4)</f>
        <v>1366.5149999999994</v>
      </c>
      <c r="I4" s="38">
        <f>IFERROR(H4/G4, "")</f>
        <v>1.266542259875862E-2</v>
      </c>
    </row>
    <row r="5" spans="1:9" ht="15.6">
      <c r="A5" s="39" t="str">
        <v>Adelanto - 1 Sheep Creek Road</v>
      </c>
      <c r="B5" s="40" t="str">
        <v>CA</v>
      </c>
      <c r="C5" s="41">
        <f>SUM('1st Qtr'!C5, '2nd Qtr'!C5, '3rd Qtr'!C5, '4th Qtr'!C5)</f>
        <v>974173</v>
      </c>
      <c r="D5" s="41">
        <f>SUM('1st Qtr'!D5, '2nd Qtr'!D5, '3rd Qtr'!D5, '4th Qtr'!D5)</f>
        <v>579159.18999999994</v>
      </c>
      <c r="E5" s="42">
        <f t="shared" ref="E5:E15" si="0">IF(AND(ISNUMBER(C5),ISNUMBER(D5)), C5-D5, "")</f>
        <v>395013.81000000006</v>
      </c>
      <c r="F5" s="43">
        <f>IFERROR(E5/D5, "")</f>
        <v>0.6820470378791712</v>
      </c>
      <c r="G5" s="44">
        <f>SUM('1st Qtr'!G5, '2nd Qtr'!G5, '3rd Qtr'!G5, '4th Qtr'!G5)</f>
        <v>1049581.3599999999</v>
      </c>
      <c r="H5" s="44">
        <f>SUM('1st Qtr'!H5, '2nd Qtr'!H5, '3rd Qtr'!H5, '4th Qtr'!H5)</f>
        <v>-75408.359999999986</v>
      </c>
      <c r="I5" s="43">
        <f>IFERROR(H5/G5, "")</f>
        <v>-7.1846131108883257E-2</v>
      </c>
    </row>
    <row r="6" spans="1:9" ht="15.6">
      <c r="A6" s="32" t="str">
        <v>Blackstone - 83 Federal Street</v>
      </c>
      <c r="B6" s="33" t="str">
        <v>MA</v>
      </c>
      <c r="C6" s="34">
        <f>SUM('1st Qtr'!C6, '2nd Qtr'!C6, '3rd Qtr'!C6, '4th Qtr'!C6)</f>
        <v>566016.9</v>
      </c>
      <c r="D6" s="35">
        <f>SUM('1st Qtr'!D6, '2nd Qtr'!D6, '3rd Qtr'!D6, '4th Qtr'!D6)</f>
        <v>1027247.8</v>
      </c>
      <c r="E6" s="35">
        <f t="shared" si="0"/>
        <v>-461230.9</v>
      </c>
      <c r="F6" s="36">
        <f t="shared" ref="F6:F15" si="1">IFERROR(E6/D6, "")</f>
        <v>-0.44899672698252552</v>
      </c>
      <c r="G6" s="37">
        <f>SUM('1st Qtr'!G6, '2nd Qtr'!G6, '3rd Qtr'!G6, '4th Qtr'!G6)</f>
        <v>875636.89999999991</v>
      </c>
      <c r="H6" s="37">
        <f>SUM('1st Qtr'!H6, '2nd Qtr'!H6, '3rd Qtr'!H6, '4th Qtr'!H6)</f>
        <v>-309619.99999999994</v>
      </c>
      <c r="I6" s="38">
        <f t="shared" ref="I6:I15" si="2">IFERROR(H6/G6, "")</f>
        <v>-0.3535940525119487</v>
      </c>
    </row>
    <row r="7" spans="1:9" ht="15.6">
      <c r="A7" s="39" t="str">
        <v>Charlton - 299 Worcester Road</v>
      </c>
      <c r="B7" s="40" t="str">
        <v>MA</v>
      </c>
      <c r="C7" s="41">
        <f>SUM('1st Qtr'!C7, '2nd Qtr'!C7, '3rd Qtr'!C7, '4th Qtr'!C7)</f>
        <v>50839.5</v>
      </c>
      <c r="D7" s="41">
        <f>SUM('1st Qtr'!D7, '2nd Qtr'!D7, '3rd Qtr'!D7, '4th Qtr'!D7)</f>
        <v>75805.440000000002</v>
      </c>
      <c r="E7" s="42">
        <f t="shared" si="0"/>
        <v>-24965.940000000002</v>
      </c>
      <c r="F7" s="43">
        <f t="shared" si="1"/>
        <v>-0.32934232688313664</v>
      </c>
      <c r="G7" s="44">
        <f>SUM('1st Qtr'!G7, '2nd Qtr'!G7, '3rd Qtr'!G7, '4th Qtr'!G7)</f>
        <v>63014.22</v>
      </c>
      <c r="H7" s="44">
        <f>SUM('1st Qtr'!H7, '2nd Qtr'!H7, '3rd Qtr'!H7, '4th Qtr'!H7)</f>
        <v>-12174.720000000001</v>
      </c>
      <c r="I7" s="43">
        <f t="shared" si="2"/>
        <v>-0.19320591447454244</v>
      </c>
    </row>
    <row r="8" spans="1:9" ht="15.6">
      <c r="A8" s="32" t="str">
        <v>Wareham - 8 Thatcher Drive</v>
      </c>
      <c r="B8" s="33" t="str">
        <v>MA</v>
      </c>
      <c r="C8" s="34">
        <f>SUM('1st Qtr'!C8, '2nd Qtr'!C8, '3rd Qtr'!C8, '4th Qtr'!C8)</f>
        <v>16705.125</v>
      </c>
      <c r="D8" s="35">
        <f>SUM('1st Qtr'!D8, '2nd Qtr'!D8, '3rd Qtr'!D8, '4th Qtr'!D8)</f>
        <v>20015.498</v>
      </c>
      <c r="E8" s="35">
        <f t="shared" si="0"/>
        <v>-3310.3729999999996</v>
      </c>
      <c r="F8" s="36">
        <f t="shared" si="1"/>
        <v>-0.16539048891014352</v>
      </c>
      <c r="G8" s="37">
        <f>SUM('1st Qtr'!G8, '2nd Qtr'!G8, '3rd Qtr'!G8, '4th Qtr'!G8)</f>
        <v>20008.300000000003</v>
      </c>
      <c r="H8" s="37">
        <f>SUM('1st Qtr'!H8, '2nd Qtr'!H8, '3rd Qtr'!H8, '4th Qtr'!H8)</f>
        <v>-3303.1750000000011</v>
      </c>
      <c r="I8" s="38">
        <f t="shared" si="2"/>
        <v>-0.16509023755141619</v>
      </c>
    </row>
    <row r="9" spans="1:9" ht="15.6">
      <c r="A9" s="39" t="str">
        <v>West Yarmouth - 42 Mid Tech</v>
      </c>
      <c r="B9" s="40" t="str">
        <v>MA</v>
      </c>
      <c r="C9" s="41">
        <f>SUM('1st Qtr'!C9, '2nd Qtr'!C9, '3rd Qtr'!C9, '4th Qtr'!C9)</f>
        <v>12448.527030283469</v>
      </c>
      <c r="D9" s="41">
        <f>SUM('1st Qtr'!D9, '2nd Qtr'!D9, '3rd Qtr'!D9, '4th Qtr'!D9)</f>
        <v>15916.009999999998</v>
      </c>
      <c r="E9" s="42">
        <f t="shared" si="0"/>
        <v>-3467.4829697165296</v>
      </c>
      <c r="F9" s="43">
        <f t="shared" si="1"/>
        <v>-0.21786132138120862</v>
      </c>
      <c r="G9" s="44">
        <f>SUM('1st Qtr'!G9, '2nd Qtr'!G9, '3rd Qtr'!G9, '4th Qtr'!G9)</f>
        <v>16149.666999999999</v>
      </c>
      <c r="H9" s="44">
        <f>SUM('1st Qtr'!H9, '2nd Qtr'!H9, '3rd Qtr'!H9, '4th Qtr'!H9)</f>
        <v>-3701.1399697165298</v>
      </c>
      <c r="I9" s="43">
        <f t="shared" si="2"/>
        <v>-0.2291774789979589</v>
      </c>
    </row>
    <row r="10" spans="1:9" ht="15.6">
      <c r="A10" s="32" t="str">
        <v>Harrison - 130 Union Street</v>
      </c>
      <c r="B10" s="33" t="str">
        <v>NY</v>
      </c>
      <c r="C10" s="34">
        <f>SUM('1st Qtr'!C10, '2nd Qtr'!C10, '3rd Qtr'!C10, '4th Qtr'!C10)</f>
        <v>22272.5</v>
      </c>
      <c r="D10" s="35">
        <f>SUM('1st Qtr'!D10, '2nd Qtr'!D10, '3rd Qtr'!D10, '4th Qtr'!D10)</f>
        <v>30621</v>
      </c>
      <c r="E10" s="35">
        <f t="shared" si="0"/>
        <v>-8348.5</v>
      </c>
      <c r="F10" s="36">
        <f t="shared" si="1"/>
        <v>-0.27263969171483621</v>
      </c>
      <c r="G10" s="37">
        <f>SUM('1st Qtr'!G10, '2nd Qtr'!G10, '3rd Qtr'!G10, '4th Qtr'!G10)</f>
        <v>24906.77</v>
      </c>
      <c r="H10" s="37">
        <f>SUM('1st Qtr'!H10, '2nd Qtr'!H10, '3rd Qtr'!H10, '4th Qtr'!H10)</f>
        <v>-2634.2700000000004</v>
      </c>
      <c r="I10" s="38">
        <f t="shared" si="2"/>
        <v>-0.10576521965714544</v>
      </c>
    </row>
    <row r="11" spans="1:9" ht="15.6">
      <c r="A11" s="39" t="str">
        <v>Staten Island - Ellis Storage</v>
      </c>
      <c r="B11" s="40" t="str">
        <v>NY</v>
      </c>
      <c r="C11" s="41">
        <f>SUM('1st Qtr'!C11, '2nd Qtr'!C11, '3rd Qtr'!C11, '4th Qtr'!C11)</f>
        <v>53692.5</v>
      </c>
      <c r="D11" s="41">
        <f>SUM('1st Qtr'!D11, '2nd Qtr'!D11, '3rd Qtr'!D11, '4th Qtr'!D11)</f>
        <v>60195.360000000001</v>
      </c>
      <c r="E11" s="42">
        <f t="shared" si="0"/>
        <v>-6502.8600000000006</v>
      </c>
      <c r="F11" s="43">
        <f t="shared" si="1"/>
        <v>-0.1080292567400544</v>
      </c>
      <c r="G11" s="44">
        <f>SUM('1st Qtr'!G11, '2nd Qtr'!G11, '3rd Qtr'!G11, '4th Qtr'!G11)</f>
        <v>53489.97</v>
      </c>
      <c r="H11" s="44">
        <f>SUM('1st Qtr'!H11, '2nd Qtr'!H11, '3rd Qtr'!H11, '4th Qtr'!H11)</f>
        <v>202.52999999999884</v>
      </c>
      <c r="I11" s="43">
        <f t="shared" si="2"/>
        <v>3.7863173226681344E-3</v>
      </c>
    </row>
    <row r="12" spans="1:9" ht="15.6">
      <c r="A12" s="32" t="str">
        <v>Amherst - 595 Scholles Road</v>
      </c>
      <c r="B12" s="33" t="str">
        <v>NY</v>
      </c>
      <c r="C12" s="34">
        <f>SUM('1st Qtr'!C12, '2nd Qtr'!C12, '3rd Qtr'!C12, '4th Qtr'!C12)</f>
        <v>408928</v>
      </c>
      <c r="D12" s="35">
        <f>SUM('1st Qtr'!D12, '2nd Qtr'!D12, '3rd Qtr'!D12, '4th Qtr'!D12)</f>
        <v>769479.3</v>
      </c>
      <c r="E12" s="35">
        <f t="shared" si="0"/>
        <v>-360551.30000000005</v>
      </c>
      <c r="F12" s="36">
        <f t="shared" si="1"/>
        <v>-0.46856530123682344</v>
      </c>
      <c r="G12" s="37">
        <f>SUM('1st Qtr'!G12, '2nd Qtr'!G12, '3rd Qtr'!G12, '4th Qtr'!G12)</f>
        <v>680401.7</v>
      </c>
      <c r="H12" s="37">
        <f>SUM('1st Qtr'!H12, '2nd Qtr'!H12, '3rd Qtr'!H12, '4th Qtr'!H12)</f>
        <v>-271473.69999999995</v>
      </c>
      <c r="I12" s="38">
        <f t="shared" si="2"/>
        <v>-0.39899033174079368</v>
      </c>
    </row>
    <row r="13" spans="1:9" ht="15.6">
      <c r="A13" s="39" t="str">
        <v>Lancaster 1 - Gunnville Road</v>
      </c>
      <c r="B13" s="40" t="str">
        <v>NY</v>
      </c>
      <c r="C13" s="41">
        <f>SUM('1st Qtr'!C13, '2nd Qtr'!C13, '3rd Qtr'!C13, '4th Qtr'!C13)</f>
        <v>395458</v>
      </c>
      <c r="D13" s="41">
        <f>SUM('1st Qtr'!D13, '2nd Qtr'!D13, '3rd Qtr'!D13, '4th Qtr'!D13)</f>
        <v>651590.5</v>
      </c>
      <c r="E13" s="42">
        <f t="shared" si="0"/>
        <v>-256132.5</v>
      </c>
      <c r="F13" s="43">
        <f t="shared" si="1"/>
        <v>-0.39308814355028199</v>
      </c>
      <c r="G13" s="44">
        <f>SUM('1st Qtr'!G13, '2nd Qtr'!G13, '3rd Qtr'!G13, '4th Qtr'!G13)</f>
        <v>571545.4</v>
      </c>
      <c r="H13" s="44">
        <f>SUM('1st Qtr'!H13, '2nd Qtr'!H13, '3rd Qtr'!H13, '4th Qtr'!H13)</f>
        <v>-176087.40000000002</v>
      </c>
      <c r="I13" s="43">
        <f t="shared" si="2"/>
        <v>-0.30808996100747205</v>
      </c>
    </row>
    <row r="14" spans="1:9" ht="15.6">
      <c r="A14" s="32" t="str">
        <v>Lancaster 2 - Shisler Road</v>
      </c>
      <c r="B14" s="33" t="str">
        <v>NY</v>
      </c>
      <c r="C14" s="34">
        <f>SUM('1st Qtr'!C14, '2nd Qtr'!C14, '3rd Qtr'!C14, '4th Qtr'!C14)</f>
        <v>370575</v>
      </c>
      <c r="D14" s="35">
        <f>SUM('1st Qtr'!D14, '2nd Qtr'!D14, '3rd Qtr'!D14, '4th Qtr'!D14)</f>
        <v>755308.5</v>
      </c>
      <c r="E14" s="35">
        <f t="shared" si="0"/>
        <v>-384733.5</v>
      </c>
      <c r="F14" s="36">
        <f t="shared" si="1"/>
        <v>-0.50937266031032358</v>
      </c>
      <c r="G14" s="37">
        <f>SUM('1st Qtr'!G14, '2nd Qtr'!G14, '3rd Qtr'!G14, '4th Qtr'!G14)</f>
        <v>615571.19999999995</v>
      </c>
      <c r="H14" s="37">
        <f>SUM('1st Qtr'!H14, '2nd Qtr'!H14, '3rd Qtr'!H14, '4th Qtr'!H14)</f>
        <v>-244996.2</v>
      </c>
      <c r="I14" s="38">
        <f t="shared" si="2"/>
        <v>-0.39799815196032567</v>
      </c>
    </row>
    <row r="15" spans="1:9" ht="15.6">
      <c r="A15" s="39" t="str">
        <v>Fullerton - 200 W Orangethorpe</v>
      </c>
      <c r="B15" s="40" t="str">
        <v>CA</v>
      </c>
      <c r="C15" s="41">
        <f>SUM('1st Qtr'!C15, '2nd Qtr'!C15, '3rd Qtr'!C15, '4th Qtr'!C15)</f>
        <v>137255.5</v>
      </c>
      <c r="D15" s="41">
        <f>SUM('1st Qtr'!D15, '2nd Qtr'!D15, '3rd Qtr'!D15, '4th Qtr'!D15)</f>
        <v>148782.06</v>
      </c>
      <c r="E15" s="42">
        <f t="shared" si="0"/>
        <v>-11526.559999999998</v>
      </c>
      <c r="F15" s="43">
        <f t="shared" si="1"/>
        <v>-7.7472781328609089E-2</v>
      </c>
      <c r="G15" s="44">
        <f>SUM('1st Qtr'!G15, '2nd Qtr'!G15, '3rd Qtr'!G15, '4th Qtr'!G15)</f>
        <v>156114.44</v>
      </c>
      <c r="H15" s="44">
        <f>SUM('1st Qtr'!H15, '2nd Qtr'!H15, '3rd Qtr'!H15, '4th Qtr'!H15)</f>
        <v>-18858.940000000002</v>
      </c>
      <c r="I15" s="43">
        <f t="shared" si="2"/>
        <v>-0.12080202190136929</v>
      </c>
    </row>
    <row r="16" spans="1:9" ht="15.6">
      <c r="A16" s="32" t="str">
        <v>El Paso - 10500 Railroad Drive</v>
      </c>
      <c r="B16" s="33" t="str">
        <v>TX</v>
      </c>
      <c r="C16" s="34">
        <f>SUM('1st Qtr'!C16, '2nd Qtr'!C16, '3rd Qtr'!C16, '4th Qtr'!C16)</f>
        <v>199348</v>
      </c>
      <c r="D16" s="35">
        <f>SUM('1st Qtr'!D16, '2nd Qtr'!D16, '3rd Qtr'!D16, '4th Qtr'!D16)</f>
        <v>191510.3</v>
      </c>
      <c r="E16" s="35">
        <f t="shared" ref="E16:E21" si="3">IF(AND(ISNUMBER(C16),ISNUMBER(D16)), C16-D16, "")</f>
        <v>7837.7000000000116</v>
      </c>
      <c r="F16" s="36">
        <f t="shared" ref="F16:F20" si="4">IFERROR(E16/D16, "")</f>
        <v>4.0925736109232828E-2</v>
      </c>
      <c r="G16" s="37">
        <f>SUM('1st Qtr'!G16, '2nd Qtr'!G16, '3rd Qtr'!G16, '4th Qtr'!G16)</f>
        <v>196920</v>
      </c>
      <c r="H16" s="37">
        <f>SUM('1st Qtr'!H16, '2nd Qtr'!H16, '3rd Qtr'!H16, '4th Qtr'!H16)</f>
        <v>2428</v>
      </c>
      <c r="I16" s="38">
        <f t="shared" ref="I16:I20" si="5">IFERROR(H16/G16, "")</f>
        <v>1.2329880154377412E-2</v>
      </c>
    </row>
    <row r="17" spans="1:9" ht="15.6">
      <c r="A17" s="39" t="str">
        <v>Friona - 900 Millard Ave</v>
      </c>
      <c r="B17" s="40" t="str">
        <v>TX</v>
      </c>
      <c r="C17" s="41">
        <f>SUM('1st Qtr'!C17, '2nd Qtr'!C17, '3rd Qtr'!C17, '4th Qtr'!C17)</f>
        <v>151673.2500000002</v>
      </c>
      <c r="D17" s="41">
        <f>SUM('1st Qtr'!D17, '2nd Qtr'!D17, '3rd Qtr'!D17, '4th Qtr'!D17)</f>
        <v>141097.81</v>
      </c>
      <c r="E17" s="42">
        <f t="shared" si="3"/>
        <v>10575.440000000206</v>
      </c>
      <c r="F17" s="43">
        <f t="shared" si="4"/>
        <v>7.4951127873637488E-2</v>
      </c>
      <c r="G17" s="44">
        <f>SUM('1st Qtr'!G17, '2nd Qtr'!G17, '3rd Qtr'!G17, '4th Qtr'!G17)</f>
        <v>151708.4</v>
      </c>
      <c r="H17" s="44">
        <f>SUM('1st Qtr'!H17, '2nd Qtr'!H17, '3rd Qtr'!H17, '4th Qtr'!H17)</f>
        <v>-35.149999999790452</v>
      </c>
      <c r="I17" s="43">
        <f t="shared" si="5"/>
        <v>-2.3169448758137622E-4</v>
      </c>
    </row>
    <row r="18" spans="1:9" ht="15.6">
      <c r="A18" s="32" t="str">
        <v>Augusta - 13 York Farm Road</v>
      </c>
      <c r="B18" s="33" t="str">
        <v>ME</v>
      </c>
      <c r="C18" s="34">
        <f>SUM('1st Qtr'!C18, '2nd Qtr'!C18, '3rd Qtr'!C18, '4th Qtr'!C18)</f>
        <v>112776.375</v>
      </c>
      <c r="D18" s="35">
        <f>SUM('1st Qtr'!D18, '2nd Qtr'!D18, '3rd Qtr'!D18, '4th Qtr'!D18)</f>
        <v>281447.09999999998</v>
      </c>
      <c r="E18" s="35">
        <f t="shared" si="3"/>
        <v>-168670.72499999998</v>
      </c>
      <c r="F18" s="36">
        <f t="shared" si="4"/>
        <v>-0.59929814519318192</v>
      </c>
      <c r="G18" s="37">
        <f>SUM('1st Qtr'!G18, '2nd Qtr'!G18, '3rd Qtr'!G18, '4th Qtr'!G18)</f>
        <v>207865.9</v>
      </c>
      <c r="H18" s="37">
        <f>SUM('1st Qtr'!H18, '2nd Qtr'!H18, '3rd Qtr'!H18, '4th Qtr'!H18)</f>
        <v>-95089.524999999994</v>
      </c>
      <c r="I18" s="38">
        <f t="shared" si="5"/>
        <v>-0.45745610511392198</v>
      </c>
    </row>
    <row r="19" spans="1:9" ht="15.6">
      <c r="A19" s="39" t="str">
        <v xml:space="preserve">Santa Ana - 1441 West </v>
      </c>
      <c r="B19" s="40" t="str">
        <v>CA</v>
      </c>
      <c r="C19" s="41">
        <f>SUM('1st Qtr'!C19, '2nd Qtr'!C19, '3rd Qtr'!C19, '4th Qtr'!C19)</f>
        <v>83748.1875</v>
      </c>
      <c r="D19" s="41">
        <f>SUM('1st Qtr'!D19, '2nd Qtr'!D19, '3rd Qtr'!D19, '4th Qtr'!D19)</f>
        <v>86301.72</v>
      </c>
      <c r="E19" s="42">
        <f t="shared" si="3"/>
        <v>-2553.5325000000012</v>
      </c>
      <c r="F19" s="43">
        <f t="shared" si="4"/>
        <v>-2.9588431145984126E-2</v>
      </c>
      <c r="G19" s="44">
        <f>SUM('1st Qtr'!G19, '2nd Qtr'!G19, '3rd Qtr'!G19, '4th Qtr'!G19)</f>
        <v>100472.48000000001</v>
      </c>
      <c r="H19" s="44">
        <f>SUM('1st Qtr'!H19, '2nd Qtr'!H19, '3rd Qtr'!H19, '4th Qtr'!H19)</f>
        <v>-16724.292500000003</v>
      </c>
      <c r="I19" s="43">
        <f t="shared" si="5"/>
        <v>-0.1664564515576803</v>
      </c>
    </row>
    <row r="20" spans="1:9" ht="15.6">
      <c r="A20" s="32" t="str">
        <v>Jessup -7950 Oceano Ave</v>
      </c>
      <c r="B20" s="33" t="str">
        <v>MD</v>
      </c>
      <c r="C20" s="34">
        <f>SUM('1st Qtr'!C20, '2nd Qtr'!C20, '3rd Qtr'!C20, '4th Qtr'!C20)</f>
        <v>228010.875</v>
      </c>
      <c r="D20" s="35">
        <f>SUM('1st Qtr'!D20, '2nd Qtr'!D20, '3rd Qtr'!D20, '4th Qtr'!D20)</f>
        <v>283435.3</v>
      </c>
      <c r="E20" s="35">
        <f t="shared" si="3"/>
        <v>-55424.424999999988</v>
      </c>
      <c r="F20" s="36">
        <f t="shared" si="4"/>
        <v>-0.19554524436441048</v>
      </c>
      <c r="G20" s="37">
        <f>SUM('1st Qtr'!G20, '2nd Qtr'!G20, '3rd Qtr'!G20, '4th Qtr'!G20)</f>
        <v>265271.40000000002</v>
      </c>
      <c r="H20" s="37">
        <f>SUM('1st Qtr'!H20, '2nd Qtr'!H20, '3rd Qtr'!H20, '4th Qtr'!H20)</f>
        <v>-37260.525000000009</v>
      </c>
      <c r="I20" s="38">
        <f t="shared" si="5"/>
        <v>-0.14046190052904312</v>
      </c>
    </row>
    <row r="21" spans="1:9" ht="15.6">
      <c r="A21" s="39" t="str">
        <v xml:space="preserve">TX: Fort Worth - 5200 Gold Spike Dr </v>
      </c>
      <c r="B21" s="40" t="str">
        <v>TX</v>
      </c>
      <c r="C21" s="41">
        <f>SUM('1st Qtr'!C21, '2nd Qtr'!C21, '3rd Qtr'!C21, '4th Qtr'!C21)</f>
        <v>82092.3</v>
      </c>
      <c r="D21" s="41">
        <f>SUM('1st Qtr'!D21, '2nd Qtr'!D21, '3rd Qtr'!D21, '4th Qtr'!D21)</f>
        <v>273384.2</v>
      </c>
      <c r="E21" s="42">
        <f t="shared" si="3"/>
        <v>-191291.90000000002</v>
      </c>
      <c r="F21" s="43">
        <f>IFERROR(E21/D21, "")</f>
        <v>-0.69971819878398245</v>
      </c>
      <c r="G21" s="44">
        <f>SUM('1st Qtr'!G21, '2nd Qtr'!G21, '3rd Qtr'!G21, '4th Qtr'!G21)</f>
        <v>293318.40000000002</v>
      </c>
      <c r="H21" s="44">
        <f>SUM('1st Qtr'!H21, '2nd Qtr'!H21, '3rd Qtr'!H21, '4th Qtr'!H21)</f>
        <v>-211226.10000000003</v>
      </c>
      <c r="I21" s="43">
        <f>IFERROR(H21/G21, "")</f>
        <v>-0.72012563821430919</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6" activePane="bottomRight" state="frozen"/>
      <selection pane="bottomRight" activeCell="I27" sqref="I26:I2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10</v>
      </c>
      <c r="E1" s="97"/>
      <c r="F1" s="97"/>
      <c r="G1" s="95" t="s">
        <v>11</v>
      </c>
      <c r="H1" s="95"/>
      <c r="I1" s="95"/>
    </row>
    <row r="2" spans="1:9" ht="19.5" customHeight="1">
      <c r="A2" s="98" t="s">
        <v>2</v>
      </c>
      <c r="B2" s="98"/>
      <c r="C2" s="5">
        <f>SUM(C4:C92)</f>
        <v>3975273.4145302833</v>
      </c>
      <c r="D2" s="5">
        <f>SUM(D4:D92)</f>
        <v>5494731.2979999986</v>
      </c>
      <c r="E2" s="5">
        <f>C2-D2</f>
        <v>-1519457.8834697152</v>
      </c>
      <c r="F2" s="6">
        <f>IFERROR(E2/D2, 0)</f>
        <v>-0.27652997045056155</v>
      </c>
      <c r="G2" s="5">
        <f>SUM(G4:G92)</f>
        <v>5449869.8670000015</v>
      </c>
      <c r="H2" s="7">
        <f>C2-G2</f>
        <v>-1474596.4524697182</v>
      </c>
      <c r="I2" s="6">
        <f>IFERROR(H2/G2, 0)</f>
        <v>-0.27057461709291081</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SUM(Jan!C4, Feb!C4, Mar!C4)</f>
        <v>109259.875</v>
      </c>
      <c r="D4" s="35">
        <f>SUM(Jan!D4, Feb!D4, Mar!D4)</f>
        <v>103434.20999999999</v>
      </c>
      <c r="E4" s="35">
        <f>IF(AND(ISNUMBER(C4),ISNUMBER(D4)), C4-D4, "")</f>
        <v>5825.6650000000081</v>
      </c>
      <c r="F4" s="36">
        <f>IFERROR(E4/D4, "")</f>
        <v>5.63224198260905E-2</v>
      </c>
      <c r="G4" s="37">
        <f>SUM(Jan!G4, Feb!G4, Mar!G4)</f>
        <v>107893.36</v>
      </c>
      <c r="H4" s="37">
        <f>SUM(Jan!H4, Feb!H4, Mar!H4)</f>
        <v>1366.5149999999994</v>
      </c>
      <c r="I4" s="38">
        <f>IFERROR(H4/G4, "")</f>
        <v>1.266542259875862E-2</v>
      </c>
    </row>
    <row r="5" spans="1:9" ht="15.6">
      <c r="A5" s="54" t="str">
        <v>Adelanto - 1 Sheep Creek Road</v>
      </c>
      <c r="B5" s="40" t="str">
        <v>CA</v>
      </c>
      <c r="C5" s="41">
        <f>SUM(Jan!C5, Feb!C5, Mar!C5)</f>
        <v>974173</v>
      </c>
      <c r="D5" s="42">
        <f>SUM(Jan!D5, Feb!D5, Mar!D5)</f>
        <v>579159.18999999994</v>
      </c>
      <c r="E5" s="42">
        <f t="shared" ref="E5:E15" si="0">IF(AND(ISNUMBER(C5),ISNUMBER(D5)), C5-D5, "")</f>
        <v>395013.81000000006</v>
      </c>
      <c r="F5" s="43">
        <f>IFERROR(E5/D5, "")</f>
        <v>0.6820470378791712</v>
      </c>
      <c r="G5" s="44">
        <f>SUM(Jan!G5, Feb!G5, Mar!G5)</f>
        <v>1049581.3599999999</v>
      </c>
      <c r="H5" s="44">
        <f>SUM(Jan!H5, Feb!H5, Mar!H5)</f>
        <v>-75408.359999999986</v>
      </c>
      <c r="I5" s="43">
        <f>IFERROR(H5/G5, "")</f>
        <v>-7.1846131108883257E-2</v>
      </c>
    </row>
    <row r="6" spans="1:9" ht="15.6">
      <c r="A6" s="53" t="str">
        <v>Blackstone - 83 Federal Street</v>
      </c>
      <c r="B6" s="33" t="str">
        <v>MA</v>
      </c>
      <c r="C6" s="34">
        <f>SUM(Jan!C6, Feb!C6, Mar!C6)</f>
        <v>566016.9</v>
      </c>
      <c r="D6" s="35">
        <f>SUM(Jan!D6, Feb!D6, Mar!D6)</f>
        <v>1027247.8</v>
      </c>
      <c r="E6" s="35">
        <f t="shared" si="0"/>
        <v>-461230.9</v>
      </c>
      <c r="F6" s="36">
        <f t="shared" ref="F6:F15" si="1">IFERROR(E6/D6, "")</f>
        <v>-0.44899672698252552</v>
      </c>
      <c r="G6" s="37">
        <f>SUM(Jan!G6, Feb!G6, Mar!G6)</f>
        <v>875636.89999999991</v>
      </c>
      <c r="H6" s="37">
        <f>SUM(Jan!H6, Feb!H6, Mar!H6)</f>
        <v>-309619.99999999994</v>
      </c>
      <c r="I6" s="38">
        <f t="shared" ref="I6:I15" si="2">IFERROR(H6/G6, "")</f>
        <v>-0.3535940525119487</v>
      </c>
    </row>
    <row r="7" spans="1:9" ht="15.6">
      <c r="A7" s="54" t="str">
        <v>Charlton - 299 Worcester Road</v>
      </c>
      <c r="B7" s="40" t="str">
        <v>MA</v>
      </c>
      <c r="C7" s="41">
        <f>SUM(Jan!C7, Feb!C7, Mar!C7)</f>
        <v>50839.5</v>
      </c>
      <c r="D7" s="42">
        <f>SUM(Jan!D7, Feb!D7, Mar!D7)</f>
        <v>75805.440000000002</v>
      </c>
      <c r="E7" s="42">
        <f t="shared" si="0"/>
        <v>-24965.940000000002</v>
      </c>
      <c r="F7" s="43">
        <f t="shared" si="1"/>
        <v>-0.32934232688313664</v>
      </c>
      <c r="G7" s="44">
        <f>SUM(Jan!G7, Feb!G7, Mar!G7)</f>
        <v>63014.22</v>
      </c>
      <c r="H7" s="44">
        <f>SUM(Jan!H7, Feb!H7, Mar!H7)</f>
        <v>-12174.720000000001</v>
      </c>
      <c r="I7" s="43">
        <f t="shared" si="2"/>
        <v>-0.19320591447454244</v>
      </c>
    </row>
    <row r="8" spans="1:9" ht="15.6">
      <c r="A8" s="53" t="str">
        <v>Wareham - 8 Thatcher Drive</v>
      </c>
      <c r="B8" s="33" t="str">
        <v>MA</v>
      </c>
      <c r="C8" s="34">
        <f>SUM(Jan!C8, Feb!C8, Mar!C8)</f>
        <v>16705.125</v>
      </c>
      <c r="D8" s="35">
        <f>SUM(Jan!D8, Feb!D8, Mar!D8)</f>
        <v>20015.498</v>
      </c>
      <c r="E8" s="35">
        <f t="shared" si="0"/>
        <v>-3310.3729999999996</v>
      </c>
      <c r="F8" s="36">
        <f t="shared" si="1"/>
        <v>-0.16539048891014352</v>
      </c>
      <c r="G8" s="37">
        <f>SUM(Jan!G8, Feb!G8, Mar!G8)</f>
        <v>20008.300000000003</v>
      </c>
      <c r="H8" s="37">
        <f>SUM(Jan!H8, Feb!H8, Mar!H8)</f>
        <v>-3303.1750000000011</v>
      </c>
      <c r="I8" s="38">
        <f t="shared" si="2"/>
        <v>-0.16509023755141619</v>
      </c>
    </row>
    <row r="9" spans="1:9" ht="15.6">
      <c r="A9" s="54" t="str">
        <v>West Yarmouth - 42 Mid Tech</v>
      </c>
      <c r="B9" s="40" t="str">
        <v>MA</v>
      </c>
      <c r="C9" s="41">
        <f>SUM(Jan!C9, Feb!C9, Mar!C9)</f>
        <v>12448.527030283469</v>
      </c>
      <c r="D9" s="42">
        <f>SUM(Jan!D9, Feb!D9, Mar!D9)</f>
        <v>15916.009999999998</v>
      </c>
      <c r="E9" s="42">
        <f t="shared" si="0"/>
        <v>-3467.4829697165296</v>
      </c>
      <c r="F9" s="43">
        <f t="shared" si="1"/>
        <v>-0.21786132138120862</v>
      </c>
      <c r="G9" s="44">
        <f>SUM(Jan!G9, Feb!G9, Mar!G9)</f>
        <v>16149.666999999999</v>
      </c>
      <c r="H9" s="44">
        <f>SUM(Jan!H9, Feb!H9, Mar!H9)</f>
        <v>-3701.1399697165298</v>
      </c>
      <c r="I9" s="43">
        <f t="shared" si="2"/>
        <v>-0.2291774789979589</v>
      </c>
    </row>
    <row r="10" spans="1:9" ht="15.6">
      <c r="A10" s="53" t="str">
        <v>Harrison - 130 Union Street</v>
      </c>
      <c r="B10" s="33" t="str">
        <v>NY</v>
      </c>
      <c r="C10" s="34">
        <f>SUM(Jan!C10, Feb!C10, Mar!C10)</f>
        <v>22272.5</v>
      </c>
      <c r="D10" s="35">
        <f>SUM(Jan!D10, Feb!D10, Mar!D10)</f>
        <v>30621</v>
      </c>
      <c r="E10" s="35">
        <f t="shared" si="0"/>
        <v>-8348.5</v>
      </c>
      <c r="F10" s="36">
        <f t="shared" si="1"/>
        <v>-0.27263969171483621</v>
      </c>
      <c r="G10" s="37">
        <f>SUM(Jan!G10, Feb!G10, Mar!G10)</f>
        <v>24906.77</v>
      </c>
      <c r="H10" s="37">
        <f>SUM(Jan!H10, Feb!H10, Mar!H10)</f>
        <v>-2634.2700000000004</v>
      </c>
      <c r="I10" s="38">
        <f t="shared" si="2"/>
        <v>-0.10576521965714544</v>
      </c>
    </row>
    <row r="11" spans="1:9" ht="15.6">
      <c r="A11" s="54" t="str">
        <v>Staten Island - Ellis Storage</v>
      </c>
      <c r="B11" s="40" t="str">
        <v>NY</v>
      </c>
      <c r="C11" s="41">
        <f>SUM(Jan!C11, Feb!C11, Mar!C11)</f>
        <v>53692.5</v>
      </c>
      <c r="D11" s="42">
        <f>SUM(Jan!D11, Feb!D11, Mar!D11)</f>
        <v>60195.360000000001</v>
      </c>
      <c r="E11" s="42">
        <f t="shared" si="0"/>
        <v>-6502.8600000000006</v>
      </c>
      <c r="F11" s="43">
        <f t="shared" si="1"/>
        <v>-0.1080292567400544</v>
      </c>
      <c r="G11" s="44">
        <f>SUM(Jan!G11, Feb!G11, Mar!G11)</f>
        <v>53489.97</v>
      </c>
      <c r="H11" s="44">
        <f>SUM(Jan!H11, Feb!H11, Mar!H11)</f>
        <v>202.52999999999884</v>
      </c>
      <c r="I11" s="43">
        <f t="shared" si="2"/>
        <v>3.7863173226681344E-3</v>
      </c>
    </row>
    <row r="12" spans="1:9" ht="15.6">
      <c r="A12" s="53" t="str">
        <v>Amherst - 595 Scholles Road</v>
      </c>
      <c r="B12" s="33" t="str">
        <v>NY</v>
      </c>
      <c r="C12" s="34">
        <f>SUM(Jan!C12, Feb!C12, Mar!C12)</f>
        <v>408928</v>
      </c>
      <c r="D12" s="35">
        <f>SUM(Jan!D12, Feb!D12, Mar!D12)</f>
        <v>769479.3</v>
      </c>
      <c r="E12" s="35">
        <f t="shared" si="0"/>
        <v>-360551.30000000005</v>
      </c>
      <c r="F12" s="36">
        <f t="shared" si="1"/>
        <v>-0.46856530123682344</v>
      </c>
      <c r="G12" s="37">
        <f>SUM(Jan!G12, Feb!G12, Mar!G12)</f>
        <v>680401.7</v>
      </c>
      <c r="H12" s="37">
        <f>SUM(Jan!H12, Feb!H12, Mar!H12)</f>
        <v>-271473.69999999995</v>
      </c>
      <c r="I12" s="38">
        <f t="shared" si="2"/>
        <v>-0.39899033174079368</v>
      </c>
    </row>
    <row r="13" spans="1:9" ht="15.6">
      <c r="A13" s="54" t="str">
        <v>Lancaster 1 - Gunnville Road</v>
      </c>
      <c r="B13" s="40" t="str">
        <v>NY</v>
      </c>
      <c r="C13" s="41">
        <f>SUM(Jan!C13, Feb!C13, Mar!C13)</f>
        <v>395458</v>
      </c>
      <c r="D13" s="42">
        <f>SUM(Jan!D13, Feb!D13, Mar!D13)</f>
        <v>651590.5</v>
      </c>
      <c r="E13" s="42">
        <f t="shared" si="0"/>
        <v>-256132.5</v>
      </c>
      <c r="F13" s="43">
        <f t="shared" si="1"/>
        <v>-0.39308814355028199</v>
      </c>
      <c r="G13" s="44">
        <f>SUM(Jan!G13, Feb!G13, Mar!G13)</f>
        <v>571545.4</v>
      </c>
      <c r="H13" s="44">
        <f>SUM(Jan!H13, Feb!H13, Mar!H13)</f>
        <v>-176087.40000000002</v>
      </c>
      <c r="I13" s="43">
        <f t="shared" si="2"/>
        <v>-0.30808996100747205</v>
      </c>
    </row>
    <row r="14" spans="1:9" ht="15.6">
      <c r="A14" s="53" t="str">
        <v>Lancaster 2 - Shisler Road</v>
      </c>
      <c r="B14" s="33" t="str">
        <v>NY</v>
      </c>
      <c r="C14" s="34">
        <f>SUM(Jan!C14, Feb!C14, Mar!C14)</f>
        <v>370575</v>
      </c>
      <c r="D14" s="35">
        <f>SUM(Jan!D14, Feb!D14, Mar!D14)</f>
        <v>755308.5</v>
      </c>
      <c r="E14" s="35">
        <f t="shared" si="0"/>
        <v>-384733.5</v>
      </c>
      <c r="F14" s="36">
        <f t="shared" si="1"/>
        <v>-0.50937266031032358</v>
      </c>
      <c r="G14" s="37">
        <f>SUM(Jan!G14, Feb!G14, Mar!G14)</f>
        <v>615571.19999999995</v>
      </c>
      <c r="H14" s="37">
        <f>SUM(Jan!H14, Feb!H14, Mar!H14)</f>
        <v>-244996.2</v>
      </c>
      <c r="I14" s="38">
        <f t="shared" si="2"/>
        <v>-0.39799815196032567</v>
      </c>
    </row>
    <row r="15" spans="1:9" ht="15.6">
      <c r="A15" s="54" t="str">
        <v>Fullerton - 200 W Orangethorpe</v>
      </c>
      <c r="B15" s="40" t="str">
        <v>CA</v>
      </c>
      <c r="C15" s="41">
        <f>SUM(Jan!C15, Feb!C15, Mar!C15)</f>
        <v>137255.5</v>
      </c>
      <c r="D15" s="42">
        <f>SUM(Jan!D15, Feb!D15, Mar!D15)</f>
        <v>148782.06</v>
      </c>
      <c r="E15" s="42">
        <f t="shared" si="0"/>
        <v>-11526.559999999998</v>
      </c>
      <c r="F15" s="43">
        <f t="shared" si="1"/>
        <v>-7.7472781328609089E-2</v>
      </c>
      <c r="G15" s="44">
        <f>SUM(Jan!G15, Feb!G15, Mar!G15)</f>
        <v>156114.44</v>
      </c>
      <c r="H15" s="44">
        <f>SUM(Jan!H15, Feb!H15, Mar!H15)</f>
        <v>-18858.940000000002</v>
      </c>
      <c r="I15" s="43">
        <f t="shared" si="2"/>
        <v>-0.12080202190136929</v>
      </c>
    </row>
    <row r="16" spans="1:9" ht="15.6">
      <c r="A16" s="53" t="str">
        <v>El Paso - 10500 Railroad Drive</v>
      </c>
      <c r="B16" s="33" t="str">
        <v>TX</v>
      </c>
      <c r="C16" s="34">
        <f>SUM(Jan!C16, Feb!C16, Mar!C16)</f>
        <v>199348</v>
      </c>
      <c r="D16" s="35">
        <f>SUM(Jan!D16, Feb!D16, Mar!D16)</f>
        <v>191510.3</v>
      </c>
      <c r="E16" s="35">
        <f t="shared" ref="E16:E17" si="3">IF(AND(ISNUMBER(C16),ISNUMBER(D16)), C16-D16, "")</f>
        <v>7837.7000000000116</v>
      </c>
      <c r="F16" s="36">
        <f t="shared" ref="F16:F21" si="4">IFERROR(E16/D16, "")</f>
        <v>4.0925736109232828E-2</v>
      </c>
      <c r="G16" s="37">
        <f>SUM(Jan!G16, Feb!G16, Mar!G16)</f>
        <v>196920</v>
      </c>
      <c r="H16" s="37">
        <f>SUM(Jan!H16, Feb!H16, Mar!H16)</f>
        <v>2428</v>
      </c>
      <c r="I16" s="38">
        <f t="shared" ref="I16:I21" si="5">IFERROR(H16/G16, "")</f>
        <v>1.2329880154377412E-2</v>
      </c>
    </row>
    <row r="17" spans="1:9" ht="15.6">
      <c r="A17" s="54" t="str">
        <v>Friona - 900 Millard Ave</v>
      </c>
      <c r="B17" s="40" t="str">
        <v>TX</v>
      </c>
      <c r="C17" s="41">
        <f>SUM(Jan!C17, Feb!C17, Mar!C17)</f>
        <v>151673.2500000002</v>
      </c>
      <c r="D17" s="42">
        <f>SUM(Jan!D17, Feb!D17, Mar!D17)</f>
        <v>141097.81</v>
      </c>
      <c r="E17" s="42">
        <f t="shared" si="3"/>
        <v>10575.440000000206</v>
      </c>
      <c r="F17" s="43">
        <f t="shared" si="4"/>
        <v>7.4951127873637488E-2</v>
      </c>
      <c r="G17" s="44">
        <f>SUM(Jan!G17, Feb!G17, Mar!G17)</f>
        <v>151708.4</v>
      </c>
      <c r="H17" s="44">
        <f>SUM(Jan!H17, Feb!H17, Mar!H17)</f>
        <v>-35.149999999790452</v>
      </c>
      <c r="I17" s="43">
        <f t="shared" si="5"/>
        <v>-2.3169448758137622E-4</v>
      </c>
    </row>
    <row r="18" spans="1:9" ht="15.6">
      <c r="A18" s="53" t="str">
        <v>Augusta - 13 York Farm Road</v>
      </c>
      <c r="B18" s="33" t="str">
        <v>ME</v>
      </c>
      <c r="C18" s="34">
        <f>SUM(Jan!C18, Feb!C18, Mar!C18)</f>
        <v>112776.375</v>
      </c>
      <c r="D18" s="35">
        <f>SUM(Jan!D18, Feb!D18, Mar!D18)</f>
        <v>281447.09999999998</v>
      </c>
      <c r="E18" s="35">
        <f>IF(AND(ISNUMBER(C18),ISNUMBER(D18)), C18-D18, "")</f>
        <v>-168670.72499999998</v>
      </c>
      <c r="F18" s="36">
        <f t="shared" si="4"/>
        <v>-0.59929814519318192</v>
      </c>
      <c r="G18" s="37">
        <f>SUM(Jan!G18, Feb!G18, Mar!G18)</f>
        <v>207865.9</v>
      </c>
      <c r="H18" s="37">
        <f>SUM(Jan!H18, Feb!H18, Mar!H18)</f>
        <v>-95089.524999999994</v>
      </c>
      <c r="I18" s="38">
        <f t="shared" si="5"/>
        <v>-0.45745610511392198</v>
      </c>
    </row>
    <row r="19" spans="1:9" ht="15.6">
      <c r="A19" s="54" t="str">
        <v xml:space="preserve">Santa Ana - 1441 West </v>
      </c>
      <c r="B19" s="40" t="str">
        <v>CA</v>
      </c>
      <c r="C19" s="41">
        <f>SUM(Jan!C19, Feb!C19, Mar!C19)</f>
        <v>83748.1875</v>
      </c>
      <c r="D19" s="42">
        <f>SUM(Jan!D19, Feb!D19, Mar!D19)</f>
        <v>86301.72</v>
      </c>
      <c r="E19" s="42">
        <f>SUM(Jan!E19, Feb!E19, Mar!E19)</f>
        <v>-2553.5325000000012</v>
      </c>
      <c r="F19" s="43">
        <f t="shared" si="4"/>
        <v>-2.9588431145984126E-2</v>
      </c>
      <c r="G19" s="44">
        <f>SUM(Jan!G19, Feb!G19, Mar!G19)</f>
        <v>100472.48000000001</v>
      </c>
      <c r="H19" s="44">
        <f>SUM(Jan!H19, Feb!H19, Mar!H19)</f>
        <v>-16724.292500000003</v>
      </c>
      <c r="I19" s="43">
        <f t="shared" si="5"/>
        <v>-0.1664564515576803</v>
      </c>
    </row>
    <row r="20" spans="1:9" ht="15.6">
      <c r="A20" s="53" t="str">
        <v>Jessup -7950 Oceano Ave</v>
      </c>
      <c r="B20" s="33" t="str">
        <v>MD</v>
      </c>
      <c r="C20" s="34">
        <f>SUM(Jan!C20, Feb!C20, Mar!C20)</f>
        <v>228010.875</v>
      </c>
      <c r="D20" s="35">
        <f>SUM(Jan!D20, Feb!D20, Mar!D20)</f>
        <v>283435.3</v>
      </c>
      <c r="E20" s="35">
        <f>SUM(Jan!E20, Feb!E20, Mar!E20)</f>
        <v>-55424.424999999988</v>
      </c>
      <c r="F20" s="36">
        <f t="shared" si="4"/>
        <v>-0.19554524436441048</v>
      </c>
      <c r="G20" s="37">
        <f>SUM(Jan!G20, Feb!G20, Mar!G20)</f>
        <v>265271.40000000002</v>
      </c>
      <c r="H20" s="37">
        <f>SUM(Jan!H20, Feb!H20, Mar!H20)</f>
        <v>-37260.525000000009</v>
      </c>
      <c r="I20" s="38">
        <f t="shared" si="5"/>
        <v>-0.14046190052904312</v>
      </c>
    </row>
    <row r="21" spans="1:9" ht="15.6">
      <c r="A21" s="54" t="str">
        <v xml:space="preserve">TX: Fort Worth - 5200 Gold Spike Dr </v>
      </c>
      <c r="B21" s="40" t="str">
        <v>TX</v>
      </c>
      <c r="C21" s="41">
        <f>SUM(Jan!C21, Feb!C21, Mar!C21)</f>
        <v>82092.3</v>
      </c>
      <c r="D21" s="42">
        <f>SUM(Jan!D21, Feb!D21, Mar!D21)</f>
        <v>273384.2</v>
      </c>
      <c r="E21" s="42">
        <f>SUM(Jan!E21, Feb!E21, Mar!E21)</f>
        <v>-191291.90000000002</v>
      </c>
      <c r="F21" s="43">
        <f t="shared" si="4"/>
        <v>-0.69971819878398245</v>
      </c>
      <c r="G21" s="44">
        <f>SUM(Jan!G21, Feb!G21, Mar!G21)</f>
        <v>293318.40000000002</v>
      </c>
      <c r="H21" s="44">
        <f>SUM(Jan!H21, Feb!H21, Mar!H21)</f>
        <v>-211226.10000000003</v>
      </c>
      <c r="I21" s="43">
        <f t="shared" si="5"/>
        <v>-0.72012563821430919</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8" activePane="bottomRight" state="frozen"/>
      <selection pane="bottomRight" activeCell="D27" sqref="D2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12</v>
      </c>
      <c r="E1" s="97"/>
      <c r="F1" s="97"/>
      <c r="G1" s="95" t="s">
        <v>13</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SUM(Apr!C4, May!C4, Jun!C4)</f>
        <v>0</v>
      </c>
      <c r="D4" s="35">
        <f>SUM(Apr!D4, May!D4, Jun!D4)</f>
        <v>0</v>
      </c>
      <c r="E4" s="35">
        <f>IF(AND(ISNUMBER(C4),ISNUMBER(D4)), C4-D4, "")</f>
        <v>0</v>
      </c>
      <c r="F4" s="36" t="str">
        <f>IFERROR(E4/D4, "")</f>
        <v/>
      </c>
      <c r="G4" s="37">
        <f>SUM(Apr!G4+May!G4+Jun!G4)</f>
        <v>0</v>
      </c>
      <c r="H4" s="37">
        <f>SUM(Apr!H4, May!H4, Jun!H4)</f>
        <v>0</v>
      </c>
      <c r="I4" s="38" t="str">
        <f>IFERROR(H4/G4, "")</f>
        <v/>
      </c>
    </row>
    <row r="5" spans="1:9" ht="15.6">
      <c r="A5" s="54" t="str">
        <v>Adelanto - 1 Sheep Creek Road</v>
      </c>
      <c r="B5" s="40" t="str">
        <v>CA</v>
      </c>
      <c r="C5" s="41">
        <f>SUM(Apr!C5, May!C5, Jun!C5)</f>
        <v>0</v>
      </c>
      <c r="D5" s="42">
        <f>SUM(Apr!D5, May!D5, Jun!D5)</f>
        <v>0</v>
      </c>
      <c r="E5" s="42">
        <f t="shared" ref="E5:E15" si="0">IF(AND(ISNUMBER(C5),ISNUMBER(D5)), C5-D5, "")</f>
        <v>0</v>
      </c>
      <c r="F5" s="43" t="str">
        <f>IFERROR(E5/D5, "")</f>
        <v/>
      </c>
      <c r="G5" s="44">
        <f>SUM(Apr!G5+May!G5+Jun!G5)</f>
        <v>0</v>
      </c>
      <c r="H5" s="44">
        <f>SUM(Apr!H5, May!H5, Jun!H5)</f>
        <v>0</v>
      </c>
      <c r="I5" s="43" t="str">
        <f>IFERROR(H5/G5, "")</f>
        <v/>
      </c>
    </row>
    <row r="6" spans="1:9" ht="15.6">
      <c r="A6" s="53" t="str">
        <v>Blackstone - 83 Federal Street</v>
      </c>
      <c r="B6" s="33" t="str">
        <v>MA</v>
      </c>
      <c r="C6" s="34">
        <f>SUM(Apr!C6, May!C6, Jun!C6)</f>
        <v>0</v>
      </c>
      <c r="D6" s="35">
        <f>SUM(Apr!D6, May!D6, Jun!D6)</f>
        <v>0</v>
      </c>
      <c r="E6" s="35">
        <f t="shared" si="0"/>
        <v>0</v>
      </c>
      <c r="F6" s="36" t="str">
        <f t="shared" ref="F6:F15" si="1">IFERROR(E6/D6, "")</f>
        <v/>
      </c>
      <c r="G6" s="37">
        <f>SUM(Apr!G6+May!G6+Jun!G6)</f>
        <v>0</v>
      </c>
      <c r="H6" s="37">
        <f>SUM(Apr!H6, May!H6, Jun!H6)</f>
        <v>0</v>
      </c>
      <c r="I6" s="38" t="str">
        <f t="shared" ref="I6:I15" si="2">IFERROR(H6/G6, "")</f>
        <v/>
      </c>
    </row>
    <row r="7" spans="1:9" ht="15.6">
      <c r="A7" s="54" t="str">
        <v>Charlton - 299 Worcester Road</v>
      </c>
      <c r="B7" s="40" t="str">
        <v>MA</v>
      </c>
      <c r="C7" s="41">
        <f>SUM(Apr!C7, May!C7, Jun!C7)</f>
        <v>0</v>
      </c>
      <c r="D7" s="42">
        <f>SUM(Apr!D7, May!D7, Jun!D7)</f>
        <v>0</v>
      </c>
      <c r="E7" s="42">
        <f t="shared" si="0"/>
        <v>0</v>
      </c>
      <c r="F7" s="43" t="str">
        <f t="shared" si="1"/>
        <v/>
      </c>
      <c r="G7" s="44">
        <f>SUM(Apr!G7+May!G7+Jun!G7)</f>
        <v>0</v>
      </c>
      <c r="H7" s="44">
        <f>SUM(Apr!H7, May!H7, Jun!H7)</f>
        <v>0</v>
      </c>
      <c r="I7" s="43" t="str">
        <f t="shared" si="2"/>
        <v/>
      </c>
    </row>
    <row r="8" spans="1:9" ht="15.6">
      <c r="A8" s="53" t="str">
        <v>Wareham - 8 Thatcher Drive</v>
      </c>
      <c r="B8" s="33" t="str">
        <v>MA</v>
      </c>
      <c r="C8" s="34">
        <f>SUM(Apr!C8, May!C8, Jun!C8)</f>
        <v>0</v>
      </c>
      <c r="D8" s="35">
        <f>SUM(Apr!D8, May!D8, Jun!D8)</f>
        <v>0</v>
      </c>
      <c r="E8" s="35">
        <f t="shared" si="0"/>
        <v>0</v>
      </c>
      <c r="F8" s="36" t="str">
        <f t="shared" si="1"/>
        <v/>
      </c>
      <c r="G8" s="37">
        <f>SUM(Apr!G8+May!G8+Jun!G8)</f>
        <v>0</v>
      </c>
      <c r="H8" s="37">
        <f>SUM(Apr!H8, May!H8, Jun!H8)</f>
        <v>0</v>
      </c>
      <c r="I8" s="38" t="str">
        <f t="shared" si="2"/>
        <v/>
      </c>
    </row>
    <row r="9" spans="1:9" ht="15.6">
      <c r="A9" s="54" t="str">
        <v>West Yarmouth - 42 Mid Tech</v>
      </c>
      <c r="B9" s="40" t="str">
        <v>MA</v>
      </c>
      <c r="C9" s="41">
        <f>SUM(Apr!C9, May!C9, Jun!C9)</f>
        <v>0</v>
      </c>
      <c r="D9" s="42">
        <f>SUM(Apr!D9, May!D9, Jun!D9)</f>
        <v>0</v>
      </c>
      <c r="E9" s="42">
        <f t="shared" si="0"/>
        <v>0</v>
      </c>
      <c r="F9" s="43" t="str">
        <f t="shared" si="1"/>
        <v/>
      </c>
      <c r="G9" s="44">
        <f>SUM(Apr!G9+May!G9+Jun!G9)</f>
        <v>0</v>
      </c>
      <c r="H9" s="44">
        <f>SUM(Apr!H9, May!H9, Jun!H9)</f>
        <v>0</v>
      </c>
      <c r="I9" s="43" t="str">
        <f t="shared" si="2"/>
        <v/>
      </c>
    </row>
    <row r="10" spans="1:9" ht="15.6">
      <c r="A10" s="53" t="str">
        <v>Harrison - 130 Union Street</v>
      </c>
      <c r="B10" s="33" t="str">
        <v>NY</v>
      </c>
      <c r="C10" s="34">
        <f>SUM(Apr!C10, May!C10, Jun!C10)</f>
        <v>0</v>
      </c>
      <c r="D10" s="35">
        <f>SUM(Apr!D10, May!D10, Jun!D10)</f>
        <v>0</v>
      </c>
      <c r="E10" s="35">
        <f t="shared" si="0"/>
        <v>0</v>
      </c>
      <c r="F10" s="36" t="str">
        <f t="shared" si="1"/>
        <v/>
      </c>
      <c r="G10" s="37">
        <f>SUM(Apr!G10+May!G10+Jun!G10)</f>
        <v>0</v>
      </c>
      <c r="H10" s="37">
        <f>SUM(Apr!H10, May!H10, Jun!H10)</f>
        <v>0</v>
      </c>
      <c r="I10" s="38" t="str">
        <f t="shared" si="2"/>
        <v/>
      </c>
    </row>
    <row r="11" spans="1:9" ht="15.6">
      <c r="A11" s="54" t="str">
        <v>Staten Island - Ellis Storage</v>
      </c>
      <c r="B11" s="40" t="str">
        <v>NY</v>
      </c>
      <c r="C11" s="41">
        <f>SUM(Apr!C11, May!C11, Jun!C11)</f>
        <v>0</v>
      </c>
      <c r="D11" s="42">
        <f>SUM(Apr!D11, May!D11, Jun!D11)</f>
        <v>0</v>
      </c>
      <c r="E11" s="42">
        <f t="shared" si="0"/>
        <v>0</v>
      </c>
      <c r="F11" s="43" t="str">
        <f t="shared" si="1"/>
        <v/>
      </c>
      <c r="G11" s="44">
        <f>SUM(Apr!G11+May!G11+Jun!G11)</f>
        <v>0</v>
      </c>
      <c r="H11" s="44">
        <f>SUM(Apr!H11, May!H11, Jun!H11)</f>
        <v>0</v>
      </c>
      <c r="I11" s="43" t="str">
        <f t="shared" si="2"/>
        <v/>
      </c>
    </row>
    <row r="12" spans="1:9" ht="15.6">
      <c r="A12" s="53" t="str">
        <v>Amherst - 595 Scholles Road</v>
      </c>
      <c r="B12" s="33" t="str">
        <v>NY</v>
      </c>
      <c r="C12" s="34">
        <f>SUM(Apr!C12, May!C12, Jun!C12)</f>
        <v>0</v>
      </c>
      <c r="D12" s="35">
        <f>SUM(Apr!D12, May!D12, Jun!D12)</f>
        <v>0</v>
      </c>
      <c r="E12" s="35">
        <f t="shared" si="0"/>
        <v>0</v>
      </c>
      <c r="F12" s="36" t="str">
        <f t="shared" si="1"/>
        <v/>
      </c>
      <c r="G12" s="37">
        <f>SUM(Apr!G12+May!G12+Jun!G12)</f>
        <v>0</v>
      </c>
      <c r="H12" s="37">
        <f>SUM(Apr!H12, May!H12, Jun!H12)</f>
        <v>0</v>
      </c>
      <c r="I12" s="38" t="str">
        <f t="shared" si="2"/>
        <v/>
      </c>
    </row>
    <row r="13" spans="1:9" ht="15.6">
      <c r="A13" s="54" t="str">
        <v>Lancaster 1 - Gunnville Road</v>
      </c>
      <c r="B13" s="40" t="str">
        <v>NY</v>
      </c>
      <c r="C13" s="41">
        <f>SUM(Apr!C13, May!C13, Jun!C13)</f>
        <v>0</v>
      </c>
      <c r="D13" s="42">
        <f>SUM(Apr!D13, May!D13, Jun!D13)</f>
        <v>0</v>
      </c>
      <c r="E13" s="42">
        <f t="shared" si="0"/>
        <v>0</v>
      </c>
      <c r="F13" s="43" t="str">
        <f t="shared" si="1"/>
        <v/>
      </c>
      <c r="G13" s="44">
        <f>SUM(Apr!G13+May!G13+Jun!G13)</f>
        <v>0</v>
      </c>
      <c r="H13" s="44">
        <f>SUM(Apr!H13, May!H13, Jun!H13)</f>
        <v>0</v>
      </c>
      <c r="I13" s="43" t="str">
        <f t="shared" si="2"/>
        <v/>
      </c>
    </row>
    <row r="14" spans="1:9" ht="15.6">
      <c r="A14" s="53" t="str">
        <v>Lancaster 2 - Shisler Road</v>
      </c>
      <c r="B14" s="33" t="str">
        <v>NY</v>
      </c>
      <c r="C14" s="34">
        <f>SUM(Apr!C14, May!C14, Jun!C14)</f>
        <v>0</v>
      </c>
      <c r="D14" s="35">
        <f>SUM(Apr!D14, May!D14, Jun!D14)</f>
        <v>0</v>
      </c>
      <c r="E14" s="35">
        <f t="shared" si="0"/>
        <v>0</v>
      </c>
      <c r="F14" s="36" t="str">
        <f t="shared" si="1"/>
        <v/>
      </c>
      <c r="G14" s="37">
        <f>SUM(Apr!G14+May!G14+Jun!G14)</f>
        <v>0</v>
      </c>
      <c r="H14" s="37">
        <f>SUM(Apr!H14, May!H14, Jun!H14)</f>
        <v>0</v>
      </c>
      <c r="I14" s="38" t="str">
        <f t="shared" si="2"/>
        <v/>
      </c>
    </row>
    <row r="15" spans="1:9" ht="15.6">
      <c r="A15" s="54" t="str">
        <v>Fullerton - 200 W Orangethorpe</v>
      </c>
      <c r="B15" s="40" t="str">
        <v>CA</v>
      </c>
      <c r="C15" s="41">
        <f>SUM(Apr!C15, May!C15, Jun!C15)</f>
        <v>0</v>
      </c>
      <c r="D15" s="42">
        <f>SUM(Apr!D15, May!D15, Jun!D15)</f>
        <v>0</v>
      </c>
      <c r="E15" s="42">
        <f t="shared" si="0"/>
        <v>0</v>
      </c>
      <c r="F15" s="43" t="str">
        <f t="shared" si="1"/>
        <v/>
      </c>
      <c r="G15" s="44">
        <f>SUM(Apr!G15+May!G15+Jun!G15)</f>
        <v>0</v>
      </c>
      <c r="H15" s="44">
        <f>SUM(Apr!H15, May!H15, Jun!H15)</f>
        <v>0</v>
      </c>
      <c r="I15" s="43" t="str">
        <f t="shared" si="2"/>
        <v/>
      </c>
    </row>
    <row r="16" spans="1:9" ht="15.6">
      <c r="A16" s="53" t="str">
        <v>El Paso - 10500 Railroad Drive</v>
      </c>
      <c r="B16" s="33" t="str">
        <v>TX</v>
      </c>
      <c r="C16" s="34">
        <f>SUM(Apr!C16, May!C16, Jun!C16)</f>
        <v>0</v>
      </c>
      <c r="D16" s="35">
        <f>SUM(Apr!D16, May!D16, Jun!D16)</f>
        <v>0</v>
      </c>
      <c r="E16" s="35">
        <f t="shared" ref="E16:E20" si="3">IF(AND(ISNUMBER(C16),ISNUMBER(D16)), C16-D16, "")</f>
        <v>0</v>
      </c>
      <c r="F16" s="36" t="str">
        <f t="shared" ref="F16:F20" si="4">IFERROR(E16/D16, "")</f>
        <v/>
      </c>
      <c r="G16" s="37">
        <f>SUM(Apr!G16+May!G16+Jun!G16)</f>
        <v>0</v>
      </c>
      <c r="H16" s="37">
        <f>SUM(Apr!H16, May!H16, Jun!H16)</f>
        <v>0</v>
      </c>
      <c r="I16" s="38" t="str">
        <f>IFERROR(H16/G16, "")</f>
        <v/>
      </c>
    </row>
    <row r="17" spans="1:9" ht="15.6">
      <c r="A17" s="54" t="str">
        <v>Friona - 900 Millard Ave</v>
      </c>
      <c r="B17" s="40" t="str">
        <v>TX</v>
      </c>
      <c r="C17" s="41">
        <f>SUM(Apr!C17, May!C17, Jun!C17)</f>
        <v>0</v>
      </c>
      <c r="D17" s="42">
        <f>SUM(Apr!D17, May!D17, Jun!D17)</f>
        <v>0</v>
      </c>
      <c r="E17" s="42">
        <f t="shared" si="3"/>
        <v>0</v>
      </c>
      <c r="F17" s="63" t="str">
        <f t="shared" si="4"/>
        <v/>
      </c>
      <c r="G17" s="44">
        <f>SUM(Apr!G17+May!G17+Jun!G17)</f>
        <v>0</v>
      </c>
      <c r="H17" s="44">
        <f>SUM(Apr!H17, May!H17, Jun!H17)</f>
        <v>0</v>
      </c>
      <c r="I17" s="64" t="str">
        <f t="shared" ref="I17:I20" si="5">IFERROR(H17/G17, "")</f>
        <v/>
      </c>
    </row>
    <row r="18" spans="1:9" ht="15.6">
      <c r="A18" s="53" t="str">
        <v>Augusta - 13 York Farm Road</v>
      </c>
      <c r="B18" s="33" t="str">
        <v>ME</v>
      </c>
      <c r="C18" s="34">
        <f>SUM(Apr!C18, May!C18, Jun!C18)</f>
        <v>0</v>
      </c>
      <c r="D18" s="35">
        <f>SUM(Apr!D18, May!D18, Jun!D18)</f>
        <v>0</v>
      </c>
      <c r="E18" s="35">
        <f t="shared" si="3"/>
        <v>0</v>
      </c>
      <c r="F18" s="36" t="str">
        <f t="shared" si="4"/>
        <v/>
      </c>
      <c r="G18" s="37">
        <f>SUM(Apr!G18+May!G18+Jun!G18)</f>
        <v>0</v>
      </c>
      <c r="H18" s="37">
        <f>SUM(Apr!H18, May!H18, Jun!H18)</f>
        <v>0</v>
      </c>
      <c r="I18" s="38" t="str">
        <f t="shared" si="5"/>
        <v/>
      </c>
    </row>
    <row r="19" spans="1:9" ht="15.6">
      <c r="A19" s="54" t="str">
        <v xml:space="preserve">Santa Ana - 1441 West </v>
      </c>
      <c r="B19" s="40" t="str">
        <v>CA</v>
      </c>
      <c r="C19" s="41">
        <f>SUM(Apr!C19, May!C19, Jun!C19)</f>
        <v>0</v>
      </c>
      <c r="D19" s="42">
        <f>SUM(Apr!D19, May!D19, Jun!D19)</f>
        <v>0</v>
      </c>
      <c r="E19" s="42">
        <f t="shared" si="3"/>
        <v>0</v>
      </c>
      <c r="F19" s="63" t="str">
        <f t="shared" si="4"/>
        <v/>
      </c>
      <c r="G19" s="44">
        <f>SUM(Apr!G19+May!G19+Jun!G19)</f>
        <v>0</v>
      </c>
      <c r="H19" s="44">
        <f>SUM(Apr!H19, May!H19, Jun!H19)</f>
        <v>0</v>
      </c>
      <c r="I19" s="64" t="str">
        <f t="shared" si="5"/>
        <v/>
      </c>
    </row>
    <row r="20" spans="1:9" ht="15.6">
      <c r="A20" s="53" t="str">
        <v>Jessup -7950 Oceano Ave</v>
      </c>
      <c r="B20" s="33" t="str">
        <v>MD</v>
      </c>
      <c r="C20" s="34">
        <f>SUM(Apr!C20, May!C20, Jun!C20)</f>
        <v>0</v>
      </c>
      <c r="D20" s="35">
        <f>SUM(Apr!D20, May!D20, Jun!D20)</f>
        <v>0</v>
      </c>
      <c r="E20" s="35">
        <f t="shared" si="3"/>
        <v>0</v>
      </c>
      <c r="F20" s="36" t="str">
        <f t="shared" si="4"/>
        <v/>
      </c>
      <c r="G20" s="37">
        <f>SUM(Apr!G20+May!G20+Jun!G20)</f>
        <v>0</v>
      </c>
      <c r="H20" s="37">
        <f>SUM(Apr!H20, May!H20, Jun!H20)</f>
        <v>0</v>
      </c>
      <c r="I20" s="38" t="str">
        <f t="shared" si="5"/>
        <v/>
      </c>
    </row>
    <row r="21" spans="1:9" ht="15.6">
      <c r="A21" s="54" t="str">
        <v xml:space="preserve">TX: Fort Worth - 5200 Gold Spike Dr </v>
      </c>
      <c r="B21" s="40" t="str">
        <v>TX</v>
      </c>
      <c r="C21" s="41"/>
      <c r="D21" s="42"/>
      <c r="E21" s="42"/>
      <c r="F21" s="63"/>
      <c r="G21" s="44"/>
      <c r="H21" s="44"/>
      <c r="I21" s="64"/>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16 I4:I16 F18 I18 F20 I20 F22:F92 I22: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6" activePane="bottomRight" state="frozen"/>
      <selection pane="bottomRight" activeCell="D24" sqref="D2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14</v>
      </c>
      <c r="E1" s="97"/>
      <c r="F1" s="97"/>
      <c r="G1" s="95" t="s">
        <v>15</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SUM(Jul!C4, Aug!C4, Sep!C4)</f>
        <v>0</v>
      </c>
      <c r="D4" s="35">
        <f>SUM(Jul!D4, Aug!D4, Sep!D4)</f>
        <v>0</v>
      </c>
      <c r="E4" s="35">
        <f>IF(AND(ISNUMBER(C4),ISNUMBER(D4)), C4-D4, "")</f>
        <v>0</v>
      </c>
      <c r="F4" s="36" t="str">
        <f>IFERROR(E4/D4, "")</f>
        <v/>
      </c>
      <c r="G4" s="37">
        <f>SUM(Jul!G4,Aug!G4,Sep!G4)</f>
        <v>0</v>
      </c>
      <c r="H4" s="37">
        <f>SUM(Jul!H4, Aug!H4, Sep!H4)</f>
        <v>0</v>
      </c>
      <c r="I4" s="38" t="str">
        <f>IFERROR(H4/G4, "")</f>
        <v/>
      </c>
    </row>
    <row r="5" spans="1:9" ht="15.6">
      <c r="A5" s="54" t="str">
        <v>Adelanto - 1 Sheep Creek Road</v>
      </c>
      <c r="B5" s="40" t="str">
        <v>CA</v>
      </c>
      <c r="C5" s="41">
        <f>SUM(Jul!C5, Aug!C5, Sep!C5)</f>
        <v>0</v>
      </c>
      <c r="D5" s="42">
        <f>SUM(Jul!D5, Aug!D5, Sep!D5)</f>
        <v>0</v>
      </c>
      <c r="E5" s="42">
        <f t="shared" ref="E5:E15" si="0">IF(AND(ISNUMBER(C5),ISNUMBER(D5)), C5-D5, "")</f>
        <v>0</v>
      </c>
      <c r="F5" s="43" t="str">
        <f>IFERROR(E5/D5, "")</f>
        <v/>
      </c>
      <c r="G5" s="44">
        <f>SUM(Jul!G5,Aug!G5,Sep!G5)</f>
        <v>0</v>
      </c>
      <c r="H5" s="44">
        <f>SUM(Jul!H5, Aug!H5, Sep!H5)</f>
        <v>0</v>
      </c>
      <c r="I5" s="43" t="str">
        <f>IFERROR(H5/G5, "")</f>
        <v/>
      </c>
    </row>
    <row r="6" spans="1:9" ht="15.6">
      <c r="A6" s="53" t="str">
        <v>Blackstone - 83 Federal Street</v>
      </c>
      <c r="B6" s="33" t="str">
        <v>MA</v>
      </c>
      <c r="C6" s="34">
        <f>SUM(Jul!C6, Aug!C6, Sep!C6)</f>
        <v>0</v>
      </c>
      <c r="D6" s="35">
        <f>SUM(Jul!D6, Aug!D6, Sep!D6)</f>
        <v>0</v>
      </c>
      <c r="E6" s="35">
        <f t="shared" si="0"/>
        <v>0</v>
      </c>
      <c r="F6" s="36" t="str">
        <f t="shared" ref="F6:F15" si="1">IFERROR(E6/D6, "")</f>
        <v/>
      </c>
      <c r="G6" s="37">
        <f>SUM(Jul!G6,Aug!G6,Sep!G6)</f>
        <v>0</v>
      </c>
      <c r="H6" s="37">
        <f>SUM(Jul!H6, Aug!H6, Sep!H6)</f>
        <v>0</v>
      </c>
      <c r="I6" s="38" t="str">
        <f t="shared" ref="I6:I15" si="2">IFERROR(H6/G6, "")</f>
        <v/>
      </c>
    </row>
    <row r="7" spans="1:9" ht="15.6">
      <c r="A7" s="54" t="str">
        <v>Charlton - 299 Worcester Road</v>
      </c>
      <c r="B7" s="40" t="str">
        <v>MA</v>
      </c>
      <c r="C7" s="41">
        <f>SUM(Jul!C7, Aug!C7, Sep!C7)</f>
        <v>0</v>
      </c>
      <c r="D7" s="42">
        <f>SUM(Jul!D7, Aug!D7, Sep!D7)</f>
        <v>0</v>
      </c>
      <c r="E7" s="42">
        <f t="shared" si="0"/>
        <v>0</v>
      </c>
      <c r="F7" s="43" t="str">
        <f t="shared" si="1"/>
        <v/>
      </c>
      <c r="G7" s="44">
        <f>SUM(Jul!G7,Aug!G7,Sep!G7)</f>
        <v>0</v>
      </c>
      <c r="H7" s="44">
        <f>SUM(Jul!H7, Aug!H7, Sep!H7)</f>
        <v>0</v>
      </c>
      <c r="I7" s="43" t="str">
        <f t="shared" si="2"/>
        <v/>
      </c>
    </row>
    <row r="8" spans="1:9" ht="15.6">
      <c r="A8" s="53" t="str">
        <v>Wareham - 8 Thatcher Drive</v>
      </c>
      <c r="B8" s="33" t="str">
        <v>MA</v>
      </c>
      <c r="C8" s="34">
        <f>SUM(Jul!C8, Aug!C8, Sep!C8)</f>
        <v>0</v>
      </c>
      <c r="D8" s="35">
        <f>SUM(Jul!D8, Aug!D8, Sep!D8)</f>
        <v>0</v>
      </c>
      <c r="E8" s="35">
        <f t="shared" si="0"/>
        <v>0</v>
      </c>
      <c r="F8" s="36" t="str">
        <f t="shared" si="1"/>
        <v/>
      </c>
      <c r="G8" s="37">
        <f>SUM(Jul!G8,Aug!G8,Sep!G8)</f>
        <v>0</v>
      </c>
      <c r="H8" s="37">
        <f>SUM(Jul!H8, Aug!H8, Sep!H8)</f>
        <v>0</v>
      </c>
      <c r="I8" s="38" t="str">
        <f t="shared" si="2"/>
        <v/>
      </c>
    </row>
    <row r="9" spans="1:9" ht="15.6">
      <c r="A9" s="54" t="str">
        <v>West Yarmouth - 42 Mid Tech</v>
      </c>
      <c r="B9" s="40" t="str">
        <v>MA</v>
      </c>
      <c r="C9" s="41">
        <f>SUM(Jul!C9, Aug!C9, Sep!C9)</f>
        <v>0</v>
      </c>
      <c r="D9" s="42">
        <f>SUM(Jul!D9, Aug!D9, Sep!D9)</f>
        <v>0</v>
      </c>
      <c r="E9" s="42">
        <f t="shared" si="0"/>
        <v>0</v>
      </c>
      <c r="F9" s="43" t="str">
        <f t="shared" si="1"/>
        <v/>
      </c>
      <c r="G9" s="44">
        <f>SUM(Jul!G9,Aug!G9,Sep!G9)</f>
        <v>0</v>
      </c>
      <c r="H9" s="44">
        <f>SUM(Jul!H9, Aug!H9, Sep!H9)</f>
        <v>0</v>
      </c>
      <c r="I9" s="43" t="str">
        <f t="shared" si="2"/>
        <v/>
      </c>
    </row>
    <row r="10" spans="1:9" ht="15.6">
      <c r="A10" s="53" t="str">
        <v>Harrison - 130 Union Street</v>
      </c>
      <c r="B10" s="33" t="str">
        <v>NY</v>
      </c>
      <c r="C10" s="34">
        <f>SUM(Jul!C10, Aug!C10, Sep!C10)</f>
        <v>0</v>
      </c>
      <c r="D10" s="35">
        <f>SUM(Jul!D10, Aug!D10, Sep!D10)</f>
        <v>0</v>
      </c>
      <c r="E10" s="35">
        <f t="shared" si="0"/>
        <v>0</v>
      </c>
      <c r="F10" s="36" t="str">
        <f t="shared" si="1"/>
        <v/>
      </c>
      <c r="G10" s="37">
        <f>SUM(Jul!G10,Aug!G10,Sep!G10)</f>
        <v>0</v>
      </c>
      <c r="H10" s="37">
        <f>SUM(Jul!H10, Aug!H10, Sep!H10)</f>
        <v>0</v>
      </c>
      <c r="I10" s="38" t="str">
        <f t="shared" si="2"/>
        <v/>
      </c>
    </row>
    <row r="11" spans="1:9" ht="15.6">
      <c r="A11" s="54" t="str">
        <v>Staten Island - Ellis Storage</v>
      </c>
      <c r="B11" s="40" t="str">
        <v>NY</v>
      </c>
      <c r="C11" s="41">
        <f>SUM(Jul!C11, Aug!C11, Sep!C11)</f>
        <v>0</v>
      </c>
      <c r="D11" s="42">
        <f>SUM(Jul!D11, Aug!D11, Sep!D11)</f>
        <v>0</v>
      </c>
      <c r="E11" s="42">
        <f t="shared" si="0"/>
        <v>0</v>
      </c>
      <c r="F11" s="43" t="str">
        <f t="shared" si="1"/>
        <v/>
      </c>
      <c r="G11" s="44">
        <f>SUM(Jul!G11,Aug!G11,Sep!G11)</f>
        <v>0</v>
      </c>
      <c r="H11" s="44">
        <f>SUM(Jul!H11, Aug!H11, Sep!H11)</f>
        <v>0</v>
      </c>
      <c r="I11" s="43" t="str">
        <f t="shared" si="2"/>
        <v/>
      </c>
    </row>
    <row r="12" spans="1:9" ht="15.6">
      <c r="A12" s="53" t="str">
        <v>Amherst - 595 Scholles Road</v>
      </c>
      <c r="B12" s="33" t="str">
        <v>NY</v>
      </c>
      <c r="C12" s="34">
        <f>SUM(Jul!C12, Aug!C12, Sep!C12)</f>
        <v>0</v>
      </c>
      <c r="D12" s="35">
        <f>SUM(Jul!D12, Aug!D12, Sep!D12)</f>
        <v>0</v>
      </c>
      <c r="E12" s="35">
        <f t="shared" si="0"/>
        <v>0</v>
      </c>
      <c r="F12" s="36" t="str">
        <f t="shared" si="1"/>
        <v/>
      </c>
      <c r="G12" s="37">
        <f>SUM(Jul!G12,Aug!G12,Sep!G12)</f>
        <v>0</v>
      </c>
      <c r="H12" s="37">
        <f>SUM(Jul!H12, Aug!H12, Sep!H12)</f>
        <v>0</v>
      </c>
      <c r="I12" s="38" t="str">
        <f t="shared" si="2"/>
        <v/>
      </c>
    </row>
    <row r="13" spans="1:9" ht="15.6">
      <c r="A13" s="54" t="str">
        <v>Lancaster 1 - Gunnville Road</v>
      </c>
      <c r="B13" s="40" t="str">
        <v>NY</v>
      </c>
      <c r="C13" s="41">
        <f>SUM(Jul!C13, Aug!C13, Sep!C13)</f>
        <v>0</v>
      </c>
      <c r="D13" s="42">
        <f>SUM(Jul!D13, Aug!D13, Sep!D13)</f>
        <v>0</v>
      </c>
      <c r="E13" s="42">
        <f t="shared" si="0"/>
        <v>0</v>
      </c>
      <c r="F13" s="43" t="str">
        <f t="shared" si="1"/>
        <v/>
      </c>
      <c r="G13" s="44">
        <f>SUM(Jul!G13,Aug!G13,Sep!G13)</f>
        <v>0</v>
      </c>
      <c r="H13" s="44">
        <f>SUM(Jul!H13, Aug!H13, Sep!H13)</f>
        <v>0</v>
      </c>
      <c r="I13" s="43" t="str">
        <f t="shared" si="2"/>
        <v/>
      </c>
    </row>
    <row r="14" spans="1:9" ht="15.6">
      <c r="A14" s="53" t="str">
        <v>Lancaster 2 - Shisler Road</v>
      </c>
      <c r="B14" s="33" t="str">
        <v>NY</v>
      </c>
      <c r="C14" s="34">
        <f>SUM(Jul!C14, Aug!C14, Sep!C14)</f>
        <v>0</v>
      </c>
      <c r="D14" s="35">
        <f>SUM(Jul!D14, Aug!D14, Sep!D14)</f>
        <v>0</v>
      </c>
      <c r="E14" s="35">
        <f t="shared" si="0"/>
        <v>0</v>
      </c>
      <c r="F14" s="36" t="str">
        <f t="shared" si="1"/>
        <v/>
      </c>
      <c r="G14" s="37">
        <f>SUM(Jul!G14,Aug!G14,Sep!G14)</f>
        <v>0</v>
      </c>
      <c r="H14" s="37">
        <f>SUM(Jul!H14, Aug!H14, Sep!H14)</f>
        <v>0</v>
      </c>
      <c r="I14" s="38" t="str">
        <f t="shared" si="2"/>
        <v/>
      </c>
    </row>
    <row r="15" spans="1:9" ht="15.6">
      <c r="A15" s="54" t="str">
        <v>Fullerton - 200 W Orangethorpe</v>
      </c>
      <c r="B15" s="40" t="str">
        <v>CA</v>
      </c>
      <c r="C15" s="41">
        <f>SUM(Jul!C15, Aug!C15, Sep!C15)</f>
        <v>0</v>
      </c>
      <c r="D15" s="42">
        <f>SUM(Jul!D15, Aug!D15, Sep!D15)</f>
        <v>0</v>
      </c>
      <c r="E15" s="42">
        <f t="shared" si="0"/>
        <v>0</v>
      </c>
      <c r="F15" s="43" t="str">
        <f t="shared" si="1"/>
        <v/>
      </c>
      <c r="G15" s="44">
        <f>SUM(Jul!G15,Aug!G15,Sep!G15)</f>
        <v>0</v>
      </c>
      <c r="H15" s="44">
        <f>SUM(Jul!H15, Aug!H15, Sep!H15)</f>
        <v>0</v>
      </c>
      <c r="I15" s="43" t="str">
        <f t="shared" si="2"/>
        <v/>
      </c>
    </row>
    <row r="16" spans="1:9" ht="15.6">
      <c r="A16" s="53" t="str">
        <v>El Paso - 10500 Railroad Drive</v>
      </c>
      <c r="B16" s="33" t="str">
        <v>TX</v>
      </c>
      <c r="C16" s="34">
        <f>SUM(Jul!C16, Aug!C16, Sep!C16)</f>
        <v>0</v>
      </c>
      <c r="D16" s="35">
        <f>SUM(Jul!D16, Aug!D16, Sep!D16)</f>
        <v>0</v>
      </c>
      <c r="E16" s="35">
        <f t="shared" ref="E16:E20" si="3">IF(AND(ISNUMBER(C16),ISNUMBER(D16)), C16-D16, "")</f>
        <v>0</v>
      </c>
      <c r="F16" s="36" t="str">
        <f t="shared" ref="F16:F20" si="4">IFERROR(E16/D16, "")</f>
        <v/>
      </c>
      <c r="G16" s="37">
        <f>SUM(Jul!G16,Aug!G16,Sep!G16)</f>
        <v>0</v>
      </c>
      <c r="H16" s="37">
        <f>SUM(Jul!H16, Aug!H16, Sep!H16)</f>
        <v>0</v>
      </c>
      <c r="I16" s="38" t="str">
        <f t="shared" ref="I16:I20" si="5">IFERROR(H16/G16, "")</f>
        <v/>
      </c>
    </row>
    <row r="17" spans="1:9" ht="15.6">
      <c r="A17" s="54" t="str">
        <v>Friona - 900 Millard Ave</v>
      </c>
      <c r="B17" s="40" t="str">
        <v>TX</v>
      </c>
      <c r="C17" s="41">
        <f>SUM(Jul!C17, Aug!C17, Sep!C17)</f>
        <v>0</v>
      </c>
      <c r="D17" s="42">
        <f>SUM(Jul!D17, Aug!D17, Sep!D17)</f>
        <v>0</v>
      </c>
      <c r="E17" s="42">
        <f t="shared" si="3"/>
        <v>0</v>
      </c>
      <c r="F17" s="43" t="str">
        <f t="shared" si="4"/>
        <v/>
      </c>
      <c r="G17" s="44">
        <f>SUM(Jul!G17,Aug!G17,Sep!G17)</f>
        <v>0</v>
      </c>
      <c r="H17" s="44">
        <f>SUM(Jul!H17, Aug!H17, Sep!H17)</f>
        <v>0</v>
      </c>
      <c r="I17" s="43" t="str">
        <f t="shared" si="5"/>
        <v/>
      </c>
    </row>
    <row r="18" spans="1:9" ht="15.6">
      <c r="A18" s="53" t="str">
        <v>Augusta - 13 York Farm Road</v>
      </c>
      <c r="B18" s="33" t="str">
        <v>ME</v>
      </c>
      <c r="C18" s="34">
        <f>SUM(Jul!C18, Aug!C18, Sep!C18)</f>
        <v>0</v>
      </c>
      <c r="D18" s="35">
        <f>SUM(Jul!D18, Aug!D18, Sep!D18)</f>
        <v>0</v>
      </c>
      <c r="E18" s="35">
        <f t="shared" si="3"/>
        <v>0</v>
      </c>
      <c r="F18" s="36" t="str">
        <f t="shared" si="4"/>
        <v/>
      </c>
      <c r="G18" s="37">
        <f>SUM(Jul!G18,Aug!G18,Sep!G18)</f>
        <v>0</v>
      </c>
      <c r="H18" s="37">
        <f>SUM(Jul!H18, Aug!H18, Sep!H18)</f>
        <v>0</v>
      </c>
      <c r="I18" s="38" t="str">
        <f t="shared" si="5"/>
        <v/>
      </c>
    </row>
    <row r="19" spans="1:9" ht="15.6">
      <c r="A19" s="54" t="str">
        <v xml:space="preserve">Santa Ana - 1441 West </v>
      </c>
      <c r="B19" s="40" t="str">
        <v>CA</v>
      </c>
      <c r="C19" s="41">
        <f>SUM(Jul!C19, Aug!C19, Sep!C19)</f>
        <v>0</v>
      </c>
      <c r="D19" s="42">
        <f>SUM(Jul!D19, Aug!D19, Sep!D19)</f>
        <v>0</v>
      </c>
      <c r="E19" s="42">
        <f t="shared" si="3"/>
        <v>0</v>
      </c>
      <c r="F19" s="43" t="str">
        <f t="shared" si="4"/>
        <v/>
      </c>
      <c r="G19" s="44">
        <f>SUM(Jul!G19,Aug!G19,Sep!G19)</f>
        <v>0</v>
      </c>
      <c r="H19" s="44">
        <f>SUM(Jul!H19, Aug!H19, Sep!H19)</f>
        <v>0</v>
      </c>
      <c r="I19" s="43" t="str">
        <f t="shared" si="5"/>
        <v/>
      </c>
    </row>
    <row r="20" spans="1:9" ht="15.6">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6">
      <c r="A21" s="54" t="str">
        <v xml:space="preserve">TX: Fort Worth - 5200 Gold Spike Dr </v>
      </c>
      <c r="B21" s="40" t="str">
        <v>TX</v>
      </c>
      <c r="C21" s="41"/>
      <c r="D21" s="42"/>
      <c r="E21" s="42"/>
      <c r="F21" s="43"/>
      <c r="G21" s="44"/>
      <c r="H21" s="44"/>
      <c r="I21" s="43"/>
    </row>
    <row r="22" spans="1:9" ht="15.6">
      <c r="A22" s="9"/>
      <c r="B22" s="13"/>
      <c r="C22" s="13"/>
      <c r="D22" s="13"/>
      <c r="E22" s="13"/>
      <c r="F22" s="13"/>
      <c r="G22" s="13"/>
      <c r="H22" s="13"/>
      <c r="I22" s="13"/>
    </row>
    <row r="23" spans="1:9" ht="15.6">
      <c r="A23" s="9"/>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D26" sqref="D26"/>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Catalyze</v>
      </c>
      <c r="B1" s="96"/>
      <c r="C1" s="96"/>
      <c r="D1" s="97" t="s">
        <v>16</v>
      </c>
      <c r="E1" s="97"/>
      <c r="F1" s="97"/>
      <c r="G1" s="95" t="s">
        <v>17</v>
      </c>
      <c r="H1" s="95"/>
      <c r="I1" s="95"/>
    </row>
    <row r="2" spans="1:9" ht="19.5" customHeight="1">
      <c r="A2" s="98" t="s">
        <v>2</v>
      </c>
      <c r="B2" s="98"/>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6">
      <c r="A5" s="54" t="str">
        <v>Adelanto - 1 Sheep Creek Road</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6">
      <c r="A6" s="53" t="str">
        <v>Blackstone - 83 Federal Street</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6">
      <c r="A7" s="54" t="str">
        <v>Charlton - 299 Worcester Road</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6">
      <c r="A8" s="53" t="str">
        <v>Wareham - 8 Thatcher Drive</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6">
      <c r="A9" s="54" t="str">
        <v>West Yarmouth - 42 Mid Tech</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6">
      <c r="A10" s="53" t="str">
        <v>Harrison - 130 Union Street</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6">
      <c r="A11" s="54" t="str">
        <v>Staten Island - Ellis Storage</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6">
      <c r="A12" s="53" t="str">
        <v>Amherst - 595 Scholles Road</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6">
      <c r="A13" s="54" t="str">
        <v>Lancaster 1 - Gunnville Road</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6">
      <c r="A14" s="53" t="str">
        <v>Lancaster 2 - Shisler Road</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6">
      <c r="A15" s="54" t="str">
        <v>Fullerton - 200 W Orangethorpe</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6">
      <c r="A16" s="53" t="str">
        <v>El Paso - 10500 Railroad Drive</v>
      </c>
      <c r="B16" s="33" t="str">
        <v>TX</v>
      </c>
      <c r="C16" s="34">
        <f>SUM(Oct!C16, Nov!C16, Dec!C16)</f>
        <v>0</v>
      </c>
      <c r="D16" s="35">
        <f>SUM(Oct!D16, Nov!D16, Dec!D16)</f>
        <v>0</v>
      </c>
      <c r="E16" s="35">
        <f t="shared" ref="E16:E20" si="3">IF(AND(ISNUMBER(C16),ISNUMBER(D16)), C16-D16, "")</f>
        <v>0</v>
      </c>
      <c r="F16" s="36" t="str">
        <f t="shared" ref="F16:F20" si="4">IFERROR(E16/D16, "")</f>
        <v/>
      </c>
      <c r="G16" s="37">
        <f>SUM(Oct!G16,Nov!G16,Dec!G16)</f>
        <v>0</v>
      </c>
      <c r="H16" s="37">
        <f>SUM(Oct!H16, Nov!H16, Dec!H16)</f>
        <v>0</v>
      </c>
      <c r="I16" s="38" t="str">
        <f t="shared" ref="I16:I20" si="5">IFERROR(H16/G16, "")</f>
        <v/>
      </c>
    </row>
    <row r="17" spans="1:9" ht="15.6">
      <c r="A17" s="54" t="str">
        <v>Friona - 900 Millard Ave</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6">
      <c r="A18" s="53" t="str">
        <v>Augusta - 13 York Farm Road</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6">
      <c r="A19" s="54" t="str">
        <v xml:space="preserve">Santa Ana - 1441 West </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6">
      <c r="A20" s="53" t="str">
        <v>Jessup -7950 Oceano Ave</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6">
      <c r="A21" s="54" t="str">
        <v xml:space="preserve">TX: Fort Worth - 5200 Gold Spike Dr </v>
      </c>
      <c r="B21" s="40" t="str">
        <v>TX</v>
      </c>
      <c r="C21" s="41"/>
      <c r="D21" s="42"/>
      <c r="E21" s="42"/>
      <c r="F21" s="43"/>
      <c r="G21" s="42"/>
      <c r="H21" s="44"/>
      <c r="I21" s="43"/>
    </row>
    <row r="22" spans="1:9" ht="14.45">
      <c r="A22" s="13"/>
      <c r="B22" s="8"/>
      <c r="C22" s="21"/>
      <c r="D22" s="10"/>
      <c r="E22" s="10"/>
      <c r="F22" s="11"/>
      <c r="G22" s="12"/>
      <c r="H22" s="12"/>
      <c r="I22" s="11"/>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50" zoomScaleNormal="50" workbookViewId="0">
      <pane xSplit="2" ySplit="3" topLeftCell="C14" activePane="bottomRight" state="frozen"/>
      <selection pane="bottomRight" activeCell="J22" sqref="J22"/>
      <selection pane="bottomLeft" activeCell="E11" sqref="E11"/>
      <selection pane="topRight" activeCell="E11" sqref="E11"/>
    </sheetView>
  </sheetViews>
  <sheetFormatPr defaultRowHeight="13.9"/>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6" ht="15.6">
      <c r="A1" s="96" t="str" cm="1">
        <f t="array" ref="A1">portfolio</f>
        <v>Catalyze</v>
      </c>
      <c r="B1" s="96"/>
      <c r="C1" s="96"/>
      <c r="D1" s="97" t="s">
        <v>18</v>
      </c>
      <c r="E1" s="97"/>
      <c r="F1" s="97"/>
      <c r="G1" s="95" t="s">
        <v>19</v>
      </c>
      <c r="H1" s="95"/>
      <c r="I1" s="95"/>
      <c r="J1" s="4"/>
      <c r="K1" s="4"/>
    </row>
    <row r="2" spans="1:16" ht="15.6">
      <c r="A2" s="98" t="s">
        <v>2</v>
      </c>
      <c r="B2" s="98"/>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7" t="s">
        <v>3</v>
      </c>
      <c r="B3" s="17" t="s">
        <v>4</v>
      </c>
      <c r="C3" s="25" t="s">
        <v>5</v>
      </c>
      <c r="D3" s="26" t="s">
        <v>6</v>
      </c>
      <c r="E3" s="26" t="s">
        <v>7</v>
      </c>
      <c r="F3" s="27" t="s">
        <v>8</v>
      </c>
      <c r="G3" s="31" t="s">
        <v>9</v>
      </c>
      <c r="H3" s="29" t="s">
        <v>7</v>
      </c>
      <c r="I3" s="30" t="s">
        <v>8</v>
      </c>
      <c r="J3" s="15" t="s">
        <v>20</v>
      </c>
      <c r="K3" s="15" t="s">
        <v>21</v>
      </c>
    </row>
    <row r="4" spans="1:16" ht="28.9">
      <c r="A4" s="49" t="str" cm="1">
        <f t="array" ref="A4:A21">Sites[Site]</f>
        <v>Fresno - 3150 Shaw Ave</v>
      </c>
      <c r="B4" s="46" t="str" cm="1">
        <f t="array" ref="B4:B21">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8" t="s">
        <v>23</v>
      </c>
      <c r="L4" s="82"/>
      <c r="M4" s="82"/>
      <c r="N4" s="82"/>
      <c r="O4" s="82"/>
    </row>
    <row r="5" spans="1:16" ht="111.75" customHeight="1">
      <c r="A5" s="51" t="str">
        <v>Adelanto - 1 Sheep Creek Road</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9" t="s">
        <v>24</v>
      </c>
      <c r="K5" s="79" t="s">
        <v>25</v>
      </c>
      <c r="L5" s="83" t="s">
        <v>26</v>
      </c>
      <c r="M5" s="83" t="s">
        <v>27</v>
      </c>
      <c r="N5" s="83" t="s">
        <v>28</v>
      </c>
      <c r="O5" s="82"/>
    </row>
    <row r="6" spans="1:16" ht="171.75" customHeight="1">
      <c r="A6" s="49" t="str">
        <v>Blackstone - 83 Federal Street</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8" t="s">
        <v>30</v>
      </c>
      <c r="L6" s="83" t="s">
        <v>31</v>
      </c>
      <c r="M6" s="83" t="s">
        <v>32</v>
      </c>
      <c r="N6" s="83" t="s">
        <v>33</v>
      </c>
      <c r="O6" s="83" t="s">
        <v>34</v>
      </c>
      <c r="P6" s="80" t="s">
        <v>35</v>
      </c>
    </row>
    <row r="7" spans="1:16" ht="15.75">
      <c r="A7" s="51" t="str">
        <v>Charlton - 299 Worcester Road</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82"/>
      <c r="M7" s="82"/>
      <c r="N7" s="82"/>
      <c r="O7" s="82"/>
    </row>
    <row r="8" spans="1:16" ht="15.75">
      <c r="A8" s="49" t="str">
        <v>Wareham - 8 Thatcher Drive</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82"/>
      <c r="M8" s="82"/>
      <c r="N8" s="82"/>
      <c r="O8" s="82"/>
    </row>
    <row r="9" spans="1:16" ht="26.45">
      <c r="A9" s="51" t="str">
        <v>West Yarmouth - 42 Mid Tech</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9" t="s">
        <v>37</v>
      </c>
      <c r="K9" s="79" t="s">
        <v>38</v>
      </c>
      <c r="L9" s="83" t="s">
        <v>39</v>
      </c>
      <c r="M9" s="82"/>
      <c r="N9" s="82"/>
      <c r="O9" s="82"/>
    </row>
    <row r="10" spans="1:16" ht="15.75">
      <c r="A10" s="49" t="str">
        <v>Harrison - 130 Union Street</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82"/>
      <c r="M10" s="82"/>
      <c r="N10" s="82"/>
      <c r="O10" s="82"/>
    </row>
    <row r="11" spans="1:16" ht="15.75">
      <c r="A11" s="51" t="str">
        <v>Staten Island - Ellis Storage</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82"/>
      <c r="M11" s="82"/>
      <c r="N11" s="82"/>
      <c r="O11" s="82"/>
    </row>
    <row r="12" spans="1:16" ht="28.9">
      <c r="A12" s="49" t="str">
        <v>Amherst - 595 Scholles Road</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8" t="s">
        <v>41</v>
      </c>
      <c r="L12" s="82"/>
      <c r="M12" s="82"/>
      <c r="N12" s="82"/>
      <c r="O12" s="82"/>
    </row>
    <row r="13" spans="1:16" ht="15.75">
      <c r="A13" s="51" t="str">
        <v>Lancaster 1 - Gunnville Road</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82"/>
      <c r="M13" s="82"/>
      <c r="N13" s="82"/>
      <c r="O13" s="82"/>
    </row>
    <row r="14" spans="1:16" ht="62.25" customHeight="1">
      <c r="A14" s="49" t="str">
        <v>Lancaster 2 - Shisler Road</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8" t="s">
        <v>43</v>
      </c>
      <c r="L14" s="83" t="s">
        <v>44</v>
      </c>
      <c r="M14" s="83" t="s">
        <v>45</v>
      </c>
      <c r="N14" s="83" t="s">
        <v>46</v>
      </c>
      <c r="O14" s="82"/>
    </row>
    <row r="15" spans="1:16" ht="15.75">
      <c r="A15" s="51" t="str">
        <v>Fullerton - 200 W Orangethorpe</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82"/>
      <c r="M15" s="82"/>
      <c r="N15" s="82"/>
      <c r="O15" s="82"/>
    </row>
    <row r="16" spans="1:16" ht="15.6">
      <c r="A16" s="49" t="str">
        <v>El Paso - 10500 Railroad Drive</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82"/>
      <c r="M16" s="82"/>
      <c r="N16" s="82"/>
      <c r="O16" s="82"/>
    </row>
    <row r="17" spans="1:15" ht="28.9">
      <c r="A17" s="51" t="str">
        <v>Friona - 900 Millard Ave</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81" t="s">
        <v>48</v>
      </c>
      <c r="L17" s="82"/>
      <c r="M17" s="82"/>
      <c r="N17" s="82"/>
      <c r="O17" s="82"/>
    </row>
    <row r="18" spans="1:15" ht="15.75">
      <c r="A18" s="49" t="str">
        <v>Augusta - 13 York Farm Road</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82"/>
      <c r="M18" s="82"/>
      <c r="N18" s="82"/>
      <c r="O18" s="82"/>
    </row>
    <row r="19" spans="1:15" ht="15.75">
      <c r="A19" s="47" t="str">
        <v xml:space="preserve">Santa Ana - 1441 West </v>
      </c>
      <c r="B19" s="48" t="str">
        <v>CA</v>
      </c>
      <c r="C19" s="41">
        <v>36286.8125</v>
      </c>
      <c r="D19" s="42">
        <v>40826.68</v>
      </c>
      <c r="E19" s="42">
        <f t="shared" si="6"/>
        <v>-4539.8675000000003</v>
      </c>
      <c r="F19" s="38">
        <f t="shared" si="1"/>
        <v>-0.11119854712653589</v>
      </c>
      <c r="G19" s="44">
        <v>47186.47</v>
      </c>
      <c r="H19" s="44">
        <f t="shared" si="7"/>
        <v>-10899.657500000001</v>
      </c>
      <c r="I19" s="76">
        <f t="shared" si="8"/>
        <v>-0.23099116123753272</v>
      </c>
      <c r="J19" s="77" t="s">
        <v>36</v>
      </c>
      <c r="K19" s="57"/>
      <c r="L19" s="82"/>
      <c r="M19" s="82"/>
      <c r="N19" s="82"/>
      <c r="O19" s="82"/>
    </row>
    <row r="20" spans="1:15" ht="15.6">
      <c r="A20" s="49" t="str">
        <v>Jessup -7950 Oceano Ave</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8" t="s">
        <v>50</v>
      </c>
      <c r="L20" s="82"/>
      <c r="M20" s="82"/>
      <c r="N20" s="82"/>
      <c r="O20" s="82"/>
    </row>
    <row r="21" spans="1:15" ht="15.6">
      <c r="A21" s="47" t="str">
        <v xml:space="preserve">TX: Fort Worth - 5200 Gold Spike Dr </v>
      </c>
      <c r="B21" s="48" t="str">
        <v>TX</v>
      </c>
      <c r="C21" s="41"/>
      <c r="D21" s="42"/>
      <c r="E21" s="42" t="str">
        <f t="shared" si="6"/>
        <v/>
      </c>
      <c r="F21" s="38" t="str">
        <f t="shared" si="1"/>
        <v/>
      </c>
      <c r="G21" s="44"/>
      <c r="H21" s="44" t="str">
        <f t="shared" si="7"/>
        <v/>
      </c>
      <c r="I21" s="76" t="str">
        <f t="shared" si="8"/>
        <v/>
      </c>
      <c r="J21" s="77"/>
      <c r="K21" s="57"/>
      <c r="L21" s="82"/>
      <c r="M21" s="82"/>
      <c r="N21" s="82"/>
      <c r="O21" s="82"/>
    </row>
    <row r="22" spans="1:15" ht="14.45">
      <c r="A22" s="13"/>
      <c r="B22" s="18"/>
      <c r="C22" s="13"/>
      <c r="D22" s="13"/>
      <c r="E22" s="13"/>
      <c r="F22" s="13"/>
      <c r="G22" s="13"/>
      <c r="H22" s="13"/>
      <c r="I22" s="13"/>
      <c r="J22" s="13"/>
      <c r="K22" s="13"/>
    </row>
    <row r="23" spans="1:15" ht="14.45">
      <c r="A23" s="13"/>
      <c r="B23" s="18"/>
      <c r="C23" s="13"/>
      <c r="D23" s="13"/>
      <c r="E23" s="13"/>
      <c r="F23" s="13"/>
      <c r="G23" s="13"/>
      <c r="H23" s="13"/>
      <c r="I23" s="13"/>
      <c r="J23" s="13"/>
      <c r="K23" s="13"/>
    </row>
    <row r="24" spans="1:15" ht="14.45">
      <c r="A24" s="13"/>
      <c r="B24" s="18"/>
      <c r="C24" s="13"/>
      <c r="D24" s="13"/>
      <c r="E24" s="13"/>
      <c r="F24" s="14"/>
      <c r="G24" s="13"/>
      <c r="H24" s="13"/>
      <c r="I24" s="14"/>
      <c r="J24" s="13"/>
      <c r="K24" s="13"/>
    </row>
    <row r="25" spans="1:15" ht="14.45">
      <c r="A25" s="13"/>
      <c r="B25" s="18"/>
      <c r="C25" s="13"/>
      <c r="D25" s="13"/>
      <c r="E25" s="13"/>
      <c r="F25" s="14"/>
      <c r="G25" s="13"/>
      <c r="H25" s="13"/>
      <c r="I25" s="14"/>
      <c r="J25" s="13"/>
      <c r="K25" s="13"/>
    </row>
    <row r="26" spans="1:15" ht="14.45">
      <c r="A26" s="13"/>
      <c r="B26" s="18"/>
      <c r="C26" s="13"/>
      <c r="D26" s="13"/>
      <c r="E26" s="13"/>
      <c r="F26" s="14"/>
      <c r="G26" s="13"/>
      <c r="H26" s="13"/>
      <c r="I26" s="14"/>
      <c r="J26" s="13"/>
      <c r="K26" s="13"/>
    </row>
    <row r="27" spans="1:15" ht="14.45">
      <c r="A27" s="13"/>
      <c r="B27" s="18"/>
      <c r="C27" s="13"/>
      <c r="D27" s="13"/>
      <c r="E27" s="13"/>
      <c r="F27" s="14"/>
      <c r="G27" s="13"/>
      <c r="H27" s="13"/>
      <c r="I27" s="14"/>
      <c r="J27" s="13"/>
      <c r="K27" s="13"/>
    </row>
    <row r="28" spans="1:15" ht="14.45">
      <c r="A28" s="13"/>
      <c r="B28" s="18"/>
      <c r="C28" s="13"/>
      <c r="D28" s="13"/>
      <c r="E28" s="13"/>
      <c r="F28" s="14"/>
      <c r="G28" s="13"/>
      <c r="H28" s="13"/>
      <c r="I28" s="14"/>
      <c r="J28" s="13"/>
      <c r="K28" s="13"/>
    </row>
    <row r="29" spans="1:15" ht="14.45">
      <c r="A29" s="13"/>
      <c r="B29" s="18"/>
      <c r="C29" s="13"/>
      <c r="D29" s="13"/>
      <c r="E29" s="13"/>
      <c r="F29" s="14"/>
      <c r="G29" s="13"/>
      <c r="H29" s="13"/>
      <c r="I29" s="14"/>
      <c r="J29" s="13"/>
      <c r="K29" s="13"/>
    </row>
    <row r="30" spans="1:15" ht="14.45">
      <c r="A30" s="13"/>
      <c r="B30" s="18"/>
      <c r="C30" s="13"/>
      <c r="D30" s="13"/>
      <c r="E30" s="13"/>
      <c r="F30" s="14"/>
      <c r="G30" s="13"/>
      <c r="H30" s="13"/>
      <c r="I30" s="14"/>
      <c r="J30" s="13"/>
      <c r="K30" s="13"/>
    </row>
    <row r="31" spans="1:15" ht="14.45">
      <c r="A31" s="13"/>
      <c r="B31" s="18"/>
      <c r="C31" s="13"/>
      <c r="D31" s="13"/>
      <c r="E31" s="13"/>
      <c r="F31" s="14"/>
      <c r="G31" s="13"/>
      <c r="H31" s="13"/>
      <c r="I31" s="14"/>
      <c r="J31" s="13"/>
      <c r="K31" s="13"/>
    </row>
    <row r="32" spans="1:15"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tabSelected="1" zoomScale="60" zoomScaleNormal="60" workbookViewId="0">
      <pane xSplit="2" ySplit="3" topLeftCell="C21" activePane="bottomRight" state="frozen"/>
      <selection pane="bottomRight" activeCell="D29" sqref="D29"/>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 min="12" max="13" width="8.85546875" style="82"/>
  </cols>
  <sheetData>
    <row r="1" spans="1:13" ht="19.5" customHeight="1">
      <c r="A1" s="96" t="str" cm="1">
        <f t="array" ref="A1">portfolio</f>
        <v>Catalyze</v>
      </c>
      <c r="B1" s="96"/>
      <c r="C1" s="96"/>
      <c r="D1" s="97" t="s">
        <v>51</v>
      </c>
      <c r="E1" s="97"/>
      <c r="F1" s="97"/>
      <c r="G1" s="95" t="s">
        <v>52</v>
      </c>
      <c r="H1" s="95"/>
      <c r="I1" s="95"/>
      <c r="J1" s="4"/>
      <c r="K1" s="4"/>
    </row>
    <row r="2" spans="1:13" ht="19.5" customHeight="1">
      <c r="A2" s="98" t="s">
        <v>2</v>
      </c>
      <c r="B2" s="98"/>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57.6">
      <c r="A4" s="50" t="str" cm="1">
        <f t="array" ref="A4:A21">Sites[Site]</f>
        <v>Fresno - 3150 Shaw Ave</v>
      </c>
      <c r="B4" s="46" t="str" cm="1">
        <f t="array" ref="B4:B21">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8" t="s">
        <v>54</v>
      </c>
      <c r="L4" s="83" t="s">
        <v>55</v>
      </c>
      <c r="M4" s="83" t="s">
        <v>56</v>
      </c>
    </row>
    <row r="5" spans="1:13" ht="43.15">
      <c r="A5" s="51" t="str">
        <v>Adelanto - 1 Sheep Creek Road</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9" t="s">
        <v>57</v>
      </c>
      <c r="K5" s="79" t="s">
        <v>58</v>
      </c>
      <c r="L5" s="83" t="s">
        <v>27</v>
      </c>
      <c r="M5" s="83" t="s">
        <v>59</v>
      </c>
    </row>
    <row r="6" spans="1:13" ht="15.6">
      <c r="A6" s="52" t="str">
        <v>Blackstone - 83 Federal Street</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8" t="s">
        <v>61</v>
      </c>
    </row>
    <row r="7" spans="1:13" ht="62.25" customHeight="1">
      <c r="A7" s="51" t="str">
        <v>Charlton - 299 Worcester Road</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81" t="s">
        <v>63</v>
      </c>
    </row>
    <row r="8" spans="1:13" ht="15.75">
      <c r="A8" s="52" t="str">
        <v>Wareham - 8 Thatcher Drive</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8"/>
    </row>
    <row r="9" spans="1:13" ht="15.75">
      <c r="A9" s="51" t="str">
        <v>West Yarmouth - 42 Mid Tech</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75">
      <c r="A10" s="52" t="str">
        <v>Harrison - 130 Union Street</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6">
      <c r="A11" s="51" t="str">
        <v>Staten Island - Ellis Storage</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86.45">
      <c r="A12" s="52" t="str">
        <v>Amherst - 595 Scholles Road</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8" t="s">
        <v>66</v>
      </c>
      <c r="L12" s="83" t="s">
        <v>67</v>
      </c>
      <c r="M12" s="83" t="s">
        <v>68</v>
      </c>
    </row>
    <row r="13" spans="1:13" ht="15.75">
      <c r="A13" s="51" t="str">
        <v>Lancaster 1 - Gunnville Road</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94" t="s">
        <v>64</v>
      </c>
      <c r="K13" s="56"/>
    </row>
    <row r="14" spans="1:13" ht="28.9">
      <c r="A14" s="52" t="str">
        <v>Lancaster 2 - Shisler Road</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8" t="s">
        <v>70</v>
      </c>
    </row>
    <row r="15" spans="1:13" ht="15.6">
      <c r="A15" s="51" t="str">
        <v>Fullerton - 200 W Orangethorpe</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6">
      <c r="A16" s="52" t="str">
        <v>El Paso - 10500 Railroad Drive</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28.9">
      <c r="A17" s="51" t="str">
        <v>Friona - 900 Millard Ave</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7" t="s">
        <v>71</v>
      </c>
      <c r="K17" s="93" t="s">
        <v>72</v>
      </c>
    </row>
    <row r="18" spans="1:13" ht="15.75">
      <c r="A18" s="52" t="str">
        <v>Augusta - 13 York Farm Road</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6">
      <c r="A19" s="47" t="str">
        <v xml:space="preserve">Santa Ana - 1441 West </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15.6">
      <c r="A20" s="50" t="str">
        <v>Jessup -7950 Oceano Ave</v>
      </c>
      <c r="B20" s="46" t="str">
        <v>MD</v>
      </c>
      <c r="C20" s="34">
        <v>143523.25</v>
      </c>
      <c r="D20" s="35">
        <v>137903.29999999999</v>
      </c>
      <c r="E20" s="35">
        <f>IF(AND(ISNUMBER(C20),ISNUMBER(D20)), C20-D20, "")</f>
        <v>5619.9500000000116</v>
      </c>
      <c r="F20" s="91">
        <f>IFERROR(E20/D20, "")</f>
        <v>4.0752831875669485E-2</v>
      </c>
      <c r="G20" s="37">
        <v>143903.70000000001</v>
      </c>
      <c r="H20" s="37">
        <f>IF(AND(ISNUMBER(C20),ISNUMBER(G20)), C20-G20, "")</f>
        <v>-380.45000000001164</v>
      </c>
      <c r="I20" s="38">
        <f>IFERROR(H20/G20, "")</f>
        <v>-2.6437819180466634E-3</v>
      </c>
      <c r="J20" s="55" t="s">
        <v>73</v>
      </c>
      <c r="K20" s="78" t="s">
        <v>74</v>
      </c>
    </row>
    <row r="21" spans="1:13" ht="86.45">
      <c r="A21" s="47" t="str">
        <v xml:space="preserve">TX: Fort Worth - 5200 Gold Spike Dr </v>
      </c>
      <c r="B21" s="48" t="str">
        <v>TX</v>
      </c>
      <c r="C21" s="41">
        <v>82092.3</v>
      </c>
      <c r="D21" s="42">
        <v>273384.2</v>
      </c>
      <c r="E21" s="89">
        <f>IF(AND(ISNUMBER(C21),ISNUMBER(D21)), C21-D21, "")</f>
        <v>-191291.90000000002</v>
      </c>
      <c r="F21" s="92">
        <f>IFERROR(E21/D21, "")</f>
        <v>-0.69971819878398245</v>
      </c>
      <c r="G21" s="90">
        <v>293318.40000000002</v>
      </c>
      <c r="H21" s="44">
        <f>IF(AND(ISNUMBER(C21),ISNUMBER(G21)), C21-G21, "")</f>
        <v>-211226.10000000003</v>
      </c>
      <c r="I21" s="43">
        <f>IFERROR(H21/G21, "")</f>
        <v>-0.72012563821430919</v>
      </c>
      <c r="J21" s="56" t="s">
        <v>75</v>
      </c>
      <c r="K21" s="79" t="s">
        <v>76</v>
      </c>
      <c r="L21" s="83" t="s">
        <v>77</v>
      </c>
      <c r="M21" s="83" t="s">
        <v>78</v>
      </c>
    </row>
    <row r="22" spans="1:13" ht="14.45">
      <c r="A22" s="13"/>
      <c r="B22" s="18"/>
      <c r="C22" s="13"/>
      <c r="D22" s="13"/>
      <c r="E22" s="13"/>
      <c r="F22" s="10"/>
      <c r="G22" s="13"/>
      <c r="H22" s="13"/>
      <c r="I22" s="13"/>
      <c r="J22" s="13"/>
      <c r="K22" s="13"/>
    </row>
    <row r="23" spans="1:13" ht="14.45">
      <c r="A23" s="13"/>
      <c r="B23" s="18"/>
      <c r="C23" s="13"/>
      <c r="D23" s="13"/>
      <c r="E23" s="13"/>
      <c r="F23" s="13"/>
      <c r="G23" s="13"/>
      <c r="H23" s="13"/>
      <c r="I23" s="13"/>
      <c r="J23" s="13"/>
      <c r="K23" s="13"/>
    </row>
    <row r="24" spans="1:13" ht="14.45">
      <c r="A24" s="13"/>
      <c r="B24" s="18"/>
      <c r="C24" s="13"/>
      <c r="D24" s="13"/>
      <c r="E24" s="13"/>
      <c r="F24" s="14"/>
      <c r="G24" s="13"/>
      <c r="H24" s="13"/>
      <c r="I24" s="14"/>
      <c r="J24" s="13"/>
      <c r="K24" s="13"/>
    </row>
    <row r="25" spans="1:13" ht="14.45">
      <c r="A25" s="13"/>
      <c r="B25" s="18"/>
      <c r="C25" s="13"/>
      <c r="D25" s="13"/>
      <c r="E25" s="13"/>
      <c r="F25" s="14"/>
      <c r="G25" s="13"/>
      <c r="H25" s="13"/>
      <c r="I25" s="14"/>
      <c r="J25" s="13"/>
      <c r="K25" s="13"/>
    </row>
    <row r="26" spans="1:13" ht="14.45">
      <c r="A26" s="13"/>
      <c r="B26" s="18"/>
      <c r="C26" s="13"/>
      <c r="D26" s="13"/>
      <c r="E26" s="13"/>
      <c r="F26" s="14"/>
      <c r="G26" s="13"/>
      <c r="H26" s="13"/>
      <c r="I26" s="14"/>
      <c r="J26" s="13"/>
      <c r="K26" s="13"/>
    </row>
    <row r="27" spans="1:13" ht="14.45">
      <c r="A27" s="13"/>
      <c r="B27" s="18"/>
      <c r="C27" s="13"/>
      <c r="D27" s="13"/>
      <c r="E27" s="13"/>
      <c r="F27" s="14"/>
      <c r="G27" s="13"/>
      <c r="H27" s="13"/>
      <c r="I27" s="14"/>
      <c r="J27" s="13"/>
      <c r="K27" s="13"/>
    </row>
    <row r="28" spans="1:13" ht="14.45">
      <c r="A28" s="13"/>
      <c r="B28" s="18"/>
      <c r="C28" s="13"/>
      <c r="D28" s="13"/>
      <c r="E28" s="13"/>
      <c r="F28" s="14"/>
      <c r="G28" s="13"/>
      <c r="H28" s="13"/>
      <c r="I28" s="14"/>
      <c r="J28" s="13"/>
      <c r="K28" s="13"/>
    </row>
    <row r="29" spans="1:13" ht="14.45">
      <c r="A29" s="13"/>
      <c r="B29" s="18"/>
      <c r="C29" s="13"/>
      <c r="D29" s="13"/>
      <c r="E29" s="13"/>
      <c r="F29" s="14"/>
      <c r="G29" s="13"/>
      <c r="H29" s="13"/>
      <c r="I29" s="14"/>
      <c r="J29" s="13"/>
      <c r="K29" s="13"/>
    </row>
    <row r="30" spans="1:13" ht="14.45">
      <c r="A30" s="13"/>
      <c r="B30" s="18"/>
      <c r="C30" s="13"/>
      <c r="D30" s="13"/>
      <c r="E30" s="13"/>
      <c r="F30" s="14"/>
      <c r="G30" s="13"/>
      <c r="H30" s="13"/>
      <c r="I30" s="14"/>
      <c r="J30" s="13"/>
      <c r="K30" s="13"/>
    </row>
    <row r="31" spans="1:13" ht="14.45">
      <c r="A31" s="13"/>
      <c r="B31" s="18"/>
      <c r="C31" s="13"/>
      <c r="D31" s="13"/>
      <c r="E31" s="13"/>
      <c r="F31" s="14"/>
      <c r="G31" s="13"/>
      <c r="H31" s="13"/>
      <c r="I31" s="14"/>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C333" s="13"/>
      <c r="D333" s="13"/>
      <c r="E333" s="13"/>
      <c r="F333" s="14"/>
      <c r="G333" s="13"/>
      <c r="H333" s="13"/>
      <c r="I333" s="14"/>
      <c r="J333" s="13"/>
      <c r="K333" s="13"/>
    </row>
  </sheetData>
  <mergeCells count="4">
    <mergeCell ref="G1:I1"/>
    <mergeCell ref="A1:C1"/>
    <mergeCell ref="D1:F1"/>
    <mergeCell ref="A2:B2"/>
  </mergeCells>
  <conditionalFormatting sqref="F2 I2 F23:F91 I4:I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34"/>
  <sheetViews>
    <sheetView workbookViewId="0">
      <pane xSplit="2" ySplit="3" topLeftCell="C10"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96" t="str" cm="1">
        <f t="array" ref="A1">portfolio</f>
        <v>Catalyze</v>
      </c>
      <c r="B1" s="96"/>
      <c r="C1" s="96"/>
      <c r="D1" s="97" t="s">
        <v>79</v>
      </c>
      <c r="E1" s="97"/>
      <c r="F1" s="97"/>
      <c r="G1" s="95" t="s">
        <v>80</v>
      </c>
      <c r="H1" s="95"/>
      <c r="I1" s="95"/>
      <c r="J1" s="4"/>
      <c r="K1" s="4"/>
    </row>
    <row r="2" spans="1:13" ht="19.5" customHeight="1">
      <c r="A2" s="98" t="s">
        <v>2</v>
      </c>
      <c r="B2" s="98"/>
      <c r="C2" s="5">
        <f>SUM(C4:C92)</f>
        <v>0</v>
      </c>
      <c r="D2" s="5">
        <f>SUM(D4:D92)</f>
        <v>0</v>
      </c>
      <c r="E2" s="5">
        <f>C2-D2</f>
        <v>0</v>
      </c>
      <c r="F2" s="6">
        <f>IFERROR(E2/D2, 0)</f>
        <v>0</v>
      </c>
      <c r="G2" s="5">
        <f>SUM(G4:G92)</f>
        <v>0</v>
      </c>
      <c r="H2" s="7">
        <f>C2-G2</f>
        <v>0</v>
      </c>
      <c r="I2" s="6">
        <f>IFERROR(H2/G2, 0)</f>
        <v>0</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15.6">
      <c r="A4" s="50"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9"/>
      <c r="K4" s="59"/>
      <c r="M4" s="58"/>
    </row>
    <row r="5" spans="1:13" ht="15.6">
      <c r="A5" s="51"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0"/>
      <c r="K5" s="60"/>
      <c r="M5" s="58"/>
    </row>
    <row r="6" spans="1:13" ht="15.6">
      <c r="A6" s="52" t="str">
        <v>Blackstone - 83 Federal Street</v>
      </c>
      <c r="B6" s="46" t="str">
        <v>MA</v>
      </c>
      <c r="C6" s="34"/>
      <c r="D6" s="35"/>
      <c r="E6" s="35" t="str">
        <f t="shared" si="0"/>
        <v/>
      </c>
      <c r="F6" s="36" t="str">
        <f t="shared" ref="F6:F17" si="3">IFERROR(E6/D6, "")</f>
        <v/>
      </c>
      <c r="G6" s="37"/>
      <c r="H6" s="37" t="str">
        <f t="shared" si="1"/>
        <v/>
      </c>
      <c r="I6" s="38" t="str">
        <f t="shared" si="2"/>
        <v/>
      </c>
      <c r="J6" s="59"/>
      <c r="K6" s="59"/>
      <c r="M6" s="58"/>
    </row>
    <row r="7" spans="1:13" ht="15.6">
      <c r="A7" s="51" t="str">
        <v>Charlton - 299 Worcester Road</v>
      </c>
      <c r="B7" s="48" t="str">
        <v>MA</v>
      </c>
      <c r="C7" s="41"/>
      <c r="D7" s="42"/>
      <c r="E7" s="42" t="str">
        <f t="shared" si="0"/>
        <v/>
      </c>
      <c r="F7" s="43" t="str">
        <f t="shared" si="3"/>
        <v/>
      </c>
      <c r="G7" s="44"/>
      <c r="H7" s="44" t="str">
        <f t="shared" si="1"/>
        <v/>
      </c>
      <c r="I7" s="43" t="str">
        <f t="shared" si="2"/>
        <v/>
      </c>
      <c r="J7" s="60"/>
      <c r="K7" s="61"/>
      <c r="M7" s="58"/>
    </row>
    <row r="8" spans="1:13" ht="15.6">
      <c r="A8" s="52" t="str">
        <v>Wareham - 8 Thatcher Drive</v>
      </c>
      <c r="B8" s="46" t="str">
        <v>MA</v>
      </c>
      <c r="C8" s="34"/>
      <c r="D8" s="35"/>
      <c r="E8" s="35" t="str">
        <f t="shared" si="0"/>
        <v/>
      </c>
      <c r="F8" s="36" t="str">
        <f t="shared" si="3"/>
        <v/>
      </c>
      <c r="G8" s="37"/>
      <c r="H8" s="37" t="str">
        <f t="shared" si="1"/>
        <v/>
      </c>
      <c r="I8" s="38" t="str">
        <f t="shared" si="2"/>
        <v/>
      </c>
      <c r="J8" s="59"/>
      <c r="K8" s="59"/>
      <c r="M8" s="58"/>
    </row>
    <row r="9" spans="1:13" ht="15.6">
      <c r="A9" s="51" t="str">
        <v>West Yarmouth - 42 Mid Tech</v>
      </c>
      <c r="B9" s="48" t="str">
        <v>MA</v>
      </c>
      <c r="C9" s="41"/>
      <c r="D9" s="42"/>
      <c r="E9" s="42" t="str">
        <f t="shared" si="0"/>
        <v/>
      </c>
      <c r="F9" s="43" t="str">
        <f t="shared" si="3"/>
        <v/>
      </c>
      <c r="G9" s="44"/>
      <c r="H9" s="44" t="str">
        <f t="shared" si="1"/>
        <v/>
      </c>
      <c r="I9" s="43" t="str">
        <f t="shared" si="2"/>
        <v/>
      </c>
      <c r="J9" s="60"/>
      <c r="K9" s="61"/>
      <c r="M9" s="58"/>
    </row>
    <row r="10" spans="1:13" ht="15.6">
      <c r="A10" s="52" t="str">
        <v>Harrison - 130 Union Street</v>
      </c>
      <c r="B10" s="46" t="str">
        <v>NY</v>
      </c>
      <c r="C10" s="34"/>
      <c r="D10" s="35"/>
      <c r="E10" s="35" t="str">
        <f t="shared" si="0"/>
        <v/>
      </c>
      <c r="F10" s="36" t="str">
        <f t="shared" si="3"/>
        <v/>
      </c>
      <c r="G10" s="37"/>
      <c r="H10" s="37" t="str">
        <f t="shared" si="1"/>
        <v/>
      </c>
      <c r="I10" s="38" t="str">
        <f t="shared" si="2"/>
        <v/>
      </c>
      <c r="J10" s="59"/>
      <c r="K10" s="59"/>
      <c r="M10" s="58"/>
    </row>
    <row r="11" spans="1:13" ht="15.6">
      <c r="A11" s="51" t="str">
        <v>Staten Island - Ellis Storage</v>
      </c>
      <c r="B11" s="48" t="str">
        <v>NY</v>
      </c>
      <c r="C11" s="41"/>
      <c r="D11" s="42"/>
      <c r="E11" s="42" t="str">
        <f t="shared" si="0"/>
        <v/>
      </c>
      <c r="F11" s="43" t="str">
        <f t="shared" si="3"/>
        <v/>
      </c>
      <c r="G11" s="44"/>
      <c r="H11" s="44" t="str">
        <f t="shared" si="1"/>
        <v/>
      </c>
      <c r="I11" s="43" t="str">
        <f t="shared" si="2"/>
        <v/>
      </c>
      <c r="J11" s="60"/>
      <c r="K11" s="61"/>
      <c r="M11" s="58"/>
    </row>
    <row r="12" spans="1:13" ht="15.6">
      <c r="A12" s="52" t="str">
        <v>Amherst - 595 Scholles Road</v>
      </c>
      <c r="B12" s="46" t="str">
        <v>NY</v>
      </c>
      <c r="C12" s="34"/>
      <c r="D12" s="35"/>
      <c r="E12" s="35" t="str">
        <f t="shared" si="0"/>
        <v/>
      </c>
      <c r="F12" s="36" t="str">
        <f t="shared" si="3"/>
        <v/>
      </c>
      <c r="G12" s="37"/>
      <c r="H12" s="37" t="str">
        <f t="shared" si="1"/>
        <v/>
      </c>
      <c r="I12" s="38" t="str">
        <f t="shared" si="2"/>
        <v/>
      </c>
      <c r="J12" s="59"/>
      <c r="K12" s="59"/>
      <c r="M12" s="58"/>
    </row>
    <row r="13" spans="1:13" ht="15.6">
      <c r="A13" s="51" t="str">
        <v>Lancaster 1 - Gunnville Road</v>
      </c>
      <c r="B13" s="48" t="str">
        <v>NY</v>
      </c>
      <c r="C13" s="41"/>
      <c r="D13" s="42"/>
      <c r="E13" s="42" t="str">
        <f t="shared" si="0"/>
        <v/>
      </c>
      <c r="F13" s="43" t="str">
        <f t="shared" si="3"/>
        <v/>
      </c>
      <c r="G13" s="44"/>
      <c r="H13" s="44" t="str">
        <f t="shared" si="1"/>
        <v/>
      </c>
      <c r="I13" s="43" t="str">
        <f t="shared" si="2"/>
        <v/>
      </c>
      <c r="J13" s="60"/>
      <c r="K13" s="61"/>
      <c r="M13" s="58"/>
    </row>
    <row r="14" spans="1:13" ht="15.6">
      <c r="A14" s="52" t="str">
        <v>Lancaster 2 - Shisler Road</v>
      </c>
      <c r="B14" s="46" t="str">
        <v>NY</v>
      </c>
      <c r="C14" s="34"/>
      <c r="D14" s="35"/>
      <c r="E14" s="35" t="str">
        <f t="shared" si="0"/>
        <v/>
      </c>
      <c r="F14" s="36" t="str">
        <f t="shared" si="3"/>
        <v/>
      </c>
      <c r="G14" s="37"/>
      <c r="H14" s="37" t="str">
        <f t="shared" si="1"/>
        <v/>
      </c>
      <c r="I14" s="38" t="str">
        <f t="shared" si="2"/>
        <v/>
      </c>
      <c r="J14" s="59"/>
      <c r="K14" s="59"/>
      <c r="M14" s="58"/>
    </row>
    <row r="15" spans="1:13" ht="15.6">
      <c r="A15" s="51" t="str">
        <v>Fullerton - 200 W Orangethorpe</v>
      </c>
      <c r="B15" s="48" t="str">
        <v>CA</v>
      </c>
      <c r="C15" s="41"/>
      <c r="D15" s="42"/>
      <c r="E15" s="42" t="str">
        <f t="shared" si="0"/>
        <v/>
      </c>
      <c r="F15" s="43" t="str">
        <f t="shared" si="3"/>
        <v/>
      </c>
      <c r="G15" s="44"/>
      <c r="H15" s="44" t="str">
        <f t="shared" si="1"/>
        <v/>
      </c>
      <c r="I15" s="43" t="str">
        <f t="shared" si="2"/>
        <v/>
      </c>
      <c r="J15" s="60"/>
      <c r="K15" s="61"/>
      <c r="M15" s="58"/>
    </row>
    <row r="16" spans="1:13" ht="15.6">
      <c r="A16" s="52" t="str">
        <v>El Paso - 10500 Railroad Drive</v>
      </c>
      <c r="B16" s="46" t="str">
        <v>TX</v>
      </c>
      <c r="C16" s="34"/>
      <c r="D16" s="35"/>
      <c r="E16" s="35" t="str">
        <f t="shared" si="0"/>
        <v/>
      </c>
      <c r="F16" s="36" t="str">
        <f t="shared" si="3"/>
        <v/>
      </c>
      <c r="G16" s="37"/>
      <c r="H16" s="37" t="str">
        <f t="shared" si="1"/>
        <v/>
      </c>
      <c r="I16" s="38" t="str">
        <f t="shared" si="2"/>
        <v/>
      </c>
      <c r="J16" s="59"/>
      <c r="K16" s="59"/>
      <c r="M16" s="58"/>
    </row>
    <row r="17" spans="1:13" ht="15.6">
      <c r="A17" s="51" t="str">
        <v>Friona - 900 Millard Ave</v>
      </c>
      <c r="B17" s="48" t="str">
        <v>TX</v>
      </c>
      <c r="C17" s="41"/>
      <c r="D17" s="42"/>
      <c r="E17" s="42" t="str">
        <f t="shared" si="0"/>
        <v/>
      </c>
      <c r="F17" s="43" t="str">
        <f t="shared" si="3"/>
        <v/>
      </c>
      <c r="G17" s="44"/>
      <c r="H17" s="44" t="str">
        <f t="shared" si="1"/>
        <v/>
      </c>
      <c r="I17" s="43" t="str">
        <f t="shared" si="2"/>
        <v/>
      </c>
      <c r="J17" s="60"/>
      <c r="K17" s="61"/>
      <c r="M17" s="58"/>
    </row>
    <row r="18" spans="1:13" ht="15.6">
      <c r="A18" s="49" t="str">
        <v>Augusta - 13 York Farm Road</v>
      </c>
      <c r="B18" s="46" t="str">
        <v>ME</v>
      </c>
      <c r="C18" s="34"/>
      <c r="D18" s="35"/>
      <c r="E18" s="35"/>
      <c r="F18" s="36"/>
      <c r="G18" s="37"/>
      <c r="H18" s="37"/>
      <c r="I18" s="38"/>
      <c r="J18" s="56"/>
      <c r="K18" s="55"/>
    </row>
    <row r="19" spans="1:13" ht="15.6">
      <c r="A19" s="47" t="str">
        <v xml:space="preserve">Santa Ana - 1441 West </v>
      </c>
      <c r="B19" s="48" t="str">
        <v>CA</v>
      </c>
      <c r="C19" s="41"/>
      <c r="D19" s="42"/>
      <c r="E19" s="42"/>
      <c r="F19" s="43"/>
      <c r="G19" s="44"/>
      <c r="H19" s="44"/>
      <c r="I19" s="43"/>
      <c r="J19" s="56"/>
      <c r="K19" s="57"/>
    </row>
    <row r="20" spans="1:13" ht="14.45">
      <c r="A20" s="13" t="str">
        <v>Jessup -7950 Oceano Ave</v>
      </c>
      <c r="B20" s="18" t="str">
        <v>MD</v>
      </c>
      <c r="C20" s="13"/>
      <c r="D20" s="13"/>
      <c r="E20" s="13"/>
      <c r="F20" s="13"/>
      <c r="G20" s="13"/>
      <c r="H20" s="13"/>
      <c r="I20" s="13"/>
      <c r="J20" s="13"/>
      <c r="K20" s="13"/>
      <c r="M20" s="58"/>
    </row>
    <row r="21" spans="1:13" ht="14.45">
      <c r="A21" s="13" t="str">
        <v xml:space="preserve">TX: Fort Worth - 5200 Gold Spike Dr </v>
      </c>
      <c r="B21" s="18" t="str">
        <v>TX</v>
      </c>
      <c r="C21" s="13"/>
      <c r="D21" s="13"/>
      <c r="E21" s="13"/>
      <c r="F21" s="13"/>
      <c r="G21" s="13"/>
      <c r="H21" s="13"/>
      <c r="I21" s="13"/>
      <c r="J21" s="13"/>
      <c r="K21" s="13"/>
      <c r="M21" s="58"/>
    </row>
    <row r="22" spans="1:13" ht="14.45">
      <c r="A22" s="13"/>
      <c r="B22" s="18"/>
      <c r="C22" s="13"/>
      <c r="D22" s="13"/>
      <c r="E22" s="13"/>
      <c r="F22" s="13"/>
      <c r="G22" s="13"/>
      <c r="H22" s="13"/>
      <c r="I22" s="13"/>
      <c r="J22" s="13"/>
      <c r="K22" s="13"/>
      <c r="M22" s="58"/>
    </row>
    <row r="23" spans="1:13" ht="14.45">
      <c r="A23" s="13"/>
      <c r="B23" s="18"/>
      <c r="C23" s="13"/>
      <c r="D23" s="13"/>
      <c r="E23" s="13"/>
      <c r="F23" s="13"/>
      <c r="G23" s="13"/>
      <c r="H23" s="13"/>
      <c r="I23" s="13"/>
      <c r="J23" s="13"/>
      <c r="K23" s="13"/>
      <c r="M23" s="58"/>
    </row>
    <row r="24" spans="1:13" ht="14.45">
      <c r="A24" s="13"/>
      <c r="B24" s="18"/>
      <c r="C24" s="13"/>
      <c r="D24" s="13"/>
      <c r="E24" s="13"/>
      <c r="F24" s="13"/>
      <c r="G24" s="13"/>
      <c r="H24" s="13"/>
      <c r="I24" s="13"/>
      <c r="J24" s="13"/>
      <c r="K24" s="13"/>
      <c r="M24" s="58"/>
    </row>
    <row r="25" spans="1:13" ht="14.45">
      <c r="A25" s="13"/>
      <c r="B25" s="18"/>
      <c r="C25" s="13"/>
      <c r="D25" s="13"/>
      <c r="E25" s="13"/>
      <c r="F25" s="14"/>
      <c r="G25" s="13"/>
      <c r="H25" s="13"/>
      <c r="I25" s="14"/>
      <c r="J25" s="13"/>
      <c r="K25" s="13"/>
      <c r="M25" s="58"/>
    </row>
    <row r="26" spans="1:13" ht="14.45">
      <c r="A26" s="13"/>
      <c r="B26" s="18"/>
      <c r="C26" s="13"/>
      <c r="D26" s="13"/>
      <c r="E26" s="13"/>
      <c r="F26" s="14"/>
      <c r="G26" s="13"/>
      <c r="H26" s="13"/>
      <c r="I26" s="14"/>
      <c r="J26" s="13"/>
      <c r="K26" s="13"/>
      <c r="M26" s="58"/>
    </row>
    <row r="27" spans="1:13" ht="14.45">
      <c r="A27" s="13"/>
      <c r="B27" s="18"/>
      <c r="C27" s="13"/>
      <c r="D27" s="13"/>
      <c r="E27" s="13"/>
      <c r="F27" s="14"/>
      <c r="G27" s="13"/>
      <c r="H27" s="13"/>
      <c r="I27" s="14"/>
      <c r="J27" s="13"/>
      <c r="K27" s="13"/>
      <c r="M27" s="58"/>
    </row>
    <row r="28" spans="1:13" ht="14.45">
      <c r="A28" s="13"/>
      <c r="B28" s="18"/>
      <c r="C28" s="13"/>
      <c r="D28" s="13"/>
      <c r="E28" s="13"/>
      <c r="F28" s="14"/>
      <c r="G28" s="13"/>
      <c r="H28" s="13"/>
      <c r="I28" s="14"/>
      <c r="J28" s="13"/>
      <c r="K28" s="13"/>
      <c r="M28" s="58"/>
    </row>
    <row r="29" spans="1:13" ht="14.45">
      <c r="A29" s="13"/>
      <c r="B29" s="18"/>
      <c r="C29" s="13"/>
      <c r="D29" s="13"/>
      <c r="E29" s="13"/>
      <c r="F29" s="14"/>
      <c r="G29" s="13"/>
      <c r="H29" s="13"/>
      <c r="I29" s="14"/>
      <c r="J29" s="13"/>
      <c r="K29" s="13"/>
      <c r="M29" s="58"/>
    </row>
    <row r="30" spans="1:13" ht="14.45">
      <c r="A30" s="13"/>
      <c r="B30" s="18"/>
      <c r="C30" s="13"/>
      <c r="D30" s="13"/>
      <c r="E30" s="13"/>
      <c r="F30" s="14"/>
      <c r="G30" s="13"/>
      <c r="H30" s="13"/>
      <c r="I30" s="14"/>
      <c r="J30" s="13"/>
      <c r="K30" s="13"/>
      <c r="M30" s="58"/>
    </row>
    <row r="31" spans="1:13" ht="14.45">
      <c r="A31" s="13"/>
      <c r="B31" s="18"/>
      <c r="C31" s="13"/>
      <c r="D31" s="13"/>
      <c r="E31" s="13"/>
      <c r="F31" s="14"/>
      <c r="G31" s="13"/>
      <c r="H31" s="13"/>
      <c r="I31" s="14"/>
      <c r="J31" s="13"/>
      <c r="K31" s="13"/>
      <c r="M31" s="58"/>
    </row>
    <row r="32" spans="1:13" ht="14.45">
      <c r="A32" s="13"/>
      <c r="B32" s="18"/>
      <c r="C32" s="13"/>
      <c r="D32" s="13"/>
      <c r="E32" s="13"/>
      <c r="F32" s="14"/>
      <c r="G32" s="13"/>
      <c r="H32" s="13"/>
      <c r="I32" s="14"/>
      <c r="J32" s="13"/>
      <c r="K32" s="13"/>
      <c r="M32" s="58"/>
    </row>
    <row r="33" spans="1:13" ht="14.45">
      <c r="A33" s="13"/>
      <c r="B33" s="18"/>
      <c r="C33" s="13"/>
      <c r="D33" s="13"/>
      <c r="E33" s="13"/>
      <c r="F33" s="14"/>
      <c r="G33" s="13"/>
      <c r="H33" s="13"/>
      <c r="I33" s="14"/>
      <c r="J33" s="13"/>
      <c r="K33" s="13"/>
      <c r="M33" s="58"/>
    </row>
    <row r="34" spans="1:13" ht="14.45">
      <c r="A34" s="13"/>
      <c r="B34" s="18"/>
      <c r="C34" s="13"/>
      <c r="D34" s="13"/>
      <c r="E34" s="13"/>
      <c r="F34" s="14"/>
      <c r="G34" s="13"/>
      <c r="H34" s="13"/>
      <c r="I34" s="14"/>
      <c r="J34" s="13"/>
      <c r="K34" s="13"/>
      <c r="M34" s="58"/>
    </row>
    <row r="35" spans="1:13" ht="14.45">
      <c r="A35" s="13"/>
      <c r="B35" s="18"/>
      <c r="C35" s="13"/>
      <c r="D35" s="13"/>
      <c r="E35" s="13"/>
      <c r="F35" s="14"/>
      <c r="G35" s="13"/>
      <c r="H35" s="13"/>
      <c r="I35" s="14"/>
      <c r="J35" s="13"/>
      <c r="K35" s="13"/>
      <c r="M35" s="58"/>
    </row>
    <row r="36" spans="1:13" ht="14.45">
      <c r="A36" s="13"/>
      <c r="B36" s="18"/>
      <c r="C36" s="13"/>
      <c r="D36" s="13"/>
      <c r="E36" s="13"/>
      <c r="F36" s="14"/>
      <c r="G36" s="13"/>
      <c r="H36" s="13"/>
      <c r="I36" s="14"/>
      <c r="J36" s="13"/>
      <c r="K36" s="13"/>
      <c r="M36" s="58"/>
    </row>
    <row r="37" spans="1:13" ht="14.45">
      <c r="A37" s="13"/>
      <c r="B37" s="18"/>
      <c r="C37" s="13"/>
      <c r="D37" s="13"/>
      <c r="E37" s="13"/>
      <c r="F37" s="14"/>
      <c r="G37" s="13"/>
      <c r="H37" s="13"/>
      <c r="I37" s="14"/>
      <c r="J37" s="13"/>
      <c r="K37" s="13"/>
      <c r="M37" s="58"/>
    </row>
    <row r="38" spans="1:13" ht="14.45">
      <c r="A38" s="13"/>
      <c r="B38" s="18"/>
      <c r="C38" s="13"/>
      <c r="D38" s="13"/>
      <c r="E38" s="13"/>
      <c r="F38" s="14"/>
      <c r="G38" s="13"/>
      <c r="H38" s="13"/>
      <c r="I38" s="14"/>
      <c r="J38" s="13"/>
      <c r="K38" s="13"/>
      <c r="M38" s="58"/>
    </row>
    <row r="39" spans="1:13" ht="14.45">
      <c r="A39" s="13"/>
      <c r="B39" s="18"/>
      <c r="C39" s="13"/>
      <c r="D39" s="13"/>
      <c r="E39" s="13"/>
      <c r="F39" s="14"/>
      <c r="G39" s="13"/>
      <c r="H39" s="13"/>
      <c r="I39" s="14"/>
      <c r="J39" s="13"/>
      <c r="K39" s="13"/>
      <c r="M39" s="58"/>
    </row>
    <row r="40" spans="1:13" ht="14.45">
      <c r="A40" s="13"/>
      <c r="B40" s="18"/>
      <c r="C40" s="13"/>
      <c r="D40" s="13"/>
      <c r="E40" s="13"/>
      <c r="F40" s="14"/>
      <c r="G40" s="13"/>
      <c r="H40" s="13"/>
      <c r="I40" s="14"/>
      <c r="J40" s="13"/>
      <c r="K40" s="13"/>
      <c r="M40" s="58"/>
    </row>
    <row r="41" spans="1:13" ht="14.45">
      <c r="A41" s="13"/>
      <c r="B41" s="18"/>
      <c r="C41" s="13"/>
      <c r="D41" s="13"/>
      <c r="E41" s="13"/>
      <c r="F41" s="14"/>
      <c r="G41" s="13"/>
      <c r="H41" s="13"/>
      <c r="I41" s="14"/>
      <c r="J41" s="13"/>
      <c r="K41" s="13"/>
      <c r="M41" s="58"/>
    </row>
    <row r="42" spans="1:13" ht="14.45">
      <c r="A42" s="13"/>
      <c r="B42" s="18"/>
      <c r="C42" s="13"/>
      <c r="D42" s="13"/>
      <c r="E42" s="13"/>
      <c r="F42" s="14"/>
      <c r="G42" s="13"/>
      <c r="H42" s="13"/>
      <c r="I42" s="14"/>
      <c r="J42" s="13"/>
      <c r="K42" s="13"/>
    </row>
    <row r="43" spans="1:13" ht="14.45">
      <c r="A43" s="13"/>
      <c r="B43" s="18"/>
      <c r="C43" s="13"/>
      <c r="D43" s="13"/>
      <c r="E43" s="13"/>
      <c r="F43" s="14"/>
      <c r="G43" s="13"/>
      <c r="H43" s="13"/>
      <c r="I43" s="14"/>
      <c r="J43" s="13"/>
      <c r="K43" s="13"/>
    </row>
    <row r="44" spans="1:13" ht="14.45">
      <c r="A44" s="13"/>
      <c r="B44" s="18"/>
      <c r="C44" s="13"/>
      <c r="D44" s="13"/>
      <c r="E44" s="13"/>
      <c r="F44" s="14"/>
      <c r="G44" s="13"/>
      <c r="H44" s="13"/>
      <c r="I44" s="14"/>
      <c r="J44" s="13"/>
      <c r="K44" s="13"/>
    </row>
    <row r="45" spans="1:13" ht="14.45">
      <c r="A45" s="13"/>
      <c r="B45" s="18"/>
      <c r="C45" s="13"/>
      <c r="D45" s="13"/>
      <c r="E45" s="13"/>
      <c r="F45" s="14"/>
      <c r="G45" s="13"/>
      <c r="H45" s="13"/>
      <c r="I45" s="14"/>
      <c r="J45" s="13"/>
      <c r="K45" s="13"/>
    </row>
    <row r="46" spans="1:13" ht="14.45">
      <c r="A46" s="13"/>
      <c r="B46" s="18"/>
      <c r="C46" s="13"/>
      <c r="D46" s="13"/>
      <c r="E46" s="13"/>
      <c r="F46" s="14"/>
      <c r="G46" s="13"/>
      <c r="H46" s="13"/>
      <c r="I46" s="14"/>
      <c r="J46" s="13"/>
      <c r="K46" s="13"/>
    </row>
    <row r="47" spans="1:13" ht="14.45">
      <c r="A47" s="13"/>
      <c r="B47" s="18"/>
      <c r="C47" s="13"/>
      <c r="D47" s="13"/>
      <c r="E47" s="13"/>
      <c r="F47" s="14"/>
      <c r="G47" s="13"/>
      <c r="H47" s="13"/>
      <c r="I47" s="14"/>
      <c r="J47" s="13"/>
      <c r="K47" s="13"/>
    </row>
    <row r="48" spans="1:13"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4"/>
  <sheetViews>
    <sheetView workbookViewId="0">
      <pane xSplit="2" ySplit="3" topLeftCell="C17"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81</v>
      </c>
      <c r="E1" s="97"/>
      <c r="F1" s="97"/>
      <c r="G1" s="95" t="s">
        <v>82</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62"/>
      <c r="H5" s="44" t="str">
        <f t="shared" ref="H5:H17" si="1">IF(AND(ISNUMBER(C5),ISNUMBER(G5)), C5-G5, "")</f>
        <v/>
      </c>
      <c r="I5" s="43" t="str">
        <f t="shared" ref="I5:I17" si="2">IFERROR(H5/G5, "")</f>
        <v/>
      </c>
      <c r="J5" s="56"/>
      <c r="K5" s="56"/>
    </row>
    <row r="6" spans="1:11" ht="30" customHeight="1">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27.75" customHeight="1">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7"/>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4"/>
  <sheetViews>
    <sheetView workbookViewId="0">
      <pane xSplit="2" ySplit="3" topLeftCell="C4" activePane="bottomRight" state="frozen"/>
      <selection pane="bottomRight" activeCell="E11" sqref="E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83</v>
      </c>
      <c r="E1" s="97"/>
      <c r="F1" s="97"/>
      <c r="G1" s="95" t="s">
        <v>84</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IF(AND(ISNUMBER(C5),ISNUMBER(D5)), C5-D5, "")</f>
        <v/>
      </c>
      <c r="F5" s="43" t="str">
        <f>IFERROR(E5/D5, "")</f>
        <v/>
      </c>
      <c r="G5" s="44"/>
      <c r="H5" s="44" t="str">
        <f t="shared" ref="H5:H17" si="0">IF(AND(ISNUMBER(C5),ISNUMBER(G5)), C5-G5, "")</f>
        <v/>
      </c>
      <c r="I5" s="43" t="str">
        <f t="shared" ref="I5:I17" si="1">IFERROR(H5/G5, "")</f>
        <v/>
      </c>
      <c r="J5" s="56"/>
      <c r="K5" s="56"/>
    </row>
    <row r="6" spans="1:11" ht="15.6">
      <c r="A6" s="49" t="str">
        <v>Blackstone - 83 Federal Street</v>
      </c>
      <c r="B6" s="46" t="str">
        <v>MA</v>
      </c>
      <c r="C6" s="34"/>
      <c r="D6" s="35"/>
      <c r="E6" s="35" t="str">
        <f t="shared" ref="E6:E17" si="2">IF(AND(ISNUMBER(C6),ISNUMBER(D6)), C6-D6, "")</f>
        <v/>
      </c>
      <c r="F6" s="36" t="str">
        <f t="shared" ref="F6:F17" si="3">IFERROR(E6/D6, "")</f>
        <v/>
      </c>
      <c r="G6" s="37"/>
      <c r="H6" s="37" t="str">
        <f t="shared" si="0"/>
        <v/>
      </c>
      <c r="I6" s="38" t="str">
        <f t="shared" si="1"/>
        <v/>
      </c>
      <c r="J6" s="55"/>
      <c r="K6" s="55"/>
    </row>
    <row r="7" spans="1:11" ht="15.6">
      <c r="A7" s="47" t="str">
        <v>Charlton - 299 Worcester Road</v>
      </c>
      <c r="B7" s="48" t="str">
        <v>MA</v>
      </c>
      <c r="C7" s="41"/>
      <c r="D7" s="42"/>
      <c r="E7" s="42" t="str">
        <f t="shared" si="2"/>
        <v/>
      </c>
      <c r="F7" s="43" t="str">
        <f t="shared" si="3"/>
        <v/>
      </c>
      <c r="G7" s="44"/>
      <c r="H7" s="44" t="str">
        <f t="shared" si="0"/>
        <v/>
      </c>
      <c r="I7" s="43" t="str">
        <f t="shared" si="1"/>
        <v/>
      </c>
      <c r="J7" s="56"/>
      <c r="K7" s="57"/>
    </row>
    <row r="8" spans="1:11" ht="15.6">
      <c r="A8" s="49" t="str">
        <v>Wareham - 8 Thatcher Drive</v>
      </c>
      <c r="B8" s="46" t="str">
        <v>MA</v>
      </c>
      <c r="C8" s="34"/>
      <c r="D8" s="35"/>
      <c r="E8" s="35" t="str">
        <f t="shared" si="2"/>
        <v/>
      </c>
      <c r="F8" s="36" t="str">
        <f t="shared" si="3"/>
        <v/>
      </c>
      <c r="G8" s="37"/>
      <c r="H8" s="37" t="str">
        <f t="shared" si="0"/>
        <v/>
      </c>
      <c r="I8" s="38" t="str">
        <f t="shared" si="1"/>
        <v/>
      </c>
      <c r="J8" s="55"/>
      <c r="K8" s="55"/>
    </row>
    <row r="9" spans="1:11" ht="15.6">
      <c r="A9" s="47" t="str">
        <v>West Yarmouth - 42 Mid Tech</v>
      </c>
      <c r="B9" s="48" t="str">
        <v>MA</v>
      </c>
      <c r="C9" s="41"/>
      <c r="D9" s="42"/>
      <c r="E9" s="42" t="str">
        <f t="shared" si="2"/>
        <v/>
      </c>
      <c r="F9" s="43" t="str">
        <f t="shared" si="3"/>
        <v/>
      </c>
      <c r="G9" s="44"/>
      <c r="H9" s="44" t="str">
        <f t="shared" si="0"/>
        <v/>
      </c>
      <c r="I9" s="43" t="str">
        <f t="shared" si="1"/>
        <v/>
      </c>
      <c r="J9" s="56"/>
      <c r="K9" s="57"/>
    </row>
    <row r="10" spans="1:11" ht="15.6">
      <c r="A10" s="49" t="str">
        <v>Harrison - 130 Union Street</v>
      </c>
      <c r="B10" s="46" t="str">
        <v>NY</v>
      </c>
      <c r="C10" s="34"/>
      <c r="D10" s="35"/>
      <c r="E10" s="35" t="str">
        <f t="shared" si="2"/>
        <v/>
      </c>
      <c r="F10" s="36" t="str">
        <f t="shared" si="3"/>
        <v/>
      </c>
      <c r="G10" s="37"/>
      <c r="H10" s="37" t="str">
        <f t="shared" si="0"/>
        <v/>
      </c>
      <c r="I10" s="38" t="str">
        <f t="shared" si="1"/>
        <v/>
      </c>
      <c r="J10" s="55"/>
      <c r="K10" s="55"/>
    </row>
    <row r="11" spans="1:11" ht="15.6">
      <c r="A11" s="47" t="str">
        <v>Staten Island - Ellis Storage</v>
      </c>
      <c r="B11" s="48" t="str">
        <v>NY</v>
      </c>
      <c r="C11" s="41"/>
      <c r="D11" s="42"/>
      <c r="E11" s="42" t="str">
        <f t="shared" si="2"/>
        <v/>
      </c>
      <c r="F11" s="43" t="str">
        <f t="shared" si="3"/>
        <v/>
      </c>
      <c r="G11" s="44"/>
      <c r="H11" s="44" t="str">
        <f t="shared" si="0"/>
        <v/>
      </c>
      <c r="I11" s="43" t="str">
        <f t="shared" si="1"/>
        <v/>
      </c>
      <c r="J11" s="56"/>
      <c r="K11" s="57"/>
    </row>
    <row r="12" spans="1:11" ht="15.6">
      <c r="A12" s="49" t="str">
        <v>Amherst - 595 Scholles Road</v>
      </c>
      <c r="B12" s="46" t="str">
        <v>NY</v>
      </c>
      <c r="C12" s="34"/>
      <c r="D12" s="35"/>
      <c r="E12" s="35" t="str">
        <f t="shared" si="2"/>
        <v/>
      </c>
      <c r="F12" s="36" t="str">
        <f t="shared" si="3"/>
        <v/>
      </c>
      <c r="G12" s="37"/>
      <c r="H12" s="37" t="str">
        <f t="shared" si="0"/>
        <v/>
      </c>
      <c r="I12" s="38" t="str">
        <f t="shared" si="1"/>
        <v/>
      </c>
      <c r="J12" s="55"/>
      <c r="K12" s="55"/>
    </row>
    <row r="13" spans="1:11" ht="15.6">
      <c r="A13" s="47" t="str">
        <v>Lancaster 1 - Gunnville Road</v>
      </c>
      <c r="B13" s="48" t="str">
        <v>NY</v>
      </c>
      <c r="C13" s="41"/>
      <c r="D13" s="42"/>
      <c r="E13" s="42" t="str">
        <f t="shared" si="2"/>
        <v/>
      </c>
      <c r="F13" s="43" t="str">
        <f t="shared" si="3"/>
        <v/>
      </c>
      <c r="G13" s="65"/>
      <c r="H13" s="44" t="str">
        <f t="shared" si="0"/>
        <v/>
      </c>
      <c r="I13" s="43" t="str">
        <f t="shared" si="1"/>
        <v/>
      </c>
      <c r="J13" s="56"/>
      <c r="K13" s="57"/>
    </row>
    <row r="14" spans="1:11" ht="156.75" customHeight="1">
      <c r="A14" s="49" t="str">
        <v>Lancaster 2 - Shisler Road</v>
      </c>
      <c r="B14" s="46" t="str">
        <v>NY</v>
      </c>
      <c r="C14" s="34"/>
      <c r="D14" s="35"/>
      <c r="E14" s="35" t="str">
        <f t="shared" si="2"/>
        <v/>
      </c>
      <c r="F14" s="36" t="str">
        <f t="shared" si="3"/>
        <v/>
      </c>
      <c r="G14" s="37"/>
      <c r="H14" s="37" t="str">
        <f t="shared" si="0"/>
        <v/>
      </c>
      <c r="I14" s="38" t="str">
        <f t="shared" si="1"/>
        <v/>
      </c>
      <c r="J14" s="55"/>
      <c r="K14" s="55"/>
    </row>
    <row r="15" spans="1:11" ht="15.6">
      <c r="A15" s="47" t="str">
        <v>Fullerton - 200 W Orangethorpe</v>
      </c>
      <c r="B15" s="48" t="str">
        <v>CA</v>
      </c>
      <c r="C15" s="41"/>
      <c r="D15" s="42"/>
      <c r="E15" s="42" t="str">
        <f t="shared" si="2"/>
        <v/>
      </c>
      <c r="F15" s="43" t="str">
        <f t="shared" si="3"/>
        <v/>
      </c>
      <c r="G15" s="44"/>
      <c r="H15" s="44" t="str">
        <f t="shared" si="0"/>
        <v/>
      </c>
      <c r="I15" s="43" t="str">
        <f t="shared" si="1"/>
        <v/>
      </c>
      <c r="J15" s="56"/>
      <c r="K15" s="57"/>
    </row>
    <row r="16" spans="1:11" ht="15.6">
      <c r="A16" s="49" t="str">
        <v>El Paso - 10500 Railroad Drive</v>
      </c>
      <c r="B16" s="46" t="str">
        <v>TX</v>
      </c>
      <c r="C16" s="34"/>
      <c r="D16" s="35"/>
      <c r="E16" s="35" t="str">
        <f t="shared" si="2"/>
        <v/>
      </c>
      <c r="F16" s="36" t="str">
        <f t="shared" si="3"/>
        <v/>
      </c>
      <c r="G16" s="37"/>
      <c r="H16" s="37" t="str">
        <f t="shared" si="0"/>
        <v/>
      </c>
      <c r="I16" s="38" t="str">
        <f t="shared" si="1"/>
        <v/>
      </c>
      <c r="J16" s="55"/>
      <c r="K16" s="55"/>
    </row>
    <row r="17" spans="1:11" ht="15.6">
      <c r="A17" s="47" t="str">
        <v>Friona - 900 Millard Ave</v>
      </c>
      <c r="B17" s="48" t="str">
        <v>TX</v>
      </c>
      <c r="C17" s="41"/>
      <c r="D17" s="42"/>
      <c r="E17" s="42" t="str">
        <f t="shared" si="2"/>
        <v/>
      </c>
      <c r="F17" s="43" t="str">
        <f t="shared" si="3"/>
        <v/>
      </c>
      <c r="G17" s="44"/>
      <c r="H17" s="44" t="str">
        <f t="shared" si="0"/>
        <v/>
      </c>
      <c r="I17" s="43" t="str">
        <f t="shared" si="1"/>
        <v/>
      </c>
      <c r="J17" s="56"/>
      <c r="K17" s="57"/>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C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85</v>
      </c>
      <c r="E1" s="97"/>
      <c r="F1" s="97"/>
      <c r="G1" s="95" t="s">
        <v>86</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66"/>
      <c r="K4" s="66"/>
    </row>
    <row r="5" spans="1:11" ht="15.6">
      <c r="A5" s="47" t="str">
        <v>Adelanto - 1 Sheep Creek Road</v>
      </c>
      <c r="B5" s="48" t="str">
        <v>CA</v>
      </c>
      <c r="C5" s="41"/>
      <c r="D5" s="67"/>
      <c r="E5" s="42" t="str">
        <f t="shared" ref="E5:E17" si="0">IF(AND(ISNUMBER(C5),ISNUMBER(D5)), C5-D5, "")</f>
        <v/>
      </c>
      <c r="F5" s="43" t="str">
        <f>IFERROR(E5/D5, "")</f>
        <v/>
      </c>
      <c r="G5" s="67"/>
      <c r="H5" s="44" t="str">
        <f t="shared" ref="H5:H17" si="1">IF(AND(ISNUMBER(C5),ISNUMBER(G5)), C5-G5, "")</f>
        <v/>
      </c>
      <c r="I5" s="43" t="str">
        <f t="shared" ref="I5:I17" si="2">IFERROR(H5/G5, "")</f>
        <v/>
      </c>
      <c r="J5" s="84"/>
      <c r="K5" s="85"/>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66"/>
      <c r="K6" s="66"/>
    </row>
    <row r="7" spans="1:11" ht="15.6">
      <c r="A7" s="47" t="str">
        <v>Charlton - 299 Worcester Road</v>
      </c>
      <c r="B7" s="48" t="str">
        <v>MA</v>
      </c>
      <c r="C7" s="41"/>
      <c r="D7" s="42"/>
      <c r="E7" s="42" t="str">
        <f t="shared" si="0"/>
        <v/>
      </c>
      <c r="F7" s="43" t="str">
        <f t="shared" si="3"/>
        <v/>
      </c>
      <c r="G7" s="44"/>
      <c r="H7" s="44" t="str">
        <f t="shared" si="1"/>
        <v/>
      </c>
      <c r="I7" s="43" t="str">
        <f t="shared" si="2"/>
        <v/>
      </c>
      <c r="J7" s="84"/>
      <c r="K7" s="84"/>
    </row>
    <row r="8" spans="1:11" ht="15.6">
      <c r="A8" s="49" t="str">
        <v>Wareham - 8 Thatcher Drive</v>
      </c>
      <c r="B8" s="46" t="str">
        <v>MA</v>
      </c>
      <c r="C8" s="34"/>
      <c r="D8" s="35"/>
      <c r="E8" s="35" t="str">
        <f t="shared" si="0"/>
        <v/>
      </c>
      <c r="F8" s="36" t="str">
        <f t="shared" si="3"/>
        <v/>
      </c>
      <c r="G8" s="37"/>
      <c r="H8" s="37" t="str">
        <f t="shared" si="1"/>
        <v/>
      </c>
      <c r="I8" s="38" t="str">
        <f t="shared" si="2"/>
        <v/>
      </c>
      <c r="J8" s="66"/>
      <c r="K8" s="66"/>
    </row>
    <row r="9" spans="1:11" ht="15.6">
      <c r="A9" s="47" t="str">
        <v>West Yarmouth - 42 Mid Tech</v>
      </c>
      <c r="B9" s="48" t="str">
        <v>MA</v>
      </c>
      <c r="C9" s="41"/>
      <c r="D9" s="42"/>
      <c r="E9" s="42" t="str">
        <f t="shared" si="0"/>
        <v/>
      </c>
      <c r="F9" s="43" t="str">
        <f t="shared" si="3"/>
        <v/>
      </c>
      <c r="G9" s="44"/>
      <c r="H9" s="44" t="str">
        <f t="shared" si="1"/>
        <v/>
      </c>
      <c r="I9" s="43" t="str">
        <f t="shared" si="2"/>
        <v/>
      </c>
      <c r="J9" s="84"/>
      <c r="K9" s="84"/>
    </row>
    <row r="10" spans="1:11" ht="15.6">
      <c r="A10" s="49" t="str">
        <v>Harrison - 130 Union Street</v>
      </c>
      <c r="B10" s="46" t="str">
        <v>NY</v>
      </c>
      <c r="C10" s="34"/>
      <c r="D10" s="35"/>
      <c r="E10" s="35" t="str">
        <f t="shared" si="0"/>
        <v/>
      </c>
      <c r="F10" s="36" t="str">
        <f t="shared" si="3"/>
        <v/>
      </c>
      <c r="G10" s="37"/>
      <c r="H10" s="37" t="str">
        <f t="shared" si="1"/>
        <v/>
      </c>
      <c r="I10" s="38" t="str">
        <f t="shared" si="2"/>
        <v/>
      </c>
      <c r="J10" s="66"/>
      <c r="K10" s="66"/>
    </row>
    <row r="11" spans="1:11" ht="15.6">
      <c r="A11" s="47" t="str">
        <v>Staten Island - Ellis Storage</v>
      </c>
      <c r="B11" s="48" t="str">
        <v>NY</v>
      </c>
      <c r="C11" s="41"/>
      <c r="D11" s="42"/>
      <c r="E11" s="42" t="str">
        <f t="shared" si="0"/>
        <v/>
      </c>
      <c r="F11" s="43" t="str">
        <f t="shared" si="3"/>
        <v/>
      </c>
      <c r="G11" s="44"/>
      <c r="H11" s="44" t="str">
        <f t="shared" si="1"/>
        <v/>
      </c>
      <c r="I11" s="43" t="str">
        <f t="shared" si="2"/>
        <v/>
      </c>
      <c r="J11" s="84"/>
      <c r="K11" s="84"/>
    </row>
    <row r="12" spans="1:11" ht="15.6">
      <c r="A12" s="49" t="str">
        <v>Amherst - 595 Scholles Road</v>
      </c>
      <c r="B12" s="46" t="str">
        <v>NY</v>
      </c>
      <c r="C12" s="34"/>
      <c r="D12" s="35"/>
      <c r="E12" s="35" t="str">
        <f t="shared" si="0"/>
        <v/>
      </c>
      <c r="F12" s="36" t="str">
        <f t="shared" si="3"/>
        <v/>
      </c>
      <c r="G12" s="37"/>
      <c r="H12" s="37" t="str">
        <f t="shared" si="1"/>
        <v/>
      </c>
      <c r="I12" s="38" t="str">
        <f t="shared" si="2"/>
        <v/>
      </c>
      <c r="J12" s="66"/>
      <c r="K12" s="66"/>
    </row>
    <row r="13" spans="1:11" ht="15.6">
      <c r="A13" s="47" t="str">
        <v>Lancaster 1 - Gunnville Road</v>
      </c>
      <c r="B13" s="48" t="str">
        <v>NY</v>
      </c>
      <c r="C13" s="41"/>
      <c r="D13" s="42"/>
      <c r="E13" s="42" t="str">
        <f t="shared" si="0"/>
        <v/>
      </c>
      <c r="F13" s="43" t="str">
        <f t="shared" si="3"/>
        <v/>
      </c>
      <c r="G13" s="44"/>
      <c r="H13" s="44" t="str">
        <f t="shared" si="1"/>
        <v/>
      </c>
      <c r="I13" s="43" t="str">
        <f t="shared" si="2"/>
        <v/>
      </c>
      <c r="J13" s="84"/>
      <c r="K13" s="84"/>
    </row>
    <row r="14" spans="1:11" ht="15.6">
      <c r="A14" s="49" t="str">
        <v>Lancaster 2 - Shisler Road</v>
      </c>
      <c r="B14" s="46" t="str">
        <v>NY</v>
      </c>
      <c r="C14" s="34"/>
      <c r="D14" s="35"/>
      <c r="E14" s="35" t="str">
        <f t="shared" si="0"/>
        <v/>
      </c>
      <c r="F14" s="36" t="str">
        <f t="shared" si="3"/>
        <v/>
      </c>
      <c r="G14" s="37"/>
      <c r="H14" s="37" t="str">
        <f t="shared" si="1"/>
        <v/>
      </c>
      <c r="I14" s="38" t="str">
        <f t="shared" si="2"/>
        <v/>
      </c>
      <c r="J14" s="66"/>
      <c r="K14" s="66"/>
    </row>
    <row r="15" spans="1:11" ht="15.6">
      <c r="A15" s="47" t="str">
        <v>Fullerton - 200 W Orangethorpe</v>
      </c>
      <c r="B15" s="48" t="str">
        <v>CA</v>
      </c>
      <c r="C15" s="41"/>
      <c r="D15" s="42"/>
      <c r="E15" s="42" t="str">
        <f t="shared" si="0"/>
        <v/>
      </c>
      <c r="F15" s="43" t="str">
        <f t="shared" si="3"/>
        <v/>
      </c>
      <c r="G15" s="44"/>
      <c r="H15" s="44" t="str">
        <f t="shared" si="1"/>
        <v/>
      </c>
      <c r="I15" s="43" t="str">
        <f t="shared" si="2"/>
        <v/>
      </c>
      <c r="J15" s="84"/>
      <c r="K15" s="84"/>
    </row>
    <row r="16" spans="1:11" ht="15.6">
      <c r="A16" s="49" t="str">
        <v>El Paso - 10500 Railroad Drive</v>
      </c>
      <c r="B16" s="46" t="str">
        <v>TX</v>
      </c>
      <c r="C16" s="34"/>
      <c r="D16" s="35"/>
      <c r="E16" s="35" t="str">
        <f t="shared" si="0"/>
        <v/>
      </c>
      <c r="F16" s="36" t="str">
        <f t="shared" si="3"/>
        <v/>
      </c>
      <c r="G16" s="37"/>
      <c r="H16" s="37" t="str">
        <f t="shared" si="1"/>
        <v/>
      </c>
      <c r="I16" s="38" t="str">
        <f t="shared" si="2"/>
        <v/>
      </c>
      <c r="J16" s="66"/>
      <c r="K16" s="66"/>
    </row>
    <row r="17" spans="1:11" ht="15.6">
      <c r="A17" s="47" t="str">
        <v>Friona - 900 Millard Ave</v>
      </c>
      <c r="B17" s="48" t="str">
        <v>TX</v>
      </c>
      <c r="C17" s="41"/>
      <c r="D17" s="42"/>
      <c r="E17" s="42" t="str">
        <f t="shared" si="0"/>
        <v/>
      </c>
      <c r="F17" s="43" t="str">
        <f t="shared" si="3"/>
        <v/>
      </c>
      <c r="G17" s="44"/>
      <c r="H17" s="44" t="str">
        <f t="shared" si="1"/>
        <v/>
      </c>
      <c r="I17" s="43" t="str">
        <f t="shared" si="2"/>
        <v/>
      </c>
      <c r="J17" s="84"/>
      <c r="K17" s="84"/>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87</v>
      </c>
      <c r="E1" s="97"/>
      <c r="F1" s="97"/>
      <c r="G1" s="95" t="s">
        <v>88</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78" customHeight="1">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42.75" customHeight="1">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9"/>
      <c r="K5" s="56"/>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68"/>
    </row>
    <row r="14" spans="1:11" ht="15.6">
      <c r="A14" s="49" t="str">
        <v>Lancaster 2 - Shisler Road</v>
      </c>
      <c r="B14" s="46" t="str">
        <v>NY</v>
      </c>
      <c r="C14" s="34"/>
      <c r="D14" s="35"/>
      <c r="E14" s="35" t="str">
        <f>IF(AND(ISNUMBER(C14),ISNUMBER(D14)), C14-D14, "")</f>
        <v/>
      </c>
      <c r="F14" s="36" t="str">
        <f t="shared" si="3"/>
        <v/>
      </c>
      <c r="G14" s="37"/>
      <c r="H14" s="37" t="str">
        <f>IF(AND(ISNUMBER(C14),ISNUMBER(G14)), C14-G14, "")</f>
        <v/>
      </c>
      <c r="I14" s="38" t="str">
        <f t="shared" si="2"/>
        <v/>
      </c>
      <c r="J14" s="55"/>
      <c r="K14" s="55"/>
    </row>
    <row r="15" spans="1:11" ht="15.6">
      <c r="A15" s="47" t="str">
        <v>Fullerton - 200 W Orangethorpe</v>
      </c>
      <c r="B15" s="48" t="str">
        <v>CA</v>
      </c>
      <c r="C15" s="41"/>
      <c r="D15" s="42"/>
      <c r="E15" s="65" t="str">
        <f>IF(AND(ISNUMBER(C15),ISNUMBER(D15)), C15-D15, "")</f>
        <v/>
      </c>
      <c r="F15" s="43" t="str">
        <f t="shared" si="3"/>
        <v/>
      </c>
      <c r="G15" s="44"/>
      <c r="H15" s="65" t="str">
        <f>IF(AND(ISNUMBER(C15),ISNUMBER(G15)), C15-G15, "")</f>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68"/>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89</v>
      </c>
      <c r="E1" s="97"/>
      <c r="F1" s="97"/>
      <c r="G1" s="95" t="s">
        <v>90</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9"/>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6"/>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6"/>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6"/>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91</v>
      </c>
      <c r="E1" s="97"/>
      <c r="F1" s="97"/>
      <c r="G1" s="95" t="s">
        <v>92</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72"/>
      <c r="D5" s="42"/>
      <c r="E5" s="42" t="str">
        <f t="shared" ref="E5:E19" si="0">IF(AND(ISNUMBER(C5),ISNUMBER(D5)), C5-D5, "")</f>
        <v/>
      </c>
      <c r="F5" s="43" t="str">
        <f>IFERROR(E5/D5, "")</f>
        <v/>
      </c>
      <c r="G5" s="44"/>
      <c r="H5" s="44" t="str">
        <f t="shared" ref="H5:H19" si="1">IF(AND(ISNUMBER(C5),ISNUMBER(G5)), C5-G5, "")</f>
        <v/>
      </c>
      <c r="I5" s="43" t="str">
        <f t="shared" ref="I5:I19" si="2">IFERROR(H5/G5, "")</f>
        <v/>
      </c>
      <c r="J5" s="56"/>
      <c r="K5" s="69"/>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IFERROR(H11/G11, "")</f>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74"/>
      <c r="K17" s="73"/>
    </row>
    <row r="18" spans="1:11" ht="15.6">
      <c r="A18" s="49" t="str">
        <v>Augusta - 13 York Farm Road</v>
      </c>
      <c r="B18" s="46" t="str">
        <v>ME</v>
      </c>
      <c r="C18" s="34"/>
      <c r="D18" s="35"/>
      <c r="E18" s="35" t="str">
        <f t="shared" si="0"/>
        <v/>
      </c>
      <c r="F18" s="36" t="str">
        <f t="shared" si="3"/>
        <v/>
      </c>
      <c r="G18" s="37"/>
      <c r="H18" s="37" t="str">
        <f t="shared" si="1"/>
        <v/>
      </c>
      <c r="I18" s="38" t="str">
        <f t="shared" si="2"/>
        <v/>
      </c>
      <c r="J18" s="55"/>
      <c r="K18" s="55"/>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56"/>
      <c r="K19" s="57"/>
    </row>
    <row r="20" spans="1:11" ht="15.6">
      <c r="A20" s="49" t="str">
        <v>Jessup -7950 Oceano Ave</v>
      </c>
      <c r="B20" s="46" t="str">
        <v>MD</v>
      </c>
      <c r="C20" s="34"/>
      <c r="D20" s="35"/>
      <c r="E20" s="35"/>
      <c r="F20" s="36"/>
      <c r="G20" s="37"/>
      <c r="H20" s="37"/>
      <c r="I20" s="38"/>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96" t="str" cm="1">
        <f t="array" ref="A1">portfolio</f>
        <v>Catalyze</v>
      </c>
      <c r="B1" s="96"/>
      <c r="C1" s="96"/>
      <c r="D1" s="97" t="s">
        <v>93</v>
      </c>
      <c r="E1" s="97"/>
      <c r="F1" s="97"/>
      <c r="G1" s="95" t="s">
        <v>94</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5"/>
      <c r="K4" s="75"/>
    </row>
    <row r="5" spans="1:11" ht="84" customHeight="1">
      <c r="A5" s="47" t="str">
        <v>Adelanto - 1 Sheep Creek Road</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9"/>
      <c r="K5" s="69"/>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75"/>
      <c r="K6" s="75"/>
    </row>
    <row r="7" spans="1:11" ht="15.6">
      <c r="A7" s="47" t="str">
        <v>Charlton - 299 Worcester Road</v>
      </c>
      <c r="B7" s="48" t="str">
        <v>MA</v>
      </c>
      <c r="C7" s="41"/>
      <c r="D7" s="42"/>
      <c r="E7" s="42" t="str">
        <f t="shared" si="0"/>
        <v/>
      </c>
      <c r="F7" s="43" t="str">
        <f t="shared" si="3"/>
        <v/>
      </c>
      <c r="G7" s="44"/>
      <c r="H7" s="44" t="str">
        <f t="shared" si="1"/>
        <v/>
      </c>
      <c r="I7" s="43" t="str">
        <f t="shared" si="2"/>
        <v/>
      </c>
      <c r="J7" s="69"/>
      <c r="K7" s="68"/>
    </row>
    <row r="8" spans="1:11" ht="15.6">
      <c r="A8" s="49" t="str">
        <v>Wareham - 8 Thatcher Drive</v>
      </c>
      <c r="B8" s="46" t="str">
        <v>MA</v>
      </c>
      <c r="C8" s="34"/>
      <c r="D8" s="35"/>
      <c r="E8" s="35" t="str">
        <f t="shared" si="0"/>
        <v/>
      </c>
      <c r="F8" s="36" t="str">
        <f t="shared" si="3"/>
        <v/>
      </c>
      <c r="G8" s="37"/>
      <c r="H8" s="37" t="str">
        <f t="shared" si="1"/>
        <v/>
      </c>
      <c r="I8" s="38" t="str">
        <f t="shared" si="2"/>
        <v/>
      </c>
      <c r="J8" s="75"/>
      <c r="K8" s="75"/>
    </row>
    <row r="9" spans="1:11" ht="15.6">
      <c r="A9" s="47" t="str">
        <v>West Yarmouth - 42 Mid Tech</v>
      </c>
      <c r="B9" s="48" t="str">
        <v>MA</v>
      </c>
      <c r="C9" s="41"/>
      <c r="D9" s="42"/>
      <c r="E9" s="42" t="str">
        <f t="shared" si="0"/>
        <v/>
      </c>
      <c r="F9" s="43" t="str">
        <f t="shared" si="3"/>
        <v/>
      </c>
      <c r="G9" s="44"/>
      <c r="H9" s="44" t="str">
        <f t="shared" si="1"/>
        <v/>
      </c>
      <c r="I9" s="43" t="str">
        <f t="shared" si="2"/>
        <v/>
      </c>
      <c r="J9" s="69"/>
      <c r="K9" s="68"/>
    </row>
    <row r="10" spans="1:11" ht="15.6">
      <c r="A10" s="49" t="str">
        <v>Harrison - 130 Union Street</v>
      </c>
      <c r="B10" s="46" t="str">
        <v>NY</v>
      </c>
      <c r="C10" s="34"/>
      <c r="D10" s="35"/>
      <c r="E10" s="35" t="str">
        <f t="shared" si="0"/>
        <v/>
      </c>
      <c r="F10" s="36" t="str">
        <f t="shared" si="3"/>
        <v/>
      </c>
      <c r="G10" s="37"/>
      <c r="H10" s="37" t="str">
        <f t="shared" si="1"/>
        <v/>
      </c>
      <c r="I10" s="38" t="str">
        <f t="shared" si="2"/>
        <v/>
      </c>
      <c r="J10" s="75"/>
      <c r="K10" s="75"/>
    </row>
    <row r="11" spans="1:11" ht="15.6">
      <c r="A11" s="47" t="str">
        <v>Staten Island - Ellis Storage</v>
      </c>
      <c r="B11" s="48" t="str">
        <v>NY</v>
      </c>
      <c r="C11" s="41"/>
      <c r="D11" s="42"/>
      <c r="E11" s="42" t="str">
        <f t="shared" si="0"/>
        <v/>
      </c>
      <c r="F11" s="43" t="str">
        <f t="shared" si="3"/>
        <v/>
      </c>
      <c r="G11" s="44"/>
      <c r="H11" s="44" t="str">
        <f t="shared" si="1"/>
        <v/>
      </c>
      <c r="I11" s="43" t="str">
        <f t="shared" si="2"/>
        <v/>
      </c>
      <c r="J11" s="69"/>
      <c r="K11" s="68"/>
    </row>
    <row r="12" spans="1:11" ht="51" customHeight="1">
      <c r="A12" s="49" t="str">
        <v>Amherst - 595 Scholles Road</v>
      </c>
      <c r="B12" s="46" t="str">
        <v>NY</v>
      </c>
      <c r="C12" s="34"/>
      <c r="D12" s="35"/>
      <c r="E12" s="35" t="str">
        <f t="shared" si="0"/>
        <v/>
      </c>
      <c r="F12" s="36" t="str">
        <f t="shared" si="3"/>
        <v/>
      </c>
      <c r="G12" s="37"/>
      <c r="H12" s="37" t="str">
        <f t="shared" si="1"/>
        <v/>
      </c>
      <c r="I12" s="38" t="str">
        <f t="shared" si="2"/>
        <v/>
      </c>
      <c r="J12" s="75"/>
      <c r="K12" s="75"/>
    </row>
    <row r="13" spans="1:11" ht="39.75" customHeight="1">
      <c r="A13" s="47" t="str">
        <v>Lancaster 1 - Gunnville Road</v>
      </c>
      <c r="B13" s="48" t="str">
        <v>NY</v>
      </c>
      <c r="C13" s="41"/>
      <c r="D13" s="42"/>
      <c r="E13" s="42" t="str">
        <f t="shared" si="0"/>
        <v/>
      </c>
      <c r="F13" s="43" t="str">
        <f t="shared" si="3"/>
        <v/>
      </c>
      <c r="G13" s="44"/>
      <c r="H13" s="44" t="str">
        <f t="shared" si="1"/>
        <v/>
      </c>
      <c r="I13" s="43" t="str">
        <f t="shared" si="2"/>
        <v/>
      </c>
      <c r="J13" s="69"/>
      <c r="K13" s="69"/>
    </row>
    <row r="14" spans="1:11" ht="15.6">
      <c r="A14" s="49" t="str">
        <v>Lancaster 2 - Shisler Road</v>
      </c>
      <c r="B14" s="46" t="str">
        <v>NY</v>
      </c>
      <c r="C14" s="34"/>
      <c r="D14" s="35"/>
      <c r="E14" s="35" t="str">
        <f t="shared" si="0"/>
        <v/>
      </c>
      <c r="F14" s="36" t="str">
        <f t="shared" si="3"/>
        <v/>
      </c>
      <c r="G14" s="37"/>
      <c r="H14" s="37" t="str">
        <f t="shared" si="1"/>
        <v/>
      </c>
      <c r="I14" s="38" t="str">
        <f t="shared" si="2"/>
        <v/>
      </c>
      <c r="J14" s="75"/>
      <c r="K14" s="75"/>
    </row>
    <row r="15" spans="1:11" ht="15.6">
      <c r="A15" s="47" t="str">
        <v>Fullerton - 200 W Orangethorpe</v>
      </c>
      <c r="B15" s="48" t="str">
        <v>CA</v>
      </c>
      <c r="C15" s="41"/>
      <c r="D15" s="42"/>
      <c r="E15" s="42" t="str">
        <f t="shared" si="0"/>
        <v/>
      </c>
      <c r="F15" s="43" t="str">
        <f t="shared" si="3"/>
        <v/>
      </c>
      <c r="G15" s="44"/>
      <c r="H15" s="44" t="str">
        <f t="shared" si="1"/>
        <v/>
      </c>
      <c r="I15" s="43" t="str">
        <f t="shared" si="2"/>
        <v/>
      </c>
      <c r="J15" s="69"/>
      <c r="K15" s="68"/>
    </row>
    <row r="16" spans="1:11" ht="15.6">
      <c r="A16" s="49" t="str">
        <v>El Paso - 10500 Railroad Drive</v>
      </c>
      <c r="B16" s="46" t="str">
        <v>TX</v>
      </c>
      <c r="C16" s="34"/>
      <c r="D16" s="35"/>
      <c r="E16" s="35" t="str">
        <f t="shared" si="0"/>
        <v/>
      </c>
      <c r="F16" s="36" t="str">
        <f>IFERROR(E16/D16, "")</f>
        <v/>
      </c>
      <c r="G16" s="37"/>
      <c r="H16" s="37" t="str">
        <f t="shared" si="1"/>
        <v/>
      </c>
      <c r="I16" s="38" t="str">
        <f t="shared" si="2"/>
        <v/>
      </c>
      <c r="J16" s="75"/>
      <c r="K16" s="75"/>
    </row>
    <row r="17" spans="1:11" ht="15.6">
      <c r="A17" s="47" t="str">
        <v>Friona - 900 Millard Ave</v>
      </c>
      <c r="B17" s="48" t="str">
        <v>TX</v>
      </c>
      <c r="C17" s="41"/>
      <c r="D17" s="42"/>
      <c r="E17" s="42" t="str">
        <f t="shared" si="0"/>
        <v/>
      </c>
      <c r="F17" s="43" t="str">
        <f t="shared" si="3"/>
        <v/>
      </c>
      <c r="G17" s="44"/>
      <c r="H17" s="44" t="str">
        <f t="shared" si="1"/>
        <v/>
      </c>
      <c r="I17" s="43" t="str">
        <f t="shared" si="2"/>
        <v/>
      </c>
      <c r="J17" s="69"/>
      <c r="K17" s="69"/>
    </row>
    <row r="18" spans="1:11" ht="15.6">
      <c r="A18" s="49" t="str">
        <v>Augusta - 13 York Farm Road</v>
      </c>
      <c r="B18" s="46" t="str">
        <v>ME</v>
      </c>
      <c r="C18" s="34"/>
      <c r="D18" s="35"/>
      <c r="E18" s="35" t="str">
        <f t="shared" si="0"/>
        <v/>
      </c>
      <c r="F18" s="36" t="str">
        <f>IFERROR(E18/D18, "")</f>
        <v/>
      </c>
      <c r="G18" s="37"/>
      <c r="H18" s="37" t="str">
        <f t="shared" si="1"/>
        <v/>
      </c>
      <c r="I18" s="38" t="str">
        <f t="shared" si="2"/>
        <v/>
      </c>
      <c r="J18" s="75"/>
      <c r="K18" s="75"/>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69"/>
      <c r="K19" s="69"/>
    </row>
    <row r="20" spans="1:11" ht="15.6">
      <c r="A20" s="49" t="str">
        <v>Jessup -7950 Oceano Ave</v>
      </c>
      <c r="B20" s="46" t="str">
        <v>MD</v>
      </c>
      <c r="C20" s="34"/>
      <c r="D20" s="35"/>
      <c r="E20" s="35"/>
      <c r="F20" s="36"/>
      <c r="G20" s="37"/>
      <c r="H20" s="37"/>
      <c r="I20" s="38"/>
      <c r="J20" s="75"/>
      <c r="K20" s="7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95</v>
      </c>
      <c r="E1" s="97"/>
      <c r="F1" s="97"/>
      <c r="G1" s="95" t="s">
        <v>96</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5"/>
      <c r="K4" s="75"/>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9"/>
      <c r="K5" s="69"/>
    </row>
    <row r="6" spans="1:11" ht="49.5" customHeight="1">
      <c r="A6" s="49" t="str">
        <v>Blackstone - 83 Federal Street</v>
      </c>
      <c r="B6" s="46" t="str">
        <v>MA</v>
      </c>
      <c r="C6" s="34"/>
      <c r="D6" s="35"/>
      <c r="E6" s="35" t="str">
        <f t="shared" si="0"/>
        <v/>
      </c>
      <c r="F6" s="36" t="str">
        <f t="shared" ref="F6:F17" si="3">IFERROR(E6/D6, "")</f>
        <v/>
      </c>
      <c r="G6" s="37"/>
      <c r="H6" s="37" t="str">
        <f t="shared" si="1"/>
        <v/>
      </c>
      <c r="I6" s="38" t="str">
        <f t="shared" si="2"/>
        <v/>
      </c>
      <c r="J6" s="75"/>
      <c r="K6" s="75"/>
    </row>
    <row r="7" spans="1:11" ht="15.6">
      <c r="A7" s="47" t="str">
        <v>Charlton - 299 Worcester Road</v>
      </c>
      <c r="B7" s="48" t="str">
        <v>MA</v>
      </c>
      <c r="C7" s="41"/>
      <c r="D7" s="42"/>
      <c r="E7" s="42" t="str">
        <f t="shared" si="0"/>
        <v/>
      </c>
      <c r="F7" s="43" t="str">
        <f t="shared" si="3"/>
        <v/>
      </c>
      <c r="G7" s="44"/>
      <c r="H7" s="44" t="str">
        <f t="shared" si="1"/>
        <v/>
      </c>
      <c r="I7" s="43" t="str">
        <f t="shared" si="2"/>
        <v/>
      </c>
      <c r="J7" s="69"/>
      <c r="K7" s="68"/>
    </row>
    <row r="8" spans="1:11" ht="15.6">
      <c r="A8" s="49" t="str">
        <v>Wareham - 8 Thatcher Drive</v>
      </c>
      <c r="B8" s="46" t="str">
        <v>MA</v>
      </c>
      <c r="C8" s="34"/>
      <c r="D8" s="35"/>
      <c r="E8" s="35" t="str">
        <f t="shared" si="0"/>
        <v/>
      </c>
      <c r="F8" s="36" t="str">
        <f t="shared" si="3"/>
        <v/>
      </c>
      <c r="G8" s="37"/>
      <c r="H8" s="37" t="str">
        <f t="shared" si="1"/>
        <v/>
      </c>
      <c r="I8" s="38" t="str">
        <f t="shared" si="2"/>
        <v/>
      </c>
      <c r="J8" s="75"/>
      <c r="K8" s="75"/>
    </row>
    <row r="9" spans="1:11" ht="15.6">
      <c r="A9" s="47" t="str">
        <v>West Yarmouth - 42 Mid Tech</v>
      </c>
      <c r="B9" s="48" t="str">
        <v>MA</v>
      </c>
      <c r="C9" s="41"/>
      <c r="D9" s="42"/>
      <c r="E9" s="42" t="str">
        <f t="shared" si="0"/>
        <v/>
      </c>
      <c r="F9" s="43" t="str">
        <f t="shared" si="3"/>
        <v/>
      </c>
      <c r="G9" s="44"/>
      <c r="H9" s="44" t="str">
        <f t="shared" si="1"/>
        <v/>
      </c>
      <c r="I9" s="43" t="str">
        <f t="shared" si="2"/>
        <v/>
      </c>
      <c r="J9" s="69"/>
      <c r="K9" s="88"/>
    </row>
    <row r="10" spans="1:11" ht="15.6">
      <c r="A10" s="49" t="str">
        <v>Harrison - 130 Union Street</v>
      </c>
      <c r="B10" s="46" t="str">
        <v>NY</v>
      </c>
      <c r="C10" s="34"/>
      <c r="D10" s="35"/>
      <c r="E10" s="35" t="str">
        <f t="shared" si="0"/>
        <v/>
      </c>
      <c r="F10" s="36" t="str">
        <f t="shared" si="3"/>
        <v/>
      </c>
      <c r="G10" s="37"/>
      <c r="H10" s="37" t="str">
        <f t="shared" si="1"/>
        <v/>
      </c>
      <c r="I10" s="38" t="str">
        <f t="shared" si="2"/>
        <v/>
      </c>
      <c r="J10" s="75"/>
      <c r="K10" s="75"/>
    </row>
    <row r="11" spans="1:11" ht="15.6">
      <c r="A11" s="47" t="str">
        <v>Staten Island - Ellis Storage</v>
      </c>
      <c r="B11" s="48" t="str">
        <v>NY</v>
      </c>
      <c r="C11" s="41"/>
      <c r="D11" s="42"/>
      <c r="E11" s="42" t="str">
        <f t="shared" si="0"/>
        <v/>
      </c>
      <c r="F11" s="43" t="str">
        <f t="shared" si="3"/>
        <v/>
      </c>
      <c r="G11" s="44"/>
      <c r="H11" s="44" t="str">
        <f t="shared" si="1"/>
        <v/>
      </c>
      <c r="I11" s="43" t="str">
        <f t="shared" si="2"/>
        <v/>
      </c>
      <c r="J11" s="69"/>
      <c r="K11" s="68"/>
    </row>
    <row r="12" spans="1:11" ht="123" customHeight="1">
      <c r="A12" s="49" t="str">
        <v>Amherst - 595 Scholles Road</v>
      </c>
      <c r="B12" s="46" t="str">
        <v>NY</v>
      </c>
      <c r="C12" s="34"/>
      <c r="D12" s="35"/>
      <c r="E12" s="35" t="str">
        <f t="shared" si="0"/>
        <v/>
      </c>
      <c r="F12" s="36" t="str">
        <f t="shared" si="3"/>
        <v/>
      </c>
      <c r="G12" s="37"/>
      <c r="H12" s="37" t="str">
        <f t="shared" si="1"/>
        <v/>
      </c>
      <c r="I12" s="38" t="str">
        <f t="shared" si="2"/>
        <v/>
      </c>
      <c r="J12" s="75"/>
      <c r="K12" s="75"/>
    </row>
    <row r="13" spans="1:11" ht="15.6">
      <c r="A13" s="47" t="str">
        <v>Lancaster 1 - Gunnville Road</v>
      </c>
      <c r="B13" s="48" t="str">
        <v>NY</v>
      </c>
      <c r="C13" s="41"/>
      <c r="D13" s="42"/>
      <c r="E13" s="42" t="str">
        <f t="shared" si="0"/>
        <v/>
      </c>
      <c r="F13" s="43" t="str">
        <f t="shared" si="3"/>
        <v/>
      </c>
      <c r="G13" s="44"/>
      <c r="H13" s="44" t="str">
        <f t="shared" si="1"/>
        <v/>
      </c>
      <c r="I13" s="43" t="str">
        <f t="shared" si="2"/>
        <v/>
      </c>
      <c r="J13" s="69"/>
      <c r="K13" s="88"/>
    </row>
    <row r="14" spans="1:11" ht="15.6">
      <c r="A14" s="49" t="str">
        <v>Lancaster 2 - Shisler Road</v>
      </c>
      <c r="B14" s="46" t="str">
        <v>NY</v>
      </c>
      <c r="C14" s="34"/>
      <c r="D14" s="35"/>
      <c r="E14" s="35" t="str">
        <f t="shared" si="0"/>
        <v/>
      </c>
      <c r="F14" s="36" t="str">
        <f t="shared" si="3"/>
        <v/>
      </c>
      <c r="G14" s="37"/>
      <c r="H14" s="37" t="str">
        <f t="shared" si="1"/>
        <v/>
      </c>
      <c r="I14" s="38" t="str">
        <f t="shared" si="2"/>
        <v/>
      </c>
      <c r="J14" s="75"/>
      <c r="K14" s="75"/>
    </row>
    <row r="15" spans="1:11" ht="37.5" customHeight="1">
      <c r="A15" s="47" t="str">
        <v>Fullerton - 200 W Orangethorpe</v>
      </c>
      <c r="B15" s="48" t="str">
        <v>CA</v>
      </c>
      <c r="C15" s="41"/>
      <c r="D15" s="42"/>
      <c r="E15" s="42" t="str">
        <f t="shared" si="0"/>
        <v/>
      </c>
      <c r="F15" s="43" t="str">
        <f t="shared" si="3"/>
        <v/>
      </c>
      <c r="G15" s="44"/>
      <c r="H15" s="44" t="str">
        <f t="shared" si="1"/>
        <v/>
      </c>
      <c r="I15" s="43" t="str">
        <f t="shared" si="2"/>
        <v/>
      </c>
      <c r="J15" s="69"/>
      <c r="K15" s="88"/>
    </row>
    <row r="16" spans="1:11" ht="15.6">
      <c r="A16" s="49" t="str">
        <v>El Paso - 10500 Railroad Drive</v>
      </c>
      <c r="B16" s="46" t="str">
        <v>TX</v>
      </c>
      <c r="C16" s="34"/>
      <c r="D16" s="35"/>
      <c r="E16" s="35" t="str">
        <f t="shared" si="0"/>
        <v/>
      </c>
      <c r="F16" s="36" t="str">
        <f t="shared" si="3"/>
        <v/>
      </c>
      <c r="G16" s="37"/>
      <c r="H16" s="37" t="str">
        <f>IF(AND(ISNUMBER(C16),ISNUMBER(G16)), C16-G16, "")</f>
        <v/>
      </c>
      <c r="I16" s="38" t="str">
        <f>IFERROR(H16/G16, "")</f>
        <v/>
      </c>
      <c r="J16" s="75"/>
      <c r="K16" s="75"/>
    </row>
    <row r="17" spans="1:11" ht="15.6">
      <c r="A17" s="47" t="str">
        <v>Friona - 900 Millard Ave</v>
      </c>
      <c r="B17" s="48" t="str">
        <v>TX</v>
      </c>
      <c r="C17" s="41"/>
      <c r="D17" s="42"/>
      <c r="E17" s="42" t="str">
        <f t="shared" si="0"/>
        <v/>
      </c>
      <c r="F17" s="43" t="str">
        <f t="shared" si="3"/>
        <v/>
      </c>
      <c r="G17" s="44"/>
      <c r="H17" s="44" t="str">
        <f t="shared" si="1"/>
        <v/>
      </c>
      <c r="I17" s="43" t="str">
        <f>IFERROR(H17/G17, "")</f>
        <v/>
      </c>
      <c r="J17" s="69"/>
      <c r="K17" s="88"/>
    </row>
    <row r="18" spans="1:11" ht="15.6">
      <c r="A18" s="49" t="str">
        <v>Augusta - 13 York Farm Road</v>
      </c>
      <c r="B18" s="46" t="str">
        <v>ME</v>
      </c>
      <c r="C18" s="34"/>
      <c r="D18" s="35"/>
      <c r="E18" s="35" t="str">
        <f>IF(AND(ISNUMBER(C18),ISNUMBER(D18)), C18-D18, "")</f>
        <v/>
      </c>
      <c r="F18" s="36" t="str">
        <f>IFERROR(E18/D18, "")</f>
        <v/>
      </c>
      <c r="G18" s="37"/>
      <c r="H18" s="37" t="str">
        <f>IF(AND(ISNUMBER(C18),ISNUMBER(G18)), C18-G18, "")</f>
        <v/>
      </c>
      <c r="I18" s="38" t="str">
        <f>IFERROR(H18/G18, "")</f>
        <v/>
      </c>
      <c r="J18" s="75"/>
      <c r="K18" s="75"/>
    </row>
    <row r="19" spans="1:11" ht="15.6">
      <c r="A19" s="47" t="str">
        <v xml:space="preserve">Santa Ana - 1441 West </v>
      </c>
      <c r="B19" s="48" t="str">
        <v>CA</v>
      </c>
      <c r="C19" s="41"/>
      <c r="D19" s="42"/>
      <c r="E19" s="42" t="str">
        <f>IF(AND(ISNUMBER(C19),ISNUMBER(D19)), C19-D19, "")</f>
        <v/>
      </c>
      <c r="F19" s="43" t="str">
        <f>IFERROR(E19/D19, "")</f>
        <v/>
      </c>
      <c r="G19" s="44"/>
      <c r="H19" s="44" t="str">
        <f>IF(AND(ISNUMBER(C19),ISNUMBER(G19)), C19-G19, "")</f>
        <v/>
      </c>
      <c r="I19" s="43" t="str">
        <f>IFERROR(H19/G19, "")</f>
        <v/>
      </c>
      <c r="J19" s="69"/>
      <c r="K19" s="88"/>
    </row>
    <row r="20" spans="1:11" ht="15.6">
      <c r="A20" s="49" t="str">
        <v>Jessup -7950 Oceano Ave</v>
      </c>
      <c r="B20" s="46" t="str">
        <v>MD</v>
      </c>
      <c r="C20" s="34"/>
      <c r="D20" s="35"/>
      <c r="E20" s="35" t="str">
        <f>IF(AND(ISNUMBER(C20),ISNUMBER(D20)), C20-D20, "")</f>
        <v/>
      </c>
      <c r="F20" s="36" t="str">
        <f>IFERROR(E20/D20, "")</f>
        <v/>
      </c>
      <c r="G20" s="37"/>
      <c r="H20" s="37" t="str">
        <f>IF(AND(ISNUMBER(C20),ISNUMBER(G20)), C20-G20, "")</f>
        <v/>
      </c>
      <c r="I20" s="38" t="str">
        <f>IFERROR(H20/G20, "")</f>
        <v/>
      </c>
      <c r="J20" s="7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Catalyze</v>
      </c>
      <c r="B1" s="96"/>
      <c r="C1" s="96"/>
      <c r="D1" s="97" t="s">
        <v>97</v>
      </c>
      <c r="E1" s="97"/>
      <c r="F1" s="97"/>
      <c r="G1" s="95" t="s">
        <v>98</v>
      </c>
      <c r="H1" s="95"/>
      <c r="I1" s="95"/>
      <c r="J1" s="4"/>
      <c r="K1" s="4"/>
    </row>
    <row r="2" spans="1:11" ht="19.5" customHeight="1">
      <c r="A2" s="98" t="s">
        <v>2</v>
      </c>
      <c r="B2" s="98"/>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9"/>
      <c r="K5" s="69"/>
    </row>
    <row r="6" spans="1:11" ht="15.6">
      <c r="A6" s="49" t="str">
        <v>Blackstone - 83 Federal Street</v>
      </c>
      <c r="B6" s="46" t="str">
        <v>MA</v>
      </c>
      <c r="C6" s="34"/>
      <c r="D6" s="35"/>
      <c r="E6" s="35" t="str">
        <f t="shared" si="0"/>
        <v/>
      </c>
      <c r="F6" s="36" t="str">
        <f t="shared" si="1"/>
        <v/>
      </c>
      <c r="G6" s="37"/>
      <c r="H6" s="37" t="str">
        <f t="shared" si="2"/>
        <v/>
      </c>
      <c r="I6" s="38" t="str">
        <f t="shared" si="3"/>
        <v/>
      </c>
      <c r="J6" s="55"/>
      <c r="K6" s="55"/>
    </row>
    <row r="7" spans="1:11" ht="15.6">
      <c r="A7" s="47" t="str">
        <v>Charlton - 299 Worcester Road</v>
      </c>
      <c r="B7" s="48" t="str">
        <v>MA</v>
      </c>
      <c r="C7" s="41"/>
      <c r="D7" s="42"/>
      <c r="E7" s="42" t="str">
        <f t="shared" si="0"/>
        <v/>
      </c>
      <c r="F7" s="43" t="str">
        <f t="shared" si="1"/>
        <v/>
      </c>
      <c r="G7" s="44"/>
      <c r="H7" s="44" t="str">
        <f t="shared" si="2"/>
        <v/>
      </c>
      <c r="I7" s="43" t="str">
        <f t="shared" si="3"/>
        <v/>
      </c>
      <c r="J7" s="69"/>
      <c r="K7" s="69"/>
    </row>
    <row r="8" spans="1:11" ht="15.6">
      <c r="A8" s="49" t="str">
        <v>Wareham - 8 Thatcher Drive</v>
      </c>
      <c r="B8" s="46" t="str">
        <v>MA</v>
      </c>
      <c r="C8" s="34"/>
      <c r="D8" s="35"/>
      <c r="E8" s="35" t="str">
        <f t="shared" si="0"/>
        <v/>
      </c>
      <c r="F8" s="36" t="str">
        <f t="shared" si="1"/>
        <v/>
      </c>
      <c r="G8" s="37"/>
      <c r="H8" s="37" t="str">
        <f t="shared" si="2"/>
        <v/>
      </c>
      <c r="I8" s="38" t="str">
        <f t="shared" si="3"/>
        <v/>
      </c>
      <c r="J8" s="55"/>
      <c r="K8" s="55"/>
    </row>
    <row r="9" spans="1:11" ht="15.6">
      <c r="A9" s="47" t="str">
        <v>West Yarmouth - 42 Mid Tech</v>
      </c>
      <c r="B9" s="48" t="str">
        <v>MA</v>
      </c>
      <c r="C9" s="41"/>
      <c r="D9" s="42"/>
      <c r="E9" s="42" t="str">
        <f t="shared" si="0"/>
        <v/>
      </c>
      <c r="F9" s="43" t="str">
        <f t="shared" si="1"/>
        <v/>
      </c>
      <c r="G9" s="44"/>
      <c r="H9" s="44" t="str">
        <f t="shared" si="2"/>
        <v/>
      </c>
      <c r="I9" s="43" t="str">
        <f t="shared" si="3"/>
        <v/>
      </c>
      <c r="J9" s="69"/>
      <c r="K9" s="69"/>
    </row>
    <row r="10" spans="1:11" ht="15.6">
      <c r="A10" s="49" t="str">
        <v>Harrison - 130 Union Street</v>
      </c>
      <c r="B10" s="46" t="str">
        <v>NY</v>
      </c>
      <c r="C10" s="34"/>
      <c r="D10" s="35"/>
      <c r="E10" s="35" t="str">
        <f t="shared" si="0"/>
        <v/>
      </c>
      <c r="F10" s="36" t="str">
        <f t="shared" si="1"/>
        <v/>
      </c>
      <c r="G10" s="37"/>
      <c r="H10" s="37" t="str">
        <f t="shared" si="2"/>
        <v/>
      </c>
      <c r="I10" s="38" t="str">
        <f t="shared" si="3"/>
        <v/>
      </c>
      <c r="J10" s="55"/>
      <c r="K10" s="55"/>
    </row>
    <row r="11" spans="1:11" ht="15.6">
      <c r="A11" s="47" t="str">
        <v>Staten Island - Ellis Storage</v>
      </c>
      <c r="B11" s="48" t="str">
        <v>NY</v>
      </c>
      <c r="C11" s="41"/>
      <c r="D11" s="42"/>
      <c r="E11" s="42" t="str">
        <f t="shared" si="0"/>
        <v/>
      </c>
      <c r="F11" s="43" t="str">
        <f t="shared" si="1"/>
        <v/>
      </c>
      <c r="G11" s="44"/>
      <c r="H11" s="44" t="str">
        <f t="shared" si="2"/>
        <v/>
      </c>
      <c r="I11" s="43" t="str">
        <f t="shared" si="3"/>
        <v/>
      </c>
      <c r="J11" s="69"/>
      <c r="K11" s="69"/>
    </row>
    <row r="12" spans="1:11" ht="15.6">
      <c r="A12" s="49" t="str">
        <v>Amherst - 595 Scholles Road</v>
      </c>
      <c r="B12" s="46" t="str">
        <v>NY</v>
      </c>
      <c r="C12" s="34"/>
      <c r="D12" s="35"/>
      <c r="E12" s="35" t="str">
        <f t="shared" si="0"/>
        <v/>
      </c>
      <c r="F12" s="36" t="str">
        <f t="shared" si="1"/>
        <v/>
      </c>
      <c r="G12" s="37"/>
      <c r="H12" s="37" t="str">
        <f t="shared" si="2"/>
        <v/>
      </c>
      <c r="I12" s="38" t="str">
        <f t="shared" si="3"/>
        <v/>
      </c>
      <c r="J12" s="55"/>
      <c r="K12" s="55"/>
    </row>
    <row r="13" spans="1:11" ht="15.6">
      <c r="A13" s="47" t="str">
        <v>Lancaster 1 - Gunnville Road</v>
      </c>
      <c r="B13" s="48" t="str">
        <v>NY</v>
      </c>
      <c r="C13" s="41"/>
      <c r="D13" s="42"/>
      <c r="E13" s="42" t="str">
        <f t="shared" si="0"/>
        <v/>
      </c>
      <c r="F13" s="43" t="str">
        <f t="shared" si="1"/>
        <v/>
      </c>
      <c r="G13" s="44"/>
      <c r="H13" s="44" t="str">
        <f t="shared" si="2"/>
        <v/>
      </c>
      <c r="I13" s="43" t="str">
        <f t="shared" si="3"/>
        <v/>
      </c>
      <c r="J13" s="69"/>
      <c r="K13" s="69"/>
    </row>
    <row r="14" spans="1:11" ht="93.75" customHeight="1">
      <c r="A14" s="49" t="str">
        <v>Lancaster 2 - Shisler Road</v>
      </c>
      <c r="B14" s="46" t="str">
        <v>NY</v>
      </c>
      <c r="C14" s="34"/>
      <c r="D14" s="35"/>
      <c r="E14" s="35" t="str">
        <f t="shared" si="0"/>
        <v/>
      </c>
      <c r="F14" s="36" t="str">
        <f t="shared" si="1"/>
        <v/>
      </c>
      <c r="G14" s="37"/>
      <c r="H14" s="37" t="str">
        <f t="shared" si="2"/>
        <v/>
      </c>
      <c r="I14" s="38" t="str">
        <f t="shared" si="3"/>
        <v/>
      </c>
      <c r="J14" s="55"/>
      <c r="K14" s="55"/>
    </row>
    <row r="15" spans="1:11" ht="15.6">
      <c r="A15" s="47" t="str">
        <v>Fullerton - 200 W Orangethorpe</v>
      </c>
      <c r="B15" s="48" t="str">
        <v>CA</v>
      </c>
      <c r="C15" s="41"/>
      <c r="D15" s="42"/>
      <c r="E15" s="42" t="str">
        <f t="shared" si="0"/>
        <v/>
      </c>
      <c r="F15" s="43" t="str">
        <f t="shared" si="1"/>
        <v/>
      </c>
      <c r="G15" s="44"/>
      <c r="H15" s="44" t="str">
        <f t="shared" si="2"/>
        <v/>
      </c>
      <c r="I15" s="43" t="str">
        <f t="shared" si="3"/>
        <v/>
      </c>
      <c r="J15" s="69"/>
      <c r="K15" s="69"/>
    </row>
    <row r="16" spans="1:11" ht="15.6">
      <c r="A16" s="49" t="str">
        <v>El Paso - 10500 Railroad Drive</v>
      </c>
      <c r="B16" s="46" t="str">
        <v>TX</v>
      </c>
      <c r="C16" s="34"/>
      <c r="D16" s="35"/>
      <c r="E16" s="35" t="str">
        <f t="shared" si="0"/>
        <v/>
      </c>
      <c r="F16" s="36" t="str">
        <f t="shared" si="1"/>
        <v/>
      </c>
      <c r="G16" s="37"/>
      <c r="H16" s="37" t="str">
        <f t="shared" si="2"/>
        <v/>
      </c>
      <c r="I16" s="38" t="str">
        <f t="shared" si="3"/>
        <v/>
      </c>
      <c r="J16" s="55"/>
      <c r="K16" s="55"/>
    </row>
    <row r="17" spans="1:11" ht="15.6">
      <c r="A17" s="47" t="str">
        <v>Friona - 900 Millard Ave</v>
      </c>
      <c r="B17" s="48" t="str">
        <v>TX</v>
      </c>
      <c r="C17" s="41"/>
      <c r="D17" s="42"/>
      <c r="E17" s="42" t="str">
        <f t="shared" si="0"/>
        <v/>
      </c>
      <c r="F17" s="43" t="str">
        <f t="shared" si="1"/>
        <v/>
      </c>
      <c r="G17" s="44"/>
      <c r="H17" s="44" t="str">
        <f t="shared" si="2"/>
        <v/>
      </c>
      <c r="I17" s="43" t="str">
        <f t="shared" si="3"/>
        <v/>
      </c>
      <c r="J17" s="69"/>
      <c r="K17" s="69"/>
    </row>
    <row r="18" spans="1:11" ht="15.6">
      <c r="A18" s="49" t="str">
        <v>Augusta - 13 York Farm Road</v>
      </c>
      <c r="B18" s="46" t="str">
        <v>ME</v>
      </c>
      <c r="C18" s="34"/>
      <c r="D18" s="35"/>
      <c r="E18" s="35" t="str">
        <f t="shared" si="0"/>
        <v/>
      </c>
      <c r="F18" s="36" t="str">
        <f t="shared" si="1"/>
        <v/>
      </c>
      <c r="G18" s="37"/>
      <c r="H18" s="37" t="str">
        <f t="shared" si="2"/>
        <v/>
      </c>
      <c r="I18" s="38" t="str">
        <f t="shared" si="3"/>
        <v/>
      </c>
      <c r="J18" s="75"/>
      <c r="K18" s="75"/>
    </row>
    <row r="19" spans="1:11" ht="15.6">
      <c r="A19" s="47" t="str">
        <v xml:space="preserve">Santa Ana - 1441 West </v>
      </c>
      <c r="B19" s="48" t="str">
        <v>CA</v>
      </c>
      <c r="C19" s="41"/>
      <c r="D19" s="42"/>
      <c r="E19" s="42" t="str">
        <f t="shared" si="0"/>
        <v/>
      </c>
      <c r="F19" s="43" t="str">
        <f t="shared" si="1"/>
        <v/>
      </c>
      <c r="G19" s="44"/>
      <c r="H19" s="44" t="str">
        <f t="shared" si="2"/>
        <v/>
      </c>
      <c r="I19" s="43" t="str">
        <f t="shared" si="3"/>
        <v/>
      </c>
      <c r="J19" s="69"/>
      <c r="K19" s="88"/>
    </row>
    <row r="20" spans="1:11" ht="15.6">
      <c r="A20" s="49" t="str">
        <v>Jessup -7950 Oceano Ave</v>
      </c>
      <c r="B20" s="46" t="str">
        <v>MD</v>
      </c>
      <c r="C20" s="34"/>
      <c r="D20" s="35"/>
      <c r="E20" s="35" t="str">
        <f t="shared" si="0"/>
        <v/>
      </c>
      <c r="F20" s="36" t="str">
        <f t="shared" si="1"/>
        <v/>
      </c>
      <c r="G20" s="37"/>
      <c r="H20" s="37" t="str">
        <f t="shared" si="2"/>
        <v/>
      </c>
      <c r="I20" s="38" t="str">
        <f t="shared" si="3"/>
        <v/>
      </c>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B26" sqref="B26"/>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99</v>
      </c>
      <c r="B1" t="s">
        <v>100</v>
      </c>
    </row>
    <row r="3" spans="1:12" ht="13.15">
      <c r="A3" t="s">
        <v>101</v>
      </c>
      <c r="B3" t="s">
        <v>3</v>
      </c>
      <c r="C3" t="s">
        <v>4</v>
      </c>
      <c r="D3" t="s">
        <v>102</v>
      </c>
      <c r="E3" s="2" t="s">
        <v>103</v>
      </c>
    </row>
    <row r="4" spans="1:12" ht="14.45">
      <c r="A4" s="24" t="s">
        <v>104</v>
      </c>
      <c r="B4" t="s">
        <v>105</v>
      </c>
      <c r="C4" s="23" t="s">
        <v>106</v>
      </c>
      <c r="D4" s="22" t="s">
        <v>107</v>
      </c>
      <c r="E4" t="s">
        <v>108</v>
      </c>
      <c r="G4" s="3"/>
    </row>
    <row r="5" spans="1:12" ht="14.45">
      <c r="A5" s="24" t="s">
        <v>109</v>
      </c>
      <c r="B5" t="s">
        <v>110</v>
      </c>
      <c r="C5" s="23" t="s">
        <v>106</v>
      </c>
      <c r="D5" s="22"/>
      <c r="E5" t="s">
        <v>111</v>
      </c>
      <c r="G5" s="3"/>
    </row>
    <row r="6" spans="1:12" ht="14.45">
      <c r="A6" s="24" t="s">
        <v>112</v>
      </c>
      <c r="B6" t="s">
        <v>113</v>
      </c>
      <c r="C6" s="23" t="s">
        <v>114</v>
      </c>
      <c r="D6" s="22" t="s">
        <v>107</v>
      </c>
      <c r="E6" t="s">
        <v>108</v>
      </c>
      <c r="G6" s="3"/>
    </row>
    <row r="7" spans="1:12" ht="12.75" customHeight="1">
      <c r="A7" s="24" t="s">
        <v>115</v>
      </c>
      <c r="B7" t="s">
        <v>116</v>
      </c>
      <c r="C7" s="23" t="s">
        <v>114</v>
      </c>
      <c r="D7" s="22" t="s">
        <v>107</v>
      </c>
      <c r="E7" t="s">
        <v>108</v>
      </c>
    </row>
    <row r="8" spans="1:12" ht="12.75" customHeight="1">
      <c r="A8" s="24" t="s">
        <v>117</v>
      </c>
      <c r="B8" t="s">
        <v>118</v>
      </c>
      <c r="C8" s="23" t="s">
        <v>114</v>
      </c>
      <c r="D8" s="22" t="s">
        <v>107</v>
      </c>
      <c r="E8" t="s">
        <v>108</v>
      </c>
    </row>
    <row r="9" spans="1:12" ht="12.75" customHeight="1">
      <c r="A9" s="24" t="s">
        <v>119</v>
      </c>
      <c r="B9" t="s">
        <v>120</v>
      </c>
      <c r="C9" s="23" t="s">
        <v>114</v>
      </c>
      <c r="D9" s="22" t="s">
        <v>107</v>
      </c>
      <c r="E9" t="s">
        <v>108</v>
      </c>
    </row>
    <row r="10" spans="1:12" ht="12.75" customHeight="1">
      <c r="A10" s="24" t="s">
        <v>121</v>
      </c>
      <c r="B10" t="s">
        <v>122</v>
      </c>
      <c r="C10" s="23" t="s">
        <v>123</v>
      </c>
      <c r="D10" s="22" t="s">
        <v>107</v>
      </c>
      <c r="E10" t="s">
        <v>108</v>
      </c>
      <c r="K10" s="20"/>
      <c r="L10" s="20"/>
    </row>
    <row r="11" spans="1:12" ht="12.75" customHeight="1">
      <c r="A11" s="24" t="s">
        <v>124</v>
      </c>
      <c r="B11" t="s">
        <v>125</v>
      </c>
      <c r="C11" s="23" t="s">
        <v>123</v>
      </c>
      <c r="D11" s="22" t="s">
        <v>107</v>
      </c>
      <c r="E11" t="s">
        <v>108</v>
      </c>
      <c r="K11" s="20"/>
      <c r="L11" s="20"/>
    </row>
    <row r="12" spans="1:12" ht="12.75" customHeight="1">
      <c r="A12" s="24" t="s">
        <v>126</v>
      </c>
      <c r="B12" t="s">
        <v>127</v>
      </c>
      <c r="C12" s="23" t="s">
        <v>123</v>
      </c>
      <c r="D12" s="22" t="s">
        <v>107</v>
      </c>
      <c r="E12" t="s">
        <v>111</v>
      </c>
      <c r="K12" s="20"/>
      <c r="L12" s="20"/>
    </row>
    <row r="13" spans="1:12" ht="12.75" customHeight="1">
      <c r="A13" s="24" t="s">
        <v>128</v>
      </c>
      <c r="B13" t="s">
        <v>129</v>
      </c>
      <c r="C13" s="23" t="s">
        <v>123</v>
      </c>
      <c r="D13" s="22" t="s">
        <v>107</v>
      </c>
      <c r="E13" t="s">
        <v>108</v>
      </c>
      <c r="K13" s="20"/>
      <c r="L13" s="20"/>
    </row>
    <row r="14" spans="1:12" ht="12.75" customHeight="1">
      <c r="A14" s="24" t="s">
        <v>130</v>
      </c>
      <c r="B14" t="s">
        <v>131</v>
      </c>
      <c r="C14" s="23" t="s">
        <v>123</v>
      </c>
      <c r="D14" s="22" t="s">
        <v>107</v>
      </c>
      <c r="E14" t="s">
        <v>108</v>
      </c>
      <c r="K14" s="20"/>
      <c r="L14" s="20"/>
    </row>
    <row r="15" spans="1:12" ht="12.75" customHeight="1">
      <c r="A15" s="24" t="s">
        <v>132</v>
      </c>
      <c r="B15" t="s">
        <v>133</v>
      </c>
      <c r="C15" s="23" t="s">
        <v>106</v>
      </c>
      <c r="D15" s="22" t="s">
        <v>107</v>
      </c>
      <c r="E15" t="s">
        <v>108</v>
      </c>
      <c r="K15" s="20"/>
      <c r="L15" s="20"/>
    </row>
    <row r="16" spans="1:12" ht="12.75" customHeight="1">
      <c r="A16" s="24" t="s">
        <v>134</v>
      </c>
      <c r="B16" t="s">
        <v>135</v>
      </c>
      <c r="C16" s="23" t="s">
        <v>136</v>
      </c>
      <c r="D16" s="22" t="s">
        <v>107</v>
      </c>
      <c r="E16" t="s">
        <v>108</v>
      </c>
      <c r="K16" s="20"/>
      <c r="L16" s="20"/>
    </row>
    <row r="17" spans="1:12" ht="12.75" customHeight="1">
      <c r="A17" s="24" t="s">
        <v>137</v>
      </c>
      <c r="B17" t="s">
        <v>138</v>
      </c>
      <c r="C17" s="23" t="s">
        <v>136</v>
      </c>
      <c r="D17" s="22" t="s">
        <v>107</v>
      </c>
      <c r="E17" t="s">
        <v>108</v>
      </c>
      <c r="K17" s="20"/>
      <c r="L17" s="20"/>
    </row>
    <row r="18" spans="1:12" ht="12.75" customHeight="1">
      <c r="A18" s="70" t="s">
        <v>139</v>
      </c>
      <c r="B18" s="71" t="s">
        <v>140</v>
      </c>
      <c r="C18" s="23" t="s">
        <v>141</v>
      </c>
      <c r="D18" s="22" t="s">
        <v>107</v>
      </c>
      <c r="E18" t="s">
        <v>108</v>
      </c>
      <c r="K18" s="20"/>
      <c r="L18" s="20"/>
    </row>
    <row r="19" spans="1:12" ht="12.75" customHeight="1">
      <c r="A19" s="70" t="s">
        <v>142</v>
      </c>
      <c r="B19" s="71" t="s">
        <v>143</v>
      </c>
      <c r="C19" s="23" t="s">
        <v>106</v>
      </c>
      <c r="D19" s="22" t="s">
        <v>107</v>
      </c>
      <c r="E19" t="s">
        <v>108</v>
      </c>
      <c r="K19" s="20"/>
      <c r="L19" s="20"/>
    </row>
    <row r="20" spans="1:12" ht="12.75" customHeight="1">
      <c r="A20" s="70" t="s">
        <v>144</v>
      </c>
      <c r="B20" s="71" t="s">
        <v>145</v>
      </c>
      <c r="C20" s="23" t="s">
        <v>146</v>
      </c>
      <c r="D20" s="22" t="s">
        <v>107</v>
      </c>
      <c r="E20" t="s">
        <v>108</v>
      </c>
      <c r="K20" s="20"/>
      <c r="L20" s="20"/>
    </row>
    <row r="21" spans="1:12" ht="12.75" customHeight="1">
      <c r="A21" s="70" t="s">
        <v>147</v>
      </c>
      <c r="B21" s="71" t="s">
        <v>148</v>
      </c>
      <c r="C21" s="23" t="s">
        <v>136</v>
      </c>
      <c r="E21" s="86" t="s">
        <v>108</v>
      </c>
      <c r="K21" s="20"/>
      <c r="L21" s="20"/>
    </row>
    <row r="22" spans="1:12" ht="12.75" customHeight="1">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C0BCDC1E-6052-4E48-9BAF-94A40814E7C2}"/>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2BC74AAC-D69B-4AF1-9649-B21EF3C1C463}"/>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2025-03-25T09:21:24Z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