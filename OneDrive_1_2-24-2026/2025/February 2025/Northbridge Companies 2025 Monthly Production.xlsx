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C89D0BCD-C637-4DD5-89BC-FFCAFEDC5EB6}" xr6:coauthVersionLast="47" xr6:coauthVersionMax="47" xr10:uidLastSave="{591C02BE-5C0B-4F45-8EF7-AA2D4A776EE0}"/>
  <bookViews>
    <workbookView xWindow="28680" yWindow="-120" windowWidth="29040" windowHeight="15720" tabRatio="866" firstSheet="6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<sst xmlns="http://schemas.openxmlformats.org/spreadsheetml/2006/main" count="248" uniqueCount="61">
  <si>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</si>
  <si>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</si>
  <si>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</si>
  <si>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</si>
  <si>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</si>
  <si>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</si>
  <si>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</si>
  <si>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</si>
  <si>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</si>
  <si>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</si>
  <si>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</si>
  <si>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</si>
  <si>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</si>
  <si>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</si>
  <si>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</si>
  <si>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</si>
  <si>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</si>
  <si>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</si>
  <si>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</si>
  <si>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</si>
  <si>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</si>
  <si>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</si>
  <si>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</si>
  <si>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</si>
  <si>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</si>
  <si>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</si>
  <si>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02/14.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</si>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</sst>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F4" sqref="F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6">
        <f>SUM(C4:C90)</f>
        <v>67640.884999999995</v>
      </c>
      <c r="D2" s="6">
        <f>SUM(D4:D90)</f>
        <v>55440.657999999996</v>
      </c>
      <c r="E2" s="6">
        <f>C2-D2</f>
        <v>12200.226999999999</v>
      </c>
      <c r="F2" s="7">
        <f>IFERROR(E2/D2, 0)</f>
        <v>0.22005920276054444</v>
      </c>
      <c r="G2" s="6">
        <f>SUM(G4:G90)</f>
        <v>29748.288999999997</v>
      </c>
      <c r="H2" s="8">
        <f>C2-G2</f>
        <v>37892.595999999998</v>
      </c>
      <c r="I2" s="7">
        <f>IFERROR(H2/G2, 0)</f>
        <v>1.273773963941254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36910.259999999995</v>
      </c>
      <c r="D4" s="14">
        <f>SUM('1st Qtr'!D4, '2nd Qtr'!D4, '3rd Qtr'!D4, '4th Qtr'!D4)</f>
        <v>0</v>
      </c>
      <c r="E4" s="14">
        <f>IF(AND(ISNUMBER(C4),ISNUMBER(D4)), C4-D4, "")</f>
        <v>36910.259999999995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36910.259999999995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20">
        <f>SUM('1st Qtr'!C5, '2nd Qtr'!C5, '3rd Qtr'!C5, '4th Qtr'!C5)</f>
        <v>30730.625</v>
      </c>
      <c r="D5" s="20">
        <f>SUM('1st Qtr'!D5, '2nd Qtr'!D5, '3rd Qtr'!D5, '4th Qtr'!D5)</f>
        <v>55440.657999999996</v>
      </c>
      <c r="E5" s="20">
        <f t="shared" ref="E5" si="0">IF(AND(ISNUMBER(C5),ISNUMBER(D5)), C5-D5, "")</f>
        <v>-24710.032999999996</v>
      </c>
      <c r="F5" s="21">
        <f>IFERROR(E5/D5, "")</f>
        <v>-0.44570237604322804</v>
      </c>
      <c r="G5" s="22">
        <f>SUM('1st Qtr'!G5,'2nd Qtr'!G5,'3rd Qtr'!G5,'4th Qtr'!G5)</f>
        <v>29748.288999999997</v>
      </c>
      <c r="H5" s="22">
        <f>SUM('1st Qtr'!H5, '2nd Qtr'!H5, '3rd Qtr'!H5, '4th Qtr'!H5)</f>
        <v>982.33600000000115</v>
      </c>
      <c r="I5" s="21">
        <f>IFERROR(H5/G5, "")</f>
        <v>3.3021596637036882E-2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C4" sqref="C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6">
        <f>SUM(C4:C90)</f>
        <v>67640.884999999995</v>
      </c>
      <c r="D2" s="6">
        <f>SUM(D4:D90)</f>
        <v>55440.657999999996</v>
      </c>
      <c r="E2" s="6">
        <f>C2-D2</f>
        <v>12200.226999999999</v>
      </c>
      <c r="F2" s="7">
        <f>IFERROR(E2/D2, 0)</f>
        <v>0.22005920276054444</v>
      </c>
      <c r="G2" s="6">
        <f>SUM(G4:G90)</f>
        <v>29748.288999999997</v>
      </c>
      <c r="H2" s="8">
        <f>C2-G2</f>
        <v>37892.595999999998</v>
      </c>
      <c r="I2" s="7">
        <f>IFERROR(H2/G2, 0)</f>
        <v>1.273773963941254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36910.259999999995</v>
      </c>
      <c r="D4" s="14">
        <f>SUM(Jan!D4, Feb!D4, Mar!D4)</f>
        <v>0</v>
      </c>
      <c r="E4" s="14">
        <f>IF(AND(ISNUMBER(C4),ISNUMBER(D4)), C4-D4, "")</f>
        <v>36910.259999999995</v>
      </c>
      <c r="F4" s="15" t="str">
        <f>IFERROR(E4/D4, "")</f>
        <v/>
      </c>
      <c r="G4" s="16">
        <f>SUM(Jan!G4, Feb!G4, Mar!G4)</f>
        <v>0</v>
      </c>
      <c r="H4" s="16">
        <f>SUM(Jan!H4, Feb!H4, Mar!H4)</f>
        <v>36910.259999999995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30730.625</v>
      </c>
      <c r="D5" s="20">
        <f>SUM(Jan!D5, Feb!D5, Mar!D5)</f>
        <v>55440.657999999996</v>
      </c>
      <c r="E5" s="20">
        <f t="shared" ref="E5" si="0">IF(AND(ISNUMBER(C5),ISNUMBER(D5)), C5-D5, "")</f>
        <v>-24710.032999999996</v>
      </c>
      <c r="F5" s="21">
        <f>IFERROR(E5/D5, "")</f>
        <v>-0.44570237604322804</v>
      </c>
      <c r="G5" s="22">
        <f>SUM(Jan!G5, Feb!G5, Mar!G5)</f>
        <v>29748.288999999997</v>
      </c>
      <c r="H5" s="22">
        <f>SUM(Jan!H5, Feb!H5, Mar!H5)</f>
        <v>982.33600000000115</v>
      </c>
      <c r="I5" s="21">
        <f>IFERROR(H5/G5, "")</f>
        <v>3.3021596637036882E-2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12">
        <f>SUM(Apr!G5, May!G5, Jun!G5)</f>
        <v>0</v>
      </c>
      <c r="H5" s="22">
        <f>SUM(Apr!H5, May!H5, Jun!H5)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SUM(Jul!G5, Aug!G5, Sep!G5)</f>
        <v>0</v>
      </c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zoomScale="70" zoomScaleNormal="70" workbookViewId="0">
      <pane ySplit="3" topLeftCell="F5" activePane="bottomLeft" state="frozen"/>
      <selection pane="bottomLeft" activeCell="F5" sqref="F5"/>
      <selection activeCell="F18" sqref="F18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>
        <v>0</v>
      </c>
      <c r="E4" s="14">
        <f>IF(AND(ISNUMBER(C4),ISNUMBER(D4)), C4-D4, "")</f>
        <v>17790</v>
      </c>
      <c r="F4" s="15" t="str">
        <f>IFERROR(E4/D4, "")</f>
        <v/>
      </c>
      <c r="G4" s="16">
        <v>0</v>
      </c>
      <c r="H4" s="16">
        <f>IF(AND(ISNUMBER(C4),ISNUMBER(G4)), C4-G4, "")</f>
        <v>17790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22</v>
      </c>
      <c r="K5" s="51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workbookViewId="0">
      <pane ySplit="2" topLeftCell="A3" activePane="bottomLeft" state="frozen"/>
      <selection pane="bottomLeft" activeCell="J13" sqref="J13"/>
      <selection activeCell="F18" sqref="F18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4" t="str" cm="1">
        <f t="array" ref="A1">portfolio</f>
        <v>Northbridge Companies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5"/>
      <c r="K1" s="5"/>
    </row>
    <row r="2" spans="1:12" ht="19.5" customHeight="1">
      <c r="A2" s="56" t="s">
        <v>2</v>
      </c>
      <c r="B2" s="56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>
        <v>0</v>
      </c>
      <c r="E4" s="14">
        <f>IF(AND(ISNUMBER(C4),ISNUMBER(D4)), C4-D4, "")</f>
        <v>19120.259999999998</v>
      </c>
      <c r="F4" s="15" t="str">
        <f>IFERROR(E4/D4, "")</f>
        <v/>
      </c>
      <c r="G4" s="16">
        <v>0</v>
      </c>
      <c r="H4" s="16">
        <f>IF(AND(ISNUMBER(C4),ISNUMBER(G4)), C4-G4, "")</f>
        <v>19120.259999999998</v>
      </c>
      <c r="I4" s="17" t="str">
        <f>IFERROR(H4/G4, "")</f>
        <v/>
      </c>
      <c r="J4" s="18"/>
      <c r="K4" s="18"/>
    </row>
    <row r="5" spans="1:12" ht="100.5" customHeight="1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26</v>
      </c>
      <c r="K5" s="51" t="s">
        <v>27</v>
      </c>
      <c r="L5" s="52" t="s">
        <v>28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A4114AA4-3AAA-4141-942B-928598D02D28}"/>
    <hyperlink ref="L5" r:id="rId2" display="https://us3.assetplanner.com/service_request?ID=094280" xr:uid="{69927D02-4ACD-4713-91D5-9F0EE9AA37A9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29</v>
      </c>
      <c r="E1" s="55"/>
      <c r="F1" s="55"/>
      <c r="G1" s="53" t="s">
        <v>30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4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31</v>
      </c>
      <c r="E1" s="55"/>
      <c r="F1" s="55"/>
      <c r="G1" s="53" t="s">
        <v>32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33</v>
      </c>
      <c r="E1" s="55"/>
      <c r="F1" s="55"/>
      <c r="G1" s="53" t="s">
        <v>34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4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35</v>
      </c>
      <c r="E1" s="55"/>
      <c r="F1" s="55"/>
      <c r="G1" s="53" t="s">
        <v>36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37</v>
      </c>
      <c r="E1" s="55"/>
      <c r="F1" s="55"/>
      <c r="G1" s="53" t="s">
        <v>38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39</v>
      </c>
      <c r="E1" s="55"/>
      <c r="F1" s="55"/>
      <c r="G1" s="53" t="s">
        <v>40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41</v>
      </c>
      <c r="E1" s="55"/>
      <c r="F1" s="55"/>
      <c r="G1" s="53" t="s">
        <v>42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43</v>
      </c>
      <c r="E1" s="55"/>
      <c r="F1" s="55"/>
      <c r="G1" s="53" t="s">
        <v>44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8"/>
      <c r="K5" s="47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45</v>
      </c>
      <c r="E1" s="55"/>
      <c r="F1" s="55"/>
      <c r="G1" s="53" t="s">
        <v>46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8"/>
      <c r="K5" s="4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47</v>
      </c>
      <c r="E1" s="55"/>
      <c r="F1" s="55"/>
      <c r="G1" s="53" t="s">
        <v>48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50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5" sqref="B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45">
      <c r="A4" t="s">
        <v>54</v>
      </c>
      <c r="B4" t="s">
        <v>55</v>
      </c>
      <c r="C4" s="4" t="s">
        <v>56</v>
      </c>
      <c r="E4" t="s">
        <v>57</v>
      </c>
      <c r="G4" s="3"/>
    </row>
    <row r="5" spans="1:7" ht="14.45">
      <c r="A5" t="s">
        <v>58</v>
      </c>
      <c r="B5" t="s">
        <v>59</v>
      </c>
      <c r="C5" s="4" t="s">
        <v>56</v>
      </c>
      <c r="E5" t="s">
        <v>60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2025-04-17T05:58:32Z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