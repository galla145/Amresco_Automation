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320ACCBB-3527-43A5-9E8A-03C495C675A2}" xr6:coauthVersionLast="47" xr6:coauthVersionMax="47" xr10:uidLastSave="{58ED48CB-ABBC-4EDD-BA38-190220855F43}"/>
  <bookViews>
    <workbookView xWindow="-108" yWindow="-108" windowWidth="23256" windowHeight="1245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<sst xmlns="http://schemas.openxmlformats.org/spreadsheetml/2006/main" count="241" uniqueCount="53">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</sst>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Meriden - 95 Research Pkwy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7123.99</v>
      </c>
      <c r="D4" s="12">
        <f>SUM('1st Qtr'!D4, '2nd Qtr'!D4, '3rd Qtr'!D4, '4th Qtr'!D4)</f>
        <v>0</v>
      </c>
      <c r="E4" s="12">
        <f>IF(AND(ISNUMBER(C4),ISNUMBER(D4)), C4-D4, "")</f>
        <v>7123.99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Meriden - 95 Research Pkwy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7123.99</v>
      </c>
      <c r="D4" s="12">
        <f>SUM(Jan!D4, Feb!D4, Mar!D4)</f>
        <v>0</v>
      </c>
      <c r="E4" s="12">
        <f>IF(AND(ISNUMBER(C4),ISNUMBER(D4)), C4-D4, "")</f>
        <v>7123.99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Meriden - 95 Research Pkwy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Meriden - 95 Research Pkwy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Meriden - 95 Research Pkwy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9" sqref="J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27</v>
      </c>
      <c r="E1" s="56"/>
      <c r="F1" s="56"/>
      <c r="G1" s="54" t="s">
        <v>28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9.7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29</v>
      </c>
      <c r="E1" s="56"/>
      <c r="F1" s="56"/>
      <c r="G1" s="54" t="s">
        <v>30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35</v>
      </c>
      <c r="E1" s="56"/>
      <c r="F1" s="56"/>
      <c r="G1" s="54" t="s">
        <v>36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39</v>
      </c>
      <c r="E1" s="56"/>
      <c r="F1" s="56"/>
      <c r="G1" s="54" t="s">
        <v>40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Meriden - 95 Research Pkwy</v>
      </c>
      <c r="B1" s="55"/>
      <c r="C1" s="55"/>
      <c r="D1" s="56" t="s">
        <v>43</v>
      </c>
      <c r="E1" s="56"/>
      <c r="F1" s="56"/>
      <c r="G1" s="54" t="s">
        <v>44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9" sqref="D9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45</v>
      </c>
      <c r="B1" t="s">
        <v>46</v>
      </c>
    </row>
    <row r="3" spans="1:12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12" ht="14.45">
      <c r="A4" s="45" t="s">
        <v>46</v>
      </c>
      <c r="B4" t="s">
        <v>46</v>
      </c>
      <c r="C4" s="43" t="s">
        <v>50</v>
      </c>
      <c r="D4" s="42" t="s">
        <v>51</v>
      </c>
      <c r="E4" t="s">
        <v>52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14966E4F-347B-477B-B74C-9DAC05405806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2025-03-27T19:05:59Z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