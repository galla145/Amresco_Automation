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70" documentId="13_ncr:1_{4DD5D31B-499B-4561-B4B4-2D338A03D9E4}" xr6:coauthVersionLast="47" xr6:coauthVersionMax="47" xr10:uidLastSave="{58A3D00E-7FE2-4810-988A-D86CD1237647}"/>
  <bookViews>
    <workbookView xWindow="28680" yWindow="-120" windowWidth="29040" windowHeight="15720"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Mar!$A$2:$J$2</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refMode="R1C1" iterateCount="1" calcOnSave="0" concurrentCalc="0"/>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 i="3" l="1"/>
  <c r="J29" i="3"/>
  <c r="J30" i="3"/>
  <c r="J31" i="3"/>
  <c r="J32" i="3"/>
  <c r="J33" i="3"/>
  <c r="J35" i="3"/>
  <c r="J37" i="3"/>
  <c r="J38" i="3"/>
  <c r="J39" i="3"/>
  <c r="J40" i="3"/>
  <c r="J41" i="3"/>
  <c r="J42" i="3"/>
  <c r="J43" i="3"/>
  <c r="J44" i="3"/>
  <c r="J45" i="3"/>
  <c r="J46" i="3"/>
  <c r="J47" i="3"/>
  <c r="J48" i="3"/>
  <c r="J49" i="3"/>
  <c r="J50" i="3"/>
  <c r="J51" i="3"/>
  <c r="J53" i="3"/>
  <c r="J54" i="3"/>
  <c r="J55" i="3"/>
  <c r="J57" i="3"/>
  <c r="J58" i="3"/>
  <c r="J59" i="3"/>
  <c r="J60" i="3"/>
  <c r="J61" i="3"/>
  <c r="J62" i="3"/>
  <c r="J63" i="3"/>
  <c r="J64" i="3"/>
  <c r="J65" i="3"/>
  <c r="J67" i="3"/>
  <c r="J68" i="3"/>
  <c r="J69" i="3"/>
  <c r="J70" i="3"/>
  <c r="J71"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 i="3"/>
  <c r="J20" i="3"/>
  <c r="J21" i="3"/>
  <c r="J23" i="3"/>
  <c r="J24" i="3"/>
  <c r="J25" i="3"/>
  <c r="J6" i="3"/>
  <c r="J7" i="3"/>
  <c r="J9" i="3"/>
  <c r="J10" i="3"/>
  <c r="J11" i="3"/>
  <c r="J13" i="3"/>
  <c r="J14" i="3"/>
  <c r="J15" i="3"/>
  <c r="J16" i="3"/>
  <c r="J17" i="3"/>
  <c r="I190" i="18"/>
  <c r="I191" i="18"/>
  <c r="I192" i="18"/>
  <c r="I193" i="18"/>
  <c r="I194" i="18"/>
  <c r="I195" i="18"/>
  <c r="H190" i="18"/>
  <c r="H191" i="18"/>
  <c r="H192" i="18"/>
  <c r="H193" i="18"/>
  <c r="H194" i="18"/>
  <c r="H195" i="18"/>
  <c r="F190" i="18"/>
  <c r="F191" i="18"/>
  <c r="F192" i="18"/>
  <c r="F193" i="18"/>
  <c r="F194" i="18"/>
  <c r="F195" i="18"/>
  <c r="E190" i="18"/>
  <c r="E191" i="18"/>
  <c r="E192" i="18"/>
  <c r="E193" i="18"/>
  <c r="E194" i="18"/>
  <c r="E195" i="18"/>
  <c r="D190" i="18"/>
  <c r="D191" i="18"/>
  <c r="D192" i="18"/>
  <c r="D193" i="18"/>
  <c r="D194" i="18"/>
  <c r="D195" i="18"/>
  <c r="I186" i="29"/>
  <c r="I187" i="29"/>
  <c r="I188" i="29"/>
  <c r="I189" i="29"/>
  <c r="I190" i="29"/>
  <c r="I191" i="29"/>
  <c r="I192" i="29"/>
  <c r="I193" i="29"/>
  <c r="I194" i="29"/>
  <c r="I195" i="29"/>
  <c r="H186" i="29"/>
  <c r="H187" i="29"/>
  <c r="H188" i="29"/>
  <c r="H189" i="29"/>
  <c r="H190" i="29"/>
  <c r="H191" i="29"/>
  <c r="H192" i="29"/>
  <c r="H193" i="29"/>
  <c r="H194" i="29"/>
  <c r="H195" i="29"/>
  <c r="F189" i="29"/>
  <c r="F190" i="29"/>
  <c r="F191" i="29"/>
  <c r="F192" i="29"/>
  <c r="F193" i="29"/>
  <c r="F194" i="29"/>
  <c r="F195" i="29"/>
  <c r="E189" i="29"/>
  <c r="E190" i="29"/>
  <c r="E191" i="29"/>
  <c r="E192" i="29"/>
  <c r="E193" i="29"/>
  <c r="E194" i="29"/>
  <c r="E195" i="29"/>
  <c r="D189" i="29"/>
  <c r="D190" i="29"/>
  <c r="D191" i="29"/>
  <c r="D192" i="29"/>
  <c r="D193" i="29"/>
  <c r="D194" i="29"/>
  <c r="D195" i="29"/>
  <c r="I195" i="30"/>
  <c r="I190" i="30"/>
  <c r="I191" i="30"/>
  <c r="I192" i="30"/>
  <c r="I193" i="30"/>
  <c r="I194" i="30"/>
  <c r="H190" i="30"/>
  <c r="H191" i="30"/>
  <c r="H192" i="30"/>
  <c r="H193" i="30"/>
  <c r="H194" i="30"/>
  <c r="H195" i="30"/>
  <c r="F190" i="30"/>
  <c r="F191" i="30"/>
  <c r="F192" i="30"/>
  <c r="F193" i="30"/>
  <c r="F194" i="30"/>
  <c r="F195" i="30"/>
  <c r="E190" i="30"/>
  <c r="E191" i="30"/>
  <c r="E192" i="30"/>
  <c r="E193" i="30"/>
  <c r="E194" i="30"/>
  <c r="E195" i="30"/>
  <c r="D190" i="30"/>
  <c r="D191" i="30"/>
  <c r="D192" i="30"/>
  <c r="D193" i="30"/>
  <c r="D194" i="30"/>
  <c r="D195" i="30"/>
  <c r="C185" i="30"/>
  <c r="C186" i="30"/>
  <c r="C187" i="30"/>
  <c r="C188" i="30"/>
  <c r="C189" i="30"/>
  <c r="C190" i="30"/>
  <c r="C191" i="30"/>
  <c r="C192" i="30"/>
  <c r="C193" i="30"/>
  <c r="C194" i="30"/>
  <c r="C195" i="30"/>
  <c r="H188" i="34"/>
  <c r="I188" i="34"/>
  <c r="J188" i="34"/>
  <c r="H189" i="34"/>
  <c r="I189" i="34"/>
  <c r="J189" i="34"/>
  <c r="H190" i="34"/>
  <c r="I190" i="34"/>
  <c r="J190" i="34"/>
  <c r="H191" i="34"/>
  <c r="I191" i="34"/>
  <c r="J191" i="34"/>
  <c r="H192" i="34"/>
  <c r="I192" i="34"/>
  <c r="J192" i="34"/>
  <c r="H193" i="34"/>
  <c r="I193" i="34"/>
  <c r="J193" i="34"/>
  <c r="H194" i="34"/>
  <c r="I194" i="34"/>
  <c r="J194" i="34"/>
  <c r="H195" i="34"/>
  <c r="I195" i="34"/>
  <c r="J195" i="34"/>
  <c r="D190" i="34"/>
  <c r="E190" i="34"/>
  <c r="F190" i="34"/>
  <c r="G190" i="34"/>
  <c r="D191" i="34"/>
  <c r="E191" i="34"/>
  <c r="F191" i="34"/>
  <c r="G191" i="34"/>
  <c r="D192" i="34"/>
  <c r="E192" i="34"/>
  <c r="F192" i="34"/>
  <c r="G192" i="34"/>
  <c r="D193" i="34"/>
  <c r="E193" i="34"/>
  <c r="F193" i="34"/>
  <c r="G193" i="34"/>
  <c r="D194" i="34"/>
  <c r="E194" i="34"/>
  <c r="F194" i="34"/>
  <c r="G194" i="34"/>
  <c r="D195" i="34"/>
  <c r="E195" i="34"/>
  <c r="F195" i="34"/>
  <c r="G195" i="34"/>
  <c r="C185" i="34"/>
  <c r="C186" i="34"/>
  <c r="C187" i="34"/>
  <c r="C188" i="34"/>
  <c r="C189" i="34"/>
  <c r="C190" i="34"/>
  <c r="C191" i="34"/>
  <c r="C192" i="34"/>
  <c r="C193" i="34"/>
  <c r="C194" i="34"/>
  <c r="C195" i="34"/>
  <c r="J188" i="1"/>
  <c r="J189" i="1"/>
  <c r="J190" i="1"/>
  <c r="J191" i="1"/>
  <c r="J192" i="1"/>
  <c r="J193" i="1"/>
  <c r="J194" i="1"/>
  <c r="J195" i="1"/>
  <c r="I188" i="1"/>
  <c r="I189" i="1"/>
  <c r="I190" i="1"/>
  <c r="I191" i="1"/>
  <c r="I192" i="1"/>
  <c r="I193" i="1"/>
  <c r="I194" i="1"/>
  <c r="I195" i="1"/>
  <c r="H189" i="1"/>
  <c r="H190" i="1"/>
  <c r="H191" i="1"/>
  <c r="H192" i="1"/>
  <c r="H193" i="1"/>
  <c r="H194" i="1"/>
  <c r="H195" i="1"/>
  <c r="G194" i="1"/>
  <c r="G195" i="1"/>
  <c r="G190" i="1"/>
  <c r="G191" i="1"/>
  <c r="G192" i="1"/>
  <c r="G193" i="1"/>
  <c r="F190" i="1"/>
  <c r="F191" i="1"/>
  <c r="F192" i="1"/>
  <c r="F193" i="1"/>
  <c r="F194" i="1"/>
  <c r="F195" i="1"/>
  <c r="E190" i="1"/>
  <c r="E191" i="1"/>
  <c r="E192" i="1"/>
  <c r="E193" i="1"/>
  <c r="E194" i="1"/>
  <c r="E195" i="1"/>
  <c r="C186" i="29"/>
  <c r="C187" i="29"/>
  <c r="C188" i="29"/>
  <c r="C189" i="29"/>
  <c r="C190" i="29"/>
  <c r="C191" i="29"/>
  <c r="C192" i="29"/>
  <c r="C193" i="29"/>
  <c r="C194" i="29"/>
  <c r="C195" i="29"/>
  <c r="D190" i="1"/>
  <c r="D191" i="1"/>
  <c r="D192" i="1"/>
  <c r="D193" i="1"/>
  <c r="D194" i="1"/>
  <c r="D195" i="1"/>
  <c r="C186" i="18"/>
  <c r="C187" i="18"/>
  <c r="C188" i="18"/>
  <c r="C189" i="18"/>
  <c r="C190" i="18"/>
  <c r="C191" i="18"/>
  <c r="C192" i="18"/>
  <c r="C193" i="18"/>
  <c r="C194" i="18"/>
  <c r="C195" i="18"/>
  <c r="C186" i="1"/>
  <c r="C187" i="1"/>
  <c r="C188" i="1"/>
  <c r="C189" i="1"/>
  <c r="C190" i="1"/>
  <c r="C191" i="1"/>
  <c r="C192" i="1"/>
  <c r="C193" i="1"/>
  <c r="C194" i="1"/>
  <c r="C195" i="1"/>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160" i="3"/>
  <c r="C161" i="3"/>
  <c r="C200" i="72"/>
  <c r="C199" i="72"/>
  <c r="C197" i="72"/>
  <c r="C198" i="72"/>
  <c r="C196" i="72"/>
  <c r="C189" i="72"/>
  <c r="C188" i="72"/>
  <c r="C187" i="72"/>
  <c r="C186" i="72"/>
  <c r="C185" i="72"/>
  <c r="C183" i="72"/>
  <c r="C181" i="72"/>
  <c r="C179" i="72"/>
  <c r="C177" i="72"/>
  <c r="C175" i="72"/>
  <c r="C173" i="72"/>
  <c r="C171" i="72"/>
  <c r="C169" i="72"/>
  <c r="C167" i="72"/>
  <c r="C165" i="72"/>
  <c r="C163" i="72"/>
  <c r="C164" i="72"/>
  <c r="I189" i="3"/>
  <c r="I190" i="3"/>
  <c r="I191" i="3"/>
  <c r="I192" i="3"/>
  <c r="I193" i="3"/>
  <c r="I194" i="3"/>
  <c r="I195" i="3"/>
  <c r="F190" i="3"/>
  <c r="G190" i="3"/>
  <c r="F191" i="3"/>
  <c r="G191" i="3"/>
  <c r="F192" i="3"/>
  <c r="G192" i="3"/>
  <c r="F193" i="3"/>
  <c r="G193" i="3"/>
  <c r="F194" i="3"/>
  <c r="G194" i="3"/>
  <c r="F195" i="3"/>
  <c r="G195" i="3"/>
  <c r="I164" i="72"/>
  <c r="J164" i="72"/>
  <c r="I165" i="72"/>
  <c r="J165" i="72"/>
  <c r="I166" i="72"/>
  <c r="J166" i="72"/>
  <c r="I167" i="72"/>
  <c r="J167" i="72"/>
  <c r="I168" i="72"/>
  <c r="J168" i="72"/>
  <c r="I169" i="72"/>
  <c r="J169" i="72"/>
  <c r="I170" i="72"/>
  <c r="J170" i="72"/>
  <c r="I171" i="72"/>
  <c r="J171" i="72"/>
  <c r="I172" i="72"/>
  <c r="J172" i="72"/>
  <c r="I173" i="72"/>
  <c r="J173" i="72"/>
  <c r="I174" i="72"/>
  <c r="J174" i="72"/>
  <c r="I175" i="72"/>
  <c r="J175" i="72"/>
  <c r="I176" i="72"/>
  <c r="J176" i="72"/>
  <c r="I177" i="72"/>
  <c r="J177" i="72"/>
  <c r="I178" i="72"/>
  <c r="J178" i="72"/>
  <c r="I179" i="72"/>
  <c r="J179" i="72"/>
  <c r="I180" i="72"/>
  <c r="J180" i="72"/>
  <c r="I181" i="72"/>
  <c r="J181" i="72"/>
  <c r="I182" i="72"/>
  <c r="J182" i="72"/>
  <c r="I183" i="72"/>
  <c r="J183" i="72"/>
  <c r="I184" i="72"/>
  <c r="J184" i="72"/>
  <c r="I185" i="72"/>
  <c r="J185" i="72"/>
  <c r="I186" i="72"/>
  <c r="J186" i="72"/>
  <c r="I187" i="72"/>
  <c r="J187" i="72"/>
  <c r="I188" i="72"/>
  <c r="J188" i="72"/>
  <c r="I189" i="72"/>
  <c r="J189" i="72"/>
  <c r="I190" i="72"/>
  <c r="J190" i="72"/>
  <c r="I191" i="72"/>
  <c r="J191" i="72"/>
  <c r="I192" i="72"/>
  <c r="J192" i="72"/>
  <c r="I193" i="72"/>
  <c r="J193" i="72"/>
  <c r="I194" i="72"/>
  <c r="J194" i="72"/>
  <c r="I195" i="72"/>
  <c r="J195" i="72"/>
  <c r="F186" i="72"/>
  <c r="G186" i="72"/>
  <c r="F187" i="72"/>
  <c r="G187" i="72"/>
  <c r="F188" i="72"/>
  <c r="G188" i="72"/>
  <c r="F189" i="72"/>
  <c r="G189" i="72"/>
  <c r="F190" i="72"/>
  <c r="G190" i="72"/>
  <c r="F191" i="72"/>
  <c r="G191" i="72"/>
  <c r="F192" i="72"/>
  <c r="G192" i="72"/>
  <c r="F193" i="72"/>
  <c r="G193" i="72"/>
  <c r="F194" i="72"/>
  <c r="G194" i="72"/>
  <c r="F195" i="72"/>
  <c r="G195" i="72"/>
  <c r="C191" i="72"/>
  <c r="C192" i="72"/>
  <c r="C193" i="72"/>
  <c r="C194" i="72"/>
  <c r="C195" i="72"/>
  <c r="C190" i="72"/>
  <c r="D125" i="1"/>
  <c r="D65" i="1"/>
  <c r="D65" i="34"/>
  <c r="I186" i="30"/>
  <c r="I187" i="30"/>
  <c r="I188" i="30"/>
  <c r="I189" i="30"/>
  <c r="H186" i="30"/>
  <c r="H187" i="30"/>
  <c r="H188" i="30"/>
  <c r="H189" i="30"/>
  <c r="F186" i="30"/>
  <c r="F187" i="30"/>
  <c r="F188" i="30"/>
  <c r="F189" i="30"/>
  <c r="E186" i="30"/>
  <c r="E187" i="30"/>
  <c r="E188" i="30"/>
  <c r="E189" i="30"/>
  <c r="D186" i="30"/>
  <c r="D187" i="30"/>
  <c r="D188" i="30"/>
  <c r="D189" i="30"/>
  <c r="D186" i="29"/>
  <c r="F186" i="29"/>
  <c r="D187" i="29"/>
  <c r="D188" i="29"/>
  <c r="F188" i="29"/>
  <c r="F187" i="29"/>
  <c r="E186" i="29"/>
  <c r="E187" i="29"/>
  <c r="E188" i="29"/>
  <c r="H188" i="18"/>
  <c r="H189" i="18"/>
  <c r="I186" i="18"/>
  <c r="I187" i="18"/>
  <c r="I188" i="18"/>
  <c r="I189" i="18"/>
  <c r="H186" i="18"/>
  <c r="H187" i="18"/>
  <c r="F186" i="18"/>
  <c r="F187" i="18"/>
  <c r="F188" i="18"/>
  <c r="F189" i="18"/>
  <c r="E186" i="18"/>
  <c r="E187" i="18"/>
  <c r="E188" i="18"/>
  <c r="E189" i="18"/>
  <c r="D186" i="18"/>
  <c r="D187" i="18"/>
  <c r="D188" i="18"/>
  <c r="D189" i="18"/>
  <c r="D185" i="18"/>
  <c r="H186" i="1"/>
  <c r="H187" i="1"/>
  <c r="H188" i="1"/>
  <c r="E186" i="1"/>
  <c r="E187" i="1"/>
  <c r="E187" i="34"/>
  <c r="E188" i="1"/>
  <c r="E188" i="34"/>
  <c r="E189" i="1"/>
  <c r="D186" i="1"/>
  <c r="F186" i="1"/>
  <c r="G186" i="1"/>
  <c r="D187" i="1"/>
  <c r="F187" i="1"/>
  <c r="G187" i="1"/>
  <c r="D188" i="1"/>
  <c r="F188" i="1"/>
  <c r="G188" i="1"/>
  <c r="D189" i="1"/>
  <c r="H186" i="34"/>
  <c r="D186" i="34"/>
  <c r="D187" i="34"/>
  <c r="D188" i="34"/>
  <c r="I125" i="3"/>
  <c r="F125" i="3"/>
  <c r="F123" i="3"/>
  <c r="I138" i="3"/>
  <c r="I139" i="3"/>
  <c r="I140" i="3"/>
  <c r="I141" i="3"/>
  <c r="I142" i="3"/>
  <c r="J142" i="3" s="1"/>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6" i="1"/>
  <c r="I187" i="3"/>
  <c r="I187" i="1"/>
  <c r="I188" i="3"/>
  <c r="F188" i="3"/>
  <c r="G188" i="3"/>
  <c r="F189" i="3"/>
  <c r="G189" i="3"/>
  <c r="F186" i="3"/>
  <c r="G186" i="3"/>
  <c r="F187" i="3"/>
  <c r="G187" i="3"/>
  <c r="F124" i="3"/>
  <c r="I64" i="72"/>
  <c r="I65" i="72"/>
  <c r="I66" i="72"/>
  <c r="I67" i="72"/>
  <c r="I68" i="72"/>
  <c r="I69" i="72"/>
  <c r="F64" i="72"/>
  <c r="F65" i="72"/>
  <c r="G65" i="72"/>
  <c r="F66" i="72"/>
  <c r="F67" i="72"/>
  <c r="F68" i="72"/>
  <c r="F69" i="72"/>
  <c r="I138" i="72"/>
  <c r="J138" i="72"/>
  <c r="I139" i="72"/>
  <c r="J139" i="72"/>
  <c r="I140" i="72"/>
  <c r="J140" i="72"/>
  <c r="I141" i="72"/>
  <c r="J141" i="72"/>
  <c r="I142" i="72"/>
  <c r="J142" i="72"/>
  <c r="I143" i="72"/>
  <c r="J143" i="72"/>
  <c r="I144" i="72"/>
  <c r="J144" i="72"/>
  <c r="I145" i="72"/>
  <c r="J145" i="72"/>
  <c r="I146" i="72"/>
  <c r="J146" i="72"/>
  <c r="I147" i="72"/>
  <c r="J147" i="72"/>
  <c r="I148" i="72"/>
  <c r="J148" i="72"/>
  <c r="I149" i="72"/>
  <c r="J149" i="72"/>
  <c r="I150" i="72"/>
  <c r="J150" i="72"/>
  <c r="I151" i="72"/>
  <c r="J151" i="72"/>
  <c r="I152" i="72"/>
  <c r="J152" i="72"/>
  <c r="I153" i="72"/>
  <c r="J153" i="72"/>
  <c r="I154" i="72"/>
  <c r="J154" i="72"/>
  <c r="I155" i="72"/>
  <c r="J155" i="72"/>
  <c r="I156" i="72"/>
  <c r="J156" i="72"/>
  <c r="I157" i="72"/>
  <c r="J157" i="72"/>
  <c r="I158" i="72"/>
  <c r="J158" i="72"/>
  <c r="I159" i="72"/>
  <c r="J159" i="72"/>
  <c r="I160" i="72"/>
  <c r="J160" i="72"/>
  <c r="I161" i="72"/>
  <c r="J161" i="72"/>
  <c r="I162" i="72"/>
  <c r="J162" i="72"/>
  <c r="I163" i="72"/>
  <c r="J163" i="72"/>
  <c r="F138" i="72"/>
  <c r="F139" i="72"/>
  <c r="F140" i="72"/>
  <c r="F141" i="72"/>
  <c r="F142" i="72"/>
  <c r="F143" i="72"/>
  <c r="F144" i="72"/>
  <c r="F145" i="72"/>
  <c r="F146" i="72"/>
  <c r="F147" i="72"/>
  <c r="F148" i="72"/>
  <c r="F149" i="72"/>
  <c r="F150" i="72"/>
  <c r="F151" i="72"/>
  <c r="F152" i="72"/>
  <c r="F153" i="72"/>
  <c r="F154" i="72"/>
  <c r="F155" i="72"/>
  <c r="F156" i="72"/>
  <c r="F157" i="72"/>
  <c r="F158" i="72"/>
  <c r="F159" i="72"/>
  <c r="F160" i="72"/>
  <c r="F161" i="72"/>
  <c r="F162" i="72"/>
  <c r="F163" i="72"/>
  <c r="F164" i="72"/>
  <c r="F165" i="72"/>
  <c r="F166" i="72"/>
  <c r="F167" i="72"/>
  <c r="F168" i="72"/>
  <c r="F169" i="72"/>
  <c r="F170" i="72"/>
  <c r="F171" i="72"/>
  <c r="F172" i="72"/>
  <c r="F173" i="72"/>
  <c r="F174" i="72"/>
  <c r="F175" i="72"/>
  <c r="F176" i="72"/>
  <c r="F177" i="72"/>
  <c r="F178" i="72"/>
  <c r="F179" i="72"/>
  <c r="F180" i="72"/>
  <c r="F181" i="72"/>
  <c r="F182" i="72"/>
  <c r="F183" i="72"/>
  <c r="F184" i="72"/>
  <c r="F185" i="72"/>
  <c r="G138" i="72"/>
  <c r="G139" i="72"/>
  <c r="G140" i="72"/>
  <c r="G141" i="72"/>
  <c r="G142" i="72"/>
  <c r="G143" i="72"/>
  <c r="G144" i="72"/>
  <c r="G145" i="72"/>
  <c r="G146" i="72"/>
  <c r="G147" i="72"/>
  <c r="G148" i="72"/>
  <c r="G149" i="72"/>
  <c r="G150" i="72"/>
  <c r="G151" i="72"/>
  <c r="G152" i="72"/>
  <c r="G153" i="72"/>
  <c r="G154" i="72"/>
  <c r="G155" i="72"/>
  <c r="G156" i="72"/>
  <c r="G157" i="72"/>
  <c r="G158" i="72"/>
  <c r="G159" i="72"/>
  <c r="G160" i="72"/>
  <c r="G161" i="72"/>
  <c r="G162" i="72"/>
  <c r="G163" i="72"/>
  <c r="G164" i="72"/>
  <c r="G165" i="72"/>
  <c r="G166" i="72"/>
  <c r="G167" i="72"/>
  <c r="G168" i="72"/>
  <c r="G169" i="72"/>
  <c r="G170" i="72"/>
  <c r="G171" i="72"/>
  <c r="G172" i="72"/>
  <c r="G173" i="72"/>
  <c r="G174" i="72"/>
  <c r="G175" i="72"/>
  <c r="G176" i="72"/>
  <c r="G177" i="72"/>
  <c r="G178" i="72"/>
  <c r="G179" i="72"/>
  <c r="G180" i="72"/>
  <c r="G181" i="72"/>
  <c r="G182" i="72"/>
  <c r="G183" i="72"/>
  <c r="G184" i="72"/>
  <c r="G185" i="72"/>
  <c r="F164" i="33"/>
  <c r="G164" i="33"/>
  <c r="I164" i="33"/>
  <c r="J164" i="33"/>
  <c r="F165" i="33"/>
  <c r="G165" i="33"/>
  <c r="I165" i="33"/>
  <c r="J165" i="33"/>
  <c r="F166" i="33"/>
  <c r="G166" i="33"/>
  <c r="I166" i="33"/>
  <c r="J166" i="33"/>
  <c r="F167" i="33"/>
  <c r="G167" i="33"/>
  <c r="I167" i="33"/>
  <c r="J167" i="33"/>
  <c r="F168" i="33"/>
  <c r="G168" i="33"/>
  <c r="I168" i="33"/>
  <c r="J168" i="33"/>
  <c r="F169" i="33"/>
  <c r="G169" i="33"/>
  <c r="I169" i="33"/>
  <c r="J169" i="33"/>
  <c r="F170" i="33"/>
  <c r="G170" i="33"/>
  <c r="I170" i="33"/>
  <c r="J170" i="33"/>
  <c r="F171" i="33"/>
  <c r="G171" i="33"/>
  <c r="I171" i="33"/>
  <c r="J171" i="33"/>
  <c r="F172" i="33"/>
  <c r="G172" i="33"/>
  <c r="I172" i="33"/>
  <c r="J172" i="33"/>
  <c r="F173" i="33"/>
  <c r="G173" i="33"/>
  <c r="I173" i="33"/>
  <c r="J173" i="33"/>
  <c r="F174" i="33"/>
  <c r="G174" i="33"/>
  <c r="I174" i="33"/>
  <c r="J174" i="33"/>
  <c r="F175" i="33"/>
  <c r="G175" i="33"/>
  <c r="I175" i="33"/>
  <c r="J175" i="33"/>
  <c r="F176" i="33"/>
  <c r="G176" i="33"/>
  <c r="I176" i="33"/>
  <c r="J176" i="33"/>
  <c r="F177" i="33"/>
  <c r="G177" i="33"/>
  <c r="I177" i="33"/>
  <c r="J177" i="33"/>
  <c r="F178" i="33"/>
  <c r="G178" i="33"/>
  <c r="I178" i="33"/>
  <c r="J178" i="33"/>
  <c r="F179" i="33"/>
  <c r="G179" i="33"/>
  <c r="I179" i="33"/>
  <c r="J179" i="33"/>
  <c r="F180" i="33"/>
  <c r="G180" i="33"/>
  <c r="I180" i="33"/>
  <c r="J180" i="33"/>
  <c r="F181" i="33"/>
  <c r="G181" i="33"/>
  <c r="I181" i="33"/>
  <c r="J181" i="33"/>
  <c r="F182" i="33"/>
  <c r="G182" i="33"/>
  <c r="I182" i="33"/>
  <c r="J182" i="33"/>
  <c r="F183" i="33"/>
  <c r="G183" i="33"/>
  <c r="I183" i="33"/>
  <c r="J183" i="33"/>
  <c r="F184" i="33"/>
  <c r="G184" i="33"/>
  <c r="I184" i="33"/>
  <c r="J184" i="33"/>
  <c r="F185" i="33"/>
  <c r="G185" i="33"/>
  <c r="I185" i="33"/>
  <c r="J185" i="33"/>
  <c r="F164" i="32"/>
  <c r="G164" i="32"/>
  <c r="I164" i="32"/>
  <c r="J164" i="32"/>
  <c r="F165" i="32"/>
  <c r="G165" i="32"/>
  <c r="I165" i="32"/>
  <c r="J165" i="32"/>
  <c r="F166" i="32"/>
  <c r="G166" i="32"/>
  <c r="I166" i="32"/>
  <c r="J166" i="32"/>
  <c r="F167" i="32"/>
  <c r="G167" i="32"/>
  <c r="I167" i="32"/>
  <c r="J167" i="32"/>
  <c r="F168" i="32"/>
  <c r="G168" i="32"/>
  <c r="I168" i="32"/>
  <c r="J168" i="32"/>
  <c r="F169" i="32"/>
  <c r="G169" i="32"/>
  <c r="I169" i="32"/>
  <c r="I169" i="30"/>
  <c r="J169" i="30"/>
  <c r="F170" i="32"/>
  <c r="G170" i="32"/>
  <c r="I170" i="32"/>
  <c r="J170" i="32"/>
  <c r="F171" i="32"/>
  <c r="G171" i="32"/>
  <c r="I171" i="32"/>
  <c r="J171" i="32"/>
  <c r="F172" i="32"/>
  <c r="G172" i="32"/>
  <c r="I172" i="32"/>
  <c r="J172" i="32"/>
  <c r="F173" i="32"/>
  <c r="G173" i="32"/>
  <c r="I173" i="32"/>
  <c r="J173" i="32"/>
  <c r="F174" i="32"/>
  <c r="G174" i="32"/>
  <c r="I174" i="32"/>
  <c r="J174" i="32"/>
  <c r="F175" i="32"/>
  <c r="G175" i="32"/>
  <c r="I175" i="32"/>
  <c r="J175" i="32"/>
  <c r="F176" i="32"/>
  <c r="G176" i="32"/>
  <c r="I176" i="32"/>
  <c r="J176" i="32"/>
  <c r="F177" i="32"/>
  <c r="G177" i="32"/>
  <c r="I177" i="32"/>
  <c r="F178" i="32"/>
  <c r="G178" i="32"/>
  <c r="I178" i="32"/>
  <c r="J178" i="32"/>
  <c r="F179" i="32"/>
  <c r="G179" i="32"/>
  <c r="I179" i="32"/>
  <c r="J179" i="32"/>
  <c r="F180" i="32"/>
  <c r="G180" i="32"/>
  <c r="I180" i="32"/>
  <c r="J180" i="32"/>
  <c r="F181" i="32"/>
  <c r="G181" i="32"/>
  <c r="I181" i="32"/>
  <c r="J181" i="32"/>
  <c r="F182" i="32"/>
  <c r="G182" i="32"/>
  <c r="I182" i="32"/>
  <c r="J182" i="32"/>
  <c r="F183" i="32"/>
  <c r="G183" i="32"/>
  <c r="I183" i="32"/>
  <c r="J183" i="32"/>
  <c r="F184" i="32"/>
  <c r="G184" i="32"/>
  <c r="I184" i="32"/>
  <c r="J184" i="32"/>
  <c r="F185" i="32"/>
  <c r="G185" i="32"/>
  <c r="I185" i="32"/>
  <c r="I185" i="30"/>
  <c r="J185" i="30"/>
  <c r="F164" i="31"/>
  <c r="G164" i="31"/>
  <c r="I164" i="31"/>
  <c r="J164" i="31"/>
  <c r="F165" i="31"/>
  <c r="G165" i="31"/>
  <c r="I165" i="31"/>
  <c r="F166" i="31"/>
  <c r="G166" i="31"/>
  <c r="I166" i="31"/>
  <c r="J166" i="31"/>
  <c r="F167" i="31"/>
  <c r="G167" i="31"/>
  <c r="I167" i="31"/>
  <c r="F168" i="31"/>
  <c r="G168" i="31"/>
  <c r="I168" i="31"/>
  <c r="J168" i="31"/>
  <c r="F169" i="31"/>
  <c r="G169" i="31"/>
  <c r="I169" i="31"/>
  <c r="J169" i="31"/>
  <c r="F170" i="31"/>
  <c r="G170" i="31"/>
  <c r="I170" i="31"/>
  <c r="J170" i="31"/>
  <c r="F171" i="31"/>
  <c r="G171" i="31"/>
  <c r="I171" i="31"/>
  <c r="F172" i="31"/>
  <c r="G172" i="31"/>
  <c r="I172" i="31"/>
  <c r="J172" i="31"/>
  <c r="F173" i="31"/>
  <c r="G173" i="31"/>
  <c r="I173" i="31"/>
  <c r="F174" i="31"/>
  <c r="G174" i="31"/>
  <c r="I174" i="31"/>
  <c r="J174" i="31"/>
  <c r="F175" i="31"/>
  <c r="G175" i="31"/>
  <c r="I175" i="31"/>
  <c r="F176" i="31"/>
  <c r="G176" i="31"/>
  <c r="I176" i="31"/>
  <c r="J176" i="31"/>
  <c r="F177" i="31"/>
  <c r="G177" i="31"/>
  <c r="I177" i="31"/>
  <c r="J177" i="31"/>
  <c r="F178" i="31"/>
  <c r="G178" i="31"/>
  <c r="I178" i="31"/>
  <c r="J178" i="31"/>
  <c r="F179" i="31"/>
  <c r="G179" i="31"/>
  <c r="I179" i="31"/>
  <c r="F180" i="31"/>
  <c r="G180" i="31"/>
  <c r="I180" i="31"/>
  <c r="J180" i="31"/>
  <c r="F181" i="31"/>
  <c r="G181" i="31"/>
  <c r="I181" i="31"/>
  <c r="F182" i="31"/>
  <c r="G182" i="31"/>
  <c r="I182" i="31"/>
  <c r="J182" i="31"/>
  <c r="F183" i="31"/>
  <c r="G183" i="31"/>
  <c r="I183" i="31"/>
  <c r="F184" i="31"/>
  <c r="G184" i="31"/>
  <c r="I184" i="31"/>
  <c r="J184" i="31"/>
  <c r="F185" i="31"/>
  <c r="G185" i="31"/>
  <c r="I185" i="31"/>
  <c r="J185" i="31"/>
  <c r="C162" i="28"/>
  <c r="F162" i="28"/>
  <c r="G162" i="28"/>
  <c r="I162" i="28"/>
  <c r="J162" i="28"/>
  <c r="F163" i="28"/>
  <c r="G163" i="28"/>
  <c r="I163" i="28"/>
  <c r="J163" i="28"/>
  <c r="C164" i="28"/>
  <c r="F164" i="28"/>
  <c r="G164" i="28"/>
  <c r="I164" i="28"/>
  <c r="J164" i="28"/>
  <c r="F165" i="28"/>
  <c r="G165" i="28"/>
  <c r="I165" i="28"/>
  <c r="J165" i="28"/>
  <c r="C166" i="28"/>
  <c r="F166" i="28"/>
  <c r="G166" i="28"/>
  <c r="I166" i="28"/>
  <c r="J166" i="28"/>
  <c r="F167" i="28"/>
  <c r="G167" i="28"/>
  <c r="I167" i="28"/>
  <c r="J167" i="28"/>
  <c r="C168" i="28"/>
  <c r="F168" i="28"/>
  <c r="G168" i="28"/>
  <c r="I168" i="28"/>
  <c r="J168" i="28"/>
  <c r="F169" i="28"/>
  <c r="G169" i="28"/>
  <c r="I169" i="28"/>
  <c r="J169" i="28"/>
  <c r="C170" i="28"/>
  <c r="F170" i="28"/>
  <c r="G170" i="28"/>
  <c r="I170" i="28"/>
  <c r="J170" i="28"/>
  <c r="F171" i="28"/>
  <c r="G171" i="28"/>
  <c r="I171" i="28"/>
  <c r="J171" i="28"/>
  <c r="C172" i="28"/>
  <c r="F172" i="28"/>
  <c r="G172" i="28"/>
  <c r="I172" i="28"/>
  <c r="J172" i="28"/>
  <c r="F173" i="28"/>
  <c r="G173" i="28"/>
  <c r="I173" i="28"/>
  <c r="J173" i="28"/>
  <c r="C174" i="28"/>
  <c r="F174" i="28"/>
  <c r="G174" i="28"/>
  <c r="I174" i="28"/>
  <c r="J174" i="28"/>
  <c r="F175" i="28"/>
  <c r="G175" i="28"/>
  <c r="I175" i="28"/>
  <c r="J175" i="28"/>
  <c r="C176" i="28"/>
  <c r="F176" i="28"/>
  <c r="G176" i="28"/>
  <c r="I176" i="28"/>
  <c r="J176" i="28"/>
  <c r="F177" i="28"/>
  <c r="G177" i="28"/>
  <c r="I177" i="28"/>
  <c r="J177" i="28"/>
  <c r="C178" i="28"/>
  <c r="F178" i="28"/>
  <c r="G178" i="28"/>
  <c r="I178" i="28"/>
  <c r="J178" i="28"/>
  <c r="F179" i="28"/>
  <c r="G179" i="28"/>
  <c r="I179" i="28"/>
  <c r="J179" i="28"/>
  <c r="C180" i="28"/>
  <c r="F180" i="28"/>
  <c r="G180" i="28"/>
  <c r="I180" i="28"/>
  <c r="J180" i="28"/>
  <c r="F181" i="28"/>
  <c r="G181" i="28"/>
  <c r="I181" i="28"/>
  <c r="J181" i="28"/>
  <c r="C182" i="28"/>
  <c r="F182" i="28"/>
  <c r="G182" i="28"/>
  <c r="I182" i="28"/>
  <c r="J182" i="28"/>
  <c r="F183" i="28"/>
  <c r="G183" i="28"/>
  <c r="I183" i="28"/>
  <c r="J183" i="28"/>
  <c r="C184" i="28"/>
  <c r="F184" i="28"/>
  <c r="G184" i="28"/>
  <c r="I184" i="28"/>
  <c r="J184" i="28"/>
  <c r="F185" i="28"/>
  <c r="G185" i="28"/>
  <c r="I185" i="28"/>
  <c r="J185" i="28"/>
  <c r="C162" i="27"/>
  <c r="F162" i="27"/>
  <c r="G162" i="27"/>
  <c r="I162" i="27"/>
  <c r="J162" i="27"/>
  <c r="F163" i="27"/>
  <c r="G163" i="27"/>
  <c r="I163" i="27"/>
  <c r="J163" i="27"/>
  <c r="C164" i="27"/>
  <c r="F164" i="27"/>
  <c r="G164" i="27"/>
  <c r="I164" i="27"/>
  <c r="J164" i="27"/>
  <c r="F165" i="27"/>
  <c r="G165" i="27"/>
  <c r="I165" i="27"/>
  <c r="J165" i="27"/>
  <c r="C166" i="27"/>
  <c r="F166" i="27"/>
  <c r="G166" i="27"/>
  <c r="I166" i="27"/>
  <c r="I166" i="29"/>
  <c r="J166" i="27"/>
  <c r="F167" i="27"/>
  <c r="G167" i="27"/>
  <c r="I167" i="27"/>
  <c r="J167" i="27"/>
  <c r="C168" i="27"/>
  <c r="F168" i="27"/>
  <c r="G168" i="27"/>
  <c r="I168" i="27"/>
  <c r="I168" i="29"/>
  <c r="F169" i="27"/>
  <c r="G169" i="27"/>
  <c r="I169" i="27"/>
  <c r="J169" i="27"/>
  <c r="C170" i="27"/>
  <c r="F170" i="27"/>
  <c r="G170" i="27"/>
  <c r="I170" i="27"/>
  <c r="J170" i="27"/>
  <c r="F171" i="27"/>
  <c r="G171" i="27"/>
  <c r="I171" i="27"/>
  <c r="J171" i="27"/>
  <c r="C172" i="27"/>
  <c r="F172" i="27"/>
  <c r="G172" i="27"/>
  <c r="I172" i="27"/>
  <c r="J172" i="27"/>
  <c r="F173" i="27"/>
  <c r="G173" i="27"/>
  <c r="I173" i="27"/>
  <c r="J173" i="27"/>
  <c r="C174" i="27"/>
  <c r="F174" i="27"/>
  <c r="G174" i="27"/>
  <c r="I174" i="27"/>
  <c r="J174" i="27"/>
  <c r="F175" i="27"/>
  <c r="G175" i="27"/>
  <c r="I175" i="27"/>
  <c r="I175" i="29"/>
  <c r="J175" i="27"/>
  <c r="C176" i="27"/>
  <c r="F176" i="27"/>
  <c r="G176" i="27"/>
  <c r="I176" i="27"/>
  <c r="J176" i="27"/>
  <c r="F177" i="27"/>
  <c r="G177" i="27"/>
  <c r="I177" i="27"/>
  <c r="J177" i="27"/>
  <c r="C178" i="27"/>
  <c r="F178" i="27"/>
  <c r="G178" i="27"/>
  <c r="I178" i="27"/>
  <c r="J178" i="27"/>
  <c r="F179" i="27"/>
  <c r="G179" i="27"/>
  <c r="I179" i="27"/>
  <c r="J179" i="27"/>
  <c r="C180" i="27"/>
  <c r="F180" i="27"/>
  <c r="G180" i="27"/>
  <c r="I180" i="27"/>
  <c r="J180" i="27"/>
  <c r="F181" i="27"/>
  <c r="G181" i="27"/>
  <c r="I181" i="27"/>
  <c r="J181" i="27"/>
  <c r="C182" i="27"/>
  <c r="F182" i="27"/>
  <c r="G182" i="27"/>
  <c r="I182" i="27"/>
  <c r="I182" i="29"/>
  <c r="J182" i="27"/>
  <c r="F183" i="27"/>
  <c r="G183" i="27"/>
  <c r="I183" i="27"/>
  <c r="J183" i="27"/>
  <c r="C184" i="27"/>
  <c r="F184" i="27"/>
  <c r="G184" i="27"/>
  <c r="I184" i="27"/>
  <c r="I184" i="29"/>
  <c r="F185" i="27"/>
  <c r="G185" i="27"/>
  <c r="I185" i="27"/>
  <c r="J185" i="27"/>
  <c r="C162" i="26"/>
  <c r="I162" i="26"/>
  <c r="J162" i="26"/>
  <c r="C164" i="26"/>
  <c r="I164" i="26"/>
  <c r="J164" i="26"/>
  <c r="C166" i="26"/>
  <c r="I166" i="26"/>
  <c r="J166" i="26"/>
  <c r="C168" i="26"/>
  <c r="I168" i="26"/>
  <c r="J168" i="26"/>
  <c r="C170" i="26"/>
  <c r="I170" i="26"/>
  <c r="J170" i="26"/>
  <c r="C172" i="26"/>
  <c r="I172" i="26"/>
  <c r="J172" i="26"/>
  <c r="C174" i="26"/>
  <c r="I174" i="26"/>
  <c r="I174" i="29"/>
  <c r="J174" i="29"/>
  <c r="C176" i="26"/>
  <c r="I176" i="26"/>
  <c r="J176" i="26"/>
  <c r="C178" i="26"/>
  <c r="I178" i="26"/>
  <c r="J178" i="26"/>
  <c r="C180" i="26"/>
  <c r="I180" i="26"/>
  <c r="J180" i="26"/>
  <c r="C182" i="26"/>
  <c r="I182" i="26"/>
  <c r="J182" i="26"/>
  <c r="C184" i="26"/>
  <c r="I184" i="26"/>
  <c r="J184" i="26"/>
  <c r="C162" i="20"/>
  <c r="F162" i="20"/>
  <c r="G162" i="20"/>
  <c r="I162" i="20"/>
  <c r="J162" i="20"/>
  <c r="C164" i="20"/>
  <c r="F164" i="20"/>
  <c r="G164" i="20"/>
  <c r="I164" i="20"/>
  <c r="J164" i="20"/>
  <c r="C166" i="20"/>
  <c r="F166" i="20"/>
  <c r="G166" i="20"/>
  <c r="I166" i="20"/>
  <c r="J166" i="20"/>
  <c r="C168" i="20"/>
  <c r="F168" i="20"/>
  <c r="G168" i="20"/>
  <c r="I168" i="20"/>
  <c r="J168" i="20"/>
  <c r="C170" i="20"/>
  <c r="F170" i="20"/>
  <c r="G170" i="20"/>
  <c r="I170" i="20"/>
  <c r="J170" i="20"/>
  <c r="C172" i="20"/>
  <c r="F172" i="20"/>
  <c r="G172" i="20"/>
  <c r="I172" i="20"/>
  <c r="J172" i="20"/>
  <c r="C174" i="20"/>
  <c r="F174" i="20"/>
  <c r="G174" i="20"/>
  <c r="I174" i="20"/>
  <c r="J174" i="20"/>
  <c r="C176" i="20"/>
  <c r="F176" i="20"/>
  <c r="G176" i="20"/>
  <c r="I176" i="20"/>
  <c r="I176" i="18"/>
  <c r="J176" i="20"/>
  <c r="C178" i="20"/>
  <c r="F178" i="20"/>
  <c r="G178" i="20"/>
  <c r="I178" i="20"/>
  <c r="J178" i="20"/>
  <c r="C180" i="20"/>
  <c r="F180" i="20"/>
  <c r="G180" i="20"/>
  <c r="I180" i="20"/>
  <c r="J180" i="20"/>
  <c r="C182" i="20"/>
  <c r="F182" i="20"/>
  <c r="G182" i="20"/>
  <c r="I182" i="20"/>
  <c r="J182" i="20"/>
  <c r="C184" i="20"/>
  <c r="F184" i="20"/>
  <c r="G184" i="20"/>
  <c r="I184" i="20"/>
  <c r="J184" i="20"/>
  <c r="C162" i="21"/>
  <c r="C164" i="21"/>
  <c r="C166" i="21"/>
  <c r="C168" i="21"/>
  <c r="C170" i="21"/>
  <c r="C172" i="21"/>
  <c r="C174" i="21"/>
  <c r="C176" i="21"/>
  <c r="C178" i="21"/>
  <c r="C180" i="21"/>
  <c r="C182" i="21"/>
  <c r="C184" i="21"/>
  <c r="C162" i="4"/>
  <c r="C164" i="4"/>
  <c r="C166" i="4"/>
  <c r="C168" i="4"/>
  <c r="C170" i="4"/>
  <c r="C172" i="4"/>
  <c r="C174" i="4"/>
  <c r="C176" i="4"/>
  <c r="C178" i="4"/>
  <c r="C180" i="4"/>
  <c r="C182" i="4"/>
  <c r="C184" i="4"/>
  <c r="F126" i="3"/>
  <c r="F127" i="3"/>
  <c r="F128" i="3"/>
  <c r="F129" i="3"/>
  <c r="F130" i="3"/>
  <c r="F131" i="3"/>
  <c r="G131" i="3"/>
  <c r="F132" i="3"/>
  <c r="G132" i="3"/>
  <c r="F133" i="3"/>
  <c r="F134" i="3"/>
  <c r="F135" i="3"/>
  <c r="F136" i="3"/>
  <c r="F137" i="3"/>
  <c r="F138" i="3"/>
  <c r="G138" i="3"/>
  <c r="F139" i="3"/>
  <c r="G139" i="3"/>
  <c r="F140" i="3"/>
  <c r="G140" i="3"/>
  <c r="F141" i="3"/>
  <c r="G141" i="3"/>
  <c r="F142" i="3"/>
  <c r="G142" i="3"/>
  <c r="F143" i="3"/>
  <c r="G143" i="3"/>
  <c r="F144" i="3"/>
  <c r="G144" i="3"/>
  <c r="F145" i="3"/>
  <c r="G145" i="3"/>
  <c r="F146" i="3"/>
  <c r="G146" i="3"/>
  <c r="F147" i="3"/>
  <c r="G147" i="3"/>
  <c r="F148" i="3"/>
  <c r="G148" i="3"/>
  <c r="F149" i="3"/>
  <c r="G149" i="3"/>
  <c r="F150" i="3"/>
  <c r="G150" i="3"/>
  <c r="F151" i="3"/>
  <c r="G151" i="3"/>
  <c r="F152" i="3"/>
  <c r="G152" i="3"/>
  <c r="F153" i="3"/>
  <c r="G153" i="3"/>
  <c r="F154" i="3"/>
  <c r="G154" i="3"/>
  <c r="F155" i="3"/>
  <c r="G155" i="3"/>
  <c r="F156" i="3"/>
  <c r="G156" i="3"/>
  <c r="F157" i="3"/>
  <c r="G157" i="3"/>
  <c r="F158" i="3"/>
  <c r="G158" i="3"/>
  <c r="F159" i="3"/>
  <c r="G159" i="3"/>
  <c r="F160" i="3"/>
  <c r="G160" i="3"/>
  <c r="F161" i="3"/>
  <c r="G161" i="3"/>
  <c r="F162" i="3"/>
  <c r="G162" i="3"/>
  <c r="F163" i="3"/>
  <c r="G163" i="3"/>
  <c r="F164" i="3"/>
  <c r="G164" i="3"/>
  <c r="F165" i="3"/>
  <c r="G165" i="3"/>
  <c r="F166" i="3"/>
  <c r="G166" i="3"/>
  <c r="F167" i="3"/>
  <c r="G167" i="3"/>
  <c r="F168" i="3"/>
  <c r="G168" i="3"/>
  <c r="F169" i="3"/>
  <c r="G169" i="3"/>
  <c r="F170" i="3"/>
  <c r="G170" i="3"/>
  <c r="F171" i="3"/>
  <c r="G171" i="3"/>
  <c r="F172" i="3"/>
  <c r="G172" i="3"/>
  <c r="F173" i="3"/>
  <c r="G173" i="3"/>
  <c r="F174" i="3"/>
  <c r="G174" i="3"/>
  <c r="F175" i="3"/>
  <c r="G175" i="3"/>
  <c r="F176" i="3"/>
  <c r="G176" i="3"/>
  <c r="F177" i="3"/>
  <c r="G177" i="3"/>
  <c r="F178" i="3"/>
  <c r="G178" i="3"/>
  <c r="F179" i="3"/>
  <c r="G179" i="3"/>
  <c r="F180" i="3"/>
  <c r="G180" i="3"/>
  <c r="F181" i="3"/>
  <c r="G181" i="3"/>
  <c r="F182" i="3"/>
  <c r="G182" i="3"/>
  <c r="F183" i="3"/>
  <c r="G183" i="3"/>
  <c r="F184" i="3"/>
  <c r="G184" i="3"/>
  <c r="F185" i="3"/>
  <c r="G185" i="3"/>
  <c r="C162" i="72"/>
  <c r="C166" i="72"/>
  <c r="C168" i="72"/>
  <c r="C170" i="72"/>
  <c r="C172" i="72"/>
  <c r="C174" i="72"/>
  <c r="C176" i="72"/>
  <c r="C178" i="72"/>
  <c r="C180" i="72"/>
  <c r="C182" i="72"/>
  <c r="C184" i="72"/>
  <c r="C162" i="30"/>
  <c r="D162" i="30"/>
  <c r="F162" i="30"/>
  <c r="G162" i="30"/>
  <c r="E162" i="30"/>
  <c r="H162" i="30"/>
  <c r="I162" i="30"/>
  <c r="J162" i="30"/>
  <c r="C163" i="30"/>
  <c r="D163" i="30"/>
  <c r="F163" i="30"/>
  <c r="G163" i="30"/>
  <c r="E163" i="30"/>
  <c r="H163" i="30"/>
  <c r="I163" i="30"/>
  <c r="J163" i="30"/>
  <c r="C164" i="30"/>
  <c r="D164" i="30"/>
  <c r="F164" i="30"/>
  <c r="G164" i="30"/>
  <c r="E164" i="30"/>
  <c r="H164" i="30"/>
  <c r="I164" i="30"/>
  <c r="J164" i="30"/>
  <c r="C165" i="30"/>
  <c r="D165" i="30"/>
  <c r="E165" i="30"/>
  <c r="H165" i="30"/>
  <c r="C166" i="30"/>
  <c r="D166" i="30"/>
  <c r="E166" i="30"/>
  <c r="H166" i="30"/>
  <c r="I166" i="30"/>
  <c r="C167" i="30"/>
  <c r="D167" i="30"/>
  <c r="E167" i="30"/>
  <c r="H167" i="30"/>
  <c r="C168" i="30"/>
  <c r="D168" i="30"/>
  <c r="E168" i="30"/>
  <c r="H168" i="30"/>
  <c r="I168" i="30"/>
  <c r="C169" i="30"/>
  <c r="D169" i="30"/>
  <c r="E169" i="30"/>
  <c r="H169" i="30"/>
  <c r="C170" i="30"/>
  <c r="D170" i="30"/>
  <c r="E170" i="30"/>
  <c r="H170" i="30"/>
  <c r="I170" i="30"/>
  <c r="C171" i="30"/>
  <c r="D171" i="30"/>
  <c r="E171" i="30"/>
  <c r="H171" i="30"/>
  <c r="C172" i="30"/>
  <c r="D172" i="30"/>
  <c r="E172" i="30"/>
  <c r="H172" i="30"/>
  <c r="I172" i="30"/>
  <c r="C173" i="30"/>
  <c r="D173" i="30"/>
  <c r="E173" i="30"/>
  <c r="H173" i="30"/>
  <c r="C174" i="30"/>
  <c r="D174" i="30"/>
  <c r="E174" i="30"/>
  <c r="H174" i="30"/>
  <c r="I174" i="30"/>
  <c r="C175" i="30"/>
  <c r="D175" i="30"/>
  <c r="E175" i="30"/>
  <c r="H175" i="30"/>
  <c r="C176" i="30"/>
  <c r="D176" i="30"/>
  <c r="E176" i="30"/>
  <c r="H176" i="30"/>
  <c r="I176" i="30"/>
  <c r="C177" i="30"/>
  <c r="D177" i="30"/>
  <c r="E177" i="30"/>
  <c r="H177" i="30"/>
  <c r="C178" i="30"/>
  <c r="D178" i="30"/>
  <c r="E178" i="30"/>
  <c r="H178" i="30"/>
  <c r="I178" i="30"/>
  <c r="C179" i="30"/>
  <c r="D179" i="30"/>
  <c r="E179" i="30"/>
  <c r="H179" i="30"/>
  <c r="C180" i="30"/>
  <c r="D180" i="30"/>
  <c r="E180" i="30"/>
  <c r="H180" i="30"/>
  <c r="I180" i="30"/>
  <c r="C181" i="30"/>
  <c r="D181" i="30"/>
  <c r="E181" i="30"/>
  <c r="H181" i="30"/>
  <c r="C182" i="30"/>
  <c r="D182" i="30"/>
  <c r="E182" i="30"/>
  <c r="H182" i="30"/>
  <c r="I182" i="30"/>
  <c r="C183" i="30"/>
  <c r="D183" i="30"/>
  <c r="E183" i="30"/>
  <c r="H183" i="30"/>
  <c r="C184" i="30"/>
  <c r="D184" i="30"/>
  <c r="E184" i="30"/>
  <c r="H184" i="30"/>
  <c r="I184" i="30"/>
  <c r="D185" i="30"/>
  <c r="E185" i="30"/>
  <c r="H185" i="30"/>
  <c r="C162" i="29"/>
  <c r="D162" i="29"/>
  <c r="E162" i="29"/>
  <c r="H162" i="29"/>
  <c r="C163" i="29"/>
  <c r="D163" i="29"/>
  <c r="E163" i="29"/>
  <c r="H163" i="29"/>
  <c r="C164" i="29"/>
  <c r="D164" i="29"/>
  <c r="E164" i="29"/>
  <c r="H164" i="29"/>
  <c r="I164" i="29"/>
  <c r="J164" i="29"/>
  <c r="C165" i="29"/>
  <c r="D165" i="29"/>
  <c r="E165" i="29"/>
  <c r="H165" i="29"/>
  <c r="I165" i="29"/>
  <c r="C166" i="29"/>
  <c r="D166" i="29"/>
  <c r="E166" i="29"/>
  <c r="H166" i="29"/>
  <c r="C167" i="29"/>
  <c r="D167" i="29"/>
  <c r="E167" i="29"/>
  <c r="H167" i="29"/>
  <c r="I167" i="29"/>
  <c r="J167" i="29"/>
  <c r="C168" i="29"/>
  <c r="D168" i="29"/>
  <c r="E168" i="29"/>
  <c r="H168" i="29"/>
  <c r="C169" i="29"/>
  <c r="D169" i="29"/>
  <c r="E169" i="29"/>
  <c r="H169" i="29"/>
  <c r="I169" i="29"/>
  <c r="C170" i="29"/>
  <c r="D170" i="29"/>
  <c r="F170" i="29"/>
  <c r="G170" i="29"/>
  <c r="E170" i="29"/>
  <c r="H170" i="29"/>
  <c r="C171" i="29"/>
  <c r="D171" i="29"/>
  <c r="E171" i="29"/>
  <c r="H171" i="29"/>
  <c r="I171" i="29"/>
  <c r="C172" i="29"/>
  <c r="D172" i="29"/>
  <c r="E172" i="29"/>
  <c r="H172" i="29"/>
  <c r="I172" i="29"/>
  <c r="J172" i="29"/>
  <c r="C173" i="29"/>
  <c r="D173" i="29"/>
  <c r="F173" i="29"/>
  <c r="G173" i="29"/>
  <c r="E173" i="29"/>
  <c r="H173" i="29"/>
  <c r="I173" i="29"/>
  <c r="C174" i="29"/>
  <c r="D174" i="29"/>
  <c r="E174" i="29"/>
  <c r="H174" i="29"/>
  <c r="C175" i="29"/>
  <c r="D175" i="29"/>
  <c r="E175" i="29"/>
  <c r="H175" i="29"/>
  <c r="C176" i="29"/>
  <c r="D176" i="29"/>
  <c r="E176" i="29"/>
  <c r="H176" i="29"/>
  <c r="I176" i="29"/>
  <c r="J176" i="29"/>
  <c r="C177" i="29"/>
  <c r="D177" i="29"/>
  <c r="E177" i="29"/>
  <c r="H177" i="29"/>
  <c r="C178" i="29"/>
  <c r="D178" i="29"/>
  <c r="E178" i="29"/>
  <c r="H178" i="29"/>
  <c r="C179" i="29"/>
  <c r="D179" i="29"/>
  <c r="E179" i="29"/>
  <c r="H179" i="29"/>
  <c r="C180" i="29"/>
  <c r="D180" i="29"/>
  <c r="E180" i="29"/>
  <c r="H180" i="29"/>
  <c r="C181" i="29"/>
  <c r="D181" i="29"/>
  <c r="E181" i="29"/>
  <c r="H181" i="29"/>
  <c r="I181" i="29"/>
  <c r="C182" i="29"/>
  <c r="D182" i="29"/>
  <c r="E182" i="29"/>
  <c r="H182" i="29"/>
  <c r="C183" i="29"/>
  <c r="D183" i="29"/>
  <c r="E183" i="29"/>
  <c r="H183" i="29"/>
  <c r="I183" i="29"/>
  <c r="J183" i="29"/>
  <c r="C184" i="29"/>
  <c r="D184" i="29"/>
  <c r="E184" i="29"/>
  <c r="H184" i="29"/>
  <c r="C185" i="29"/>
  <c r="D185" i="29"/>
  <c r="F185" i="29"/>
  <c r="G185" i="29"/>
  <c r="E185" i="29"/>
  <c r="H185" i="29"/>
  <c r="J185" i="29"/>
  <c r="I185" i="29"/>
  <c r="J73" i="26"/>
  <c r="J74" i="26"/>
  <c r="J75" i="26"/>
  <c r="J76" i="26"/>
  <c r="J77" i="26"/>
  <c r="J78" i="26"/>
  <c r="J79" i="26"/>
  <c r="J80" i="26"/>
  <c r="J81" i="26"/>
  <c r="J82" i="26"/>
  <c r="J83" i="26"/>
  <c r="J84" i="26"/>
  <c r="J85" i="26"/>
  <c r="J86" i="26"/>
  <c r="C162" i="18"/>
  <c r="D162" i="18"/>
  <c r="E162" i="18"/>
  <c r="H162" i="18"/>
  <c r="I162" i="18"/>
  <c r="J162" i="18"/>
  <c r="C163" i="18"/>
  <c r="D163" i="18"/>
  <c r="E163" i="18"/>
  <c r="H163" i="18"/>
  <c r="I163" i="18"/>
  <c r="C164" i="18"/>
  <c r="D164" i="18"/>
  <c r="E164" i="18"/>
  <c r="H164" i="18"/>
  <c r="I164" i="18"/>
  <c r="J164" i="18"/>
  <c r="C165" i="18"/>
  <c r="D165" i="18"/>
  <c r="E165" i="18"/>
  <c r="H165" i="18"/>
  <c r="I165" i="18"/>
  <c r="C166" i="18"/>
  <c r="D166" i="18"/>
  <c r="E166" i="18"/>
  <c r="H166" i="18"/>
  <c r="I166" i="18"/>
  <c r="C167" i="18"/>
  <c r="D167" i="18"/>
  <c r="E167" i="18"/>
  <c r="H167" i="18"/>
  <c r="I167" i="18"/>
  <c r="C168" i="18"/>
  <c r="D168" i="18"/>
  <c r="E168" i="18"/>
  <c r="H168" i="18"/>
  <c r="I168" i="18"/>
  <c r="C169" i="18"/>
  <c r="D169" i="18"/>
  <c r="E169" i="18"/>
  <c r="H169" i="18"/>
  <c r="I169" i="18"/>
  <c r="C170" i="18"/>
  <c r="D170" i="18"/>
  <c r="E170" i="18"/>
  <c r="H170" i="18"/>
  <c r="C171" i="18"/>
  <c r="D171" i="18"/>
  <c r="E171" i="18"/>
  <c r="H171" i="18"/>
  <c r="I171" i="18"/>
  <c r="C172" i="18"/>
  <c r="D172" i="18"/>
  <c r="E172" i="18"/>
  <c r="H172" i="18"/>
  <c r="I172" i="18"/>
  <c r="J172" i="18"/>
  <c r="C173" i="18"/>
  <c r="D173" i="18"/>
  <c r="F173" i="18"/>
  <c r="G173" i="18"/>
  <c r="E173" i="18"/>
  <c r="H173" i="18"/>
  <c r="I173" i="18"/>
  <c r="C174" i="18"/>
  <c r="D174" i="18"/>
  <c r="E174" i="18"/>
  <c r="H174" i="18"/>
  <c r="I174" i="18"/>
  <c r="C175" i="18"/>
  <c r="D175" i="18"/>
  <c r="E175" i="18"/>
  <c r="H175" i="18"/>
  <c r="I175" i="18"/>
  <c r="C176" i="18"/>
  <c r="D176" i="18"/>
  <c r="E176" i="18"/>
  <c r="H176" i="18"/>
  <c r="C177" i="18"/>
  <c r="D177" i="18"/>
  <c r="E177" i="18"/>
  <c r="H177" i="18"/>
  <c r="I177" i="18"/>
  <c r="C178" i="18"/>
  <c r="D178" i="18"/>
  <c r="E178" i="18"/>
  <c r="H178" i="18"/>
  <c r="I178" i="18"/>
  <c r="J178" i="18"/>
  <c r="C179" i="18"/>
  <c r="D179" i="18"/>
  <c r="E179" i="18"/>
  <c r="H179" i="18"/>
  <c r="I179" i="18"/>
  <c r="C180" i="18"/>
  <c r="D180" i="18"/>
  <c r="E180" i="18"/>
  <c r="H180" i="18"/>
  <c r="I180" i="18"/>
  <c r="J180" i="18"/>
  <c r="C181" i="18"/>
  <c r="D181" i="18"/>
  <c r="F181" i="18"/>
  <c r="G181" i="18"/>
  <c r="E181" i="18"/>
  <c r="H181" i="18"/>
  <c r="I181" i="18"/>
  <c r="C182" i="18"/>
  <c r="D182" i="18"/>
  <c r="E182" i="18"/>
  <c r="H182" i="18"/>
  <c r="I182" i="18"/>
  <c r="C183" i="18"/>
  <c r="D183" i="18"/>
  <c r="E183" i="18"/>
  <c r="H183" i="18"/>
  <c r="I183" i="18"/>
  <c r="C184" i="18"/>
  <c r="D184" i="18"/>
  <c r="E184" i="18"/>
  <c r="H184" i="18"/>
  <c r="I184" i="18"/>
  <c r="C185" i="18"/>
  <c r="E185" i="18"/>
  <c r="H185" i="18"/>
  <c r="I185" i="18"/>
  <c r="C160" i="1"/>
  <c r="D160" i="1"/>
  <c r="E160" i="1"/>
  <c r="H160" i="1"/>
  <c r="I160" i="1"/>
  <c r="C161" i="1"/>
  <c r="D161" i="1"/>
  <c r="E161" i="1"/>
  <c r="H161" i="1"/>
  <c r="I161" i="1"/>
  <c r="C162" i="1"/>
  <c r="D162" i="1"/>
  <c r="E162" i="1"/>
  <c r="H162" i="1"/>
  <c r="I162" i="1"/>
  <c r="J162" i="1"/>
  <c r="C163" i="1"/>
  <c r="D163" i="1"/>
  <c r="E163" i="1"/>
  <c r="H163" i="1"/>
  <c r="I163" i="1"/>
  <c r="J163" i="1"/>
  <c r="C164" i="1"/>
  <c r="D164" i="1"/>
  <c r="E164" i="1"/>
  <c r="E164" i="34"/>
  <c r="H164" i="1"/>
  <c r="I164" i="1"/>
  <c r="J164" i="1"/>
  <c r="C165" i="1"/>
  <c r="D165" i="1"/>
  <c r="E165" i="1"/>
  <c r="H165" i="1"/>
  <c r="I165" i="1"/>
  <c r="J165" i="1"/>
  <c r="C166" i="1"/>
  <c r="D166" i="1"/>
  <c r="D166" i="34"/>
  <c r="E166" i="1"/>
  <c r="H166" i="1"/>
  <c r="I166" i="1"/>
  <c r="J166" i="1"/>
  <c r="C167" i="1"/>
  <c r="D167" i="1"/>
  <c r="E167" i="1"/>
  <c r="E167" i="34"/>
  <c r="H167" i="1"/>
  <c r="I167" i="1"/>
  <c r="J167" i="1"/>
  <c r="C168" i="1"/>
  <c r="D168" i="1"/>
  <c r="E168" i="1"/>
  <c r="H168" i="1"/>
  <c r="I168" i="1"/>
  <c r="J168" i="1"/>
  <c r="C169" i="1"/>
  <c r="D169" i="1"/>
  <c r="E169" i="1"/>
  <c r="E169" i="34"/>
  <c r="H169" i="1"/>
  <c r="I169" i="1"/>
  <c r="J169" i="1"/>
  <c r="C170" i="1"/>
  <c r="D170" i="1"/>
  <c r="E170" i="1"/>
  <c r="H170" i="1"/>
  <c r="I170" i="1"/>
  <c r="J170" i="1"/>
  <c r="C171" i="1"/>
  <c r="D171" i="1"/>
  <c r="E171" i="1"/>
  <c r="H171" i="1"/>
  <c r="I171" i="1"/>
  <c r="J171" i="1"/>
  <c r="C172" i="1"/>
  <c r="D172" i="1"/>
  <c r="E172" i="1"/>
  <c r="H172" i="1"/>
  <c r="I172" i="1"/>
  <c r="J172" i="1"/>
  <c r="C173" i="1"/>
  <c r="D173" i="1"/>
  <c r="E173" i="1"/>
  <c r="H173" i="1"/>
  <c r="I173" i="1"/>
  <c r="J173" i="1"/>
  <c r="C174" i="1"/>
  <c r="D174" i="1"/>
  <c r="E174" i="1"/>
  <c r="H174" i="1"/>
  <c r="I174" i="1"/>
  <c r="J174" i="1"/>
  <c r="C175" i="1"/>
  <c r="D175" i="1"/>
  <c r="E175" i="1"/>
  <c r="H175" i="1"/>
  <c r="I175" i="1"/>
  <c r="J175" i="1"/>
  <c r="C176" i="1"/>
  <c r="D176" i="1"/>
  <c r="E176" i="1"/>
  <c r="H176" i="1"/>
  <c r="I176" i="1"/>
  <c r="J176" i="1"/>
  <c r="C177" i="1"/>
  <c r="D177" i="1"/>
  <c r="E177" i="1"/>
  <c r="H177" i="1"/>
  <c r="I177" i="1"/>
  <c r="J177" i="1"/>
  <c r="C178" i="1"/>
  <c r="D178" i="1"/>
  <c r="E178" i="1"/>
  <c r="H178" i="1"/>
  <c r="I178" i="1"/>
  <c r="J178" i="1"/>
  <c r="C179" i="1"/>
  <c r="D179" i="1"/>
  <c r="E179" i="1"/>
  <c r="H179" i="1"/>
  <c r="I179" i="1"/>
  <c r="J179" i="1"/>
  <c r="C180" i="1"/>
  <c r="D180" i="1"/>
  <c r="E180" i="1"/>
  <c r="H180" i="1"/>
  <c r="I180" i="1"/>
  <c r="J180" i="1"/>
  <c r="C181" i="1"/>
  <c r="D181" i="1"/>
  <c r="E181" i="1"/>
  <c r="H181" i="1"/>
  <c r="I181" i="1"/>
  <c r="J181" i="1"/>
  <c r="C182" i="1"/>
  <c r="D182" i="1"/>
  <c r="E182" i="1"/>
  <c r="H182" i="1"/>
  <c r="I182" i="1"/>
  <c r="J182" i="1"/>
  <c r="C183" i="1"/>
  <c r="D183" i="1"/>
  <c r="E183" i="1"/>
  <c r="H183" i="1"/>
  <c r="I183" i="1"/>
  <c r="J183" i="1"/>
  <c r="C184" i="1"/>
  <c r="D184" i="1"/>
  <c r="E184" i="1"/>
  <c r="H184" i="1"/>
  <c r="I184" i="1"/>
  <c r="J184" i="1"/>
  <c r="C185" i="1"/>
  <c r="D185" i="1"/>
  <c r="D185" i="34"/>
  <c r="E185" i="1"/>
  <c r="E185" i="34"/>
  <c r="H185" i="1"/>
  <c r="I185" i="1"/>
  <c r="J185" i="1"/>
  <c r="C159" i="34"/>
  <c r="C160" i="34"/>
  <c r="C161" i="34"/>
  <c r="C162" i="34"/>
  <c r="C163" i="34"/>
  <c r="C164" i="34"/>
  <c r="C165" i="34"/>
  <c r="C166" i="34"/>
  <c r="C167" i="34"/>
  <c r="C168" i="34"/>
  <c r="C169" i="34"/>
  <c r="C170" i="34"/>
  <c r="C171" i="34"/>
  <c r="C172" i="34"/>
  <c r="C173" i="34"/>
  <c r="C174" i="34"/>
  <c r="C175" i="34"/>
  <c r="C176" i="34"/>
  <c r="C177" i="34"/>
  <c r="C178" i="34"/>
  <c r="C179" i="34"/>
  <c r="C180" i="34"/>
  <c r="C181" i="34"/>
  <c r="C182" i="34"/>
  <c r="C183" i="34"/>
  <c r="C184" i="34"/>
  <c r="C162" i="19"/>
  <c r="F162" i="19"/>
  <c r="G162" i="19"/>
  <c r="I162" i="19"/>
  <c r="J162" i="19"/>
  <c r="C164" i="19"/>
  <c r="F164" i="19"/>
  <c r="G164" i="19"/>
  <c r="I164" i="19"/>
  <c r="J164" i="19"/>
  <c r="C166" i="19"/>
  <c r="F166" i="19"/>
  <c r="G166" i="19"/>
  <c r="I166" i="19"/>
  <c r="J166" i="19"/>
  <c r="C168" i="19"/>
  <c r="F168" i="19"/>
  <c r="G168" i="19"/>
  <c r="I168" i="19"/>
  <c r="J168" i="19"/>
  <c r="C170" i="19"/>
  <c r="F170" i="19"/>
  <c r="G170" i="19"/>
  <c r="I170" i="19"/>
  <c r="J170" i="19"/>
  <c r="C172" i="19"/>
  <c r="F172" i="19"/>
  <c r="G172" i="19"/>
  <c r="I172" i="19"/>
  <c r="J172" i="19"/>
  <c r="C174" i="19"/>
  <c r="F174" i="19"/>
  <c r="G174" i="19"/>
  <c r="I174" i="19"/>
  <c r="J174" i="19"/>
  <c r="C176" i="19"/>
  <c r="F176" i="19"/>
  <c r="G176" i="19"/>
  <c r="I176" i="19"/>
  <c r="J176" i="19"/>
  <c r="C178" i="19"/>
  <c r="F178" i="19"/>
  <c r="G178" i="19"/>
  <c r="I178" i="19"/>
  <c r="J178" i="19"/>
  <c r="C180" i="19"/>
  <c r="F180" i="19"/>
  <c r="G180" i="19"/>
  <c r="I180" i="19"/>
  <c r="J180" i="19"/>
  <c r="C182" i="19"/>
  <c r="F182" i="19"/>
  <c r="G182" i="19"/>
  <c r="I182" i="19"/>
  <c r="J182" i="19"/>
  <c r="C184" i="19"/>
  <c r="F184" i="19"/>
  <c r="G184" i="19"/>
  <c r="I184" i="19"/>
  <c r="J184" i="19"/>
  <c r="C159" i="19"/>
  <c r="F159" i="19"/>
  <c r="G159" i="19"/>
  <c r="I159" i="19"/>
  <c r="J159" i="19"/>
  <c r="C160" i="19"/>
  <c r="F160" i="19"/>
  <c r="G160" i="19"/>
  <c r="I160" i="19"/>
  <c r="J160" i="19"/>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15" i="20"/>
  <c r="J16" i="20"/>
  <c r="J13" i="20"/>
  <c r="J14" i="20"/>
  <c r="C161" i="30"/>
  <c r="C160" i="30"/>
  <c r="C161" i="29"/>
  <c r="C160" i="29"/>
  <c r="C161" i="18"/>
  <c r="C154" i="1"/>
  <c r="G17" i="27"/>
  <c r="G18" i="27"/>
  <c r="F133" i="33"/>
  <c r="J35" i="33"/>
  <c r="J38" i="33"/>
  <c r="J43" i="33"/>
  <c r="J57" i="33"/>
  <c r="J65" i="33"/>
  <c r="I18" i="33"/>
  <c r="J18" i="33"/>
  <c r="I19" i="33"/>
  <c r="J19" i="33"/>
  <c r="I20" i="33"/>
  <c r="J20" i="33"/>
  <c r="I21" i="33"/>
  <c r="J21" i="33"/>
  <c r="I22" i="33"/>
  <c r="J22" i="33"/>
  <c r="I23" i="33"/>
  <c r="J23" i="33"/>
  <c r="I24" i="33"/>
  <c r="J24" i="33"/>
  <c r="I25" i="33"/>
  <c r="J25" i="33"/>
  <c r="I26" i="33"/>
  <c r="J26" i="33"/>
  <c r="I27" i="33"/>
  <c r="J27" i="33"/>
  <c r="I28" i="33"/>
  <c r="J28" i="33"/>
  <c r="I29" i="33"/>
  <c r="J29" i="33"/>
  <c r="I30" i="33"/>
  <c r="J30" i="33"/>
  <c r="I31" i="33"/>
  <c r="J31" i="33"/>
  <c r="I32" i="33"/>
  <c r="J32" i="33"/>
  <c r="I33" i="33"/>
  <c r="J33" i="33"/>
  <c r="I34" i="33"/>
  <c r="J34" i="33"/>
  <c r="I35" i="33"/>
  <c r="I36" i="33"/>
  <c r="J36" i="33"/>
  <c r="I37" i="33"/>
  <c r="J37" i="33"/>
  <c r="I38" i="33"/>
  <c r="I39" i="33"/>
  <c r="J39" i="33"/>
  <c r="I40" i="33"/>
  <c r="J40" i="33"/>
  <c r="I41" i="33"/>
  <c r="J41" i="33"/>
  <c r="I42" i="33"/>
  <c r="J42" i="33"/>
  <c r="I43" i="33"/>
  <c r="I44" i="33"/>
  <c r="J44" i="33"/>
  <c r="I45" i="33"/>
  <c r="J45" i="33"/>
  <c r="I46" i="33"/>
  <c r="J46" i="33"/>
  <c r="I47" i="33"/>
  <c r="J47" i="33"/>
  <c r="I48" i="33"/>
  <c r="J48" i="33"/>
  <c r="I49" i="33"/>
  <c r="J49" i="33"/>
  <c r="I50" i="33"/>
  <c r="J50" i="33"/>
  <c r="I51" i="33"/>
  <c r="J51" i="33"/>
  <c r="I52" i="33"/>
  <c r="J52" i="33"/>
  <c r="I53" i="33"/>
  <c r="J53" i="33"/>
  <c r="I54" i="33"/>
  <c r="J54" i="33"/>
  <c r="I55" i="33"/>
  <c r="J55" i="33"/>
  <c r="I56" i="33"/>
  <c r="J56" i="33"/>
  <c r="I57" i="33"/>
  <c r="I58" i="33"/>
  <c r="J58" i="33"/>
  <c r="I59" i="33"/>
  <c r="J59" i="33"/>
  <c r="I60" i="33"/>
  <c r="J60" i="33"/>
  <c r="I61" i="33"/>
  <c r="J61" i="33"/>
  <c r="I62" i="33"/>
  <c r="J62" i="33"/>
  <c r="I63" i="33"/>
  <c r="J63" i="33"/>
  <c r="I64" i="33"/>
  <c r="J64" i="33"/>
  <c r="I65" i="33"/>
  <c r="I66" i="33"/>
  <c r="J66" i="33"/>
  <c r="I67" i="33"/>
  <c r="J67" i="33"/>
  <c r="I68" i="33"/>
  <c r="J68" i="33"/>
  <c r="I69" i="33"/>
  <c r="J69" i="33"/>
  <c r="I70" i="33"/>
  <c r="J70" i="33"/>
  <c r="I71" i="33"/>
  <c r="J71" i="33"/>
  <c r="I72" i="33"/>
  <c r="J72" i="33"/>
  <c r="I73" i="33"/>
  <c r="J73" i="33"/>
  <c r="I74" i="33"/>
  <c r="J74" i="33"/>
  <c r="I75" i="33"/>
  <c r="J75" i="33"/>
  <c r="I76" i="33"/>
  <c r="J76" i="33"/>
  <c r="I77" i="33"/>
  <c r="J77" i="33"/>
  <c r="I78" i="33"/>
  <c r="J78" i="33"/>
  <c r="I79" i="33"/>
  <c r="J79" i="33"/>
  <c r="I80" i="33"/>
  <c r="J80" i="33"/>
  <c r="I81" i="33"/>
  <c r="J81" i="33"/>
  <c r="I82" i="33"/>
  <c r="J82" i="33"/>
  <c r="I83" i="33"/>
  <c r="J83" i="33"/>
  <c r="I84" i="33"/>
  <c r="J84" i="33"/>
  <c r="I85" i="33"/>
  <c r="J85" i="33"/>
  <c r="I86" i="33"/>
  <c r="J86" i="33"/>
  <c r="I87" i="33"/>
  <c r="J87" i="33"/>
  <c r="I88" i="33"/>
  <c r="J88" i="33"/>
  <c r="I89" i="33"/>
  <c r="J89" i="33"/>
  <c r="I90" i="33"/>
  <c r="J90" i="33"/>
  <c r="I91" i="33"/>
  <c r="J91" i="33"/>
  <c r="I92" i="33"/>
  <c r="J92" i="33"/>
  <c r="I93" i="33"/>
  <c r="J93" i="33"/>
  <c r="I94" i="33"/>
  <c r="J94" i="33"/>
  <c r="I95" i="33"/>
  <c r="J95" i="33"/>
  <c r="I96" i="33"/>
  <c r="J96" i="33"/>
  <c r="I97" i="33"/>
  <c r="J97" i="33"/>
  <c r="I98" i="33"/>
  <c r="J98" i="33"/>
  <c r="I99" i="33"/>
  <c r="J99" i="33"/>
  <c r="I100" i="33"/>
  <c r="J100" i="33"/>
  <c r="I101" i="33"/>
  <c r="J101" i="33"/>
  <c r="I102" i="33"/>
  <c r="J102" i="33"/>
  <c r="I103" i="33"/>
  <c r="J103" i="33"/>
  <c r="I104" i="33"/>
  <c r="J104" i="33"/>
  <c r="I105" i="33"/>
  <c r="J105" i="33"/>
  <c r="I106" i="33"/>
  <c r="J106" i="33"/>
  <c r="I107" i="33"/>
  <c r="J107" i="33"/>
  <c r="I108" i="33"/>
  <c r="J108" i="33"/>
  <c r="I109" i="33"/>
  <c r="J109" i="33"/>
  <c r="I110" i="33"/>
  <c r="J110" i="33"/>
  <c r="I111" i="33"/>
  <c r="J111" i="33"/>
  <c r="I112" i="33"/>
  <c r="J112" i="33"/>
  <c r="I113" i="33"/>
  <c r="J113" i="33"/>
  <c r="I114" i="33"/>
  <c r="J114" i="33"/>
  <c r="I115" i="33"/>
  <c r="J115" i="33"/>
  <c r="I116" i="33"/>
  <c r="J116" i="33"/>
  <c r="I117" i="33"/>
  <c r="J117" i="33"/>
  <c r="I118" i="33"/>
  <c r="J118" i="33"/>
  <c r="I119" i="33"/>
  <c r="J119" i="33"/>
  <c r="I120" i="33"/>
  <c r="J120" i="33"/>
  <c r="I121" i="33"/>
  <c r="J121" i="33"/>
  <c r="I122" i="33"/>
  <c r="J122" i="33"/>
  <c r="I123" i="33"/>
  <c r="J123" i="33"/>
  <c r="I124" i="33"/>
  <c r="J124" i="33"/>
  <c r="I125" i="33"/>
  <c r="J125" i="33"/>
  <c r="I126" i="33"/>
  <c r="J126" i="33"/>
  <c r="I127" i="33"/>
  <c r="J127" i="33"/>
  <c r="I128" i="33"/>
  <c r="J128" i="33"/>
  <c r="I129" i="33"/>
  <c r="J129" i="33"/>
  <c r="I130" i="33"/>
  <c r="J130" i="33"/>
  <c r="I131" i="33"/>
  <c r="J131" i="33"/>
  <c r="I132" i="33"/>
  <c r="J132" i="33"/>
  <c r="I133" i="33"/>
  <c r="J133" i="33"/>
  <c r="I134" i="33"/>
  <c r="J134" i="33"/>
  <c r="I135" i="33"/>
  <c r="J135" i="33"/>
  <c r="I136" i="33"/>
  <c r="J136" i="33"/>
  <c r="I137" i="33"/>
  <c r="J137" i="33"/>
  <c r="I138" i="33"/>
  <c r="J138" i="33"/>
  <c r="I139" i="33"/>
  <c r="J139" i="33"/>
  <c r="I140" i="33"/>
  <c r="J140" i="33"/>
  <c r="I141" i="33"/>
  <c r="J141" i="33"/>
  <c r="I142" i="33"/>
  <c r="J142" i="33"/>
  <c r="I143" i="33"/>
  <c r="J143" i="33"/>
  <c r="I144" i="33"/>
  <c r="J144" i="33"/>
  <c r="I145" i="33"/>
  <c r="J145" i="33"/>
  <c r="I146" i="33"/>
  <c r="J146" i="33"/>
  <c r="I147" i="33"/>
  <c r="J147" i="33"/>
  <c r="I148" i="33"/>
  <c r="J148" i="33"/>
  <c r="I149" i="33"/>
  <c r="J149" i="33"/>
  <c r="I150" i="33"/>
  <c r="J150" i="33"/>
  <c r="I151" i="33"/>
  <c r="J151" i="33"/>
  <c r="I152" i="33"/>
  <c r="J152" i="33"/>
  <c r="I153" i="33"/>
  <c r="J153" i="33"/>
  <c r="I154" i="33"/>
  <c r="J154" i="33"/>
  <c r="I155" i="33"/>
  <c r="J155" i="33"/>
  <c r="I156" i="33"/>
  <c r="J156" i="33"/>
  <c r="I157" i="33"/>
  <c r="J157" i="33"/>
  <c r="I158" i="33"/>
  <c r="J158" i="33"/>
  <c r="I159" i="33"/>
  <c r="J159" i="33"/>
  <c r="I160" i="33"/>
  <c r="J160" i="33"/>
  <c r="I161" i="33"/>
  <c r="J161" i="33"/>
  <c r="I162" i="33"/>
  <c r="J162" i="33"/>
  <c r="I163" i="33"/>
  <c r="J163" i="33"/>
  <c r="I16" i="33"/>
  <c r="G21" i="33"/>
  <c r="G22" i="33"/>
  <c r="G25" i="33"/>
  <c r="G26" i="33"/>
  <c r="G30" i="33"/>
  <c r="G45" i="33"/>
  <c r="G46" i="33"/>
  <c r="G49" i="33"/>
  <c r="G50" i="33"/>
  <c r="G53" i="33"/>
  <c r="G54" i="33"/>
  <c r="G57" i="33"/>
  <c r="G58" i="33"/>
  <c r="G63" i="33"/>
  <c r="G69" i="33"/>
  <c r="G74" i="33"/>
  <c r="G113" i="33"/>
  <c r="G121" i="33"/>
  <c r="G126" i="33"/>
  <c r="G133" i="33"/>
  <c r="F18" i="33"/>
  <c r="G18" i="33"/>
  <c r="F19" i="33"/>
  <c r="G19" i="33"/>
  <c r="F20" i="33"/>
  <c r="G20" i="33"/>
  <c r="F21" i="33"/>
  <c r="F22" i="33"/>
  <c r="F23" i="33"/>
  <c r="G23" i="33"/>
  <c r="F24" i="33"/>
  <c r="G24" i="33"/>
  <c r="F25" i="33"/>
  <c r="F26" i="33"/>
  <c r="F27" i="33"/>
  <c r="G27" i="33"/>
  <c r="F28" i="33"/>
  <c r="G28" i="33"/>
  <c r="F29" i="33"/>
  <c r="G29" i="33"/>
  <c r="F30" i="33"/>
  <c r="F31" i="33"/>
  <c r="G31" i="33"/>
  <c r="F32" i="33"/>
  <c r="G32" i="33"/>
  <c r="F33" i="33"/>
  <c r="G33" i="33"/>
  <c r="F34" i="33"/>
  <c r="G34" i="33"/>
  <c r="F35" i="33"/>
  <c r="G35" i="33"/>
  <c r="F36" i="33"/>
  <c r="G36" i="33"/>
  <c r="F37" i="33"/>
  <c r="G37" i="33"/>
  <c r="F38" i="33"/>
  <c r="G38" i="33"/>
  <c r="F39" i="33"/>
  <c r="G39" i="33"/>
  <c r="F40" i="33"/>
  <c r="G40" i="33"/>
  <c r="F41" i="33"/>
  <c r="G41" i="33"/>
  <c r="F42" i="33"/>
  <c r="G42" i="33"/>
  <c r="F43" i="33"/>
  <c r="G43" i="33"/>
  <c r="F44" i="33"/>
  <c r="G44" i="33"/>
  <c r="F45" i="33"/>
  <c r="F46" i="33"/>
  <c r="F47" i="33"/>
  <c r="G47" i="33"/>
  <c r="F48" i="33"/>
  <c r="G48" i="33"/>
  <c r="F49" i="33"/>
  <c r="F50" i="33"/>
  <c r="F51" i="33"/>
  <c r="G51" i="33"/>
  <c r="F52" i="33"/>
  <c r="G52" i="33"/>
  <c r="F53" i="33"/>
  <c r="F54" i="33"/>
  <c r="F55" i="33"/>
  <c r="G55" i="33"/>
  <c r="F56" i="33"/>
  <c r="G56" i="33"/>
  <c r="F57" i="33"/>
  <c r="F58" i="33"/>
  <c r="F59" i="33"/>
  <c r="G59" i="33"/>
  <c r="F60" i="33"/>
  <c r="G60" i="33"/>
  <c r="F61" i="33"/>
  <c r="G61" i="33"/>
  <c r="F62" i="33"/>
  <c r="G62" i="33"/>
  <c r="F63" i="33"/>
  <c r="F64" i="33"/>
  <c r="G64" i="33"/>
  <c r="F65" i="33"/>
  <c r="G65" i="33"/>
  <c r="F66" i="33"/>
  <c r="G66" i="33"/>
  <c r="F67" i="33"/>
  <c r="G67" i="33"/>
  <c r="F68" i="33"/>
  <c r="G68" i="33"/>
  <c r="F69" i="33"/>
  <c r="F70" i="33"/>
  <c r="G70" i="33"/>
  <c r="F71" i="33"/>
  <c r="G71" i="33"/>
  <c r="F72" i="33"/>
  <c r="G72" i="33"/>
  <c r="F73" i="33"/>
  <c r="G73" i="33"/>
  <c r="F74" i="33"/>
  <c r="F75" i="33"/>
  <c r="G75" i="33"/>
  <c r="F76" i="33"/>
  <c r="G76" i="33"/>
  <c r="F77" i="33"/>
  <c r="G77" i="33"/>
  <c r="F78" i="33"/>
  <c r="G78" i="33"/>
  <c r="F79" i="33"/>
  <c r="G79" i="33"/>
  <c r="F80" i="33"/>
  <c r="G80" i="33"/>
  <c r="F81" i="33"/>
  <c r="G81" i="33"/>
  <c r="F82" i="33"/>
  <c r="G82" i="33"/>
  <c r="F83" i="33"/>
  <c r="G83" i="33"/>
  <c r="F84" i="33"/>
  <c r="G84" i="33"/>
  <c r="F85" i="33"/>
  <c r="G85" i="33"/>
  <c r="F86" i="33"/>
  <c r="G86" i="33"/>
  <c r="F87" i="33"/>
  <c r="G87" i="33"/>
  <c r="F88" i="33"/>
  <c r="G88" i="33"/>
  <c r="F89" i="33"/>
  <c r="G89" i="33"/>
  <c r="F90" i="33"/>
  <c r="G90" i="33"/>
  <c r="F91" i="33"/>
  <c r="G91" i="33"/>
  <c r="F92" i="33"/>
  <c r="G92" i="33"/>
  <c r="F93" i="33"/>
  <c r="G93" i="33"/>
  <c r="F94" i="33"/>
  <c r="G94" i="33"/>
  <c r="F95" i="33"/>
  <c r="G95" i="33"/>
  <c r="F96" i="33"/>
  <c r="G96" i="33"/>
  <c r="F97" i="33"/>
  <c r="G97" i="33"/>
  <c r="F98" i="33"/>
  <c r="G98" i="33"/>
  <c r="F99" i="33"/>
  <c r="G99" i="33"/>
  <c r="F100" i="33"/>
  <c r="G100" i="33"/>
  <c r="F101" i="33"/>
  <c r="G101" i="33"/>
  <c r="F102" i="33"/>
  <c r="G102" i="33"/>
  <c r="F103" i="33"/>
  <c r="G103" i="33"/>
  <c r="F104" i="33"/>
  <c r="G104" i="33"/>
  <c r="F105" i="33"/>
  <c r="G105" i="33"/>
  <c r="F106" i="33"/>
  <c r="G106" i="33"/>
  <c r="F107" i="33"/>
  <c r="G107" i="33"/>
  <c r="F108" i="33"/>
  <c r="G108" i="33"/>
  <c r="F109" i="33"/>
  <c r="G109" i="33"/>
  <c r="F110" i="33"/>
  <c r="G110" i="33"/>
  <c r="F111" i="33"/>
  <c r="G111" i="33"/>
  <c r="F112" i="33"/>
  <c r="G112" i="33"/>
  <c r="F113" i="33"/>
  <c r="F114" i="33"/>
  <c r="G114" i="33"/>
  <c r="F115" i="33"/>
  <c r="G115" i="33"/>
  <c r="F116" i="33"/>
  <c r="G116" i="33"/>
  <c r="F117" i="33"/>
  <c r="G117" i="33"/>
  <c r="F118" i="33"/>
  <c r="G118" i="33"/>
  <c r="F119" i="33"/>
  <c r="G119" i="33"/>
  <c r="F120" i="33"/>
  <c r="G120" i="33"/>
  <c r="F121" i="33"/>
  <c r="F122" i="33"/>
  <c r="G122" i="33"/>
  <c r="F123" i="33"/>
  <c r="G123" i="33"/>
  <c r="F124" i="33"/>
  <c r="G124" i="33"/>
  <c r="F125" i="33"/>
  <c r="G125" i="33"/>
  <c r="F126" i="33"/>
  <c r="F127" i="33"/>
  <c r="G127" i="33"/>
  <c r="F128" i="33"/>
  <c r="G128" i="33"/>
  <c r="F129" i="33"/>
  <c r="G129" i="33"/>
  <c r="F130" i="33"/>
  <c r="G130" i="33"/>
  <c r="F131" i="33"/>
  <c r="G131" i="33"/>
  <c r="F132" i="33"/>
  <c r="G132" i="33"/>
  <c r="F134" i="33"/>
  <c r="G134" i="33"/>
  <c r="F135" i="33"/>
  <c r="G135" i="33"/>
  <c r="F136" i="33"/>
  <c r="G136" i="33"/>
  <c r="F137" i="33"/>
  <c r="G137" i="33"/>
  <c r="F138" i="33"/>
  <c r="G138" i="33"/>
  <c r="F139" i="33"/>
  <c r="G139" i="33"/>
  <c r="F140" i="33"/>
  <c r="G140" i="33"/>
  <c r="F141" i="33"/>
  <c r="G141" i="33"/>
  <c r="F142" i="33"/>
  <c r="G142" i="33"/>
  <c r="F143" i="33"/>
  <c r="G143" i="33"/>
  <c r="F144" i="33"/>
  <c r="G144" i="33"/>
  <c r="F145" i="33"/>
  <c r="G145" i="33"/>
  <c r="F146" i="33"/>
  <c r="G146" i="33"/>
  <c r="F147" i="33"/>
  <c r="G147" i="33"/>
  <c r="F148" i="33"/>
  <c r="G148" i="33"/>
  <c r="F149" i="33"/>
  <c r="G149" i="33"/>
  <c r="F150" i="33"/>
  <c r="G150" i="33"/>
  <c r="F151" i="33"/>
  <c r="G151" i="33"/>
  <c r="F152" i="33"/>
  <c r="G152" i="33"/>
  <c r="F153" i="33"/>
  <c r="G153" i="33"/>
  <c r="F154" i="33"/>
  <c r="G154" i="33"/>
  <c r="F155" i="33"/>
  <c r="G155" i="33"/>
  <c r="F156" i="33"/>
  <c r="G156" i="33"/>
  <c r="F157" i="33"/>
  <c r="G157" i="33"/>
  <c r="F158" i="33"/>
  <c r="G158" i="33"/>
  <c r="F159" i="33"/>
  <c r="G159" i="33"/>
  <c r="F160" i="33"/>
  <c r="G160" i="33"/>
  <c r="F161" i="33"/>
  <c r="G161" i="33"/>
  <c r="F162" i="33"/>
  <c r="G162" i="33"/>
  <c r="F163" i="33"/>
  <c r="G163" i="33"/>
  <c r="F162" i="31"/>
  <c r="G162" i="31"/>
  <c r="I162" i="31"/>
  <c r="J162" i="31"/>
  <c r="F163" i="31"/>
  <c r="G163" i="31"/>
  <c r="I163" i="31"/>
  <c r="J163" i="31"/>
  <c r="F162" i="32"/>
  <c r="G162" i="32"/>
  <c r="I162" i="32"/>
  <c r="J162" i="32"/>
  <c r="F163" i="32"/>
  <c r="G163" i="32"/>
  <c r="I163" i="32"/>
  <c r="J163" i="32"/>
  <c r="G85" i="32"/>
  <c r="G86" i="32"/>
  <c r="G87" i="32"/>
  <c r="F105" i="32"/>
  <c r="J28" i="32"/>
  <c r="J29" i="32"/>
  <c r="J33" i="32"/>
  <c r="J41" i="32"/>
  <c r="J42" i="32"/>
  <c r="J44" i="32"/>
  <c r="J45" i="32"/>
  <c r="J52" i="32"/>
  <c r="J53" i="32"/>
  <c r="J58" i="32"/>
  <c r="J74" i="32"/>
  <c r="I18" i="32"/>
  <c r="J18" i="32"/>
  <c r="I19" i="32"/>
  <c r="J19" i="32"/>
  <c r="I20" i="32"/>
  <c r="J20" i="32"/>
  <c r="I21" i="32"/>
  <c r="J21" i="32"/>
  <c r="I22" i="32"/>
  <c r="J22" i="32"/>
  <c r="I23" i="32"/>
  <c r="J23" i="32"/>
  <c r="I24" i="32"/>
  <c r="J24" i="32"/>
  <c r="I25" i="32"/>
  <c r="J25" i="32"/>
  <c r="I26" i="32"/>
  <c r="J26" i="32"/>
  <c r="I27" i="32"/>
  <c r="J27" i="32"/>
  <c r="I28" i="32"/>
  <c r="I29" i="32"/>
  <c r="I30" i="32"/>
  <c r="J30" i="32"/>
  <c r="I31" i="32"/>
  <c r="J31" i="32"/>
  <c r="I32" i="32"/>
  <c r="J32" i="32"/>
  <c r="I33" i="32"/>
  <c r="I34" i="32"/>
  <c r="J34" i="32"/>
  <c r="I35" i="32"/>
  <c r="J35" i="32"/>
  <c r="I36" i="32"/>
  <c r="J36" i="32"/>
  <c r="I37" i="32"/>
  <c r="J37" i="32"/>
  <c r="I38" i="32"/>
  <c r="J38" i="32"/>
  <c r="I39" i="32"/>
  <c r="J39" i="32"/>
  <c r="I40" i="32"/>
  <c r="J40" i="32"/>
  <c r="I41" i="32"/>
  <c r="I42" i="32"/>
  <c r="I43" i="32"/>
  <c r="J43" i="32"/>
  <c r="I44" i="32"/>
  <c r="I45" i="32"/>
  <c r="I46" i="32"/>
  <c r="J46" i="32"/>
  <c r="I47" i="32"/>
  <c r="J47" i="32"/>
  <c r="I48" i="32"/>
  <c r="J48" i="32"/>
  <c r="I49" i="32"/>
  <c r="J49" i="32"/>
  <c r="I50" i="32"/>
  <c r="J50" i="32"/>
  <c r="I51" i="32"/>
  <c r="J51" i="32"/>
  <c r="I52" i="32"/>
  <c r="I53" i="32"/>
  <c r="I54" i="32"/>
  <c r="J54" i="32"/>
  <c r="I55" i="32"/>
  <c r="J55" i="32"/>
  <c r="I56" i="32"/>
  <c r="J56" i="32"/>
  <c r="I57" i="32"/>
  <c r="J57" i="32"/>
  <c r="I58" i="32"/>
  <c r="I59" i="32"/>
  <c r="J59" i="32"/>
  <c r="I60" i="32"/>
  <c r="J60" i="32"/>
  <c r="I61" i="32"/>
  <c r="J61" i="32"/>
  <c r="I62" i="32"/>
  <c r="J62" i="32"/>
  <c r="I63" i="32"/>
  <c r="J63" i="32"/>
  <c r="I64" i="32"/>
  <c r="J64" i="32"/>
  <c r="I65" i="32"/>
  <c r="J65" i="32"/>
  <c r="I66" i="32"/>
  <c r="J66" i="32"/>
  <c r="I67" i="32"/>
  <c r="J67" i="32"/>
  <c r="I68" i="32"/>
  <c r="J68" i="32"/>
  <c r="I69" i="32"/>
  <c r="J69" i="32"/>
  <c r="I70" i="32"/>
  <c r="J70" i="32"/>
  <c r="I71" i="32"/>
  <c r="J71" i="32"/>
  <c r="I72" i="32"/>
  <c r="J72" i="32"/>
  <c r="I73" i="32"/>
  <c r="J73" i="32"/>
  <c r="I74" i="32"/>
  <c r="I75" i="32"/>
  <c r="J75" i="32"/>
  <c r="I76" i="32"/>
  <c r="J76" i="32"/>
  <c r="I77" i="32"/>
  <c r="J77" i="32"/>
  <c r="I78" i="32"/>
  <c r="J78" i="32"/>
  <c r="I79" i="32"/>
  <c r="J79" i="32"/>
  <c r="I80" i="32"/>
  <c r="J80" i="32"/>
  <c r="I81" i="32"/>
  <c r="J81" i="32"/>
  <c r="I82" i="32"/>
  <c r="J82" i="32"/>
  <c r="I83" i="32"/>
  <c r="J83" i="32"/>
  <c r="I84" i="32"/>
  <c r="J84" i="32"/>
  <c r="I85" i="32"/>
  <c r="J85" i="32"/>
  <c r="I86" i="32"/>
  <c r="J86" i="32"/>
  <c r="I87" i="32"/>
  <c r="J87" i="32"/>
  <c r="I88" i="32"/>
  <c r="J88" i="32"/>
  <c r="I89" i="32"/>
  <c r="J89" i="32"/>
  <c r="I90" i="32"/>
  <c r="J90" i="32"/>
  <c r="I91" i="32"/>
  <c r="J91" i="32"/>
  <c r="I92" i="32"/>
  <c r="J92" i="32"/>
  <c r="I93" i="32"/>
  <c r="J93" i="32"/>
  <c r="I94" i="32"/>
  <c r="J94" i="32"/>
  <c r="I95" i="32"/>
  <c r="J95" i="32"/>
  <c r="I96" i="32"/>
  <c r="J96" i="32"/>
  <c r="I97" i="32"/>
  <c r="J97" i="32"/>
  <c r="I98" i="32"/>
  <c r="J98" i="32"/>
  <c r="I99" i="32"/>
  <c r="J99" i="32"/>
  <c r="I100" i="32"/>
  <c r="J100" i="32"/>
  <c r="I101" i="32"/>
  <c r="J101" i="32"/>
  <c r="I102" i="32"/>
  <c r="J102" i="32"/>
  <c r="I103" i="32"/>
  <c r="J103" i="32"/>
  <c r="I104" i="32"/>
  <c r="J104" i="32"/>
  <c r="I105" i="32"/>
  <c r="J105" i="32"/>
  <c r="I106" i="32"/>
  <c r="J106" i="32"/>
  <c r="I107" i="32"/>
  <c r="J107" i="32"/>
  <c r="I108" i="32"/>
  <c r="J108" i="32"/>
  <c r="I109" i="32"/>
  <c r="J109" i="32"/>
  <c r="I110" i="32"/>
  <c r="J110" i="32"/>
  <c r="I111" i="32"/>
  <c r="J111" i="32"/>
  <c r="I112" i="32"/>
  <c r="J112" i="32"/>
  <c r="I113" i="32"/>
  <c r="J113" i="32"/>
  <c r="I114" i="32"/>
  <c r="J114" i="32"/>
  <c r="I115" i="32"/>
  <c r="J115" i="32"/>
  <c r="I116" i="32"/>
  <c r="J116" i="32"/>
  <c r="I117" i="32"/>
  <c r="J117" i="32"/>
  <c r="I118" i="32"/>
  <c r="J118" i="32"/>
  <c r="I119" i="32"/>
  <c r="J119" i="32"/>
  <c r="I120" i="32"/>
  <c r="J120" i="32"/>
  <c r="I121" i="32"/>
  <c r="J121" i="32"/>
  <c r="I122" i="32"/>
  <c r="J122" i="32"/>
  <c r="I123" i="32"/>
  <c r="J123" i="32"/>
  <c r="I124" i="32"/>
  <c r="J124" i="32"/>
  <c r="I125" i="32"/>
  <c r="J125" i="32"/>
  <c r="I126" i="32"/>
  <c r="J126" i="32"/>
  <c r="I127" i="32"/>
  <c r="J127" i="32"/>
  <c r="I128" i="32"/>
  <c r="J128" i="32"/>
  <c r="I129" i="32"/>
  <c r="J129" i="32"/>
  <c r="I130" i="32"/>
  <c r="J130" i="32"/>
  <c r="I131" i="32"/>
  <c r="J131" i="32"/>
  <c r="I132" i="32"/>
  <c r="J132" i="32"/>
  <c r="I133" i="32"/>
  <c r="J133" i="32"/>
  <c r="I134" i="32"/>
  <c r="J134" i="32"/>
  <c r="I135" i="32"/>
  <c r="J135" i="32"/>
  <c r="I136" i="32"/>
  <c r="J136" i="32"/>
  <c r="I137" i="32"/>
  <c r="J137" i="32"/>
  <c r="I138" i="32"/>
  <c r="J138" i="32"/>
  <c r="I139" i="32"/>
  <c r="J139" i="32"/>
  <c r="I140" i="32"/>
  <c r="J140" i="32"/>
  <c r="I141" i="32"/>
  <c r="J141" i="32"/>
  <c r="I142" i="32"/>
  <c r="J142" i="32"/>
  <c r="I143" i="32"/>
  <c r="J143" i="32"/>
  <c r="I144" i="32"/>
  <c r="J144" i="32"/>
  <c r="I145" i="32"/>
  <c r="J145" i="32"/>
  <c r="I146" i="32"/>
  <c r="J146" i="32"/>
  <c r="I147" i="32"/>
  <c r="J147" i="32"/>
  <c r="I148" i="32"/>
  <c r="J148" i="32"/>
  <c r="I149" i="32"/>
  <c r="J149" i="32"/>
  <c r="I150" i="32"/>
  <c r="J150" i="32"/>
  <c r="I151" i="32"/>
  <c r="J151" i="32"/>
  <c r="I152" i="32"/>
  <c r="J152" i="32"/>
  <c r="I153" i="32"/>
  <c r="J153" i="32"/>
  <c r="I154" i="32"/>
  <c r="J154" i="32"/>
  <c r="I155" i="32"/>
  <c r="J155" i="32"/>
  <c r="I156" i="32"/>
  <c r="J156" i="32"/>
  <c r="I157" i="32"/>
  <c r="J157" i="32"/>
  <c r="I158" i="32"/>
  <c r="J158" i="32"/>
  <c r="I159" i="32"/>
  <c r="J159" i="32"/>
  <c r="I160" i="32"/>
  <c r="J160" i="32"/>
  <c r="I161" i="32"/>
  <c r="J161" i="32"/>
  <c r="G19" i="32"/>
  <c r="G22" i="32"/>
  <c r="G23" i="32"/>
  <c r="G24" i="32"/>
  <c r="G25" i="32"/>
  <c r="G27" i="32"/>
  <c r="G30" i="32"/>
  <c r="G31" i="32"/>
  <c r="G32" i="32"/>
  <c r="G33" i="32"/>
  <c r="G35" i="32"/>
  <c r="G38" i="32"/>
  <c r="G39" i="32"/>
  <c r="G40" i="32"/>
  <c r="G45" i="32"/>
  <c r="G46" i="32"/>
  <c r="G51" i="32"/>
  <c r="G53" i="32"/>
  <c r="G54" i="32"/>
  <c r="G59" i="32"/>
  <c r="G61" i="32"/>
  <c r="G75" i="32"/>
  <c r="G91" i="32"/>
  <c r="G150" i="32"/>
  <c r="F18" i="32"/>
  <c r="G18" i="32"/>
  <c r="F19" i="32"/>
  <c r="F20" i="32"/>
  <c r="G20" i="32"/>
  <c r="F21" i="32"/>
  <c r="G21" i="32"/>
  <c r="F22" i="32"/>
  <c r="F23" i="32"/>
  <c r="F24" i="32"/>
  <c r="F25" i="32"/>
  <c r="F26" i="32"/>
  <c r="G26" i="32"/>
  <c r="F27" i="32"/>
  <c r="F28" i="32"/>
  <c r="G28" i="32"/>
  <c r="F29" i="32"/>
  <c r="G29" i="32"/>
  <c r="F30" i="32"/>
  <c r="F31" i="32"/>
  <c r="F32" i="32"/>
  <c r="F33" i="32"/>
  <c r="F34" i="32"/>
  <c r="G34" i="32"/>
  <c r="F35" i="32"/>
  <c r="F36" i="32"/>
  <c r="G36" i="32"/>
  <c r="F37" i="32"/>
  <c r="G37" i="32"/>
  <c r="F38" i="32"/>
  <c r="F39" i="32"/>
  <c r="F40" i="32"/>
  <c r="F41" i="32"/>
  <c r="G41" i="32"/>
  <c r="F42" i="32"/>
  <c r="G42" i="32"/>
  <c r="F43" i="32"/>
  <c r="G43" i="32"/>
  <c r="F44" i="32"/>
  <c r="G44" i="32"/>
  <c r="F45" i="32"/>
  <c r="F46" i="32"/>
  <c r="F47" i="32"/>
  <c r="G47" i="32"/>
  <c r="F48" i="32"/>
  <c r="G48" i="32"/>
  <c r="F49" i="32"/>
  <c r="G49" i="32"/>
  <c r="F50" i="32"/>
  <c r="G50" i="32"/>
  <c r="F51" i="32"/>
  <c r="F52" i="32"/>
  <c r="G52" i="32"/>
  <c r="F53" i="32"/>
  <c r="F54" i="32"/>
  <c r="F55" i="32"/>
  <c r="G55" i="32"/>
  <c r="F56" i="32"/>
  <c r="G56" i="32"/>
  <c r="F57" i="32"/>
  <c r="G57" i="32"/>
  <c r="F58" i="32"/>
  <c r="G58" i="32"/>
  <c r="F59" i="32"/>
  <c r="F60" i="32"/>
  <c r="G60" i="32"/>
  <c r="F61" i="32"/>
  <c r="F62" i="32"/>
  <c r="G62" i="32"/>
  <c r="F63" i="32"/>
  <c r="G63" i="32"/>
  <c r="F64" i="32"/>
  <c r="G64" i="32"/>
  <c r="F65" i="32"/>
  <c r="G65" i="32"/>
  <c r="F66" i="32"/>
  <c r="G66" i="32"/>
  <c r="F67" i="32"/>
  <c r="G67" i="32"/>
  <c r="F68" i="32"/>
  <c r="G68" i="32"/>
  <c r="F69" i="32"/>
  <c r="G69" i="32"/>
  <c r="F70" i="32"/>
  <c r="G70" i="32"/>
  <c r="F71" i="32"/>
  <c r="G71" i="32"/>
  <c r="F72" i="32"/>
  <c r="G72" i="32"/>
  <c r="F73" i="32"/>
  <c r="G73" i="32"/>
  <c r="F74" i="32"/>
  <c r="G74" i="32"/>
  <c r="F75" i="32"/>
  <c r="F76" i="32"/>
  <c r="G76" i="32"/>
  <c r="F77" i="32"/>
  <c r="G77" i="32"/>
  <c r="F78" i="32"/>
  <c r="G78" i="32"/>
  <c r="F79" i="32"/>
  <c r="G79" i="32"/>
  <c r="F80" i="32"/>
  <c r="G80" i="32"/>
  <c r="F81" i="32"/>
  <c r="G81" i="32"/>
  <c r="F82" i="32"/>
  <c r="G82" i="32"/>
  <c r="F83" i="32"/>
  <c r="G83" i="32"/>
  <c r="F84" i="32"/>
  <c r="G84" i="32"/>
  <c r="F85" i="32"/>
  <c r="F86" i="32"/>
  <c r="F87" i="32"/>
  <c r="F88" i="32"/>
  <c r="G88" i="32"/>
  <c r="F89" i="32"/>
  <c r="G89" i="32"/>
  <c r="F90" i="32"/>
  <c r="G90" i="32"/>
  <c r="F91" i="32"/>
  <c r="F92" i="32"/>
  <c r="G92" i="32"/>
  <c r="F93" i="32"/>
  <c r="G93" i="32"/>
  <c r="F94" i="32"/>
  <c r="G94" i="32"/>
  <c r="F95" i="32"/>
  <c r="G95" i="32"/>
  <c r="F96" i="32"/>
  <c r="G96" i="32"/>
  <c r="F97" i="32"/>
  <c r="G97" i="32"/>
  <c r="F98" i="32"/>
  <c r="G98" i="32"/>
  <c r="F99" i="32"/>
  <c r="G99" i="32"/>
  <c r="F100" i="32"/>
  <c r="G100" i="32"/>
  <c r="F101" i="32"/>
  <c r="G101" i="32"/>
  <c r="F102" i="32"/>
  <c r="G102" i="32"/>
  <c r="F103" i="32"/>
  <c r="G103" i="32"/>
  <c r="F104" i="32"/>
  <c r="G104" i="32"/>
  <c r="G105" i="32"/>
  <c r="F106" i="32"/>
  <c r="G106" i="32"/>
  <c r="F107" i="32"/>
  <c r="G107" i="32"/>
  <c r="F108" i="32"/>
  <c r="G108" i="32"/>
  <c r="F109" i="32"/>
  <c r="G109" i="32"/>
  <c r="F110" i="32"/>
  <c r="G110" i="32"/>
  <c r="F111" i="32"/>
  <c r="G111" i="32"/>
  <c r="F112" i="32"/>
  <c r="G112" i="32"/>
  <c r="F113" i="32"/>
  <c r="G113" i="32"/>
  <c r="F114" i="32"/>
  <c r="G114" i="32"/>
  <c r="F115" i="32"/>
  <c r="G115" i="32"/>
  <c r="F116" i="32"/>
  <c r="G116" i="32"/>
  <c r="F117" i="32"/>
  <c r="G117" i="32"/>
  <c r="F118" i="32"/>
  <c r="G118" i="32"/>
  <c r="F119" i="32"/>
  <c r="G119" i="32"/>
  <c r="F120" i="32"/>
  <c r="G120" i="32"/>
  <c r="F121" i="32"/>
  <c r="G121" i="32"/>
  <c r="F122" i="32"/>
  <c r="G122" i="32"/>
  <c r="F123" i="32"/>
  <c r="G123" i="32"/>
  <c r="F124" i="32"/>
  <c r="G124" i="32"/>
  <c r="F125" i="32"/>
  <c r="G125" i="32"/>
  <c r="F126" i="32"/>
  <c r="G126" i="32"/>
  <c r="F127" i="32"/>
  <c r="G127" i="32"/>
  <c r="F128" i="32"/>
  <c r="G128" i="32"/>
  <c r="F129" i="32"/>
  <c r="G129" i="32"/>
  <c r="F130" i="32"/>
  <c r="G130" i="32"/>
  <c r="F131" i="32"/>
  <c r="G131" i="32"/>
  <c r="F132" i="32"/>
  <c r="G132" i="32"/>
  <c r="F133" i="32"/>
  <c r="G133" i="32"/>
  <c r="F134" i="32"/>
  <c r="G134" i="32"/>
  <c r="F135" i="32"/>
  <c r="G135" i="32"/>
  <c r="F136" i="32"/>
  <c r="G136" i="32"/>
  <c r="F137" i="32"/>
  <c r="G137" i="32"/>
  <c r="F138" i="32"/>
  <c r="G138" i="32"/>
  <c r="F139" i="32"/>
  <c r="G139" i="32"/>
  <c r="F140" i="32"/>
  <c r="G140" i="32"/>
  <c r="F141" i="32"/>
  <c r="G141" i="32"/>
  <c r="F142" i="32"/>
  <c r="G142" i="32"/>
  <c r="F143" i="32"/>
  <c r="G143" i="32"/>
  <c r="F144" i="32"/>
  <c r="G144" i="32"/>
  <c r="F145" i="32"/>
  <c r="G145" i="32"/>
  <c r="F146" i="32"/>
  <c r="G146" i="32"/>
  <c r="F147" i="32"/>
  <c r="G147" i="32"/>
  <c r="F148" i="32"/>
  <c r="G148" i="32"/>
  <c r="F149" i="32"/>
  <c r="G149" i="32"/>
  <c r="F150" i="32"/>
  <c r="F151" i="32"/>
  <c r="G151" i="32"/>
  <c r="F152" i="32"/>
  <c r="G152" i="32"/>
  <c r="F153" i="32"/>
  <c r="G153" i="32"/>
  <c r="F154" i="32"/>
  <c r="G154" i="32"/>
  <c r="G155" i="32"/>
  <c r="F156" i="32"/>
  <c r="G156" i="32"/>
  <c r="F157" i="32"/>
  <c r="G157" i="32"/>
  <c r="F158" i="32"/>
  <c r="G158" i="32"/>
  <c r="F159" i="32"/>
  <c r="G159" i="32"/>
  <c r="F160" i="32"/>
  <c r="G160" i="32"/>
  <c r="F161" i="32"/>
  <c r="G161" i="32"/>
  <c r="F16" i="32"/>
  <c r="E189" i="34"/>
  <c r="H187" i="34"/>
  <c r="E186" i="34"/>
  <c r="F188" i="34"/>
  <c r="G188" i="34"/>
  <c r="F187" i="34"/>
  <c r="G187" i="34"/>
  <c r="F186" i="34"/>
  <c r="G186" i="34"/>
  <c r="F183" i="1"/>
  <c r="G183" i="1"/>
  <c r="F175" i="1"/>
  <c r="G175" i="1"/>
  <c r="F160" i="1"/>
  <c r="G160" i="1"/>
  <c r="J161" i="1"/>
  <c r="F161" i="1"/>
  <c r="G161" i="1"/>
  <c r="E173" i="34"/>
  <c r="F171" i="1"/>
  <c r="G171" i="1"/>
  <c r="F163" i="1"/>
  <c r="G163" i="1"/>
  <c r="E183" i="34"/>
  <c r="E172" i="34"/>
  <c r="J172" i="30"/>
  <c r="F172" i="30"/>
  <c r="G172" i="30"/>
  <c r="J180" i="30"/>
  <c r="I177" i="30"/>
  <c r="J177" i="30"/>
  <c r="E165" i="34"/>
  <c r="F184" i="30"/>
  <c r="G184" i="30"/>
  <c r="I179" i="30"/>
  <c r="J179" i="30"/>
  <c r="J185" i="32"/>
  <c r="J177" i="32"/>
  <c r="J169" i="32"/>
  <c r="H180" i="34"/>
  <c r="E177" i="34"/>
  <c r="I181" i="30"/>
  <c r="J181" i="30"/>
  <c r="I165" i="30"/>
  <c r="J165" i="30"/>
  <c r="F170" i="30"/>
  <c r="G170" i="30"/>
  <c r="I175" i="30"/>
  <c r="J175" i="30"/>
  <c r="E175" i="34"/>
  <c r="F180" i="30"/>
  <c r="G180" i="30"/>
  <c r="F168" i="30"/>
  <c r="G168" i="30"/>
  <c r="I171" i="30"/>
  <c r="J171" i="30"/>
  <c r="F178" i="30"/>
  <c r="G178" i="30"/>
  <c r="I183" i="30"/>
  <c r="J183" i="30"/>
  <c r="I167" i="30"/>
  <c r="J167" i="30"/>
  <c r="F176" i="30"/>
  <c r="G176" i="30"/>
  <c r="I173" i="30"/>
  <c r="J173" i="30"/>
  <c r="J182" i="30"/>
  <c r="F181" i="30"/>
  <c r="G181" i="30"/>
  <c r="J174" i="30"/>
  <c r="F173" i="30"/>
  <c r="G173" i="30"/>
  <c r="J166" i="30"/>
  <c r="F165" i="30"/>
  <c r="G165" i="30"/>
  <c r="J183" i="31"/>
  <c r="J181" i="31"/>
  <c r="J179" i="31"/>
  <c r="J175" i="31"/>
  <c r="J173" i="31"/>
  <c r="J171" i="31"/>
  <c r="J167" i="31"/>
  <c r="J165" i="31"/>
  <c r="F182" i="30"/>
  <c r="G182" i="30"/>
  <c r="F174" i="30"/>
  <c r="G174" i="30"/>
  <c r="F166" i="30"/>
  <c r="G166" i="30"/>
  <c r="F185" i="30"/>
  <c r="G185" i="30"/>
  <c r="J178" i="30"/>
  <c r="F177" i="30"/>
  <c r="G177" i="30"/>
  <c r="J170" i="30"/>
  <c r="F169" i="30"/>
  <c r="G169" i="30"/>
  <c r="F179" i="30"/>
  <c r="G179" i="30"/>
  <c r="D170" i="34"/>
  <c r="J184" i="30"/>
  <c r="F183" i="30"/>
  <c r="G183" i="30"/>
  <c r="J176" i="30"/>
  <c r="F175" i="30"/>
  <c r="G175" i="30"/>
  <c r="J168" i="30"/>
  <c r="F167" i="30"/>
  <c r="G167" i="30"/>
  <c r="F171" i="30"/>
  <c r="G171" i="30"/>
  <c r="I180" i="29"/>
  <c r="J180" i="29"/>
  <c r="J173" i="29"/>
  <c r="I163" i="29"/>
  <c r="J163" i="29"/>
  <c r="J168" i="29"/>
  <c r="J166" i="29"/>
  <c r="J175" i="29"/>
  <c r="J171" i="29"/>
  <c r="E163" i="34"/>
  <c r="J181" i="29"/>
  <c r="J184" i="29"/>
  <c r="J182" i="29"/>
  <c r="I179" i="29"/>
  <c r="J179" i="29"/>
  <c r="F176" i="29"/>
  <c r="G176" i="29"/>
  <c r="F164" i="29"/>
  <c r="G164" i="29"/>
  <c r="E180" i="34"/>
  <c r="F181" i="29"/>
  <c r="G181" i="29"/>
  <c r="I170" i="29"/>
  <c r="J170" i="29"/>
  <c r="F169" i="29"/>
  <c r="G169" i="29"/>
  <c r="J165" i="29"/>
  <c r="F162" i="29"/>
  <c r="G162" i="29"/>
  <c r="D168" i="34"/>
  <c r="I177" i="29"/>
  <c r="J177" i="29"/>
  <c r="J184" i="27"/>
  <c r="J168" i="27"/>
  <c r="F182" i="29"/>
  <c r="G182" i="29"/>
  <c r="D162" i="34"/>
  <c r="H183" i="34"/>
  <c r="F177" i="29"/>
  <c r="G177" i="29"/>
  <c r="J169" i="29"/>
  <c r="F165" i="29"/>
  <c r="G165" i="29"/>
  <c r="F174" i="29"/>
  <c r="G174" i="29"/>
  <c r="F180" i="29"/>
  <c r="G180" i="29"/>
  <c r="F172" i="29"/>
  <c r="G172" i="29"/>
  <c r="F168" i="29"/>
  <c r="G168" i="29"/>
  <c r="E179" i="34"/>
  <c r="F184" i="29"/>
  <c r="G184" i="29"/>
  <c r="F178" i="29"/>
  <c r="G178" i="29"/>
  <c r="F166" i="29"/>
  <c r="G166" i="29"/>
  <c r="E181" i="34"/>
  <c r="F183" i="29"/>
  <c r="G183" i="29"/>
  <c r="F179" i="29"/>
  <c r="G179" i="29"/>
  <c r="F175" i="29"/>
  <c r="G175" i="29"/>
  <c r="F171" i="29"/>
  <c r="G171" i="29"/>
  <c r="F167" i="29"/>
  <c r="G167" i="29"/>
  <c r="F163" i="29"/>
  <c r="G163" i="29"/>
  <c r="D169" i="34"/>
  <c r="F169" i="34"/>
  <c r="G169" i="34"/>
  <c r="D165" i="34"/>
  <c r="J174" i="26"/>
  <c r="H174" i="34"/>
  <c r="E171" i="34"/>
  <c r="I178" i="29"/>
  <c r="J178" i="29"/>
  <c r="I162" i="29"/>
  <c r="J162" i="29"/>
  <c r="D172" i="34"/>
  <c r="F185" i="34"/>
  <c r="G185" i="34"/>
  <c r="F171" i="18"/>
  <c r="G171" i="18"/>
  <c r="I170" i="18"/>
  <c r="J170" i="18"/>
  <c r="F179" i="18"/>
  <c r="G179" i="18"/>
  <c r="F163" i="18"/>
  <c r="G163" i="18"/>
  <c r="D176" i="34"/>
  <c r="D163" i="34"/>
  <c r="H185" i="34"/>
  <c r="E182" i="34"/>
  <c r="D179" i="34"/>
  <c r="E174" i="34"/>
  <c r="H169" i="34"/>
  <c r="E166" i="34"/>
  <c r="F166" i="34"/>
  <c r="G166" i="34"/>
  <c r="J182" i="18"/>
  <c r="J174" i="18"/>
  <c r="J166" i="18"/>
  <c r="J181" i="18"/>
  <c r="J173" i="18"/>
  <c r="J165" i="18"/>
  <c r="F178" i="18"/>
  <c r="G178" i="18"/>
  <c r="F170" i="18"/>
  <c r="G170" i="18"/>
  <c r="F162" i="18"/>
  <c r="G162" i="18"/>
  <c r="F165" i="18"/>
  <c r="G165" i="18"/>
  <c r="J183" i="18"/>
  <c r="J175" i="18"/>
  <c r="E178" i="34"/>
  <c r="E170" i="34"/>
  <c r="E162" i="34"/>
  <c r="F180" i="1"/>
  <c r="G180" i="1"/>
  <c r="F172" i="1"/>
  <c r="G172" i="1"/>
  <c r="F164" i="1"/>
  <c r="G164" i="1"/>
  <c r="F182" i="1"/>
  <c r="G182" i="1"/>
  <c r="D182" i="34"/>
  <c r="F166" i="1"/>
  <c r="G166" i="1"/>
  <c r="F167" i="1"/>
  <c r="G167" i="1"/>
  <c r="F174" i="1"/>
  <c r="G174" i="1"/>
  <c r="D171" i="34"/>
  <c r="H178" i="34"/>
  <c r="F178" i="1"/>
  <c r="G178" i="1"/>
  <c r="F162" i="1"/>
  <c r="G162" i="1"/>
  <c r="H184" i="34"/>
  <c r="F181" i="1"/>
  <c r="G181" i="1"/>
  <c r="F165" i="1"/>
  <c r="G165" i="1"/>
  <c r="H181" i="34"/>
  <c r="F184" i="1"/>
  <c r="G184" i="1"/>
  <c r="F168" i="1"/>
  <c r="G168" i="1"/>
  <c r="D175" i="34"/>
  <c r="F175" i="34"/>
  <c r="G175" i="34"/>
  <c r="E184" i="34"/>
  <c r="E176" i="34"/>
  <c r="E168" i="34"/>
  <c r="F168" i="34"/>
  <c r="G168" i="34"/>
  <c r="H177" i="34"/>
  <c r="H164" i="34"/>
  <c r="F185" i="1"/>
  <c r="G185" i="1"/>
  <c r="F177" i="1"/>
  <c r="G177" i="1"/>
  <c r="F169" i="1"/>
  <c r="G169" i="1"/>
  <c r="H167" i="34"/>
  <c r="H182" i="34"/>
  <c r="H166" i="34"/>
  <c r="H170" i="34"/>
  <c r="H162" i="34"/>
  <c r="H175" i="34"/>
  <c r="H173" i="34"/>
  <c r="H165" i="34"/>
  <c r="H176" i="34"/>
  <c r="H168" i="34"/>
  <c r="I170" i="34"/>
  <c r="J170" i="34"/>
  <c r="I167" i="34"/>
  <c r="J167" i="34"/>
  <c r="J179" i="18"/>
  <c r="J171" i="18"/>
  <c r="J163" i="18"/>
  <c r="J185" i="18"/>
  <c r="F184" i="18"/>
  <c r="G184" i="18"/>
  <c r="J177" i="18"/>
  <c r="F176" i="18"/>
  <c r="G176" i="18"/>
  <c r="J169" i="18"/>
  <c r="F168" i="18"/>
  <c r="G168" i="18"/>
  <c r="F182" i="18"/>
  <c r="G182" i="18"/>
  <c r="F174" i="18"/>
  <c r="G174" i="18"/>
  <c r="F166" i="18"/>
  <c r="G166" i="18"/>
  <c r="F185" i="18"/>
  <c r="G185" i="18"/>
  <c r="F177" i="18"/>
  <c r="G177" i="18"/>
  <c r="F169" i="18"/>
  <c r="G169" i="18"/>
  <c r="F180" i="18"/>
  <c r="G180" i="18"/>
  <c r="F172" i="18"/>
  <c r="G172" i="18"/>
  <c r="F164" i="18"/>
  <c r="G164" i="18"/>
  <c r="H179" i="34"/>
  <c r="D173" i="34"/>
  <c r="H171" i="34"/>
  <c r="H163" i="34"/>
  <c r="J184" i="18"/>
  <c r="F183" i="18"/>
  <c r="G183" i="18"/>
  <c r="J176" i="18"/>
  <c r="F175" i="18"/>
  <c r="G175" i="18"/>
  <c r="J168" i="18"/>
  <c r="F167" i="18"/>
  <c r="G167" i="18"/>
  <c r="I164" i="34"/>
  <c r="J164" i="34"/>
  <c r="H172" i="34"/>
  <c r="J167" i="18"/>
  <c r="I173" i="34"/>
  <c r="J173" i="34"/>
  <c r="I176" i="34"/>
  <c r="J176" i="34"/>
  <c r="I168" i="34"/>
  <c r="J168" i="34"/>
  <c r="I163" i="34"/>
  <c r="I182" i="34"/>
  <c r="J182" i="34"/>
  <c r="I174" i="34"/>
  <c r="J174" i="34"/>
  <c r="I185" i="34"/>
  <c r="J185" i="34"/>
  <c r="I177" i="34"/>
  <c r="J177" i="34"/>
  <c r="I180" i="34"/>
  <c r="J180" i="34"/>
  <c r="I172" i="34"/>
  <c r="J172" i="34"/>
  <c r="I175" i="34"/>
  <c r="J175" i="34"/>
  <c r="I169" i="34"/>
  <c r="J169" i="34"/>
  <c r="I166" i="34"/>
  <c r="J166" i="34"/>
  <c r="I184" i="34"/>
  <c r="J184" i="34"/>
  <c r="D183" i="34"/>
  <c r="D180" i="34"/>
  <c r="I178" i="34"/>
  <c r="J178" i="34"/>
  <c r="D177" i="34"/>
  <c r="D174" i="34"/>
  <c r="J160" i="1"/>
  <c r="D184" i="34"/>
  <c r="D181" i="34"/>
  <c r="D178" i="34"/>
  <c r="D167" i="34"/>
  <c r="F167" i="34"/>
  <c r="G167" i="34"/>
  <c r="D164" i="34"/>
  <c r="F164" i="34"/>
  <c r="G164" i="34"/>
  <c r="F179" i="1"/>
  <c r="G179" i="1"/>
  <c r="F176" i="1"/>
  <c r="G176" i="1"/>
  <c r="F173" i="1"/>
  <c r="G173" i="1"/>
  <c r="F170" i="1"/>
  <c r="G170" i="1"/>
  <c r="H2" i="26"/>
  <c r="D2" i="26"/>
  <c r="H2" i="27"/>
  <c r="D2" i="27"/>
  <c r="H2" i="28"/>
  <c r="D2" i="28"/>
  <c r="H2" i="31"/>
  <c r="D2" i="31"/>
  <c r="I18" i="31"/>
  <c r="J18" i="31"/>
  <c r="I19" i="31"/>
  <c r="I19" i="30"/>
  <c r="I20" i="31"/>
  <c r="I21" i="31"/>
  <c r="I21" i="30"/>
  <c r="I22" i="31"/>
  <c r="J22" i="31"/>
  <c r="I23" i="31"/>
  <c r="J23" i="31"/>
  <c r="I24" i="31"/>
  <c r="I25" i="31"/>
  <c r="I25" i="30"/>
  <c r="I26" i="31"/>
  <c r="J26" i="31"/>
  <c r="I27" i="31"/>
  <c r="J27" i="31"/>
  <c r="I28" i="31"/>
  <c r="J28" i="31"/>
  <c r="I29" i="31"/>
  <c r="J29" i="31"/>
  <c r="I30" i="31"/>
  <c r="J30" i="31"/>
  <c r="I31" i="31"/>
  <c r="J31" i="31"/>
  <c r="I32" i="31"/>
  <c r="I33" i="31"/>
  <c r="I33" i="30"/>
  <c r="I34" i="31"/>
  <c r="J34" i="31"/>
  <c r="I35" i="31"/>
  <c r="J35" i="31"/>
  <c r="I36" i="31"/>
  <c r="I37" i="31"/>
  <c r="J37" i="31"/>
  <c r="I38" i="31"/>
  <c r="J38" i="31"/>
  <c r="I39" i="31"/>
  <c r="J39" i="31"/>
  <c r="I40" i="31"/>
  <c r="I41" i="31"/>
  <c r="I41" i="30"/>
  <c r="I42" i="31"/>
  <c r="J42" i="31"/>
  <c r="I43" i="31"/>
  <c r="J43" i="31"/>
  <c r="I44" i="31"/>
  <c r="I45" i="31"/>
  <c r="J45" i="31"/>
  <c r="I46" i="31"/>
  <c r="J46" i="31"/>
  <c r="I47" i="31"/>
  <c r="J47" i="31"/>
  <c r="I48" i="31"/>
  <c r="I49" i="31"/>
  <c r="I49" i="30"/>
  <c r="I50" i="31"/>
  <c r="J50" i="31"/>
  <c r="I51" i="31"/>
  <c r="I51" i="30"/>
  <c r="I52" i="31"/>
  <c r="I52" i="30"/>
  <c r="J52" i="31"/>
  <c r="I53" i="31"/>
  <c r="J53" i="31"/>
  <c r="I54" i="31"/>
  <c r="J54" i="31"/>
  <c r="I55" i="31"/>
  <c r="J55" i="31"/>
  <c r="I56" i="31"/>
  <c r="J56" i="31"/>
  <c r="I57" i="31"/>
  <c r="I58" i="31"/>
  <c r="J58" i="31"/>
  <c r="I59" i="31"/>
  <c r="J59" i="31"/>
  <c r="I60" i="31"/>
  <c r="J60" i="31"/>
  <c r="I61" i="31"/>
  <c r="I61" i="30"/>
  <c r="J61" i="30"/>
  <c r="I62" i="31"/>
  <c r="J62" i="31"/>
  <c r="I63" i="31"/>
  <c r="J63" i="31"/>
  <c r="I64" i="31"/>
  <c r="J64" i="31"/>
  <c r="I65" i="31"/>
  <c r="I65" i="30"/>
  <c r="J65" i="31"/>
  <c r="I66" i="31"/>
  <c r="I67" i="31"/>
  <c r="J67" i="31"/>
  <c r="I68" i="31"/>
  <c r="J68" i="31"/>
  <c r="I69" i="31"/>
  <c r="I69" i="30"/>
  <c r="I70" i="31"/>
  <c r="J70" i="31"/>
  <c r="I71" i="31"/>
  <c r="I72" i="31"/>
  <c r="J72" i="31"/>
  <c r="I73" i="31"/>
  <c r="I73" i="30"/>
  <c r="I74" i="31"/>
  <c r="J74" i="31"/>
  <c r="I75" i="31"/>
  <c r="I75" i="30"/>
  <c r="I76" i="31"/>
  <c r="J76" i="31"/>
  <c r="I77" i="31"/>
  <c r="I77" i="30"/>
  <c r="I78" i="31"/>
  <c r="J78" i="31"/>
  <c r="I79" i="31"/>
  <c r="I79" i="30"/>
  <c r="I80" i="31"/>
  <c r="I81" i="31"/>
  <c r="J81" i="31"/>
  <c r="I82" i="31"/>
  <c r="J82" i="31"/>
  <c r="I83" i="31"/>
  <c r="J83" i="31"/>
  <c r="I84" i="31"/>
  <c r="I84" i="30"/>
  <c r="J84" i="31"/>
  <c r="I85" i="31"/>
  <c r="J85" i="31"/>
  <c r="I86" i="31"/>
  <c r="J86" i="31"/>
  <c r="I87" i="31"/>
  <c r="J87" i="31"/>
  <c r="I88" i="31"/>
  <c r="J88" i="31"/>
  <c r="I89" i="31"/>
  <c r="I90" i="31"/>
  <c r="J90" i="31"/>
  <c r="I91" i="31"/>
  <c r="J91" i="31"/>
  <c r="I92" i="31"/>
  <c r="J92" i="31"/>
  <c r="I93" i="31"/>
  <c r="I93" i="30"/>
  <c r="I94" i="31"/>
  <c r="J94" i="31"/>
  <c r="I95" i="31"/>
  <c r="J95" i="31"/>
  <c r="I96" i="31"/>
  <c r="J96" i="31"/>
  <c r="I97" i="31"/>
  <c r="J97" i="31"/>
  <c r="I98" i="31"/>
  <c r="I99" i="31"/>
  <c r="J99" i="31"/>
  <c r="I100" i="31"/>
  <c r="J100" i="31"/>
  <c r="I101" i="31"/>
  <c r="I101" i="30"/>
  <c r="J101" i="31"/>
  <c r="I102" i="31"/>
  <c r="I103" i="31"/>
  <c r="I104" i="31"/>
  <c r="J104" i="31"/>
  <c r="I105" i="31"/>
  <c r="I105" i="30"/>
  <c r="I106" i="31"/>
  <c r="J106" i="31"/>
  <c r="I107" i="31"/>
  <c r="I107" i="30"/>
  <c r="I108" i="31"/>
  <c r="J108" i="31"/>
  <c r="I109" i="31"/>
  <c r="I109" i="30"/>
  <c r="J109" i="31"/>
  <c r="I110" i="31"/>
  <c r="J110" i="31"/>
  <c r="I111" i="31"/>
  <c r="J111" i="31"/>
  <c r="I112" i="31"/>
  <c r="I113" i="31"/>
  <c r="I113" i="30"/>
  <c r="I114" i="31"/>
  <c r="J114" i="31"/>
  <c r="I115" i="31"/>
  <c r="J115" i="31"/>
  <c r="I116" i="31"/>
  <c r="I116" i="30"/>
  <c r="I117" i="31"/>
  <c r="I117" i="30"/>
  <c r="J117" i="31"/>
  <c r="I118" i="31"/>
  <c r="J118" i="31"/>
  <c r="I119" i="31"/>
  <c r="J119" i="31"/>
  <c r="I120" i="31"/>
  <c r="J120" i="31"/>
  <c r="I121" i="31"/>
  <c r="J121" i="31"/>
  <c r="I122" i="31"/>
  <c r="J122" i="31"/>
  <c r="I123" i="31"/>
  <c r="J123" i="31"/>
  <c r="I124" i="31"/>
  <c r="J124" i="31"/>
  <c r="I125" i="31"/>
  <c r="I125" i="30"/>
  <c r="I126" i="31"/>
  <c r="J126" i="31"/>
  <c r="I127" i="31"/>
  <c r="J127" i="31"/>
  <c r="I128" i="31"/>
  <c r="J128" i="31"/>
  <c r="I129" i="31"/>
  <c r="I129" i="30"/>
  <c r="I130" i="31"/>
  <c r="I131" i="31"/>
  <c r="J131" i="31"/>
  <c r="I132" i="31"/>
  <c r="J132" i="31"/>
  <c r="I133" i="31"/>
  <c r="J133" i="31"/>
  <c r="I134" i="31"/>
  <c r="I135" i="31"/>
  <c r="J135" i="31"/>
  <c r="I136" i="31"/>
  <c r="J136" i="31"/>
  <c r="I137" i="31"/>
  <c r="I137" i="30"/>
  <c r="I138" i="31"/>
  <c r="J138" i="31"/>
  <c r="I139" i="31"/>
  <c r="I139" i="30"/>
  <c r="J139" i="31"/>
  <c r="I140" i="31"/>
  <c r="I140" i="30"/>
  <c r="I141" i="31"/>
  <c r="I141" i="30"/>
  <c r="J141" i="31"/>
  <c r="I142" i="31"/>
  <c r="J142" i="31"/>
  <c r="I143" i="31"/>
  <c r="J143" i="31"/>
  <c r="I144" i="31"/>
  <c r="I145" i="31"/>
  <c r="J145" i="31"/>
  <c r="I146" i="31"/>
  <c r="J146" i="31"/>
  <c r="I147" i="31"/>
  <c r="J147" i="31"/>
  <c r="I148" i="31"/>
  <c r="J148" i="31"/>
  <c r="I149" i="31"/>
  <c r="I149" i="30"/>
  <c r="J149" i="31"/>
  <c r="I150" i="31"/>
  <c r="J150" i="31"/>
  <c r="I151" i="31"/>
  <c r="J151" i="31"/>
  <c r="I152" i="31"/>
  <c r="J152" i="31"/>
  <c r="I153" i="31"/>
  <c r="J153" i="31"/>
  <c r="I154" i="31"/>
  <c r="J154" i="31"/>
  <c r="I155" i="31"/>
  <c r="J155" i="31"/>
  <c r="I156" i="31"/>
  <c r="J156" i="31"/>
  <c r="I157" i="31"/>
  <c r="I157" i="30"/>
  <c r="I158" i="31"/>
  <c r="J158" i="31"/>
  <c r="I159" i="31"/>
  <c r="J159" i="31"/>
  <c r="I160" i="31"/>
  <c r="J160" i="31"/>
  <c r="I161" i="31"/>
  <c r="I161" i="30"/>
  <c r="J161" i="31"/>
  <c r="F18" i="31"/>
  <c r="G18" i="31"/>
  <c r="F19" i="31"/>
  <c r="G19" i="31"/>
  <c r="F20" i="31"/>
  <c r="G20" i="31"/>
  <c r="F21" i="31"/>
  <c r="G21" i="31"/>
  <c r="F22" i="31"/>
  <c r="G22" i="31"/>
  <c r="F23" i="31"/>
  <c r="G23" i="31"/>
  <c r="F24" i="31"/>
  <c r="G24" i="31"/>
  <c r="F25" i="31"/>
  <c r="G25" i="31"/>
  <c r="F26" i="31"/>
  <c r="G26" i="31"/>
  <c r="F27" i="31"/>
  <c r="G27" i="31"/>
  <c r="F28" i="31"/>
  <c r="G28" i="31"/>
  <c r="F29" i="31"/>
  <c r="G29" i="31"/>
  <c r="F30" i="31"/>
  <c r="G30" i="31"/>
  <c r="F31" i="31"/>
  <c r="G31" i="31"/>
  <c r="F32" i="31"/>
  <c r="G32" i="31"/>
  <c r="F33" i="31"/>
  <c r="G33" i="31"/>
  <c r="F34" i="31"/>
  <c r="G34" i="31"/>
  <c r="F35" i="31"/>
  <c r="G35" i="31"/>
  <c r="F36" i="31"/>
  <c r="G36" i="31"/>
  <c r="F37" i="31"/>
  <c r="G37" i="31"/>
  <c r="F38" i="31"/>
  <c r="G38" i="31"/>
  <c r="F39" i="31"/>
  <c r="G39" i="31"/>
  <c r="F40" i="31"/>
  <c r="G40" i="31"/>
  <c r="F41" i="31"/>
  <c r="G41" i="31"/>
  <c r="F42" i="31"/>
  <c r="G42" i="31"/>
  <c r="F43" i="31"/>
  <c r="G43" i="31"/>
  <c r="F44" i="31"/>
  <c r="G44" i="31"/>
  <c r="F45" i="31"/>
  <c r="G45" i="31"/>
  <c r="F46" i="31"/>
  <c r="G46" i="31"/>
  <c r="F47" i="31"/>
  <c r="G47" i="31"/>
  <c r="F48" i="31"/>
  <c r="G48" i="31"/>
  <c r="F49" i="31"/>
  <c r="G49" i="31"/>
  <c r="F50" i="31"/>
  <c r="G50" i="31"/>
  <c r="F51" i="31"/>
  <c r="G51" i="31"/>
  <c r="F52" i="31"/>
  <c r="G52" i="31"/>
  <c r="F53" i="31"/>
  <c r="G53" i="31"/>
  <c r="F54" i="31"/>
  <c r="G54" i="31"/>
  <c r="F55" i="31"/>
  <c r="G55" i="31"/>
  <c r="F56" i="31"/>
  <c r="G56" i="31"/>
  <c r="F57" i="31"/>
  <c r="G57" i="31"/>
  <c r="F58" i="31"/>
  <c r="G58" i="31"/>
  <c r="F59" i="31"/>
  <c r="G59" i="31"/>
  <c r="F60" i="31"/>
  <c r="G60" i="31"/>
  <c r="F61" i="31"/>
  <c r="G61" i="31"/>
  <c r="F62" i="31"/>
  <c r="G62" i="31"/>
  <c r="F63" i="31"/>
  <c r="G63" i="31"/>
  <c r="F64" i="31"/>
  <c r="G64" i="31"/>
  <c r="F65" i="31"/>
  <c r="G65" i="31"/>
  <c r="F66" i="31"/>
  <c r="G66" i="31"/>
  <c r="F67" i="31"/>
  <c r="G67" i="31"/>
  <c r="F68" i="31"/>
  <c r="G68" i="31"/>
  <c r="F69" i="31"/>
  <c r="G69" i="31"/>
  <c r="F70" i="31"/>
  <c r="G70" i="31"/>
  <c r="F71" i="31"/>
  <c r="G71" i="31"/>
  <c r="F72" i="31"/>
  <c r="G72" i="31"/>
  <c r="F73" i="31"/>
  <c r="G73" i="31"/>
  <c r="F74" i="31"/>
  <c r="G74" i="31"/>
  <c r="F75" i="31"/>
  <c r="G75" i="31"/>
  <c r="F76" i="31"/>
  <c r="G76" i="31"/>
  <c r="F77" i="31"/>
  <c r="G77" i="31"/>
  <c r="F78" i="31"/>
  <c r="G78" i="31"/>
  <c r="F79" i="31"/>
  <c r="G79" i="31"/>
  <c r="F80" i="31"/>
  <c r="G80" i="31"/>
  <c r="F81" i="31"/>
  <c r="G81" i="31"/>
  <c r="F82" i="31"/>
  <c r="G82" i="31"/>
  <c r="F83" i="31"/>
  <c r="G83" i="31"/>
  <c r="F84" i="31"/>
  <c r="G84" i="31"/>
  <c r="F85" i="31"/>
  <c r="G85" i="31"/>
  <c r="F86" i="31"/>
  <c r="G86" i="31"/>
  <c r="F87" i="31"/>
  <c r="G87" i="31"/>
  <c r="F88" i="31"/>
  <c r="G88" i="31"/>
  <c r="F89" i="31"/>
  <c r="G89" i="31"/>
  <c r="F90" i="31"/>
  <c r="G90" i="31"/>
  <c r="F91" i="31"/>
  <c r="G91" i="31"/>
  <c r="F92" i="31"/>
  <c r="G92" i="31"/>
  <c r="F93" i="31"/>
  <c r="G93" i="31"/>
  <c r="F94" i="31"/>
  <c r="G94" i="31"/>
  <c r="F95" i="31"/>
  <c r="G95" i="31"/>
  <c r="F96" i="31"/>
  <c r="G96" i="31"/>
  <c r="F97" i="31"/>
  <c r="G97" i="31"/>
  <c r="F98" i="31"/>
  <c r="G98" i="31"/>
  <c r="F99" i="31"/>
  <c r="G99" i="31"/>
  <c r="F100" i="31"/>
  <c r="G100" i="31"/>
  <c r="F101" i="31"/>
  <c r="G101" i="31"/>
  <c r="F102" i="31"/>
  <c r="G102" i="31"/>
  <c r="F103" i="31"/>
  <c r="G103" i="31"/>
  <c r="F104" i="31"/>
  <c r="G104" i="31"/>
  <c r="F105" i="31"/>
  <c r="G105" i="31"/>
  <c r="F106" i="31"/>
  <c r="G106" i="31"/>
  <c r="F107" i="31"/>
  <c r="G107" i="31"/>
  <c r="F108" i="31"/>
  <c r="G108" i="31"/>
  <c r="F109" i="31"/>
  <c r="G109" i="31"/>
  <c r="F110" i="31"/>
  <c r="G110" i="31"/>
  <c r="F111" i="31"/>
  <c r="G111" i="31"/>
  <c r="F112" i="31"/>
  <c r="G112" i="31"/>
  <c r="F113" i="31"/>
  <c r="G113" i="31"/>
  <c r="F114" i="31"/>
  <c r="G114" i="31"/>
  <c r="F115" i="31"/>
  <c r="G115" i="31"/>
  <c r="F116" i="31"/>
  <c r="G116" i="31"/>
  <c r="F117" i="31"/>
  <c r="G117" i="31"/>
  <c r="F118" i="31"/>
  <c r="G118" i="31"/>
  <c r="F119" i="31"/>
  <c r="G119" i="31"/>
  <c r="F120" i="31"/>
  <c r="G120" i="31"/>
  <c r="F121" i="31"/>
  <c r="G121" i="31"/>
  <c r="F122" i="31"/>
  <c r="G122" i="31"/>
  <c r="F123" i="31"/>
  <c r="G123" i="31"/>
  <c r="F124" i="31"/>
  <c r="G124" i="31"/>
  <c r="F125" i="31"/>
  <c r="G125" i="31"/>
  <c r="F126" i="31"/>
  <c r="G126" i="31"/>
  <c r="F127" i="31"/>
  <c r="G127" i="31"/>
  <c r="F128" i="31"/>
  <c r="G128" i="31"/>
  <c r="F129" i="31"/>
  <c r="G129" i="31"/>
  <c r="F130" i="31"/>
  <c r="G130" i="31"/>
  <c r="F131" i="31"/>
  <c r="G131" i="31"/>
  <c r="F132" i="31"/>
  <c r="G132" i="31"/>
  <c r="F133" i="31"/>
  <c r="G133" i="31"/>
  <c r="F134" i="31"/>
  <c r="G134" i="31"/>
  <c r="F135" i="31"/>
  <c r="G135" i="31"/>
  <c r="F136" i="31"/>
  <c r="G136" i="31"/>
  <c r="F137" i="31"/>
  <c r="G137" i="31"/>
  <c r="F138" i="31"/>
  <c r="G138" i="31"/>
  <c r="F139" i="31"/>
  <c r="G139" i="31"/>
  <c r="F140" i="31"/>
  <c r="G140" i="31"/>
  <c r="F141" i="31"/>
  <c r="G141" i="31"/>
  <c r="F142" i="31"/>
  <c r="G142" i="31"/>
  <c r="F143" i="31"/>
  <c r="G143" i="31"/>
  <c r="F144" i="31"/>
  <c r="G144" i="31"/>
  <c r="F145" i="31"/>
  <c r="G145" i="31"/>
  <c r="F146" i="31"/>
  <c r="G146" i="31"/>
  <c r="F147" i="31"/>
  <c r="G147" i="31"/>
  <c r="F148" i="31"/>
  <c r="G148" i="31"/>
  <c r="F149" i="31"/>
  <c r="G149" i="31"/>
  <c r="F150" i="31"/>
  <c r="G150" i="31"/>
  <c r="F151" i="31"/>
  <c r="G151" i="31"/>
  <c r="F152" i="31"/>
  <c r="G152" i="31"/>
  <c r="F153" i="31"/>
  <c r="G153" i="31"/>
  <c r="F154" i="31"/>
  <c r="G154" i="31"/>
  <c r="F155" i="31"/>
  <c r="G155" i="31"/>
  <c r="F156" i="31"/>
  <c r="G156" i="31"/>
  <c r="F157" i="31"/>
  <c r="G157" i="31"/>
  <c r="F158" i="31"/>
  <c r="G158" i="31"/>
  <c r="F159" i="31"/>
  <c r="G159" i="31"/>
  <c r="F160" i="31"/>
  <c r="G160" i="31"/>
  <c r="F161" i="31"/>
  <c r="G161" i="31"/>
  <c r="F136" i="28"/>
  <c r="G136" i="28"/>
  <c r="I136" i="28"/>
  <c r="F60" i="28"/>
  <c r="I18" i="28"/>
  <c r="J18" i="28"/>
  <c r="I19" i="28"/>
  <c r="J19" i="28"/>
  <c r="I20" i="28"/>
  <c r="J20" i="28"/>
  <c r="I21" i="28"/>
  <c r="J21" i="28"/>
  <c r="I22" i="28"/>
  <c r="J22" i="28"/>
  <c r="I23" i="28"/>
  <c r="J23" i="28"/>
  <c r="I24" i="28"/>
  <c r="J24" i="28"/>
  <c r="I25" i="28"/>
  <c r="J25" i="28"/>
  <c r="I26" i="28"/>
  <c r="J26" i="28"/>
  <c r="I27" i="28"/>
  <c r="J27" i="28"/>
  <c r="I28" i="28"/>
  <c r="J28" i="28"/>
  <c r="I29" i="28"/>
  <c r="J29" i="28"/>
  <c r="I30" i="28"/>
  <c r="J30" i="28"/>
  <c r="I31" i="28"/>
  <c r="J31" i="28"/>
  <c r="I32" i="28"/>
  <c r="J32" i="28"/>
  <c r="I33" i="28"/>
  <c r="J33" i="28"/>
  <c r="I34" i="28"/>
  <c r="J34" i="28"/>
  <c r="I35" i="28"/>
  <c r="J35" i="28"/>
  <c r="I36" i="28"/>
  <c r="J36" i="28"/>
  <c r="I37" i="28"/>
  <c r="J37" i="28"/>
  <c r="I38" i="28"/>
  <c r="J38" i="28"/>
  <c r="I39" i="28"/>
  <c r="J39" i="28"/>
  <c r="I40" i="28"/>
  <c r="J40" i="28"/>
  <c r="I41" i="28"/>
  <c r="J41" i="28"/>
  <c r="I42" i="28"/>
  <c r="J42" i="28"/>
  <c r="I43" i="28"/>
  <c r="J43" i="28"/>
  <c r="I44" i="28"/>
  <c r="J44" i="28"/>
  <c r="I45" i="28"/>
  <c r="J45" i="28"/>
  <c r="I46" i="28"/>
  <c r="J46" i="28"/>
  <c r="I47" i="28"/>
  <c r="J47" i="28"/>
  <c r="I48" i="28"/>
  <c r="J48" i="28"/>
  <c r="I49" i="28"/>
  <c r="J49" i="28"/>
  <c r="I50" i="28"/>
  <c r="J50" i="28"/>
  <c r="I51" i="28"/>
  <c r="J51" i="28"/>
  <c r="I52" i="28"/>
  <c r="J52" i="28"/>
  <c r="I53" i="28"/>
  <c r="J53" i="28"/>
  <c r="I54" i="28"/>
  <c r="J54" i="28"/>
  <c r="I55" i="28"/>
  <c r="J55" i="28"/>
  <c r="I56" i="28"/>
  <c r="J56" i="28"/>
  <c r="I57" i="28"/>
  <c r="J57" i="28"/>
  <c r="I58" i="28"/>
  <c r="J58" i="28"/>
  <c r="I59" i="28"/>
  <c r="J59" i="28"/>
  <c r="I60" i="28"/>
  <c r="J60" i="28"/>
  <c r="I61" i="28"/>
  <c r="J61" i="28"/>
  <c r="I62" i="28"/>
  <c r="J62" i="28"/>
  <c r="I63" i="28"/>
  <c r="J63" i="28"/>
  <c r="I64" i="28"/>
  <c r="J64" i="28"/>
  <c r="I65" i="28"/>
  <c r="J65" i="28"/>
  <c r="I66" i="28"/>
  <c r="J66" i="28"/>
  <c r="I67" i="28"/>
  <c r="J67" i="28"/>
  <c r="I68" i="28"/>
  <c r="J68" i="28"/>
  <c r="I69" i="28"/>
  <c r="J69" i="28"/>
  <c r="I70" i="28"/>
  <c r="J70" i="28"/>
  <c r="I71" i="28"/>
  <c r="J71" i="28"/>
  <c r="I72" i="28"/>
  <c r="J72" i="28"/>
  <c r="I73" i="28"/>
  <c r="J73" i="28"/>
  <c r="I74" i="28"/>
  <c r="J74" i="28"/>
  <c r="I75" i="28"/>
  <c r="J75" i="28"/>
  <c r="I76" i="28"/>
  <c r="J76" i="28"/>
  <c r="I77" i="28"/>
  <c r="J77" i="28"/>
  <c r="I78" i="28"/>
  <c r="I79" i="28"/>
  <c r="I80" i="28"/>
  <c r="J80" i="28"/>
  <c r="I81" i="28"/>
  <c r="J81" i="28"/>
  <c r="I82" i="28"/>
  <c r="J82" i="28"/>
  <c r="I83" i="28"/>
  <c r="J83" i="28"/>
  <c r="I84" i="28"/>
  <c r="J84" i="28"/>
  <c r="I85" i="28"/>
  <c r="J85" i="28"/>
  <c r="I86" i="28"/>
  <c r="J86" i="28"/>
  <c r="I87" i="28"/>
  <c r="J87" i="28"/>
  <c r="I88" i="28"/>
  <c r="J88" i="28"/>
  <c r="I89" i="28"/>
  <c r="J89" i="28"/>
  <c r="I90" i="28"/>
  <c r="J90" i="28"/>
  <c r="I91" i="28"/>
  <c r="J91" i="28"/>
  <c r="I92" i="28"/>
  <c r="J92" i="28"/>
  <c r="I93" i="28"/>
  <c r="J93" i="28"/>
  <c r="I94" i="28"/>
  <c r="J94" i="28"/>
  <c r="I95" i="28"/>
  <c r="J95" i="28"/>
  <c r="I96" i="28"/>
  <c r="J96" i="28"/>
  <c r="I97" i="28"/>
  <c r="J97" i="28"/>
  <c r="I98" i="28"/>
  <c r="J98" i="28"/>
  <c r="I99" i="28"/>
  <c r="J99" i="28"/>
  <c r="I100" i="28"/>
  <c r="J100" i="28"/>
  <c r="I101" i="28"/>
  <c r="J101" i="28"/>
  <c r="I102" i="28"/>
  <c r="J102" i="28"/>
  <c r="I103" i="28"/>
  <c r="J103" i="28"/>
  <c r="I104" i="28"/>
  <c r="J104" i="28"/>
  <c r="I105" i="28"/>
  <c r="J105" i="28"/>
  <c r="I106" i="28"/>
  <c r="J106" i="28"/>
  <c r="I107" i="28"/>
  <c r="J107" i="28"/>
  <c r="I108" i="28"/>
  <c r="J108" i="28"/>
  <c r="I109" i="28"/>
  <c r="J109" i="28"/>
  <c r="I110" i="28"/>
  <c r="J110" i="28"/>
  <c r="I111" i="28"/>
  <c r="J111" i="28"/>
  <c r="I112" i="28"/>
  <c r="J112" i="28"/>
  <c r="I113" i="28"/>
  <c r="J113" i="28"/>
  <c r="I114" i="28"/>
  <c r="J114" i="28"/>
  <c r="I115" i="28"/>
  <c r="J115" i="28"/>
  <c r="I116" i="28"/>
  <c r="J116" i="28"/>
  <c r="I117" i="28"/>
  <c r="J117" i="28"/>
  <c r="I118" i="28"/>
  <c r="J118" i="28"/>
  <c r="I119" i="28"/>
  <c r="J119" i="28"/>
  <c r="I120" i="28"/>
  <c r="J120" i="28"/>
  <c r="I121" i="28"/>
  <c r="J121" i="28"/>
  <c r="I122" i="28"/>
  <c r="J122" i="28"/>
  <c r="I123" i="28"/>
  <c r="J123" i="28"/>
  <c r="I124" i="28"/>
  <c r="J124" i="28"/>
  <c r="I125" i="28"/>
  <c r="J125" i="28"/>
  <c r="I126" i="28"/>
  <c r="J126" i="28"/>
  <c r="I127" i="28"/>
  <c r="J127" i="28"/>
  <c r="I128" i="28"/>
  <c r="J128" i="28"/>
  <c r="I129" i="28"/>
  <c r="J129" i="28"/>
  <c r="I130" i="28"/>
  <c r="J130" i="28"/>
  <c r="I131" i="28"/>
  <c r="J131" i="28"/>
  <c r="I132" i="28"/>
  <c r="J132" i="28"/>
  <c r="J133" i="28"/>
  <c r="I134" i="28"/>
  <c r="J134" i="28"/>
  <c r="I135" i="28"/>
  <c r="J135" i="28"/>
  <c r="J136" i="28"/>
  <c r="I137" i="28"/>
  <c r="J137" i="28"/>
  <c r="I138" i="28"/>
  <c r="J138" i="28"/>
  <c r="I139" i="28"/>
  <c r="J139" i="28"/>
  <c r="I140" i="28"/>
  <c r="J140" i="28"/>
  <c r="I141" i="28"/>
  <c r="J141" i="28"/>
  <c r="I142" i="28"/>
  <c r="J142" i="28"/>
  <c r="I143" i="28"/>
  <c r="J143" i="28"/>
  <c r="I144" i="28"/>
  <c r="J144" i="28"/>
  <c r="I145" i="28"/>
  <c r="J145" i="28"/>
  <c r="I146" i="28"/>
  <c r="J146" i="28"/>
  <c r="I147" i="28"/>
  <c r="J147" i="28"/>
  <c r="I148" i="28"/>
  <c r="J148" i="28"/>
  <c r="I149" i="28"/>
  <c r="J149" i="28"/>
  <c r="I150" i="28"/>
  <c r="J150" i="28"/>
  <c r="I151" i="28"/>
  <c r="J151" i="28"/>
  <c r="I152" i="28"/>
  <c r="J152" i="28"/>
  <c r="I153" i="28"/>
  <c r="J153" i="28"/>
  <c r="I154" i="28"/>
  <c r="J154" i="28"/>
  <c r="I155" i="28"/>
  <c r="J155" i="28"/>
  <c r="I156" i="28"/>
  <c r="J156" i="28"/>
  <c r="I157" i="28"/>
  <c r="J157" i="28"/>
  <c r="I158" i="28"/>
  <c r="J158" i="28"/>
  <c r="I159" i="28"/>
  <c r="J159" i="28"/>
  <c r="I160" i="28"/>
  <c r="J160" i="28"/>
  <c r="I161" i="28"/>
  <c r="J161" i="28"/>
  <c r="F18" i="28"/>
  <c r="G18" i="28"/>
  <c r="F19" i="28"/>
  <c r="G19" i="28"/>
  <c r="F20" i="28"/>
  <c r="G20" i="28"/>
  <c r="F21" i="28"/>
  <c r="G21" i="28"/>
  <c r="F22" i="28"/>
  <c r="G22" i="28"/>
  <c r="F23" i="28"/>
  <c r="G23" i="28"/>
  <c r="F24" i="28"/>
  <c r="G24" i="28"/>
  <c r="F25" i="28"/>
  <c r="G25" i="28"/>
  <c r="F26" i="28"/>
  <c r="G26" i="28"/>
  <c r="F27" i="28"/>
  <c r="G27" i="28"/>
  <c r="F28" i="28"/>
  <c r="G28" i="28"/>
  <c r="F29" i="28"/>
  <c r="G29" i="28"/>
  <c r="F30" i="28"/>
  <c r="G30" i="28"/>
  <c r="F31" i="28"/>
  <c r="G31" i="28"/>
  <c r="F32" i="28"/>
  <c r="G32" i="28"/>
  <c r="F33" i="28"/>
  <c r="G33" i="28"/>
  <c r="F34" i="28"/>
  <c r="G34" i="28"/>
  <c r="F35" i="28"/>
  <c r="G35" i="28"/>
  <c r="F36" i="28"/>
  <c r="G36" i="28"/>
  <c r="F37" i="28"/>
  <c r="G37" i="28"/>
  <c r="F38" i="28"/>
  <c r="G38" i="28"/>
  <c r="F39" i="28"/>
  <c r="G39" i="28"/>
  <c r="F40" i="28"/>
  <c r="G40" i="28"/>
  <c r="F41" i="28"/>
  <c r="G41" i="28"/>
  <c r="F42" i="28"/>
  <c r="G42" i="28"/>
  <c r="F43" i="28"/>
  <c r="G43" i="28"/>
  <c r="F44" i="28"/>
  <c r="G44" i="28"/>
  <c r="F45" i="28"/>
  <c r="G45" i="28"/>
  <c r="F46" i="28"/>
  <c r="G46" i="28"/>
  <c r="F47" i="28"/>
  <c r="G47" i="28"/>
  <c r="F48" i="28"/>
  <c r="G48" i="28"/>
  <c r="F49" i="28"/>
  <c r="G49" i="28"/>
  <c r="F50" i="28"/>
  <c r="G50" i="28"/>
  <c r="F51" i="28"/>
  <c r="G51" i="28"/>
  <c r="F52" i="28"/>
  <c r="G52" i="28"/>
  <c r="F53" i="28"/>
  <c r="G53" i="28"/>
  <c r="F54" i="28"/>
  <c r="G54" i="28"/>
  <c r="F55" i="28"/>
  <c r="G55" i="28"/>
  <c r="F56" i="28"/>
  <c r="G56" i="28"/>
  <c r="F57" i="28"/>
  <c r="G57" i="28"/>
  <c r="F58" i="28"/>
  <c r="G58" i="28"/>
  <c r="F59" i="28"/>
  <c r="G59" i="28"/>
  <c r="G60" i="28"/>
  <c r="F61" i="28"/>
  <c r="G61" i="28"/>
  <c r="F62" i="28"/>
  <c r="G62" i="28"/>
  <c r="F63" i="28"/>
  <c r="G63" i="28"/>
  <c r="F64" i="28"/>
  <c r="G64" i="28"/>
  <c r="F65" i="28"/>
  <c r="G65" i="28"/>
  <c r="F66" i="28"/>
  <c r="G66" i="28"/>
  <c r="F67" i="28"/>
  <c r="G67" i="28"/>
  <c r="F68" i="28"/>
  <c r="G68" i="28"/>
  <c r="F69" i="28"/>
  <c r="G69" i="28"/>
  <c r="F70" i="28"/>
  <c r="G70" i="28"/>
  <c r="F71" i="28"/>
  <c r="G71" i="28"/>
  <c r="F72" i="28"/>
  <c r="G72" i="28"/>
  <c r="F73" i="28"/>
  <c r="G73" i="28"/>
  <c r="F74" i="28"/>
  <c r="G74" i="28"/>
  <c r="F75" i="28"/>
  <c r="G75" i="28"/>
  <c r="F76" i="28"/>
  <c r="G76"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c r="F152" i="28"/>
  <c r="G152" i="28"/>
  <c r="F153" i="28"/>
  <c r="G153" i="28"/>
  <c r="F154" i="28"/>
  <c r="G154" i="28"/>
  <c r="F155" i="28"/>
  <c r="G155" i="28"/>
  <c r="F156" i="28"/>
  <c r="G156" i="28"/>
  <c r="F157" i="28"/>
  <c r="G157" i="28"/>
  <c r="F158" i="28"/>
  <c r="G158" i="28"/>
  <c r="F159" i="28"/>
  <c r="G159" i="28"/>
  <c r="F160" i="28"/>
  <c r="G160" i="28"/>
  <c r="F161" i="28"/>
  <c r="G161" i="28"/>
  <c r="I18" i="27"/>
  <c r="J18" i="27"/>
  <c r="I19" i="27"/>
  <c r="J19" i="27"/>
  <c r="I20" i="27"/>
  <c r="J20" i="27"/>
  <c r="I21" i="27"/>
  <c r="J21" i="27"/>
  <c r="I22" i="27"/>
  <c r="J22" i="27"/>
  <c r="I23" i="27"/>
  <c r="J23" i="27"/>
  <c r="I24" i="27"/>
  <c r="J24" i="27"/>
  <c r="I25" i="27"/>
  <c r="J25" i="27"/>
  <c r="I26" i="27"/>
  <c r="J26" i="27"/>
  <c r="I27" i="27"/>
  <c r="J27" i="27"/>
  <c r="I28" i="27"/>
  <c r="J28" i="27"/>
  <c r="I29" i="27"/>
  <c r="J29" i="27"/>
  <c r="I30" i="27"/>
  <c r="J30" i="27"/>
  <c r="I31" i="27"/>
  <c r="J31" i="27"/>
  <c r="I32" i="27"/>
  <c r="J32" i="27"/>
  <c r="I33" i="27"/>
  <c r="J33" i="27"/>
  <c r="I34" i="27"/>
  <c r="J34" i="27"/>
  <c r="I35" i="27"/>
  <c r="J35" i="27"/>
  <c r="I36" i="27"/>
  <c r="J36" i="27"/>
  <c r="I37" i="27"/>
  <c r="J37" i="27"/>
  <c r="I38" i="27"/>
  <c r="J38" i="27"/>
  <c r="I39" i="27"/>
  <c r="J39" i="27"/>
  <c r="I40" i="27"/>
  <c r="J40" i="27"/>
  <c r="I41" i="27"/>
  <c r="J41" i="27"/>
  <c r="I42" i="27"/>
  <c r="J42" i="27"/>
  <c r="I43" i="27"/>
  <c r="J43" i="27"/>
  <c r="I44" i="27"/>
  <c r="J44" i="27"/>
  <c r="I45" i="27"/>
  <c r="J45" i="27"/>
  <c r="I46" i="27"/>
  <c r="J46" i="27"/>
  <c r="I47" i="27"/>
  <c r="J47" i="27"/>
  <c r="I48" i="27"/>
  <c r="J48" i="27"/>
  <c r="I49" i="27"/>
  <c r="J49" i="27"/>
  <c r="I50" i="27"/>
  <c r="J50" i="27"/>
  <c r="I51" i="27"/>
  <c r="J51" i="27"/>
  <c r="I52" i="27"/>
  <c r="J52" i="27"/>
  <c r="I53" i="27"/>
  <c r="J53" i="27"/>
  <c r="I54" i="27"/>
  <c r="J54" i="27"/>
  <c r="I55" i="27"/>
  <c r="J55" i="27"/>
  <c r="I56" i="27"/>
  <c r="J56" i="27"/>
  <c r="I57" i="27"/>
  <c r="I58" i="27"/>
  <c r="I59" i="27"/>
  <c r="J59" i="27"/>
  <c r="I60" i="27"/>
  <c r="J60" i="27"/>
  <c r="I61" i="27"/>
  <c r="J61" i="27"/>
  <c r="I62" i="27"/>
  <c r="J62" i="27"/>
  <c r="I63" i="27"/>
  <c r="J63" i="27"/>
  <c r="I64" i="27"/>
  <c r="J64" i="27"/>
  <c r="I65" i="27"/>
  <c r="J65" i="27"/>
  <c r="I66" i="27"/>
  <c r="J66" i="27"/>
  <c r="I67" i="27"/>
  <c r="J67" i="27"/>
  <c r="I68" i="27"/>
  <c r="J68" i="27"/>
  <c r="I69" i="27"/>
  <c r="J69" i="27"/>
  <c r="I70" i="27"/>
  <c r="J70" i="27"/>
  <c r="I71" i="27"/>
  <c r="J71" i="27"/>
  <c r="I72" i="27"/>
  <c r="J72" i="27"/>
  <c r="I73" i="27"/>
  <c r="J73" i="27"/>
  <c r="I74" i="27"/>
  <c r="J74" i="27"/>
  <c r="I75" i="27"/>
  <c r="J75" i="27"/>
  <c r="I76" i="27"/>
  <c r="J76" i="27"/>
  <c r="I77" i="27"/>
  <c r="J77" i="27"/>
  <c r="I78" i="27"/>
  <c r="J78" i="27"/>
  <c r="I79" i="27"/>
  <c r="J79" i="27"/>
  <c r="I80" i="27"/>
  <c r="J80" i="27"/>
  <c r="I81" i="27"/>
  <c r="I82" i="27"/>
  <c r="I82" i="29"/>
  <c r="I83" i="27"/>
  <c r="J83" i="27"/>
  <c r="I84" i="27"/>
  <c r="J84" i="27"/>
  <c r="I85" i="27"/>
  <c r="J85" i="27"/>
  <c r="I86" i="27"/>
  <c r="J86" i="27"/>
  <c r="I87" i="27"/>
  <c r="J87" i="27"/>
  <c r="I88" i="27"/>
  <c r="J88" i="27"/>
  <c r="I89" i="27"/>
  <c r="I90" i="27"/>
  <c r="J90" i="27"/>
  <c r="I91" i="27"/>
  <c r="J91" i="27"/>
  <c r="I92" i="27"/>
  <c r="J92" i="27"/>
  <c r="I93" i="27"/>
  <c r="J93" i="27"/>
  <c r="I94" i="27"/>
  <c r="J94" i="27"/>
  <c r="I95" i="27"/>
  <c r="J95" i="27"/>
  <c r="I96" i="27"/>
  <c r="J96" i="27"/>
  <c r="I97" i="27"/>
  <c r="J97" i="27"/>
  <c r="I98" i="27"/>
  <c r="J98" i="27"/>
  <c r="I99" i="27"/>
  <c r="J99" i="27"/>
  <c r="I100" i="27"/>
  <c r="J100" i="27"/>
  <c r="I101" i="27"/>
  <c r="J101" i="27"/>
  <c r="I102" i="27"/>
  <c r="J102" i="27"/>
  <c r="I103" i="27"/>
  <c r="J103" i="27"/>
  <c r="I104" i="27"/>
  <c r="J104" i="27"/>
  <c r="I105" i="27"/>
  <c r="J105" i="27"/>
  <c r="I106" i="27"/>
  <c r="J106" i="27"/>
  <c r="I107" i="27"/>
  <c r="J107" i="27"/>
  <c r="I108" i="27"/>
  <c r="J108" i="27"/>
  <c r="I109" i="27"/>
  <c r="J109" i="27"/>
  <c r="I110" i="27"/>
  <c r="J110" i="27"/>
  <c r="I111" i="27"/>
  <c r="J111" i="27"/>
  <c r="I112" i="27"/>
  <c r="J112" i="27"/>
  <c r="I113" i="27"/>
  <c r="J113" i="27"/>
  <c r="I114" i="27"/>
  <c r="J114" i="27"/>
  <c r="I115" i="27"/>
  <c r="J115" i="27"/>
  <c r="I116" i="27"/>
  <c r="J116" i="27"/>
  <c r="I117" i="27"/>
  <c r="J117" i="27"/>
  <c r="I118" i="27"/>
  <c r="J118" i="27"/>
  <c r="I119" i="27"/>
  <c r="J119" i="27"/>
  <c r="I120" i="27"/>
  <c r="J120" i="27"/>
  <c r="I121" i="27"/>
  <c r="J121" i="27"/>
  <c r="I122" i="27"/>
  <c r="J122" i="27"/>
  <c r="I123" i="27"/>
  <c r="J123" i="27"/>
  <c r="I124" i="27"/>
  <c r="J124" i="27"/>
  <c r="I125" i="27"/>
  <c r="J125" i="27"/>
  <c r="I126" i="27"/>
  <c r="J126" i="27"/>
  <c r="I127" i="27"/>
  <c r="I128" i="27"/>
  <c r="J128" i="27"/>
  <c r="I129" i="27"/>
  <c r="J129" i="27"/>
  <c r="I130" i="27"/>
  <c r="J130" i="27"/>
  <c r="I131" i="27"/>
  <c r="J131" i="27"/>
  <c r="I132" i="27"/>
  <c r="I133" i="27"/>
  <c r="J133" i="27"/>
  <c r="I134" i="27"/>
  <c r="J134" i="27"/>
  <c r="I135" i="27"/>
  <c r="J135" i="27"/>
  <c r="I136" i="27"/>
  <c r="I137" i="27"/>
  <c r="J137" i="27"/>
  <c r="I138" i="27"/>
  <c r="J138" i="27"/>
  <c r="I139" i="27"/>
  <c r="J139" i="27"/>
  <c r="I140" i="27"/>
  <c r="J140" i="27"/>
  <c r="I141" i="27"/>
  <c r="J141" i="27"/>
  <c r="I142" i="27"/>
  <c r="J142" i="27"/>
  <c r="I143" i="27"/>
  <c r="J143" i="27"/>
  <c r="I144" i="27"/>
  <c r="J144" i="27"/>
  <c r="I145" i="27"/>
  <c r="I146" i="27"/>
  <c r="J146" i="27"/>
  <c r="I147" i="27"/>
  <c r="J147" i="27"/>
  <c r="I148" i="27"/>
  <c r="J148" i="27"/>
  <c r="I149" i="27"/>
  <c r="J149" i="27"/>
  <c r="I150" i="27"/>
  <c r="J150" i="27"/>
  <c r="I151" i="27"/>
  <c r="J151" i="27"/>
  <c r="I152" i="27"/>
  <c r="J152" i="27"/>
  <c r="I153" i="27"/>
  <c r="I154" i="27"/>
  <c r="J154" i="27"/>
  <c r="I155" i="27"/>
  <c r="I156" i="27"/>
  <c r="J156" i="27"/>
  <c r="I157" i="27"/>
  <c r="J157" i="27"/>
  <c r="I158" i="27"/>
  <c r="J158" i="27"/>
  <c r="I159" i="27"/>
  <c r="I160" i="27"/>
  <c r="J160" i="27"/>
  <c r="I161" i="27"/>
  <c r="J161" i="27"/>
  <c r="F18" i="27"/>
  <c r="F19" i="27"/>
  <c r="G19" i="27"/>
  <c r="F20" i="27"/>
  <c r="G20" i="27"/>
  <c r="F21" i="27"/>
  <c r="G21" i="27"/>
  <c r="F22" i="27"/>
  <c r="G22" i="27"/>
  <c r="F23" i="27"/>
  <c r="G23" i="27"/>
  <c r="F24" i="27"/>
  <c r="G24" i="27"/>
  <c r="F25" i="27"/>
  <c r="G25" i="27"/>
  <c r="F26" i="27"/>
  <c r="G26" i="27"/>
  <c r="F27" i="27"/>
  <c r="G27" i="27"/>
  <c r="F28" i="27"/>
  <c r="G28" i="27"/>
  <c r="F29" i="27"/>
  <c r="G29" i="27"/>
  <c r="F30" i="27"/>
  <c r="G30" i="27"/>
  <c r="F31" i="27"/>
  <c r="G31" i="27"/>
  <c r="F32" i="27"/>
  <c r="G32" i="27"/>
  <c r="F33" i="27"/>
  <c r="G33" i="27"/>
  <c r="F34" i="27"/>
  <c r="G34" i="27"/>
  <c r="F35" i="27"/>
  <c r="G35" i="27"/>
  <c r="F36" i="27"/>
  <c r="G36" i="27"/>
  <c r="F37" i="27"/>
  <c r="G37" i="27"/>
  <c r="F38" i="27"/>
  <c r="G38" i="27"/>
  <c r="F39" i="27"/>
  <c r="G39" i="27"/>
  <c r="F40" i="27"/>
  <c r="G40" i="27"/>
  <c r="F41" i="27"/>
  <c r="G41" i="27"/>
  <c r="F42" i="27"/>
  <c r="G42" i="27"/>
  <c r="F43" i="27"/>
  <c r="G43" i="27"/>
  <c r="F44" i="27"/>
  <c r="G44" i="27"/>
  <c r="F45" i="27"/>
  <c r="G45" i="27"/>
  <c r="F46" i="27"/>
  <c r="G46" i="27"/>
  <c r="F47" i="27"/>
  <c r="G47" i="27"/>
  <c r="F48" i="27"/>
  <c r="G48" i="27"/>
  <c r="F49" i="27"/>
  <c r="G49" i="27"/>
  <c r="F50" i="27"/>
  <c r="G50" i="27"/>
  <c r="F51" i="27"/>
  <c r="G51"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7" i="27"/>
  <c r="G67" i="27"/>
  <c r="F68" i="27"/>
  <c r="G68" i="27"/>
  <c r="F69" i="27"/>
  <c r="G69" i="27"/>
  <c r="F70" i="27"/>
  <c r="G70" i="27"/>
  <c r="F71" i="27"/>
  <c r="G71" i="27"/>
  <c r="F72" i="27"/>
  <c r="G72" i="27"/>
  <c r="F73" i="27"/>
  <c r="G73" i="27"/>
  <c r="F74" i="27"/>
  <c r="G74" i="27"/>
  <c r="F75" i="27"/>
  <c r="G75" i="27"/>
  <c r="F76" i="27"/>
  <c r="G76" i="27"/>
  <c r="F77" i="27"/>
  <c r="G77" i="27"/>
  <c r="F78" i="27"/>
  <c r="G78" i="27"/>
  <c r="F79" i="27"/>
  <c r="G79" i="27"/>
  <c r="F80" i="27"/>
  <c r="G80" i="27"/>
  <c r="F81" i="27"/>
  <c r="G81" i="27"/>
  <c r="F82" i="27"/>
  <c r="G82" i="27"/>
  <c r="F83" i="27"/>
  <c r="G83" i="27"/>
  <c r="F84" i="27"/>
  <c r="G84" i="27"/>
  <c r="F85" i="27"/>
  <c r="G85" i="27"/>
  <c r="F86" i="27"/>
  <c r="G86" i="27"/>
  <c r="F87" i="27"/>
  <c r="G87" i="27"/>
  <c r="F88" i="27"/>
  <c r="G88" i="27"/>
  <c r="F89" i="27"/>
  <c r="G89" i="27"/>
  <c r="F90" i="27"/>
  <c r="G90" i="27"/>
  <c r="F91" i="27"/>
  <c r="G91" i="27"/>
  <c r="F92" i="27"/>
  <c r="G92" i="27"/>
  <c r="F93" i="27"/>
  <c r="G93" i="27"/>
  <c r="F94" i="27"/>
  <c r="G94" i="27"/>
  <c r="F95" i="27"/>
  <c r="G95" i="27"/>
  <c r="F96" i="27"/>
  <c r="G96" i="27"/>
  <c r="F97" i="27"/>
  <c r="G97" i="27"/>
  <c r="F98" i="27"/>
  <c r="G98" i="27"/>
  <c r="F99" i="27"/>
  <c r="G99" i="27"/>
  <c r="F100" i="27"/>
  <c r="G100" i="27"/>
  <c r="F101" i="27"/>
  <c r="G101" i="27"/>
  <c r="F102" i="27"/>
  <c r="G102" i="27"/>
  <c r="F103" i="27"/>
  <c r="G103" i="27"/>
  <c r="F104" i="27"/>
  <c r="G104" i="27"/>
  <c r="F105" i="27"/>
  <c r="G105" i="27"/>
  <c r="F106" i="27"/>
  <c r="G106" i="27"/>
  <c r="F107" i="27"/>
  <c r="G107" i="27"/>
  <c r="F108" i="27"/>
  <c r="G108" i="27"/>
  <c r="F109" i="27"/>
  <c r="G109" i="27"/>
  <c r="F110" i="27"/>
  <c r="G110" i="27"/>
  <c r="F111" i="27"/>
  <c r="G111" i="27"/>
  <c r="F112" i="27"/>
  <c r="G112" i="27"/>
  <c r="F113" i="27"/>
  <c r="G113" i="27"/>
  <c r="F114" i="27"/>
  <c r="G114" i="27"/>
  <c r="F115" i="27"/>
  <c r="G115" i="27"/>
  <c r="F116" i="27"/>
  <c r="G116" i="27"/>
  <c r="F117" i="27"/>
  <c r="G117" i="27"/>
  <c r="F118" i="27"/>
  <c r="G118" i="27"/>
  <c r="F119" i="27"/>
  <c r="G119" i="27"/>
  <c r="F120" i="27"/>
  <c r="G120" i="27"/>
  <c r="F121" i="27"/>
  <c r="G121" i="27"/>
  <c r="F122" i="27"/>
  <c r="G122" i="27"/>
  <c r="F123" i="27"/>
  <c r="G123" i="27"/>
  <c r="F124" i="27"/>
  <c r="G124" i="27"/>
  <c r="F125" i="27"/>
  <c r="G125" i="27"/>
  <c r="F126" i="27"/>
  <c r="G126" i="27"/>
  <c r="F127" i="27"/>
  <c r="G127" i="27"/>
  <c r="F128" i="27"/>
  <c r="G128" i="27"/>
  <c r="F129" i="27"/>
  <c r="G129" i="27"/>
  <c r="F130" i="27"/>
  <c r="G130" i="27"/>
  <c r="F131" i="27"/>
  <c r="G131"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G143" i="27"/>
  <c r="F144" i="27"/>
  <c r="G144" i="27"/>
  <c r="F145" i="27"/>
  <c r="G145" i="27"/>
  <c r="F146" i="27"/>
  <c r="G146" i="27"/>
  <c r="F147" i="27"/>
  <c r="G147" i="27"/>
  <c r="F148" i="27"/>
  <c r="G148" i="27"/>
  <c r="F149" i="27"/>
  <c r="G149" i="27"/>
  <c r="F150" i="27"/>
  <c r="G150" i="27"/>
  <c r="F151" i="27"/>
  <c r="G151" i="27"/>
  <c r="F152" i="27"/>
  <c r="G152" i="27"/>
  <c r="F153" i="27"/>
  <c r="G153" i="27"/>
  <c r="F154" i="27"/>
  <c r="G154" i="27"/>
  <c r="F155" i="27"/>
  <c r="G155" i="27"/>
  <c r="F156" i="27"/>
  <c r="G156" i="27"/>
  <c r="F157" i="27"/>
  <c r="G157" i="27"/>
  <c r="F158" i="27"/>
  <c r="G158" i="27"/>
  <c r="F159" i="27"/>
  <c r="G159" i="27"/>
  <c r="F160" i="27"/>
  <c r="G160" i="27"/>
  <c r="F161" i="27"/>
  <c r="G161" i="27"/>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4" i="29"/>
  <c r="D16" i="30"/>
  <c r="E16" i="30"/>
  <c r="D17" i="30"/>
  <c r="E17" i="30"/>
  <c r="D18" i="30"/>
  <c r="E18" i="30"/>
  <c r="I18" i="30"/>
  <c r="D19" i="30"/>
  <c r="E19" i="30"/>
  <c r="D20" i="30"/>
  <c r="E20" i="30"/>
  <c r="D21" i="30"/>
  <c r="E21" i="30"/>
  <c r="D22" i="30"/>
  <c r="E22" i="30"/>
  <c r="I22" i="30"/>
  <c r="D23" i="30"/>
  <c r="E23" i="30"/>
  <c r="I23" i="30"/>
  <c r="D24" i="30"/>
  <c r="E24" i="30"/>
  <c r="D25" i="30"/>
  <c r="E25" i="30"/>
  <c r="D26" i="30"/>
  <c r="E26" i="30"/>
  <c r="I26" i="30"/>
  <c r="D27" i="30"/>
  <c r="E27" i="30"/>
  <c r="I27" i="30"/>
  <c r="D28" i="30"/>
  <c r="E28" i="30"/>
  <c r="I28" i="30"/>
  <c r="D29" i="30"/>
  <c r="E29" i="30"/>
  <c r="I29" i="30"/>
  <c r="D30" i="30"/>
  <c r="E30" i="30"/>
  <c r="I30" i="30"/>
  <c r="D31" i="30"/>
  <c r="E31" i="30"/>
  <c r="I31" i="30"/>
  <c r="D32" i="30"/>
  <c r="E32" i="30"/>
  <c r="D33" i="30"/>
  <c r="E33" i="30"/>
  <c r="D34" i="30"/>
  <c r="E34" i="30"/>
  <c r="I34" i="30"/>
  <c r="J34" i="30"/>
  <c r="D35" i="30"/>
  <c r="E35" i="30"/>
  <c r="I35" i="30"/>
  <c r="D36" i="30"/>
  <c r="E36" i="30"/>
  <c r="D37" i="30"/>
  <c r="E37" i="30"/>
  <c r="I37" i="30"/>
  <c r="D38" i="30"/>
  <c r="E38" i="30"/>
  <c r="D39" i="30"/>
  <c r="E39" i="30"/>
  <c r="I39" i="30"/>
  <c r="D40" i="30"/>
  <c r="E40" i="30"/>
  <c r="D41" i="30"/>
  <c r="E41" i="30"/>
  <c r="D42" i="30"/>
  <c r="E42" i="30"/>
  <c r="I42" i="30"/>
  <c r="D43" i="30"/>
  <c r="E43" i="30"/>
  <c r="I43" i="30"/>
  <c r="D44" i="30"/>
  <c r="E44" i="30"/>
  <c r="D45" i="30"/>
  <c r="E45" i="30"/>
  <c r="I45" i="30"/>
  <c r="D46" i="30"/>
  <c r="E46" i="30"/>
  <c r="I46" i="30"/>
  <c r="D47" i="30"/>
  <c r="E47" i="30"/>
  <c r="I47" i="30"/>
  <c r="D48" i="30"/>
  <c r="E48" i="30"/>
  <c r="D49" i="30"/>
  <c r="E49" i="30"/>
  <c r="D50" i="30"/>
  <c r="E50" i="30"/>
  <c r="I50" i="30"/>
  <c r="D51" i="30"/>
  <c r="E51" i="30"/>
  <c r="D52" i="30"/>
  <c r="E52" i="30"/>
  <c r="D53" i="30"/>
  <c r="E53" i="30"/>
  <c r="I53" i="30"/>
  <c r="J53" i="30"/>
  <c r="D54" i="30"/>
  <c r="E54" i="30"/>
  <c r="I54" i="30"/>
  <c r="D55" i="30"/>
  <c r="E55" i="30"/>
  <c r="I55" i="30"/>
  <c r="D56" i="30"/>
  <c r="E56" i="30"/>
  <c r="D57" i="30"/>
  <c r="E57" i="30"/>
  <c r="D58" i="30"/>
  <c r="E58" i="30"/>
  <c r="I58" i="30"/>
  <c r="D59" i="30"/>
  <c r="E59" i="30"/>
  <c r="I59" i="30"/>
  <c r="D60" i="30"/>
  <c r="E60" i="30"/>
  <c r="I60" i="30"/>
  <c r="D61" i="30"/>
  <c r="E61" i="30"/>
  <c r="D62" i="30"/>
  <c r="E62" i="30"/>
  <c r="I62" i="30"/>
  <c r="D63" i="30"/>
  <c r="E63" i="30"/>
  <c r="I63" i="30"/>
  <c r="D64" i="30"/>
  <c r="E64" i="30"/>
  <c r="I64" i="30"/>
  <c r="D65" i="30"/>
  <c r="E65" i="30"/>
  <c r="D66" i="30"/>
  <c r="E66" i="30"/>
  <c r="D67" i="30"/>
  <c r="E67" i="30"/>
  <c r="F67" i="30"/>
  <c r="G67" i="30"/>
  <c r="I67" i="30"/>
  <c r="D68" i="30"/>
  <c r="E68" i="30"/>
  <c r="I68" i="30"/>
  <c r="D69" i="30"/>
  <c r="E69" i="30"/>
  <c r="D70" i="30"/>
  <c r="E70" i="30"/>
  <c r="I70" i="30"/>
  <c r="D71" i="30"/>
  <c r="E71" i="30"/>
  <c r="D72" i="30"/>
  <c r="E72" i="30"/>
  <c r="I72" i="30"/>
  <c r="D73" i="30"/>
  <c r="E73" i="30"/>
  <c r="D74" i="30"/>
  <c r="E74" i="30"/>
  <c r="I74" i="30"/>
  <c r="D75" i="30"/>
  <c r="F75" i="30"/>
  <c r="G75" i="30"/>
  <c r="E75" i="30"/>
  <c r="D76" i="30"/>
  <c r="E76" i="30"/>
  <c r="I76" i="30"/>
  <c r="D77" i="30"/>
  <c r="E77" i="30"/>
  <c r="D78" i="30"/>
  <c r="E78" i="30"/>
  <c r="I78" i="30"/>
  <c r="J78" i="30"/>
  <c r="D79" i="30"/>
  <c r="E79" i="30"/>
  <c r="D80" i="30"/>
  <c r="F80" i="30"/>
  <c r="G80" i="30"/>
  <c r="E80" i="30"/>
  <c r="D81" i="30"/>
  <c r="E81" i="30"/>
  <c r="I81" i="30"/>
  <c r="J81" i="30"/>
  <c r="D82" i="30"/>
  <c r="E82" i="30"/>
  <c r="I82" i="30"/>
  <c r="J82" i="30"/>
  <c r="D83" i="30"/>
  <c r="E83" i="30"/>
  <c r="F83" i="30"/>
  <c r="G83" i="30"/>
  <c r="I83" i="30"/>
  <c r="D84" i="30"/>
  <c r="E84" i="30"/>
  <c r="D85" i="30"/>
  <c r="E85" i="30"/>
  <c r="I85" i="30"/>
  <c r="J85" i="30"/>
  <c r="D86" i="30"/>
  <c r="E86" i="30"/>
  <c r="I86" i="30"/>
  <c r="J86" i="30"/>
  <c r="D87" i="30"/>
  <c r="E87" i="30"/>
  <c r="F87" i="30"/>
  <c r="G87" i="30"/>
  <c r="I87" i="30"/>
  <c r="D88" i="30"/>
  <c r="E88" i="30"/>
  <c r="I88" i="30"/>
  <c r="D89" i="30"/>
  <c r="E89" i="30"/>
  <c r="D90" i="30"/>
  <c r="E90" i="30"/>
  <c r="D91" i="30"/>
  <c r="E91" i="30"/>
  <c r="I91" i="30"/>
  <c r="D92" i="30"/>
  <c r="F92" i="30"/>
  <c r="G92" i="30"/>
  <c r="E92" i="30"/>
  <c r="I92" i="30"/>
  <c r="D93" i="30"/>
  <c r="E93" i="30"/>
  <c r="D94" i="30"/>
  <c r="E94" i="30"/>
  <c r="I94" i="30"/>
  <c r="J94" i="30"/>
  <c r="D95" i="30"/>
  <c r="E95" i="30"/>
  <c r="F95" i="30"/>
  <c r="G95" i="30"/>
  <c r="D96" i="30"/>
  <c r="E96" i="30"/>
  <c r="I96" i="30"/>
  <c r="D97" i="30"/>
  <c r="E97" i="30"/>
  <c r="I97" i="30"/>
  <c r="J97" i="30"/>
  <c r="D98" i="30"/>
  <c r="E98" i="30"/>
  <c r="D99" i="30"/>
  <c r="E99" i="30"/>
  <c r="F99" i="30"/>
  <c r="G99" i="30"/>
  <c r="I99" i="30"/>
  <c r="D100" i="30"/>
  <c r="E100" i="30"/>
  <c r="F100" i="30"/>
  <c r="G100" i="30"/>
  <c r="I100" i="30"/>
  <c r="D101" i="30"/>
  <c r="E101" i="30"/>
  <c r="D102" i="30"/>
  <c r="E102" i="30"/>
  <c r="D103" i="30"/>
  <c r="E103" i="30"/>
  <c r="D104" i="30"/>
  <c r="E104" i="30"/>
  <c r="F104" i="30"/>
  <c r="G104" i="30"/>
  <c r="I104" i="30"/>
  <c r="D105" i="30"/>
  <c r="E105" i="30"/>
  <c r="D106" i="30"/>
  <c r="E106" i="30"/>
  <c r="I106" i="30"/>
  <c r="J106" i="30"/>
  <c r="D107" i="30"/>
  <c r="E107" i="30"/>
  <c r="F107" i="30"/>
  <c r="G107" i="30"/>
  <c r="D108" i="30"/>
  <c r="E108" i="30"/>
  <c r="I108" i="30"/>
  <c r="D109" i="30"/>
  <c r="E109" i="30"/>
  <c r="D110" i="30"/>
  <c r="E110" i="30"/>
  <c r="I110" i="30"/>
  <c r="J110" i="30"/>
  <c r="D111" i="30"/>
  <c r="E111" i="30"/>
  <c r="I111" i="30"/>
  <c r="D112" i="30"/>
  <c r="E112" i="30"/>
  <c r="D113" i="30"/>
  <c r="E113" i="30"/>
  <c r="D114" i="30"/>
  <c r="E114" i="30"/>
  <c r="I114" i="30"/>
  <c r="J114" i="30"/>
  <c r="D115" i="30"/>
  <c r="E115" i="30"/>
  <c r="I115" i="30"/>
  <c r="D116" i="30"/>
  <c r="E116" i="30"/>
  <c r="D117" i="30"/>
  <c r="E117" i="30"/>
  <c r="D118" i="30"/>
  <c r="E118" i="30"/>
  <c r="I118" i="30"/>
  <c r="J118" i="30"/>
  <c r="D119" i="30"/>
  <c r="E119" i="30"/>
  <c r="I119" i="30"/>
  <c r="D120" i="30"/>
  <c r="F120" i="30"/>
  <c r="G120" i="30"/>
  <c r="E120" i="30"/>
  <c r="I120" i="30"/>
  <c r="D121" i="30"/>
  <c r="E121" i="30"/>
  <c r="I121" i="30"/>
  <c r="J121" i="30"/>
  <c r="D122" i="30"/>
  <c r="E122" i="30"/>
  <c r="I122" i="30"/>
  <c r="J122" i="30"/>
  <c r="D123" i="30"/>
  <c r="E123" i="30"/>
  <c r="I123" i="30"/>
  <c r="D124" i="30"/>
  <c r="E124" i="30"/>
  <c r="I124" i="30"/>
  <c r="D125" i="30"/>
  <c r="E125" i="30"/>
  <c r="D126" i="30"/>
  <c r="E126" i="30"/>
  <c r="I126" i="30"/>
  <c r="J126" i="30"/>
  <c r="D127" i="30"/>
  <c r="E127" i="30"/>
  <c r="I127" i="30"/>
  <c r="D128" i="30"/>
  <c r="E128" i="30"/>
  <c r="I128" i="30"/>
  <c r="D129" i="30"/>
  <c r="E129" i="30"/>
  <c r="D130" i="30"/>
  <c r="E130" i="30"/>
  <c r="D131" i="30"/>
  <c r="E131" i="30"/>
  <c r="I131" i="30"/>
  <c r="D132" i="30"/>
  <c r="E132" i="30"/>
  <c r="I132" i="30"/>
  <c r="D133" i="30"/>
  <c r="E133" i="30"/>
  <c r="I133" i="30"/>
  <c r="J133" i="30"/>
  <c r="D134" i="30"/>
  <c r="E134" i="30"/>
  <c r="D135" i="30"/>
  <c r="E135" i="30"/>
  <c r="I135" i="30"/>
  <c r="D136" i="30"/>
  <c r="E136" i="30"/>
  <c r="F136" i="30"/>
  <c r="G136" i="30"/>
  <c r="I136" i="30"/>
  <c r="J136" i="30"/>
  <c r="D137" i="30"/>
  <c r="E137" i="30"/>
  <c r="D138" i="30"/>
  <c r="E138" i="30"/>
  <c r="I138" i="30"/>
  <c r="J138" i="30"/>
  <c r="D139" i="30"/>
  <c r="E139" i="30"/>
  <c r="D140" i="30"/>
  <c r="E140" i="30"/>
  <c r="D141" i="30"/>
  <c r="E141" i="30"/>
  <c r="D142" i="30"/>
  <c r="E142" i="30"/>
  <c r="I142" i="30"/>
  <c r="D143" i="30"/>
  <c r="E143" i="30"/>
  <c r="I143" i="30"/>
  <c r="D144" i="30"/>
  <c r="F144" i="30"/>
  <c r="G144" i="30"/>
  <c r="E144" i="30"/>
  <c r="D145" i="30"/>
  <c r="E145" i="30"/>
  <c r="D146" i="30"/>
  <c r="E146" i="30"/>
  <c r="I146" i="30"/>
  <c r="J146" i="30"/>
  <c r="D147" i="30"/>
  <c r="E147" i="30"/>
  <c r="I147" i="30"/>
  <c r="D148" i="30"/>
  <c r="E148" i="30"/>
  <c r="F148" i="30"/>
  <c r="G148" i="30"/>
  <c r="I148" i="30"/>
  <c r="D149" i="30"/>
  <c r="E149" i="30"/>
  <c r="D150" i="30"/>
  <c r="E150" i="30"/>
  <c r="D151" i="30"/>
  <c r="E151" i="30"/>
  <c r="I151" i="30"/>
  <c r="D152" i="30"/>
  <c r="E152" i="30"/>
  <c r="F152" i="30"/>
  <c r="G152" i="30"/>
  <c r="I152" i="30"/>
  <c r="J152" i="30"/>
  <c r="D153" i="30"/>
  <c r="E153" i="30"/>
  <c r="I153" i="30"/>
  <c r="D154" i="30"/>
  <c r="E154" i="30"/>
  <c r="I154" i="30"/>
  <c r="J154" i="30"/>
  <c r="D155" i="30"/>
  <c r="E155" i="30"/>
  <c r="I155" i="30"/>
  <c r="D156" i="30"/>
  <c r="E156" i="30"/>
  <c r="F156" i="30"/>
  <c r="G156" i="30"/>
  <c r="I156" i="30"/>
  <c r="D157" i="30"/>
  <c r="E157" i="30"/>
  <c r="D158" i="30"/>
  <c r="E158" i="30"/>
  <c r="I158" i="30"/>
  <c r="J158" i="30"/>
  <c r="D159" i="30"/>
  <c r="E159" i="30"/>
  <c r="I159" i="30"/>
  <c r="D160" i="30"/>
  <c r="E160" i="30"/>
  <c r="I160" i="30"/>
  <c r="D161" i="30"/>
  <c r="E161" i="30"/>
  <c r="D17" i="29"/>
  <c r="E17" i="29"/>
  <c r="D18" i="29"/>
  <c r="E18" i="29"/>
  <c r="D19" i="29"/>
  <c r="E19" i="29"/>
  <c r="D20" i="29"/>
  <c r="E20" i="29"/>
  <c r="D21" i="29"/>
  <c r="E21" i="29"/>
  <c r="D22" i="29"/>
  <c r="E22" i="29"/>
  <c r="D23" i="29"/>
  <c r="E23" i="29"/>
  <c r="D24" i="29"/>
  <c r="E24" i="29"/>
  <c r="D25" i="29"/>
  <c r="E25" i="29"/>
  <c r="D26" i="29"/>
  <c r="E26" i="29"/>
  <c r="D27" i="29"/>
  <c r="E27" i="29"/>
  <c r="D28" i="29"/>
  <c r="E28" i="29"/>
  <c r="D29" i="29"/>
  <c r="E29" i="29"/>
  <c r="D30" i="29"/>
  <c r="E30" i="29"/>
  <c r="D31" i="29"/>
  <c r="E31" i="29"/>
  <c r="D32" i="29"/>
  <c r="E32" i="29"/>
  <c r="D33" i="29"/>
  <c r="E33" i="29"/>
  <c r="D34" i="29"/>
  <c r="E34" i="29"/>
  <c r="D35" i="29"/>
  <c r="E35" i="29"/>
  <c r="D36" i="29"/>
  <c r="E36" i="29"/>
  <c r="D37" i="29"/>
  <c r="E37" i="29"/>
  <c r="D38" i="29"/>
  <c r="E38" i="29"/>
  <c r="D39" i="29"/>
  <c r="E39" i="29"/>
  <c r="D40" i="29"/>
  <c r="E40" i="29"/>
  <c r="D41" i="29"/>
  <c r="E41" i="29"/>
  <c r="D42" i="29"/>
  <c r="E42" i="29"/>
  <c r="D43" i="29"/>
  <c r="E43" i="29"/>
  <c r="D44" i="29"/>
  <c r="E44" i="29"/>
  <c r="D45" i="29"/>
  <c r="E45" i="29"/>
  <c r="D46" i="29"/>
  <c r="E46" i="29"/>
  <c r="D47" i="29"/>
  <c r="E47" i="29"/>
  <c r="D48" i="29"/>
  <c r="E48" i="29"/>
  <c r="D49" i="29"/>
  <c r="E49" i="29"/>
  <c r="D50" i="29"/>
  <c r="E50" i="29"/>
  <c r="D51" i="29"/>
  <c r="E51" i="29"/>
  <c r="D52" i="29"/>
  <c r="E52" i="29"/>
  <c r="D53" i="29"/>
  <c r="E53" i="29"/>
  <c r="D54" i="29"/>
  <c r="E54" i="29"/>
  <c r="D55" i="29"/>
  <c r="E55" i="29"/>
  <c r="D56" i="29"/>
  <c r="E56" i="29"/>
  <c r="D57" i="29"/>
  <c r="E57" i="29"/>
  <c r="D58" i="29"/>
  <c r="E58" i="29"/>
  <c r="D59" i="29"/>
  <c r="E59" i="29"/>
  <c r="D60" i="29"/>
  <c r="E60" i="29"/>
  <c r="D61" i="29"/>
  <c r="E61" i="29"/>
  <c r="D62" i="29"/>
  <c r="E62" i="29"/>
  <c r="D63" i="29"/>
  <c r="E63" i="29"/>
  <c r="F63" i="29"/>
  <c r="G63" i="29"/>
  <c r="D64" i="29"/>
  <c r="E64" i="29"/>
  <c r="F64" i="29"/>
  <c r="G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D78" i="29"/>
  <c r="E78" i="29"/>
  <c r="D79" i="29"/>
  <c r="E79" i="29"/>
  <c r="D80" i="29"/>
  <c r="E80" i="29"/>
  <c r="I80" i="29"/>
  <c r="J80" i="29"/>
  <c r="D81" i="29"/>
  <c r="E81" i="29"/>
  <c r="D82" i="29"/>
  <c r="E82" i="29"/>
  <c r="D83" i="29"/>
  <c r="E83" i="29"/>
  <c r="D84" i="29"/>
  <c r="E84" i="29"/>
  <c r="I84" i="29"/>
  <c r="J84" i="29"/>
  <c r="D85" i="29"/>
  <c r="E85" i="29"/>
  <c r="D86" i="29"/>
  <c r="E86" i="29"/>
  <c r="D87" i="29"/>
  <c r="E87" i="29"/>
  <c r="D88" i="29"/>
  <c r="E88" i="29"/>
  <c r="D89" i="29"/>
  <c r="E89" i="29"/>
  <c r="D90" i="29"/>
  <c r="E90" i="29"/>
  <c r="D91" i="29"/>
  <c r="E91" i="29"/>
  <c r="D92" i="29"/>
  <c r="E92" i="29"/>
  <c r="D93" i="29"/>
  <c r="E93" i="29"/>
  <c r="D94" i="29"/>
  <c r="E94" i="29"/>
  <c r="D95" i="29"/>
  <c r="E95" i="29"/>
  <c r="D96" i="29"/>
  <c r="E96" i="29"/>
  <c r="D97" i="29"/>
  <c r="E97" i="29"/>
  <c r="D98" i="29"/>
  <c r="E98" i="29"/>
  <c r="D99" i="29"/>
  <c r="E99" i="29"/>
  <c r="D100" i="29"/>
  <c r="E100" i="29"/>
  <c r="D101" i="29"/>
  <c r="E101" i="29"/>
  <c r="D102" i="29"/>
  <c r="E102" i="29"/>
  <c r="D103" i="29"/>
  <c r="E103" i="29"/>
  <c r="D104" i="29"/>
  <c r="E104" i="29"/>
  <c r="D105" i="29"/>
  <c r="E105" i="29"/>
  <c r="D106" i="29"/>
  <c r="E106" i="29"/>
  <c r="D107" i="29"/>
  <c r="E107" i="29"/>
  <c r="D108" i="29"/>
  <c r="E108" i="29"/>
  <c r="D109" i="29"/>
  <c r="E109" i="29"/>
  <c r="D110" i="29"/>
  <c r="E110" i="29"/>
  <c r="D111" i="29"/>
  <c r="E111" i="29"/>
  <c r="D112" i="29"/>
  <c r="E112" i="29"/>
  <c r="D113" i="29"/>
  <c r="E113" i="29"/>
  <c r="D114" i="29"/>
  <c r="E114" i="29"/>
  <c r="D115" i="29"/>
  <c r="E115" i="29"/>
  <c r="D116" i="29"/>
  <c r="E116" i="29"/>
  <c r="D117" i="29"/>
  <c r="E117" i="29"/>
  <c r="D118" i="29"/>
  <c r="E118" i="29"/>
  <c r="D119" i="29"/>
  <c r="E119" i="29"/>
  <c r="D120" i="29"/>
  <c r="E120" i="29"/>
  <c r="D121" i="29"/>
  <c r="E121" i="29"/>
  <c r="D122" i="29"/>
  <c r="E122" i="29"/>
  <c r="D123" i="29"/>
  <c r="E123" i="29"/>
  <c r="D124" i="29"/>
  <c r="E124" i="29"/>
  <c r="D125" i="29"/>
  <c r="E125" i="29"/>
  <c r="D126" i="29"/>
  <c r="E126" i="29"/>
  <c r="D127" i="29"/>
  <c r="E127" i="29"/>
  <c r="D128" i="29"/>
  <c r="E128" i="29"/>
  <c r="D129" i="29"/>
  <c r="E129" i="29"/>
  <c r="D130" i="29"/>
  <c r="E130" i="29"/>
  <c r="D131" i="29"/>
  <c r="E131" i="29"/>
  <c r="D132" i="29"/>
  <c r="E132" i="29"/>
  <c r="D133" i="29"/>
  <c r="E133" i="29"/>
  <c r="D134" i="29"/>
  <c r="E134" i="29"/>
  <c r="D135" i="29"/>
  <c r="E135" i="29"/>
  <c r="F135" i="29"/>
  <c r="G135" i="29"/>
  <c r="D136" i="29"/>
  <c r="E136" i="29"/>
  <c r="D137" i="29"/>
  <c r="E137" i="29"/>
  <c r="D138" i="29"/>
  <c r="E138" i="29"/>
  <c r="D139" i="29"/>
  <c r="E139" i="29"/>
  <c r="D140" i="29"/>
  <c r="E140" i="29"/>
  <c r="D141" i="29"/>
  <c r="E141" i="29"/>
  <c r="D142" i="29"/>
  <c r="E142" i="29"/>
  <c r="D143" i="29"/>
  <c r="E143" i="29"/>
  <c r="D144" i="29"/>
  <c r="E144" i="29"/>
  <c r="D145" i="29"/>
  <c r="E145" i="29"/>
  <c r="D146" i="29"/>
  <c r="E146" i="29"/>
  <c r="I146" i="29"/>
  <c r="D147" i="29"/>
  <c r="E147" i="29"/>
  <c r="D148" i="29"/>
  <c r="E148" i="29"/>
  <c r="D149" i="29"/>
  <c r="E149" i="29"/>
  <c r="D150" i="29"/>
  <c r="E150" i="29"/>
  <c r="D151" i="29"/>
  <c r="E151" i="29"/>
  <c r="D152" i="29"/>
  <c r="E152" i="29"/>
  <c r="F152" i="29"/>
  <c r="G152" i="29"/>
  <c r="D153" i="29"/>
  <c r="E153" i="29"/>
  <c r="D154" i="29"/>
  <c r="E154" i="29"/>
  <c r="D155" i="29"/>
  <c r="E155" i="29"/>
  <c r="D156" i="29"/>
  <c r="E156" i="29"/>
  <c r="D157" i="29"/>
  <c r="E157" i="29"/>
  <c r="D158" i="29"/>
  <c r="E158" i="29"/>
  <c r="D159" i="29"/>
  <c r="E159" i="29"/>
  <c r="D160" i="29"/>
  <c r="E160" i="29"/>
  <c r="D161" i="29"/>
  <c r="E161" i="29"/>
  <c r="D161" i="18"/>
  <c r="D161" i="34"/>
  <c r="E161" i="18"/>
  <c r="E161" i="34"/>
  <c r="H161" i="18"/>
  <c r="H161" i="34"/>
  <c r="I161" i="18"/>
  <c r="I161" i="34"/>
  <c r="C160" i="18"/>
  <c r="C159" i="18"/>
  <c r="C158" i="18"/>
  <c r="C157" i="18"/>
  <c r="C156" i="18"/>
  <c r="C155" i="18"/>
  <c r="C154" i="18"/>
  <c r="C153" i="18"/>
  <c r="C152" i="18"/>
  <c r="C151" i="18"/>
  <c r="C150" i="18"/>
  <c r="C149" i="18"/>
  <c r="C148" i="18"/>
  <c r="C147" i="18"/>
  <c r="C146" i="18"/>
  <c r="C145" i="18"/>
  <c r="C144" i="18"/>
  <c r="C143" i="18"/>
  <c r="C142" i="18"/>
  <c r="C141" i="18"/>
  <c r="C140" i="18"/>
  <c r="C160" i="26"/>
  <c r="I160" i="26"/>
  <c r="J160" i="26"/>
  <c r="C158" i="33"/>
  <c r="C159" i="33"/>
  <c r="C160" i="33"/>
  <c r="I145" i="26"/>
  <c r="J145" i="26"/>
  <c r="F91" i="26"/>
  <c r="G91" i="26"/>
  <c r="I91" i="26"/>
  <c r="I91" i="29"/>
  <c r="G84" i="26"/>
  <c r="G81" i="26"/>
  <c r="G76" i="26"/>
  <c r="G77" i="26"/>
  <c r="G78" i="26"/>
  <c r="G79" i="26"/>
  <c r="G80" i="26"/>
  <c r="G82" i="26"/>
  <c r="G83" i="26"/>
  <c r="G34" i="26"/>
  <c r="G75" i="26"/>
  <c r="F74" i="26"/>
  <c r="G74" i="26"/>
  <c r="I63" i="26"/>
  <c r="J63" i="26"/>
  <c r="I62" i="26"/>
  <c r="F159" i="26"/>
  <c r="G159" i="26"/>
  <c r="I159" i="26"/>
  <c r="J159" i="26"/>
  <c r="I123" i="26"/>
  <c r="J123" i="26"/>
  <c r="F123" i="26"/>
  <c r="G123" i="26"/>
  <c r="F110" i="26"/>
  <c r="G110" i="26"/>
  <c r="D5" i="29"/>
  <c r="D6" i="29"/>
  <c r="D7" i="29"/>
  <c r="D8" i="29"/>
  <c r="D9" i="29"/>
  <c r="D10" i="29"/>
  <c r="D11" i="29"/>
  <c r="D12" i="29"/>
  <c r="D13" i="29"/>
  <c r="D14" i="29"/>
  <c r="D15" i="29"/>
  <c r="D16" i="29"/>
  <c r="F130" i="26"/>
  <c r="G130" i="26"/>
  <c r="F131" i="26"/>
  <c r="G131" i="26"/>
  <c r="I18" i="26"/>
  <c r="J18" i="26"/>
  <c r="I19" i="26"/>
  <c r="J19" i="26"/>
  <c r="I20" i="26"/>
  <c r="J20" i="26"/>
  <c r="I21" i="26"/>
  <c r="J21" i="26"/>
  <c r="I22" i="26"/>
  <c r="J22" i="26"/>
  <c r="I23" i="26"/>
  <c r="J23" i="26"/>
  <c r="I24" i="26"/>
  <c r="J24" i="26"/>
  <c r="I25" i="26"/>
  <c r="J25" i="26"/>
  <c r="I26" i="26"/>
  <c r="J26" i="26"/>
  <c r="I27" i="26"/>
  <c r="I28" i="26"/>
  <c r="J28" i="26"/>
  <c r="I29" i="26"/>
  <c r="J29" i="26"/>
  <c r="I30" i="26"/>
  <c r="J30" i="26"/>
  <c r="I31" i="26"/>
  <c r="J31" i="26"/>
  <c r="I32" i="26"/>
  <c r="J32" i="26"/>
  <c r="I33" i="26"/>
  <c r="J33" i="26"/>
  <c r="I35" i="26"/>
  <c r="I36" i="26"/>
  <c r="I37" i="26"/>
  <c r="J37" i="26"/>
  <c r="I38" i="26"/>
  <c r="J38" i="26"/>
  <c r="I39" i="26"/>
  <c r="J39" i="26"/>
  <c r="I40" i="26"/>
  <c r="J40" i="26"/>
  <c r="I41" i="26"/>
  <c r="J41" i="26"/>
  <c r="I42" i="26"/>
  <c r="J42" i="26"/>
  <c r="I43" i="26"/>
  <c r="I44" i="26"/>
  <c r="J44" i="26"/>
  <c r="I45" i="26"/>
  <c r="J45" i="26"/>
  <c r="I46" i="26"/>
  <c r="J46" i="26"/>
  <c r="I47" i="26"/>
  <c r="J47" i="26"/>
  <c r="I48" i="26"/>
  <c r="J48" i="26"/>
  <c r="I49" i="26"/>
  <c r="J49" i="26"/>
  <c r="I50" i="26"/>
  <c r="J50" i="26"/>
  <c r="I51" i="26"/>
  <c r="I52" i="26"/>
  <c r="I53" i="26"/>
  <c r="J53" i="26"/>
  <c r="I54" i="26"/>
  <c r="J54" i="26"/>
  <c r="I55" i="26"/>
  <c r="J55" i="26"/>
  <c r="I56" i="26"/>
  <c r="J56" i="26"/>
  <c r="I57" i="26"/>
  <c r="J57" i="26"/>
  <c r="I58" i="26"/>
  <c r="J58" i="26"/>
  <c r="I59" i="26"/>
  <c r="J59" i="26"/>
  <c r="I60" i="26"/>
  <c r="I61" i="26"/>
  <c r="J61" i="26"/>
  <c r="J62" i="26"/>
  <c r="I64" i="26"/>
  <c r="J64" i="26"/>
  <c r="I65" i="26"/>
  <c r="J65" i="26"/>
  <c r="I66" i="26"/>
  <c r="J66" i="26"/>
  <c r="I67" i="26"/>
  <c r="I68" i="26"/>
  <c r="J68" i="26"/>
  <c r="I69" i="26"/>
  <c r="J69" i="26"/>
  <c r="I70" i="26"/>
  <c r="J70" i="26"/>
  <c r="I71" i="26"/>
  <c r="J71" i="26"/>
  <c r="I72" i="26"/>
  <c r="J72" i="26"/>
  <c r="I73" i="26"/>
  <c r="I74" i="26"/>
  <c r="I85" i="26"/>
  <c r="I86" i="26"/>
  <c r="I87" i="26"/>
  <c r="J87" i="26"/>
  <c r="I88" i="26"/>
  <c r="J88" i="26"/>
  <c r="I89" i="26"/>
  <c r="J89" i="26"/>
  <c r="I90" i="26"/>
  <c r="J90" i="26"/>
  <c r="I92" i="26"/>
  <c r="J92" i="26"/>
  <c r="I93" i="26"/>
  <c r="J93" i="26"/>
  <c r="I94" i="26"/>
  <c r="J94" i="26"/>
  <c r="I95" i="26"/>
  <c r="J95" i="26"/>
  <c r="I96" i="26"/>
  <c r="J96" i="26"/>
  <c r="I97" i="26"/>
  <c r="J97" i="26"/>
  <c r="I98" i="26"/>
  <c r="J98" i="26"/>
  <c r="I99" i="26"/>
  <c r="J99" i="26"/>
  <c r="I100" i="26"/>
  <c r="J100" i="26"/>
  <c r="I101" i="26"/>
  <c r="J101" i="26"/>
  <c r="I102" i="26"/>
  <c r="J102" i="26"/>
  <c r="I103" i="26"/>
  <c r="J103" i="26"/>
  <c r="I104" i="26"/>
  <c r="J104" i="26"/>
  <c r="I105" i="26"/>
  <c r="J105" i="26"/>
  <c r="I106" i="26"/>
  <c r="J106" i="26"/>
  <c r="I107" i="26"/>
  <c r="J107" i="26"/>
  <c r="I108" i="26"/>
  <c r="J108" i="26"/>
  <c r="I109" i="26"/>
  <c r="J109" i="26"/>
  <c r="I110" i="26"/>
  <c r="J110" i="26"/>
  <c r="I111" i="26"/>
  <c r="I112" i="26"/>
  <c r="J112" i="26"/>
  <c r="I113" i="26"/>
  <c r="J113" i="26"/>
  <c r="I114" i="26"/>
  <c r="J114" i="26"/>
  <c r="I115" i="26"/>
  <c r="J115" i="26"/>
  <c r="I116" i="26"/>
  <c r="J116" i="26"/>
  <c r="I117" i="26"/>
  <c r="J117" i="26"/>
  <c r="I118" i="26"/>
  <c r="J118" i="26"/>
  <c r="I119" i="26"/>
  <c r="J119" i="26"/>
  <c r="I120" i="26"/>
  <c r="J120" i="26"/>
  <c r="I121" i="26"/>
  <c r="J121" i="26"/>
  <c r="I122" i="26"/>
  <c r="J122" i="26"/>
  <c r="I124" i="26"/>
  <c r="J124" i="26"/>
  <c r="I125" i="26"/>
  <c r="J125" i="26"/>
  <c r="I126" i="26"/>
  <c r="J126" i="26"/>
  <c r="I127" i="26"/>
  <c r="J127" i="26"/>
  <c r="I128" i="26"/>
  <c r="J128" i="26"/>
  <c r="I129" i="26"/>
  <c r="J129" i="26"/>
  <c r="I130" i="26"/>
  <c r="J130" i="26"/>
  <c r="I131" i="26"/>
  <c r="J131" i="26"/>
  <c r="I132" i="26"/>
  <c r="J132" i="26"/>
  <c r="I133" i="26"/>
  <c r="J133" i="26"/>
  <c r="I134" i="26"/>
  <c r="J134" i="26"/>
  <c r="I135" i="26"/>
  <c r="J135" i="26"/>
  <c r="I136" i="26"/>
  <c r="J136" i="26"/>
  <c r="I137" i="26"/>
  <c r="J137" i="26"/>
  <c r="I138" i="26"/>
  <c r="J138" i="26"/>
  <c r="I139" i="26"/>
  <c r="J139" i="26"/>
  <c r="I140" i="26"/>
  <c r="J140" i="26"/>
  <c r="I141" i="26"/>
  <c r="J141" i="26"/>
  <c r="I142" i="26"/>
  <c r="J142" i="26"/>
  <c r="I143" i="26"/>
  <c r="I144" i="26"/>
  <c r="J144" i="26"/>
  <c r="I147" i="26"/>
  <c r="J147" i="26"/>
  <c r="I148" i="26"/>
  <c r="J148" i="26"/>
  <c r="I149" i="26"/>
  <c r="J149" i="26"/>
  <c r="I150" i="26"/>
  <c r="J150" i="26"/>
  <c r="I151" i="26"/>
  <c r="J151" i="26"/>
  <c r="I152" i="26"/>
  <c r="J152" i="26"/>
  <c r="I153" i="26"/>
  <c r="J153" i="26"/>
  <c r="I154" i="26"/>
  <c r="J154" i="26"/>
  <c r="I155" i="26"/>
  <c r="J155" i="26"/>
  <c r="I156" i="26"/>
  <c r="J156" i="26"/>
  <c r="I157" i="26"/>
  <c r="J157" i="26"/>
  <c r="I158" i="26"/>
  <c r="J158" i="26"/>
  <c r="F18" i="26"/>
  <c r="G18" i="26"/>
  <c r="F19" i="26"/>
  <c r="G19" i="26"/>
  <c r="F20" i="26"/>
  <c r="G20" i="26"/>
  <c r="F21" i="26"/>
  <c r="G21" i="26"/>
  <c r="F22" i="26"/>
  <c r="G22" i="26"/>
  <c r="F23" i="26"/>
  <c r="G23" i="26"/>
  <c r="F24" i="26"/>
  <c r="G24" i="26"/>
  <c r="F25" i="26"/>
  <c r="G25" i="26"/>
  <c r="F26" i="26"/>
  <c r="G26" i="26"/>
  <c r="F27" i="26"/>
  <c r="G27" i="26"/>
  <c r="F28" i="26"/>
  <c r="G28" i="26"/>
  <c r="F29" i="26"/>
  <c r="G29" i="26"/>
  <c r="F30" i="26"/>
  <c r="G30" i="26"/>
  <c r="F31" i="26"/>
  <c r="G31" i="26"/>
  <c r="F32" i="26"/>
  <c r="G32" i="26"/>
  <c r="F33" i="26"/>
  <c r="G33" i="26"/>
  <c r="F35" i="26"/>
  <c r="G35" i="26"/>
  <c r="F36" i="26"/>
  <c r="G36" i="26"/>
  <c r="F37" i="26"/>
  <c r="G37" i="26"/>
  <c r="F38" i="26"/>
  <c r="G38" i="26"/>
  <c r="F39" i="26"/>
  <c r="G39" i="26"/>
  <c r="F40" i="26"/>
  <c r="G40" i="26"/>
  <c r="F41" i="26"/>
  <c r="G41" i="26"/>
  <c r="F42" i="26"/>
  <c r="G42" i="26"/>
  <c r="F43" i="26"/>
  <c r="G43" i="26"/>
  <c r="F44" i="26"/>
  <c r="G44" i="26"/>
  <c r="F45" i="26"/>
  <c r="G45" i="26"/>
  <c r="F46" i="26"/>
  <c r="G46" i="26"/>
  <c r="F47" i="26"/>
  <c r="G47" i="26"/>
  <c r="F48" i="26"/>
  <c r="G48" i="26"/>
  <c r="F49" i="26"/>
  <c r="G49" i="26"/>
  <c r="F50" i="26"/>
  <c r="G50" i="26"/>
  <c r="F51" i="26"/>
  <c r="G51" i="26"/>
  <c r="F52" i="26"/>
  <c r="G52" i="26"/>
  <c r="F53" i="26"/>
  <c r="G53" i="26"/>
  <c r="F54" i="26"/>
  <c r="G54" i="26"/>
  <c r="F55" i="26"/>
  <c r="G55" i="26"/>
  <c r="F56" i="26"/>
  <c r="G56" i="26"/>
  <c r="F57" i="26"/>
  <c r="G57" i="26"/>
  <c r="F58" i="26"/>
  <c r="G58" i="26"/>
  <c r="F59" i="26"/>
  <c r="G59" i="26"/>
  <c r="F60" i="26"/>
  <c r="G60" i="26"/>
  <c r="F61" i="26"/>
  <c r="G61" i="26"/>
  <c r="F62" i="26"/>
  <c r="G62" i="26"/>
  <c r="F63" i="26"/>
  <c r="G63" i="26"/>
  <c r="F64" i="26"/>
  <c r="G64" i="26"/>
  <c r="F65" i="26"/>
  <c r="G65" i="26"/>
  <c r="F66" i="26"/>
  <c r="G66" i="26"/>
  <c r="F67" i="26"/>
  <c r="G67" i="26"/>
  <c r="F68" i="26"/>
  <c r="G68" i="26"/>
  <c r="F69" i="26"/>
  <c r="G69" i="26"/>
  <c r="F70" i="26"/>
  <c r="G70" i="26"/>
  <c r="F71" i="26"/>
  <c r="G71" i="26"/>
  <c r="F72" i="26"/>
  <c r="G72" i="26"/>
  <c r="F73" i="26"/>
  <c r="G73" i="26"/>
  <c r="F85" i="26"/>
  <c r="G85" i="26"/>
  <c r="F86" i="26"/>
  <c r="G86" i="26"/>
  <c r="F87" i="26"/>
  <c r="G87" i="26"/>
  <c r="F88" i="26"/>
  <c r="G88" i="26"/>
  <c r="F89" i="26"/>
  <c r="G89" i="26"/>
  <c r="F90" i="26"/>
  <c r="G90" i="26"/>
  <c r="F92" i="26"/>
  <c r="G92" i="26"/>
  <c r="F93" i="26"/>
  <c r="G93" i="26"/>
  <c r="F94" i="26"/>
  <c r="G94" i="26"/>
  <c r="F95" i="26"/>
  <c r="G95" i="26"/>
  <c r="F96" i="26"/>
  <c r="G96" i="26"/>
  <c r="F97" i="26"/>
  <c r="G97" i="26"/>
  <c r="F98" i="26"/>
  <c r="G98" i="26"/>
  <c r="F99" i="26"/>
  <c r="G99" i="26"/>
  <c r="F100" i="26"/>
  <c r="G100" i="26"/>
  <c r="F101" i="26"/>
  <c r="G101" i="26"/>
  <c r="F102" i="26"/>
  <c r="G102" i="26"/>
  <c r="F103" i="26"/>
  <c r="G103" i="26"/>
  <c r="F104" i="26"/>
  <c r="G104" i="26"/>
  <c r="F105" i="26"/>
  <c r="G105" i="26"/>
  <c r="F106" i="26"/>
  <c r="G106" i="26"/>
  <c r="F107" i="26"/>
  <c r="G107" i="26"/>
  <c r="F108" i="26"/>
  <c r="G108" i="26"/>
  <c r="F109" i="26"/>
  <c r="G109" i="26"/>
  <c r="F111" i="26"/>
  <c r="G111" i="26"/>
  <c r="F112" i="26"/>
  <c r="G112" i="26"/>
  <c r="F113" i="26"/>
  <c r="G113" i="26"/>
  <c r="F114" i="26"/>
  <c r="G114" i="26"/>
  <c r="F115" i="26"/>
  <c r="G115" i="26"/>
  <c r="F116" i="26"/>
  <c r="G116" i="26"/>
  <c r="F117" i="26"/>
  <c r="G117" i="26"/>
  <c r="F118" i="26"/>
  <c r="G118" i="26"/>
  <c r="F119" i="26"/>
  <c r="G119" i="26"/>
  <c r="F120" i="26"/>
  <c r="G120" i="26"/>
  <c r="F121" i="26"/>
  <c r="G121" i="26"/>
  <c r="F122" i="26"/>
  <c r="G122" i="26"/>
  <c r="F124" i="26"/>
  <c r="G124" i="26"/>
  <c r="F125" i="26"/>
  <c r="G125" i="26"/>
  <c r="F126" i="26"/>
  <c r="G126" i="26"/>
  <c r="F127" i="26"/>
  <c r="G127" i="26"/>
  <c r="F128" i="26"/>
  <c r="G128" i="26"/>
  <c r="F129" i="26"/>
  <c r="G129" i="26"/>
  <c r="F132" i="26"/>
  <c r="G132" i="26"/>
  <c r="F133" i="26"/>
  <c r="G133" i="26"/>
  <c r="F134" i="26"/>
  <c r="G134" i="26"/>
  <c r="F135" i="26"/>
  <c r="G135" i="26"/>
  <c r="F136" i="26"/>
  <c r="G136" i="26"/>
  <c r="F137" i="26"/>
  <c r="G137" i="26"/>
  <c r="F138" i="26"/>
  <c r="G138" i="26"/>
  <c r="F139" i="26"/>
  <c r="G139" i="26"/>
  <c r="F140" i="26"/>
  <c r="G140" i="26"/>
  <c r="F141" i="26"/>
  <c r="G141" i="26"/>
  <c r="F142" i="26"/>
  <c r="G142" i="26"/>
  <c r="F143" i="26"/>
  <c r="G143" i="26"/>
  <c r="F144" i="26"/>
  <c r="G144" i="26"/>
  <c r="F147" i="26"/>
  <c r="G147" i="26"/>
  <c r="F148" i="26"/>
  <c r="G148" i="26"/>
  <c r="F149" i="26"/>
  <c r="G149" i="26"/>
  <c r="F150" i="26"/>
  <c r="G150" i="26"/>
  <c r="F151" i="26"/>
  <c r="G151" i="26"/>
  <c r="F152" i="26"/>
  <c r="G152" i="26"/>
  <c r="F153" i="26"/>
  <c r="G153" i="26"/>
  <c r="F154" i="26"/>
  <c r="G154" i="26"/>
  <c r="F155" i="26"/>
  <c r="G155" i="26"/>
  <c r="F156" i="26"/>
  <c r="G156" i="26"/>
  <c r="F157" i="26"/>
  <c r="G157" i="26"/>
  <c r="F158" i="26"/>
  <c r="G158" i="26"/>
  <c r="C139" i="30"/>
  <c r="C140" i="30"/>
  <c r="C141" i="30"/>
  <c r="C142" i="30"/>
  <c r="C143" i="30"/>
  <c r="C144" i="30"/>
  <c r="C145" i="30"/>
  <c r="C146" i="30"/>
  <c r="C147" i="30"/>
  <c r="C148" i="30"/>
  <c r="C149" i="30"/>
  <c r="C150" i="30"/>
  <c r="C151" i="30"/>
  <c r="C152" i="30"/>
  <c r="C153" i="30"/>
  <c r="C154" i="30"/>
  <c r="C155" i="30"/>
  <c r="C156" i="30"/>
  <c r="C157" i="30"/>
  <c r="C158" i="30"/>
  <c r="C159" i="30"/>
  <c r="C138" i="30"/>
  <c r="C139" i="29"/>
  <c r="C140" i="29"/>
  <c r="C141" i="29"/>
  <c r="C142" i="29"/>
  <c r="C143" i="29"/>
  <c r="C144" i="29"/>
  <c r="C145" i="29"/>
  <c r="C146" i="29"/>
  <c r="C147" i="29"/>
  <c r="C148" i="29"/>
  <c r="C149" i="29"/>
  <c r="C150" i="29"/>
  <c r="C151" i="29"/>
  <c r="C152" i="29"/>
  <c r="C153" i="29"/>
  <c r="C154" i="29"/>
  <c r="C155" i="29"/>
  <c r="C156" i="29"/>
  <c r="C157" i="29"/>
  <c r="C158" i="29"/>
  <c r="C159" i="29"/>
  <c r="C137" i="29"/>
  <c r="C158" i="34"/>
  <c r="C157" i="34"/>
  <c r="C156" i="34"/>
  <c r="C155" i="34"/>
  <c r="C154" i="34"/>
  <c r="C153" i="34"/>
  <c r="C152" i="34"/>
  <c r="C151" i="34"/>
  <c r="C150" i="34"/>
  <c r="C149" i="34"/>
  <c r="C148" i="34"/>
  <c r="C147" i="34"/>
  <c r="C146" i="34"/>
  <c r="C145" i="34"/>
  <c r="C144" i="34"/>
  <c r="C143" i="34"/>
  <c r="C142" i="34"/>
  <c r="C141" i="34"/>
  <c r="C140" i="1"/>
  <c r="C140" i="34"/>
  <c r="C159" i="1"/>
  <c r="C158" i="1"/>
  <c r="C157" i="1"/>
  <c r="C156" i="1"/>
  <c r="C155" i="1"/>
  <c r="C153" i="1"/>
  <c r="C152" i="1"/>
  <c r="C151" i="1"/>
  <c r="C150" i="1"/>
  <c r="C149" i="1"/>
  <c r="C148" i="1"/>
  <c r="C147" i="1"/>
  <c r="C146" i="1"/>
  <c r="C145" i="1"/>
  <c r="C144" i="1"/>
  <c r="C143" i="1"/>
  <c r="C142" i="1"/>
  <c r="C141" i="1"/>
  <c r="F75" i="19"/>
  <c r="G75" i="19"/>
  <c r="H2" i="19"/>
  <c r="D2" i="19"/>
  <c r="I18" i="19"/>
  <c r="J18" i="19"/>
  <c r="I19" i="19"/>
  <c r="J19" i="19"/>
  <c r="I20" i="19"/>
  <c r="J20" i="19"/>
  <c r="I21" i="19"/>
  <c r="J21" i="19"/>
  <c r="I22" i="19"/>
  <c r="J22" i="19"/>
  <c r="I23" i="19"/>
  <c r="J23" i="19"/>
  <c r="I24" i="19"/>
  <c r="J24" i="19"/>
  <c r="I25" i="19"/>
  <c r="J25" i="19"/>
  <c r="I26" i="19"/>
  <c r="J26" i="19"/>
  <c r="I27" i="19"/>
  <c r="J27" i="19"/>
  <c r="I28" i="19"/>
  <c r="J28" i="19"/>
  <c r="I29" i="19"/>
  <c r="J29" i="19"/>
  <c r="I30" i="19"/>
  <c r="J30" i="19"/>
  <c r="I31" i="19"/>
  <c r="J31" i="19"/>
  <c r="I32" i="19"/>
  <c r="J32" i="19"/>
  <c r="I33" i="19"/>
  <c r="J33" i="19"/>
  <c r="I34" i="19"/>
  <c r="J34" i="19"/>
  <c r="I35" i="19"/>
  <c r="J35" i="19"/>
  <c r="I36" i="19"/>
  <c r="J36" i="19"/>
  <c r="I37" i="19"/>
  <c r="J37" i="19"/>
  <c r="I38" i="19"/>
  <c r="J38" i="19"/>
  <c r="I39" i="19"/>
  <c r="J39" i="19"/>
  <c r="I40" i="19"/>
  <c r="J40" i="19"/>
  <c r="I41" i="19"/>
  <c r="J41" i="19"/>
  <c r="I42" i="19"/>
  <c r="J42" i="19"/>
  <c r="I43" i="19"/>
  <c r="J43" i="19"/>
  <c r="I44" i="19"/>
  <c r="J44" i="19"/>
  <c r="I45" i="19"/>
  <c r="J45" i="19"/>
  <c r="I46" i="19"/>
  <c r="J46" i="19"/>
  <c r="I47" i="19"/>
  <c r="J47" i="19"/>
  <c r="I48" i="19"/>
  <c r="J48" i="19"/>
  <c r="I49" i="19"/>
  <c r="I50" i="19"/>
  <c r="J50" i="19"/>
  <c r="I51" i="19"/>
  <c r="J51" i="19"/>
  <c r="I52" i="19"/>
  <c r="J52" i="19"/>
  <c r="I53" i="19"/>
  <c r="J53" i="19"/>
  <c r="I54" i="19"/>
  <c r="J54" i="19"/>
  <c r="I55" i="19"/>
  <c r="J55" i="19"/>
  <c r="I56" i="19"/>
  <c r="J56" i="19"/>
  <c r="I57" i="19"/>
  <c r="J57" i="19"/>
  <c r="I58" i="19"/>
  <c r="J58" i="19"/>
  <c r="I59" i="19"/>
  <c r="J59" i="19"/>
  <c r="I60" i="19"/>
  <c r="J60" i="19"/>
  <c r="I61" i="19"/>
  <c r="J61" i="19"/>
  <c r="I62" i="19"/>
  <c r="J62" i="19"/>
  <c r="I63" i="19"/>
  <c r="J63" i="19"/>
  <c r="I64" i="19"/>
  <c r="J64" i="19"/>
  <c r="I65" i="19"/>
  <c r="J65" i="19"/>
  <c r="I66" i="19"/>
  <c r="J66" i="19"/>
  <c r="I67" i="19"/>
  <c r="J67" i="19"/>
  <c r="I68" i="19"/>
  <c r="J68" i="19"/>
  <c r="I69" i="19"/>
  <c r="J69" i="19"/>
  <c r="I70" i="19"/>
  <c r="J70" i="19"/>
  <c r="I71" i="19"/>
  <c r="J71" i="19"/>
  <c r="I72" i="19"/>
  <c r="J72" i="19"/>
  <c r="I73" i="19"/>
  <c r="J73" i="19"/>
  <c r="I74" i="19"/>
  <c r="J74" i="19"/>
  <c r="I75" i="19"/>
  <c r="J75" i="19"/>
  <c r="I76" i="19"/>
  <c r="J76" i="19"/>
  <c r="I77" i="19"/>
  <c r="J77" i="19"/>
  <c r="I78" i="19"/>
  <c r="J78" i="19"/>
  <c r="I79" i="19"/>
  <c r="J79" i="19"/>
  <c r="I80" i="19"/>
  <c r="J80" i="19"/>
  <c r="I81" i="19"/>
  <c r="J81" i="19"/>
  <c r="I82" i="19"/>
  <c r="J82" i="19"/>
  <c r="I83" i="19"/>
  <c r="J83" i="19"/>
  <c r="I84" i="19"/>
  <c r="J84" i="19"/>
  <c r="I85" i="19"/>
  <c r="J85" i="19"/>
  <c r="I86" i="19"/>
  <c r="J86" i="19"/>
  <c r="I87" i="19"/>
  <c r="J87" i="19"/>
  <c r="I88" i="19"/>
  <c r="J88" i="19"/>
  <c r="I89" i="19"/>
  <c r="J89" i="19"/>
  <c r="I90" i="19"/>
  <c r="J90" i="19"/>
  <c r="I91" i="19"/>
  <c r="J91" i="19"/>
  <c r="I92" i="19"/>
  <c r="J92" i="19"/>
  <c r="I93" i="19"/>
  <c r="I94" i="19"/>
  <c r="J94" i="19"/>
  <c r="I95" i="19"/>
  <c r="J95" i="19"/>
  <c r="I96" i="19"/>
  <c r="J96" i="19"/>
  <c r="I97" i="19"/>
  <c r="J97" i="19"/>
  <c r="I98" i="19"/>
  <c r="J98" i="19"/>
  <c r="I99" i="19"/>
  <c r="J99" i="19"/>
  <c r="I100" i="19"/>
  <c r="J100" i="19"/>
  <c r="I101" i="19"/>
  <c r="J101" i="19"/>
  <c r="I102" i="19"/>
  <c r="J102" i="19"/>
  <c r="I103" i="19"/>
  <c r="J103" i="19"/>
  <c r="I104" i="19"/>
  <c r="J104" i="19"/>
  <c r="I105" i="19"/>
  <c r="I106" i="19"/>
  <c r="J106" i="19"/>
  <c r="I107" i="19"/>
  <c r="J107" i="19"/>
  <c r="I108" i="19"/>
  <c r="J108" i="19"/>
  <c r="I109" i="19"/>
  <c r="J109" i="19"/>
  <c r="I110" i="19"/>
  <c r="J110" i="19"/>
  <c r="I111" i="19"/>
  <c r="J111" i="19"/>
  <c r="I112" i="19"/>
  <c r="J112" i="19"/>
  <c r="I113" i="19"/>
  <c r="J113" i="19"/>
  <c r="I114" i="19"/>
  <c r="J114" i="19"/>
  <c r="I115" i="19"/>
  <c r="J115" i="19"/>
  <c r="I116" i="19"/>
  <c r="J116" i="19"/>
  <c r="I117" i="19"/>
  <c r="J117" i="19"/>
  <c r="I118" i="19"/>
  <c r="J118" i="19"/>
  <c r="I119" i="19"/>
  <c r="J119" i="19"/>
  <c r="I120" i="19"/>
  <c r="J120" i="19"/>
  <c r="I121" i="19"/>
  <c r="J121" i="19"/>
  <c r="I122" i="19"/>
  <c r="J122" i="19"/>
  <c r="I123" i="19"/>
  <c r="J123" i="19"/>
  <c r="I124" i="19"/>
  <c r="J124" i="19"/>
  <c r="I125" i="19"/>
  <c r="J125" i="19"/>
  <c r="I126" i="19"/>
  <c r="J126" i="19"/>
  <c r="I127" i="19"/>
  <c r="J127" i="19"/>
  <c r="I128" i="19"/>
  <c r="J128" i="19"/>
  <c r="I129" i="19"/>
  <c r="J129" i="19"/>
  <c r="I130" i="19"/>
  <c r="J130" i="19"/>
  <c r="I131" i="19"/>
  <c r="J131" i="19"/>
  <c r="I132" i="19"/>
  <c r="J132" i="19"/>
  <c r="I133" i="19"/>
  <c r="J133" i="19"/>
  <c r="I134" i="19"/>
  <c r="J134" i="19"/>
  <c r="I135" i="19"/>
  <c r="J135" i="19"/>
  <c r="I136" i="19"/>
  <c r="J136" i="19"/>
  <c r="I137" i="19"/>
  <c r="J137" i="19"/>
  <c r="I138" i="19"/>
  <c r="J138" i="19"/>
  <c r="I139" i="19"/>
  <c r="J139" i="19"/>
  <c r="I140" i="19"/>
  <c r="J140" i="19"/>
  <c r="I141" i="19"/>
  <c r="J141" i="19"/>
  <c r="I142" i="19"/>
  <c r="J142" i="19"/>
  <c r="I143" i="19"/>
  <c r="J143" i="19"/>
  <c r="I144" i="19"/>
  <c r="J144" i="19"/>
  <c r="I145" i="19"/>
  <c r="J145" i="19"/>
  <c r="I146" i="19"/>
  <c r="J146" i="19"/>
  <c r="I147" i="19"/>
  <c r="J147" i="19"/>
  <c r="I148" i="19"/>
  <c r="J148" i="19"/>
  <c r="I149" i="19"/>
  <c r="J149" i="19"/>
  <c r="I150" i="19"/>
  <c r="J150" i="19"/>
  <c r="I151" i="19"/>
  <c r="J151" i="19"/>
  <c r="I152" i="19"/>
  <c r="J152" i="19"/>
  <c r="I153" i="19"/>
  <c r="J153" i="19"/>
  <c r="I154" i="19"/>
  <c r="J154" i="19"/>
  <c r="I155" i="19"/>
  <c r="J155" i="19"/>
  <c r="I156" i="19"/>
  <c r="J156" i="19"/>
  <c r="I157" i="19"/>
  <c r="J157" i="19"/>
  <c r="I158" i="19"/>
  <c r="J158" i="19"/>
  <c r="G26" i="19"/>
  <c r="G30" i="19"/>
  <c r="G50" i="19"/>
  <c r="G55" i="19"/>
  <c r="F18" i="19"/>
  <c r="G18" i="19"/>
  <c r="F19" i="19"/>
  <c r="G19" i="19"/>
  <c r="F20" i="19"/>
  <c r="G20" i="19"/>
  <c r="F21" i="19"/>
  <c r="G21" i="19"/>
  <c r="F22" i="19"/>
  <c r="G22" i="19"/>
  <c r="F23" i="19"/>
  <c r="G23" i="19"/>
  <c r="F24" i="19"/>
  <c r="G24" i="19"/>
  <c r="F25" i="19"/>
  <c r="G25" i="19"/>
  <c r="F26" i="19"/>
  <c r="F27" i="19"/>
  <c r="G27" i="19"/>
  <c r="F28" i="19"/>
  <c r="G28" i="19"/>
  <c r="F29" i="19"/>
  <c r="G29" i="19"/>
  <c r="F30" i="19"/>
  <c r="F31" i="19"/>
  <c r="G31" i="19"/>
  <c r="F32" i="19"/>
  <c r="G32" i="19"/>
  <c r="F33" i="19"/>
  <c r="G33" i="19"/>
  <c r="F34" i="19"/>
  <c r="G34" i="19"/>
  <c r="F35" i="19"/>
  <c r="G35" i="19"/>
  <c r="F36" i="19"/>
  <c r="G36" i="19"/>
  <c r="F37" i="19"/>
  <c r="G37" i="19"/>
  <c r="F38" i="19"/>
  <c r="G38" i="19"/>
  <c r="F39" i="19"/>
  <c r="G39" i="19"/>
  <c r="F40" i="19"/>
  <c r="G40" i="19"/>
  <c r="F41" i="19"/>
  <c r="G41" i="19"/>
  <c r="F42" i="19"/>
  <c r="G42" i="19"/>
  <c r="F43" i="19"/>
  <c r="G43" i="19"/>
  <c r="F44" i="19"/>
  <c r="G44" i="19"/>
  <c r="F45" i="19"/>
  <c r="G45" i="19"/>
  <c r="F46" i="19"/>
  <c r="G46" i="19"/>
  <c r="F47" i="19"/>
  <c r="G47" i="19"/>
  <c r="F48" i="19"/>
  <c r="G48" i="19"/>
  <c r="F49" i="19"/>
  <c r="G49" i="19"/>
  <c r="F50" i="19"/>
  <c r="F51" i="19"/>
  <c r="G51" i="19"/>
  <c r="F52" i="19"/>
  <c r="G52" i="19"/>
  <c r="F53" i="19"/>
  <c r="G53" i="19"/>
  <c r="F54" i="19"/>
  <c r="G54" i="19"/>
  <c r="F55" i="19"/>
  <c r="F56" i="19"/>
  <c r="G56" i="19"/>
  <c r="F57" i="19"/>
  <c r="G57" i="19"/>
  <c r="F58" i="19"/>
  <c r="G58" i="19"/>
  <c r="F59" i="19"/>
  <c r="G59" i="19"/>
  <c r="F60" i="19"/>
  <c r="G60" i="19"/>
  <c r="F61" i="19"/>
  <c r="G61" i="19"/>
  <c r="F62" i="19"/>
  <c r="G62" i="19"/>
  <c r="F63" i="19"/>
  <c r="G63" i="19"/>
  <c r="F64" i="19"/>
  <c r="G64" i="19"/>
  <c r="F65" i="19"/>
  <c r="G65" i="19"/>
  <c r="F66" i="19"/>
  <c r="G66" i="19"/>
  <c r="F67" i="19"/>
  <c r="G67" i="19"/>
  <c r="F68" i="19"/>
  <c r="G68" i="19"/>
  <c r="F69" i="19"/>
  <c r="G69" i="19"/>
  <c r="F70" i="19"/>
  <c r="G70" i="19"/>
  <c r="F71" i="19"/>
  <c r="G71" i="19"/>
  <c r="F72" i="19"/>
  <c r="G72" i="19"/>
  <c r="F73" i="19"/>
  <c r="G73" i="19"/>
  <c r="F74" i="19"/>
  <c r="G74" i="19"/>
  <c r="F76" i="19"/>
  <c r="G76" i="19"/>
  <c r="F77" i="19"/>
  <c r="G77" i="19"/>
  <c r="F78" i="19"/>
  <c r="G78" i="19"/>
  <c r="F79" i="19"/>
  <c r="G79" i="19"/>
  <c r="F80" i="19"/>
  <c r="G80" i="19"/>
  <c r="F81" i="19"/>
  <c r="G81" i="19"/>
  <c r="F82" i="19"/>
  <c r="G82" i="19"/>
  <c r="F83" i="19"/>
  <c r="G83" i="19"/>
  <c r="F84" i="19"/>
  <c r="G84" i="19"/>
  <c r="F85" i="19"/>
  <c r="G85" i="19"/>
  <c r="F86" i="19"/>
  <c r="G86" i="19"/>
  <c r="F87" i="19"/>
  <c r="G87" i="19"/>
  <c r="F88" i="19"/>
  <c r="G88" i="19"/>
  <c r="F89" i="19"/>
  <c r="G89" i="19"/>
  <c r="F90" i="19"/>
  <c r="G90" i="19"/>
  <c r="F91" i="19"/>
  <c r="G91" i="19"/>
  <c r="F92" i="19"/>
  <c r="G92" i="19"/>
  <c r="F93" i="19"/>
  <c r="G93" i="19"/>
  <c r="F94" i="19"/>
  <c r="G94" i="19"/>
  <c r="F95" i="19"/>
  <c r="G95" i="19"/>
  <c r="F96" i="19"/>
  <c r="G96" i="19"/>
  <c r="F97" i="19"/>
  <c r="G97" i="19"/>
  <c r="F98" i="19"/>
  <c r="G98" i="19"/>
  <c r="F99" i="19"/>
  <c r="G99" i="19"/>
  <c r="F100" i="19"/>
  <c r="G100" i="19"/>
  <c r="F101" i="19"/>
  <c r="G101" i="19"/>
  <c r="F102" i="19"/>
  <c r="G102" i="19"/>
  <c r="F103" i="19"/>
  <c r="G103" i="19"/>
  <c r="F104" i="19"/>
  <c r="G104" i="19"/>
  <c r="F105" i="19"/>
  <c r="G105" i="19"/>
  <c r="F106" i="19"/>
  <c r="G106" i="19"/>
  <c r="F107" i="19"/>
  <c r="G107" i="19"/>
  <c r="F108" i="19"/>
  <c r="G108" i="19"/>
  <c r="F109" i="19"/>
  <c r="G109" i="19"/>
  <c r="F110" i="19"/>
  <c r="G110" i="19"/>
  <c r="F111" i="19"/>
  <c r="G111" i="19"/>
  <c r="F112" i="19"/>
  <c r="G112" i="19"/>
  <c r="F113" i="19"/>
  <c r="G113" i="19"/>
  <c r="F114" i="19"/>
  <c r="G114" i="19"/>
  <c r="F115" i="19"/>
  <c r="G115" i="19"/>
  <c r="F116" i="19"/>
  <c r="G116" i="19"/>
  <c r="F117" i="19"/>
  <c r="G117" i="19"/>
  <c r="F118" i="19"/>
  <c r="G118" i="19"/>
  <c r="F119" i="19"/>
  <c r="G119" i="19"/>
  <c r="F120" i="19"/>
  <c r="G120" i="19"/>
  <c r="F121" i="19"/>
  <c r="G121" i="19"/>
  <c r="F122" i="19"/>
  <c r="G122" i="19"/>
  <c r="F123" i="19"/>
  <c r="G123" i="19"/>
  <c r="F124" i="19"/>
  <c r="G124" i="19"/>
  <c r="F125" i="19"/>
  <c r="G125" i="19"/>
  <c r="F126" i="19"/>
  <c r="G126" i="19"/>
  <c r="F127" i="19"/>
  <c r="G127" i="19"/>
  <c r="F128" i="19"/>
  <c r="G128" i="19"/>
  <c r="F129" i="19"/>
  <c r="G129" i="19"/>
  <c r="F130" i="19"/>
  <c r="G130" i="19"/>
  <c r="F131" i="19"/>
  <c r="G131" i="19"/>
  <c r="F132" i="19"/>
  <c r="G132" i="19"/>
  <c r="F133" i="19"/>
  <c r="G133" i="19"/>
  <c r="F134" i="19"/>
  <c r="G134" i="19"/>
  <c r="F135" i="19"/>
  <c r="G135" i="19"/>
  <c r="F136" i="19"/>
  <c r="G136" i="19"/>
  <c r="F137" i="19"/>
  <c r="G137" i="19"/>
  <c r="F138" i="19"/>
  <c r="G138" i="19"/>
  <c r="F139" i="19"/>
  <c r="G139" i="19"/>
  <c r="F140" i="19"/>
  <c r="G140" i="19"/>
  <c r="F141" i="19"/>
  <c r="G141" i="19"/>
  <c r="F142" i="19"/>
  <c r="G142" i="19"/>
  <c r="F143" i="19"/>
  <c r="G143" i="19"/>
  <c r="F144" i="19"/>
  <c r="G144" i="19"/>
  <c r="F145" i="19"/>
  <c r="G145" i="19"/>
  <c r="F146" i="19"/>
  <c r="G146" i="19"/>
  <c r="F147" i="19"/>
  <c r="G147" i="19"/>
  <c r="F148" i="19"/>
  <c r="G148" i="19"/>
  <c r="F149" i="19"/>
  <c r="G149" i="19"/>
  <c r="F150" i="19"/>
  <c r="G150" i="19"/>
  <c r="F151" i="19"/>
  <c r="G151" i="19"/>
  <c r="F152" i="19"/>
  <c r="G152" i="19"/>
  <c r="F153" i="19"/>
  <c r="G153" i="19"/>
  <c r="F154" i="19"/>
  <c r="G154" i="19"/>
  <c r="F155" i="19"/>
  <c r="G155" i="19"/>
  <c r="F156" i="19"/>
  <c r="G156" i="19"/>
  <c r="F157" i="19"/>
  <c r="G157" i="19"/>
  <c r="F158" i="19"/>
  <c r="G158" i="19"/>
  <c r="I139" i="1"/>
  <c r="I140" i="1"/>
  <c r="I141" i="1"/>
  <c r="I142" i="1"/>
  <c r="I143" i="1"/>
  <c r="I144" i="1"/>
  <c r="I145" i="1"/>
  <c r="I146" i="1"/>
  <c r="I147" i="1"/>
  <c r="I148" i="1"/>
  <c r="I149" i="1"/>
  <c r="I150" i="1"/>
  <c r="I151" i="1"/>
  <c r="I152" i="1"/>
  <c r="I153" i="1"/>
  <c r="I154" i="1"/>
  <c r="I155" i="1"/>
  <c r="I156" i="1"/>
  <c r="I157" i="1"/>
  <c r="I158" i="1"/>
  <c r="I159" i="1"/>
  <c r="H138" i="1"/>
  <c r="H139" i="1"/>
  <c r="H140" i="1"/>
  <c r="J140" i="1"/>
  <c r="H141" i="1"/>
  <c r="H142" i="1"/>
  <c r="H143" i="1"/>
  <c r="H144" i="1"/>
  <c r="H145" i="1"/>
  <c r="H146" i="1"/>
  <c r="H147" i="1"/>
  <c r="H148" i="1"/>
  <c r="J148" i="1"/>
  <c r="H149" i="1"/>
  <c r="H150" i="1"/>
  <c r="H151" i="1"/>
  <c r="H152" i="1"/>
  <c r="H153" i="1"/>
  <c r="H154" i="1"/>
  <c r="H155" i="1"/>
  <c r="H156" i="1"/>
  <c r="J156" i="1"/>
  <c r="H157" i="1"/>
  <c r="H158" i="1"/>
  <c r="H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D145" i="1"/>
  <c r="F145" i="1"/>
  <c r="G145" i="1"/>
  <c r="D146" i="1"/>
  <c r="D147" i="1"/>
  <c r="D148" i="1"/>
  <c r="D149" i="1"/>
  <c r="D150" i="1"/>
  <c r="D151" i="1"/>
  <c r="D152" i="1"/>
  <c r="D153" i="1"/>
  <c r="F153" i="1"/>
  <c r="G153" i="1"/>
  <c r="D154" i="1"/>
  <c r="D155" i="1"/>
  <c r="D156" i="1"/>
  <c r="D157" i="1"/>
  <c r="D158" i="1"/>
  <c r="D159" i="1"/>
  <c r="E138" i="18"/>
  <c r="E139" i="18"/>
  <c r="E139" i="34"/>
  <c r="E140" i="18"/>
  <c r="E141" i="18"/>
  <c r="E142" i="18"/>
  <c r="E143" i="18"/>
  <c r="E144" i="18"/>
  <c r="E145" i="18"/>
  <c r="E146" i="18"/>
  <c r="E147" i="18"/>
  <c r="E148" i="18"/>
  <c r="E149" i="18"/>
  <c r="E150" i="18"/>
  <c r="E151" i="18"/>
  <c r="E152" i="18"/>
  <c r="E153" i="18"/>
  <c r="E154" i="18"/>
  <c r="E155" i="18"/>
  <c r="E156" i="18"/>
  <c r="E157" i="18"/>
  <c r="E158" i="18"/>
  <c r="E159" i="18"/>
  <c r="E160" i="18"/>
  <c r="E160" i="34"/>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0" i="34"/>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3" i="34"/>
  <c r="H144" i="18"/>
  <c r="H145" i="18"/>
  <c r="H146" i="18"/>
  <c r="H147" i="18"/>
  <c r="H148" i="18"/>
  <c r="H149" i="18"/>
  <c r="H150" i="18"/>
  <c r="H151" i="18"/>
  <c r="H151" i="34"/>
  <c r="H152" i="18"/>
  <c r="H153" i="18"/>
  <c r="H154" i="18"/>
  <c r="H155" i="18"/>
  <c r="H156" i="18"/>
  <c r="H157" i="18"/>
  <c r="H158" i="18"/>
  <c r="H159" i="18"/>
  <c r="H160" i="18"/>
  <c r="H160" i="34"/>
  <c r="H4" i="18"/>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J61" i="20"/>
  <c r="I62" i="20"/>
  <c r="J62" i="20"/>
  <c r="I63" i="20"/>
  <c r="J63" i="20"/>
  <c r="I64" i="20"/>
  <c r="J64" i="20"/>
  <c r="I65" i="20"/>
  <c r="J65" i="20"/>
  <c r="I66" i="20"/>
  <c r="J66" i="20"/>
  <c r="I67" i="20"/>
  <c r="J67" i="20"/>
  <c r="I68" i="20"/>
  <c r="J68" i="20"/>
  <c r="I69" i="20"/>
  <c r="J69" i="20"/>
  <c r="I70" i="20"/>
  <c r="J70" i="20"/>
  <c r="I71" i="20"/>
  <c r="J71" i="20"/>
  <c r="I72" i="20"/>
  <c r="J72" i="20"/>
  <c r="I73" i="20"/>
  <c r="J73" i="20"/>
  <c r="I74" i="20"/>
  <c r="J74" i="20"/>
  <c r="I75" i="20"/>
  <c r="J75" i="20"/>
  <c r="I76" i="20"/>
  <c r="J76" i="20"/>
  <c r="I77" i="20"/>
  <c r="J77" i="20"/>
  <c r="I78" i="20"/>
  <c r="J78" i="20"/>
  <c r="I79" i="20"/>
  <c r="J79" i="20"/>
  <c r="I80" i="20"/>
  <c r="J80" i="20"/>
  <c r="I81" i="20"/>
  <c r="J81" i="20"/>
  <c r="I82" i="20"/>
  <c r="J82" i="20"/>
  <c r="I83" i="20"/>
  <c r="J83" i="20"/>
  <c r="I84" i="20"/>
  <c r="J84" i="20"/>
  <c r="I85" i="20"/>
  <c r="J85" i="20"/>
  <c r="I86" i="20"/>
  <c r="J86" i="20"/>
  <c r="I87" i="20"/>
  <c r="J87" i="20"/>
  <c r="I88" i="20"/>
  <c r="J88" i="20"/>
  <c r="I89" i="20"/>
  <c r="J89" i="20"/>
  <c r="I90" i="20"/>
  <c r="J90" i="20"/>
  <c r="I91" i="20"/>
  <c r="J91" i="20"/>
  <c r="I92" i="20"/>
  <c r="J92" i="20"/>
  <c r="I93" i="20"/>
  <c r="J93" i="20"/>
  <c r="I94" i="20"/>
  <c r="J94" i="20"/>
  <c r="I95" i="20"/>
  <c r="J95" i="20"/>
  <c r="I96" i="20"/>
  <c r="J96" i="20"/>
  <c r="I97" i="20"/>
  <c r="J97" i="20"/>
  <c r="I98" i="20"/>
  <c r="J98" i="20"/>
  <c r="I99" i="20"/>
  <c r="J99" i="20"/>
  <c r="I100" i="20"/>
  <c r="J100" i="20"/>
  <c r="I101" i="20"/>
  <c r="J101" i="20"/>
  <c r="I102" i="20"/>
  <c r="J102" i="20"/>
  <c r="I103" i="20"/>
  <c r="J103" i="20"/>
  <c r="I104" i="20"/>
  <c r="J104" i="20"/>
  <c r="I105" i="20"/>
  <c r="J105" i="20"/>
  <c r="I106" i="20"/>
  <c r="J106" i="20"/>
  <c r="I107" i="20"/>
  <c r="J107" i="20"/>
  <c r="I108" i="20"/>
  <c r="J108" i="20"/>
  <c r="I109" i="20"/>
  <c r="J109" i="20"/>
  <c r="I110" i="20"/>
  <c r="J110" i="20"/>
  <c r="I111" i="20"/>
  <c r="J111" i="20"/>
  <c r="I112" i="20"/>
  <c r="J112" i="20"/>
  <c r="I113" i="20"/>
  <c r="J113" i="20"/>
  <c r="I114" i="20"/>
  <c r="J114" i="20"/>
  <c r="I115" i="20"/>
  <c r="J115" i="20"/>
  <c r="I116" i="20"/>
  <c r="J116" i="20"/>
  <c r="I117" i="20"/>
  <c r="J117" i="20"/>
  <c r="I118" i="20"/>
  <c r="J118" i="20"/>
  <c r="I119" i="20"/>
  <c r="J119" i="20"/>
  <c r="I120" i="20"/>
  <c r="J120" i="20"/>
  <c r="I121" i="20"/>
  <c r="J121" i="20"/>
  <c r="I122" i="20"/>
  <c r="J122" i="20"/>
  <c r="I123" i="20"/>
  <c r="J123" i="20"/>
  <c r="I124" i="20"/>
  <c r="J124" i="20"/>
  <c r="I125" i="20"/>
  <c r="J125" i="20"/>
  <c r="I126" i="20"/>
  <c r="J126" i="20"/>
  <c r="I127" i="20"/>
  <c r="J127" i="20"/>
  <c r="I128" i="20"/>
  <c r="J128" i="20"/>
  <c r="I129" i="20"/>
  <c r="J129" i="20"/>
  <c r="I130" i="20"/>
  <c r="J130" i="20"/>
  <c r="I131" i="20"/>
  <c r="J131" i="20"/>
  <c r="I132" i="20"/>
  <c r="J132" i="20"/>
  <c r="I133" i="20"/>
  <c r="J133" i="20"/>
  <c r="I134" i="20"/>
  <c r="J134" i="20"/>
  <c r="I135" i="20"/>
  <c r="J135" i="20"/>
  <c r="I136" i="20"/>
  <c r="J136" i="20"/>
  <c r="I137" i="20"/>
  <c r="J137" i="20"/>
  <c r="I138" i="20"/>
  <c r="J138" i="20"/>
  <c r="I139" i="20"/>
  <c r="J139" i="20"/>
  <c r="I140" i="20"/>
  <c r="J140" i="20"/>
  <c r="I141" i="20"/>
  <c r="J141" i="20"/>
  <c r="I142" i="20"/>
  <c r="J142" i="20"/>
  <c r="I143" i="20"/>
  <c r="J143" i="20"/>
  <c r="I144" i="20"/>
  <c r="J144" i="20"/>
  <c r="I145" i="20"/>
  <c r="J145" i="20"/>
  <c r="I146" i="20"/>
  <c r="J146" i="20"/>
  <c r="I147" i="20"/>
  <c r="J147" i="20"/>
  <c r="I148" i="20"/>
  <c r="J148" i="20"/>
  <c r="I149" i="20"/>
  <c r="J149" i="20"/>
  <c r="I150" i="20"/>
  <c r="J150" i="20"/>
  <c r="I151" i="20"/>
  <c r="J151" i="20"/>
  <c r="I152" i="20"/>
  <c r="J152" i="20"/>
  <c r="I153" i="20"/>
  <c r="J153" i="20"/>
  <c r="I154" i="20"/>
  <c r="J154" i="20"/>
  <c r="I155" i="20"/>
  <c r="J155" i="20"/>
  <c r="I156" i="20"/>
  <c r="J156" i="20"/>
  <c r="I157" i="20"/>
  <c r="J157" i="20"/>
  <c r="I158" i="20"/>
  <c r="J158" i="20"/>
  <c r="I159" i="20"/>
  <c r="J159" i="20"/>
  <c r="I160" i="20"/>
  <c r="J160" i="20"/>
  <c r="F18" i="20"/>
  <c r="G18" i="20"/>
  <c r="F19" i="20"/>
  <c r="G19" i="20"/>
  <c r="F20" i="20"/>
  <c r="G20" i="20"/>
  <c r="F21" i="20"/>
  <c r="G21" i="20"/>
  <c r="F22" i="20"/>
  <c r="G22" i="20"/>
  <c r="F23" i="20"/>
  <c r="G23" i="20"/>
  <c r="F24" i="20"/>
  <c r="G24" i="20"/>
  <c r="F25" i="20"/>
  <c r="G25" i="20"/>
  <c r="F26" i="20"/>
  <c r="G26" i="20"/>
  <c r="F27" i="20"/>
  <c r="G27" i="20"/>
  <c r="F28" i="20"/>
  <c r="G28" i="20"/>
  <c r="F29" i="20"/>
  <c r="G29" i="20"/>
  <c r="F30" i="20"/>
  <c r="G30" i="20"/>
  <c r="F31" i="20"/>
  <c r="G31" i="20"/>
  <c r="F32" i="20"/>
  <c r="G32" i="20"/>
  <c r="F33" i="20"/>
  <c r="G33" i="20"/>
  <c r="F34" i="20"/>
  <c r="G34" i="20"/>
  <c r="F35" i="20"/>
  <c r="G35" i="20"/>
  <c r="F36" i="20"/>
  <c r="G36" i="20"/>
  <c r="F37" i="20"/>
  <c r="G37" i="20"/>
  <c r="F38" i="20"/>
  <c r="G38" i="20"/>
  <c r="F39" i="20"/>
  <c r="G39" i="20"/>
  <c r="F40" i="20"/>
  <c r="G40" i="20"/>
  <c r="F41" i="20"/>
  <c r="G41" i="20"/>
  <c r="F42" i="20"/>
  <c r="G42" i="20"/>
  <c r="F43" i="20"/>
  <c r="G43" i="20"/>
  <c r="F44" i="20"/>
  <c r="G44" i="20"/>
  <c r="F45" i="20"/>
  <c r="G45" i="20"/>
  <c r="F46" i="20"/>
  <c r="G46" i="20"/>
  <c r="F47" i="20"/>
  <c r="G47" i="20"/>
  <c r="F48" i="20"/>
  <c r="G48" i="20"/>
  <c r="F49" i="20"/>
  <c r="G49" i="20"/>
  <c r="F50" i="20"/>
  <c r="G50" i="20"/>
  <c r="F51" i="20"/>
  <c r="G51" i="20"/>
  <c r="F52" i="20"/>
  <c r="G52" i="20"/>
  <c r="F53" i="20"/>
  <c r="G53" i="20"/>
  <c r="F54" i="20"/>
  <c r="G54" i="20"/>
  <c r="F55" i="20"/>
  <c r="G55" i="20"/>
  <c r="F56" i="20"/>
  <c r="G56" i="20"/>
  <c r="F57" i="20"/>
  <c r="G57" i="20"/>
  <c r="F58" i="20"/>
  <c r="G58" i="20"/>
  <c r="F59" i="20"/>
  <c r="G59" i="20"/>
  <c r="F60" i="20"/>
  <c r="G60" i="20"/>
  <c r="F61" i="20"/>
  <c r="G61" i="20"/>
  <c r="F62" i="20"/>
  <c r="G62" i="20"/>
  <c r="F63" i="20"/>
  <c r="G63" i="20"/>
  <c r="F64" i="20"/>
  <c r="G64" i="20"/>
  <c r="F65" i="20"/>
  <c r="G65" i="20"/>
  <c r="F66" i="20"/>
  <c r="G66" i="20"/>
  <c r="F67" i="20"/>
  <c r="G67" i="20"/>
  <c r="F68" i="20"/>
  <c r="G68" i="20"/>
  <c r="F69" i="20"/>
  <c r="G69" i="20"/>
  <c r="F70" i="20"/>
  <c r="G70" i="20"/>
  <c r="F71" i="20"/>
  <c r="G71" i="20"/>
  <c r="F72" i="20"/>
  <c r="G72" i="20"/>
  <c r="F73" i="20"/>
  <c r="G73" i="20"/>
  <c r="F74" i="20"/>
  <c r="G74" i="20"/>
  <c r="F75" i="20"/>
  <c r="G75" i="20"/>
  <c r="F76" i="20"/>
  <c r="G76" i="20"/>
  <c r="F77" i="20"/>
  <c r="G77" i="20"/>
  <c r="F78" i="20"/>
  <c r="G78" i="20"/>
  <c r="F79" i="20"/>
  <c r="G79" i="20"/>
  <c r="F80" i="20"/>
  <c r="G80" i="20"/>
  <c r="F81" i="20"/>
  <c r="G81" i="20"/>
  <c r="F82" i="20"/>
  <c r="G82" i="20"/>
  <c r="F83" i="20"/>
  <c r="G83" i="20"/>
  <c r="F84" i="20"/>
  <c r="G84" i="20"/>
  <c r="F85" i="20"/>
  <c r="G85" i="20"/>
  <c r="F86" i="20"/>
  <c r="G86" i="20"/>
  <c r="F87" i="20"/>
  <c r="G87" i="20"/>
  <c r="F88" i="20"/>
  <c r="G88" i="20"/>
  <c r="F89" i="20"/>
  <c r="G89" i="20"/>
  <c r="F90" i="20"/>
  <c r="G90" i="20"/>
  <c r="F91" i="20"/>
  <c r="G91" i="20"/>
  <c r="F92" i="20"/>
  <c r="G92" i="20"/>
  <c r="F93" i="20"/>
  <c r="G93" i="20"/>
  <c r="F94" i="20"/>
  <c r="G94" i="20"/>
  <c r="F95" i="20"/>
  <c r="G95" i="20"/>
  <c r="F96" i="20"/>
  <c r="G96" i="20"/>
  <c r="F97" i="20"/>
  <c r="G97" i="20"/>
  <c r="F98" i="20"/>
  <c r="G98" i="20"/>
  <c r="F99" i="20"/>
  <c r="G99" i="20"/>
  <c r="F100" i="20"/>
  <c r="G100" i="20"/>
  <c r="F101" i="20"/>
  <c r="G101" i="20"/>
  <c r="F102" i="20"/>
  <c r="G102" i="20"/>
  <c r="F103" i="20"/>
  <c r="G103" i="20"/>
  <c r="F104" i="20"/>
  <c r="G104" i="20"/>
  <c r="F105" i="20"/>
  <c r="G105" i="20"/>
  <c r="F106" i="20"/>
  <c r="G106" i="20"/>
  <c r="F107" i="20"/>
  <c r="G107" i="20"/>
  <c r="F108" i="20"/>
  <c r="G108" i="20"/>
  <c r="F109" i="20"/>
  <c r="G109" i="20"/>
  <c r="F110" i="20"/>
  <c r="G110" i="20"/>
  <c r="F111" i="20"/>
  <c r="G111" i="20"/>
  <c r="F112" i="20"/>
  <c r="G112" i="20"/>
  <c r="F113" i="20"/>
  <c r="G113" i="20"/>
  <c r="F114" i="20"/>
  <c r="G114" i="20"/>
  <c r="F115" i="20"/>
  <c r="G115" i="20"/>
  <c r="F116" i="20"/>
  <c r="G116" i="20"/>
  <c r="F117" i="20"/>
  <c r="G117" i="20"/>
  <c r="F118" i="20"/>
  <c r="G118" i="20"/>
  <c r="F119" i="20"/>
  <c r="G119" i="20"/>
  <c r="F120" i="20"/>
  <c r="G120" i="20"/>
  <c r="F121" i="20"/>
  <c r="G121" i="20"/>
  <c r="F122" i="20"/>
  <c r="G122" i="20"/>
  <c r="F123" i="20"/>
  <c r="G123" i="20"/>
  <c r="F124" i="20"/>
  <c r="G124" i="20"/>
  <c r="F125" i="20"/>
  <c r="G125" i="20"/>
  <c r="F126" i="20"/>
  <c r="G126" i="20"/>
  <c r="F127" i="20"/>
  <c r="G127" i="20"/>
  <c r="F128" i="20"/>
  <c r="G128" i="20"/>
  <c r="F129" i="20"/>
  <c r="G129" i="20"/>
  <c r="F130" i="20"/>
  <c r="G130" i="20"/>
  <c r="F131" i="20"/>
  <c r="G131" i="20"/>
  <c r="F132" i="20"/>
  <c r="G132" i="20"/>
  <c r="F133" i="20"/>
  <c r="G133" i="20"/>
  <c r="F134" i="20"/>
  <c r="G134" i="20"/>
  <c r="F135" i="20"/>
  <c r="G135" i="20"/>
  <c r="F136" i="20"/>
  <c r="G136" i="20"/>
  <c r="F137" i="20"/>
  <c r="G137" i="20"/>
  <c r="F138" i="20"/>
  <c r="G138" i="20"/>
  <c r="F139" i="20"/>
  <c r="G139" i="20"/>
  <c r="F140" i="20"/>
  <c r="G140" i="20"/>
  <c r="F141" i="20"/>
  <c r="G141" i="20"/>
  <c r="F142" i="20"/>
  <c r="G142" i="20"/>
  <c r="F143" i="20"/>
  <c r="G143" i="20"/>
  <c r="F144" i="20"/>
  <c r="G144" i="20"/>
  <c r="F145" i="20"/>
  <c r="G145" i="20"/>
  <c r="F146" i="20"/>
  <c r="G146" i="20"/>
  <c r="F147" i="20"/>
  <c r="G147" i="20"/>
  <c r="F148" i="20"/>
  <c r="G148" i="20"/>
  <c r="F149" i="20"/>
  <c r="G149" i="20"/>
  <c r="F150" i="20"/>
  <c r="G150" i="20"/>
  <c r="F151" i="20"/>
  <c r="G151" i="20"/>
  <c r="F152" i="20"/>
  <c r="G152" i="20"/>
  <c r="F153" i="20"/>
  <c r="G153" i="20"/>
  <c r="F154" i="20"/>
  <c r="G154" i="20"/>
  <c r="F155" i="20"/>
  <c r="G155" i="20"/>
  <c r="F156" i="20"/>
  <c r="G156" i="20"/>
  <c r="F157" i="20"/>
  <c r="G157" i="20"/>
  <c r="F158" i="20"/>
  <c r="G158" i="20"/>
  <c r="F159" i="20"/>
  <c r="G159" i="20"/>
  <c r="F160" i="20"/>
  <c r="G160" i="20"/>
  <c r="H2" i="21"/>
  <c r="E2" i="21"/>
  <c r="H2" i="20"/>
  <c r="E2" i="20"/>
  <c r="D2" i="20"/>
  <c r="D2" i="21"/>
  <c r="C140" i="33"/>
  <c r="C141" i="33"/>
  <c r="C142" i="33"/>
  <c r="C143" i="33"/>
  <c r="C144" i="33"/>
  <c r="C145" i="33"/>
  <c r="C146" i="33"/>
  <c r="C147" i="33"/>
  <c r="C148" i="33"/>
  <c r="C149" i="33"/>
  <c r="C150" i="33"/>
  <c r="C151" i="33"/>
  <c r="C152" i="33"/>
  <c r="C153" i="33"/>
  <c r="C154" i="33"/>
  <c r="C155" i="33"/>
  <c r="C156" i="33"/>
  <c r="C157" i="33"/>
  <c r="C140" i="32"/>
  <c r="C141" i="32"/>
  <c r="C142" i="32"/>
  <c r="C143" i="32"/>
  <c r="C144" i="32"/>
  <c r="C145" i="32"/>
  <c r="C146" i="32"/>
  <c r="C147" i="32"/>
  <c r="C148" i="32"/>
  <c r="C149" i="32"/>
  <c r="C150" i="32"/>
  <c r="C151" i="32"/>
  <c r="C152" i="32"/>
  <c r="C153" i="32"/>
  <c r="C154" i="32"/>
  <c r="C155" i="32"/>
  <c r="C156" i="32"/>
  <c r="C157" i="32"/>
  <c r="C158" i="32"/>
  <c r="C159" i="32"/>
  <c r="C160" i="32"/>
  <c r="C140" i="31"/>
  <c r="C141" i="31"/>
  <c r="C142" i="31"/>
  <c r="C143" i="31"/>
  <c r="C144" i="31"/>
  <c r="C145" i="31"/>
  <c r="C146" i="31"/>
  <c r="C147" i="31"/>
  <c r="C148" i="31"/>
  <c r="C149" i="31"/>
  <c r="C150" i="31"/>
  <c r="C151" i="31"/>
  <c r="C152" i="31"/>
  <c r="C153" i="31"/>
  <c r="C154" i="31"/>
  <c r="C155" i="31"/>
  <c r="C156" i="31"/>
  <c r="C157" i="31"/>
  <c r="C158" i="31"/>
  <c r="C159" i="31"/>
  <c r="C160" i="31"/>
  <c r="C140" i="28"/>
  <c r="C141" i="28"/>
  <c r="C142" i="28"/>
  <c r="C143" i="28"/>
  <c r="C144" i="28"/>
  <c r="C145" i="28"/>
  <c r="C146" i="28"/>
  <c r="C147" i="28"/>
  <c r="C148" i="28"/>
  <c r="C149" i="28"/>
  <c r="C150" i="28"/>
  <c r="C151" i="28"/>
  <c r="C152" i="28"/>
  <c r="C153" i="28"/>
  <c r="C154" i="28"/>
  <c r="C155" i="28"/>
  <c r="C156" i="28"/>
  <c r="C157" i="28"/>
  <c r="C158" i="28"/>
  <c r="C159" i="28"/>
  <c r="C160" i="28"/>
  <c r="C160" i="27"/>
  <c r="C140" i="27"/>
  <c r="C141" i="27"/>
  <c r="C142" i="27"/>
  <c r="C143" i="27"/>
  <c r="C144" i="27"/>
  <c r="C145" i="27"/>
  <c r="C146" i="27"/>
  <c r="C147" i="27"/>
  <c r="C148" i="27"/>
  <c r="C149" i="27"/>
  <c r="C150" i="27"/>
  <c r="C151" i="27"/>
  <c r="C152" i="27"/>
  <c r="C153" i="27"/>
  <c r="C154" i="27"/>
  <c r="C155" i="27"/>
  <c r="C156" i="27"/>
  <c r="C157" i="27"/>
  <c r="C158" i="27"/>
  <c r="C159" i="27"/>
  <c r="C141" i="26"/>
  <c r="C142" i="26"/>
  <c r="C143" i="26"/>
  <c r="C144" i="26"/>
  <c r="C145" i="26"/>
  <c r="C146" i="26"/>
  <c r="C147" i="26"/>
  <c r="C148" i="26"/>
  <c r="C149" i="26"/>
  <c r="C150" i="26"/>
  <c r="C151" i="26"/>
  <c r="C152" i="26"/>
  <c r="C153" i="26"/>
  <c r="C154" i="26"/>
  <c r="C155" i="26"/>
  <c r="C156" i="26"/>
  <c r="C157" i="26"/>
  <c r="C158" i="26"/>
  <c r="C159" i="26"/>
  <c r="C140" i="19"/>
  <c r="C141" i="19"/>
  <c r="C142" i="19"/>
  <c r="C143" i="19"/>
  <c r="C144" i="19"/>
  <c r="C145" i="19"/>
  <c r="C146" i="19"/>
  <c r="C147" i="19"/>
  <c r="C148" i="19"/>
  <c r="C149" i="19"/>
  <c r="C150" i="19"/>
  <c r="C151" i="19"/>
  <c r="C152" i="19"/>
  <c r="C153" i="19"/>
  <c r="C154" i="19"/>
  <c r="C155" i="19"/>
  <c r="C156" i="19"/>
  <c r="C157" i="19"/>
  <c r="C158" i="19"/>
  <c r="C140" i="20"/>
  <c r="C141" i="20"/>
  <c r="C142" i="20"/>
  <c r="C143" i="20"/>
  <c r="C144" i="20"/>
  <c r="C145" i="20"/>
  <c r="C146" i="20"/>
  <c r="C147" i="20"/>
  <c r="C148" i="20"/>
  <c r="C149" i="20"/>
  <c r="C150" i="20"/>
  <c r="C151" i="20"/>
  <c r="C152" i="20"/>
  <c r="C153" i="20"/>
  <c r="C154" i="20"/>
  <c r="C155" i="20"/>
  <c r="C156" i="20"/>
  <c r="C157" i="20"/>
  <c r="C158" i="20"/>
  <c r="C159" i="20"/>
  <c r="C160" i="20"/>
  <c r="C140" i="21"/>
  <c r="C141" i="21"/>
  <c r="C142" i="21"/>
  <c r="C143" i="21"/>
  <c r="C144" i="21"/>
  <c r="C145" i="21"/>
  <c r="C146" i="21"/>
  <c r="C147" i="21"/>
  <c r="C148" i="21"/>
  <c r="C149" i="21"/>
  <c r="C150" i="21"/>
  <c r="C151" i="21"/>
  <c r="C152" i="21"/>
  <c r="C153" i="21"/>
  <c r="C154" i="21"/>
  <c r="C155" i="21"/>
  <c r="C156" i="21"/>
  <c r="C157" i="21"/>
  <c r="C158" i="21"/>
  <c r="C159" i="21"/>
  <c r="C160" i="21"/>
  <c r="C140" i="3"/>
  <c r="C141" i="3"/>
  <c r="C142" i="3"/>
  <c r="C143" i="3"/>
  <c r="C144" i="3"/>
  <c r="C145" i="3"/>
  <c r="C146" i="3"/>
  <c r="C147" i="3"/>
  <c r="C148" i="3"/>
  <c r="C149" i="3"/>
  <c r="C150" i="3"/>
  <c r="C151" i="3"/>
  <c r="C152" i="3"/>
  <c r="C153" i="3"/>
  <c r="C154" i="3"/>
  <c r="C155" i="3"/>
  <c r="C156" i="3"/>
  <c r="C157" i="3"/>
  <c r="C158" i="3"/>
  <c r="C159" i="3"/>
  <c r="C140" i="72"/>
  <c r="C141" i="72"/>
  <c r="C142" i="72"/>
  <c r="C143" i="72"/>
  <c r="C144" i="72"/>
  <c r="C145" i="72"/>
  <c r="C146" i="72"/>
  <c r="C147" i="72"/>
  <c r="C148" i="72"/>
  <c r="C149" i="72"/>
  <c r="C150" i="72"/>
  <c r="C151" i="72"/>
  <c r="C152" i="72"/>
  <c r="C153" i="72"/>
  <c r="C154" i="72"/>
  <c r="C155" i="72"/>
  <c r="C156" i="72"/>
  <c r="C157" i="72"/>
  <c r="C158" i="72"/>
  <c r="C159" i="72"/>
  <c r="C160" i="72"/>
  <c r="C140" i="4"/>
  <c r="C141" i="4"/>
  <c r="C142" i="4"/>
  <c r="C143" i="4"/>
  <c r="C144" i="4"/>
  <c r="C145" i="4"/>
  <c r="C146" i="4"/>
  <c r="C147" i="4"/>
  <c r="C148" i="4"/>
  <c r="C149" i="4"/>
  <c r="C150" i="4"/>
  <c r="C151" i="4"/>
  <c r="C152" i="4"/>
  <c r="C153" i="4"/>
  <c r="C154" i="4"/>
  <c r="C155" i="4"/>
  <c r="C156" i="4"/>
  <c r="C157" i="4"/>
  <c r="C158" i="4"/>
  <c r="C159" i="4"/>
  <c r="C160" i="4"/>
  <c r="J24" i="21"/>
  <c r="J53" i="21"/>
  <c r="J96" i="21"/>
  <c r="J112" i="21"/>
  <c r="I18" i="21"/>
  <c r="I19" i="21"/>
  <c r="J19" i="21"/>
  <c r="I20" i="21"/>
  <c r="J20" i="21"/>
  <c r="I21" i="21"/>
  <c r="I22" i="21"/>
  <c r="I23" i="21"/>
  <c r="I24" i="21"/>
  <c r="I24" i="18"/>
  <c r="I25" i="21"/>
  <c r="I26" i="21"/>
  <c r="I27" i="21"/>
  <c r="J27" i="21"/>
  <c r="I28" i="21"/>
  <c r="J28" i="21"/>
  <c r="I29" i="21"/>
  <c r="I29" i="18"/>
  <c r="I30" i="21"/>
  <c r="I31" i="21"/>
  <c r="I32" i="21"/>
  <c r="I32" i="18"/>
  <c r="I33" i="21"/>
  <c r="I34" i="21"/>
  <c r="I35" i="21"/>
  <c r="I36" i="21"/>
  <c r="J36" i="21"/>
  <c r="I37" i="21"/>
  <c r="I37" i="18"/>
  <c r="I38" i="21"/>
  <c r="J38" i="21"/>
  <c r="I39" i="21"/>
  <c r="I40" i="21"/>
  <c r="I40" i="18"/>
  <c r="I41" i="21"/>
  <c r="I42" i="21"/>
  <c r="J42" i="21"/>
  <c r="I43" i="21"/>
  <c r="I44" i="21"/>
  <c r="I45" i="21"/>
  <c r="I45" i="18"/>
  <c r="I46" i="21"/>
  <c r="I47" i="21"/>
  <c r="I48" i="21"/>
  <c r="I48" i="18"/>
  <c r="I49" i="21"/>
  <c r="J49" i="21"/>
  <c r="I50" i="21"/>
  <c r="J50" i="21"/>
  <c r="I51" i="21"/>
  <c r="I52" i="21"/>
  <c r="I53" i="21"/>
  <c r="I54" i="21"/>
  <c r="I55" i="21"/>
  <c r="J55" i="21"/>
  <c r="I56" i="21"/>
  <c r="J56" i="21"/>
  <c r="I57" i="21"/>
  <c r="I58" i="21"/>
  <c r="I59" i="21"/>
  <c r="J59" i="21"/>
  <c r="I60" i="21"/>
  <c r="J60" i="21"/>
  <c r="I61" i="21"/>
  <c r="J61" i="21"/>
  <c r="I62" i="21"/>
  <c r="I63" i="21"/>
  <c r="I64" i="21"/>
  <c r="I65" i="21"/>
  <c r="I66" i="21"/>
  <c r="I67" i="21"/>
  <c r="I68" i="21"/>
  <c r="J68" i="21"/>
  <c r="I69" i="21"/>
  <c r="J69" i="21"/>
  <c r="I70" i="21"/>
  <c r="J70" i="21"/>
  <c r="I71" i="21"/>
  <c r="J71" i="21"/>
  <c r="I72" i="21"/>
  <c r="I73" i="21"/>
  <c r="I74" i="21"/>
  <c r="I75" i="21"/>
  <c r="J75" i="21"/>
  <c r="I76" i="21"/>
  <c r="I77" i="21"/>
  <c r="J77" i="21"/>
  <c r="I78" i="21"/>
  <c r="J78" i="21"/>
  <c r="I79" i="21"/>
  <c r="J79" i="21"/>
  <c r="I80" i="21"/>
  <c r="J80" i="21"/>
  <c r="I81" i="21"/>
  <c r="I82" i="21"/>
  <c r="I83" i="21"/>
  <c r="I84" i="21"/>
  <c r="J84" i="21"/>
  <c r="I85" i="21"/>
  <c r="I85" i="18"/>
  <c r="I86" i="21"/>
  <c r="J86" i="21"/>
  <c r="I87" i="21"/>
  <c r="J87" i="21"/>
  <c r="I88" i="21"/>
  <c r="J88" i="21"/>
  <c r="I89" i="21"/>
  <c r="J89" i="21"/>
  <c r="I90" i="21"/>
  <c r="I91" i="21"/>
  <c r="I92" i="21"/>
  <c r="J92" i="21"/>
  <c r="I93" i="21"/>
  <c r="J93" i="21"/>
  <c r="I94" i="21"/>
  <c r="I95" i="21"/>
  <c r="I96" i="21"/>
  <c r="I97" i="21"/>
  <c r="J97" i="21"/>
  <c r="I98" i="21"/>
  <c r="J98" i="21"/>
  <c r="I99" i="21"/>
  <c r="J99" i="21"/>
  <c r="I100" i="21"/>
  <c r="J100" i="21"/>
  <c r="I101" i="21"/>
  <c r="J101" i="21"/>
  <c r="I102" i="21"/>
  <c r="J102" i="21"/>
  <c r="I103" i="21"/>
  <c r="J103" i="21"/>
  <c r="I104" i="21"/>
  <c r="J104" i="21"/>
  <c r="I105" i="21"/>
  <c r="J105" i="21"/>
  <c r="I106" i="21"/>
  <c r="J106" i="21"/>
  <c r="I107" i="21"/>
  <c r="J107" i="21"/>
  <c r="I108" i="21"/>
  <c r="J108" i="21"/>
  <c r="I109" i="21"/>
  <c r="J109" i="21"/>
  <c r="I110" i="21"/>
  <c r="I111" i="21"/>
  <c r="I112" i="21"/>
  <c r="I113" i="21"/>
  <c r="I114" i="21"/>
  <c r="J114" i="21"/>
  <c r="I115" i="21"/>
  <c r="J115" i="21"/>
  <c r="I116" i="21"/>
  <c r="J116" i="21"/>
  <c r="I117" i="21"/>
  <c r="I117" i="18"/>
  <c r="I118" i="21"/>
  <c r="J118" i="21"/>
  <c r="I119" i="21"/>
  <c r="J119" i="21"/>
  <c r="I120" i="21"/>
  <c r="J120" i="21"/>
  <c r="I121" i="21"/>
  <c r="I122" i="21"/>
  <c r="I123" i="21"/>
  <c r="I124" i="21"/>
  <c r="I125" i="21"/>
  <c r="J125" i="21"/>
  <c r="I126" i="21"/>
  <c r="J126" i="21"/>
  <c r="I127" i="21"/>
  <c r="J127" i="21"/>
  <c r="I128" i="21"/>
  <c r="J128" i="21"/>
  <c r="I129" i="21"/>
  <c r="J129" i="21"/>
  <c r="I130" i="21"/>
  <c r="J130" i="21"/>
  <c r="I131" i="21"/>
  <c r="J131" i="21"/>
  <c r="I132" i="21"/>
  <c r="J132" i="21"/>
  <c r="I133" i="21"/>
  <c r="I133" i="18"/>
  <c r="I134" i="21"/>
  <c r="J134" i="21"/>
  <c r="I135" i="21"/>
  <c r="J135" i="21"/>
  <c r="I136" i="21"/>
  <c r="I137" i="21"/>
  <c r="I138" i="21"/>
  <c r="J138" i="21"/>
  <c r="I139" i="21"/>
  <c r="J139" i="21"/>
  <c r="G19" i="21"/>
  <c r="G24" i="21"/>
  <c r="G40" i="21"/>
  <c r="G56" i="21"/>
  <c r="G59" i="21"/>
  <c r="G67" i="21"/>
  <c r="G80" i="21"/>
  <c r="G83" i="21"/>
  <c r="G88" i="21"/>
  <c r="G104" i="21"/>
  <c r="G120" i="21"/>
  <c r="G123" i="21"/>
  <c r="G131" i="21"/>
  <c r="F18" i="21"/>
  <c r="G18" i="21"/>
  <c r="F19" i="21"/>
  <c r="F20" i="21"/>
  <c r="G20" i="21"/>
  <c r="F21" i="21"/>
  <c r="G21" i="21"/>
  <c r="F22" i="21"/>
  <c r="G22" i="21"/>
  <c r="F23" i="21"/>
  <c r="G23" i="21"/>
  <c r="F24" i="21"/>
  <c r="F25" i="21"/>
  <c r="G25" i="21"/>
  <c r="F26" i="21"/>
  <c r="G26" i="21"/>
  <c r="F27" i="21"/>
  <c r="G27" i="21"/>
  <c r="F28" i="21"/>
  <c r="G28" i="21"/>
  <c r="F29" i="21"/>
  <c r="G29" i="21"/>
  <c r="F30" i="21"/>
  <c r="G30" i="21"/>
  <c r="F31" i="21"/>
  <c r="G31" i="21"/>
  <c r="F32" i="21"/>
  <c r="G32" i="21"/>
  <c r="F33" i="21"/>
  <c r="G33" i="21"/>
  <c r="F34" i="21"/>
  <c r="G34" i="21"/>
  <c r="F35" i="21"/>
  <c r="G35" i="21"/>
  <c r="F36" i="21"/>
  <c r="G36" i="21"/>
  <c r="F37" i="21"/>
  <c r="G37" i="21"/>
  <c r="F38" i="21"/>
  <c r="G38" i="21"/>
  <c r="F39" i="21"/>
  <c r="G39" i="21"/>
  <c r="F40" i="21"/>
  <c r="F41" i="21"/>
  <c r="G41" i="21"/>
  <c r="F42" i="21"/>
  <c r="G42" i="21"/>
  <c r="F43" i="21"/>
  <c r="G43" i="21"/>
  <c r="F44" i="21"/>
  <c r="G44" i="21"/>
  <c r="F45" i="21"/>
  <c r="G45" i="21"/>
  <c r="F46" i="21"/>
  <c r="G46" i="21"/>
  <c r="F47" i="21"/>
  <c r="G47" i="21"/>
  <c r="F48" i="21"/>
  <c r="G48" i="21"/>
  <c r="F49" i="21"/>
  <c r="G49" i="21"/>
  <c r="F50" i="21"/>
  <c r="G50" i="21"/>
  <c r="F51" i="21"/>
  <c r="G51" i="21"/>
  <c r="F52" i="21"/>
  <c r="G52" i="21"/>
  <c r="F53" i="21"/>
  <c r="G53" i="21"/>
  <c r="F54" i="21"/>
  <c r="G54" i="21"/>
  <c r="F55" i="21"/>
  <c r="G55" i="21"/>
  <c r="F56" i="21"/>
  <c r="F57" i="21"/>
  <c r="G57" i="21"/>
  <c r="F58" i="21"/>
  <c r="G58" i="21"/>
  <c r="F59" i="21"/>
  <c r="F60" i="21"/>
  <c r="G60" i="21"/>
  <c r="F61" i="21"/>
  <c r="G61" i="21"/>
  <c r="F62" i="21"/>
  <c r="G62" i="21"/>
  <c r="F63" i="21"/>
  <c r="G63" i="21"/>
  <c r="F64" i="21"/>
  <c r="G64" i="21"/>
  <c r="F65" i="21"/>
  <c r="G65" i="21"/>
  <c r="F66" i="21"/>
  <c r="G66" i="21"/>
  <c r="F67" i="21"/>
  <c r="F68" i="21"/>
  <c r="G68" i="21"/>
  <c r="F69" i="21"/>
  <c r="G69" i="21"/>
  <c r="F70" i="21"/>
  <c r="G70" i="21"/>
  <c r="F71" i="21"/>
  <c r="G71" i="21"/>
  <c r="F72" i="21"/>
  <c r="G72" i="21"/>
  <c r="F73" i="21"/>
  <c r="G73" i="21"/>
  <c r="F74" i="21"/>
  <c r="G74" i="21"/>
  <c r="F75" i="21"/>
  <c r="G75" i="21"/>
  <c r="F76" i="21"/>
  <c r="G76" i="21"/>
  <c r="F77" i="21"/>
  <c r="G77" i="21"/>
  <c r="F78" i="21"/>
  <c r="G78" i="21"/>
  <c r="F79" i="21"/>
  <c r="G79" i="21"/>
  <c r="F80" i="21"/>
  <c r="F81" i="21"/>
  <c r="G81" i="21"/>
  <c r="F82" i="21"/>
  <c r="G82" i="21"/>
  <c r="F83" i="21"/>
  <c r="F84" i="21"/>
  <c r="G84" i="21"/>
  <c r="F85" i="21"/>
  <c r="G85" i="21"/>
  <c r="F86" i="21"/>
  <c r="G86" i="21"/>
  <c r="F87" i="21"/>
  <c r="G87" i="21"/>
  <c r="F88" i="21"/>
  <c r="F89" i="21"/>
  <c r="G89" i="21"/>
  <c r="F90" i="21"/>
  <c r="G90" i="21"/>
  <c r="F91" i="21"/>
  <c r="G91" i="21"/>
  <c r="F92" i="21"/>
  <c r="G92" i="21"/>
  <c r="F93" i="21"/>
  <c r="G93" i="21"/>
  <c r="F94" i="21"/>
  <c r="G94" i="21"/>
  <c r="F95" i="21"/>
  <c r="G95" i="21"/>
  <c r="F96" i="21"/>
  <c r="G96" i="21"/>
  <c r="F97" i="21"/>
  <c r="G97" i="21"/>
  <c r="F98" i="21"/>
  <c r="G98" i="21"/>
  <c r="F99" i="21"/>
  <c r="G99" i="21"/>
  <c r="F100" i="21"/>
  <c r="G100" i="21"/>
  <c r="F101" i="21"/>
  <c r="G101" i="21"/>
  <c r="F102" i="21"/>
  <c r="G102" i="21"/>
  <c r="F103" i="21"/>
  <c r="G103" i="21"/>
  <c r="F104" i="21"/>
  <c r="F105" i="21"/>
  <c r="G105" i="21"/>
  <c r="F106" i="21"/>
  <c r="G106" i="21"/>
  <c r="F107" i="21"/>
  <c r="G107" i="21"/>
  <c r="F108" i="21"/>
  <c r="G108" i="21"/>
  <c r="F109" i="21"/>
  <c r="G109" i="21"/>
  <c r="F110" i="21"/>
  <c r="G110" i="21"/>
  <c r="F111" i="21"/>
  <c r="G111" i="21"/>
  <c r="F112" i="21"/>
  <c r="G112" i="21"/>
  <c r="F113" i="21"/>
  <c r="G113" i="21"/>
  <c r="F114" i="21"/>
  <c r="G114" i="21"/>
  <c r="F115" i="21"/>
  <c r="G115" i="21"/>
  <c r="F116" i="21"/>
  <c r="G116" i="21"/>
  <c r="F117" i="21"/>
  <c r="G117" i="21"/>
  <c r="F118" i="21"/>
  <c r="G118" i="21"/>
  <c r="F119" i="21"/>
  <c r="G119" i="21"/>
  <c r="F120" i="21"/>
  <c r="F121" i="21"/>
  <c r="G121" i="21"/>
  <c r="F122" i="21"/>
  <c r="G122" i="21"/>
  <c r="F123" i="21"/>
  <c r="F124" i="21"/>
  <c r="G124" i="21"/>
  <c r="F125" i="21"/>
  <c r="G125" i="21"/>
  <c r="F126" i="21"/>
  <c r="G126" i="21"/>
  <c r="F127" i="21"/>
  <c r="G127" i="21"/>
  <c r="F128" i="21"/>
  <c r="G128" i="21"/>
  <c r="F129" i="21"/>
  <c r="G129" i="21"/>
  <c r="F130" i="21"/>
  <c r="G130" i="21"/>
  <c r="F131" i="21"/>
  <c r="F132" i="21"/>
  <c r="G132" i="21"/>
  <c r="F133" i="21"/>
  <c r="G133" i="21"/>
  <c r="F134" i="21"/>
  <c r="G134" i="21"/>
  <c r="F135" i="21"/>
  <c r="G135" i="21"/>
  <c r="F136" i="21"/>
  <c r="G136" i="21"/>
  <c r="F137" i="21"/>
  <c r="G137" i="21"/>
  <c r="F138" i="21"/>
  <c r="G138" i="21"/>
  <c r="F139" i="21"/>
  <c r="G139" i="2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c r="I138" i="4"/>
  <c r="J138" i="4"/>
  <c r="F139" i="4"/>
  <c r="D138" i="1"/>
  <c r="F138" i="1"/>
  <c r="G138" i="1"/>
  <c r="I138" i="1"/>
  <c r="H2" i="4"/>
  <c r="E2" i="4"/>
  <c r="D2" i="4"/>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D18" i="18"/>
  <c r="F18" i="18"/>
  <c r="G18" i="18"/>
  <c r="D19" i="18"/>
  <c r="D20" i="18"/>
  <c r="D21" i="18"/>
  <c r="D22" i="18"/>
  <c r="D23" i="18"/>
  <c r="D24" i="18"/>
  <c r="D25" i="18"/>
  <c r="D26" i="18"/>
  <c r="F26" i="18"/>
  <c r="G26" i="18"/>
  <c r="D27" i="18"/>
  <c r="D28" i="18"/>
  <c r="D29" i="18"/>
  <c r="D30" i="18"/>
  <c r="D31" i="18"/>
  <c r="D32" i="18"/>
  <c r="D33" i="18"/>
  <c r="D34" i="18"/>
  <c r="F34" i="18"/>
  <c r="G34" i="18"/>
  <c r="D35" i="18"/>
  <c r="D36" i="18"/>
  <c r="D37" i="18"/>
  <c r="D38" i="18"/>
  <c r="D39" i="18"/>
  <c r="D40" i="18"/>
  <c r="D41" i="18"/>
  <c r="D42" i="18"/>
  <c r="F42" i="18"/>
  <c r="G42" i="18"/>
  <c r="D43" i="18"/>
  <c r="D44" i="18"/>
  <c r="D45" i="18"/>
  <c r="D46" i="18"/>
  <c r="D47" i="18"/>
  <c r="D48" i="18"/>
  <c r="D49" i="18"/>
  <c r="D50" i="18"/>
  <c r="F50" i="18"/>
  <c r="G50" i="18"/>
  <c r="D51" i="18"/>
  <c r="D52" i="18"/>
  <c r="D53" i="18"/>
  <c r="D54" i="18"/>
  <c r="D55" i="18"/>
  <c r="D56" i="18"/>
  <c r="D57" i="18"/>
  <c r="D58" i="18"/>
  <c r="F58" i="18"/>
  <c r="G58" i="18"/>
  <c r="D59" i="18"/>
  <c r="D60" i="18"/>
  <c r="D61" i="18"/>
  <c r="D62" i="18"/>
  <c r="D63" i="18"/>
  <c r="D64" i="18"/>
  <c r="D65" i="18"/>
  <c r="D66" i="18"/>
  <c r="D67" i="18"/>
  <c r="D68" i="18"/>
  <c r="D69" i="18"/>
  <c r="D70" i="18"/>
  <c r="D71" i="18"/>
  <c r="D72" i="18"/>
  <c r="D73" i="18"/>
  <c r="D74" i="18"/>
  <c r="F74" i="18"/>
  <c r="G74" i="18"/>
  <c r="D75" i="18"/>
  <c r="D76" i="18"/>
  <c r="D77" i="18"/>
  <c r="D78" i="18"/>
  <c r="D79" i="18"/>
  <c r="D80" i="18"/>
  <c r="D81" i="18"/>
  <c r="D82" i="18"/>
  <c r="D83" i="18"/>
  <c r="D84" i="18"/>
  <c r="D85" i="18"/>
  <c r="D86" i="18"/>
  <c r="D87" i="18"/>
  <c r="D88" i="18"/>
  <c r="D89" i="18"/>
  <c r="D90" i="18"/>
  <c r="D91" i="18"/>
  <c r="D92" i="18"/>
  <c r="D93" i="18"/>
  <c r="D94" i="18"/>
  <c r="F94" i="18"/>
  <c r="G94" i="18"/>
  <c r="D95" i="18"/>
  <c r="F95" i="18"/>
  <c r="G95" i="18"/>
  <c r="D96" i="18"/>
  <c r="F96" i="18"/>
  <c r="G96" i="18"/>
  <c r="D97" i="18"/>
  <c r="F97" i="18"/>
  <c r="G97" i="18"/>
  <c r="D98" i="18"/>
  <c r="D99" i="18"/>
  <c r="D100" i="18"/>
  <c r="D101" i="18"/>
  <c r="D102" i="18"/>
  <c r="D103" i="18"/>
  <c r="F103" i="18"/>
  <c r="G103" i="18"/>
  <c r="D104" i="18"/>
  <c r="D105" i="18"/>
  <c r="F105" i="18"/>
  <c r="G105" i="18"/>
  <c r="D106" i="18"/>
  <c r="F106" i="18"/>
  <c r="G106" i="18"/>
  <c r="D107" i="18"/>
  <c r="D108" i="18"/>
  <c r="D109" i="18"/>
  <c r="F109" i="18"/>
  <c r="G109" i="18"/>
  <c r="D110" i="18"/>
  <c r="D111" i="18"/>
  <c r="D112" i="18"/>
  <c r="D113" i="18"/>
  <c r="D114" i="18"/>
  <c r="D115" i="18"/>
  <c r="D116" i="18"/>
  <c r="D117" i="18"/>
  <c r="D118" i="18"/>
  <c r="D119" i="18"/>
  <c r="F119" i="18"/>
  <c r="G119" i="18"/>
  <c r="D120" i="18"/>
  <c r="D121" i="18"/>
  <c r="F121" i="18"/>
  <c r="G121" i="18"/>
  <c r="D122" i="18"/>
  <c r="D123" i="18"/>
  <c r="F123" i="18"/>
  <c r="G123" i="18"/>
  <c r="D124" i="18"/>
  <c r="D125" i="18"/>
  <c r="D126" i="18"/>
  <c r="D127" i="18"/>
  <c r="D128" i="18"/>
  <c r="D129" i="18"/>
  <c r="D130" i="18"/>
  <c r="D131" i="18"/>
  <c r="D132" i="18"/>
  <c r="D133" i="18"/>
  <c r="D134" i="18"/>
  <c r="D135" i="18"/>
  <c r="D136" i="18"/>
  <c r="D137" i="18"/>
  <c r="I18" i="4"/>
  <c r="J18" i="4"/>
  <c r="I19" i="4"/>
  <c r="J19" i="4"/>
  <c r="I20" i="4"/>
  <c r="J20" i="4"/>
  <c r="I21" i="4"/>
  <c r="J21" i="4"/>
  <c r="I22" i="4"/>
  <c r="J22" i="4"/>
  <c r="I23" i="4"/>
  <c r="J23" i="4"/>
  <c r="I24" i="4"/>
  <c r="J24" i="4"/>
  <c r="I25" i="4"/>
  <c r="J25" i="4"/>
  <c r="I26" i="4"/>
  <c r="J26" i="4"/>
  <c r="I27" i="4"/>
  <c r="J27" i="4"/>
  <c r="I28" i="4"/>
  <c r="J28" i="4"/>
  <c r="I29" i="4"/>
  <c r="J29" i="4"/>
  <c r="I30" i="4"/>
  <c r="J30" i="4"/>
  <c r="I31" i="4"/>
  <c r="J31" i="4"/>
  <c r="I32" i="4"/>
  <c r="J32" i="4"/>
  <c r="I33" i="4"/>
  <c r="J33" i="4"/>
  <c r="I34" i="4"/>
  <c r="J34" i="4"/>
  <c r="I35" i="4"/>
  <c r="J35" i="4"/>
  <c r="I36" i="4"/>
  <c r="J36" i="4"/>
  <c r="I37" i="4"/>
  <c r="J37" i="4"/>
  <c r="I38" i="4"/>
  <c r="J38" i="4"/>
  <c r="I39" i="4"/>
  <c r="J39" i="4"/>
  <c r="I40" i="4"/>
  <c r="J40" i="4"/>
  <c r="I41" i="4"/>
  <c r="J41" i="4"/>
  <c r="I42" i="4"/>
  <c r="J42" i="4"/>
  <c r="I43" i="4"/>
  <c r="J43" i="4"/>
  <c r="I44" i="4"/>
  <c r="J44" i="4"/>
  <c r="I45" i="4"/>
  <c r="J45" i="4"/>
  <c r="I46" i="4"/>
  <c r="J46" i="4"/>
  <c r="I47" i="4"/>
  <c r="J47" i="4"/>
  <c r="I48" i="4"/>
  <c r="J48" i="4"/>
  <c r="I49" i="4"/>
  <c r="J49" i="4"/>
  <c r="I50" i="4"/>
  <c r="J50" i="4"/>
  <c r="I51" i="4"/>
  <c r="J51" i="4"/>
  <c r="I52" i="4"/>
  <c r="J52" i="4"/>
  <c r="I53" i="4"/>
  <c r="J53" i="4"/>
  <c r="I54" i="4"/>
  <c r="J54" i="4"/>
  <c r="I55" i="4"/>
  <c r="J55" i="4"/>
  <c r="I56" i="4"/>
  <c r="J56" i="4"/>
  <c r="I57" i="4"/>
  <c r="J57" i="4"/>
  <c r="I58" i="4"/>
  <c r="J58" i="4"/>
  <c r="I59" i="4"/>
  <c r="J59" i="4"/>
  <c r="I60" i="4"/>
  <c r="J60" i="4"/>
  <c r="I61" i="4"/>
  <c r="J61" i="4"/>
  <c r="I62" i="4"/>
  <c r="J62" i="4"/>
  <c r="I63" i="4"/>
  <c r="J63" i="4"/>
  <c r="I64" i="4"/>
  <c r="J64" i="4"/>
  <c r="I65" i="4"/>
  <c r="J65" i="4"/>
  <c r="I66" i="4"/>
  <c r="J66" i="4"/>
  <c r="I67" i="4"/>
  <c r="J67" i="4"/>
  <c r="I68" i="4"/>
  <c r="J68" i="4"/>
  <c r="I69" i="4"/>
  <c r="J69" i="4"/>
  <c r="I70" i="4"/>
  <c r="J70" i="4"/>
  <c r="I71" i="4"/>
  <c r="J71" i="4"/>
  <c r="I72" i="4"/>
  <c r="J72" i="4"/>
  <c r="I73" i="4"/>
  <c r="J73" i="4"/>
  <c r="I74" i="4"/>
  <c r="J74" i="4"/>
  <c r="I75" i="4"/>
  <c r="J75" i="4"/>
  <c r="I76" i="4"/>
  <c r="J76" i="4"/>
  <c r="I77" i="4"/>
  <c r="J77" i="4"/>
  <c r="I78" i="4"/>
  <c r="J78" i="4"/>
  <c r="I79" i="4"/>
  <c r="J79" i="4"/>
  <c r="I80" i="4"/>
  <c r="J80" i="4"/>
  <c r="I81" i="4"/>
  <c r="J81" i="4"/>
  <c r="I82" i="4"/>
  <c r="J82" i="4"/>
  <c r="I83" i="4"/>
  <c r="J83" i="4"/>
  <c r="I84" i="4"/>
  <c r="J84" i="4"/>
  <c r="I85" i="4"/>
  <c r="J85" i="4"/>
  <c r="I86" i="4"/>
  <c r="J86" i="4"/>
  <c r="I87" i="4"/>
  <c r="J87" i="4"/>
  <c r="I88" i="4"/>
  <c r="J88" i="4"/>
  <c r="I89" i="4"/>
  <c r="J89" i="4"/>
  <c r="I90" i="4"/>
  <c r="J90" i="4"/>
  <c r="I91" i="4"/>
  <c r="J91" i="4"/>
  <c r="I92" i="4"/>
  <c r="J92" i="4"/>
  <c r="I93" i="4"/>
  <c r="J93" i="4"/>
  <c r="I94" i="4"/>
  <c r="J94" i="4"/>
  <c r="I95" i="4"/>
  <c r="J95" i="4"/>
  <c r="I96" i="4"/>
  <c r="J96" i="4"/>
  <c r="I97" i="4"/>
  <c r="J97" i="4"/>
  <c r="I98" i="4"/>
  <c r="J98" i="4"/>
  <c r="I99" i="4"/>
  <c r="J99" i="4"/>
  <c r="I100" i="4"/>
  <c r="J100" i="4"/>
  <c r="I101" i="4"/>
  <c r="J101" i="4"/>
  <c r="I102" i="4"/>
  <c r="J102" i="4"/>
  <c r="I103" i="4"/>
  <c r="J103" i="4"/>
  <c r="I104" i="4"/>
  <c r="J104" i="4"/>
  <c r="I105" i="4"/>
  <c r="J105" i="4"/>
  <c r="I106" i="4"/>
  <c r="J106" i="4"/>
  <c r="I107" i="4"/>
  <c r="J107" i="4"/>
  <c r="I108" i="4"/>
  <c r="J108" i="4"/>
  <c r="I109" i="4"/>
  <c r="J109" i="4"/>
  <c r="I110" i="4"/>
  <c r="J110" i="4"/>
  <c r="I111" i="4"/>
  <c r="J111" i="4"/>
  <c r="I112" i="4"/>
  <c r="J112" i="4"/>
  <c r="I113" i="4"/>
  <c r="J113" i="4"/>
  <c r="I114" i="4"/>
  <c r="J114" i="4"/>
  <c r="I115" i="4"/>
  <c r="J115" i="4"/>
  <c r="I116" i="4"/>
  <c r="J116" i="4"/>
  <c r="I117" i="4"/>
  <c r="J117" i="4"/>
  <c r="I118" i="4"/>
  <c r="J118" i="4"/>
  <c r="I119" i="4"/>
  <c r="J119" i="4"/>
  <c r="I120" i="4"/>
  <c r="J120" i="4"/>
  <c r="I121" i="4"/>
  <c r="J121" i="4"/>
  <c r="I122" i="4"/>
  <c r="J122" i="4"/>
  <c r="I123" i="4"/>
  <c r="J123" i="4"/>
  <c r="I124" i="4"/>
  <c r="J124" i="4"/>
  <c r="I125" i="4"/>
  <c r="J125" i="4"/>
  <c r="I126" i="4"/>
  <c r="J126" i="4"/>
  <c r="I127" i="4"/>
  <c r="J127" i="4"/>
  <c r="I128" i="4"/>
  <c r="J128" i="4"/>
  <c r="I129" i="4"/>
  <c r="J129" i="4"/>
  <c r="I130" i="4"/>
  <c r="J130" i="4"/>
  <c r="I131" i="4"/>
  <c r="J131" i="4"/>
  <c r="I132" i="4"/>
  <c r="J132" i="4"/>
  <c r="I133" i="4"/>
  <c r="J133" i="4"/>
  <c r="I134" i="4"/>
  <c r="J134" i="4"/>
  <c r="I135" i="4"/>
  <c r="J135" i="4"/>
  <c r="I136" i="4"/>
  <c r="J136" i="4"/>
  <c r="I137" i="4"/>
  <c r="J137"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G35" i="4"/>
  <c r="F36" i="4"/>
  <c r="G36" i="4"/>
  <c r="F37" i="4"/>
  <c r="G37" i="4"/>
  <c r="F38" i="4"/>
  <c r="G38" i="4"/>
  <c r="F39" i="4"/>
  <c r="G39" i="4"/>
  <c r="F40" i="4"/>
  <c r="G40" i="4"/>
  <c r="F41" i="4"/>
  <c r="G41" i="4"/>
  <c r="F42" i="4"/>
  <c r="G42" i="4"/>
  <c r="F43" i="4"/>
  <c r="G43" i="4"/>
  <c r="F44" i="4"/>
  <c r="G44" i="4"/>
  <c r="F45" i="4"/>
  <c r="G45" i="4"/>
  <c r="F46" i="4"/>
  <c r="G46" i="4"/>
  <c r="F47" i="4"/>
  <c r="G47" i="4"/>
  <c r="F48" i="4"/>
  <c r="G48" i="4"/>
  <c r="F49" i="4"/>
  <c r="G49" i="4"/>
  <c r="F50" i="4"/>
  <c r="G50" i="4"/>
  <c r="F51" i="4"/>
  <c r="G51" i="4"/>
  <c r="F52" i="4"/>
  <c r="G52" i="4"/>
  <c r="F53" i="4"/>
  <c r="G53" i="4"/>
  <c r="F54" i="4"/>
  <c r="G54" i="4"/>
  <c r="F55" i="4"/>
  <c r="G55" i="4"/>
  <c r="F56" i="4"/>
  <c r="G56" i="4"/>
  <c r="F57" i="4"/>
  <c r="G57" i="4"/>
  <c r="F58" i="4"/>
  <c r="G58" i="4"/>
  <c r="F59" i="4"/>
  <c r="G59" i="4"/>
  <c r="F60" i="4"/>
  <c r="G60" i="4"/>
  <c r="F61" i="4"/>
  <c r="G61" i="4"/>
  <c r="F62" i="4"/>
  <c r="G62" i="4"/>
  <c r="F63" i="4"/>
  <c r="G63" i="4"/>
  <c r="F64" i="4"/>
  <c r="G64" i="4"/>
  <c r="F65" i="4"/>
  <c r="G65" i="4"/>
  <c r="F66" i="4"/>
  <c r="G66" i="4"/>
  <c r="F67" i="4"/>
  <c r="G67" i="4"/>
  <c r="F68" i="4"/>
  <c r="G68" i="4"/>
  <c r="F69" i="4"/>
  <c r="G69" i="4"/>
  <c r="F70" i="4"/>
  <c r="G70" i="4"/>
  <c r="F71" i="4"/>
  <c r="G71" i="4"/>
  <c r="F72" i="4"/>
  <c r="G72" i="4"/>
  <c r="F73" i="4"/>
  <c r="G73" i="4"/>
  <c r="F74" i="4"/>
  <c r="G74" i="4"/>
  <c r="F75" i="4"/>
  <c r="G75" i="4"/>
  <c r="F76" i="4"/>
  <c r="G76" i="4"/>
  <c r="F77" i="4"/>
  <c r="G77" i="4"/>
  <c r="F78" i="4"/>
  <c r="G78" i="4"/>
  <c r="F79" i="4"/>
  <c r="G79" i="4"/>
  <c r="F80" i="4"/>
  <c r="G80" i="4"/>
  <c r="F81" i="4"/>
  <c r="G81" i="4"/>
  <c r="F82" i="4"/>
  <c r="G82" i="4"/>
  <c r="F83" i="4"/>
  <c r="G83" i="4"/>
  <c r="F84" i="4"/>
  <c r="G84" i="4"/>
  <c r="F85" i="4"/>
  <c r="G85" i="4"/>
  <c r="F86" i="4"/>
  <c r="G86" i="4"/>
  <c r="F87" i="4"/>
  <c r="G87" i="4"/>
  <c r="F88" i="4"/>
  <c r="G88" i="4"/>
  <c r="F89" i="4"/>
  <c r="G89" i="4"/>
  <c r="F90" i="4"/>
  <c r="G90" i="4"/>
  <c r="F91" i="4"/>
  <c r="G91" i="4"/>
  <c r="F92" i="4"/>
  <c r="G92" i="4"/>
  <c r="F93" i="4"/>
  <c r="G93" i="4"/>
  <c r="F94" i="4"/>
  <c r="G94" i="4"/>
  <c r="F95" i="4"/>
  <c r="G95" i="4"/>
  <c r="F96" i="4"/>
  <c r="G96" i="4"/>
  <c r="F97" i="4"/>
  <c r="G97" i="4"/>
  <c r="F98" i="4"/>
  <c r="G98" i="4"/>
  <c r="F99" i="4"/>
  <c r="G99" i="4"/>
  <c r="F100" i="4"/>
  <c r="G100" i="4"/>
  <c r="F101" i="4"/>
  <c r="G101" i="4"/>
  <c r="F102" i="4"/>
  <c r="G102" i="4"/>
  <c r="F103" i="4"/>
  <c r="G103" i="4"/>
  <c r="F104" i="4"/>
  <c r="G104" i="4"/>
  <c r="F105" i="4"/>
  <c r="G105" i="4"/>
  <c r="F106" i="4"/>
  <c r="G106" i="4"/>
  <c r="F107" i="4"/>
  <c r="G107" i="4"/>
  <c r="F108" i="4"/>
  <c r="G108" i="4"/>
  <c r="F109" i="4"/>
  <c r="G109" i="4"/>
  <c r="F110" i="4"/>
  <c r="G110" i="4"/>
  <c r="F111" i="4"/>
  <c r="G111" i="4"/>
  <c r="F112" i="4"/>
  <c r="G112" i="4"/>
  <c r="F113" i="4"/>
  <c r="G113" i="4"/>
  <c r="F114" i="4"/>
  <c r="G114" i="4"/>
  <c r="F115" i="4"/>
  <c r="G115" i="4"/>
  <c r="F116" i="4"/>
  <c r="G116" i="4"/>
  <c r="F117" i="4"/>
  <c r="G117" i="4"/>
  <c r="F118" i="4"/>
  <c r="G118" i="4"/>
  <c r="F119" i="4"/>
  <c r="G119" i="4"/>
  <c r="F120" i="4"/>
  <c r="G120" i="4"/>
  <c r="F121" i="4"/>
  <c r="G121" i="4"/>
  <c r="F122" i="4"/>
  <c r="G122" i="4"/>
  <c r="F123" i="4"/>
  <c r="G123" i="4"/>
  <c r="F124" i="4"/>
  <c r="G124" i="4"/>
  <c r="F125" i="4"/>
  <c r="G125" i="4"/>
  <c r="F126" i="4"/>
  <c r="G126" i="4"/>
  <c r="F127" i="4"/>
  <c r="G127" i="4"/>
  <c r="F128" i="4"/>
  <c r="G128" i="4"/>
  <c r="F129" i="4"/>
  <c r="G129" i="4"/>
  <c r="F130" i="4"/>
  <c r="G130" i="4"/>
  <c r="F131" i="4"/>
  <c r="G131" i="4"/>
  <c r="F132" i="4"/>
  <c r="G132" i="4"/>
  <c r="F133" i="4"/>
  <c r="G133" i="4"/>
  <c r="F134" i="4"/>
  <c r="G134" i="4"/>
  <c r="F135" i="4"/>
  <c r="G135" i="4"/>
  <c r="F136" i="4"/>
  <c r="G136" i="4"/>
  <c r="F137" i="4"/>
  <c r="G137" i="4"/>
  <c r="H2" i="3"/>
  <c r="E2" i="3"/>
  <c r="E2" i="72"/>
  <c r="H2" i="72"/>
  <c r="D2" i="3"/>
  <c r="D2" i="72"/>
  <c r="F144" i="1"/>
  <c r="G144" i="1"/>
  <c r="F152" i="1"/>
  <c r="G152" i="1"/>
  <c r="J145" i="1"/>
  <c r="J147" i="1"/>
  <c r="J155" i="1"/>
  <c r="J139" i="1"/>
  <c r="J146" i="1"/>
  <c r="F173" i="34"/>
  <c r="G173" i="34"/>
  <c r="J153" i="1"/>
  <c r="F147" i="1"/>
  <c r="G147" i="1"/>
  <c r="J159" i="1"/>
  <c r="J151" i="1"/>
  <c r="J143" i="1"/>
  <c r="F170" i="34"/>
  <c r="G170" i="34"/>
  <c r="F158" i="1"/>
  <c r="G158" i="1"/>
  <c r="J154" i="1"/>
  <c r="H153" i="34"/>
  <c r="H145" i="34"/>
  <c r="F154" i="1"/>
  <c r="G154" i="1"/>
  <c r="J158" i="1"/>
  <c r="J150" i="1"/>
  <c r="J142" i="1"/>
  <c r="F165" i="34"/>
  <c r="G165" i="34"/>
  <c r="F155" i="1"/>
  <c r="G155" i="1"/>
  <c r="F139" i="1"/>
  <c r="G139" i="1"/>
  <c r="F146" i="1"/>
  <c r="G146" i="1"/>
  <c r="F156" i="1"/>
  <c r="G156" i="1"/>
  <c r="F148" i="1"/>
  <c r="G148" i="1"/>
  <c r="F140" i="1"/>
  <c r="G140" i="1"/>
  <c r="F183" i="34"/>
  <c r="G183" i="34"/>
  <c r="H159" i="34"/>
  <c r="J161" i="34"/>
  <c r="F150" i="1"/>
  <c r="G150" i="1"/>
  <c r="F142" i="1"/>
  <c r="G142" i="1"/>
  <c r="F161" i="34"/>
  <c r="G161" i="34"/>
  <c r="J152" i="1"/>
  <c r="J144" i="1"/>
  <c r="F174" i="34"/>
  <c r="G174" i="34"/>
  <c r="F159" i="1"/>
  <c r="G159" i="1"/>
  <c r="F151" i="1"/>
  <c r="G151" i="1"/>
  <c r="F143" i="1"/>
  <c r="G143" i="1"/>
  <c r="F160" i="34"/>
  <c r="G160" i="34"/>
  <c r="E159" i="34"/>
  <c r="J157" i="1"/>
  <c r="J149" i="1"/>
  <c r="J141" i="1"/>
  <c r="F182" i="34"/>
  <c r="G182" i="34"/>
  <c r="D159" i="34"/>
  <c r="F172" i="34"/>
  <c r="G172" i="34"/>
  <c r="J91" i="29"/>
  <c r="I183" i="34"/>
  <c r="J183" i="34"/>
  <c r="I179" i="34"/>
  <c r="J179" i="34"/>
  <c r="I181" i="34"/>
  <c r="J181" i="34"/>
  <c r="I165" i="34"/>
  <c r="J165" i="34"/>
  <c r="I171" i="34"/>
  <c r="J171" i="34"/>
  <c r="F179" i="34"/>
  <c r="G179" i="34"/>
  <c r="F177" i="34"/>
  <c r="G177" i="34"/>
  <c r="F180" i="34"/>
  <c r="G180" i="34"/>
  <c r="F178" i="34"/>
  <c r="G178" i="34"/>
  <c r="F176" i="34"/>
  <c r="G176" i="34"/>
  <c r="F181" i="34"/>
  <c r="G181" i="34"/>
  <c r="F163" i="34"/>
  <c r="G163" i="34"/>
  <c r="F162" i="34"/>
  <c r="G162" i="34"/>
  <c r="F171" i="34"/>
  <c r="G171" i="34"/>
  <c r="J163" i="34"/>
  <c r="I162" i="34"/>
  <c r="J162" i="34"/>
  <c r="F184" i="34"/>
  <c r="G184" i="34"/>
  <c r="F141" i="18"/>
  <c r="G141" i="18"/>
  <c r="I157" i="18"/>
  <c r="I128" i="18"/>
  <c r="F142" i="18"/>
  <c r="G142" i="18"/>
  <c r="F59" i="18"/>
  <c r="G59" i="18"/>
  <c r="F35" i="18"/>
  <c r="G35" i="18"/>
  <c r="F27" i="18"/>
  <c r="G27" i="18"/>
  <c r="F155" i="18"/>
  <c r="G155" i="18"/>
  <c r="D156" i="34"/>
  <c r="I129" i="18"/>
  <c r="J129" i="18"/>
  <c r="I138" i="29"/>
  <c r="I131" i="29"/>
  <c r="J131" i="29"/>
  <c r="I56" i="30"/>
  <c r="I38" i="30"/>
  <c r="J140" i="31"/>
  <c r="J129" i="31"/>
  <c r="J107" i="31"/>
  <c r="J79" i="31"/>
  <c r="J51" i="31"/>
  <c r="J19" i="31"/>
  <c r="J48" i="21"/>
  <c r="I155" i="18"/>
  <c r="J155" i="18"/>
  <c r="I102" i="18"/>
  <c r="J161" i="18"/>
  <c r="I148" i="29"/>
  <c r="J148" i="29"/>
  <c r="I145" i="30"/>
  <c r="J84" i="30"/>
  <c r="J138" i="1"/>
  <c r="J85" i="21"/>
  <c r="J45" i="21"/>
  <c r="I153" i="18"/>
  <c r="J153" i="18"/>
  <c r="I98" i="18"/>
  <c r="I65" i="29"/>
  <c r="J65" i="29"/>
  <c r="I20" i="29"/>
  <c r="I150" i="30"/>
  <c r="J150" i="30"/>
  <c r="J99" i="30"/>
  <c r="J139" i="30"/>
  <c r="J93" i="31"/>
  <c r="J77" i="31"/>
  <c r="J40" i="21"/>
  <c r="H2" i="18"/>
  <c r="I152" i="18"/>
  <c r="J152" i="18"/>
  <c r="I70" i="18"/>
  <c r="I23" i="29"/>
  <c r="J155" i="30"/>
  <c r="J123" i="30"/>
  <c r="I58" i="29"/>
  <c r="J32" i="21"/>
  <c r="I145" i="18"/>
  <c r="J145" i="18"/>
  <c r="I27" i="18"/>
  <c r="I53" i="29"/>
  <c r="I90" i="30"/>
  <c r="J90" i="30"/>
  <c r="I121" i="29"/>
  <c r="I89" i="29"/>
  <c r="J89" i="29"/>
  <c r="J125" i="31"/>
  <c r="J69" i="31"/>
  <c r="I136" i="18"/>
  <c r="I112" i="18"/>
  <c r="I72" i="18"/>
  <c r="I64" i="18"/>
  <c r="J64" i="18"/>
  <c r="I56" i="18"/>
  <c r="J56" i="18"/>
  <c r="J117" i="21"/>
  <c r="J64" i="21"/>
  <c r="J29" i="21"/>
  <c r="I143" i="18"/>
  <c r="J143" i="18"/>
  <c r="I161" i="29"/>
  <c r="I71" i="29"/>
  <c r="J71" i="29"/>
  <c r="I56" i="29"/>
  <c r="J56" i="29"/>
  <c r="I41" i="29"/>
  <c r="H2" i="29"/>
  <c r="I142" i="18"/>
  <c r="I142" i="34"/>
  <c r="I157" i="29"/>
  <c r="I157" i="34"/>
  <c r="I135" i="29"/>
  <c r="I112" i="29"/>
  <c r="J112" i="29"/>
  <c r="I109" i="29"/>
  <c r="J109" i="29"/>
  <c r="I29" i="29"/>
  <c r="I95" i="30"/>
  <c r="J95" i="30"/>
  <c r="J157" i="30"/>
  <c r="J75" i="30"/>
  <c r="J76" i="21"/>
  <c r="I76" i="18"/>
  <c r="J52" i="21"/>
  <c r="I52" i="18"/>
  <c r="J52" i="18"/>
  <c r="J36" i="26"/>
  <c r="I36" i="29"/>
  <c r="J36" i="29"/>
  <c r="J40" i="31"/>
  <c r="I40" i="30"/>
  <c r="J40" i="30"/>
  <c r="J122" i="21"/>
  <c r="I122" i="18"/>
  <c r="J122" i="18"/>
  <c r="J90" i="21"/>
  <c r="I90" i="18"/>
  <c r="J82" i="21"/>
  <c r="I82" i="18"/>
  <c r="J82" i="18"/>
  <c r="J74" i="21"/>
  <c r="I74" i="18"/>
  <c r="J66" i="21"/>
  <c r="I66" i="18"/>
  <c r="J66" i="18"/>
  <c r="J58" i="21"/>
  <c r="I58" i="18"/>
  <c r="J58" i="18"/>
  <c r="J34" i="21"/>
  <c r="I34" i="18"/>
  <c r="J34" i="18"/>
  <c r="J26" i="21"/>
  <c r="I26" i="18"/>
  <c r="J18" i="21"/>
  <c r="I18" i="18"/>
  <c r="J18" i="18"/>
  <c r="I141" i="18"/>
  <c r="I141" i="34"/>
  <c r="I127" i="18"/>
  <c r="J127" i="18"/>
  <c r="I97" i="18"/>
  <c r="J97" i="18"/>
  <c r="I59" i="18"/>
  <c r="I19" i="18"/>
  <c r="J143" i="26"/>
  <c r="I143" i="29"/>
  <c r="I85" i="29"/>
  <c r="J67" i="26"/>
  <c r="I67" i="29"/>
  <c r="J67" i="29"/>
  <c r="I151" i="29"/>
  <c r="J151" i="29"/>
  <c r="I118" i="29"/>
  <c r="J118" i="29"/>
  <c r="I59" i="29"/>
  <c r="I136" i="29"/>
  <c r="J136" i="29"/>
  <c r="J81" i="27"/>
  <c r="I81" i="29"/>
  <c r="J81" i="29"/>
  <c r="J116" i="31"/>
  <c r="I89" i="30"/>
  <c r="J89" i="30"/>
  <c r="J89" i="31"/>
  <c r="J61" i="31"/>
  <c r="J32" i="31"/>
  <c r="I32" i="30"/>
  <c r="J60" i="26"/>
  <c r="I60" i="29"/>
  <c r="J52" i="26"/>
  <c r="I52" i="29"/>
  <c r="J52" i="29"/>
  <c r="J67" i="21"/>
  <c r="I67" i="18"/>
  <c r="J67" i="18"/>
  <c r="F138" i="18"/>
  <c r="G138" i="18"/>
  <c r="J144" i="31"/>
  <c r="I144" i="30"/>
  <c r="J144" i="30"/>
  <c r="I57" i="30"/>
  <c r="J57" i="31"/>
  <c r="J20" i="31"/>
  <c r="I20" i="30"/>
  <c r="J137" i="21"/>
  <c r="I137" i="18"/>
  <c r="J137" i="18"/>
  <c r="J121" i="21"/>
  <c r="I121" i="18"/>
  <c r="J121" i="18"/>
  <c r="J113" i="21"/>
  <c r="I113" i="18"/>
  <c r="J113" i="18"/>
  <c r="J81" i="21"/>
  <c r="I81" i="18"/>
  <c r="J73" i="21"/>
  <c r="I73" i="18"/>
  <c r="J73" i="18"/>
  <c r="J65" i="21"/>
  <c r="I65" i="18"/>
  <c r="J57" i="21"/>
  <c r="I57" i="18"/>
  <c r="J57" i="18"/>
  <c r="J41" i="21"/>
  <c r="I41" i="18"/>
  <c r="J33" i="21"/>
  <c r="I33" i="18"/>
  <c r="J33" i="18"/>
  <c r="J25" i="21"/>
  <c r="I25" i="18"/>
  <c r="J25" i="18"/>
  <c r="J136" i="21"/>
  <c r="J72" i="21"/>
  <c r="I160" i="18"/>
  <c r="I151" i="18"/>
  <c r="I140" i="18"/>
  <c r="I140" i="34"/>
  <c r="I119" i="18"/>
  <c r="J119" i="18"/>
  <c r="I89" i="18"/>
  <c r="J89" i="18"/>
  <c r="I50" i="18"/>
  <c r="F157" i="1"/>
  <c r="G157" i="1"/>
  <c r="F149" i="1"/>
  <c r="G149" i="1"/>
  <c r="F141" i="1"/>
  <c r="G141" i="1"/>
  <c r="J44" i="31"/>
  <c r="I44" i="30"/>
  <c r="J43" i="21"/>
  <c r="I43" i="18"/>
  <c r="J43" i="18"/>
  <c r="J111" i="26"/>
  <c r="I111" i="29"/>
  <c r="J111" i="29"/>
  <c r="J43" i="26"/>
  <c r="I43" i="29"/>
  <c r="J43" i="29"/>
  <c r="J133" i="21"/>
  <c r="J37" i="21"/>
  <c r="I159" i="18"/>
  <c r="I150" i="18"/>
  <c r="J150" i="18"/>
  <c r="I87" i="18"/>
  <c r="J87" i="18"/>
  <c r="I103" i="29"/>
  <c r="F51" i="30"/>
  <c r="G51" i="30"/>
  <c r="J71" i="31"/>
  <c r="I71" i="30"/>
  <c r="J66" i="31"/>
  <c r="I66" i="30"/>
  <c r="J66" i="30"/>
  <c r="J24" i="31"/>
  <c r="I24" i="30"/>
  <c r="J24" i="30"/>
  <c r="J124" i="21"/>
  <c r="I124" i="18"/>
  <c r="J27" i="26"/>
  <c r="I27" i="29"/>
  <c r="J27" i="29"/>
  <c r="J51" i="21"/>
  <c r="I51" i="18"/>
  <c r="J51" i="18"/>
  <c r="J35" i="21"/>
  <c r="I35" i="18"/>
  <c r="J35" i="18"/>
  <c r="J51" i="26"/>
  <c r="I51" i="29"/>
  <c r="J111" i="21"/>
  <c r="I111" i="18"/>
  <c r="J95" i="21"/>
  <c r="I95" i="18"/>
  <c r="J95" i="18"/>
  <c r="J63" i="21"/>
  <c r="I63" i="18"/>
  <c r="J63" i="18"/>
  <c r="J39" i="21"/>
  <c r="I39" i="18"/>
  <c r="J31" i="21"/>
  <c r="I31" i="18"/>
  <c r="J23" i="21"/>
  <c r="I23" i="18"/>
  <c r="J23" i="18"/>
  <c r="I158" i="18"/>
  <c r="J158" i="18"/>
  <c r="I147" i="18"/>
  <c r="I147" i="34"/>
  <c r="I134" i="18"/>
  <c r="I116" i="18"/>
  <c r="I86" i="18"/>
  <c r="J86" i="18"/>
  <c r="I38" i="18"/>
  <c r="J79" i="28"/>
  <c r="I79" i="29"/>
  <c r="J79" i="29"/>
  <c r="J157" i="31"/>
  <c r="J103" i="31"/>
  <c r="I103" i="30"/>
  <c r="J103" i="30"/>
  <c r="J98" i="31"/>
  <c r="I98" i="30"/>
  <c r="J98" i="30"/>
  <c r="J36" i="31"/>
  <c r="I36" i="30"/>
  <c r="J44" i="21"/>
  <c r="I44" i="18"/>
  <c r="J123" i="21"/>
  <c r="I123" i="18"/>
  <c r="J83" i="21"/>
  <c r="I83" i="18"/>
  <c r="J83" i="18"/>
  <c r="I60" i="18"/>
  <c r="J35" i="26"/>
  <c r="I35" i="29"/>
  <c r="J35" i="29"/>
  <c r="J110" i="21"/>
  <c r="I110" i="18"/>
  <c r="J110" i="18"/>
  <c r="J94" i="21"/>
  <c r="I94" i="18"/>
  <c r="J62" i="21"/>
  <c r="I62" i="18"/>
  <c r="J62" i="18"/>
  <c r="J54" i="21"/>
  <c r="I54" i="18"/>
  <c r="J54" i="18"/>
  <c r="J46" i="21"/>
  <c r="I46" i="18"/>
  <c r="J46" i="18"/>
  <c r="J30" i="21"/>
  <c r="I30" i="18"/>
  <c r="J30" i="18"/>
  <c r="J22" i="21"/>
  <c r="I22" i="18"/>
  <c r="J22" i="18"/>
  <c r="I114" i="18"/>
  <c r="J114" i="18"/>
  <c r="I36" i="18"/>
  <c r="J36" i="18"/>
  <c r="D139" i="34"/>
  <c r="F139" i="34"/>
  <c r="G139" i="34"/>
  <c r="I68" i="29"/>
  <c r="J78" i="28"/>
  <c r="I78" i="29"/>
  <c r="J130" i="31"/>
  <c r="I130" i="30"/>
  <c r="J130" i="30"/>
  <c r="J102" i="31"/>
  <c r="I102" i="30"/>
  <c r="J102" i="30"/>
  <c r="J48" i="31"/>
  <c r="I48" i="30"/>
  <c r="J112" i="31"/>
  <c r="I112" i="30"/>
  <c r="J91" i="21"/>
  <c r="I91" i="18"/>
  <c r="I20" i="18"/>
  <c r="J20" i="18"/>
  <c r="F73" i="18"/>
  <c r="G73" i="18"/>
  <c r="F65" i="18"/>
  <c r="G65" i="18"/>
  <c r="F57" i="18"/>
  <c r="G57" i="18"/>
  <c r="F49" i="18"/>
  <c r="G49" i="18"/>
  <c r="F33" i="18"/>
  <c r="G33" i="18"/>
  <c r="I61" i="18"/>
  <c r="J61" i="18"/>
  <c r="I53" i="18"/>
  <c r="J21" i="21"/>
  <c r="I21" i="18"/>
  <c r="J21" i="18"/>
  <c r="I156" i="18"/>
  <c r="J156" i="18"/>
  <c r="I144" i="18"/>
  <c r="I130" i="18"/>
  <c r="J130" i="18"/>
  <c r="I103" i="18"/>
  <c r="J103" i="18"/>
  <c r="I71" i="18"/>
  <c r="J71" i="18"/>
  <c r="I28" i="18"/>
  <c r="J134" i="31"/>
  <c r="I134" i="30"/>
  <c r="J134" i="30"/>
  <c r="J80" i="31"/>
  <c r="I80" i="30"/>
  <c r="J75" i="31"/>
  <c r="D148" i="34"/>
  <c r="I124" i="29"/>
  <c r="I105" i="29"/>
  <c r="J105" i="29"/>
  <c r="I99" i="29"/>
  <c r="J99" i="29"/>
  <c r="I92" i="29"/>
  <c r="J92" i="29"/>
  <c r="I73" i="29"/>
  <c r="J73" i="29"/>
  <c r="I61" i="29"/>
  <c r="I47" i="29"/>
  <c r="I32" i="29"/>
  <c r="J32" i="29"/>
  <c r="I127" i="29"/>
  <c r="I57" i="29"/>
  <c r="I105" i="18"/>
  <c r="E153" i="34"/>
  <c r="F92" i="29"/>
  <c r="G92" i="29"/>
  <c r="I64" i="29"/>
  <c r="I55" i="29"/>
  <c r="J55" i="29"/>
  <c r="I155" i="29"/>
  <c r="J137" i="31"/>
  <c r="J105" i="31"/>
  <c r="J73" i="31"/>
  <c r="I156" i="29"/>
  <c r="J156" i="29"/>
  <c r="I140" i="29"/>
  <c r="J140" i="29"/>
  <c r="I130" i="29"/>
  <c r="I120" i="29"/>
  <c r="J120" i="29"/>
  <c r="I117" i="29"/>
  <c r="J117" i="29"/>
  <c r="I49" i="29"/>
  <c r="I40" i="29"/>
  <c r="J40" i="29"/>
  <c r="I37" i="29"/>
  <c r="J37" i="29"/>
  <c r="I28" i="29"/>
  <c r="I25" i="29"/>
  <c r="J25" i="29"/>
  <c r="I49" i="18"/>
  <c r="J49" i="18"/>
  <c r="F161" i="18"/>
  <c r="G161" i="18"/>
  <c r="I152" i="29"/>
  <c r="I149" i="29"/>
  <c r="J149" i="29"/>
  <c r="I123" i="29"/>
  <c r="J123" i="29"/>
  <c r="I113" i="29"/>
  <c r="I104" i="29"/>
  <c r="I101" i="29"/>
  <c r="I72" i="29"/>
  <c r="J72" i="29"/>
  <c r="I69" i="29"/>
  <c r="J69" i="29"/>
  <c r="I21" i="29"/>
  <c r="F128" i="30"/>
  <c r="G128" i="30"/>
  <c r="J57" i="29"/>
  <c r="I153" i="29"/>
  <c r="I132" i="29"/>
  <c r="J113" i="31"/>
  <c r="J49" i="31"/>
  <c r="J41" i="31"/>
  <c r="J33" i="31"/>
  <c r="J25" i="31"/>
  <c r="J21" i="31"/>
  <c r="E140" i="34"/>
  <c r="I158" i="29"/>
  <c r="I54" i="29"/>
  <c r="I42" i="29"/>
  <c r="J42" i="29"/>
  <c r="I93" i="18"/>
  <c r="I142" i="29"/>
  <c r="J142" i="29"/>
  <c r="I129" i="29"/>
  <c r="J129" i="29"/>
  <c r="I97" i="29"/>
  <c r="J97" i="29"/>
  <c r="I87" i="29"/>
  <c r="I48" i="29"/>
  <c r="I39" i="29"/>
  <c r="J39" i="29"/>
  <c r="I33" i="29"/>
  <c r="J33" i="29"/>
  <c r="I159" i="29"/>
  <c r="I145" i="29"/>
  <c r="J145" i="29"/>
  <c r="J62" i="30"/>
  <c r="J50" i="30"/>
  <c r="J42" i="30"/>
  <c r="J38" i="30"/>
  <c r="J159" i="30"/>
  <c r="F43" i="30"/>
  <c r="G43" i="30"/>
  <c r="F31" i="30"/>
  <c r="G31" i="30"/>
  <c r="F112" i="30"/>
  <c r="G112" i="30"/>
  <c r="J58" i="30"/>
  <c r="J43" i="30"/>
  <c r="J26" i="30"/>
  <c r="J23" i="30"/>
  <c r="J22" i="30"/>
  <c r="H2" i="30"/>
  <c r="F132" i="30"/>
  <c r="G132" i="30"/>
  <c r="F124" i="30"/>
  <c r="G124" i="30"/>
  <c r="F116" i="30"/>
  <c r="G116" i="30"/>
  <c r="F160" i="30"/>
  <c r="G160" i="30"/>
  <c r="F96" i="30"/>
  <c r="G96" i="30"/>
  <c r="F108" i="30"/>
  <c r="G108" i="30"/>
  <c r="F88" i="30"/>
  <c r="G88" i="30"/>
  <c r="F103" i="30"/>
  <c r="G103" i="30"/>
  <c r="F84" i="30"/>
  <c r="G84" i="30"/>
  <c r="F140" i="30"/>
  <c r="G140" i="30"/>
  <c r="F79" i="30"/>
  <c r="G79" i="30"/>
  <c r="J128" i="30"/>
  <c r="J56" i="30"/>
  <c r="D155" i="34"/>
  <c r="J120" i="30"/>
  <c r="J112" i="30"/>
  <c r="J104" i="30"/>
  <c r="J87" i="30"/>
  <c r="J80" i="30"/>
  <c r="J64" i="30"/>
  <c r="J31" i="30"/>
  <c r="J72" i="30"/>
  <c r="J47" i="30"/>
  <c r="J39" i="30"/>
  <c r="J153" i="30"/>
  <c r="J143" i="30"/>
  <c r="J135" i="30"/>
  <c r="J55" i="30"/>
  <c r="J151" i="30"/>
  <c r="E147" i="34"/>
  <c r="J160" i="30"/>
  <c r="J145" i="30"/>
  <c r="J127" i="30"/>
  <c r="J96" i="30"/>
  <c r="J63" i="30"/>
  <c r="D147" i="34"/>
  <c r="J119" i="30"/>
  <c r="J88" i="30"/>
  <c r="J79" i="30"/>
  <c r="J71" i="30"/>
  <c r="F91" i="30"/>
  <c r="G91" i="30"/>
  <c r="J32" i="30"/>
  <c r="F19" i="30"/>
  <c r="G19" i="30"/>
  <c r="F158" i="30"/>
  <c r="G158" i="30"/>
  <c r="F157" i="30"/>
  <c r="G157" i="30"/>
  <c r="F155" i="30"/>
  <c r="G155" i="30"/>
  <c r="F154" i="30"/>
  <c r="G154" i="30"/>
  <c r="F153" i="30"/>
  <c r="G153" i="30"/>
  <c r="F151" i="30"/>
  <c r="G151" i="30"/>
  <c r="F150" i="30"/>
  <c r="G150" i="30"/>
  <c r="F147" i="30"/>
  <c r="G147" i="30"/>
  <c r="F146" i="30"/>
  <c r="G146" i="30"/>
  <c r="F143" i="30"/>
  <c r="G143" i="30"/>
  <c r="F142" i="30"/>
  <c r="G142" i="30"/>
  <c r="F141" i="30"/>
  <c r="G141" i="30"/>
  <c r="F139" i="30"/>
  <c r="G139" i="30"/>
  <c r="F138" i="30"/>
  <c r="G138" i="30"/>
  <c r="F135" i="30"/>
  <c r="G135" i="30"/>
  <c r="F134" i="30"/>
  <c r="G134" i="30"/>
  <c r="F133" i="30"/>
  <c r="G133" i="30"/>
  <c r="F131" i="30"/>
  <c r="G131" i="30"/>
  <c r="F130" i="30"/>
  <c r="G130" i="30"/>
  <c r="F127" i="30"/>
  <c r="G127" i="30"/>
  <c r="F126" i="30"/>
  <c r="G126" i="30"/>
  <c r="F125" i="30"/>
  <c r="G125" i="30"/>
  <c r="F123" i="30"/>
  <c r="G123" i="30"/>
  <c r="F122" i="30"/>
  <c r="G122" i="30"/>
  <c r="F121" i="30"/>
  <c r="G121" i="30"/>
  <c r="F119" i="30"/>
  <c r="G119" i="30"/>
  <c r="F118" i="30"/>
  <c r="G118" i="30"/>
  <c r="F115" i="30"/>
  <c r="G115" i="30"/>
  <c r="F110" i="30"/>
  <c r="G110" i="30"/>
  <c r="F109" i="30"/>
  <c r="G109" i="30"/>
  <c r="F106" i="30"/>
  <c r="G106" i="30"/>
  <c r="F105" i="30"/>
  <c r="G105" i="30"/>
  <c r="F102" i="30"/>
  <c r="G102" i="30"/>
  <c r="F101" i="30"/>
  <c r="G101" i="30"/>
  <c r="F98" i="30"/>
  <c r="G98" i="30"/>
  <c r="F97" i="30"/>
  <c r="G97" i="30"/>
  <c r="F94" i="30"/>
  <c r="G94" i="30"/>
  <c r="F93" i="30"/>
  <c r="G93" i="30"/>
  <c r="F90" i="30"/>
  <c r="G90" i="30"/>
  <c r="F89" i="30"/>
  <c r="G89" i="30"/>
  <c r="F86" i="30"/>
  <c r="G86" i="30"/>
  <c r="F85" i="30"/>
  <c r="G85" i="30"/>
  <c r="F82" i="30"/>
  <c r="G82" i="30"/>
  <c r="F81" i="30"/>
  <c r="G81" i="30"/>
  <c r="F78" i="30"/>
  <c r="G78" i="30"/>
  <c r="F77" i="30"/>
  <c r="G77" i="30"/>
  <c r="F76" i="30"/>
  <c r="G76" i="30"/>
  <c r="F74" i="30"/>
  <c r="G74" i="30"/>
  <c r="F72" i="30"/>
  <c r="G72" i="30"/>
  <c r="F71" i="30"/>
  <c r="G71" i="30"/>
  <c r="F69" i="30"/>
  <c r="G69" i="30"/>
  <c r="F68" i="30"/>
  <c r="G68" i="30"/>
  <c r="F66" i="30"/>
  <c r="G66" i="30"/>
  <c r="F64" i="30"/>
  <c r="G64" i="30"/>
  <c r="F62" i="30"/>
  <c r="G62" i="30"/>
  <c r="F59" i="30"/>
  <c r="G59" i="30"/>
  <c r="F58" i="30"/>
  <c r="G58" i="30"/>
  <c r="F57" i="30"/>
  <c r="G57" i="30"/>
  <c r="F54" i="30"/>
  <c r="G54" i="30"/>
  <c r="F53" i="30"/>
  <c r="G53" i="30"/>
  <c r="F50" i="30"/>
  <c r="G50" i="30"/>
  <c r="F46" i="30"/>
  <c r="G46" i="30"/>
  <c r="F41" i="30"/>
  <c r="G41" i="30"/>
  <c r="F40" i="30"/>
  <c r="G40" i="30"/>
  <c r="F38" i="30"/>
  <c r="G38" i="30"/>
  <c r="F35" i="30"/>
  <c r="G35" i="30"/>
  <c r="F34" i="30"/>
  <c r="G34" i="30"/>
  <c r="F28" i="30"/>
  <c r="G28" i="30"/>
  <c r="F26" i="30"/>
  <c r="G26" i="30"/>
  <c r="F25" i="30"/>
  <c r="G25" i="30"/>
  <c r="F18" i="30"/>
  <c r="G18" i="30"/>
  <c r="F17" i="30"/>
  <c r="G17" i="30"/>
  <c r="J147" i="30"/>
  <c r="J107" i="30"/>
  <c r="J67" i="30"/>
  <c r="J59" i="30"/>
  <c r="J51" i="30"/>
  <c r="J35" i="30"/>
  <c r="J19" i="30"/>
  <c r="J149" i="30"/>
  <c r="J141" i="30"/>
  <c r="J137" i="30"/>
  <c r="J129" i="30"/>
  <c r="J125" i="30"/>
  <c r="J117" i="30"/>
  <c r="J109" i="30"/>
  <c r="J105" i="30"/>
  <c r="J101" i="30"/>
  <c r="J93" i="30"/>
  <c r="J77" i="30"/>
  <c r="J73" i="30"/>
  <c r="J69" i="30"/>
  <c r="J65" i="30"/>
  <c r="J57" i="30"/>
  <c r="J161" i="30"/>
  <c r="J91" i="30"/>
  <c r="J131" i="30"/>
  <c r="J111" i="30"/>
  <c r="J115" i="30"/>
  <c r="J27" i="30"/>
  <c r="J83" i="30"/>
  <c r="J70" i="30"/>
  <c r="F70" i="30"/>
  <c r="G70" i="30"/>
  <c r="F63" i="30"/>
  <c r="G63" i="30"/>
  <c r="J113" i="30"/>
  <c r="J74" i="30"/>
  <c r="F114" i="30"/>
  <c r="G114" i="30"/>
  <c r="J18" i="30"/>
  <c r="F111" i="30"/>
  <c r="G111" i="30"/>
  <c r="F61" i="30"/>
  <c r="G61" i="30"/>
  <c r="F60" i="30"/>
  <c r="G60" i="30"/>
  <c r="F56" i="30"/>
  <c r="G56" i="30"/>
  <c r="F55" i="30"/>
  <c r="G55" i="30"/>
  <c r="J54" i="30"/>
  <c r="F52" i="30"/>
  <c r="G52" i="30"/>
  <c r="J49" i="30"/>
  <c r="F49" i="30"/>
  <c r="G49" i="30"/>
  <c r="J48" i="30"/>
  <c r="F48" i="30"/>
  <c r="G48" i="30"/>
  <c r="F47" i="30"/>
  <c r="G47" i="30"/>
  <c r="J46" i="30"/>
  <c r="J45" i="30"/>
  <c r="F45" i="30"/>
  <c r="G45" i="30"/>
  <c r="F42" i="30"/>
  <c r="G42" i="30"/>
  <c r="J41" i="30"/>
  <c r="F39" i="30"/>
  <c r="G39" i="30"/>
  <c r="F159" i="30"/>
  <c r="G159" i="30"/>
  <c r="J37" i="30"/>
  <c r="F37" i="30"/>
  <c r="G37" i="30"/>
  <c r="F36" i="30"/>
  <c r="G36" i="30"/>
  <c r="J33" i="30"/>
  <c r="F33" i="30"/>
  <c r="G33" i="30"/>
  <c r="F32" i="30"/>
  <c r="G32" i="30"/>
  <c r="J30" i="30"/>
  <c r="F30" i="30"/>
  <c r="G30" i="30"/>
  <c r="J29" i="30"/>
  <c r="F29" i="30"/>
  <c r="G29" i="30"/>
  <c r="F27" i="30"/>
  <c r="G27" i="30"/>
  <c r="J25" i="30"/>
  <c r="F24" i="30"/>
  <c r="G24" i="30"/>
  <c r="F23" i="30"/>
  <c r="G23" i="30"/>
  <c r="F22" i="30"/>
  <c r="G22" i="30"/>
  <c r="J21" i="30"/>
  <c r="F21" i="30"/>
  <c r="G21" i="30"/>
  <c r="F16" i="30"/>
  <c r="G16" i="30"/>
  <c r="F44" i="30"/>
  <c r="G44" i="30"/>
  <c r="J142" i="30"/>
  <c r="F20" i="30"/>
  <c r="G20" i="30"/>
  <c r="J113" i="29"/>
  <c r="J59" i="29"/>
  <c r="J51" i="29"/>
  <c r="J41" i="29"/>
  <c r="J28" i="29"/>
  <c r="J23" i="29"/>
  <c r="J161" i="29"/>
  <c r="F140" i="29"/>
  <c r="G140" i="29"/>
  <c r="F111" i="29"/>
  <c r="G111" i="29"/>
  <c r="F48" i="29"/>
  <c r="G48" i="29"/>
  <c r="J153" i="29"/>
  <c r="F96" i="29"/>
  <c r="G96" i="29"/>
  <c r="F88" i="29"/>
  <c r="G88" i="29"/>
  <c r="F72" i="29"/>
  <c r="G72" i="29"/>
  <c r="J135" i="29"/>
  <c r="J127" i="27"/>
  <c r="F127" i="29"/>
  <c r="G127" i="29"/>
  <c r="I126" i="29"/>
  <c r="J126" i="29"/>
  <c r="I125" i="29"/>
  <c r="J125" i="29"/>
  <c r="F156" i="29"/>
  <c r="G156" i="29"/>
  <c r="F144" i="29"/>
  <c r="G144" i="29"/>
  <c r="J85" i="29"/>
  <c r="F76" i="29"/>
  <c r="G76" i="29"/>
  <c r="F68" i="29"/>
  <c r="G68" i="29"/>
  <c r="J61" i="29"/>
  <c r="F20" i="29"/>
  <c r="G20" i="29"/>
  <c r="J155" i="27"/>
  <c r="I134" i="29"/>
  <c r="J134" i="29"/>
  <c r="J101" i="29"/>
  <c r="J57" i="27"/>
  <c r="D140" i="34"/>
  <c r="F107" i="29"/>
  <c r="G107" i="29"/>
  <c r="F40" i="29"/>
  <c r="G40" i="29"/>
  <c r="J159" i="27"/>
  <c r="J153" i="27"/>
  <c r="F100" i="29"/>
  <c r="G100" i="29"/>
  <c r="F39" i="29"/>
  <c r="G39" i="29"/>
  <c r="F27" i="29"/>
  <c r="G27" i="29"/>
  <c r="J145" i="27"/>
  <c r="J132" i="27"/>
  <c r="H157" i="34"/>
  <c r="H149" i="34"/>
  <c r="H141" i="34"/>
  <c r="I147" i="29"/>
  <c r="J147" i="29"/>
  <c r="I141" i="29"/>
  <c r="J141" i="29"/>
  <c r="J53" i="29"/>
  <c r="F104" i="29"/>
  <c r="G104" i="29"/>
  <c r="F99" i="29"/>
  <c r="G99" i="29"/>
  <c r="F56" i="29"/>
  <c r="G56" i="29"/>
  <c r="J121" i="29"/>
  <c r="F115" i="29"/>
  <c r="G115" i="29"/>
  <c r="F24" i="29"/>
  <c r="G24" i="29"/>
  <c r="J127" i="29"/>
  <c r="F80" i="29"/>
  <c r="G80" i="29"/>
  <c r="J49" i="29"/>
  <c r="F47" i="29"/>
  <c r="G47" i="29"/>
  <c r="J20" i="29"/>
  <c r="J159" i="29"/>
  <c r="J136" i="27"/>
  <c r="H158" i="34"/>
  <c r="H150" i="34"/>
  <c r="H142" i="34"/>
  <c r="F159" i="29"/>
  <c r="G159" i="29"/>
  <c r="F131" i="29"/>
  <c r="G131" i="29"/>
  <c r="F103" i="29"/>
  <c r="G103" i="29"/>
  <c r="I100" i="29"/>
  <c r="J100" i="29"/>
  <c r="F91" i="29"/>
  <c r="G91" i="29"/>
  <c r="F71" i="29"/>
  <c r="G71" i="29"/>
  <c r="F60" i="29"/>
  <c r="G60" i="29"/>
  <c r="J89" i="27"/>
  <c r="I128" i="29"/>
  <c r="I93" i="29"/>
  <c r="J93" i="29"/>
  <c r="F79" i="29"/>
  <c r="G79" i="29"/>
  <c r="J54" i="29"/>
  <c r="F43" i="29"/>
  <c r="G43" i="29"/>
  <c r="J82" i="29"/>
  <c r="J158" i="29"/>
  <c r="I144" i="29"/>
  <c r="I139" i="29"/>
  <c r="J139" i="29"/>
  <c r="I133" i="29"/>
  <c r="J133" i="29"/>
  <c r="F155" i="29"/>
  <c r="G155" i="29"/>
  <c r="F139" i="29"/>
  <c r="G139" i="29"/>
  <c r="F136" i="29"/>
  <c r="G136" i="29"/>
  <c r="F87" i="29"/>
  <c r="G87" i="29"/>
  <c r="F84" i="29"/>
  <c r="G84" i="29"/>
  <c r="J78" i="29"/>
  <c r="F28" i="29"/>
  <c r="G28" i="29"/>
  <c r="F19" i="29"/>
  <c r="G19" i="29"/>
  <c r="I150" i="29"/>
  <c r="J150" i="29"/>
  <c r="I108" i="29"/>
  <c r="J108" i="29"/>
  <c r="I63" i="29"/>
  <c r="J63" i="29"/>
  <c r="I31" i="29"/>
  <c r="J31" i="29"/>
  <c r="I160" i="29"/>
  <c r="J160" i="29"/>
  <c r="I137" i="29"/>
  <c r="J137" i="29"/>
  <c r="I45" i="29"/>
  <c r="J45" i="29"/>
  <c r="I83" i="29"/>
  <c r="J83" i="29"/>
  <c r="I44" i="29"/>
  <c r="J44" i="29"/>
  <c r="I154" i="29"/>
  <c r="J154" i="29"/>
  <c r="I115" i="29"/>
  <c r="J115" i="29"/>
  <c r="I107" i="29"/>
  <c r="J107" i="29"/>
  <c r="I88" i="29"/>
  <c r="I19" i="29"/>
  <c r="I95" i="29"/>
  <c r="J95" i="29"/>
  <c r="I76" i="29"/>
  <c r="J76" i="29"/>
  <c r="I96" i="29"/>
  <c r="J96" i="29"/>
  <c r="I77" i="29"/>
  <c r="J77" i="29"/>
  <c r="I75" i="29"/>
  <c r="J75" i="29"/>
  <c r="I24" i="29"/>
  <c r="J24" i="29"/>
  <c r="F123" i="29"/>
  <c r="G123" i="29"/>
  <c r="I122" i="29"/>
  <c r="J122" i="29"/>
  <c r="F160" i="29"/>
  <c r="G160" i="29"/>
  <c r="J152" i="29"/>
  <c r="F148" i="29"/>
  <c r="G148" i="29"/>
  <c r="J143" i="29"/>
  <c r="J124" i="29"/>
  <c r="I119" i="29"/>
  <c r="J119" i="29"/>
  <c r="I114" i="29"/>
  <c r="J114" i="29"/>
  <c r="F112" i="29"/>
  <c r="G112" i="29"/>
  <c r="F108" i="29"/>
  <c r="G108" i="29"/>
  <c r="J103" i="29"/>
  <c r="F95" i="29"/>
  <c r="G95" i="29"/>
  <c r="J88" i="29"/>
  <c r="I86" i="29"/>
  <c r="J86" i="29"/>
  <c r="J60" i="29"/>
  <c r="I46" i="29"/>
  <c r="J46" i="29"/>
  <c r="F35" i="29"/>
  <c r="G35" i="29"/>
  <c r="I30" i="29"/>
  <c r="J30" i="29"/>
  <c r="I18" i="29"/>
  <c r="J18" i="29"/>
  <c r="F132" i="29"/>
  <c r="G132" i="29"/>
  <c r="F120" i="29"/>
  <c r="G120" i="29"/>
  <c r="F124" i="29"/>
  <c r="G124" i="29"/>
  <c r="F119" i="29"/>
  <c r="G119" i="29"/>
  <c r="I90" i="29"/>
  <c r="J90" i="29"/>
  <c r="F67" i="29"/>
  <c r="G67" i="29"/>
  <c r="I62" i="29"/>
  <c r="J62" i="29"/>
  <c r="F51" i="29"/>
  <c r="G51" i="29"/>
  <c r="J48" i="29"/>
  <c r="F44" i="29"/>
  <c r="G44" i="29"/>
  <c r="I98" i="29"/>
  <c r="J98" i="29"/>
  <c r="I94" i="29"/>
  <c r="J94" i="29"/>
  <c r="J64" i="29"/>
  <c r="I34" i="29"/>
  <c r="I22" i="29"/>
  <c r="J22" i="29"/>
  <c r="I102" i="29"/>
  <c r="J102" i="29"/>
  <c r="F75" i="29"/>
  <c r="G75" i="29"/>
  <c r="J68" i="29"/>
  <c r="I66" i="29"/>
  <c r="J66" i="29"/>
  <c r="I50" i="29"/>
  <c r="J50" i="29"/>
  <c r="F32" i="29"/>
  <c r="G32" i="29"/>
  <c r="J29" i="29"/>
  <c r="H152" i="34"/>
  <c r="H144" i="34"/>
  <c r="J104" i="29"/>
  <c r="I70" i="29"/>
  <c r="J70" i="29"/>
  <c r="I38" i="29"/>
  <c r="J38" i="29"/>
  <c r="I26" i="29"/>
  <c r="J26" i="29"/>
  <c r="I110" i="29"/>
  <c r="J110" i="29"/>
  <c r="E156" i="34"/>
  <c r="E148" i="34"/>
  <c r="F151" i="29"/>
  <c r="G151" i="29"/>
  <c r="J132" i="29"/>
  <c r="F128" i="29"/>
  <c r="G128" i="29"/>
  <c r="I106" i="29"/>
  <c r="J106" i="29"/>
  <c r="J87" i="29"/>
  <c r="F83" i="29"/>
  <c r="G83" i="29"/>
  <c r="I74" i="29"/>
  <c r="J74" i="29"/>
  <c r="J47" i="29"/>
  <c r="F36" i="29"/>
  <c r="G36" i="29"/>
  <c r="J21" i="29"/>
  <c r="J82" i="27"/>
  <c r="J58" i="27"/>
  <c r="F52" i="29"/>
  <c r="G52" i="29"/>
  <c r="I116" i="29"/>
  <c r="J116" i="29"/>
  <c r="F116" i="29"/>
  <c r="G116" i="29"/>
  <c r="F31" i="29"/>
  <c r="G31" i="29"/>
  <c r="E155" i="34"/>
  <c r="E145" i="34"/>
  <c r="E152" i="34"/>
  <c r="E144" i="34"/>
  <c r="F55" i="29"/>
  <c r="G55" i="29"/>
  <c r="F143" i="29"/>
  <c r="G143" i="29"/>
  <c r="F59" i="29"/>
  <c r="G59" i="29"/>
  <c r="J19" i="29"/>
  <c r="F147" i="29"/>
  <c r="G147" i="29"/>
  <c r="F23" i="29"/>
  <c r="G23" i="29"/>
  <c r="F161" i="29"/>
  <c r="G161" i="29"/>
  <c r="F157" i="29"/>
  <c r="G157" i="29"/>
  <c r="F153" i="29"/>
  <c r="G153" i="29"/>
  <c r="F150" i="29"/>
  <c r="G150" i="29"/>
  <c r="F149" i="29"/>
  <c r="G149" i="29"/>
  <c r="F146" i="29"/>
  <c r="G146" i="29"/>
  <c r="F145" i="29"/>
  <c r="G145" i="29"/>
  <c r="F141" i="29"/>
  <c r="G141" i="29"/>
  <c r="F137" i="29"/>
  <c r="G137" i="29"/>
  <c r="F134" i="29"/>
  <c r="G134" i="29"/>
  <c r="F133" i="29"/>
  <c r="G133" i="29"/>
  <c r="F130" i="29"/>
  <c r="G130" i="29"/>
  <c r="F129" i="29"/>
  <c r="G129" i="29"/>
  <c r="F125" i="29"/>
  <c r="G125" i="29"/>
  <c r="F121" i="29"/>
  <c r="G121" i="29"/>
  <c r="F117" i="29"/>
  <c r="G117" i="29"/>
  <c r="F113" i="29"/>
  <c r="G113" i="29"/>
  <c r="F109" i="29"/>
  <c r="G109" i="29"/>
  <c r="F105" i="29"/>
  <c r="G105" i="29"/>
  <c r="F101" i="29"/>
  <c r="G101" i="29"/>
  <c r="F97" i="29"/>
  <c r="G97" i="29"/>
  <c r="F94" i="29"/>
  <c r="G94" i="29"/>
  <c r="F93" i="29"/>
  <c r="G93" i="29"/>
  <c r="F89" i="29"/>
  <c r="G89" i="29"/>
  <c r="F86" i="29"/>
  <c r="G86" i="29"/>
  <c r="F85" i="29"/>
  <c r="G85" i="29"/>
  <c r="F81" i="29"/>
  <c r="G81" i="29"/>
  <c r="F77" i="29"/>
  <c r="G77" i="29"/>
  <c r="F73" i="29"/>
  <c r="G73" i="29"/>
  <c r="F70" i="29"/>
  <c r="G70" i="29"/>
  <c r="F69" i="29"/>
  <c r="G69" i="29"/>
  <c r="F65" i="29"/>
  <c r="G65" i="29"/>
  <c r="F62" i="29"/>
  <c r="G62" i="29"/>
  <c r="F61" i="29"/>
  <c r="G61" i="29"/>
  <c r="F57" i="29"/>
  <c r="G57" i="29"/>
  <c r="F54" i="29"/>
  <c r="G54" i="29"/>
  <c r="F53" i="29"/>
  <c r="G53" i="29"/>
  <c r="F49" i="29"/>
  <c r="G49" i="29"/>
  <c r="F45" i="29"/>
  <c r="G45" i="29"/>
  <c r="F41" i="29"/>
  <c r="G41" i="29"/>
  <c r="F38" i="29"/>
  <c r="G38" i="29"/>
  <c r="F37" i="29"/>
  <c r="G37" i="29"/>
  <c r="F33" i="29"/>
  <c r="G33" i="29"/>
  <c r="F30" i="29"/>
  <c r="G30" i="29"/>
  <c r="F29" i="29"/>
  <c r="G29" i="29"/>
  <c r="F25" i="29"/>
  <c r="G25" i="29"/>
  <c r="F22" i="29"/>
  <c r="G22" i="29"/>
  <c r="F21" i="29"/>
  <c r="G21" i="29"/>
  <c r="F17" i="29"/>
  <c r="G17" i="29"/>
  <c r="J116" i="30"/>
  <c r="J92" i="30"/>
  <c r="J68" i="30"/>
  <c r="J52" i="30"/>
  <c r="J36" i="30"/>
  <c r="J20" i="30"/>
  <c r="J132" i="30"/>
  <c r="J156" i="30"/>
  <c r="J100" i="30"/>
  <c r="J148" i="30"/>
  <c r="H156" i="34"/>
  <c r="H148" i="34"/>
  <c r="H140" i="34"/>
  <c r="J140" i="30"/>
  <c r="J124" i="30"/>
  <c r="H155" i="34"/>
  <c r="H147" i="34"/>
  <c r="H139" i="34"/>
  <c r="J108" i="30"/>
  <c r="J76" i="30"/>
  <c r="J60" i="30"/>
  <c r="J44" i="30"/>
  <c r="J28" i="30"/>
  <c r="J130" i="29"/>
  <c r="J58" i="29"/>
  <c r="J146" i="29"/>
  <c r="H154" i="34"/>
  <c r="H146" i="34"/>
  <c r="H138" i="34"/>
  <c r="J34" i="29"/>
  <c r="J138" i="29"/>
  <c r="F161" i="30"/>
  <c r="G161" i="30"/>
  <c r="F129" i="30"/>
  <c r="G129" i="30"/>
  <c r="F65" i="30"/>
  <c r="G65" i="30"/>
  <c r="F137" i="30"/>
  <c r="G137" i="30"/>
  <c r="F73" i="30"/>
  <c r="G73" i="30"/>
  <c r="F145" i="30"/>
  <c r="G145" i="30"/>
  <c r="F113" i="30"/>
  <c r="G113" i="30"/>
  <c r="F149" i="30"/>
  <c r="G149" i="30"/>
  <c r="F117" i="30"/>
  <c r="G117" i="30"/>
  <c r="E137" i="34"/>
  <c r="E157" i="34"/>
  <c r="E149" i="34"/>
  <c r="E141" i="34"/>
  <c r="F106" i="29"/>
  <c r="G106" i="29"/>
  <c r="F82" i="29"/>
  <c r="G82" i="29"/>
  <c r="F50" i="29"/>
  <c r="G50" i="29"/>
  <c r="F158" i="29"/>
  <c r="G158" i="29"/>
  <c r="F142" i="29"/>
  <c r="G142" i="29"/>
  <c r="F126" i="29"/>
  <c r="G126" i="29"/>
  <c r="F110" i="29"/>
  <c r="G110" i="29"/>
  <c r="F90" i="29"/>
  <c r="G90" i="29"/>
  <c r="F58" i="29"/>
  <c r="G58" i="29"/>
  <c r="F26" i="29"/>
  <c r="G26" i="29"/>
  <c r="E138" i="34"/>
  <c r="F18" i="29"/>
  <c r="G18" i="29"/>
  <c r="F78" i="29"/>
  <c r="G78" i="29"/>
  <c r="F46" i="29"/>
  <c r="G46" i="29"/>
  <c r="F154" i="29"/>
  <c r="G154" i="29"/>
  <c r="F138" i="29"/>
  <c r="G138" i="29"/>
  <c r="D138" i="34"/>
  <c r="F118" i="29"/>
  <c r="G118" i="29"/>
  <c r="F102" i="29"/>
  <c r="G102" i="29"/>
  <c r="F74" i="29"/>
  <c r="G74" i="29"/>
  <c r="F42" i="29"/>
  <c r="G42" i="29"/>
  <c r="E154" i="34"/>
  <c r="F122" i="29"/>
  <c r="G122" i="29"/>
  <c r="F114" i="29"/>
  <c r="G114" i="29"/>
  <c r="F98" i="29"/>
  <c r="G98" i="29"/>
  <c r="F66" i="29"/>
  <c r="G66" i="29"/>
  <c r="F34" i="29"/>
  <c r="G34" i="29"/>
  <c r="E151" i="34"/>
  <c r="E143" i="34"/>
  <c r="E158" i="34"/>
  <c r="E150" i="34"/>
  <c r="E142" i="34"/>
  <c r="D157" i="34"/>
  <c r="D149" i="34"/>
  <c r="D158" i="34"/>
  <c r="D150" i="34"/>
  <c r="D151" i="34"/>
  <c r="D146" i="34"/>
  <c r="D153" i="34"/>
  <c r="D145" i="34"/>
  <c r="D154" i="34"/>
  <c r="D144" i="34"/>
  <c r="I42" i="18"/>
  <c r="J42" i="18"/>
  <c r="J49" i="19"/>
  <c r="I84" i="18"/>
  <c r="J84" i="18"/>
  <c r="J59" i="18"/>
  <c r="J40" i="18"/>
  <c r="J31" i="18"/>
  <c r="F156" i="18"/>
  <c r="G156" i="18"/>
  <c r="I131" i="18"/>
  <c r="J131" i="18"/>
  <c r="I92" i="18"/>
  <c r="J92" i="18"/>
  <c r="J39" i="18"/>
  <c r="I108" i="18"/>
  <c r="J108" i="18"/>
  <c r="J91" i="18"/>
  <c r="F52" i="18"/>
  <c r="G52" i="18"/>
  <c r="F44" i="18"/>
  <c r="G44" i="18"/>
  <c r="F36" i="18"/>
  <c r="G36" i="18"/>
  <c r="F28" i="18"/>
  <c r="G28" i="18"/>
  <c r="I138" i="18"/>
  <c r="J138" i="18"/>
  <c r="I55" i="18"/>
  <c r="J55" i="18"/>
  <c r="F152" i="18"/>
  <c r="G152" i="18"/>
  <c r="F93" i="18"/>
  <c r="G93" i="18"/>
  <c r="I146" i="18"/>
  <c r="J146" i="18"/>
  <c r="F159" i="18"/>
  <c r="G159" i="18"/>
  <c r="F61" i="18"/>
  <c r="G61" i="18"/>
  <c r="F21" i="18"/>
  <c r="G21" i="18"/>
  <c r="F143" i="18"/>
  <c r="G143" i="18"/>
  <c r="J116" i="18"/>
  <c r="J26" i="18"/>
  <c r="D143" i="34"/>
  <c r="J157" i="18"/>
  <c r="D152" i="34"/>
  <c r="D142" i="34"/>
  <c r="F147" i="18"/>
  <c r="G147" i="18"/>
  <c r="J136" i="18"/>
  <c r="D141" i="34"/>
  <c r="F146" i="18"/>
  <c r="G146" i="18"/>
  <c r="J144" i="18"/>
  <c r="J94" i="18"/>
  <c r="J50" i="18"/>
  <c r="I154" i="18"/>
  <c r="J154" i="18"/>
  <c r="I149" i="18"/>
  <c r="F160" i="18"/>
  <c r="G160" i="18"/>
  <c r="F158" i="18"/>
  <c r="G158" i="18"/>
  <c r="F157" i="18"/>
  <c r="G157" i="18"/>
  <c r="F154" i="18"/>
  <c r="G154" i="18"/>
  <c r="F153" i="18"/>
  <c r="G153" i="18"/>
  <c r="F150" i="18"/>
  <c r="G150" i="18"/>
  <c r="F149" i="18"/>
  <c r="G149" i="18"/>
  <c r="F145" i="18"/>
  <c r="G145" i="18"/>
  <c r="F144" i="18"/>
  <c r="G144" i="18"/>
  <c r="I139" i="18"/>
  <c r="J139" i="18"/>
  <c r="I109" i="18"/>
  <c r="J109" i="18"/>
  <c r="I104" i="18"/>
  <c r="J104" i="18"/>
  <c r="I100" i="18"/>
  <c r="J100" i="18"/>
  <c r="F110" i="18"/>
  <c r="G110" i="18"/>
  <c r="F108" i="18"/>
  <c r="G108" i="18"/>
  <c r="F104" i="18"/>
  <c r="G104" i="18"/>
  <c r="F101" i="18"/>
  <c r="G101" i="18"/>
  <c r="F100" i="18"/>
  <c r="G100" i="18"/>
  <c r="I96" i="18"/>
  <c r="J96" i="18"/>
  <c r="F140" i="18"/>
  <c r="G140" i="18"/>
  <c r="F148" i="18"/>
  <c r="G148" i="18"/>
  <c r="I148" i="18"/>
  <c r="J148" i="18"/>
  <c r="F137" i="18"/>
  <c r="G137" i="18"/>
  <c r="I135" i="18"/>
  <c r="J135" i="18"/>
  <c r="J134" i="18"/>
  <c r="F132" i="18"/>
  <c r="G132" i="18"/>
  <c r="I132" i="18"/>
  <c r="J132" i="18"/>
  <c r="F118" i="18"/>
  <c r="G118" i="18"/>
  <c r="I118" i="18"/>
  <c r="J118" i="18"/>
  <c r="F120" i="18"/>
  <c r="G120" i="18"/>
  <c r="I120" i="18"/>
  <c r="J120" i="18"/>
  <c r="F131" i="18"/>
  <c r="G131" i="18"/>
  <c r="J128" i="18"/>
  <c r="I126" i="18"/>
  <c r="J126" i="18"/>
  <c r="I125" i="18"/>
  <c r="J125" i="18"/>
  <c r="J124" i="18"/>
  <c r="J123" i="18"/>
  <c r="J93" i="19"/>
  <c r="F117" i="18"/>
  <c r="G117" i="18"/>
  <c r="J117" i="18"/>
  <c r="I115" i="18"/>
  <c r="J115" i="18"/>
  <c r="F90" i="18"/>
  <c r="G90" i="18"/>
  <c r="J90" i="18"/>
  <c r="J85" i="18"/>
  <c r="F139" i="18"/>
  <c r="G139" i="18"/>
  <c r="J72" i="18"/>
  <c r="I69" i="18"/>
  <c r="J69" i="18"/>
  <c r="I68" i="18"/>
  <c r="J68" i="18"/>
  <c r="F66" i="18"/>
  <c r="G66" i="18"/>
  <c r="F62" i="18"/>
  <c r="G62" i="18"/>
  <c r="F37" i="18"/>
  <c r="G37" i="18"/>
  <c r="J151" i="18"/>
  <c r="F151" i="18"/>
  <c r="G151" i="18"/>
  <c r="E146" i="34"/>
  <c r="J140" i="18"/>
  <c r="I80" i="18"/>
  <c r="J80" i="18"/>
  <c r="E75" i="18"/>
  <c r="E2" i="19"/>
  <c r="J105" i="18"/>
  <c r="I78" i="18"/>
  <c r="J78" i="18"/>
  <c r="I77" i="18"/>
  <c r="J76" i="18"/>
  <c r="J98" i="18"/>
  <c r="I79" i="18"/>
  <c r="J79" i="18"/>
  <c r="I88" i="18"/>
  <c r="J88" i="18"/>
  <c r="I107" i="18"/>
  <c r="J107" i="18"/>
  <c r="I106" i="18"/>
  <c r="J106" i="18"/>
  <c r="J105" i="19"/>
  <c r="I99" i="18"/>
  <c r="J99" i="18"/>
  <c r="J102" i="18"/>
  <c r="I101" i="18"/>
  <c r="J101" i="18"/>
  <c r="I75" i="18"/>
  <c r="J75" i="18"/>
  <c r="I153" i="34"/>
  <c r="J141" i="18"/>
  <c r="I146" i="34"/>
  <c r="J65" i="18"/>
  <c r="J81" i="18"/>
  <c r="J93" i="18"/>
  <c r="J45" i="18"/>
  <c r="J29" i="18"/>
  <c r="I151" i="34"/>
  <c r="J151" i="34"/>
  <c r="J133" i="18"/>
  <c r="J37" i="18"/>
  <c r="J41" i="18"/>
  <c r="J53" i="18"/>
  <c r="J70" i="18"/>
  <c r="J74" i="18"/>
  <c r="J112" i="18"/>
  <c r="J111" i="18"/>
  <c r="J19" i="18"/>
  <c r="J60" i="18"/>
  <c r="J48" i="18"/>
  <c r="J38" i="18"/>
  <c r="J32" i="18"/>
  <c r="J28" i="18"/>
  <c r="J27" i="18"/>
  <c r="J24" i="18"/>
  <c r="J44" i="18"/>
  <c r="J142" i="18"/>
  <c r="J47" i="21"/>
  <c r="I47" i="18"/>
  <c r="F102" i="18"/>
  <c r="G102" i="18"/>
  <c r="F99" i="18"/>
  <c r="G99" i="18"/>
  <c r="F89" i="18"/>
  <c r="G89" i="18"/>
  <c r="F88" i="18"/>
  <c r="G88" i="18"/>
  <c r="F87" i="18"/>
  <c r="G87" i="18"/>
  <c r="F86" i="18"/>
  <c r="G86" i="18"/>
  <c r="F85" i="18"/>
  <c r="G85" i="18"/>
  <c r="F134" i="18"/>
  <c r="G134" i="18"/>
  <c r="F133" i="18"/>
  <c r="G133" i="18"/>
  <c r="F136" i="18"/>
  <c r="G136" i="18"/>
  <c r="F129" i="18"/>
  <c r="G129" i="18"/>
  <c r="F72" i="18"/>
  <c r="G72" i="18"/>
  <c r="F69" i="18"/>
  <c r="G69" i="18"/>
  <c r="F43" i="18"/>
  <c r="G43" i="18"/>
  <c r="F41" i="18"/>
  <c r="G41" i="18"/>
  <c r="F67" i="18"/>
  <c r="G67" i="18"/>
  <c r="F80" i="18"/>
  <c r="G80" i="18"/>
  <c r="F81" i="18"/>
  <c r="G81" i="18"/>
  <c r="F77" i="18"/>
  <c r="G77" i="18"/>
  <c r="F76" i="18"/>
  <c r="G76" i="18"/>
  <c r="F71" i="18"/>
  <c r="G71" i="18"/>
  <c r="F70" i="18"/>
  <c r="G70" i="18"/>
  <c r="F127" i="18"/>
  <c r="G127" i="18"/>
  <c r="F112" i="18"/>
  <c r="G112" i="18"/>
  <c r="F55" i="18"/>
  <c r="G55" i="18"/>
  <c r="F54" i="18"/>
  <c r="G54" i="18"/>
  <c r="F53" i="18"/>
  <c r="G53" i="18"/>
  <c r="F48" i="18"/>
  <c r="G48" i="18"/>
  <c r="F47" i="18"/>
  <c r="G47" i="18"/>
  <c r="F38" i="18"/>
  <c r="G38" i="18"/>
  <c r="F31" i="18"/>
  <c r="G31" i="18"/>
  <c r="F29" i="18"/>
  <c r="G29" i="18"/>
  <c r="F24" i="18"/>
  <c r="G24" i="18"/>
  <c r="F130" i="18"/>
  <c r="G130" i="18"/>
  <c r="F128" i="18"/>
  <c r="G128" i="18"/>
  <c r="F64" i="18"/>
  <c r="G64" i="18"/>
  <c r="F63" i="18"/>
  <c r="G63" i="18"/>
  <c r="F116" i="18"/>
  <c r="G116" i="18"/>
  <c r="F115" i="18"/>
  <c r="G115" i="18"/>
  <c r="F113" i="18"/>
  <c r="G113" i="18"/>
  <c r="F124" i="18"/>
  <c r="G124" i="18"/>
  <c r="F114" i="18"/>
  <c r="G114" i="18"/>
  <c r="F111" i="18"/>
  <c r="G111" i="18"/>
  <c r="F91" i="18"/>
  <c r="G91" i="18"/>
  <c r="F19" i="18"/>
  <c r="G19" i="18"/>
  <c r="F56" i="18"/>
  <c r="G56" i="18"/>
  <c r="F51" i="18"/>
  <c r="G51" i="18"/>
  <c r="F46" i="18"/>
  <c r="G46" i="18"/>
  <c r="F45" i="18"/>
  <c r="G45" i="18"/>
  <c r="F40" i="18"/>
  <c r="G40" i="18"/>
  <c r="F39" i="18"/>
  <c r="G39" i="18"/>
  <c r="F32" i="18"/>
  <c r="G32" i="18"/>
  <c r="F30" i="18"/>
  <c r="G30" i="18"/>
  <c r="F25" i="18"/>
  <c r="G25" i="18"/>
  <c r="F23" i="18"/>
  <c r="G23" i="18"/>
  <c r="F135" i="18"/>
  <c r="G135" i="18"/>
  <c r="F126" i="18"/>
  <c r="G126" i="18"/>
  <c r="F125" i="18"/>
  <c r="G125" i="18"/>
  <c r="F20" i="18"/>
  <c r="G20" i="18"/>
  <c r="F84" i="18"/>
  <c r="G84" i="18"/>
  <c r="F83" i="18"/>
  <c r="G83" i="18"/>
  <c r="F82" i="18"/>
  <c r="G82" i="18"/>
  <c r="F78" i="18"/>
  <c r="G78" i="18"/>
  <c r="F79" i="18"/>
  <c r="G79" i="18"/>
  <c r="F22" i="18"/>
  <c r="G22" i="18"/>
  <c r="F60" i="18"/>
  <c r="G60" i="18"/>
  <c r="F107" i="18"/>
  <c r="G107" i="18"/>
  <c r="F122" i="18"/>
  <c r="G122" i="18"/>
  <c r="F68" i="18"/>
  <c r="G68" i="18"/>
  <c r="F98" i="18"/>
  <c r="G98" i="18"/>
  <c r="F92" i="18"/>
  <c r="G92" i="18"/>
  <c r="F76" i="3"/>
  <c r="J153" i="34"/>
  <c r="F156" i="34"/>
  <c r="G156" i="34"/>
  <c r="F159" i="34"/>
  <c r="G159" i="34"/>
  <c r="J159" i="18"/>
  <c r="I159" i="34"/>
  <c r="J159" i="34"/>
  <c r="J160" i="18"/>
  <c r="I160" i="34"/>
  <c r="J160" i="34"/>
  <c r="I155" i="34"/>
  <c r="J155" i="34"/>
  <c r="F157" i="34"/>
  <c r="G157" i="34"/>
  <c r="F147" i="34"/>
  <c r="G147" i="34"/>
  <c r="I138" i="34"/>
  <c r="J138" i="34"/>
  <c r="J142" i="34"/>
  <c r="I139" i="34"/>
  <c r="J139" i="34"/>
  <c r="J147" i="34"/>
  <c r="F138" i="34"/>
  <c r="G138" i="34"/>
  <c r="J141" i="34"/>
  <c r="I156" i="34"/>
  <c r="J156" i="34"/>
  <c r="I145" i="34"/>
  <c r="J145" i="34"/>
  <c r="F150" i="34"/>
  <c r="G150" i="34"/>
  <c r="I143" i="34"/>
  <c r="J143" i="34"/>
  <c r="J157" i="34"/>
  <c r="I152" i="34"/>
  <c r="J152" i="34"/>
  <c r="J147" i="18"/>
  <c r="F140" i="34"/>
  <c r="G140" i="34"/>
  <c r="F148" i="34"/>
  <c r="G148" i="34"/>
  <c r="F153" i="34"/>
  <c r="G153" i="34"/>
  <c r="J140" i="34"/>
  <c r="I148" i="34"/>
  <c r="J148" i="34"/>
  <c r="I149" i="34"/>
  <c r="J149" i="34"/>
  <c r="J157" i="29"/>
  <c r="J146" i="34"/>
  <c r="I144" i="34"/>
  <c r="J144" i="34"/>
  <c r="I158" i="34"/>
  <c r="J158" i="34"/>
  <c r="I154" i="34"/>
  <c r="J154" i="34"/>
  <c r="I150" i="34"/>
  <c r="J150" i="34"/>
  <c r="F144" i="34"/>
  <c r="G144" i="34"/>
  <c r="J155" i="29"/>
  <c r="F155" i="34"/>
  <c r="G155" i="34"/>
  <c r="J144" i="29"/>
  <c r="F141" i="34"/>
  <c r="G141" i="34"/>
  <c r="J128" i="29"/>
  <c r="F149" i="34"/>
  <c r="G149" i="34"/>
  <c r="F154" i="34"/>
  <c r="G154" i="34"/>
  <c r="F145" i="34"/>
  <c r="G145" i="34"/>
  <c r="F152" i="34"/>
  <c r="G152" i="34"/>
  <c r="F158" i="34"/>
  <c r="G158" i="34"/>
  <c r="F142" i="34"/>
  <c r="G142" i="34"/>
  <c r="F143" i="34"/>
  <c r="G143" i="34"/>
  <c r="F151" i="34"/>
  <c r="G151" i="34"/>
  <c r="F146" i="34"/>
  <c r="G146" i="34"/>
  <c r="J77" i="18"/>
  <c r="J149" i="18"/>
  <c r="F75" i="18"/>
  <c r="G75" i="18"/>
  <c r="J47" i="18"/>
  <c r="D18" i="1"/>
  <c r="D18" i="34"/>
  <c r="E18" i="1"/>
  <c r="E18" i="34"/>
  <c r="H18" i="1"/>
  <c r="H18" i="34"/>
  <c r="D19" i="1"/>
  <c r="D19" i="34"/>
  <c r="E19" i="1"/>
  <c r="E19" i="34"/>
  <c r="H19" i="1"/>
  <c r="H19" i="34"/>
  <c r="D20" i="1"/>
  <c r="D20" i="34"/>
  <c r="E20" i="1"/>
  <c r="E20" i="34"/>
  <c r="H20" i="1"/>
  <c r="H20" i="34"/>
  <c r="D21" i="1"/>
  <c r="D21" i="34"/>
  <c r="E21" i="1"/>
  <c r="E21" i="34"/>
  <c r="H21" i="1"/>
  <c r="H21" i="34"/>
  <c r="D22" i="1"/>
  <c r="D22" i="34"/>
  <c r="E22" i="1"/>
  <c r="E22" i="34"/>
  <c r="H22" i="1"/>
  <c r="H22" i="34"/>
  <c r="D23" i="1"/>
  <c r="D23" i="34"/>
  <c r="E23" i="1"/>
  <c r="E23" i="34"/>
  <c r="H23" i="1"/>
  <c r="H23" i="34"/>
  <c r="D24" i="1"/>
  <c r="D24" i="34"/>
  <c r="E24" i="1"/>
  <c r="E24" i="34"/>
  <c r="H24" i="1"/>
  <c r="H24" i="34"/>
  <c r="D25" i="1"/>
  <c r="D25" i="34"/>
  <c r="E25" i="1"/>
  <c r="E25" i="34"/>
  <c r="H25" i="1"/>
  <c r="H25" i="34"/>
  <c r="D26" i="1"/>
  <c r="D26" i="34"/>
  <c r="E26" i="1"/>
  <c r="E26" i="34"/>
  <c r="H26" i="1"/>
  <c r="H26" i="34"/>
  <c r="D27" i="1"/>
  <c r="D27" i="34"/>
  <c r="E27" i="1"/>
  <c r="E27" i="34"/>
  <c r="H27" i="1"/>
  <c r="H27" i="34"/>
  <c r="D28" i="1"/>
  <c r="D28" i="34"/>
  <c r="E28" i="1"/>
  <c r="E28" i="34"/>
  <c r="H28" i="1"/>
  <c r="H28" i="34"/>
  <c r="D29" i="1"/>
  <c r="D29" i="34"/>
  <c r="E29" i="1"/>
  <c r="E29" i="34"/>
  <c r="H29" i="1"/>
  <c r="H29" i="34"/>
  <c r="D30" i="1"/>
  <c r="D30" i="34"/>
  <c r="E30" i="1"/>
  <c r="E30" i="34"/>
  <c r="H30" i="1"/>
  <c r="H30" i="34"/>
  <c r="D31" i="1"/>
  <c r="D31" i="34"/>
  <c r="E31" i="1"/>
  <c r="E31" i="34"/>
  <c r="H31" i="1"/>
  <c r="H31" i="34"/>
  <c r="D32" i="1"/>
  <c r="D32" i="34"/>
  <c r="E32" i="1"/>
  <c r="E32" i="34"/>
  <c r="H32" i="1"/>
  <c r="H32" i="34"/>
  <c r="D33" i="1"/>
  <c r="D33" i="34"/>
  <c r="E33" i="1"/>
  <c r="E33" i="34"/>
  <c r="H33" i="1"/>
  <c r="H33" i="34"/>
  <c r="D34" i="1"/>
  <c r="D34" i="34"/>
  <c r="E34" i="1"/>
  <c r="E34" i="34"/>
  <c r="H34" i="1"/>
  <c r="H34" i="34"/>
  <c r="D35" i="1"/>
  <c r="D35" i="34"/>
  <c r="E35" i="1"/>
  <c r="E35" i="34"/>
  <c r="H35" i="1"/>
  <c r="H35" i="34"/>
  <c r="D36" i="1"/>
  <c r="D36" i="34"/>
  <c r="E36" i="1"/>
  <c r="E36" i="34"/>
  <c r="H36" i="1"/>
  <c r="H36" i="34"/>
  <c r="D37" i="1"/>
  <c r="D37" i="34"/>
  <c r="E37" i="1"/>
  <c r="E37" i="34"/>
  <c r="H37" i="1"/>
  <c r="H37" i="34"/>
  <c r="D38" i="1"/>
  <c r="D38" i="34"/>
  <c r="E38" i="1"/>
  <c r="E38" i="34"/>
  <c r="H38" i="1"/>
  <c r="H38" i="34"/>
  <c r="D39" i="1"/>
  <c r="D39" i="34"/>
  <c r="E39" i="1"/>
  <c r="E39" i="34"/>
  <c r="H39" i="1"/>
  <c r="H39" i="34"/>
  <c r="D40" i="1"/>
  <c r="D40" i="34"/>
  <c r="E40" i="1"/>
  <c r="E40" i="34"/>
  <c r="H40" i="1"/>
  <c r="H40" i="34"/>
  <c r="D41" i="1"/>
  <c r="D41" i="34"/>
  <c r="E41" i="1"/>
  <c r="E41" i="34"/>
  <c r="H41" i="1"/>
  <c r="H41" i="34"/>
  <c r="D42" i="1"/>
  <c r="D42" i="34"/>
  <c r="E42" i="1"/>
  <c r="E42" i="34"/>
  <c r="H42" i="1"/>
  <c r="H42" i="34"/>
  <c r="D43" i="1"/>
  <c r="D43" i="34"/>
  <c r="E43" i="1"/>
  <c r="E43" i="34"/>
  <c r="H43" i="1"/>
  <c r="H43" i="34"/>
  <c r="D44" i="1"/>
  <c r="D44" i="34"/>
  <c r="E44" i="1"/>
  <c r="E44" i="34"/>
  <c r="H44" i="1"/>
  <c r="H44" i="34"/>
  <c r="D45" i="1"/>
  <c r="D45" i="34"/>
  <c r="E45" i="1"/>
  <c r="E45" i="34"/>
  <c r="H45" i="1"/>
  <c r="H45" i="34"/>
  <c r="D46" i="1"/>
  <c r="D46" i="34"/>
  <c r="E46" i="1"/>
  <c r="E46" i="34"/>
  <c r="H46" i="1"/>
  <c r="H46" i="34"/>
  <c r="D47" i="1"/>
  <c r="D47" i="34"/>
  <c r="E47" i="1"/>
  <c r="E47" i="34"/>
  <c r="H47" i="1"/>
  <c r="H47" i="34"/>
  <c r="D48" i="1"/>
  <c r="D48" i="34"/>
  <c r="E48" i="1"/>
  <c r="E48" i="34"/>
  <c r="H48" i="1"/>
  <c r="H48" i="34"/>
  <c r="D49" i="1"/>
  <c r="D49" i="34"/>
  <c r="E49" i="1"/>
  <c r="E49" i="34"/>
  <c r="H49" i="1"/>
  <c r="H49" i="34"/>
  <c r="D50" i="1"/>
  <c r="D50" i="34"/>
  <c r="E50" i="1"/>
  <c r="E50" i="34"/>
  <c r="H50" i="1"/>
  <c r="H50" i="34"/>
  <c r="D51" i="1"/>
  <c r="D51" i="34"/>
  <c r="E51" i="1"/>
  <c r="E51" i="34"/>
  <c r="H51" i="1"/>
  <c r="H51" i="34"/>
  <c r="D52" i="1"/>
  <c r="D52" i="34"/>
  <c r="E52" i="1"/>
  <c r="E52" i="34"/>
  <c r="H52" i="1"/>
  <c r="H52" i="34"/>
  <c r="D53" i="1"/>
  <c r="D53" i="34"/>
  <c r="E53" i="1"/>
  <c r="E53" i="34"/>
  <c r="H53" i="1"/>
  <c r="H53" i="34"/>
  <c r="D54" i="1"/>
  <c r="D54" i="34"/>
  <c r="E54" i="1"/>
  <c r="E54" i="34"/>
  <c r="H54" i="1"/>
  <c r="H54" i="34"/>
  <c r="D55" i="1"/>
  <c r="D55" i="34"/>
  <c r="E55" i="1"/>
  <c r="E55" i="34"/>
  <c r="H55" i="1"/>
  <c r="H55" i="34"/>
  <c r="D56" i="1"/>
  <c r="D56" i="34"/>
  <c r="E56" i="1"/>
  <c r="E56" i="34"/>
  <c r="H56" i="1"/>
  <c r="H56" i="34"/>
  <c r="D57" i="1"/>
  <c r="D57" i="34"/>
  <c r="E57" i="1"/>
  <c r="E57" i="34"/>
  <c r="H57" i="1"/>
  <c r="H57" i="34"/>
  <c r="D58" i="1"/>
  <c r="D58" i="34"/>
  <c r="E58" i="1"/>
  <c r="E58" i="34"/>
  <c r="H58" i="1"/>
  <c r="H58" i="34"/>
  <c r="D59" i="1"/>
  <c r="D59" i="34"/>
  <c r="E59" i="1"/>
  <c r="E59" i="34"/>
  <c r="H59" i="1"/>
  <c r="H59" i="34"/>
  <c r="D60" i="1"/>
  <c r="D60" i="34"/>
  <c r="E60" i="1"/>
  <c r="E60" i="34"/>
  <c r="H60" i="1"/>
  <c r="H60" i="34"/>
  <c r="D61" i="1"/>
  <c r="D61" i="34"/>
  <c r="E61" i="1"/>
  <c r="E61" i="34"/>
  <c r="H61" i="1"/>
  <c r="H61" i="34"/>
  <c r="D62" i="1"/>
  <c r="D62" i="34"/>
  <c r="E62" i="1"/>
  <c r="E62" i="34"/>
  <c r="H62" i="1"/>
  <c r="H62" i="34"/>
  <c r="D63" i="1"/>
  <c r="D63" i="34"/>
  <c r="E63" i="1"/>
  <c r="E63" i="34"/>
  <c r="H63" i="1"/>
  <c r="H63" i="34"/>
  <c r="D64" i="1"/>
  <c r="D64" i="34"/>
  <c r="E64" i="1"/>
  <c r="E64" i="34"/>
  <c r="H64" i="1"/>
  <c r="H64" i="34"/>
  <c r="E65" i="1"/>
  <c r="E65" i="34"/>
  <c r="H65" i="1"/>
  <c r="H65" i="34"/>
  <c r="D66" i="1"/>
  <c r="D66" i="34"/>
  <c r="E66" i="1"/>
  <c r="E66" i="34"/>
  <c r="H66" i="1"/>
  <c r="H66" i="34"/>
  <c r="D67" i="1"/>
  <c r="D67" i="34"/>
  <c r="E67" i="1"/>
  <c r="E67" i="34"/>
  <c r="H67" i="1"/>
  <c r="H67" i="34"/>
  <c r="D68" i="1"/>
  <c r="D68" i="34"/>
  <c r="E68" i="1"/>
  <c r="E68" i="34"/>
  <c r="H68" i="1"/>
  <c r="H68" i="34"/>
  <c r="D69" i="1"/>
  <c r="D69" i="34"/>
  <c r="E69" i="1"/>
  <c r="E69" i="34"/>
  <c r="H69" i="1"/>
  <c r="H69" i="34"/>
  <c r="D70" i="1"/>
  <c r="D70" i="34"/>
  <c r="E70" i="1"/>
  <c r="E70" i="34"/>
  <c r="H70" i="1"/>
  <c r="H70" i="34"/>
  <c r="D71" i="1"/>
  <c r="D71" i="34"/>
  <c r="E71" i="1"/>
  <c r="E71" i="34"/>
  <c r="H71" i="1"/>
  <c r="H71" i="34"/>
  <c r="D72" i="1"/>
  <c r="D72" i="34"/>
  <c r="E72" i="1"/>
  <c r="E72" i="34"/>
  <c r="H72" i="1"/>
  <c r="H72" i="34"/>
  <c r="D73" i="1"/>
  <c r="D73" i="34"/>
  <c r="E73" i="1"/>
  <c r="E73" i="34"/>
  <c r="H73" i="1"/>
  <c r="H73" i="34"/>
  <c r="D74" i="1"/>
  <c r="D74" i="34"/>
  <c r="E74" i="1"/>
  <c r="E74" i="34"/>
  <c r="H74" i="1"/>
  <c r="H74" i="34"/>
  <c r="D75" i="1"/>
  <c r="D75" i="34"/>
  <c r="E75" i="1"/>
  <c r="E75" i="34"/>
  <c r="H75" i="1"/>
  <c r="H75" i="34"/>
  <c r="D76" i="1"/>
  <c r="D76" i="34"/>
  <c r="E76" i="1"/>
  <c r="E76" i="34"/>
  <c r="H76" i="1"/>
  <c r="H76" i="34"/>
  <c r="D77" i="1"/>
  <c r="D77" i="34"/>
  <c r="E77" i="1"/>
  <c r="E77" i="34"/>
  <c r="H77" i="1"/>
  <c r="H77" i="34"/>
  <c r="D78" i="1"/>
  <c r="D78" i="34"/>
  <c r="E78" i="1"/>
  <c r="E78" i="34"/>
  <c r="H78" i="1"/>
  <c r="H78" i="34"/>
  <c r="D79" i="1"/>
  <c r="D79" i="34"/>
  <c r="E79" i="1"/>
  <c r="E79" i="34"/>
  <c r="H79" i="1"/>
  <c r="H79" i="34"/>
  <c r="D80" i="1"/>
  <c r="D80" i="34"/>
  <c r="E80" i="1"/>
  <c r="E80" i="34"/>
  <c r="H80" i="1"/>
  <c r="H80" i="34"/>
  <c r="D81" i="1"/>
  <c r="D81" i="34"/>
  <c r="E81" i="1"/>
  <c r="E81" i="34"/>
  <c r="H81" i="1"/>
  <c r="H81" i="34"/>
  <c r="D82" i="1"/>
  <c r="D82" i="34"/>
  <c r="E82" i="1"/>
  <c r="E82" i="34"/>
  <c r="H82" i="1"/>
  <c r="H82" i="34"/>
  <c r="D83" i="1"/>
  <c r="D83" i="34"/>
  <c r="E83" i="1"/>
  <c r="E83" i="34"/>
  <c r="H83" i="1"/>
  <c r="H83" i="34"/>
  <c r="D84" i="1"/>
  <c r="D84" i="34"/>
  <c r="E84" i="1"/>
  <c r="E84" i="34"/>
  <c r="H84" i="1"/>
  <c r="H84" i="34"/>
  <c r="D85" i="1"/>
  <c r="D85" i="34"/>
  <c r="E85" i="1"/>
  <c r="E85" i="34"/>
  <c r="H85" i="1"/>
  <c r="H85" i="34"/>
  <c r="D86" i="1"/>
  <c r="D86" i="34"/>
  <c r="E86" i="1"/>
  <c r="E86" i="34"/>
  <c r="H86" i="1"/>
  <c r="H86" i="34"/>
  <c r="D87" i="1"/>
  <c r="D87" i="34"/>
  <c r="E87" i="1"/>
  <c r="E87" i="34"/>
  <c r="H87" i="1"/>
  <c r="H87" i="34"/>
  <c r="D88" i="1"/>
  <c r="D88" i="34"/>
  <c r="E88" i="1"/>
  <c r="E88" i="34"/>
  <c r="H88" i="1"/>
  <c r="H88" i="34"/>
  <c r="D89" i="1"/>
  <c r="D89" i="34"/>
  <c r="E89" i="1"/>
  <c r="E89" i="34"/>
  <c r="H89" i="1"/>
  <c r="H89" i="34"/>
  <c r="D90" i="1"/>
  <c r="D90" i="34"/>
  <c r="E90" i="1"/>
  <c r="E90" i="34"/>
  <c r="H90" i="1"/>
  <c r="H90" i="34"/>
  <c r="D91" i="1"/>
  <c r="D91" i="34"/>
  <c r="E91" i="1"/>
  <c r="E91" i="34"/>
  <c r="H91" i="1"/>
  <c r="H91" i="34"/>
  <c r="D92" i="1"/>
  <c r="D92" i="34"/>
  <c r="E92" i="1"/>
  <c r="E92" i="34"/>
  <c r="H92" i="1"/>
  <c r="H92" i="34"/>
  <c r="D93" i="1"/>
  <c r="D93" i="34"/>
  <c r="E93" i="1"/>
  <c r="E93" i="34"/>
  <c r="H93" i="1"/>
  <c r="H93" i="34"/>
  <c r="D94" i="1"/>
  <c r="D94" i="34"/>
  <c r="E94" i="1"/>
  <c r="E94" i="34"/>
  <c r="H94" i="1"/>
  <c r="H94" i="34"/>
  <c r="D95" i="1"/>
  <c r="D95" i="34"/>
  <c r="E95" i="1"/>
  <c r="E95" i="34"/>
  <c r="H95" i="1"/>
  <c r="H95" i="34"/>
  <c r="D96" i="1"/>
  <c r="D96" i="34"/>
  <c r="E96" i="1"/>
  <c r="E96" i="34"/>
  <c r="H96" i="1"/>
  <c r="H96" i="34"/>
  <c r="D97" i="1"/>
  <c r="D97" i="34"/>
  <c r="E97" i="1"/>
  <c r="E97" i="34"/>
  <c r="H97" i="1"/>
  <c r="H97" i="34"/>
  <c r="D98" i="1"/>
  <c r="D98" i="34"/>
  <c r="E98" i="1"/>
  <c r="E98" i="34"/>
  <c r="H98" i="1"/>
  <c r="H98" i="34"/>
  <c r="D99" i="1"/>
  <c r="D99" i="34"/>
  <c r="E99" i="1"/>
  <c r="E99" i="34"/>
  <c r="H99" i="1"/>
  <c r="H99" i="34"/>
  <c r="D100" i="1"/>
  <c r="D100" i="34"/>
  <c r="E100" i="1"/>
  <c r="E100" i="34"/>
  <c r="H100" i="1"/>
  <c r="H100" i="34"/>
  <c r="D101" i="1"/>
  <c r="D101" i="34"/>
  <c r="E101" i="1"/>
  <c r="H101" i="1"/>
  <c r="H101" i="34"/>
  <c r="D102" i="1"/>
  <c r="D102" i="34"/>
  <c r="E102" i="1"/>
  <c r="E102" i="34"/>
  <c r="H102" i="1"/>
  <c r="H102" i="34"/>
  <c r="D103" i="1"/>
  <c r="D103" i="34"/>
  <c r="E103" i="1"/>
  <c r="E103" i="34"/>
  <c r="H103" i="1"/>
  <c r="H103" i="34"/>
  <c r="D104" i="1"/>
  <c r="D104" i="34"/>
  <c r="E104" i="1"/>
  <c r="E104" i="34"/>
  <c r="H104" i="1"/>
  <c r="H104" i="34"/>
  <c r="D105" i="1"/>
  <c r="D105" i="34"/>
  <c r="E105" i="1"/>
  <c r="E105" i="34"/>
  <c r="H105" i="1"/>
  <c r="H105" i="34"/>
  <c r="D106" i="1"/>
  <c r="D106" i="34"/>
  <c r="E106" i="1"/>
  <c r="E106" i="34"/>
  <c r="H106" i="1"/>
  <c r="H106" i="34"/>
  <c r="D107" i="1"/>
  <c r="D107" i="34"/>
  <c r="E107" i="1"/>
  <c r="E107" i="34"/>
  <c r="H107" i="1"/>
  <c r="H107" i="34"/>
  <c r="D108" i="1"/>
  <c r="D108" i="34"/>
  <c r="E108" i="1"/>
  <c r="E108" i="34"/>
  <c r="H108" i="1"/>
  <c r="H108" i="34"/>
  <c r="D109" i="1"/>
  <c r="D109" i="34"/>
  <c r="E109" i="1"/>
  <c r="E109" i="34"/>
  <c r="H109" i="1"/>
  <c r="H109" i="34"/>
  <c r="D110" i="1"/>
  <c r="D110" i="34"/>
  <c r="E110" i="1"/>
  <c r="E110" i="34"/>
  <c r="H110" i="1"/>
  <c r="H110" i="34"/>
  <c r="D111" i="1"/>
  <c r="D111" i="34"/>
  <c r="E111" i="1"/>
  <c r="E111" i="34"/>
  <c r="H111" i="1"/>
  <c r="H111" i="34"/>
  <c r="D112" i="1"/>
  <c r="D112" i="34"/>
  <c r="E112" i="1"/>
  <c r="E112" i="34"/>
  <c r="H112" i="1"/>
  <c r="H112" i="34"/>
  <c r="D113" i="1"/>
  <c r="D113" i="34"/>
  <c r="E113" i="1"/>
  <c r="E113" i="34"/>
  <c r="H113" i="1"/>
  <c r="H113" i="34"/>
  <c r="D114" i="1"/>
  <c r="D114" i="34"/>
  <c r="E114" i="1"/>
  <c r="E114" i="34"/>
  <c r="H114" i="1"/>
  <c r="H114" i="34"/>
  <c r="D115" i="1"/>
  <c r="D115" i="34"/>
  <c r="E115" i="1"/>
  <c r="E115" i="34"/>
  <c r="H115" i="1"/>
  <c r="H115" i="34"/>
  <c r="D116" i="1"/>
  <c r="D116" i="34"/>
  <c r="E116" i="1"/>
  <c r="E116" i="34"/>
  <c r="H116" i="1"/>
  <c r="H116" i="34"/>
  <c r="D117" i="1"/>
  <c r="D117" i="34"/>
  <c r="E117" i="1"/>
  <c r="E117" i="34"/>
  <c r="H117" i="1"/>
  <c r="H117" i="34"/>
  <c r="D118" i="1"/>
  <c r="D118" i="34"/>
  <c r="E118" i="1"/>
  <c r="E118" i="34"/>
  <c r="H118" i="1"/>
  <c r="H118" i="34"/>
  <c r="D119" i="1"/>
  <c r="D119" i="34"/>
  <c r="E119" i="1"/>
  <c r="E119" i="34"/>
  <c r="H119" i="1"/>
  <c r="H119" i="34"/>
  <c r="D120" i="1"/>
  <c r="D120" i="34"/>
  <c r="E120" i="1"/>
  <c r="E120" i="34"/>
  <c r="H120" i="1"/>
  <c r="H120" i="34"/>
  <c r="D121" i="1"/>
  <c r="D121" i="34"/>
  <c r="E121" i="1"/>
  <c r="E121" i="34"/>
  <c r="H121" i="1"/>
  <c r="H121" i="34"/>
  <c r="D122" i="1"/>
  <c r="D122" i="34"/>
  <c r="E122" i="1"/>
  <c r="E122" i="34"/>
  <c r="H122" i="1"/>
  <c r="H122" i="34"/>
  <c r="D123" i="1"/>
  <c r="D123" i="34"/>
  <c r="E123" i="1"/>
  <c r="E123" i="34"/>
  <c r="H123" i="1"/>
  <c r="H123" i="34"/>
  <c r="D124" i="1"/>
  <c r="D124" i="34"/>
  <c r="E124" i="1"/>
  <c r="E124" i="34"/>
  <c r="H124" i="1"/>
  <c r="H124" i="34"/>
  <c r="D125" i="34"/>
  <c r="E125" i="1"/>
  <c r="E125" i="34"/>
  <c r="H125" i="1"/>
  <c r="H125" i="34"/>
  <c r="D126" i="1"/>
  <c r="D126" i="34"/>
  <c r="E126" i="1"/>
  <c r="E126" i="34"/>
  <c r="H126" i="1"/>
  <c r="H126" i="34"/>
  <c r="D127" i="1"/>
  <c r="D127" i="34"/>
  <c r="E127" i="1"/>
  <c r="E127" i="34"/>
  <c r="H127" i="1"/>
  <c r="H127" i="34"/>
  <c r="D128" i="1"/>
  <c r="D128" i="34"/>
  <c r="E128" i="1"/>
  <c r="E128" i="34"/>
  <c r="H128" i="1"/>
  <c r="H128" i="34"/>
  <c r="D129" i="1"/>
  <c r="D129" i="34"/>
  <c r="E129" i="1"/>
  <c r="E129" i="34"/>
  <c r="H129" i="1"/>
  <c r="H129" i="34"/>
  <c r="D130" i="1"/>
  <c r="D130" i="34"/>
  <c r="E130" i="1"/>
  <c r="E130" i="34"/>
  <c r="H130" i="1"/>
  <c r="H130" i="34"/>
  <c r="D131" i="1"/>
  <c r="D131" i="34"/>
  <c r="E131" i="1"/>
  <c r="E131" i="34"/>
  <c r="H131" i="1"/>
  <c r="H131" i="34"/>
  <c r="D132" i="1"/>
  <c r="D132" i="34"/>
  <c r="E132" i="1"/>
  <c r="E132" i="34"/>
  <c r="H132" i="1"/>
  <c r="H132" i="34"/>
  <c r="D133" i="1"/>
  <c r="D133" i="34"/>
  <c r="E133" i="1"/>
  <c r="E133" i="34"/>
  <c r="H133" i="1"/>
  <c r="H133" i="34"/>
  <c r="D134" i="1"/>
  <c r="D134" i="34"/>
  <c r="E134" i="1"/>
  <c r="E134" i="34"/>
  <c r="H134" i="1"/>
  <c r="H134" i="34"/>
  <c r="D135" i="1"/>
  <c r="D135" i="34"/>
  <c r="E135" i="1"/>
  <c r="E135" i="34"/>
  <c r="H135" i="1"/>
  <c r="H135" i="34"/>
  <c r="D136" i="1"/>
  <c r="D136" i="34"/>
  <c r="E136" i="1"/>
  <c r="E136" i="34"/>
  <c r="H136" i="1"/>
  <c r="H136" i="34"/>
  <c r="D137" i="1"/>
  <c r="D137" i="34"/>
  <c r="H137" i="1"/>
  <c r="H137" i="34"/>
  <c r="F101" i="1"/>
  <c r="G101" i="1"/>
  <c r="E101" i="34"/>
  <c r="F101" i="34"/>
  <c r="G101" i="34"/>
  <c r="F127" i="1"/>
  <c r="G127" i="1"/>
  <c r="F19" i="1"/>
  <c r="G19" i="1"/>
  <c r="F113" i="34"/>
  <c r="G113" i="34"/>
  <c r="F25" i="34"/>
  <c r="G25" i="34"/>
  <c r="F57" i="34"/>
  <c r="G57" i="34"/>
  <c r="F53" i="34"/>
  <c r="G53" i="34"/>
  <c r="F126" i="1"/>
  <c r="G126" i="1"/>
  <c r="F112" i="34"/>
  <c r="G112" i="34"/>
  <c r="F64" i="34"/>
  <c r="G64" i="34"/>
  <c r="F40" i="34"/>
  <c r="G40" i="34"/>
  <c r="F77" i="34"/>
  <c r="G77" i="34"/>
  <c r="F33" i="34"/>
  <c r="G33" i="34"/>
  <c r="F128" i="1"/>
  <c r="G128" i="1"/>
  <c r="F65" i="34"/>
  <c r="G65" i="34"/>
  <c r="F26" i="1"/>
  <c r="G26" i="1"/>
  <c r="F114" i="34"/>
  <c r="G114" i="34"/>
  <c r="F66" i="34"/>
  <c r="G66" i="34"/>
  <c r="F46" i="34"/>
  <c r="G46" i="34"/>
  <c r="F34" i="34"/>
  <c r="G34" i="34"/>
  <c r="F18" i="34"/>
  <c r="G18" i="34"/>
  <c r="F70" i="1"/>
  <c r="G70" i="1"/>
  <c r="F127" i="34"/>
  <c r="G127" i="34"/>
  <c r="F36" i="1"/>
  <c r="G36" i="1"/>
  <c r="F125" i="34"/>
  <c r="G125" i="34"/>
  <c r="F105" i="1"/>
  <c r="G105" i="1"/>
  <c r="F97" i="1"/>
  <c r="G97" i="1"/>
  <c r="F73" i="1"/>
  <c r="G73" i="1"/>
  <c r="F65" i="1"/>
  <c r="G65" i="1"/>
  <c r="F54" i="1"/>
  <c r="G54" i="1"/>
  <c r="F46" i="1"/>
  <c r="G46" i="1"/>
  <c r="F38" i="1"/>
  <c r="G38" i="1"/>
  <c r="F112" i="1"/>
  <c r="G112" i="1"/>
  <c r="F72" i="1"/>
  <c r="G72" i="1"/>
  <c r="F64" i="1"/>
  <c r="G64" i="1"/>
  <c r="F24" i="1"/>
  <c r="G24" i="1"/>
  <c r="F123" i="34"/>
  <c r="G123" i="34"/>
  <c r="F53" i="1"/>
  <c r="G53" i="1"/>
  <c r="F45" i="1"/>
  <c r="G45" i="1"/>
  <c r="F55" i="34"/>
  <c r="G55" i="34"/>
  <c r="F51" i="34"/>
  <c r="G51" i="34"/>
  <c r="F35" i="34"/>
  <c r="G35" i="34"/>
  <c r="F23" i="34"/>
  <c r="G23" i="34"/>
  <c r="F19" i="34"/>
  <c r="G19" i="34"/>
  <c r="F23" i="1"/>
  <c r="G23" i="1"/>
  <c r="F124" i="1"/>
  <c r="G124" i="1"/>
  <c r="F68" i="1"/>
  <c r="G68" i="1"/>
  <c r="F63" i="1"/>
  <c r="G63" i="1"/>
  <c r="F55" i="1"/>
  <c r="G55" i="1"/>
  <c r="F50" i="1"/>
  <c r="G50" i="1"/>
  <c r="F39" i="1"/>
  <c r="G39" i="1"/>
  <c r="F37" i="1"/>
  <c r="G37" i="1"/>
  <c r="F29" i="1"/>
  <c r="G29" i="1"/>
  <c r="F21" i="1"/>
  <c r="G21" i="1"/>
  <c r="F135" i="34"/>
  <c r="G135" i="34"/>
  <c r="F131" i="34"/>
  <c r="G131" i="34"/>
  <c r="F73" i="34"/>
  <c r="G73" i="34"/>
  <c r="F47" i="34"/>
  <c r="G47" i="34"/>
  <c r="F39" i="34"/>
  <c r="G39" i="34"/>
  <c r="F31" i="34"/>
  <c r="G31" i="34"/>
  <c r="F52" i="1"/>
  <c r="G52" i="1"/>
  <c r="F123" i="1"/>
  <c r="G123" i="1"/>
  <c r="F67" i="1"/>
  <c r="G67" i="1"/>
  <c r="F27" i="34"/>
  <c r="G27" i="34"/>
  <c r="F25" i="1"/>
  <c r="G25" i="1"/>
  <c r="F71" i="34"/>
  <c r="G71" i="34"/>
  <c r="F56" i="34"/>
  <c r="G56" i="34"/>
  <c r="F117" i="1"/>
  <c r="G117" i="1"/>
  <c r="F56" i="1"/>
  <c r="G56" i="1"/>
  <c r="F51" i="1"/>
  <c r="G51" i="1"/>
  <c r="F26" i="34"/>
  <c r="G26" i="34"/>
  <c r="F111" i="1"/>
  <c r="G111" i="1"/>
  <c r="F66" i="1"/>
  <c r="G66" i="1"/>
  <c r="F61" i="1"/>
  <c r="G61" i="1"/>
  <c r="F40" i="1"/>
  <c r="G40" i="1"/>
  <c r="F35" i="1"/>
  <c r="G35" i="1"/>
  <c r="F128" i="34"/>
  <c r="G128" i="34"/>
  <c r="F124" i="34"/>
  <c r="G124" i="34"/>
  <c r="F133" i="1"/>
  <c r="G133" i="1"/>
  <c r="F113" i="1"/>
  <c r="G113" i="1"/>
  <c r="F84" i="1"/>
  <c r="G84" i="1"/>
  <c r="F48" i="1"/>
  <c r="G48" i="1"/>
  <c r="F33" i="1"/>
  <c r="G33" i="1"/>
  <c r="F30" i="1"/>
  <c r="G30" i="1"/>
  <c r="F137" i="34"/>
  <c r="G137" i="34"/>
  <c r="F91" i="34"/>
  <c r="G91" i="34"/>
  <c r="F79" i="34"/>
  <c r="G79" i="34"/>
  <c r="F70" i="34"/>
  <c r="G70" i="34"/>
  <c r="F49" i="34"/>
  <c r="G49" i="34"/>
  <c r="F20" i="1"/>
  <c r="G20" i="1"/>
  <c r="F134" i="34"/>
  <c r="G134" i="34"/>
  <c r="F121" i="34"/>
  <c r="G121" i="34"/>
  <c r="F115" i="34"/>
  <c r="G115" i="34"/>
  <c r="F72" i="34"/>
  <c r="G72" i="34"/>
  <c r="F67" i="34"/>
  <c r="G67" i="34"/>
  <c r="F59" i="34"/>
  <c r="G59" i="34"/>
  <c r="F54" i="34"/>
  <c r="G54" i="34"/>
  <c r="F130" i="1"/>
  <c r="G130" i="1"/>
  <c r="F115" i="1"/>
  <c r="G115" i="1"/>
  <c r="F102" i="1"/>
  <c r="G102" i="1"/>
  <c r="F135" i="1"/>
  <c r="G135" i="1"/>
  <c r="F125" i="1"/>
  <c r="G125" i="1"/>
  <c r="F99" i="1"/>
  <c r="G99" i="1"/>
  <c r="F96" i="1"/>
  <c r="G96" i="1"/>
  <c r="F91" i="1"/>
  <c r="G91" i="1"/>
  <c r="F88" i="1"/>
  <c r="G88" i="1"/>
  <c r="F57" i="1"/>
  <c r="G57" i="1"/>
  <c r="F42" i="1"/>
  <c r="G42" i="1"/>
  <c r="F32" i="1"/>
  <c r="G32" i="1"/>
  <c r="F27" i="1"/>
  <c r="G27" i="1"/>
  <c r="F133" i="34"/>
  <c r="G133" i="34"/>
  <c r="F126" i="34"/>
  <c r="G126" i="34"/>
  <c r="F117" i="34"/>
  <c r="G117" i="34"/>
  <c r="F102" i="34"/>
  <c r="G102" i="34"/>
  <c r="F74" i="34"/>
  <c r="G74" i="34"/>
  <c r="F61" i="34"/>
  <c r="G61" i="34"/>
  <c r="F48" i="34"/>
  <c r="G48" i="34"/>
  <c r="F43" i="34"/>
  <c r="G43" i="34"/>
  <c r="F38" i="34"/>
  <c r="G38" i="34"/>
  <c r="F137" i="1"/>
  <c r="G137" i="1"/>
  <c r="F114" i="1"/>
  <c r="G114" i="1"/>
  <c r="F109" i="1"/>
  <c r="G109" i="1"/>
  <c r="F82" i="1"/>
  <c r="G82" i="1"/>
  <c r="F69" i="1"/>
  <c r="G69" i="1"/>
  <c r="F59" i="1"/>
  <c r="G59" i="1"/>
  <c r="F49" i="1"/>
  <c r="G49" i="1"/>
  <c r="F44" i="1"/>
  <c r="G44" i="1"/>
  <c r="F34" i="1"/>
  <c r="G34" i="1"/>
  <c r="F130" i="34"/>
  <c r="G130" i="34"/>
  <c r="F116" i="34"/>
  <c r="G116" i="34"/>
  <c r="F111" i="34"/>
  <c r="G111" i="34"/>
  <c r="F50" i="34"/>
  <c r="G50" i="34"/>
  <c r="F45" i="34"/>
  <c r="G45" i="34"/>
  <c r="F32" i="34"/>
  <c r="G32" i="34"/>
  <c r="F24" i="34"/>
  <c r="G24" i="34"/>
  <c r="F79" i="1"/>
  <c r="G79" i="1"/>
  <c r="F71" i="1"/>
  <c r="G71" i="1"/>
  <c r="F42" i="34"/>
  <c r="G42" i="34"/>
  <c r="F29" i="34"/>
  <c r="G29" i="34"/>
  <c r="F21" i="34"/>
  <c r="G21" i="34"/>
  <c r="F131" i="1"/>
  <c r="G131" i="1"/>
  <c r="F116" i="1"/>
  <c r="G116" i="1"/>
  <c r="F28" i="1"/>
  <c r="G28" i="1"/>
  <c r="F30" i="34"/>
  <c r="G30" i="34"/>
  <c r="F41" i="1"/>
  <c r="G41" i="1"/>
  <c r="F41" i="34"/>
  <c r="G41" i="34"/>
  <c r="F37" i="34"/>
  <c r="G37" i="34"/>
  <c r="F43" i="1"/>
  <c r="G43" i="1"/>
  <c r="F60" i="1"/>
  <c r="G60" i="1"/>
  <c r="F63" i="34"/>
  <c r="G63" i="34"/>
  <c r="F62" i="34"/>
  <c r="G62" i="34"/>
  <c r="F62" i="1"/>
  <c r="G62" i="1"/>
  <c r="F69" i="34"/>
  <c r="G69" i="34"/>
  <c r="F119" i="34"/>
  <c r="G119" i="34"/>
  <c r="F118" i="1"/>
  <c r="G118" i="1"/>
  <c r="F136" i="1"/>
  <c r="G136" i="1"/>
  <c r="F136" i="34"/>
  <c r="G136" i="34"/>
  <c r="F134" i="1"/>
  <c r="G134" i="1"/>
  <c r="F132" i="1"/>
  <c r="G132" i="1"/>
  <c r="F129" i="1"/>
  <c r="G129" i="1"/>
  <c r="F129" i="34"/>
  <c r="G129" i="34"/>
  <c r="F122" i="34"/>
  <c r="G122" i="34"/>
  <c r="F122" i="1"/>
  <c r="G122" i="1"/>
  <c r="F121" i="1"/>
  <c r="G121" i="1"/>
  <c r="F120" i="1"/>
  <c r="G120" i="1"/>
  <c r="F120" i="34"/>
  <c r="G120" i="34"/>
  <c r="F118" i="34"/>
  <c r="G118" i="34"/>
  <c r="F58" i="34"/>
  <c r="G58" i="34"/>
  <c r="F58" i="1"/>
  <c r="G58" i="1"/>
  <c r="F18" i="1"/>
  <c r="G18" i="1"/>
  <c r="F22" i="1"/>
  <c r="G22" i="1"/>
  <c r="F22" i="34"/>
  <c r="G22" i="34"/>
  <c r="F110" i="1"/>
  <c r="G110" i="1"/>
  <c r="F110" i="34"/>
  <c r="G110" i="34"/>
  <c r="F109" i="34"/>
  <c r="G109" i="34"/>
  <c r="F108" i="1"/>
  <c r="G108" i="1"/>
  <c r="F107" i="1"/>
  <c r="G107" i="1"/>
  <c r="F107" i="34"/>
  <c r="G107" i="34"/>
  <c r="F106" i="34"/>
  <c r="G106" i="34"/>
  <c r="F105" i="34"/>
  <c r="G105" i="34"/>
  <c r="F104" i="1"/>
  <c r="G104" i="1"/>
  <c r="F104" i="34"/>
  <c r="G104" i="34"/>
  <c r="F103" i="34"/>
  <c r="G103" i="34"/>
  <c r="F100" i="1"/>
  <c r="G100" i="1"/>
  <c r="F99" i="34"/>
  <c r="G99" i="34"/>
  <c r="F98" i="34"/>
  <c r="G98" i="34"/>
  <c r="F97" i="34"/>
  <c r="G97" i="34"/>
  <c r="F96" i="34"/>
  <c r="G96" i="34"/>
  <c r="F95" i="34"/>
  <c r="G95" i="34"/>
  <c r="F94" i="1"/>
  <c r="G94" i="1"/>
  <c r="F94" i="34"/>
  <c r="G94" i="34"/>
  <c r="F93" i="1"/>
  <c r="G93" i="1"/>
  <c r="F93" i="34"/>
  <c r="G93" i="34"/>
  <c r="F92" i="1"/>
  <c r="G92" i="1"/>
  <c r="F88" i="34"/>
  <c r="G88" i="34"/>
  <c r="F90" i="34"/>
  <c r="G90" i="34"/>
  <c r="F86" i="1"/>
  <c r="G86" i="1"/>
  <c r="F87" i="34"/>
  <c r="G87" i="34"/>
  <c r="F89" i="34"/>
  <c r="G89" i="34"/>
  <c r="F86" i="34"/>
  <c r="G86" i="34"/>
  <c r="F89" i="1"/>
  <c r="G89" i="1"/>
  <c r="F95" i="1"/>
  <c r="G95" i="1"/>
  <c r="F92" i="34"/>
  <c r="G92" i="34"/>
  <c r="F87" i="1"/>
  <c r="G87" i="1"/>
  <c r="F85" i="1"/>
  <c r="G85" i="1"/>
  <c r="F85" i="34"/>
  <c r="G85" i="34"/>
  <c r="F119" i="1"/>
  <c r="G119" i="1"/>
  <c r="F90" i="1"/>
  <c r="G90" i="1"/>
  <c r="F31" i="1"/>
  <c r="G31" i="1"/>
  <c r="F84" i="34"/>
  <c r="G84" i="34"/>
  <c r="F60" i="34"/>
  <c r="G60" i="34"/>
  <c r="F44" i="34"/>
  <c r="G44" i="34"/>
  <c r="F28" i="34"/>
  <c r="G28" i="34"/>
  <c r="F74" i="1"/>
  <c r="G74" i="1"/>
  <c r="F132" i="34"/>
  <c r="G132" i="34"/>
  <c r="F47" i="1"/>
  <c r="G47" i="1"/>
  <c r="F68" i="34"/>
  <c r="G68" i="34"/>
  <c r="F52" i="34"/>
  <c r="G52" i="34"/>
  <c r="F36" i="34"/>
  <c r="G36" i="34"/>
  <c r="F20" i="34"/>
  <c r="G20" i="34"/>
  <c r="F75" i="34"/>
  <c r="G75" i="34"/>
  <c r="F75" i="1"/>
  <c r="G75" i="1"/>
  <c r="F76" i="1"/>
  <c r="G76" i="1"/>
  <c r="F77" i="1"/>
  <c r="G77" i="1"/>
  <c r="F83" i="34"/>
  <c r="G83" i="34"/>
  <c r="F83" i="1"/>
  <c r="G83" i="1"/>
  <c r="F82" i="34"/>
  <c r="G82" i="34"/>
  <c r="F80" i="34"/>
  <c r="G80" i="34"/>
  <c r="F81" i="1"/>
  <c r="G81" i="1"/>
  <c r="F81" i="34"/>
  <c r="G81" i="34"/>
  <c r="F80" i="1"/>
  <c r="G80" i="1"/>
  <c r="F76" i="34"/>
  <c r="G76" i="34"/>
  <c r="F78" i="1"/>
  <c r="G78" i="1"/>
  <c r="F78" i="34"/>
  <c r="G78" i="34"/>
  <c r="F100" i="34"/>
  <c r="G100" i="34"/>
  <c r="F106" i="1"/>
  <c r="G106" i="1"/>
  <c r="F108" i="34"/>
  <c r="G108" i="34"/>
  <c r="F103" i="1"/>
  <c r="G103" i="1"/>
  <c r="F98" i="1"/>
  <c r="G98" i="1"/>
  <c r="F18" i="3"/>
  <c r="G18" i="3"/>
  <c r="I18" i="3"/>
  <c r="J18" i="3"/>
  <c r="F19" i="3"/>
  <c r="G19" i="3"/>
  <c r="I19" i="3"/>
  <c r="F20" i="3"/>
  <c r="G20" i="3"/>
  <c r="I20" i="3"/>
  <c r="F21" i="3"/>
  <c r="G21" i="3"/>
  <c r="I21" i="3"/>
  <c r="F22" i="3"/>
  <c r="G22" i="3"/>
  <c r="I22" i="3"/>
  <c r="J22" i="3" s="1"/>
  <c r="F23" i="3"/>
  <c r="G23" i="3"/>
  <c r="I23" i="3"/>
  <c r="F24" i="3"/>
  <c r="G24" i="3"/>
  <c r="I24" i="3"/>
  <c r="F25" i="3"/>
  <c r="G25" i="3"/>
  <c r="I25" i="3"/>
  <c r="F26" i="3"/>
  <c r="G26" i="3"/>
  <c r="I26" i="3"/>
  <c r="J26" i="3"/>
  <c r="F27" i="3"/>
  <c r="G27" i="3"/>
  <c r="I27" i="3"/>
  <c r="F28" i="3"/>
  <c r="G28" i="3"/>
  <c r="I28" i="3"/>
  <c r="J28" i="3" s="1"/>
  <c r="F29" i="3"/>
  <c r="G29" i="3"/>
  <c r="I29" i="3"/>
  <c r="F30" i="3"/>
  <c r="G30" i="3"/>
  <c r="I30" i="3"/>
  <c r="F31" i="3"/>
  <c r="G31" i="3"/>
  <c r="I31" i="3"/>
  <c r="F32" i="3"/>
  <c r="G32" i="3"/>
  <c r="I32" i="3"/>
  <c r="F33" i="3"/>
  <c r="G33" i="3"/>
  <c r="I33" i="3"/>
  <c r="F34" i="3"/>
  <c r="G34" i="3"/>
  <c r="I34" i="3"/>
  <c r="J34" i="3" s="1"/>
  <c r="F35" i="3"/>
  <c r="G35" i="3"/>
  <c r="I35" i="3"/>
  <c r="F36" i="3"/>
  <c r="G36" i="3"/>
  <c r="I36" i="3"/>
  <c r="J36" i="3" s="1"/>
  <c r="F37" i="3"/>
  <c r="G37" i="3"/>
  <c r="I37" i="3"/>
  <c r="F38" i="3"/>
  <c r="G38" i="3"/>
  <c r="I38" i="3"/>
  <c r="F39" i="3"/>
  <c r="G39" i="3"/>
  <c r="I39" i="3"/>
  <c r="F40" i="3"/>
  <c r="G40" i="3"/>
  <c r="I40" i="3"/>
  <c r="F41" i="3"/>
  <c r="G41" i="3"/>
  <c r="I41" i="3"/>
  <c r="F42" i="3"/>
  <c r="G42" i="3"/>
  <c r="I42" i="3"/>
  <c r="F43" i="3"/>
  <c r="G43" i="3"/>
  <c r="I43" i="3"/>
  <c r="F44" i="3"/>
  <c r="G44" i="3"/>
  <c r="I44" i="3"/>
  <c r="F45" i="3"/>
  <c r="G45" i="3"/>
  <c r="I45" i="3"/>
  <c r="F46" i="3"/>
  <c r="G46" i="3"/>
  <c r="I46" i="3"/>
  <c r="F47" i="3"/>
  <c r="G47" i="3"/>
  <c r="I47" i="3"/>
  <c r="F48" i="3"/>
  <c r="G48" i="3"/>
  <c r="I48" i="3"/>
  <c r="F49" i="3"/>
  <c r="G49" i="3"/>
  <c r="I49" i="3"/>
  <c r="F50" i="3"/>
  <c r="G50" i="3"/>
  <c r="I50" i="3"/>
  <c r="F51" i="3"/>
  <c r="G51" i="3"/>
  <c r="I51" i="3"/>
  <c r="F52" i="3"/>
  <c r="G52" i="3"/>
  <c r="I52" i="3"/>
  <c r="J52" i="3" s="1"/>
  <c r="F53" i="3"/>
  <c r="G53" i="3"/>
  <c r="I53" i="3"/>
  <c r="F54" i="3"/>
  <c r="G54" i="3"/>
  <c r="I54" i="3"/>
  <c r="F55" i="3"/>
  <c r="G55" i="3"/>
  <c r="I55" i="3"/>
  <c r="F56" i="3"/>
  <c r="G56" i="3"/>
  <c r="I56" i="3"/>
  <c r="J56" i="3" s="1"/>
  <c r="F57" i="3"/>
  <c r="G57" i="3"/>
  <c r="I57" i="3"/>
  <c r="F58" i="3"/>
  <c r="G58" i="3"/>
  <c r="I58" i="3"/>
  <c r="F59" i="3"/>
  <c r="G59" i="3"/>
  <c r="I59" i="3"/>
  <c r="F60" i="3"/>
  <c r="G60" i="3"/>
  <c r="I60" i="3"/>
  <c r="F61" i="3"/>
  <c r="G61" i="3"/>
  <c r="I61" i="3"/>
  <c r="F62" i="3"/>
  <c r="G62" i="3"/>
  <c r="I62" i="3"/>
  <c r="F63" i="3"/>
  <c r="G63" i="3"/>
  <c r="I63" i="3"/>
  <c r="F64" i="3"/>
  <c r="G64" i="3"/>
  <c r="I64" i="3"/>
  <c r="F65" i="3"/>
  <c r="G65" i="3"/>
  <c r="I65" i="3"/>
  <c r="F66" i="3"/>
  <c r="G66" i="3"/>
  <c r="I66" i="3"/>
  <c r="J66" i="3" s="1"/>
  <c r="F67" i="3"/>
  <c r="G67" i="3"/>
  <c r="I67" i="3"/>
  <c r="F68" i="3"/>
  <c r="G68" i="3"/>
  <c r="I68" i="3"/>
  <c r="F69" i="3"/>
  <c r="G69" i="3"/>
  <c r="I69" i="3"/>
  <c r="F70" i="3"/>
  <c r="G70" i="3"/>
  <c r="I70" i="3"/>
  <c r="F71" i="3"/>
  <c r="G71" i="3"/>
  <c r="I71" i="3"/>
  <c r="F72" i="3"/>
  <c r="G72" i="3"/>
  <c r="I72" i="3"/>
  <c r="J72" i="3" s="1"/>
  <c r="F73" i="3"/>
  <c r="G73" i="3"/>
  <c r="I73" i="3"/>
  <c r="F74" i="3"/>
  <c r="G74" i="3"/>
  <c r="I74" i="3"/>
  <c r="F75" i="3"/>
  <c r="G75" i="3"/>
  <c r="I75" i="3"/>
  <c r="G76" i="3"/>
  <c r="I76" i="3"/>
  <c r="F77" i="3"/>
  <c r="G77" i="3"/>
  <c r="I77" i="3"/>
  <c r="F78" i="3"/>
  <c r="G78" i="3"/>
  <c r="I78" i="3"/>
  <c r="F79" i="3"/>
  <c r="G79" i="3"/>
  <c r="I79" i="3"/>
  <c r="F80" i="3"/>
  <c r="G80" i="3"/>
  <c r="I80" i="3"/>
  <c r="F81" i="3"/>
  <c r="G81" i="3"/>
  <c r="I81" i="3"/>
  <c r="F82" i="3"/>
  <c r="G82" i="3"/>
  <c r="I82" i="3"/>
  <c r="F83" i="3"/>
  <c r="G83" i="3"/>
  <c r="I83" i="3"/>
  <c r="F84" i="3"/>
  <c r="G84" i="3"/>
  <c r="I84" i="3"/>
  <c r="F85" i="3"/>
  <c r="G85" i="3"/>
  <c r="I85" i="3"/>
  <c r="F86" i="3"/>
  <c r="G86" i="3"/>
  <c r="I86" i="3"/>
  <c r="F87" i="3"/>
  <c r="G87" i="3"/>
  <c r="I87" i="3"/>
  <c r="F88" i="3"/>
  <c r="G88" i="3"/>
  <c r="I88" i="3"/>
  <c r="F89" i="3"/>
  <c r="G89" i="3"/>
  <c r="I89" i="3"/>
  <c r="F90" i="3"/>
  <c r="G90" i="3"/>
  <c r="I90" i="3"/>
  <c r="F91" i="3"/>
  <c r="G91" i="3"/>
  <c r="I91" i="3"/>
  <c r="F92" i="3"/>
  <c r="G92" i="3"/>
  <c r="I92" i="3"/>
  <c r="F93" i="3"/>
  <c r="G93" i="3"/>
  <c r="I93" i="3"/>
  <c r="F94" i="3"/>
  <c r="G94" i="3"/>
  <c r="I94" i="3"/>
  <c r="F95" i="3"/>
  <c r="G95" i="3"/>
  <c r="I95" i="3"/>
  <c r="F96" i="3"/>
  <c r="G96" i="3"/>
  <c r="I96" i="3"/>
  <c r="F97" i="3"/>
  <c r="G97" i="3"/>
  <c r="I97" i="3"/>
  <c r="F98" i="3"/>
  <c r="G98" i="3"/>
  <c r="I98" i="3"/>
  <c r="F99" i="3"/>
  <c r="G99" i="3"/>
  <c r="I99" i="3"/>
  <c r="F100" i="3"/>
  <c r="G100" i="3"/>
  <c r="I100" i="3"/>
  <c r="F101" i="3"/>
  <c r="G101" i="3"/>
  <c r="I101" i="3"/>
  <c r="F102" i="3"/>
  <c r="G102" i="3"/>
  <c r="I102" i="3"/>
  <c r="F103" i="3"/>
  <c r="G103" i="3"/>
  <c r="I103" i="3"/>
  <c r="F104" i="3"/>
  <c r="G104" i="3"/>
  <c r="I104" i="3"/>
  <c r="F105" i="3"/>
  <c r="G105" i="3"/>
  <c r="I105" i="3"/>
  <c r="F106" i="3"/>
  <c r="G106" i="3"/>
  <c r="I106" i="3"/>
  <c r="F107" i="3"/>
  <c r="G107" i="3"/>
  <c r="I107" i="3"/>
  <c r="F108" i="3"/>
  <c r="G108" i="3"/>
  <c r="I108" i="3"/>
  <c r="F109" i="3"/>
  <c r="G109" i="3"/>
  <c r="I109" i="3"/>
  <c r="F110" i="3"/>
  <c r="G110" i="3"/>
  <c r="I110" i="3"/>
  <c r="F111" i="3"/>
  <c r="G111" i="3"/>
  <c r="I111" i="3"/>
  <c r="F112" i="3"/>
  <c r="G112" i="3"/>
  <c r="I112" i="3"/>
  <c r="F113" i="3"/>
  <c r="G113" i="3"/>
  <c r="I113" i="3"/>
  <c r="F114" i="3"/>
  <c r="G114" i="3"/>
  <c r="I114" i="3"/>
  <c r="F115" i="3"/>
  <c r="G115" i="3"/>
  <c r="I115" i="3"/>
  <c r="F116" i="3"/>
  <c r="G116" i="3"/>
  <c r="I116" i="3"/>
  <c r="F117" i="3"/>
  <c r="G117" i="3"/>
  <c r="I117" i="3"/>
  <c r="F118" i="3"/>
  <c r="G118" i="3"/>
  <c r="I118" i="3"/>
  <c r="F119" i="3"/>
  <c r="G119" i="3"/>
  <c r="I119" i="3"/>
  <c r="F120" i="3"/>
  <c r="G120" i="3"/>
  <c r="I120" i="3"/>
  <c r="F121" i="3"/>
  <c r="G121" i="3"/>
  <c r="I121" i="3"/>
  <c r="F122" i="3"/>
  <c r="G122" i="3"/>
  <c r="I122" i="3"/>
  <c r="G123" i="3"/>
  <c r="I123" i="3"/>
  <c r="G124" i="3"/>
  <c r="I124" i="3"/>
  <c r="G125" i="3"/>
  <c r="G126" i="3"/>
  <c r="I126" i="3"/>
  <c r="G127" i="3"/>
  <c r="I127" i="3"/>
  <c r="G128" i="3"/>
  <c r="I128" i="3"/>
  <c r="G129" i="3"/>
  <c r="I129" i="3"/>
  <c r="G130" i="3"/>
  <c r="I130" i="3"/>
  <c r="I131" i="3"/>
  <c r="I132" i="3"/>
  <c r="G133" i="3"/>
  <c r="I133" i="3"/>
  <c r="G134" i="3"/>
  <c r="I134" i="3"/>
  <c r="G135" i="3"/>
  <c r="I135" i="3"/>
  <c r="G136" i="3"/>
  <c r="I136" i="3"/>
  <c r="G137" i="3"/>
  <c r="I137" i="3"/>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70" i="72"/>
  <c r="I71" i="72"/>
  <c r="I72" i="72"/>
  <c r="I73" i="72"/>
  <c r="I74" i="72"/>
  <c r="I75" i="72"/>
  <c r="J75" i="72"/>
  <c r="I76" i="72"/>
  <c r="J76" i="72"/>
  <c r="I77" i="72"/>
  <c r="J77" i="72"/>
  <c r="I78" i="72"/>
  <c r="J78" i="72"/>
  <c r="I79" i="72"/>
  <c r="J79" i="72"/>
  <c r="I80" i="72"/>
  <c r="J80" i="72"/>
  <c r="I81" i="72"/>
  <c r="J81" i="72"/>
  <c r="I82" i="72"/>
  <c r="J82" i="72"/>
  <c r="I83" i="72"/>
  <c r="J83" i="72"/>
  <c r="I84" i="72"/>
  <c r="J84" i="72"/>
  <c r="I85" i="72"/>
  <c r="I86" i="72"/>
  <c r="I87" i="72"/>
  <c r="I88" i="72"/>
  <c r="I89" i="72"/>
  <c r="I90" i="72"/>
  <c r="I91" i="72"/>
  <c r="I92" i="72"/>
  <c r="I93" i="72"/>
  <c r="I94" i="72"/>
  <c r="I95" i="72"/>
  <c r="I96" i="72"/>
  <c r="I97" i="72"/>
  <c r="J97" i="72"/>
  <c r="I98" i="72"/>
  <c r="J98" i="72"/>
  <c r="I99" i="72"/>
  <c r="J99" i="72"/>
  <c r="I100" i="72"/>
  <c r="J100" i="72"/>
  <c r="I101" i="72"/>
  <c r="J101" i="72"/>
  <c r="I102" i="72"/>
  <c r="J102" i="72"/>
  <c r="I103" i="72"/>
  <c r="J103" i="72"/>
  <c r="I104" i="72"/>
  <c r="J104" i="72"/>
  <c r="I105" i="72"/>
  <c r="J105" i="72"/>
  <c r="I106" i="72"/>
  <c r="J106" i="72"/>
  <c r="I107" i="72"/>
  <c r="J107" i="72"/>
  <c r="I108" i="72"/>
  <c r="J108" i="72"/>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F22" i="72"/>
  <c r="G22" i="72"/>
  <c r="F23" i="72"/>
  <c r="G23" i="72"/>
  <c r="F24" i="72"/>
  <c r="G24" i="72"/>
  <c r="F25" i="72"/>
  <c r="G25" i="72"/>
  <c r="F26" i="72"/>
  <c r="G26" i="72"/>
  <c r="F27" i="72"/>
  <c r="G27" i="72"/>
  <c r="F28" i="72"/>
  <c r="G28" i="72"/>
  <c r="F29" i="72"/>
  <c r="G29" i="72"/>
  <c r="F30" i="72"/>
  <c r="G30" i="72"/>
  <c r="F31" i="72"/>
  <c r="G31" i="72"/>
  <c r="F32" i="72"/>
  <c r="G32" i="72"/>
  <c r="F33" i="72"/>
  <c r="G33" i="72"/>
  <c r="F34" i="72"/>
  <c r="G34" i="72"/>
  <c r="F35" i="72"/>
  <c r="G35" i="72"/>
  <c r="F36" i="72"/>
  <c r="G36" i="72"/>
  <c r="F37" i="72"/>
  <c r="G37" i="72"/>
  <c r="F38" i="72"/>
  <c r="G38" i="72"/>
  <c r="F39" i="72"/>
  <c r="G39" i="72"/>
  <c r="F40" i="72"/>
  <c r="G40" i="72"/>
  <c r="F41" i="72"/>
  <c r="G41" i="72"/>
  <c r="F42" i="72"/>
  <c r="G42" i="72"/>
  <c r="F43" i="72"/>
  <c r="G43" i="72"/>
  <c r="F44" i="72"/>
  <c r="G44" i="72"/>
  <c r="F45" i="72"/>
  <c r="G45" i="72"/>
  <c r="F46" i="72"/>
  <c r="G46" i="72"/>
  <c r="F47" i="72"/>
  <c r="G47" i="72"/>
  <c r="F48" i="72"/>
  <c r="G48" i="72"/>
  <c r="F49" i="72"/>
  <c r="G49" i="72"/>
  <c r="F50" i="72"/>
  <c r="G50" i="72"/>
  <c r="F51" i="72"/>
  <c r="G51" i="72"/>
  <c r="F52" i="72"/>
  <c r="G52" i="72"/>
  <c r="F53" i="72"/>
  <c r="G53" i="72"/>
  <c r="F54" i="72"/>
  <c r="G54" i="72"/>
  <c r="F55" i="72"/>
  <c r="G55" i="72"/>
  <c r="F56" i="72"/>
  <c r="G56" i="72"/>
  <c r="F57" i="72"/>
  <c r="G57" i="72"/>
  <c r="F58" i="72"/>
  <c r="G58" i="72"/>
  <c r="F59" i="72"/>
  <c r="G59" i="72"/>
  <c r="F60" i="72"/>
  <c r="G60" i="72"/>
  <c r="F61" i="72"/>
  <c r="G61" i="72"/>
  <c r="F62" i="72"/>
  <c r="G62" i="72"/>
  <c r="F63" i="72"/>
  <c r="G63" i="72"/>
  <c r="G64" i="72"/>
  <c r="G66" i="72"/>
  <c r="G67" i="72"/>
  <c r="G68" i="72"/>
  <c r="G69" i="72"/>
  <c r="F70" i="72"/>
  <c r="G70" i="72"/>
  <c r="F71" i="72"/>
  <c r="G71" i="72"/>
  <c r="F72" i="72"/>
  <c r="G72" i="72"/>
  <c r="F73" i="72"/>
  <c r="G73" i="72"/>
  <c r="F74" i="72"/>
  <c r="G74" i="72"/>
  <c r="F75" i="72"/>
  <c r="G75" i="72"/>
  <c r="F76" i="72"/>
  <c r="G76" i="72"/>
  <c r="F77" i="72"/>
  <c r="G77" i="72"/>
  <c r="F78" i="72"/>
  <c r="G78" i="72"/>
  <c r="F79" i="72"/>
  <c r="G79" i="72"/>
  <c r="F80" i="72"/>
  <c r="G80" i="72"/>
  <c r="F81" i="72"/>
  <c r="G81" i="72"/>
  <c r="F82" i="72"/>
  <c r="G82" i="72"/>
  <c r="F83" i="72"/>
  <c r="G83" i="72"/>
  <c r="F84" i="72"/>
  <c r="G84" i="72"/>
  <c r="F85" i="72"/>
  <c r="G85" i="72"/>
  <c r="F86" i="72"/>
  <c r="G86" i="72"/>
  <c r="F87" i="72"/>
  <c r="G87" i="72"/>
  <c r="F88" i="72"/>
  <c r="G88" i="72"/>
  <c r="F89" i="72"/>
  <c r="G89" i="72"/>
  <c r="F90" i="72"/>
  <c r="G90" i="72"/>
  <c r="F91" i="72"/>
  <c r="G91" i="72"/>
  <c r="F92" i="72"/>
  <c r="G92" i="72"/>
  <c r="F93" i="72"/>
  <c r="G93" i="72"/>
  <c r="F94" i="72"/>
  <c r="G94" i="72"/>
  <c r="F95" i="72"/>
  <c r="G95" i="72"/>
  <c r="F96" i="72"/>
  <c r="G96" i="72"/>
  <c r="F97" i="72"/>
  <c r="G97" i="72"/>
  <c r="F98" i="72"/>
  <c r="G98" i="72"/>
  <c r="F99" i="72"/>
  <c r="G99" i="72"/>
  <c r="F100" i="72"/>
  <c r="G100" i="72"/>
  <c r="F101" i="72"/>
  <c r="G101" i="72"/>
  <c r="F102" i="72"/>
  <c r="G102" i="72"/>
  <c r="F103" i="72"/>
  <c r="G103" i="72"/>
  <c r="F104" i="72"/>
  <c r="G104" i="72"/>
  <c r="F105" i="72"/>
  <c r="G105" i="72"/>
  <c r="F106" i="72"/>
  <c r="G106" i="72"/>
  <c r="F107" i="72"/>
  <c r="G107" i="72"/>
  <c r="F108" i="72"/>
  <c r="G108" i="72"/>
  <c r="F109" i="72"/>
  <c r="G109" i="72"/>
  <c r="F110" i="72"/>
  <c r="G110" i="72"/>
  <c r="F111" i="72"/>
  <c r="G111" i="72"/>
  <c r="F112" i="72"/>
  <c r="G112" i="72"/>
  <c r="F113" i="72"/>
  <c r="G113" i="72"/>
  <c r="F114" i="72"/>
  <c r="G114" i="72"/>
  <c r="F115" i="72"/>
  <c r="G115" i="72"/>
  <c r="F116" i="72"/>
  <c r="G116" i="72"/>
  <c r="F117" i="72"/>
  <c r="G117" i="72"/>
  <c r="F118" i="72"/>
  <c r="G118" i="72"/>
  <c r="F119" i="72"/>
  <c r="G119" i="72"/>
  <c r="F120" i="72"/>
  <c r="G120" i="72"/>
  <c r="F121" i="72"/>
  <c r="G121" i="72"/>
  <c r="F122" i="72"/>
  <c r="G122" i="72"/>
  <c r="F123" i="72"/>
  <c r="G123" i="72"/>
  <c r="F124" i="72"/>
  <c r="G124" i="72"/>
  <c r="F125" i="72"/>
  <c r="G125" i="72"/>
  <c r="F126" i="72"/>
  <c r="G126" i="72"/>
  <c r="F127" i="72"/>
  <c r="G127" i="72"/>
  <c r="F128" i="72"/>
  <c r="G128" i="72"/>
  <c r="F129" i="72"/>
  <c r="G129" i="72"/>
  <c r="F130" i="72"/>
  <c r="G130" i="72"/>
  <c r="F131" i="72"/>
  <c r="G131" i="72"/>
  <c r="F132" i="72"/>
  <c r="G132" i="72"/>
  <c r="F133" i="72"/>
  <c r="G133" i="72"/>
  <c r="F134" i="72"/>
  <c r="G134" i="72"/>
  <c r="F135" i="72"/>
  <c r="G135" i="72"/>
  <c r="F136" i="72"/>
  <c r="G136" i="72"/>
  <c r="F137" i="72"/>
  <c r="G137" i="72"/>
  <c r="F21" i="72"/>
  <c r="G21" i="72"/>
  <c r="F18" i="72"/>
  <c r="G18" i="72"/>
  <c r="F19" i="72"/>
  <c r="G19" i="72"/>
  <c r="F20" i="72"/>
  <c r="G20" i="72"/>
  <c r="J136" i="72"/>
  <c r="I136" i="1"/>
  <c r="J120" i="72"/>
  <c r="I120" i="1"/>
  <c r="J112" i="72"/>
  <c r="I112" i="1"/>
  <c r="J88" i="72"/>
  <c r="I88" i="1"/>
  <c r="J72" i="72"/>
  <c r="I72" i="1"/>
  <c r="I57" i="1"/>
  <c r="J41" i="72"/>
  <c r="I41" i="1"/>
  <c r="J18" i="72"/>
  <c r="I18" i="1"/>
  <c r="J131" i="72"/>
  <c r="I131" i="1"/>
  <c r="J123" i="72"/>
  <c r="I123" i="1"/>
  <c r="J115" i="72"/>
  <c r="I115" i="1"/>
  <c r="J91" i="72"/>
  <c r="I91" i="1"/>
  <c r="J67" i="72"/>
  <c r="I67" i="1"/>
  <c r="J59" i="72"/>
  <c r="I59" i="1"/>
  <c r="J52" i="72"/>
  <c r="I52" i="1"/>
  <c r="J44" i="72"/>
  <c r="I44" i="1"/>
  <c r="J36" i="72"/>
  <c r="I36" i="1"/>
  <c r="J28" i="72"/>
  <c r="I28" i="1"/>
  <c r="I21" i="1"/>
  <c r="J130" i="72"/>
  <c r="I130" i="1"/>
  <c r="J122" i="72"/>
  <c r="I122" i="1"/>
  <c r="J114" i="72"/>
  <c r="I114" i="1"/>
  <c r="J90" i="72"/>
  <c r="I90" i="1"/>
  <c r="J74" i="72"/>
  <c r="I74" i="1"/>
  <c r="J66" i="72"/>
  <c r="I66" i="1"/>
  <c r="J58" i="72"/>
  <c r="I58" i="1"/>
  <c r="J51" i="72"/>
  <c r="I51" i="1"/>
  <c r="J43" i="72"/>
  <c r="I43" i="1"/>
  <c r="J35" i="72"/>
  <c r="I35" i="1"/>
  <c r="J27" i="72"/>
  <c r="I27" i="1"/>
  <c r="J137" i="72"/>
  <c r="I137" i="1"/>
  <c r="J129" i="72"/>
  <c r="I129" i="1"/>
  <c r="J121" i="72"/>
  <c r="I121" i="1"/>
  <c r="J113" i="72"/>
  <c r="I113" i="1"/>
  <c r="J89" i="72"/>
  <c r="I89" i="1"/>
  <c r="J73" i="72"/>
  <c r="I73" i="1"/>
  <c r="J65" i="72"/>
  <c r="I65" i="1"/>
  <c r="J57" i="72"/>
  <c r="J50" i="72"/>
  <c r="I50" i="1"/>
  <c r="J42" i="72"/>
  <c r="I42" i="1"/>
  <c r="J34" i="72"/>
  <c r="I34" i="1"/>
  <c r="J26" i="72"/>
  <c r="I26" i="1"/>
  <c r="J19" i="72"/>
  <c r="I19" i="1"/>
  <c r="J128" i="72"/>
  <c r="I128" i="1"/>
  <c r="J96" i="72"/>
  <c r="I96" i="1"/>
  <c r="J135" i="72"/>
  <c r="I135" i="1"/>
  <c r="J127" i="72"/>
  <c r="I127" i="1"/>
  <c r="J111" i="72"/>
  <c r="I111" i="1"/>
  <c r="J95" i="72"/>
  <c r="I95" i="1"/>
  <c r="J63" i="72"/>
  <c r="I63" i="1"/>
  <c r="J48" i="72"/>
  <c r="I48" i="1"/>
  <c r="J40" i="72"/>
  <c r="I40" i="1"/>
  <c r="J32" i="72"/>
  <c r="I32" i="1"/>
  <c r="J126" i="72"/>
  <c r="I126" i="1"/>
  <c r="J47" i="72"/>
  <c r="I47" i="1"/>
  <c r="J125" i="72"/>
  <c r="I125" i="1"/>
  <c r="J117" i="72"/>
  <c r="I117" i="1"/>
  <c r="J93" i="72"/>
  <c r="I93" i="1"/>
  <c r="J85" i="72"/>
  <c r="I85" i="1"/>
  <c r="J69" i="72"/>
  <c r="I69" i="1"/>
  <c r="J61" i="72"/>
  <c r="I61" i="1"/>
  <c r="J54" i="72"/>
  <c r="I54" i="1"/>
  <c r="J38" i="72"/>
  <c r="I38" i="1"/>
  <c r="J30" i="72"/>
  <c r="I30" i="1"/>
  <c r="J22" i="72"/>
  <c r="I22" i="1"/>
  <c r="J64" i="72"/>
  <c r="I64" i="1"/>
  <c r="J49" i="72"/>
  <c r="I49" i="1"/>
  <c r="J33" i="72"/>
  <c r="I33" i="1"/>
  <c r="J25" i="72"/>
  <c r="I25" i="1"/>
  <c r="J119" i="72"/>
  <c r="I119" i="1"/>
  <c r="I87" i="1"/>
  <c r="J71" i="72"/>
  <c r="I71" i="1"/>
  <c r="J56" i="72"/>
  <c r="I56" i="1"/>
  <c r="J24" i="72"/>
  <c r="I24" i="1"/>
  <c r="J134" i="72"/>
  <c r="I134" i="1"/>
  <c r="J118" i="72"/>
  <c r="I118" i="1"/>
  <c r="J110" i="72"/>
  <c r="I110" i="1"/>
  <c r="J94" i="72"/>
  <c r="I94" i="1"/>
  <c r="J86" i="72"/>
  <c r="I86" i="1"/>
  <c r="J70" i="72"/>
  <c r="I70" i="1"/>
  <c r="J62" i="72"/>
  <c r="I62" i="1"/>
  <c r="J55" i="72"/>
  <c r="I55" i="1"/>
  <c r="J39" i="72"/>
  <c r="I39" i="1"/>
  <c r="J31" i="72"/>
  <c r="I31" i="1"/>
  <c r="J23" i="72"/>
  <c r="I23" i="1"/>
  <c r="J133" i="72"/>
  <c r="I133" i="1"/>
  <c r="J109" i="72"/>
  <c r="I109" i="1"/>
  <c r="J46" i="72"/>
  <c r="I46" i="1"/>
  <c r="J132" i="72"/>
  <c r="I132" i="1"/>
  <c r="J124" i="72"/>
  <c r="I124" i="1"/>
  <c r="J116" i="72"/>
  <c r="I116" i="1"/>
  <c r="J92" i="72"/>
  <c r="I92" i="1"/>
  <c r="J68" i="72"/>
  <c r="I68" i="1"/>
  <c r="J60" i="72"/>
  <c r="I60" i="1"/>
  <c r="J53" i="72"/>
  <c r="I53" i="1"/>
  <c r="J45" i="72"/>
  <c r="I45" i="1"/>
  <c r="J37" i="72"/>
  <c r="I37" i="1"/>
  <c r="J29" i="72"/>
  <c r="I29" i="1"/>
  <c r="J21" i="72"/>
  <c r="J20" i="72"/>
  <c r="I20" i="1"/>
  <c r="I83" i="1"/>
  <c r="I82" i="1"/>
  <c r="I84" i="1"/>
  <c r="I81" i="1"/>
  <c r="I80" i="1"/>
  <c r="I79" i="1"/>
  <c r="I76" i="1"/>
  <c r="I77" i="1"/>
  <c r="I78" i="1"/>
  <c r="I75" i="1"/>
  <c r="I97" i="1"/>
  <c r="I105" i="1"/>
  <c r="I101" i="1"/>
  <c r="I107" i="1"/>
  <c r="I103" i="1"/>
  <c r="I99" i="1"/>
  <c r="I108" i="1"/>
  <c r="I100" i="1"/>
  <c r="I106" i="1"/>
  <c r="I102" i="1"/>
  <c r="I98" i="1"/>
  <c r="I104" i="1"/>
  <c r="E16" i="29"/>
  <c r="D16" i="18"/>
  <c r="E16" i="18"/>
  <c r="D17" i="18"/>
  <c r="E17" i="18"/>
  <c r="D16" i="1"/>
  <c r="E16" i="1"/>
  <c r="H16" i="1"/>
  <c r="H16" i="34"/>
  <c r="D17" i="1"/>
  <c r="E17" i="1"/>
  <c r="H17" i="1"/>
  <c r="H17" i="34"/>
  <c r="I17" i="33"/>
  <c r="J17" i="33"/>
  <c r="F17" i="33"/>
  <c r="G17" i="33"/>
  <c r="J16" i="33"/>
  <c r="F16" i="33"/>
  <c r="G16" i="33"/>
  <c r="I17" i="32"/>
  <c r="J17" i="32"/>
  <c r="F17" i="32"/>
  <c r="G17" i="32"/>
  <c r="I16" i="32"/>
  <c r="J16" i="32"/>
  <c r="G16" i="32"/>
  <c r="I17" i="31"/>
  <c r="F17" i="31"/>
  <c r="G17" i="31"/>
  <c r="I16" i="31"/>
  <c r="F16" i="31"/>
  <c r="G16" i="31"/>
  <c r="I17" i="28"/>
  <c r="J17" i="28"/>
  <c r="F17" i="28"/>
  <c r="G17" i="28"/>
  <c r="I16" i="28"/>
  <c r="J16" i="28"/>
  <c r="F16" i="28"/>
  <c r="G16" i="28"/>
  <c r="I17" i="27"/>
  <c r="F17" i="27"/>
  <c r="I16" i="27"/>
  <c r="J16" i="27"/>
  <c r="F16" i="27"/>
  <c r="G16" i="27"/>
  <c r="I17" i="26"/>
  <c r="J17" i="26"/>
  <c r="F17" i="26"/>
  <c r="G17" i="26"/>
  <c r="I16" i="26"/>
  <c r="J16" i="26"/>
  <c r="F16" i="26"/>
  <c r="G16" i="26"/>
  <c r="I17" i="19"/>
  <c r="J17" i="19"/>
  <c r="F17" i="19"/>
  <c r="G17" i="19"/>
  <c r="I16" i="19"/>
  <c r="J16" i="19"/>
  <c r="F16" i="19"/>
  <c r="G16" i="19"/>
  <c r="I17" i="20"/>
  <c r="F17" i="20"/>
  <c r="G17" i="20"/>
  <c r="I16" i="20"/>
  <c r="F16" i="20"/>
  <c r="G16" i="20"/>
  <c r="I17" i="21"/>
  <c r="J17" i="21"/>
  <c r="F17" i="21"/>
  <c r="G17" i="21"/>
  <c r="I16" i="21"/>
  <c r="J16" i="21"/>
  <c r="F16" i="21"/>
  <c r="G16" i="21"/>
  <c r="I17" i="4"/>
  <c r="J17" i="4"/>
  <c r="I16" i="4"/>
  <c r="J16" i="4"/>
  <c r="F16" i="3"/>
  <c r="G16" i="3"/>
  <c r="I16" i="3"/>
  <c r="F17" i="3"/>
  <c r="G17" i="3"/>
  <c r="I17" i="3"/>
  <c r="F16" i="72"/>
  <c r="G16" i="72"/>
  <c r="I16" i="72"/>
  <c r="J16" i="72"/>
  <c r="F17" i="72"/>
  <c r="G17" i="72"/>
  <c r="I17" i="72"/>
  <c r="J17" i="72"/>
  <c r="F15" i="72"/>
  <c r="G15" i="72"/>
  <c r="F14" i="72"/>
  <c r="G14" i="72"/>
  <c r="F13" i="72"/>
  <c r="G13" i="72"/>
  <c r="F12" i="72"/>
  <c r="G12" i="72"/>
  <c r="F11" i="72"/>
  <c r="G11" i="72"/>
  <c r="F10" i="72"/>
  <c r="G10" i="72"/>
  <c r="F9" i="72"/>
  <c r="G9" i="72"/>
  <c r="F8" i="72"/>
  <c r="G8" i="72"/>
  <c r="F7" i="72"/>
  <c r="G7" i="72"/>
  <c r="F6" i="72"/>
  <c r="G6" i="72"/>
  <c r="F5" i="72"/>
  <c r="G5" i="72"/>
  <c r="F4" i="72"/>
  <c r="G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F4" i="3"/>
  <c r="G4" i="3"/>
  <c r="I4" i="3"/>
  <c r="J4" i="3"/>
  <c r="F5" i="3"/>
  <c r="G5" i="3"/>
  <c r="I5" i="3"/>
  <c r="J5" i="3"/>
  <c r="F6" i="3"/>
  <c r="G6" i="3"/>
  <c r="I6" i="3"/>
  <c r="F7" i="3"/>
  <c r="G7" i="3"/>
  <c r="I7" i="3"/>
  <c r="F8" i="3"/>
  <c r="G8" i="3"/>
  <c r="I8" i="3"/>
  <c r="J8" i="3" s="1"/>
  <c r="F9" i="3"/>
  <c r="G9" i="3"/>
  <c r="I9" i="3"/>
  <c r="F10" i="3"/>
  <c r="G10" i="3"/>
  <c r="I10" i="3"/>
  <c r="F11" i="3"/>
  <c r="G11" i="3"/>
  <c r="I11" i="3"/>
  <c r="F12" i="3"/>
  <c r="G12" i="3"/>
  <c r="I12" i="3"/>
  <c r="J12" i="3" s="1"/>
  <c r="F13" i="3"/>
  <c r="G13" i="3"/>
  <c r="I13" i="3"/>
  <c r="F14" i="3"/>
  <c r="G14" i="3"/>
  <c r="I14" i="3"/>
  <c r="F15" i="3"/>
  <c r="G15" i="3"/>
  <c r="I15" i="3"/>
  <c r="H6" i="1"/>
  <c r="H6" i="34"/>
  <c r="H7" i="1"/>
  <c r="H7" i="34"/>
  <c r="H8" i="1"/>
  <c r="H8" i="34"/>
  <c r="H9" i="1"/>
  <c r="H9" i="34"/>
  <c r="H10" i="1"/>
  <c r="H10" i="34"/>
  <c r="H11" i="1"/>
  <c r="H11" i="34"/>
  <c r="H12" i="1"/>
  <c r="H12" i="34"/>
  <c r="H13" i="1"/>
  <c r="H13" i="34"/>
  <c r="H14" i="1"/>
  <c r="H14" i="34"/>
  <c r="H15" i="1"/>
  <c r="H15" i="34"/>
  <c r="H5" i="1"/>
  <c r="H5" i="34"/>
  <c r="H4" i="1"/>
  <c r="B4" i="34" a="1"/>
  <c r="B4" i="34"/>
  <c r="A4" i="34" a="1"/>
  <c r="A4" i="34"/>
  <c r="A1" i="34" a="1"/>
  <c r="A1" i="34"/>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D2" i="29"/>
  <c r="E15" i="18"/>
  <c r="D15" i="18"/>
  <c r="E14" i="18"/>
  <c r="D14" i="18"/>
  <c r="E13" i="18"/>
  <c r="D13" i="18"/>
  <c r="E12" i="18"/>
  <c r="D12" i="18"/>
  <c r="E11" i="18"/>
  <c r="D11" i="18"/>
  <c r="E10" i="18"/>
  <c r="D10" i="18"/>
  <c r="E9" i="18"/>
  <c r="D9" i="18"/>
  <c r="E8" i="18"/>
  <c r="D8" i="18"/>
  <c r="E7" i="18"/>
  <c r="D7" i="18"/>
  <c r="E6" i="18"/>
  <c r="D6" i="18"/>
  <c r="E5" i="18"/>
  <c r="D5" i="18"/>
  <c r="E4" i="18"/>
  <c r="D4" i="18"/>
  <c r="B4" i="30" a="1"/>
  <c r="B4" i="30"/>
  <c r="A1" i="30" a="1"/>
  <c r="A1" i="30"/>
  <c r="B4" i="29" a="1"/>
  <c r="B4" i="29"/>
  <c r="A4" i="29" a="1"/>
  <c r="A4" i="29"/>
  <c r="A1" i="29" a="1"/>
  <c r="A1" i="29"/>
  <c r="B4" i="18" a="1"/>
  <c r="B4" i="18"/>
  <c r="A4" i="18" a="1"/>
  <c r="A4" i="18"/>
  <c r="A1" i="18" a="1"/>
  <c r="A1" i="18"/>
  <c r="D15" i="1"/>
  <c r="D14" i="1"/>
  <c r="D13" i="1"/>
  <c r="D12" i="1"/>
  <c r="D11" i="1"/>
  <c r="D10" i="1"/>
  <c r="D9" i="1"/>
  <c r="D8" i="1"/>
  <c r="D7" i="1"/>
  <c r="D6" i="1"/>
  <c r="D5" i="1"/>
  <c r="D4" i="1"/>
  <c r="E6" i="1"/>
  <c r="E7" i="1"/>
  <c r="E8" i="1"/>
  <c r="E9" i="1"/>
  <c r="E10" i="1"/>
  <c r="E11" i="1"/>
  <c r="E12" i="1"/>
  <c r="E13" i="1"/>
  <c r="E14" i="1"/>
  <c r="E15" i="1"/>
  <c r="E5" i="1"/>
  <c r="E4" i="1"/>
  <c r="B4" i="1" a="1"/>
  <c r="B4" i="1"/>
  <c r="A4" i="1" a="1"/>
  <c r="A4" i="1"/>
  <c r="A1" i="1" a="1"/>
  <c r="A1" i="1"/>
  <c r="I15" i="33"/>
  <c r="J15" i="33"/>
  <c r="F15" i="33"/>
  <c r="G15" i="33"/>
  <c r="I14" i="33"/>
  <c r="J14" i="33"/>
  <c r="F14" i="33"/>
  <c r="G14" i="33"/>
  <c r="I13" i="33"/>
  <c r="J13" i="33"/>
  <c r="F13" i="33"/>
  <c r="G13" i="33"/>
  <c r="I12" i="33"/>
  <c r="J12" i="33"/>
  <c r="F12" i="33"/>
  <c r="G12" i="33"/>
  <c r="I11" i="33"/>
  <c r="J11" i="33"/>
  <c r="F11" i="33"/>
  <c r="G11" i="33"/>
  <c r="I10" i="33"/>
  <c r="J10" i="33"/>
  <c r="F10" i="33"/>
  <c r="G10" i="33"/>
  <c r="I9" i="33"/>
  <c r="J9" i="33"/>
  <c r="F9" i="33"/>
  <c r="G9" i="33"/>
  <c r="I8" i="33"/>
  <c r="J8" i="33"/>
  <c r="F8" i="33"/>
  <c r="G8" i="33"/>
  <c r="I7" i="33"/>
  <c r="J7" i="33"/>
  <c r="F7" i="33"/>
  <c r="G7" i="33"/>
  <c r="I6" i="33"/>
  <c r="J6" i="33"/>
  <c r="F6" i="33"/>
  <c r="G6" i="33"/>
  <c r="I5" i="33"/>
  <c r="J5" i="33"/>
  <c r="F5" i="33"/>
  <c r="G5" i="33"/>
  <c r="I4" i="33"/>
  <c r="J4" i="33"/>
  <c r="F4" i="33"/>
  <c r="G4" i="33"/>
  <c r="H2" i="33"/>
  <c r="E2" i="33"/>
  <c r="D2" i="33"/>
  <c r="A1" i="33" a="1"/>
  <c r="A1" i="33"/>
  <c r="I15" i="32"/>
  <c r="J15" i="32"/>
  <c r="F15" i="32"/>
  <c r="G15" i="32"/>
  <c r="I14" i="32"/>
  <c r="J14" i="32"/>
  <c r="F14" i="32"/>
  <c r="G14" i="32"/>
  <c r="I13" i="32"/>
  <c r="J13" i="32"/>
  <c r="F13" i="32"/>
  <c r="G13" i="32"/>
  <c r="I12" i="32"/>
  <c r="J12" i="32"/>
  <c r="F12" i="32"/>
  <c r="G12" i="32"/>
  <c r="I11" i="32"/>
  <c r="J11" i="32"/>
  <c r="F11" i="32"/>
  <c r="G11" i="32"/>
  <c r="I10" i="32"/>
  <c r="J10" i="32"/>
  <c r="F10" i="32"/>
  <c r="G10" i="32"/>
  <c r="I9" i="32"/>
  <c r="J9" i="32"/>
  <c r="F9" i="32"/>
  <c r="G9" i="32"/>
  <c r="I8" i="32"/>
  <c r="J8" i="32"/>
  <c r="F8" i="32"/>
  <c r="G8" i="32"/>
  <c r="I7" i="32"/>
  <c r="J7" i="32"/>
  <c r="F7" i="32"/>
  <c r="G7" i="32"/>
  <c r="I6" i="32"/>
  <c r="J6" i="32"/>
  <c r="F6" i="32"/>
  <c r="G6" i="32"/>
  <c r="I5" i="32"/>
  <c r="J5" i="32"/>
  <c r="F5" i="32"/>
  <c r="G5" i="32"/>
  <c r="I4" i="32"/>
  <c r="J4" i="32"/>
  <c r="F4" i="32"/>
  <c r="G4" i="32"/>
  <c r="H2" i="32"/>
  <c r="E2" i="32"/>
  <c r="D2" i="32"/>
  <c r="A1" i="32" a="1"/>
  <c r="A1" i="32"/>
  <c r="I15" i="31"/>
  <c r="J15" i="31"/>
  <c r="F15" i="31"/>
  <c r="G15" i="31"/>
  <c r="I14" i="31"/>
  <c r="J14" i="31"/>
  <c r="F14" i="31"/>
  <c r="G14" i="31"/>
  <c r="I13" i="31"/>
  <c r="J13" i="31"/>
  <c r="F13" i="31"/>
  <c r="G13" i="31"/>
  <c r="I12" i="31"/>
  <c r="J12" i="31"/>
  <c r="F12" i="31"/>
  <c r="G12" i="31"/>
  <c r="I11" i="31"/>
  <c r="J11" i="31"/>
  <c r="F11" i="31"/>
  <c r="G11" i="31"/>
  <c r="I10" i="31"/>
  <c r="J10" i="31"/>
  <c r="F10" i="31"/>
  <c r="G10" i="31"/>
  <c r="I9" i="31"/>
  <c r="J9" i="31"/>
  <c r="F9" i="31"/>
  <c r="G9" i="31"/>
  <c r="I8" i="31"/>
  <c r="J8" i="31"/>
  <c r="F8" i="31"/>
  <c r="G8" i="31"/>
  <c r="I7" i="31"/>
  <c r="J7" i="31"/>
  <c r="F7" i="31"/>
  <c r="G7" i="31"/>
  <c r="I6" i="31"/>
  <c r="J6" i="31"/>
  <c r="F6" i="31"/>
  <c r="G6" i="31"/>
  <c r="I5" i="31"/>
  <c r="J5" i="31"/>
  <c r="F5" i="31"/>
  <c r="G5" i="31"/>
  <c r="I4" i="31"/>
  <c r="J4" i="31"/>
  <c r="F4" i="31"/>
  <c r="G4" i="31"/>
  <c r="E2" i="31"/>
  <c r="A1" i="31" a="1"/>
  <c r="A1" i="31"/>
  <c r="I15" i="28"/>
  <c r="J15" i="28"/>
  <c r="F15" i="28"/>
  <c r="G15" i="28"/>
  <c r="I14" i="28"/>
  <c r="J14" i="28"/>
  <c r="F14" i="28"/>
  <c r="G14" i="28"/>
  <c r="I13" i="28"/>
  <c r="J13" i="28"/>
  <c r="F13" i="28"/>
  <c r="G13" i="28"/>
  <c r="I12" i="28"/>
  <c r="J12" i="28"/>
  <c r="F12" i="28"/>
  <c r="G12" i="28"/>
  <c r="I11" i="28"/>
  <c r="J11" i="28"/>
  <c r="F11" i="28"/>
  <c r="G11" i="28"/>
  <c r="I10" i="28"/>
  <c r="J10" i="28"/>
  <c r="F10" i="28"/>
  <c r="G10" i="28"/>
  <c r="I9" i="28"/>
  <c r="J9" i="28"/>
  <c r="F9" i="28"/>
  <c r="G9" i="28"/>
  <c r="I8" i="28"/>
  <c r="J8" i="28"/>
  <c r="F8" i="28"/>
  <c r="G8" i="28"/>
  <c r="I7" i="28"/>
  <c r="J7" i="28"/>
  <c r="F7" i="28"/>
  <c r="G7" i="28"/>
  <c r="I6" i="28"/>
  <c r="J6" i="28"/>
  <c r="F6" i="28"/>
  <c r="G6" i="28"/>
  <c r="I5" i="28"/>
  <c r="J5" i="28"/>
  <c r="F5" i="28"/>
  <c r="G5" i="28"/>
  <c r="I4" i="28"/>
  <c r="J4" i="28"/>
  <c r="F4" i="28"/>
  <c r="G4" i="28"/>
  <c r="B4" i="28" a="1"/>
  <c r="B4" i="28"/>
  <c r="A4" i="28" a="1"/>
  <c r="A4" i="28"/>
  <c r="E2" i="28"/>
  <c r="K2" i="28"/>
  <c r="A1" i="28" a="1"/>
  <c r="A1" i="28"/>
  <c r="I15" i="27"/>
  <c r="J15" i="27"/>
  <c r="F15" i="27"/>
  <c r="G15" i="27"/>
  <c r="I14" i="27"/>
  <c r="J14" i="27"/>
  <c r="F14" i="27"/>
  <c r="G14" i="27"/>
  <c r="I13" i="27"/>
  <c r="J13" i="27"/>
  <c r="F13" i="27"/>
  <c r="G13" i="27"/>
  <c r="I12" i="27"/>
  <c r="J12" i="27"/>
  <c r="F12" i="27"/>
  <c r="G12" i="27"/>
  <c r="I11" i="27"/>
  <c r="J11" i="27"/>
  <c r="F11" i="27"/>
  <c r="G11" i="27"/>
  <c r="I10" i="27"/>
  <c r="J10" i="27"/>
  <c r="F10" i="27"/>
  <c r="G10" i="27"/>
  <c r="I9" i="27"/>
  <c r="J9" i="27"/>
  <c r="F9" i="27"/>
  <c r="G9" i="27"/>
  <c r="I8" i="27"/>
  <c r="J8" i="27"/>
  <c r="F8" i="27"/>
  <c r="G8" i="27"/>
  <c r="I7" i="27"/>
  <c r="J7" i="27"/>
  <c r="F7" i="27"/>
  <c r="G7" i="27"/>
  <c r="I6" i="27"/>
  <c r="J6" i="27"/>
  <c r="F6" i="27"/>
  <c r="G6" i="27"/>
  <c r="I5" i="27"/>
  <c r="J5" i="27"/>
  <c r="F5" i="27"/>
  <c r="G5" i="27"/>
  <c r="I4" i="27"/>
  <c r="J4" i="27"/>
  <c r="F4" i="27"/>
  <c r="G4" i="27"/>
  <c r="E2" i="27"/>
  <c r="A1" i="27" a="1"/>
  <c r="A1" i="27"/>
  <c r="I15" i="26"/>
  <c r="F15" i="26"/>
  <c r="G15" i="26"/>
  <c r="I14" i="26"/>
  <c r="J14" i="26"/>
  <c r="F14" i="26"/>
  <c r="G14" i="26"/>
  <c r="I13" i="26"/>
  <c r="J13" i="26"/>
  <c r="F13" i="26"/>
  <c r="G13" i="26"/>
  <c r="I12" i="26"/>
  <c r="F12" i="26"/>
  <c r="G12" i="26"/>
  <c r="I11" i="26"/>
  <c r="J11" i="26"/>
  <c r="F11" i="26"/>
  <c r="G11" i="26"/>
  <c r="I10" i="26"/>
  <c r="J10" i="26"/>
  <c r="F10" i="26"/>
  <c r="G10" i="26"/>
  <c r="I9" i="26"/>
  <c r="F9" i="26"/>
  <c r="G9" i="26"/>
  <c r="I8" i="26"/>
  <c r="J8" i="26"/>
  <c r="F8" i="26"/>
  <c r="G8" i="26"/>
  <c r="I7" i="26"/>
  <c r="F7" i="26"/>
  <c r="G7" i="26"/>
  <c r="I6" i="26"/>
  <c r="F6" i="26"/>
  <c r="G6" i="26"/>
  <c r="I5" i="26"/>
  <c r="J5" i="26"/>
  <c r="F5" i="26"/>
  <c r="G5" i="26"/>
  <c r="I4" i="26"/>
  <c r="J4" i="26"/>
  <c r="F4" i="26"/>
  <c r="G4" i="26"/>
  <c r="E2" i="26"/>
  <c r="K2" i="26"/>
  <c r="A1" i="26" a="1"/>
  <c r="A1" i="26"/>
  <c r="I15" i="19"/>
  <c r="J15" i="19"/>
  <c r="F15" i="19"/>
  <c r="G15" i="19"/>
  <c r="I14" i="19"/>
  <c r="J14" i="19"/>
  <c r="F14" i="19"/>
  <c r="G14" i="19"/>
  <c r="I13" i="19"/>
  <c r="J13" i="19"/>
  <c r="F13" i="19"/>
  <c r="G13" i="19"/>
  <c r="I12" i="19"/>
  <c r="J12" i="19"/>
  <c r="F12" i="19"/>
  <c r="G12" i="19"/>
  <c r="I11" i="19"/>
  <c r="J11" i="19"/>
  <c r="F11" i="19"/>
  <c r="G11" i="19"/>
  <c r="I10" i="19"/>
  <c r="J10" i="19"/>
  <c r="F10" i="19"/>
  <c r="G10" i="19"/>
  <c r="I9" i="19"/>
  <c r="J9" i="19"/>
  <c r="F9" i="19"/>
  <c r="G9" i="19"/>
  <c r="I8" i="19"/>
  <c r="J8" i="19"/>
  <c r="F8" i="19"/>
  <c r="G8" i="19"/>
  <c r="I7" i="19"/>
  <c r="J7" i="19"/>
  <c r="F7" i="19"/>
  <c r="G7" i="19"/>
  <c r="I6" i="19"/>
  <c r="J6" i="19"/>
  <c r="F6" i="19"/>
  <c r="G6" i="19"/>
  <c r="I5" i="19"/>
  <c r="J5" i="19"/>
  <c r="F5" i="19"/>
  <c r="G5" i="19"/>
  <c r="I4" i="19"/>
  <c r="J4" i="19"/>
  <c r="F4" i="19"/>
  <c r="G4" i="19"/>
  <c r="A1" i="19" a="1"/>
  <c r="A1" i="19"/>
  <c r="I15" i="20"/>
  <c r="F15" i="20"/>
  <c r="G15" i="20"/>
  <c r="I14" i="20"/>
  <c r="F14" i="20"/>
  <c r="G14" i="20"/>
  <c r="I13" i="20"/>
  <c r="F13" i="20"/>
  <c r="G13" i="20"/>
  <c r="I12" i="20"/>
  <c r="J12" i="20"/>
  <c r="F12" i="20"/>
  <c r="G12" i="20"/>
  <c r="I11" i="20"/>
  <c r="J11" i="20"/>
  <c r="F11" i="20"/>
  <c r="G11" i="20"/>
  <c r="I10" i="20"/>
  <c r="J10" i="20"/>
  <c r="F10" i="20"/>
  <c r="G10" i="20"/>
  <c r="I9" i="20"/>
  <c r="J9" i="20"/>
  <c r="F9" i="20"/>
  <c r="G9" i="20"/>
  <c r="I8" i="20"/>
  <c r="J8" i="20"/>
  <c r="F8" i="20"/>
  <c r="G8" i="20"/>
  <c r="I7" i="20"/>
  <c r="J7" i="20"/>
  <c r="F7" i="20"/>
  <c r="G7" i="20"/>
  <c r="I6" i="20"/>
  <c r="J6" i="20"/>
  <c r="F6" i="20"/>
  <c r="G6" i="20"/>
  <c r="I5" i="20"/>
  <c r="J5" i="20"/>
  <c r="F5" i="20"/>
  <c r="G5" i="20"/>
  <c r="I4" i="20"/>
  <c r="J4" i="20"/>
  <c r="F4" i="20"/>
  <c r="G4" i="20"/>
  <c r="A1" i="20" a="1"/>
  <c r="A1" i="20"/>
  <c r="I15" i="21"/>
  <c r="J15" i="21"/>
  <c r="F15" i="21"/>
  <c r="G15" i="21"/>
  <c r="I14" i="21"/>
  <c r="J14" i="21"/>
  <c r="F14" i="21"/>
  <c r="G14" i="21"/>
  <c r="I13" i="21"/>
  <c r="J13" i="21"/>
  <c r="F13" i="21"/>
  <c r="G13" i="21"/>
  <c r="I12" i="21"/>
  <c r="J12" i="21"/>
  <c r="F12" i="21"/>
  <c r="G12" i="21"/>
  <c r="I11" i="21"/>
  <c r="J11" i="21"/>
  <c r="F11" i="21"/>
  <c r="G11" i="21"/>
  <c r="I10" i="21"/>
  <c r="J10" i="21"/>
  <c r="F10" i="21"/>
  <c r="G10" i="21"/>
  <c r="I9" i="21"/>
  <c r="J9" i="21"/>
  <c r="F9" i="21"/>
  <c r="G9" i="21"/>
  <c r="I8" i="21"/>
  <c r="J8" i="21"/>
  <c r="F8" i="21"/>
  <c r="G8" i="21"/>
  <c r="I7" i="21"/>
  <c r="J7" i="21"/>
  <c r="F7" i="21"/>
  <c r="G7" i="21"/>
  <c r="I6" i="21"/>
  <c r="J6" i="21"/>
  <c r="F6" i="21"/>
  <c r="G6" i="21"/>
  <c r="I5" i="21"/>
  <c r="J5" i="21"/>
  <c r="F5" i="21"/>
  <c r="G5" i="21"/>
  <c r="I4" i="21"/>
  <c r="J4" i="21"/>
  <c r="F4" i="21"/>
  <c r="G4" i="21"/>
  <c r="A1" i="21" a="1"/>
  <c r="A1" i="21"/>
  <c r="I15" i="4"/>
  <c r="J15" i="4"/>
  <c r="I14" i="4"/>
  <c r="J14" i="4"/>
  <c r="I13" i="4"/>
  <c r="J13" i="4"/>
  <c r="F13" i="4"/>
  <c r="G13" i="4"/>
  <c r="I12" i="4"/>
  <c r="J12" i="4"/>
  <c r="F12" i="4"/>
  <c r="G12" i="4"/>
  <c r="I11" i="4"/>
  <c r="J11" i="4"/>
  <c r="F11" i="4"/>
  <c r="G11" i="4"/>
  <c r="I10" i="4"/>
  <c r="J10" i="4"/>
  <c r="F10" i="4"/>
  <c r="G10" i="4"/>
  <c r="I9" i="4"/>
  <c r="J9" i="4"/>
  <c r="F9" i="4"/>
  <c r="G9" i="4"/>
  <c r="I8" i="4"/>
  <c r="J8" i="4"/>
  <c r="F8" i="4"/>
  <c r="G8" i="4"/>
  <c r="I7" i="4"/>
  <c r="J7" i="4"/>
  <c r="F7" i="4"/>
  <c r="G7" i="4"/>
  <c r="I6" i="4"/>
  <c r="J6" i="4"/>
  <c r="F6" i="4"/>
  <c r="G6" i="4"/>
  <c r="I5" i="4"/>
  <c r="J5" i="4"/>
  <c r="F5" i="4"/>
  <c r="G5" i="4"/>
  <c r="I4" i="4"/>
  <c r="J4" i="4"/>
  <c r="F4" i="4"/>
  <c r="G4" i="4"/>
  <c r="A1" i="4" a="1"/>
  <c r="A1" i="4"/>
  <c r="K2" i="3"/>
  <c r="A1" i="3" a="1"/>
  <c r="A1" i="3"/>
  <c r="I6" i="72"/>
  <c r="J6" i="72"/>
  <c r="I7" i="72"/>
  <c r="J7" i="72"/>
  <c r="I8" i="72"/>
  <c r="J8" i="72"/>
  <c r="I9" i="72"/>
  <c r="J9" i="72"/>
  <c r="I10" i="72"/>
  <c r="J10" i="72"/>
  <c r="I11" i="72"/>
  <c r="J11" i="72"/>
  <c r="I12" i="72"/>
  <c r="J12" i="72"/>
  <c r="I13" i="72"/>
  <c r="J13" i="72"/>
  <c r="I14" i="72"/>
  <c r="J14" i="72"/>
  <c r="I15" i="72"/>
  <c r="J15" i="72"/>
  <c r="I5" i="72"/>
  <c r="J5" i="72"/>
  <c r="I4" i="72"/>
  <c r="J4" i="72"/>
  <c r="K2" i="72"/>
  <c r="A1" i="72" a="1"/>
  <c r="A1" i="72"/>
  <c r="D17" i="34"/>
  <c r="H2" i="1"/>
  <c r="H4" i="34"/>
  <c r="D2" i="18"/>
  <c r="J104" i="1"/>
  <c r="I104" i="34"/>
  <c r="J104" i="34"/>
  <c r="J107" i="1"/>
  <c r="I107" i="34"/>
  <c r="J107" i="34"/>
  <c r="J83" i="1"/>
  <c r="I83" i="34"/>
  <c r="J83" i="34"/>
  <c r="J92" i="1"/>
  <c r="I92" i="34"/>
  <c r="J92" i="34"/>
  <c r="J31" i="1"/>
  <c r="I31" i="34"/>
  <c r="J31" i="34"/>
  <c r="J86" i="1"/>
  <c r="I86" i="34"/>
  <c r="J86" i="34"/>
  <c r="J118" i="1"/>
  <c r="I118" i="34"/>
  <c r="J118" i="34"/>
  <c r="J87" i="1"/>
  <c r="I87" i="34"/>
  <c r="J87" i="34"/>
  <c r="J33" i="1"/>
  <c r="I33" i="34"/>
  <c r="J33" i="34"/>
  <c r="J38" i="1"/>
  <c r="I38" i="34"/>
  <c r="J38" i="34"/>
  <c r="J47" i="1"/>
  <c r="I47" i="34"/>
  <c r="J47" i="34"/>
  <c r="J128" i="1"/>
  <c r="I128" i="34"/>
  <c r="J128" i="34"/>
  <c r="J50" i="1"/>
  <c r="I50" i="34"/>
  <c r="J50" i="34"/>
  <c r="J121" i="1"/>
  <c r="I121" i="34"/>
  <c r="J121" i="34"/>
  <c r="J114" i="1"/>
  <c r="I114" i="34"/>
  <c r="J114" i="34"/>
  <c r="J115" i="1"/>
  <c r="I115" i="34"/>
  <c r="J115" i="34"/>
  <c r="J112" i="1"/>
  <c r="I112" i="34"/>
  <c r="J112" i="34"/>
  <c r="J97" i="1"/>
  <c r="I97" i="34"/>
  <c r="J97" i="34"/>
  <c r="J84" i="1"/>
  <c r="I84" i="34"/>
  <c r="J84" i="34"/>
  <c r="J56" i="1"/>
  <c r="I56" i="34"/>
  <c r="J56" i="34"/>
  <c r="J95" i="1"/>
  <c r="I95" i="34"/>
  <c r="J95" i="34"/>
  <c r="J34" i="1"/>
  <c r="I34" i="34"/>
  <c r="J34" i="34"/>
  <c r="J27" i="1"/>
  <c r="I27" i="34"/>
  <c r="J27" i="34"/>
  <c r="J99" i="1"/>
  <c r="I99" i="34"/>
  <c r="J99" i="34"/>
  <c r="J77" i="1"/>
  <c r="I77" i="34"/>
  <c r="J77" i="34"/>
  <c r="J132" i="1"/>
  <c r="I132" i="34"/>
  <c r="J132" i="34"/>
  <c r="J133" i="1"/>
  <c r="I133" i="34"/>
  <c r="J133" i="34"/>
  <c r="J94" i="1"/>
  <c r="I94" i="34"/>
  <c r="J94" i="34"/>
  <c r="J117" i="1"/>
  <c r="I117" i="34"/>
  <c r="J117" i="34"/>
  <c r="J135" i="1"/>
  <c r="I135" i="34"/>
  <c r="J135" i="34"/>
  <c r="J89" i="1"/>
  <c r="I89" i="34"/>
  <c r="J89" i="34"/>
  <c r="J74" i="1"/>
  <c r="I74" i="34"/>
  <c r="J74" i="34"/>
  <c r="J21" i="1"/>
  <c r="I21" i="34"/>
  <c r="J21" i="34"/>
  <c r="J72" i="1"/>
  <c r="I72" i="34"/>
  <c r="J72" i="34"/>
  <c r="J120" i="1"/>
  <c r="I120" i="34"/>
  <c r="J120" i="34"/>
  <c r="J79" i="1"/>
  <c r="I79" i="34"/>
  <c r="J79" i="34"/>
  <c r="J37" i="1"/>
  <c r="I37" i="34"/>
  <c r="J37" i="34"/>
  <c r="J62" i="1"/>
  <c r="I62" i="34"/>
  <c r="J62" i="34"/>
  <c r="J22" i="1"/>
  <c r="I22" i="34"/>
  <c r="J22" i="34"/>
  <c r="J69" i="1"/>
  <c r="I69" i="34"/>
  <c r="J69" i="34"/>
  <c r="J40" i="1"/>
  <c r="I40" i="34"/>
  <c r="J40" i="34"/>
  <c r="J51" i="1"/>
  <c r="I51" i="34"/>
  <c r="J51" i="34"/>
  <c r="J44" i="1"/>
  <c r="I44" i="34"/>
  <c r="J44" i="34"/>
  <c r="J18" i="1"/>
  <c r="I18" i="34"/>
  <c r="J18" i="34"/>
  <c r="J101" i="1"/>
  <c r="I101" i="34"/>
  <c r="J101" i="34"/>
  <c r="J80" i="1"/>
  <c r="I80" i="34"/>
  <c r="J80" i="34"/>
  <c r="J20" i="1"/>
  <c r="I20" i="34"/>
  <c r="J20" i="34"/>
  <c r="J60" i="1"/>
  <c r="I60" i="34"/>
  <c r="J60" i="34"/>
  <c r="J116" i="1"/>
  <c r="I116" i="34"/>
  <c r="J116" i="34"/>
  <c r="J39" i="1"/>
  <c r="I39" i="34"/>
  <c r="J39" i="34"/>
  <c r="J119" i="1"/>
  <c r="I119" i="34"/>
  <c r="J119" i="34"/>
  <c r="J49" i="1"/>
  <c r="I49" i="34"/>
  <c r="J49" i="34"/>
  <c r="J54" i="1"/>
  <c r="I54" i="34"/>
  <c r="J54" i="34"/>
  <c r="J85" i="1"/>
  <c r="I85" i="34"/>
  <c r="J85" i="34"/>
  <c r="J126" i="1"/>
  <c r="I126" i="34"/>
  <c r="J126" i="34"/>
  <c r="J48" i="1"/>
  <c r="I48" i="34"/>
  <c r="J48" i="34"/>
  <c r="J129" i="1"/>
  <c r="I129" i="34"/>
  <c r="J129" i="34"/>
  <c r="J122" i="1"/>
  <c r="I122" i="34"/>
  <c r="J122" i="34"/>
  <c r="J28" i="1"/>
  <c r="I28" i="34"/>
  <c r="J28" i="34"/>
  <c r="J67" i="1"/>
  <c r="I67" i="34"/>
  <c r="J67" i="34"/>
  <c r="J123" i="1"/>
  <c r="I123" i="34"/>
  <c r="J123" i="34"/>
  <c r="D2" i="1"/>
  <c r="J98" i="1"/>
  <c r="I98" i="34"/>
  <c r="J98" i="34"/>
  <c r="J46" i="1"/>
  <c r="I46" i="34"/>
  <c r="J46" i="34"/>
  <c r="J134" i="1"/>
  <c r="I134" i="34"/>
  <c r="J134" i="34"/>
  <c r="J71" i="1"/>
  <c r="I71" i="34"/>
  <c r="J71" i="34"/>
  <c r="J125" i="1"/>
  <c r="I125" i="34"/>
  <c r="J125" i="34"/>
  <c r="J19" i="1"/>
  <c r="I19" i="34"/>
  <c r="J19" i="34"/>
  <c r="J65" i="1"/>
  <c r="I65" i="34"/>
  <c r="J65" i="34"/>
  <c r="J35" i="1"/>
  <c r="I35" i="34"/>
  <c r="J35" i="34"/>
  <c r="J58" i="1"/>
  <c r="I58" i="34"/>
  <c r="J58" i="34"/>
  <c r="J52" i="1"/>
  <c r="I52" i="34"/>
  <c r="J52" i="34"/>
  <c r="J41" i="1"/>
  <c r="I41" i="34"/>
  <c r="J41" i="34"/>
  <c r="J106" i="1"/>
  <c r="I106" i="34"/>
  <c r="J106" i="34"/>
  <c r="J100" i="1"/>
  <c r="I100" i="34"/>
  <c r="J100" i="34"/>
  <c r="J103" i="1"/>
  <c r="I103" i="34"/>
  <c r="J103" i="34"/>
  <c r="J75" i="1"/>
  <c r="I75" i="34"/>
  <c r="J75" i="34"/>
  <c r="J82" i="1"/>
  <c r="I82" i="34"/>
  <c r="J82" i="34"/>
  <c r="J45" i="1"/>
  <c r="I45" i="34"/>
  <c r="J45" i="34"/>
  <c r="J68" i="1"/>
  <c r="I68" i="34"/>
  <c r="J68" i="34"/>
  <c r="J23" i="1"/>
  <c r="I23" i="34"/>
  <c r="J23" i="34"/>
  <c r="J70" i="1"/>
  <c r="I70" i="34"/>
  <c r="J70" i="34"/>
  <c r="J110" i="1"/>
  <c r="I110" i="34"/>
  <c r="J110" i="34"/>
  <c r="J25" i="1"/>
  <c r="I25" i="34"/>
  <c r="J25" i="34"/>
  <c r="J30" i="1"/>
  <c r="I30" i="34"/>
  <c r="J30" i="34"/>
  <c r="J32" i="1"/>
  <c r="I32" i="34"/>
  <c r="J32" i="34"/>
  <c r="J111" i="1"/>
  <c r="I111" i="34"/>
  <c r="J111" i="34"/>
  <c r="J96" i="1"/>
  <c r="I96" i="34"/>
  <c r="J96" i="34"/>
  <c r="J42" i="1"/>
  <c r="I42" i="34"/>
  <c r="J42" i="34"/>
  <c r="J113" i="1"/>
  <c r="I113" i="34"/>
  <c r="J113" i="34"/>
  <c r="J137" i="1"/>
  <c r="I137" i="34"/>
  <c r="J137" i="34"/>
  <c r="J91" i="1"/>
  <c r="I91" i="34"/>
  <c r="J91" i="34"/>
  <c r="J88" i="1"/>
  <c r="I88" i="34"/>
  <c r="J88" i="34"/>
  <c r="J136" i="1"/>
  <c r="I136" i="34"/>
  <c r="J136" i="34"/>
  <c r="J102" i="1"/>
  <c r="I102" i="34"/>
  <c r="J102" i="34"/>
  <c r="J105" i="1"/>
  <c r="I105" i="34"/>
  <c r="J105" i="34"/>
  <c r="J76" i="1"/>
  <c r="I76" i="34"/>
  <c r="J76" i="34"/>
  <c r="J55" i="1"/>
  <c r="I55" i="34"/>
  <c r="J55" i="34"/>
  <c r="J24" i="1"/>
  <c r="I24" i="34"/>
  <c r="J24" i="34"/>
  <c r="J64" i="1"/>
  <c r="I64" i="34"/>
  <c r="J64" i="34"/>
  <c r="J61" i="1"/>
  <c r="I61" i="34"/>
  <c r="J61" i="34"/>
  <c r="J63" i="1"/>
  <c r="I63" i="34"/>
  <c r="J63" i="34"/>
  <c r="J26" i="1"/>
  <c r="I26" i="34"/>
  <c r="J26" i="34"/>
  <c r="J73" i="1"/>
  <c r="I73" i="34"/>
  <c r="J73" i="34"/>
  <c r="J43" i="1"/>
  <c r="I43" i="34"/>
  <c r="J43" i="34"/>
  <c r="J90" i="1"/>
  <c r="I90" i="34"/>
  <c r="J90" i="34"/>
  <c r="J130" i="1"/>
  <c r="I130" i="34"/>
  <c r="J130" i="34"/>
  <c r="J36" i="1"/>
  <c r="I36" i="34"/>
  <c r="J36" i="34"/>
  <c r="J131" i="1"/>
  <c r="I131" i="34"/>
  <c r="J131" i="34"/>
  <c r="J108" i="1"/>
  <c r="I108" i="34"/>
  <c r="J108" i="34"/>
  <c r="J78" i="1"/>
  <c r="I78" i="34"/>
  <c r="J78" i="34"/>
  <c r="J81" i="1"/>
  <c r="I81" i="34"/>
  <c r="J81" i="34"/>
  <c r="J29" i="1"/>
  <c r="I29" i="34"/>
  <c r="J29" i="34"/>
  <c r="J53" i="1"/>
  <c r="I53" i="34"/>
  <c r="J53" i="34"/>
  <c r="J124" i="1"/>
  <c r="I124" i="34"/>
  <c r="J124" i="34"/>
  <c r="J109" i="1"/>
  <c r="I109" i="34"/>
  <c r="J109" i="34"/>
  <c r="J93" i="1"/>
  <c r="I93" i="34"/>
  <c r="J93" i="34"/>
  <c r="J127" i="1"/>
  <c r="I127" i="34"/>
  <c r="J127" i="34"/>
  <c r="J66" i="1"/>
  <c r="I66" i="34"/>
  <c r="J66" i="34"/>
  <c r="J59" i="1"/>
  <c r="I59" i="34"/>
  <c r="J59" i="34"/>
  <c r="J57" i="1"/>
  <c r="I57" i="34"/>
  <c r="J57" i="34"/>
  <c r="D2" i="30"/>
  <c r="H2" i="34"/>
  <c r="J17" i="31"/>
  <c r="I17" i="30"/>
  <c r="J17" i="30"/>
  <c r="J16" i="31"/>
  <c r="I16" i="30"/>
  <c r="J16" i="30"/>
  <c r="E6" i="34"/>
  <c r="E14" i="34"/>
  <c r="E16" i="34"/>
  <c r="J17" i="27"/>
  <c r="I17" i="29"/>
  <c r="J17" i="29"/>
  <c r="D5" i="34"/>
  <c r="D9" i="34"/>
  <c r="D13" i="34"/>
  <c r="D16" i="34"/>
  <c r="F11" i="30"/>
  <c r="G11" i="30"/>
  <c r="I12" i="29"/>
  <c r="J12" i="29"/>
  <c r="D7" i="34"/>
  <c r="D11" i="34"/>
  <c r="D15" i="34"/>
  <c r="D8" i="34"/>
  <c r="D12" i="34"/>
  <c r="D6" i="34"/>
  <c r="D10" i="34"/>
  <c r="D14" i="34"/>
  <c r="E12" i="34"/>
  <c r="E10" i="34"/>
  <c r="E11" i="34"/>
  <c r="E7" i="34"/>
  <c r="E15" i="34"/>
  <c r="E17" i="34"/>
  <c r="F17" i="34"/>
  <c r="G17" i="34"/>
  <c r="E13" i="34"/>
  <c r="E9" i="34"/>
  <c r="E8" i="34"/>
  <c r="E5" i="34"/>
  <c r="F16" i="18"/>
  <c r="G16" i="18"/>
  <c r="I7" i="29"/>
  <c r="J7" i="29"/>
  <c r="I15" i="29"/>
  <c r="J15" i="29"/>
  <c r="F6" i="18"/>
  <c r="G6" i="18"/>
  <c r="F10" i="18"/>
  <c r="G10" i="18"/>
  <c r="F6" i="29"/>
  <c r="G6" i="29"/>
  <c r="F10" i="29"/>
  <c r="G10" i="29"/>
  <c r="F10" i="30"/>
  <c r="G10" i="30"/>
  <c r="F14" i="30"/>
  <c r="G14" i="30"/>
  <c r="E2" i="1"/>
  <c r="F8" i="30"/>
  <c r="G8" i="30"/>
  <c r="F12" i="30"/>
  <c r="G12" i="30"/>
  <c r="F16" i="29"/>
  <c r="G16" i="29"/>
  <c r="F9" i="30"/>
  <c r="G9" i="30"/>
  <c r="F13" i="30"/>
  <c r="G13" i="30"/>
  <c r="E2" i="18"/>
  <c r="F17" i="18"/>
  <c r="G17" i="18"/>
  <c r="F17" i="1"/>
  <c r="G17" i="1"/>
  <c r="F16" i="1"/>
  <c r="G16" i="1"/>
  <c r="F15" i="30"/>
  <c r="G15" i="30"/>
  <c r="E2" i="30"/>
  <c r="F5" i="30"/>
  <c r="G5" i="30"/>
  <c r="F6" i="30"/>
  <c r="G6" i="30"/>
  <c r="I6" i="30"/>
  <c r="J6" i="30"/>
  <c r="F4" i="30"/>
  <c r="G4" i="30"/>
  <c r="F13" i="29"/>
  <c r="G13" i="29"/>
  <c r="F14" i="29"/>
  <c r="G14" i="29"/>
  <c r="I9" i="29"/>
  <c r="J9" i="29"/>
  <c r="I6" i="29"/>
  <c r="J6" i="29"/>
  <c r="E2" i="29"/>
  <c r="F5" i="29"/>
  <c r="G5" i="29"/>
  <c r="F9" i="29"/>
  <c r="G9" i="29"/>
  <c r="I10" i="29"/>
  <c r="J10" i="29"/>
  <c r="I13" i="29"/>
  <c r="J13" i="29"/>
  <c r="F11" i="29"/>
  <c r="G11" i="29"/>
  <c r="F8" i="29"/>
  <c r="G8" i="29"/>
  <c r="F12" i="29"/>
  <c r="G12" i="29"/>
  <c r="I16" i="29"/>
  <c r="J16" i="29"/>
  <c r="F9" i="18"/>
  <c r="G9" i="18"/>
  <c r="F14" i="18"/>
  <c r="G14" i="18"/>
  <c r="F5" i="18"/>
  <c r="G5" i="18"/>
  <c r="F13" i="18"/>
  <c r="G13" i="18"/>
  <c r="I16" i="18"/>
  <c r="E4" i="34"/>
  <c r="E2" i="34"/>
  <c r="F7" i="18"/>
  <c r="G7" i="18"/>
  <c r="F11" i="18"/>
  <c r="G11" i="18"/>
  <c r="F15" i="18"/>
  <c r="G15" i="18"/>
  <c r="I17" i="18"/>
  <c r="F4" i="18"/>
  <c r="G4" i="18"/>
  <c r="F8" i="18"/>
  <c r="G8" i="18"/>
  <c r="F12" i="18"/>
  <c r="G12" i="18"/>
  <c r="I17" i="1"/>
  <c r="J17" i="1"/>
  <c r="I16" i="1"/>
  <c r="J16" i="1"/>
  <c r="I2" i="33"/>
  <c r="J2" i="33"/>
  <c r="K2" i="33"/>
  <c r="I2" i="32"/>
  <c r="J2" i="32"/>
  <c r="K2" i="32"/>
  <c r="I2" i="31"/>
  <c r="J2" i="31"/>
  <c r="K2" i="31"/>
  <c r="I2" i="28"/>
  <c r="J2" i="28"/>
  <c r="F2" i="28"/>
  <c r="G2" i="28"/>
  <c r="I2" i="27"/>
  <c r="J2" i="27"/>
  <c r="K2" i="27"/>
  <c r="I2" i="26"/>
  <c r="J2" i="26"/>
  <c r="I2" i="19"/>
  <c r="J2" i="19"/>
  <c r="K2" i="19"/>
  <c r="F2" i="20"/>
  <c r="G2" i="20"/>
  <c r="K2" i="20"/>
  <c r="I2" i="20"/>
  <c r="J2" i="20"/>
  <c r="I2" i="21"/>
  <c r="J2" i="21"/>
  <c r="K2" i="21"/>
  <c r="I2" i="4"/>
  <c r="J2" i="4"/>
  <c r="K2" i="4"/>
  <c r="I2" i="3"/>
  <c r="J2" i="3"/>
  <c r="F7" i="1"/>
  <c r="G7" i="1"/>
  <c r="F15" i="1"/>
  <c r="G15" i="1"/>
  <c r="F8" i="1"/>
  <c r="G8" i="1"/>
  <c r="F11" i="1"/>
  <c r="G11" i="1"/>
  <c r="F9" i="1"/>
  <c r="G9" i="1"/>
  <c r="F10" i="1"/>
  <c r="G10" i="1"/>
  <c r="F12" i="1"/>
  <c r="G12" i="1"/>
  <c r="F5" i="1"/>
  <c r="G5" i="1"/>
  <c r="F13" i="1"/>
  <c r="G13" i="1"/>
  <c r="F6" i="1"/>
  <c r="G6" i="1"/>
  <c r="F14" i="1"/>
  <c r="G14" i="1"/>
  <c r="I14" i="30"/>
  <c r="J14" i="30"/>
  <c r="I9" i="30"/>
  <c r="J9" i="30"/>
  <c r="I4" i="30"/>
  <c r="J4" i="30"/>
  <c r="F7" i="30"/>
  <c r="G7" i="30"/>
  <c r="I12" i="30"/>
  <c r="J12" i="30"/>
  <c r="I7" i="30"/>
  <c r="J7" i="30"/>
  <c r="I15" i="30"/>
  <c r="J15" i="30"/>
  <c r="I10" i="30"/>
  <c r="J10" i="30"/>
  <c r="I5" i="30"/>
  <c r="J5" i="30"/>
  <c r="I13" i="30"/>
  <c r="J13" i="30"/>
  <c r="I8" i="30"/>
  <c r="J8" i="30"/>
  <c r="I11" i="30"/>
  <c r="J11" i="30"/>
  <c r="F7" i="29"/>
  <c r="G7" i="29"/>
  <c r="I8" i="29"/>
  <c r="J8" i="29"/>
  <c r="I11" i="29"/>
  <c r="J11" i="29"/>
  <c r="J6" i="26"/>
  <c r="J9" i="26"/>
  <c r="J12" i="26"/>
  <c r="J15" i="26"/>
  <c r="I14" i="29"/>
  <c r="J14" i="29"/>
  <c r="I4" i="29"/>
  <c r="J4" i="29"/>
  <c r="F15" i="29"/>
  <c r="G15" i="29"/>
  <c r="I5" i="29"/>
  <c r="J5" i="29"/>
  <c r="J7" i="26"/>
  <c r="I14" i="18"/>
  <c r="I9" i="18"/>
  <c r="I6" i="18"/>
  <c r="I4" i="18"/>
  <c r="J4" i="18"/>
  <c r="I12" i="18"/>
  <c r="I7" i="18"/>
  <c r="I15" i="18"/>
  <c r="I10" i="18"/>
  <c r="D4" i="34"/>
  <c r="I5" i="18"/>
  <c r="I13" i="18"/>
  <c r="I8" i="18"/>
  <c r="I11" i="18"/>
  <c r="F4" i="29"/>
  <c r="G4" i="29"/>
  <c r="I7" i="1"/>
  <c r="J7" i="1"/>
  <c r="I4" i="1"/>
  <c r="I5" i="1"/>
  <c r="J5" i="1"/>
  <c r="I15" i="1"/>
  <c r="J15" i="1"/>
  <c r="I12" i="1"/>
  <c r="J12" i="1"/>
  <c r="I11" i="1"/>
  <c r="J11" i="1"/>
  <c r="I10" i="1"/>
  <c r="J10" i="1"/>
  <c r="I6" i="1"/>
  <c r="J6" i="1"/>
  <c r="F2" i="3"/>
  <c r="G2" i="3"/>
  <c r="F4" i="1"/>
  <c r="G4" i="1"/>
  <c r="I14" i="1"/>
  <c r="J14" i="1"/>
  <c r="I13" i="1"/>
  <c r="J13" i="1"/>
  <c r="I9" i="1"/>
  <c r="J9" i="1"/>
  <c r="I8" i="1"/>
  <c r="J8" i="1"/>
  <c r="F2" i="33"/>
  <c r="G2" i="33"/>
  <c r="F2" i="32"/>
  <c r="G2" i="32"/>
  <c r="F2" i="31"/>
  <c r="G2" i="31"/>
  <c r="F2" i="27"/>
  <c r="G2" i="27"/>
  <c r="F2" i="26"/>
  <c r="G2" i="26"/>
  <c r="F2" i="19"/>
  <c r="G2" i="19"/>
  <c r="F2" i="21"/>
  <c r="G2" i="21"/>
  <c r="F2" i="4"/>
  <c r="G2" i="4"/>
  <c r="I2" i="72"/>
  <c r="F5" i="34"/>
  <c r="G5" i="34"/>
  <c r="F16" i="34"/>
  <c r="G16" i="34"/>
  <c r="F6" i="34"/>
  <c r="G6" i="34"/>
  <c r="F15" i="34"/>
  <c r="G15" i="34"/>
  <c r="F9" i="34"/>
  <c r="G9" i="34"/>
  <c r="F14" i="34"/>
  <c r="G14" i="34"/>
  <c r="F13" i="34"/>
  <c r="G13" i="34"/>
  <c r="F12" i="34"/>
  <c r="G12" i="34"/>
  <c r="F11" i="34"/>
  <c r="G11" i="34"/>
  <c r="F7" i="34"/>
  <c r="G7" i="34"/>
  <c r="F10" i="34"/>
  <c r="G10" i="34"/>
  <c r="F8" i="34"/>
  <c r="G8" i="34"/>
  <c r="F2" i="29"/>
  <c r="G2" i="29"/>
  <c r="J12" i="18"/>
  <c r="I12" i="34"/>
  <c r="J12" i="34"/>
  <c r="J11" i="18"/>
  <c r="I11" i="34"/>
  <c r="J11" i="34"/>
  <c r="J17" i="18"/>
  <c r="I17" i="34"/>
  <c r="J17" i="34"/>
  <c r="J6" i="18"/>
  <c r="I6" i="34"/>
  <c r="J6" i="34"/>
  <c r="J16" i="18"/>
  <c r="I16" i="34"/>
  <c r="J16" i="34"/>
  <c r="J15" i="18"/>
  <c r="I15" i="34"/>
  <c r="J15" i="34"/>
  <c r="J14" i="18"/>
  <c r="I14" i="34"/>
  <c r="J14" i="34"/>
  <c r="J13" i="18"/>
  <c r="I13" i="34"/>
  <c r="J13" i="34"/>
  <c r="J10" i="18"/>
  <c r="I10" i="34"/>
  <c r="J10" i="34"/>
  <c r="J9" i="18"/>
  <c r="I9" i="34"/>
  <c r="J9" i="34"/>
  <c r="J8" i="18"/>
  <c r="I8" i="34"/>
  <c r="J8" i="34"/>
  <c r="J7" i="18"/>
  <c r="I7" i="34"/>
  <c r="J7" i="34"/>
  <c r="J5" i="18"/>
  <c r="I5" i="34"/>
  <c r="J5" i="34"/>
  <c r="F4" i="34"/>
  <c r="G4" i="34"/>
  <c r="I2" i="1"/>
  <c r="J2" i="1"/>
  <c r="J4" i="1"/>
  <c r="I4" i="34"/>
  <c r="J4" i="34"/>
  <c r="I2" i="29"/>
  <c r="J2" i="29"/>
  <c r="I2" i="30"/>
  <c r="J2" i="30"/>
  <c r="F2" i="30"/>
  <c r="G2" i="30"/>
  <c r="I2" i="18"/>
  <c r="J2" i="18"/>
  <c r="F2" i="18"/>
  <c r="G2" i="18"/>
  <c r="F2" i="1"/>
  <c r="G2" i="1"/>
  <c r="J2" i="72"/>
  <c r="F2" i="72"/>
  <c r="G2" i="72"/>
  <c r="J187" i="1"/>
  <c r="I187" i="34"/>
  <c r="J187" i="34"/>
  <c r="J186" i="1"/>
  <c r="I186" i="34"/>
  <c r="J186" i="34"/>
  <c r="D189" i="34"/>
  <c r="F189" i="1"/>
  <c r="G189" i="1"/>
  <c r="F189" i="34"/>
  <c r="G189" i="34"/>
  <c r="D2" i="34"/>
  <c r="I2" i="34"/>
  <c r="J2" i="34"/>
  <c r="F2" i="34"/>
  <c r="G2"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tc={FEC78F6E-B6A8-46E5-AE38-8A2E85B6C96B}</author>
  </authors>
  <commentList>
    <comment ref="D10" authorId="0" shapeId="0" xr:uid="{FEC78F6E-B6A8-46E5-AE38-8A2E85B6C96B}">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tc={47C2B8D1-FF8F-4B22-B4D7-B7CE2920B0C7}</author>
  </authors>
  <commentList>
    <comment ref="D10" authorId="0" shapeId="0" xr:uid="{47C2B8D1-FF8F-4B22-B4D7-B7CE2920B0C7}">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<sst xmlns="http://schemas.openxmlformats.org/spreadsheetml/2006/main" count="2061" uniqueCount="957">
  <si>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</si>
  <si>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</si>
  <si>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</si>
  <si>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</si>
  <si>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</si>
  <si>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</si>
  <si>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</si>
  <si>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</si>
  <si>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</si>
  <si>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</si>
  <si>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</si>
  <si>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</si>
  <si>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</si>
  <si>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</si>
  <si>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</si>
  <si>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</si>
  <si>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</si>
  <si>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</si>
  <si>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</si>
  <si>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</si>
  <si>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</si>
  <si>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</si>
  <si>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</si>
  <si>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1.Low generation due to weather/snow.</t>
  </si>
  <si>
    <t>1.Meter has no communication due that we have added total inverter production as total site production</t>
  </si>
  <si>
    <t>1. SR094057</t>
  </si>
  <si>
    <t>1. Site tripped offline at 13:15 and self resolved at 14:15 on 01/15</t>
  </si>
  <si>
    <t>1. SR091355</t>
  </si>
  <si>
    <t>1. Inverter 2 was offline throughout the month and reporting fault "Watchdog". Gen Cap will work directly with Rural Solar.
2. Inverter 1 is underperforming 30kW, no fault code. Holding dispatch until all inverters are replaced during repower.</t>
  </si>
  <si>
    <t>1. SR082252,SR092555
2. SR091903</t>
  </si>
  <si>
    <t>SR092555</t>
  </si>
  <si>
    <t>SR091903</t>
  </si>
  <si>
    <t>1. 8 inverters are offline and need to be replaced, no fault code. Gen Cap will work directly with Rural Solar.</t>
  </si>
  <si>
    <t>1. SR092556</t>
  </si>
  <si>
    <t>1. Site underperformed by 24kW, likely due to one of the offline inverter. Technician found Inverter 2 offline due to an ARC detection fault. Replaced MC4 connector for String 13, restoring production on 01/23.</t>
  </si>
  <si>
    <t>1. SR095708</t>
  </si>
  <si>
    <t>1. Expected values are too low observed during monthly reports. The weather station at site is virtual weather station.</t>
  </si>
  <si>
    <t>1. SR093028</t>
  </si>
  <si>
    <t>1. Inverter 2 has been sporadically derating on high irradiance days, with a history of issues. Technician, with SMA's support, identified an overcurrent in one IGBT CT. The entire IGBT unit will to be replaced.
2. Expected values are too low observed during monthly reports. The weather station at site is virtual weather station.</t>
  </si>
  <si>
    <t>1. SR091894
2. SR093029</t>
  </si>
  <si>
    <t>SR093029</t>
  </si>
  <si>
    <t>1. Meters 8 &amp; 9 are continuously tripping and self-resolving. Technician found a State 514 fault, and Fronius confirmed two faulty power stacks need replacement.</t>
  </si>
  <si>
    <t>1. SR093550</t>
  </si>
  <si>
    <t>1. Inverters 4 and 11 are experiencing heavy shading throughout the day due to trees.</t>
  </si>
  <si>
    <t>1. SR093047</t>
  </si>
  <si>
    <t>1. Inverter 3 was offline on 01/16 with no fault code and self resolved on 01/17.</t>
  </si>
  <si>
    <t>1. SR095619</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</si>
  <si>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</si>
  <si>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</si>
  <si>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</si>
  <si>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</si>
  <si>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</si>
  <si>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</si>
  <si>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</si>
  <si>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</si>
  <si>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</si>
  <si>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</si>
  <si>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</si>
  <si>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</si>
  <si>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</si>
  <si>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</si>
  <si>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</si>
  <si>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</si>
  <si>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</si>
  <si>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</si>
  <si>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</si>
  <si>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</si>
  <si>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</si>
  <si>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</si>
  <si>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</si>
  <si>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</si>
  <si>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</si>
  <si>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</si>
  <si>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</si>
  <si>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</si>
  <si>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</si>
  <si>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</si>
  <si>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</si>
  <si>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</si>
  <si>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</si>
  <si>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</si>
  <si>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</si>
  <si>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</si>
  <si>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</si>
  <si>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</si>
  <si>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</si>
  <si>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</si>
  <si>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</si>
  <si>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</si>
  <si>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</si>
  <si>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</si>
  <si>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</si>
  <si>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</si>
  <si>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</si>
  <si>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</si>
  <si>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</si>
  <si>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</si>
  <si>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</si>
  <si>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</si>
  <si>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</si>
  <si>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</si>
  <si>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</si>
  <si>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</si>
  <si>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</si>
  <si>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</si>
  <si>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</si>
  <si>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</si>
  <si>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</si>
  <si>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</si>
  <si>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</si>
  <si>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</si>
  <si>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</si>
  <si>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</si>
  <si>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</si>
  <si>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</si>
  <si>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</si>
  <si>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</si>
  <si>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</si>
  <si>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</si>
  <si>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</si>
  <si>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</si>
  <si>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</si>
  <si>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</si>
  <si>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</si>
  <si>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</si>
  <si>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</si>
  <si>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</si>
  <si>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</si>
  <si>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</si>
  <si>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</si>
  <si>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</si>
  <si>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</si>
  <si>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</si>
  <si>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</si>
  <si>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</si>
  <si>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</si>
  <si>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</si>
  <si>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</si>
  <si>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</si>
  <si>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</si>
  <si>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</si>
  <si>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</si>
  <si>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</si>
  <si>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</si>
  <si>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</si>
  <si>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</si>
  <si>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</si>
  <si>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</si>
  <si>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</si>
  <si>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</si>
  <si>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</si>
  <si>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</si>
  <si>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</si>
  <si>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</si>
  <si>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</si>
  <si>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</si>
  <si>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</si>
  <si>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</si>
  <si>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</si>
  <si>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 The site was offline for whole month due to non-operational meter and the meter being replaced.</t>
  </si>
  <si>
    <t>1. 	SR087641</t>
  </si>
  <si>
    <t>1. The inverter was offline from 01/01 as it was being RMA'd. After the inverter was replaced, it came back online on 01/16 at 11:00 AM.</t>
  </si>
  <si>
    <t>1. SR095581</t>
  </si>
  <si>
    <t>1. Inverter 3 is offline since 14:15 on 16/11/24 due to "Interference device" fault.
2. Site was back online on 01/01 at 07:00</t>
  </si>
  <si>
    <t>1.SR093354
2.SR094955</t>
  </si>
  <si>
    <t>SR094955</t>
  </si>
  <si>
    <t>1. Inverter 25 has been offline since 10/19/24 due to a Fault Current. Followed up with Aireko; Ameresco will dispatch in the first week of Feb for PMs and corrective maintenance.
2. Inverter 15 was offline since 12/17/24 due to Fault current. Followed up with Aireko; Ameresco will dispatch in the first week of Feb for PMs and corrective maintenance.
3. Inverters 9, 11, 14, 16, 17, and 19 went offline on 01/03 due to a grid reconnection fault. Other inverters also went offline on alternating days. From 01/03 to 01/06, all inverters experienced intermittent ON/OFF issues. On 01/07, all self-resolved and came back online.
4. Site self resolved and is back online on 01/02 at 16:15.
5. Inverter 26 was offline since 01/17 due to fault current.</t>
  </si>
  <si>
    <t>1. SR092332
2. SR094825
3. SR095136
4. SR095183
5. SR095649</t>
  </si>
  <si>
    <t>SR094825</t>
  </si>
  <si>
    <t>SR095136</t>
  </si>
  <si>
    <t>SR095183</t>
  </si>
  <si>
    <t>SR095649</t>
  </si>
  <si>
    <t>1. Inverter 4 was being RMA'd from 10/15.  Followed up with Aireko on new dispatching.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self-resolving on alternate days.  Followed up with Aireko on new dispatching.
8. Inverter 1 was offline since 12/20 due to Fault overcurrent single input. Followed up with Aireko on new dispatching.</t>
  </si>
  <si>
    <t>1.SR088869
2.SR092095
3. SR092115
4. SR092209
5. SR092255
6. SR092751
7. SR095850, SR092777
8. SR094998</t>
  </si>
  <si>
    <t>SR092095</t>
  </si>
  <si>
    <t>SR092115</t>
  </si>
  <si>
    <t>SR092209</t>
  </si>
  <si>
    <t>SR092255</t>
  </si>
  <si>
    <t>SR092751</t>
  </si>
  <si>
    <t>SR095850</t>
  </si>
  <si>
    <t>SR092777</t>
  </si>
  <si>
    <t>SR094998</t>
  </si>
  <si>
    <t>1. Weather station has barely reported values since 12/06, causing high expected energy readings. Troubleshooting planned for next site visit per Generate's request.</t>
  </si>
  <si>
    <t xml:space="preserve">	1. SR095305</t>
  </si>
  <si>
    <t>1. Weather station was not communicating since 01/14. Will address next time onsite.</t>
  </si>
  <si>
    <t>1. SR095643</t>
  </si>
  <si>
    <t>1.Site stopped communicating from 01/14 at 2:15AM, technician confirmed that cell modem seems to be stuck in "Dialing" according to the LED configuration and user manual.</t>
  </si>
  <si>
    <t>1.SR095531</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</si>
  <si>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</si>
  <si>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</si>
  <si>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</si>
  <si>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</si>
  <si>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</si>
  <si>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</si>
  <si>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</si>
  <si>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</si>
  <si>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</si>
  <si>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</si>
  <si>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</si>
  <si>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</si>
  <si>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</si>
  <si>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</si>
  <si>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</si>
  <si>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</si>
  <si>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</si>
  <si>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</si>
  <si>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</si>
  <si>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</si>
  <si>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</si>
  <si>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</si>
  <si>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</si>
  <si>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</si>
  <si>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</si>
  <si>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</si>
  <si>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</si>
  <si>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</si>
  <si>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</si>
  <si>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</si>
  <si>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</si>
  <si>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</si>
  <si>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</si>
  <si>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</si>
  <si>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</si>
  <si>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</si>
  <si>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</si>
  <si>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</si>
  <si>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</si>
  <si>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</si>
  <si>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</si>
  <si>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</si>
  <si>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</si>
  <si>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</si>
  <si>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</si>
  <si>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</si>
  <si>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</si>
  <si>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</si>
  <si>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</si>
  <si>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</si>
  <si>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</si>
  <si>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</si>
  <si>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</si>
  <si>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</si>
  <si>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</si>
  <si>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</si>
  <si>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</si>
  <si>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</si>
  <si>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</si>
  <si>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</si>
  <si>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</si>
  <si>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</si>
  <si>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</si>
  <si>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</si>
  <si>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</si>
  <si>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</si>
  <si>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</si>
  <si>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</si>
  <si>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</si>
  <si>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</si>
  <si>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</si>
  <si>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</si>
  <si>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</si>
  <si>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</si>
  <si>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</si>
  <si>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</si>
  <si>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</si>
  <si>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</si>
  <si>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</si>
  <si>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</si>
  <si>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February Actual v. Expected</t>
  </si>
  <si>
    <t>February Actual v. Forecasted</t>
  </si>
  <si>
    <t>1.SR094057</t>
  </si>
  <si>
    <t>1. Inverter 2 was offline throughout the month and reporting fault "Watchdog". Gen Cap will work directly with Rural Solar.
2.Inverter 1 shows production in line with peers from 02/13</t>
  </si>
  <si>
    <t>1.SR092555
2.SR091903</t>
  </si>
  <si>
    <t>1.8 inverters are offline and need to be replaced, no fault code. Gen Cap will work directly with Rural Solar.</t>
  </si>
  <si>
    <t>1.SR092556</t>
  </si>
  <si>
    <t>1.SR093028</t>
  </si>
  <si>
    <t>1.SR091894 , SR093029
2.SR093029</t>
  </si>
  <si>
    <t>1.SR093550</t>
  </si>
  <si>
    <t>1. Inverters 4 and 11 are experiencing heavy shading throughout the day due to trees.
2. Inverter 2 tripped offline at 09:00 AM on 02/28 and reporting "Shutdown: Abnormal".</t>
  </si>
  <si>
    <t>1.SR093047
2.	SR097910</t>
  </si>
  <si>
    <t>SR097910</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</si>
  <si>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</si>
  <si>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</si>
  <si>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</si>
  <si>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</si>
  <si>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</si>
  <si>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</si>
  <si>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</si>
  <si>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</si>
  <si>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</si>
  <si>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</si>
  <si>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</si>
  <si>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</si>
  <si>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</si>
  <si>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</si>
  <si>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</si>
  <si>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</si>
  <si>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</si>
  <si>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</si>
  <si>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</si>
  <si>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</si>
  <si>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</si>
  <si>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</si>
  <si>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</si>
  <si>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</si>
  <si>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</si>
  <si>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</si>
  <si>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</si>
  <si>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</si>
  <si>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</si>
  <si>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</si>
  <si>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</si>
  <si>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</si>
  <si>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</si>
  <si>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</si>
  <si>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</si>
  <si>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</si>
  <si>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</si>
  <si>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</si>
  <si>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</si>
  <si>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</si>
  <si>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</si>
  <si>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</si>
  <si>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</si>
  <si>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</si>
  <si>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</si>
  <si>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</si>
  <si>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</si>
  <si>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</si>
  <si>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</si>
  <si>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</si>
  <si>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</si>
  <si>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</si>
  <si>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</si>
  <si>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</si>
  <si>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</si>
  <si>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</si>
  <si>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</si>
  <si>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</si>
  <si>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</si>
  <si>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</si>
  <si>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</si>
  <si>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</si>
  <si>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</si>
  <si>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</si>
  <si>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</si>
  <si>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</si>
  <si>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</si>
  <si>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</si>
  <si>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</si>
  <si>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</si>
  <si>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</si>
  <si>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</si>
  <si>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</si>
  <si>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</si>
  <si>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</si>
  <si>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</si>
  <si>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</si>
  <si>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</si>
  <si>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</si>
  <si>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</si>
  <si>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</si>
  <si>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</si>
  <si>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</si>
  <si>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</si>
  <si>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</si>
  <si>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</si>
  <si>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</si>
  <si>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</si>
  <si>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</si>
  <si>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</si>
  <si>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</si>
  <si>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</si>
  <si>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</si>
  <si>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</si>
  <si>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</si>
  <si>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</si>
  <si>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</si>
  <si>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1.Site has been offline since 02/05 at 22:15. The technician will get in touch with Erika to schedule a time to access the electrical room. The technician was unable to gain access to the site and will need to schedule a return visit.</t>
  </si>
  <si>
    <t>1.SR096397</t>
  </si>
  <si>
    <t>1. The site was offline for whole month due to non-operational meter and the meter being replaced the new meter, but the data was not populating in AE portal. Additional troubleshooting is required with AlsoEnergy</t>
  </si>
  <si>
    <t>1.SR087641 , 	SR097740</t>
  </si>
  <si>
    <t>SR097740</t>
  </si>
  <si>
    <t>1. Inverter 3 is offline since 14:15 from 16/11/24 due to "Interference device" fault and will need to be looked at during the PM visit
2.Site tripped offline at 01:45 to 04:00 on 02/07 
3. Site not started has voltages, reporting reconnection fault grid on 02/13 at 07:00 and selfresolved at 13:45 on same day
4.Inverter 4 is down a string  will need to be looked at during the PM visit</t>
  </si>
  <si>
    <t>1.SR093354
2.SR096413
3.	SR096870
4.SR092301</t>
  </si>
  <si>
    <t>SR096413</t>
  </si>
  <si>
    <t>SR096870</t>
  </si>
  <si>
    <t>SR092301</t>
  </si>
  <si>
    <t>1. Inverter 25 has been offline since 10/19/24 due to a Fault Current. Followed up with Aireko; Ameresco will dispatch in  during the PM and work with manufacturer as needed
2. Inverter 15 was offline since 12/17/24 due to Fault current. Followed up with Aireko; Ameresco will dispatch in the first week of Feb for PMs and corrective maintenance.
3. Inverter 26 was offline since 01/17 due to fault current and also inverter 22 offlline  investigate while onsite and work with manufacturer as needed. 
4.Inverter 14 tripped offline at 11:45AM from 02/02 during the PM  technician reset the inverter and it came back online on 02/22
5. Inverters 16,17, and 19 are down a string.  During the PM will investigate</t>
  </si>
  <si>
    <t>1.SR092332
2.SR094825
3.	SR095649
4.SR096223
5.	SR097176</t>
  </si>
  <si>
    <t>SR096223</t>
  </si>
  <si>
    <t>SR097176</t>
  </si>
  <si>
    <t>1. Inverter 4 was being RMA'd from 10/15.  Followed up with Aireko on new dispatching. Waiting for replacement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Tech reset the inverter to clear the fault inverter back online from 02/23
8. Inverter 1 was offline since 12/20 due to Fault overcurrent single input. Followed up with Aireko on new dispatching.</t>
  </si>
  <si>
    <t>1.SR088869
2.SR092095
3.	SR092115
4.	SR092209
5.SR092255
6.SR092751
7.SR095850
8.SR094998</t>
  </si>
  <si>
    <t>1.SR095305</t>
  </si>
  <si>
    <t>1.Site is significantly underproducing on each inverter given snow has melted and high irradiance is present.</t>
  </si>
  <si>
    <t>1.SR097968</t>
  </si>
  <si>
    <t>1.The site has been underperforming for the entire month due to a weather event</t>
  </si>
  <si>
    <t>1. Weather station was not communicating since 01/14. Will address next time onsite.
2.The site has been underperforming for the entire month due to a weather event</t>
  </si>
  <si>
    <t>1.SR095643</t>
  </si>
  <si>
    <t>1.Site stopped communicating from 01/14 at 2:15AM, technician confirmed that needs new data logger  need to be replaced.</t>
  </si>
  <si>
    <t>1.SR097969</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</si>
  <si>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</si>
  <si>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</si>
  <si>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</si>
  <si>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</si>
  <si>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</si>
  <si>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</si>
  <si>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</si>
  <si>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</si>
  <si>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</si>
  <si>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</si>
  <si>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</si>
  <si>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</si>
  <si>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</si>
  <si>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</si>
  <si>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</si>
  <si>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</si>
  <si>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</si>
  <si>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</si>
  <si>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</si>
  <si>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</si>
  <si>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</si>
  <si>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trackeers are stuck in different dates due to Several actuators adjusted from 01/06, need to contact slater to reset. Sent Slater an Email, 6 more trackers need TS</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</si>
  <si>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</si>
  <si>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</si>
  <si>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</si>
  <si>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</si>
  <si>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</si>
  <si>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</si>
  <si>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</si>
  <si>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</si>
  <si>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</si>
  <si>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</si>
  <si>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</si>
  <si>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</si>
  <si>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</si>
  <si>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</si>
  <si>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</si>
  <si>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</si>
  <si>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</si>
  <si>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</si>
  <si>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</si>
  <si>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</si>
  <si>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</si>
  <si>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</si>
  <si>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</si>
  <si>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</si>
  <si>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</si>
  <si>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</si>
  <si>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</si>
  <si>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</si>
  <si>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</si>
  <si>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</si>
  <si>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</si>
  <si>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</si>
  <si>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</si>
  <si>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</si>
  <si>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</si>
  <si>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</si>
  <si>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</si>
  <si>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</si>
  <si>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</si>
  <si>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</si>
  <si>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</si>
  <si>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</si>
  <si>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</si>
  <si>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</si>
  <si>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8i</t>
  </si>
  <si>
    <t>SOL-11086</t>
  </si>
  <si>
    <t>SOL-11087</t>
  </si>
  <si>
    <t>SOL-11088</t>
  </si>
  <si>
    <t>SOL-11089</t>
  </si>
  <si>
    <t>SOL-11090</t>
  </si>
  <si>
    <t>SOL-11091</t>
  </si>
  <si>
    <t>SOL-11092</t>
  </si>
  <si>
    <t>SOL-11093</t>
  </si>
  <si>
    <t>SOL-11094</t>
  </si>
  <si>
    <t>SOL-11095</t>
  </si>
  <si>
    <t>SOL-11096</t>
  </si>
  <si>
    <t>SOL-11097</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</si>
  <si>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</si>
  <si>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</si>
  <si>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</si>
  <si>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</si>
  <si>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</si>
  <si>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</si>
  <si>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</si>
  <si>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</si>
  <si>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</si>
  <si>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</si>
  <si>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</si>
  <si>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</si>
  <si>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</si>
  <si>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</si>
  <si>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SOL-11098</t>
  </si>
  <si>
    <t>SOL-11099</t>
  </si>
  <si>
    <t>SOL-11100</t>
  </si>
  <si>
    <t>SOL-11101</t>
  </si>
  <si>
    <t>SOL-11102</t>
  </si>
  <si>
    <t>SOL-11103</t>
  </si>
  <si>
    <t>SOL-11104</t>
  </si>
  <si>
    <t>SOL-11105</t>
  </si>
  <si>
    <t>SOL-11106</t>
  </si>
  <si>
    <t>SOL-11107</t>
  </si>
  <si>
    <t>SOL-11108</t>
  </si>
  <si>
    <t>SOL-11109</t>
  </si>
  <si>
    <t>November Actual v. Expected</t>
  </si>
  <si>
    <t>November Actual v. Forecasted</t>
  </si>
  <si>
    <t>December Actual v. Expected</t>
  </si>
  <si>
    <t>December Actual v. Forecasted</t>
  </si>
  <si>
    <t>Portfolio:</t>
  </si>
  <si>
    <t>Generate Capital</t>
  </si>
  <si>
    <t>Site DAS Name</t>
  </si>
  <si>
    <t>Update</t>
  </si>
  <si>
    <t>DAS</t>
  </si>
  <si>
    <t>ASU - Farmer</t>
  </si>
  <si>
    <t>Farmer</t>
  </si>
  <si>
    <t>AZ</t>
  </si>
  <si>
    <t>PowerTrack</t>
  </si>
  <si>
    <t>SOL-10748</t>
  </si>
  <si>
    <t>ASU - Fulton</t>
  </si>
  <si>
    <t>Fulton</t>
  </si>
  <si>
    <t>SOL-10749</t>
  </si>
  <si>
    <t>JFK Elementary</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</si>
  <si>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</si>
  <si>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</si>
  <si>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</si>
  <si>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</si>
  <si>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</si>
  <si>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</si>
  <si>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</si>
  <si>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</si>
  <si>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</si>
  <si>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</si>
  <si>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</si>
  <si>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</si>
  <si>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</si>
  <si>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</si>
  <si>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</si>
  <si>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</si>
  <si>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</si>
  <si>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</si>
  <si>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</si>
  <si>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</si>
  <si>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</si>
  <si>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</si>
  <si>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</si>
  <si>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</si>
  <si>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</si>
  <si>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</si>
  <si>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</si>
  <si>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</si>
  <si>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</si>
  <si>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</si>
  <si>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</si>
  <si>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</si>
  <si>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</si>
  <si>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</si>
  <si>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</si>
  <si>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</si>
  <si>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</si>
  <si>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</si>
  <si>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</si>
  <si>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</si>
  <si>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</si>
  <si>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</si>
  <si>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</si>
  <si>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</si>
  <si>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</si>
  <si>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</si>
  <si>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</si>
  <si>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</si>
  <si>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</si>
  <si>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</si>
  <si>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</si>
  <si>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</si>
  <si>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</si>
  <si>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</si>
  <si>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</si>
  <si>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</si>
  <si>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</si>
  <si>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</si>
  <si>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</si>
  <si>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</si>
  <si>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</si>
  <si>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</si>
  <si>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</si>
  <si>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</si>
  <si>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</si>
  <si>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</si>
  <si>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</si>
  <si>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</si>
  <si>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</si>
  <si>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</si>
  <si>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</si>
  <si>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</si>
  <si>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</si>
  <si>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</si>
  <si>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</si>
  <si>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</si>
  <si>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</si>
  <si>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</si>
  <si>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</si>
  <si>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</si>
  <si>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</si>
  <si>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</si>
  <si>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</si>
  <si>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</si>
  <si>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</si>
  <si>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</si>
  <si>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</si>
  <si>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</si>
  <si>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</si>
  <si>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</si>
  <si>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</si>
  <si>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</si>
  <si>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</si>
  <si>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</si>
  <si>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</si>
  <si>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</si>
  <si>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</si>
  <si>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</si>
  <si>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</si>
  <si>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</si>
  <si>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</si>
  <si>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</si>
  <si>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</si>
  <si>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</si>
  <si>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</si>
  <si>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</si>
  <si>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</si>
  <si>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</si>
  <si>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</si>
  <si>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</si>
  <si>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</si>
  <si>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</si>
  <si>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</si>
  <si>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</si>
  <si>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</si>
  <si>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</si>
  <si>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</si>
  <si>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</si>
  <si>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</si>
  <si>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</si>
  <si>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</si>
  <si>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</si>
  <si>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</si>
  <si>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</si>
  <si>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</si>
  <si>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</si>
  <si>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</si>
  <si>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</si>
  <si>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</si>
  <si>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</si>
  <si>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</si>
  <si>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</si>
  <si>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</si>
  <si>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</si>
  <si>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</si>
  <si>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</si>
  <si>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</si>
  <si>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</si>
  <si>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</si>
  <si>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</si>
  <si>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</si>
  <si>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</si>
  <si>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</si>
  <si>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</si>
  <si>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</si>
  <si>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</si>
  <si>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</si>
  <si>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</si>
  <si>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</si>
  <si>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</si>
  <si>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</si>
  <si>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</si>
  <si>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</si>
  <si>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</si>
  <si>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</si>
  <si>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</si>
  <si>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</si>
  <si>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</si>
  <si>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</si>
  <si>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EA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</si>
  <si>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</si>
  <si>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</si>
  <si>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</si>
  <si>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</si>
  <si>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</si>
  <si>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</si>
  <si>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</si>
  <si>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</si>
  <si>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</si>
  <si>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</si>
  <si>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</si>
  <si>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</si>
  <si>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</si>
  <si>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</si>
  <si>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</si>
  <si>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</si>
  <si>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</si>
  <si>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</si>
  <si>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</si>
  <si>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</si>
  <si>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</si>
  <si>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</si>
  <si>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</si>
  <si>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A</t>
  </si>
  <si>
    <t>SOL-10966</t>
  </si>
  <si>
    <t>Canoga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</si>
  <si>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</si>
  <si>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</si>
  <si>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</si>
  <si>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</si>
  <si>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</si>
  <si>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</si>
  <si>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</si>
  <si>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</si>
  <si>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</si>
  <si>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</si>
  <si>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</si>
  <si>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</si>
  <si>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</si>
  <si>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</si>
  <si>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</si>
  <si>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</si>
  <si>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</si>
  <si>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</si>
  <si>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</si>
  <si>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</si>
  <si>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</si>
  <si>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</si>
  <si>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</si>
  <si>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</si>
  <si>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</si>
  <si>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</si>
  <si>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</si>
  <si>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</si>
  <si>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</si>
  <si>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</si>
  <si>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</si>
  <si>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</si>
  <si>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</si>
  <si>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</si>
  <si>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</si>
  <si>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</si>
  <si>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</si>
  <si>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</si>
  <si>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</si>
  <si>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</si>
  <si>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</si>
  <si>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</si>
  <si>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</si>
  <si>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</si>
  <si>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</si>
  <si>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</si>
  <si>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</si>
  <si>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</si>
  <si>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</si>
  <si>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</si>
  <si>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</si>
  <si>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</si>
  <si>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</si>
  <si>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</si>
  <si>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</si>
  <si>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</si>
  <si>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</si>
  <si>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</si>
  <si>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</si>
  <si>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</si>
  <si>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</si>
  <si>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</si>
  <si>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</si>
  <si>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SOL-10039</t>
  </si>
  <si>
    <t>Weinberg 2</t>
  </si>
  <si>
    <t>SOL-10045</t>
  </si>
  <si>
    <t>Weinberg 3</t>
  </si>
  <si>
    <t>SOL-10042</t>
  </si>
  <si>
    <t>Clayton Hall</t>
  </si>
  <si>
    <t>DE</t>
  </si>
  <si>
    <t>SOL-10820</t>
  </si>
  <si>
    <t>Field House</t>
  </si>
  <si>
    <t>SOL-10821</t>
  </si>
  <si>
    <t>Wyoming Road</t>
  </si>
  <si>
    <t>SOL-10819</t>
  </si>
  <si>
    <t>Leoku</t>
  </si>
  <si>
    <t>HI</t>
  </si>
  <si>
    <t>SOL-10071</t>
  </si>
  <si>
    <t>Waipahu</t>
  </si>
  <si>
    <t>SOL-10068</t>
  </si>
  <si>
    <t>Bird in Hand</t>
  </si>
  <si>
    <t>MD</t>
  </si>
  <si>
    <t>SOL-10092</t>
  </si>
  <si>
    <t>Shortal</t>
  </si>
  <si>
    <t>SOL-10091</t>
  </si>
  <si>
    <t>Aguadilla</t>
  </si>
  <si>
    <t>PR</t>
  </si>
  <si>
    <t>SOL-10072</t>
  </si>
  <si>
    <t>Bayamon</t>
  </si>
  <si>
    <t>SOL-10073</t>
  </si>
  <si>
    <t>St Francis</t>
  </si>
  <si>
    <t>SOL-10034</t>
  </si>
  <si>
    <t>Seaport</t>
  </si>
  <si>
    <t>SOL-10772</t>
  </si>
  <si>
    <t>Sprague St</t>
  </si>
  <si>
    <t>SOL-10773</t>
  </si>
  <si>
    <t>Summer St</t>
  </si>
  <si>
    <t>SOL-10764</t>
  </si>
  <si>
    <t>Brock St Vocational</t>
  </si>
  <si>
    <t>NH</t>
  </si>
  <si>
    <t>SOL-10768</t>
  </si>
  <si>
    <t>McClelland ES</t>
  </si>
  <si>
    <t>SOL-10766</t>
  </si>
  <si>
    <t>Portland St</t>
  </si>
  <si>
    <t>SOL-10771</t>
  </si>
  <si>
    <t>Portsmouth HS</t>
  </si>
  <si>
    <t>SOL-10769</t>
  </si>
  <si>
    <t>Portsmouth WTP</t>
  </si>
  <si>
    <t>SOL-10770</t>
  </si>
  <si>
    <t>Rochester St</t>
  </si>
  <si>
    <t>SOL-10765</t>
  </si>
  <si>
    <t>Spaulding HS</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</si>
  <si>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</si>
  <si>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</si>
  <si>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</si>
  <si>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</si>
  <si>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</si>
  <si>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</si>
  <si>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</si>
  <si>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</si>
  <si>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</si>
  <si>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</si>
  <si>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</si>
  <si>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</si>
  <si>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</si>
  <si>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</si>
  <si>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</si>
  <si>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</si>
  <si>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</si>
  <si>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</si>
  <si>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</si>
  <si>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</si>
  <si>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</si>
  <si>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</si>
  <si>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</si>
  <si>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SOL-10998</t>
  </si>
  <si>
    <t>Brodhead Solar</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</si>
  <si>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</si>
  <si>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</si>
  <si>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</si>
  <si>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</si>
  <si>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</si>
  <si>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</si>
  <si>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</si>
  <si>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</si>
  <si>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</si>
  <si>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</si>
  <si>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</si>
  <si>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</si>
  <si>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</si>
  <si>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</si>
  <si>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</si>
  <si>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</si>
  <si>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</si>
  <si>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</si>
  <si>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</si>
  <si>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</si>
  <si>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</si>
  <si>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</si>
  <si>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</si>
  <si>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</si>
  <si>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</si>
  <si>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</si>
  <si>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</si>
  <si>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Krumkill South</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</si>
  <si>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</si>
  <si>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</si>
  <si>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</si>
  <si>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</si>
  <si>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</si>
  <si>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</si>
  <si>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</si>
  <si>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</si>
  <si>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</si>
  <si>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</si>
  <si>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</si>
  <si>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</si>
  <si>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</si>
  <si>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</si>
  <si>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</si>
  <si>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</si>
  <si>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</si>
  <si>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</si>
  <si>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</si>
  <si>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</si>
  <si>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</si>
  <si>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</si>
  <si>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</si>
  <si>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</si>
  <si>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</si>
  <si>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</si>
  <si>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</si>
  <si>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</si>
  <si>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</si>
  <si>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</si>
  <si>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</si>
  <si>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</si>
  <si>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</si>
  <si>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</si>
  <si>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</si>
  <si>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</si>
  <si>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</si>
  <si>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</si>
  <si>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</si>
  <si>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</si>
  <si>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</si>
  <si>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</si>
  <si>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</si>
  <si>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</si>
  <si>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</si>
  <si>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</si>
  <si>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</si>
  <si>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</si>
  <si>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</si>
  <si>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</si>
  <si>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</si>
  <si>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</si>
  <si>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</si>
  <si>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</si>
  <si>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</si>
  <si>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</si>
  <si>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AEF</t>
  </si>
  <si>
    <t>SOL-10898</t>
  </si>
  <si>
    <t>County Route 11B</t>
  </si>
  <si>
    <t>SOL-10983</t>
  </si>
  <si>
    <t>Barone</t>
  </si>
  <si>
    <t>SOL-11034</t>
  </si>
  <si>
    <t>Cedarville</t>
  </si>
  <si>
    <t>SOL-11069</t>
  </si>
  <si>
    <t xml:space="preserve"> O'Brien Hill #1</t>
  </si>
  <si>
    <t xml:space="preserve"> O'Brien Hill #2</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</si>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</sst>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theme="1"/>
      <name val="Arial"/>
    </font>
    <font>
      <sz val="11"/>
      <name val="Calibri"/>
    </font>
    <font>
      <sz val="11"/>
      <color rgb="FF000000"/>
      <name val="Calibri"/>
      <charset val="1"/>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theme="4" tint="0.39997558519241921"/>
      </right>
      <top style="thin">
        <color theme="4" tint="0.39997558519241921"/>
      </top>
      <bottom style="thin">
        <color theme="4" tint="0.39997558519241921"/>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52">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0" fontId="0" fillId="46" borderId="0" xfId="0" applyFill="1"/>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24" fillId="46" borderId="0" xfId="0" applyNumberFormat="1" applyFont="1" applyFill="1" applyAlignment="1">
      <alignment horizontal="left" vertical="top" wrapText="1"/>
    </xf>
    <xf numFmtId="49" fontId="31" fillId="38" borderId="0" xfId="2" applyNumberFormat="1" applyFont="1" applyFill="1" applyAlignment="1">
      <alignment vertical="top" wrapText="1"/>
    </xf>
    <xf numFmtId="49" fontId="31" fillId="46"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5"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49" fontId="39" fillId="38" borderId="0" xfId="2" applyNumberFormat="1" applyFont="1" applyFill="1" applyBorder="1" applyAlignment="1">
      <alignment horizontal="left" vertical="top" wrapText="1"/>
    </xf>
    <xf numFmtId="0" fontId="33" fillId="0" borderId="0" xfId="0" applyFont="1" applyAlignment="1">
      <alignment horizontal="left" vertical="top"/>
    </xf>
    <xf numFmtId="0" fontId="33" fillId="0" borderId="0" xfId="0" applyFont="1" applyAlignment="1">
      <alignment horizontal="left" vertical="top" wrapText="1"/>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3" fontId="24" fillId="0" borderId="0" xfId="0" applyNumberFormat="1" applyFont="1" applyAlignment="1">
      <alignment horizontal="right"/>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24" fillId="0" borderId="0" xfId="0" applyNumberFormat="1" applyFont="1" applyAlignment="1">
      <alignment vertical="center" wrapText="1" inden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1" fillId="0" borderId="0" xfId="0" applyNumberFormat="1" applyFont="1" applyAlignment="1">
      <alignment horizontal="left" vertical="top" wrapText="1"/>
    </xf>
    <xf numFmtId="0" fontId="47" fillId="40" borderId="12" xfId="0" applyFont="1" applyFill="1" applyBorder="1"/>
    <xf numFmtId="0" fontId="47" fillId="0" borderId="12" xfId="0" applyFont="1" applyBorder="1"/>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49" fontId="1" fillId="0" borderId="0" xfId="0" applyNumberFormat="1" applyFont="1" applyAlignment="1">
      <alignment vertical="top" wrapText="1"/>
    </xf>
    <xf numFmtId="49" fontId="1" fillId="0" borderId="0" xfId="0" applyNumberFormat="1" applyFont="1" applyAlignment="1">
      <alignment vertical="center" wrapText="1"/>
    </xf>
    <xf numFmtId="49" fontId="1" fillId="46" borderId="0" xfId="0" applyNumberFormat="1" applyFont="1" applyFill="1" applyAlignment="1">
      <alignment horizontal="left" vertical="top" wrapText="1"/>
    </xf>
    <xf numFmtId="49" fontId="1" fillId="46" borderId="0" xfId="0" applyNumberFormat="1" applyFont="1" applyFill="1" applyAlignment="1">
      <alignment vertical="center" wrapText="1"/>
    </xf>
    <xf numFmtId="0" fontId="31" fillId="0" borderId="0" xfId="0" applyFont="1" applyAlignment="1">
      <alignment horizontal="center"/>
    </xf>
    <xf numFmtId="0" fontId="48" fillId="0" borderId="0" xfId="0" applyFont="1" applyAlignment="1">
      <alignment wrapText="1"/>
    </xf>
    <xf numFmtId="0" fontId="48" fillId="0" borderId="0" xfId="0" applyFont="1" applyAlignment="1">
      <alignment horizontal="left" vertical="top" wrapText="1"/>
    </xf>
    <xf numFmtId="0" fontId="49" fillId="0" borderId="0" xfId="0" applyFont="1"/>
    <xf numFmtId="0" fontId="49" fillId="0" borderId="0" xfId="0" applyFont="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193">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Guest User" id="{EB5A5C9F-731B-42AB-BB24-288AD262E1EF}" userId="S::urn:spo:anon#e601f5ede0214b39ffce09eb3f6d0303c273ec03a6da9030f8e882b96afd04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200" totalsRowShown="0">
  <autoFilter ref="A3:F200"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2-04T07:49:53.64" personId="{AF97A668-C846-42C6-9CD9-D5A754369886}" id="{FEC78F6E-B6A8-46E5-AE38-8A2E85B6C96B}">
    <text>Since meter has no communication from 11/07 we have consider total inverter production as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5-03-04T05:03:42.53" personId="{AF97A668-C846-42C6-9CD9-D5A754369886}" id="{47C2B8D1-FF8F-4B22-B4D7-B7CE2920B0C7}">
    <text>Since meter has no communication from 11/07 we have consider total inverter production as site production.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threadedComments/threadedComment4.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094262" TargetMode="External"/><Relationship Id="rId21" Type="http://schemas.openxmlformats.org/officeDocument/2006/relationships/hyperlink" Target="https://us3.assetplanner.com/service_request?ID=096202" TargetMode="External"/><Relationship Id="rId42" Type="http://schemas.openxmlformats.org/officeDocument/2006/relationships/hyperlink" Target="https://us3.assetplanner.com/service_request?ID=095645" TargetMode="External"/><Relationship Id="rId63" Type="http://schemas.openxmlformats.org/officeDocument/2006/relationships/hyperlink" Target="https://us3.assetplanner.com/service_request?ID=096056" TargetMode="External"/><Relationship Id="rId84" Type="http://schemas.openxmlformats.org/officeDocument/2006/relationships/hyperlink" Target="https://us3.assetplanner.com/service_request?ID=095865" TargetMode="External"/><Relationship Id="rId138" Type="http://schemas.openxmlformats.org/officeDocument/2006/relationships/hyperlink" Target="https://us3.assetplanner.com/service_request?ID=095955" TargetMode="External"/><Relationship Id="rId159" Type="http://schemas.openxmlformats.org/officeDocument/2006/relationships/comments" Target="../comments1.xml"/><Relationship Id="rId107" Type="http://schemas.openxmlformats.org/officeDocument/2006/relationships/hyperlink" Target="https://us3.assetplanner.com/service_request?ID=095531" TargetMode="External"/><Relationship Id="rId11" Type="http://schemas.openxmlformats.org/officeDocument/2006/relationships/hyperlink" Target="https://us3.assetplanner.com/service_request?ID=093550" TargetMode="External"/><Relationship Id="rId32" Type="http://schemas.openxmlformats.org/officeDocument/2006/relationships/hyperlink" Target="https://us3.assetplanner.com/service_request?ID=093470" TargetMode="External"/><Relationship Id="rId53" Type="http://schemas.openxmlformats.org/officeDocument/2006/relationships/hyperlink" Target="https://us3.assetplanner.com/service_request?ID=092964" TargetMode="External"/><Relationship Id="rId74" Type="http://schemas.openxmlformats.org/officeDocument/2006/relationships/hyperlink" Target="https://us3.assetplanner.com/service_request?ID=095109" TargetMode="External"/><Relationship Id="rId128" Type="http://schemas.openxmlformats.org/officeDocument/2006/relationships/hyperlink" Target="https://us3.assetplanner.com/service_request?ID=095886" TargetMode="External"/><Relationship Id="rId149" Type="http://schemas.openxmlformats.org/officeDocument/2006/relationships/hyperlink" Target="https://us3.assetplanner.com/service_request?ID=095099" TargetMode="External"/><Relationship Id="rId5" Type="http://schemas.openxmlformats.org/officeDocument/2006/relationships/hyperlink" Target="https://us3.assetplanner.com/service_request?ID=091903" TargetMode="External"/><Relationship Id="rId95" Type="http://schemas.openxmlformats.org/officeDocument/2006/relationships/hyperlink" Target="https://us3.assetplanner.com/service_request?ID=095649" TargetMode="External"/><Relationship Id="rId160" Type="http://schemas.microsoft.com/office/2017/10/relationships/threadedComment" Target="../threadedComments/threadedComment1.xml"/><Relationship Id="rId22" Type="http://schemas.openxmlformats.org/officeDocument/2006/relationships/hyperlink" Target="https://us3.assetplanner.com/service_request?ID=096130" TargetMode="External"/><Relationship Id="rId43" Type="http://schemas.openxmlformats.org/officeDocument/2006/relationships/hyperlink" Target="https://us3.assetplanner.com/service_request?ID=095176" TargetMode="External"/><Relationship Id="rId64" Type="http://schemas.openxmlformats.org/officeDocument/2006/relationships/hyperlink" Target="https://us3.assetplanner.com/service_request?ID=095635" TargetMode="External"/><Relationship Id="rId118" Type="http://schemas.openxmlformats.org/officeDocument/2006/relationships/hyperlink" Target="https://us3.assetplanner.com/service_request?ID=095624" TargetMode="External"/><Relationship Id="rId139" Type="http://schemas.openxmlformats.org/officeDocument/2006/relationships/hyperlink" Target="https://us3.assetplanner.com/service_request?ID=095937" TargetMode="External"/><Relationship Id="rId80" Type="http://schemas.openxmlformats.org/officeDocument/2006/relationships/hyperlink" Target="https://us3.assetplanner.com/service_request?ID=095506" TargetMode="External"/><Relationship Id="rId85" Type="http://schemas.openxmlformats.org/officeDocument/2006/relationships/hyperlink" Target="https://us3.assetplanner.com/service_request?ID=096147" TargetMode="External"/><Relationship Id="rId150" Type="http://schemas.openxmlformats.org/officeDocument/2006/relationships/hyperlink" Target="https://us3.assetplanner.com/service_request?ID=095797" TargetMode="External"/><Relationship Id="rId155" Type="http://schemas.openxmlformats.org/officeDocument/2006/relationships/hyperlink" Target="https://us3.assetplanner.com/service_request?ID=095328" TargetMode="External"/><Relationship Id="rId12" Type="http://schemas.openxmlformats.org/officeDocument/2006/relationships/hyperlink" Target="https://us3.assetplanner.com/service_request?ID=093047" TargetMode="External"/><Relationship Id="rId17"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095395" TargetMode="External"/><Relationship Id="rId38" Type="http://schemas.openxmlformats.org/officeDocument/2006/relationships/hyperlink" Target="https://us3.assetplanner.com/service_request?ID=095885" TargetMode="External"/><Relationship Id="rId59" Type="http://schemas.openxmlformats.org/officeDocument/2006/relationships/hyperlink" Target="https://us3.assetplanner.com/service_request?ID=093375" TargetMode="External"/><Relationship Id="rId103" Type="http://schemas.openxmlformats.org/officeDocument/2006/relationships/hyperlink" Target="https://us3.assetplanner.com/service_request?ID=092777" TargetMode="External"/><Relationship Id="rId108" Type="http://schemas.openxmlformats.org/officeDocument/2006/relationships/hyperlink" Target="https://us3.assetplanner.com/service_request?ID=095678" TargetMode="External"/><Relationship Id="rId124" Type="http://schemas.openxmlformats.org/officeDocument/2006/relationships/hyperlink" Target="https://us3.assetplanner.com/service_request?ID=094820" TargetMode="External"/><Relationship Id="rId129" Type="http://schemas.openxmlformats.org/officeDocument/2006/relationships/hyperlink" Target="https://us3.assetplanner.com/service_request?ID=095986" TargetMode="External"/><Relationship Id="rId54" Type="http://schemas.openxmlformats.org/officeDocument/2006/relationships/hyperlink" Target="https://us3.assetplanner.com/service_request?ID=095253" TargetMode="External"/><Relationship Id="rId70" Type="http://schemas.openxmlformats.org/officeDocument/2006/relationships/hyperlink" Target="https://us3.assetplanner.com/service_request?ID=096113" TargetMode="External"/><Relationship Id="rId75" Type="http://schemas.openxmlformats.org/officeDocument/2006/relationships/hyperlink" Target="https://us3.assetplanner.com/service_request?ID=095371" TargetMode="External"/><Relationship Id="rId91" Type="http://schemas.openxmlformats.org/officeDocument/2006/relationships/hyperlink" Target="https://us3.assetplanner.com/service_request?ID=092332" TargetMode="External"/><Relationship Id="rId96" Type="http://schemas.openxmlformats.org/officeDocument/2006/relationships/hyperlink" Target="https://us3.assetplanner.com/service_request?ID=088869" TargetMode="External"/><Relationship Id="rId140" Type="http://schemas.openxmlformats.org/officeDocument/2006/relationships/hyperlink" Target="https://us3.assetplanner.com/service_request?ID=095938" TargetMode="External"/><Relationship Id="rId145" Type="http://schemas.openxmlformats.org/officeDocument/2006/relationships/hyperlink" Target="https://us3.assetplanner.com/service_request?ID=095940"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093326" TargetMode="External"/><Relationship Id="rId28" Type="http://schemas.openxmlformats.org/officeDocument/2006/relationships/hyperlink" Target="https://us3.assetplanner.com/service_request?ID=095899" TargetMode="External"/><Relationship Id="rId49" Type="http://schemas.openxmlformats.org/officeDocument/2006/relationships/hyperlink" Target="https://us3.assetplanner.com/service_request?ID=095991" TargetMode="External"/><Relationship Id="rId114" Type="http://schemas.openxmlformats.org/officeDocument/2006/relationships/hyperlink" Target="https://us3.assetplanner.com/service_request?ID=094986" TargetMode="External"/><Relationship Id="rId119" Type="http://schemas.openxmlformats.org/officeDocument/2006/relationships/hyperlink" Target="https://us3.assetplanner.com/service_request?ID=093637" TargetMode="External"/><Relationship Id="rId44" Type="http://schemas.openxmlformats.org/officeDocument/2006/relationships/hyperlink" Target="https://us3.assetplanner.com/service_request?ID=095483" TargetMode="External"/><Relationship Id="rId60" Type="http://schemas.openxmlformats.org/officeDocument/2006/relationships/hyperlink" Target="https://us3.assetplanner.com/service_request?ID=095549" TargetMode="External"/><Relationship Id="rId65" Type="http://schemas.openxmlformats.org/officeDocument/2006/relationships/hyperlink" Target="https://us3.assetplanner.com/service_request?ID=095374" TargetMode="External"/><Relationship Id="rId81" Type="http://schemas.openxmlformats.org/officeDocument/2006/relationships/hyperlink" Target="https://us3.assetplanner.com/service_request?ID=095508" TargetMode="External"/><Relationship Id="rId86" Type="http://schemas.openxmlformats.org/officeDocument/2006/relationships/hyperlink" Target="https://us3.assetplanner.com/service_request?ID=095073" TargetMode="External"/><Relationship Id="rId130" Type="http://schemas.openxmlformats.org/officeDocument/2006/relationships/hyperlink" Target="https://us3.assetplanner.com/service_request?ID=096141" TargetMode="External"/><Relationship Id="rId135" Type="http://schemas.openxmlformats.org/officeDocument/2006/relationships/hyperlink" Target="https://us3.assetplanner.com/service_request?ID=095962" TargetMode="External"/><Relationship Id="rId151" Type="http://schemas.openxmlformats.org/officeDocument/2006/relationships/hyperlink" Target="https://us3.assetplanner.com/service_request?ID=095644" TargetMode="External"/><Relationship Id="rId156" Type="http://schemas.openxmlformats.org/officeDocument/2006/relationships/hyperlink" Target="https://us3.assetplanner.com/service_request?ID=096127" TargetMode="External"/><Relationship Id="rId13" Type="http://schemas.openxmlformats.org/officeDocument/2006/relationships/hyperlink" Target="https://us3.assetplanner.com/service_request?ID=095619" TargetMode="External"/><Relationship Id="rId18" Type="http://schemas.openxmlformats.org/officeDocument/2006/relationships/hyperlink" Target="https://us3.assetplanner.com/service_request?ID=093196" TargetMode="External"/><Relationship Id="rId39" Type="http://schemas.openxmlformats.org/officeDocument/2006/relationships/hyperlink" Target="https://us3.assetplanner.com/service_request?ID=095919" TargetMode="External"/><Relationship Id="rId109" Type="http://schemas.openxmlformats.org/officeDocument/2006/relationships/hyperlink" Target="https://us3.assetplanner.com/service_request?ID=096054" TargetMode="External"/><Relationship Id="rId34" Type="http://schemas.openxmlformats.org/officeDocument/2006/relationships/hyperlink" Target="https://us3.assetplanner.com/service_request?ID=095473" TargetMode="External"/><Relationship Id="rId50" Type="http://schemas.openxmlformats.org/officeDocument/2006/relationships/hyperlink" Target="https://us3.assetplanner.com/service_request?ID=096045" TargetMode="External"/><Relationship Id="rId55" Type="http://schemas.openxmlformats.org/officeDocument/2006/relationships/hyperlink" Target="https://us3.assetplanner.com/service_request?ID=095252" TargetMode="External"/><Relationship Id="rId76" Type="http://schemas.openxmlformats.org/officeDocument/2006/relationships/hyperlink" Target="https://us3.assetplanner.com/service_request?ID=095373" TargetMode="External"/><Relationship Id="rId97" Type="http://schemas.openxmlformats.org/officeDocument/2006/relationships/hyperlink" Target="https://us3.assetplanner.com/service_request?ID=092095" TargetMode="External"/><Relationship Id="rId104" Type="http://schemas.openxmlformats.org/officeDocument/2006/relationships/hyperlink" Target="https://us3.assetplanner.com/service_request?ID=094998" TargetMode="External"/><Relationship Id="rId120" Type="http://schemas.openxmlformats.org/officeDocument/2006/relationships/hyperlink" Target="https://us3.assetplanner.com/service_request?ID=096042" TargetMode="External"/><Relationship Id="rId125" Type="http://schemas.openxmlformats.org/officeDocument/2006/relationships/hyperlink" Target="https://us3.assetplanner.com/service_request?ID=095759" TargetMode="External"/><Relationship Id="rId141" Type="http://schemas.openxmlformats.org/officeDocument/2006/relationships/hyperlink" Target="https://us3.assetplanner.com/service_request?ID=095939" TargetMode="External"/><Relationship Id="rId146" Type="http://schemas.openxmlformats.org/officeDocument/2006/relationships/hyperlink" Target="https://us3.assetplanner.com/service_request?ID=095242" TargetMode="External"/><Relationship Id="rId7" Type="http://schemas.openxmlformats.org/officeDocument/2006/relationships/hyperlink" Target="https://us3.assetplanner.com/service_request?ID=095708" TargetMode="External"/><Relationship Id="rId71" Type="http://schemas.openxmlformats.org/officeDocument/2006/relationships/hyperlink" Target="https://us3.assetplanner.com/service_request?ID=095917" TargetMode="External"/><Relationship Id="rId92" Type="http://schemas.openxmlformats.org/officeDocument/2006/relationships/hyperlink" Target="https://us3.assetplanner.com/service_request?ID=094825" TargetMode="External"/><Relationship Id="rId2" Type="http://schemas.openxmlformats.org/officeDocument/2006/relationships/hyperlink" Target="https://us3.assetplanner.com/service_request?ID=091355" TargetMode="External"/><Relationship Id="rId29" Type="http://schemas.openxmlformats.org/officeDocument/2006/relationships/hyperlink" Target="https://us3.assetplanner.com/service_request?ID=095707" TargetMode="External"/><Relationship Id="rId24" Type="http://schemas.openxmlformats.org/officeDocument/2006/relationships/hyperlink" Target="https://us3.assetplanner.com/service_request?ID=095758" TargetMode="External"/><Relationship Id="rId40" Type="http://schemas.openxmlformats.org/officeDocument/2006/relationships/hyperlink" Target="https://us3.assetplanner.com/service_request?ID=095976" TargetMode="External"/><Relationship Id="rId45" Type="http://schemas.openxmlformats.org/officeDocument/2006/relationships/hyperlink" Target="https://us3.assetplanner.com/service_request?ID=093024" TargetMode="External"/><Relationship Id="rId66" Type="http://schemas.openxmlformats.org/officeDocument/2006/relationships/hyperlink" Target="https://us3.assetplanner.com/service_request?ID=095374" TargetMode="External"/><Relationship Id="rId87" Type="http://schemas.openxmlformats.org/officeDocument/2006/relationships/hyperlink" Target="https://us3.assetplanner.com/service_request?ID=08764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30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0" TargetMode="External"/><Relationship Id="rId157" Type="http://schemas.openxmlformats.org/officeDocument/2006/relationships/printerSettings" Target="../printerSettings/printerSettings3.bin"/><Relationship Id="rId61" Type="http://schemas.openxmlformats.org/officeDocument/2006/relationships/hyperlink" Target="https://us3.assetplanner.com/service_request?ID=095496" TargetMode="External"/><Relationship Id="rId82" Type="http://schemas.openxmlformats.org/officeDocument/2006/relationships/hyperlink" Target="https://us3.assetplanner.com/service_request?ID=095507" TargetMode="External"/><Relationship Id="rId152" Type="http://schemas.openxmlformats.org/officeDocument/2006/relationships/hyperlink" Target="https://us3.assetplanner.com/service_request?ID=096127" TargetMode="External"/><Relationship Id="rId19" Type="http://schemas.openxmlformats.org/officeDocument/2006/relationships/hyperlink" Target="https://us3.assetplanner.com/service_request?ID=095201" TargetMode="External"/><Relationship Id="rId14" Type="http://schemas.openxmlformats.org/officeDocument/2006/relationships/hyperlink" Target="https://us3.assetplanner.com/service_request?ID=093291" TargetMode="External"/><Relationship Id="rId30" Type="http://schemas.openxmlformats.org/officeDocument/2006/relationships/hyperlink" Target="https://us3.assetplanner.com/service_request?ID=095899" TargetMode="External"/><Relationship Id="rId35" Type="http://schemas.openxmlformats.org/officeDocument/2006/relationships/hyperlink" Target="https://us3.assetplanner.com/service_request?ID=096164" TargetMode="External"/><Relationship Id="rId56" Type="http://schemas.openxmlformats.org/officeDocument/2006/relationships/hyperlink" Target="https://us3.assetplanner.com/service_request?ID=093436" TargetMode="External"/><Relationship Id="rId77" Type="http://schemas.openxmlformats.org/officeDocument/2006/relationships/hyperlink" Target="https://us3.assetplanner.com/service_request?ID=096177" TargetMode="External"/><Relationship Id="rId100" Type="http://schemas.openxmlformats.org/officeDocument/2006/relationships/hyperlink" Target="https://us3.assetplanner.com/service_request?ID=092255" TargetMode="External"/><Relationship Id="rId105" Type="http://schemas.openxmlformats.org/officeDocument/2006/relationships/hyperlink" Target="https://us3.assetplanner.com/service_request?ID=095305" TargetMode="External"/><Relationship Id="rId126" Type="http://schemas.openxmlformats.org/officeDocument/2006/relationships/hyperlink" Target="https://us3.assetplanner.com/service_request?ID=093842" TargetMode="External"/><Relationship Id="rId147" Type="http://schemas.openxmlformats.org/officeDocument/2006/relationships/hyperlink" Target="https://us3.assetplanner.com/service_request?ID=095500" TargetMode="External"/><Relationship Id="rId8" Type="http://schemas.openxmlformats.org/officeDocument/2006/relationships/hyperlink" Target="https://us3.assetplanner.com/service_request?ID=093028" TargetMode="External"/><Relationship Id="rId51" Type="http://schemas.openxmlformats.org/officeDocument/2006/relationships/hyperlink" Target="https://us3.assetplanner.com/service_request?ID=095991" TargetMode="External"/><Relationship Id="rId72" Type="http://schemas.openxmlformats.org/officeDocument/2006/relationships/hyperlink" Target="https://us3.assetplanner.com/service_request?ID=094891" TargetMode="External"/><Relationship Id="rId93" Type="http://schemas.openxmlformats.org/officeDocument/2006/relationships/hyperlink" Target="https://us3.assetplanner.com/service_request?ID=095136" TargetMode="External"/><Relationship Id="rId98" Type="http://schemas.openxmlformats.org/officeDocument/2006/relationships/hyperlink" Target="https://us3.assetplanner.com/service_request?ID=092115" TargetMode="External"/><Relationship Id="rId121" Type="http://schemas.openxmlformats.org/officeDocument/2006/relationships/hyperlink" Target="https://us3.assetplanner.com/service_request?ID=096006" TargetMode="External"/><Relationship Id="rId142" Type="http://schemas.openxmlformats.org/officeDocument/2006/relationships/hyperlink" Target="https://us3.assetplanner.com/service_request?ID=095941" TargetMode="External"/><Relationship Id="rId3" Type="http://schemas.openxmlformats.org/officeDocument/2006/relationships/hyperlink" Target="https://us3.assetplanner.com/service_request?ID=082252" TargetMode="External"/><Relationship Id="rId25" Type="http://schemas.openxmlformats.org/officeDocument/2006/relationships/hyperlink" Target="https://us3.assetplanner.com/service_request?ID=095297" TargetMode="External"/><Relationship Id="rId46" Type="http://schemas.openxmlformats.org/officeDocument/2006/relationships/hyperlink" Target="https://us3.assetplanner.com/service_request?ID=095445" TargetMode="External"/><Relationship Id="rId67" Type="http://schemas.openxmlformats.org/officeDocument/2006/relationships/hyperlink" Target="https://us3.assetplanner.com/service_request?ID=096112" TargetMode="External"/><Relationship Id="rId116" Type="http://schemas.openxmlformats.org/officeDocument/2006/relationships/hyperlink" Target="https://us3.assetplanner.com/service_request?ID=095185" TargetMode="External"/><Relationship Id="rId137" Type="http://schemas.openxmlformats.org/officeDocument/2006/relationships/hyperlink" Target="https://us3.assetplanner.com/service_request?ID=095956" TargetMode="External"/><Relationship Id="rId158" Type="http://schemas.openxmlformats.org/officeDocument/2006/relationships/vmlDrawing" Target="../drawings/vmlDrawing1.vml"/><Relationship Id="rId20" Type="http://schemas.openxmlformats.org/officeDocument/2006/relationships/hyperlink" Target="https://us3.assetplanner.com/service_request?ID=094206" TargetMode="External"/><Relationship Id="rId41" Type="http://schemas.openxmlformats.org/officeDocument/2006/relationships/hyperlink" Target="https://us3.assetplanner.com/service_request?ID=096119" TargetMode="External"/><Relationship Id="rId62" Type="http://schemas.openxmlformats.org/officeDocument/2006/relationships/hyperlink" Target="https://us3.assetplanner.com/service_request?ID=095852" TargetMode="External"/><Relationship Id="rId83" Type="http://schemas.openxmlformats.org/officeDocument/2006/relationships/hyperlink" Target="https://us3.assetplanner.com/service_request?ID=095211" TargetMode="External"/><Relationship Id="rId88" Type="http://schemas.openxmlformats.org/officeDocument/2006/relationships/hyperlink" Target="https://us3.assetplanner.com/service_request?ID=095581" TargetMode="External"/><Relationship Id="rId111" Type="http://schemas.openxmlformats.org/officeDocument/2006/relationships/hyperlink" Target="https://us3.assetplanner.com/service_request?ID=095558" TargetMode="External"/><Relationship Id="rId132" Type="http://schemas.openxmlformats.org/officeDocument/2006/relationships/hyperlink" Target="https://us3.assetplanner.com/service_request?ID=095946" TargetMode="External"/><Relationship Id="rId153" Type="http://schemas.openxmlformats.org/officeDocument/2006/relationships/hyperlink" Target="https://us3.assetplanner.com/service_request?ID=095284" TargetMode="External"/><Relationship Id="rId15" Type="http://schemas.openxmlformats.org/officeDocument/2006/relationships/hyperlink" Target="https://us3.assetplanner.com/service_request?ID=093633" TargetMode="External"/><Relationship Id="rId36" Type="http://schemas.openxmlformats.org/officeDocument/2006/relationships/hyperlink" Target="https://us3.assetplanner.com/service_request?ID=095433" TargetMode="External"/><Relationship Id="rId57" Type="http://schemas.openxmlformats.org/officeDocument/2006/relationships/hyperlink" Target="https://us3.assetplanner.com/service_request?ID=096100" TargetMode="External"/><Relationship Id="rId106" Type="http://schemas.openxmlformats.org/officeDocument/2006/relationships/hyperlink" Target="https://us3.assetplanner.com/service_request?ID=095643" TargetMode="External"/><Relationship Id="rId127" Type="http://schemas.openxmlformats.org/officeDocument/2006/relationships/hyperlink" Target="https://us3.assetplanner.com/service_request?ID=095582"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3285" TargetMode="External"/><Relationship Id="rId52" Type="http://schemas.openxmlformats.org/officeDocument/2006/relationships/hyperlink" Target="https://us3.assetplanner.com/service_request?ID=096126" TargetMode="External"/><Relationship Id="rId73" Type="http://schemas.openxmlformats.org/officeDocument/2006/relationships/hyperlink" Target="https://us3.assetplanner.com/service_request?ID=095812" TargetMode="External"/><Relationship Id="rId78" Type="http://schemas.openxmlformats.org/officeDocument/2006/relationships/hyperlink" Target="https://us3.assetplanner.com/service_request?ID=096106" TargetMode="External"/><Relationship Id="rId94" Type="http://schemas.openxmlformats.org/officeDocument/2006/relationships/hyperlink" Target="https://us3.assetplanner.com/service_request?ID=095183" TargetMode="External"/><Relationship Id="rId99" Type="http://schemas.openxmlformats.org/officeDocument/2006/relationships/hyperlink" Target="https://us3.assetplanner.com/service_request?ID=092209" TargetMode="External"/><Relationship Id="rId101" Type="http://schemas.openxmlformats.org/officeDocument/2006/relationships/hyperlink" Target="https://us3.assetplanner.com/service_request?ID=092751" TargetMode="External"/><Relationship Id="rId122" Type="http://schemas.openxmlformats.org/officeDocument/2006/relationships/hyperlink" Target="https://us3.assetplanner.com/service_request?ID=096107" TargetMode="External"/><Relationship Id="rId143" Type="http://schemas.openxmlformats.org/officeDocument/2006/relationships/hyperlink" Target="https://us3.assetplanner.com/service_request?ID=095942" TargetMode="External"/><Relationship Id="rId148" Type="http://schemas.openxmlformats.org/officeDocument/2006/relationships/hyperlink" Target="https://us3.assetplanner.com/service_request?ID=096195" TargetMode="External"/><Relationship Id="rId4" Type="http://schemas.openxmlformats.org/officeDocument/2006/relationships/hyperlink" Target="https://us3.assetplanner.com/service_request?ID=092555" TargetMode="External"/><Relationship Id="rId9" Type="http://schemas.openxmlformats.org/officeDocument/2006/relationships/hyperlink" Target="https://us3.assetplanner.com/service_request?ID=091894" TargetMode="External"/><Relationship Id="rId26" Type="http://schemas.openxmlformats.org/officeDocument/2006/relationships/hyperlink" Target="https://us3.assetplanner.com/service_request?ID=092042" TargetMode="External"/><Relationship Id="rId47" Type="http://schemas.openxmlformats.org/officeDocument/2006/relationships/hyperlink" Target="https://us3.assetplanner.com/service_request?ID=094278" TargetMode="External"/><Relationship Id="rId68" Type="http://schemas.openxmlformats.org/officeDocument/2006/relationships/hyperlink" Target="https://us3.assetplanner.com/service_request?ID=095375" TargetMode="External"/><Relationship Id="rId89" Type="http://schemas.openxmlformats.org/officeDocument/2006/relationships/hyperlink" Target="https://us3.assetplanner.com/service_request?ID=093354" TargetMode="External"/><Relationship Id="rId112" Type="http://schemas.openxmlformats.org/officeDocument/2006/relationships/hyperlink" Target="https://us3.assetplanner.com/service_request?ID=095213" TargetMode="External"/><Relationship Id="rId133" Type="http://schemas.openxmlformats.org/officeDocument/2006/relationships/hyperlink" Target="https://us3.assetplanner.com/service_request?ID=095948" TargetMode="External"/><Relationship Id="rId154" Type="http://schemas.openxmlformats.org/officeDocument/2006/relationships/hyperlink" Target="https://us3.assetplanner.com/service_request?ID=095992" TargetMode="External"/><Relationship Id="rId16" Type="http://schemas.openxmlformats.org/officeDocument/2006/relationships/hyperlink" Target="https://us3.assetplanner.com/service_request?ID=086842" TargetMode="External"/><Relationship Id="rId37" Type="http://schemas.openxmlformats.org/officeDocument/2006/relationships/hyperlink" Target="https://us3.assetplanner.com/service_request?ID=093972" TargetMode="External"/><Relationship Id="rId58" Type="http://schemas.openxmlformats.org/officeDocument/2006/relationships/hyperlink" Target="https://us3.assetplanner.com/service_request?ID=095376" TargetMode="External"/><Relationship Id="rId79" Type="http://schemas.openxmlformats.org/officeDocument/2006/relationships/hyperlink" Target="https://us3.assetplanner.com/service_request?ID=095599" TargetMode="External"/><Relationship Id="rId102" Type="http://schemas.openxmlformats.org/officeDocument/2006/relationships/hyperlink" Target="https://us3.assetplanner.com/service_request?ID=095850" TargetMode="External"/><Relationship Id="rId123" Type="http://schemas.openxmlformats.org/officeDocument/2006/relationships/hyperlink" Target="https://us3.assetplanner.com/service_request?ID=095269" TargetMode="External"/><Relationship Id="rId144" Type="http://schemas.openxmlformats.org/officeDocument/2006/relationships/hyperlink" Target="https://us3.assetplanner.com/service_request?ID=095961" TargetMode="External"/><Relationship Id="rId90" Type="http://schemas.openxmlformats.org/officeDocument/2006/relationships/hyperlink" Target="https://us3.assetplanner.com/service_request?ID=094955" TargetMode="External"/><Relationship Id="rId27" Type="http://schemas.openxmlformats.org/officeDocument/2006/relationships/hyperlink" Target="https://us3.assetplanner.com/service_request?ID=095706" TargetMode="External"/><Relationship Id="rId48" Type="http://schemas.openxmlformats.org/officeDocument/2006/relationships/hyperlink" Target="https://us3.assetplanner.com/service_request?ID=095604" TargetMode="External"/><Relationship Id="rId69" Type="http://schemas.openxmlformats.org/officeDocument/2006/relationships/hyperlink" Target="https://us3.assetplanner.com/service_request?ID=095375" TargetMode="External"/><Relationship Id="rId113" Type="http://schemas.openxmlformats.org/officeDocument/2006/relationships/hyperlink" Target="https://us3.assetplanner.com/service_request?ID=095794" TargetMode="External"/><Relationship Id="rId134" Type="http://schemas.openxmlformats.org/officeDocument/2006/relationships/hyperlink" Target="https://us3.assetplanner.com/service_request?ID=095950"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5758" TargetMode="External"/><Relationship Id="rId42" Type="http://schemas.openxmlformats.org/officeDocument/2006/relationships/hyperlink" Target="https://us3.assetplanner.com/service_request?ID=097011" TargetMode="External"/><Relationship Id="rId63" Type="http://schemas.openxmlformats.org/officeDocument/2006/relationships/hyperlink" Target="https://us3.assetplanner.com/service_request?ID=096675" TargetMode="External"/><Relationship Id="rId84" Type="http://schemas.openxmlformats.org/officeDocument/2006/relationships/hyperlink" Target="https://us3.assetplanner.com/service_request?ID=093354" TargetMode="External"/><Relationship Id="rId138" Type="http://schemas.openxmlformats.org/officeDocument/2006/relationships/hyperlink" Target="https://us3.assetplanner.com/service_request?ID=095960" TargetMode="External"/><Relationship Id="rId159" Type="http://schemas.openxmlformats.org/officeDocument/2006/relationships/hyperlink" Target="https://us3.assetplanner.com/service_request?ID=097168" TargetMode="External"/><Relationship Id="rId107" Type="http://schemas.openxmlformats.org/officeDocument/2006/relationships/hyperlink" Target="https://us3.assetplanner.com/service_request?ID=097015" TargetMode="External"/><Relationship Id="rId11" Type="http://schemas.openxmlformats.org/officeDocument/2006/relationships/hyperlink" Target="https://us3.assetplanner.com/service_request?ID=093291" TargetMode="External"/><Relationship Id="rId32" Type="http://schemas.openxmlformats.org/officeDocument/2006/relationships/hyperlink" Target="https://us3.assetplanner.com/service_request?ID=097643" TargetMode="External"/><Relationship Id="rId53" Type="http://schemas.openxmlformats.org/officeDocument/2006/relationships/hyperlink" Target="https://us3.assetplanner.com/service_request?ID=097162" TargetMode="External"/><Relationship Id="rId74" Type="http://schemas.openxmlformats.org/officeDocument/2006/relationships/hyperlink" Target="https://us3.assetplanner.com/service_request?ID=096106" TargetMode="External"/><Relationship Id="rId128" Type="http://schemas.openxmlformats.org/officeDocument/2006/relationships/hyperlink" Target="https://us3.assetplanner.com/service_request?ID=097913" TargetMode="External"/><Relationship Id="rId149" Type="http://schemas.openxmlformats.org/officeDocument/2006/relationships/hyperlink" Target="https://us3.assetplanner.com/service_request?ID=095961" TargetMode="External"/><Relationship Id="rId5" Type="http://schemas.openxmlformats.org/officeDocument/2006/relationships/hyperlink" Target="https://us3.assetplanner.com/service_request?ID=093028" TargetMode="External"/><Relationship Id="rId95" Type="http://schemas.openxmlformats.org/officeDocument/2006/relationships/hyperlink" Target="https://us3.assetplanner.com/service_request?ID=092115" TargetMode="External"/><Relationship Id="rId160" Type="http://schemas.openxmlformats.org/officeDocument/2006/relationships/hyperlink" Target="https://us3.assetplanner.com/service_request?ID=095797" TargetMode="External"/><Relationship Id="rId22" Type="http://schemas.openxmlformats.org/officeDocument/2006/relationships/hyperlink" Target="https://us3.assetplanner.com/service_request?ID=096330" TargetMode="External"/><Relationship Id="rId43" Type="http://schemas.openxmlformats.org/officeDocument/2006/relationships/hyperlink" Target="https://us3.assetplanner.com/service_request?ID=097121" TargetMode="External"/><Relationship Id="rId64" Type="http://schemas.openxmlformats.org/officeDocument/2006/relationships/hyperlink" Target="https://us3.assetplanner.com/service_request?ID=096552"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6" TargetMode="External"/><Relationship Id="rId85" Type="http://schemas.openxmlformats.org/officeDocument/2006/relationships/hyperlink" Target="https://us3.assetplanner.com/service_request?ID=096413" TargetMode="External"/><Relationship Id="rId150" Type="http://schemas.openxmlformats.org/officeDocument/2006/relationships/hyperlink" Target="https://us3.assetplanner.com/service_request?ID=097620" TargetMode="External"/><Relationship Id="rId12" Type="http://schemas.openxmlformats.org/officeDocument/2006/relationships/hyperlink" Target="https://us3.assetplanner.com/service_request?ID=093633" TargetMode="External"/><Relationship Id="rId17" Type="http://schemas.openxmlformats.org/officeDocument/2006/relationships/hyperlink" Target="https://us3.assetplanner.com/service_request?ID=097636" TargetMode="External"/><Relationship Id="rId33" Type="http://schemas.openxmlformats.org/officeDocument/2006/relationships/hyperlink" Target="https://us3.assetplanner.com/service_request?ID=095483" TargetMode="External"/><Relationship Id="rId38" Type="http://schemas.openxmlformats.org/officeDocument/2006/relationships/hyperlink" Target="https://us3.assetplanner.com/service_request?ID=096121" TargetMode="External"/><Relationship Id="rId59" Type="http://schemas.openxmlformats.org/officeDocument/2006/relationships/hyperlink" Target="https://us3.assetplanner.com/service_request?ID=096416" TargetMode="External"/><Relationship Id="rId103" Type="http://schemas.openxmlformats.org/officeDocument/2006/relationships/hyperlink" Target="https://us3.assetplanner.com/service_request?ID=095643" TargetMode="External"/><Relationship Id="rId108" Type="http://schemas.openxmlformats.org/officeDocument/2006/relationships/hyperlink" Target="https://us3.assetplanner.com/service_request?ID=097436" TargetMode="External"/><Relationship Id="rId124" Type="http://schemas.openxmlformats.org/officeDocument/2006/relationships/hyperlink" Target="https://us3.assetplanner.com/service_request?ID=097454" TargetMode="External"/><Relationship Id="rId129" Type="http://schemas.openxmlformats.org/officeDocument/2006/relationships/hyperlink" Target="https://us3.assetplanner.com/service_request?ID=097024" TargetMode="External"/><Relationship Id="rId54" Type="http://schemas.openxmlformats.org/officeDocument/2006/relationships/hyperlink" Target="https://us3.assetplanner.com/service_request?ID=097599" TargetMode="External"/><Relationship Id="rId70" Type="http://schemas.openxmlformats.org/officeDocument/2006/relationships/hyperlink" Target="https://us3.assetplanner.com/service_request?ID=095109" TargetMode="External"/><Relationship Id="rId75" Type="http://schemas.openxmlformats.org/officeDocument/2006/relationships/hyperlink" Target="https://us3.assetplanner.com/service_request?ID=095599" TargetMode="External"/><Relationship Id="rId91" Type="http://schemas.openxmlformats.org/officeDocument/2006/relationships/hyperlink" Target="https://us3.assetplanner.com/service_request?ID=096223" TargetMode="External"/><Relationship Id="rId96" Type="http://schemas.openxmlformats.org/officeDocument/2006/relationships/hyperlink" Target="https://us3.assetplanner.com/service_request?ID=092209" TargetMode="External"/><Relationship Id="rId140" Type="http://schemas.openxmlformats.org/officeDocument/2006/relationships/hyperlink" Target="https://us3.assetplanner.com/service_request?ID=096424" TargetMode="External"/><Relationship Id="rId145" Type="http://schemas.openxmlformats.org/officeDocument/2006/relationships/hyperlink" Target="https://us3.assetplanner.com/service_request?ID=095941" TargetMode="External"/><Relationship Id="rId161" Type="http://schemas.openxmlformats.org/officeDocument/2006/relationships/hyperlink" Target="https://us3.assetplanner.com/service_request?ID=095284"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3029" TargetMode="External"/><Relationship Id="rId23" Type="http://schemas.openxmlformats.org/officeDocument/2006/relationships/hyperlink" Target="https://us3.assetplanner.com/service_request?ID=095473" TargetMode="External"/><Relationship Id="rId28" Type="http://schemas.openxmlformats.org/officeDocument/2006/relationships/hyperlink" Target="https://us3.assetplanner.com/service_request?ID=095919" TargetMode="External"/><Relationship Id="rId49" Type="http://schemas.openxmlformats.org/officeDocument/2006/relationships/hyperlink" Target="https://us3.assetplanner.com/service_request?ID=097169" TargetMode="External"/><Relationship Id="rId114" Type="http://schemas.openxmlformats.org/officeDocument/2006/relationships/hyperlink" Target="https://us3.assetplanner.com/service_request?ID=097725" TargetMode="External"/><Relationship Id="rId119" Type="http://schemas.openxmlformats.org/officeDocument/2006/relationships/hyperlink" Target="https://us3.assetplanner.com/service_request?ID=096934" TargetMode="External"/><Relationship Id="rId44" Type="http://schemas.openxmlformats.org/officeDocument/2006/relationships/hyperlink" Target="https://us3.assetplanner.com/service_request?ID=094278" TargetMode="External"/><Relationship Id="rId60" Type="http://schemas.openxmlformats.org/officeDocument/2006/relationships/hyperlink" Target="https://us3.assetplanner.com/service_request?ID=097158" TargetMode="External"/><Relationship Id="rId65" Type="http://schemas.openxmlformats.org/officeDocument/2006/relationships/hyperlink" Target="https://us3.assetplanner.com/service_request?ID=095852" TargetMode="External"/><Relationship Id="rId81" Type="http://schemas.openxmlformats.org/officeDocument/2006/relationships/hyperlink" Target="https://us3.assetplanner.com/service_request?ID=096397" TargetMode="External"/><Relationship Id="rId86" Type="http://schemas.openxmlformats.org/officeDocument/2006/relationships/hyperlink" Target="https://us3.assetplanner.com/service_request?ID=096870" TargetMode="External"/><Relationship Id="rId130" Type="http://schemas.openxmlformats.org/officeDocument/2006/relationships/hyperlink" Target="https://us3.assetplanner.com/service_request?ID=097188" TargetMode="External"/><Relationship Id="rId135" Type="http://schemas.openxmlformats.org/officeDocument/2006/relationships/hyperlink" Target="https://us3.assetplanner.com/service_request?ID=095950" TargetMode="External"/><Relationship Id="rId151" Type="http://schemas.openxmlformats.org/officeDocument/2006/relationships/hyperlink" Target="https://us3.assetplanner.com/service_request?ID=096931" TargetMode="External"/><Relationship Id="rId156" Type="http://schemas.openxmlformats.org/officeDocument/2006/relationships/hyperlink" Target="https://us3.assetplanner.com/service_request?ID=093029" TargetMode="External"/><Relationship Id="rId13" Type="http://schemas.openxmlformats.org/officeDocument/2006/relationships/hyperlink" Target="https://us3.assetplanner.com/service_request?ID=086842" TargetMode="External"/><Relationship Id="rId18" Type="http://schemas.openxmlformats.org/officeDocument/2006/relationships/hyperlink" Target="https://us3.assetplanner.com/service_request?ID=096249" TargetMode="External"/><Relationship Id="rId39" Type="http://schemas.openxmlformats.org/officeDocument/2006/relationships/hyperlink" Target="https://us3.assetplanner.com/service_request?ID=096150" TargetMode="External"/><Relationship Id="rId109" Type="http://schemas.openxmlformats.org/officeDocument/2006/relationships/hyperlink" Target="https://us3.assetplanner.com/service_request?ID=097751" TargetMode="External"/><Relationship Id="rId34" Type="http://schemas.openxmlformats.org/officeDocument/2006/relationships/hyperlink" Target="https://us3.assetplanner.com/service_request?ID=097935"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684" TargetMode="External"/><Relationship Id="rId76" Type="http://schemas.openxmlformats.org/officeDocument/2006/relationships/hyperlink" Target="https://us3.assetplanner.com/service_request?ID=097829" TargetMode="External"/><Relationship Id="rId97" Type="http://schemas.openxmlformats.org/officeDocument/2006/relationships/hyperlink" Target="https://us3.assetplanner.com/service_request?ID=092255" TargetMode="External"/><Relationship Id="rId104" Type="http://schemas.openxmlformats.org/officeDocument/2006/relationships/hyperlink" Target="https://us3.assetplanner.com/service_request?ID=095531" TargetMode="External"/><Relationship Id="rId120" Type="http://schemas.openxmlformats.org/officeDocument/2006/relationships/hyperlink" Target="https://us3.assetplanner.com/service_request?ID=097471" TargetMode="External"/><Relationship Id="rId125" Type="http://schemas.openxmlformats.org/officeDocument/2006/relationships/hyperlink" Target="https://us3.assetplanner.com/service_request?ID=096303" TargetMode="External"/><Relationship Id="rId141" Type="http://schemas.openxmlformats.org/officeDocument/2006/relationships/hyperlink" Target="https://us3.assetplanner.com/service_request?ID=095955" TargetMode="External"/><Relationship Id="rId146" Type="http://schemas.openxmlformats.org/officeDocument/2006/relationships/hyperlink" Target="https://us3.assetplanner.com/service_request?ID=095940" TargetMode="External"/><Relationship Id="rId7" Type="http://schemas.openxmlformats.org/officeDocument/2006/relationships/hyperlink" Target="https://us3.assetplanner.com/service_request?ID=093550" TargetMode="External"/><Relationship Id="rId71" Type="http://schemas.openxmlformats.org/officeDocument/2006/relationships/hyperlink" Target="https://us3.assetplanner.com/service_request?ID=097685" TargetMode="External"/><Relationship Id="rId92" Type="http://schemas.openxmlformats.org/officeDocument/2006/relationships/hyperlink" Target="https://us3.assetplanner.com/service_request?ID=097176" TargetMode="External"/><Relationship Id="rId162" Type="http://schemas.openxmlformats.org/officeDocument/2006/relationships/vmlDrawing" Target="../drawings/vmlDrawing2.vml"/><Relationship Id="rId2" Type="http://schemas.openxmlformats.org/officeDocument/2006/relationships/hyperlink" Target="https://us3.assetplanner.com/service_request?ID=092555" TargetMode="External"/><Relationship Id="rId29" Type="http://schemas.openxmlformats.org/officeDocument/2006/relationships/hyperlink" Target="https://us3.assetplanner.com/service_request?ID=096726" TargetMode="External"/><Relationship Id="rId24" Type="http://schemas.openxmlformats.org/officeDocument/2006/relationships/hyperlink" Target="https://us3.assetplanner.com/service_request?ID=096164" TargetMode="External"/><Relationship Id="rId40" Type="http://schemas.openxmlformats.org/officeDocument/2006/relationships/hyperlink" Target="https://us3.assetplanner.com/service_request?ID=096230" TargetMode="External"/><Relationship Id="rId45" Type="http://schemas.openxmlformats.org/officeDocument/2006/relationships/hyperlink" Target="https://us3.assetplanner.com/service_request?ID=095991" TargetMode="External"/><Relationship Id="rId66" Type="http://schemas.openxmlformats.org/officeDocument/2006/relationships/hyperlink" Target="https://us3.assetplanner.com/service_request?ID=097526" TargetMode="External"/><Relationship Id="rId87" Type="http://schemas.openxmlformats.org/officeDocument/2006/relationships/hyperlink" Target="https://us3.assetplanner.com/service_request?ID=09230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2" TargetMode="External"/><Relationship Id="rId157" Type="http://schemas.openxmlformats.org/officeDocument/2006/relationships/hyperlink" Target="https://us3.assetplanner.com/service_request?ID=095492" TargetMode="External"/><Relationship Id="rId61" Type="http://schemas.openxmlformats.org/officeDocument/2006/relationships/hyperlink" Target="https://us3.assetplanner.com/service_request?ID=097883" TargetMode="External"/><Relationship Id="rId82" Type="http://schemas.openxmlformats.org/officeDocument/2006/relationships/hyperlink" Target="https://us3.assetplanner.com/service_request?ID=087641" TargetMode="External"/><Relationship Id="rId152" Type="http://schemas.openxmlformats.org/officeDocument/2006/relationships/hyperlink" Target="https://us3.assetplanner.com/service_request?ID=097882" TargetMode="External"/><Relationship Id="rId19" Type="http://schemas.openxmlformats.org/officeDocument/2006/relationships/hyperlink" Target="https://us3.assetplanner.com/service_request?ID=093326" TargetMode="External"/><Relationship Id="rId14" Type="http://schemas.openxmlformats.org/officeDocument/2006/relationships/hyperlink" Target="https://us3.assetplanner.com/service_request?ID=093294" TargetMode="External"/><Relationship Id="rId30" Type="http://schemas.openxmlformats.org/officeDocument/2006/relationships/hyperlink" Target="https://us3.assetplanner.com/service_request?ID=096907" TargetMode="External"/><Relationship Id="rId35" Type="http://schemas.openxmlformats.org/officeDocument/2006/relationships/hyperlink" Target="https://us3.assetplanner.com/service_request?ID=093024" TargetMode="External"/><Relationship Id="rId56" Type="http://schemas.openxmlformats.org/officeDocument/2006/relationships/hyperlink" Target="https://us3.assetplanner.com/service_request?ID=097701" TargetMode="External"/><Relationship Id="rId77" Type="http://schemas.openxmlformats.org/officeDocument/2006/relationships/hyperlink" Target="https://us3.assetplanner.com/service_request?ID=094307" TargetMode="External"/><Relationship Id="rId100" Type="http://schemas.openxmlformats.org/officeDocument/2006/relationships/hyperlink" Target="https://us3.assetplanner.com/service_request?ID=094998" TargetMode="External"/><Relationship Id="rId105" Type="http://schemas.openxmlformats.org/officeDocument/2006/relationships/hyperlink" Target="https://us3.assetplanner.com/service_request?ID=097968" TargetMode="External"/><Relationship Id="rId126" Type="http://schemas.openxmlformats.org/officeDocument/2006/relationships/hyperlink" Target="https://us3.assetplanner.com/service_request?ID=096906" TargetMode="External"/><Relationship Id="rId147" Type="http://schemas.openxmlformats.org/officeDocument/2006/relationships/hyperlink" Target="https://us3.assetplanner.com/service_request?ID=095940" TargetMode="External"/><Relationship Id="rId8" Type="http://schemas.openxmlformats.org/officeDocument/2006/relationships/hyperlink" Target="https://us3.assetplanner.com/service_request?ID=093047" TargetMode="External"/><Relationship Id="rId51" Type="http://schemas.openxmlformats.org/officeDocument/2006/relationships/hyperlink" Target="https://us3.assetplanner.com/service_request?ID=097524" TargetMode="External"/><Relationship Id="rId72" Type="http://schemas.openxmlformats.org/officeDocument/2006/relationships/hyperlink" Target="https://us3.assetplanner.com/service_request?ID=097686" TargetMode="External"/><Relationship Id="rId93" Type="http://schemas.openxmlformats.org/officeDocument/2006/relationships/hyperlink" Target="https://us3.assetplanner.com/service_request?ID=088869" TargetMode="External"/><Relationship Id="rId98" Type="http://schemas.openxmlformats.org/officeDocument/2006/relationships/hyperlink" Target="https://us3.assetplanner.com/service_request?ID=092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5937" TargetMode="External"/><Relationship Id="rId163" Type="http://schemas.openxmlformats.org/officeDocument/2006/relationships/comments" Target="../comments2.xml"/><Relationship Id="rId3" Type="http://schemas.openxmlformats.org/officeDocument/2006/relationships/hyperlink" Target="https://us3.assetplanner.com/service_request?ID=091903" TargetMode="External"/><Relationship Id="rId25" Type="http://schemas.openxmlformats.org/officeDocument/2006/relationships/hyperlink" Target="https://us3.assetplanner.com/service_request?ID=096701" TargetMode="External"/><Relationship Id="rId46" Type="http://schemas.openxmlformats.org/officeDocument/2006/relationships/hyperlink" Target="https://us3.assetplanner.com/service_request?ID=096215" TargetMode="External"/><Relationship Id="rId67" Type="http://schemas.openxmlformats.org/officeDocument/2006/relationships/hyperlink" Target="https://us3.assetplanner.com/service_request?ID=095635" TargetMode="External"/><Relationship Id="rId116" Type="http://schemas.openxmlformats.org/officeDocument/2006/relationships/hyperlink" Target="https://us3.assetplanner.com/service_request?ID=096042" TargetMode="External"/><Relationship Id="rId137" Type="http://schemas.openxmlformats.org/officeDocument/2006/relationships/hyperlink" Target="https://us3.assetplanner.com/service_request?ID=095954" TargetMode="External"/><Relationship Id="rId158" Type="http://schemas.openxmlformats.org/officeDocument/2006/relationships/hyperlink" Target="https://us3.assetplanner.com/service_request?ID=096195" TargetMode="External"/><Relationship Id="rId20" Type="http://schemas.openxmlformats.org/officeDocument/2006/relationships/hyperlink" Target="https://us3.assetplanner.com/service_request?ID=096294" TargetMode="External"/><Relationship Id="rId41" Type="http://schemas.openxmlformats.org/officeDocument/2006/relationships/hyperlink" Target="https://us3.assetplanner.com/service_request?ID=096525" TargetMode="External"/><Relationship Id="rId62" Type="http://schemas.openxmlformats.org/officeDocument/2006/relationships/hyperlink" Target="https://us3.assetplanner.com/service_request?ID=093375" TargetMode="External"/><Relationship Id="rId83" Type="http://schemas.openxmlformats.org/officeDocument/2006/relationships/hyperlink" Target="https://us3.assetplanner.com/service_request?ID=097740" TargetMode="External"/><Relationship Id="rId88" Type="http://schemas.openxmlformats.org/officeDocument/2006/relationships/hyperlink" Target="https://us3.assetplanner.com/service_request?ID=092332" TargetMode="External"/><Relationship Id="rId111" Type="http://schemas.openxmlformats.org/officeDocument/2006/relationships/hyperlink" Target="https://us3.assetplanner.com/service_request?ID=097157"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7602" TargetMode="External"/><Relationship Id="rId15" Type="http://schemas.openxmlformats.org/officeDocument/2006/relationships/hyperlink" Target="https://us3.assetplanner.com/service_request?ID=093196" TargetMode="External"/><Relationship Id="rId36" Type="http://schemas.openxmlformats.org/officeDocument/2006/relationships/hyperlink" Target="https://us3.assetplanner.com/service_request?ID=095445"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7969" TargetMode="External"/><Relationship Id="rId127" Type="http://schemas.openxmlformats.org/officeDocument/2006/relationships/hyperlink" Target="https://us3.assetplanner.com/service_request?ID=097179" TargetMode="External"/><Relationship Id="rId10" Type="http://schemas.openxmlformats.org/officeDocument/2006/relationships/hyperlink" Target="https://us3.assetplanner.com/service_request?ID=097569" TargetMode="External"/><Relationship Id="rId31" Type="http://schemas.openxmlformats.org/officeDocument/2006/relationships/hyperlink" Target="https://us3.assetplanner.com/service_request?ID=097233" TargetMode="External"/><Relationship Id="rId52" Type="http://schemas.openxmlformats.org/officeDocument/2006/relationships/hyperlink" Target="https://us3.assetplanner.com/service_request?ID=097010" TargetMode="External"/><Relationship Id="rId73" Type="http://schemas.openxmlformats.org/officeDocument/2006/relationships/hyperlink" Target="https://us3.assetplanner.com/service_request?ID=096177" TargetMode="External"/><Relationship Id="rId78" Type="http://schemas.openxmlformats.org/officeDocument/2006/relationships/hyperlink" Target="https://us3.assetplanner.com/service_request?ID=096751" TargetMode="External"/><Relationship Id="rId94" Type="http://schemas.openxmlformats.org/officeDocument/2006/relationships/hyperlink" Target="https://us3.assetplanner.com/service_request?ID=092095" TargetMode="External"/><Relationship Id="rId99" Type="http://schemas.openxmlformats.org/officeDocument/2006/relationships/hyperlink" Target="https://us3.assetplanner.com/service_request?ID=095850" TargetMode="External"/><Relationship Id="rId101" Type="http://schemas.openxmlformats.org/officeDocument/2006/relationships/hyperlink" Target="https://us3.assetplanner.com/service_request?ID=095305" TargetMode="External"/><Relationship Id="rId122" Type="http://schemas.openxmlformats.org/officeDocument/2006/relationships/hyperlink" Target="https://us3.assetplanner.com/service_request?ID=095759" TargetMode="External"/><Relationship Id="rId143" Type="http://schemas.openxmlformats.org/officeDocument/2006/relationships/hyperlink" Target="https://us3.assetplanner.com/service_request?ID=095938" TargetMode="External"/><Relationship Id="rId148" Type="http://schemas.openxmlformats.org/officeDocument/2006/relationships/hyperlink" Target="https://us3.assetplanner.com/service_request?ID=095942" TargetMode="External"/><Relationship Id="rId164" Type="http://schemas.microsoft.com/office/2017/10/relationships/threadedComment" Target="../threadedComments/threadedComment2.xml"/><Relationship Id="rId4" Type="http://schemas.openxmlformats.org/officeDocument/2006/relationships/hyperlink" Target="https://us3.assetplanner.com/service_request?ID=092556" TargetMode="External"/><Relationship Id="rId9" Type="http://schemas.openxmlformats.org/officeDocument/2006/relationships/hyperlink" Target="https://us3.assetplanner.com/service_request?ID=097910" TargetMode="External"/><Relationship Id="rId26" Type="http://schemas.openxmlformats.org/officeDocument/2006/relationships/hyperlink" Target="https://us3.assetplanner.com/service_request?ID=096750" TargetMode="External"/><Relationship Id="rId47" Type="http://schemas.openxmlformats.org/officeDocument/2006/relationships/hyperlink" Target="https://us3.assetplanner.com/service_request?ID=097025" TargetMode="External"/><Relationship Id="rId68" Type="http://schemas.openxmlformats.org/officeDocument/2006/relationships/hyperlink" Target="https://us3.assetplanner.com/service_request?ID=097667" TargetMode="External"/><Relationship Id="rId89" Type="http://schemas.openxmlformats.org/officeDocument/2006/relationships/hyperlink" Target="https://us3.assetplanner.com/service_request?ID=094825" TargetMode="External"/><Relationship Id="rId112" Type="http://schemas.openxmlformats.org/officeDocument/2006/relationships/hyperlink" Target="https://us3.assetplanner.com/service_request?ID=097647" TargetMode="External"/><Relationship Id="rId133" Type="http://schemas.openxmlformats.org/officeDocument/2006/relationships/hyperlink" Target="https://us3.assetplanner.com/service_request?ID=095946" TargetMode="External"/><Relationship Id="rId154" Type="http://schemas.openxmlformats.org/officeDocument/2006/relationships/hyperlink" Target="https://us3.assetplanner.com/service_request?ID=096257" TargetMode="External"/><Relationship Id="rId16" Type="http://schemas.openxmlformats.org/officeDocument/2006/relationships/hyperlink" Target="https://us3.assetplanner.com/service_request?ID=097083" TargetMode="External"/><Relationship Id="rId37" Type="http://schemas.openxmlformats.org/officeDocument/2006/relationships/hyperlink" Target="https://us3.assetplanner.com/service_request?ID=097568" TargetMode="External"/><Relationship Id="rId58" Type="http://schemas.openxmlformats.org/officeDocument/2006/relationships/hyperlink" Target="https://us3.assetplanner.com/service_request?ID=093436" TargetMode="External"/><Relationship Id="rId79" Type="http://schemas.openxmlformats.org/officeDocument/2006/relationships/hyperlink" Target="https://us3.assetplanner.com/service_request?ID=097457" TargetMode="External"/><Relationship Id="rId102" Type="http://schemas.openxmlformats.org/officeDocument/2006/relationships/hyperlink" Target="https://us3.assetplanner.com/service_request?ID=097968" TargetMode="External"/><Relationship Id="rId123" Type="http://schemas.openxmlformats.org/officeDocument/2006/relationships/hyperlink" Target="https://us3.assetplanner.com/service_request?ID=096669" TargetMode="External"/><Relationship Id="rId144" Type="http://schemas.openxmlformats.org/officeDocument/2006/relationships/hyperlink" Target="https://us3.assetplanner.com/service_request?ID=095939" TargetMode="External"/><Relationship Id="rId90" Type="http://schemas.openxmlformats.org/officeDocument/2006/relationships/hyperlink" Target="https://us3.assetplanner.com/service_request?ID=095649" TargetMode="External"/><Relationship Id="rId27" Type="http://schemas.openxmlformats.org/officeDocument/2006/relationships/hyperlink" Target="https://us3.assetplanner.com/service_request?ID=093972"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7668" TargetMode="External"/><Relationship Id="rId113" Type="http://schemas.openxmlformats.org/officeDocument/2006/relationships/hyperlink" Target="https://us3.assetplanner.com/service_request?ID=097565" TargetMode="External"/><Relationship Id="rId134" Type="http://schemas.openxmlformats.org/officeDocument/2006/relationships/hyperlink" Target="https://us3.assetplanner.com/service_request?ID=095948" TargetMode="External"/><Relationship Id="rId80" Type="http://schemas.openxmlformats.org/officeDocument/2006/relationships/hyperlink" Target="https://us3.assetplanner.com/service_request?ID=095073" TargetMode="External"/><Relationship Id="rId155" Type="http://schemas.openxmlformats.org/officeDocument/2006/relationships/hyperlink" Target="https://us3.assetplanner.com/service_request?ID=091894" TargetMode="Externa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200"/>
  <sheetViews>
    <sheetView zoomScale="90" zoomScaleNormal="90" workbookViewId="0">
      <pane xSplit="2" ySplit="3" topLeftCell="M15" activePane="bottomRight" state="frozen"/>
      <selection pane="bottomRight" activeCell="M15" sqref="M15"/>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9" t="str" cm="1">
        <f t="array" ref="A1">portfolio</f>
        <v>Generate Capital</v>
      </c>
      <c r="B1" s="149"/>
      <c r="C1" s="149"/>
      <c r="D1" s="149"/>
      <c r="E1" s="150" t="s">
        <v>0</v>
      </c>
      <c r="F1" s="150"/>
      <c r="G1" s="150"/>
      <c r="H1" s="148" t="s">
        <v>1</v>
      </c>
      <c r="I1" s="148"/>
      <c r="J1" s="148"/>
    </row>
    <row r="2" spans="1:10" ht="19.5" customHeight="1">
      <c r="A2" s="151" t="s">
        <v>2</v>
      </c>
      <c r="B2" s="151"/>
      <c r="C2" s="65"/>
      <c r="D2" s="5">
        <f>SUM(D4:D200)</f>
        <v>36184982.38732256</v>
      </c>
      <c r="E2" s="5">
        <f>SUM(E4:E200)</f>
        <v>19415999.341199998</v>
      </c>
      <c r="F2" s="5">
        <f>D2-E2</f>
        <v>16768983.046122562</v>
      </c>
      <c r="G2" s="6">
        <f>IFERROR(F2/E2, 0)</f>
        <v>0.86366829496844033</v>
      </c>
      <c r="H2" s="5">
        <f>SUM(H4:H200)</f>
        <v>44326915.609399982</v>
      </c>
      <c r="I2" s="7">
        <f>D2-H2</f>
        <v>-8141933.2220774218</v>
      </c>
      <c r="J2" s="6">
        <f>IFERROR(I2/H2, 0)</f>
        <v>-0.18367921859988021</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SUM('1st Qtr'!D4, '2nd Qtr'!D4, '3rd Qtr'!D4, '4th Qtr'!D4)</f>
        <v>20596.299456992303</v>
      </c>
      <c r="E4" s="10">
        <f>SUM('1st Qtr'!E4, '2nd Qtr'!E4, '3rd Qtr'!E4, '4th Qtr'!E4)</f>
        <v>15241.423999999999</v>
      </c>
      <c r="F4" s="10">
        <f>IF(AND(ISNUMBER(D4),ISNUMBER(E4)), D4-E4, "")</f>
        <v>5354.875456992304</v>
      </c>
      <c r="G4" s="11">
        <f>IFERROR(F4/E4, "")</f>
        <v>0.35133695230788831</v>
      </c>
      <c r="H4" s="12">
        <f>SUM('1st Qtr'!H4+'2nd Qtr'!H4+'3rd Qtr'!H4+'4th Qtr'!H4)</f>
        <v>18595.628000000001</v>
      </c>
      <c r="I4" s="12">
        <f>SUM('1st Qtr'!I4, '2nd Qtr'!I4, '3rd Qtr'!I4, '4th Qtr'!I4)</f>
        <v>2000.6714569923006</v>
      </c>
      <c r="J4" s="13">
        <f>IFERROR(I4/H4, "")</f>
        <v>0.10758827058662931</v>
      </c>
    </row>
    <row r="5" spans="1:10" ht="15.6">
      <c r="A5" s="26" t="str">
        <v>Fulton</v>
      </c>
      <c r="B5" s="27" t="str">
        <v>AZ</v>
      </c>
      <c r="C5" s="27" t="str">
        <f>Sites[[#This Row],[SOL'#]]</f>
        <v>SOL-10749</v>
      </c>
      <c r="D5" s="9">
        <f>SUM('1st Qtr'!D5, '2nd Qtr'!D5, '3rd Qtr'!D5, '4th Qtr'!D5)</f>
        <v>57128.5</v>
      </c>
      <c r="E5" s="14">
        <f>SUM('1st Qtr'!E5, '2nd Qtr'!E5, '3rd Qtr'!E5, '4th Qtr'!E5)</f>
        <v>75239.48000000001</v>
      </c>
      <c r="F5" s="14">
        <f t="shared" ref="F5:F15" si="0">IF(AND(ISNUMBER(D5),ISNUMBER(E5)), D5-E5, "")</f>
        <v>-18110.98000000001</v>
      </c>
      <c r="G5" s="15">
        <f>IFERROR(F5/E5, "")</f>
        <v>-0.24071112665850439</v>
      </c>
      <c r="H5" s="16">
        <f>SUM('1st Qtr'!H5+'2nd Qtr'!H5+'3rd Qtr'!H5+'4th Qtr'!H5)</f>
        <v>74528.36</v>
      </c>
      <c r="I5" s="16">
        <f>SUM('1st Qtr'!I5, '2nd Qtr'!I5, '3rd Qtr'!I5, '4th Qtr'!I5)</f>
        <v>-17399.86</v>
      </c>
      <c r="J5" s="15">
        <f>IFERROR(I5/H5, "")</f>
        <v>-0.23346629390476323</v>
      </c>
    </row>
    <row r="6" spans="1:10" ht="15.6">
      <c r="A6" s="24" t="str">
        <v>JFK Elementary</v>
      </c>
      <c r="B6" s="25" t="str">
        <v>AZ</v>
      </c>
      <c r="C6" s="25" t="str">
        <f>Sites[[#This Row],[SOL'#]]</f>
        <v>SOL-10758</v>
      </c>
      <c r="D6" s="20">
        <f>SUM('1st Qtr'!D6, '2nd Qtr'!D6, '3rd Qtr'!D6, '4th Qtr'!D6)</f>
        <v>34707.197972660702</v>
      </c>
      <c r="E6" s="10">
        <f>SUM('1st Qtr'!E6, '2nd Qtr'!E6, '3rd Qtr'!E6, '4th Qtr'!E6)</f>
        <v>0</v>
      </c>
      <c r="F6" s="10">
        <f t="shared" si="0"/>
        <v>34707.197972660702</v>
      </c>
      <c r="G6" s="11" t="str">
        <f t="shared" ref="G6:G15" si="1">IFERROR(F6/E6, "")</f>
        <v/>
      </c>
      <c r="H6" s="12">
        <f>SUM('1st Qtr'!H6+'2nd Qtr'!H6+'3rd Qtr'!H6+'4th Qtr'!H6)</f>
        <v>30463</v>
      </c>
      <c r="I6" s="12">
        <f>SUM('1st Qtr'!I6, '2nd Qtr'!I6, '3rd Qtr'!I6, '4th Qtr'!I6)</f>
        <v>4244.1979726607024</v>
      </c>
      <c r="J6" s="13">
        <f t="shared" ref="J6:J15" si="2">IFERROR(I6/H6, "")</f>
        <v>0.1393230467340939</v>
      </c>
    </row>
    <row r="7" spans="1:10" ht="15.6">
      <c r="A7" s="26" t="str">
        <v>Noble</v>
      </c>
      <c r="B7" s="27" t="str">
        <v>AZ</v>
      </c>
      <c r="C7" s="27" t="str">
        <f>Sites[[#This Row],[SOL'#]]</f>
        <v>SOL-10750</v>
      </c>
      <c r="D7" s="9">
        <f>SUM('1st Qtr'!D7, '2nd Qtr'!D7, '3rd Qtr'!D7, '4th Qtr'!D7)</f>
        <v>19862.485485975893</v>
      </c>
      <c r="E7" s="14">
        <f>SUM('1st Qtr'!E7, '2nd Qtr'!E7, '3rd Qtr'!E7, '4th Qtr'!E7)</f>
        <v>25711.63</v>
      </c>
      <c r="F7" s="14">
        <f t="shared" si="0"/>
        <v>-5849.1445140241085</v>
      </c>
      <c r="G7" s="15">
        <f t="shared" si="1"/>
        <v>-0.22749022578592287</v>
      </c>
      <c r="H7" s="16">
        <f>SUM('1st Qtr'!H7+'2nd Qtr'!H7+'3rd Qtr'!H7+'4th Qtr'!H7)</f>
        <v>20305.238000000001</v>
      </c>
      <c r="I7" s="16">
        <f>SUM('1st Qtr'!I7, '2nd Qtr'!I7, '3rd Qtr'!I7, '4th Qtr'!I7)</f>
        <v>-442.7525140241105</v>
      </c>
      <c r="J7" s="15">
        <f t="shared" si="2"/>
        <v>-2.1804842377326997E-2</v>
      </c>
    </row>
    <row r="8" spans="1:10" ht="15.6">
      <c r="A8" s="24" t="str">
        <v>Parking 3</v>
      </c>
      <c r="B8" s="25" t="str">
        <v>AZ</v>
      </c>
      <c r="C8" s="25" t="str">
        <f>Sites[[#This Row],[SOL'#]]</f>
        <v>SOL-10751</v>
      </c>
      <c r="D8" s="20">
        <f>SUM('1st Qtr'!D8, '2nd Qtr'!D8, '3rd Qtr'!D8, '4th Qtr'!D8)</f>
        <v>52632.387499999997</v>
      </c>
      <c r="E8" s="10">
        <f>SUM('1st Qtr'!E8, '2nd Qtr'!E8, '3rd Qtr'!E8, '4th Qtr'!E8)</f>
        <v>36461.69</v>
      </c>
      <c r="F8" s="10">
        <f t="shared" si="0"/>
        <v>16170.697499999995</v>
      </c>
      <c r="G8" s="11">
        <f t="shared" si="1"/>
        <v>0.44349829917373534</v>
      </c>
      <c r="H8" s="12">
        <f>SUM('1st Qtr'!H8+'2nd Qtr'!H8+'3rd Qtr'!H8+'4th Qtr'!H8)</f>
        <v>45223.83</v>
      </c>
      <c r="I8" s="12">
        <f>SUM('1st Qtr'!I8, '2nd Qtr'!I8, '3rd Qtr'!I8, '4th Qtr'!I8)</f>
        <v>7408.5575000000026</v>
      </c>
      <c r="J8" s="13">
        <f t="shared" si="2"/>
        <v>0.16381977156733524</v>
      </c>
    </row>
    <row r="9" spans="1:10" ht="15.6">
      <c r="A9" s="26" t="str">
        <v>PE East</v>
      </c>
      <c r="B9" s="27" t="str">
        <v>AZ</v>
      </c>
      <c r="C9" s="27" t="str">
        <f>Sites[[#This Row],[SOL'#]]</f>
        <v>SOL-10752</v>
      </c>
      <c r="D9" s="9">
        <f>SUM('1st Qtr'!D9, '2nd Qtr'!D9, '3rd Qtr'!D9, '4th Qtr'!D9)</f>
        <v>45253.447119677396</v>
      </c>
      <c r="E9" s="14">
        <f>SUM('1st Qtr'!E9, '2nd Qtr'!E9, '3rd Qtr'!E9, '4th Qtr'!E9)</f>
        <v>28727.75</v>
      </c>
      <c r="F9" s="14">
        <f t="shared" si="0"/>
        <v>16525.697119677396</v>
      </c>
      <c r="G9" s="15">
        <f t="shared" si="1"/>
        <v>0.57525205140247304</v>
      </c>
      <c r="H9" s="16">
        <f>SUM('1st Qtr'!H9+'2nd Qtr'!H9+'3rd Qtr'!H9+'4th Qtr'!H9)</f>
        <v>45859.64</v>
      </c>
      <c r="I9" s="16">
        <f>SUM('1st Qtr'!I9, '2nd Qtr'!I9, '3rd Qtr'!I9, '4th Qtr'!I9)</f>
        <v>-606.1928803226001</v>
      </c>
      <c r="J9" s="15">
        <f t="shared" si="2"/>
        <v>-1.3218439576119657E-2</v>
      </c>
    </row>
    <row r="10" spans="1:10" ht="15.6">
      <c r="A10" s="24" t="str">
        <v>Schwada</v>
      </c>
      <c r="B10" s="25" t="str">
        <v>AZ</v>
      </c>
      <c r="C10" s="25" t="str">
        <f>Sites[[#This Row],[SOL'#]]</f>
        <v>SOL-10753</v>
      </c>
      <c r="D10" s="20">
        <f>SUM('1st Qtr'!D10, '2nd Qtr'!D10, '3rd Qtr'!D10, '4th Qtr'!D10)</f>
        <v>20748.02</v>
      </c>
      <c r="E10" s="10">
        <f>SUM('1st Qtr'!E10, '2nd Qtr'!E10, '3rd Qtr'!E10, '4th Qtr'!E10)</f>
        <v>11827.436</v>
      </c>
      <c r="F10" s="10">
        <f t="shared" si="0"/>
        <v>8920.5840000000007</v>
      </c>
      <c r="G10" s="11">
        <f t="shared" si="1"/>
        <v>0.75422805077956045</v>
      </c>
      <c r="H10" s="12">
        <f>SUM('1st Qtr'!H10+'2nd Qtr'!H10+'3rd Qtr'!H10+'4th Qtr'!H10)</f>
        <v>20246</v>
      </c>
      <c r="I10" s="12">
        <f>SUM('1st Qtr'!I10, '2nd Qtr'!I10, '3rd Qtr'!I10, '4th Qtr'!I10)</f>
        <v>502.02000000000044</v>
      </c>
      <c r="J10" s="13">
        <f t="shared" si="2"/>
        <v>2.4796009088214978E-2</v>
      </c>
    </row>
    <row r="11" spans="1:10" ht="15.6">
      <c r="A11" s="26" t="str">
        <v>Starshine</v>
      </c>
      <c r="B11" s="27" t="str">
        <v>AZ</v>
      </c>
      <c r="C11" s="27" t="str">
        <f>Sites[[#This Row],[SOL'#]]</f>
        <v>SOL-10757</v>
      </c>
      <c r="D11" s="9">
        <f>SUM('1st Qtr'!D11, '2nd Qtr'!D11, '3rd Qtr'!D11, '4th Qtr'!D11)</f>
        <v>10857.090729986139</v>
      </c>
      <c r="E11" s="14">
        <f>SUM('1st Qtr'!E11, '2nd Qtr'!E11, '3rd Qtr'!E11, '4th Qtr'!E11)</f>
        <v>0</v>
      </c>
      <c r="F11" s="14">
        <f t="shared" si="0"/>
        <v>10857.090729986139</v>
      </c>
      <c r="G11" s="15" t="str">
        <f t="shared" si="1"/>
        <v/>
      </c>
      <c r="H11" s="16">
        <f>SUM('1st Qtr'!H11+'2nd Qtr'!H11+'3rd Qtr'!H11+'4th Qtr'!H11)</f>
        <v>11996</v>
      </c>
      <c r="I11" s="16">
        <f>SUM('1st Qtr'!I11, '2nd Qtr'!I11, '3rd Qtr'!I11, '4th Qtr'!I11)</f>
        <v>-1138.9092700138599</v>
      </c>
      <c r="J11" s="15">
        <f t="shared" si="2"/>
        <v>-9.4940752752072352E-2</v>
      </c>
    </row>
    <row r="12" spans="1:10" ht="15.6">
      <c r="A12" s="24" t="str">
        <v>Yuma Airport</v>
      </c>
      <c r="B12" s="25" t="str">
        <v>AZ</v>
      </c>
      <c r="C12" s="25" t="str">
        <f>Sites[[#This Row],[SOL'#]]</f>
        <v>SOL-10754</v>
      </c>
      <c r="D12" s="20">
        <f>SUM('1st Qtr'!D12, '2nd Qtr'!D12, '3rd Qtr'!D12, '4th Qtr'!D12)</f>
        <v>119103</v>
      </c>
      <c r="E12" s="10">
        <f>SUM('1st Qtr'!E12, '2nd Qtr'!E12, '3rd Qtr'!E12, '4th Qtr'!E12)</f>
        <v>154498.15000000002</v>
      </c>
      <c r="F12" s="10">
        <f t="shared" si="0"/>
        <v>-35395.150000000023</v>
      </c>
      <c r="G12" s="11">
        <f t="shared" si="1"/>
        <v>-0.229097565245927</v>
      </c>
      <c r="H12" s="12">
        <f>SUM('1st Qtr'!H12+'2nd Qtr'!H12+'3rd Qtr'!H12+'4th Qtr'!H12)</f>
        <v>122174</v>
      </c>
      <c r="I12" s="12">
        <f>SUM('1st Qtr'!I12, '2nd Qtr'!I12, '3rd Qtr'!I12, '4th Qtr'!I12)</f>
        <v>-3071</v>
      </c>
      <c r="J12" s="13">
        <f t="shared" si="2"/>
        <v>-2.5136281041792854E-2</v>
      </c>
    </row>
    <row r="13" spans="1:10" ht="15.6">
      <c r="A13" s="26" t="str">
        <v>Kinsman</v>
      </c>
      <c r="B13" s="27" t="str">
        <v>OH</v>
      </c>
      <c r="C13" s="27" t="str">
        <f>Sites[[#This Row],[SOL'#]]</f>
        <v>SOL-10762</v>
      </c>
      <c r="D13" s="9">
        <f>SUM('1st Qtr'!D13, '2nd Qtr'!D13, '3rd Qtr'!D13, '4th Qtr'!D13)</f>
        <v>50758.6875</v>
      </c>
      <c r="E13" s="14">
        <f>SUM('1st Qtr'!E13, '2nd Qtr'!E13, '3rd Qtr'!E13, '4th Qtr'!E13)</f>
        <v>113273.04000000001</v>
      </c>
      <c r="F13" s="14">
        <f t="shared" si="0"/>
        <v>-62514.352500000008</v>
      </c>
      <c r="G13" s="15">
        <f t="shared" si="1"/>
        <v>-0.55189083386479254</v>
      </c>
      <c r="H13" s="16">
        <f>SUM('1st Qtr'!H13+'2nd Qtr'!H13+'3rd Qtr'!H13+'4th Qtr'!H13)</f>
        <v>114870</v>
      </c>
      <c r="I13" s="16">
        <f>SUM('1st Qtr'!I13, '2nd Qtr'!I13, '3rd Qtr'!I13, '4th Qtr'!I13)</f>
        <v>-64111.3125</v>
      </c>
      <c r="J13" s="15">
        <f t="shared" si="2"/>
        <v>-0.55812059284408466</v>
      </c>
    </row>
    <row r="14" spans="1:10" ht="15.6">
      <c r="A14" s="24" t="str">
        <v>Wooster</v>
      </c>
      <c r="B14" s="25" t="str">
        <v>OH</v>
      </c>
      <c r="C14" s="25" t="str">
        <f>Sites[[#This Row],[SOL'#]]</f>
        <v>SOL-10763</v>
      </c>
      <c r="D14" s="20">
        <f>SUM('1st Qtr'!D14, '2nd Qtr'!D14, '3rd Qtr'!D14, '4th Qtr'!D14)</f>
        <v>14987</v>
      </c>
      <c r="E14" s="10">
        <f>SUM('1st Qtr'!E14, '2nd Qtr'!E14, '3rd Qtr'!E14, '4th Qtr'!E14)</f>
        <v>0</v>
      </c>
      <c r="F14" s="10">
        <f t="shared" si="0"/>
        <v>14987</v>
      </c>
      <c r="G14" s="11" t="str">
        <f t="shared" si="1"/>
        <v/>
      </c>
      <c r="H14" s="12">
        <f>SUM('1st Qtr'!H14+'2nd Qtr'!H14+'3rd Qtr'!H14+'4th Qtr'!H14)</f>
        <v>25006</v>
      </c>
      <c r="I14" s="12">
        <f>SUM('1st Qtr'!I14, '2nd Qtr'!I14, '3rd Qtr'!I14, '4th Qtr'!I14)</f>
        <v>-10019</v>
      </c>
      <c r="J14" s="13">
        <f t="shared" si="2"/>
        <v>-0.40066384067823724</v>
      </c>
    </row>
    <row r="15" spans="1:10" ht="15.6">
      <c r="A15" s="26" t="str">
        <v>Globe Gila CC</v>
      </c>
      <c r="B15" s="27" t="str">
        <v>AZ</v>
      </c>
      <c r="C15" s="27" t="str">
        <f>Sites[[#This Row],[SOL'#]]</f>
        <v>SOL-10755</v>
      </c>
      <c r="D15" s="9">
        <f>SUM('1st Qtr'!D15, '2nd Qtr'!D15, '3rd Qtr'!D15, '4th Qtr'!D15)</f>
        <v>25524.3302618653</v>
      </c>
      <c r="E15" s="14">
        <f>SUM('1st Qtr'!E15, '2nd Qtr'!E15, '3rd Qtr'!E15, '4th Qtr'!E15)</f>
        <v>0</v>
      </c>
      <c r="F15" s="14">
        <f t="shared" si="0"/>
        <v>25524.3302618653</v>
      </c>
      <c r="G15" s="15" t="str">
        <f t="shared" si="1"/>
        <v/>
      </c>
      <c r="H15" s="16">
        <f>SUM('1st Qtr'!H15+'2nd Qtr'!H15+'3rd Qtr'!H15+'4th Qtr'!H15)</f>
        <v>21672</v>
      </c>
      <c r="I15" s="16">
        <f>SUM('1st Qtr'!I15, '2nd Qtr'!I15, '3rd Qtr'!I15, '4th Qtr'!I15)</f>
        <v>3852.3302618652997</v>
      </c>
      <c r="J15" s="15">
        <f t="shared" si="2"/>
        <v>0.17775610289153285</v>
      </c>
    </row>
    <row r="16" spans="1:10" ht="15.6">
      <c r="A16" s="24" t="str">
        <v>Payson Gila CC</v>
      </c>
      <c r="B16" s="25" t="str">
        <v>AZ</v>
      </c>
      <c r="C16" s="25" t="str">
        <f>Sites[[#This Row],[SOL'#]]</f>
        <v>SOL-10756</v>
      </c>
      <c r="D16" s="20">
        <f>SUM('1st Qtr'!D16, '2nd Qtr'!D16, '3rd Qtr'!D16, '4th Qtr'!D16)</f>
        <v>18140.738845739521</v>
      </c>
      <c r="E16" s="10">
        <f>SUM('1st Qtr'!E16, '2nd Qtr'!E16, '3rd Qtr'!E16, '4th Qtr'!E16)</f>
        <v>8276.6329999999998</v>
      </c>
      <c r="F16" s="10">
        <f t="shared" ref="F16:F17" si="3">IF(AND(ISNUMBER(D16),ISNUMBER(E16)), D16-E16, "")</f>
        <v>9864.1058457395211</v>
      </c>
      <c r="G16" s="11">
        <f t="shared" ref="G16:G17" si="4">IFERROR(F16/E16, "")</f>
        <v>1.1918017683929589</v>
      </c>
      <c r="H16" s="12">
        <f>SUM('1st Qtr'!H16+'2nd Qtr'!H16+'3rd Qtr'!H16+'4th Qtr'!H16)</f>
        <v>16910</v>
      </c>
      <c r="I16" s="12">
        <f>SUM('1st Qtr'!I16, '2nd Qtr'!I16, '3rd Qtr'!I16, '4th Qtr'!I16)</f>
        <v>1230.7388457395191</v>
      </c>
      <c r="J16" s="13">
        <f t="shared" ref="J16:J17" si="5">IFERROR(I16/H16, "")</f>
        <v>7.2781717666441106E-2</v>
      </c>
    </row>
    <row r="17" spans="1:10" ht="15.6">
      <c r="A17" s="26" t="str">
        <v>SCNM</v>
      </c>
      <c r="B17" s="27" t="str">
        <v>AZ</v>
      </c>
      <c r="C17" s="27" t="str">
        <f>Sites[[#This Row],[SOL'#]]</f>
        <v>SOL-10760</v>
      </c>
      <c r="D17" s="9">
        <f>SUM('1st Qtr'!D17, '2nd Qtr'!D17, '3rd Qtr'!D17, '4th Qtr'!D17)</f>
        <v>116347.1299999999</v>
      </c>
      <c r="E17" s="14">
        <f>SUM('1st Qtr'!E17, '2nd Qtr'!E17, '3rd Qtr'!E17, '4th Qtr'!E17)</f>
        <v>57347.130000000005</v>
      </c>
      <c r="F17" s="14">
        <f t="shared" si="3"/>
        <v>58999.999999999898</v>
      </c>
      <c r="G17" s="15">
        <f t="shared" si="4"/>
        <v>1.028822192148062</v>
      </c>
      <c r="H17" s="16">
        <f>SUM('1st Qtr'!H17+'2nd Qtr'!H17+'3rd Qtr'!H17+'4th Qtr'!H17)</f>
        <v>108471</v>
      </c>
      <c r="I17" s="16">
        <f>SUM('1st Qtr'!I17, '2nd Qtr'!I17, '3rd Qtr'!I17, '4th Qtr'!I17)</f>
        <v>7876.1299999999028</v>
      </c>
      <c r="J17" s="15">
        <f t="shared" si="5"/>
        <v>7.2610467313843352E-2</v>
      </c>
    </row>
    <row r="18" spans="1:10" ht="12.75" customHeight="1">
      <c r="A18" s="24" t="str">
        <v>Sequoia Charter School</v>
      </c>
      <c r="B18" s="25" t="str">
        <v>AZ</v>
      </c>
      <c r="C18" s="25" t="str">
        <f>Sites[[#This Row],[SOL'#]]</f>
        <v>SOL-10759</v>
      </c>
      <c r="D18" s="20">
        <f>SUM('1st Qtr'!D18, '2nd Qtr'!D18, '3rd Qtr'!D18, '4th Qtr'!D18)</f>
        <v>38213.370000000097</v>
      </c>
      <c r="E18" s="10">
        <f>SUM('1st Qtr'!E18, '2nd Qtr'!E18, '3rd Qtr'!E18, '4th Qtr'!E18)</f>
        <v>0</v>
      </c>
      <c r="F18" s="10">
        <f t="shared" ref="F18:F81" si="6">IF(AND(ISNUMBER(D18),ISNUMBER(E18)), D18-E18, "")</f>
        <v>38213.370000000097</v>
      </c>
      <c r="G18" s="11" t="str">
        <f t="shared" ref="G18:G81" si="7">IFERROR(F18/E18, "")</f>
        <v/>
      </c>
      <c r="H18" s="12">
        <f>SUM('1st Qtr'!H18+'2nd Qtr'!H18+'3rd Qtr'!H18+'4th Qtr'!H18)</f>
        <v>66738</v>
      </c>
      <c r="I18" s="12">
        <f>SUM('1st Qtr'!I18, '2nd Qtr'!I18, '3rd Qtr'!I18, '4th Qtr'!I18)</f>
        <v>-28524.629999999899</v>
      </c>
      <c r="J18" s="13">
        <f t="shared" ref="J18:J81" si="8">IFERROR(I18/H18, "")</f>
        <v>-0.42741211903263354</v>
      </c>
    </row>
    <row r="19" spans="1:10" ht="15.6">
      <c r="A19" s="26" t="str">
        <v>RCAB</v>
      </c>
      <c r="B19" s="27" t="str">
        <v>MA</v>
      </c>
      <c r="C19" s="27" t="str">
        <f>Sites[[#This Row],[SOL'#]]</f>
        <v>SOL-10838</v>
      </c>
      <c r="D19" s="9">
        <f>SUM('1st Qtr'!D19, '2nd Qtr'!D19, '3rd Qtr'!D19, '4th Qtr'!D19)</f>
        <v>66413.5</v>
      </c>
      <c r="E19" s="14">
        <f>SUM('1st Qtr'!E19, '2nd Qtr'!E19, '3rd Qtr'!E19, '4th Qtr'!E19)</f>
        <v>132038.41999999998</v>
      </c>
      <c r="F19" s="14">
        <f t="shared" si="6"/>
        <v>-65624.919999999984</v>
      </c>
      <c r="G19" s="15">
        <f t="shared" si="7"/>
        <v>-0.49701382370373709</v>
      </c>
      <c r="H19" s="16">
        <f>SUM('1st Qtr'!H19+'2nd Qtr'!H19+'3rd Qtr'!H19+'4th Qtr'!H19)</f>
        <v>108502.41</v>
      </c>
      <c r="I19" s="16">
        <f>SUM('1st Qtr'!I19, '2nd Qtr'!I19, '3rd Qtr'!I19, '4th Qtr'!I19)</f>
        <v>-42088.91</v>
      </c>
      <c r="J19" s="15">
        <f t="shared" si="8"/>
        <v>-0.38790760500158478</v>
      </c>
    </row>
    <row r="20" spans="1:10" ht="15.6">
      <c r="A20" s="24" t="str">
        <v>Spectro Coatings</v>
      </c>
      <c r="B20" s="25" t="str">
        <v>MA</v>
      </c>
      <c r="C20" s="25" t="str">
        <f>Sites[[#This Row],[SOL'#]]</f>
        <v>SOL-10074</v>
      </c>
      <c r="D20" s="20">
        <f>SUM('1st Qtr'!D20, '2nd Qtr'!D20, '3rd Qtr'!D20, '4th Qtr'!D20)</f>
        <v>11793.75</v>
      </c>
      <c r="E20" s="10">
        <f>SUM('1st Qtr'!E20, '2nd Qtr'!E20, '3rd Qtr'!E20, '4th Qtr'!E20)</f>
        <v>41903.800000000003</v>
      </c>
      <c r="F20" s="10">
        <f t="shared" si="6"/>
        <v>-30110.050000000003</v>
      </c>
      <c r="G20" s="11">
        <f t="shared" si="7"/>
        <v>-0.71855177812036142</v>
      </c>
      <c r="H20" s="12">
        <f>SUM('1st Qtr'!H20+'2nd Qtr'!H20+'3rd Qtr'!H20+'4th Qtr'!H20)</f>
        <v>27589.62</v>
      </c>
      <c r="I20" s="12">
        <f>SUM('1st Qtr'!I20, '2nd Qtr'!I20, '3rd Qtr'!I20, '4th Qtr'!I20)</f>
        <v>-15795.869999999999</v>
      </c>
      <c r="J20" s="13">
        <f t="shared" si="8"/>
        <v>-0.57252945129363864</v>
      </c>
    </row>
    <row r="21" spans="1:10" ht="15.6">
      <c r="A21" s="26" t="str">
        <v>K026</v>
      </c>
      <c r="B21" s="27" t="str">
        <v>NY</v>
      </c>
      <c r="C21" s="27" t="str">
        <f>Sites[[#This Row],[SOL'#]]</f>
        <v>SOL-10356</v>
      </c>
      <c r="D21" s="9">
        <f>SUM('1st Qtr'!D21, '2nd Qtr'!D21, '3rd Qtr'!D21, '4th Qtr'!D21)</f>
        <v>29295.875</v>
      </c>
      <c r="E21" s="14">
        <f>SUM('1st Qtr'!E21, '2nd Qtr'!E21, '3rd Qtr'!E21, '4th Qtr'!E21)</f>
        <v>39950.21</v>
      </c>
      <c r="F21" s="14">
        <f t="shared" si="6"/>
        <v>-10654.334999999999</v>
      </c>
      <c r="G21" s="15">
        <f t="shared" si="7"/>
        <v>-0.26669033779797402</v>
      </c>
      <c r="H21" s="16">
        <f>SUM('1st Qtr'!H21+'2nd Qtr'!H21+'3rd Qtr'!H21+'4th Qtr'!H21)</f>
        <v>26282.35</v>
      </c>
      <c r="I21" s="16">
        <f>SUM('1st Qtr'!I21, '2nd Qtr'!I21, '3rd Qtr'!I21, '4th Qtr'!I21)</f>
        <v>3013.5250000000015</v>
      </c>
      <c r="J21" s="15">
        <f t="shared" si="8"/>
        <v>0.11465964801473238</v>
      </c>
    </row>
    <row r="22" spans="1:10" ht="15.6">
      <c r="A22" s="24" t="str">
        <v>K041</v>
      </c>
      <c r="B22" s="25" t="str">
        <v>NY</v>
      </c>
      <c r="C22" s="25" t="str">
        <f>Sites[[#This Row],[SOL'#]]</f>
        <v>SOL-10357</v>
      </c>
      <c r="D22" s="20">
        <f>SUM('1st Qtr'!D22, '2nd Qtr'!D22, '3rd Qtr'!D22, '4th Qtr'!D22)</f>
        <v>22163.328125</v>
      </c>
      <c r="E22" s="10">
        <f>SUM('1st Qtr'!E22, '2nd Qtr'!E22, '3rd Qtr'!E22, '4th Qtr'!E22)</f>
        <v>30677.71</v>
      </c>
      <c r="F22" s="10">
        <f t="shared" si="6"/>
        <v>-8514.3818749999991</v>
      </c>
      <c r="G22" s="11">
        <f t="shared" si="7"/>
        <v>-0.27754294160157322</v>
      </c>
      <c r="H22" s="12">
        <f>SUM('1st Qtr'!H22+'2nd Qtr'!H22+'3rd Qtr'!H22+'4th Qtr'!H22)</f>
        <v>23783</v>
      </c>
      <c r="I22" s="12">
        <f>SUM('1st Qtr'!I22, '2nd Qtr'!I22, '3rd Qtr'!I22, '4th Qtr'!I22)</f>
        <v>-1619.671875</v>
      </c>
      <c r="J22" s="13">
        <f t="shared" si="8"/>
        <v>-6.810208447210192E-2</v>
      </c>
    </row>
    <row r="23" spans="1:10" ht="15.6">
      <c r="A23" s="26" t="str">
        <v>K043</v>
      </c>
      <c r="B23" s="27" t="str">
        <v>NY</v>
      </c>
      <c r="C23" s="27" t="str">
        <f>Sites[[#This Row],[SOL'#]]</f>
        <v>SOL-10358</v>
      </c>
      <c r="D23" s="9">
        <f>SUM('1st Qtr'!D23, '2nd Qtr'!D23, '3rd Qtr'!D23, '4th Qtr'!D23)</f>
        <v>26082.03125</v>
      </c>
      <c r="E23" s="14">
        <f>SUM('1st Qtr'!E23, '2nd Qtr'!E23, '3rd Qtr'!E23, '4th Qtr'!E23)</f>
        <v>34009.630000000005</v>
      </c>
      <c r="F23" s="14">
        <f t="shared" si="6"/>
        <v>-7927.5987500000047</v>
      </c>
      <c r="G23" s="15">
        <f t="shared" si="7"/>
        <v>-0.2330986473537055</v>
      </c>
      <c r="H23" s="16">
        <f>SUM('1st Qtr'!H23+'2nd Qtr'!H23+'3rd Qtr'!H23+'4th Qtr'!H23)</f>
        <v>5364</v>
      </c>
      <c r="I23" s="16">
        <f>SUM('1st Qtr'!I23, '2nd Qtr'!I23, '3rd Qtr'!I23, '4th Qtr'!I23)</f>
        <v>20718.03125</v>
      </c>
      <c r="J23" s="15">
        <f t="shared" si="8"/>
        <v>3.8624219332587622</v>
      </c>
    </row>
    <row r="24" spans="1:10" ht="15.6">
      <c r="A24" s="24" t="str">
        <v>K058</v>
      </c>
      <c r="B24" s="25" t="str">
        <v>NY</v>
      </c>
      <c r="C24" s="25" t="str">
        <f>Sites[[#This Row],[SOL'#]]</f>
        <v>SOL-10360</v>
      </c>
      <c r="D24" s="20">
        <f>SUM('1st Qtr'!D24, '2nd Qtr'!D24, '3rd Qtr'!D24, '4th Qtr'!D24)</f>
        <v>12634.75</v>
      </c>
      <c r="E24" s="10">
        <f>SUM('1st Qtr'!E24, '2nd Qtr'!E24, '3rd Qtr'!E24, '4th Qtr'!E24)</f>
        <v>22177.692999999999</v>
      </c>
      <c r="F24" s="10">
        <f t="shared" si="6"/>
        <v>-9542.9429999999993</v>
      </c>
      <c r="G24" s="11">
        <f t="shared" si="7"/>
        <v>-0.43029466590596233</v>
      </c>
      <c r="H24" s="12">
        <f>SUM('1st Qtr'!H24+'2nd Qtr'!H24+'3rd Qtr'!H24+'4th Qtr'!H24)</f>
        <v>21152.249</v>
      </c>
      <c r="I24" s="12">
        <f>SUM('1st Qtr'!I24, '2nd Qtr'!I24, '3rd Qtr'!I24, '4th Qtr'!I24)</f>
        <v>-8517.4989999999998</v>
      </c>
      <c r="J24" s="13">
        <f t="shared" si="8"/>
        <v>-0.40267581002852226</v>
      </c>
    </row>
    <row r="25" spans="1:10" ht="15.6">
      <c r="A25" s="26" t="str">
        <v>K115</v>
      </c>
      <c r="B25" s="27" t="str">
        <v>NY</v>
      </c>
      <c r="C25" s="27" t="str">
        <f>Sites[[#This Row],[SOL'#]]</f>
        <v>SOL-10361</v>
      </c>
      <c r="D25" s="9">
        <f>SUM('1st Qtr'!D25, '2nd Qtr'!D25, '3rd Qtr'!D25, '4th Qtr'!D25)</f>
        <v>5869.9375</v>
      </c>
      <c r="E25" s="14">
        <f>SUM('1st Qtr'!E25, '2nd Qtr'!E25, '3rd Qtr'!E25, '4th Qtr'!E25)</f>
        <v>15531.745999999999</v>
      </c>
      <c r="F25" s="14">
        <f t="shared" si="6"/>
        <v>-9661.8084999999992</v>
      </c>
      <c r="G25" s="15">
        <f t="shared" si="7"/>
        <v>-0.62206840750550518</v>
      </c>
      <c r="H25" s="16">
        <f>SUM('1st Qtr'!H25+'2nd Qtr'!H25+'3rd Qtr'!H25+'4th Qtr'!H25)</f>
        <v>13081.923999999999</v>
      </c>
      <c r="I25" s="16">
        <f>SUM('1st Qtr'!I25, '2nd Qtr'!I25, '3rd Qtr'!I25, '4th Qtr'!I25)</f>
        <v>-7211.9865</v>
      </c>
      <c r="J25" s="15">
        <f t="shared" si="8"/>
        <v>-0.55129402219428891</v>
      </c>
    </row>
    <row r="26" spans="1:10" ht="15.6">
      <c r="A26" s="24" t="str">
        <v>K152</v>
      </c>
      <c r="B26" s="25" t="str">
        <v>NY</v>
      </c>
      <c r="C26" s="25" t="str">
        <f>Sites[[#This Row],[SOL'#]]</f>
        <v>SOL-10362</v>
      </c>
      <c r="D26" s="20">
        <f>SUM('1st Qtr'!D26, '2nd Qtr'!D26, '3rd Qtr'!D26, '4th Qtr'!D26)</f>
        <v>7886.59375</v>
      </c>
      <c r="E26" s="10">
        <f>SUM('1st Qtr'!E26, '2nd Qtr'!E26, '3rd Qtr'!E26, '4th Qtr'!E26)</f>
        <v>10180.395</v>
      </c>
      <c r="F26" s="10">
        <f t="shared" si="6"/>
        <v>-2293.8012500000004</v>
      </c>
      <c r="G26" s="11">
        <f t="shared" si="7"/>
        <v>-0.22531554522196834</v>
      </c>
      <c r="H26" s="12">
        <f>SUM('1st Qtr'!H26+'2nd Qtr'!H26+'3rd Qtr'!H26+'4th Qtr'!H26)</f>
        <v>8243</v>
      </c>
      <c r="I26" s="12">
        <f>SUM('1st Qtr'!I26, '2nd Qtr'!I26, '3rd Qtr'!I26, '4th Qtr'!I26)</f>
        <v>-356.40625</v>
      </c>
      <c r="J26" s="13">
        <f t="shared" si="8"/>
        <v>-4.3237443891786971E-2</v>
      </c>
    </row>
    <row r="27" spans="1:10" ht="15.6">
      <c r="A27" s="26" t="str">
        <v>K166</v>
      </c>
      <c r="B27" s="27" t="str">
        <v>NY</v>
      </c>
      <c r="C27" s="27" t="str">
        <f>Sites[[#This Row],[SOL'#]]</f>
        <v>SOL-10363</v>
      </c>
      <c r="D27" s="9">
        <f>SUM('1st Qtr'!D27, '2nd Qtr'!D27, '3rd Qtr'!D27, '4th Qtr'!D27)</f>
        <v>27947</v>
      </c>
      <c r="E27" s="14">
        <f>SUM('1st Qtr'!E27, '2nd Qtr'!E27, '3rd Qtr'!E27, '4th Qtr'!E27)</f>
        <v>38662.630000000005</v>
      </c>
      <c r="F27" s="14">
        <f t="shared" si="6"/>
        <v>-10715.630000000005</v>
      </c>
      <c r="G27" s="15">
        <f t="shared" si="7"/>
        <v>-0.27715729633498815</v>
      </c>
      <c r="H27" s="16">
        <f>SUM('1st Qtr'!H27+'2nd Qtr'!H27+'3rd Qtr'!H27+'4th Qtr'!H27)</f>
        <v>28542.37</v>
      </c>
      <c r="I27" s="16">
        <f>SUM('1st Qtr'!I27, '2nd Qtr'!I27, '3rd Qtr'!I27, '4th Qtr'!I27)</f>
        <v>-595.36999999999898</v>
      </c>
      <c r="J27" s="15">
        <f t="shared" si="8"/>
        <v>-2.0859164813573611E-2</v>
      </c>
    </row>
    <row r="28" spans="1:10" ht="15.6">
      <c r="A28" s="24" t="str">
        <v>K206</v>
      </c>
      <c r="B28" s="25" t="str">
        <v>NY</v>
      </c>
      <c r="C28" s="25" t="str">
        <f>Sites[[#This Row],[SOL'#]]</f>
        <v>SOL-10927</v>
      </c>
      <c r="D28" s="20">
        <f>SUM('1st Qtr'!D28, '2nd Qtr'!D28, '3rd Qtr'!D28, '4th Qtr'!D28)</f>
        <v>17303.521718749998</v>
      </c>
      <c r="E28" s="10">
        <f>SUM('1st Qtr'!E28, '2nd Qtr'!E28, '3rd Qtr'!E28, '4th Qtr'!E28)</f>
        <v>23876.400000000001</v>
      </c>
      <c r="F28" s="10">
        <f t="shared" si="6"/>
        <v>-6572.8782812500031</v>
      </c>
      <c r="G28" s="11">
        <f t="shared" si="7"/>
        <v>-0.27528765983355963</v>
      </c>
      <c r="H28" s="12">
        <f>SUM('1st Qtr'!H28+'2nd Qtr'!H28+'3rd Qtr'!H28+'4th Qtr'!H28)</f>
        <v>16126</v>
      </c>
      <c r="I28" s="12">
        <f>SUM('1st Qtr'!I28, '2nd Qtr'!I28, '3rd Qtr'!I28, '4th Qtr'!I28)</f>
        <v>1177.5217187499993</v>
      </c>
      <c r="J28" s="13">
        <f t="shared" si="8"/>
        <v>7.3020074336475213E-2</v>
      </c>
    </row>
    <row r="29" spans="1:10" ht="15.6">
      <c r="A29" s="26" t="str">
        <v>K251</v>
      </c>
      <c r="B29" s="27" t="str">
        <v>NY</v>
      </c>
      <c r="C29" s="27" t="str">
        <f>Sites[[#This Row],[SOL'#]]</f>
        <v>SOL-10365</v>
      </c>
      <c r="D29" s="9">
        <f>SUM('1st Qtr'!D29, '2nd Qtr'!D29, '3rd Qtr'!D29, '4th Qtr'!D29)</f>
        <v>19715.4375</v>
      </c>
      <c r="E29" s="14">
        <f>SUM('1st Qtr'!E29, '2nd Qtr'!E29, '3rd Qtr'!E29, '4th Qtr'!E29)</f>
        <v>0</v>
      </c>
      <c r="F29" s="14">
        <f t="shared" si="6"/>
        <v>19715.4375</v>
      </c>
      <c r="G29" s="15" t="str">
        <f t="shared" si="7"/>
        <v/>
      </c>
      <c r="H29" s="16">
        <f>SUM('1st Qtr'!H29+'2nd Qtr'!H29+'3rd Qtr'!H29+'4th Qtr'!H29)</f>
        <v>19558.752</v>
      </c>
      <c r="I29" s="16">
        <f>SUM('1st Qtr'!I29, '2nd Qtr'!I29, '3rd Qtr'!I29, '4th Qtr'!I29)</f>
        <v>156.68550000000141</v>
      </c>
      <c r="J29" s="15">
        <f t="shared" si="8"/>
        <v>8.0110172673594614E-3</v>
      </c>
    </row>
    <row r="30" spans="1:10" ht="15.6">
      <c r="A30" s="24" t="str">
        <v>K269</v>
      </c>
      <c r="B30" s="25" t="str">
        <v>NY</v>
      </c>
      <c r="C30" s="25" t="str">
        <f>Sites[[#This Row],[SOL'#]]</f>
        <v>SOL-10366</v>
      </c>
      <c r="D30" s="20">
        <f>SUM('1st Qtr'!D30, '2nd Qtr'!D30, '3rd Qtr'!D30, '4th Qtr'!D30)</f>
        <v>16956.6875</v>
      </c>
      <c r="E30" s="10">
        <f>SUM('1st Qtr'!E30, '2nd Qtr'!E30, '3rd Qtr'!E30, '4th Qtr'!E30)</f>
        <v>25626.35</v>
      </c>
      <c r="F30" s="10">
        <f t="shared" si="6"/>
        <v>-8669.6624999999985</v>
      </c>
      <c r="G30" s="11">
        <f t="shared" si="7"/>
        <v>-0.33831046949721671</v>
      </c>
      <c r="H30" s="12">
        <f>SUM('1st Qtr'!H30+'2nd Qtr'!H30+'3rd Qtr'!H30+'4th Qtr'!H30)</f>
        <v>18484.781999999999</v>
      </c>
      <c r="I30" s="12">
        <f>SUM('1st Qtr'!I30, '2nd Qtr'!I30, '3rd Qtr'!I30, '4th Qtr'!I30)</f>
        <v>-1528.0945000000002</v>
      </c>
      <c r="J30" s="13">
        <f t="shared" si="8"/>
        <v>-8.2667704709744494E-2</v>
      </c>
    </row>
    <row r="31" spans="1:10" ht="15.6">
      <c r="A31" s="26" t="str">
        <v>K273</v>
      </c>
      <c r="B31" s="27" t="str">
        <v>NY</v>
      </c>
      <c r="C31" s="27" t="str">
        <f>Sites[[#This Row],[SOL'#]]</f>
        <v>SOL-10367</v>
      </c>
      <c r="D31" s="9">
        <f>SUM('1st Qtr'!D31, '2nd Qtr'!D31, '3rd Qtr'!D31, '4th Qtr'!D31)</f>
        <v>17763.375</v>
      </c>
      <c r="E31" s="14">
        <f>SUM('1st Qtr'!E31, '2nd Qtr'!E31, '3rd Qtr'!E31, '4th Qtr'!E31)</f>
        <v>0</v>
      </c>
      <c r="F31" s="14">
        <f t="shared" si="6"/>
        <v>17763.375</v>
      </c>
      <c r="G31" s="15" t="str">
        <f t="shared" si="7"/>
        <v/>
      </c>
      <c r="H31" s="16">
        <f>SUM('1st Qtr'!H31+'2nd Qtr'!H31+'3rd Qtr'!H31+'4th Qtr'!H31)</f>
        <v>22323</v>
      </c>
      <c r="I31" s="16">
        <f>SUM('1st Qtr'!I31, '2nd Qtr'!I31, '3rd Qtr'!I31, '4th Qtr'!I31)</f>
        <v>-4559.625</v>
      </c>
      <c r="J31" s="15">
        <f t="shared" si="8"/>
        <v>-0.20425682031984949</v>
      </c>
    </row>
    <row r="32" spans="1:10" ht="15.6">
      <c r="A32" s="24" t="str">
        <v>K287</v>
      </c>
      <c r="B32" s="25" t="str">
        <v>NY</v>
      </c>
      <c r="C32" s="25" t="str">
        <f>Sites[[#This Row],[SOL'#]]</f>
        <v>SOL-10919</v>
      </c>
      <c r="D32" s="20">
        <f>SUM('1st Qtr'!D32, '2nd Qtr'!D32, '3rd Qtr'!D32, '4th Qtr'!D32)</f>
        <v>15899.65625</v>
      </c>
      <c r="E32" s="10">
        <f>SUM('1st Qtr'!E32, '2nd Qtr'!E32, '3rd Qtr'!E32, '4th Qtr'!E32)</f>
        <v>17700.674999999999</v>
      </c>
      <c r="F32" s="10">
        <f t="shared" si="6"/>
        <v>-1801.0187499999993</v>
      </c>
      <c r="G32" s="11">
        <f t="shared" si="7"/>
        <v>-0.10174859150851588</v>
      </c>
      <c r="H32" s="12">
        <f>SUM('1st Qtr'!H32+'2nd Qtr'!H32+'3rd Qtr'!H32+'4th Qtr'!H32)</f>
        <v>16807</v>
      </c>
      <c r="I32" s="12">
        <f>SUM('1st Qtr'!I32, '2nd Qtr'!I32, '3rd Qtr'!I32, '4th Qtr'!I32)</f>
        <v>-907.34375</v>
      </c>
      <c r="J32" s="13">
        <f t="shared" si="8"/>
        <v>-5.3986062354971144E-2</v>
      </c>
    </row>
    <row r="33" spans="1:10" ht="15.6">
      <c r="A33" s="26" t="str">
        <v>K298</v>
      </c>
      <c r="B33" s="27" t="str">
        <v>NY</v>
      </c>
      <c r="C33" s="27" t="str">
        <f>Sites[[#This Row],[SOL'#]]</f>
        <v>SOL-10368</v>
      </c>
      <c r="D33" s="9">
        <f>SUM('1st Qtr'!D33, '2nd Qtr'!D33, '3rd Qtr'!D33, '4th Qtr'!D33)</f>
        <v>14059.84375</v>
      </c>
      <c r="E33" s="14">
        <f>SUM('1st Qtr'!E33, '2nd Qtr'!E33, '3rd Qtr'!E33, '4th Qtr'!E33)</f>
        <v>22681.83</v>
      </c>
      <c r="F33" s="14">
        <f t="shared" si="6"/>
        <v>-8621.9862500000017</v>
      </c>
      <c r="G33" s="15">
        <f t="shared" si="7"/>
        <v>-0.38012745223820127</v>
      </c>
      <c r="H33" s="16">
        <f>SUM('1st Qtr'!H33+'2nd Qtr'!H33+'3rd Qtr'!H33+'4th Qtr'!H33)</f>
        <v>15584</v>
      </c>
      <c r="I33" s="16">
        <f>SUM('1st Qtr'!I33, '2nd Qtr'!I33, '3rd Qtr'!I33, '4th Qtr'!I33)</f>
        <v>-1524.15625</v>
      </c>
      <c r="J33" s="15">
        <f t="shared" si="8"/>
        <v>-9.7802634111909648E-2</v>
      </c>
    </row>
    <row r="34" spans="1:10" ht="15.6">
      <c r="A34" s="24" t="str">
        <v>K335</v>
      </c>
      <c r="B34" s="25" t="str">
        <v>NY</v>
      </c>
      <c r="C34" s="25" t="str">
        <f>Sites[[#This Row],[SOL'#]]</f>
        <v>SOL-10370</v>
      </c>
      <c r="D34" s="20">
        <f>SUM('1st Qtr'!D34, '2nd Qtr'!D34, '3rd Qtr'!D34, '4th Qtr'!D34)</f>
        <v>16480.25</v>
      </c>
      <c r="E34" s="10">
        <f>SUM('1st Qtr'!E34, '2nd Qtr'!E34, '3rd Qtr'!E34, '4th Qtr'!E34)</f>
        <v>24255.4</v>
      </c>
      <c r="F34" s="10">
        <f t="shared" si="6"/>
        <v>-7775.1500000000015</v>
      </c>
      <c r="G34" s="11">
        <f t="shared" si="7"/>
        <v>-0.32055336131335704</v>
      </c>
      <c r="H34" s="12">
        <f>SUM('1st Qtr'!H34+'2nd Qtr'!H34+'3rd Qtr'!H34+'4th Qtr'!H34)</f>
        <v>19020</v>
      </c>
      <c r="I34" s="12">
        <f>SUM('1st Qtr'!I34, '2nd Qtr'!I34, '3rd Qtr'!I34, '4th Qtr'!I34)</f>
        <v>-2539.75</v>
      </c>
      <c r="J34" s="13">
        <f t="shared" si="8"/>
        <v>-0.13353049421661409</v>
      </c>
    </row>
    <row r="35" spans="1:10" ht="15.6">
      <c r="A35" s="26" t="str">
        <v>K345</v>
      </c>
      <c r="B35" s="27" t="str">
        <v>NY</v>
      </c>
      <c r="C35" s="27" t="str">
        <f>Sites[[#This Row],[SOL'#]]</f>
        <v>SOL-10920</v>
      </c>
      <c r="D35" s="9">
        <f>SUM('1st Qtr'!D35, '2nd Qtr'!D35, '3rd Qtr'!D35, '4th Qtr'!D35)</f>
        <v>19675.312500000011</v>
      </c>
      <c r="E35" s="14">
        <f>SUM('1st Qtr'!E35, '2nd Qtr'!E35, '3rd Qtr'!E35, '4th Qtr'!E35)</f>
        <v>17141.626</v>
      </c>
      <c r="F35" s="14">
        <f t="shared" si="6"/>
        <v>2533.6865000000107</v>
      </c>
      <c r="G35" s="15">
        <f t="shared" si="7"/>
        <v>0.14780899431594241</v>
      </c>
      <c r="H35" s="16">
        <f>SUM('1st Qtr'!H35+'2nd Qtr'!H35+'3rd Qtr'!H35+'4th Qtr'!H35)</f>
        <v>18487</v>
      </c>
      <c r="I35" s="16">
        <f>SUM('1st Qtr'!I35, '2nd Qtr'!I35, '3rd Qtr'!I35, '4th Qtr'!I35)</f>
        <v>1188.31250000001</v>
      </c>
      <c r="J35" s="15">
        <f t="shared" si="8"/>
        <v>6.4278276626819383E-2</v>
      </c>
    </row>
    <row r="36" spans="1:10" ht="15.6">
      <c r="A36" s="24" t="str">
        <v>K445</v>
      </c>
      <c r="B36" s="25" t="str">
        <v>NY</v>
      </c>
      <c r="C36" s="25" t="str">
        <f>Sites[[#This Row],[SOL'#]]</f>
        <v>SOL-10373</v>
      </c>
      <c r="D36" s="20">
        <f>SUM('1st Qtr'!D36, '2nd Qtr'!D36, '3rd Qtr'!D36, '4th Qtr'!D36)</f>
        <v>17220.59375</v>
      </c>
      <c r="E36" s="10">
        <f>SUM('1st Qtr'!E36, '2nd Qtr'!E36, '3rd Qtr'!E36, '4th Qtr'!E36)</f>
        <v>24751.66</v>
      </c>
      <c r="F36" s="10">
        <f t="shared" si="6"/>
        <v>-7531.0662499999999</v>
      </c>
      <c r="G36" s="11">
        <f t="shared" si="7"/>
        <v>-0.30426509777526034</v>
      </c>
      <c r="H36" s="12">
        <f>SUM('1st Qtr'!H36+'2nd Qtr'!H36+'3rd Qtr'!H36+'4th Qtr'!H36)</f>
        <v>16277.987000000001</v>
      </c>
      <c r="I36" s="12">
        <f>SUM('1st Qtr'!I36, '2nd Qtr'!I36, '3rd Qtr'!I36, '4th Qtr'!I36)</f>
        <v>942.60674999999992</v>
      </c>
      <c r="J36" s="13">
        <f t="shared" si="8"/>
        <v>5.7906837620646821E-2</v>
      </c>
    </row>
    <row r="37" spans="1:10" ht="15.6">
      <c r="A37" s="26" t="str">
        <v>K495</v>
      </c>
      <c r="B37" s="27" t="str">
        <v>NY</v>
      </c>
      <c r="C37" s="27" t="str">
        <f>Sites[[#This Row],[SOL'#]]</f>
        <v>SOL-10374</v>
      </c>
      <c r="D37" s="9">
        <f>SUM('1st Qtr'!D37, '2nd Qtr'!D37, '3rd Qtr'!D37, '4th Qtr'!D37)</f>
        <v>576</v>
      </c>
      <c r="E37" s="14">
        <f>SUM('1st Qtr'!E37, '2nd Qtr'!E37, '3rd Qtr'!E37, '4th Qtr'!E37)</f>
        <v>72688.040000000008</v>
      </c>
      <c r="F37" s="14">
        <f t="shared" si="6"/>
        <v>-72112.040000000008</v>
      </c>
      <c r="G37" s="15">
        <f t="shared" si="7"/>
        <v>-0.99207572524998611</v>
      </c>
      <c r="H37" s="16">
        <f>SUM('1st Qtr'!H37+'2nd Qtr'!H37+'3rd Qtr'!H37+'4th Qtr'!H37)</f>
        <v>76081</v>
      </c>
      <c r="I37" s="16">
        <f>SUM('1st Qtr'!I37, '2nd Qtr'!I37, '3rd Qtr'!I37, '4th Qtr'!I37)</f>
        <v>-75505</v>
      </c>
      <c r="J37" s="15">
        <f t="shared" si="8"/>
        <v>-0.99242912159409047</v>
      </c>
    </row>
    <row r="38" spans="1:10" ht="15.6">
      <c r="A38" s="24" t="str">
        <v>M020</v>
      </c>
      <c r="B38" s="25" t="str">
        <v>NY</v>
      </c>
      <c r="C38" s="25" t="str">
        <f>Sites[[#This Row],[SOL'#]]</f>
        <v>SOL-10380</v>
      </c>
      <c r="D38" s="20">
        <f>SUM('1st Qtr'!D38, '2nd Qtr'!D38, '3rd Qtr'!D38, '4th Qtr'!D38)</f>
        <v>17982.1875</v>
      </c>
      <c r="E38" s="10">
        <f>SUM('1st Qtr'!E38, '2nd Qtr'!E38, '3rd Qtr'!E38, '4th Qtr'!E38)</f>
        <v>23243.79</v>
      </c>
      <c r="F38" s="10">
        <f t="shared" si="6"/>
        <v>-5261.6025000000009</v>
      </c>
      <c r="G38" s="11">
        <f t="shared" si="7"/>
        <v>-0.22636594548479402</v>
      </c>
      <c r="H38" s="12">
        <f>SUM('1st Qtr'!H38+'2nd Qtr'!H38+'3rd Qtr'!H38+'4th Qtr'!H38)</f>
        <v>20810</v>
      </c>
      <c r="I38" s="12">
        <f>SUM('1st Qtr'!I38, '2nd Qtr'!I38, '3rd Qtr'!I38, '4th Qtr'!I38)</f>
        <v>-2827.8125</v>
      </c>
      <c r="J38" s="13">
        <f t="shared" si="8"/>
        <v>-0.13588719365689572</v>
      </c>
    </row>
    <row r="39" spans="1:10" ht="15.6">
      <c r="A39" s="26" t="str">
        <v>M092</v>
      </c>
      <c r="B39" s="27" t="str">
        <v>NY</v>
      </c>
      <c r="C39" s="27" t="str">
        <f>Sites[[#This Row],[SOL'#]]</f>
        <v>SOL-10383</v>
      </c>
      <c r="D39" s="9">
        <f>SUM('1st Qtr'!D39, '2nd Qtr'!D39, '3rd Qtr'!D39, '4th Qtr'!D39)</f>
        <v>17343.375000000022</v>
      </c>
      <c r="E39" s="14">
        <f>SUM('1st Qtr'!E39, '2nd Qtr'!E39, '3rd Qtr'!E39, '4th Qtr'!E39)</f>
        <v>24173.43</v>
      </c>
      <c r="F39" s="14">
        <f t="shared" si="6"/>
        <v>-6830.0549999999785</v>
      </c>
      <c r="G39" s="15">
        <f t="shared" si="7"/>
        <v>-0.28254389219899612</v>
      </c>
      <c r="H39" s="16">
        <f>SUM('1st Qtr'!H39+'2nd Qtr'!H39+'3rd Qtr'!H39+'4th Qtr'!H39)</f>
        <v>18847.82</v>
      </c>
      <c r="I39" s="16">
        <f>SUM('1st Qtr'!I39, '2nd Qtr'!I39, '3rd Qtr'!I39, '4th Qtr'!I39)</f>
        <v>-1504.4449999999806</v>
      </c>
      <c r="J39" s="15">
        <f t="shared" si="8"/>
        <v>-7.9820637081634935E-2</v>
      </c>
    </row>
    <row r="40" spans="1:10" ht="15.6">
      <c r="A40" s="24" t="str">
        <v>M143</v>
      </c>
      <c r="B40" s="25" t="str">
        <v>NY</v>
      </c>
      <c r="C40" s="25" t="str">
        <f>Sites[[#This Row],[SOL'#]]</f>
        <v>SOL-10384</v>
      </c>
      <c r="D40" s="20">
        <f>SUM('1st Qtr'!D40, '2nd Qtr'!D40, '3rd Qtr'!D40, '4th Qtr'!D40)</f>
        <v>19191.71875</v>
      </c>
      <c r="E40" s="10">
        <f>SUM('1st Qtr'!E40, '2nd Qtr'!E40, '3rd Qtr'!E40, '4th Qtr'!E40)</f>
        <v>25568.639999999999</v>
      </c>
      <c r="F40" s="10">
        <f t="shared" si="6"/>
        <v>-6376.9212499999994</v>
      </c>
      <c r="G40" s="11">
        <f t="shared" si="7"/>
        <v>-0.24940400623576378</v>
      </c>
      <c r="H40" s="12">
        <f>SUM('1st Qtr'!H40+'2nd Qtr'!H40+'3rd Qtr'!H40+'4th Qtr'!H40)</f>
        <v>20182.164000000001</v>
      </c>
      <c r="I40" s="12">
        <f>SUM('1st Qtr'!I40, '2nd Qtr'!I40, '3rd Qtr'!I40, '4th Qtr'!I40)</f>
        <v>-990.44525000000067</v>
      </c>
      <c r="J40" s="13">
        <f t="shared" si="8"/>
        <v>-4.9075275079520739E-2</v>
      </c>
    </row>
    <row r="41" spans="1:10" ht="15.6">
      <c r="A41" s="26" t="str">
        <v>M144</v>
      </c>
      <c r="B41" s="27" t="str">
        <v>NY</v>
      </c>
      <c r="C41" s="27" t="str">
        <f>Sites[[#This Row],[SOL'#]]</f>
        <v>SOL-10385</v>
      </c>
      <c r="D41" s="9">
        <f>SUM('1st Qtr'!D41, '2nd Qtr'!D41, '3rd Qtr'!D41, '4th Qtr'!D41)</f>
        <v>29858.15625</v>
      </c>
      <c r="E41" s="14">
        <f>SUM('1st Qtr'!E41, '2nd Qtr'!E41, '3rd Qtr'!E41, '4th Qtr'!E41)</f>
        <v>0</v>
      </c>
      <c r="F41" s="14">
        <f t="shared" si="6"/>
        <v>29858.15625</v>
      </c>
      <c r="G41" s="15" t="str">
        <f t="shared" si="7"/>
        <v/>
      </c>
      <c r="H41" s="16">
        <f>SUM('1st Qtr'!H41+'2nd Qtr'!H41+'3rd Qtr'!H41+'4th Qtr'!H41)</f>
        <v>31776</v>
      </c>
      <c r="I41" s="16">
        <f>SUM('1st Qtr'!I41, '2nd Qtr'!I41, '3rd Qtr'!I41, '4th Qtr'!I41)</f>
        <v>-1917.84375</v>
      </c>
      <c r="J41" s="15">
        <f t="shared" si="8"/>
        <v>-6.0355102907854986E-2</v>
      </c>
    </row>
    <row r="42" spans="1:10" ht="15.6">
      <c r="A42" s="24" t="str">
        <v>M167</v>
      </c>
      <c r="B42" s="25" t="str">
        <v>NY</v>
      </c>
      <c r="C42" s="25" t="str">
        <f>Sites[[#This Row],[SOL'#]]</f>
        <v>SOL-10386</v>
      </c>
      <c r="D42" s="20">
        <f>SUM('1st Qtr'!D42, '2nd Qtr'!D42, '3rd Qtr'!D42, '4th Qtr'!D42)</f>
        <v>19012.5625</v>
      </c>
      <c r="E42" s="10">
        <f>SUM('1st Qtr'!E42, '2nd Qtr'!E42, '3rd Qtr'!E42, '4th Qtr'!E42)</f>
        <v>20472.916000000001</v>
      </c>
      <c r="F42" s="10">
        <f t="shared" si="6"/>
        <v>-1460.3535000000011</v>
      </c>
      <c r="G42" s="11">
        <f t="shared" si="7"/>
        <v>-7.1330996522429982E-2</v>
      </c>
      <c r="H42" s="12">
        <f>SUM('1st Qtr'!H42+'2nd Qtr'!H42+'3rd Qtr'!H42+'4th Qtr'!H42)</f>
        <v>21456.530999999999</v>
      </c>
      <c r="I42" s="12">
        <f>SUM('1st Qtr'!I42, '2nd Qtr'!I42, '3rd Qtr'!I42, '4th Qtr'!I42)</f>
        <v>-2443.9684999999999</v>
      </c>
      <c r="J42" s="13">
        <f t="shared" si="8"/>
        <v>-0.11390324465776877</v>
      </c>
    </row>
    <row r="43" spans="1:10" ht="15.6">
      <c r="A43" s="26" t="str">
        <v>M188</v>
      </c>
      <c r="B43" s="27" t="str">
        <v>NY</v>
      </c>
      <c r="C43" s="27" t="str">
        <f>Sites[[#This Row],[SOL'#]]</f>
        <v>SOL-10387</v>
      </c>
      <c r="D43" s="9">
        <f>SUM('1st Qtr'!D43, '2nd Qtr'!D43, '3rd Qtr'!D43, '4th Qtr'!D43)</f>
        <v>15843.25</v>
      </c>
      <c r="E43" s="14">
        <f>SUM('1st Qtr'!E43, '2nd Qtr'!E43, '3rd Qtr'!E43, '4th Qtr'!E43)</f>
        <v>0</v>
      </c>
      <c r="F43" s="14">
        <f t="shared" si="6"/>
        <v>15843.25</v>
      </c>
      <c r="G43" s="15" t="str">
        <f t="shared" si="7"/>
        <v/>
      </c>
      <c r="H43" s="16">
        <f>SUM('1st Qtr'!H43+'2nd Qtr'!H43+'3rd Qtr'!H43+'4th Qtr'!H43)</f>
        <v>16592</v>
      </c>
      <c r="I43" s="16">
        <f>SUM('1st Qtr'!I43, '2nd Qtr'!I43, '3rd Qtr'!I43, '4th Qtr'!I43)</f>
        <v>-748.75</v>
      </c>
      <c r="J43" s="15">
        <f t="shared" si="8"/>
        <v>-4.5127169720347159E-2</v>
      </c>
    </row>
    <row r="44" spans="1:10" ht="15.6">
      <c r="A44" s="24" t="str">
        <v>EMHC</v>
      </c>
      <c r="B44" s="25" t="str">
        <v>NY</v>
      </c>
      <c r="C44" s="25" t="str">
        <f>Sites[[#This Row],[SOL'#]]</f>
        <v>SOL-10351</v>
      </c>
      <c r="D44" s="20">
        <f>SUM('1st Qtr'!D44, '2nd Qtr'!D44, '3rd Qtr'!D44, '4th Qtr'!D44)</f>
        <v>5537.15625</v>
      </c>
      <c r="E44" s="10">
        <f>SUM('1st Qtr'!E44, '2nd Qtr'!E44, '3rd Qtr'!E44, '4th Qtr'!E44)</f>
        <v>5151.9369999999999</v>
      </c>
      <c r="F44" s="10">
        <f t="shared" si="6"/>
        <v>385.2192500000001</v>
      </c>
      <c r="G44" s="11">
        <f t="shared" si="7"/>
        <v>7.4771731486623402E-2</v>
      </c>
      <c r="H44" s="12">
        <f>SUM('1st Qtr'!H44+'2nd Qtr'!H44+'3rd Qtr'!H44+'4th Qtr'!H44)</f>
        <v>5757.8220000000001</v>
      </c>
      <c r="I44" s="12">
        <f>SUM('1st Qtr'!I44, '2nd Qtr'!I44, '3rd Qtr'!I44, '4th Qtr'!I44)</f>
        <v>-220.66575000000012</v>
      </c>
      <c r="J44" s="13">
        <f t="shared" si="8"/>
        <v>-3.8324517499846313E-2</v>
      </c>
    </row>
    <row r="45" spans="1:10" ht="15.6">
      <c r="A45" s="26" t="str">
        <v>Q008</v>
      </c>
      <c r="B45" s="27" t="str">
        <v>NY</v>
      </c>
      <c r="C45" s="27" t="str">
        <f>Sites[[#This Row],[SOL'#]]</f>
        <v>SOL-10397</v>
      </c>
      <c r="D45" s="9">
        <f>SUM('1st Qtr'!D45, '2nd Qtr'!D45, '3rd Qtr'!D45, '4th Qtr'!D45)</f>
        <v>21906.90625</v>
      </c>
      <c r="E45" s="14">
        <f>SUM('1st Qtr'!E45, '2nd Qtr'!E45, '3rd Qtr'!E45, '4th Qtr'!E45)</f>
        <v>30121</v>
      </c>
      <c r="F45" s="14">
        <f t="shared" si="6"/>
        <v>-8214.09375</v>
      </c>
      <c r="G45" s="15">
        <f t="shared" si="7"/>
        <v>-0.27270322200458152</v>
      </c>
      <c r="H45" s="16">
        <f>SUM('1st Qtr'!H45+'2nd Qtr'!H45+'3rd Qtr'!H45+'4th Qtr'!H45)</f>
        <v>25781</v>
      </c>
      <c r="I45" s="16">
        <f>SUM('1st Qtr'!I45, '2nd Qtr'!I45, '3rd Qtr'!I45, '4th Qtr'!I45)</f>
        <v>-3874.09375</v>
      </c>
      <c r="J45" s="15">
        <f t="shared" si="8"/>
        <v>-0.15026933594507583</v>
      </c>
    </row>
    <row r="46" spans="1:10" ht="15.6">
      <c r="A46" s="24" t="str">
        <v>Q018</v>
      </c>
      <c r="B46" s="25" t="str">
        <v>NY</v>
      </c>
      <c r="C46" s="25" t="str">
        <f>Sites[[#This Row],[SOL'#]]</f>
        <v>SOL-10398</v>
      </c>
      <c r="D46" s="20">
        <f>SUM('1st Qtr'!D46, '2nd Qtr'!D46, '3rd Qtr'!D46, '4th Qtr'!D46)</f>
        <v>16896.5625</v>
      </c>
      <c r="E46" s="10">
        <f>SUM('1st Qtr'!E46, '2nd Qtr'!E46, '3rd Qtr'!E46, '4th Qtr'!E46)</f>
        <v>18944.171999999999</v>
      </c>
      <c r="F46" s="10">
        <f t="shared" si="6"/>
        <v>-2047.6094999999987</v>
      </c>
      <c r="G46" s="11">
        <f t="shared" si="7"/>
        <v>-0.10808651336147068</v>
      </c>
      <c r="H46" s="12">
        <f>SUM('1st Qtr'!H46+'2nd Qtr'!H46+'3rd Qtr'!H46+'4th Qtr'!H46)</f>
        <v>15383.325999999999</v>
      </c>
      <c r="I46" s="12">
        <f>SUM('1st Qtr'!I46, '2nd Qtr'!I46, '3rd Qtr'!I46, '4th Qtr'!I46)</f>
        <v>1513.2365000000009</v>
      </c>
      <c r="J46" s="13">
        <f t="shared" si="8"/>
        <v>9.8368616773771872E-2</v>
      </c>
    </row>
    <row r="47" spans="1:10" ht="15.6">
      <c r="A47" s="26" t="str">
        <v>Q021</v>
      </c>
      <c r="B47" s="27" t="str">
        <v>NY</v>
      </c>
      <c r="C47" s="27" t="str">
        <f>Sites[[#This Row],[SOL'#]]</f>
        <v>SOL-10399</v>
      </c>
      <c r="D47" s="9">
        <f>SUM('1st Qtr'!D47, '2nd Qtr'!D47, '3rd Qtr'!D47, '4th Qtr'!D47)</f>
        <v>13779.46875000006</v>
      </c>
      <c r="E47" s="14">
        <f>SUM('1st Qtr'!E47, '2nd Qtr'!E47, '3rd Qtr'!E47, '4th Qtr'!E47)</f>
        <v>19224.673999999999</v>
      </c>
      <c r="F47" s="14">
        <f t="shared" si="6"/>
        <v>-5445.205249999939</v>
      </c>
      <c r="G47" s="15">
        <f t="shared" si="7"/>
        <v>-0.28324044662603587</v>
      </c>
      <c r="H47" s="16">
        <f>SUM('1st Qtr'!H47+'2nd Qtr'!H47+'3rd Qtr'!H47+'4th Qtr'!H47)</f>
        <v>12314.647000000001</v>
      </c>
      <c r="I47" s="16">
        <f>SUM('1st Qtr'!I47, '2nd Qtr'!I47, '3rd Qtr'!I47, '4th Qtr'!I47)</f>
        <v>1464.8217500000601</v>
      </c>
      <c r="J47" s="15">
        <f t="shared" si="8"/>
        <v>0.11894955251255354</v>
      </c>
    </row>
    <row r="48" spans="1:10" ht="15.6">
      <c r="A48" s="24" t="str">
        <v>Q025</v>
      </c>
      <c r="B48" s="25" t="str">
        <v>NY</v>
      </c>
      <c r="C48" s="25" t="str">
        <f>Sites[[#This Row],[SOL'#]]</f>
        <v>SOL-10400</v>
      </c>
      <c r="D48" s="20">
        <f>SUM('1st Qtr'!D48, '2nd Qtr'!D48, '3rd Qtr'!D48, '4th Qtr'!D48)</f>
        <v>22983</v>
      </c>
      <c r="E48" s="10">
        <f>SUM('1st Qtr'!E48, '2nd Qtr'!E48, '3rd Qtr'!E48, '4th Qtr'!E48)</f>
        <v>29018.559999999998</v>
      </c>
      <c r="F48" s="10">
        <f t="shared" si="6"/>
        <v>-6035.5599999999977</v>
      </c>
      <c r="G48" s="11">
        <f t="shared" si="7"/>
        <v>-0.20798964524773103</v>
      </c>
      <c r="H48" s="12">
        <f>SUM('1st Qtr'!H48+'2nd Qtr'!H48+'3rd Qtr'!H48+'4th Qtr'!H48)</f>
        <v>17307</v>
      </c>
      <c r="I48" s="12">
        <f>SUM('1st Qtr'!I48, '2nd Qtr'!I48, '3rd Qtr'!I48, '4th Qtr'!I48)</f>
        <v>5676</v>
      </c>
      <c r="J48" s="13">
        <f t="shared" si="8"/>
        <v>0.327959785058069</v>
      </c>
    </row>
    <row r="49" spans="1:10" ht="15.6">
      <c r="A49" s="26" t="str">
        <v>Q074</v>
      </c>
      <c r="B49" s="27" t="str">
        <v>NY</v>
      </c>
      <c r="C49" s="27" t="str">
        <f>Sites[[#This Row],[SOL'#]]</f>
        <v>SOL-10402</v>
      </c>
      <c r="D49" s="9">
        <f>SUM('1st Qtr'!D49, '2nd Qtr'!D49, '3rd Qtr'!D49, '4th Qtr'!D49)</f>
        <v>14407</v>
      </c>
      <c r="E49" s="14">
        <f>SUM('1st Qtr'!E49, '2nd Qtr'!E49, '3rd Qtr'!E49, '4th Qtr'!E49)</f>
        <v>17085.620999999999</v>
      </c>
      <c r="F49" s="14">
        <f t="shared" si="6"/>
        <v>-2678.6209999999992</v>
      </c>
      <c r="G49" s="15">
        <f t="shared" si="7"/>
        <v>-0.15677633256643111</v>
      </c>
      <c r="H49" s="16">
        <f>SUM('1st Qtr'!H49+'2nd Qtr'!H49+'3rd Qtr'!H49+'4th Qtr'!H49)</f>
        <v>14045.405999999999</v>
      </c>
      <c r="I49" s="16">
        <f>SUM('1st Qtr'!I49, '2nd Qtr'!I49, '3rd Qtr'!I49, '4th Qtr'!I49)</f>
        <v>361.59400000000005</v>
      </c>
      <c r="J49" s="15">
        <f t="shared" si="8"/>
        <v>2.5744645615797798E-2</v>
      </c>
    </row>
    <row r="50" spans="1:10" ht="15.6">
      <c r="A50" s="24" t="str">
        <v>Q115</v>
      </c>
      <c r="B50" s="25" t="str">
        <v>NY</v>
      </c>
      <c r="C50" s="25" t="str">
        <f>Sites[[#This Row],[SOL'#]]</f>
        <v>SOL-10872</v>
      </c>
      <c r="D50" s="20">
        <f>SUM('1st Qtr'!D50, '2nd Qtr'!D50, '3rd Qtr'!D50, '4th Qtr'!D50)</f>
        <v>19448.625</v>
      </c>
      <c r="E50" s="10">
        <f>SUM('1st Qtr'!E50, '2nd Qtr'!E50, '3rd Qtr'!E50, '4th Qtr'!E50)</f>
        <v>26362.84</v>
      </c>
      <c r="F50" s="10">
        <f t="shared" si="6"/>
        <v>-6914.2150000000001</v>
      </c>
      <c r="G50" s="11">
        <f t="shared" si="7"/>
        <v>-0.26227124998672374</v>
      </c>
      <c r="H50" s="12">
        <f>SUM('1st Qtr'!H50+'2nd Qtr'!H50+'3rd Qtr'!H50+'4th Qtr'!H50)</f>
        <v>18836.707000000002</v>
      </c>
      <c r="I50" s="12">
        <f>SUM('1st Qtr'!I50, '2nd Qtr'!I50, '3rd Qtr'!I50, '4th Qtr'!I50)</f>
        <v>611.91799999999967</v>
      </c>
      <c r="J50" s="13">
        <f t="shared" si="8"/>
        <v>3.2485402039751407E-2</v>
      </c>
    </row>
    <row r="51" spans="1:10" ht="15.6">
      <c r="A51" s="26" t="str">
        <v>Q139</v>
      </c>
      <c r="B51" s="27" t="str">
        <v>NY</v>
      </c>
      <c r="C51" s="27" t="str">
        <f>Sites[[#This Row],[SOL'#]]</f>
        <v>SOL-10403</v>
      </c>
      <c r="D51" s="9">
        <f>SUM('1st Qtr'!D51, '2nd Qtr'!D51, '3rd Qtr'!D51, '4th Qtr'!D51)</f>
        <v>11746.65625</v>
      </c>
      <c r="E51" s="14">
        <f>SUM('1st Qtr'!E51, '2nd Qtr'!E51, '3rd Qtr'!E51, '4th Qtr'!E51)</f>
        <v>14458.78</v>
      </c>
      <c r="F51" s="14">
        <f t="shared" si="6"/>
        <v>-2712.1237500000007</v>
      </c>
      <c r="G51" s="15">
        <f t="shared" si="7"/>
        <v>-0.1875762512466474</v>
      </c>
      <c r="H51" s="16">
        <f>SUM('1st Qtr'!H51+'2nd Qtr'!H51+'3rd Qtr'!H51+'4th Qtr'!H51)</f>
        <v>11920</v>
      </c>
      <c r="I51" s="16">
        <f>SUM('1st Qtr'!I51, '2nd Qtr'!I51, '3rd Qtr'!I51, '4th Qtr'!I51)</f>
        <v>-173.34375</v>
      </c>
      <c r="J51" s="15">
        <f t="shared" si="8"/>
        <v>-1.4542260906040268E-2</v>
      </c>
    </row>
    <row r="52" spans="1:10" ht="15.6">
      <c r="A52" s="24" t="str">
        <v>Q157</v>
      </c>
      <c r="B52" s="25" t="str">
        <v>NY</v>
      </c>
      <c r="C52" s="25" t="str">
        <f>Sites[[#This Row],[SOL'#]]</f>
        <v>SOL-10404</v>
      </c>
      <c r="D52" s="20">
        <f>SUM('1st Qtr'!D52, '2nd Qtr'!D52, '3rd Qtr'!D52, '4th Qtr'!D52)</f>
        <v>19388.3125</v>
      </c>
      <c r="E52" s="10">
        <f>SUM('1st Qtr'!E52, '2nd Qtr'!E52, '3rd Qtr'!E52, '4th Qtr'!E52)</f>
        <v>28388.95</v>
      </c>
      <c r="F52" s="10">
        <f t="shared" si="6"/>
        <v>-9000.6375000000007</v>
      </c>
      <c r="G52" s="11">
        <f t="shared" si="7"/>
        <v>-0.31704721379269046</v>
      </c>
      <c r="H52" s="12">
        <f>SUM('1st Qtr'!H52+'2nd Qtr'!H52+'3rd Qtr'!H52+'4th Qtr'!H52)</f>
        <v>21407.190999999999</v>
      </c>
      <c r="I52" s="12">
        <f>SUM('1st Qtr'!I52, '2nd Qtr'!I52, '3rd Qtr'!I52, '4th Qtr'!I52)</f>
        <v>-2018.8785000000007</v>
      </c>
      <c r="J52" s="13">
        <f t="shared" si="8"/>
        <v>-9.4308426546948682E-2</v>
      </c>
    </row>
    <row r="53" spans="1:10" ht="15.6">
      <c r="A53" s="26" t="str">
        <v>Q192</v>
      </c>
      <c r="B53" s="27" t="str">
        <v>NY</v>
      </c>
      <c r="C53" s="27" t="str">
        <f>Sites[[#This Row],[SOL'#]]</f>
        <v>SOL-10406</v>
      </c>
      <c r="D53" s="9">
        <f>SUM('1st Qtr'!D53, '2nd Qtr'!D53, '3rd Qtr'!D53, '4th Qtr'!D53)</f>
        <v>32311.125</v>
      </c>
      <c r="E53" s="14">
        <f>SUM('1st Qtr'!E53, '2nd Qtr'!E53, '3rd Qtr'!E53, '4th Qtr'!E53)</f>
        <v>42620.93</v>
      </c>
      <c r="F53" s="14">
        <f t="shared" si="6"/>
        <v>-10309.805</v>
      </c>
      <c r="G53" s="15">
        <f t="shared" si="7"/>
        <v>-0.24189535516939684</v>
      </c>
      <c r="H53" s="16">
        <f>SUM('1st Qtr'!H53+'2nd Qtr'!H53+'3rd Qtr'!H53+'4th Qtr'!H53)</f>
        <v>31901.4</v>
      </c>
      <c r="I53" s="16">
        <f>SUM('1st Qtr'!I53, '2nd Qtr'!I53, '3rd Qtr'!I53, '4th Qtr'!I53)</f>
        <v>409.72499999999854</v>
      </c>
      <c r="J53" s="15">
        <f t="shared" si="8"/>
        <v>1.2843480223438423E-2</v>
      </c>
    </row>
    <row r="54" spans="1:10" ht="15.6">
      <c r="A54" s="24" t="str">
        <v>Q210</v>
      </c>
      <c r="B54" s="25" t="str">
        <v>NY</v>
      </c>
      <c r="C54" s="25" t="str">
        <f>Sites[[#This Row],[SOL'#]]</f>
        <v>SOL-10407</v>
      </c>
      <c r="D54" s="20">
        <f>SUM('1st Qtr'!D54, '2nd Qtr'!D54, '3rd Qtr'!D54, '4th Qtr'!D54)</f>
        <v>27253.875</v>
      </c>
      <c r="E54" s="10">
        <f>SUM('1st Qtr'!E54, '2nd Qtr'!E54, '3rd Qtr'!E54, '4th Qtr'!E54)</f>
        <v>31201.78</v>
      </c>
      <c r="F54" s="10">
        <f t="shared" si="6"/>
        <v>-3947.9049999999988</v>
      </c>
      <c r="G54" s="11">
        <f t="shared" si="7"/>
        <v>-0.12652819807075105</v>
      </c>
      <c r="H54" s="12">
        <f>SUM('1st Qtr'!H54+'2nd Qtr'!H54+'3rd Qtr'!H54+'4th Qtr'!H54)</f>
        <v>26635</v>
      </c>
      <c r="I54" s="12">
        <f>SUM('1st Qtr'!I54, '2nd Qtr'!I54, '3rd Qtr'!I54, '4th Qtr'!I54)</f>
        <v>618.875</v>
      </c>
      <c r="J54" s="13">
        <f t="shared" si="8"/>
        <v>2.3235404542894689E-2</v>
      </c>
    </row>
    <row r="55" spans="1:10" ht="15.6">
      <c r="A55" s="26" t="str">
        <v>Q229</v>
      </c>
      <c r="B55" s="27" t="str">
        <v>NY</v>
      </c>
      <c r="C55" s="27" t="str">
        <f>Sites[[#This Row],[SOL'#]]</f>
        <v>SOL-10408</v>
      </c>
      <c r="D55" s="9">
        <f>SUM('1st Qtr'!D55, '2nd Qtr'!D55, '3rd Qtr'!D55, '4th Qtr'!D55)</f>
        <v>10450.4375</v>
      </c>
      <c r="E55" s="14">
        <f>SUM('1st Qtr'!E55, '2nd Qtr'!E55, '3rd Qtr'!E55, '4th Qtr'!E55)</f>
        <v>15840.919</v>
      </c>
      <c r="F55" s="14">
        <f t="shared" si="6"/>
        <v>-5390.4814999999999</v>
      </c>
      <c r="G55" s="15">
        <f t="shared" si="7"/>
        <v>-0.34028843276075083</v>
      </c>
      <c r="H55" s="16">
        <f>SUM('1st Qtr'!H55+'2nd Qtr'!H55+'3rd Qtr'!H55+'4th Qtr'!H55)</f>
        <v>8979.8089999999993</v>
      </c>
      <c r="I55" s="16">
        <f>SUM('1st Qtr'!I55, '2nd Qtr'!I55, '3rd Qtr'!I55, '4th Qtr'!I55)</f>
        <v>1470.6285000000003</v>
      </c>
      <c r="J55" s="15">
        <f t="shared" si="8"/>
        <v>0.16377057685748109</v>
      </c>
    </row>
    <row r="56" spans="1:10" ht="15.6">
      <c r="A56" s="24" t="str">
        <v>Q231</v>
      </c>
      <c r="B56" s="25" t="str">
        <v>NY</v>
      </c>
      <c r="C56" s="25" t="str">
        <f>Sites[[#This Row],[SOL'#]]</f>
        <v>SOL-10870</v>
      </c>
      <c r="D56" s="20">
        <f>SUM('1st Qtr'!D56, '2nd Qtr'!D56, '3rd Qtr'!D56, '4th Qtr'!D56)</f>
        <v>42680.875</v>
      </c>
      <c r="E56" s="10">
        <f>SUM('1st Qtr'!E56, '2nd Qtr'!E56, '3rd Qtr'!E56, '4th Qtr'!E56)</f>
        <v>63612.18</v>
      </c>
      <c r="F56" s="10">
        <f t="shared" si="6"/>
        <v>-20931.305</v>
      </c>
      <c r="G56" s="11">
        <f t="shared" si="7"/>
        <v>-0.32904555385462342</v>
      </c>
      <c r="H56" s="12">
        <f>SUM('1st Qtr'!H56+'2nd Qtr'!H56+'3rd Qtr'!H56+'4th Qtr'!H56)</f>
        <v>40556</v>
      </c>
      <c r="I56" s="12">
        <f>SUM('1st Qtr'!I56, '2nd Qtr'!I56, '3rd Qtr'!I56, '4th Qtr'!I56)</f>
        <v>2124.875</v>
      </c>
      <c r="J56" s="13">
        <f t="shared" si="8"/>
        <v>5.2393603905710621E-2</v>
      </c>
    </row>
    <row r="57" spans="1:10" ht="15.6">
      <c r="A57" s="26" t="str">
        <v>Q405</v>
      </c>
      <c r="B57" s="27" t="str">
        <v>NY</v>
      </c>
      <c r="C57" s="27" t="str">
        <f>Sites[[#This Row],[SOL'#]]</f>
        <v>SOL-10409</v>
      </c>
      <c r="D57" s="9">
        <f>SUM('1st Qtr'!D57, '2nd Qtr'!D57, '3rd Qtr'!D57, '4th Qtr'!D57)</f>
        <v>49936.5</v>
      </c>
      <c r="E57" s="14">
        <f>SUM('1st Qtr'!E57, '2nd Qtr'!E57, '3rd Qtr'!E57, '4th Qtr'!E57)</f>
        <v>62001.929999999993</v>
      </c>
      <c r="F57" s="14">
        <f t="shared" si="6"/>
        <v>-12065.429999999993</v>
      </c>
      <c r="G57" s="15">
        <f t="shared" si="7"/>
        <v>-0.19459765204083154</v>
      </c>
      <c r="H57" s="16">
        <f>SUM('1st Qtr'!H57+'2nd Qtr'!H57+'3rd Qtr'!H57+'4th Qtr'!H57)</f>
        <v>47367.3</v>
      </c>
      <c r="I57" s="16">
        <f>SUM('1st Qtr'!I57, '2nd Qtr'!I57, '3rd Qtr'!I57, '4th Qtr'!I57)</f>
        <v>2569.2000000000007</v>
      </c>
      <c r="J57" s="15">
        <f t="shared" si="8"/>
        <v>5.4239950345491519E-2</v>
      </c>
    </row>
    <row r="58" spans="1:10" ht="15.6">
      <c r="A58" s="24" t="str">
        <v>Q435</v>
      </c>
      <c r="B58" s="25" t="str">
        <v>NY</v>
      </c>
      <c r="C58" s="25" t="str">
        <f>Sites[[#This Row],[SOL'#]]</f>
        <v>SOL-10923</v>
      </c>
      <c r="D58" s="20">
        <f>SUM('1st Qtr'!D58, '2nd Qtr'!D58, '3rd Qtr'!D58, '4th Qtr'!D58)</f>
        <v>65650.375</v>
      </c>
      <c r="E58" s="10">
        <f>SUM('1st Qtr'!E58, '2nd Qtr'!E58, '3rd Qtr'!E58, '4th Qtr'!E58)</f>
        <v>61847.020000000004</v>
      </c>
      <c r="F58" s="10">
        <f t="shared" si="6"/>
        <v>3803.3549999999959</v>
      </c>
      <c r="G58" s="11">
        <f t="shared" si="7"/>
        <v>6.1496172329725762E-2</v>
      </c>
      <c r="H58" s="12">
        <f>SUM('1st Qtr'!H58+'2nd Qtr'!H58+'3rd Qtr'!H58+'4th Qtr'!H58)</f>
        <v>60199</v>
      </c>
      <c r="I58" s="12">
        <f>SUM('1st Qtr'!I58, '2nd Qtr'!I58, '3rd Qtr'!I58, '4th Qtr'!I58)</f>
        <v>5451.375</v>
      </c>
      <c r="J58" s="13">
        <f t="shared" si="8"/>
        <v>9.0555906244289774E-2</v>
      </c>
    </row>
    <row r="59" spans="1:10" ht="15.6">
      <c r="A59" s="26" t="str">
        <v>Q485</v>
      </c>
      <c r="B59" s="27" t="str">
        <v>NY</v>
      </c>
      <c r="C59" s="27" t="str">
        <f>Sites[[#This Row],[SOL'#]]</f>
        <v>SOL-10869</v>
      </c>
      <c r="D59" s="9">
        <f>SUM('1st Qtr'!D59, '2nd Qtr'!D59, '3rd Qtr'!D59, '4th Qtr'!D59)</f>
        <v>55988</v>
      </c>
      <c r="E59" s="14">
        <f>SUM('1st Qtr'!E59, '2nd Qtr'!E59, '3rd Qtr'!E59, '4th Qtr'!E59)</f>
        <v>58756.36</v>
      </c>
      <c r="F59" s="14">
        <f t="shared" si="6"/>
        <v>-2768.3600000000006</v>
      </c>
      <c r="G59" s="15">
        <f t="shared" si="7"/>
        <v>-4.7115920727560399E-2</v>
      </c>
      <c r="H59" s="16">
        <f>SUM('1st Qtr'!H59+'2nd Qtr'!H59+'3rd Qtr'!H59+'4th Qtr'!H59)</f>
        <v>56583.25</v>
      </c>
      <c r="I59" s="16">
        <f>SUM('1st Qtr'!I59, '2nd Qtr'!I59, '3rd Qtr'!I59, '4th Qtr'!I59)</f>
        <v>-595.25</v>
      </c>
      <c r="J59" s="15">
        <f t="shared" si="8"/>
        <v>-1.0519897672897897E-2</v>
      </c>
    </row>
    <row r="60" spans="1:10" ht="15.6">
      <c r="A60" s="24" t="str">
        <v>Q490</v>
      </c>
      <c r="B60" s="25" t="str">
        <v>NY</v>
      </c>
      <c r="C60" s="25" t="str">
        <f>Sites[[#This Row],[SOL'#]]</f>
        <v>SOL-10411</v>
      </c>
      <c r="D60" s="20">
        <f>SUM('1st Qtr'!D60, '2nd Qtr'!D60, '3rd Qtr'!D60, '4th Qtr'!D60)</f>
        <v>41805.057788944803</v>
      </c>
      <c r="E60" s="10">
        <f>SUM('1st Qtr'!E60, '2nd Qtr'!E60, '3rd Qtr'!E60, '4th Qtr'!E60)</f>
        <v>0</v>
      </c>
      <c r="F60" s="10">
        <f t="shared" si="6"/>
        <v>41805.057788944803</v>
      </c>
      <c r="G60" s="11" t="str">
        <f t="shared" si="7"/>
        <v/>
      </c>
      <c r="H60" s="12">
        <f>SUM('1st Qtr'!H60+'2nd Qtr'!H60+'3rd Qtr'!H60+'4th Qtr'!H60)</f>
        <v>39510.93</v>
      </c>
      <c r="I60" s="12">
        <f>SUM('1st Qtr'!I60, '2nd Qtr'!I60, '3rd Qtr'!I60, '4th Qtr'!I60)</f>
        <v>2294.1277889447992</v>
      </c>
      <c r="J60" s="13">
        <f t="shared" si="8"/>
        <v>5.8063117951027705E-2</v>
      </c>
    </row>
    <row r="61" spans="1:10" ht="15.6">
      <c r="A61" s="26" t="str">
        <v>Q620</v>
      </c>
      <c r="B61" s="27" t="str">
        <v>NY</v>
      </c>
      <c r="C61" s="27" t="str">
        <f>Sites[[#This Row],[SOL'#]]</f>
        <v>SOL-10867</v>
      </c>
      <c r="D61" s="9">
        <f>SUM('1st Qtr'!D61, '2nd Qtr'!D61, '3rd Qtr'!D61, '4th Qtr'!D61)</f>
        <v>62835.375</v>
      </c>
      <c r="E61" s="14">
        <f>SUM('1st Qtr'!E61, '2nd Qtr'!E61, '3rd Qtr'!E61, '4th Qtr'!E61)</f>
        <v>75334.320000000007</v>
      </c>
      <c r="F61" s="14">
        <f t="shared" si="6"/>
        <v>-12498.945000000007</v>
      </c>
      <c r="G61" s="15">
        <f t="shared" si="7"/>
        <v>-0.16591302609487954</v>
      </c>
      <c r="H61" s="16">
        <f>SUM('1st Qtr'!H61+'2nd Qtr'!H61+'3rd Qtr'!H61+'4th Qtr'!H61)</f>
        <v>63883.8</v>
      </c>
      <c r="I61" s="16">
        <f>SUM('1st Qtr'!I61, '2nd Qtr'!I61, '3rd Qtr'!I61, '4th Qtr'!I61)</f>
        <v>-1048.4250000000029</v>
      </c>
      <c r="J61" s="15">
        <f t="shared" si="8"/>
        <v>-1.6411437641467835E-2</v>
      </c>
    </row>
    <row r="62" spans="1:10" ht="15.6">
      <c r="A62" s="24" t="str">
        <v>QMOA</v>
      </c>
      <c r="B62" s="25" t="str">
        <v>NY</v>
      </c>
      <c r="C62" s="25" t="str">
        <f>Sites[[#This Row],[SOL'#]]</f>
        <v>SOL-10415</v>
      </c>
      <c r="D62" s="20">
        <f>SUM('1st Qtr'!D62, '2nd Qtr'!D62, '3rd Qtr'!D62, '4th Qtr'!D62)</f>
        <v>5982.8</v>
      </c>
      <c r="E62" s="10">
        <f>SUM('1st Qtr'!E62, '2nd Qtr'!E62, '3rd Qtr'!E62, '4th Qtr'!E62)</f>
        <v>0</v>
      </c>
      <c r="F62" s="10">
        <f t="shared" si="6"/>
        <v>5982.8</v>
      </c>
      <c r="G62" s="11" t="str">
        <f t="shared" si="7"/>
        <v/>
      </c>
      <c r="H62" s="12">
        <f>SUM('1st Qtr'!H62+'2nd Qtr'!H62+'3rd Qtr'!H62+'4th Qtr'!H62)</f>
        <v>6645.09</v>
      </c>
      <c r="I62" s="12">
        <f>SUM('1st Qtr'!I62, '2nd Qtr'!I62, '3rd Qtr'!I62, '4th Qtr'!I62)</f>
        <v>-662.29</v>
      </c>
      <c r="J62" s="13">
        <f t="shared" si="8"/>
        <v>-9.9666069233072835E-2</v>
      </c>
    </row>
    <row r="63" spans="1:10" ht="15.6">
      <c r="A63" s="26" t="str">
        <v>X024</v>
      </c>
      <c r="B63" s="27" t="str">
        <v>NY</v>
      </c>
      <c r="C63" s="27" t="str">
        <f>Sites[[#This Row],[SOL'#]]</f>
        <v>SOL-10419</v>
      </c>
      <c r="D63" s="9">
        <f>SUM('1st Qtr'!D63, '2nd Qtr'!D63, '3rd Qtr'!D63, '4th Qtr'!D63)</f>
        <v>21164.125</v>
      </c>
      <c r="E63" s="14">
        <f>SUM('1st Qtr'!E63, '2nd Qtr'!E63, '3rd Qtr'!E63, '4th Qtr'!E63)</f>
        <v>32847.53</v>
      </c>
      <c r="F63" s="14">
        <f t="shared" si="6"/>
        <v>-11683.404999999999</v>
      </c>
      <c r="G63" s="15">
        <f t="shared" si="7"/>
        <v>-0.35568595264240566</v>
      </c>
      <c r="H63" s="16">
        <f>SUM('1st Qtr'!H63+'2nd Qtr'!H63+'3rd Qtr'!H63+'4th Qtr'!H63)</f>
        <v>20185</v>
      </c>
      <c r="I63" s="16">
        <f>SUM('1st Qtr'!I63, '2nd Qtr'!I63, '3rd Qtr'!I63, '4th Qtr'!I63)</f>
        <v>979.125</v>
      </c>
      <c r="J63" s="15">
        <f t="shared" si="8"/>
        <v>4.8507555115184543E-2</v>
      </c>
    </row>
    <row r="64" spans="1:10" ht="15.6">
      <c r="A64" s="24" t="str">
        <v>X026</v>
      </c>
      <c r="B64" s="25" t="str">
        <v>NY</v>
      </c>
      <c r="C64" s="25" t="str">
        <f>Sites[[#This Row],[SOL'#]]</f>
        <v>SOL-10420</v>
      </c>
      <c r="D64" s="20">
        <f>SUM('1st Qtr'!D64, '2nd Qtr'!D64, '3rd Qtr'!D64, '4th Qtr'!D64)</f>
        <v>18474.693749999999</v>
      </c>
      <c r="E64" s="10">
        <f>SUM('1st Qtr'!E64, '2nd Qtr'!E64, '3rd Qtr'!E64, '4th Qtr'!E64)</f>
        <v>25086.2</v>
      </c>
      <c r="F64" s="10">
        <f t="shared" si="6"/>
        <v>-6611.5062500000022</v>
      </c>
      <c r="G64" s="11">
        <f t="shared" si="7"/>
        <v>-0.26355152434406176</v>
      </c>
      <c r="H64" s="12">
        <f>SUM('1st Qtr'!H64+'2nd Qtr'!H64+'3rd Qtr'!H64+'4th Qtr'!H64)</f>
        <v>26320.25</v>
      </c>
      <c r="I64" s="12">
        <f>SUM('1st Qtr'!I64, '2nd Qtr'!I64, '3rd Qtr'!I64, '4th Qtr'!I64)</f>
        <v>-8932.3499999999985</v>
      </c>
      <c r="J64" s="13">
        <f t="shared" si="8"/>
        <v>-0.33937177648388595</v>
      </c>
    </row>
    <row r="65" spans="1:10" ht="15.6">
      <c r="A65" s="26" t="str">
        <v>X090</v>
      </c>
      <c r="B65" s="27" t="str">
        <v>NY</v>
      </c>
      <c r="C65" s="27" t="str">
        <f>Sites[[#This Row],[SOL'#]]</f>
        <v>SOL-10925</v>
      </c>
      <c r="D65" s="9">
        <f>SUM('1st Qtr'!D65, '2nd Qtr'!D65, '3rd Qtr'!D65, '4th Qtr'!D65)</f>
        <v>18352.96875</v>
      </c>
      <c r="E65" s="14">
        <f>SUM('1st Qtr'!E65, '2nd Qtr'!E65, '3rd Qtr'!E65, '4th Qtr'!E65)</f>
        <v>15767.785</v>
      </c>
      <c r="F65" s="14">
        <f t="shared" si="6"/>
        <v>2585.1837500000001</v>
      </c>
      <c r="G65" s="15">
        <f t="shared" si="7"/>
        <v>0.16395351344529369</v>
      </c>
      <c r="H65" s="16">
        <f>SUM('1st Qtr'!H65+'2nd Qtr'!H65+'3rd Qtr'!H65+'4th Qtr'!H65)</f>
        <v>17306</v>
      </c>
      <c r="I65" s="16">
        <f>SUM('1st Qtr'!I65, '2nd Qtr'!I65, '3rd Qtr'!I65, '4th Qtr'!I65)</f>
        <v>1046.96875</v>
      </c>
      <c r="J65" s="15">
        <f t="shared" si="8"/>
        <v>6.04974430833237E-2</v>
      </c>
    </row>
    <row r="66" spans="1:10" ht="15.6">
      <c r="A66" s="24" t="str">
        <v>X117</v>
      </c>
      <c r="B66" s="25" t="str">
        <v>NY</v>
      </c>
      <c r="C66" s="25" t="str">
        <f>Sites[[#This Row],[SOL'#]]</f>
        <v>SOL-10422</v>
      </c>
      <c r="D66" s="20">
        <f>SUM('1st Qtr'!D66, '2nd Qtr'!D66, '3rd Qtr'!D66, '4th Qtr'!D66)</f>
        <v>13593.7</v>
      </c>
      <c r="E66" s="10">
        <f>SUM('1st Qtr'!E66, '2nd Qtr'!E66, '3rd Qtr'!E66, '4th Qtr'!E66)</f>
        <v>21112.796999999999</v>
      </c>
      <c r="F66" s="10">
        <f t="shared" si="6"/>
        <v>-7519.0969999999979</v>
      </c>
      <c r="G66" s="11">
        <f t="shared" si="7"/>
        <v>-0.35613931209588184</v>
      </c>
      <c r="H66" s="12">
        <f>SUM('1st Qtr'!H66+'2nd Qtr'!H66+'3rd Qtr'!H66+'4th Qtr'!H66)</f>
        <v>15200.449000000001</v>
      </c>
      <c r="I66" s="12">
        <f>SUM('1st Qtr'!I66, '2nd Qtr'!I66, '3rd Qtr'!I66, '4th Qtr'!I66)</f>
        <v>-1606.7490000000007</v>
      </c>
      <c r="J66" s="13">
        <f t="shared" si="8"/>
        <v>-0.10570404861066937</v>
      </c>
    </row>
    <row r="67" spans="1:10" ht="15.6">
      <c r="A67" s="26" t="str">
        <v>X125</v>
      </c>
      <c r="B67" s="27" t="str">
        <v>NY</v>
      </c>
      <c r="C67" s="27" t="str">
        <f>Sites[[#This Row],[SOL'#]]</f>
        <v>SOL-10423</v>
      </c>
      <c r="D67" s="9">
        <f>SUM('1st Qtr'!D67, '2nd Qtr'!D67, '3rd Qtr'!D67, '4th Qtr'!D67)</f>
        <v>27862.875</v>
      </c>
      <c r="E67" s="14">
        <f>SUM('1st Qtr'!E67, '2nd Qtr'!E67, '3rd Qtr'!E67, '4th Qtr'!E67)</f>
        <v>35839.699999999997</v>
      </c>
      <c r="F67" s="14">
        <f t="shared" si="6"/>
        <v>-7976.8249999999971</v>
      </c>
      <c r="G67" s="15">
        <f t="shared" si="7"/>
        <v>-0.2225695248565138</v>
      </c>
      <c r="H67" s="16">
        <f>SUM('1st Qtr'!H67+'2nd Qtr'!H67+'3rd Qtr'!H67+'4th Qtr'!H67)</f>
        <v>27441.480000000003</v>
      </c>
      <c r="I67" s="16">
        <f>SUM('1st Qtr'!I67, '2nd Qtr'!I67, '3rd Qtr'!I67, '4th Qtr'!I67)</f>
        <v>421.39499999999862</v>
      </c>
      <c r="J67" s="15">
        <f t="shared" si="8"/>
        <v>1.5356132395191461E-2</v>
      </c>
    </row>
    <row r="68" spans="1:10" ht="15.6">
      <c r="A68" s="24" t="str">
        <v>X134</v>
      </c>
      <c r="B68" s="25" t="str">
        <v>NY</v>
      </c>
      <c r="C68" s="25" t="str">
        <f>Sites[[#This Row],[SOL'#]]</f>
        <v>SOL-10424</v>
      </c>
      <c r="D68" s="20">
        <f>SUM('1st Qtr'!D68, '2nd Qtr'!D68, '3rd Qtr'!D68, '4th Qtr'!D68)</f>
        <v>25520.71875</v>
      </c>
      <c r="E68" s="10">
        <f>SUM('1st Qtr'!E68, '2nd Qtr'!E68, '3rd Qtr'!E68, '4th Qtr'!E68)</f>
        <v>0</v>
      </c>
      <c r="F68" s="10">
        <f t="shared" si="6"/>
        <v>25520.71875</v>
      </c>
      <c r="G68" s="11" t="str">
        <f t="shared" si="7"/>
        <v/>
      </c>
      <c r="H68" s="12">
        <f>SUM('1st Qtr'!H68+'2nd Qtr'!H68+'3rd Qtr'!H68+'4th Qtr'!H68)</f>
        <v>25319</v>
      </c>
      <c r="I68" s="12">
        <f>SUM('1st Qtr'!I68, '2nd Qtr'!I68, '3rd Qtr'!I68, '4th Qtr'!I68)</f>
        <v>201.71875</v>
      </c>
      <c r="J68" s="13">
        <f t="shared" si="8"/>
        <v>7.9670899324617885E-3</v>
      </c>
    </row>
    <row r="69" spans="1:10" ht="15.6">
      <c r="A69" s="26" t="str">
        <v>X135</v>
      </c>
      <c r="B69" s="27" t="str">
        <v>NY</v>
      </c>
      <c r="C69" s="27" t="str">
        <f>Sites[[#This Row],[SOL'#]]</f>
        <v>SOL-10425</v>
      </c>
      <c r="D69" s="9">
        <f>SUM('1st Qtr'!D69, '2nd Qtr'!D69, '3rd Qtr'!D69, '4th Qtr'!D69)</f>
        <v>22640.875</v>
      </c>
      <c r="E69" s="14">
        <f>SUM('1st Qtr'!E69, '2nd Qtr'!E69, '3rd Qtr'!E69, '4th Qtr'!E69)</f>
        <v>30416.89</v>
      </c>
      <c r="F69" s="14">
        <f t="shared" si="6"/>
        <v>-7776.0149999999994</v>
      </c>
      <c r="G69" s="15">
        <f t="shared" si="7"/>
        <v>-0.25564793113299877</v>
      </c>
      <c r="H69" s="16">
        <f>SUM('1st Qtr'!H69+'2nd Qtr'!H69+'3rd Qtr'!H69+'4th Qtr'!H69)</f>
        <v>22942</v>
      </c>
      <c r="I69" s="16">
        <f>SUM('1st Qtr'!I69, '2nd Qtr'!I69, '3rd Qtr'!I69, '4th Qtr'!I69)</f>
        <v>-301.125</v>
      </c>
      <c r="J69" s="15">
        <f t="shared" si="8"/>
        <v>-1.3125490367012466E-2</v>
      </c>
    </row>
    <row r="70" spans="1:10" ht="15.6">
      <c r="A70" s="24" t="str">
        <v>X139 JHS 222</v>
      </c>
      <c r="B70" s="25" t="str">
        <v>NY</v>
      </c>
      <c r="C70" s="25" t="str">
        <f>Sites[[#This Row],[SOL'#]]</f>
        <v>SOL-10426</v>
      </c>
      <c r="D70" s="20">
        <f>SUM('1st Qtr'!D70, '2nd Qtr'!D70, '3rd Qtr'!D70, '4th Qtr'!D70)</f>
        <v>31836.042283634997</v>
      </c>
      <c r="E70" s="10">
        <f>SUM('1st Qtr'!E70, '2nd Qtr'!E70, '3rd Qtr'!E70, '4th Qtr'!E70)</f>
        <v>38745.4</v>
      </c>
      <c r="F70" s="10">
        <f t="shared" si="6"/>
        <v>-6909.3577163650043</v>
      </c>
      <c r="G70" s="11">
        <f t="shared" si="7"/>
        <v>-0.17832717474500209</v>
      </c>
      <c r="H70" s="12">
        <f>SUM('1st Qtr'!H70+'2nd Qtr'!H70+'3rd Qtr'!H70+'4th Qtr'!H70)</f>
        <v>30060</v>
      </c>
      <c r="I70" s="12">
        <f>SUM('1st Qtr'!I70, '2nd Qtr'!I70, '3rd Qtr'!I70, '4th Qtr'!I70)</f>
        <v>1776.042283634999</v>
      </c>
      <c r="J70" s="13">
        <f t="shared" si="8"/>
        <v>5.9083242968562842E-2</v>
      </c>
    </row>
    <row r="71" spans="1:10" ht="15.6">
      <c r="A71" s="26" t="str">
        <v>X140</v>
      </c>
      <c r="B71" s="27" t="str">
        <v>NY</v>
      </c>
      <c r="C71" s="27" t="str">
        <f>Sites[[#This Row],[SOL'#]]</f>
        <v>SOL-10926</v>
      </c>
      <c r="D71" s="9">
        <f>SUM('1st Qtr'!D71, '2nd Qtr'!D71, '3rd Qtr'!D71, '4th Qtr'!D71)</f>
        <v>20066.0625</v>
      </c>
      <c r="E71" s="14">
        <f>SUM('1st Qtr'!E71, '2nd Qtr'!E71, '3rd Qtr'!E71, '4th Qtr'!E71)</f>
        <v>19323.734</v>
      </c>
      <c r="F71" s="14">
        <f t="shared" si="6"/>
        <v>742.32849999999962</v>
      </c>
      <c r="G71" s="15">
        <f t="shared" si="7"/>
        <v>3.8415375620467533E-2</v>
      </c>
      <c r="H71" s="16">
        <f>SUM('1st Qtr'!H71+'2nd Qtr'!H71+'3rd Qtr'!H71+'4th Qtr'!H71)</f>
        <v>19179</v>
      </c>
      <c r="I71" s="16">
        <f>SUM('1st Qtr'!I71, '2nd Qtr'!I71, '3rd Qtr'!I71, '4th Qtr'!I71)</f>
        <v>887.0625</v>
      </c>
      <c r="J71" s="15">
        <f t="shared" si="8"/>
        <v>4.6251759737212579E-2</v>
      </c>
    </row>
    <row r="72" spans="1:10" ht="15.6">
      <c r="A72" s="24" t="str">
        <v>X166</v>
      </c>
      <c r="B72" s="25" t="str">
        <v>NY</v>
      </c>
      <c r="C72" s="25" t="str">
        <f>Sites[[#This Row],[SOL'#]]</f>
        <v>SOL-10427</v>
      </c>
      <c r="D72" s="20">
        <f>SUM('1st Qtr'!D72, '2nd Qtr'!D72, '3rd Qtr'!D72, '4th Qtr'!D72)</f>
        <v>19802.7</v>
      </c>
      <c r="E72" s="10">
        <f>SUM('1st Qtr'!E72, '2nd Qtr'!E72, '3rd Qtr'!E72, '4th Qtr'!E72)</f>
        <v>27535.22</v>
      </c>
      <c r="F72" s="10">
        <f t="shared" si="6"/>
        <v>-7732.52</v>
      </c>
      <c r="G72" s="11">
        <f t="shared" si="7"/>
        <v>-0.28082288792317622</v>
      </c>
      <c r="H72" s="12">
        <f>SUM('1st Qtr'!H72+'2nd Qtr'!H72+'3rd Qtr'!H72+'4th Qtr'!H72)</f>
        <v>18312</v>
      </c>
      <c r="I72" s="12">
        <f>SUM('1st Qtr'!I72, '2nd Qtr'!I72, '3rd Qtr'!I72, '4th Qtr'!I72)</f>
        <v>1490.7000000000007</v>
      </c>
      <c r="J72" s="13">
        <f t="shared" si="8"/>
        <v>8.1405635648754957E-2</v>
      </c>
    </row>
    <row r="73" spans="1:10" ht="15.6">
      <c r="A73" s="26" t="str">
        <v>Murphy</v>
      </c>
      <c r="B73" s="27" t="str">
        <v>MN</v>
      </c>
      <c r="C73" s="27" t="str">
        <f>Sites[[#This Row],[SOL'#]]</f>
        <v>SOL-10094</v>
      </c>
      <c r="D73" s="9">
        <f>SUM('1st Qtr'!D73, '2nd Qtr'!D73, '3rd Qtr'!D73, '4th Qtr'!D73)</f>
        <v>972550</v>
      </c>
      <c r="E73" s="14">
        <f>SUM('1st Qtr'!E73, '2nd Qtr'!E73, '3rd Qtr'!E73, '4th Qtr'!E73)</f>
        <v>1403405.5</v>
      </c>
      <c r="F73" s="14">
        <f t="shared" si="6"/>
        <v>-430855.5</v>
      </c>
      <c r="G73" s="15">
        <f t="shared" si="7"/>
        <v>-0.30700713371865795</v>
      </c>
      <c r="H73" s="16">
        <f>SUM('1st Qtr'!H73+'2nd Qtr'!H73+'3rd Qtr'!H73+'4th Qtr'!H73)</f>
        <v>1182420.3</v>
      </c>
      <c r="I73" s="16">
        <f>SUM('1st Qtr'!I73, '2nd Qtr'!I73, '3rd Qtr'!I73, '4th Qtr'!I73)</f>
        <v>-209870.30000000005</v>
      </c>
      <c r="J73" s="15">
        <f t="shared" si="8"/>
        <v>-0.17749213202784156</v>
      </c>
    </row>
    <row r="74" spans="1:10" ht="15.6">
      <c r="A74" s="24" t="str">
        <v>Terning</v>
      </c>
      <c r="B74" s="25" t="str">
        <v>MN</v>
      </c>
      <c r="C74" s="25" t="str">
        <f>Sites[[#This Row],[SOL'#]]</f>
        <v>SOL-10093</v>
      </c>
      <c r="D74" s="20">
        <f>SUM('1st Qtr'!D74, '2nd Qtr'!D74, '3rd Qtr'!D74, '4th Qtr'!D74)</f>
        <v>876363</v>
      </c>
      <c r="E74" s="10">
        <f>SUM('1st Qtr'!E74, '2nd Qtr'!E74, '3rd Qtr'!E74, '4th Qtr'!E74)</f>
        <v>1389458.1</v>
      </c>
      <c r="F74" s="10">
        <f t="shared" si="6"/>
        <v>-513095.10000000009</v>
      </c>
      <c r="G74" s="11">
        <f t="shared" si="7"/>
        <v>-0.36927713041508775</v>
      </c>
      <c r="H74" s="12">
        <f>SUM('1st Qtr'!H74+'2nd Qtr'!H74+'3rd Qtr'!H74+'4th Qtr'!H74)</f>
        <v>1096712.7999999998</v>
      </c>
      <c r="I74" s="12">
        <f>SUM('1st Qtr'!I74, '2nd Qtr'!I74, '3rd Qtr'!I74, '4th Qtr'!I74)</f>
        <v>-220349.79999999993</v>
      </c>
      <c r="J74" s="13">
        <f t="shared" si="8"/>
        <v>-0.20091841729211146</v>
      </c>
    </row>
    <row r="75" spans="1:10" ht="15.6">
      <c r="A75" s="26" t="str">
        <v>Boas Road 04</v>
      </c>
      <c r="B75" s="27" t="str">
        <v>NY</v>
      </c>
      <c r="C75" s="27" t="str">
        <f>Sites[[#This Row],[SOL'#]]</f>
        <v>SOL-10908</v>
      </c>
      <c r="D75" s="9">
        <f>SUM('1st Qtr'!D75, '2nd Qtr'!D75, '3rd Qtr'!D75, '4th Qtr'!D75)</f>
        <v>266506</v>
      </c>
      <c r="E75" s="14">
        <f>SUM('1st Qtr'!E75, '2nd Qtr'!E75, '3rd Qtr'!E75, '4th Qtr'!E75)</f>
        <v>431942.94199999998</v>
      </c>
      <c r="F75" s="14">
        <f t="shared" si="6"/>
        <v>-165436.94199999998</v>
      </c>
      <c r="G75" s="15">
        <f t="shared" si="7"/>
        <v>-0.38300647125749304</v>
      </c>
      <c r="H75" s="16">
        <f>SUM('1st Qtr'!H75+'2nd Qtr'!H75+'3rd Qtr'!H75+'4th Qtr'!H75)</f>
        <v>376445.95999999996</v>
      </c>
      <c r="I75" s="16">
        <f>SUM('1st Qtr'!I75, '2nd Qtr'!I75, '3rd Qtr'!I75, '4th Qtr'!I75)</f>
        <v>-109939.95999999999</v>
      </c>
      <c r="J75" s="15">
        <f t="shared" si="8"/>
        <v>-0.29204712410780026</v>
      </c>
    </row>
    <row r="76" spans="1:10" ht="15.6">
      <c r="A76" s="24" t="str">
        <v>Kelly Bridge Farm</v>
      </c>
      <c r="B76" s="25" t="str">
        <v>NY</v>
      </c>
      <c r="C76" s="25" t="str">
        <f>Sites[[#This Row],[SOL'#]]</f>
        <v>SOL-10911</v>
      </c>
      <c r="D76" s="20">
        <f>SUM('1st Qtr'!D76, '2nd Qtr'!D76, '3rd Qtr'!D76, '4th Qtr'!D76)</f>
        <v>235022</v>
      </c>
      <c r="E76" s="10">
        <f>SUM('1st Qtr'!E76, '2nd Qtr'!E76, '3rd Qtr'!E76, '4th Qtr'!E76)</f>
        <v>414631.505</v>
      </c>
      <c r="F76" s="10">
        <f t="shared" si="6"/>
        <v>-179609.505</v>
      </c>
      <c r="G76" s="11">
        <f t="shared" si="7"/>
        <v>-0.43317862447524341</v>
      </c>
      <c r="H76" s="12">
        <f>SUM('1st Qtr'!H76+'2nd Qtr'!H76+'3rd Qtr'!H76+'4th Qtr'!H76)</f>
        <v>354015.19999999995</v>
      </c>
      <c r="I76" s="12">
        <f>SUM('1st Qtr'!I76, '2nd Qtr'!I76, '3rd Qtr'!I76, '4th Qtr'!I76)</f>
        <v>-118993.19999999998</v>
      </c>
      <c r="J76" s="13">
        <f t="shared" si="8"/>
        <v>-0.33612455058426871</v>
      </c>
    </row>
    <row r="77" spans="1:10" ht="15.6">
      <c r="A77" s="26" t="str">
        <v>Pool Brook Road</v>
      </c>
      <c r="B77" s="27" t="str">
        <v>NY</v>
      </c>
      <c r="C77" s="27" t="str">
        <f>Sites[[#This Row],[SOL'#]]</f>
        <v>SOL-10909</v>
      </c>
      <c r="D77" s="9">
        <f>SUM('1st Qtr'!D77, '2nd Qtr'!D77, '3rd Qtr'!D77, '4th Qtr'!D77)</f>
        <v>159165</v>
      </c>
      <c r="E77" s="14">
        <f>SUM('1st Qtr'!E77, '2nd Qtr'!E77, '3rd Qtr'!E77, '4th Qtr'!E77)</f>
        <v>326715.90500000003</v>
      </c>
      <c r="F77" s="14">
        <f t="shared" si="6"/>
        <v>-167550.90500000003</v>
      </c>
      <c r="G77" s="15">
        <f t="shared" si="7"/>
        <v>-0.51283363446906571</v>
      </c>
      <c r="H77" s="16">
        <f>SUM('1st Qtr'!H77+'2nd Qtr'!H77+'3rd Qtr'!H77+'4th Qtr'!H77)</f>
        <v>340844.45</v>
      </c>
      <c r="I77" s="16">
        <f>SUM('1st Qtr'!I77, '2nd Qtr'!I77, '3rd Qtr'!I77, '4th Qtr'!I77)</f>
        <v>-181679.45</v>
      </c>
      <c r="J77" s="15">
        <f t="shared" si="8"/>
        <v>-0.53302745577931521</v>
      </c>
    </row>
    <row r="78" spans="1:10" ht="15.6">
      <c r="A78" s="24" t="str">
        <v>Sackett Lake</v>
      </c>
      <c r="B78" s="25" t="str">
        <v>NY</v>
      </c>
      <c r="C78" s="25" t="str">
        <f>Sites[[#This Row],[SOL'#]]</f>
        <v>SOL-10910</v>
      </c>
      <c r="D78" s="20">
        <f>SUM('1st Qtr'!D78, '2nd Qtr'!D78, '3rd Qtr'!D78, '4th Qtr'!D78)</f>
        <v>265764</v>
      </c>
      <c r="E78" s="10">
        <f>SUM('1st Qtr'!E78, '2nd Qtr'!E78, '3rd Qtr'!E78, '4th Qtr'!E78)</f>
        <v>439510.34399999998</v>
      </c>
      <c r="F78" s="10">
        <f t="shared" si="6"/>
        <v>-173746.34399999998</v>
      </c>
      <c r="G78" s="11">
        <f t="shared" si="7"/>
        <v>-0.39531798596303341</v>
      </c>
      <c r="H78" s="12">
        <f>SUM('1st Qtr'!H78+'2nd Qtr'!H78+'3rd Qtr'!H78+'4th Qtr'!H78)</f>
        <v>392059.8</v>
      </c>
      <c r="I78" s="12">
        <f>SUM('1st Qtr'!I78, '2nd Qtr'!I78, '3rd Qtr'!I78, '4th Qtr'!I78)</f>
        <v>-126295.79999999999</v>
      </c>
      <c r="J78" s="13">
        <f t="shared" si="8"/>
        <v>-0.32213402139163461</v>
      </c>
    </row>
    <row r="79" spans="1:10" ht="15.6">
      <c r="A79" s="26" t="str">
        <v>Burritt Road</v>
      </c>
      <c r="B79" s="27" t="str">
        <v>NY</v>
      </c>
      <c r="C79" s="27" t="str">
        <f>Sites[[#This Row],[SOL'#]]</f>
        <v>SOL-10913</v>
      </c>
      <c r="D79" s="9">
        <f>SUM('1st Qtr'!D79, '2nd Qtr'!D79, '3rd Qtr'!D79, '4th Qtr'!D79)</f>
        <v>142370</v>
      </c>
      <c r="E79" s="14">
        <f>SUM('1st Qtr'!E79, '2nd Qtr'!E79, '3rd Qtr'!E79, '4th Qtr'!E79)</f>
        <v>0</v>
      </c>
      <c r="F79" s="14">
        <f t="shared" si="6"/>
        <v>142370</v>
      </c>
      <c r="G79" s="15" t="str">
        <f t="shared" si="7"/>
        <v/>
      </c>
      <c r="H79" s="16">
        <f>SUM('1st Qtr'!H79+'2nd Qtr'!H79+'3rd Qtr'!H79+'4th Qtr'!H79)</f>
        <v>288168.04000000004</v>
      </c>
      <c r="I79" s="16">
        <f>SUM('1st Qtr'!I79, '2nd Qtr'!I79, '3rd Qtr'!I79, '4th Qtr'!I79)</f>
        <v>-145798.04</v>
      </c>
      <c r="J79" s="15">
        <f t="shared" si="8"/>
        <v>-0.50594798784764605</v>
      </c>
    </row>
    <row r="80" spans="1:10" ht="15.6">
      <c r="A80" s="24" t="str">
        <v>Villa Roma 1</v>
      </c>
      <c r="B80" s="25" t="str">
        <v>NY</v>
      </c>
      <c r="C80" s="25" t="str">
        <f>Sites[[#This Row],[SOL'#]]</f>
        <v>SOL-10914</v>
      </c>
      <c r="D80" s="20">
        <f>SUM('1st Qtr'!D80, '2nd Qtr'!D80, '3rd Qtr'!D80, '4th Qtr'!D80)</f>
        <v>183563</v>
      </c>
      <c r="E80" s="10">
        <f>SUM('1st Qtr'!E80, '2nd Qtr'!E80, '3rd Qtr'!E80, '4th Qtr'!E80)</f>
        <v>377922.77299999999</v>
      </c>
      <c r="F80" s="10">
        <f t="shared" si="6"/>
        <v>-194359.77299999999</v>
      </c>
      <c r="G80" s="11">
        <f t="shared" si="7"/>
        <v>-0.51428436412324907</v>
      </c>
      <c r="H80" s="12">
        <f>SUM('1st Qtr'!H80+'2nd Qtr'!H80+'3rd Qtr'!H80+'4th Qtr'!H80)</f>
        <v>273857.59999999998</v>
      </c>
      <c r="I80" s="12">
        <f>SUM('1st Qtr'!I80, '2nd Qtr'!I80, '3rd Qtr'!I80, '4th Qtr'!I80)</f>
        <v>-90294.6</v>
      </c>
      <c r="J80" s="13">
        <f t="shared" si="8"/>
        <v>-0.3297136906187742</v>
      </c>
    </row>
    <row r="81" spans="1:10" ht="15.6">
      <c r="A81" s="26" t="str">
        <v>Villa Roma 2</v>
      </c>
      <c r="B81" s="27" t="str">
        <v>NY</v>
      </c>
      <c r="C81" s="27" t="str">
        <f>Sites[[#This Row],[SOL'#]]</f>
        <v>SOL-10915</v>
      </c>
      <c r="D81" s="9">
        <f>SUM('1st Qtr'!D81, '2nd Qtr'!D81, '3rd Qtr'!D81, '4th Qtr'!D81)</f>
        <v>210836</v>
      </c>
      <c r="E81" s="14">
        <f>SUM('1st Qtr'!E81, '2nd Qtr'!E81, '3rd Qtr'!E81, '4th Qtr'!E81)</f>
        <v>360632.31699999998</v>
      </c>
      <c r="F81" s="14">
        <f t="shared" si="6"/>
        <v>-149796.31699999998</v>
      </c>
      <c r="G81" s="15">
        <f t="shared" si="7"/>
        <v>-0.41537130739173322</v>
      </c>
      <c r="H81" s="16">
        <f>SUM('1st Qtr'!H81+'2nd Qtr'!H81+'3rd Qtr'!H81+'4th Qtr'!H81)</f>
        <v>265976.8</v>
      </c>
      <c r="I81" s="16">
        <f>SUM('1st Qtr'!I81, '2nd Qtr'!I81, '3rd Qtr'!I81, '4th Qtr'!I81)</f>
        <v>-55140.800000000003</v>
      </c>
      <c r="J81" s="15">
        <f t="shared" si="8"/>
        <v>-0.20731432215140572</v>
      </c>
    </row>
    <row r="82" spans="1:10" ht="15.6">
      <c r="A82" s="24" t="str">
        <v>Washington 1</v>
      </c>
      <c r="B82" s="25" t="str">
        <v>NY</v>
      </c>
      <c r="C82" s="25" t="str">
        <f>Sites[[#This Row],[SOL'#]]</f>
        <v>SOL-10912</v>
      </c>
      <c r="D82" s="20">
        <f>SUM('1st Qtr'!D82, '2nd Qtr'!D82, '3rd Qtr'!D82, '4th Qtr'!D82)</f>
        <v>198130</v>
      </c>
      <c r="E82" s="10">
        <f>SUM('1st Qtr'!E82, '2nd Qtr'!E82, '3rd Qtr'!E82, '4th Qtr'!E82)</f>
        <v>340114.625</v>
      </c>
      <c r="F82" s="10">
        <f t="shared" ref="F82:F145" si="9">IF(AND(ISNUMBER(D82),ISNUMBER(E82)), D82-E82, "")</f>
        <v>-141984.625</v>
      </c>
      <c r="G82" s="11">
        <f t="shared" ref="G82:G145" si="10">IFERROR(F82/E82, "")</f>
        <v>-0.41746109859286412</v>
      </c>
      <c r="H82" s="12">
        <f>SUM('1st Qtr'!H82+'2nd Qtr'!H82+'3rd Qtr'!H82+'4th Qtr'!H82)</f>
        <v>281738.45</v>
      </c>
      <c r="I82" s="12">
        <f>SUM('1st Qtr'!I82, '2nd Qtr'!I82, '3rd Qtr'!I82, '4th Qtr'!I82)</f>
        <v>-83608.45</v>
      </c>
      <c r="J82" s="13">
        <f t="shared" ref="J82:J145" si="11">IFERROR(I82/H82, "")</f>
        <v>-0.29675910405555223</v>
      </c>
    </row>
    <row r="83" spans="1:10" ht="15.6">
      <c r="A83" s="26" t="str">
        <v>Washington 3</v>
      </c>
      <c r="B83" s="27" t="str">
        <v>NY</v>
      </c>
      <c r="C83" s="27" t="str">
        <f>Sites[[#This Row],[SOL'#]]</f>
        <v>SOL-10828</v>
      </c>
      <c r="D83" s="9">
        <f>SUM('1st Qtr'!D83, '2nd Qtr'!D83, '3rd Qtr'!D83, '4th Qtr'!D83)</f>
        <v>240036</v>
      </c>
      <c r="E83" s="14">
        <f>SUM('1st Qtr'!E83, '2nd Qtr'!E83, '3rd Qtr'!E83, '4th Qtr'!E83)</f>
        <v>96875.183000000005</v>
      </c>
      <c r="F83" s="14">
        <f t="shared" si="9"/>
        <v>143160.81699999998</v>
      </c>
      <c r="G83" s="15">
        <f t="shared" si="10"/>
        <v>1.4777862871237102</v>
      </c>
      <c r="H83" s="16">
        <f>SUM('1st Qtr'!H83+'2nd Qtr'!H83+'3rd Qtr'!H83+'4th Qtr'!H83)</f>
        <v>345788.77</v>
      </c>
      <c r="I83" s="16">
        <f>SUM('1st Qtr'!I83, '2nd Qtr'!I83, '3rd Qtr'!I83, '4th Qtr'!I83)</f>
        <v>-105752.76999999999</v>
      </c>
      <c r="J83" s="15">
        <f t="shared" si="11"/>
        <v>-0.30583055083020766</v>
      </c>
    </row>
    <row r="84" spans="1:10" ht="15.6">
      <c r="A84" s="24" t="str">
        <v>Washington 4</v>
      </c>
      <c r="B84" s="25" t="str">
        <v>NY</v>
      </c>
      <c r="C84" s="25" t="str">
        <f>Sites[[#This Row],[SOL'#]]</f>
        <v>SOL-10829</v>
      </c>
      <c r="D84" s="20">
        <f>SUM('1st Qtr'!D84, '2nd Qtr'!D84, '3rd Qtr'!D84, '4th Qtr'!D84)</f>
        <v>163982</v>
      </c>
      <c r="E84" s="10">
        <f>SUM('1st Qtr'!E84, '2nd Qtr'!E84, '3rd Qtr'!E84, '4th Qtr'!E84)</f>
        <v>214328.826</v>
      </c>
      <c r="F84" s="10">
        <f t="shared" si="9"/>
        <v>-50346.826000000001</v>
      </c>
      <c r="G84" s="11">
        <f t="shared" si="10"/>
        <v>-0.23490459468107197</v>
      </c>
      <c r="H84" s="12">
        <f>SUM('1st Qtr'!H84+'2nd Qtr'!H84+'3rd Qtr'!H84+'4th Qtr'!H84)</f>
        <v>345265.5</v>
      </c>
      <c r="I84" s="12">
        <f>SUM('1st Qtr'!I84, '2nd Qtr'!I84, '3rd Qtr'!I84, '4th Qtr'!I84)</f>
        <v>-181283.5</v>
      </c>
      <c r="J84" s="13">
        <f t="shared" si="11"/>
        <v>-0.5250553559507104</v>
      </c>
    </row>
    <row r="85" spans="1:10" ht="15.6">
      <c r="A85" s="26" t="str">
        <v>Big Tree</v>
      </c>
      <c r="B85" s="27" t="str">
        <v>NY</v>
      </c>
      <c r="C85" s="27" t="str">
        <f>Sites[[#This Row],[SOL'#]]</f>
        <v>SOL-10966</v>
      </c>
      <c r="D85" s="9">
        <f>SUM('1st Qtr'!D85, '2nd Qtr'!D85, '3rd Qtr'!D85, '4th Qtr'!D85)</f>
        <v>96555</v>
      </c>
      <c r="E85" s="14">
        <f>SUM('1st Qtr'!E85, '2nd Qtr'!E85, '3rd Qtr'!E85, '4th Qtr'!E85)</f>
        <v>0</v>
      </c>
      <c r="F85" s="14">
        <f t="shared" si="9"/>
        <v>96555</v>
      </c>
      <c r="G85" s="15" t="str">
        <f t="shared" si="10"/>
        <v/>
      </c>
      <c r="H85" s="16">
        <f>SUM('1st Qtr'!H85+'2nd Qtr'!H85+'3rd Qtr'!H85+'4th Qtr'!H85)</f>
        <v>291074.69999999995</v>
      </c>
      <c r="I85" s="16">
        <f>SUM('1st Qtr'!I85, '2nd Qtr'!I85, '3rd Qtr'!I85, '4th Qtr'!I85)</f>
        <v>-194519.69999999998</v>
      </c>
      <c r="J85" s="15">
        <f t="shared" si="11"/>
        <v>-0.66828102889052199</v>
      </c>
    </row>
    <row r="86" spans="1:10" ht="15.6">
      <c r="A86" s="24" t="str">
        <v>Canoga</v>
      </c>
      <c r="B86" s="25" t="str">
        <v>NY</v>
      </c>
      <c r="C86" s="25" t="str">
        <f>Sites[[#This Row],[SOL'#]]</f>
        <v>SOL-10965</v>
      </c>
      <c r="D86" s="20">
        <f>SUM('1st Qtr'!D86, '2nd Qtr'!D86, '3rd Qtr'!D86, '4th Qtr'!D86)</f>
        <v>686310</v>
      </c>
      <c r="E86" s="10">
        <f>SUM('1st Qtr'!E86, '2nd Qtr'!E86, '3rd Qtr'!E86, '4th Qtr'!E86)</f>
        <v>0</v>
      </c>
      <c r="F86" s="10">
        <f t="shared" si="9"/>
        <v>686310</v>
      </c>
      <c r="G86" s="11" t="str">
        <f t="shared" si="10"/>
        <v/>
      </c>
      <c r="H86" s="12">
        <f>SUM('1st Qtr'!H86+'2nd Qtr'!H86+'3rd Qtr'!H86+'4th Qtr'!H86)</f>
        <v>542311.13</v>
      </c>
      <c r="I86" s="12">
        <f>SUM('1st Qtr'!I86, '2nd Qtr'!I86, '3rd Qtr'!I86, '4th Qtr'!I86)</f>
        <v>-170991.13</v>
      </c>
      <c r="J86" s="13">
        <f t="shared" si="11"/>
        <v>-0.31530079421383073</v>
      </c>
    </row>
    <row r="87" spans="1:10" ht="15.6">
      <c r="A87" s="26" t="str">
        <v>County Route 84</v>
      </c>
      <c r="B87" s="27" t="str">
        <v>NY</v>
      </c>
      <c r="C87" s="27" t="str">
        <f>Sites[[#This Row],[SOL'#]]</f>
        <v>SOL-10967</v>
      </c>
      <c r="D87" s="9">
        <f>SUM('1st Qtr'!D87, '2nd Qtr'!D87, '3rd Qtr'!D87, '4th Qtr'!D87)</f>
        <v>914370</v>
      </c>
      <c r="E87" s="14">
        <f>SUM('1st Qtr'!E87, '2nd Qtr'!E87, '3rd Qtr'!E87, '4th Qtr'!E87)</f>
        <v>0</v>
      </c>
      <c r="F87" s="14">
        <f t="shared" si="9"/>
        <v>914370</v>
      </c>
      <c r="G87" s="15" t="str">
        <f t="shared" si="10"/>
        <v/>
      </c>
      <c r="H87" s="16">
        <f>SUM('1st Qtr'!H87+'2nd Qtr'!H87+'3rd Qtr'!H87+'4th Qtr'!H87)</f>
        <v>1037299.8300000001</v>
      </c>
      <c r="I87" s="16">
        <f>SUM('1st Qtr'!I87, '2nd Qtr'!I87, '3rd Qtr'!I87, '4th Qtr'!I87)</f>
        <v>-122929.83000000002</v>
      </c>
      <c r="J87" s="15">
        <f t="shared" si="11"/>
        <v>-0.11850944774569182</v>
      </c>
    </row>
    <row r="88" spans="1:10" ht="15.6">
      <c r="A88" s="24" t="str">
        <v>Donati</v>
      </c>
      <c r="B88" s="25" t="str">
        <v>NY</v>
      </c>
      <c r="C88" s="25" t="str">
        <f>Sites[[#This Row],[SOL'#]]</f>
        <v>SOL-10968</v>
      </c>
      <c r="D88" s="20">
        <f>SUM('1st Qtr'!D88, '2nd Qtr'!D88, '3rd Qtr'!D88, '4th Qtr'!D88)</f>
        <v>273207</v>
      </c>
      <c r="E88" s="10">
        <f>SUM('1st Qtr'!E88, '2nd Qtr'!E88, '3rd Qtr'!E88, '4th Qtr'!E88)</f>
        <v>0</v>
      </c>
      <c r="F88" s="10">
        <f t="shared" si="9"/>
        <v>273207</v>
      </c>
      <c r="G88" s="11" t="str">
        <f t="shared" si="10"/>
        <v/>
      </c>
      <c r="H88" s="12">
        <f>SUM('1st Qtr'!H88+'2nd Qtr'!H88+'3rd Qtr'!H88+'4th Qtr'!H88)</f>
        <v>398905.48</v>
      </c>
      <c r="I88" s="12">
        <f>SUM('1st Qtr'!I88, '2nd Qtr'!I88, '3rd Qtr'!I88, '4th Qtr'!I88)</f>
        <v>-125698.47999999998</v>
      </c>
      <c r="J88" s="13">
        <f t="shared" si="11"/>
        <v>-0.3151084312002933</v>
      </c>
    </row>
    <row r="89" spans="1:10" ht="15.6">
      <c r="A89" s="26" t="str">
        <v>Henrietta</v>
      </c>
      <c r="B89" s="27" t="str">
        <v>NY</v>
      </c>
      <c r="C89" s="27" t="str">
        <f>Sites[[#This Row],[SOL'#]]</f>
        <v>SOL-10972</v>
      </c>
      <c r="D89" s="9">
        <f>SUM('1st Qtr'!D89, '2nd Qtr'!D89, '3rd Qtr'!D89, '4th Qtr'!D89)</f>
        <v>484440</v>
      </c>
      <c r="E89" s="14">
        <f>SUM('1st Qtr'!E89, '2nd Qtr'!E89, '3rd Qtr'!E89, '4th Qtr'!E89)</f>
        <v>0</v>
      </c>
      <c r="F89" s="14">
        <f t="shared" si="9"/>
        <v>484440</v>
      </c>
      <c r="G89" s="15" t="str">
        <f t="shared" si="10"/>
        <v/>
      </c>
      <c r="H89" s="16">
        <f>SUM('1st Qtr'!H89+'2nd Qtr'!H89+'3rd Qtr'!H89+'4th Qtr'!H89)</f>
        <v>704328.4</v>
      </c>
      <c r="I89" s="16">
        <f>SUM('1st Qtr'!I89, '2nd Qtr'!I89, '3rd Qtr'!I89, '4th Qtr'!I89)</f>
        <v>-219888.40000000002</v>
      </c>
      <c r="J89" s="15">
        <f t="shared" si="11"/>
        <v>-0.31219584500639191</v>
      </c>
    </row>
    <row r="90" spans="1:10" ht="15.6">
      <c r="A90" s="24" t="str">
        <v>NY 70</v>
      </c>
      <c r="B90" s="25" t="str">
        <v>NY</v>
      </c>
      <c r="C90" s="25" t="str">
        <f>Sites[[#This Row],[SOL'#]]</f>
        <v>SOL-10970</v>
      </c>
      <c r="D90" s="20">
        <f>SUM('1st Qtr'!D90, '2nd Qtr'!D90, '3rd Qtr'!D90, '4th Qtr'!D90)</f>
        <v>666330</v>
      </c>
      <c r="E90" s="10">
        <f>SUM('1st Qtr'!E90, '2nd Qtr'!E90, '3rd Qtr'!E90, '4th Qtr'!E90)</f>
        <v>0</v>
      </c>
      <c r="F90" s="10">
        <f t="shared" si="9"/>
        <v>666330</v>
      </c>
      <c r="G90" s="11" t="str">
        <f t="shared" si="10"/>
        <v/>
      </c>
      <c r="H90" s="12">
        <f>SUM('1st Qtr'!H90+'2nd Qtr'!H90+'3rd Qtr'!H90+'4th Qtr'!H90)</f>
        <v>932648.4</v>
      </c>
      <c r="I90" s="12">
        <f>SUM('1st Qtr'!I90, '2nd Qtr'!I90, '3rd Qtr'!I90, '4th Qtr'!I90)</f>
        <v>-266318.40000000002</v>
      </c>
      <c r="J90" s="13">
        <f t="shared" si="11"/>
        <v>-0.28555069627525231</v>
      </c>
    </row>
    <row r="91" spans="1:10" ht="15.6">
      <c r="A91" s="26" t="str">
        <v>Reid</v>
      </c>
      <c r="B91" s="27" t="str">
        <v>NY</v>
      </c>
      <c r="C91" s="27" t="str">
        <f>Sites[[#This Row],[SOL'#]]</f>
        <v>SOL-10991</v>
      </c>
      <c r="D91" s="9">
        <f>SUM('1st Qtr'!D91, '2nd Qtr'!D91, '3rd Qtr'!D91, '4th Qtr'!D91)</f>
        <v>266655.971300815</v>
      </c>
      <c r="E91" s="14">
        <f>SUM('1st Qtr'!E91, '2nd Qtr'!E91, '3rd Qtr'!E91, '4th Qtr'!E91)</f>
        <v>704637.4</v>
      </c>
      <c r="F91" s="14">
        <f t="shared" si="9"/>
        <v>-437981.42869918502</v>
      </c>
      <c r="G91" s="15">
        <f t="shared" si="10"/>
        <v>-0.62156994320651304</v>
      </c>
      <c r="H91" s="16">
        <f>SUM('1st Qtr'!H91+'2nd Qtr'!H91+'3rd Qtr'!H91+'4th Qtr'!H91)</f>
        <v>695931</v>
      </c>
      <c r="I91" s="16">
        <f>SUM('1st Qtr'!I91, '2nd Qtr'!I91, '3rd Qtr'!I91, '4th Qtr'!I91)</f>
        <v>-429275.028699185</v>
      </c>
      <c r="J91" s="15">
        <f t="shared" si="11"/>
        <v>-0.61683561832880707</v>
      </c>
    </row>
    <row r="92" spans="1:10" ht="15.6">
      <c r="A92" s="24" t="str">
        <v>Sangolqui</v>
      </c>
      <c r="B92" s="25" t="str">
        <v>NY</v>
      </c>
      <c r="C92" s="25" t="str">
        <f>Sites[[#This Row],[SOL'#]]</f>
        <v>SOL-10975</v>
      </c>
      <c r="D92" s="20">
        <f>SUM('1st Qtr'!D92, '2nd Qtr'!D92, '3rd Qtr'!D92, '4th Qtr'!D92)</f>
        <v>278622</v>
      </c>
      <c r="E92" s="10">
        <f>SUM('1st Qtr'!E92, '2nd Qtr'!E92, '3rd Qtr'!E92, '4th Qtr'!E92)</f>
        <v>0</v>
      </c>
      <c r="F92" s="10">
        <f t="shared" si="9"/>
        <v>278622</v>
      </c>
      <c r="G92" s="11" t="str">
        <f t="shared" si="10"/>
        <v/>
      </c>
      <c r="H92" s="12">
        <f>SUM('1st Qtr'!H92+'2nd Qtr'!H92+'3rd Qtr'!H92+'4th Qtr'!H92)</f>
        <v>386619.82999999996</v>
      </c>
      <c r="I92" s="12">
        <f>SUM('1st Qtr'!I92, '2nd Qtr'!I92, '3rd Qtr'!I92, '4th Qtr'!I92)</f>
        <v>-107997.82999999999</v>
      </c>
      <c r="J92" s="13">
        <f t="shared" si="11"/>
        <v>-0.27933856884681779</v>
      </c>
    </row>
    <row r="93" spans="1:10" ht="15.6">
      <c r="A93" s="26" t="str">
        <v>State Highway 17B</v>
      </c>
      <c r="B93" s="27" t="str">
        <v>NY</v>
      </c>
      <c r="C93" s="27" t="str">
        <f>Sites[[#This Row],[SOL'#]]</f>
        <v>SOL-10988</v>
      </c>
      <c r="D93" s="9">
        <f>SUM('1st Qtr'!D93, '2nd Qtr'!D93, '3rd Qtr'!D93, '4th Qtr'!D93)</f>
        <v>602310</v>
      </c>
      <c r="E93" s="14">
        <f>SUM('1st Qtr'!E93, '2nd Qtr'!E93, '3rd Qtr'!E93, '4th Qtr'!E93)</f>
        <v>0</v>
      </c>
      <c r="F93" s="14">
        <f t="shared" si="9"/>
        <v>602310</v>
      </c>
      <c r="G93" s="15" t="str">
        <f t="shared" si="10"/>
        <v/>
      </c>
      <c r="H93" s="16">
        <f>SUM('1st Qtr'!H93+'2nd Qtr'!H93+'3rd Qtr'!H93+'4th Qtr'!H93)</f>
        <v>857284.06</v>
      </c>
      <c r="I93" s="16">
        <f>SUM('1st Qtr'!I93, '2nd Qtr'!I93, '3rd Qtr'!I93, '4th Qtr'!I93)</f>
        <v>-254974.06</v>
      </c>
      <c r="J93" s="15">
        <f t="shared" si="11"/>
        <v>-0.2974207405652684</v>
      </c>
    </row>
    <row r="94" spans="1:10" ht="15.6">
      <c r="A94" s="24" t="str">
        <v>State Route 14A</v>
      </c>
      <c r="B94" s="25" t="str">
        <v>NY</v>
      </c>
      <c r="C94" s="25" t="str">
        <f>Sites[[#This Row],[SOL'#]]</f>
        <v>SOL-10997</v>
      </c>
      <c r="D94" s="20">
        <f>SUM('1st Qtr'!D94, '2nd Qtr'!D94, '3rd Qtr'!D94, '4th Qtr'!D94)</f>
        <v>734219</v>
      </c>
      <c r="E94" s="10">
        <f>SUM('1st Qtr'!E94, '2nd Qtr'!E94, '3rd Qtr'!E94, '4th Qtr'!E94)</f>
        <v>0</v>
      </c>
      <c r="F94" s="10">
        <f t="shared" si="9"/>
        <v>734219</v>
      </c>
      <c r="G94" s="11" t="str">
        <f t="shared" si="10"/>
        <v/>
      </c>
      <c r="H94" s="12">
        <f>SUM('1st Qtr'!H94+'2nd Qtr'!H94+'3rd Qtr'!H94+'4th Qtr'!H94)</f>
        <v>966864.94000000006</v>
      </c>
      <c r="I94" s="12">
        <f>SUM('1st Qtr'!I94, '2nd Qtr'!I94, '3rd Qtr'!I94, '4th Qtr'!I94)</f>
        <v>-232645.94000000006</v>
      </c>
      <c r="J94" s="13">
        <f t="shared" si="11"/>
        <v>-0.24061886037567981</v>
      </c>
    </row>
    <row r="95" spans="1:10" ht="15.6">
      <c r="A95" s="26" t="str">
        <v>West Creek</v>
      </c>
      <c r="B95" s="27" t="str">
        <v>NY</v>
      </c>
      <c r="C95" s="27" t="str">
        <f>Sites[[#This Row],[SOL'#]]</f>
        <v>SOL-10995</v>
      </c>
      <c r="D95" s="9">
        <f>SUM('1st Qtr'!D95, '2nd Qtr'!D95, '3rd Qtr'!D95, '4th Qtr'!D95)</f>
        <v>825040</v>
      </c>
      <c r="E95" s="14">
        <f>SUM('1st Qtr'!E95, '2nd Qtr'!E95, '3rd Qtr'!E95, '4th Qtr'!E95)</f>
        <v>0</v>
      </c>
      <c r="F95" s="14">
        <f t="shared" si="9"/>
        <v>825040</v>
      </c>
      <c r="G95" s="15" t="str">
        <f t="shared" si="10"/>
        <v/>
      </c>
      <c r="H95" s="16">
        <f>SUM('1st Qtr'!H95+'2nd Qtr'!H95+'3rd Qtr'!H95+'4th Qtr'!H95)</f>
        <v>902723.2</v>
      </c>
      <c r="I95" s="16">
        <f>SUM('1st Qtr'!I95, '2nd Qtr'!I95, '3rd Qtr'!I95, '4th Qtr'!I95)</f>
        <v>-77683.200000000012</v>
      </c>
      <c r="J95" s="15">
        <f t="shared" si="11"/>
        <v>-8.6054285521852125E-2</v>
      </c>
    </row>
    <row r="96" spans="1:10" ht="15.6">
      <c r="A96" s="24" t="str">
        <v>Wildflower</v>
      </c>
      <c r="B96" s="25" t="str">
        <v>NY</v>
      </c>
      <c r="C96" s="25" t="str">
        <f>Sites[[#This Row],[SOL'#]]</f>
        <v>SOL-10982</v>
      </c>
      <c r="D96" s="20">
        <f>SUM('1st Qtr'!D96, '2nd Qtr'!D96, '3rd Qtr'!D96, '4th Qtr'!D96)</f>
        <v>694137.9</v>
      </c>
      <c r="E96" s="10">
        <f>SUM('1st Qtr'!E96, '2nd Qtr'!E96, '3rd Qtr'!E96, '4th Qtr'!E96)</f>
        <v>0</v>
      </c>
      <c r="F96" s="10">
        <f t="shared" si="9"/>
        <v>694137.9</v>
      </c>
      <c r="G96" s="11" t="str">
        <f t="shared" si="10"/>
        <v/>
      </c>
      <c r="H96" s="12">
        <f>SUM('1st Qtr'!H96+'2nd Qtr'!H96+'3rd Qtr'!H96+'4th Qtr'!H96)</f>
        <v>1041838.3600000001</v>
      </c>
      <c r="I96" s="12">
        <f>SUM('1st Qtr'!I96, '2nd Qtr'!I96, '3rd Qtr'!I96, '4th Qtr'!I96)</f>
        <v>-347700.46</v>
      </c>
      <c r="J96" s="13">
        <f t="shared" si="11"/>
        <v>-0.33373743312734233</v>
      </c>
    </row>
    <row r="97" spans="1:10" ht="15.6">
      <c r="A97" s="26" t="str">
        <v>Glen Mary 1</v>
      </c>
      <c r="B97" s="27" t="str">
        <v>NY</v>
      </c>
      <c r="C97" s="27" t="str">
        <f>Sites[[#This Row],[SOL'#]]</f>
        <v>SOL-10993</v>
      </c>
      <c r="D97" s="9">
        <f>SUM('1st Qtr'!D97, '2nd Qtr'!D97, '3rd Qtr'!D97, '4th Qtr'!D97)</f>
        <v>870350</v>
      </c>
      <c r="E97" s="14">
        <f>SUM('1st Qtr'!E97, '2nd Qtr'!E97, '3rd Qtr'!E97, '4th Qtr'!E97)</f>
        <v>0</v>
      </c>
      <c r="F97" s="14">
        <f t="shared" si="9"/>
        <v>870350</v>
      </c>
      <c r="G97" s="15" t="str">
        <f t="shared" si="10"/>
        <v/>
      </c>
      <c r="H97" s="16">
        <f>SUM('1st Qtr'!H97+'2nd Qtr'!H97+'3rd Qtr'!H97+'4th Qtr'!H97)</f>
        <v>1001424.8</v>
      </c>
      <c r="I97" s="16">
        <f>SUM('1st Qtr'!I97, '2nd Qtr'!I97, '3rd Qtr'!I97, '4th Qtr'!I97)</f>
        <v>-131074.79999999999</v>
      </c>
      <c r="J97" s="15">
        <f t="shared" si="11"/>
        <v>-0.13088831033543405</v>
      </c>
    </row>
    <row r="98" spans="1:10" ht="15.6">
      <c r="A98" s="24" t="str">
        <v>Glen Mary 2</v>
      </c>
      <c r="B98" s="25" t="str">
        <v>NY</v>
      </c>
      <c r="C98" s="25" t="str">
        <f>Sites[[#This Row],[SOL'#]]</f>
        <v>SOL-10994</v>
      </c>
      <c r="D98" s="20">
        <f>SUM('1st Qtr'!D98, '2nd Qtr'!D98, '3rd Qtr'!D98, '4th Qtr'!D98)</f>
        <v>79670</v>
      </c>
      <c r="E98" s="10">
        <f>SUM('1st Qtr'!E98, '2nd Qtr'!E98, '3rd Qtr'!E98, '4th Qtr'!E98)</f>
        <v>0</v>
      </c>
      <c r="F98" s="10">
        <f t="shared" si="9"/>
        <v>79670</v>
      </c>
      <c r="G98" s="11" t="str">
        <f t="shared" si="10"/>
        <v/>
      </c>
      <c r="H98" s="12">
        <f>SUM('1st Qtr'!H98+'2nd Qtr'!H98+'3rd Qtr'!H98+'4th Qtr'!H98)</f>
        <v>413943.19999999995</v>
      </c>
      <c r="I98" s="12">
        <f>SUM('1st Qtr'!I98, '2nd Qtr'!I98, '3rd Qtr'!I98, '4th Qtr'!I98)</f>
        <v>-334273.19999999995</v>
      </c>
      <c r="J98" s="13">
        <f t="shared" si="11"/>
        <v>-0.80753398050747061</v>
      </c>
    </row>
    <row r="99" spans="1:10" ht="15.6">
      <c r="A99" s="26" t="str">
        <v>Telegraph 1</v>
      </c>
      <c r="B99" s="27" t="str">
        <v>NY</v>
      </c>
      <c r="C99" s="27" t="str">
        <f>Sites[[#This Row],[SOL'#]]</f>
        <v>SOL-11003</v>
      </c>
      <c r="D99" s="9">
        <f>SUM('1st Qtr'!D99, '2nd Qtr'!D99, '3rd Qtr'!D99, '4th Qtr'!D99)</f>
        <v>341301</v>
      </c>
      <c r="E99" s="14">
        <f>SUM('1st Qtr'!E99, '2nd Qtr'!E99, '3rd Qtr'!E99, '4th Qtr'!E99)</f>
        <v>0</v>
      </c>
      <c r="F99" s="14">
        <f t="shared" si="9"/>
        <v>341301</v>
      </c>
      <c r="G99" s="15" t="str">
        <f t="shared" si="10"/>
        <v/>
      </c>
      <c r="H99" s="16">
        <f>SUM('1st Qtr'!H99+'2nd Qtr'!H99+'3rd Qtr'!H99+'4th Qtr'!H99)</f>
        <v>671411.11</v>
      </c>
      <c r="I99" s="16">
        <f>SUM('1st Qtr'!I99, '2nd Qtr'!I99, '3rd Qtr'!I99, '4th Qtr'!I99)</f>
        <v>-330110.11</v>
      </c>
      <c r="J99" s="15">
        <f t="shared" si="11"/>
        <v>-0.49166614177712964</v>
      </c>
    </row>
    <row r="100" spans="1:10" ht="15.6">
      <c r="A100" s="24" t="str">
        <v>Telegraph 2</v>
      </c>
      <c r="B100" s="25" t="str">
        <v>NY</v>
      </c>
      <c r="C100" s="25" t="str">
        <f>Sites[[#This Row],[SOL'#]]</f>
        <v>SOL-11004</v>
      </c>
      <c r="D100" s="20">
        <f>SUM('1st Qtr'!D100, '2nd Qtr'!D100, '3rd Qtr'!D100, '4th Qtr'!D100)</f>
        <v>204746</v>
      </c>
      <c r="E100" s="10">
        <f>SUM('1st Qtr'!E100, '2nd Qtr'!E100, '3rd Qtr'!E100, '4th Qtr'!E100)</f>
        <v>0</v>
      </c>
      <c r="F100" s="10">
        <f t="shared" si="9"/>
        <v>204746</v>
      </c>
      <c r="G100" s="11" t="str">
        <f t="shared" si="10"/>
        <v/>
      </c>
      <c r="H100" s="12">
        <f>SUM('1st Qtr'!H100+'2nd Qtr'!H100+'3rd Qtr'!H100+'4th Qtr'!H100)</f>
        <v>345971.45999999996</v>
      </c>
      <c r="I100" s="12">
        <f>SUM('1st Qtr'!I100, '2nd Qtr'!I100, '3rd Qtr'!I100, '4th Qtr'!I100)</f>
        <v>-141225.46</v>
      </c>
      <c r="J100" s="13">
        <f t="shared" si="11"/>
        <v>-0.40819973994386705</v>
      </c>
    </row>
    <row r="101" spans="1:10" ht="15.6">
      <c r="A101" s="26" t="str">
        <v>Cafferty Hill</v>
      </c>
      <c r="B101" s="27" t="str">
        <v>NY</v>
      </c>
      <c r="C101" s="27" t="str">
        <f>Sites[[#This Row],[SOL'#]]</f>
        <v>SOL-10996</v>
      </c>
      <c r="D101" s="9">
        <f>SUM('1st Qtr'!D101, '2nd Qtr'!D101, '3rd Qtr'!D101, '4th Qtr'!D101)</f>
        <v>780270</v>
      </c>
      <c r="E101" s="14">
        <f>SUM('1st Qtr'!E101, '2nd Qtr'!E101, '3rd Qtr'!E101, '4th Qtr'!E101)</f>
        <v>0</v>
      </c>
      <c r="F101" s="14">
        <f t="shared" si="9"/>
        <v>780270</v>
      </c>
      <c r="G101" s="15" t="str">
        <f t="shared" si="10"/>
        <v/>
      </c>
      <c r="H101" s="16">
        <f>SUM('1st Qtr'!H101+'2nd Qtr'!H101+'3rd Qtr'!H101+'4th Qtr'!H101)</f>
        <v>860416.7</v>
      </c>
      <c r="I101" s="16">
        <f>SUM('1st Qtr'!I101, '2nd Qtr'!I101, '3rd Qtr'!I101, '4th Qtr'!I101)</f>
        <v>-80146.700000000012</v>
      </c>
      <c r="J101" s="15">
        <f t="shared" si="11"/>
        <v>-9.3148703413125311E-2</v>
      </c>
    </row>
    <row r="102" spans="1:10" ht="15.6">
      <c r="A102" s="24" t="str">
        <v>Dunkleman</v>
      </c>
      <c r="B102" s="25" t="str">
        <v>NY</v>
      </c>
      <c r="C102" s="25" t="str">
        <f>Sites[[#This Row],[SOL'#]]</f>
        <v>SOL-11008</v>
      </c>
      <c r="D102" s="20">
        <f>SUM('1st Qtr'!D102, '2nd Qtr'!D102, '3rd Qtr'!D102, '4th Qtr'!D102)</f>
        <v>499340</v>
      </c>
      <c r="E102" s="10">
        <f>SUM('1st Qtr'!E102, '2nd Qtr'!E102, '3rd Qtr'!E102, '4th Qtr'!E102)</f>
        <v>0</v>
      </c>
      <c r="F102" s="10">
        <f t="shared" si="9"/>
        <v>499340</v>
      </c>
      <c r="G102" s="11" t="str">
        <f t="shared" si="10"/>
        <v/>
      </c>
      <c r="H102" s="12">
        <f>SUM('1st Qtr'!H102+'2nd Qtr'!H102+'3rd Qtr'!H102+'4th Qtr'!H102)</f>
        <v>947522.8</v>
      </c>
      <c r="I102" s="12">
        <f>SUM('1st Qtr'!I102, '2nd Qtr'!I102, '3rd Qtr'!I102, '4th Qtr'!I102)</f>
        <v>-448182.8</v>
      </c>
      <c r="J102" s="13">
        <f t="shared" si="11"/>
        <v>-0.47300476569007094</v>
      </c>
    </row>
    <row r="103" spans="1:10" ht="15.6">
      <c r="A103" s="26" t="str">
        <v>Route 19 1</v>
      </c>
      <c r="B103" s="27" t="str">
        <v>NY</v>
      </c>
      <c r="C103" s="27" t="str">
        <f>Sites[[#This Row],[SOL'#]]</f>
        <v>SOL-11001</v>
      </c>
      <c r="D103" s="9">
        <f>SUM('1st Qtr'!D103, '2nd Qtr'!D103, '3rd Qtr'!D103, '4th Qtr'!D103)</f>
        <v>253370</v>
      </c>
      <c r="E103" s="14">
        <f>SUM('1st Qtr'!E103, '2nd Qtr'!E103, '3rd Qtr'!E103, '4th Qtr'!E103)</f>
        <v>0</v>
      </c>
      <c r="F103" s="14">
        <f t="shared" si="9"/>
        <v>253370</v>
      </c>
      <c r="G103" s="15" t="str">
        <f t="shared" si="10"/>
        <v/>
      </c>
      <c r="H103" s="16">
        <f>SUM('1st Qtr'!H103+'2nd Qtr'!H103+'3rd Qtr'!H103+'4th Qtr'!H103)</f>
        <v>385415.88</v>
      </c>
      <c r="I103" s="16">
        <f>SUM('1st Qtr'!I103, '2nd Qtr'!I103, '3rd Qtr'!I103, '4th Qtr'!I103)</f>
        <v>-132045.87999999998</v>
      </c>
      <c r="J103" s="15">
        <f t="shared" si="11"/>
        <v>-0.34260622577357208</v>
      </c>
    </row>
    <row r="104" spans="1:10" ht="15.6">
      <c r="A104" s="24" t="str">
        <v>Route 19 2</v>
      </c>
      <c r="B104" s="25" t="str">
        <v>NY</v>
      </c>
      <c r="C104" s="25" t="str">
        <f>Sites[[#This Row],[SOL'#]]</f>
        <v>SOL-11002</v>
      </c>
      <c r="D104" s="20">
        <f>SUM('1st Qtr'!D104, '2nd Qtr'!D104, '3rd Qtr'!D104, '4th Qtr'!D104)</f>
        <v>673280</v>
      </c>
      <c r="E104" s="10">
        <f>SUM('1st Qtr'!E104, '2nd Qtr'!E104, '3rd Qtr'!E104, '4th Qtr'!E104)</f>
        <v>0</v>
      </c>
      <c r="F104" s="10">
        <f t="shared" si="9"/>
        <v>673280</v>
      </c>
      <c r="G104" s="11" t="str">
        <f t="shared" si="10"/>
        <v/>
      </c>
      <c r="H104" s="12">
        <f>SUM('1st Qtr'!H104+'2nd Qtr'!H104+'3rd Qtr'!H104+'4th Qtr'!H104)</f>
        <v>1000905</v>
      </c>
      <c r="I104" s="12">
        <f>SUM('1st Qtr'!I104, '2nd Qtr'!I104, '3rd Qtr'!I104, '4th Qtr'!I104)</f>
        <v>-327625</v>
      </c>
      <c r="J104" s="13">
        <f t="shared" si="11"/>
        <v>-0.32732876746544376</v>
      </c>
    </row>
    <row r="105" spans="1:10" ht="15.6">
      <c r="A105" s="26" t="str">
        <v>Yellow Mills 1</v>
      </c>
      <c r="B105" s="27" t="str">
        <v>NY</v>
      </c>
      <c r="C105" s="27" t="str">
        <f>Sites[[#This Row],[SOL'#]]</f>
        <v>SOL-11006</v>
      </c>
      <c r="D105" s="9">
        <f>SUM('1st Qtr'!D105, '2nd Qtr'!D105, '3rd Qtr'!D105, '4th Qtr'!D105)</f>
        <v>43612</v>
      </c>
      <c r="E105" s="14">
        <f>SUM('1st Qtr'!E105, '2nd Qtr'!E105, '3rd Qtr'!E105, '4th Qtr'!E105)</f>
        <v>0</v>
      </c>
      <c r="F105" s="14">
        <f t="shared" si="9"/>
        <v>43612</v>
      </c>
      <c r="G105" s="15" t="str">
        <f t="shared" si="10"/>
        <v/>
      </c>
      <c r="H105" s="16">
        <f>SUM('1st Qtr'!H105+'2nd Qtr'!H105+'3rd Qtr'!H105+'4th Qtr'!H105)</f>
        <v>299785.40000000002</v>
      </c>
      <c r="I105" s="16">
        <f>SUM('1st Qtr'!I105, '2nd Qtr'!I105, '3rd Qtr'!I105, '4th Qtr'!I105)</f>
        <v>-256173.4</v>
      </c>
      <c r="J105" s="15">
        <f t="shared" si="11"/>
        <v>-0.85452260183451223</v>
      </c>
    </row>
    <row r="106" spans="1:10" ht="15.6">
      <c r="A106" s="24" t="str">
        <v>Yellow Mills 2</v>
      </c>
      <c r="B106" s="25" t="str">
        <v>NY</v>
      </c>
      <c r="C106" s="25" t="str">
        <f>Sites[[#This Row],[SOL'#]]</f>
        <v>SOL-11005</v>
      </c>
      <c r="D106" s="20">
        <f>SUM('1st Qtr'!D106, '2nd Qtr'!D106, '3rd Qtr'!D106, '4th Qtr'!D106)</f>
        <v>228808</v>
      </c>
      <c r="E106" s="10">
        <f>SUM('1st Qtr'!E106, '2nd Qtr'!E106, '3rd Qtr'!E106, '4th Qtr'!E106)</f>
        <v>0</v>
      </c>
      <c r="F106" s="10">
        <f t="shared" si="9"/>
        <v>228808</v>
      </c>
      <c r="G106" s="11" t="str">
        <f t="shared" si="10"/>
        <v/>
      </c>
      <c r="H106" s="12">
        <f>SUM('1st Qtr'!H106+'2nd Qtr'!H106+'3rd Qtr'!H106+'4th Qtr'!H106)</f>
        <v>307904.59999999998</v>
      </c>
      <c r="I106" s="12">
        <f>SUM('1st Qtr'!I106, '2nd Qtr'!I106, '3rd Qtr'!I106, '4th Qtr'!I106)</f>
        <v>-79096.600000000006</v>
      </c>
      <c r="J106" s="13">
        <f t="shared" si="11"/>
        <v>-0.25688671101373611</v>
      </c>
    </row>
    <row r="107" spans="1:10" ht="15.6">
      <c r="A107" s="26" t="str">
        <v>Yellow Mills 3</v>
      </c>
      <c r="B107" s="27" t="str">
        <v>NY</v>
      </c>
      <c r="C107" s="27" t="str">
        <f>Sites[[#This Row],[SOL'#]]</f>
        <v>SOL-11007</v>
      </c>
      <c r="D107" s="9">
        <f>SUM('1st Qtr'!D107, '2nd Qtr'!D107, '3rd Qtr'!D107, '4th Qtr'!D107)</f>
        <v>182996</v>
      </c>
      <c r="E107" s="14">
        <f>SUM('1st Qtr'!E107, '2nd Qtr'!E107, '3rd Qtr'!E107, '4th Qtr'!E107)</f>
        <v>0</v>
      </c>
      <c r="F107" s="14">
        <f t="shared" si="9"/>
        <v>182996</v>
      </c>
      <c r="G107" s="15" t="str">
        <f t="shared" si="10"/>
        <v/>
      </c>
      <c r="H107" s="16">
        <f>SUM('1st Qtr'!H107+'2nd Qtr'!H107+'3rd Qtr'!H107+'4th Qtr'!H107)</f>
        <v>280443.06</v>
      </c>
      <c r="I107" s="16">
        <f>SUM('1st Qtr'!I107, '2nd Qtr'!I107, '3rd Qtr'!I107, '4th Qtr'!I107)</f>
        <v>-97447.060000000012</v>
      </c>
      <c r="J107" s="15">
        <f t="shared" si="11"/>
        <v>-0.34747538412966972</v>
      </c>
    </row>
    <row r="108" spans="1:10" ht="15.6">
      <c r="A108" s="24" t="str">
        <v>Catskill</v>
      </c>
      <c r="B108" s="25" t="str">
        <v>NY</v>
      </c>
      <c r="C108" s="25" t="str">
        <f>Sites[[#This Row],[SOL'#]]</f>
        <v>SOL-11021</v>
      </c>
      <c r="D108" s="20">
        <f>SUM('1st Qtr'!D108, '2nd Qtr'!D108, '3rd Qtr'!D108, '4th Qtr'!D108)</f>
        <v>525420</v>
      </c>
      <c r="E108" s="10">
        <f>SUM('1st Qtr'!E108, '2nd Qtr'!E108, '3rd Qtr'!E108, '4th Qtr'!E108)</f>
        <v>0</v>
      </c>
      <c r="F108" s="10">
        <f t="shared" si="9"/>
        <v>525420</v>
      </c>
      <c r="G108" s="11" t="str">
        <f t="shared" si="10"/>
        <v/>
      </c>
      <c r="H108" s="12">
        <f>SUM('1st Qtr'!H108+'2nd Qtr'!H108+'3rd Qtr'!H108+'4th Qtr'!H108)</f>
        <v>674083.33000000007</v>
      </c>
      <c r="I108" s="12">
        <f>SUM('1st Qtr'!I108, '2nd Qtr'!I108, '3rd Qtr'!I108, '4th Qtr'!I108)</f>
        <v>-148663.33000000002</v>
      </c>
      <c r="J108" s="13">
        <f t="shared" si="11"/>
        <v>-0.220541472224213</v>
      </c>
    </row>
    <row r="109" spans="1:10" ht="15.6">
      <c r="A109" s="26" t="str">
        <v>Eddy Ridge</v>
      </c>
      <c r="B109" s="27" t="str">
        <v>NY</v>
      </c>
      <c r="C109" s="27" t="str">
        <f>Sites[[#This Row],[SOL'#]]</f>
        <v>SOL-11054</v>
      </c>
      <c r="D109" s="9">
        <f>SUM('1st Qtr'!D109, '2nd Qtr'!D109, '3rd Qtr'!D109, '4th Qtr'!D109)</f>
        <v>303485.40000000002</v>
      </c>
      <c r="E109" s="14">
        <f>SUM('1st Qtr'!E109, '2nd Qtr'!E109, '3rd Qtr'!E109, '4th Qtr'!E109)</f>
        <v>0</v>
      </c>
      <c r="F109" s="14">
        <f t="shared" si="9"/>
        <v>303485.40000000002</v>
      </c>
      <c r="G109" s="15" t="str">
        <f t="shared" si="10"/>
        <v/>
      </c>
      <c r="H109" s="16">
        <f>SUM('1st Qtr'!H109+'2nd Qtr'!H109+'3rd Qtr'!H109+'4th Qtr'!H109)</f>
        <v>437800</v>
      </c>
      <c r="I109" s="16">
        <f>SUM('1st Qtr'!I109, '2nd Qtr'!I109, '3rd Qtr'!I109, '4th Qtr'!I109)</f>
        <v>-134314.6</v>
      </c>
      <c r="J109" s="15">
        <f t="shared" si="11"/>
        <v>-0.30679442667884882</v>
      </c>
    </row>
    <row r="110" spans="1:10" ht="15.6">
      <c r="A110" s="24" t="str">
        <v>Ridgeway #1</v>
      </c>
      <c r="B110" s="25" t="str">
        <v>NY</v>
      </c>
      <c r="C110" s="25" t="str">
        <f>Sites[[#This Row],[SOL'#]]</f>
        <v>SOL-11018</v>
      </c>
      <c r="D110" s="20">
        <f>SUM('1st Qtr'!D110, '2nd Qtr'!D110, '3rd Qtr'!D110, '4th Qtr'!D110)</f>
        <v>633480</v>
      </c>
      <c r="E110" s="10">
        <f>SUM('1st Qtr'!E110, '2nd Qtr'!E110, '3rd Qtr'!E110, '4th Qtr'!E110)</f>
        <v>0</v>
      </c>
      <c r="F110" s="10">
        <f t="shared" si="9"/>
        <v>633480</v>
      </c>
      <c r="G110" s="11" t="str">
        <f t="shared" si="10"/>
        <v/>
      </c>
      <c r="H110" s="12">
        <f>SUM('1st Qtr'!H110+'2nd Qtr'!H110+'3rd Qtr'!H110+'4th Qtr'!H110)</f>
        <v>1011772.2</v>
      </c>
      <c r="I110" s="12">
        <f>SUM('1st Qtr'!I110, '2nd Qtr'!I110, '3rd Qtr'!I110, '4th Qtr'!I110)</f>
        <v>-378292.19999999995</v>
      </c>
      <c r="J110" s="13">
        <f t="shared" si="11"/>
        <v>-0.37389068408877013</v>
      </c>
    </row>
    <row r="111" spans="1:10" ht="15.6">
      <c r="A111" s="26" t="str">
        <v>Rivard 1</v>
      </c>
      <c r="B111" s="27" t="str">
        <v>NY</v>
      </c>
      <c r="C111" s="27" t="str">
        <f>Sites[[#This Row],[SOL'#]]</f>
        <v>SOL-11011</v>
      </c>
      <c r="D111" s="9">
        <f>SUM('1st Qtr'!D111, '2nd Qtr'!D111, '3rd Qtr'!D111, '4th Qtr'!D111)</f>
        <v>489832.99999999901</v>
      </c>
      <c r="E111" s="14">
        <f>SUM('1st Qtr'!E111, '2nd Qtr'!E111, '3rd Qtr'!E111, '4th Qtr'!E111)</f>
        <v>667533.9</v>
      </c>
      <c r="F111" s="14">
        <f t="shared" si="9"/>
        <v>-177700.90000000101</v>
      </c>
      <c r="G111" s="15">
        <f t="shared" si="10"/>
        <v>-0.26620505715140608</v>
      </c>
      <c r="H111" s="16">
        <f>SUM('1st Qtr'!H111+'2nd Qtr'!H111+'3rd Qtr'!H111+'4th Qtr'!H111)</f>
        <v>657103.19999999995</v>
      </c>
      <c r="I111" s="16">
        <f>SUM('1st Qtr'!I111, '2nd Qtr'!I111, '3rd Qtr'!I111, '4th Qtr'!I111)</f>
        <v>-167270.200000001</v>
      </c>
      <c r="J111" s="15">
        <f t="shared" si="11"/>
        <v>-0.25455697065544808</v>
      </c>
    </row>
    <row r="112" spans="1:10" ht="15.6">
      <c r="A112" s="24" t="str">
        <v>Rivard 2</v>
      </c>
      <c r="B112" s="25" t="str">
        <v>NY</v>
      </c>
      <c r="C112" s="25" t="str">
        <f>Sites[[#This Row],[SOL'#]]</f>
        <v>SOL-11012</v>
      </c>
      <c r="D112" s="20">
        <f>SUM('1st Qtr'!D112, '2nd Qtr'!D112, '3rd Qtr'!D112, '4th Qtr'!D112)</f>
        <v>494425.46733668301</v>
      </c>
      <c r="E112" s="10">
        <f>SUM('1st Qtr'!E112, '2nd Qtr'!E112, '3rd Qtr'!E112, '4th Qtr'!E112)</f>
        <v>517055.19999999995</v>
      </c>
      <c r="F112" s="10">
        <f t="shared" si="9"/>
        <v>-22629.732663316943</v>
      </c>
      <c r="G112" s="11">
        <f t="shared" si="10"/>
        <v>-4.3766570113436529E-2</v>
      </c>
      <c r="H112" s="12">
        <f>SUM('1st Qtr'!H112+'2nd Qtr'!H112+'3rd Qtr'!H112+'4th Qtr'!H112)</f>
        <v>628404.1</v>
      </c>
      <c r="I112" s="12">
        <f>SUM('1st Qtr'!I112, '2nd Qtr'!I112, '3rd Qtr'!I112, '4th Qtr'!I112)</f>
        <v>-133978.63266331697</v>
      </c>
      <c r="J112" s="13">
        <f t="shared" si="11"/>
        <v>-0.21320458072014006</v>
      </c>
    </row>
    <row r="113" spans="1:10" ht="15.6">
      <c r="A113" s="26" t="str">
        <v>Essex</v>
      </c>
      <c r="B113" s="27" t="str">
        <v>DC</v>
      </c>
      <c r="C113" s="27" t="str">
        <f>Sites[[#This Row],[SOL'#]]</f>
        <v>SOL-10036</v>
      </c>
      <c r="D113" s="9">
        <f>SUM('1st Qtr'!D113, '2nd Qtr'!D113, '3rd Qtr'!D113, '4th Qtr'!D113)</f>
        <v>3128</v>
      </c>
      <c r="E113" s="14">
        <f>SUM('1st Qtr'!E113, '2nd Qtr'!E113, '3rd Qtr'!E113, '4th Qtr'!E113)</f>
        <v>4133.7610000000004</v>
      </c>
      <c r="F113" s="14">
        <f t="shared" si="9"/>
        <v>-1005.7610000000004</v>
      </c>
      <c r="G113" s="15">
        <f t="shared" si="10"/>
        <v>-0.2433041000677108</v>
      </c>
      <c r="H113" s="16">
        <f>SUM('1st Qtr'!H113+'2nd Qtr'!H113+'3rd Qtr'!H113+'4th Qtr'!H113)</f>
        <v>4792.7379999999994</v>
      </c>
      <c r="I113" s="16">
        <f>SUM('1st Qtr'!I113, '2nd Qtr'!I113, '3rd Qtr'!I113, '4th Qtr'!I113)</f>
        <v>-1664.7379999999998</v>
      </c>
      <c r="J113" s="15">
        <f t="shared" si="11"/>
        <v>-0.34734592210131243</v>
      </c>
    </row>
    <row r="114" spans="1:10" ht="15.6">
      <c r="A114" s="24" t="str">
        <v>Temple Sinai</v>
      </c>
      <c r="B114" s="25" t="str">
        <v>DC</v>
      </c>
      <c r="C114" s="25" t="str">
        <f>Sites[[#This Row],[SOL'#]]</f>
        <v>SOL-10028</v>
      </c>
      <c r="D114" s="20">
        <f>SUM('1st Qtr'!D114, '2nd Qtr'!D114, '3rd Qtr'!D114, '4th Qtr'!D114)</f>
        <v>8137.8199999999506</v>
      </c>
      <c r="E114" s="10">
        <f>SUM('1st Qtr'!E114, '2nd Qtr'!E114, '3rd Qtr'!E114, '4th Qtr'!E114)</f>
        <v>13798.438</v>
      </c>
      <c r="F114" s="10">
        <f t="shared" si="9"/>
        <v>-5660.6180000000495</v>
      </c>
      <c r="G114" s="11">
        <f t="shared" si="10"/>
        <v>-0.41023614412008441</v>
      </c>
      <c r="H114" s="12">
        <f>SUM('1st Qtr'!H114+'2nd Qtr'!H114+'3rd Qtr'!H114+'4th Qtr'!H114)</f>
        <v>11175.796999999999</v>
      </c>
      <c r="I114" s="12">
        <f>SUM('1st Qtr'!I114, '2nd Qtr'!I114, '3rd Qtr'!I114, '4th Qtr'!I114)</f>
        <v>-3037.9770000000494</v>
      </c>
      <c r="J114" s="13">
        <f t="shared" si="11"/>
        <v>-0.27183537782585437</v>
      </c>
    </row>
    <row r="115" spans="1:10" ht="15.6">
      <c r="A115" s="26" t="str">
        <v>Weinberg 1</v>
      </c>
      <c r="B115" s="27" t="str">
        <v>DC</v>
      </c>
      <c r="C115" s="27" t="str">
        <f>Sites[[#This Row],[SOL'#]]</f>
        <v>SOL-10039</v>
      </c>
      <c r="D115" s="9">
        <f>SUM('1st Qtr'!D115, '2nd Qtr'!D115, '3rd Qtr'!D115, '4th Qtr'!D115)</f>
        <v>554</v>
      </c>
      <c r="E115" s="14">
        <f>SUM('1st Qtr'!E115, '2nd Qtr'!E115, '3rd Qtr'!E115, '4th Qtr'!E115)</f>
        <v>899.23810000000003</v>
      </c>
      <c r="F115" s="14">
        <f t="shared" si="9"/>
        <v>-345.23810000000003</v>
      </c>
      <c r="G115" s="15">
        <f t="shared" si="10"/>
        <v>-0.38392290095359616</v>
      </c>
      <c r="H115" s="16">
        <f>SUM('1st Qtr'!H115+'2nd Qtr'!H115+'3rd Qtr'!H115+'4th Qtr'!H115)</f>
        <v>1726.6613</v>
      </c>
      <c r="I115" s="16">
        <f>SUM('1st Qtr'!I115, '2nd Qtr'!I115, '3rd Qtr'!I115, '4th Qtr'!I115)</f>
        <v>-1172.6613</v>
      </c>
      <c r="J115" s="15">
        <f t="shared" si="11"/>
        <v>-0.67914958191279318</v>
      </c>
    </row>
    <row r="116" spans="1:10" ht="15.6">
      <c r="A116" s="24" t="str">
        <v>Weinberg 2</v>
      </c>
      <c r="B116" s="25" t="str">
        <v>DC</v>
      </c>
      <c r="C116" s="25" t="str">
        <f>Sites[[#This Row],[SOL'#]]</f>
        <v>SOL-10045</v>
      </c>
      <c r="D116" s="20">
        <f>SUM('1st Qtr'!D116, '2nd Qtr'!D116, '3rd Qtr'!D116, '4th Qtr'!D116)</f>
        <v>1360</v>
      </c>
      <c r="E116" s="10">
        <f>SUM('1st Qtr'!E116, '2nd Qtr'!E116, '3rd Qtr'!E116, '4th Qtr'!E116)</f>
        <v>1654.3444</v>
      </c>
      <c r="F116" s="10">
        <f t="shared" si="9"/>
        <v>-294.34439999999995</v>
      </c>
      <c r="G116" s="11">
        <f t="shared" si="10"/>
        <v>-0.17792208200420659</v>
      </c>
      <c r="H116" s="12">
        <f>SUM('1st Qtr'!H116+'2nd Qtr'!H116+'3rd Qtr'!H116+'4th Qtr'!H116)</f>
        <v>1816.9360999999999</v>
      </c>
      <c r="I116" s="12">
        <f>SUM('1st Qtr'!I116, '2nd Qtr'!I116, '3rd Qtr'!I116, '4th Qtr'!I116)</f>
        <v>-456.93610000000001</v>
      </c>
      <c r="J116" s="13">
        <f t="shared" si="11"/>
        <v>-0.25148716017035494</v>
      </c>
    </row>
    <row r="117" spans="1:10" ht="15.6">
      <c r="A117" s="26" t="str">
        <v>Weinberg 3</v>
      </c>
      <c r="B117" s="27" t="str">
        <v>DC</v>
      </c>
      <c r="C117" s="27" t="str">
        <f>Sites[[#This Row],[SOL'#]]</f>
        <v>SOL-10042</v>
      </c>
      <c r="D117" s="9">
        <f>SUM('1st Qtr'!D117, '2nd Qtr'!D117, '3rd Qtr'!D117, '4th Qtr'!D117)</f>
        <v>1582</v>
      </c>
      <c r="E117" s="14">
        <f>SUM('1st Qtr'!E117, '2nd Qtr'!E117, '3rd Qtr'!E117, '4th Qtr'!E117)</f>
        <v>1877.2932000000001</v>
      </c>
      <c r="F117" s="14">
        <f t="shared" si="9"/>
        <v>-295.29320000000007</v>
      </c>
      <c r="G117" s="15">
        <f t="shared" si="10"/>
        <v>-0.15729732574538707</v>
      </c>
      <c r="H117" s="16">
        <f>SUM('1st Qtr'!H117+'2nd Qtr'!H117+'3rd Qtr'!H117+'4th Qtr'!H117)</f>
        <v>1892</v>
      </c>
      <c r="I117" s="16">
        <f>SUM('1st Qtr'!I117, '2nd Qtr'!I117, '3rd Qtr'!I117, '4th Qtr'!I117)</f>
        <v>-310</v>
      </c>
      <c r="J117" s="15">
        <f t="shared" si="11"/>
        <v>-0.16384778012684989</v>
      </c>
    </row>
    <row r="118" spans="1:10" ht="15.6">
      <c r="A118" s="24" t="str">
        <v>Clayton Hall</v>
      </c>
      <c r="B118" s="25" t="str">
        <v>DE</v>
      </c>
      <c r="C118" s="25" t="str">
        <f>Sites[[#This Row],[SOL'#]]</f>
        <v>SOL-10820</v>
      </c>
      <c r="D118" s="20">
        <f>SUM('1st Qtr'!D118, '2nd Qtr'!D118, '3rd Qtr'!D118, '4th Qtr'!D118)</f>
        <v>16163</v>
      </c>
      <c r="E118" s="10">
        <f>SUM('1st Qtr'!E118, '2nd Qtr'!E118, '3rd Qtr'!E118, '4th Qtr'!E118)</f>
        <v>20576.580000000002</v>
      </c>
      <c r="F118" s="10">
        <f t="shared" si="9"/>
        <v>-4413.5800000000017</v>
      </c>
      <c r="G118" s="11">
        <f t="shared" si="10"/>
        <v>-0.21449531457608609</v>
      </c>
      <c r="H118" s="12">
        <f>SUM('1st Qtr'!H118+'2nd Qtr'!H118+'3rd Qtr'!H118+'4th Qtr'!H118)</f>
        <v>19189.03</v>
      </c>
      <c r="I118" s="12">
        <f>SUM('1st Qtr'!I118, '2nd Qtr'!I118, '3rd Qtr'!I118, '4th Qtr'!I118)</f>
        <v>-3026.0300000000007</v>
      </c>
      <c r="J118" s="13">
        <f t="shared" si="11"/>
        <v>-0.15769582933582368</v>
      </c>
    </row>
    <row r="119" spans="1:10" ht="15.6">
      <c r="A119" s="26" t="str">
        <v>Field House</v>
      </c>
      <c r="B119" s="27" t="str">
        <v>DE</v>
      </c>
      <c r="C119" s="27" t="str">
        <f>Sites[[#This Row],[SOL'#]]</f>
        <v>SOL-10821</v>
      </c>
      <c r="D119" s="9">
        <f>SUM('1st Qtr'!D119, '2nd Qtr'!D119, '3rd Qtr'!D119, '4th Qtr'!D119)</f>
        <v>63532</v>
      </c>
      <c r="E119" s="14">
        <f>SUM('1st Qtr'!E119, '2nd Qtr'!E119, '3rd Qtr'!E119, '4th Qtr'!E119)</f>
        <v>0</v>
      </c>
      <c r="F119" s="14">
        <f t="shared" si="9"/>
        <v>63532</v>
      </c>
      <c r="G119" s="15" t="str">
        <f t="shared" si="10"/>
        <v/>
      </c>
      <c r="H119" s="16">
        <f>SUM('1st Qtr'!H119+'2nd Qtr'!H119+'3rd Qtr'!H119+'4th Qtr'!H119)</f>
        <v>59644</v>
      </c>
      <c r="I119" s="16">
        <f>SUM('1st Qtr'!I119, '2nd Qtr'!I119, '3rd Qtr'!I119, '4th Qtr'!I119)</f>
        <v>3888</v>
      </c>
      <c r="J119" s="15">
        <f t="shared" si="11"/>
        <v>6.5186774864194219E-2</v>
      </c>
    </row>
    <row r="120" spans="1:10" ht="15.6">
      <c r="A120" s="24" t="str">
        <v>Wyoming Road</v>
      </c>
      <c r="B120" s="25" t="str">
        <v>DE</v>
      </c>
      <c r="C120" s="25" t="str">
        <f>Sites[[#This Row],[SOL'#]]</f>
        <v>SOL-10819</v>
      </c>
      <c r="D120" s="20">
        <f>SUM('1st Qtr'!D120, '2nd Qtr'!D120, '3rd Qtr'!D120, '4th Qtr'!D120)</f>
        <v>0</v>
      </c>
      <c r="E120" s="10">
        <f>SUM('1st Qtr'!E120, '2nd Qtr'!E120, '3rd Qtr'!E120, '4th Qtr'!E120)</f>
        <v>31919.605000000003</v>
      </c>
      <c r="F120" s="10">
        <f t="shared" si="9"/>
        <v>-31919.605000000003</v>
      </c>
      <c r="G120" s="11">
        <f t="shared" si="10"/>
        <v>-1</v>
      </c>
      <c r="H120" s="12">
        <f>SUM('1st Qtr'!H120+'2nd Qtr'!H120+'3rd Qtr'!H120+'4th Qtr'!H120)</f>
        <v>35487.925000000003</v>
      </c>
      <c r="I120" s="12">
        <f>SUM('1st Qtr'!I120, '2nd Qtr'!I120, '3rd Qtr'!I120, '4th Qtr'!I120)</f>
        <v>-35487.925000000003</v>
      </c>
      <c r="J120" s="13">
        <f t="shared" si="11"/>
        <v>-1</v>
      </c>
    </row>
    <row r="121" spans="1:10" ht="15.6">
      <c r="A121" s="26" t="str">
        <v>Leoku</v>
      </c>
      <c r="B121" s="27" t="str">
        <v>HI</v>
      </c>
      <c r="C121" s="27" t="str">
        <f>Sites[[#This Row],[SOL'#]]</f>
        <v>SOL-10071</v>
      </c>
      <c r="D121" s="9">
        <f>SUM('1st Qtr'!D121, '2nd Qtr'!D121, '3rd Qtr'!D121, '4th Qtr'!D121)</f>
        <v>16907</v>
      </c>
      <c r="E121" s="14">
        <f>SUM('1st Qtr'!E121, '2nd Qtr'!E121, '3rd Qtr'!E121, '4th Qtr'!E121)</f>
        <v>17675.656000000003</v>
      </c>
      <c r="F121" s="14">
        <f t="shared" si="9"/>
        <v>-768.65600000000268</v>
      </c>
      <c r="G121" s="15">
        <f t="shared" si="10"/>
        <v>-4.348670284146753E-2</v>
      </c>
      <c r="H121" s="16">
        <f>SUM('1st Qtr'!H121+'2nd Qtr'!H121+'3rd Qtr'!H121+'4th Qtr'!H121)</f>
        <v>20033.428</v>
      </c>
      <c r="I121" s="16">
        <f>SUM('1st Qtr'!I121, '2nd Qtr'!I121, '3rd Qtr'!I121, '4th Qtr'!I121)</f>
        <v>-3126.4279999999999</v>
      </c>
      <c r="J121" s="15">
        <f t="shared" si="11"/>
        <v>-0.1560605603793819</v>
      </c>
    </row>
    <row r="122" spans="1:10" ht="15.6">
      <c r="A122" s="24" t="str">
        <v>Waipahu</v>
      </c>
      <c r="B122" s="25" t="str">
        <v>HI</v>
      </c>
      <c r="C122" s="25" t="str">
        <f>Sites[[#This Row],[SOL'#]]</f>
        <v>SOL-10068</v>
      </c>
      <c r="D122" s="20">
        <f>SUM('1st Qtr'!D122, '2nd Qtr'!D122, '3rd Qtr'!D122, '4th Qtr'!D122)</f>
        <v>20870</v>
      </c>
      <c r="E122" s="10">
        <f>SUM('1st Qtr'!E122, '2nd Qtr'!E122, '3rd Qtr'!E122, '4th Qtr'!E122)</f>
        <v>16915.597999999998</v>
      </c>
      <c r="F122" s="10">
        <f t="shared" si="9"/>
        <v>3954.4020000000019</v>
      </c>
      <c r="G122" s="11">
        <f t="shared" si="10"/>
        <v>0.23377252166905374</v>
      </c>
      <c r="H122" s="12">
        <f>SUM('1st Qtr'!H122+'2nd Qtr'!H122+'3rd Qtr'!H122+'4th Qtr'!H122)</f>
        <v>20022.701000000001</v>
      </c>
      <c r="I122" s="12">
        <f>SUM('1st Qtr'!I122, '2nd Qtr'!I122, '3rd Qtr'!I122, '4th Qtr'!I122)</f>
        <v>847.29899999999907</v>
      </c>
      <c r="J122" s="13">
        <f t="shared" si="11"/>
        <v>4.2316918182017452E-2</v>
      </c>
    </row>
    <row r="123" spans="1:10" ht="15.6">
      <c r="A123" s="26" t="str">
        <v>Bird in Hand</v>
      </c>
      <c r="B123" s="27" t="str">
        <v>MD</v>
      </c>
      <c r="C123" s="27" t="str">
        <f>Sites[[#This Row],[SOL'#]]</f>
        <v>SOL-10092</v>
      </c>
      <c r="D123" s="9">
        <f>SUM('1st Qtr'!D123, '2nd Qtr'!D123, '3rd Qtr'!D123, '4th Qtr'!D123)</f>
        <v>214303</v>
      </c>
      <c r="E123" s="14">
        <f>SUM('1st Qtr'!E123, '2nd Qtr'!E123, '3rd Qtr'!E123, '4th Qtr'!E123)</f>
        <v>243641.09999999998</v>
      </c>
      <c r="F123" s="14">
        <f t="shared" si="9"/>
        <v>-29338.099999999977</v>
      </c>
      <c r="G123" s="15">
        <f t="shared" si="10"/>
        <v>-0.12041523371877724</v>
      </c>
      <c r="H123" s="16">
        <f>SUM('1st Qtr'!H123+'2nd Qtr'!H123+'3rd Qtr'!H123+'4th Qtr'!H123)</f>
        <v>182082.81</v>
      </c>
      <c r="I123" s="16">
        <f>SUM('1st Qtr'!I123, '2nd Qtr'!I123, '3rd Qtr'!I123, '4th Qtr'!I123)</f>
        <v>32220.190000000002</v>
      </c>
      <c r="J123" s="15">
        <f t="shared" si="11"/>
        <v>0.17695349714780875</v>
      </c>
    </row>
    <row r="124" spans="1:10" ht="15.6">
      <c r="A124" s="24" t="str">
        <v>Shortal</v>
      </c>
      <c r="B124" s="25" t="str">
        <v>MD</v>
      </c>
      <c r="C124" s="25" t="str">
        <f>Sites[[#This Row],[SOL'#]]</f>
        <v>SOL-10091</v>
      </c>
      <c r="D124" s="20">
        <f>SUM('1st Qtr'!D124, '2nd Qtr'!D124, '3rd Qtr'!D124, '4th Qtr'!D124)</f>
        <v>115755</v>
      </c>
      <c r="E124" s="10">
        <f>SUM('1st Qtr'!E124, '2nd Qtr'!E124, '3rd Qtr'!E124, '4th Qtr'!E124)</f>
        <v>173008.45</v>
      </c>
      <c r="F124" s="10">
        <f t="shared" si="9"/>
        <v>-57253.450000000012</v>
      </c>
      <c r="G124" s="11">
        <f t="shared" si="10"/>
        <v>-0.330928633832625</v>
      </c>
      <c r="H124" s="12">
        <f>SUM('1st Qtr'!H124+'2nd Qtr'!H124+'3rd Qtr'!H124+'4th Qtr'!H124)</f>
        <v>267045.59999999998</v>
      </c>
      <c r="I124" s="12">
        <f>SUM('1st Qtr'!I124, '2nd Qtr'!I124, '3rd Qtr'!I124, '4th Qtr'!I124)</f>
        <v>-151290.6</v>
      </c>
      <c r="J124" s="13">
        <f t="shared" si="11"/>
        <v>-0.56653470418535268</v>
      </c>
    </row>
    <row r="125" spans="1:10" ht="15.6">
      <c r="A125" s="26" t="str">
        <v>Aguadilla</v>
      </c>
      <c r="B125" s="27" t="str">
        <v>PR</v>
      </c>
      <c r="C125" s="27" t="str">
        <f>Sites[[#This Row],[SOL'#]]</f>
        <v>SOL-10072</v>
      </c>
      <c r="D125" s="9">
        <f>SUM('1st Qtr'!D125, '2nd Qtr'!D125, '3rd Qtr'!D125, '4th Qtr'!D125)</f>
        <v>26593</v>
      </c>
      <c r="E125" s="14">
        <f>SUM('1st Qtr'!E125, '2nd Qtr'!E125, '3rd Qtr'!E125, '4th Qtr'!E125)</f>
        <v>31201.53</v>
      </c>
      <c r="F125" s="14">
        <f t="shared" si="9"/>
        <v>-4608.5299999999988</v>
      </c>
      <c r="G125" s="15">
        <f t="shared" si="10"/>
        <v>-0.14770205179040896</v>
      </c>
      <c r="H125" s="16">
        <f>SUM('1st Qtr'!H125+'2nd Qtr'!H125+'3rd Qtr'!H125+'4th Qtr'!H125)</f>
        <v>35161</v>
      </c>
      <c r="I125" s="16">
        <f>SUM('1st Qtr'!I125, '2nd Qtr'!I125, '3rd Qtr'!I125, '4th Qtr'!I125)</f>
        <v>-8568</v>
      </c>
      <c r="J125" s="15">
        <f t="shared" si="11"/>
        <v>-0.24367907624925345</v>
      </c>
    </row>
    <row r="126" spans="1:10" ht="15.6">
      <c r="A126" s="24" t="str">
        <v>Bayamon</v>
      </c>
      <c r="B126" s="25" t="str">
        <v>PR</v>
      </c>
      <c r="C126" s="25" t="str">
        <f>Sites[[#This Row],[SOL'#]]</f>
        <v>SOL-10073</v>
      </c>
      <c r="D126" s="20">
        <f>SUM('1st Qtr'!D126, '2nd Qtr'!D126, '3rd Qtr'!D126, '4th Qtr'!D126)</f>
        <v>99947</v>
      </c>
      <c r="E126" s="10">
        <f>SUM('1st Qtr'!E126, '2nd Qtr'!E126, '3rd Qtr'!E126, '4th Qtr'!E126)</f>
        <v>123259.5</v>
      </c>
      <c r="F126" s="10">
        <f t="shared" si="9"/>
        <v>-23312.5</v>
      </c>
      <c r="G126" s="11">
        <f t="shared" si="10"/>
        <v>-0.18913349478133532</v>
      </c>
      <c r="H126" s="12">
        <f>SUM('1st Qtr'!H126+'2nd Qtr'!H126+'3rd Qtr'!H126+'4th Qtr'!H126)</f>
        <v>139016</v>
      </c>
      <c r="I126" s="12">
        <f>SUM('1st Qtr'!I126, '2nd Qtr'!I126, '3rd Qtr'!I126, '4th Qtr'!I126)</f>
        <v>-39069</v>
      </c>
      <c r="J126" s="13">
        <f t="shared" si="11"/>
        <v>-0.28103959256488464</v>
      </c>
    </row>
    <row r="127" spans="1:10" ht="15.6">
      <c r="A127" s="26" t="str">
        <v>St Francis</v>
      </c>
      <c r="B127" s="27" t="str">
        <v>PR</v>
      </c>
      <c r="C127" s="27" t="str">
        <f>Sites[[#This Row],[SOL'#]]</f>
        <v>SOL-10034</v>
      </c>
      <c r="D127" s="9">
        <f>SUM('1st Qtr'!D127, '2nd Qtr'!D127, '3rd Qtr'!D127, '4th Qtr'!D127)</f>
        <v>35492.75</v>
      </c>
      <c r="E127" s="14">
        <f>SUM('1st Qtr'!E127, '2nd Qtr'!E127, '3rd Qtr'!E127, '4th Qtr'!E127)</f>
        <v>72649</v>
      </c>
      <c r="F127" s="14">
        <f t="shared" si="9"/>
        <v>-37156.25</v>
      </c>
      <c r="G127" s="15">
        <f t="shared" si="10"/>
        <v>-0.51144888436179436</v>
      </c>
      <c r="H127" s="16">
        <f>SUM('1st Qtr'!H127+'2nd Qtr'!H127+'3rd Qtr'!H127+'4th Qtr'!H127)</f>
        <v>66619</v>
      </c>
      <c r="I127" s="16">
        <f>SUM('1st Qtr'!I127, '2nd Qtr'!I127, '3rd Qtr'!I127, '4th Qtr'!I127)</f>
        <v>-31126.25</v>
      </c>
      <c r="J127" s="15">
        <f t="shared" si="11"/>
        <v>-0.46722781788979117</v>
      </c>
    </row>
    <row r="128" spans="1:10" ht="15.6">
      <c r="A128" s="24" t="str">
        <v>Seaport</v>
      </c>
      <c r="B128" s="25" t="str">
        <v>MA</v>
      </c>
      <c r="C128" s="25" t="str">
        <f>Sites[[#This Row],[SOL'#]]</f>
        <v>SOL-10772</v>
      </c>
      <c r="D128" s="20">
        <f>SUM('1st Qtr'!D128, '2nd Qtr'!D128, '3rd Qtr'!D128, '4th Qtr'!D128)</f>
        <v>51453.5</v>
      </c>
      <c r="E128" s="10">
        <f>SUM('1st Qtr'!E128, '2nd Qtr'!E128, '3rd Qtr'!E128, '4th Qtr'!E128)</f>
        <v>1797.3565000000001</v>
      </c>
      <c r="F128" s="10">
        <f t="shared" si="9"/>
        <v>49656.143499999998</v>
      </c>
      <c r="G128" s="11">
        <f t="shared" si="10"/>
        <v>27.627320178272921</v>
      </c>
      <c r="H128" s="12">
        <f>SUM('1st Qtr'!H128+'2nd Qtr'!H128+'3rd Qtr'!H128+'4th Qtr'!H128)</f>
        <v>57498.41</v>
      </c>
      <c r="I128" s="12">
        <f>SUM('1st Qtr'!I128, '2nd Qtr'!I128, '3rd Qtr'!I128, '4th Qtr'!I128)</f>
        <v>-6044.91</v>
      </c>
      <c r="J128" s="13">
        <f t="shared" si="11"/>
        <v>-0.10513177668739013</v>
      </c>
    </row>
    <row r="129" spans="1:10" ht="15.6">
      <c r="A129" s="26" t="str">
        <v>Sprague St</v>
      </c>
      <c r="B129" s="27" t="str">
        <v>MA</v>
      </c>
      <c r="C129" s="27" t="str">
        <f>Sites[[#This Row],[SOL'#]]</f>
        <v>SOL-10773</v>
      </c>
      <c r="D129" s="9">
        <f>SUM('1st Qtr'!D129, '2nd Qtr'!D129, '3rd Qtr'!D129, '4th Qtr'!D129)</f>
        <v>98861</v>
      </c>
      <c r="E129" s="14">
        <f>SUM('1st Qtr'!E129, '2nd Qtr'!E129, '3rd Qtr'!E129, '4th Qtr'!E129)</f>
        <v>154465.14000000001</v>
      </c>
      <c r="F129" s="14">
        <f t="shared" si="9"/>
        <v>-55604.140000000014</v>
      </c>
      <c r="G129" s="15">
        <f t="shared" si="10"/>
        <v>-0.35997856862719968</v>
      </c>
      <c r="H129" s="16">
        <f>SUM('1st Qtr'!H129+'2nd Qtr'!H129+'3rd Qtr'!H129+'4th Qtr'!H129)</f>
        <v>120158.58</v>
      </c>
      <c r="I129" s="16">
        <f>SUM('1st Qtr'!I129, '2nd Qtr'!I129, '3rd Qtr'!I129, '4th Qtr'!I129)</f>
        <v>-21297.58</v>
      </c>
      <c r="J129" s="15">
        <f t="shared" si="11"/>
        <v>-0.17724560326861388</v>
      </c>
    </row>
    <row r="130" spans="1:10" ht="15.6">
      <c r="A130" s="24" t="str">
        <v>Summer St</v>
      </c>
      <c r="B130" s="25" t="str">
        <v>MA</v>
      </c>
      <c r="C130" s="25" t="str">
        <f>Sites[[#This Row],[SOL'#]]</f>
        <v>SOL-10764</v>
      </c>
      <c r="D130" s="20">
        <f>SUM('1st Qtr'!D130, '2nd Qtr'!D130, '3rd Qtr'!D130, '4th Qtr'!D130)</f>
        <v>242424</v>
      </c>
      <c r="E130" s="10">
        <f>SUM('1st Qtr'!E130, '2nd Qtr'!E130, '3rd Qtr'!E130, '4th Qtr'!E130)</f>
        <v>327994.5</v>
      </c>
      <c r="F130" s="10">
        <f t="shared" si="9"/>
        <v>-85570.5</v>
      </c>
      <c r="G130" s="11">
        <f t="shared" si="10"/>
        <v>-0.26089004541234684</v>
      </c>
      <c r="H130" s="12">
        <f>SUM('1st Qtr'!H130+'2nd Qtr'!H130+'3rd Qtr'!H130+'4th Qtr'!H130)</f>
        <v>292189.90000000002</v>
      </c>
      <c r="I130" s="12">
        <f>SUM('1st Qtr'!I130, '2nd Qtr'!I130, '3rd Qtr'!I130, '4th Qtr'!I130)</f>
        <v>-49765.900000000009</v>
      </c>
      <c r="J130" s="13">
        <f t="shared" si="11"/>
        <v>-0.17032039779609084</v>
      </c>
    </row>
    <row r="131" spans="1:10" ht="15.6">
      <c r="A131" s="26" t="str">
        <v>Brock St Vocational</v>
      </c>
      <c r="B131" s="27" t="str">
        <v>NH</v>
      </c>
      <c r="C131" s="27" t="str">
        <f>Sites[[#This Row],[SOL'#]]</f>
        <v>SOL-10768</v>
      </c>
      <c r="D131" s="9">
        <f>SUM('1st Qtr'!D131, '2nd Qtr'!D131, '3rd Qtr'!D131, '4th Qtr'!D131)</f>
        <v>2937.8792360000002</v>
      </c>
      <c r="E131" s="14">
        <f>SUM('1st Qtr'!E131, '2nd Qtr'!E131, '3rd Qtr'!E131, '4th Qtr'!E131)</f>
        <v>10561.221</v>
      </c>
      <c r="F131" s="14">
        <f t="shared" si="9"/>
        <v>-7623.3417639999989</v>
      </c>
      <c r="G131" s="15">
        <f t="shared" si="10"/>
        <v>-0.72182390312635247</v>
      </c>
      <c r="H131" s="16">
        <f>SUM('1st Qtr'!H131+'2nd Qtr'!H131+'3rd Qtr'!H131+'4th Qtr'!H131)</f>
        <v>10594.156999999999</v>
      </c>
      <c r="I131" s="16">
        <f>SUM('1st Qtr'!I131, '2nd Qtr'!I131, '3rd Qtr'!I131, '4th Qtr'!I131)</f>
        <v>-7656.2777640000004</v>
      </c>
      <c r="J131" s="15">
        <f t="shared" si="11"/>
        <v>-0.72268872020680841</v>
      </c>
    </row>
    <row r="132" spans="1:10" ht="15.6">
      <c r="A132" s="24" t="str">
        <v>McClelland ES</v>
      </c>
      <c r="B132" s="25" t="str">
        <v>NH</v>
      </c>
      <c r="C132" s="25" t="str">
        <f>Sites[[#This Row],[SOL'#]]</f>
        <v>SOL-10766</v>
      </c>
      <c r="D132" s="20">
        <f>SUM('1st Qtr'!D132, '2nd Qtr'!D132, '3rd Qtr'!D132, '4th Qtr'!D132)</f>
        <v>3996.7185640000002</v>
      </c>
      <c r="E132" s="10">
        <f>SUM('1st Qtr'!E132, '2nd Qtr'!E132, '3rd Qtr'!E132, '4th Qtr'!E132)</f>
        <v>14026.047999999999</v>
      </c>
      <c r="F132" s="10">
        <f t="shared" si="9"/>
        <v>-10029.329435999998</v>
      </c>
      <c r="G132" s="11">
        <f t="shared" si="10"/>
        <v>-0.71505027189412151</v>
      </c>
      <c r="H132" s="12">
        <f>SUM('1st Qtr'!H132+'2nd Qtr'!H132+'3rd Qtr'!H132+'4th Qtr'!H132)</f>
        <v>7871.9030000000002</v>
      </c>
      <c r="I132" s="12">
        <f>SUM('1st Qtr'!I132, '2nd Qtr'!I132, '3rd Qtr'!I132, '4th Qtr'!I132)</f>
        <v>-3875.1844360000005</v>
      </c>
      <c r="J132" s="13">
        <f t="shared" si="11"/>
        <v>-0.49228051158658842</v>
      </c>
    </row>
    <row r="133" spans="1:10" ht="15.6">
      <c r="A133" s="26" t="str">
        <v>Portland St</v>
      </c>
      <c r="B133" s="27" t="str">
        <v>NH</v>
      </c>
      <c r="C133" s="27" t="str">
        <f>Sites[[#This Row],[SOL'#]]</f>
        <v>SOL-10771</v>
      </c>
      <c r="D133" s="9">
        <f>SUM('1st Qtr'!D133, '2nd Qtr'!D133, '3rd Qtr'!D133, '4th Qtr'!D133)</f>
        <v>2430.0650000000001</v>
      </c>
      <c r="E133" s="14">
        <f>SUM('1st Qtr'!E133, '2nd Qtr'!E133, '3rd Qtr'!E133, '4th Qtr'!E133)</f>
        <v>6943.2460000000001</v>
      </c>
      <c r="F133" s="14">
        <f t="shared" si="9"/>
        <v>-4513.1810000000005</v>
      </c>
      <c r="G133" s="15">
        <f t="shared" si="10"/>
        <v>-0.65001024016720721</v>
      </c>
      <c r="H133" s="16">
        <f>SUM('1st Qtr'!H133+'2nd Qtr'!H133+'3rd Qtr'!H133+'4th Qtr'!H133)</f>
        <v>9513.0400000000009</v>
      </c>
      <c r="I133" s="16">
        <f>SUM('1st Qtr'!I133, '2nd Qtr'!I133, '3rd Qtr'!I133, '4th Qtr'!I133)</f>
        <v>-7082.9750000000004</v>
      </c>
      <c r="J133" s="15">
        <f t="shared" si="11"/>
        <v>-0.74455431702168806</v>
      </c>
    </row>
    <row r="134" spans="1:10" ht="15.6">
      <c r="A134" s="24" t="str">
        <v>Portsmouth HS</v>
      </c>
      <c r="B134" s="25" t="str">
        <v>NH</v>
      </c>
      <c r="C134" s="25" t="str">
        <f>Sites[[#This Row],[SOL'#]]</f>
        <v>SOL-10769</v>
      </c>
      <c r="D134" s="20">
        <f>SUM('1st Qtr'!D134, '2nd Qtr'!D134, '3rd Qtr'!D134, '4th Qtr'!D134)</f>
        <v>12001.375</v>
      </c>
      <c r="E134" s="10">
        <f>SUM('1st Qtr'!E134, '2nd Qtr'!E134, '3rd Qtr'!E134, '4th Qtr'!E134)</f>
        <v>5673.085</v>
      </c>
      <c r="F134" s="10">
        <f t="shared" si="9"/>
        <v>6328.29</v>
      </c>
      <c r="G134" s="11">
        <f t="shared" si="10"/>
        <v>1.1154935982803007</v>
      </c>
      <c r="H134" s="12">
        <f>SUM('1st Qtr'!H134+'2nd Qtr'!H134+'3rd Qtr'!H134+'4th Qtr'!H134)</f>
        <v>36720</v>
      </c>
      <c r="I134" s="12">
        <f>SUM('1st Qtr'!I134, '2nd Qtr'!I134, '3rd Qtr'!I134, '4th Qtr'!I134)</f>
        <v>-24718.625</v>
      </c>
      <c r="J134" s="13">
        <f t="shared" si="11"/>
        <v>-0.67316516884531585</v>
      </c>
    </row>
    <row r="135" spans="1:10" ht="15.6">
      <c r="A135" s="26" t="str">
        <v>Portsmouth WTP</v>
      </c>
      <c r="B135" s="27" t="str">
        <v>NH</v>
      </c>
      <c r="C135" s="27" t="str">
        <f>Sites[[#This Row],[SOL'#]]</f>
        <v>SOL-10770</v>
      </c>
      <c r="D135" s="9">
        <f>SUM('1st Qtr'!D135, '2nd Qtr'!D135, '3rd Qtr'!D135, '4th Qtr'!D135)</f>
        <v>4993.5</v>
      </c>
      <c r="E135" s="14">
        <f>SUM('1st Qtr'!E135, '2nd Qtr'!E135, '3rd Qtr'!E135, '4th Qtr'!E135)</f>
        <v>7501.5919999999996</v>
      </c>
      <c r="F135" s="14">
        <f t="shared" si="9"/>
        <v>-2508.0919999999996</v>
      </c>
      <c r="G135" s="15">
        <f t="shared" si="10"/>
        <v>-0.33434129715399075</v>
      </c>
      <c r="H135" s="16">
        <f>SUM('1st Qtr'!H135+'2nd Qtr'!H135+'3rd Qtr'!H135+'4th Qtr'!H135)</f>
        <v>29736.65</v>
      </c>
      <c r="I135" s="16">
        <f>SUM('1st Qtr'!I135, '2nd Qtr'!I135, '3rd Qtr'!I135, '4th Qtr'!I135)</f>
        <v>-24743.15</v>
      </c>
      <c r="J135" s="15">
        <f t="shared" si="11"/>
        <v>-0.83207590633107631</v>
      </c>
    </row>
    <row r="136" spans="1:10" ht="15.6">
      <c r="A136" s="24" t="str">
        <v>Rochester St</v>
      </c>
      <c r="B136" s="25" t="str">
        <v>NH</v>
      </c>
      <c r="C136" s="25" t="str">
        <f>Sites[[#This Row],[SOL'#]]</f>
        <v>SOL-10765</v>
      </c>
      <c r="D136" s="20">
        <f>SUM('1st Qtr'!D136, '2nd Qtr'!D136, '3rd Qtr'!D136, '4th Qtr'!D136)</f>
        <v>9603.1222109999999</v>
      </c>
      <c r="E136" s="10">
        <f>SUM('1st Qtr'!E136, '2nd Qtr'!E136, '3rd Qtr'!E136, '4th Qtr'!E136)</f>
        <v>42446.05</v>
      </c>
      <c r="F136" s="10">
        <f t="shared" si="9"/>
        <v>-32842.927789000001</v>
      </c>
      <c r="G136" s="11">
        <f t="shared" si="10"/>
        <v>-0.77375698772912904</v>
      </c>
      <c r="H136" s="12">
        <f>SUM('1st Qtr'!H136+'2nd Qtr'!H136+'3rd Qtr'!H136+'4th Qtr'!H136)</f>
        <v>25103.059999999998</v>
      </c>
      <c r="I136" s="12">
        <f>SUM('1st Qtr'!I136, '2nd Qtr'!I136, '3rd Qtr'!I136, '4th Qtr'!I136)</f>
        <v>-15499.937789</v>
      </c>
      <c r="J136" s="13">
        <f t="shared" si="11"/>
        <v>-0.6174521269120179</v>
      </c>
    </row>
    <row r="137" spans="1:10" ht="15.6">
      <c r="A137" s="26" t="str">
        <v>Spaulding HS</v>
      </c>
      <c r="B137" s="27" t="str">
        <v>NH</v>
      </c>
      <c r="C137" s="27" t="str">
        <f>Sites[[#This Row],[SOL'#]]</f>
        <v>SOL-10767</v>
      </c>
      <c r="D137" s="9">
        <f>SUM('1st Qtr'!D137, '2nd Qtr'!D137, '3rd Qtr'!D137, '4th Qtr'!D137)</f>
        <v>4573.4448270399998</v>
      </c>
      <c r="E137" s="14">
        <f>SUM('1st Qtr'!E137, '2nd Qtr'!E137, '3rd Qtr'!E137, '4th Qtr'!E137)</f>
        <v>13951.595000000001</v>
      </c>
      <c r="F137" s="14">
        <f t="shared" si="9"/>
        <v>-9378.1501729600022</v>
      </c>
      <c r="G137" s="15">
        <f t="shared" si="10"/>
        <v>-0.67219197324463631</v>
      </c>
      <c r="H137" s="16">
        <f>SUM('1st Qtr'!H137+'2nd Qtr'!H137+'3rd Qtr'!H137+'4th Qtr'!H137)</f>
        <v>11309.108</v>
      </c>
      <c r="I137" s="16">
        <f>SUM('1st Qtr'!I137, '2nd Qtr'!I137, '3rd Qtr'!I137, '4th Qtr'!I137)</f>
        <v>-6735.6631729600003</v>
      </c>
      <c r="J137" s="15">
        <f t="shared" si="11"/>
        <v>-0.5955963258074819</v>
      </c>
    </row>
    <row r="138" spans="1:10" ht="15.6">
      <c r="A138" s="24" t="str">
        <v>Ridgeway #2</v>
      </c>
      <c r="B138" s="25" t="str">
        <v>NY</v>
      </c>
      <c r="C138" s="25" t="str">
        <f>Sites[[#This Row],[SOL'#]]</f>
        <v>SOL-11027</v>
      </c>
      <c r="D138" s="20">
        <f>SUM('1st Qtr'!D138, '2nd Qtr'!D138, '3rd Qtr'!D138, '4th Qtr'!D138)</f>
        <v>257753</v>
      </c>
      <c r="E138" s="10">
        <f>SUM('1st Qtr'!E138, '2nd Qtr'!E138, '3rd Qtr'!E138, '4th Qtr'!E138)</f>
        <v>0</v>
      </c>
      <c r="F138" s="10">
        <f t="shared" si="9"/>
        <v>257753</v>
      </c>
      <c r="G138" s="11" t="str">
        <f t="shared" si="10"/>
        <v/>
      </c>
      <c r="H138" s="12">
        <f>SUM('1st Qtr'!H138+'2nd Qtr'!H138+'3rd Qtr'!H138+'4th Qtr'!H138)</f>
        <v>522890.5</v>
      </c>
      <c r="I138" s="12">
        <f>SUM('1st Qtr'!I138, '2nd Qtr'!I138, '3rd Qtr'!I138, '4th Qtr'!I138)</f>
        <v>-265137.5</v>
      </c>
      <c r="J138" s="13">
        <f t="shared" si="11"/>
        <v>-0.50706122983683966</v>
      </c>
    </row>
    <row r="139" spans="1:10" ht="15.6">
      <c r="A139" s="26" t="str">
        <v>Spencer</v>
      </c>
      <c r="B139" s="27" t="str">
        <v>NY</v>
      </c>
      <c r="C139" s="27" t="str">
        <f>Sites[[#This Row],[SOL'#]]</f>
        <v>SOL-11017</v>
      </c>
      <c r="D139" s="9">
        <f>SUM('1st Qtr'!D139, '2nd Qtr'!D139, '3rd Qtr'!D139, '4th Qtr'!D139)</f>
        <v>920437</v>
      </c>
      <c r="E139" s="14">
        <f>SUM('1st Qtr'!E139, '2nd Qtr'!E139, '3rd Qtr'!E139, '4th Qtr'!E139)</f>
        <v>0</v>
      </c>
      <c r="F139" s="14">
        <f t="shared" si="9"/>
        <v>920437</v>
      </c>
      <c r="G139" s="15" t="str">
        <f t="shared" si="10"/>
        <v/>
      </c>
      <c r="H139" s="16">
        <f>SUM('1st Qtr'!H139+'2nd Qtr'!H139+'3rd Qtr'!H139+'4th Qtr'!H139)</f>
        <v>946790.6</v>
      </c>
      <c r="I139" s="16">
        <f>SUM('1st Qtr'!I139, '2nd Qtr'!I139, '3rd Qtr'!I139, '4th Qtr'!I139)</f>
        <v>-26353.599999999977</v>
      </c>
      <c r="J139" s="15">
        <f t="shared" si="11"/>
        <v>-2.7834665870151199E-2</v>
      </c>
    </row>
    <row r="140" spans="1:10" ht="15.6">
      <c r="A140" s="24" t="str">
        <v>Reisender</v>
      </c>
      <c r="B140" s="25" t="str">
        <v>NY</v>
      </c>
      <c r="C140" s="25" t="str">
        <f>'1st Qtr'!C140</f>
        <v>SOL-10886</v>
      </c>
      <c r="D140" s="60">
        <f>SUM('1st Qtr'!D140, '2nd Qtr'!D140, '3rd Qtr'!D140, '4th Qtr'!D140)</f>
        <v>268510</v>
      </c>
      <c r="E140" s="10">
        <f>SUM('1st Qtr'!E140, '2nd Qtr'!E140, '3rd Qtr'!E140, '4th Qtr'!E140)</f>
        <v>398487.05200000003</v>
      </c>
      <c r="F140" s="10">
        <f t="shared" si="9"/>
        <v>-129977.05200000003</v>
      </c>
      <c r="G140" s="11">
        <f t="shared" si="10"/>
        <v>-0.3261763496395863</v>
      </c>
      <c r="H140" s="12">
        <f>SUM('1st Qtr'!H140+'2nd Qtr'!H140+'3rd Qtr'!H140+'4th Qtr'!H140)</f>
        <v>341969.8</v>
      </c>
      <c r="I140" s="12">
        <f>SUM('1st Qtr'!I140, '2nd Qtr'!I140, '3rd Qtr'!I140, '4th Qtr'!I140)</f>
        <v>-73459.799999999988</v>
      </c>
      <c r="J140" s="13">
        <f t="shared" si="11"/>
        <v>-0.21481370577167921</v>
      </c>
    </row>
    <row r="141" spans="1:10" ht="15.6">
      <c r="A141" s="26" t="str">
        <v>Finney</v>
      </c>
      <c r="B141" s="27" t="str">
        <v>NY</v>
      </c>
      <c r="C141" s="27" t="str">
        <f>Sites[[#This Row],[SOL'#]]</f>
        <v>SOL-10999</v>
      </c>
      <c r="D141" s="9">
        <f>SUM('1st Qtr'!D141, '2nd Qtr'!D141, '3rd Qtr'!D141, '4th Qtr'!D141)</f>
        <v>923020</v>
      </c>
      <c r="E141" s="14">
        <f>SUM('1st Qtr'!E141, '2nd Qtr'!E141, '3rd Qtr'!E141, '4th Qtr'!E141)</f>
        <v>0</v>
      </c>
      <c r="F141" s="14">
        <f t="shared" si="9"/>
        <v>923020</v>
      </c>
      <c r="G141" s="15" t="str">
        <f t="shared" si="10"/>
        <v/>
      </c>
      <c r="H141" s="16">
        <f>SUM('1st Qtr'!H141+'2nd Qtr'!H141+'3rd Qtr'!H141+'4th Qtr'!H141)</f>
        <v>1054503.1400000001</v>
      </c>
      <c r="I141" s="16">
        <f>SUM('1st Qtr'!I141, '2nd Qtr'!I141, '3rd Qtr'!I141, '4th Qtr'!I141)</f>
        <v>-131483.14000000001</v>
      </c>
      <c r="J141" s="15">
        <f t="shared" si="11"/>
        <v>-0.12468729111607955</v>
      </c>
    </row>
    <row r="142" spans="1:10" ht="15.6">
      <c r="A142" s="24" t="str">
        <v>Davis Solar</v>
      </c>
      <c r="B142" s="25" t="str">
        <v>NY</v>
      </c>
      <c r="C142" s="25" t="str">
        <f>Sites[[#This Row],[SOL'#]]</f>
        <v>SOL-10958</v>
      </c>
      <c r="D142" s="60">
        <f>SUM('1st Qtr'!D142, '2nd Qtr'!D142, '3rd Qtr'!D142, '4th Qtr'!D142)</f>
        <v>310390</v>
      </c>
      <c r="E142" s="10">
        <f>SUM('1st Qtr'!E142, '2nd Qtr'!E142, '3rd Qtr'!E142, '4th Qtr'!E142)</f>
        <v>475110</v>
      </c>
      <c r="F142" s="10">
        <f t="shared" si="9"/>
        <v>-164720</v>
      </c>
      <c r="G142" s="11">
        <f t="shared" si="10"/>
        <v>-0.34669865925785609</v>
      </c>
      <c r="H142" s="12">
        <f>SUM('1st Qtr'!H142+'2nd Qtr'!H142+'3rd Qtr'!H142+'4th Qtr'!H142)</f>
        <v>432046</v>
      </c>
      <c r="I142" s="12">
        <f>SUM('1st Qtr'!I142, '2nd Qtr'!I142, '3rd Qtr'!I142, '4th Qtr'!I142)</f>
        <v>-121656</v>
      </c>
      <c r="J142" s="13">
        <f t="shared" si="11"/>
        <v>-0.28158112793545131</v>
      </c>
    </row>
    <row r="143" spans="1:10" ht="15.6">
      <c r="A143" s="26" t="str">
        <v>Genesee</v>
      </c>
      <c r="B143" s="27" t="str">
        <v>NY</v>
      </c>
      <c r="C143" s="27" t="str">
        <f>Sites[[#This Row],[SOL'#]]</f>
        <v>SOL-10951</v>
      </c>
      <c r="D143" s="9">
        <f>SUM('1st Qtr'!D143, '2nd Qtr'!D143, '3rd Qtr'!D143, '4th Qtr'!D143)</f>
        <v>399382.4</v>
      </c>
      <c r="E143" s="14">
        <f>SUM('1st Qtr'!E143, '2nd Qtr'!E143, '3rd Qtr'!E143, '4th Qtr'!E143)</f>
        <v>0</v>
      </c>
      <c r="F143" s="14">
        <f t="shared" si="9"/>
        <v>399382.4</v>
      </c>
      <c r="G143" s="15" t="str">
        <f t="shared" si="10"/>
        <v/>
      </c>
      <c r="H143" s="16">
        <f>SUM('1st Qtr'!H143+'2nd Qtr'!H143+'3rd Qtr'!H143+'4th Qtr'!H143)</f>
        <v>588274</v>
      </c>
      <c r="I143" s="16">
        <f>SUM('1st Qtr'!I143, '2nd Qtr'!I143, '3rd Qtr'!I143, '4th Qtr'!I143)</f>
        <v>-188891.59999999998</v>
      </c>
      <c r="J143" s="15">
        <f t="shared" si="11"/>
        <v>-0.32109459197584794</v>
      </c>
    </row>
    <row r="144" spans="1:10" ht="15.6">
      <c r="A144" s="24" t="str">
        <v>Landau I</v>
      </c>
      <c r="B144" s="25" t="str">
        <v>NY</v>
      </c>
      <c r="C144" s="25" t="str">
        <f>Sites[[#This Row],[SOL'#]]</f>
        <v>SOL-10891</v>
      </c>
      <c r="D144" s="60">
        <f>SUM('1st Qtr'!D144, '2nd Qtr'!D144, '3rd Qtr'!D144, '4th Qtr'!D144)</f>
        <v>338750</v>
      </c>
      <c r="E144" s="10">
        <f>SUM('1st Qtr'!E144, '2nd Qtr'!E144, '3rd Qtr'!E144, '4th Qtr'!E144)</f>
        <v>0</v>
      </c>
      <c r="F144" s="10">
        <f t="shared" si="9"/>
        <v>338750</v>
      </c>
      <c r="G144" s="11" t="str">
        <f t="shared" si="10"/>
        <v/>
      </c>
      <c r="H144" s="12">
        <f>SUM('1st Qtr'!H144+'2nd Qtr'!H144+'3rd Qtr'!H144+'4th Qtr'!H144)</f>
        <v>432107.5</v>
      </c>
      <c r="I144" s="12">
        <f>SUM('1st Qtr'!I144, '2nd Qtr'!I144, '3rd Qtr'!I144, '4th Qtr'!I144)</f>
        <v>-93357.5</v>
      </c>
      <c r="J144" s="13">
        <f t="shared" si="11"/>
        <v>-0.21605156124344058</v>
      </c>
    </row>
    <row r="145" spans="1:10" ht="15.6">
      <c r="A145" s="26" t="str">
        <v>Landau II</v>
      </c>
      <c r="B145" s="27" t="str">
        <v>NY</v>
      </c>
      <c r="C145" s="27" t="str">
        <f>Sites[[#This Row],[SOL'#]]</f>
        <v>SOL-10895</v>
      </c>
      <c r="D145" s="9">
        <f>SUM('1st Qtr'!D145, '2nd Qtr'!D145, '3rd Qtr'!D145, '4th Qtr'!D145)</f>
        <v>664540</v>
      </c>
      <c r="E145" s="14">
        <f>SUM('1st Qtr'!E145, '2nd Qtr'!E145, '3rd Qtr'!E145, '4th Qtr'!E145)</f>
        <v>0</v>
      </c>
      <c r="F145" s="14">
        <f t="shared" si="9"/>
        <v>664540</v>
      </c>
      <c r="G145" s="15" t="str">
        <f t="shared" si="10"/>
        <v/>
      </c>
      <c r="H145" s="16">
        <f>SUM('1st Qtr'!H145+'2nd Qtr'!H145+'3rd Qtr'!H145+'4th Qtr'!H145)</f>
        <v>875046.31</v>
      </c>
      <c r="I145" s="16">
        <f>SUM('1st Qtr'!I145, '2nd Qtr'!I145, '3rd Qtr'!I145, '4th Qtr'!I145)</f>
        <v>-210506.31</v>
      </c>
      <c r="J145" s="15">
        <f t="shared" si="11"/>
        <v>-0.24056590787749277</v>
      </c>
    </row>
    <row r="146" spans="1:10" ht="15.6">
      <c r="A146" s="24" t="str">
        <v>New Beginnings</v>
      </c>
      <c r="B146" s="25" t="str">
        <v>NY</v>
      </c>
      <c r="C146" s="25" t="str">
        <f>Sites[[#This Row],[SOL'#]]</f>
        <v>SOL-10890</v>
      </c>
      <c r="D146" s="60">
        <f>SUM('1st Qtr'!D146, '2nd Qtr'!D146, '3rd Qtr'!D146, '4th Qtr'!D146)</f>
        <v>330300</v>
      </c>
      <c r="E146" s="10">
        <f>SUM('1st Qtr'!E146, '2nd Qtr'!E146, '3rd Qtr'!E146, '4th Qtr'!E146)</f>
        <v>501850.23700000002</v>
      </c>
      <c r="F146" s="10">
        <f t="shared" ref="F146:F158" si="12">IF(AND(ISNUMBER(D146),ISNUMBER(E146)), D146-E146, "")</f>
        <v>-171550.23700000002</v>
      </c>
      <c r="G146" s="11">
        <f t="shared" ref="G146:G158" si="13">IFERROR(F146/E146, "")</f>
        <v>-0.34183552054395067</v>
      </c>
      <c r="H146" s="12">
        <f>SUM('1st Qtr'!H146+'2nd Qtr'!H146+'3rd Qtr'!H146+'4th Qtr'!H146)</f>
        <v>430987.04000000004</v>
      </c>
      <c r="I146" s="12">
        <f>SUM('1st Qtr'!I146, '2nd Qtr'!I146, '3rd Qtr'!I146, '4th Qtr'!I146)</f>
        <v>-100687.04000000001</v>
      </c>
      <c r="J146" s="13">
        <f t="shared" ref="J146:J158" si="14">IFERROR(I146/H146, "")</f>
        <v>-0.23361964666037288</v>
      </c>
    </row>
    <row r="147" spans="1:10" ht="15.6">
      <c r="A147" s="26" t="str">
        <v>Guilin Farm Solar</v>
      </c>
      <c r="B147" s="27" t="str">
        <v>NY</v>
      </c>
      <c r="C147" s="27" t="str">
        <f>Sites[[#This Row],[SOL'#]]</f>
        <v>SOL-10998</v>
      </c>
      <c r="D147" s="9">
        <f>SUM('1st Qtr'!D147, '2nd Qtr'!D147, '3rd Qtr'!D147, '4th Qtr'!D147)</f>
        <v>472982</v>
      </c>
      <c r="E147" s="14">
        <f>SUM('1st Qtr'!E147, '2nd Qtr'!E147, '3rd Qtr'!E147, '4th Qtr'!E147)</f>
        <v>782733.28</v>
      </c>
      <c r="F147" s="14">
        <f t="shared" si="12"/>
        <v>-309751.28000000003</v>
      </c>
      <c r="G147" s="15">
        <f t="shared" si="13"/>
        <v>-0.39573030547519333</v>
      </c>
      <c r="H147" s="16">
        <f>SUM('1st Qtr'!H147+'2nd Qtr'!H147+'3rd Qtr'!H147+'4th Qtr'!H147)</f>
        <v>919749.1</v>
      </c>
      <c r="I147" s="16">
        <f>SUM('1st Qtr'!I147, '2nd Qtr'!I147, '3rd Qtr'!I147, '4th Qtr'!I147)</f>
        <v>-446767.1</v>
      </c>
      <c r="J147" s="15">
        <f t="shared" si="14"/>
        <v>-0.48574888521228232</v>
      </c>
    </row>
    <row r="148" spans="1:10" ht="15.6">
      <c r="A148" s="24" t="str">
        <v>Brodhead Solar</v>
      </c>
      <c r="B148" s="25" t="str">
        <v>NY</v>
      </c>
      <c r="C148" s="25" t="str">
        <f>Sites[[#This Row],[SOL'#]]</f>
        <v>SOL-10899</v>
      </c>
      <c r="D148" s="60">
        <f>SUM('1st Qtr'!D148, '2nd Qtr'!D148, '3rd Qtr'!D148, '4th Qtr'!D148)</f>
        <v>465667</v>
      </c>
      <c r="E148" s="10">
        <f>SUM('1st Qtr'!E148, '2nd Qtr'!E148, '3rd Qtr'!E148, '4th Qtr'!E148)</f>
        <v>511711.59</v>
      </c>
      <c r="F148" s="10">
        <f t="shared" si="12"/>
        <v>-46044.590000000026</v>
      </c>
      <c r="G148" s="11">
        <f t="shared" si="13"/>
        <v>-8.9981526507930024E-2</v>
      </c>
      <c r="H148" s="12">
        <f>SUM('1st Qtr'!H148+'2nd Qtr'!H148+'3rd Qtr'!H148+'4th Qtr'!H148)</f>
        <v>484125.64</v>
      </c>
      <c r="I148" s="12">
        <f>SUM('1st Qtr'!I148, '2nd Qtr'!I148, '3rd Qtr'!I148, '4th Qtr'!I148)</f>
        <v>-18458.640000000014</v>
      </c>
      <c r="J148" s="13">
        <f t="shared" si="14"/>
        <v>-3.8127788480692766E-2</v>
      </c>
    </row>
    <row r="149" spans="1:10" ht="15.6">
      <c r="A149" s="26" t="str">
        <v>Svenski</v>
      </c>
      <c r="B149" s="27" t="str">
        <v>NY</v>
      </c>
      <c r="C149" s="27" t="str">
        <f>Sites[[#This Row],[SOL'#]]</f>
        <v>SOL-10894</v>
      </c>
      <c r="D149" s="9">
        <f>SUM('1st Qtr'!D149, '2nd Qtr'!D149, '3rd Qtr'!D149, '4th Qtr'!D149)</f>
        <v>300639</v>
      </c>
      <c r="E149" s="14">
        <f>SUM('1st Qtr'!E149, '2nd Qtr'!E149, '3rd Qtr'!E149, '4th Qtr'!E149)</f>
        <v>0</v>
      </c>
      <c r="F149" s="14">
        <f t="shared" si="12"/>
        <v>300639</v>
      </c>
      <c r="G149" s="15" t="str">
        <f t="shared" si="13"/>
        <v/>
      </c>
      <c r="H149" s="16">
        <f>SUM('1st Qtr'!H149+'2nd Qtr'!H149+'3rd Qtr'!H149+'4th Qtr'!H149)</f>
        <v>382839.93</v>
      </c>
      <c r="I149" s="16">
        <f>SUM('1st Qtr'!I149, '2nd Qtr'!I149, '3rd Qtr'!I149, '4th Qtr'!I149)</f>
        <v>-82200.929999999993</v>
      </c>
      <c r="J149" s="15">
        <f t="shared" si="14"/>
        <v>-0.21471357493979271</v>
      </c>
    </row>
    <row r="150" spans="1:10" ht="15.6">
      <c r="A150" s="24" t="str">
        <v>Bantam</v>
      </c>
      <c r="B150" s="25" t="str">
        <v>NY</v>
      </c>
      <c r="C150" s="25" t="str">
        <f>Sites[[#This Row],[SOL'#]]</f>
        <v>SOL-10986</v>
      </c>
      <c r="D150" s="60">
        <f>SUM('1st Qtr'!D150, '2nd Qtr'!D150, '3rd Qtr'!D150, '4th Qtr'!D150)</f>
        <v>179360</v>
      </c>
      <c r="E150" s="10">
        <f>SUM('1st Qtr'!E150, '2nd Qtr'!E150, '3rd Qtr'!E150, '4th Qtr'!E150)</f>
        <v>0</v>
      </c>
      <c r="F150" s="10">
        <f t="shared" si="12"/>
        <v>179360</v>
      </c>
      <c r="G150" s="11" t="str">
        <f t="shared" si="13"/>
        <v/>
      </c>
      <c r="H150" s="12">
        <f>SUM('1st Qtr'!H150+'2nd Qtr'!H150+'3rd Qtr'!H150+'4th Qtr'!H150)</f>
        <v>574351.30000000005</v>
      </c>
      <c r="I150" s="12">
        <f>SUM('1st Qtr'!I150, '2nd Qtr'!I150, '3rd Qtr'!I150, '4th Qtr'!I150)</f>
        <v>-501581.30000000005</v>
      </c>
      <c r="J150" s="13">
        <f t="shared" si="14"/>
        <v>-0.87330053923443718</v>
      </c>
    </row>
    <row r="151" spans="1:10" ht="15.6">
      <c r="A151" s="26" t="str">
        <v>Bogart</v>
      </c>
      <c r="B151" s="27" t="str">
        <v>NY</v>
      </c>
      <c r="C151" s="27" t="str">
        <f>Sites[[#This Row],[SOL'#]]</f>
        <v>SOL-10887</v>
      </c>
      <c r="D151" s="9">
        <f>SUM('1st Qtr'!D151, '2nd Qtr'!D151, '3rd Qtr'!D151, '4th Qtr'!D151)</f>
        <v>375590</v>
      </c>
      <c r="E151" s="14">
        <f>SUM('1st Qtr'!E151, '2nd Qtr'!E151, '3rd Qtr'!E151, '4th Qtr'!E151)</f>
        <v>458994.11900000001</v>
      </c>
      <c r="F151" s="14">
        <f t="shared" si="12"/>
        <v>-83404.119000000006</v>
      </c>
      <c r="G151" s="15">
        <f t="shared" si="13"/>
        <v>-0.18171064845386398</v>
      </c>
      <c r="H151" s="16">
        <f>SUM('1st Qtr'!H151+'2nd Qtr'!H151+'3rd Qtr'!H151+'4th Qtr'!H151)</f>
        <v>395223.1</v>
      </c>
      <c r="I151" s="16">
        <f>SUM('1st Qtr'!I151, '2nd Qtr'!I151, '3rd Qtr'!I151, '4th Qtr'!I151)</f>
        <v>-19633.100000000006</v>
      </c>
      <c r="J151" s="15">
        <f t="shared" si="14"/>
        <v>-4.9675993128944149E-2</v>
      </c>
    </row>
    <row r="152" spans="1:10" ht="15.6">
      <c r="A152" s="24" t="str">
        <v>Dubois</v>
      </c>
      <c r="B152" s="25" t="str">
        <v>NY</v>
      </c>
      <c r="C152" s="25" t="str">
        <f>Sites[[#This Row],[SOL'#]]</f>
        <v>SOL-10892</v>
      </c>
      <c r="D152" s="60">
        <f>SUM('1st Qtr'!D152, '2nd Qtr'!D152, '3rd Qtr'!D152, '4th Qtr'!D152)</f>
        <v>302008.49</v>
      </c>
      <c r="E152" s="10">
        <f>SUM('1st Qtr'!E152, '2nd Qtr'!E152, '3rd Qtr'!E152, '4th Qtr'!E152)</f>
        <v>0</v>
      </c>
      <c r="F152" s="10">
        <f t="shared" si="12"/>
        <v>302008.49</v>
      </c>
      <c r="G152" s="11" t="str">
        <f t="shared" si="13"/>
        <v/>
      </c>
      <c r="H152" s="12">
        <f>SUM('1st Qtr'!H152+'2nd Qtr'!H152+'3rd Qtr'!H152+'4th Qtr'!H152)</f>
        <v>0</v>
      </c>
      <c r="I152" s="12">
        <f>SUM('1st Qtr'!I152, '2nd Qtr'!I152, '3rd Qtr'!I152, '4th Qtr'!I152)</f>
        <v>0</v>
      </c>
      <c r="J152" s="13" t="str">
        <f t="shared" si="14"/>
        <v/>
      </c>
    </row>
    <row r="153" spans="1:10" ht="15.6">
      <c r="A153" s="26" t="str">
        <v>Salt Point</v>
      </c>
      <c r="B153" s="27" t="str">
        <v>NY</v>
      </c>
      <c r="C153" s="27" t="str">
        <f>Sites[[#This Row],[SOL'#]]</f>
        <v>SOL-10888</v>
      </c>
      <c r="D153" s="9">
        <f>SUM('1st Qtr'!D153, '2nd Qtr'!D153, '3rd Qtr'!D153, '4th Qtr'!D153)</f>
        <v>388320</v>
      </c>
      <c r="E153" s="14">
        <f>SUM('1st Qtr'!E153, '2nd Qtr'!E153, '3rd Qtr'!E153, '4th Qtr'!E153)</f>
        <v>0</v>
      </c>
      <c r="F153" s="14">
        <f t="shared" si="12"/>
        <v>388320</v>
      </c>
      <c r="G153" s="15" t="str">
        <f t="shared" si="13"/>
        <v/>
      </c>
      <c r="H153" s="16">
        <f>SUM('1st Qtr'!H153+'2nd Qtr'!H153+'3rd Qtr'!H153+'4th Qtr'!H153)</f>
        <v>349301.6</v>
      </c>
      <c r="I153" s="16">
        <f>SUM('1st Qtr'!I153, '2nd Qtr'!I153, '3rd Qtr'!I153, '4th Qtr'!I153)</f>
        <v>39018.399999999994</v>
      </c>
      <c r="J153" s="15">
        <f t="shared" si="14"/>
        <v>0.11170404029068288</v>
      </c>
    </row>
    <row r="154" spans="1:10" ht="15.6">
      <c r="A154" s="24" t="str">
        <v>Wheatland 2A</v>
      </c>
      <c r="B154" s="25" t="str">
        <v>NY</v>
      </c>
      <c r="C154" s="25" t="str">
        <f>Sites[[#This Row],[SOL'#]]</f>
        <v>SOL-10971</v>
      </c>
      <c r="D154" s="60">
        <f>SUM('1st Qtr'!D154, '2nd Qtr'!D154, '3rd Qtr'!D154, '4th Qtr'!D154)</f>
        <v>613580</v>
      </c>
      <c r="E154" s="10">
        <f>SUM('1st Qtr'!E154, '2nd Qtr'!E154, '3rd Qtr'!E154, '4th Qtr'!E154)</f>
        <v>0</v>
      </c>
      <c r="F154" s="10">
        <f t="shared" si="12"/>
        <v>613580</v>
      </c>
      <c r="G154" s="11" t="str">
        <f t="shared" si="13"/>
        <v/>
      </c>
      <c r="H154" s="12">
        <f>SUM('1st Qtr'!H154+'2nd Qtr'!H154+'3rd Qtr'!H154+'4th Qtr'!H154)</f>
        <v>691690.3</v>
      </c>
      <c r="I154" s="12">
        <f>SUM('1st Qtr'!I154, '2nd Qtr'!I154, '3rd Qtr'!I154, '4th Qtr'!I154)</f>
        <v>-78110.299999999988</v>
      </c>
      <c r="J154" s="13">
        <f t="shared" si="14"/>
        <v>-0.11292669566133859</v>
      </c>
    </row>
    <row r="155" spans="1:10" ht="15.6">
      <c r="A155" s="26" t="str">
        <v>Wheatland 2B</v>
      </c>
      <c r="B155" s="27" t="str">
        <v>NY</v>
      </c>
      <c r="C155" s="27" t="str">
        <f>Sites[[#This Row],[SOL'#]]</f>
        <v>SOL-10961</v>
      </c>
      <c r="D155" s="9">
        <f>SUM('1st Qtr'!D155, '2nd Qtr'!D155, '3rd Qtr'!D155, '4th Qtr'!D155)</f>
        <v>603710</v>
      </c>
      <c r="E155" s="14">
        <f>SUM('1st Qtr'!E155, '2nd Qtr'!E155, '3rd Qtr'!E155, '4th Qtr'!E155)</f>
        <v>0</v>
      </c>
      <c r="F155" s="14">
        <f t="shared" si="12"/>
        <v>603710</v>
      </c>
      <c r="G155" s="15" t="str">
        <f t="shared" si="13"/>
        <v/>
      </c>
      <c r="H155" s="16">
        <f>SUM('1st Qtr'!H155+'2nd Qtr'!H155+'3rd Qtr'!H155+'4th Qtr'!H155)</f>
        <v>682657.9</v>
      </c>
      <c r="I155" s="16">
        <f>SUM('1st Qtr'!I155, '2nd Qtr'!I155, '3rd Qtr'!I155, '4th Qtr'!I155)</f>
        <v>-78947.900000000023</v>
      </c>
      <c r="J155" s="15">
        <f t="shared" si="14"/>
        <v>-0.11564782301647725</v>
      </c>
    </row>
    <row r="156" spans="1:10" ht="15.6">
      <c r="A156" s="24" t="str">
        <v>Brickchurch</v>
      </c>
      <c r="B156" s="25" t="str">
        <v>NY</v>
      </c>
      <c r="C156" s="25" t="str">
        <f>Sites[[#This Row],[SOL'#]]</f>
        <v>SOL-10889</v>
      </c>
      <c r="D156" s="60">
        <f>SUM('1st Qtr'!D156, '2nd Qtr'!D156, '3rd Qtr'!D156, '4th Qtr'!D156)</f>
        <v>155680</v>
      </c>
      <c r="E156" s="10">
        <f>SUM('1st Qtr'!E156, '2nd Qtr'!E156, '3rd Qtr'!E156, '4th Qtr'!E156)</f>
        <v>255657.44199999998</v>
      </c>
      <c r="F156" s="10">
        <f t="shared" si="12"/>
        <v>-99977.441999999981</v>
      </c>
      <c r="G156" s="11">
        <f t="shared" si="13"/>
        <v>-0.39106016714350128</v>
      </c>
      <c r="H156" s="12">
        <f>SUM('1st Qtr'!H156+'2nd Qtr'!H156+'3rd Qtr'!H156+'4th Qtr'!H156)</f>
        <v>198550.24</v>
      </c>
      <c r="I156" s="12">
        <f>SUM('1st Qtr'!I156, '2nd Qtr'!I156, '3rd Qtr'!I156, '4th Qtr'!I156)</f>
        <v>-42870.240000000005</v>
      </c>
      <c r="J156" s="13">
        <f t="shared" si="14"/>
        <v>-0.21591633432424967</v>
      </c>
    </row>
    <row r="157" spans="1:10" ht="15.6">
      <c r="A157" s="26" t="str">
        <v>McCarthy Solar</v>
      </c>
      <c r="B157" s="27" t="str">
        <v>NY</v>
      </c>
      <c r="C157" s="27" t="str">
        <f>Sites[[#This Row],[SOL'#]]</f>
        <v>SOL-10992</v>
      </c>
      <c r="D157" s="9">
        <f>SUM('1st Qtr'!D157, '2nd Qtr'!D157, '3rd Qtr'!D157, '4th Qtr'!D157)</f>
        <v>367480</v>
      </c>
      <c r="E157" s="14">
        <f>SUM('1st Qtr'!E157, '2nd Qtr'!E157, '3rd Qtr'!E157, '4th Qtr'!E157)</f>
        <v>0</v>
      </c>
      <c r="F157" s="14">
        <f t="shared" si="12"/>
        <v>367480</v>
      </c>
      <c r="G157" s="15" t="str">
        <f t="shared" si="13"/>
        <v/>
      </c>
      <c r="H157" s="16">
        <f>SUM('1st Qtr'!H157+'2nd Qtr'!H157+'3rd Qtr'!H157+'4th Qtr'!H157)</f>
        <v>443232.4</v>
      </c>
      <c r="I157" s="16">
        <f>SUM('1st Qtr'!I157, '2nd Qtr'!I157, '3rd Qtr'!I157, '4th Qtr'!I157)</f>
        <v>-75752.399999999994</v>
      </c>
      <c r="J157" s="15">
        <f t="shared" si="14"/>
        <v>-0.17090898589543543</v>
      </c>
    </row>
    <row r="158" spans="1:10" ht="15.6">
      <c r="A158" s="24" t="str">
        <v>Costanza</v>
      </c>
      <c r="B158" s="25" t="str">
        <v>NY</v>
      </c>
      <c r="C158" s="25" t="str">
        <f>Sites[[#This Row],[SOL'#]]</f>
        <v>SOL-10907</v>
      </c>
      <c r="D158" s="60">
        <f>SUM('1st Qtr'!D158, '2nd Qtr'!D158, '3rd Qtr'!D158, '4th Qtr'!D158)</f>
        <v>289110</v>
      </c>
      <c r="E158" s="10">
        <f>SUM('1st Qtr'!E158, '2nd Qtr'!E158, '3rd Qtr'!E158, '4th Qtr'!E158)</f>
        <v>0</v>
      </c>
      <c r="F158" s="10">
        <f t="shared" si="12"/>
        <v>289110</v>
      </c>
      <c r="G158" s="11" t="str">
        <f t="shared" si="13"/>
        <v/>
      </c>
      <c r="H158" s="12">
        <f>SUM('1st Qtr'!H158+'2nd Qtr'!H158+'3rd Qtr'!H158+'4th Qtr'!H158)</f>
        <v>396739.89</v>
      </c>
      <c r="I158" s="12">
        <f>SUM('1st Qtr'!I158, '2nd Qtr'!I158, '3rd Qtr'!I158, '4th Qtr'!I158)</f>
        <v>-107629.89000000001</v>
      </c>
      <c r="J158" s="13">
        <f t="shared" si="14"/>
        <v>-0.2712857786999941</v>
      </c>
    </row>
    <row r="159" spans="1:10" ht="15.6">
      <c r="A159" s="26" t="str">
        <v>Lockenhurst Pond</v>
      </c>
      <c r="B159" s="27" t="str">
        <v>NY</v>
      </c>
      <c r="C159" s="27" t="str">
        <f>Sites[[#This Row],[SOL'#]]</f>
        <v>SOL-11000</v>
      </c>
      <c r="D159" s="9">
        <f>SUM('1st Qtr'!D159, '2nd Qtr'!D159, '3rd Qtr'!D159, '4th Qtr'!D159)</f>
        <v>410331</v>
      </c>
      <c r="E159" s="14">
        <f>SUM('1st Qtr'!E159, '2nd Qtr'!E159, '3rd Qtr'!E159, '4th Qtr'!E159)</f>
        <v>459022.4</v>
      </c>
      <c r="F159" s="14">
        <f t="shared" ref="F159:F185" si="15">IF(AND(ISNUMBER(D159),ISNUMBER(E159)), D159-E159, "")</f>
        <v>-48691.400000000023</v>
      </c>
      <c r="G159" s="15">
        <f t="shared" ref="G159:G163" si="16">IFERROR(F159/E159, "")</f>
        <v>-0.10607630477292616</v>
      </c>
      <c r="H159" s="16">
        <f>SUM('1st Qtr'!H159+'2nd Qtr'!H159+'3rd Qtr'!H159+'4th Qtr'!H159)</f>
        <v>379069</v>
      </c>
      <c r="I159" s="16">
        <f>SUM('1st Qtr'!I159, '2nd Qtr'!I159, '3rd Qtr'!I159, '4th Qtr'!I159)</f>
        <v>31262</v>
      </c>
      <c r="J159" s="15">
        <f t="shared" ref="J159:J163" si="17">IFERROR(I159/H159, "")</f>
        <v>8.2470473713228992E-2</v>
      </c>
    </row>
    <row r="160" spans="1:10" ht="15.6">
      <c r="A160" s="24" t="str">
        <v>Drinkwater</v>
      </c>
      <c r="B160" s="25" t="str">
        <v>NY</v>
      </c>
      <c r="C160" s="25" t="str">
        <f>Sites[[#This Row],[SOL'#]]</f>
        <v>SOL-10896</v>
      </c>
      <c r="D160" s="60">
        <f>SUM('1st Qtr'!D160, '2nd Qtr'!D160, '3rd Qtr'!D160, '4th Qtr'!D160)</f>
        <v>259660</v>
      </c>
      <c r="E160" s="10">
        <f>SUM('1st Qtr'!E160, '2nd Qtr'!E160, '3rd Qtr'!E160, '4th Qtr'!E160)</f>
        <v>0</v>
      </c>
      <c r="F160" s="10">
        <f t="shared" si="15"/>
        <v>259660</v>
      </c>
      <c r="G160" s="11" t="str">
        <f t="shared" si="16"/>
        <v/>
      </c>
      <c r="H160" s="12">
        <f>SUM('1st Qtr'!H160+'2nd Qtr'!H160+'3rd Qtr'!H160+'4th Qtr'!H160)</f>
        <v>394701.66000000003</v>
      </c>
      <c r="I160" s="12">
        <f>SUM('1st Qtr'!I160, '2nd Qtr'!I160, '3rd Qtr'!I160, '4th Qtr'!I160)</f>
        <v>-135041.66</v>
      </c>
      <c r="J160" s="13">
        <f t="shared" si="17"/>
        <v>-0.34213603256697728</v>
      </c>
    </row>
    <row r="161" spans="1:10" ht="15.6">
      <c r="A161" s="26" t="str">
        <v>Altamont</v>
      </c>
      <c r="B161" s="27" t="str">
        <v>NY</v>
      </c>
      <c r="C161" s="27" t="str">
        <f>Sites[[#This Row],[SOL'#]]</f>
        <v>SOL-11085</v>
      </c>
      <c r="D161" s="9">
        <f>SUM('1st Qtr'!D161, '2nd Qtr'!D161, '3rd Qtr'!D161, '4th Qtr'!D161)</f>
        <v>646647</v>
      </c>
      <c r="E161" s="14">
        <f>SUM('1st Qtr'!E161, '2nd Qtr'!E161, '3rd Qtr'!E161, '4th Qtr'!E161)</f>
        <v>969234.3</v>
      </c>
      <c r="F161" s="14">
        <f t="shared" si="15"/>
        <v>-322587.30000000005</v>
      </c>
      <c r="G161" s="15">
        <f t="shared" si="16"/>
        <v>-0.33282695422561914</v>
      </c>
      <c r="H161" s="16">
        <f>SUM('1st Qtr'!H161+'2nd Qtr'!H161+'3rd Qtr'!H161+'4th Qtr'!H161)</f>
        <v>800146</v>
      </c>
      <c r="I161" s="16">
        <f>SUM('1st Qtr'!I161, '2nd Qtr'!I161, '3rd Qtr'!I161, '4th Qtr'!I161)</f>
        <v>-153499</v>
      </c>
      <c r="J161" s="15">
        <f t="shared" si="17"/>
        <v>-0.19183873943005403</v>
      </c>
    </row>
    <row r="162" spans="1:10" ht="15.6">
      <c r="A162" s="24" t="str">
        <v>Krumkill North</v>
      </c>
      <c r="B162" s="25" t="str">
        <v>NY</v>
      </c>
      <c r="C162" s="25" t="str">
        <f>Sites[[#This Row],[SOL'#]]</f>
        <v>SOL-11086</v>
      </c>
      <c r="D162" s="60">
        <f>SUM('1st Qtr'!D162, '2nd Qtr'!D162, '3rd Qtr'!D162, '4th Qtr'!D162)</f>
        <v>535388</v>
      </c>
      <c r="E162" s="10">
        <f>SUM('1st Qtr'!E162, '2nd Qtr'!E162, '3rd Qtr'!E162, '4th Qtr'!E162)</f>
        <v>858041.4</v>
      </c>
      <c r="F162" s="10">
        <f t="shared" si="15"/>
        <v>-322653.40000000002</v>
      </c>
      <c r="G162" s="11">
        <f t="shared" si="16"/>
        <v>-0.37603476941788594</v>
      </c>
      <c r="H162" s="12">
        <f>SUM('1st Qtr'!H162+'2nd Qtr'!H162+'3rd Qtr'!H162+'4th Qtr'!H162)</f>
        <v>1043356.7999999999</v>
      </c>
      <c r="I162" s="12">
        <f>SUM('1st Qtr'!I162, '2nd Qtr'!I162, '3rd Qtr'!I162, '4th Qtr'!I162)</f>
        <v>-507968.79999999993</v>
      </c>
      <c r="J162" s="13">
        <f t="shared" si="17"/>
        <v>-0.48686010384942136</v>
      </c>
    </row>
    <row r="163" spans="1:10" ht="15.6">
      <c r="A163" s="26" t="str">
        <v>Krumkill South</v>
      </c>
      <c r="B163" s="27" t="str">
        <v>NY</v>
      </c>
      <c r="C163" s="27" t="str">
        <f>Sites[[#This Row],[SOL'#]]</f>
        <v>SOL-11087</v>
      </c>
      <c r="D163" s="9">
        <f>SUM('1st Qtr'!D163, '2nd Qtr'!D163, '3rd Qtr'!D163, '4th Qtr'!D163)</f>
        <v>518665</v>
      </c>
      <c r="E163" s="14">
        <f>SUM('1st Qtr'!E163, '2nd Qtr'!E163, '3rd Qtr'!E163, '4th Qtr'!E163)</f>
        <v>766474.8</v>
      </c>
      <c r="F163" s="14">
        <f t="shared" si="15"/>
        <v>-247809.80000000005</v>
      </c>
      <c r="G163" s="15">
        <f t="shared" si="16"/>
        <v>-0.3233110860265726</v>
      </c>
      <c r="H163" s="16">
        <f>SUM('1st Qtr'!H163+'2nd Qtr'!H163+'3rd Qtr'!H163+'4th Qtr'!H163)</f>
        <v>817960.6</v>
      </c>
      <c r="I163" s="16">
        <f>SUM('1st Qtr'!I163, '2nd Qtr'!I163, '3rd Qtr'!I163, '4th Qtr'!I163)</f>
        <v>-299295.59999999998</v>
      </c>
      <c r="J163" s="15">
        <f t="shared" si="17"/>
        <v>-0.36590466582375725</v>
      </c>
    </row>
    <row r="164" spans="1:10" ht="15.6">
      <c r="A164" s="24" t="str">
        <v>X092</v>
      </c>
      <c r="B164" s="25" t="str">
        <v>NY</v>
      </c>
      <c r="C164" s="25" t="str">
        <f>Sites[[#This Row],[SOL'#]]</f>
        <v>SOL-11189</v>
      </c>
      <c r="D164" s="60">
        <f>SUM('1st Qtr'!D164, '2nd Qtr'!D164, '3rd Qtr'!D164, '4th Qtr'!D164)</f>
        <v>0</v>
      </c>
      <c r="E164" s="10">
        <f>SUM('1st Qtr'!E164, '2nd Qtr'!E164, '3rd Qtr'!E164, '4th Qtr'!E164)</f>
        <v>0</v>
      </c>
      <c r="F164" s="10">
        <f t="shared" si="15"/>
        <v>0</v>
      </c>
      <c r="G164" s="11" t="str">
        <f t="shared" ref="G164:G195" si="18">IFERROR(F164/E164, "")</f>
        <v/>
      </c>
      <c r="H164" s="12">
        <f>SUM('1st Qtr'!H164+'2nd Qtr'!H164+'3rd Qtr'!H164+'4th Qtr'!H164)</f>
        <v>0</v>
      </c>
      <c r="I164" s="12">
        <f>SUM('1st Qtr'!I164, '2nd Qtr'!I164, '3rd Qtr'!I164, '4th Qtr'!I164)</f>
        <v>0</v>
      </c>
      <c r="J164" s="13" t="str">
        <f t="shared" ref="J164:J195" si="19">IFERROR(I164/H164, "")</f>
        <v/>
      </c>
    </row>
    <row r="165" spans="1:10" ht="15.6">
      <c r="A165" s="26" t="str">
        <v>X093</v>
      </c>
      <c r="B165" s="27" t="str">
        <v>NY</v>
      </c>
      <c r="C165" s="27" t="str">
        <f>Sites[[#This Row],[SOL'#]]</f>
        <v>SOL-10932</v>
      </c>
      <c r="D165" s="9">
        <f>SUM('1st Qtr'!D165, '2nd Qtr'!D165, '3rd Qtr'!D165, '4th Qtr'!D165)</f>
        <v>8073.8774560789798</v>
      </c>
      <c r="E165" s="14">
        <f>SUM('1st Qtr'!E165, '2nd Qtr'!E165, '3rd Qtr'!E165, '4th Qtr'!E165)</f>
        <v>0</v>
      </c>
      <c r="F165" s="14">
        <f t="shared" si="15"/>
        <v>8073.8774560789798</v>
      </c>
      <c r="G165" s="15" t="str">
        <f t="shared" si="18"/>
        <v/>
      </c>
      <c r="H165" s="16">
        <f>SUM('1st Qtr'!H165+'2nd Qtr'!H165+'3rd Qtr'!H165+'4th Qtr'!H165)</f>
        <v>0</v>
      </c>
      <c r="I165" s="16">
        <f>SUM('1st Qtr'!I165, '2nd Qtr'!I165, '3rd Qtr'!I165, '4th Qtr'!I165)</f>
        <v>8073.8774560789798</v>
      </c>
      <c r="J165" s="15" t="str">
        <f t="shared" si="19"/>
        <v/>
      </c>
    </row>
    <row r="166" spans="1:10" ht="15.6">
      <c r="A166" s="24" t="str">
        <v>X095</v>
      </c>
      <c r="B166" s="25" t="str">
        <v>NY</v>
      </c>
      <c r="C166" s="25" t="str">
        <f>Sites[[#This Row],[SOL'#]]</f>
        <v>SOL-10929</v>
      </c>
      <c r="D166" s="60">
        <f>SUM('1st Qtr'!D166, '2nd Qtr'!D166, '3rd Qtr'!D166, '4th Qtr'!D166)</f>
        <v>13423.385934971859</v>
      </c>
      <c r="E166" s="10">
        <f>SUM('1st Qtr'!E166, '2nd Qtr'!E166, '3rd Qtr'!E166, '4th Qtr'!E166)</f>
        <v>0</v>
      </c>
      <c r="F166" s="10">
        <f t="shared" si="15"/>
        <v>13423.385934971859</v>
      </c>
      <c r="G166" s="11" t="str">
        <f t="shared" si="18"/>
        <v/>
      </c>
      <c r="H166" s="12">
        <f>SUM('1st Qtr'!H166+'2nd Qtr'!H166+'3rd Qtr'!H166+'4th Qtr'!H166)</f>
        <v>0</v>
      </c>
      <c r="I166" s="12">
        <f>SUM('1st Qtr'!I166, '2nd Qtr'!I166, '3rd Qtr'!I166, '4th Qtr'!I166)</f>
        <v>13423.385934971859</v>
      </c>
      <c r="J166" s="13" t="str">
        <f t="shared" si="19"/>
        <v/>
      </c>
    </row>
    <row r="167" spans="1:10" ht="15.6">
      <c r="A167" s="26" t="str">
        <v>X181</v>
      </c>
      <c r="B167" s="27" t="str">
        <v>NY</v>
      </c>
      <c r="C167" s="27" t="str">
        <f>Sites[[#This Row],[SOL'#]]</f>
        <v>SOL-10428</v>
      </c>
      <c r="D167" s="9">
        <f>SUM('1st Qtr'!D167, '2nd Qtr'!D167, '3rd Qtr'!D167, '4th Qtr'!D167)</f>
        <v>16543.293680999999</v>
      </c>
      <c r="E167" s="14">
        <f>SUM('1st Qtr'!E167, '2nd Qtr'!E167, '3rd Qtr'!E167, '4th Qtr'!E167)</f>
        <v>0</v>
      </c>
      <c r="F167" s="14">
        <f t="shared" si="15"/>
        <v>16543.293680999999</v>
      </c>
      <c r="G167" s="15" t="str">
        <f t="shared" si="18"/>
        <v/>
      </c>
      <c r="H167" s="16">
        <f>SUM('1st Qtr'!H167+'2nd Qtr'!H167+'3rd Qtr'!H167+'4th Qtr'!H167)</f>
        <v>0</v>
      </c>
      <c r="I167" s="16">
        <f>SUM('1st Qtr'!I167, '2nd Qtr'!I167, '3rd Qtr'!I167, '4th Qtr'!I167)</f>
        <v>16543.293680999999</v>
      </c>
      <c r="J167" s="15" t="str">
        <f t="shared" si="19"/>
        <v/>
      </c>
    </row>
    <row r="168" spans="1:10" ht="15.6">
      <c r="A168" s="24" t="str">
        <v>X415</v>
      </c>
      <c r="B168" s="25" t="str">
        <v>NY</v>
      </c>
      <c r="C168" s="25" t="str">
        <f>Sites[[#This Row],[SOL'#]]</f>
        <v>SOL-10429</v>
      </c>
      <c r="D168" s="60">
        <f>SUM('1st Qtr'!D168, '2nd Qtr'!D168, '3rd Qtr'!D168, '4th Qtr'!D168)</f>
        <v>13763.191753999999</v>
      </c>
      <c r="E168" s="10">
        <f>SUM('1st Qtr'!E168, '2nd Qtr'!E168, '3rd Qtr'!E168, '4th Qtr'!E168)</f>
        <v>0</v>
      </c>
      <c r="F168" s="10">
        <f t="shared" si="15"/>
        <v>13763.191753999999</v>
      </c>
      <c r="G168" s="11" t="str">
        <f t="shared" si="18"/>
        <v/>
      </c>
      <c r="H168" s="12">
        <f>SUM('1st Qtr'!H168+'2nd Qtr'!H168+'3rd Qtr'!H168+'4th Qtr'!H168)</f>
        <v>0</v>
      </c>
      <c r="I168" s="12">
        <f>SUM('1st Qtr'!I168, '2nd Qtr'!I168, '3rd Qtr'!I168, '4th Qtr'!I168)</f>
        <v>13763.191753999999</v>
      </c>
      <c r="J168" s="13" t="str">
        <f t="shared" si="19"/>
        <v/>
      </c>
    </row>
    <row r="169" spans="1:10" ht="15.6">
      <c r="A169" s="26" t="str">
        <v>K198</v>
      </c>
      <c r="B169" s="27" t="str">
        <v>NY</v>
      </c>
      <c r="C169" s="27" t="str">
        <f>Sites[[#This Row],[SOL'#]]</f>
        <v>SOL-10930</v>
      </c>
      <c r="D169" s="9">
        <f>SUM('1st Qtr'!D169, '2nd Qtr'!D169, '3rd Qtr'!D169, '4th Qtr'!D169)</f>
        <v>13824.74612304688</v>
      </c>
      <c r="E169" s="14">
        <f>SUM('1st Qtr'!E169, '2nd Qtr'!E169, '3rd Qtr'!E169, '4th Qtr'!E169)</f>
        <v>0</v>
      </c>
      <c r="F169" s="14">
        <f t="shared" si="15"/>
        <v>13824.74612304688</v>
      </c>
      <c r="G169" s="15" t="str">
        <f t="shared" si="18"/>
        <v/>
      </c>
      <c r="H169" s="16">
        <f>SUM('1st Qtr'!H169+'2nd Qtr'!H169+'3rd Qtr'!H169+'4th Qtr'!H169)</f>
        <v>0</v>
      </c>
      <c r="I169" s="16">
        <f>SUM('1st Qtr'!I169, '2nd Qtr'!I169, '3rd Qtr'!I169, '4th Qtr'!I169)</f>
        <v>13824.74612304688</v>
      </c>
      <c r="J169" s="15" t="str">
        <f t="shared" si="19"/>
        <v/>
      </c>
    </row>
    <row r="170" spans="1:10" ht="15.6">
      <c r="A170" s="24" t="str">
        <v>K203</v>
      </c>
      <c r="B170" s="25" t="str">
        <v>NY</v>
      </c>
      <c r="C170" s="25" t="str">
        <f>Sites[[#This Row],[SOL'#]]</f>
        <v>SOL-11190</v>
      </c>
      <c r="D170" s="60">
        <f>SUM('1st Qtr'!D170, '2nd Qtr'!D170, '3rd Qtr'!D170, '4th Qtr'!D170)</f>
        <v>0</v>
      </c>
      <c r="E170" s="10">
        <f>SUM('1st Qtr'!E170, '2nd Qtr'!E170, '3rd Qtr'!E170, '4th Qtr'!E170)</f>
        <v>0</v>
      </c>
      <c r="F170" s="10">
        <f t="shared" si="15"/>
        <v>0</v>
      </c>
      <c r="G170" s="11" t="str">
        <f t="shared" si="18"/>
        <v/>
      </c>
      <c r="H170" s="12">
        <f>SUM('1st Qtr'!H170+'2nd Qtr'!H170+'3rd Qtr'!H170+'4th Qtr'!H170)</f>
        <v>0</v>
      </c>
      <c r="I170" s="12">
        <f>SUM('1st Qtr'!I170, '2nd Qtr'!I170, '3rd Qtr'!I170, '4th Qtr'!I170)</f>
        <v>0</v>
      </c>
      <c r="J170" s="13" t="str">
        <f t="shared" si="19"/>
        <v/>
      </c>
    </row>
    <row r="171" spans="1:10" ht="15.6">
      <c r="A171" s="26" t="str">
        <v>K213</v>
      </c>
      <c r="B171" s="27" t="str">
        <v>NY</v>
      </c>
      <c r="C171" s="27" t="str">
        <f>Sites[[#This Row],[SOL'#]]</f>
        <v>SOL-11191</v>
      </c>
      <c r="D171" s="9">
        <f>SUM('1st Qtr'!D171, '2nd Qtr'!D171, '3rd Qtr'!D171, '4th Qtr'!D171)</f>
        <v>0</v>
      </c>
      <c r="E171" s="14">
        <f>SUM('1st Qtr'!E171, '2nd Qtr'!E171, '3rd Qtr'!E171, '4th Qtr'!E171)</f>
        <v>0</v>
      </c>
      <c r="F171" s="14">
        <f t="shared" si="15"/>
        <v>0</v>
      </c>
      <c r="G171" s="15" t="str">
        <f t="shared" si="18"/>
        <v/>
      </c>
      <c r="H171" s="16">
        <f>SUM('1st Qtr'!H171+'2nd Qtr'!H171+'3rd Qtr'!H171+'4th Qtr'!H171)</f>
        <v>0</v>
      </c>
      <c r="I171" s="16">
        <f>SUM('1st Qtr'!I171, '2nd Qtr'!I171, '3rd Qtr'!I171, '4th Qtr'!I171)</f>
        <v>0</v>
      </c>
      <c r="J171" s="15" t="str">
        <f t="shared" si="19"/>
        <v/>
      </c>
    </row>
    <row r="172" spans="1:10" ht="15.6">
      <c r="A172" s="24" t="str">
        <v>K217</v>
      </c>
      <c r="B172" s="25" t="str">
        <v>NY</v>
      </c>
      <c r="C172" s="25" t="str">
        <f>Sites[[#This Row],[SOL'#]]</f>
        <v>SOL-10933</v>
      </c>
      <c r="D172" s="60">
        <f>SUM('1st Qtr'!D172, '2nd Qtr'!D172, '3rd Qtr'!D172, '4th Qtr'!D172)</f>
        <v>9425.5021914258705</v>
      </c>
      <c r="E172" s="10">
        <f>SUM('1st Qtr'!E172, '2nd Qtr'!E172, '3rd Qtr'!E172, '4th Qtr'!E172)</f>
        <v>0</v>
      </c>
      <c r="F172" s="10">
        <f t="shared" si="15"/>
        <v>9425.5021914258705</v>
      </c>
      <c r="G172" s="11" t="str">
        <f t="shared" si="18"/>
        <v/>
      </c>
      <c r="H172" s="12">
        <f>SUM('1st Qtr'!H172+'2nd Qtr'!H172+'3rd Qtr'!H172+'4th Qtr'!H172)</f>
        <v>0</v>
      </c>
      <c r="I172" s="12">
        <f>SUM('1st Qtr'!I172, '2nd Qtr'!I172, '3rd Qtr'!I172, '4th Qtr'!I172)</f>
        <v>9425.5021914258705</v>
      </c>
      <c r="J172" s="13" t="str">
        <f t="shared" si="19"/>
        <v/>
      </c>
    </row>
    <row r="173" spans="1:10" ht="15.6">
      <c r="A173" s="26" t="str">
        <v>K307</v>
      </c>
      <c r="B173" s="27" t="str">
        <v>NY</v>
      </c>
      <c r="C173" s="27" t="str">
        <f>Sites[[#This Row],[SOL'#]]</f>
        <v>SOL-10876</v>
      </c>
      <c r="D173" s="9">
        <f>SUM('1st Qtr'!D173, '2nd Qtr'!D173, '3rd Qtr'!D173, '4th Qtr'!D173)</f>
        <v>19517.604316999998</v>
      </c>
      <c r="E173" s="14">
        <f>SUM('1st Qtr'!E173, '2nd Qtr'!E173, '3rd Qtr'!E173, '4th Qtr'!E173)</f>
        <v>0</v>
      </c>
      <c r="F173" s="14">
        <f t="shared" si="15"/>
        <v>19517.604316999998</v>
      </c>
      <c r="G173" s="15" t="str">
        <f t="shared" si="18"/>
        <v/>
      </c>
      <c r="H173" s="16">
        <f>SUM('1st Qtr'!H173+'2nd Qtr'!H173+'3rd Qtr'!H173+'4th Qtr'!H173)</f>
        <v>0</v>
      </c>
      <c r="I173" s="16">
        <f>SUM('1st Qtr'!I173, '2nd Qtr'!I173, '3rd Qtr'!I173, '4th Qtr'!I173)</f>
        <v>19517.604316999998</v>
      </c>
      <c r="J173" s="15" t="str">
        <f t="shared" si="19"/>
        <v/>
      </c>
    </row>
    <row r="174" spans="1:10" ht="15.6">
      <c r="A174" s="24" t="str">
        <v>K610</v>
      </c>
      <c r="B174" s="25" t="str">
        <v>NY</v>
      </c>
      <c r="C174" s="25" t="str">
        <f>Sites[[#This Row],[SOL'#]]</f>
        <v>SOL-11158</v>
      </c>
      <c r="D174" s="60">
        <f>SUM('1st Qtr'!D174, '2nd Qtr'!D174, '3rd Qtr'!D174, '4th Qtr'!D174)</f>
        <v>0</v>
      </c>
      <c r="E174" s="10">
        <f>SUM('1st Qtr'!E174, '2nd Qtr'!E174, '3rd Qtr'!E174, '4th Qtr'!E174)</f>
        <v>0</v>
      </c>
      <c r="F174" s="10">
        <f t="shared" si="15"/>
        <v>0</v>
      </c>
      <c r="G174" s="11" t="str">
        <f t="shared" si="18"/>
        <v/>
      </c>
      <c r="H174" s="12">
        <f>SUM('1st Qtr'!H174+'2nd Qtr'!H174+'3rd Qtr'!H174+'4th Qtr'!H174)</f>
        <v>0</v>
      </c>
      <c r="I174" s="12">
        <f>SUM('1st Qtr'!I174, '2nd Qtr'!I174, '3rd Qtr'!I174, '4th Qtr'!I174)</f>
        <v>0</v>
      </c>
      <c r="J174" s="13" t="str">
        <f t="shared" si="19"/>
        <v/>
      </c>
    </row>
    <row r="175" spans="1:10" ht="15.6">
      <c r="A175" s="26" t="str">
        <v>M025</v>
      </c>
      <c r="B175" s="27" t="str">
        <v>NY</v>
      </c>
      <c r="C175" s="27" t="str">
        <f>Sites[[#This Row],[SOL'#]]</f>
        <v>SOL-10392</v>
      </c>
      <c r="D175" s="9">
        <f>SUM('1st Qtr'!D175, '2nd Qtr'!D175, '3rd Qtr'!D175, '4th Qtr'!D175)</f>
        <v>18775.236937999998</v>
      </c>
      <c r="E175" s="14">
        <f>SUM('1st Qtr'!E175, '2nd Qtr'!E175, '3rd Qtr'!E175, '4th Qtr'!E175)</f>
        <v>0</v>
      </c>
      <c r="F175" s="14">
        <f t="shared" si="15"/>
        <v>18775.236937999998</v>
      </c>
      <c r="G175" s="15" t="str">
        <f t="shared" si="18"/>
        <v/>
      </c>
      <c r="H175" s="16">
        <f>SUM('1st Qtr'!H175+'2nd Qtr'!H175+'3rd Qtr'!H175+'4th Qtr'!H175)</f>
        <v>0</v>
      </c>
      <c r="I175" s="16">
        <f>SUM('1st Qtr'!I175, '2nd Qtr'!I175, '3rd Qtr'!I175, '4th Qtr'!I175)</f>
        <v>18775.236937999998</v>
      </c>
      <c r="J175" s="15" t="str">
        <f t="shared" si="19"/>
        <v/>
      </c>
    </row>
    <row r="176" spans="1:10" ht="15.6">
      <c r="A176" s="24" t="str">
        <v>M028</v>
      </c>
      <c r="B176" s="25" t="str">
        <v>NY</v>
      </c>
      <c r="C176" s="25" t="str">
        <f>Sites[[#This Row],[SOL'#]]</f>
        <v>SOL-10381</v>
      </c>
      <c r="D176" s="60">
        <f>SUM('1st Qtr'!D176, '2nd Qtr'!D176, '3rd Qtr'!D176, '4th Qtr'!D176)</f>
        <v>10865.434015999999</v>
      </c>
      <c r="E176" s="10">
        <f>SUM('1st Qtr'!E176, '2nd Qtr'!E176, '3rd Qtr'!E176, '4th Qtr'!E176)</f>
        <v>0</v>
      </c>
      <c r="F176" s="10">
        <f t="shared" si="15"/>
        <v>10865.434015999999</v>
      </c>
      <c r="G176" s="11" t="str">
        <f t="shared" si="18"/>
        <v/>
      </c>
      <c r="H176" s="12">
        <f>SUM('1st Qtr'!H176+'2nd Qtr'!H176+'3rd Qtr'!H176+'4th Qtr'!H176)</f>
        <v>0</v>
      </c>
      <c r="I176" s="12">
        <f>SUM('1st Qtr'!I176, '2nd Qtr'!I176, '3rd Qtr'!I176, '4th Qtr'!I176)</f>
        <v>10865.434015999999</v>
      </c>
      <c r="J176" s="13" t="str">
        <f t="shared" si="19"/>
        <v/>
      </c>
    </row>
    <row r="177" spans="1:10" ht="15.6">
      <c r="A177" s="26" t="str">
        <v>Q030</v>
      </c>
      <c r="B177" s="27" t="str">
        <v>NY</v>
      </c>
      <c r="C177" s="27" t="str">
        <f>Sites[[#This Row],[SOL'#]]</f>
        <v>SOL-10878</v>
      </c>
      <c r="D177" s="9">
        <f>SUM('1st Qtr'!D177, '2nd Qtr'!D177, '3rd Qtr'!D177, '4th Qtr'!D177)</f>
        <v>21822.178390000001</v>
      </c>
      <c r="E177" s="14">
        <f>SUM('1st Qtr'!E177, '2nd Qtr'!E177, '3rd Qtr'!E177, '4th Qtr'!E177)</f>
        <v>0</v>
      </c>
      <c r="F177" s="14">
        <f t="shared" si="15"/>
        <v>21822.178390000001</v>
      </c>
      <c r="G177" s="15" t="str">
        <f t="shared" si="18"/>
        <v/>
      </c>
      <c r="H177" s="16">
        <f>SUM('1st Qtr'!H177+'2nd Qtr'!H177+'3rd Qtr'!H177+'4th Qtr'!H177)</f>
        <v>0</v>
      </c>
      <c r="I177" s="16">
        <f>SUM('1st Qtr'!I177, '2nd Qtr'!I177, '3rd Qtr'!I177, '4th Qtr'!I177)</f>
        <v>21822.178390000001</v>
      </c>
      <c r="J177" s="15" t="str">
        <f t="shared" si="19"/>
        <v/>
      </c>
    </row>
    <row r="178" spans="1:10" ht="15.6">
      <c r="A178" s="24" t="str">
        <v>Q130</v>
      </c>
      <c r="B178" s="25" t="str">
        <v>NY</v>
      </c>
      <c r="C178" s="25" t="str">
        <f>Sites[[#This Row],[SOL'#]]</f>
        <v>SOL-10877</v>
      </c>
      <c r="D178" s="60">
        <f>SUM('1st Qtr'!D178, '2nd Qtr'!D178, '3rd Qtr'!D178, '4th Qtr'!D178)</f>
        <v>10295.67447</v>
      </c>
      <c r="E178" s="10">
        <f>SUM('1st Qtr'!E178, '2nd Qtr'!E178, '3rd Qtr'!E178, '4th Qtr'!E178)</f>
        <v>0</v>
      </c>
      <c r="F178" s="10">
        <f t="shared" si="15"/>
        <v>10295.67447</v>
      </c>
      <c r="G178" s="11" t="str">
        <f t="shared" si="18"/>
        <v/>
      </c>
      <c r="H178" s="12">
        <f>SUM('1st Qtr'!H178+'2nd Qtr'!H178+'3rd Qtr'!H178+'4th Qtr'!H178)</f>
        <v>0</v>
      </c>
      <c r="I178" s="12">
        <f>SUM('1st Qtr'!I178, '2nd Qtr'!I178, '3rd Qtr'!I178, '4th Qtr'!I178)</f>
        <v>10295.67447</v>
      </c>
      <c r="J178" s="13" t="str">
        <f t="shared" si="19"/>
        <v/>
      </c>
    </row>
    <row r="179" spans="1:10" ht="15.6">
      <c r="A179" s="26" t="str">
        <v>Q196</v>
      </c>
      <c r="B179" s="27" t="str">
        <v>NY</v>
      </c>
      <c r="C179" s="27" t="str">
        <f>Sites[[#This Row],[SOL'#]]</f>
        <v>SOL-10879</v>
      </c>
      <c r="D179" s="9">
        <f>SUM('1st Qtr'!D179, '2nd Qtr'!D179, '3rd Qtr'!D179, '4th Qtr'!D179)</f>
        <v>11840.352500000001</v>
      </c>
      <c r="E179" s="14">
        <f>SUM('1st Qtr'!E179, '2nd Qtr'!E179, '3rd Qtr'!E179, '4th Qtr'!E179)</f>
        <v>0</v>
      </c>
      <c r="F179" s="14">
        <f t="shared" si="15"/>
        <v>11840.352500000001</v>
      </c>
      <c r="G179" s="15" t="str">
        <f t="shared" si="18"/>
        <v/>
      </c>
      <c r="H179" s="16">
        <f>SUM('1st Qtr'!H179+'2nd Qtr'!H179+'3rd Qtr'!H179+'4th Qtr'!H179)</f>
        <v>0</v>
      </c>
      <c r="I179" s="16">
        <f>SUM('1st Qtr'!I179, '2nd Qtr'!I179, '3rd Qtr'!I179, '4th Qtr'!I179)</f>
        <v>8604.3924999999999</v>
      </c>
      <c r="J179" s="15" t="str">
        <f t="shared" si="19"/>
        <v/>
      </c>
    </row>
    <row r="180" spans="1:10" ht="15.6">
      <c r="A180" s="24" t="str">
        <v>Q220</v>
      </c>
      <c r="B180" s="25" t="str">
        <v>NY</v>
      </c>
      <c r="C180" s="25" t="str">
        <f>Sites[[#This Row],[SOL'#]]</f>
        <v>SOL-10873</v>
      </c>
      <c r="D180" s="60">
        <f>SUM('1st Qtr'!D180, '2nd Qtr'!D180, '3rd Qtr'!D180, '4th Qtr'!D180)</f>
        <v>16591.988410000002</v>
      </c>
      <c r="E180" s="10">
        <f>SUM('1st Qtr'!E180, '2nd Qtr'!E180, '3rd Qtr'!E180, '4th Qtr'!E180)</f>
        <v>0</v>
      </c>
      <c r="F180" s="10">
        <f t="shared" si="15"/>
        <v>16591.988410000002</v>
      </c>
      <c r="G180" s="11" t="str">
        <f t="shared" si="18"/>
        <v/>
      </c>
      <c r="H180" s="12">
        <f>SUM('1st Qtr'!H180+'2nd Qtr'!H180+'3rd Qtr'!H180+'4th Qtr'!H180)</f>
        <v>0</v>
      </c>
      <c r="I180" s="12">
        <f>SUM('1st Qtr'!I180, '2nd Qtr'!I180, '3rd Qtr'!I180, '4th Qtr'!I180)</f>
        <v>10122.787410000001</v>
      </c>
      <c r="J180" s="13" t="str">
        <f t="shared" si="19"/>
        <v/>
      </c>
    </row>
    <row r="181" spans="1:10" ht="15.6">
      <c r="A181" s="26" t="str">
        <v>Q205</v>
      </c>
      <c r="B181" s="27" t="str">
        <v>NY</v>
      </c>
      <c r="C181" s="27" t="str">
        <f>Sites[[#This Row],[SOL'#]]</f>
        <v>SOL-10922</v>
      </c>
      <c r="D181" s="9">
        <f>SUM('1st Qtr'!D181, '2nd Qtr'!D181, '3rd Qtr'!D181, '4th Qtr'!D181)</f>
        <v>0</v>
      </c>
      <c r="E181" s="14">
        <f>SUM('1st Qtr'!E181, '2nd Qtr'!E181, '3rd Qtr'!E181, '4th Qtr'!E181)</f>
        <v>0</v>
      </c>
      <c r="F181" s="14">
        <f t="shared" si="15"/>
        <v>0</v>
      </c>
      <c r="G181" s="15" t="str">
        <f t="shared" si="18"/>
        <v/>
      </c>
      <c r="H181" s="16">
        <f>SUM('1st Qtr'!H181+'2nd Qtr'!H181+'3rd Qtr'!H181+'4th Qtr'!H181)</f>
        <v>0</v>
      </c>
      <c r="I181" s="16">
        <f>SUM('1st Qtr'!I181, '2nd Qtr'!I181, '3rd Qtr'!I181, '4th Qtr'!I181)</f>
        <v>0</v>
      </c>
      <c r="J181" s="15" t="str">
        <f t="shared" si="19"/>
        <v/>
      </c>
    </row>
    <row r="182" spans="1:10" ht="15.6">
      <c r="A182" s="24" t="str">
        <v>Q400</v>
      </c>
      <c r="B182" s="25" t="str">
        <v>NY</v>
      </c>
      <c r="C182" s="25" t="str">
        <f>Sites[[#This Row],[SOL'#]]</f>
        <v>SOL-10871</v>
      </c>
      <c r="D182" s="60">
        <f>SUM('1st Qtr'!D182, '2nd Qtr'!D182, '3rd Qtr'!D182, '4th Qtr'!D182)</f>
        <v>15777.113282</v>
      </c>
      <c r="E182" s="10">
        <f>SUM('1st Qtr'!E182, '2nd Qtr'!E182, '3rd Qtr'!E182, '4th Qtr'!E182)</f>
        <v>0</v>
      </c>
      <c r="F182" s="10">
        <f t="shared" si="15"/>
        <v>15777.113282</v>
      </c>
      <c r="G182" s="11" t="str">
        <f t="shared" si="18"/>
        <v/>
      </c>
      <c r="H182" s="12">
        <f>SUM('1st Qtr'!H182+'2nd Qtr'!H182+'3rd Qtr'!H182+'4th Qtr'!H182)</f>
        <v>0</v>
      </c>
      <c r="I182" s="12">
        <f>SUM('1st Qtr'!I182, '2nd Qtr'!I182, '3rd Qtr'!I182, '4th Qtr'!I182)</f>
        <v>15777.113282</v>
      </c>
      <c r="J182" s="13" t="str">
        <f t="shared" si="19"/>
        <v/>
      </c>
    </row>
    <row r="183" spans="1:10" ht="15.6">
      <c r="A183" s="26" t="str">
        <v>R003</v>
      </c>
      <c r="B183" s="27" t="str">
        <v>NY</v>
      </c>
      <c r="C183" s="27" t="str">
        <f>Sites[[#This Row],[SOL'#]]</f>
        <v>SOL-10416</v>
      </c>
      <c r="D183" s="9">
        <f>SUM('1st Qtr'!D183, '2nd Qtr'!D183, '3rd Qtr'!D183, '4th Qtr'!D183)</f>
        <v>20656.632809999999</v>
      </c>
      <c r="E183" s="14">
        <f>SUM('1st Qtr'!E183, '2nd Qtr'!E183, '3rd Qtr'!E183, '4th Qtr'!E183)</f>
        <v>0</v>
      </c>
      <c r="F183" s="14">
        <f t="shared" si="15"/>
        <v>20656.632809999999</v>
      </c>
      <c r="G183" s="15" t="str">
        <f t="shared" si="18"/>
        <v/>
      </c>
      <c r="H183" s="16">
        <f>SUM('1st Qtr'!H183+'2nd Qtr'!H183+'3rd Qtr'!H183+'4th Qtr'!H183)</f>
        <v>0</v>
      </c>
      <c r="I183" s="16">
        <f>SUM('1st Qtr'!I183, '2nd Qtr'!I183, '3rd Qtr'!I183, '4th Qtr'!I183)</f>
        <v>0</v>
      </c>
      <c r="J183" s="15" t="str">
        <f t="shared" si="19"/>
        <v/>
      </c>
    </row>
    <row r="184" spans="1:10" ht="15.6">
      <c r="A184" s="24" t="str">
        <v>R007</v>
      </c>
      <c r="B184" s="25" t="str">
        <v>NY</v>
      </c>
      <c r="C184" s="25" t="str">
        <f>Sites[[#This Row],[SOL'#]]</f>
        <v>SOL-10417</v>
      </c>
      <c r="D184" s="60">
        <f>SUM('1st Qtr'!D184, '2nd Qtr'!D184, '3rd Qtr'!D184, '4th Qtr'!D184)</f>
        <v>35687.357029999999</v>
      </c>
      <c r="E184" s="10">
        <f>SUM('1st Qtr'!E184, '2nd Qtr'!E184, '3rd Qtr'!E184, '4th Qtr'!E184)</f>
        <v>0</v>
      </c>
      <c r="F184" s="10">
        <f t="shared" si="15"/>
        <v>35687.357029999999</v>
      </c>
      <c r="G184" s="11" t="str">
        <f t="shared" si="18"/>
        <v/>
      </c>
      <c r="H184" s="12">
        <f>SUM('1st Qtr'!H184+'2nd Qtr'!H184+'3rd Qtr'!H184+'4th Qtr'!H184)</f>
        <v>0</v>
      </c>
      <c r="I184" s="12">
        <f>SUM('1st Qtr'!I184, '2nd Qtr'!I184, '3rd Qtr'!I184, '4th Qtr'!I184)</f>
        <v>35687.357029999999</v>
      </c>
      <c r="J184" s="13" t="str">
        <f t="shared" si="19"/>
        <v/>
      </c>
    </row>
    <row r="185" spans="1:10" ht="15.6">
      <c r="A185" s="26" t="str">
        <v>BK16</v>
      </c>
      <c r="B185" s="27" t="str">
        <v>NY</v>
      </c>
      <c r="C185" s="27" t="str">
        <f>Sites[[#This Row],[SOL'#]]</f>
        <v>SOL-11093</v>
      </c>
      <c r="D185" s="9">
        <f>SUM('1st Qtr'!D185, '2nd Qtr'!D185, '3rd Qtr'!D185, '4th Qtr'!D185)</f>
        <v>34689.161254275503</v>
      </c>
      <c r="E185" s="14">
        <f>SUM('1st Qtr'!E185, '2nd Qtr'!E185, '3rd Qtr'!E185, '4th Qtr'!E185)</f>
        <v>0</v>
      </c>
      <c r="F185" s="14">
        <f t="shared" si="15"/>
        <v>34689.161254275503</v>
      </c>
      <c r="G185" s="15" t="str">
        <f t="shared" si="18"/>
        <v/>
      </c>
      <c r="H185" s="16">
        <f>SUM('1st Qtr'!H185+'2nd Qtr'!H185+'3rd Qtr'!H185+'4th Qtr'!H185)</f>
        <v>0</v>
      </c>
      <c r="I185" s="16">
        <f>SUM('1st Qtr'!I185, '2nd Qtr'!I185, '3rd Qtr'!I185, '4th Qtr'!I185)</f>
        <v>34689.161254275503</v>
      </c>
      <c r="J185" s="15" t="str">
        <f t="shared" si="19"/>
        <v/>
      </c>
    </row>
    <row r="186" spans="1:10" ht="15.6">
      <c r="A186" s="24" t="str">
        <v>Trenton - Trenton East</v>
      </c>
      <c r="B186" s="25" t="str">
        <v>IL</v>
      </c>
      <c r="C186" s="25" t="str">
        <f>Sites[[#This Row],[SOL'#]]</f>
        <v>SOL-11060</v>
      </c>
      <c r="D186" s="60">
        <f>SUM('1st Qtr'!D186, '2nd Qtr'!D186, '3rd Qtr'!D186, '4th Qtr'!D186)</f>
        <v>277433</v>
      </c>
      <c r="E186" s="10">
        <f>SUM('1st Qtr'!E186, '2nd Qtr'!E186, '3rd Qtr'!E186, '4th Qtr'!E186)</f>
        <v>272748.7</v>
      </c>
      <c r="F186" s="10">
        <f>IF(AND(ISNUMBER(D186),ISNUMBER(E186)), D186-E186, "")</f>
        <v>4684.2999999999884</v>
      </c>
      <c r="G186" s="61">
        <f t="shared" si="18"/>
        <v>1.7174417329945069E-2</v>
      </c>
      <c r="H186" s="76">
        <f>SUM('1st Qtr'!H186+'2nd Qtr'!H186+'3rd Qtr'!H186+'4th Qtr'!H186)</f>
        <v>250258</v>
      </c>
      <c r="I186" s="76">
        <f>SUM('1st Qtr'!I186, '2nd Qtr'!I186, '3rd Qtr'!I186, '4th Qtr'!I186)</f>
        <v>27175</v>
      </c>
      <c r="J186" s="73">
        <f t="shared" si="19"/>
        <v>0.10858793724875929</v>
      </c>
    </row>
    <row r="187" spans="1:10" ht="15.6">
      <c r="A187" s="26" t="str">
        <v>Trenton - Trenton West</v>
      </c>
      <c r="B187" s="27" t="str">
        <v>IL</v>
      </c>
      <c r="C187" s="27" t="str">
        <f>Sites[[#This Row],[SOL'#]]</f>
        <v>SOL-11061</v>
      </c>
      <c r="D187" s="75">
        <f>SUM('1st Qtr'!D187, '2nd Qtr'!D187, '3rd Qtr'!D187, '4th Qtr'!D187)</f>
        <v>286335</v>
      </c>
      <c r="E187" s="14">
        <f>SUM('1st Qtr'!E187, '2nd Qtr'!E187, '3rd Qtr'!E187, '4th Qtr'!E187)</f>
        <v>245107.1</v>
      </c>
      <c r="F187" s="14">
        <f>IF(AND(ISNUMBER(D187),ISNUMBER(E187)), D187-E187, "")</f>
        <v>41227.899999999994</v>
      </c>
      <c r="G187" s="77">
        <f t="shared" si="18"/>
        <v>0.1682036138488032</v>
      </c>
      <c r="H187" s="78">
        <f>SUM('1st Qtr'!H187+'2nd Qtr'!H187+'3rd Qtr'!H187+'4th Qtr'!H187)</f>
        <v>252415.00399999999</v>
      </c>
      <c r="I187" s="78">
        <f>SUM('1st Qtr'!I187, '2nd Qtr'!I187, '3rd Qtr'!I187, '4th Qtr'!I187)</f>
        <v>33919.996000000014</v>
      </c>
      <c r="J187" s="77">
        <f t="shared" si="19"/>
        <v>0.13438185314847614</v>
      </c>
    </row>
    <row r="188" spans="1:10" ht="15.6">
      <c r="A188" s="24" t="str">
        <v>Dakota - Dakota Solar 1</v>
      </c>
      <c r="B188" s="25" t="str">
        <v>IL</v>
      </c>
      <c r="C188" s="25" t="str">
        <f>Sites[[#This Row],[SOL'#]]</f>
        <v>SOL-11113</v>
      </c>
      <c r="D188" s="60">
        <f>SUM('1st Qtr'!D188, '2nd Qtr'!D188, '3rd Qtr'!D188, '4th Qtr'!D188)</f>
        <v>540549</v>
      </c>
      <c r="E188" s="10">
        <f>SUM('1st Qtr'!E188, '2nd Qtr'!E188, '3rd Qtr'!E188, '4th Qtr'!E188)</f>
        <v>358197.96899999998</v>
      </c>
      <c r="F188" s="10">
        <f>IF(AND(ISNUMBER(D188),ISNUMBER(E188)), D188-E188, "")</f>
        <v>182351.03100000002</v>
      </c>
      <c r="G188" s="61">
        <f t="shared" si="18"/>
        <v>0.50907890826148161</v>
      </c>
      <c r="H188" s="76">
        <f>SUM('1st Qtr'!H188+'2nd Qtr'!H188+'3rd Qtr'!H188+'4th Qtr'!H188)</f>
        <v>0</v>
      </c>
      <c r="I188" s="76">
        <f>SUM('1st Qtr'!I188, '2nd Qtr'!I188, '3rd Qtr'!I188, '4th Qtr'!I188)</f>
        <v>540549</v>
      </c>
      <c r="J188" s="73" t="str">
        <f t="shared" si="19"/>
        <v/>
      </c>
    </row>
    <row r="189" spans="1:10" ht="15.6">
      <c r="A189" s="26" t="str">
        <v>X018</v>
      </c>
      <c r="B189" s="27" t="str">
        <v>NY</v>
      </c>
      <c r="C189" s="27" t="str">
        <f>Sites[[#This Row],[SOL'#]]</f>
        <v>SOL-10418</v>
      </c>
      <c r="D189" s="75">
        <f>SUM('1st Qtr'!D189, '2nd Qtr'!D189, '3rd Qtr'!D189, '4th Qtr'!D189)</f>
        <v>15151.779999999999</v>
      </c>
      <c r="E189" s="14">
        <f>SUM('1st Qtr'!E189, '2nd Qtr'!E189, '3rd Qtr'!E189, '4th Qtr'!E189)</f>
        <v>20708.923999999999</v>
      </c>
      <c r="F189" s="14">
        <f>IF(AND(ISNUMBER(D189),ISNUMBER(E189)), D189-E189, "")</f>
        <v>-5557.1440000000002</v>
      </c>
      <c r="G189" s="77">
        <f t="shared" si="18"/>
        <v>-0.26834537612866805</v>
      </c>
      <c r="H189" s="78">
        <f>SUM('1st Qtr'!H189+'2nd Qtr'!H189+'3rd Qtr'!H189+'4th Qtr'!H189)</f>
        <v>0</v>
      </c>
      <c r="I189" s="78">
        <f>SUM('1st Qtr'!I189, '2nd Qtr'!I189, '3rd Qtr'!I189, '4th Qtr'!I189)</f>
        <v>15151.779999999999</v>
      </c>
      <c r="J189" s="77" t="str">
        <f t="shared" si="19"/>
        <v/>
      </c>
    </row>
    <row r="190" spans="1:10" ht="15.6">
      <c r="A190" s="24" t="str">
        <v>Janiak Solar</v>
      </c>
      <c r="B190" s="25" t="str">
        <v>NY</v>
      </c>
      <c r="C190" s="25" t="str">
        <f>Sites[[#This Row],[SOL'#]]</f>
        <v>SOL-10898</v>
      </c>
      <c r="D190" s="60">
        <f>SUM('1st Qtr'!D190, '2nd Qtr'!D190, '3rd Qtr'!D190, '4th Qtr'!D190)</f>
        <v>377824.826</v>
      </c>
      <c r="E190" s="10">
        <f>SUM('1st Qtr'!E190, '2nd Qtr'!E190, '3rd Qtr'!E190, '4th Qtr'!E190)</f>
        <v>517835.79799999995</v>
      </c>
      <c r="F190" s="10">
        <f t="shared" ref="F190:F195" si="20">IF(AND(ISNUMBER(D190),ISNUMBER(E190)), D190-E190, "")</f>
        <v>-140010.97199999995</v>
      </c>
      <c r="G190" s="61">
        <f t="shared" si="18"/>
        <v>-0.27037715920906641</v>
      </c>
      <c r="H190" s="76">
        <f>SUM('1st Qtr'!H190+'2nd Qtr'!H190+'3rd Qtr'!H190+'4th Qtr'!H190)</f>
        <v>465832.06900000002</v>
      </c>
      <c r="I190" s="76">
        <f>SUM('1st Qtr'!I190, '2nd Qtr'!I190, '3rd Qtr'!I190, '4th Qtr'!I190)</f>
        <v>-88007.243000000017</v>
      </c>
      <c r="J190" s="73">
        <f t="shared" si="19"/>
        <v>-0.18892482689936921</v>
      </c>
    </row>
    <row r="191" spans="1:10" ht="15.6">
      <c r="A191" s="26" t="str">
        <v>County Route 11B</v>
      </c>
      <c r="B191" s="27" t="str">
        <v>NY</v>
      </c>
      <c r="C191" s="27" t="str">
        <f>Sites[[#This Row],[SOL'#]]</f>
        <v>SOL-10983</v>
      </c>
      <c r="D191" s="75">
        <f>SUM('1st Qtr'!D191, '2nd Qtr'!D191, '3rd Qtr'!D191, '4th Qtr'!D191)</f>
        <v>700763</v>
      </c>
      <c r="E191" s="14">
        <f>SUM('1st Qtr'!E191, '2nd Qtr'!E191, '3rd Qtr'!E191, '4th Qtr'!E191)</f>
        <v>0</v>
      </c>
      <c r="F191" s="14">
        <f t="shared" si="20"/>
        <v>700763</v>
      </c>
      <c r="G191" s="77" t="str">
        <f t="shared" si="18"/>
        <v/>
      </c>
      <c r="H191" s="78">
        <f>SUM('1st Qtr'!H191+'2nd Qtr'!H191+'3rd Qtr'!H191+'4th Qtr'!H191)</f>
        <v>0</v>
      </c>
      <c r="I191" s="78">
        <f>SUM('1st Qtr'!I191, '2nd Qtr'!I191, '3rd Qtr'!I191, '4th Qtr'!I191)</f>
        <v>700763</v>
      </c>
      <c r="J191" s="77" t="str">
        <f t="shared" si="19"/>
        <v/>
      </c>
    </row>
    <row r="192" spans="1:10" ht="15.6">
      <c r="A192" s="24" t="str">
        <v>Barone</v>
      </c>
      <c r="B192" s="25" t="str">
        <v>NY</v>
      </c>
      <c r="C192" s="25" t="str">
        <f>Sites[[#This Row],[SOL'#]]</f>
        <v>SOL-11034</v>
      </c>
      <c r="D192" s="60">
        <f>SUM('1st Qtr'!D192, '2nd Qtr'!D192, '3rd Qtr'!D192, '4th Qtr'!D192)</f>
        <v>605846</v>
      </c>
      <c r="E192" s="10">
        <f>SUM('1st Qtr'!E192, '2nd Qtr'!E192, '3rd Qtr'!E192, '4th Qtr'!E192)</f>
        <v>0</v>
      </c>
      <c r="F192" s="10">
        <f t="shared" si="20"/>
        <v>605846</v>
      </c>
      <c r="G192" s="61" t="str">
        <f t="shared" si="18"/>
        <v/>
      </c>
      <c r="H192" s="76">
        <f>SUM('1st Qtr'!H192+'2nd Qtr'!H192+'3rd Qtr'!H192+'4th Qtr'!H192)</f>
        <v>524939.5</v>
      </c>
      <c r="I192" s="76">
        <f>SUM('1st Qtr'!I192, '2nd Qtr'!I192, '3rd Qtr'!I192, '4th Qtr'!I192)</f>
        <v>80906.5</v>
      </c>
      <c r="J192" s="73">
        <f t="shared" si="19"/>
        <v>0.15412538016285687</v>
      </c>
    </row>
    <row r="193" spans="1:10" ht="15.6">
      <c r="A193" s="26" t="str">
        <v>Cedarville</v>
      </c>
      <c r="B193" s="27" t="str">
        <v>IL</v>
      </c>
      <c r="C193" s="27" t="str">
        <f>Sites[[#This Row],[SOL'#]]</f>
        <v>SOL-11069</v>
      </c>
      <c r="D193" s="75">
        <f>SUM('1st Qtr'!D193, '2nd Qtr'!D193, '3rd Qtr'!D193, '4th Qtr'!D193)</f>
        <v>421050</v>
      </c>
      <c r="E193" s="14">
        <f>SUM('1st Qtr'!E193, '2nd Qtr'!E193, '3rd Qtr'!E193, '4th Qtr'!E193)</f>
        <v>480185.2</v>
      </c>
      <c r="F193" s="14">
        <f t="shared" si="20"/>
        <v>-59135.200000000012</v>
      </c>
      <c r="G193" s="77">
        <f t="shared" si="18"/>
        <v>-0.12315081764285948</v>
      </c>
      <c r="H193" s="78">
        <f>SUM('1st Qtr'!H193+'2nd Qtr'!H193+'3rd Qtr'!H193+'4th Qtr'!H193)</f>
        <v>442036.9</v>
      </c>
      <c r="I193" s="78">
        <f>SUM('1st Qtr'!I193, '2nd Qtr'!I193, '3rd Qtr'!I193, '4th Qtr'!I193)</f>
        <v>-20986.899999999994</v>
      </c>
      <c r="J193" s="77">
        <f t="shared" si="19"/>
        <v>-4.7477710571221528E-2</v>
      </c>
    </row>
    <row r="194" spans="1:10" ht="15.6">
      <c r="A194" s="24" t="str">
        <v xml:space="preserve"> O'Brien Hill #1</v>
      </c>
      <c r="B194" s="25" t="str">
        <v>NY</v>
      </c>
      <c r="C194" s="25" t="str">
        <f>Sites[[#This Row],[SOL'#]]</f>
        <v>SOL-11098</v>
      </c>
      <c r="D194" s="60">
        <f>SUM('1st Qtr'!D194, '2nd Qtr'!D194, '3rd Qtr'!D194, '4th Qtr'!D194)</f>
        <v>702949</v>
      </c>
      <c r="E194" s="10">
        <f>SUM('1st Qtr'!E194, '2nd Qtr'!E194, '3rd Qtr'!E194, '4th Qtr'!E194)</f>
        <v>0</v>
      </c>
      <c r="F194" s="10">
        <f t="shared" si="20"/>
        <v>702949</v>
      </c>
      <c r="G194" s="61" t="str">
        <f t="shared" si="18"/>
        <v/>
      </c>
      <c r="H194" s="76">
        <f>SUM('1st Qtr'!H194+'2nd Qtr'!H194+'3rd Qtr'!H194+'4th Qtr'!H194)</f>
        <v>0</v>
      </c>
      <c r="I194" s="76">
        <f>SUM('1st Qtr'!I194, '2nd Qtr'!I194, '3rd Qtr'!I194, '4th Qtr'!I194)</f>
        <v>702949</v>
      </c>
      <c r="J194" s="73" t="str">
        <f t="shared" si="19"/>
        <v/>
      </c>
    </row>
    <row r="195" spans="1:10" ht="15.6">
      <c r="A195" s="26" t="str">
        <v xml:space="preserve"> O'Brien Hill #2</v>
      </c>
      <c r="B195" s="27" t="str">
        <v>NY</v>
      </c>
      <c r="C195" s="27" t="str">
        <f>Sites[[#This Row],[SOL'#]]</f>
        <v>SOL-11099</v>
      </c>
      <c r="D195" s="75">
        <f>SUM('1st Qtr'!D195, '2nd Qtr'!D195, '3rd Qtr'!D195, '4th Qtr'!D195)</f>
        <v>679007</v>
      </c>
      <c r="E195" s="14">
        <f>SUM('1st Qtr'!E195, '2nd Qtr'!E195, '3rd Qtr'!E195, '4th Qtr'!E195)</f>
        <v>0</v>
      </c>
      <c r="F195" s="14">
        <f t="shared" si="20"/>
        <v>679007</v>
      </c>
      <c r="G195" s="77" t="str">
        <f t="shared" si="18"/>
        <v/>
      </c>
      <c r="H195" s="78">
        <f>SUM('1st Qtr'!H195+'2nd Qtr'!H195+'3rd Qtr'!H195+'4th Qtr'!H195)</f>
        <v>0</v>
      </c>
      <c r="I195" s="78">
        <f>SUM('1st Qtr'!I195, '2nd Qtr'!I195, '3rd Qtr'!I195, '4th Qtr'!I195)</f>
        <v>679007</v>
      </c>
      <c r="J195" s="77" t="str">
        <f t="shared" si="19"/>
        <v/>
      </c>
    </row>
    <row r="196" spans="1:10" ht="15.6">
      <c r="A196" s="24" t="str">
        <v>Trinity - Freeport</v>
      </c>
      <c r="B196" s="25" t="str">
        <v>IL</v>
      </c>
      <c r="C196" s="25"/>
      <c r="D196" s="60"/>
      <c r="E196" s="10"/>
      <c r="F196" s="10"/>
      <c r="G196" s="61"/>
      <c r="H196" s="76"/>
      <c r="I196" s="76"/>
      <c r="J196" s="73"/>
    </row>
    <row r="197" spans="1:10" ht="15.6">
      <c r="A197" s="26" t="str">
        <v>Ransom</v>
      </c>
      <c r="B197" s="27" t="str">
        <v>NY</v>
      </c>
      <c r="C197" s="27"/>
      <c r="D197" s="75"/>
      <c r="E197" s="14"/>
      <c r="F197" s="14"/>
      <c r="G197" s="77"/>
      <c r="H197" s="78"/>
      <c r="I197" s="78"/>
      <c r="J197" s="77"/>
    </row>
    <row r="198" spans="1:10" ht="15.6">
      <c r="A198" s="24" t="str">
        <v>Horseheads - Wedge</v>
      </c>
      <c r="B198" s="25" t="str">
        <v>NY</v>
      </c>
      <c r="C198" s="25"/>
      <c r="D198" s="60"/>
      <c r="E198" s="10"/>
      <c r="F198" s="10"/>
      <c r="G198" s="61"/>
      <c r="H198" s="76"/>
      <c r="I198" s="76"/>
      <c r="J198" s="73"/>
    </row>
    <row r="199" spans="1:10" ht="15.6">
      <c r="A199" s="26" t="str">
        <v>Otisville - Shoddy Hollow</v>
      </c>
      <c r="B199" s="27" t="str">
        <v>NY</v>
      </c>
      <c r="C199" s="27"/>
      <c r="D199" s="75"/>
      <c r="E199" s="14"/>
      <c r="F199" s="14"/>
      <c r="G199" s="77"/>
      <c r="H199" s="78"/>
      <c r="I199" s="78"/>
      <c r="J199" s="77"/>
    </row>
    <row r="200" spans="1:10" ht="15.6">
      <c r="A200" s="24" t="str">
        <v>Wellsville - Chenunda Creek</v>
      </c>
      <c r="B200" s="25" t="str">
        <v>NY</v>
      </c>
      <c r="C200" s="25"/>
      <c r="D200" s="60"/>
      <c r="E200" s="10"/>
      <c r="F200" s="10"/>
      <c r="G200" s="61"/>
      <c r="H200" s="76"/>
      <c r="I200" s="76"/>
      <c r="J200" s="73"/>
    </row>
  </sheetData>
  <mergeCells count="4">
    <mergeCell ref="H1:J1"/>
    <mergeCell ref="A1:D1"/>
    <mergeCell ref="E1:G1"/>
    <mergeCell ref="A2:B2"/>
  </mergeCells>
  <conditionalFormatting sqref="G2 J2">
    <cfRule type="cellIs" dxfId="192" priority="47" stopIfTrue="1" operator="lessThanOrEqual">
      <formula>-0.1</formula>
    </cfRule>
    <cfRule type="expression" dxfId="191" priority="48">
      <formula>AND(ISNUMBER(G2), G2&gt;=0.1)</formula>
    </cfRule>
  </conditionalFormatting>
  <conditionalFormatting sqref="G4:G195">
    <cfRule type="cellIs" dxfId="190" priority="43" stopIfTrue="1" operator="lessThanOrEqual">
      <formula>-0.1</formula>
    </cfRule>
    <cfRule type="expression" dxfId="189" priority="44">
      <formula>AND(ISNUMBER(G4), G4&gt;=0.1)</formula>
    </cfRule>
  </conditionalFormatting>
  <conditionalFormatting sqref="J4:J195">
    <cfRule type="cellIs" dxfId="188" priority="41" stopIfTrue="1" operator="lessThanOrEqual">
      <formula>-0.1</formula>
    </cfRule>
    <cfRule type="expression" dxfId="187" priority="42">
      <formula>AND(ISNUMBER(J4), J4&gt;=0.1)</formula>
    </cfRule>
  </conditionalFormatting>
  <conditionalFormatting sqref="G197">
    <cfRule type="cellIs" dxfId="186" priority="27" stopIfTrue="1" operator="lessThanOrEqual">
      <formula>-0.1</formula>
    </cfRule>
    <cfRule type="expression" dxfId="185" priority="28">
      <formula>AND(ISNUMBER(G197), G197&gt;=0.1)</formula>
    </cfRule>
  </conditionalFormatting>
  <conditionalFormatting sqref="J197">
    <cfRule type="cellIs" dxfId="184" priority="25" stopIfTrue="1" operator="lessThanOrEqual">
      <formula>-0.1</formula>
    </cfRule>
    <cfRule type="expression" dxfId="183" priority="26">
      <formula>AND(ISNUMBER(J197), J197&gt;=0.1)</formula>
    </cfRule>
  </conditionalFormatting>
  <conditionalFormatting sqref="G199">
    <cfRule type="cellIs" dxfId="182" priority="23" stopIfTrue="1" operator="lessThanOrEqual">
      <formula>-0.1</formula>
    </cfRule>
    <cfRule type="expression" dxfId="181" priority="24">
      <formula>AND(ISNUMBER(G199), G199&gt;=0.1)</formula>
    </cfRule>
  </conditionalFormatting>
  <conditionalFormatting sqref="J199">
    <cfRule type="cellIs" dxfId="180" priority="21" stopIfTrue="1" operator="lessThanOrEqual">
      <formula>-0.1</formula>
    </cfRule>
    <cfRule type="expression" dxfId="179" priority="22">
      <formula>AND(ISNUMBER(J199), J199&gt;=0.1)</formula>
    </cfRule>
  </conditionalFormatting>
  <conditionalFormatting sqref="G196">
    <cfRule type="cellIs" dxfId="178" priority="11" stopIfTrue="1" operator="lessThanOrEqual">
      <formula>-0.1</formula>
    </cfRule>
    <cfRule type="expression" dxfId="177" priority="12">
      <formula>AND(ISNUMBER(G196), G196&gt;=0.1)</formula>
    </cfRule>
  </conditionalFormatting>
  <conditionalFormatting sqref="J196">
    <cfRule type="cellIs" dxfId="176" priority="9" stopIfTrue="1" operator="lessThanOrEqual">
      <formula>-0.1</formula>
    </cfRule>
    <cfRule type="expression" dxfId="175" priority="10">
      <formula>AND(ISNUMBER(J196), J196&gt;=0.1)</formula>
    </cfRule>
  </conditionalFormatting>
  <conditionalFormatting sqref="G198">
    <cfRule type="cellIs" dxfId="174" priority="7" stopIfTrue="1" operator="lessThanOrEqual">
      <formula>-0.1</formula>
    </cfRule>
    <cfRule type="expression" dxfId="173" priority="8">
      <formula>AND(ISNUMBER(G198), G198&gt;=0.1)</formula>
    </cfRule>
  </conditionalFormatting>
  <conditionalFormatting sqref="J198">
    <cfRule type="cellIs" dxfId="172" priority="5" stopIfTrue="1" operator="lessThanOrEqual">
      <formula>-0.1</formula>
    </cfRule>
    <cfRule type="expression" dxfId="171" priority="6">
      <formula>AND(ISNUMBER(J198), J198&gt;=0.1)</formula>
    </cfRule>
  </conditionalFormatting>
  <conditionalFormatting sqref="G200">
    <cfRule type="cellIs" dxfId="170" priority="3" stopIfTrue="1" operator="lessThanOrEqual">
      <formula>-0.1</formula>
    </cfRule>
    <cfRule type="expression" dxfId="169" priority="4">
      <formula>AND(ISNUMBER(G200), G200&gt;=0.1)</formula>
    </cfRule>
  </conditionalFormatting>
  <conditionalFormatting sqref="J200">
    <cfRule type="cellIs" dxfId="168" priority="1" stopIfTrue="1" operator="lessThanOrEqual">
      <formula>-0.1</formula>
    </cfRule>
    <cfRule type="expression" dxfId="167" priority="2">
      <formula>AND(ISNUMBER(J200), J200&gt;=0.1)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200"/>
  <sheetViews>
    <sheetView zoomScale="90" zoomScaleNormal="90" workbookViewId="0">
      <pane xSplit="2" ySplit="3" topLeftCell="H4" activePane="bottomRight" state="frozen"/>
      <selection pane="bottomRight" activeCell="H4" sqref="H4"/>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9" t="str" cm="1">
        <f t="array" ref="A1">portfolio</f>
        <v>Generate Capital</v>
      </c>
      <c r="B1" s="149"/>
      <c r="C1" s="149"/>
      <c r="D1" s="149"/>
      <c r="E1" s="150" t="s">
        <v>11</v>
      </c>
      <c r="F1" s="150"/>
      <c r="G1" s="150"/>
      <c r="H1" s="148" t="s">
        <v>12</v>
      </c>
      <c r="I1" s="148"/>
      <c r="J1" s="148"/>
    </row>
    <row r="2" spans="1:10" ht="19.5" customHeight="1">
      <c r="A2" s="151" t="s">
        <v>2</v>
      </c>
      <c r="B2" s="151"/>
      <c r="C2" s="65"/>
      <c r="D2" s="5">
        <f>SUM(D4:D238)</f>
        <v>36184982.38732256</v>
      </c>
      <c r="E2" s="5">
        <f>SUM(E4:E138)</f>
        <v>11083899.030199999</v>
      </c>
      <c r="F2" s="5">
        <f>D2-E2</f>
        <v>25101083.357122563</v>
      </c>
      <c r="G2" s="6">
        <f>IFERROR(F2/E2, 0)</f>
        <v>2.264643812500486</v>
      </c>
      <c r="H2" s="5">
        <f>SUM(H4:H238)</f>
        <v>44326915.609399982</v>
      </c>
      <c r="I2" s="7">
        <f>D2-H2</f>
        <v>-8141933.2220774218</v>
      </c>
      <c r="J2" s="6">
        <f>IFERROR(I2/H2, 0)</f>
        <v>-0.18367921859988021</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SUM(Jan!D4, Feb!D4, Mar!D4)</f>
        <v>20596.299456992303</v>
      </c>
      <c r="E4" s="10">
        <f>SUM(Jan!E4, Feb!E4, Mar!E4)</f>
        <v>15241.423999999999</v>
      </c>
      <c r="F4" s="10">
        <f>IF(AND(ISNUMBER(D4),ISNUMBER(E4)), D4-E4, "")</f>
        <v>5354.875456992304</v>
      </c>
      <c r="G4" s="11">
        <f>IFERROR(F4/E4, "")</f>
        <v>0.35133695230788831</v>
      </c>
      <c r="H4" s="12">
        <f>SUM(Jan!H4, Feb!H4, Mar!H4)</f>
        <v>18595.628000000001</v>
      </c>
      <c r="I4" s="12">
        <f>SUM(Jan!I4, Feb!I4, Mar!I4)</f>
        <v>2000.6714569923006</v>
      </c>
      <c r="J4" s="13">
        <f>IFERROR(I4/H4, "")</f>
        <v>0.10758827058662931</v>
      </c>
    </row>
    <row r="5" spans="1:10" ht="15.6">
      <c r="A5" s="26" t="str">
        <v>Fulton</v>
      </c>
      <c r="B5" s="27" t="str">
        <v>AZ</v>
      </c>
      <c r="C5" s="27" t="str">
        <f>Sites[[#This Row],[SOL'#]]</f>
        <v>SOL-10749</v>
      </c>
      <c r="D5" s="9">
        <f>SUM(Jan!D5, Feb!D5, Mar!D5)</f>
        <v>57128.5</v>
      </c>
      <c r="E5" s="14">
        <f>SUM(Jan!E5, Feb!E5, Mar!E5)</f>
        <v>75239.48000000001</v>
      </c>
      <c r="F5" s="14">
        <f t="shared" ref="F5:F15" si="0">IF(AND(ISNUMBER(D5),ISNUMBER(E5)), D5-E5, "")</f>
        <v>-18110.98000000001</v>
      </c>
      <c r="G5" s="15">
        <f>IFERROR(F5/E5, "")</f>
        <v>-0.24071112665850439</v>
      </c>
      <c r="H5" s="16">
        <f>SUM(Jan!H5, Feb!H5, Mar!H5)</f>
        <v>74528.36</v>
      </c>
      <c r="I5" s="16">
        <f>SUM(Jan!I5, Feb!I5, Mar!I5)</f>
        <v>-17399.86</v>
      </c>
      <c r="J5" s="15">
        <f>IFERROR(I5/H5, "")</f>
        <v>-0.23346629390476323</v>
      </c>
    </row>
    <row r="6" spans="1:10" ht="15.6">
      <c r="A6" s="24" t="str">
        <v>JFK Elementary</v>
      </c>
      <c r="B6" s="25" t="str">
        <v>AZ</v>
      </c>
      <c r="C6" s="25" t="str">
        <f>Sites[[#This Row],[SOL'#]]</f>
        <v>SOL-10758</v>
      </c>
      <c r="D6" s="20">
        <f>SUM(Jan!D6, Feb!D6, Mar!D6)</f>
        <v>34707.197972660702</v>
      </c>
      <c r="E6" s="10">
        <f>SUM(Jan!E6, Feb!E6, Mar!E6)</f>
        <v>0</v>
      </c>
      <c r="F6" s="10">
        <f t="shared" si="0"/>
        <v>34707.197972660702</v>
      </c>
      <c r="G6" s="11" t="str">
        <f t="shared" ref="G6:G15" si="1">IFERROR(F6/E6, "")</f>
        <v/>
      </c>
      <c r="H6" s="12">
        <f>SUM(Jan!H6, Feb!H6, Mar!H6)</f>
        <v>30463</v>
      </c>
      <c r="I6" s="12">
        <f>SUM(Jan!I6, Feb!I6, Mar!I6)</f>
        <v>4244.1979726607024</v>
      </c>
      <c r="J6" s="13">
        <f t="shared" ref="J6:J15" si="2">IFERROR(I6/H6, "")</f>
        <v>0.1393230467340939</v>
      </c>
    </row>
    <row r="7" spans="1:10" ht="15.6">
      <c r="A7" s="26" t="str">
        <v>Noble</v>
      </c>
      <c r="B7" s="27" t="str">
        <v>AZ</v>
      </c>
      <c r="C7" s="27" t="str">
        <f>Sites[[#This Row],[SOL'#]]</f>
        <v>SOL-10750</v>
      </c>
      <c r="D7" s="9">
        <f>SUM(Jan!D7, Feb!D7, Mar!D7)</f>
        <v>19862.485485975893</v>
      </c>
      <c r="E7" s="14">
        <f>SUM(Jan!E7, Feb!E7, Mar!E7)</f>
        <v>25711.63</v>
      </c>
      <c r="F7" s="14">
        <f t="shared" si="0"/>
        <v>-5849.1445140241085</v>
      </c>
      <c r="G7" s="15">
        <f t="shared" si="1"/>
        <v>-0.22749022578592287</v>
      </c>
      <c r="H7" s="16">
        <f>SUM(Jan!H7, Feb!H7, Mar!H7)</f>
        <v>20305.238000000001</v>
      </c>
      <c r="I7" s="16">
        <f>SUM(Jan!I7, Feb!I7, Mar!I7)</f>
        <v>-442.7525140241105</v>
      </c>
      <c r="J7" s="15">
        <f t="shared" si="2"/>
        <v>-2.1804842377326997E-2</v>
      </c>
    </row>
    <row r="8" spans="1:10" ht="15.6">
      <c r="A8" s="24" t="str">
        <v>Parking 3</v>
      </c>
      <c r="B8" s="25" t="str">
        <v>AZ</v>
      </c>
      <c r="C8" s="25" t="str">
        <f>Sites[[#This Row],[SOL'#]]</f>
        <v>SOL-10751</v>
      </c>
      <c r="D8" s="20">
        <f>SUM(Jan!D8, Feb!D8, Mar!D8)</f>
        <v>52632.387499999997</v>
      </c>
      <c r="E8" s="10">
        <f>SUM(Jan!E8, Feb!E8, Mar!E8)</f>
        <v>36461.69</v>
      </c>
      <c r="F8" s="10">
        <f t="shared" si="0"/>
        <v>16170.697499999995</v>
      </c>
      <c r="G8" s="11">
        <f t="shared" si="1"/>
        <v>0.44349829917373534</v>
      </c>
      <c r="H8" s="12">
        <f>SUM(Jan!H8, Feb!H8, Mar!H8)</f>
        <v>45223.83</v>
      </c>
      <c r="I8" s="12">
        <f>SUM(Jan!I8, Feb!I8, Mar!I8)</f>
        <v>7408.5575000000026</v>
      </c>
      <c r="J8" s="13">
        <f t="shared" si="2"/>
        <v>0.16381977156733524</v>
      </c>
    </row>
    <row r="9" spans="1:10" ht="15.6">
      <c r="A9" s="26" t="str">
        <v>PE East</v>
      </c>
      <c r="B9" s="27" t="str">
        <v>AZ</v>
      </c>
      <c r="C9" s="27" t="str">
        <f>Sites[[#This Row],[SOL'#]]</f>
        <v>SOL-10752</v>
      </c>
      <c r="D9" s="9">
        <f>SUM(Jan!D9, Feb!D9, Mar!D9)</f>
        <v>45253.447119677396</v>
      </c>
      <c r="E9" s="14">
        <f>SUM(Jan!E9, Feb!E9, Mar!E9)</f>
        <v>28727.75</v>
      </c>
      <c r="F9" s="14">
        <f t="shared" si="0"/>
        <v>16525.697119677396</v>
      </c>
      <c r="G9" s="15">
        <f t="shared" si="1"/>
        <v>0.57525205140247304</v>
      </c>
      <c r="H9" s="16">
        <f>SUM(Jan!H9, Feb!H9, Mar!H9)</f>
        <v>45859.64</v>
      </c>
      <c r="I9" s="16">
        <f>SUM(Jan!I9, Feb!I9, Mar!I9)</f>
        <v>-606.1928803226001</v>
      </c>
      <c r="J9" s="15">
        <f t="shared" si="2"/>
        <v>-1.3218439576119657E-2</v>
      </c>
    </row>
    <row r="10" spans="1:10" ht="15.6">
      <c r="A10" s="24" t="str">
        <v>Schwada</v>
      </c>
      <c r="B10" s="25" t="str">
        <v>AZ</v>
      </c>
      <c r="C10" s="25" t="str">
        <f>Sites[[#This Row],[SOL'#]]</f>
        <v>SOL-10753</v>
      </c>
      <c r="D10" s="20">
        <f>SUM(Jan!D10, Feb!D10, Mar!D10)</f>
        <v>20748.02</v>
      </c>
      <c r="E10" s="10">
        <f>SUM(Jan!E10, Feb!E10, Mar!E10)</f>
        <v>11827.436</v>
      </c>
      <c r="F10" s="10">
        <f t="shared" si="0"/>
        <v>8920.5840000000007</v>
      </c>
      <c r="G10" s="11">
        <f t="shared" si="1"/>
        <v>0.75422805077956045</v>
      </c>
      <c r="H10" s="12">
        <f>SUM(Jan!H10, Feb!H10, Mar!H10)</f>
        <v>20246</v>
      </c>
      <c r="I10" s="12">
        <f>SUM(Jan!I10, Feb!I10, Mar!I10)</f>
        <v>502.02000000000044</v>
      </c>
      <c r="J10" s="13">
        <f t="shared" si="2"/>
        <v>2.4796009088214978E-2</v>
      </c>
    </row>
    <row r="11" spans="1:10" ht="15.6">
      <c r="A11" s="26" t="str">
        <v>Starshine</v>
      </c>
      <c r="B11" s="27" t="str">
        <v>AZ</v>
      </c>
      <c r="C11" s="27" t="str">
        <f>Sites[[#This Row],[SOL'#]]</f>
        <v>SOL-10757</v>
      </c>
      <c r="D11" s="9">
        <f>SUM(Jan!D11, Feb!D11, Mar!D11)</f>
        <v>10857.090729986139</v>
      </c>
      <c r="E11" s="14">
        <f>SUM(Jan!E11, Feb!E11, Mar!E11)</f>
        <v>0</v>
      </c>
      <c r="F11" s="14">
        <f t="shared" si="0"/>
        <v>10857.090729986139</v>
      </c>
      <c r="G11" s="15" t="str">
        <f t="shared" si="1"/>
        <v/>
      </c>
      <c r="H11" s="16">
        <f>SUM(Jan!H11, Feb!H11, Mar!H11)</f>
        <v>11996</v>
      </c>
      <c r="I11" s="16">
        <f>SUM(Jan!I11, Feb!I11, Mar!I11)</f>
        <v>-1138.9092700138599</v>
      </c>
      <c r="J11" s="15">
        <f t="shared" si="2"/>
        <v>-9.4940752752072352E-2</v>
      </c>
    </row>
    <row r="12" spans="1:10" ht="15.6">
      <c r="A12" s="24" t="str">
        <v>Yuma Airport</v>
      </c>
      <c r="B12" s="25" t="str">
        <v>AZ</v>
      </c>
      <c r="C12" s="25" t="str">
        <f>Sites[[#This Row],[SOL'#]]</f>
        <v>SOL-10754</v>
      </c>
      <c r="D12" s="20">
        <f>SUM(Jan!D12, Feb!D12, Mar!D12)</f>
        <v>119103</v>
      </c>
      <c r="E12" s="10">
        <f>SUM(Jan!E12, Feb!E12, Mar!E12)</f>
        <v>154498.15000000002</v>
      </c>
      <c r="F12" s="10">
        <f t="shared" si="0"/>
        <v>-35395.150000000023</v>
      </c>
      <c r="G12" s="11">
        <f t="shared" si="1"/>
        <v>-0.229097565245927</v>
      </c>
      <c r="H12" s="12">
        <f>SUM(Jan!H12, Feb!H12, Mar!H12)</f>
        <v>122174</v>
      </c>
      <c r="I12" s="12">
        <f>SUM(Jan!I12, Feb!I12, Mar!I12)</f>
        <v>-3071</v>
      </c>
      <c r="J12" s="13">
        <f t="shared" si="2"/>
        <v>-2.5136281041792854E-2</v>
      </c>
    </row>
    <row r="13" spans="1:10" ht="15.6">
      <c r="A13" s="26" t="str">
        <v>Kinsman</v>
      </c>
      <c r="B13" s="27" t="str">
        <v>OH</v>
      </c>
      <c r="C13" s="27" t="str">
        <f>Sites[[#This Row],[SOL'#]]</f>
        <v>SOL-10762</v>
      </c>
      <c r="D13" s="9">
        <f>SUM(Jan!D13, Feb!D13, Mar!D13)</f>
        <v>50758.6875</v>
      </c>
      <c r="E13" s="14">
        <f>SUM(Jan!E13, Feb!E13, Mar!E13)</f>
        <v>113273.04000000001</v>
      </c>
      <c r="F13" s="14">
        <f t="shared" si="0"/>
        <v>-62514.352500000008</v>
      </c>
      <c r="G13" s="15">
        <f t="shared" si="1"/>
        <v>-0.55189083386479254</v>
      </c>
      <c r="H13" s="16">
        <f>SUM(Jan!H13, Feb!H13, Mar!H13)</f>
        <v>114870</v>
      </c>
      <c r="I13" s="16">
        <f>SUM(Jan!I13, Feb!I13, Mar!I13)</f>
        <v>-64111.3125</v>
      </c>
      <c r="J13" s="15">
        <f t="shared" si="2"/>
        <v>-0.55812059284408466</v>
      </c>
    </row>
    <row r="14" spans="1:10" ht="15.6">
      <c r="A14" s="24" t="str">
        <v>Wooster</v>
      </c>
      <c r="B14" s="25" t="str">
        <v>OH</v>
      </c>
      <c r="C14" s="25" t="str">
        <f>Sites[[#This Row],[SOL'#]]</f>
        <v>SOL-10763</v>
      </c>
      <c r="D14" s="20">
        <f>SUM(Jan!D14, Feb!D14, Mar!D14)</f>
        <v>14987</v>
      </c>
      <c r="E14" s="10">
        <f>SUM(Jan!E14, Feb!E14, Mar!E14)</f>
        <v>0</v>
      </c>
      <c r="F14" s="10">
        <f t="shared" si="0"/>
        <v>14987</v>
      </c>
      <c r="G14" s="11" t="str">
        <f t="shared" si="1"/>
        <v/>
      </c>
      <c r="H14" s="12">
        <f>SUM(Jan!H14, Feb!H14, Mar!H14)</f>
        <v>25006</v>
      </c>
      <c r="I14" s="12">
        <f>SUM(Jan!I14, Feb!I14, Mar!I14)</f>
        <v>-10019</v>
      </c>
      <c r="J14" s="13">
        <f t="shared" si="2"/>
        <v>-0.40066384067823724</v>
      </c>
    </row>
    <row r="15" spans="1:10" ht="15.6">
      <c r="A15" s="26" t="str">
        <v>Globe Gila CC</v>
      </c>
      <c r="B15" s="27" t="str">
        <v>AZ</v>
      </c>
      <c r="C15" s="27" t="str">
        <f>Sites[[#This Row],[SOL'#]]</f>
        <v>SOL-10755</v>
      </c>
      <c r="D15" s="9">
        <f>SUM(Jan!D15, Feb!D15, Mar!D15)</f>
        <v>25524.3302618653</v>
      </c>
      <c r="E15" s="14">
        <f>SUM(Jan!E15, Feb!E15, Mar!E15)</f>
        <v>0</v>
      </c>
      <c r="F15" s="14">
        <f t="shared" si="0"/>
        <v>25524.3302618653</v>
      </c>
      <c r="G15" s="15" t="str">
        <f t="shared" si="1"/>
        <v/>
      </c>
      <c r="H15" s="16">
        <f>SUM(Jan!H15, Feb!H15, Mar!H15)</f>
        <v>21672</v>
      </c>
      <c r="I15" s="16">
        <f>SUM(Jan!I15, Feb!I15, Mar!I15)</f>
        <v>3852.3302618652997</v>
      </c>
      <c r="J15" s="15">
        <f t="shared" si="2"/>
        <v>0.17775610289153285</v>
      </c>
    </row>
    <row r="16" spans="1:10" ht="15.6">
      <c r="A16" s="24" t="str">
        <v>Payson Gila CC</v>
      </c>
      <c r="B16" s="25" t="str">
        <v>AZ</v>
      </c>
      <c r="C16" s="25" t="str">
        <f>Sites[[#This Row],[SOL'#]]</f>
        <v>SOL-10756</v>
      </c>
      <c r="D16" s="20">
        <f>SUM(Jan!D16, Feb!D16, Mar!D16)</f>
        <v>18140.738845739521</v>
      </c>
      <c r="E16" s="10">
        <f>SUM(Jan!E16, Feb!E16, Mar!E16)</f>
        <v>8276.6329999999998</v>
      </c>
      <c r="F16" s="10">
        <f t="shared" ref="F16:F17" si="3">IF(AND(ISNUMBER(D16),ISNUMBER(E16)), D16-E16, "")</f>
        <v>9864.1058457395211</v>
      </c>
      <c r="G16" s="11">
        <f t="shared" ref="G16:G17" si="4">IFERROR(F16/E16, "")</f>
        <v>1.1918017683929589</v>
      </c>
      <c r="H16" s="12">
        <f>SUM(Jan!H16, Feb!H16, Mar!H16)</f>
        <v>16910</v>
      </c>
      <c r="I16" s="12">
        <f>SUM(Jan!I16, Feb!I16, Mar!I16)</f>
        <v>1230.7388457395191</v>
      </c>
      <c r="J16" s="13">
        <f t="shared" ref="J16:J17" si="5">IFERROR(I16/H16, "")</f>
        <v>7.2781717666441106E-2</v>
      </c>
    </row>
    <row r="17" spans="1:10" ht="15.6">
      <c r="A17" s="26" t="str">
        <v>SCNM</v>
      </c>
      <c r="B17" s="27" t="str">
        <v>AZ</v>
      </c>
      <c r="C17" s="27" t="str">
        <f>Sites[[#This Row],[SOL'#]]</f>
        <v>SOL-10760</v>
      </c>
      <c r="D17" s="9">
        <f>SUM(Jan!D17, Feb!D17, Mar!D17)</f>
        <v>116347.1299999999</v>
      </c>
      <c r="E17" s="14">
        <f>SUM(Jan!E17, Feb!E17, Mar!E17)</f>
        <v>57347.130000000005</v>
      </c>
      <c r="F17" s="14">
        <f t="shared" si="3"/>
        <v>58999.999999999898</v>
      </c>
      <c r="G17" s="15">
        <f t="shared" si="4"/>
        <v>1.028822192148062</v>
      </c>
      <c r="H17" s="16">
        <f>SUM(Jan!H17, Feb!H17, Mar!H17)</f>
        <v>108471</v>
      </c>
      <c r="I17" s="16">
        <f>SUM(Jan!I17, Feb!I17, Mar!I17)</f>
        <v>7876.1299999999028</v>
      </c>
      <c r="J17" s="15">
        <f t="shared" si="5"/>
        <v>7.2610467313843352E-2</v>
      </c>
    </row>
    <row r="18" spans="1:10" ht="12.75" customHeight="1">
      <c r="A18" s="24" t="str">
        <v>Sequoia Charter School</v>
      </c>
      <c r="B18" s="25" t="str">
        <v>AZ</v>
      </c>
      <c r="C18" s="25" t="str">
        <f>Sites[[#This Row],[SOL'#]]</f>
        <v>SOL-10759</v>
      </c>
      <c r="D18" s="20">
        <f>SUM(Jan!D18, Feb!D18, Mar!D18)</f>
        <v>38213.370000000097</v>
      </c>
      <c r="E18" s="10">
        <f>SUM(Jan!E18, Feb!E18, Mar!E18)</f>
        <v>0</v>
      </c>
      <c r="F18" s="10">
        <f t="shared" ref="F18:F81" si="6">IF(AND(ISNUMBER(D18),ISNUMBER(E18)), D18-E18, "")</f>
        <v>38213.370000000097</v>
      </c>
      <c r="G18" s="11" t="str">
        <f t="shared" ref="G18:G81" si="7">IFERROR(F18/E18, "")</f>
        <v/>
      </c>
      <c r="H18" s="12">
        <f>SUM(Jan!H18, Feb!H18, Mar!H18)</f>
        <v>66738</v>
      </c>
      <c r="I18" s="12">
        <f>SUM(Jan!I18, Feb!I18, Mar!I18)</f>
        <v>-28524.629999999899</v>
      </c>
      <c r="J18" s="13">
        <f t="shared" ref="J18:J81" si="8">IFERROR(I18/H18, "")</f>
        <v>-0.42741211903263354</v>
      </c>
    </row>
    <row r="19" spans="1:10" ht="15.6">
      <c r="A19" s="26" t="str">
        <v>RCAB</v>
      </c>
      <c r="B19" s="27" t="str">
        <v>MA</v>
      </c>
      <c r="C19" s="27" t="str">
        <f>Sites[[#This Row],[SOL'#]]</f>
        <v>SOL-10838</v>
      </c>
      <c r="D19" s="9">
        <f>SUM(Jan!D19, Feb!D19, Mar!D19)</f>
        <v>66413.5</v>
      </c>
      <c r="E19" s="14">
        <f>SUM(Jan!E19, Feb!E19, Mar!E19)</f>
        <v>132038.41999999998</v>
      </c>
      <c r="F19" s="14">
        <f t="shared" si="6"/>
        <v>-65624.919999999984</v>
      </c>
      <c r="G19" s="15">
        <f t="shared" si="7"/>
        <v>-0.49701382370373709</v>
      </c>
      <c r="H19" s="16">
        <f>SUM(Jan!H19, Feb!H19, Mar!H19)</f>
        <v>108502.41</v>
      </c>
      <c r="I19" s="16">
        <f>SUM(Jan!I19, Feb!I19, Mar!I19)</f>
        <v>-42088.91</v>
      </c>
      <c r="J19" s="15">
        <f t="shared" si="8"/>
        <v>-0.38790760500158478</v>
      </c>
    </row>
    <row r="20" spans="1:10" ht="15.6">
      <c r="A20" s="24" t="str">
        <v>Spectro Coatings</v>
      </c>
      <c r="B20" s="25" t="str">
        <v>MA</v>
      </c>
      <c r="C20" s="25" t="str">
        <f>Sites[[#This Row],[SOL'#]]</f>
        <v>SOL-10074</v>
      </c>
      <c r="D20" s="20">
        <f>SUM(Jan!D20, Feb!D20, Mar!D20)</f>
        <v>11793.75</v>
      </c>
      <c r="E20" s="10">
        <f>SUM(Jan!E20, Feb!E20, Mar!E20)</f>
        <v>41903.800000000003</v>
      </c>
      <c r="F20" s="10">
        <f t="shared" si="6"/>
        <v>-30110.050000000003</v>
      </c>
      <c r="G20" s="11">
        <f t="shared" si="7"/>
        <v>-0.71855177812036142</v>
      </c>
      <c r="H20" s="12">
        <f>SUM(Jan!H20, Feb!H20, Mar!H20)</f>
        <v>27589.62</v>
      </c>
      <c r="I20" s="12">
        <f>SUM(Jan!I20, Feb!I20, Mar!I20)</f>
        <v>-15795.869999999999</v>
      </c>
      <c r="J20" s="13">
        <f t="shared" si="8"/>
        <v>-0.57252945129363864</v>
      </c>
    </row>
    <row r="21" spans="1:10" ht="15.6">
      <c r="A21" s="26" t="str">
        <v>K026</v>
      </c>
      <c r="B21" s="27" t="str">
        <v>NY</v>
      </c>
      <c r="C21" s="27" t="str">
        <f>Sites[[#This Row],[SOL'#]]</f>
        <v>SOL-10356</v>
      </c>
      <c r="D21" s="9">
        <f>SUM(Jan!D21, Feb!D21, Mar!D21)</f>
        <v>29295.875</v>
      </c>
      <c r="E21" s="14">
        <f>SUM(Jan!E21, Feb!E21, Mar!E21)</f>
        <v>39950.21</v>
      </c>
      <c r="F21" s="14">
        <f t="shared" si="6"/>
        <v>-10654.334999999999</v>
      </c>
      <c r="G21" s="15">
        <f t="shared" si="7"/>
        <v>-0.26669033779797402</v>
      </c>
      <c r="H21" s="16">
        <f>SUM(Jan!H21, Feb!H21, Mar!H21)</f>
        <v>26282.35</v>
      </c>
      <c r="I21" s="16">
        <f>SUM(Jan!I21, Feb!I21, Mar!I21)</f>
        <v>3013.5250000000015</v>
      </c>
      <c r="J21" s="15">
        <f t="shared" si="8"/>
        <v>0.11465964801473238</v>
      </c>
    </row>
    <row r="22" spans="1:10" ht="15.6">
      <c r="A22" s="24" t="str">
        <v>K041</v>
      </c>
      <c r="B22" s="25" t="str">
        <v>NY</v>
      </c>
      <c r="C22" s="25" t="str">
        <f>Sites[[#This Row],[SOL'#]]</f>
        <v>SOL-10357</v>
      </c>
      <c r="D22" s="20">
        <f>SUM(Jan!D22, Feb!D22, Mar!D22)</f>
        <v>22163.328125</v>
      </c>
      <c r="E22" s="10">
        <f>SUM(Jan!E22, Feb!E22, Mar!E22)</f>
        <v>30677.71</v>
      </c>
      <c r="F22" s="10">
        <f t="shared" si="6"/>
        <v>-8514.3818749999991</v>
      </c>
      <c r="G22" s="11">
        <f t="shared" si="7"/>
        <v>-0.27754294160157322</v>
      </c>
      <c r="H22" s="12">
        <f>SUM(Jan!H22, Feb!H22, Mar!H22)</f>
        <v>23783</v>
      </c>
      <c r="I22" s="12">
        <f>SUM(Jan!I22, Feb!I22, Mar!I22)</f>
        <v>-1619.671875</v>
      </c>
      <c r="J22" s="13">
        <f t="shared" si="8"/>
        <v>-6.810208447210192E-2</v>
      </c>
    </row>
    <row r="23" spans="1:10" ht="15.6">
      <c r="A23" s="26" t="str">
        <v>K043</v>
      </c>
      <c r="B23" s="27" t="str">
        <v>NY</v>
      </c>
      <c r="C23" s="27" t="str">
        <f>Sites[[#This Row],[SOL'#]]</f>
        <v>SOL-10358</v>
      </c>
      <c r="D23" s="9">
        <f>SUM(Jan!D23, Feb!D23, Mar!D23)</f>
        <v>26082.03125</v>
      </c>
      <c r="E23" s="14">
        <f>SUM(Jan!E23, Feb!E23, Mar!E23)</f>
        <v>34009.630000000005</v>
      </c>
      <c r="F23" s="14">
        <f t="shared" si="6"/>
        <v>-7927.5987500000047</v>
      </c>
      <c r="G23" s="15">
        <f t="shared" si="7"/>
        <v>-0.2330986473537055</v>
      </c>
      <c r="H23" s="16">
        <f>SUM(Jan!H23, Feb!H23, Mar!H23)</f>
        <v>5364</v>
      </c>
      <c r="I23" s="16">
        <f>SUM(Jan!I23, Feb!I23, Mar!I23)</f>
        <v>20718.03125</v>
      </c>
      <c r="J23" s="15">
        <f t="shared" si="8"/>
        <v>3.8624219332587622</v>
      </c>
    </row>
    <row r="24" spans="1:10" ht="15.6">
      <c r="A24" s="24" t="str">
        <v>K058</v>
      </c>
      <c r="B24" s="25" t="str">
        <v>NY</v>
      </c>
      <c r="C24" s="25" t="str">
        <f>Sites[[#This Row],[SOL'#]]</f>
        <v>SOL-10360</v>
      </c>
      <c r="D24" s="20">
        <f>SUM(Jan!D24, Feb!D24, Mar!D24)</f>
        <v>12634.75</v>
      </c>
      <c r="E24" s="10">
        <f>SUM(Jan!E24, Feb!E24, Mar!E24)</f>
        <v>22177.692999999999</v>
      </c>
      <c r="F24" s="10">
        <f t="shared" si="6"/>
        <v>-9542.9429999999993</v>
      </c>
      <c r="G24" s="11">
        <f t="shared" si="7"/>
        <v>-0.43029466590596233</v>
      </c>
      <c r="H24" s="12">
        <f>SUM(Jan!H24, Feb!H24, Mar!H24)</f>
        <v>21152.249</v>
      </c>
      <c r="I24" s="12">
        <f>SUM(Jan!I24, Feb!I24, Mar!I24)</f>
        <v>-8517.4989999999998</v>
      </c>
      <c r="J24" s="13">
        <f t="shared" si="8"/>
        <v>-0.40267581002852226</v>
      </c>
    </row>
    <row r="25" spans="1:10" ht="15.6">
      <c r="A25" s="26" t="str">
        <v>K115</v>
      </c>
      <c r="B25" s="27" t="str">
        <v>NY</v>
      </c>
      <c r="C25" s="27" t="str">
        <f>Sites[[#This Row],[SOL'#]]</f>
        <v>SOL-10361</v>
      </c>
      <c r="D25" s="9">
        <f>SUM(Jan!D25, Feb!D25, Mar!D25)</f>
        <v>5869.9375</v>
      </c>
      <c r="E25" s="14">
        <f>SUM(Jan!E25, Feb!E25, Mar!E25)</f>
        <v>15531.745999999999</v>
      </c>
      <c r="F25" s="14">
        <f t="shared" si="6"/>
        <v>-9661.8084999999992</v>
      </c>
      <c r="G25" s="15">
        <f t="shared" si="7"/>
        <v>-0.62206840750550518</v>
      </c>
      <c r="H25" s="16">
        <f>SUM(Jan!H25, Feb!H25, Mar!H25)</f>
        <v>13081.923999999999</v>
      </c>
      <c r="I25" s="16">
        <f>SUM(Jan!I25, Feb!I25, Mar!I25)</f>
        <v>-7211.9865</v>
      </c>
      <c r="J25" s="15">
        <f t="shared" si="8"/>
        <v>-0.55129402219428891</v>
      </c>
    </row>
    <row r="26" spans="1:10" ht="15.6">
      <c r="A26" s="24" t="str">
        <v>K152</v>
      </c>
      <c r="B26" s="25" t="str">
        <v>NY</v>
      </c>
      <c r="C26" s="25" t="str">
        <f>Sites[[#This Row],[SOL'#]]</f>
        <v>SOL-10362</v>
      </c>
      <c r="D26" s="20">
        <f>SUM(Jan!D26, Feb!D26, Mar!D26)</f>
        <v>7886.59375</v>
      </c>
      <c r="E26" s="10">
        <f>SUM(Jan!E26, Feb!E26, Mar!E26)</f>
        <v>10180.395</v>
      </c>
      <c r="F26" s="10">
        <f t="shared" si="6"/>
        <v>-2293.8012500000004</v>
      </c>
      <c r="G26" s="11">
        <f t="shared" si="7"/>
        <v>-0.22531554522196834</v>
      </c>
      <c r="H26" s="12">
        <f>SUM(Jan!H26, Feb!H26, Mar!H26)</f>
        <v>8243</v>
      </c>
      <c r="I26" s="12">
        <f>SUM(Jan!I26, Feb!I26, Mar!I26)</f>
        <v>-356.40625</v>
      </c>
      <c r="J26" s="13">
        <f t="shared" si="8"/>
        <v>-4.3237443891786971E-2</v>
      </c>
    </row>
    <row r="27" spans="1:10" ht="15.6">
      <c r="A27" s="26" t="str">
        <v>K166</v>
      </c>
      <c r="B27" s="27" t="str">
        <v>NY</v>
      </c>
      <c r="C27" s="27" t="str">
        <f>Sites[[#This Row],[SOL'#]]</f>
        <v>SOL-10363</v>
      </c>
      <c r="D27" s="9">
        <f>SUM(Jan!D27, Feb!D27, Mar!D27)</f>
        <v>27947</v>
      </c>
      <c r="E27" s="14">
        <f>SUM(Jan!E27, Feb!E27, Mar!E27)</f>
        <v>38662.630000000005</v>
      </c>
      <c r="F27" s="14">
        <f t="shared" si="6"/>
        <v>-10715.630000000005</v>
      </c>
      <c r="G27" s="15">
        <f t="shared" si="7"/>
        <v>-0.27715729633498815</v>
      </c>
      <c r="H27" s="16">
        <f>SUM(Jan!H27, Feb!H27, Mar!H27)</f>
        <v>28542.37</v>
      </c>
      <c r="I27" s="16">
        <f>SUM(Jan!I27, Feb!I27, Mar!I27)</f>
        <v>-595.36999999999898</v>
      </c>
      <c r="J27" s="15">
        <f t="shared" si="8"/>
        <v>-2.0859164813573611E-2</v>
      </c>
    </row>
    <row r="28" spans="1:10" ht="15.6">
      <c r="A28" s="24" t="str">
        <v>K206</v>
      </c>
      <c r="B28" s="25" t="str">
        <v>NY</v>
      </c>
      <c r="C28" s="25" t="str">
        <f>Sites[[#This Row],[SOL'#]]</f>
        <v>SOL-10927</v>
      </c>
      <c r="D28" s="20">
        <f>SUM(Jan!D28, Feb!D28, Mar!D28)</f>
        <v>17303.521718749998</v>
      </c>
      <c r="E28" s="10">
        <f>SUM(Jan!E28, Feb!E28, Mar!E28)</f>
        <v>23876.400000000001</v>
      </c>
      <c r="F28" s="10">
        <f t="shared" si="6"/>
        <v>-6572.8782812500031</v>
      </c>
      <c r="G28" s="11">
        <f t="shared" si="7"/>
        <v>-0.27528765983355963</v>
      </c>
      <c r="H28" s="12">
        <f>SUM(Jan!H28, Feb!H28, Mar!H28)</f>
        <v>16126</v>
      </c>
      <c r="I28" s="12">
        <f>SUM(Jan!I28, Feb!I28, Mar!I28)</f>
        <v>1177.5217187499993</v>
      </c>
      <c r="J28" s="13">
        <f t="shared" si="8"/>
        <v>7.3020074336475213E-2</v>
      </c>
    </row>
    <row r="29" spans="1:10" ht="15.6">
      <c r="A29" s="26" t="str">
        <v>K251</v>
      </c>
      <c r="B29" s="27" t="str">
        <v>NY</v>
      </c>
      <c r="C29" s="27" t="str">
        <f>Sites[[#This Row],[SOL'#]]</f>
        <v>SOL-10365</v>
      </c>
      <c r="D29" s="9">
        <f>SUM(Jan!D29, Feb!D29, Mar!D29)</f>
        <v>19715.4375</v>
      </c>
      <c r="E29" s="14">
        <f>SUM(Jan!E29, Feb!E29, Mar!E29)</f>
        <v>0</v>
      </c>
      <c r="F29" s="14">
        <f t="shared" si="6"/>
        <v>19715.4375</v>
      </c>
      <c r="G29" s="15" t="str">
        <f t="shared" si="7"/>
        <v/>
      </c>
      <c r="H29" s="16">
        <f>SUM(Jan!H29, Feb!H29, Mar!H29)</f>
        <v>19558.752</v>
      </c>
      <c r="I29" s="16">
        <f>SUM(Jan!I29, Feb!I29, Mar!I29)</f>
        <v>156.68550000000141</v>
      </c>
      <c r="J29" s="15">
        <f t="shared" si="8"/>
        <v>8.0110172673594614E-3</v>
      </c>
    </row>
    <row r="30" spans="1:10" ht="15.6">
      <c r="A30" s="24" t="str">
        <v>K269</v>
      </c>
      <c r="B30" s="25" t="str">
        <v>NY</v>
      </c>
      <c r="C30" s="25" t="str">
        <f>Sites[[#This Row],[SOL'#]]</f>
        <v>SOL-10366</v>
      </c>
      <c r="D30" s="20">
        <f>SUM(Jan!D30, Feb!D30, Mar!D30)</f>
        <v>16956.6875</v>
      </c>
      <c r="E30" s="10">
        <f>SUM(Jan!E30, Feb!E30, Mar!E30)</f>
        <v>25626.35</v>
      </c>
      <c r="F30" s="10">
        <f t="shared" si="6"/>
        <v>-8669.6624999999985</v>
      </c>
      <c r="G30" s="11">
        <f t="shared" si="7"/>
        <v>-0.33831046949721671</v>
      </c>
      <c r="H30" s="12">
        <f>SUM(Jan!H30, Feb!H30, Mar!H30)</f>
        <v>18484.781999999999</v>
      </c>
      <c r="I30" s="12">
        <f>SUM(Jan!I30, Feb!I30, Mar!I30)</f>
        <v>-1528.0945000000002</v>
      </c>
      <c r="J30" s="13">
        <f t="shared" si="8"/>
        <v>-8.2667704709744494E-2</v>
      </c>
    </row>
    <row r="31" spans="1:10" ht="15.6">
      <c r="A31" s="26" t="str">
        <v>K273</v>
      </c>
      <c r="B31" s="27" t="str">
        <v>NY</v>
      </c>
      <c r="C31" s="27" t="str">
        <f>Sites[[#This Row],[SOL'#]]</f>
        <v>SOL-10367</v>
      </c>
      <c r="D31" s="9">
        <f>SUM(Jan!D31, Feb!D31, Mar!D31)</f>
        <v>17763.375</v>
      </c>
      <c r="E31" s="14">
        <f>SUM(Jan!E31, Feb!E31, Mar!E31)</f>
        <v>0</v>
      </c>
      <c r="F31" s="14">
        <f t="shared" si="6"/>
        <v>17763.375</v>
      </c>
      <c r="G31" s="15" t="str">
        <f t="shared" si="7"/>
        <v/>
      </c>
      <c r="H31" s="16">
        <f>SUM(Jan!H31, Feb!H31, Mar!H31)</f>
        <v>22323</v>
      </c>
      <c r="I31" s="16">
        <f>SUM(Jan!I31, Feb!I31, Mar!I31)</f>
        <v>-4559.625</v>
      </c>
      <c r="J31" s="15">
        <f t="shared" si="8"/>
        <v>-0.20425682031984949</v>
      </c>
    </row>
    <row r="32" spans="1:10" ht="15.6">
      <c r="A32" s="24" t="str">
        <v>K287</v>
      </c>
      <c r="B32" s="25" t="str">
        <v>NY</v>
      </c>
      <c r="C32" s="25" t="str">
        <f>Sites[[#This Row],[SOL'#]]</f>
        <v>SOL-10919</v>
      </c>
      <c r="D32" s="20">
        <f>SUM(Jan!D32, Feb!D32, Mar!D32)</f>
        <v>15899.65625</v>
      </c>
      <c r="E32" s="10">
        <f>SUM(Jan!E32, Feb!E32, Mar!E32)</f>
        <v>17700.674999999999</v>
      </c>
      <c r="F32" s="10">
        <f t="shared" si="6"/>
        <v>-1801.0187499999993</v>
      </c>
      <c r="G32" s="11">
        <f t="shared" si="7"/>
        <v>-0.10174859150851588</v>
      </c>
      <c r="H32" s="12">
        <f>SUM(Jan!H32, Feb!H32, Mar!H32)</f>
        <v>16807</v>
      </c>
      <c r="I32" s="12">
        <f>SUM(Jan!I32, Feb!I32, Mar!I32)</f>
        <v>-907.34375</v>
      </c>
      <c r="J32" s="13">
        <f t="shared" si="8"/>
        <v>-5.3986062354971144E-2</v>
      </c>
    </row>
    <row r="33" spans="1:10" ht="15.6">
      <c r="A33" s="26" t="str">
        <v>K298</v>
      </c>
      <c r="B33" s="27" t="str">
        <v>NY</v>
      </c>
      <c r="C33" s="27" t="str">
        <f>Sites[[#This Row],[SOL'#]]</f>
        <v>SOL-10368</v>
      </c>
      <c r="D33" s="9">
        <f>SUM(Jan!D33, Feb!D33, Mar!D33)</f>
        <v>14059.84375</v>
      </c>
      <c r="E33" s="14">
        <f>SUM(Jan!E33, Feb!E33, Mar!E33)</f>
        <v>22681.83</v>
      </c>
      <c r="F33" s="14">
        <f t="shared" si="6"/>
        <v>-8621.9862500000017</v>
      </c>
      <c r="G33" s="15">
        <f t="shared" si="7"/>
        <v>-0.38012745223820127</v>
      </c>
      <c r="H33" s="16">
        <f>SUM(Jan!H33, Feb!H33, Mar!H33)</f>
        <v>15584</v>
      </c>
      <c r="I33" s="16">
        <f>SUM(Jan!I33, Feb!I33, Mar!I33)</f>
        <v>-1524.15625</v>
      </c>
      <c r="J33" s="15">
        <f t="shared" si="8"/>
        <v>-9.7802634111909648E-2</v>
      </c>
    </row>
    <row r="34" spans="1:10" ht="15.6">
      <c r="A34" s="24" t="str">
        <v>K335</v>
      </c>
      <c r="B34" s="25" t="str">
        <v>NY</v>
      </c>
      <c r="C34" s="25" t="str">
        <f>Sites[[#This Row],[SOL'#]]</f>
        <v>SOL-10370</v>
      </c>
      <c r="D34" s="20">
        <f>SUM(Jan!D34, Feb!D34, Mar!D34)</f>
        <v>16480.25</v>
      </c>
      <c r="E34" s="10">
        <f>SUM(Jan!E34, Feb!E34, Mar!E34)</f>
        <v>24255.4</v>
      </c>
      <c r="F34" s="10">
        <f t="shared" si="6"/>
        <v>-7775.1500000000015</v>
      </c>
      <c r="G34" s="11">
        <f t="shared" si="7"/>
        <v>-0.32055336131335704</v>
      </c>
      <c r="H34" s="12">
        <f>SUM(Jan!H34, Feb!H34, Mar!H34)</f>
        <v>19020</v>
      </c>
      <c r="I34" s="12">
        <f>SUM(Jan!I34, Feb!I34, Mar!I34)</f>
        <v>-2539.75</v>
      </c>
      <c r="J34" s="13">
        <f t="shared" si="8"/>
        <v>-0.13353049421661409</v>
      </c>
    </row>
    <row r="35" spans="1:10" ht="15.6">
      <c r="A35" s="26" t="str">
        <v>K345</v>
      </c>
      <c r="B35" s="27" t="str">
        <v>NY</v>
      </c>
      <c r="C35" s="27" t="str">
        <f>Sites[[#This Row],[SOL'#]]</f>
        <v>SOL-10920</v>
      </c>
      <c r="D35" s="9">
        <f>SUM(Jan!D35, Feb!D35, Mar!D35)</f>
        <v>19675.312500000011</v>
      </c>
      <c r="E35" s="14">
        <f>SUM(Jan!E35, Feb!E35, Mar!E35)</f>
        <v>17141.626</v>
      </c>
      <c r="F35" s="14">
        <f t="shared" si="6"/>
        <v>2533.6865000000107</v>
      </c>
      <c r="G35" s="15">
        <f t="shared" si="7"/>
        <v>0.14780899431594241</v>
      </c>
      <c r="H35" s="16">
        <f>SUM(Jan!H35, Feb!H35, Mar!H35)</f>
        <v>18487</v>
      </c>
      <c r="I35" s="16">
        <f>SUM(Jan!I35, Feb!I35, Mar!I35)</f>
        <v>1188.31250000001</v>
      </c>
      <c r="J35" s="15">
        <f t="shared" si="8"/>
        <v>6.4278276626819383E-2</v>
      </c>
    </row>
    <row r="36" spans="1:10" ht="15.6">
      <c r="A36" s="24" t="str">
        <v>K445</v>
      </c>
      <c r="B36" s="25" t="str">
        <v>NY</v>
      </c>
      <c r="C36" s="25" t="str">
        <f>Sites[[#This Row],[SOL'#]]</f>
        <v>SOL-10373</v>
      </c>
      <c r="D36" s="20">
        <f>SUM(Jan!D36, Feb!D36, Mar!D36)</f>
        <v>17220.59375</v>
      </c>
      <c r="E36" s="10">
        <f>SUM(Jan!E36, Feb!E36, Mar!E36)</f>
        <v>24751.66</v>
      </c>
      <c r="F36" s="10">
        <f t="shared" si="6"/>
        <v>-7531.0662499999999</v>
      </c>
      <c r="G36" s="11">
        <f t="shared" si="7"/>
        <v>-0.30426509777526034</v>
      </c>
      <c r="H36" s="12">
        <f>SUM(Jan!H36, Feb!H36, Mar!H36)</f>
        <v>16277.987000000001</v>
      </c>
      <c r="I36" s="12">
        <f>SUM(Jan!I36, Feb!I36, Mar!I36)</f>
        <v>942.60674999999992</v>
      </c>
      <c r="J36" s="13">
        <f t="shared" si="8"/>
        <v>5.7906837620646821E-2</v>
      </c>
    </row>
    <row r="37" spans="1:10" ht="15.6">
      <c r="A37" s="26" t="str">
        <v>K495</v>
      </c>
      <c r="B37" s="27" t="str">
        <v>NY</v>
      </c>
      <c r="C37" s="27" t="str">
        <f>Sites[[#This Row],[SOL'#]]</f>
        <v>SOL-10374</v>
      </c>
      <c r="D37" s="9">
        <f>SUM(Jan!D37, Feb!D37, Mar!D37)</f>
        <v>576</v>
      </c>
      <c r="E37" s="14">
        <f>SUM(Jan!E37, Feb!E37, Mar!E37)</f>
        <v>72688.040000000008</v>
      </c>
      <c r="F37" s="14">
        <f t="shared" si="6"/>
        <v>-72112.040000000008</v>
      </c>
      <c r="G37" s="15">
        <f t="shared" si="7"/>
        <v>-0.99207572524998611</v>
      </c>
      <c r="H37" s="16">
        <f>SUM(Jan!H37, Feb!H37, Mar!H37)</f>
        <v>76081</v>
      </c>
      <c r="I37" s="16">
        <f>SUM(Jan!I37, Feb!I37, Mar!I37)</f>
        <v>-75505</v>
      </c>
      <c r="J37" s="15">
        <f t="shared" si="8"/>
        <v>-0.99242912159409047</v>
      </c>
    </row>
    <row r="38" spans="1:10" ht="15.6">
      <c r="A38" s="24" t="str">
        <v>M020</v>
      </c>
      <c r="B38" s="25" t="str">
        <v>NY</v>
      </c>
      <c r="C38" s="25" t="str">
        <f>Sites[[#This Row],[SOL'#]]</f>
        <v>SOL-10380</v>
      </c>
      <c r="D38" s="20">
        <f>SUM(Jan!D38, Feb!D38, Mar!D38)</f>
        <v>17982.1875</v>
      </c>
      <c r="E38" s="10">
        <f>SUM(Jan!E38, Feb!E38, Mar!E38)</f>
        <v>23243.79</v>
      </c>
      <c r="F38" s="10">
        <f t="shared" si="6"/>
        <v>-5261.6025000000009</v>
      </c>
      <c r="G38" s="11">
        <f t="shared" si="7"/>
        <v>-0.22636594548479402</v>
      </c>
      <c r="H38" s="12">
        <f>SUM(Jan!H38, Feb!H38, Mar!H38)</f>
        <v>20810</v>
      </c>
      <c r="I38" s="12">
        <f>SUM(Jan!I38, Feb!I38, Mar!I38)</f>
        <v>-2827.8125</v>
      </c>
      <c r="J38" s="13">
        <f t="shared" si="8"/>
        <v>-0.13588719365689572</v>
      </c>
    </row>
    <row r="39" spans="1:10" ht="15.6">
      <c r="A39" s="26" t="str">
        <v>M092</v>
      </c>
      <c r="B39" s="27" t="str">
        <v>NY</v>
      </c>
      <c r="C39" s="27" t="str">
        <f>Sites[[#This Row],[SOL'#]]</f>
        <v>SOL-10383</v>
      </c>
      <c r="D39" s="9">
        <f>SUM(Jan!D39, Feb!D39, Mar!D39)</f>
        <v>17343.375000000022</v>
      </c>
      <c r="E39" s="14">
        <f>SUM(Jan!E39, Feb!E39, Mar!E39)</f>
        <v>24173.43</v>
      </c>
      <c r="F39" s="14">
        <f t="shared" si="6"/>
        <v>-6830.0549999999785</v>
      </c>
      <c r="G39" s="15">
        <f t="shared" si="7"/>
        <v>-0.28254389219899612</v>
      </c>
      <c r="H39" s="16">
        <f>SUM(Jan!H39, Feb!H39, Mar!H39)</f>
        <v>18847.82</v>
      </c>
      <c r="I39" s="16">
        <f>SUM(Jan!I39, Feb!I39, Mar!I39)</f>
        <v>-1504.4449999999806</v>
      </c>
      <c r="J39" s="15">
        <f t="shared" si="8"/>
        <v>-7.9820637081634935E-2</v>
      </c>
    </row>
    <row r="40" spans="1:10" ht="15.6">
      <c r="A40" s="24" t="str">
        <v>M143</v>
      </c>
      <c r="B40" s="25" t="str">
        <v>NY</v>
      </c>
      <c r="C40" s="25" t="str">
        <f>Sites[[#This Row],[SOL'#]]</f>
        <v>SOL-10384</v>
      </c>
      <c r="D40" s="20">
        <f>SUM(Jan!D40, Feb!D40, Mar!D40)</f>
        <v>19191.71875</v>
      </c>
      <c r="E40" s="10">
        <f>SUM(Jan!E40, Feb!E40, Mar!E40)</f>
        <v>25568.639999999999</v>
      </c>
      <c r="F40" s="10">
        <f t="shared" si="6"/>
        <v>-6376.9212499999994</v>
      </c>
      <c r="G40" s="11">
        <f t="shared" si="7"/>
        <v>-0.24940400623576378</v>
      </c>
      <c r="H40" s="12">
        <f>SUM(Jan!H40, Feb!H40, Mar!H40)</f>
        <v>20182.164000000001</v>
      </c>
      <c r="I40" s="12">
        <f>SUM(Jan!I40, Feb!I40, Mar!I40)</f>
        <v>-990.44525000000067</v>
      </c>
      <c r="J40" s="13">
        <f t="shared" si="8"/>
        <v>-4.9075275079520739E-2</v>
      </c>
    </row>
    <row r="41" spans="1:10" ht="15.6">
      <c r="A41" s="26" t="str">
        <v>M144</v>
      </c>
      <c r="B41" s="27" t="str">
        <v>NY</v>
      </c>
      <c r="C41" s="27" t="str">
        <f>Sites[[#This Row],[SOL'#]]</f>
        <v>SOL-10385</v>
      </c>
      <c r="D41" s="9">
        <f>SUM(Jan!D41, Feb!D41, Mar!D41)</f>
        <v>29858.15625</v>
      </c>
      <c r="E41" s="14">
        <f>SUM(Jan!E41, Feb!E41, Mar!E41)</f>
        <v>0</v>
      </c>
      <c r="F41" s="14">
        <f t="shared" si="6"/>
        <v>29858.15625</v>
      </c>
      <c r="G41" s="15" t="str">
        <f t="shared" si="7"/>
        <v/>
      </c>
      <c r="H41" s="16">
        <f>SUM(Jan!H41, Feb!H41, Mar!H41)</f>
        <v>31776</v>
      </c>
      <c r="I41" s="16">
        <f>SUM(Jan!I41, Feb!I41, Mar!I41)</f>
        <v>-1917.84375</v>
      </c>
      <c r="J41" s="15">
        <f t="shared" si="8"/>
        <v>-6.0355102907854986E-2</v>
      </c>
    </row>
    <row r="42" spans="1:10" ht="15.6">
      <c r="A42" s="24" t="str">
        <v>M167</v>
      </c>
      <c r="B42" s="25" t="str">
        <v>NY</v>
      </c>
      <c r="C42" s="25" t="str">
        <f>Sites[[#This Row],[SOL'#]]</f>
        <v>SOL-10386</v>
      </c>
      <c r="D42" s="20">
        <f>SUM(Jan!D42, Feb!D42, Mar!D42)</f>
        <v>19012.5625</v>
      </c>
      <c r="E42" s="10">
        <f>SUM(Jan!E42, Feb!E42, Mar!E42)</f>
        <v>20472.916000000001</v>
      </c>
      <c r="F42" s="10">
        <f t="shared" si="6"/>
        <v>-1460.3535000000011</v>
      </c>
      <c r="G42" s="11">
        <f t="shared" si="7"/>
        <v>-7.1330996522429982E-2</v>
      </c>
      <c r="H42" s="12">
        <f>SUM(Jan!H42, Feb!H42, Mar!H42)</f>
        <v>21456.530999999999</v>
      </c>
      <c r="I42" s="12">
        <f>SUM(Jan!I42, Feb!I42, Mar!I42)</f>
        <v>-2443.9684999999999</v>
      </c>
      <c r="J42" s="13">
        <f t="shared" si="8"/>
        <v>-0.11390324465776877</v>
      </c>
    </row>
    <row r="43" spans="1:10" ht="15.6">
      <c r="A43" s="26" t="str">
        <v>M188</v>
      </c>
      <c r="B43" s="27" t="str">
        <v>NY</v>
      </c>
      <c r="C43" s="27" t="str">
        <f>Sites[[#This Row],[SOL'#]]</f>
        <v>SOL-10387</v>
      </c>
      <c r="D43" s="9">
        <f>SUM(Jan!D43, Feb!D43, Mar!D43)</f>
        <v>15843.25</v>
      </c>
      <c r="E43" s="14">
        <f>SUM(Jan!E43, Feb!E43, Mar!E43)</f>
        <v>0</v>
      </c>
      <c r="F43" s="14">
        <f t="shared" si="6"/>
        <v>15843.25</v>
      </c>
      <c r="G43" s="15" t="str">
        <f t="shared" si="7"/>
        <v/>
      </c>
      <c r="H43" s="16">
        <f>SUM(Jan!H43, Feb!H43, Mar!H43)</f>
        <v>16592</v>
      </c>
      <c r="I43" s="16">
        <f>SUM(Jan!I43, Feb!I43, Mar!I43)</f>
        <v>-748.75</v>
      </c>
      <c r="J43" s="15">
        <f t="shared" si="8"/>
        <v>-4.5127169720347159E-2</v>
      </c>
    </row>
    <row r="44" spans="1:10" ht="15.6">
      <c r="A44" s="24" t="str">
        <v>EMHC</v>
      </c>
      <c r="B44" s="25" t="str">
        <v>NY</v>
      </c>
      <c r="C44" s="25" t="str">
        <f>Sites[[#This Row],[SOL'#]]</f>
        <v>SOL-10351</v>
      </c>
      <c r="D44" s="20">
        <f>SUM(Jan!D44, Feb!D44, Mar!D44)</f>
        <v>5537.15625</v>
      </c>
      <c r="E44" s="10">
        <f>SUM(Jan!E44, Feb!E44, Mar!E44)</f>
        <v>5151.9369999999999</v>
      </c>
      <c r="F44" s="10">
        <f t="shared" si="6"/>
        <v>385.2192500000001</v>
      </c>
      <c r="G44" s="11">
        <f t="shared" si="7"/>
        <v>7.4771731486623402E-2</v>
      </c>
      <c r="H44" s="12">
        <f>SUM(Jan!H44, Feb!H44, Mar!H44)</f>
        <v>5757.8220000000001</v>
      </c>
      <c r="I44" s="12">
        <f>SUM(Jan!I44, Feb!I44, Mar!I44)</f>
        <v>-220.66575000000012</v>
      </c>
      <c r="J44" s="13">
        <f t="shared" si="8"/>
        <v>-3.8324517499846313E-2</v>
      </c>
    </row>
    <row r="45" spans="1:10" ht="15.6">
      <c r="A45" s="26" t="str">
        <v>Q008</v>
      </c>
      <c r="B45" s="27" t="str">
        <v>NY</v>
      </c>
      <c r="C45" s="27" t="str">
        <f>Sites[[#This Row],[SOL'#]]</f>
        <v>SOL-10397</v>
      </c>
      <c r="D45" s="9">
        <f>SUM(Jan!D45, Feb!D45, Mar!D45)</f>
        <v>21906.90625</v>
      </c>
      <c r="E45" s="14">
        <f>SUM(Jan!E45, Feb!E45, Mar!E45)</f>
        <v>30121</v>
      </c>
      <c r="F45" s="14">
        <f t="shared" si="6"/>
        <v>-8214.09375</v>
      </c>
      <c r="G45" s="15">
        <f t="shared" si="7"/>
        <v>-0.27270322200458152</v>
      </c>
      <c r="H45" s="16">
        <f>SUM(Jan!H45, Feb!H45, Mar!H45)</f>
        <v>25781</v>
      </c>
      <c r="I45" s="16">
        <f>SUM(Jan!I45, Feb!I45, Mar!I45)</f>
        <v>-3874.09375</v>
      </c>
      <c r="J45" s="15">
        <f t="shared" si="8"/>
        <v>-0.15026933594507583</v>
      </c>
    </row>
    <row r="46" spans="1:10" ht="15.6">
      <c r="A46" s="24" t="str">
        <v>Q018</v>
      </c>
      <c r="B46" s="25" t="str">
        <v>NY</v>
      </c>
      <c r="C46" s="25" t="str">
        <f>Sites[[#This Row],[SOL'#]]</f>
        <v>SOL-10398</v>
      </c>
      <c r="D46" s="20">
        <f>SUM(Jan!D46, Feb!D46, Mar!D46)</f>
        <v>16896.5625</v>
      </c>
      <c r="E46" s="10">
        <f>SUM(Jan!E46, Feb!E46, Mar!E46)</f>
        <v>18944.171999999999</v>
      </c>
      <c r="F46" s="10">
        <f t="shared" si="6"/>
        <v>-2047.6094999999987</v>
      </c>
      <c r="G46" s="11">
        <f t="shared" si="7"/>
        <v>-0.10808651336147068</v>
      </c>
      <c r="H46" s="12">
        <f>SUM(Jan!H46, Feb!H46, Mar!H46)</f>
        <v>15383.325999999999</v>
      </c>
      <c r="I46" s="12">
        <f>SUM(Jan!I46, Feb!I46, Mar!I46)</f>
        <v>1513.2365000000009</v>
      </c>
      <c r="J46" s="13">
        <f t="shared" si="8"/>
        <v>9.8368616773771872E-2</v>
      </c>
    </row>
    <row r="47" spans="1:10" ht="15.6">
      <c r="A47" s="26" t="str">
        <v>Q021</v>
      </c>
      <c r="B47" s="27" t="str">
        <v>NY</v>
      </c>
      <c r="C47" s="27" t="str">
        <f>Sites[[#This Row],[SOL'#]]</f>
        <v>SOL-10399</v>
      </c>
      <c r="D47" s="9">
        <f>SUM(Jan!D47, Feb!D47, Mar!D47)</f>
        <v>13779.46875000006</v>
      </c>
      <c r="E47" s="14">
        <f>SUM(Jan!E47, Feb!E47, Mar!E47)</f>
        <v>19224.673999999999</v>
      </c>
      <c r="F47" s="14">
        <f t="shared" si="6"/>
        <v>-5445.205249999939</v>
      </c>
      <c r="G47" s="15">
        <f t="shared" si="7"/>
        <v>-0.28324044662603587</v>
      </c>
      <c r="H47" s="16">
        <f>SUM(Jan!H47, Feb!H47, Mar!H47)</f>
        <v>12314.647000000001</v>
      </c>
      <c r="I47" s="16">
        <f>SUM(Jan!I47, Feb!I47, Mar!I47)</f>
        <v>1464.8217500000601</v>
      </c>
      <c r="J47" s="15">
        <f t="shared" si="8"/>
        <v>0.11894955251255354</v>
      </c>
    </row>
    <row r="48" spans="1:10" ht="15.6">
      <c r="A48" s="24" t="str">
        <v>Q025</v>
      </c>
      <c r="B48" s="25" t="str">
        <v>NY</v>
      </c>
      <c r="C48" s="25" t="str">
        <f>Sites[[#This Row],[SOL'#]]</f>
        <v>SOL-10400</v>
      </c>
      <c r="D48" s="20">
        <f>SUM(Jan!D48, Feb!D48, Mar!D48)</f>
        <v>22983</v>
      </c>
      <c r="E48" s="10">
        <f>SUM(Jan!E48, Feb!E48, Mar!E48)</f>
        <v>29018.559999999998</v>
      </c>
      <c r="F48" s="10">
        <f t="shared" si="6"/>
        <v>-6035.5599999999977</v>
      </c>
      <c r="G48" s="11">
        <f t="shared" si="7"/>
        <v>-0.20798964524773103</v>
      </c>
      <c r="H48" s="12">
        <f>SUM(Jan!H48, Feb!H48, Mar!H48)</f>
        <v>17307</v>
      </c>
      <c r="I48" s="12">
        <f>SUM(Jan!I48, Feb!I48, Mar!I48)</f>
        <v>5676</v>
      </c>
      <c r="J48" s="13">
        <f t="shared" si="8"/>
        <v>0.327959785058069</v>
      </c>
    </row>
    <row r="49" spans="1:10" ht="15.6">
      <c r="A49" s="26" t="str">
        <v>Q074</v>
      </c>
      <c r="B49" s="27" t="str">
        <v>NY</v>
      </c>
      <c r="C49" s="27" t="str">
        <f>Sites[[#This Row],[SOL'#]]</f>
        <v>SOL-10402</v>
      </c>
      <c r="D49" s="9">
        <f>SUM(Jan!D49, Feb!D49, Mar!D49)</f>
        <v>14407</v>
      </c>
      <c r="E49" s="14">
        <f>SUM(Jan!E49, Feb!E49, Mar!E49)</f>
        <v>17085.620999999999</v>
      </c>
      <c r="F49" s="14">
        <f t="shared" si="6"/>
        <v>-2678.6209999999992</v>
      </c>
      <c r="G49" s="15">
        <f t="shared" si="7"/>
        <v>-0.15677633256643111</v>
      </c>
      <c r="H49" s="16">
        <f>SUM(Jan!H49, Feb!H49, Mar!H49)</f>
        <v>14045.405999999999</v>
      </c>
      <c r="I49" s="16">
        <f>SUM(Jan!I49, Feb!I49, Mar!I49)</f>
        <v>361.59400000000005</v>
      </c>
      <c r="J49" s="15">
        <f t="shared" si="8"/>
        <v>2.5744645615797798E-2</v>
      </c>
    </row>
    <row r="50" spans="1:10" ht="15.6">
      <c r="A50" s="24" t="str">
        <v>Q115</v>
      </c>
      <c r="B50" s="25" t="str">
        <v>NY</v>
      </c>
      <c r="C50" s="25" t="str">
        <f>Sites[[#This Row],[SOL'#]]</f>
        <v>SOL-10872</v>
      </c>
      <c r="D50" s="20">
        <f>SUM(Jan!D50, Feb!D50, Mar!D50)</f>
        <v>19448.625</v>
      </c>
      <c r="E50" s="10">
        <f>SUM(Jan!E50, Feb!E50, Mar!E50)</f>
        <v>26362.84</v>
      </c>
      <c r="F50" s="10">
        <f t="shared" si="6"/>
        <v>-6914.2150000000001</v>
      </c>
      <c r="G50" s="11">
        <f t="shared" si="7"/>
        <v>-0.26227124998672374</v>
      </c>
      <c r="H50" s="12">
        <f>SUM(Jan!H50, Feb!H50, Mar!H50)</f>
        <v>18836.707000000002</v>
      </c>
      <c r="I50" s="12">
        <f>SUM(Jan!I50, Feb!I50, Mar!I50)</f>
        <v>611.91799999999967</v>
      </c>
      <c r="J50" s="13">
        <f t="shared" si="8"/>
        <v>3.2485402039751407E-2</v>
      </c>
    </row>
    <row r="51" spans="1:10" ht="15.6">
      <c r="A51" s="26" t="str">
        <v>Q139</v>
      </c>
      <c r="B51" s="27" t="str">
        <v>NY</v>
      </c>
      <c r="C51" s="27" t="str">
        <f>Sites[[#This Row],[SOL'#]]</f>
        <v>SOL-10403</v>
      </c>
      <c r="D51" s="9">
        <f>SUM(Jan!D51, Feb!D51, Mar!D51)</f>
        <v>11746.65625</v>
      </c>
      <c r="E51" s="14">
        <f>SUM(Jan!E51, Feb!E51, Mar!E51)</f>
        <v>14458.78</v>
      </c>
      <c r="F51" s="14">
        <f t="shared" si="6"/>
        <v>-2712.1237500000007</v>
      </c>
      <c r="G51" s="15">
        <f t="shared" si="7"/>
        <v>-0.1875762512466474</v>
      </c>
      <c r="H51" s="16">
        <f>SUM(Jan!H51, Feb!H51, Mar!H51)</f>
        <v>11920</v>
      </c>
      <c r="I51" s="16">
        <f>SUM(Jan!I51, Feb!I51, Mar!I51)</f>
        <v>-173.34375</v>
      </c>
      <c r="J51" s="15">
        <f t="shared" si="8"/>
        <v>-1.4542260906040268E-2</v>
      </c>
    </row>
    <row r="52" spans="1:10" ht="15.6">
      <c r="A52" s="24" t="str">
        <v>Q157</v>
      </c>
      <c r="B52" s="25" t="str">
        <v>NY</v>
      </c>
      <c r="C52" s="25" t="str">
        <f>Sites[[#This Row],[SOL'#]]</f>
        <v>SOL-10404</v>
      </c>
      <c r="D52" s="20">
        <f>SUM(Jan!D52, Feb!D52, Mar!D52)</f>
        <v>19388.3125</v>
      </c>
      <c r="E52" s="10">
        <f>SUM(Jan!E52, Feb!E52, Mar!E52)</f>
        <v>28388.95</v>
      </c>
      <c r="F52" s="10">
        <f t="shared" si="6"/>
        <v>-9000.6375000000007</v>
      </c>
      <c r="G52" s="11">
        <f t="shared" si="7"/>
        <v>-0.31704721379269046</v>
      </c>
      <c r="H52" s="12">
        <f>SUM(Jan!H52, Feb!H52, Mar!H52)</f>
        <v>21407.190999999999</v>
      </c>
      <c r="I52" s="12">
        <f>SUM(Jan!I52, Feb!I52, Mar!I52)</f>
        <v>-2018.8785000000007</v>
      </c>
      <c r="J52" s="13">
        <f t="shared" si="8"/>
        <v>-9.4308426546948682E-2</v>
      </c>
    </row>
    <row r="53" spans="1:10" ht="15.6">
      <c r="A53" s="26" t="str">
        <v>Q192</v>
      </c>
      <c r="B53" s="27" t="str">
        <v>NY</v>
      </c>
      <c r="C53" s="27" t="str">
        <f>Sites[[#This Row],[SOL'#]]</f>
        <v>SOL-10406</v>
      </c>
      <c r="D53" s="9">
        <f>SUM(Jan!D53, Feb!D53, Mar!D53)</f>
        <v>32311.125</v>
      </c>
      <c r="E53" s="14">
        <f>SUM(Jan!E53, Feb!E53, Mar!E53)</f>
        <v>42620.93</v>
      </c>
      <c r="F53" s="14">
        <f t="shared" si="6"/>
        <v>-10309.805</v>
      </c>
      <c r="G53" s="15">
        <f t="shared" si="7"/>
        <v>-0.24189535516939684</v>
      </c>
      <c r="H53" s="16">
        <f>SUM(Jan!H53, Feb!H53, Mar!H53)</f>
        <v>31901.4</v>
      </c>
      <c r="I53" s="16">
        <f>SUM(Jan!I53, Feb!I53, Mar!I53)</f>
        <v>409.72499999999854</v>
      </c>
      <c r="J53" s="15">
        <f t="shared" si="8"/>
        <v>1.2843480223438423E-2</v>
      </c>
    </row>
    <row r="54" spans="1:10" ht="15.6">
      <c r="A54" s="24" t="str">
        <v>Q210</v>
      </c>
      <c r="B54" s="25" t="str">
        <v>NY</v>
      </c>
      <c r="C54" s="25" t="str">
        <f>Sites[[#This Row],[SOL'#]]</f>
        <v>SOL-10407</v>
      </c>
      <c r="D54" s="20">
        <f>SUM(Jan!D54, Feb!D54, Mar!D54)</f>
        <v>27253.875</v>
      </c>
      <c r="E54" s="10">
        <f>SUM(Jan!E54, Feb!E54, Mar!E54)</f>
        <v>31201.78</v>
      </c>
      <c r="F54" s="10">
        <f t="shared" si="6"/>
        <v>-3947.9049999999988</v>
      </c>
      <c r="G54" s="11">
        <f t="shared" si="7"/>
        <v>-0.12652819807075105</v>
      </c>
      <c r="H54" s="12">
        <f>SUM(Jan!H54, Feb!H54, Mar!H54)</f>
        <v>26635</v>
      </c>
      <c r="I54" s="12">
        <f>SUM(Jan!I54, Feb!I54, Mar!I54)</f>
        <v>618.875</v>
      </c>
      <c r="J54" s="13">
        <f t="shared" si="8"/>
        <v>2.3235404542894689E-2</v>
      </c>
    </row>
    <row r="55" spans="1:10" ht="15.6">
      <c r="A55" s="26" t="str">
        <v>Q229</v>
      </c>
      <c r="B55" s="27" t="str">
        <v>NY</v>
      </c>
      <c r="C55" s="27" t="str">
        <f>Sites[[#This Row],[SOL'#]]</f>
        <v>SOL-10408</v>
      </c>
      <c r="D55" s="9">
        <f>SUM(Jan!D55, Feb!D55, Mar!D55)</f>
        <v>10450.4375</v>
      </c>
      <c r="E55" s="14">
        <f>SUM(Jan!E55, Feb!E55, Mar!E55)</f>
        <v>15840.919</v>
      </c>
      <c r="F55" s="14">
        <f t="shared" si="6"/>
        <v>-5390.4814999999999</v>
      </c>
      <c r="G55" s="15">
        <f t="shared" si="7"/>
        <v>-0.34028843276075083</v>
      </c>
      <c r="H55" s="16">
        <f>SUM(Jan!H55, Feb!H55, Mar!H55)</f>
        <v>8979.8089999999993</v>
      </c>
      <c r="I55" s="16">
        <f>SUM(Jan!I55, Feb!I55, Mar!I55)</f>
        <v>1470.6285000000003</v>
      </c>
      <c r="J55" s="15">
        <f t="shared" si="8"/>
        <v>0.16377057685748109</v>
      </c>
    </row>
    <row r="56" spans="1:10" ht="15.6">
      <c r="A56" s="24" t="str">
        <v>Q231</v>
      </c>
      <c r="B56" s="25" t="str">
        <v>NY</v>
      </c>
      <c r="C56" s="25" t="str">
        <f>Sites[[#This Row],[SOL'#]]</f>
        <v>SOL-10870</v>
      </c>
      <c r="D56" s="20">
        <f>SUM(Jan!D56, Feb!D56, Mar!D56)</f>
        <v>42680.875</v>
      </c>
      <c r="E56" s="10">
        <f>SUM(Jan!E56, Feb!E56, Mar!E56)</f>
        <v>63612.18</v>
      </c>
      <c r="F56" s="10">
        <f t="shared" si="6"/>
        <v>-20931.305</v>
      </c>
      <c r="G56" s="11">
        <f t="shared" si="7"/>
        <v>-0.32904555385462342</v>
      </c>
      <c r="H56" s="12">
        <f>SUM(Jan!H56, Feb!H56, Mar!H56)</f>
        <v>40556</v>
      </c>
      <c r="I56" s="12">
        <f>SUM(Jan!I56, Feb!I56, Mar!I56)</f>
        <v>2124.875</v>
      </c>
      <c r="J56" s="13">
        <f t="shared" si="8"/>
        <v>5.2393603905710621E-2</v>
      </c>
    </row>
    <row r="57" spans="1:10" ht="15.6">
      <c r="A57" s="26" t="str">
        <v>Q405</v>
      </c>
      <c r="B57" s="27" t="str">
        <v>NY</v>
      </c>
      <c r="C57" s="27" t="str">
        <f>Sites[[#This Row],[SOL'#]]</f>
        <v>SOL-10409</v>
      </c>
      <c r="D57" s="9">
        <f>SUM(Jan!D57, Feb!D57, Mar!D57)</f>
        <v>49936.5</v>
      </c>
      <c r="E57" s="14">
        <f>SUM(Jan!E57, Feb!E57, Mar!E57)</f>
        <v>62001.929999999993</v>
      </c>
      <c r="F57" s="14">
        <f t="shared" si="6"/>
        <v>-12065.429999999993</v>
      </c>
      <c r="G57" s="15">
        <f t="shared" si="7"/>
        <v>-0.19459765204083154</v>
      </c>
      <c r="H57" s="16">
        <f>SUM(Jan!H57, Feb!H57, Mar!H57)</f>
        <v>47367.3</v>
      </c>
      <c r="I57" s="16">
        <f>SUM(Jan!I57, Feb!I57, Mar!I57)</f>
        <v>2569.2000000000007</v>
      </c>
      <c r="J57" s="15">
        <f t="shared" si="8"/>
        <v>5.4239950345491519E-2</v>
      </c>
    </row>
    <row r="58" spans="1:10" ht="15.6">
      <c r="A58" s="24" t="str">
        <v>Q435</v>
      </c>
      <c r="B58" s="25" t="str">
        <v>NY</v>
      </c>
      <c r="C58" s="25" t="str">
        <f>Sites[[#This Row],[SOL'#]]</f>
        <v>SOL-10923</v>
      </c>
      <c r="D58" s="20">
        <f>SUM(Jan!D58, Feb!D58, Mar!D58)</f>
        <v>65650.375</v>
      </c>
      <c r="E58" s="10">
        <f>SUM(Jan!E58, Feb!E58, Mar!E58)</f>
        <v>61847.020000000004</v>
      </c>
      <c r="F58" s="10">
        <f t="shared" si="6"/>
        <v>3803.3549999999959</v>
      </c>
      <c r="G58" s="11">
        <f t="shared" si="7"/>
        <v>6.1496172329725762E-2</v>
      </c>
      <c r="H58" s="12">
        <f>SUM(Jan!H58, Feb!H58, Mar!H58)</f>
        <v>60199</v>
      </c>
      <c r="I58" s="12">
        <f>SUM(Jan!I58, Feb!I58, Mar!I58)</f>
        <v>5451.375</v>
      </c>
      <c r="J58" s="13">
        <f t="shared" si="8"/>
        <v>9.0555906244289774E-2</v>
      </c>
    </row>
    <row r="59" spans="1:10" ht="15.6">
      <c r="A59" s="26" t="str">
        <v>Q485</v>
      </c>
      <c r="B59" s="27" t="str">
        <v>NY</v>
      </c>
      <c r="C59" s="27" t="str">
        <f>Sites[[#This Row],[SOL'#]]</f>
        <v>SOL-10869</v>
      </c>
      <c r="D59" s="9">
        <f>SUM(Jan!D59, Feb!D59, Mar!D59)</f>
        <v>55988</v>
      </c>
      <c r="E59" s="14">
        <f>SUM(Jan!E59, Feb!E59, Mar!E59)</f>
        <v>58756.36</v>
      </c>
      <c r="F59" s="14">
        <f t="shared" si="6"/>
        <v>-2768.3600000000006</v>
      </c>
      <c r="G59" s="15">
        <f t="shared" si="7"/>
        <v>-4.7115920727560399E-2</v>
      </c>
      <c r="H59" s="16">
        <f>SUM(Jan!H59, Feb!H59, Mar!H59)</f>
        <v>56583.25</v>
      </c>
      <c r="I59" s="16">
        <f>SUM(Jan!I59, Feb!I59, Mar!I59)</f>
        <v>-595.25</v>
      </c>
      <c r="J59" s="15">
        <f t="shared" si="8"/>
        <v>-1.0519897672897897E-2</v>
      </c>
    </row>
    <row r="60" spans="1:10" ht="15.6">
      <c r="A60" s="24" t="str">
        <v>Q490</v>
      </c>
      <c r="B60" s="25" t="str">
        <v>NY</v>
      </c>
      <c r="C60" s="25" t="str">
        <f>Sites[[#This Row],[SOL'#]]</f>
        <v>SOL-10411</v>
      </c>
      <c r="D60" s="20">
        <f>SUM(Jan!D60, Feb!D60, Mar!D60)</f>
        <v>41805.057788944803</v>
      </c>
      <c r="E60" s="10">
        <f>SUM(Jan!E60, Feb!E60, Mar!E60)</f>
        <v>0</v>
      </c>
      <c r="F60" s="10">
        <f t="shared" si="6"/>
        <v>41805.057788944803</v>
      </c>
      <c r="G60" s="11" t="str">
        <f t="shared" si="7"/>
        <v/>
      </c>
      <c r="H60" s="12">
        <f>SUM(Jan!H60, Feb!H60, Mar!H60)</f>
        <v>39510.93</v>
      </c>
      <c r="I60" s="12">
        <f>SUM(Jan!I60, Feb!I60, Mar!I60)</f>
        <v>2294.1277889447992</v>
      </c>
      <c r="J60" s="13">
        <f t="shared" si="8"/>
        <v>5.8063117951027705E-2</v>
      </c>
    </row>
    <row r="61" spans="1:10" ht="15.6">
      <c r="A61" s="26" t="str">
        <v>Q620</v>
      </c>
      <c r="B61" s="27" t="str">
        <v>NY</v>
      </c>
      <c r="C61" s="27" t="str">
        <f>Sites[[#This Row],[SOL'#]]</f>
        <v>SOL-10867</v>
      </c>
      <c r="D61" s="9">
        <f>SUM(Jan!D61, Feb!D61, Mar!D61)</f>
        <v>62835.375</v>
      </c>
      <c r="E61" s="14">
        <f>SUM(Jan!E61, Feb!E61, Mar!E61)</f>
        <v>75334.320000000007</v>
      </c>
      <c r="F61" s="14">
        <f t="shared" si="6"/>
        <v>-12498.945000000007</v>
      </c>
      <c r="G61" s="15">
        <f t="shared" si="7"/>
        <v>-0.16591302609487954</v>
      </c>
      <c r="H61" s="16">
        <f>SUM(Jan!H61, Feb!H61, Mar!H61)</f>
        <v>63883.8</v>
      </c>
      <c r="I61" s="16">
        <f>SUM(Jan!I61, Feb!I61, Mar!I61)</f>
        <v>-1048.4250000000029</v>
      </c>
      <c r="J61" s="15">
        <f t="shared" si="8"/>
        <v>-1.6411437641467835E-2</v>
      </c>
    </row>
    <row r="62" spans="1:10" ht="15.6">
      <c r="A62" s="24" t="str">
        <v>QMOA</v>
      </c>
      <c r="B62" s="25" t="str">
        <v>NY</v>
      </c>
      <c r="C62" s="25" t="str">
        <f>Sites[[#This Row],[SOL'#]]</f>
        <v>SOL-10415</v>
      </c>
      <c r="D62" s="20">
        <f>SUM(Jan!D62, Feb!D62, Mar!D62)</f>
        <v>5982.8</v>
      </c>
      <c r="E62" s="10">
        <f>SUM(Jan!E62, Feb!E62, Mar!E62)</f>
        <v>0</v>
      </c>
      <c r="F62" s="10">
        <f t="shared" si="6"/>
        <v>5982.8</v>
      </c>
      <c r="G62" s="11" t="str">
        <f t="shared" si="7"/>
        <v/>
      </c>
      <c r="H62" s="12">
        <f>SUM(Jan!H62, Feb!H62, Mar!H62)</f>
        <v>6645.09</v>
      </c>
      <c r="I62" s="12">
        <f>SUM(Jan!I62, Feb!I62, Mar!I62)</f>
        <v>-662.29</v>
      </c>
      <c r="J62" s="13">
        <f t="shared" si="8"/>
        <v>-9.9666069233072835E-2</v>
      </c>
    </row>
    <row r="63" spans="1:10" ht="15.6">
      <c r="A63" s="26" t="str">
        <v>X024</v>
      </c>
      <c r="B63" s="27" t="str">
        <v>NY</v>
      </c>
      <c r="C63" s="27" t="str">
        <f>Sites[[#This Row],[SOL'#]]</f>
        <v>SOL-10419</v>
      </c>
      <c r="D63" s="9">
        <f>SUM(Jan!D63, Feb!D63, Mar!D63)</f>
        <v>21164.125</v>
      </c>
      <c r="E63" s="14">
        <f>SUM(Jan!E63, Feb!E63, Mar!E63)</f>
        <v>32847.53</v>
      </c>
      <c r="F63" s="14">
        <f t="shared" si="6"/>
        <v>-11683.404999999999</v>
      </c>
      <c r="G63" s="15">
        <f t="shared" si="7"/>
        <v>-0.35568595264240566</v>
      </c>
      <c r="H63" s="16">
        <f>SUM(Jan!H63, Feb!H63, Mar!H63)</f>
        <v>20185</v>
      </c>
      <c r="I63" s="16">
        <f>SUM(Jan!I63, Feb!I63, Mar!I63)</f>
        <v>979.125</v>
      </c>
      <c r="J63" s="15">
        <f t="shared" si="8"/>
        <v>4.8507555115184543E-2</v>
      </c>
    </row>
    <row r="64" spans="1:10" ht="15.6">
      <c r="A64" s="24" t="str">
        <v>X026</v>
      </c>
      <c r="B64" s="25" t="str">
        <v>NY</v>
      </c>
      <c r="C64" s="25" t="str">
        <f>Sites[[#This Row],[SOL'#]]</f>
        <v>SOL-10420</v>
      </c>
      <c r="D64" s="20">
        <f>SUM(Jan!D65, Feb!D64, Mar!D64)</f>
        <v>18474.693749999999</v>
      </c>
      <c r="E64" s="10">
        <f>SUM(Jan!E64, Feb!E64, Mar!E64)</f>
        <v>25086.2</v>
      </c>
      <c r="F64" s="10">
        <f t="shared" si="6"/>
        <v>-6611.5062500000022</v>
      </c>
      <c r="G64" s="11">
        <f t="shared" si="7"/>
        <v>-0.26355152434406176</v>
      </c>
      <c r="H64" s="12">
        <f>SUM(Jan!H64, Feb!H64, Mar!H64)</f>
        <v>26320.25</v>
      </c>
      <c r="I64" s="12">
        <f>SUM(Jan!I64, Feb!I64, Mar!I64)</f>
        <v>-8932.3499999999985</v>
      </c>
      <c r="J64" s="13">
        <f t="shared" si="8"/>
        <v>-0.33937177648388595</v>
      </c>
    </row>
    <row r="65" spans="1:10" ht="15.6">
      <c r="A65" s="26" t="str">
        <v>X090</v>
      </c>
      <c r="B65" s="27" t="str">
        <v>NY</v>
      </c>
      <c r="C65" s="27" t="str">
        <f>Sites[[#This Row],[SOL'#]]</f>
        <v>SOL-10925</v>
      </c>
      <c r="D65" s="9">
        <f>SUM(Jan!D65, Feb!D65, Mar!D65)</f>
        <v>18352.96875</v>
      </c>
      <c r="E65" s="14">
        <f>SUM(Jan!E65, Feb!E65, Mar!E65)</f>
        <v>15767.785</v>
      </c>
      <c r="F65" s="14">
        <f t="shared" si="6"/>
        <v>2585.1837500000001</v>
      </c>
      <c r="G65" s="15">
        <f t="shared" si="7"/>
        <v>0.16395351344529369</v>
      </c>
      <c r="H65" s="16">
        <f>SUM(Jan!H65, Feb!H65, Mar!H65)</f>
        <v>17306</v>
      </c>
      <c r="I65" s="16">
        <f>SUM(Jan!I65, Feb!I65, Mar!I65)</f>
        <v>1046.96875</v>
      </c>
      <c r="J65" s="15">
        <f t="shared" si="8"/>
        <v>6.04974430833237E-2</v>
      </c>
    </row>
    <row r="66" spans="1:10" ht="15.6">
      <c r="A66" s="24" t="str">
        <v>X117</v>
      </c>
      <c r="B66" s="25" t="str">
        <v>NY</v>
      </c>
      <c r="C66" s="25" t="str">
        <f>Sites[[#This Row],[SOL'#]]</f>
        <v>SOL-10422</v>
      </c>
      <c r="D66" s="20">
        <f>SUM(Jan!D66, Feb!D66, Mar!D66)</f>
        <v>13593.7</v>
      </c>
      <c r="E66" s="10">
        <f>SUM(Jan!E66, Feb!E66, Mar!E66)</f>
        <v>21112.796999999999</v>
      </c>
      <c r="F66" s="10">
        <f t="shared" si="6"/>
        <v>-7519.0969999999979</v>
      </c>
      <c r="G66" s="11">
        <f t="shared" si="7"/>
        <v>-0.35613931209588184</v>
      </c>
      <c r="H66" s="12">
        <f>SUM(Jan!H66, Feb!H66, Mar!H66)</f>
        <v>15200.449000000001</v>
      </c>
      <c r="I66" s="12">
        <f>SUM(Jan!I66, Feb!I66, Mar!I66)</f>
        <v>-1606.7490000000007</v>
      </c>
      <c r="J66" s="13">
        <f t="shared" si="8"/>
        <v>-0.10570404861066937</v>
      </c>
    </row>
    <row r="67" spans="1:10" ht="15.6">
      <c r="A67" s="26" t="str">
        <v>X125</v>
      </c>
      <c r="B67" s="27" t="str">
        <v>NY</v>
      </c>
      <c r="C67" s="27" t="str">
        <f>Sites[[#This Row],[SOL'#]]</f>
        <v>SOL-10423</v>
      </c>
      <c r="D67" s="9">
        <f>SUM(Jan!D67, Feb!D67, Mar!D67)</f>
        <v>27862.875</v>
      </c>
      <c r="E67" s="14">
        <f>SUM(Jan!E67, Feb!E67, Mar!E67)</f>
        <v>35839.699999999997</v>
      </c>
      <c r="F67" s="14">
        <f t="shared" si="6"/>
        <v>-7976.8249999999971</v>
      </c>
      <c r="G67" s="15">
        <f t="shared" si="7"/>
        <v>-0.2225695248565138</v>
      </c>
      <c r="H67" s="16">
        <f>SUM(Jan!H67, Feb!H67, Mar!H67)</f>
        <v>27441.480000000003</v>
      </c>
      <c r="I67" s="16">
        <f>SUM(Jan!I67, Feb!I67, Mar!I67)</f>
        <v>421.39499999999862</v>
      </c>
      <c r="J67" s="15">
        <f t="shared" si="8"/>
        <v>1.5356132395191461E-2</v>
      </c>
    </row>
    <row r="68" spans="1:10" ht="15.6">
      <c r="A68" s="24" t="str">
        <v>X134</v>
      </c>
      <c r="B68" s="25" t="str">
        <v>NY</v>
      </c>
      <c r="C68" s="25" t="str">
        <f>Sites[[#This Row],[SOL'#]]</f>
        <v>SOL-10424</v>
      </c>
      <c r="D68" s="20">
        <f>SUM(Jan!D68, Feb!D68, Mar!D68)</f>
        <v>25520.71875</v>
      </c>
      <c r="E68" s="10">
        <f>SUM(Jan!E68, Feb!E68, Mar!E68)</f>
        <v>0</v>
      </c>
      <c r="F68" s="10">
        <f t="shared" si="6"/>
        <v>25520.71875</v>
      </c>
      <c r="G68" s="11" t="str">
        <f t="shared" si="7"/>
        <v/>
      </c>
      <c r="H68" s="12">
        <f>SUM(Jan!H68, Feb!H68, Mar!H68)</f>
        <v>25319</v>
      </c>
      <c r="I68" s="12">
        <f>SUM(Jan!I68, Feb!I68, Mar!I68)</f>
        <v>201.71875</v>
      </c>
      <c r="J68" s="13">
        <f t="shared" si="8"/>
        <v>7.9670899324617885E-3</v>
      </c>
    </row>
    <row r="69" spans="1:10" ht="15.6">
      <c r="A69" s="26" t="str">
        <v>X135</v>
      </c>
      <c r="B69" s="27" t="str">
        <v>NY</v>
      </c>
      <c r="C69" s="27" t="str">
        <f>Sites[[#This Row],[SOL'#]]</f>
        <v>SOL-10425</v>
      </c>
      <c r="D69" s="9">
        <f>SUM(Jan!D69, Feb!D69, Mar!D69)</f>
        <v>22640.875</v>
      </c>
      <c r="E69" s="14">
        <f>SUM(Jan!E69, Feb!E69, Mar!E69)</f>
        <v>30416.89</v>
      </c>
      <c r="F69" s="14">
        <f t="shared" si="6"/>
        <v>-7776.0149999999994</v>
      </c>
      <c r="G69" s="15">
        <f t="shared" si="7"/>
        <v>-0.25564793113299877</v>
      </c>
      <c r="H69" s="16">
        <f>SUM(Jan!H69, Feb!H69, Mar!H69)</f>
        <v>22942</v>
      </c>
      <c r="I69" s="16">
        <f>SUM(Jan!I69, Feb!I69, Mar!I69)</f>
        <v>-301.125</v>
      </c>
      <c r="J69" s="15">
        <f t="shared" si="8"/>
        <v>-1.3125490367012466E-2</v>
      </c>
    </row>
    <row r="70" spans="1:10" ht="15.6">
      <c r="A70" s="24" t="str">
        <v>X139 JHS 222</v>
      </c>
      <c r="B70" s="25" t="str">
        <v>NY</v>
      </c>
      <c r="C70" s="25" t="str">
        <f>Sites[[#This Row],[SOL'#]]</f>
        <v>SOL-10426</v>
      </c>
      <c r="D70" s="20">
        <f>SUM(Jan!D70, Feb!D70, Mar!D70)</f>
        <v>31836.042283634997</v>
      </c>
      <c r="E70" s="10">
        <f>SUM(Jan!E70, Feb!E70, Mar!E70)</f>
        <v>38745.4</v>
      </c>
      <c r="F70" s="10">
        <f t="shared" si="6"/>
        <v>-6909.3577163650043</v>
      </c>
      <c r="G70" s="11">
        <f t="shared" si="7"/>
        <v>-0.17832717474500209</v>
      </c>
      <c r="H70" s="12">
        <f>SUM(Jan!H70, Feb!H70, Mar!H70)</f>
        <v>30060</v>
      </c>
      <c r="I70" s="12">
        <f>SUM(Jan!I70, Feb!I70, Mar!I70)</f>
        <v>1776.042283634999</v>
      </c>
      <c r="J70" s="13">
        <f t="shared" si="8"/>
        <v>5.9083242968562842E-2</v>
      </c>
    </row>
    <row r="71" spans="1:10" ht="15.6">
      <c r="A71" s="26" t="str">
        <v>X140</v>
      </c>
      <c r="B71" s="27" t="str">
        <v>NY</v>
      </c>
      <c r="C71" s="27" t="str">
        <f>Sites[[#This Row],[SOL'#]]</f>
        <v>SOL-10926</v>
      </c>
      <c r="D71" s="9">
        <f>SUM(Jan!D71, Feb!D71, Mar!D71)</f>
        <v>20066.0625</v>
      </c>
      <c r="E71" s="14">
        <f>SUM(Jan!E71, Feb!E71, Mar!E71)</f>
        <v>19323.734</v>
      </c>
      <c r="F71" s="14">
        <f t="shared" si="6"/>
        <v>742.32849999999962</v>
      </c>
      <c r="G71" s="15">
        <f t="shared" si="7"/>
        <v>3.8415375620467533E-2</v>
      </c>
      <c r="H71" s="16">
        <f>SUM(Jan!H71, Feb!H71, Mar!H71)</f>
        <v>19179</v>
      </c>
      <c r="I71" s="16">
        <f>SUM(Jan!I71, Feb!I71, Mar!I71)</f>
        <v>887.0625</v>
      </c>
      <c r="J71" s="15">
        <f t="shared" si="8"/>
        <v>4.6251759737212579E-2</v>
      </c>
    </row>
    <row r="72" spans="1:10" ht="15.6">
      <c r="A72" s="24" t="str">
        <v>X166</v>
      </c>
      <c r="B72" s="25" t="str">
        <v>NY</v>
      </c>
      <c r="C72" s="25" t="str">
        <f>Sites[[#This Row],[SOL'#]]</f>
        <v>SOL-10427</v>
      </c>
      <c r="D72" s="20">
        <f>SUM(Jan!D72, Feb!D72, Mar!D72)</f>
        <v>19802.7</v>
      </c>
      <c r="E72" s="10">
        <f>SUM(Jan!E72, Feb!E72, Mar!E72)</f>
        <v>27535.22</v>
      </c>
      <c r="F72" s="10">
        <f t="shared" si="6"/>
        <v>-7732.52</v>
      </c>
      <c r="G72" s="11">
        <f t="shared" si="7"/>
        <v>-0.28082288792317622</v>
      </c>
      <c r="H72" s="12">
        <f>SUM(Jan!H72, Feb!H72, Mar!H72)</f>
        <v>18312</v>
      </c>
      <c r="I72" s="12">
        <f>SUM(Jan!I72, Feb!I72, Mar!I72)</f>
        <v>1490.7000000000007</v>
      </c>
      <c r="J72" s="13">
        <f t="shared" si="8"/>
        <v>8.1405635648754957E-2</v>
      </c>
    </row>
    <row r="73" spans="1:10" ht="15.6">
      <c r="A73" s="26" t="str">
        <v>Murphy</v>
      </c>
      <c r="B73" s="27" t="str">
        <v>MN</v>
      </c>
      <c r="C73" s="27" t="str">
        <f>Sites[[#This Row],[SOL'#]]</f>
        <v>SOL-10094</v>
      </c>
      <c r="D73" s="9">
        <f>SUM(Jan!D73, Feb!D73, Mar!D73)</f>
        <v>972550</v>
      </c>
      <c r="E73" s="14">
        <f>SUM(Jan!E73, Feb!E73, Mar!E73)</f>
        <v>1403405.5</v>
      </c>
      <c r="F73" s="14">
        <f t="shared" si="6"/>
        <v>-430855.5</v>
      </c>
      <c r="G73" s="15">
        <f t="shared" si="7"/>
        <v>-0.30700713371865795</v>
      </c>
      <c r="H73" s="16">
        <f>SUM(Jan!H73, Feb!H73, Mar!H73)</f>
        <v>1182420.3</v>
      </c>
      <c r="I73" s="16">
        <f>SUM(Jan!I73, Feb!I73, Mar!I73)</f>
        <v>-209870.30000000005</v>
      </c>
      <c r="J73" s="15">
        <f t="shared" si="8"/>
        <v>-0.17749213202784156</v>
      </c>
    </row>
    <row r="74" spans="1:10" ht="15.6">
      <c r="A74" s="24" t="str">
        <v>Terning</v>
      </c>
      <c r="B74" s="25" t="str">
        <v>MN</v>
      </c>
      <c r="C74" s="25" t="str">
        <f>Sites[[#This Row],[SOL'#]]</f>
        <v>SOL-10093</v>
      </c>
      <c r="D74" s="20">
        <f>SUM(Jan!D74, Feb!D74, Mar!D74)</f>
        <v>876363</v>
      </c>
      <c r="E74" s="10">
        <f>SUM(Jan!E74, Feb!E74, Mar!E74)</f>
        <v>1389458.1</v>
      </c>
      <c r="F74" s="10">
        <f t="shared" si="6"/>
        <v>-513095.10000000009</v>
      </c>
      <c r="G74" s="11">
        <f t="shared" si="7"/>
        <v>-0.36927713041508775</v>
      </c>
      <c r="H74" s="12">
        <f>SUM(Jan!H74, Feb!H74, Mar!H74)</f>
        <v>1096712.7999999998</v>
      </c>
      <c r="I74" s="12">
        <f>SUM(Jan!I74, Feb!I74, Mar!I74)</f>
        <v>-220349.79999999993</v>
      </c>
      <c r="J74" s="13">
        <f t="shared" si="8"/>
        <v>-0.20091841729211146</v>
      </c>
    </row>
    <row r="75" spans="1:10" ht="15.6">
      <c r="A75" s="26" t="str">
        <v>Boas Road 04</v>
      </c>
      <c r="B75" s="27" t="str">
        <v>NY</v>
      </c>
      <c r="C75" s="27" t="str">
        <f>Sites[[#This Row],[SOL'#]]</f>
        <v>SOL-10908</v>
      </c>
      <c r="D75" s="9">
        <f>SUM(Jan!D75, Feb!D75, Mar!D75)</f>
        <v>266506</v>
      </c>
      <c r="E75" s="14">
        <f>SUM(Jan!E75, Feb!E75, Mar!E75)</f>
        <v>431942.94199999998</v>
      </c>
      <c r="F75" s="14">
        <f t="shared" si="6"/>
        <v>-165436.94199999998</v>
      </c>
      <c r="G75" s="15">
        <f t="shared" si="7"/>
        <v>-0.38300647125749304</v>
      </c>
      <c r="H75" s="16">
        <f>SUM(Jan!H75, Feb!H75, Mar!H75)</f>
        <v>376445.95999999996</v>
      </c>
      <c r="I75" s="16">
        <f>SUM(Jan!I75, Feb!I75, Mar!I75)</f>
        <v>-109939.95999999999</v>
      </c>
      <c r="J75" s="15">
        <f t="shared" si="8"/>
        <v>-0.29204712410780026</v>
      </c>
    </row>
    <row r="76" spans="1:10" ht="15.6">
      <c r="A76" s="24" t="str">
        <v>Kelly Bridge Farm</v>
      </c>
      <c r="B76" s="25" t="str">
        <v>NY</v>
      </c>
      <c r="C76" s="25" t="str">
        <f>Sites[[#This Row],[SOL'#]]</f>
        <v>SOL-10911</v>
      </c>
      <c r="D76" s="20">
        <f>SUM(Jan!D76, Feb!D76, Mar!D76)</f>
        <v>235022</v>
      </c>
      <c r="E76" s="10">
        <f>SUM(Jan!E76, Feb!E76, Mar!E76)</f>
        <v>414631.505</v>
      </c>
      <c r="F76" s="10">
        <f t="shared" si="6"/>
        <v>-179609.505</v>
      </c>
      <c r="G76" s="11">
        <f t="shared" si="7"/>
        <v>-0.43317862447524341</v>
      </c>
      <c r="H76" s="12">
        <f>SUM(Jan!H76, Feb!H76, Mar!H76)</f>
        <v>354015.19999999995</v>
      </c>
      <c r="I76" s="12">
        <f>SUM(Jan!I76, Feb!I76, Mar!I76)</f>
        <v>-118993.19999999998</v>
      </c>
      <c r="J76" s="13">
        <f t="shared" si="8"/>
        <v>-0.33612455058426871</v>
      </c>
    </row>
    <row r="77" spans="1:10" ht="15.6">
      <c r="A77" s="26" t="str">
        <v>Pool Brook Road</v>
      </c>
      <c r="B77" s="27" t="str">
        <v>NY</v>
      </c>
      <c r="C77" s="27" t="str">
        <f>Sites[[#This Row],[SOL'#]]</f>
        <v>SOL-10909</v>
      </c>
      <c r="D77" s="9">
        <f>SUM(Jan!D77, Feb!D77, Mar!D77)</f>
        <v>159165</v>
      </c>
      <c r="E77" s="14">
        <f>SUM(Jan!E77, Feb!E77, Mar!E77)</f>
        <v>326715.90500000003</v>
      </c>
      <c r="F77" s="14">
        <f t="shared" si="6"/>
        <v>-167550.90500000003</v>
      </c>
      <c r="G77" s="15">
        <f t="shared" si="7"/>
        <v>-0.51283363446906571</v>
      </c>
      <c r="H77" s="16">
        <f>SUM(Jan!H77, Feb!H77, Mar!H77)</f>
        <v>340844.45</v>
      </c>
      <c r="I77" s="16">
        <f>SUM(Jan!I77, Feb!I77, Mar!I77)</f>
        <v>-181679.45</v>
      </c>
      <c r="J77" s="15">
        <f t="shared" si="8"/>
        <v>-0.53302745577931521</v>
      </c>
    </row>
    <row r="78" spans="1:10" ht="15.6">
      <c r="A78" s="24" t="str">
        <v>Sackett Lake</v>
      </c>
      <c r="B78" s="25" t="str">
        <v>NY</v>
      </c>
      <c r="C78" s="25" t="str">
        <f>Sites[[#This Row],[SOL'#]]</f>
        <v>SOL-10910</v>
      </c>
      <c r="D78" s="20">
        <f>SUM(Jan!D78, Feb!D78, Mar!D78)</f>
        <v>265764</v>
      </c>
      <c r="E78" s="10">
        <f>SUM(Jan!E78, Feb!E78, Mar!E78)</f>
        <v>439510.34399999998</v>
      </c>
      <c r="F78" s="10">
        <f t="shared" si="6"/>
        <v>-173746.34399999998</v>
      </c>
      <c r="G78" s="11">
        <f t="shared" si="7"/>
        <v>-0.39531798596303341</v>
      </c>
      <c r="H78" s="12">
        <f>SUM(Jan!H78, Feb!H78, Mar!H78)</f>
        <v>392059.8</v>
      </c>
      <c r="I78" s="12">
        <f>SUM(Jan!I78, Feb!I78, Mar!I78)</f>
        <v>-126295.79999999999</v>
      </c>
      <c r="J78" s="13">
        <f t="shared" si="8"/>
        <v>-0.32213402139163461</v>
      </c>
    </row>
    <row r="79" spans="1:10" ht="15.6">
      <c r="A79" s="26" t="str">
        <v>Burritt Road</v>
      </c>
      <c r="B79" s="27" t="str">
        <v>NY</v>
      </c>
      <c r="C79" s="27" t="str">
        <f>Sites[[#This Row],[SOL'#]]</f>
        <v>SOL-10913</v>
      </c>
      <c r="D79" s="9">
        <f>SUM(Jan!D79, Feb!D79, Mar!D79)</f>
        <v>142370</v>
      </c>
      <c r="E79" s="14">
        <f>SUM(Jan!E79, Feb!E79, Mar!E79)</f>
        <v>0</v>
      </c>
      <c r="F79" s="14">
        <f t="shared" si="6"/>
        <v>142370</v>
      </c>
      <c r="G79" s="15" t="str">
        <f t="shared" si="7"/>
        <v/>
      </c>
      <c r="H79" s="16">
        <f>SUM(Jan!H79, Feb!H79, Mar!H79)</f>
        <v>288168.04000000004</v>
      </c>
      <c r="I79" s="16">
        <f>SUM(Jan!I79, Feb!I79, Mar!I79)</f>
        <v>-145798.04</v>
      </c>
      <c r="J79" s="15">
        <f t="shared" si="8"/>
        <v>-0.50594798784764605</v>
      </c>
    </row>
    <row r="80" spans="1:10" ht="15.6">
      <c r="A80" s="24" t="str">
        <v>Villa Roma 1</v>
      </c>
      <c r="B80" s="25" t="str">
        <v>NY</v>
      </c>
      <c r="C80" s="25" t="str">
        <f>Sites[[#This Row],[SOL'#]]</f>
        <v>SOL-10914</v>
      </c>
      <c r="D80" s="20">
        <f>SUM(Jan!D80, Feb!D80, Mar!D80)</f>
        <v>183563</v>
      </c>
      <c r="E80" s="10">
        <f>SUM(Jan!E80, Feb!E80, Mar!E80)</f>
        <v>377922.77299999999</v>
      </c>
      <c r="F80" s="10">
        <f t="shared" si="6"/>
        <v>-194359.77299999999</v>
      </c>
      <c r="G80" s="11">
        <f t="shared" si="7"/>
        <v>-0.51428436412324907</v>
      </c>
      <c r="H80" s="12">
        <f>SUM(Jan!H80, Feb!H80, Mar!H80)</f>
        <v>273857.59999999998</v>
      </c>
      <c r="I80" s="12">
        <f>SUM(Jan!I80, Feb!I80, Mar!I80)</f>
        <v>-90294.6</v>
      </c>
      <c r="J80" s="13">
        <f t="shared" si="8"/>
        <v>-0.3297136906187742</v>
      </c>
    </row>
    <row r="81" spans="1:10" ht="15.6">
      <c r="A81" s="26" t="str">
        <v>Villa Roma 2</v>
      </c>
      <c r="B81" s="27" t="str">
        <v>NY</v>
      </c>
      <c r="C81" s="27" t="str">
        <f>Sites[[#This Row],[SOL'#]]</f>
        <v>SOL-10915</v>
      </c>
      <c r="D81" s="9">
        <f>SUM(Jan!D81, Feb!D81, Mar!D81)</f>
        <v>210836</v>
      </c>
      <c r="E81" s="14">
        <f>SUM(Jan!E81, Feb!E81, Mar!E81)</f>
        <v>360632.31699999998</v>
      </c>
      <c r="F81" s="14">
        <f t="shared" si="6"/>
        <v>-149796.31699999998</v>
      </c>
      <c r="G81" s="15">
        <f t="shared" si="7"/>
        <v>-0.41537130739173322</v>
      </c>
      <c r="H81" s="16">
        <f>SUM(Jan!H81, Feb!H81, Mar!H81)</f>
        <v>265976.8</v>
      </c>
      <c r="I81" s="16">
        <f>SUM(Jan!I81, Feb!I81, Mar!I81)</f>
        <v>-55140.800000000003</v>
      </c>
      <c r="J81" s="15">
        <f t="shared" si="8"/>
        <v>-0.20731432215140572</v>
      </c>
    </row>
    <row r="82" spans="1:10" ht="15.6">
      <c r="A82" s="24" t="str">
        <v>Washington 1</v>
      </c>
      <c r="B82" s="25" t="str">
        <v>NY</v>
      </c>
      <c r="C82" s="25" t="str">
        <f>Sites[[#This Row],[SOL'#]]</f>
        <v>SOL-10912</v>
      </c>
      <c r="D82" s="20">
        <f>SUM(Jan!D82, Feb!D82, Mar!D82)</f>
        <v>198130</v>
      </c>
      <c r="E82" s="10">
        <f>SUM(Jan!E82, Feb!E82, Mar!E82)</f>
        <v>340114.625</v>
      </c>
      <c r="F82" s="10">
        <f t="shared" ref="F82:F145" si="9">IF(AND(ISNUMBER(D82),ISNUMBER(E82)), D82-E82, "")</f>
        <v>-141984.625</v>
      </c>
      <c r="G82" s="11">
        <f t="shared" ref="G82:G145" si="10">IFERROR(F82/E82, "")</f>
        <v>-0.41746109859286412</v>
      </c>
      <c r="H82" s="12">
        <f>SUM(Jan!H82, Feb!H82, Mar!H82)</f>
        <v>281738.45</v>
      </c>
      <c r="I82" s="12">
        <f>SUM(Jan!I82, Feb!I82, Mar!I82)</f>
        <v>-83608.45</v>
      </c>
      <c r="J82" s="13">
        <f t="shared" ref="J82:J145" si="11">IFERROR(I82/H82, "")</f>
        <v>-0.29675910405555223</v>
      </c>
    </row>
    <row r="83" spans="1:10" ht="15.6">
      <c r="A83" s="26" t="str">
        <v>Washington 3</v>
      </c>
      <c r="B83" s="27" t="str">
        <v>NY</v>
      </c>
      <c r="C83" s="27" t="str">
        <f>Sites[[#This Row],[SOL'#]]</f>
        <v>SOL-10828</v>
      </c>
      <c r="D83" s="9">
        <f>SUM(Jan!D83, Feb!D83, Mar!D83)</f>
        <v>240036</v>
      </c>
      <c r="E83" s="14">
        <f>SUM(Jan!E83, Feb!E83, Mar!E83)</f>
        <v>96875.183000000005</v>
      </c>
      <c r="F83" s="14">
        <f t="shared" si="9"/>
        <v>143160.81699999998</v>
      </c>
      <c r="G83" s="15">
        <f t="shared" si="10"/>
        <v>1.4777862871237102</v>
      </c>
      <c r="H83" s="16">
        <f>SUM(Jan!H83, Feb!H83, Mar!H83)</f>
        <v>345788.77</v>
      </c>
      <c r="I83" s="16">
        <f>SUM(Jan!I83, Feb!I83, Mar!I83)</f>
        <v>-105752.76999999999</v>
      </c>
      <c r="J83" s="15">
        <f t="shared" si="11"/>
        <v>-0.30583055083020766</v>
      </c>
    </row>
    <row r="84" spans="1:10" ht="15.6">
      <c r="A84" s="24" t="str">
        <v>Washington 4</v>
      </c>
      <c r="B84" s="25" t="str">
        <v>NY</v>
      </c>
      <c r="C84" s="25" t="str">
        <f>Sites[[#This Row],[SOL'#]]</f>
        <v>SOL-10829</v>
      </c>
      <c r="D84" s="20">
        <f>SUM(Jan!D84, Feb!D84, Mar!D84)</f>
        <v>163982</v>
      </c>
      <c r="E84" s="10">
        <f>SUM(Jan!E84, Feb!E84, Mar!E84)</f>
        <v>214328.826</v>
      </c>
      <c r="F84" s="10">
        <f t="shared" si="9"/>
        <v>-50346.826000000001</v>
      </c>
      <c r="G84" s="11">
        <f t="shared" si="10"/>
        <v>-0.23490459468107197</v>
      </c>
      <c r="H84" s="12">
        <f>SUM(Jan!H84, Feb!H84, Mar!H84)</f>
        <v>345265.5</v>
      </c>
      <c r="I84" s="12">
        <f>SUM(Jan!I84, Feb!I84, Mar!I84)</f>
        <v>-181283.5</v>
      </c>
      <c r="J84" s="13">
        <f t="shared" si="11"/>
        <v>-0.5250553559507104</v>
      </c>
    </row>
    <row r="85" spans="1:10" ht="15.6">
      <c r="A85" s="26" t="str">
        <v>Big Tree</v>
      </c>
      <c r="B85" s="27" t="str">
        <v>NY</v>
      </c>
      <c r="C85" s="27" t="str">
        <f>Sites[[#This Row],[SOL'#]]</f>
        <v>SOL-10966</v>
      </c>
      <c r="D85" s="9">
        <f>SUM(Jan!D85, Feb!D85, Mar!D85)</f>
        <v>96555</v>
      </c>
      <c r="E85" s="14">
        <f>SUM(Jan!E85, Feb!E85, Mar!E85)</f>
        <v>0</v>
      </c>
      <c r="F85" s="14">
        <f t="shared" si="9"/>
        <v>96555</v>
      </c>
      <c r="G85" s="15" t="str">
        <f t="shared" si="10"/>
        <v/>
      </c>
      <c r="H85" s="16">
        <f>SUM(Jan!H85, Feb!H85, Mar!H85)</f>
        <v>291074.69999999995</v>
      </c>
      <c r="I85" s="16">
        <f>SUM(Jan!I85, Feb!I85, Mar!I85)</f>
        <v>-194519.69999999998</v>
      </c>
      <c r="J85" s="15">
        <f t="shared" si="11"/>
        <v>-0.66828102889052199</v>
      </c>
    </row>
    <row r="86" spans="1:10" ht="15.6">
      <c r="A86" s="24" t="str">
        <v>Canoga</v>
      </c>
      <c r="B86" s="25" t="str">
        <v>NY</v>
      </c>
      <c r="C86" s="25" t="str">
        <f>Sites[[#This Row],[SOL'#]]</f>
        <v>SOL-10965</v>
      </c>
      <c r="D86" s="20">
        <f>SUM(Jan!D86, Feb!D86, Mar!D86)</f>
        <v>686310</v>
      </c>
      <c r="E86" s="10">
        <f>SUM(Jan!E86, Feb!E86, Mar!E86)</f>
        <v>0</v>
      </c>
      <c r="F86" s="10">
        <f t="shared" si="9"/>
        <v>686310</v>
      </c>
      <c r="G86" s="11" t="str">
        <f t="shared" si="10"/>
        <v/>
      </c>
      <c r="H86" s="12">
        <f>SUM(Jan!H86, Feb!H86, Mar!H86)</f>
        <v>542311.13</v>
      </c>
      <c r="I86" s="12">
        <f>SUM(Jan!I86, Feb!I86, Mar!I86)</f>
        <v>-170991.13</v>
      </c>
      <c r="J86" s="13">
        <f t="shared" si="11"/>
        <v>-0.31530079421383073</v>
      </c>
    </row>
    <row r="87" spans="1:10" ht="15.6">
      <c r="A87" s="26" t="str">
        <v>County Route 84</v>
      </c>
      <c r="B87" s="27" t="str">
        <v>NY</v>
      </c>
      <c r="C87" s="27" t="str">
        <f>Sites[[#This Row],[SOL'#]]</f>
        <v>SOL-10967</v>
      </c>
      <c r="D87" s="9">
        <f>SUM(Jan!D87, Feb!D87, Mar!D87)</f>
        <v>914370</v>
      </c>
      <c r="E87" s="14">
        <f>SUM(Jan!E87, Feb!E87, Mar!E87)</f>
        <v>0</v>
      </c>
      <c r="F87" s="14">
        <f t="shared" si="9"/>
        <v>914370</v>
      </c>
      <c r="G87" s="15" t="str">
        <f t="shared" si="10"/>
        <v/>
      </c>
      <c r="H87" s="16">
        <f>SUM(Jan!H87, Feb!H87, Mar!H87)</f>
        <v>1037299.8300000001</v>
      </c>
      <c r="I87" s="16">
        <f>SUM(Jan!I87, Feb!I87, Mar!I87)</f>
        <v>-122929.83000000002</v>
      </c>
      <c r="J87" s="15">
        <f t="shared" si="11"/>
        <v>-0.11850944774569182</v>
      </c>
    </row>
    <row r="88" spans="1:10" ht="15.6">
      <c r="A88" s="24" t="str">
        <v>Donati</v>
      </c>
      <c r="B88" s="25" t="str">
        <v>NY</v>
      </c>
      <c r="C88" s="25" t="str">
        <f>Sites[[#This Row],[SOL'#]]</f>
        <v>SOL-10968</v>
      </c>
      <c r="D88" s="20">
        <f>SUM(Jan!D88, Feb!D88, Mar!D88)</f>
        <v>273207</v>
      </c>
      <c r="E88" s="10">
        <f>SUM(Jan!E88, Feb!E88, Mar!E88)</f>
        <v>0</v>
      </c>
      <c r="F88" s="10">
        <f t="shared" si="9"/>
        <v>273207</v>
      </c>
      <c r="G88" s="11" t="str">
        <f t="shared" si="10"/>
        <v/>
      </c>
      <c r="H88" s="12">
        <f>SUM(Jan!H88, Feb!H88, Mar!H88)</f>
        <v>398905.48</v>
      </c>
      <c r="I88" s="12">
        <f>SUM(Jan!I88, Feb!I88, Mar!I88)</f>
        <v>-125698.47999999998</v>
      </c>
      <c r="J88" s="13">
        <f t="shared" si="11"/>
        <v>-0.3151084312002933</v>
      </c>
    </row>
    <row r="89" spans="1:10" ht="15.6">
      <c r="A89" s="26" t="str">
        <v>Henrietta</v>
      </c>
      <c r="B89" s="27" t="str">
        <v>NY</v>
      </c>
      <c r="C89" s="27" t="str">
        <f>Sites[[#This Row],[SOL'#]]</f>
        <v>SOL-10972</v>
      </c>
      <c r="D89" s="9">
        <f>SUM(Jan!D89, Feb!D89, Mar!D89)</f>
        <v>484440</v>
      </c>
      <c r="E89" s="14">
        <f>SUM(Jan!E89, Feb!E89, Mar!E89)</f>
        <v>0</v>
      </c>
      <c r="F89" s="14">
        <f t="shared" si="9"/>
        <v>484440</v>
      </c>
      <c r="G89" s="15" t="str">
        <f t="shared" si="10"/>
        <v/>
      </c>
      <c r="H89" s="16">
        <f>SUM(Jan!H89, Feb!H89, Mar!H89)</f>
        <v>704328.4</v>
      </c>
      <c r="I89" s="16">
        <f>SUM(Jan!I89, Feb!I89, Mar!I89)</f>
        <v>-219888.40000000002</v>
      </c>
      <c r="J89" s="15">
        <f t="shared" si="11"/>
        <v>-0.31219584500639191</v>
      </c>
    </row>
    <row r="90" spans="1:10" ht="15.6">
      <c r="A90" s="24" t="str">
        <v>NY 70</v>
      </c>
      <c r="B90" s="25" t="str">
        <v>NY</v>
      </c>
      <c r="C90" s="25" t="str">
        <f>Sites[[#This Row],[SOL'#]]</f>
        <v>SOL-10970</v>
      </c>
      <c r="D90" s="20">
        <f>SUM(Jan!D90, Feb!D90, Mar!D90)</f>
        <v>666330</v>
      </c>
      <c r="E90" s="10">
        <f>SUM(Jan!E90, Feb!E90, Mar!E90)</f>
        <v>0</v>
      </c>
      <c r="F90" s="10">
        <f t="shared" si="9"/>
        <v>666330</v>
      </c>
      <c r="G90" s="11" t="str">
        <f t="shared" si="10"/>
        <v/>
      </c>
      <c r="H90" s="12">
        <f>SUM(Jan!H90, Feb!H90, Mar!H90)</f>
        <v>932648.4</v>
      </c>
      <c r="I90" s="12">
        <f>SUM(Jan!I90, Feb!I90, Mar!I90)</f>
        <v>-266318.40000000002</v>
      </c>
      <c r="J90" s="13">
        <f t="shared" si="11"/>
        <v>-0.28555069627525231</v>
      </c>
    </row>
    <row r="91" spans="1:10" ht="15.6">
      <c r="A91" s="26" t="str">
        <v>Reid</v>
      </c>
      <c r="B91" s="27" t="str">
        <v>NY</v>
      </c>
      <c r="C91" s="27" t="str">
        <f>Sites[[#This Row],[SOL'#]]</f>
        <v>SOL-10991</v>
      </c>
      <c r="D91" s="9">
        <f>SUM(Jan!D91, Feb!D91, Mar!D91)</f>
        <v>266655.971300815</v>
      </c>
      <c r="E91" s="14">
        <f>SUM(Jan!E91, Feb!E91, Mar!E91)</f>
        <v>704637.4</v>
      </c>
      <c r="F91" s="14">
        <f t="shared" si="9"/>
        <v>-437981.42869918502</v>
      </c>
      <c r="G91" s="15">
        <f t="shared" si="10"/>
        <v>-0.62156994320651304</v>
      </c>
      <c r="H91" s="16">
        <f>SUM(Jan!H91, Feb!H91, Mar!H91)</f>
        <v>695931</v>
      </c>
      <c r="I91" s="16">
        <f>SUM(Jan!I91, Feb!I91, Mar!I91)</f>
        <v>-429275.028699185</v>
      </c>
      <c r="J91" s="15">
        <f t="shared" si="11"/>
        <v>-0.61683561832880707</v>
      </c>
    </row>
    <row r="92" spans="1:10" ht="15.6">
      <c r="A92" s="24" t="str">
        <v>Sangolqui</v>
      </c>
      <c r="B92" s="25" t="str">
        <v>NY</v>
      </c>
      <c r="C92" s="25" t="str">
        <f>Sites[[#This Row],[SOL'#]]</f>
        <v>SOL-10975</v>
      </c>
      <c r="D92" s="20">
        <f>SUM(Jan!D92, Feb!D92, Mar!D92)</f>
        <v>278622</v>
      </c>
      <c r="E92" s="10">
        <f>SUM(Jan!E92, Feb!E92, Mar!E92)</f>
        <v>0</v>
      </c>
      <c r="F92" s="10">
        <f t="shared" si="9"/>
        <v>278622</v>
      </c>
      <c r="G92" s="11" t="str">
        <f t="shared" si="10"/>
        <v/>
      </c>
      <c r="H92" s="12">
        <f>SUM(Jan!H92, Feb!H92, Mar!H92)</f>
        <v>386619.82999999996</v>
      </c>
      <c r="I92" s="12">
        <f>SUM(Jan!I92, Feb!I92, Mar!I92)</f>
        <v>-107997.82999999999</v>
      </c>
      <c r="J92" s="13">
        <f t="shared" si="11"/>
        <v>-0.27933856884681779</v>
      </c>
    </row>
    <row r="93" spans="1:10" ht="15.6">
      <c r="A93" s="26" t="str">
        <v>State Highway 17B</v>
      </c>
      <c r="B93" s="27" t="str">
        <v>NY</v>
      </c>
      <c r="C93" s="27" t="str">
        <f>Sites[[#This Row],[SOL'#]]</f>
        <v>SOL-10988</v>
      </c>
      <c r="D93" s="9">
        <f>SUM(Jan!D93, Feb!D93, Mar!D93)</f>
        <v>602310</v>
      </c>
      <c r="E93" s="14">
        <f>SUM(Jan!E93, Feb!E93, Mar!E93)</f>
        <v>0</v>
      </c>
      <c r="F93" s="14">
        <f t="shared" si="9"/>
        <v>602310</v>
      </c>
      <c r="G93" s="15" t="str">
        <f t="shared" si="10"/>
        <v/>
      </c>
      <c r="H93" s="16">
        <f>SUM(Jan!H93, Feb!H93, Mar!H93)</f>
        <v>857284.06</v>
      </c>
      <c r="I93" s="16">
        <f>SUM(Jan!I93, Feb!I93, Mar!I93)</f>
        <v>-254974.06</v>
      </c>
      <c r="J93" s="15">
        <f t="shared" si="11"/>
        <v>-0.2974207405652684</v>
      </c>
    </row>
    <row r="94" spans="1:10" ht="15.6">
      <c r="A94" s="24" t="str">
        <v>State Route 14A</v>
      </c>
      <c r="B94" s="25" t="str">
        <v>NY</v>
      </c>
      <c r="C94" s="25" t="str">
        <f>Sites[[#This Row],[SOL'#]]</f>
        <v>SOL-10997</v>
      </c>
      <c r="D94" s="20">
        <f>SUM(Jan!D94, Feb!D94, Mar!D94)</f>
        <v>734219</v>
      </c>
      <c r="E94" s="10">
        <f>SUM(Jan!E94, Feb!E94, Mar!E94)</f>
        <v>0</v>
      </c>
      <c r="F94" s="10">
        <f t="shared" si="9"/>
        <v>734219</v>
      </c>
      <c r="G94" s="11" t="str">
        <f t="shared" si="10"/>
        <v/>
      </c>
      <c r="H94" s="12">
        <f>SUM(Jan!H94, Feb!H94, Mar!H94)</f>
        <v>966864.94000000006</v>
      </c>
      <c r="I94" s="12">
        <f>SUM(Jan!I94, Feb!I94, Mar!I94)</f>
        <v>-232645.94000000006</v>
      </c>
      <c r="J94" s="13">
        <f t="shared" si="11"/>
        <v>-0.24061886037567981</v>
      </c>
    </row>
    <row r="95" spans="1:10" ht="15.6">
      <c r="A95" s="26" t="str">
        <v>West Creek</v>
      </c>
      <c r="B95" s="27" t="str">
        <v>NY</v>
      </c>
      <c r="C95" s="27" t="str">
        <f>Sites[[#This Row],[SOL'#]]</f>
        <v>SOL-10995</v>
      </c>
      <c r="D95" s="9">
        <f>SUM(Jan!D95, Feb!D95, Mar!D95)</f>
        <v>825040</v>
      </c>
      <c r="E95" s="14">
        <f>SUM(Jan!E95, Feb!E95, Mar!E95)</f>
        <v>0</v>
      </c>
      <c r="F95" s="14">
        <f t="shared" si="9"/>
        <v>825040</v>
      </c>
      <c r="G95" s="15" t="str">
        <f t="shared" si="10"/>
        <v/>
      </c>
      <c r="H95" s="16">
        <f>SUM(Jan!H95, Feb!H95, Mar!H95)</f>
        <v>902723.2</v>
      </c>
      <c r="I95" s="16">
        <f>SUM(Jan!I95, Feb!I95, Mar!I95)</f>
        <v>-77683.200000000012</v>
      </c>
      <c r="J95" s="15">
        <f t="shared" si="11"/>
        <v>-8.6054285521852125E-2</v>
      </c>
    </row>
    <row r="96" spans="1:10" ht="15.6">
      <c r="A96" s="24" t="str">
        <v>Wildflower</v>
      </c>
      <c r="B96" s="25" t="str">
        <v>NY</v>
      </c>
      <c r="C96" s="25" t="str">
        <f>Sites[[#This Row],[SOL'#]]</f>
        <v>SOL-10982</v>
      </c>
      <c r="D96" s="20">
        <f>SUM(Jan!D96, Feb!D96, Mar!D96)</f>
        <v>694137.9</v>
      </c>
      <c r="E96" s="10">
        <f>SUM(Jan!E96, Feb!E96, Mar!E96)</f>
        <v>0</v>
      </c>
      <c r="F96" s="10">
        <f t="shared" si="9"/>
        <v>694137.9</v>
      </c>
      <c r="G96" s="11" t="str">
        <f t="shared" si="10"/>
        <v/>
      </c>
      <c r="H96" s="12">
        <f>SUM(Jan!H96, Feb!H96, Mar!H96)</f>
        <v>1041838.3600000001</v>
      </c>
      <c r="I96" s="12">
        <f>SUM(Jan!I96, Feb!I96, Mar!I96)</f>
        <v>-347700.46</v>
      </c>
      <c r="J96" s="13">
        <f t="shared" si="11"/>
        <v>-0.33373743312734233</v>
      </c>
    </row>
    <row r="97" spans="1:10" ht="15.6">
      <c r="A97" s="26" t="str">
        <v>Glen Mary 1</v>
      </c>
      <c r="B97" s="27" t="str">
        <v>NY</v>
      </c>
      <c r="C97" s="27" t="str">
        <f>Sites[[#This Row],[SOL'#]]</f>
        <v>SOL-10993</v>
      </c>
      <c r="D97" s="9">
        <f>SUM(Jan!D97, Feb!D97, Mar!D97)</f>
        <v>870350</v>
      </c>
      <c r="E97" s="14">
        <f>SUM(Jan!E97, Feb!E97, Mar!E97)</f>
        <v>0</v>
      </c>
      <c r="F97" s="14">
        <f t="shared" si="9"/>
        <v>870350</v>
      </c>
      <c r="G97" s="15" t="str">
        <f t="shared" si="10"/>
        <v/>
      </c>
      <c r="H97" s="16">
        <f>SUM(Jan!H97, Feb!H97, Mar!H97)</f>
        <v>1001424.8</v>
      </c>
      <c r="I97" s="16">
        <f>SUM(Jan!I97, Feb!I97, Mar!I97)</f>
        <v>-131074.79999999999</v>
      </c>
      <c r="J97" s="15">
        <f t="shared" si="11"/>
        <v>-0.13088831033543405</v>
      </c>
    </row>
    <row r="98" spans="1:10" ht="15.6">
      <c r="A98" s="24" t="str">
        <v>Glen Mary 2</v>
      </c>
      <c r="B98" s="25" t="str">
        <v>NY</v>
      </c>
      <c r="C98" s="25" t="str">
        <f>Sites[[#This Row],[SOL'#]]</f>
        <v>SOL-10994</v>
      </c>
      <c r="D98" s="20">
        <f>SUM(Jan!D98, Feb!D98, Mar!D98)</f>
        <v>79670</v>
      </c>
      <c r="E98" s="10">
        <f>SUM(Jan!E98, Feb!E98, Mar!E98)</f>
        <v>0</v>
      </c>
      <c r="F98" s="10">
        <f t="shared" si="9"/>
        <v>79670</v>
      </c>
      <c r="G98" s="11" t="str">
        <f t="shared" si="10"/>
        <v/>
      </c>
      <c r="H98" s="12">
        <f>SUM(Jan!H98, Feb!H98, Mar!H98)</f>
        <v>413943.19999999995</v>
      </c>
      <c r="I98" s="12">
        <f>SUM(Jan!I98, Feb!I98, Mar!I98)</f>
        <v>-334273.19999999995</v>
      </c>
      <c r="J98" s="13">
        <f t="shared" si="11"/>
        <v>-0.80753398050747061</v>
      </c>
    </row>
    <row r="99" spans="1:10" ht="15.6">
      <c r="A99" s="26" t="str">
        <v>Telegraph 1</v>
      </c>
      <c r="B99" s="27" t="str">
        <v>NY</v>
      </c>
      <c r="C99" s="27" t="str">
        <f>Sites[[#This Row],[SOL'#]]</f>
        <v>SOL-11003</v>
      </c>
      <c r="D99" s="9">
        <f>SUM(Jan!D99, Feb!D99, Mar!D99)</f>
        <v>341301</v>
      </c>
      <c r="E99" s="14">
        <f>SUM(Jan!E99, Feb!E99, Mar!E99)</f>
        <v>0</v>
      </c>
      <c r="F99" s="14">
        <f t="shared" si="9"/>
        <v>341301</v>
      </c>
      <c r="G99" s="15" t="str">
        <f t="shared" si="10"/>
        <v/>
      </c>
      <c r="H99" s="16">
        <f>SUM(Jan!H99, Feb!H99, Mar!H99)</f>
        <v>671411.11</v>
      </c>
      <c r="I99" s="16">
        <f>SUM(Jan!I99, Feb!I99, Mar!I99)</f>
        <v>-330110.11</v>
      </c>
      <c r="J99" s="15">
        <f t="shared" si="11"/>
        <v>-0.49166614177712964</v>
      </c>
    </row>
    <row r="100" spans="1:10" ht="15.6">
      <c r="A100" s="24" t="str">
        <v>Telegraph 2</v>
      </c>
      <c r="B100" s="25" t="str">
        <v>NY</v>
      </c>
      <c r="C100" s="25" t="str">
        <f>Sites[[#This Row],[SOL'#]]</f>
        <v>SOL-11004</v>
      </c>
      <c r="D100" s="20">
        <f>SUM(Jan!D100, Feb!D100, Mar!D100)</f>
        <v>204746</v>
      </c>
      <c r="E100" s="10">
        <f>SUM(Jan!E100, Feb!E100, Mar!E100)</f>
        <v>0</v>
      </c>
      <c r="F100" s="10">
        <f t="shared" si="9"/>
        <v>204746</v>
      </c>
      <c r="G100" s="11" t="str">
        <f t="shared" si="10"/>
        <v/>
      </c>
      <c r="H100" s="12">
        <f>SUM(Jan!H100, Feb!H100, Mar!H100)</f>
        <v>345971.45999999996</v>
      </c>
      <c r="I100" s="12">
        <f>SUM(Jan!I100, Feb!I100, Mar!I100)</f>
        <v>-141225.46</v>
      </c>
      <c r="J100" s="13">
        <f t="shared" si="11"/>
        <v>-0.40819973994386705</v>
      </c>
    </row>
    <row r="101" spans="1:10" ht="15.6">
      <c r="A101" s="26" t="str">
        <v>Cafferty Hill</v>
      </c>
      <c r="B101" s="27" t="str">
        <v>NY</v>
      </c>
      <c r="C101" s="27" t="str">
        <f>Sites[[#This Row],[SOL'#]]</f>
        <v>SOL-10996</v>
      </c>
      <c r="D101" s="9">
        <f>SUM(Jan!D101, Feb!D101, Mar!D101)</f>
        <v>780270</v>
      </c>
      <c r="E101" s="14">
        <f>SUM(Jan!E101, Feb!E101, Mar!E101)</f>
        <v>0</v>
      </c>
      <c r="F101" s="14">
        <f t="shared" si="9"/>
        <v>780270</v>
      </c>
      <c r="G101" s="15" t="str">
        <f t="shared" si="10"/>
        <v/>
      </c>
      <c r="H101" s="16">
        <f>SUM(Jan!H101, Feb!H101, Mar!H101)</f>
        <v>860416.7</v>
      </c>
      <c r="I101" s="16">
        <f>SUM(Jan!I101, Feb!I101, Mar!I101)</f>
        <v>-80146.700000000012</v>
      </c>
      <c r="J101" s="15">
        <f t="shared" si="11"/>
        <v>-9.3148703413125311E-2</v>
      </c>
    </row>
    <row r="102" spans="1:10" ht="15.6">
      <c r="A102" s="24" t="str">
        <v>Dunkleman</v>
      </c>
      <c r="B102" s="25" t="str">
        <v>NY</v>
      </c>
      <c r="C102" s="25" t="str">
        <f>Sites[[#This Row],[SOL'#]]</f>
        <v>SOL-11008</v>
      </c>
      <c r="D102" s="20">
        <f>SUM(Jan!D102, Feb!D102, Mar!D102)</f>
        <v>499340</v>
      </c>
      <c r="E102" s="10">
        <f>SUM(Jan!E102, Feb!E102, Mar!E102)</f>
        <v>0</v>
      </c>
      <c r="F102" s="10">
        <f t="shared" si="9"/>
        <v>499340</v>
      </c>
      <c r="G102" s="11" t="str">
        <f t="shared" si="10"/>
        <v/>
      </c>
      <c r="H102" s="12">
        <f>SUM(Jan!H102, Feb!H102, Mar!H102)</f>
        <v>947522.8</v>
      </c>
      <c r="I102" s="12">
        <f>SUM(Jan!I102, Feb!I102, Mar!I102)</f>
        <v>-448182.8</v>
      </c>
      <c r="J102" s="13">
        <f t="shared" si="11"/>
        <v>-0.47300476569007094</v>
      </c>
    </row>
    <row r="103" spans="1:10" ht="15.6">
      <c r="A103" s="26" t="str">
        <v>Route 19 1</v>
      </c>
      <c r="B103" s="27" t="str">
        <v>NY</v>
      </c>
      <c r="C103" s="27" t="str">
        <f>Sites[[#This Row],[SOL'#]]</f>
        <v>SOL-11001</v>
      </c>
      <c r="D103" s="9">
        <f>SUM(Jan!D103, Feb!D103, Mar!D103)</f>
        <v>253370</v>
      </c>
      <c r="E103" s="14">
        <f>SUM(Jan!E103, Feb!E103, Mar!E103)</f>
        <v>0</v>
      </c>
      <c r="F103" s="14">
        <f t="shared" si="9"/>
        <v>253370</v>
      </c>
      <c r="G103" s="15" t="str">
        <f t="shared" si="10"/>
        <v/>
      </c>
      <c r="H103" s="16">
        <f>SUM(Jan!H103, Feb!H103, Mar!H103)</f>
        <v>385415.88</v>
      </c>
      <c r="I103" s="16">
        <f>SUM(Jan!I103, Feb!I103, Mar!I103)</f>
        <v>-132045.87999999998</v>
      </c>
      <c r="J103" s="15">
        <f t="shared" si="11"/>
        <v>-0.34260622577357208</v>
      </c>
    </row>
    <row r="104" spans="1:10" ht="15.6">
      <c r="A104" s="24" t="str">
        <v>Route 19 2</v>
      </c>
      <c r="B104" s="25" t="str">
        <v>NY</v>
      </c>
      <c r="C104" s="25" t="str">
        <f>Sites[[#This Row],[SOL'#]]</f>
        <v>SOL-11002</v>
      </c>
      <c r="D104" s="20">
        <f>SUM(Jan!D104, Feb!D104, Mar!D104)</f>
        <v>673280</v>
      </c>
      <c r="E104" s="10">
        <f>SUM(Jan!E104, Feb!E104, Mar!E104)</f>
        <v>0</v>
      </c>
      <c r="F104" s="10">
        <f t="shared" si="9"/>
        <v>673280</v>
      </c>
      <c r="G104" s="11" t="str">
        <f t="shared" si="10"/>
        <v/>
      </c>
      <c r="H104" s="12">
        <f>SUM(Jan!H104, Feb!H104, Mar!H104)</f>
        <v>1000905</v>
      </c>
      <c r="I104" s="12">
        <f>SUM(Jan!I104, Feb!I104, Mar!I104)</f>
        <v>-327625</v>
      </c>
      <c r="J104" s="13">
        <f t="shared" si="11"/>
        <v>-0.32732876746544376</v>
      </c>
    </row>
    <row r="105" spans="1:10" ht="15.6">
      <c r="A105" s="26" t="str">
        <v>Yellow Mills 1</v>
      </c>
      <c r="B105" s="27" t="str">
        <v>NY</v>
      </c>
      <c r="C105" s="27" t="str">
        <f>Sites[[#This Row],[SOL'#]]</f>
        <v>SOL-11006</v>
      </c>
      <c r="D105" s="9">
        <f>SUM(Jan!D105, Feb!D105, Mar!D105)</f>
        <v>43612</v>
      </c>
      <c r="E105" s="14">
        <f>SUM(Jan!E105, Feb!E105, Mar!E105)</f>
        <v>0</v>
      </c>
      <c r="F105" s="14">
        <f t="shared" si="9"/>
        <v>43612</v>
      </c>
      <c r="G105" s="15" t="str">
        <f t="shared" si="10"/>
        <v/>
      </c>
      <c r="H105" s="16">
        <f>SUM(Jan!H105, Feb!H105, Mar!H105)</f>
        <v>299785.40000000002</v>
      </c>
      <c r="I105" s="16">
        <f>SUM(Jan!I105, Feb!I105, Mar!I105)</f>
        <v>-256173.4</v>
      </c>
      <c r="J105" s="15">
        <f t="shared" si="11"/>
        <v>-0.85452260183451223</v>
      </c>
    </row>
    <row r="106" spans="1:10" ht="15.6">
      <c r="A106" s="24" t="str">
        <v>Yellow Mills 2</v>
      </c>
      <c r="B106" s="25" t="str">
        <v>NY</v>
      </c>
      <c r="C106" s="25" t="str">
        <f>Sites[[#This Row],[SOL'#]]</f>
        <v>SOL-11005</v>
      </c>
      <c r="D106" s="20">
        <f>SUM(Jan!D106, Feb!D106, Mar!D106)</f>
        <v>228808</v>
      </c>
      <c r="E106" s="10">
        <f>SUM(Jan!E106, Feb!E106, Mar!E106)</f>
        <v>0</v>
      </c>
      <c r="F106" s="10">
        <f t="shared" si="9"/>
        <v>228808</v>
      </c>
      <c r="G106" s="11" t="str">
        <f t="shared" si="10"/>
        <v/>
      </c>
      <c r="H106" s="12">
        <f>SUM(Jan!H106, Feb!H106, Mar!H106)</f>
        <v>307904.59999999998</v>
      </c>
      <c r="I106" s="12">
        <f>SUM(Jan!I106, Feb!I106, Mar!I106)</f>
        <v>-79096.600000000006</v>
      </c>
      <c r="J106" s="13">
        <f t="shared" si="11"/>
        <v>-0.25688671101373611</v>
      </c>
    </row>
    <row r="107" spans="1:10" ht="15.6">
      <c r="A107" s="26" t="str">
        <v>Yellow Mills 3</v>
      </c>
      <c r="B107" s="27" t="str">
        <v>NY</v>
      </c>
      <c r="C107" s="27" t="str">
        <f>Sites[[#This Row],[SOL'#]]</f>
        <v>SOL-11007</v>
      </c>
      <c r="D107" s="9">
        <f>SUM(Jan!D107, Feb!D107, Mar!D107)</f>
        <v>182996</v>
      </c>
      <c r="E107" s="14">
        <f>SUM(Jan!E107, Feb!E107, Mar!E107)</f>
        <v>0</v>
      </c>
      <c r="F107" s="14">
        <f t="shared" si="9"/>
        <v>182996</v>
      </c>
      <c r="G107" s="15" t="str">
        <f t="shared" si="10"/>
        <v/>
      </c>
      <c r="H107" s="16">
        <f>SUM(Jan!H107, Feb!H107, Mar!H107)</f>
        <v>280443.06</v>
      </c>
      <c r="I107" s="16">
        <f>SUM(Jan!I107, Feb!I107, Mar!I107)</f>
        <v>-97447.060000000012</v>
      </c>
      <c r="J107" s="15">
        <f t="shared" si="11"/>
        <v>-0.34747538412966972</v>
      </c>
    </row>
    <row r="108" spans="1:10" ht="15.6">
      <c r="A108" s="24" t="str">
        <v>Catskill</v>
      </c>
      <c r="B108" s="25" t="str">
        <v>NY</v>
      </c>
      <c r="C108" s="25" t="str">
        <f>Sites[[#This Row],[SOL'#]]</f>
        <v>SOL-11021</v>
      </c>
      <c r="D108" s="20">
        <f>SUM(Jan!D108, Feb!D108, Mar!D108)</f>
        <v>525420</v>
      </c>
      <c r="E108" s="10">
        <f>SUM(Jan!E108, Feb!E108, Mar!E108)</f>
        <v>0</v>
      </c>
      <c r="F108" s="10">
        <f t="shared" si="9"/>
        <v>525420</v>
      </c>
      <c r="G108" s="11" t="str">
        <f t="shared" si="10"/>
        <v/>
      </c>
      <c r="H108" s="12">
        <f>SUM(Jan!H108, Feb!H108, Mar!H108)</f>
        <v>674083.33000000007</v>
      </c>
      <c r="I108" s="12">
        <f>SUM(Jan!I108, Feb!I108, Mar!I108)</f>
        <v>-148663.33000000002</v>
      </c>
      <c r="J108" s="13">
        <f t="shared" si="11"/>
        <v>-0.220541472224213</v>
      </c>
    </row>
    <row r="109" spans="1:10" ht="15.6">
      <c r="A109" s="26" t="str">
        <v>Eddy Ridge</v>
      </c>
      <c r="B109" s="27" t="str">
        <v>NY</v>
      </c>
      <c r="C109" s="27" t="str">
        <f>Sites[[#This Row],[SOL'#]]</f>
        <v>SOL-11054</v>
      </c>
      <c r="D109" s="9">
        <f>SUM(Jan!D109, Feb!D109, Mar!D109)</f>
        <v>303485.40000000002</v>
      </c>
      <c r="E109" s="14">
        <f>SUM(Jan!E109, Feb!E109, Mar!E109)</f>
        <v>0</v>
      </c>
      <c r="F109" s="14">
        <f t="shared" si="9"/>
        <v>303485.40000000002</v>
      </c>
      <c r="G109" s="15" t="str">
        <f t="shared" si="10"/>
        <v/>
      </c>
      <c r="H109" s="16">
        <f>SUM(Jan!H109, Feb!H109, Mar!H109)</f>
        <v>437800</v>
      </c>
      <c r="I109" s="16">
        <f>SUM(Jan!I109, Feb!I109, Mar!I109)</f>
        <v>-134314.6</v>
      </c>
      <c r="J109" s="15">
        <f t="shared" si="11"/>
        <v>-0.30679442667884882</v>
      </c>
    </row>
    <row r="110" spans="1:10" ht="15.6">
      <c r="A110" s="24" t="str">
        <v>Ridgeway #1</v>
      </c>
      <c r="B110" s="25" t="str">
        <v>NY</v>
      </c>
      <c r="C110" s="25" t="str">
        <f>Sites[[#This Row],[SOL'#]]</f>
        <v>SOL-11018</v>
      </c>
      <c r="D110" s="20">
        <f>SUM(Jan!D110, Feb!D110, Mar!D110)</f>
        <v>633480</v>
      </c>
      <c r="E110" s="10">
        <f>SUM(Jan!E110, Feb!E110, Mar!E110)</f>
        <v>0</v>
      </c>
      <c r="F110" s="10">
        <f t="shared" si="9"/>
        <v>633480</v>
      </c>
      <c r="G110" s="11" t="str">
        <f t="shared" si="10"/>
        <v/>
      </c>
      <c r="H110" s="12">
        <f>SUM(Jan!H110, Feb!H110, Mar!H110)</f>
        <v>1011772.2</v>
      </c>
      <c r="I110" s="12">
        <f>SUM(Jan!I110, Feb!I110, Mar!I110)</f>
        <v>-378292.19999999995</v>
      </c>
      <c r="J110" s="13">
        <f t="shared" si="11"/>
        <v>-0.37389068408877013</v>
      </c>
    </row>
    <row r="111" spans="1:10" ht="15.6">
      <c r="A111" s="26" t="str">
        <v>Rivard 1</v>
      </c>
      <c r="B111" s="27" t="str">
        <v>NY</v>
      </c>
      <c r="C111" s="27" t="str">
        <f>Sites[[#This Row],[SOL'#]]</f>
        <v>SOL-11011</v>
      </c>
      <c r="D111" s="9">
        <f>SUM(Jan!D111, Feb!D111, Mar!D111)</f>
        <v>489832.99999999901</v>
      </c>
      <c r="E111" s="14">
        <f>SUM(Jan!E111, Feb!E111, Mar!E111)</f>
        <v>667533.9</v>
      </c>
      <c r="F111" s="14">
        <f t="shared" si="9"/>
        <v>-177700.90000000101</v>
      </c>
      <c r="G111" s="15">
        <f t="shared" si="10"/>
        <v>-0.26620505715140608</v>
      </c>
      <c r="H111" s="16">
        <f>SUM(Jan!H111, Feb!H111, Mar!H111)</f>
        <v>657103.19999999995</v>
      </c>
      <c r="I111" s="16">
        <f>SUM(Jan!I111, Feb!I111, Mar!I111)</f>
        <v>-167270.200000001</v>
      </c>
      <c r="J111" s="15">
        <f t="shared" si="11"/>
        <v>-0.25455697065544808</v>
      </c>
    </row>
    <row r="112" spans="1:10" ht="15.6">
      <c r="A112" s="24" t="str">
        <v>Rivard 2</v>
      </c>
      <c r="B112" s="25" t="str">
        <v>NY</v>
      </c>
      <c r="C112" s="25" t="str">
        <f>Sites[[#This Row],[SOL'#]]</f>
        <v>SOL-11012</v>
      </c>
      <c r="D112" s="20">
        <f>SUM(Jan!D112, Feb!D112, Mar!D112)</f>
        <v>494425.46733668301</v>
      </c>
      <c r="E112" s="10">
        <f>SUM(Jan!E112, Feb!E112, Mar!E112)</f>
        <v>517055.19999999995</v>
      </c>
      <c r="F112" s="10">
        <f t="shared" si="9"/>
        <v>-22629.732663316943</v>
      </c>
      <c r="G112" s="11">
        <f t="shared" si="10"/>
        <v>-4.3766570113436529E-2</v>
      </c>
      <c r="H112" s="12">
        <f>SUM(Jan!H112, Feb!H112, Mar!H112)</f>
        <v>628404.1</v>
      </c>
      <c r="I112" s="12">
        <f>SUM(Jan!I112, Feb!I112, Mar!I112)</f>
        <v>-133978.63266331697</v>
      </c>
      <c r="J112" s="13">
        <f t="shared" si="11"/>
        <v>-0.21320458072014006</v>
      </c>
    </row>
    <row r="113" spans="1:10" ht="15.6">
      <c r="A113" s="26" t="str">
        <v>Essex</v>
      </c>
      <c r="B113" s="27" t="str">
        <v>DC</v>
      </c>
      <c r="C113" s="27" t="str">
        <f>Sites[[#This Row],[SOL'#]]</f>
        <v>SOL-10036</v>
      </c>
      <c r="D113" s="9">
        <f>SUM(Jan!D113, Feb!D113, Mar!D113)</f>
        <v>3128</v>
      </c>
      <c r="E113" s="14">
        <f>SUM(Jan!E113, Feb!E113, Mar!E113)</f>
        <v>4133.7610000000004</v>
      </c>
      <c r="F113" s="14">
        <f t="shared" si="9"/>
        <v>-1005.7610000000004</v>
      </c>
      <c r="G113" s="15">
        <f t="shared" si="10"/>
        <v>-0.2433041000677108</v>
      </c>
      <c r="H113" s="16">
        <f>SUM(Jan!H113, Feb!H113, Mar!H113)</f>
        <v>4792.7379999999994</v>
      </c>
      <c r="I113" s="16">
        <f>SUM(Jan!I113, Feb!I113, Mar!I113)</f>
        <v>-1664.7379999999998</v>
      </c>
      <c r="J113" s="15">
        <f t="shared" si="11"/>
        <v>-0.34734592210131243</v>
      </c>
    </row>
    <row r="114" spans="1:10" ht="15.6">
      <c r="A114" s="24" t="str">
        <v>Temple Sinai</v>
      </c>
      <c r="B114" s="25" t="str">
        <v>DC</v>
      </c>
      <c r="C114" s="25" t="str">
        <f>Sites[[#This Row],[SOL'#]]</f>
        <v>SOL-10028</v>
      </c>
      <c r="D114" s="20">
        <f>SUM(Jan!D114, Feb!D114, Mar!D114)</f>
        <v>8137.8199999999506</v>
      </c>
      <c r="E114" s="10">
        <f>SUM(Jan!E114, Feb!E114, Mar!E114)</f>
        <v>13798.438</v>
      </c>
      <c r="F114" s="10">
        <f t="shared" si="9"/>
        <v>-5660.6180000000495</v>
      </c>
      <c r="G114" s="11">
        <f t="shared" si="10"/>
        <v>-0.41023614412008441</v>
      </c>
      <c r="H114" s="12">
        <f>SUM(Jan!H114, Feb!H114, Mar!H114)</f>
        <v>11175.796999999999</v>
      </c>
      <c r="I114" s="12">
        <f>SUM(Jan!I114, Feb!I114, Mar!I114)</f>
        <v>-3037.9770000000494</v>
      </c>
      <c r="J114" s="13">
        <f t="shared" si="11"/>
        <v>-0.27183537782585437</v>
      </c>
    </row>
    <row r="115" spans="1:10" ht="15.6">
      <c r="A115" s="26" t="str">
        <v>Weinberg 1</v>
      </c>
      <c r="B115" s="27" t="str">
        <v>DC</v>
      </c>
      <c r="C115" s="27" t="str">
        <f>Sites[[#This Row],[SOL'#]]</f>
        <v>SOL-10039</v>
      </c>
      <c r="D115" s="9">
        <f>SUM(Jan!D115, Feb!D115, Mar!D115)</f>
        <v>554</v>
      </c>
      <c r="E115" s="14">
        <f>SUM(Jan!E115, Feb!E115, Mar!E115)</f>
        <v>899.23810000000003</v>
      </c>
      <c r="F115" s="14">
        <f t="shared" si="9"/>
        <v>-345.23810000000003</v>
      </c>
      <c r="G115" s="15">
        <f t="shared" si="10"/>
        <v>-0.38392290095359616</v>
      </c>
      <c r="H115" s="16">
        <f>SUM(Jan!H115, Feb!H115, Mar!H115)</f>
        <v>1726.6613</v>
      </c>
      <c r="I115" s="16">
        <f>SUM(Jan!I115, Feb!I115, Mar!I115)</f>
        <v>-1172.6613</v>
      </c>
      <c r="J115" s="15">
        <f t="shared" si="11"/>
        <v>-0.67914958191279318</v>
      </c>
    </row>
    <row r="116" spans="1:10" ht="15.6">
      <c r="A116" s="24" t="str">
        <v>Weinberg 2</v>
      </c>
      <c r="B116" s="25" t="str">
        <v>DC</v>
      </c>
      <c r="C116" s="25" t="str">
        <f>Sites[[#This Row],[SOL'#]]</f>
        <v>SOL-10045</v>
      </c>
      <c r="D116" s="20">
        <f>SUM(Jan!D116, Feb!D116, Mar!D116)</f>
        <v>1360</v>
      </c>
      <c r="E116" s="10">
        <f>SUM(Jan!E116, Feb!E116, Mar!E116)</f>
        <v>1654.3444</v>
      </c>
      <c r="F116" s="10">
        <f t="shared" si="9"/>
        <v>-294.34439999999995</v>
      </c>
      <c r="G116" s="11">
        <f t="shared" si="10"/>
        <v>-0.17792208200420659</v>
      </c>
      <c r="H116" s="12">
        <f>SUM(Jan!H116, Feb!H116, Mar!H116)</f>
        <v>1816.9360999999999</v>
      </c>
      <c r="I116" s="12">
        <f>SUM(Jan!I116, Feb!I116, Mar!I116)</f>
        <v>-456.93610000000001</v>
      </c>
      <c r="J116" s="13">
        <f t="shared" si="11"/>
        <v>-0.25148716017035494</v>
      </c>
    </row>
    <row r="117" spans="1:10" ht="15.6">
      <c r="A117" s="26" t="str">
        <v>Weinberg 3</v>
      </c>
      <c r="B117" s="27" t="str">
        <v>DC</v>
      </c>
      <c r="C117" s="27" t="str">
        <f>Sites[[#This Row],[SOL'#]]</f>
        <v>SOL-10042</v>
      </c>
      <c r="D117" s="9">
        <f>SUM(Jan!D117, Feb!D117, Mar!D117)</f>
        <v>1582</v>
      </c>
      <c r="E117" s="14">
        <f>SUM(Jan!E117, Feb!E117, Mar!E117)</f>
        <v>1877.2932000000001</v>
      </c>
      <c r="F117" s="14">
        <f t="shared" si="9"/>
        <v>-295.29320000000007</v>
      </c>
      <c r="G117" s="15">
        <f t="shared" si="10"/>
        <v>-0.15729732574538707</v>
      </c>
      <c r="H117" s="16">
        <f>SUM(Jan!H117, Feb!H117, Mar!H117)</f>
        <v>1892</v>
      </c>
      <c r="I117" s="16">
        <f>SUM(Jan!I117, Feb!I117, Mar!I117)</f>
        <v>-310</v>
      </c>
      <c r="J117" s="15">
        <f t="shared" si="11"/>
        <v>-0.16384778012684989</v>
      </c>
    </row>
    <row r="118" spans="1:10" ht="15.6">
      <c r="A118" s="24" t="str">
        <v>Clayton Hall</v>
      </c>
      <c r="B118" s="25" t="str">
        <v>DE</v>
      </c>
      <c r="C118" s="25" t="str">
        <f>Sites[[#This Row],[SOL'#]]</f>
        <v>SOL-10820</v>
      </c>
      <c r="D118" s="20">
        <f>SUM(Jan!D118, Feb!D118, Mar!D118)</f>
        <v>16163</v>
      </c>
      <c r="E118" s="10">
        <f>SUM(Jan!E118, Feb!E118, Mar!E118)</f>
        <v>20576.580000000002</v>
      </c>
      <c r="F118" s="10">
        <f t="shared" si="9"/>
        <v>-4413.5800000000017</v>
      </c>
      <c r="G118" s="11">
        <f t="shared" si="10"/>
        <v>-0.21449531457608609</v>
      </c>
      <c r="H118" s="12">
        <f>SUM(Jan!H118, Feb!H118, Mar!H118)</f>
        <v>19189.03</v>
      </c>
      <c r="I118" s="12">
        <f>SUM(Jan!I118, Feb!I118, Mar!I118)</f>
        <v>-3026.0300000000007</v>
      </c>
      <c r="J118" s="13">
        <f t="shared" si="11"/>
        <v>-0.15769582933582368</v>
      </c>
    </row>
    <row r="119" spans="1:10" ht="15.6">
      <c r="A119" s="26" t="str">
        <v>Field House</v>
      </c>
      <c r="B119" s="27" t="str">
        <v>DE</v>
      </c>
      <c r="C119" s="27" t="str">
        <f>Sites[[#This Row],[SOL'#]]</f>
        <v>SOL-10821</v>
      </c>
      <c r="D119" s="9">
        <f>SUM(Jan!D119, Feb!D119, Mar!D119)</f>
        <v>63532</v>
      </c>
      <c r="E119" s="14">
        <f>SUM(Jan!E119, Feb!E119, Mar!E119)</f>
        <v>0</v>
      </c>
      <c r="F119" s="14">
        <f t="shared" si="9"/>
        <v>63532</v>
      </c>
      <c r="G119" s="15" t="str">
        <f t="shared" si="10"/>
        <v/>
      </c>
      <c r="H119" s="16">
        <f>SUM(Jan!H119, Feb!H119, Mar!H119)</f>
        <v>59644</v>
      </c>
      <c r="I119" s="16">
        <f>SUM(Jan!I119, Feb!I119, Mar!I119)</f>
        <v>3888</v>
      </c>
      <c r="J119" s="15">
        <f t="shared" si="11"/>
        <v>6.5186774864194219E-2</v>
      </c>
    </row>
    <row r="120" spans="1:10" ht="15.6">
      <c r="A120" s="24" t="str">
        <v>Wyoming Road</v>
      </c>
      <c r="B120" s="25" t="str">
        <v>DE</v>
      </c>
      <c r="C120" s="25" t="str">
        <f>Sites[[#This Row],[SOL'#]]</f>
        <v>SOL-10819</v>
      </c>
      <c r="D120" s="20">
        <f>SUM(Jan!D120, Feb!D120, Mar!D120)</f>
        <v>0</v>
      </c>
      <c r="E120" s="10">
        <f>SUM(Jan!E120, Feb!E120, Mar!E120)</f>
        <v>31919.605000000003</v>
      </c>
      <c r="F120" s="10">
        <f t="shared" si="9"/>
        <v>-31919.605000000003</v>
      </c>
      <c r="G120" s="11">
        <f t="shared" si="10"/>
        <v>-1</v>
      </c>
      <c r="H120" s="12">
        <f>SUM(Jan!H120, Feb!H120, Mar!H120)</f>
        <v>35487.925000000003</v>
      </c>
      <c r="I120" s="12">
        <f>SUM(Jan!I120, Feb!I120, Mar!I120)</f>
        <v>-35487.925000000003</v>
      </c>
      <c r="J120" s="13">
        <f t="shared" si="11"/>
        <v>-1</v>
      </c>
    </row>
    <row r="121" spans="1:10" ht="15.6">
      <c r="A121" s="26" t="str">
        <v>Leoku</v>
      </c>
      <c r="B121" s="27" t="str">
        <v>HI</v>
      </c>
      <c r="C121" s="27" t="str">
        <f>Sites[[#This Row],[SOL'#]]</f>
        <v>SOL-10071</v>
      </c>
      <c r="D121" s="9">
        <f>SUM(Jan!D121, Feb!D121, Mar!D121)</f>
        <v>16907</v>
      </c>
      <c r="E121" s="14">
        <f>SUM(Jan!E121, Feb!E121, Mar!E121)</f>
        <v>17675.656000000003</v>
      </c>
      <c r="F121" s="14">
        <f t="shared" si="9"/>
        <v>-768.65600000000268</v>
      </c>
      <c r="G121" s="15">
        <f t="shared" si="10"/>
        <v>-4.348670284146753E-2</v>
      </c>
      <c r="H121" s="16">
        <f>SUM(Jan!H121, Feb!H121, Mar!H121)</f>
        <v>20033.428</v>
      </c>
      <c r="I121" s="16">
        <f>SUM(Jan!I121, Feb!I121, Mar!I121)</f>
        <v>-3126.4279999999999</v>
      </c>
      <c r="J121" s="15">
        <f t="shared" si="11"/>
        <v>-0.1560605603793819</v>
      </c>
    </row>
    <row r="122" spans="1:10" ht="15.6">
      <c r="A122" s="24" t="str">
        <v>Waipahu</v>
      </c>
      <c r="B122" s="25" t="str">
        <v>HI</v>
      </c>
      <c r="C122" s="25" t="str">
        <f>Sites[[#This Row],[SOL'#]]</f>
        <v>SOL-10068</v>
      </c>
      <c r="D122" s="20">
        <f>SUM(Jan!D122, Feb!D122, Mar!D122)</f>
        <v>20870</v>
      </c>
      <c r="E122" s="10">
        <f>SUM(Jan!E122, Feb!E122, Mar!E122)</f>
        <v>16915.597999999998</v>
      </c>
      <c r="F122" s="10">
        <f t="shared" si="9"/>
        <v>3954.4020000000019</v>
      </c>
      <c r="G122" s="11">
        <f t="shared" si="10"/>
        <v>0.23377252166905374</v>
      </c>
      <c r="H122" s="12">
        <f>SUM(Jan!H122, Feb!H122, Mar!H122)</f>
        <v>20022.701000000001</v>
      </c>
      <c r="I122" s="12">
        <f>SUM(Jan!I122, Feb!I122, Mar!I122)</f>
        <v>847.29899999999907</v>
      </c>
      <c r="J122" s="13">
        <f t="shared" si="11"/>
        <v>4.2316918182017452E-2</v>
      </c>
    </row>
    <row r="123" spans="1:10" ht="15.6">
      <c r="A123" s="26" t="str">
        <v>Bird in Hand</v>
      </c>
      <c r="B123" s="27" t="str">
        <v>MD</v>
      </c>
      <c r="C123" s="27" t="str">
        <f>Sites[[#This Row],[SOL'#]]</f>
        <v>SOL-10092</v>
      </c>
      <c r="D123" s="9">
        <f>SUM(Jan!D123, Feb!D123, Mar!D123)</f>
        <v>214303</v>
      </c>
      <c r="E123" s="14">
        <f>SUM(Jan!E123, Feb!E123, Mar!E123)</f>
        <v>243641.09999999998</v>
      </c>
      <c r="F123" s="14">
        <f t="shared" si="9"/>
        <v>-29338.099999999977</v>
      </c>
      <c r="G123" s="15">
        <f t="shared" si="10"/>
        <v>-0.12041523371877724</v>
      </c>
      <c r="H123" s="16">
        <f>SUM(Jan!H123, Feb!H123, Mar!H123)</f>
        <v>182082.81</v>
      </c>
      <c r="I123" s="16">
        <f>SUM(Jan!I123, Feb!I123, Mar!I123)</f>
        <v>32220.190000000002</v>
      </c>
      <c r="J123" s="15">
        <f t="shared" si="11"/>
        <v>0.17695349714780875</v>
      </c>
    </row>
    <row r="124" spans="1:10" ht="15.6">
      <c r="A124" s="24" t="str">
        <v>Shortal</v>
      </c>
      <c r="B124" s="25" t="str">
        <v>MD</v>
      </c>
      <c r="C124" s="25" t="str">
        <f>Sites[[#This Row],[SOL'#]]</f>
        <v>SOL-10091</v>
      </c>
      <c r="D124" s="20">
        <f>SUM(Jan!D124, Feb!D125, Mar!D124)</f>
        <v>115755</v>
      </c>
      <c r="E124" s="10">
        <f>SUM(Jan!E124, Feb!E124, Mar!E124)</f>
        <v>173008.45</v>
      </c>
      <c r="F124" s="10">
        <f t="shared" si="9"/>
        <v>-57253.450000000012</v>
      </c>
      <c r="G124" s="11">
        <f t="shared" si="10"/>
        <v>-0.330928633832625</v>
      </c>
      <c r="H124" s="12">
        <f>SUM(Jan!H124, Feb!H124, Mar!H124)</f>
        <v>267045.59999999998</v>
      </c>
      <c r="I124" s="12">
        <f>SUM(Jan!I124, Feb!I124, Mar!I124)</f>
        <v>-151290.6</v>
      </c>
      <c r="J124" s="13">
        <f t="shared" si="11"/>
        <v>-0.56653470418535268</v>
      </c>
    </row>
    <row r="125" spans="1:10" ht="15.6">
      <c r="A125" s="26" t="str">
        <v>Aguadilla</v>
      </c>
      <c r="B125" s="27" t="str">
        <v>PR</v>
      </c>
      <c r="C125" s="27" t="str">
        <f>Sites[[#This Row],[SOL'#]]</f>
        <v>SOL-10072</v>
      </c>
      <c r="D125" s="9">
        <f>SUM(Jan!D125, Feb!D125, Mar!D125)</f>
        <v>26593</v>
      </c>
      <c r="E125" s="14">
        <f>SUM(Jan!E125, Feb!E125, Mar!E125)</f>
        <v>31201.53</v>
      </c>
      <c r="F125" s="14">
        <f t="shared" si="9"/>
        <v>-4608.5299999999988</v>
      </c>
      <c r="G125" s="15">
        <f t="shared" si="10"/>
        <v>-0.14770205179040896</v>
      </c>
      <c r="H125" s="16">
        <f>SUM(Jan!H125, Feb!H125, Mar!H125)</f>
        <v>35161</v>
      </c>
      <c r="I125" s="16">
        <f>SUM(Jan!I125, Feb!I125, Mar!I125)</f>
        <v>-8568</v>
      </c>
      <c r="J125" s="15">
        <f t="shared" si="11"/>
        <v>-0.24367907624925345</v>
      </c>
    </row>
    <row r="126" spans="1:10" ht="15.6">
      <c r="A126" s="24" t="str">
        <v>Bayamon</v>
      </c>
      <c r="B126" s="25" t="str">
        <v>PR</v>
      </c>
      <c r="C126" s="25" t="str">
        <f>Sites[[#This Row],[SOL'#]]</f>
        <v>SOL-10073</v>
      </c>
      <c r="D126" s="20">
        <f>SUM(Jan!D126, Feb!D126, Mar!D126)</f>
        <v>99947</v>
      </c>
      <c r="E126" s="10">
        <f>SUM(Jan!E126, Feb!E126, Mar!E126)</f>
        <v>123259.5</v>
      </c>
      <c r="F126" s="10">
        <f t="shared" si="9"/>
        <v>-23312.5</v>
      </c>
      <c r="G126" s="11">
        <f t="shared" si="10"/>
        <v>-0.18913349478133532</v>
      </c>
      <c r="H126" s="12">
        <f>SUM(Jan!H126, Feb!H126, Mar!H126)</f>
        <v>139016</v>
      </c>
      <c r="I126" s="12">
        <f>SUM(Jan!I126, Feb!I126, Mar!I126)</f>
        <v>-39069</v>
      </c>
      <c r="J126" s="13">
        <f t="shared" si="11"/>
        <v>-0.28103959256488464</v>
      </c>
    </row>
    <row r="127" spans="1:10" ht="15.6">
      <c r="A127" s="26" t="str">
        <v>St Francis</v>
      </c>
      <c r="B127" s="27" t="str">
        <v>PR</v>
      </c>
      <c r="C127" s="27" t="str">
        <f>Sites[[#This Row],[SOL'#]]</f>
        <v>SOL-10034</v>
      </c>
      <c r="D127" s="9">
        <f>SUM(Jan!D127, Feb!D127, Mar!D127)</f>
        <v>35492.75</v>
      </c>
      <c r="E127" s="14">
        <f>SUM(Jan!E127, Feb!E127, Mar!E127)</f>
        <v>72649</v>
      </c>
      <c r="F127" s="14">
        <f t="shared" si="9"/>
        <v>-37156.25</v>
      </c>
      <c r="G127" s="15">
        <f t="shared" si="10"/>
        <v>-0.51144888436179436</v>
      </c>
      <c r="H127" s="16">
        <f>SUM(Jan!H127, Feb!H127, Mar!H127)</f>
        <v>66619</v>
      </c>
      <c r="I127" s="16">
        <f>SUM(Jan!I127, Feb!I127, Mar!I127)</f>
        <v>-31126.25</v>
      </c>
      <c r="J127" s="15">
        <f t="shared" si="11"/>
        <v>-0.46722781788979117</v>
      </c>
    </row>
    <row r="128" spans="1:10" ht="15.6">
      <c r="A128" s="24" t="str">
        <v>Seaport</v>
      </c>
      <c r="B128" s="25" t="str">
        <v>MA</v>
      </c>
      <c r="C128" s="25" t="str">
        <f>Sites[[#This Row],[SOL'#]]</f>
        <v>SOL-10772</v>
      </c>
      <c r="D128" s="20">
        <f>SUM(Jan!D128, Feb!D128, Mar!D128)</f>
        <v>51453.5</v>
      </c>
      <c r="E128" s="10">
        <f>SUM(Jan!E128, Feb!E128, Mar!E128)</f>
        <v>1797.3565000000001</v>
      </c>
      <c r="F128" s="10">
        <f t="shared" si="9"/>
        <v>49656.143499999998</v>
      </c>
      <c r="G128" s="11">
        <f t="shared" si="10"/>
        <v>27.627320178272921</v>
      </c>
      <c r="H128" s="12">
        <f>SUM(Jan!H128, Feb!H128, Mar!H128)</f>
        <v>57498.41</v>
      </c>
      <c r="I128" s="12">
        <f>SUM(Jan!I128, Feb!I128, Mar!I128)</f>
        <v>-6044.91</v>
      </c>
      <c r="J128" s="13">
        <f t="shared" si="11"/>
        <v>-0.10513177668739013</v>
      </c>
    </row>
    <row r="129" spans="1:10" ht="15.6">
      <c r="A129" s="26" t="str">
        <v>Sprague St</v>
      </c>
      <c r="B129" s="27" t="str">
        <v>MA</v>
      </c>
      <c r="C129" s="27" t="str">
        <f>Sites[[#This Row],[SOL'#]]</f>
        <v>SOL-10773</v>
      </c>
      <c r="D129" s="9">
        <f>SUM(Jan!D129, Feb!D129, Mar!D129)</f>
        <v>98861</v>
      </c>
      <c r="E129" s="14">
        <f>SUM(Jan!E129, Feb!E129, Mar!E129)</f>
        <v>154465.14000000001</v>
      </c>
      <c r="F129" s="14">
        <f t="shared" si="9"/>
        <v>-55604.140000000014</v>
      </c>
      <c r="G129" s="15">
        <f t="shared" si="10"/>
        <v>-0.35997856862719968</v>
      </c>
      <c r="H129" s="16">
        <f>SUM(Jan!H129, Feb!H129, Mar!H129)</f>
        <v>120158.58</v>
      </c>
      <c r="I129" s="16">
        <f>SUM(Jan!I129, Feb!I129, Mar!I129)</f>
        <v>-21297.58</v>
      </c>
      <c r="J129" s="15">
        <f t="shared" si="11"/>
        <v>-0.17724560326861388</v>
      </c>
    </row>
    <row r="130" spans="1:10" ht="15.6">
      <c r="A130" s="24" t="str">
        <v>Summer St</v>
      </c>
      <c r="B130" s="25" t="str">
        <v>MA</v>
      </c>
      <c r="C130" s="25" t="str">
        <f>Sites[[#This Row],[SOL'#]]</f>
        <v>SOL-10764</v>
      </c>
      <c r="D130" s="20">
        <f>SUM(Jan!D130, Feb!D130, Mar!D130)</f>
        <v>242424</v>
      </c>
      <c r="E130" s="10">
        <f>SUM(Jan!E130, Feb!E130, Mar!E130)</f>
        <v>327994.5</v>
      </c>
      <c r="F130" s="10">
        <f t="shared" si="9"/>
        <v>-85570.5</v>
      </c>
      <c r="G130" s="11">
        <f t="shared" si="10"/>
        <v>-0.26089004541234684</v>
      </c>
      <c r="H130" s="12">
        <f>SUM(Jan!H130, Feb!H130, Mar!H130)</f>
        <v>292189.90000000002</v>
      </c>
      <c r="I130" s="12">
        <f>SUM(Jan!I130, Feb!I130, Mar!I130)</f>
        <v>-49765.900000000009</v>
      </c>
      <c r="J130" s="13">
        <f t="shared" si="11"/>
        <v>-0.17032039779609084</v>
      </c>
    </row>
    <row r="131" spans="1:10" ht="15.6">
      <c r="A131" s="26" t="str">
        <v>Brock St Vocational</v>
      </c>
      <c r="B131" s="27" t="str">
        <v>NH</v>
      </c>
      <c r="C131" s="27" t="str">
        <f>Sites[[#This Row],[SOL'#]]</f>
        <v>SOL-10768</v>
      </c>
      <c r="D131" s="9">
        <f>SUM(Jan!D131, Feb!D131, Mar!D131)</f>
        <v>2937.8792360000002</v>
      </c>
      <c r="E131" s="14">
        <f>SUM(Jan!E131, Feb!E131, Mar!E131)</f>
        <v>10561.221</v>
      </c>
      <c r="F131" s="14">
        <f t="shared" si="9"/>
        <v>-7623.3417639999989</v>
      </c>
      <c r="G131" s="15">
        <f t="shared" si="10"/>
        <v>-0.72182390312635247</v>
      </c>
      <c r="H131" s="16">
        <f>SUM(Jan!H131, Feb!H131, Mar!H131)</f>
        <v>10594.156999999999</v>
      </c>
      <c r="I131" s="16">
        <f>SUM(Jan!I131, Feb!I131, Mar!I131)</f>
        <v>-7656.2777640000004</v>
      </c>
      <c r="J131" s="15">
        <f t="shared" si="11"/>
        <v>-0.72268872020680841</v>
      </c>
    </row>
    <row r="132" spans="1:10" ht="15.6">
      <c r="A132" s="24" t="str">
        <v>McClelland ES</v>
      </c>
      <c r="B132" s="25" t="str">
        <v>NH</v>
      </c>
      <c r="C132" s="25" t="str">
        <f>Sites[[#This Row],[SOL'#]]</f>
        <v>SOL-10766</v>
      </c>
      <c r="D132" s="20">
        <f>SUM(Jan!D132, Feb!D132, Mar!D132)</f>
        <v>3996.7185640000002</v>
      </c>
      <c r="E132" s="10">
        <f>SUM(Jan!E132, Feb!E132, Mar!E132)</f>
        <v>14026.047999999999</v>
      </c>
      <c r="F132" s="10">
        <f t="shared" si="9"/>
        <v>-10029.329435999998</v>
      </c>
      <c r="G132" s="11">
        <f t="shared" si="10"/>
        <v>-0.71505027189412151</v>
      </c>
      <c r="H132" s="12">
        <f>SUM(Jan!H132, Feb!H132, Mar!H132)</f>
        <v>7871.9030000000002</v>
      </c>
      <c r="I132" s="12">
        <f>SUM(Jan!I132, Feb!I132, Mar!I132)</f>
        <v>-3875.1844360000005</v>
      </c>
      <c r="J132" s="13">
        <f t="shared" si="11"/>
        <v>-0.49228051158658842</v>
      </c>
    </row>
    <row r="133" spans="1:10" ht="15.6">
      <c r="A133" s="26" t="str">
        <v>Portland St</v>
      </c>
      <c r="B133" s="27" t="str">
        <v>NH</v>
      </c>
      <c r="C133" s="27" t="str">
        <f>Sites[[#This Row],[SOL'#]]</f>
        <v>SOL-10771</v>
      </c>
      <c r="D133" s="9">
        <f>SUM(Jan!D133, Feb!D133, Mar!D133)</f>
        <v>2430.0650000000001</v>
      </c>
      <c r="E133" s="14">
        <f>SUM(Jan!E133, Feb!E133, Mar!E133)</f>
        <v>6943.2460000000001</v>
      </c>
      <c r="F133" s="14">
        <f t="shared" si="9"/>
        <v>-4513.1810000000005</v>
      </c>
      <c r="G133" s="15">
        <f t="shared" si="10"/>
        <v>-0.65001024016720721</v>
      </c>
      <c r="H133" s="16">
        <f>SUM(Jan!H133, Feb!H133, Mar!H133)</f>
        <v>9513.0400000000009</v>
      </c>
      <c r="I133" s="16">
        <f>SUM(Jan!I133, Feb!I133, Mar!I133)</f>
        <v>-7082.9750000000004</v>
      </c>
      <c r="J133" s="15">
        <f t="shared" si="11"/>
        <v>-0.74455431702168806</v>
      </c>
    </row>
    <row r="134" spans="1:10" ht="15.6">
      <c r="A134" s="24" t="str">
        <v>Portsmouth HS</v>
      </c>
      <c r="B134" s="25" t="str">
        <v>NH</v>
      </c>
      <c r="C134" s="25" t="str">
        <f>Sites[[#This Row],[SOL'#]]</f>
        <v>SOL-10769</v>
      </c>
      <c r="D134" s="20">
        <f>SUM(Jan!D134, Feb!D134, Mar!D134)</f>
        <v>12001.375</v>
      </c>
      <c r="E134" s="10">
        <f>SUM(Jan!E134, Feb!E134, Mar!E134)</f>
        <v>5673.085</v>
      </c>
      <c r="F134" s="10">
        <f t="shared" si="9"/>
        <v>6328.29</v>
      </c>
      <c r="G134" s="11">
        <f t="shared" si="10"/>
        <v>1.1154935982803007</v>
      </c>
      <c r="H134" s="12">
        <f>SUM(Jan!H134, Feb!H134, Mar!H134)</f>
        <v>36720</v>
      </c>
      <c r="I134" s="12">
        <f>SUM(Jan!I134, Feb!I134, Mar!I134)</f>
        <v>-24718.625</v>
      </c>
      <c r="J134" s="13">
        <f t="shared" si="11"/>
        <v>-0.67316516884531585</v>
      </c>
    </row>
    <row r="135" spans="1:10" ht="15.6">
      <c r="A135" s="26" t="str">
        <v>Portsmouth WTP</v>
      </c>
      <c r="B135" s="27" t="str">
        <v>NH</v>
      </c>
      <c r="C135" s="27" t="str">
        <f>Sites[[#This Row],[SOL'#]]</f>
        <v>SOL-10770</v>
      </c>
      <c r="D135" s="9">
        <f>SUM(Jan!D135, Feb!D135, Mar!D135)</f>
        <v>4993.5</v>
      </c>
      <c r="E135" s="14">
        <f>SUM(Jan!E135, Feb!E135, Mar!E135)</f>
        <v>7501.5919999999996</v>
      </c>
      <c r="F135" s="14">
        <f t="shared" si="9"/>
        <v>-2508.0919999999996</v>
      </c>
      <c r="G135" s="15">
        <f t="shared" si="10"/>
        <v>-0.33434129715399075</v>
      </c>
      <c r="H135" s="16">
        <f>SUM(Jan!H135, Feb!H135, Mar!H135)</f>
        <v>29736.65</v>
      </c>
      <c r="I135" s="16">
        <f>SUM(Jan!I135, Feb!I135, Mar!I135)</f>
        <v>-24743.15</v>
      </c>
      <c r="J135" s="15">
        <f t="shared" si="11"/>
        <v>-0.83207590633107631</v>
      </c>
    </row>
    <row r="136" spans="1:10" ht="15.6">
      <c r="A136" s="24" t="str">
        <v>Rochester St</v>
      </c>
      <c r="B136" s="25" t="str">
        <v>NH</v>
      </c>
      <c r="C136" s="25" t="str">
        <f>Sites[[#This Row],[SOL'#]]</f>
        <v>SOL-10765</v>
      </c>
      <c r="D136" s="20">
        <f>SUM(Jan!D136, Feb!D136, Mar!D136)</f>
        <v>9603.1222109999999</v>
      </c>
      <c r="E136" s="10">
        <f>SUM(Jan!E136, Feb!E136, Mar!E136)</f>
        <v>42446.05</v>
      </c>
      <c r="F136" s="10">
        <f t="shared" si="9"/>
        <v>-32842.927789000001</v>
      </c>
      <c r="G136" s="11">
        <f t="shared" si="10"/>
        <v>-0.77375698772912904</v>
      </c>
      <c r="H136" s="12">
        <f>SUM(Jan!H136, Feb!H136, Mar!H136)</f>
        <v>25103.059999999998</v>
      </c>
      <c r="I136" s="12">
        <f>SUM(Jan!I136, Feb!I136, Mar!I136)</f>
        <v>-15499.937789</v>
      </c>
      <c r="J136" s="13">
        <f t="shared" si="11"/>
        <v>-0.6174521269120179</v>
      </c>
    </row>
    <row r="137" spans="1:10" ht="15.6">
      <c r="A137" s="26" t="str">
        <v>Spaulding HS</v>
      </c>
      <c r="B137" s="27" t="str">
        <v>NH</v>
      </c>
      <c r="C137" s="27" t="str">
        <f>Sites[[#This Row],[SOL'#]]</f>
        <v>SOL-10767</v>
      </c>
      <c r="D137" s="9">
        <f>SUM(Jan!D137, Feb!D137, Mar!D137)</f>
        <v>4573.4448270399998</v>
      </c>
      <c r="E137" s="14">
        <f>SUM(Jan!E137, Feb!E137, Mar!E137)</f>
        <v>13951.595000000001</v>
      </c>
      <c r="F137" s="14">
        <f t="shared" si="9"/>
        <v>-9378.1501729600022</v>
      </c>
      <c r="G137" s="15">
        <f t="shared" si="10"/>
        <v>-0.67219197324463631</v>
      </c>
      <c r="H137" s="16">
        <f>SUM(Jan!H137, Feb!H137, Mar!H137)</f>
        <v>11309.108</v>
      </c>
      <c r="I137" s="16">
        <f>SUM(Jan!I137, Feb!I137, Mar!I137)</f>
        <v>-6735.6631729600003</v>
      </c>
      <c r="J137" s="15">
        <f t="shared" si="11"/>
        <v>-0.5955963258074819</v>
      </c>
    </row>
    <row r="138" spans="1:10" ht="15.6">
      <c r="A138" s="24" t="str">
        <v>Ridgeway #2</v>
      </c>
      <c r="B138" s="25" t="str">
        <v>NY</v>
      </c>
      <c r="C138" s="25" t="str">
        <f>Sites[[#This Row],[SOL'#]]</f>
        <v>SOL-11027</v>
      </c>
      <c r="D138" s="20">
        <f>SUM(Jan!D138, Feb!D138, Mar!D138)</f>
        <v>257753</v>
      </c>
      <c r="E138" s="10">
        <f>SUM(Jan!E138, Feb!E138, Mar!E138)</f>
        <v>0</v>
      </c>
      <c r="F138" s="10">
        <f t="shared" si="9"/>
        <v>257753</v>
      </c>
      <c r="G138" s="11" t="str">
        <f t="shared" si="10"/>
        <v/>
      </c>
      <c r="H138" s="12">
        <f>SUM(Jan!H138, Feb!H138, Mar!H138)</f>
        <v>522890.5</v>
      </c>
      <c r="I138" s="12">
        <f>SUM(Jan!I138, Feb!I138, Mar!I138)</f>
        <v>-265137.5</v>
      </c>
      <c r="J138" s="13">
        <f t="shared" si="11"/>
        <v>-0.50706122983683966</v>
      </c>
    </row>
    <row r="139" spans="1:10" ht="15.6">
      <c r="A139" s="26" t="str">
        <v>Spencer</v>
      </c>
      <c r="B139" s="27" t="str">
        <v>NY</v>
      </c>
      <c r="C139" s="27" t="str">
        <f>Sites[[#This Row],[SOL'#]]</f>
        <v>SOL-11017</v>
      </c>
      <c r="D139" s="9">
        <f>SUM(Jan!D139, Feb!D139, Mar!D139)</f>
        <v>920437</v>
      </c>
      <c r="E139" s="14">
        <f>SUM(Jan!E139, Feb!E139, Mar!E139)</f>
        <v>0</v>
      </c>
      <c r="F139" s="14">
        <f t="shared" si="9"/>
        <v>920437</v>
      </c>
      <c r="G139" s="15" t="str">
        <f t="shared" si="10"/>
        <v/>
      </c>
      <c r="H139" s="16">
        <f>SUM(Jan!H139, Feb!H139, Mar!H139)</f>
        <v>946790.6</v>
      </c>
      <c r="I139" s="16">
        <f>SUM(Jan!I139, Feb!I139, Mar!I139)</f>
        <v>-26353.599999999977</v>
      </c>
      <c r="J139" s="15">
        <f t="shared" si="11"/>
        <v>-2.7834665870151199E-2</v>
      </c>
    </row>
    <row r="140" spans="1:10" ht="15.6">
      <c r="A140" s="24" t="str">
        <v>Reisender</v>
      </c>
      <c r="B140" s="25" t="str">
        <v>NY</v>
      </c>
      <c r="C140" s="25" t="str">
        <f>Sites[[#This Row],[SOL'#]]</f>
        <v>SOL-10886</v>
      </c>
      <c r="D140" s="20">
        <f>SUM(Jan!D140, Feb!D140, Mar!D140)</f>
        <v>268510</v>
      </c>
      <c r="E140" s="10">
        <f>SUM(Jan!E140, Feb!E140, Mar!E140)</f>
        <v>398487.05200000003</v>
      </c>
      <c r="F140" s="10">
        <f t="shared" si="9"/>
        <v>-129977.05200000003</v>
      </c>
      <c r="G140" s="11">
        <f t="shared" si="10"/>
        <v>-0.3261763496395863</v>
      </c>
      <c r="H140" s="12">
        <f>SUM(Jan!H140, Feb!H140, Mar!H140)</f>
        <v>341969.8</v>
      </c>
      <c r="I140" s="12">
        <f>SUM(Jan!I140, Feb!I140, Mar!I140)</f>
        <v>-73459.799999999988</v>
      </c>
      <c r="J140" s="13">
        <f t="shared" si="11"/>
        <v>-0.21481370577167921</v>
      </c>
    </row>
    <row r="141" spans="1:10" ht="15.6">
      <c r="A141" s="26" t="str">
        <v>Finney</v>
      </c>
      <c r="B141" s="27" t="str">
        <v>NY</v>
      </c>
      <c r="C141" s="27" t="str">
        <f>Sites[[#This Row],[SOL'#]]</f>
        <v>SOL-10999</v>
      </c>
      <c r="D141" s="9">
        <f>SUM(Jan!D141, Feb!D141, Mar!D141)</f>
        <v>923020</v>
      </c>
      <c r="E141" s="14">
        <f>SUM(Jan!E141, Feb!E141, Mar!E141)</f>
        <v>0</v>
      </c>
      <c r="F141" s="14">
        <f t="shared" si="9"/>
        <v>923020</v>
      </c>
      <c r="G141" s="15" t="str">
        <f t="shared" si="10"/>
        <v/>
      </c>
      <c r="H141" s="16">
        <f>SUM(Jan!H141, Feb!H141, Mar!H141)</f>
        <v>1054503.1400000001</v>
      </c>
      <c r="I141" s="16">
        <f>SUM(Jan!I141, Feb!I141, Mar!I141)</f>
        <v>-131483.14000000001</v>
      </c>
      <c r="J141" s="15">
        <f t="shared" si="11"/>
        <v>-0.12468729111607955</v>
      </c>
    </row>
    <row r="142" spans="1:10" ht="15.6">
      <c r="A142" s="24" t="str">
        <v>Davis Solar</v>
      </c>
      <c r="B142" s="25" t="str">
        <v>NY</v>
      </c>
      <c r="C142" s="25" t="str">
        <f>Sites[[#This Row],[SOL'#]]</f>
        <v>SOL-10958</v>
      </c>
      <c r="D142" s="20">
        <f>SUM(Jan!D142, Feb!D142, Mar!D142)</f>
        <v>310390</v>
      </c>
      <c r="E142" s="10">
        <f>SUM(Jan!E142, Feb!E142, Mar!E142)</f>
        <v>475110</v>
      </c>
      <c r="F142" s="10">
        <f t="shared" si="9"/>
        <v>-164720</v>
      </c>
      <c r="G142" s="11">
        <f t="shared" si="10"/>
        <v>-0.34669865925785609</v>
      </c>
      <c r="H142" s="12">
        <f>SUM(Jan!H142, Feb!H142, Mar!H142)</f>
        <v>432046</v>
      </c>
      <c r="I142" s="12">
        <f>SUM(Jan!I142, Feb!I142, Mar!I142)</f>
        <v>-121656</v>
      </c>
      <c r="J142" s="13">
        <f t="shared" si="11"/>
        <v>-0.28158112793545131</v>
      </c>
    </row>
    <row r="143" spans="1:10" ht="15.6">
      <c r="A143" s="26" t="str">
        <v>Genesee</v>
      </c>
      <c r="B143" s="27" t="str">
        <v>NY</v>
      </c>
      <c r="C143" s="27" t="str">
        <f>Sites[[#This Row],[SOL'#]]</f>
        <v>SOL-10951</v>
      </c>
      <c r="D143" s="9">
        <f>SUM(Jan!D143, Feb!D143, Mar!D143)</f>
        <v>399382.4</v>
      </c>
      <c r="E143" s="14">
        <f>SUM(Jan!E143, Feb!E143, Mar!E143)</f>
        <v>0</v>
      </c>
      <c r="F143" s="14">
        <f t="shared" si="9"/>
        <v>399382.4</v>
      </c>
      <c r="G143" s="15" t="str">
        <f t="shared" si="10"/>
        <v/>
      </c>
      <c r="H143" s="16">
        <f>SUM(Jan!H143, Feb!H143, Mar!H143)</f>
        <v>588274</v>
      </c>
      <c r="I143" s="16">
        <f>SUM(Jan!I143, Feb!I143, Mar!I143)</f>
        <v>-188891.59999999998</v>
      </c>
      <c r="J143" s="15">
        <f t="shared" si="11"/>
        <v>-0.32109459197584794</v>
      </c>
    </row>
    <row r="144" spans="1:10" ht="15.6">
      <c r="A144" s="24" t="str">
        <v>Landau I</v>
      </c>
      <c r="B144" s="25" t="str">
        <v>NY</v>
      </c>
      <c r="C144" s="25" t="str">
        <f>Sites[[#This Row],[SOL'#]]</f>
        <v>SOL-10891</v>
      </c>
      <c r="D144" s="20">
        <f>SUM(Jan!D144, Feb!D144, Mar!D144)</f>
        <v>338750</v>
      </c>
      <c r="E144" s="10">
        <f>SUM(Jan!E144, Feb!E144, Mar!E144)</f>
        <v>0</v>
      </c>
      <c r="F144" s="10">
        <f t="shared" si="9"/>
        <v>338750</v>
      </c>
      <c r="G144" s="11" t="str">
        <f t="shared" si="10"/>
        <v/>
      </c>
      <c r="H144" s="12">
        <f>SUM(Jan!H144, Feb!H144, Mar!H144)</f>
        <v>432107.5</v>
      </c>
      <c r="I144" s="12">
        <f>SUM(Jan!I144, Feb!I144, Mar!I144)</f>
        <v>-93357.5</v>
      </c>
      <c r="J144" s="13">
        <f t="shared" si="11"/>
        <v>-0.21605156124344058</v>
      </c>
    </row>
    <row r="145" spans="1:10" ht="15.6">
      <c r="A145" s="26" t="str">
        <v>Landau II</v>
      </c>
      <c r="B145" s="27" t="str">
        <v>NY</v>
      </c>
      <c r="C145" s="27" t="str">
        <f>Sites[[#This Row],[SOL'#]]</f>
        <v>SOL-10895</v>
      </c>
      <c r="D145" s="9">
        <f>SUM(Jan!D145, Feb!D145, Mar!D145)</f>
        <v>664540</v>
      </c>
      <c r="E145" s="14">
        <f>SUM(Jan!E145, Feb!E145, Mar!E145)</f>
        <v>0</v>
      </c>
      <c r="F145" s="14">
        <f t="shared" si="9"/>
        <v>664540</v>
      </c>
      <c r="G145" s="15" t="str">
        <f t="shared" si="10"/>
        <v/>
      </c>
      <c r="H145" s="16">
        <f>SUM(Jan!H145, Feb!H145, Mar!H145)</f>
        <v>875046.31</v>
      </c>
      <c r="I145" s="16">
        <f>SUM(Jan!I145, Feb!I145, Mar!I145)</f>
        <v>-210506.31</v>
      </c>
      <c r="J145" s="15">
        <f t="shared" si="11"/>
        <v>-0.24056590787749277</v>
      </c>
    </row>
    <row r="146" spans="1:10" ht="15.6">
      <c r="A146" s="24" t="str">
        <v>New Beginnings</v>
      </c>
      <c r="B146" s="25" t="str">
        <v>NY</v>
      </c>
      <c r="C146" s="25" t="str">
        <f>Sites[[#This Row],[SOL'#]]</f>
        <v>SOL-10890</v>
      </c>
      <c r="D146" s="20">
        <f>SUM(Jan!D146, Feb!D146, Mar!D146)</f>
        <v>330300</v>
      </c>
      <c r="E146" s="10">
        <f>SUM(Jan!E146, Feb!E146, Mar!E146)</f>
        <v>501850.23700000002</v>
      </c>
      <c r="F146" s="10">
        <f t="shared" ref="F146:F159" si="12">IF(AND(ISNUMBER(D146),ISNUMBER(E146)), D146-E146, "")</f>
        <v>-171550.23700000002</v>
      </c>
      <c r="G146" s="11">
        <f t="shared" ref="G146:G159" si="13">IFERROR(F146/E146, "")</f>
        <v>-0.34183552054395067</v>
      </c>
      <c r="H146" s="12">
        <f>SUM(Jan!H146, Feb!H146, Mar!H146)</f>
        <v>430987.04000000004</v>
      </c>
      <c r="I146" s="12">
        <f>SUM(Jan!I146, Feb!I146, Mar!I146)</f>
        <v>-100687.04000000001</v>
      </c>
      <c r="J146" s="13">
        <f t="shared" ref="J146:J159" si="14">IFERROR(I146/H146, "")</f>
        <v>-0.23361964666037288</v>
      </c>
    </row>
    <row r="147" spans="1:10" ht="15.6">
      <c r="A147" s="26" t="str">
        <v>Guilin Farm Solar</v>
      </c>
      <c r="B147" s="27" t="str">
        <v>NY</v>
      </c>
      <c r="C147" s="27" t="str">
        <f>Sites[[#This Row],[SOL'#]]</f>
        <v>SOL-10998</v>
      </c>
      <c r="D147" s="9">
        <f>SUM(Jan!D147, Feb!D147, Mar!D147)</f>
        <v>472982</v>
      </c>
      <c r="E147" s="14">
        <f>SUM(Jan!E147, Feb!E147, Mar!E147)</f>
        <v>782733.28</v>
      </c>
      <c r="F147" s="14">
        <f t="shared" si="12"/>
        <v>-309751.28000000003</v>
      </c>
      <c r="G147" s="15">
        <f t="shared" si="13"/>
        <v>-0.39573030547519333</v>
      </c>
      <c r="H147" s="16">
        <f>SUM(Jan!H147, Feb!H147, Mar!H147)</f>
        <v>919749.1</v>
      </c>
      <c r="I147" s="16">
        <f>SUM(Jan!I147, Feb!I147, Mar!I147)</f>
        <v>-446767.1</v>
      </c>
      <c r="J147" s="15">
        <f t="shared" si="14"/>
        <v>-0.48574888521228232</v>
      </c>
    </row>
    <row r="148" spans="1:10" ht="15.6">
      <c r="A148" s="24" t="str">
        <v>Brodhead Solar</v>
      </c>
      <c r="B148" s="25" t="str">
        <v>NY</v>
      </c>
      <c r="C148" s="25" t="str">
        <f>Sites[[#This Row],[SOL'#]]</f>
        <v>SOL-10899</v>
      </c>
      <c r="D148" s="20">
        <f>SUM(Jan!D148, Feb!D148, Mar!D148)</f>
        <v>465667</v>
      </c>
      <c r="E148" s="10">
        <f>SUM(Jan!E148, Feb!E148, Mar!E148)</f>
        <v>511711.59</v>
      </c>
      <c r="F148" s="10">
        <f t="shared" si="12"/>
        <v>-46044.590000000026</v>
      </c>
      <c r="G148" s="11">
        <f t="shared" si="13"/>
        <v>-8.9981526507930024E-2</v>
      </c>
      <c r="H148" s="12">
        <f>SUM(Jan!H148, Feb!H148, Mar!H148)</f>
        <v>484125.64</v>
      </c>
      <c r="I148" s="12">
        <f>SUM(Jan!I148, Feb!I148, Mar!I148)</f>
        <v>-18458.640000000014</v>
      </c>
      <c r="J148" s="13">
        <f t="shared" si="14"/>
        <v>-3.8127788480692766E-2</v>
      </c>
    </row>
    <row r="149" spans="1:10" ht="15.6">
      <c r="A149" s="26" t="str">
        <v>Svenski</v>
      </c>
      <c r="B149" s="27" t="str">
        <v>NY</v>
      </c>
      <c r="C149" s="27" t="str">
        <f>Sites[[#This Row],[SOL'#]]</f>
        <v>SOL-10894</v>
      </c>
      <c r="D149" s="9">
        <f>SUM(Jan!D149, Feb!D149, Mar!D149)</f>
        <v>300639</v>
      </c>
      <c r="E149" s="14">
        <f>SUM(Jan!E149, Feb!E149, Mar!E149)</f>
        <v>0</v>
      </c>
      <c r="F149" s="14">
        <f t="shared" si="12"/>
        <v>300639</v>
      </c>
      <c r="G149" s="15" t="str">
        <f t="shared" si="13"/>
        <v/>
      </c>
      <c r="H149" s="16">
        <f>SUM(Jan!H149, Feb!H149, Mar!H149)</f>
        <v>382839.93</v>
      </c>
      <c r="I149" s="16">
        <f>SUM(Jan!I149, Feb!I149, Mar!I149)</f>
        <v>-82200.929999999993</v>
      </c>
      <c r="J149" s="15">
        <f t="shared" si="14"/>
        <v>-0.21471357493979271</v>
      </c>
    </row>
    <row r="150" spans="1:10" ht="15.6">
      <c r="A150" s="24" t="str">
        <v>Bantam</v>
      </c>
      <c r="B150" s="25" t="str">
        <v>NY</v>
      </c>
      <c r="C150" s="25" t="str">
        <f>Sites[[#This Row],[SOL'#]]</f>
        <v>SOL-10986</v>
      </c>
      <c r="D150" s="20">
        <f>SUM(Jan!D150, Feb!D150, Mar!D150)</f>
        <v>179360</v>
      </c>
      <c r="E150" s="10">
        <f>SUM(Jan!E150, Feb!E150, Mar!E150)</f>
        <v>0</v>
      </c>
      <c r="F150" s="10">
        <f t="shared" si="12"/>
        <v>179360</v>
      </c>
      <c r="G150" s="11" t="str">
        <f t="shared" si="13"/>
        <v/>
      </c>
      <c r="H150" s="12">
        <f>SUM(Jan!H150, Feb!H150, Mar!H150)</f>
        <v>574351.30000000005</v>
      </c>
      <c r="I150" s="12">
        <f>SUM(Jan!I150, Feb!I150, Mar!I150)</f>
        <v>-501581.30000000005</v>
      </c>
      <c r="J150" s="13">
        <f t="shared" si="14"/>
        <v>-0.87330053923443718</v>
      </c>
    </row>
    <row r="151" spans="1:10" ht="15.6">
      <c r="A151" s="26" t="str">
        <v>Bogart</v>
      </c>
      <c r="B151" s="27" t="str">
        <v>NY</v>
      </c>
      <c r="C151" s="27" t="str">
        <f>Sites[[#This Row],[SOL'#]]</f>
        <v>SOL-10887</v>
      </c>
      <c r="D151" s="9">
        <f>SUM(Jan!D151, Feb!D151, Mar!D151)</f>
        <v>375590</v>
      </c>
      <c r="E151" s="14">
        <f>SUM(Jan!E151, Feb!E151, Mar!E151)</f>
        <v>458994.11900000001</v>
      </c>
      <c r="F151" s="14">
        <f t="shared" si="12"/>
        <v>-83404.119000000006</v>
      </c>
      <c r="G151" s="15">
        <f t="shared" si="13"/>
        <v>-0.18171064845386398</v>
      </c>
      <c r="H151" s="16">
        <f>SUM(Jan!H151, Feb!H151, Mar!H151)</f>
        <v>395223.1</v>
      </c>
      <c r="I151" s="16">
        <f>SUM(Jan!I151, Feb!I151, Mar!I151)</f>
        <v>-19633.100000000006</v>
      </c>
      <c r="J151" s="15">
        <f t="shared" si="14"/>
        <v>-4.9675993128944149E-2</v>
      </c>
    </row>
    <row r="152" spans="1:10" ht="15.6">
      <c r="A152" s="24" t="str">
        <v>Dubois</v>
      </c>
      <c r="B152" s="25" t="str">
        <v>NY</v>
      </c>
      <c r="C152" s="25" t="str">
        <f>Sites[[#This Row],[SOL'#]]</f>
        <v>SOL-10892</v>
      </c>
      <c r="D152" s="20">
        <f>SUM(Jan!D152, Feb!D152, Mar!D152)</f>
        <v>302008.49</v>
      </c>
      <c r="E152" s="10">
        <f>SUM(Jan!E152, Feb!E152, Mar!E152)</f>
        <v>0</v>
      </c>
      <c r="F152" s="10">
        <f t="shared" si="12"/>
        <v>302008.49</v>
      </c>
      <c r="G152" s="11" t="str">
        <f t="shared" si="13"/>
        <v/>
      </c>
      <c r="H152" s="12">
        <f>SUM(Jan!H152, Feb!H152, Mar!H152)</f>
        <v>0</v>
      </c>
      <c r="I152" s="12">
        <f>SUM(Jan!I152, Feb!I152, Mar!I152)</f>
        <v>0</v>
      </c>
      <c r="J152" s="13" t="str">
        <f t="shared" si="14"/>
        <v/>
      </c>
    </row>
    <row r="153" spans="1:10" ht="15.6">
      <c r="A153" s="26" t="str">
        <v>Salt Point</v>
      </c>
      <c r="B153" s="27" t="str">
        <v>NY</v>
      </c>
      <c r="C153" s="27" t="str">
        <f>Sites[[#This Row],[SOL'#]]</f>
        <v>SOL-10888</v>
      </c>
      <c r="D153" s="9">
        <f>SUM(Jan!D153, Feb!D153, Mar!D153)</f>
        <v>388320</v>
      </c>
      <c r="E153" s="14">
        <f>SUM(Jan!E153, Feb!E153, Mar!E153)</f>
        <v>0</v>
      </c>
      <c r="F153" s="14">
        <f t="shared" si="12"/>
        <v>388320</v>
      </c>
      <c r="G153" s="15" t="str">
        <f t="shared" si="13"/>
        <v/>
      </c>
      <c r="H153" s="16">
        <f>SUM(Jan!H153, Feb!H153, Mar!H153)</f>
        <v>349301.6</v>
      </c>
      <c r="I153" s="16">
        <f>SUM(Jan!I153, Feb!I153, Mar!I153)</f>
        <v>39018.399999999994</v>
      </c>
      <c r="J153" s="15">
        <f t="shared" si="14"/>
        <v>0.11170404029068288</v>
      </c>
    </row>
    <row r="154" spans="1:10" ht="15.6">
      <c r="A154" s="24" t="str">
        <v>Wheatland 2A</v>
      </c>
      <c r="B154" s="25" t="str">
        <v>NY</v>
      </c>
      <c r="C154" s="25" t="str">
        <f>Sites[[#This Row],[SOL'#]]</f>
        <v>SOL-10971</v>
      </c>
      <c r="D154" s="20">
        <f>SUM(Jan!D154, Feb!D154, Mar!D154)</f>
        <v>613580</v>
      </c>
      <c r="E154" s="10">
        <f>SUM(Jan!E154, Feb!E154, Mar!E154)</f>
        <v>0</v>
      </c>
      <c r="F154" s="10">
        <f t="shared" si="12"/>
        <v>613580</v>
      </c>
      <c r="G154" s="11" t="str">
        <f t="shared" si="13"/>
        <v/>
      </c>
      <c r="H154" s="12">
        <f>SUM(Jan!H154, Feb!H154, Mar!H154)</f>
        <v>691690.3</v>
      </c>
      <c r="I154" s="12">
        <f>SUM(Jan!I154, Feb!I154, Mar!I154)</f>
        <v>-78110.299999999988</v>
      </c>
      <c r="J154" s="13">
        <f t="shared" si="14"/>
        <v>-0.11292669566133859</v>
      </c>
    </row>
    <row r="155" spans="1:10" ht="15.6">
      <c r="A155" s="26" t="str">
        <v>Wheatland 2B</v>
      </c>
      <c r="B155" s="27" t="str">
        <v>NY</v>
      </c>
      <c r="C155" s="27" t="str">
        <f>Sites[[#This Row],[SOL'#]]</f>
        <v>SOL-10961</v>
      </c>
      <c r="D155" s="9">
        <f>SUM(Jan!D155, Feb!D155, Mar!D155)</f>
        <v>603710</v>
      </c>
      <c r="E155" s="14">
        <f>SUM(Jan!E155, Feb!E155, Mar!E155)</f>
        <v>0</v>
      </c>
      <c r="F155" s="14">
        <f t="shared" si="12"/>
        <v>603710</v>
      </c>
      <c r="G155" s="15" t="str">
        <f t="shared" si="13"/>
        <v/>
      </c>
      <c r="H155" s="16">
        <f>SUM(Jan!H155, Feb!H155, Mar!H155)</f>
        <v>682657.9</v>
      </c>
      <c r="I155" s="16">
        <f>SUM(Jan!I155, Feb!I155, Mar!I155)</f>
        <v>-78947.900000000023</v>
      </c>
      <c r="J155" s="15">
        <f t="shared" si="14"/>
        <v>-0.11564782301647725</v>
      </c>
    </row>
    <row r="156" spans="1:10" ht="15.6">
      <c r="A156" s="24" t="str">
        <v>Brickchurch</v>
      </c>
      <c r="B156" s="25" t="str">
        <v>NY</v>
      </c>
      <c r="C156" s="25" t="str">
        <f>Sites[[#This Row],[SOL'#]]</f>
        <v>SOL-10889</v>
      </c>
      <c r="D156" s="20">
        <f>SUM(Jan!D156, Feb!D156, Mar!D156)</f>
        <v>155680</v>
      </c>
      <c r="E156" s="10">
        <f>SUM(Jan!E156, Feb!E156, Mar!E156)</f>
        <v>255657.44199999998</v>
      </c>
      <c r="F156" s="10">
        <f t="shared" si="12"/>
        <v>-99977.441999999981</v>
      </c>
      <c r="G156" s="11">
        <f t="shared" si="13"/>
        <v>-0.39106016714350128</v>
      </c>
      <c r="H156" s="12">
        <f>SUM(Jan!H156, Feb!H156, Mar!H156)</f>
        <v>198550.24</v>
      </c>
      <c r="I156" s="12">
        <f>SUM(Jan!I156, Feb!I156, Mar!I156)</f>
        <v>-42870.240000000005</v>
      </c>
      <c r="J156" s="13">
        <f t="shared" si="14"/>
        <v>-0.21591633432424967</v>
      </c>
    </row>
    <row r="157" spans="1:10" ht="15.6">
      <c r="A157" s="26" t="str">
        <v>McCarthy Solar</v>
      </c>
      <c r="B157" s="27" t="str">
        <v>NY</v>
      </c>
      <c r="C157" s="27" t="str">
        <f>Sites[[#This Row],[SOL'#]]</f>
        <v>SOL-10992</v>
      </c>
      <c r="D157" s="9">
        <f>SUM(Jan!D157, Feb!D157, Mar!D157)</f>
        <v>367480</v>
      </c>
      <c r="E157" s="14">
        <f>SUM(Jan!E157, Feb!E157, Mar!E157)</f>
        <v>0</v>
      </c>
      <c r="F157" s="14">
        <f t="shared" si="12"/>
        <v>367480</v>
      </c>
      <c r="G157" s="15" t="str">
        <f t="shared" si="13"/>
        <v/>
      </c>
      <c r="H157" s="16">
        <f>SUM(Jan!H157, Feb!H157, Mar!H157)</f>
        <v>443232.4</v>
      </c>
      <c r="I157" s="16">
        <f>SUM(Jan!I157, Feb!I157, Mar!I157)</f>
        <v>-75752.399999999994</v>
      </c>
      <c r="J157" s="15">
        <f t="shared" si="14"/>
        <v>-0.17090898589543543</v>
      </c>
    </row>
    <row r="158" spans="1:10" ht="15.6">
      <c r="A158" s="24" t="str">
        <v>Costanza</v>
      </c>
      <c r="B158" s="25" t="str">
        <v>NY</v>
      </c>
      <c r="C158" s="25" t="str">
        <f>Sites[[#This Row],[SOL'#]]</f>
        <v>SOL-10907</v>
      </c>
      <c r="D158" s="20">
        <f>SUM(Jan!D158, Feb!D158, Mar!D158)</f>
        <v>289110</v>
      </c>
      <c r="E158" s="10">
        <f>SUM(Jan!E158, Feb!E158, Mar!E158)</f>
        <v>0</v>
      </c>
      <c r="F158" s="10">
        <f t="shared" si="12"/>
        <v>289110</v>
      </c>
      <c r="G158" s="11" t="str">
        <f t="shared" si="13"/>
        <v/>
      </c>
      <c r="H158" s="12">
        <f>SUM(Jan!H158, Feb!H158, Mar!H158)</f>
        <v>396739.89</v>
      </c>
      <c r="I158" s="12">
        <f>SUM(Jan!I158, Feb!I158, Mar!I158)</f>
        <v>-107629.89000000001</v>
      </c>
      <c r="J158" s="13">
        <f t="shared" si="14"/>
        <v>-0.2712857786999941</v>
      </c>
    </row>
    <row r="159" spans="1:10" ht="15.6">
      <c r="A159" s="26" t="str">
        <v>Lockenhurst Pond</v>
      </c>
      <c r="B159" s="27" t="str">
        <v>NY</v>
      </c>
      <c r="C159" s="27" t="str">
        <f>Sites[[#This Row],[SOL'#]]</f>
        <v>SOL-11000</v>
      </c>
      <c r="D159" s="9">
        <f>SUM(Jan!D159, Feb!D159, Mar!D159)</f>
        <v>410331</v>
      </c>
      <c r="E159" s="14">
        <f>SUM(Jan!E159, Feb!E159, Mar!E159)</f>
        <v>459022.4</v>
      </c>
      <c r="F159" s="14">
        <f t="shared" si="12"/>
        <v>-48691.400000000023</v>
      </c>
      <c r="G159" s="15">
        <f t="shared" si="13"/>
        <v>-0.10607630477292616</v>
      </c>
      <c r="H159" s="16">
        <f>SUM(Jan!H159, Feb!H159, Mar!H159)</f>
        <v>379069</v>
      </c>
      <c r="I159" s="16">
        <f>SUM(Jan!I159, Feb!I159, Mar!I159)</f>
        <v>31262</v>
      </c>
      <c r="J159" s="15">
        <f t="shared" si="14"/>
        <v>8.2470473713228992E-2</v>
      </c>
    </row>
    <row r="160" spans="1:10" ht="15.6">
      <c r="A160" s="24" t="str">
        <v>Drinkwater</v>
      </c>
      <c r="B160" s="25" t="str">
        <v>NY</v>
      </c>
      <c r="C160" s="25" t="str">
        <f>Sites[[#This Row],[SOL'#]]</f>
        <v>SOL-10896</v>
      </c>
      <c r="D160" s="20">
        <f>SUM(Jan!D160, Feb!D160, Mar!D160)</f>
        <v>259660</v>
      </c>
      <c r="E160" s="10">
        <f>SUM(Jan!E160, Feb!E160, Mar!E160)</f>
        <v>0</v>
      </c>
      <c r="F160" s="10">
        <f t="shared" ref="F160:F185" si="15">IF(AND(ISNUMBER(D160),ISNUMBER(E160)), D160-E160, "")</f>
        <v>259660</v>
      </c>
      <c r="G160" s="11" t="str">
        <f t="shared" ref="G160:G163" si="16">IFERROR(F160/E160, "")</f>
        <v/>
      </c>
      <c r="H160" s="12">
        <f>SUM(Jan!H160, Feb!H160, Mar!H160)</f>
        <v>394701.66000000003</v>
      </c>
      <c r="I160" s="12">
        <f>SUM(Jan!I160, Feb!I160, Mar!I160)</f>
        <v>-135041.66</v>
      </c>
      <c r="J160" s="13">
        <f t="shared" ref="J160:J161" si="17">IFERROR(I160/H160, "")</f>
        <v>-0.34213603256697728</v>
      </c>
    </row>
    <row r="161" spans="1:10" ht="15.6">
      <c r="A161" s="26" t="str">
        <v>Altamont</v>
      </c>
      <c r="B161" s="27" t="str">
        <v>NY</v>
      </c>
      <c r="C161" s="27" t="str">
        <f>Sites[[#This Row],[SOL'#]]</f>
        <v>SOL-11085</v>
      </c>
      <c r="D161" s="9">
        <f>SUM(Jan!D161, Feb!D161, Mar!D161)</f>
        <v>646647</v>
      </c>
      <c r="E161" s="14">
        <f>SUM(Jan!E161, Feb!E161, Mar!E161)</f>
        <v>969234.3</v>
      </c>
      <c r="F161" s="14">
        <f t="shared" si="15"/>
        <v>-322587.30000000005</v>
      </c>
      <c r="G161" s="15">
        <f t="shared" si="16"/>
        <v>-0.33282695422561914</v>
      </c>
      <c r="H161" s="16">
        <f>SUM(Jan!H161, Feb!H161, Mar!H161)</f>
        <v>800146</v>
      </c>
      <c r="I161" s="16">
        <f>SUM(Jan!I161, Feb!I161, Mar!I161)</f>
        <v>-153499</v>
      </c>
      <c r="J161" s="15">
        <f t="shared" si="17"/>
        <v>-0.19183873943005403</v>
      </c>
    </row>
    <row r="162" spans="1:10" ht="15.6">
      <c r="A162" s="24" t="str">
        <v>Krumkill North</v>
      </c>
      <c r="B162" s="25" t="str">
        <v>NY</v>
      </c>
      <c r="C162" s="25" t="str">
        <f>Sites[[#This Row],[SOL'#]]</f>
        <v>SOL-11086</v>
      </c>
      <c r="D162" s="20">
        <f>SUM(Jan!D162, Feb!D162, Mar!D162)</f>
        <v>535388</v>
      </c>
      <c r="E162" s="10">
        <f>SUM(Jan!E162, Feb!E162, Mar!E162)</f>
        <v>858041.4</v>
      </c>
      <c r="F162" s="10">
        <f t="shared" si="15"/>
        <v>-322653.40000000002</v>
      </c>
      <c r="G162" s="11">
        <f t="shared" si="16"/>
        <v>-0.37603476941788594</v>
      </c>
      <c r="H162" s="12">
        <f>SUM(Jan!H162, Feb!H162, Mar!H162)</f>
        <v>1043356.7999999999</v>
      </c>
      <c r="I162" s="12">
        <f>SUM(Jan!I162, Feb!I162, Mar!I162)</f>
        <v>-507968.79999999993</v>
      </c>
      <c r="J162" s="13">
        <f t="shared" ref="J162:J195" si="18">IFERROR(I162/H162, "")</f>
        <v>-0.48686010384942136</v>
      </c>
    </row>
    <row r="163" spans="1:10" ht="15.6">
      <c r="A163" s="26" t="str">
        <v>Krumkill South</v>
      </c>
      <c r="B163" s="27" t="str">
        <v>NY</v>
      </c>
      <c r="C163" s="27" t="str">
        <f>Sites[[#This Row],[SOL'#]]</f>
        <v>SOL-11087</v>
      </c>
      <c r="D163" s="9">
        <f>SUM(Jan!D163, Feb!D163, Mar!D163)</f>
        <v>518665</v>
      </c>
      <c r="E163" s="14">
        <f>SUM(Jan!E163, Feb!E163, Mar!E163)</f>
        <v>766474.8</v>
      </c>
      <c r="F163" s="14">
        <f t="shared" si="15"/>
        <v>-247809.80000000005</v>
      </c>
      <c r="G163" s="15">
        <f t="shared" si="16"/>
        <v>-0.3233110860265726</v>
      </c>
      <c r="H163" s="16">
        <f>SUM(Jan!H163, Feb!H163, Mar!H163)</f>
        <v>817960.6</v>
      </c>
      <c r="I163" s="16">
        <f>SUM(Jan!I163, Feb!I163, Mar!I163)</f>
        <v>-299295.59999999998</v>
      </c>
      <c r="J163" s="15">
        <f t="shared" si="18"/>
        <v>-0.36590466582375725</v>
      </c>
    </row>
    <row r="164" spans="1:10" ht="15.6">
      <c r="A164" s="24" t="str">
        <v>X092</v>
      </c>
      <c r="B164" s="25" t="str">
        <v>NY</v>
      </c>
      <c r="C164" s="25" t="str">
        <f>Sites[[#This Row],[SOL'#]]</f>
        <v>SOL-11189</v>
      </c>
      <c r="D164" s="20">
        <f>SUM(Jan!D164, Feb!D164, Mar!D164)</f>
        <v>0</v>
      </c>
      <c r="E164" s="10">
        <f>SUM(Jan!E164, Feb!E164, Mar!E164)</f>
        <v>0</v>
      </c>
      <c r="F164" s="10">
        <f t="shared" si="15"/>
        <v>0</v>
      </c>
      <c r="G164" s="11" t="str">
        <f t="shared" ref="G164:G195" si="19">IFERROR(F164/E164, "")</f>
        <v/>
      </c>
      <c r="H164" s="12">
        <f>SUM(Jan!H164, Feb!H164, Mar!H164)</f>
        <v>0</v>
      </c>
      <c r="I164" s="12">
        <f>SUM(Jan!I164, Feb!I164, Mar!I164)</f>
        <v>0</v>
      </c>
      <c r="J164" s="13" t="str">
        <f t="shared" si="18"/>
        <v/>
      </c>
    </row>
    <row r="165" spans="1:10" ht="15.6">
      <c r="A165" s="26" t="str">
        <v>X093</v>
      </c>
      <c r="B165" s="27" t="str">
        <v>NY</v>
      </c>
      <c r="C165" s="27" t="str">
        <f>Sites[[#This Row],[SOL'#]]</f>
        <v>SOL-10932</v>
      </c>
      <c r="D165" s="9">
        <f>SUM(Jan!D165, Feb!D165, Mar!D165)</f>
        <v>8073.8774560789798</v>
      </c>
      <c r="E165" s="14">
        <f>SUM(Jan!E165, Feb!E165, Mar!E165)</f>
        <v>0</v>
      </c>
      <c r="F165" s="14">
        <f t="shared" si="15"/>
        <v>8073.8774560789798</v>
      </c>
      <c r="G165" s="15" t="str">
        <f t="shared" si="19"/>
        <v/>
      </c>
      <c r="H165" s="16">
        <f>SUM(Jan!H165, Feb!H165, Mar!H165)</f>
        <v>0</v>
      </c>
      <c r="I165" s="16">
        <f>SUM(Jan!I165, Feb!I165, Mar!I165)</f>
        <v>8073.8774560789798</v>
      </c>
      <c r="J165" s="15" t="str">
        <f t="shared" si="18"/>
        <v/>
      </c>
    </row>
    <row r="166" spans="1:10" ht="15.6">
      <c r="A166" s="24" t="str">
        <v>X095</v>
      </c>
      <c r="B166" s="25" t="str">
        <v>NY</v>
      </c>
      <c r="C166" s="25" t="str">
        <f>Sites[[#This Row],[SOL'#]]</f>
        <v>SOL-10929</v>
      </c>
      <c r="D166" s="20">
        <f>SUM(Jan!D166, Feb!D166, Mar!D166)</f>
        <v>13423.385934971859</v>
      </c>
      <c r="E166" s="10">
        <f>SUM(Jan!E166, Feb!E166, Mar!E166)</f>
        <v>0</v>
      </c>
      <c r="F166" s="10">
        <f t="shared" si="15"/>
        <v>13423.385934971859</v>
      </c>
      <c r="G166" s="11" t="str">
        <f t="shared" si="19"/>
        <v/>
      </c>
      <c r="H166" s="12">
        <f>SUM(Jan!H166, Feb!H166, Mar!H166)</f>
        <v>0</v>
      </c>
      <c r="I166" s="12">
        <f>SUM(Jan!I166, Feb!I166, Mar!I166)</f>
        <v>13423.385934971859</v>
      </c>
      <c r="J166" s="13" t="str">
        <f t="shared" si="18"/>
        <v/>
      </c>
    </row>
    <row r="167" spans="1:10" ht="15.6">
      <c r="A167" s="26" t="str">
        <v>X181</v>
      </c>
      <c r="B167" s="27" t="str">
        <v>NY</v>
      </c>
      <c r="C167" s="27" t="str">
        <f>Sites[[#This Row],[SOL'#]]</f>
        <v>SOL-10428</v>
      </c>
      <c r="D167" s="9">
        <f>SUM(Jan!D167, Feb!D167, Mar!D167)</f>
        <v>16543.293680999999</v>
      </c>
      <c r="E167" s="14">
        <f>SUM(Jan!E167, Feb!E167, Mar!E167)</f>
        <v>0</v>
      </c>
      <c r="F167" s="14">
        <f t="shared" si="15"/>
        <v>16543.293680999999</v>
      </c>
      <c r="G167" s="15" t="str">
        <f t="shared" si="19"/>
        <v/>
      </c>
      <c r="H167" s="16">
        <f>SUM(Jan!H167, Feb!H167, Mar!H167)</f>
        <v>0</v>
      </c>
      <c r="I167" s="16">
        <f>SUM(Jan!I167, Feb!I167, Mar!I167)</f>
        <v>16543.293680999999</v>
      </c>
      <c r="J167" s="15" t="str">
        <f t="shared" si="18"/>
        <v/>
      </c>
    </row>
    <row r="168" spans="1:10" ht="15.6">
      <c r="A168" s="24" t="str">
        <v>X415</v>
      </c>
      <c r="B168" s="25" t="str">
        <v>NY</v>
      </c>
      <c r="C168" s="25" t="str">
        <f>Sites[[#This Row],[SOL'#]]</f>
        <v>SOL-10429</v>
      </c>
      <c r="D168" s="20">
        <f>SUM(Jan!D168, Feb!D168, Mar!D168)</f>
        <v>13763.191753999999</v>
      </c>
      <c r="E168" s="10">
        <f>SUM(Jan!E168, Feb!E168, Mar!E168)</f>
        <v>0</v>
      </c>
      <c r="F168" s="10">
        <f t="shared" si="15"/>
        <v>13763.191753999999</v>
      </c>
      <c r="G168" s="11" t="str">
        <f t="shared" si="19"/>
        <v/>
      </c>
      <c r="H168" s="12">
        <f>SUM(Jan!H168, Feb!H168, Mar!H168)</f>
        <v>0</v>
      </c>
      <c r="I168" s="12">
        <f>SUM(Jan!I168, Feb!I168, Mar!I168)</f>
        <v>13763.191753999999</v>
      </c>
      <c r="J168" s="13" t="str">
        <f t="shared" si="18"/>
        <v/>
      </c>
    </row>
    <row r="169" spans="1:10" ht="15.6">
      <c r="A169" s="26" t="str">
        <v>K198</v>
      </c>
      <c r="B169" s="27" t="str">
        <v>NY</v>
      </c>
      <c r="C169" s="27" t="str">
        <f>Sites[[#This Row],[SOL'#]]</f>
        <v>SOL-10930</v>
      </c>
      <c r="D169" s="9">
        <f>SUM(Jan!D169, Feb!D169, Mar!D169)</f>
        <v>13824.74612304688</v>
      </c>
      <c r="E169" s="14">
        <f>SUM(Jan!E169, Feb!E169, Mar!E169)</f>
        <v>0</v>
      </c>
      <c r="F169" s="14">
        <f t="shared" si="15"/>
        <v>13824.74612304688</v>
      </c>
      <c r="G169" s="15" t="str">
        <f t="shared" si="19"/>
        <v/>
      </c>
      <c r="H169" s="16">
        <f>SUM(Jan!H169, Feb!H169, Mar!H169)</f>
        <v>0</v>
      </c>
      <c r="I169" s="16">
        <f>SUM(Jan!I169, Feb!I169, Mar!I169)</f>
        <v>13824.74612304688</v>
      </c>
      <c r="J169" s="15" t="str">
        <f t="shared" si="18"/>
        <v/>
      </c>
    </row>
    <row r="170" spans="1:10" ht="15.6">
      <c r="A170" s="24" t="str">
        <v>K203</v>
      </c>
      <c r="B170" s="25" t="str">
        <v>NY</v>
      </c>
      <c r="C170" s="25" t="str">
        <f>Sites[[#This Row],[SOL'#]]</f>
        <v>SOL-11190</v>
      </c>
      <c r="D170" s="20">
        <f>SUM(Jan!D170, Feb!D170, Mar!D170)</f>
        <v>0</v>
      </c>
      <c r="E170" s="10">
        <f>SUM(Jan!E170, Feb!E170, Mar!E170)</f>
        <v>0</v>
      </c>
      <c r="F170" s="10">
        <f t="shared" si="15"/>
        <v>0</v>
      </c>
      <c r="G170" s="11" t="str">
        <f t="shared" si="19"/>
        <v/>
      </c>
      <c r="H170" s="12">
        <f>SUM(Jan!H170, Feb!H170, Mar!H170)</f>
        <v>0</v>
      </c>
      <c r="I170" s="12">
        <f>SUM(Jan!I170, Feb!I170, Mar!I170)</f>
        <v>0</v>
      </c>
      <c r="J170" s="13" t="str">
        <f t="shared" si="18"/>
        <v/>
      </c>
    </row>
    <row r="171" spans="1:10" ht="15.6">
      <c r="A171" s="26" t="str">
        <v>K213</v>
      </c>
      <c r="B171" s="27" t="str">
        <v>NY</v>
      </c>
      <c r="C171" s="27" t="str">
        <f>Sites[[#This Row],[SOL'#]]</f>
        <v>SOL-11191</v>
      </c>
      <c r="D171" s="9">
        <f>SUM(Jan!D171, Feb!D171, Mar!D171)</f>
        <v>0</v>
      </c>
      <c r="E171" s="14">
        <f>SUM(Jan!E171, Feb!E171, Mar!E171)</f>
        <v>0</v>
      </c>
      <c r="F171" s="14">
        <f t="shared" si="15"/>
        <v>0</v>
      </c>
      <c r="G171" s="15" t="str">
        <f t="shared" si="19"/>
        <v/>
      </c>
      <c r="H171" s="16">
        <f>SUM(Jan!H171, Feb!H171, Mar!H171)</f>
        <v>0</v>
      </c>
      <c r="I171" s="16">
        <f>SUM(Jan!I171, Feb!I171, Mar!I171)</f>
        <v>0</v>
      </c>
      <c r="J171" s="15" t="str">
        <f t="shared" si="18"/>
        <v/>
      </c>
    </row>
    <row r="172" spans="1:10" ht="15.6">
      <c r="A172" s="24" t="str">
        <v>K217</v>
      </c>
      <c r="B172" s="25" t="str">
        <v>NY</v>
      </c>
      <c r="C172" s="25" t="str">
        <f>Sites[[#This Row],[SOL'#]]</f>
        <v>SOL-10933</v>
      </c>
      <c r="D172" s="20">
        <f>SUM(Jan!D172, Feb!D172, Mar!D172)</f>
        <v>9425.5021914258705</v>
      </c>
      <c r="E172" s="10">
        <f>SUM(Jan!E172, Feb!E172, Mar!E172)</f>
        <v>0</v>
      </c>
      <c r="F172" s="10">
        <f t="shared" si="15"/>
        <v>9425.5021914258705</v>
      </c>
      <c r="G172" s="11" t="str">
        <f t="shared" si="19"/>
        <v/>
      </c>
      <c r="H172" s="12">
        <f>SUM(Jan!H172, Feb!H172, Mar!H172)</f>
        <v>0</v>
      </c>
      <c r="I172" s="12">
        <f>SUM(Jan!I172, Feb!I172, Mar!I172)</f>
        <v>9425.5021914258705</v>
      </c>
      <c r="J172" s="13" t="str">
        <f t="shared" si="18"/>
        <v/>
      </c>
    </row>
    <row r="173" spans="1:10" ht="15.6">
      <c r="A173" s="26" t="str">
        <v>K307</v>
      </c>
      <c r="B173" s="27" t="str">
        <v>NY</v>
      </c>
      <c r="C173" s="27" t="str">
        <f>Sites[[#This Row],[SOL'#]]</f>
        <v>SOL-10876</v>
      </c>
      <c r="D173" s="9">
        <f>SUM(Jan!D173, Feb!D173, Mar!D173)</f>
        <v>19517.604316999998</v>
      </c>
      <c r="E173" s="14">
        <f>SUM(Jan!E173, Feb!E173, Mar!E173)</f>
        <v>0</v>
      </c>
      <c r="F173" s="14">
        <f t="shared" si="15"/>
        <v>19517.604316999998</v>
      </c>
      <c r="G173" s="15" t="str">
        <f t="shared" si="19"/>
        <v/>
      </c>
      <c r="H173" s="16">
        <f>SUM(Jan!H173, Feb!H173, Mar!H173)</f>
        <v>0</v>
      </c>
      <c r="I173" s="16">
        <f>SUM(Jan!I173, Feb!I173, Mar!I173)</f>
        <v>19517.604316999998</v>
      </c>
      <c r="J173" s="15" t="str">
        <f t="shared" si="18"/>
        <v/>
      </c>
    </row>
    <row r="174" spans="1:10" ht="15.6">
      <c r="A174" s="24" t="str">
        <v>K610</v>
      </c>
      <c r="B174" s="25" t="str">
        <v>NY</v>
      </c>
      <c r="C174" s="25" t="str">
        <f>Sites[[#This Row],[SOL'#]]</f>
        <v>SOL-11158</v>
      </c>
      <c r="D174" s="20">
        <f>SUM(Jan!D174, Feb!D174, Mar!D174)</f>
        <v>0</v>
      </c>
      <c r="E174" s="10">
        <f>SUM(Jan!E174, Feb!E174, Mar!E174)</f>
        <v>0</v>
      </c>
      <c r="F174" s="10">
        <f t="shared" si="15"/>
        <v>0</v>
      </c>
      <c r="G174" s="11" t="str">
        <f t="shared" si="19"/>
        <v/>
      </c>
      <c r="H174" s="12">
        <f>SUM(Jan!H174, Feb!H174, Mar!H174)</f>
        <v>0</v>
      </c>
      <c r="I174" s="12">
        <f>SUM(Jan!I174, Feb!I174, Mar!I174)</f>
        <v>0</v>
      </c>
      <c r="J174" s="13" t="str">
        <f t="shared" si="18"/>
        <v/>
      </c>
    </row>
    <row r="175" spans="1:10" ht="15.6">
      <c r="A175" s="26" t="str">
        <v>M025</v>
      </c>
      <c r="B175" s="27" t="str">
        <v>NY</v>
      </c>
      <c r="C175" s="27" t="str">
        <f>Sites[[#This Row],[SOL'#]]</f>
        <v>SOL-10392</v>
      </c>
      <c r="D175" s="9">
        <f>SUM(Jan!D175, Feb!D175, Mar!D175)</f>
        <v>18775.236937999998</v>
      </c>
      <c r="E175" s="14">
        <f>SUM(Jan!E175, Feb!E175, Mar!E175)</f>
        <v>0</v>
      </c>
      <c r="F175" s="14">
        <f t="shared" si="15"/>
        <v>18775.236937999998</v>
      </c>
      <c r="G175" s="15" t="str">
        <f t="shared" si="19"/>
        <v/>
      </c>
      <c r="H175" s="16">
        <f>SUM(Jan!H175, Feb!H175, Mar!H175)</f>
        <v>0</v>
      </c>
      <c r="I175" s="16">
        <f>SUM(Jan!I175, Feb!I175, Mar!I175)</f>
        <v>18775.236937999998</v>
      </c>
      <c r="J175" s="15" t="str">
        <f t="shared" si="18"/>
        <v/>
      </c>
    </row>
    <row r="176" spans="1:10" ht="15.6">
      <c r="A176" s="24" t="str">
        <v>M028</v>
      </c>
      <c r="B176" s="25" t="str">
        <v>NY</v>
      </c>
      <c r="C176" s="25" t="str">
        <f>Sites[[#This Row],[SOL'#]]</f>
        <v>SOL-10381</v>
      </c>
      <c r="D176" s="20">
        <f>SUM(Jan!D176, Feb!D176, Mar!D176)</f>
        <v>10865.434015999999</v>
      </c>
      <c r="E176" s="10">
        <f>SUM(Jan!E176, Feb!E176, Mar!E176)</f>
        <v>0</v>
      </c>
      <c r="F176" s="10">
        <f t="shared" si="15"/>
        <v>10865.434015999999</v>
      </c>
      <c r="G176" s="11" t="str">
        <f t="shared" si="19"/>
        <v/>
      </c>
      <c r="H176" s="12">
        <f>SUM(Jan!H176, Feb!H176, Mar!H176)</f>
        <v>0</v>
      </c>
      <c r="I176" s="12">
        <f>SUM(Jan!I176, Feb!I176, Mar!I176)</f>
        <v>10865.434015999999</v>
      </c>
      <c r="J176" s="13" t="str">
        <f t="shared" si="18"/>
        <v/>
      </c>
    </row>
    <row r="177" spans="1:10" ht="15.6">
      <c r="A177" s="26" t="str">
        <v>Q030</v>
      </c>
      <c r="B177" s="27" t="str">
        <v>NY</v>
      </c>
      <c r="C177" s="27" t="str">
        <f>Sites[[#This Row],[SOL'#]]</f>
        <v>SOL-10878</v>
      </c>
      <c r="D177" s="9">
        <f>SUM(Jan!D177, Feb!D177, Mar!D177)</f>
        <v>21822.178390000001</v>
      </c>
      <c r="E177" s="14">
        <f>SUM(Jan!E177, Feb!E177, Mar!E177)</f>
        <v>0</v>
      </c>
      <c r="F177" s="14">
        <f t="shared" si="15"/>
        <v>21822.178390000001</v>
      </c>
      <c r="G177" s="15" t="str">
        <f t="shared" si="19"/>
        <v/>
      </c>
      <c r="H177" s="16">
        <f>SUM(Jan!H177, Feb!H177, Mar!H177)</f>
        <v>0</v>
      </c>
      <c r="I177" s="16">
        <f>SUM(Jan!I177, Feb!I177, Mar!I177)</f>
        <v>21822.178390000001</v>
      </c>
      <c r="J177" s="15" t="str">
        <f t="shared" si="18"/>
        <v/>
      </c>
    </row>
    <row r="178" spans="1:10" ht="15.6">
      <c r="A178" s="24" t="str">
        <v>Q130</v>
      </c>
      <c r="B178" s="25" t="str">
        <v>NY</v>
      </c>
      <c r="C178" s="25" t="str">
        <f>Sites[[#This Row],[SOL'#]]</f>
        <v>SOL-10877</v>
      </c>
      <c r="D178" s="20">
        <f>SUM(Jan!D178, Feb!D178, Mar!D178)</f>
        <v>10295.67447</v>
      </c>
      <c r="E178" s="10">
        <f>SUM(Jan!E178, Feb!E178, Mar!E178)</f>
        <v>0</v>
      </c>
      <c r="F178" s="10">
        <f t="shared" si="15"/>
        <v>10295.67447</v>
      </c>
      <c r="G178" s="11" t="str">
        <f t="shared" si="19"/>
        <v/>
      </c>
      <c r="H178" s="12">
        <f>SUM(Jan!H178, Feb!H178, Mar!H178)</f>
        <v>0</v>
      </c>
      <c r="I178" s="12">
        <f>SUM(Jan!I178, Feb!I178, Mar!I178)</f>
        <v>10295.67447</v>
      </c>
      <c r="J178" s="13" t="str">
        <f t="shared" si="18"/>
        <v/>
      </c>
    </row>
    <row r="179" spans="1:10" ht="15.6">
      <c r="A179" s="26" t="str">
        <v>Q196</v>
      </c>
      <c r="B179" s="27" t="str">
        <v>NY</v>
      </c>
      <c r="C179" s="27" t="str">
        <f>Sites[[#This Row],[SOL'#]]</f>
        <v>SOL-10879</v>
      </c>
      <c r="D179" s="9">
        <f>SUM(Jan!D179, Feb!D179, Mar!D179)</f>
        <v>11840.352500000001</v>
      </c>
      <c r="E179" s="14">
        <f>SUM(Jan!E179, Feb!E179, Mar!E179)</f>
        <v>0</v>
      </c>
      <c r="F179" s="14">
        <f t="shared" si="15"/>
        <v>11840.352500000001</v>
      </c>
      <c r="G179" s="15" t="str">
        <f t="shared" si="19"/>
        <v/>
      </c>
      <c r="H179" s="16">
        <f>SUM(Jan!H179, Feb!H179, Mar!H179)</f>
        <v>0</v>
      </c>
      <c r="I179" s="16">
        <f>SUM(Jan!I179, Feb!I179, Mar!I179)</f>
        <v>8604.3924999999999</v>
      </c>
      <c r="J179" s="15" t="str">
        <f t="shared" si="18"/>
        <v/>
      </c>
    </row>
    <row r="180" spans="1:10" ht="15.6">
      <c r="A180" s="24" t="str">
        <v>Q220</v>
      </c>
      <c r="B180" s="25" t="str">
        <v>NY</v>
      </c>
      <c r="C180" s="25" t="str">
        <f>Sites[[#This Row],[SOL'#]]</f>
        <v>SOL-10873</v>
      </c>
      <c r="D180" s="20">
        <f>SUM(Jan!D180, Feb!D180, Mar!D180)</f>
        <v>16591.988410000002</v>
      </c>
      <c r="E180" s="10">
        <f>SUM(Jan!E180, Feb!E180, Mar!E180)</f>
        <v>0</v>
      </c>
      <c r="F180" s="10">
        <f t="shared" si="15"/>
        <v>16591.988410000002</v>
      </c>
      <c r="G180" s="11" t="str">
        <f t="shared" si="19"/>
        <v/>
      </c>
      <c r="H180" s="12">
        <f>SUM(Jan!H180, Feb!H180, Mar!H180)</f>
        <v>0</v>
      </c>
      <c r="I180" s="12">
        <f>SUM(Jan!I180, Feb!I180, Mar!I180)</f>
        <v>10122.787410000001</v>
      </c>
      <c r="J180" s="13" t="str">
        <f t="shared" si="18"/>
        <v/>
      </c>
    </row>
    <row r="181" spans="1:10" ht="15.6">
      <c r="A181" s="26" t="str">
        <v>Q205</v>
      </c>
      <c r="B181" s="27" t="str">
        <v>NY</v>
      </c>
      <c r="C181" s="27" t="str">
        <f>Sites[[#This Row],[SOL'#]]</f>
        <v>SOL-10922</v>
      </c>
      <c r="D181" s="9">
        <f>SUM(Jan!D181, Feb!D181, Mar!D181)</f>
        <v>0</v>
      </c>
      <c r="E181" s="14">
        <f>SUM(Jan!E181, Feb!E181, Mar!E181)</f>
        <v>0</v>
      </c>
      <c r="F181" s="14">
        <f t="shared" si="15"/>
        <v>0</v>
      </c>
      <c r="G181" s="15" t="str">
        <f t="shared" si="19"/>
        <v/>
      </c>
      <c r="H181" s="16">
        <f>SUM(Jan!H181, Feb!H181, Mar!H181)</f>
        <v>0</v>
      </c>
      <c r="I181" s="16">
        <f>SUM(Jan!I181, Feb!I181, Mar!I181)</f>
        <v>0</v>
      </c>
      <c r="J181" s="15" t="str">
        <f t="shared" si="18"/>
        <v/>
      </c>
    </row>
    <row r="182" spans="1:10" ht="15.6">
      <c r="A182" s="24" t="str">
        <v>Q400</v>
      </c>
      <c r="B182" s="25" t="str">
        <v>NY</v>
      </c>
      <c r="C182" s="25" t="str">
        <f>Sites[[#This Row],[SOL'#]]</f>
        <v>SOL-10871</v>
      </c>
      <c r="D182" s="20">
        <f>SUM(Jan!D182, Feb!D182, Mar!D182)</f>
        <v>15777.113282</v>
      </c>
      <c r="E182" s="10">
        <f>SUM(Jan!E182, Feb!E182, Mar!E182)</f>
        <v>0</v>
      </c>
      <c r="F182" s="10">
        <f t="shared" si="15"/>
        <v>15777.113282</v>
      </c>
      <c r="G182" s="11" t="str">
        <f t="shared" si="19"/>
        <v/>
      </c>
      <c r="H182" s="12">
        <f>SUM(Jan!H182, Feb!H182, Mar!H182)</f>
        <v>0</v>
      </c>
      <c r="I182" s="12">
        <f>SUM(Jan!I182, Feb!I182, Mar!I182)</f>
        <v>15777.113282</v>
      </c>
      <c r="J182" s="13" t="str">
        <f t="shared" si="18"/>
        <v/>
      </c>
    </row>
    <row r="183" spans="1:10" ht="15.6">
      <c r="A183" s="26" t="str">
        <v>R003</v>
      </c>
      <c r="B183" s="27" t="str">
        <v>NY</v>
      </c>
      <c r="C183" s="27" t="str">
        <f>Sites[[#This Row],[SOL'#]]</f>
        <v>SOL-10416</v>
      </c>
      <c r="D183" s="9">
        <f>SUM(Jan!D183, Feb!D183, Mar!D183)</f>
        <v>20656.632809999999</v>
      </c>
      <c r="E183" s="14">
        <f>SUM(Jan!E183, Feb!E183, Mar!E183)</f>
        <v>0</v>
      </c>
      <c r="F183" s="14">
        <f t="shared" si="15"/>
        <v>20656.632809999999</v>
      </c>
      <c r="G183" s="15" t="str">
        <f t="shared" si="19"/>
        <v/>
      </c>
      <c r="H183" s="16">
        <f>SUM(Jan!H183, Feb!H183, Mar!H183)</f>
        <v>0</v>
      </c>
      <c r="I183" s="16">
        <f>SUM(Jan!I183, Feb!I183, Mar!I183)</f>
        <v>0</v>
      </c>
      <c r="J183" s="15" t="str">
        <f t="shared" si="18"/>
        <v/>
      </c>
    </row>
    <row r="184" spans="1:10" ht="15.6">
      <c r="A184" s="24" t="str">
        <v>R007</v>
      </c>
      <c r="B184" s="25" t="str">
        <v>NY</v>
      </c>
      <c r="C184" s="25" t="str">
        <f>Sites[[#This Row],[SOL'#]]</f>
        <v>SOL-10417</v>
      </c>
      <c r="D184" s="20">
        <f>SUM(Jan!D184, Feb!D184, Mar!D184)</f>
        <v>35687.357029999999</v>
      </c>
      <c r="E184" s="10">
        <f>SUM(Jan!E184, Feb!E184, Mar!E184)</f>
        <v>0</v>
      </c>
      <c r="F184" s="10">
        <f t="shared" si="15"/>
        <v>35687.357029999999</v>
      </c>
      <c r="G184" s="11" t="str">
        <f t="shared" si="19"/>
        <v/>
      </c>
      <c r="H184" s="12">
        <f>SUM(Jan!H184, Feb!H184, Mar!H184)</f>
        <v>0</v>
      </c>
      <c r="I184" s="12">
        <f>SUM(Jan!I184, Feb!I184, Mar!I184)</f>
        <v>35687.357029999999</v>
      </c>
      <c r="J184" s="13" t="str">
        <f t="shared" si="18"/>
        <v/>
      </c>
    </row>
    <row r="185" spans="1:10" ht="15.6">
      <c r="A185" s="26" t="str">
        <v>BK16</v>
      </c>
      <c r="B185" s="27" t="str">
        <v>NY</v>
      </c>
      <c r="C185" s="27" t="str">
        <f>Sites[[#This Row],[SOL'#]]</f>
        <v>SOL-11093</v>
      </c>
      <c r="D185" s="9">
        <f>SUM(Jan!D185, Feb!D185, Mar!D185)</f>
        <v>34689.161254275503</v>
      </c>
      <c r="E185" s="14">
        <f>SUM(Jan!E185, Feb!E185, Mar!E185)</f>
        <v>0</v>
      </c>
      <c r="F185" s="14">
        <f t="shared" si="15"/>
        <v>34689.161254275503</v>
      </c>
      <c r="G185" s="15" t="str">
        <f t="shared" si="19"/>
        <v/>
      </c>
      <c r="H185" s="16">
        <f>SUM(Jan!H185, Feb!H185, Mar!H185)</f>
        <v>0</v>
      </c>
      <c r="I185" s="16">
        <f>SUM(Jan!I185, Feb!I185, Mar!I185)</f>
        <v>34689.161254275503</v>
      </c>
      <c r="J185" s="15" t="str">
        <f t="shared" si="18"/>
        <v/>
      </c>
    </row>
    <row r="186" spans="1:10" ht="15.6">
      <c r="A186" s="24" t="str">
        <v>Trenton - Trenton East</v>
      </c>
      <c r="B186" s="25" t="str">
        <v>IL</v>
      </c>
      <c r="C186" s="25" t="str">
        <f>Sites[[#This Row],[SOL'#]]</f>
        <v>SOL-11060</v>
      </c>
      <c r="D186" s="60">
        <f>SUM(Jan!D186, Feb!D186, Mar!D186)</f>
        <v>277433</v>
      </c>
      <c r="E186" s="10">
        <f>SUM(Jan!E186, Feb!E186, Mar!E186)</f>
        <v>272748.7</v>
      </c>
      <c r="F186" s="10">
        <f>IF(AND(ISNUMBER(D186),ISNUMBER(E186)), D186-E186, "")</f>
        <v>4684.2999999999884</v>
      </c>
      <c r="G186" s="61">
        <f t="shared" si="19"/>
        <v>1.7174417329945069E-2</v>
      </c>
      <c r="H186" s="76">
        <f>SUM(Jan!H186, Feb!H186, Mar!H186)</f>
        <v>250258</v>
      </c>
      <c r="I186" s="76">
        <f>SUM(Jan!I186, Feb!I186, Mar!I186)</f>
        <v>27175</v>
      </c>
      <c r="J186" s="73">
        <f t="shared" si="18"/>
        <v>0.10858793724875929</v>
      </c>
    </row>
    <row r="187" spans="1:10" ht="15.6">
      <c r="A187" s="26" t="str">
        <v>Trenton - Trenton West</v>
      </c>
      <c r="B187" s="27" t="str">
        <v>IL</v>
      </c>
      <c r="C187" s="27" t="str">
        <f>Sites[[#This Row],[SOL'#]]</f>
        <v>SOL-11061</v>
      </c>
      <c r="D187" s="75">
        <f>SUM(Jan!D187, Feb!D187, Mar!D187)</f>
        <v>286335</v>
      </c>
      <c r="E187" s="14">
        <f>SUM(Jan!E187, Feb!E187, Mar!E187)</f>
        <v>245107.1</v>
      </c>
      <c r="F187" s="14">
        <f>IF(AND(ISNUMBER(D187),ISNUMBER(E187)), D187-E187, "")</f>
        <v>41227.899999999994</v>
      </c>
      <c r="G187" s="77">
        <f t="shared" si="19"/>
        <v>0.1682036138488032</v>
      </c>
      <c r="H187" s="78">
        <f>SUM(Jan!H187, Feb!H187, Mar!H187)</f>
        <v>252415.00399999999</v>
      </c>
      <c r="I187" s="78">
        <f>SUM(Jan!I187, Feb!I187, Mar!I187)</f>
        <v>33919.996000000014</v>
      </c>
      <c r="J187" s="77">
        <f t="shared" si="18"/>
        <v>0.13438185314847614</v>
      </c>
    </row>
    <row r="188" spans="1:10" ht="15.6">
      <c r="A188" s="24" t="str">
        <v>Dakota - Dakota Solar 1</v>
      </c>
      <c r="B188" s="25" t="str">
        <v>IL</v>
      </c>
      <c r="C188" s="25" t="str">
        <f>Sites[[#This Row],[SOL'#]]</f>
        <v>SOL-11113</v>
      </c>
      <c r="D188" s="60">
        <f>SUM(Jan!D188, Feb!D188, Mar!D188)</f>
        <v>540549</v>
      </c>
      <c r="E188" s="10">
        <f>SUM(Jan!E188, Feb!E188, Mar!E188)</f>
        <v>358197.96899999998</v>
      </c>
      <c r="F188" s="10">
        <f>IF(AND(ISNUMBER(D188),ISNUMBER(E188)), D188-E188, "")</f>
        <v>182351.03100000002</v>
      </c>
      <c r="G188" s="61">
        <f t="shared" si="19"/>
        <v>0.50907890826148161</v>
      </c>
      <c r="H188" s="76">
        <f>SUM(Jan!H188, Feb!H188, Mar!H188)</f>
        <v>0</v>
      </c>
      <c r="I188" s="76">
        <f>SUM(Jan!I188, Feb!I188, Mar!I188)</f>
        <v>540549</v>
      </c>
      <c r="J188" s="73" t="str">
        <f t="shared" si="18"/>
        <v/>
      </c>
    </row>
    <row r="189" spans="1:10" ht="15.6">
      <c r="A189" s="26" t="str">
        <v>X018</v>
      </c>
      <c r="B189" s="27" t="str">
        <v>NY</v>
      </c>
      <c r="C189" s="27" t="str">
        <f>Sites[[#This Row],[SOL'#]]</f>
        <v>SOL-10418</v>
      </c>
      <c r="D189" s="75">
        <f>SUM(Jan!D189, Feb!D189, Mar!D189)</f>
        <v>15151.779999999999</v>
      </c>
      <c r="E189" s="14">
        <f>SUM(Jan!E189, Feb!E189, Mar!E189)</f>
        <v>20708.923999999999</v>
      </c>
      <c r="F189" s="14">
        <f>IF(AND(ISNUMBER(D189),ISNUMBER(E189)), D189-E189, "")</f>
        <v>-5557.1440000000002</v>
      </c>
      <c r="G189" s="77">
        <f t="shared" si="19"/>
        <v>-0.26834537612866805</v>
      </c>
      <c r="H189" s="78">
        <f>SUM(Jan!H189, Feb!H189, Mar!H189)</f>
        <v>0</v>
      </c>
      <c r="I189" s="78">
        <f>SUM(Jan!I189, Feb!I189, Mar!I189)</f>
        <v>15151.779999999999</v>
      </c>
      <c r="J189" s="77" t="str">
        <f t="shared" si="18"/>
        <v/>
      </c>
    </row>
    <row r="190" spans="1:10" ht="15.6">
      <c r="A190" s="24" t="str">
        <v>Janiak Solar</v>
      </c>
      <c r="B190" s="25" t="str">
        <v>NY</v>
      </c>
      <c r="C190" s="25" t="str">
        <f>Sites[[#This Row],[SOL'#]]</f>
        <v>SOL-10898</v>
      </c>
      <c r="D190" s="60">
        <f>SUM(Jan!D190, Feb!D190, Mar!D190)</f>
        <v>377824.826</v>
      </c>
      <c r="E190" s="10">
        <f>SUM(Jan!E190, Feb!E190, Mar!E190)</f>
        <v>517835.79799999995</v>
      </c>
      <c r="F190" s="10">
        <f t="shared" ref="F190:F195" si="20">IF(AND(ISNUMBER(D190),ISNUMBER(E190)), D190-E190, "")</f>
        <v>-140010.97199999995</v>
      </c>
      <c r="G190" s="61">
        <f t="shared" si="19"/>
        <v>-0.27037715920906641</v>
      </c>
      <c r="H190" s="76">
        <f>SUM(Jan!H190, Feb!H190, Mar!H190)</f>
        <v>465832.06900000002</v>
      </c>
      <c r="I190" s="76">
        <f>SUM(Jan!I190, Feb!I190, Mar!I190)</f>
        <v>-88007.243000000017</v>
      </c>
      <c r="J190" s="73">
        <f t="shared" si="18"/>
        <v>-0.18892482689936921</v>
      </c>
    </row>
    <row r="191" spans="1:10" ht="15.6">
      <c r="A191" s="26" t="str">
        <v>County Route 11B</v>
      </c>
      <c r="B191" s="27" t="str">
        <v>NY</v>
      </c>
      <c r="C191" s="27" t="str">
        <f>Sites[[#This Row],[SOL'#]]</f>
        <v>SOL-10983</v>
      </c>
      <c r="D191" s="75">
        <f>SUM(Jan!D191, Feb!D191, Mar!D191)</f>
        <v>700763</v>
      </c>
      <c r="E191" s="14">
        <f>SUM(Jan!E191, Feb!E191, Mar!E191)</f>
        <v>0</v>
      </c>
      <c r="F191" s="14">
        <f t="shared" si="20"/>
        <v>700763</v>
      </c>
      <c r="G191" s="77" t="str">
        <f t="shared" si="19"/>
        <v/>
      </c>
      <c r="H191" s="78">
        <f>SUM(Jan!H191, Feb!H191, Mar!H191)</f>
        <v>0</v>
      </c>
      <c r="I191" s="78">
        <f>SUM(Jan!I191, Feb!I191, Mar!I191)</f>
        <v>700763</v>
      </c>
      <c r="J191" s="77" t="str">
        <f t="shared" si="18"/>
        <v/>
      </c>
    </row>
    <row r="192" spans="1:10" ht="15.6">
      <c r="A192" s="24" t="str">
        <v>Barone</v>
      </c>
      <c r="B192" s="25" t="str">
        <v>NY</v>
      </c>
      <c r="C192" s="25" t="str">
        <f>Sites[[#This Row],[SOL'#]]</f>
        <v>SOL-11034</v>
      </c>
      <c r="D192" s="60">
        <f>SUM(Jan!D192, Feb!D192, Mar!D192)</f>
        <v>605846</v>
      </c>
      <c r="E192" s="10">
        <f>SUM(Jan!E192, Feb!E192, Mar!E192)</f>
        <v>0</v>
      </c>
      <c r="F192" s="10">
        <f t="shared" si="20"/>
        <v>605846</v>
      </c>
      <c r="G192" s="61" t="str">
        <f t="shared" si="19"/>
        <v/>
      </c>
      <c r="H192" s="76">
        <f>SUM(Jan!H192, Feb!H192, Mar!H192)</f>
        <v>524939.5</v>
      </c>
      <c r="I192" s="76">
        <f>SUM(Jan!I192, Feb!I192, Mar!I192)</f>
        <v>80906.5</v>
      </c>
      <c r="J192" s="73">
        <f t="shared" si="18"/>
        <v>0.15412538016285687</v>
      </c>
    </row>
    <row r="193" spans="1:10" ht="15.6">
      <c r="A193" s="26" t="str">
        <v>Cedarville</v>
      </c>
      <c r="B193" s="27" t="str">
        <v>IL</v>
      </c>
      <c r="C193" s="27" t="str">
        <f>Sites[[#This Row],[SOL'#]]</f>
        <v>SOL-11069</v>
      </c>
      <c r="D193" s="75">
        <f>SUM(Jan!D193, Feb!D193, Mar!D193)</f>
        <v>421050</v>
      </c>
      <c r="E193" s="14">
        <f>SUM(Jan!E193, Feb!E193, Mar!E193)</f>
        <v>480185.2</v>
      </c>
      <c r="F193" s="14">
        <f t="shared" si="20"/>
        <v>-59135.200000000012</v>
      </c>
      <c r="G193" s="77">
        <f t="shared" si="19"/>
        <v>-0.12315081764285948</v>
      </c>
      <c r="H193" s="78">
        <f>SUM(Jan!H193, Feb!H193, Mar!H193)</f>
        <v>442036.9</v>
      </c>
      <c r="I193" s="78">
        <f>SUM(Jan!I193, Feb!I193, Mar!I193)</f>
        <v>-20986.899999999994</v>
      </c>
      <c r="J193" s="77">
        <f t="shared" si="18"/>
        <v>-4.7477710571221528E-2</v>
      </c>
    </row>
    <row r="194" spans="1:10" ht="15.6">
      <c r="A194" s="24" t="str">
        <v xml:space="preserve"> O'Brien Hill #1</v>
      </c>
      <c r="B194" s="25" t="str">
        <v>NY</v>
      </c>
      <c r="C194" s="25" t="str">
        <f>Sites[[#This Row],[SOL'#]]</f>
        <v>SOL-11098</v>
      </c>
      <c r="D194" s="60">
        <f>SUM(Jan!D194, Feb!D194, Mar!D194)</f>
        <v>702949</v>
      </c>
      <c r="E194" s="10">
        <f>SUM(Jan!E194, Feb!E194, Mar!E194)</f>
        <v>0</v>
      </c>
      <c r="F194" s="10">
        <f t="shared" si="20"/>
        <v>702949</v>
      </c>
      <c r="G194" s="61" t="str">
        <f t="shared" si="19"/>
        <v/>
      </c>
      <c r="H194" s="76">
        <f>SUM(Jan!H194, Feb!H194, Mar!H194)</f>
        <v>0</v>
      </c>
      <c r="I194" s="76">
        <f>SUM(Jan!I194, Feb!I194, Mar!I194)</f>
        <v>702949</v>
      </c>
      <c r="J194" s="73" t="str">
        <f t="shared" si="18"/>
        <v/>
      </c>
    </row>
    <row r="195" spans="1:10" ht="15.6">
      <c r="A195" s="26" t="str">
        <v xml:space="preserve"> O'Brien Hill #2</v>
      </c>
      <c r="B195" s="27" t="str">
        <v>NY</v>
      </c>
      <c r="C195" s="27" t="str">
        <f>Sites[[#This Row],[SOL'#]]</f>
        <v>SOL-11099</v>
      </c>
      <c r="D195" s="75">
        <f>SUM(Jan!D195, Feb!D195, Mar!D195)</f>
        <v>679007</v>
      </c>
      <c r="E195" s="14">
        <f>SUM(Jan!E195, Feb!E195, Mar!E195)</f>
        <v>0</v>
      </c>
      <c r="F195" s="14">
        <f t="shared" si="20"/>
        <v>679007</v>
      </c>
      <c r="G195" s="77" t="str">
        <f t="shared" si="19"/>
        <v/>
      </c>
      <c r="H195" s="78">
        <f>SUM(Jan!H195, Feb!H195, Mar!H195)</f>
        <v>0</v>
      </c>
      <c r="I195" s="78">
        <f>SUM(Jan!I195, Feb!I195, Mar!I195)</f>
        <v>679007</v>
      </c>
      <c r="J195" s="77" t="str">
        <f t="shared" si="18"/>
        <v/>
      </c>
    </row>
    <row r="196" spans="1:10" ht="15.6">
      <c r="A196" s="24" t="str">
        <v>Trinity - Freeport</v>
      </c>
      <c r="B196" s="25" t="str">
        <v>IL</v>
      </c>
      <c r="C196" s="127"/>
      <c r="D196" s="60"/>
      <c r="E196" s="10"/>
      <c r="F196" s="10"/>
      <c r="G196" s="61"/>
      <c r="H196" s="76"/>
      <c r="I196" s="76"/>
      <c r="J196" s="73"/>
    </row>
    <row r="197" spans="1:10" ht="15.6">
      <c r="A197" s="26" t="str">
        <v>Ransom</v>
      </c>
      <c r="B197" s="27" t="str">
        <v>NY</v>
      </c>
      <c r="C197" s="128"/>
      <c r="D197" s="75"/>
      <c r="E197" s="14"/>
      <c r="F197" s="14"/>
      <c r="G197" s="77"/>
      <c r="H197" s="78"/>
      <c r="I197" s="78"/>
      <c r="J197" s="77"/>
    </row>
    <row r="198" spans="1:10" ht="15.6">
      <c r="A198" s="24" t="str">
        <v>Horseheads - Wedge</v>
      </c>
      <c r="B198" s="25" t="str">
        <v>NY</v>
      </c>
      <c r="C198" s="127"/>
      <c r="D198" s="60"/>
      <c r="E198" s="10"/>
      <c r="F198" s="10"/>
      <c r="G198" s="61"/>
      <c r="H198" s="76"/>
      <c r="I198" s="76"/>
      <c r="J198" s="73"/>
    </row>
    <row r="199" spans="1:10" ht="15.6">
      <c r="A199" s="26" t="str">
        <v>Otisville - Shoddy Hollow</v>
      </c>
      <c r="B199" s="27" t="str">
        <v>NY</v>
      </c>
      <c r="C199" s="128"/>
      <c r="D199" s="75"/>
      <c r="E199" s="14"/>
      <c r="F199" s="14"/>
      <c r="G199" s="77"/>
      <c r="H199" s="78"/>
      <c r="I199" s="78"/>
      <c r="J199" s="77"/>
    </row>
    <row r="200" spans="1:10" ht="15.6">
      <c r="A200" s="24" t="str">
        <v>Wellsville - Chenunda Creek</v>
      </c>
      <c r="B200" s="25" t="str">
        <v>NY</v>
      </c>
      <c r="C200" s="127"/>
      <c r="D200" s="60"/>
      <c r="E200" s="10"/>
      <c r="F200" s="10"/>
      <c r="G200" s="61"/>
      <c r="H200" s="76"/>
      <c r="I200" s="76"/>
      <c r="J200" s="73"/>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166" priority="27" stopIfTrue="1" operator="lessThanOrEqual">
      <formula>-0.1</formula>
    </cfRule>
    <cfRule type="expression" dxfId="165" priority="28">
      <formula>AND(ISNUMBER(G2), G2&gt;=0.1)</formula>
    </cfRule>
  </conditionalFormatting>
  <conditionalFormatting sqref="G4:G195 J4:J195">
    <cfRule type="cellIs" dxfId="164" priority="23" stopIfTrue="1" operator="lessThanOrEqual">
      <formula>-0.1</formula>
    </cfRule>
    <cfRule type="expression" dxfId="163" priority="24">
      <formula>AND(ISNUMBER(G4), G4&gt;=0.1)</formula>
    </cfRule>
  </conditionalFormatting>
  <conditionalFormatting sqref="G197 J197">
    <cfRule type="cellIs" dxfId="162" priority="13" stopIfTrue="1" operator="lessThanOrEqual">
      <formula>-0.1</formula>
    </cfRule>
    <cfRule type="expression" dxfId="161" priority="14">
      <formula>AND(ISNUMBER(G197), G197&gt;=0.1)</formula>
    </cfRule>
  </conditionalFormatting>
  <conditionalFormatting sqref="G199 J199">
    <cfRule type="cellIs" dxfId="160" priority="11" stopIfTrue="1" operator="lessThanOrEqual">
      <formula>-0.1</formula>
    </cfRule>
    <cfRule type="expression" dxfId="159" priority="12">
      <formula>AND(ISNUMBER(G199), G199&gt;=0.1)</formula>
    </cfRule>
  </conditionalFormatting>
  <conditionalFormatting sqref="G196 J196">
    <cfRule type="cellIs" dxfId="158" priority="5" stopIfTrue="1" operator="lessThanOrEqual">
      <formula>-0.1</formula>
    </cfRule>
    <cfRule type="expression" dxfId="157" priority="6">
      <formula>AND(ISNUMBER(G196), G196&gt;=0.1)</formula>
    </cfRule>
  </conditionalFormatting>
  <conditionalFormatting sqref="G198 J198">
    <cfRule type="cellIs" dxfId="156" priority="3" stopIfTrue="1" operator="lessThanOrEqual">
      <formula>-0.1</formula>
    </cfRule>
    <cfRule type="expression" dxfId="155" priority="4">
      <formula>AND(ISNUMBER(G198), G198&gt;=0.1)</formula>
    </cfRule>
  </conditionalFormatting>
  <conditionalFormatting sqref="G200 J200">
    <cfRule type="cellIs" dxfId="154" priority="1" stopIfTrue="1" operator="lessThanOrEqual">
      <formula>-0.1</formula>
    </cfRule>
    <cfRule type="expression" dxfId="153" priority="2">
      <formula>AND(ISNUMBER(G200), G200&gt;=0.1)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0"/>
  <sheetViews>
    <sheetView workbookViewId="0">
      <pane xSplit="2" ySplit="3" topLeftCell="C4" activePane="bottomRight" state="frozen"/>
      <selection pane="bottomRight" activeCell="K193" sqref="K193"/>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9" t="str" cm="1">
        <f t="array" ref="A1">portfolio</f>
        <v>Generate Capital</v>
      </c>
      <c r="B1" s="149"/>
      <c r="C1" s="149"/>
      <c r="D1" s="149"/>
      <c r="E1" s="150" t="s">
        <v>13</v>
      </c>
      <c r="F1" s="150"/>
      <c r="G1" s="150"/>
      <c r="H1" s="148" t="s">
        <v>14</v>
      </c>
      <c r="I1" s="148"/>
      <c r="J1" s="148"/>
    </row>
    <row r="2" spans="1:10" ht="19.5" customHeight="1">
      <c r="A2" s="151" t="s">
        <v>2</v>
      </c>
      <c r="B2" s="151"/>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SUM(Apr!D4, May!D4, Jun!D4)</f>
        <v>0</v>
      </c>
      <c r="E4" s="10">
        <f>SUM(Apr!E4, May!E4, Jun!E4)</f>
        <v>0</v>
      </c>
      <c r="F4" s="10">
        <f>IF(AND(ISNUMBER(D4),ISNUMBER(E4)), D4-E4, "")</f>
        <v>0</v>
      </c>
      <c r="G4" s="11" t="str">
        <f>IFERROR(F4/E4, "")</f>
        <v/>
      </c>
      <c r="H4" s="12">
        <f>SUM(Apr!H4, May!H4, Jun!H4)</f>
        <v>0</v>
      </c>
      <c r="I4" s="12">
        <f>SUM(Apr!I4, May!I4, Jun!I4)</f>
        <v>0</v>
      </c>
      <c r="J4" s="13" t="str">
        <f>IFERROR(I4/H4, "")</f>
        <v/>
      </c>
    </row>
    <row r="5" spans="1:10" ht="15.6">
      <c r="A5" s="26" t="str">
        <v>Fulton</v>
      </c>
      <c r="B5" s="27" t="str">
        <v>AZ</v>
      </c>
      <c r="C5" s="27" t="str">
        <f>Sites[[#This Row],[SOL'#]]</f>
        <v>SOL-10749</v>
      </c>
      <c r="D5" s="9">
        <f>SUM(Apr!D5, May!D5, Jun!D5)</f>
        <v>0</v>
      </c>
      <c r="E5" s="14">
        <f>SUM(Apr!E5, May!E5, Jun!E5)</f>
        <v>0</v>
      </c>
      <c r="F5" s="14">
        <f t="shared" ref="F5:F15" si="0">IF(AND(ISNUMBER(D5),ISNUMBER(E5)), D5-E5, "")</f>
        <v>0</v>
      </c>
      <c r="G5" s="15" t="str">
        <f>IFERROR(F5/E5, "")</f>
        <v/>
      </c>
      <c r="H5" s="16">
        <f>SUM(Apr!H5, May!H5, Jun!H5)</f>
        <v>0</v>
      </c>
      <c r="I5" s="16">
        <f>SUM(Apr!I5, May!I5, Jun!I5)</f>
        <v>0</v>
      </c>
      <c r="J5" s="15" t="str">
        <f>IFERROR(I5/H5, "")</f>
        <v/>
      </c>
    </row>
    <row r="6" spans="1:10" ht="15.6">
      <c r="A6" s="24" t="str">
        <v>JFK Elementary</v>
      </c>
      <c r="B6" s="25" t="str">
        <v>AZ</v>
      </c>
      <c r="C6" s="25" t="str">
        <f>Sites[[#This Row],[SOL'#]]</f>
        <v>SOL-10758</v>
      </c>
      <c r="D6" s="20">
        <f>SUM(Apr!D6, May!D6, Jun!D6)</f>
        <v>0</v>
      </c>
      <c r="E6" s="10">
        <f>SUM(Apr!E6, May!E6, Jun!E6)</f>
        <v>0</v>
      </c>
      <c r="F6" s="10">
        <f t="shared" si="0"/>
        <v>0</v>
      </c>
      <c r="G6" s="11" t="str">
        <f t="shared" ref="G6:G15" si="1">IFERROR(F6/E6, "")</f>
        <v/>
      </c>
      <c r="H6" s="12">
        <f>SUM(Apr!H6, May!H6, Jun!H6)</f>
        <v>0</v>
      </c>
      <c r="I6" s="12">
        <f>SUM(Apr!I6, May!I6, Jun!I6)</f>
        <v>0</v>
      </c>
      <c r="J6" s="13" t="str">
        <f t="shared" ref="J6:J15" si="2">IFERROR(I6/H6, "")</f>
        <v/>
      </c>
    </row>
    <row r="7" spans="1:10" ht="15.6">
      <c r="A7" s="26" t="str">
        <v>Noble</v>
      </c>
      <c r="B7" s="27" t="str">
        <v>AZ</v>
      </c>
      <c r="C7" s="27" t="str">
        <f>Sites[[#This Row],[SOL'#]]</f>
        <v>SOL-10750</v>
      </c>
      <c r="D7" s="9">
        <f>SUM(Apr!D7, May!D7, Jun!D7)</f>
        <v>0</v>
      </c>
      <c r="E7" s="14">
        <f>SUM(Apr!E7, May!E7, Jun!E7)</f>
        <v>0</v>
      </c>
      <c r="F7" s="14">
        <f t="shared" si="0"/>
        <v>0</v>
      </c>
      <c r="G7" s="15" t="str">
        <f t="shared" si="1"/>
        <v/>
      </c>
      <c r="H7" s="16">
        <f>SUM(Apr!H7, May!H7, Jun!H7)</f>
        <v>0</v>
      </c>
      <c r="I7" s="16">
        <f>SUM(Apr!I7, May!I7, Jun!I7)</f>
        <v>0</v>
      </c>
      <c r="J7" s="15" t="str">
        <f t="shared" si="2"/>
        <v/>
      </c>
    </row>
    <row r="8" spans="1:10" ht="15.6">
      <c r="A8" s="24" t="str">
        <v>Parking 3</v>
      </c>
      <c r="B8" s="25" t="str">
        <v>AZ</v>
      </c>
      <c r="C8" s="25" t="str">
        <f>Sites[[#This Row],[SOL'#]]</f>
        <v>SOL-10751</v>
      </c>
      <c r="D8" s="20">
        <f>SUM(Apr!D8, May!D8, Jun!D8)</f>
        <v>0</v>
      </c>
      <c r="E8" s="10">
        <f>SUM(Apr!E8, May!E8, Jun!E8)</f>
        <v>0</v>
      </c>
      <c r="F8" s="10">
        <f t="shared" si="0"/>
        <v>0</v>
      </c>
      <c r="G8" s="11" t="str">
        <f t="shared" si="1"/>
        <v/>
      </c>
      <c r="H8" s="12">
        <f>SUM(Apr!H8, May!H8, Jun!H8)</f>
        <v>0</v>
      </c>
      <c r="I8" s="12">
        <f>SUM(Apr!I8, May!I8, Jun!I8)</f>
        <v>0</v>
      </c>
      <c r="J8" s="13" t="str">
        <f t="shared" si="2"/>
        <v/>
      </c>
    </row>
    <row r="9" spans="1:10" ht="15.6">
      <c r="A9" s="26" t="str">
        <v>PE East</v>
      </c>
      <c r="B9" s="27" t="str">
        <v>AZ</v>
      </c>
      <c r="C9" s="27" t="str">
        <f>Sites[[#This Row],[SOL'#]]</f>
        <v>SOL-10752</v>
      </c>
      <c r="D9" s="9">
        <f>SUM(Apr!D9, May!D9, Jun!D9)</f>
        <v>0</v>
      </c>
      <c r="E9" s="14">
        <f>SUM(Apr!E9, May!E9, Jun!E9)</f>
        <v>0</v>
      </c>
      <c r="F9" s="14">
        <f t="shared" si="0"/>
        <v>0</v>
      </c>
      <c r="G9" s="15" t="str">
        <f t="shared" si="1"/>
        <v/>
      </c>
      <c r="H9" s="16">
        <f>SUM(Apr!H9, May!H9, Jun!H9)</f>
        <v>0</v>
      </c>
      <c r="I9" s="16">
        <f>SUM(Apr!I9, May!I9, Jun!I9)</f>
        <v>0</v>
      </c>
      <c r="J9" s="15" t="str">
        <f t="shared" si="2"/>
        <v/>
      </c>
    </row>
    <row r="10" spans="1:10" ht="15.6">
      <c r="A10" s="24" t="str">
        <v>Schwada</v>
      </c>
      <c r="B10" s="25" t="str">
        <v>AZ</v>
      </c>
      <c r="C10" s="25" t="str">
        <f>Sites[[#This Row],[SOL'#]]</f>
        <v>SOL-10753</v>
      </c>
      <c r="D10" s="20">
        <f>SUM(Apr!D10, May!D10, Jun!D10)</f>
        <v>0</v>
      </c>
      <c r="E10" s="10">
        <f>SUM(Apr!E10, May!E10, Jun!E10)</f>
        <v>0</v>
      </c>
      <c r="F10" s="10">
        <f t="shared" si="0"/>
        <v>0</v>
      </c>
      <c r="G10" s="11" t="str">
        <f t="shared" si="1"/>
        <v/>
      </c>
      <c r="H10" s="12">
        <f>SUM(Apr!H10, May!H10, Jun!H10)</f>
        <v>0</v>
      </c>
      <c r="I10" s="12">
        <f>SUM(Apr!I10, May!I10, Jun!I10)</f>
        <v>0</v>
      </c>
      <c r="J10" s="13" t="str">
        <f t="shared" si="2"/>
        <v/>
      </c>
    </row>
    <row r="11" spans="1:10" ht="15.6">
      <c r="A11" s="26" t="str">
        <v>Starshine</v>
      </c>
      <c r="B11" s="27" t="str">
        <v>AZ</v>
      </c>
      <c r="C11" s="27" t="str">
        <f>Sites[[#This Row],[SOL'#]]</f>
        <v>SOL-10757</v>
      </c>
      <c r="D11" s="9">
        <f>SUM(Apr!D11, May!D11, Jun!D11)</f>
        <v>0</v>
      </c>
      <c r="E11" s="14">
        <f>SUM(Apr!E11, May!E11, Jun!E11)</f>
        <v>0</v>
      </c>
      <c r="F11" s="14">
        <f t="shared" si="0"/>
        <v>0</v>
      </c>
      <c r="G11" s="15" t="str">
        <f t="shared" si="1"/>
        <v/>
      </c>
      <c r="H11" s="16">
        <f>SUM(Apr!H11, May!H11, Jun!H11)</f>
        <v>0</v>
      </c>
      <c r="I11" s="16">
        <f>SUM(Apr!I11, May!I11, Jun!I11)</f>
        <v>0</v>
      </c>
      <c r="J11" s="15" t="str">
        <f t="shared" si="2"/>
        <v/>
      </c>
    </row>
    <row r="12" spans="1:10" ht="15.6">
      <c r="A12" s="24" t="str">
        <v>Yuma Airport</v>
      </c>
      <c r="B12" s="25" t="str">
        <v>AZ</v>
      </c>
      <c r="C12" s="25" t="str">
        <f>Sites[[#This Row],[SOL'#]]</f>
        <v>SOL-10754</v>
      </c>
      <c r="D12" s="20">
        <f>SUM(Apr!D12, May!D12, Jun!D12)</f>
        <v>0</v>
      </c>
      <c r="E12" s="10">
        <f>SUM(Apr!E12, May!E12, Jun!E12)</f>
        <v>0</v>
      </c>
      <c r="F12" s="10">
        <f t="shared" si="0"/>
        <v>0</v>
      </c>
      <c r="G12" s="11" t="str">
        <f t="shared" si="1"/>
        <v/>
      </c>
      <c r="H12" s="12">
        <f>SUM(Apr!H12, May!H12, Jun!H12)</f>
        <v>0</v>
      </c>
      <c r="I12" s="12">
        <f>SUM(Apr!I12, May!I12, Jun!I12)</f>
        <v>0</v>
      </c>
      <c r="J12" s="13" t="str">
        <f t="shared" si="2"/>
        <v/>
      </c>
    </row>
    <row r="13" spans="1:10" ht="15.6">
      <c r="A13" s="26" t="str">
        <v>Kinsman</v>
      </c>
      <c r="B13" s="27" t="str">
        <v>OH</v>
      </c>
      <c r="C13" s="27" t="str">
        <f>Sites[[#This Row],[SOL'#]]</f>
        <v>SOL-10762</v>
      </c>
      <c r="D13" s="9">
        <f>SUM(Apr!D13, May!D13, Jun!D13)</f>
        <v>0</v>
      </c>
      <c r="E13" s="14">
        <f>SUM(Apr!E13, May!E13, Jun!E13)</f>
        <v>0</v>
      </c>
      <c r="F13" s="14">
        <f t="shared" si="0"/>
        <v>0</v>
      </c>
      <c r="G13" s="15" t="str">
        <f t="shared" si="1"/>
        <v/>
      </c>
      <c r="H13" s="16">
        <f>SUM(Apr!H13, May!H13, Jun!H13)</f>
        <v>0</v>
      </c>
      <c r="I13" s="16">
        <f>SUM(Apr!I13, May!I13, Jun!I13)</f>
        <v>0</v>
      </c>
      <c r="J13" s="15" t="str">
        <f t="shared" si="2"/>
        <v/>
      </c>
    </row>
    <row r="14" spans="1:10" ht="15.6">
      <c r="A14" s="24" t="str">
        <v>Wooster</v>
      </c>
      <c r="B14" s="25" t="str">
        <v>OH</v>
      </c>
      <c r="C14" s="25" t="str">
        <f>Sites[[#This Row],[SOL'#]]</f>
        <v>SOL-10763</v>
      </c>
      <c r="D14" s="20">
        <f>SUM(Apr!D14, May!D14, Jun!D14)</f>
        <v>0</v>
      </c>
      <c r="E14" s="10">
        <f>SUM(Apr!E14, May!E14, Jun!E14)</f>
        <v>0</v>
      </c>
      <c r="F14" s="10">
        <f t="shared" si="0"/>
        <v>0</v>
      </c>
      <c r="G14" s="11" t="str">
        <f t="shared" si="1"/>
        <v/>
      </c>
      <c r="H14" s="12">
        <f>SUM(Apr!H14, May!H14, Jun!H14)</f>
        <v>0</v>
      </c>
      <c r="I14" s="12">
        <f>SUM(Apr!I14, May!I14, Jun!I14)</f>
        <v>0</v>
      </c>
      <c r="J14" s="13" t="str">
        <f t="shared" si="2"/>
        <v/>
      </c>
    </row>
    <row r="15" spans="1:10" ht="15.6">
      <c r="A15" s="26" t="str">
        <v>Globe Gila CC</v>
      </c>
      <c r="B15" s="27" t="str">
        <v>AZ</v>
      </c>
      <c r="C15" s="27" t="str">
        <f>Sites[[#This Row],[SOL'#]]</f>
        <v>SOL-10755</v>
      </c>
      <c r="D15" s="9">
        <f>SUM(Apr!D15, May!D15, Jun!D15)</f>
        <v>0</v>
      </c>
      <c r="E15" s="14">
        <f>SUM(Apr!E15, May!E15, Jun!E15)</f>
        <v>0</v>
      </c>
      <c r="F15" s="14">
        <f t="shared" si="0"/>
        <v>0</v>
      </c>
      <c r="G15" s="15" t="str">
        <f t="shared" si="1"/>
        <v/>
      </c>
      <c r="H15" s="16">
        <f>SUM(Apr!H15, May!H15, Jun!H15)</f>
        <v>0</v>
      </c>
      <c r="I15" s="16">
        <f>SUM(Apr!I15, May!I15, Jun!I15)</f>
        <v>0</v>
      </c>
      <c r="J15" s="15" t="str">
        <f t="shared" si="2"/>
        <v/>
      </c>
    </row>
    <row r="16" spans="1:10" ht="15.6">
      <c r="A16" s="24" t="str">
        <v>Payson Gila CC</v>
      </c>
      <c r="B16" s="25" t="str">
        <v>AZ</v>
      </c>
      <c r="C16" s="25" t="str">
        <f>Sites[[#This Row],[SOL'#]]</f>
        <v>SOL-10756</v>
      </c>
      <c r="D16" s="20">
        <f>SUM(Apr!D16, May!D16, Jun!D16)</f>
        <v>0</v>
      </c>
      <c r="E16" s="10">
        <f>SUM(Apr!E16, May!E16, Jun!E16)</f>
        <v>0</v>
      </c>
      <c r="F16" s="10">
        <f t="shared" ref="F16:F17" si="3">IF(AND(ISNUMBER(D16),ISNUMBER(E16)), D16-E16, "")</f>
        <v>0</v>
      </c>
      <c r="G16" s="11" t="str">
        <f t="shared" ref="G16:G17" si="4">IFERROR(F16/E16, "")</f>
        <v/>
      </c>
      <c r="H16" s="12">
        <f>SUM(Apr!H16, May!H16, Jun!H16)</f>
        <v>0</v>
      </c>
      <c r="I16" s="12">
        <f>SUM(Apr!I16, May!I16, Jun!I16)</f>
        <v>0</v>
      </c>
      <c r="J16" s="13" t="str">
        <f t="shared" ref="J16:J17" si="5">IFERROR(I16/H16, "")</f>
        <v/>
      </c>
    </row>
    <row r="17" spans="1:10" ht="15.6">
      <c r="A17" s="26" t="str">
        <v>SCNM</v>
      </c>
      <c r="B17" s="27" t="str">
        <v>AZ</v>
      </c>
      <c r="C17" s="27" t="str">
        <f>Sites[[#This Row],[SOL'#]]</f>
        <v>SOL-10760</v>
      </c>
      <c r="D17" s="9">
        <f>SUM(Apr!D17, May!D17, Jun!D17)</f>
        <v>0</v>
      </c>
      <c r="E17" s="14">
        <f>SUM(Apr!E17, May!E17, Jun!E17)</f>
        <v>0</v>
      </c>
      <c r="F17" s="14">
        <f t="shared" si="3"/>
        <v>0</v>
      </c>
      <c r="G17" s="15" t="str">
        <f t="shared" si="4"/>
        <v/>
      </c>
      <c r="H17" s="16">
        <f>SUM(Apr!H17, May!H17, Jun!H17)</f>
        <v>0</v>
      </c>
      <c r="I17" s="16">
        <f>SUM(Apr!I17, May!I17, Jun!I17)</f>
        <v>0</v>
      </c>
      <c r="J17" s="15" t="str">
        <f t="shared" si="5"/>
        <v/>
      </c>
    </row>
    <row r="18" spans="1:10" ht="12.75" customHeight="1">
      <c r="A18" s="24" t="str">
        <v>Sequoia Charter School</v>
      </c>
      <c r="B18" s="25" t="str">
        <v>AZ</v>
      </c>
      <c r="C18" s="25" t="str">
        <f>Sites[[#This Row],[SOL'#]]</f>
        <v>SOL-10759</v>
      </c>
      <c r="D18" s="60">
        <f>SUM(Apr!D18, May!D18, Jun!D18)</f>
        <v>0</v>
      </c>
      <c r="E18" s="10">
        <f>SUM(Apr!E18, May!E18, Jun!E18)</f>
        <v>0</v>
      </c>
      <c r="F18" s="10">
        <f t="shared" ref="F18:F49" si="6">IF(AND(ISNUMBER(D18),ISNUMBER(E18)), D18-E18, "")</f>
        <v>0</v>
      </c>
      <c r="G18" s="61" t="str">
        <f t="shared" ref="G18:G49" si="7">IFERROR(F18/E18, "")</f>
        <v/>
      </c>
      <c r="H18" s="12">
        <f>SUM(Apr!H18, May!H18, Jun!H18)</f>
        <v>0</v>
      </c>
      <c r="I18" s="12">
        <f>SUM(Apr!I18, May!I18, Jun!I18)</f>
        <v>0</v>
      </c>
      <c r="J18" s="13" t="str">
        <f t="shared" ref="J18:J81" si="8">IFERROR(I18/H18, "")</f>
        <v/>
      </c>
    </row>
    <row r="19" spans="1:10" ht="15.6">
      <c r="A19" s="26" t="str">
        <v>RCAB</v>
      </c>
      <c r="B19" s="27" t="str">
        <v>MA</v>
      </c>
      <c r="C19" s="27" t="str">
        <f>Sites[[#This Row],[SOL'#]]</f>
        <v>SOL-10838</v>
      </c>
      <c r="D19" s="9">
        <f>SUM(Apr!D19, May!D19, Jun!D19)</f>
        <v>0</v>
      </c>
      <c r="E19" s="14">
        <f>SUM(Apr!E19, May!E19, Jun!E19)</f>
        <v>0</v>
      </c>
      <c r="F19" s="14">
        <f t="shared" si="6"/>
        <v>0</v>
      </c>
      <c r="G19" s="15" t="str">
        <f t="shared" si="7"/>
        <v/>
      </c>
      <c r="H19" s="16">
        <f>SUM(Apr!H19, May!H19, Jun!H19)</f>
        <v>0</v>
      </c>
      <c r="I19" s="16">
        <f>SUM(Apr!I19, May!I19, Jun!I19)</f>
        <v>0</v>
      </c>
      <c r="J19" s="15" t="str">
        <f t="shared" si="8"/>
        <v/>
      </c>
    </row>
    <row r="20" spans="1:10" ht="15.6">
      <c r="A20" s="24" t="str">
        <v>Spectro Coatings</v>
      </c>
      <c r="B20" s="25" t="str">
        <v>MA</v>
      </c>
      <c r="C20" s="25" t="str">
        <f>Sites[[#This Row],[SOL'#]]</f>
        <v>SOL-10074</v>
      </c>
      <c r="D20" s="60">
        <f>SUM(Apr!D20, May!D20, Jun!D20)</f>
        <v>0</v>
      </c>
      <c r="E20" s="10">
        <f>SUM(Apr!E20, May!E20, Jun!E20)</f>
        <v>0</v>
      </c>
      <c r="F20" s="10">
        <f t="shared" si="6"/>
        <v>0</v>
      </c>
      <c r="G20" s="61" t="str">
        <f t="shared" si="7"/>
        <v/>
      </c>
      <c r="H20" s="12">
        <f>SUM(Apr!H20, May!H20, Jun!H20)</f>
        <v>0</v>
      </c>
      <c r="I20" s="12">
        <f>SUM(Apr!I20, May!I20, Jun!I20)</f>
        <v>0</v>
      </c>
      <c r="J20" s="13" t="str">
        <f t="shared" si="8"/>
        <v/>
      </c>
    </row>
    <row r="21" spans="1:10" ht="15.6">
      <c r="A21" s="26" t="str">
        <v>K026</v>
      </c>
      <c r="B21" s="27" t="str">
        <v>NY</v>
      </c>
      <c r="C21" s="27" t="str">
        <f>Sites[[#This Row],[SOL'#]]</f>
        <v>SOL-10356</v>
      </c>
      <c r="D21" s="9">
        <f>SUM(Apr!D21, May!D21, Jun!D21)</f>
        <v>0</v>
      </c>
      <c r="E21" s="14">
        <f>SUM(Apr!E21, May!E21, Jun!E21)</f>
        <v>0</v>
      </c>
      <c r="F21" s="14">
        <f t="shared" si="6"/>
        <v>0</v>
      </c>
      <c r="G21" s="15" t="str">
        <f t="shared" si="7"/>
        <v/>
      </c>
      <c r="H21" s="16">
        <f>SUM(Apr!H21, May!H21, Jun!H21)</f>
        <v>0</v>
      </c>
      <c r="I21" s="16">
        <f>SUM(Apr!I21, May!I21, Jun!I21)</f>
        <v>0</v>
      </c>
      <c r="J21" s="15" t="str">
        <f t="shared" si="8"/>
        <v/>
      </c>
    </row>
    <row r="22" spans="1:10" ht="15.6">
      <c r="A22" s="24" t="str">
        <v>K041</v>
      </c>
      <c r="B22" s="25" t="str">
        <v>NY</v>
      </c>
      <c r="C22" s="25" t="str">
        <f>Sites[[#This Row],[SOL'#]]</f>
        <v>SOL-10357</v>
      </c>
      <c r="D22" s="60">
        <f>SUM(Apr!D22, May!D22, Jun!D22)</f>
        <v>0</v>
      </c>
      <c r="E22" s="10">
        <f>SUM(Apr!E22, May!E22, Jun!E22)</f>
        <v>0</v>
      </c>
      <c r="F22" s="10">
        <f t="shared" si="6"/>
        <v>0</v>
      </c>
      <c r="G22" s="61" t="str">
        <f t="shared" si="7"/>
        <v/>
      </c>
      <c r="H22" s="12">
        <f>SUM(Apr!H22, May!H22, Jun!H22)</f>
        <v>0</v>
      </c>
      <c r="I22" s="12">
        <f>SUM(Apr!I22, May!I22, Jun!I22)</f>
        <v>0</v>
      </c>
      <c r="J22" s="13" t="str">
        <f t="shared" si="8"/>
        <v/>
      </c>
    </row>
    <row r="23" spans="1:10" ht="15.6">
      <c r="A23" s="26" t="str">
        <v>K043</v>
      </c>
      <c r="B23" s="27" t="str">
        <v>NY</v>
      </c>
      <c r="C23" s="27" t="str">
        <f>Sites[[#This Row],[SOL'#]]</f>
        <v>SOL-10358</v>
      </c>
      <c r="D23" s="9">
        <f>SUM(Apr!D23, May!D23, Jun!D23)</f>
        <v>0</v>
      </c>
      <c r="E23" s="14">
        <f>SUM(Apr!E23, May!E23, Jun!E23)</f>
        <v>0</v>
      </c>
      <c r="F23" s="14">
        <f t="shared" si="6"/>
        <v>0</v>
      </c>
      <c r="G23" s="15" t="str">
        <f t="shared" si="7"/>
        <v/>
      </c>
      <c r="H23" s="16">
        <f>SUM(Apr!H23, May!H23, Jun!H23)</f>
        <v>0</v>
      </c>
      <c r="I23" s="16">
        <f>SUM(Apr!I23, May!I23, Jun!I23)</f>
        <v>0</v>
      </c>
      <c r="J23" s="15" t="str">
        <f t="shared" si="8"/>
        <v/>
      </c>
    </row>
    <row r="24" spans="1:10" ht="15.6">
      <c r="A24" s="24" t="str">
        <v>K058</v>
      </c>
      <c r="B24" s="25" t="str">
        <v>NY</v>
      </c>
      <c r="C24" s="25" t="str">
        <f>Sites[[#This Row],[SOL'#]]</f>
        <v>SOL-10360</v>
      </c>
      <c r="D24" s="60">
        <f>SUM(Apr!D24, May!D24, Jun!D24)</f>
        <v>0</v>
      </c>
      <c r="E24" s="10">
        <f>SUM(Apr!E24, May!E24, Jun!E24)</f>
        <v>0</v>
      </c>
      <c r="F24" s="10">
        <f t="shared" si="6"/>
        <v>0</v>
      </c>
      <c r="G24" s="61" t="str">
        <f t="shared" si="7"/>
        <v/>
      </c>
      <c r="H24" s="12">
        <f>SUM(Apr!H24, May!H24, Jun!H24)</f>
        <v>0</v>
      </c>
      <c r="I24" s="12">
        <f>SUM(Apr!I24, May!I24, Jun!I24)</f>
        <v>0</v>
      </c>
      <c r="J24" s="13" t="str">
        <f t="shared" si="8"/>
        <v/>
      </c>
    </row>
    <row r="25" spans="1:10" ht="15.6">
      <c r="A25" s="26" t="str">
        <v>K115</v>
      </c>
      <c r="B25" s="27" t="str">
        <v>NY</v>
      </c>
      <c r="C25" s="27" t="str">
        <f>Sites[[#This Row],[SOL'#]]</f>
        <v>SOL-10361</v>
      </c>
      <c r="D25" s="9">
        <f>SUM(Apr!D25, May!D25, Jun!D25)</f>
        <v>0</v>
      </c>
      <c r="E25" s="14">
        <f>SUM(Apr!E25, May!E25, Jun!E25)</f>
        <v>0</v>
      </c>
      <c r="F25" s="14">
        <f t="shared" si="6"/>
        <v>0</v>
      </c>
      <c r="G25" s="15" t="str">
        <f t="shared" si="7"/>
        <v/>
      </c>
      <c r="H25" s="16">
        <f>SUM(Apr!H25, May!H25, Jun!H25)</f>
        <v>0</v>
      </c>
      <c r="I25" s="16">
        <f>SUM(Apr!I25, May!I25, Jun!I25)</f>
        <v>0</v>
      </c>
      <c r="J25" s="15" t="str">
        <f t="shared" si="8"/>
        <v/>
      </c>
    </row>
    <row r="26" spans="1:10" ht="15.6">
      <c r="A26" s="24" t="str">
        <v>K152</v>
      </c>
      <c r="B26" s="25" t="str">
        <v>NY</v>
      </c>
      <c r="C26" s="25" t="str">
        <f>Sites[[#This Row],[SOL'#]]</f>
        <v>SOL-10362</v>
      </c>
      <c r="D26" s="60">
        <f>SUM(Apr!D26, May!D26, Jun!D26)</f>
        <v>0</v>
      </c>
      <c r="E26" s="10">
        <f>SUM(Apr!E26, May!E26, Jun!E26)</f>
        <v>0</v>
      </c>
      <c r="F26" s="10">
        <f t="shared" si="6"/>
        <v>0</v>
      </c>
      <c r="G26" s="61" t="str">
        <f t="shared" si="7"/>
        <v/>
      </c>
      <c r="H26" s="12">
        <f>SUM(Apr!H26, May!H26, Jun!H26)</f>
        <v>0</v>
      </c>
      <c r="I26" s="12">
        <f>SUM(Apr!I26, May!I26, Jun!I26)</f>
        <v>0</v>
      </c>
      <c r="J26" s="13" t="str">
        <f t="shared" si="8"/>
        <v/>
      </c>
    </row>
    <row r="27" spans="1:10" ht="15.6">
      <c r="A27" s="26" t="str">
        <v>K166</v>
      </c>
      <c r="B27" s="27" t="str">
        <v>NY</v>
      </c>
      <c r="C27" s="27" t="str">
        <f>Sites[[#This Row],[SOL'#]]</f>
        <v>SOL-10363</v>
      </c>
      <c r="D27" s="9">
        <f>SUM(Apr!D27, May!D27, Jun!D27)</f>
        <v>0</v>
      </c>
      <c r="E27" s="14">
        <f>SUM(Apr!E27, May!E27, Jun!E27)</f>
        <v>0</v>
      </c>
      <c r="F27" s="14">
        <f t="shared" si="6"/>
        <v>0</v>
      </c>
      <c r="G27" s="15" t="str">
        <f t="shared" si="7"/>
        <v/>
      </c>
      <c r="H27" s="16">
        <f>SUM(Apr!H27, May!H27, Jun!H27)</f>
        <v>0</v>
      </c>
      <c r="I27" s="16">
        <f>SUM(Apr!I27, May!I27, Jun!I27)</f>
        <v>0</v>
      </c>
      <c r="J27" s="15" t="str">
        <f t="shared" si="8"/>
        <v/>
      </c>
    </row>
    <row r="28" spans="1:10" ht="15.6">
      <c r="A28" s="24" t="str">
        <v>K206</v>
      </c>
      <c r="B28" s="25" t="str">
        <v>NY</v>
      </c>
      <c r="C28" s="25" t="str">
        <f>Sites[[#This Row],[SOL'#]]</f>
        <v>SOL-10927</v>
      </c>
      <c r="D28" s="60">
        <f>SUM(Apr!D28, May!D28, Jun!D28)</f>
        <v>0</v>
      </c>
      <c r="E28" s="10">
        <f>SUM(Apr!E28, May!E28, Jun!E28)</f>
        <v>0</v>
      </c>
      <c r="F28" s="10">
        <f t="shared" si="6"/>
        <v>0</v>
      </c>
      <c r="G28" s="61" t="str">
        <f t="shared" si="7"/>
        <v/>
      </c>
      <c r="H28" s="12">
        <f>SUM(Apr!H28, May!H28, Jun!H28)</f>
        <v>0</v>
      </c>
      <c r="I28" s="12">
        <f>SUM(Apr!I28, May!I28, Jun!I28)</f>
        <v>0</v>
      </c>
      <c r="J28" s="13" t="str">
        <f t="shared" si="8"/>
        <v/>
      </c>
    </row>
    <row r="29" spans="1:10" ht="15.6">
      <c r="A29" s="26" t="str">
        <v>K251</v>
      </c>
      <c r="B29" s="27" t="str">
        <v>NY</v>
      </c>
      <c r="C29" s="27" t="str">
        <f>Sites[[#This Row],[SOL'#]]</f>
        <v>SOL-10365</v>
      </c>
      <c r="D29" s="9">
        <f>SUM(Apr!D29, May!D29, Jun!D29)</f>
        <v>0</v>
      </c>
      <c r="E29" s="14">
        <f>SUM(Apr!E29, May!E29, Jun!E29)</f>
        <v>0</v>
      </c>
      <c r="F29" s="14">
        <f t="shared" si="6"/>
        <v>0</v>
      </c>
      <c r="G29" s="15" t="str">
        <f t="shared" si="7"/>
        <v/>
      </c>
      <c r="H29" s="16">
        <f>SUM(Apr!H29, May!H29, Jun!H29)</f>
        <v>0</v>
      </c>
      <c r="I29" s="16">
        <f>SUM(Apr!I29, May!I29, Jun!I29)</f>
        <v>0</v>
      </c>
      <c r="J29" s="15" t="str">
        <f t="shared" si="8"/>
        <v/>
      </c>
    </row>
    <row r="30" spans="1:10" ht="15.6">
      <c r="A30" s="24" t="str">
        <v>K269</v>
      </c>
      <c r="B30" s="25" t="str">
        <v>NY</v>
      </c>
      <c r="C30" s="25" t="str">
        <f>Sites[[#This Row],[SOL'#]]</f>
        <v>SOL-10366</v>
      </c>
      <c r="D30" s="60">
        <f>SUM(Apr!D30, May!D30, Jun!D30)</f>
        <v>0</v>
      </c>
      <c r="E30" s="10">
        <f>SUM(Apr!E30, May!E30, Jun!E30)</f>
        <v>0</v>
      </c>
      <c r="F30" s="10">
        <f t="shared" si="6"/>
        <v>0</v>
      </c>
      <c r="G30" s="61" t="str">
        <f t="shared" si="7"/>
        <v/>
      </c>
      <c r="H30" s="12">
        <f>SUM(Apr!H30, May!H30, Jun!H30)</f>
        <v>0</v>
      </c>
      <c r="I30" s="12">
        <f>SUM(Apr!I30, May!I30, Jun!I30)</f>
        <v>0</v>
      </c>
      <c r="J30" s="13" t="str">
        <f t="shared" si="8"/>
        <v/>
      </c>
    </row>
    <row r="31" spans="1:10" ht="15.6">
      <c r="A31" s="26" t="str">
        <v>K273</v>
      </c>
      <c r="B31" s="27" t="str">
        <v>NY</v>
      </c>
      <c r="C31" s="27" t="str">
        <f>Sites[[#This Row],[SOL'#]]</f>
        <v>SOL-10367</v>
      </c>
      <c r="D31" s="9">
        <f>SUM(Apr!D31, May!D31, Jun!D31)</f>
        <v>0</v>
      </c>
      <c r="E31" s="14">
        <f>SUM(Apr!E31, May!E31, Jun!E31)</f>
        <v>0</v>
      </c>
      <c r="F31" s="14">
        <f t="shared" si="6"/>
        <v>0</v>
      </c>
      <c r="G31" s="15" t="str">
        <f t="shared" si="7"/>
        <v/>
      </c>
      <c r="H31" s="16">
        <f>SUM(Apr!H31, May!H31, Jun!H31)</f>
        <v>0</v>
      </c>
      <c r="I31" s="16">
        <f>SUM(Apr!I31, May!I31, Jun!I31)</f>
        <v>0</v>
      </c>
      <c r="J31" s="15" t="str">
        <f t="shared" si="8"/>
        <v/>
      </c>
    </row>
    <row r="32" spans="1:10" ht="15.6">
      <c r="A32" s="24" t="str">
        <v>K287</v>
      </c>
      <c r="B32" s="25" t="str">
        <v>NY</v>
      </c>
      <c r="C32" s="25" t="str">
        <f>Sites[[#This Row],[SOL'#]]</f>
        <v>SOL-10919</v>
      </c>
      <c r="D32" s="60">
        <f>SUM(Apr!D32, May!D32, Jun!D32)</f>
        <v>0</v>
      </c>
      <c r="E32" s="10">
        <f>SUM(Apr!E32, May!E32, Jun!E32)</f>
        <v>0</v>
      </c>
      <c r="F32" s="10">
        <f t="shared" si="6"/>
        <v>0</v>
      </c>
      <c r="G32" s="61" t="str">
        <f t="shared" si="7"/>
        <v/>
      </c>
      <c r="H32" s="12">
        <f>SUM(Apr!H32, May!H32, Jun!H32)</f>
        <v>0</v>
      </c>
      <c r="I32" s="12">
        <f>SUM(Apr!I32, May!I32, Jun!I32)</f>
        <v>0</v>
      </c>
      <c r="J32" s="13" t="str">
        <f t="shared" si="8"/>
        <v/>
      </c>
    </row>
    <row r="33" spans="1:10" ht="15.6">
      <c r="A33" s="26" t="str">
        <v>K298</v>
      </c>
      <c r="B33" s="27" t="str">
        <v>NY</v>
      </c>
      <c r="C33" s="27" t="str">
        <f>Sites[[#This Row],[SOL'#]]</f>
        <v>SOL-10368</v>
      </c>
      <c r="D33" s="9">
        <f>SUM(Apr!D33, May!D33, Jun!D33)</f>
        <v>0</v>
      </c>
      <c r="E33" s="14">
        <f>SUM(Apr!E33, May!E33, Jun!E33)</f>
        <v>0</v>
      </c>
      <c r="F33" s="14">
        <f t="shared" si="6"/>
        <v>0</v>
      </c>
      <c r="G33" s="15" t="str">
        <f t="shared" si="7"/>
        <v/>
      </c>
      <c r="H33" s="16">
        <f>SUM(Apr!H33, May!H33, Jun!H33)</f>
        <v>0</v>
      </c>
      <c r="I33" s="16">
        <f>SUM(Apr!I33, May!I33, Jun!I33)</f>
        <v>0</v>
      </c>
      <c r="J33" s="15" t="str">
        <f t="shared" si="8"/>
        <v/>
      </c>
    </row>
    <row r="34" spans="1:10" ht="15.6">
      <c r="A34" s="24" t="str">
        <v>K335</v>
      </c>
      <c r="B34" s="25" t="str">
        <v>NY</v>
      </c>
      <c r="C34" s="25" t="str">
        <f>Sites[[#This Row],[SOL'#]]</f>
        <v>SOL-10370</v>
      </c>
      <c r="D34" s="60">
        <f>SUM(Apr!D34, May!D34, Jun!D34)</f>
        <v>0</v>
      </c>
      <c r="E34" s="10">
        <f>SUM(Apr!E34, May!E34, Jun!E34)</f>
        <v>0</v>
      </c>
      <c r="F34" s="10">
        <f t="shared" si="6"/>
        <v>0</v>
      </c>
      <c r="G34" s="61" t="str">
        <f t="shared" si="7"/>
        <v/>
      </c>
      <c r="H34" s="12">
        <f>SUM(Apr!H34, May!H34, Jun!H34)</f>
        <v>0</v>
      </c>
      <c r="I34" s="12">
        <f>SUM(Apr!I34, May!I34, Jun!I34)</f>
        <v>0</v>
      </c>
      <c r="J34" s="13" t="str">
        <f t="shared" si="8"/>
        <v/>
      </c>
    </row>
    <row r="35" spans="1:10" ht="15.6">
      <c r="A35" s="26" t="str">
        <v>K345</v>
      </c>
      <c r="B35" s="27" t="str">
        <v>NY</v>
      </c>
      <c r="C35" s="27" t="str">
        <f>Sites[[#This Row],[SOL'#]]</f>
        <v>SOL-10920</v>
      </c>
      <c r="D35" s="9">
        <f>SUM(Apr!D35, May!D35, Jun!D35)</f>
        <v>0</v>
      </c>
      <c r="E35" s="14">
        <f>SUM(Apr!E35, May!E35, Jun!E35)</f>
        <v>0</v>
      </c>
      <c r="F35" s="14">
        <f t="shared" si="6"/>
        <v>0</v>
      </c>
      <c r="G35" s="15" t="str">
        <f t="shared" si="7"/>
        <v/>
      </c>
      <c r="H35" s="16">
        <f>SUM(Apr!H35, May!H35, Jun!H35)</f>
        <v>0</v>
      </c>
      <c r="I35" s="16">
        <f>SUM(Apr!I35, May!I35, Jun!I35)</f>
        <v>0</v>
      </c>
      <c r="J35" s="15" t="str">
        <f t="shared" si="8"/>
        <v/>
      </c>
    </row>
    <row r="36" spans="1:10" ht="15.6">
      <c r="A36" s="24" t="str">
        <v>K445</v>
      </c>
      <c r="B36" s="25" t="str">
        <v>NY</v>
      </c>
      <c r="C36" s="25" t="str">
        <f>Sites[[#This Row],[SOL'#]]</f>
        <v>SOL-10373</v>
      </c>
      <c r="D36" s="60">
        <f>SUM(Apr!D36, May!D36, Jun!D36)</f>
        <v>0</v>
      </c>
      <c r="E36" s="10">
        <f>SUM(Apr!E36, May!E36, Jun!E36)</f>
        <v>0</v>
      </c>
      <c r="F36" s="10">
        <f t="shared" si="6"/>
        <v>0</v>
      </c>
      <c r="G36" s="61" t="str">
        <f t="shared" si="7"/>
        <v/>
      </c>
      <c r="H36" s="12">
        <f>SUM(Apr!H36, May!H36, Jun!H36)</f>
        <v>0</v>
      </c>
      <c r="I36" s="12">
        <f>SUM(Apr!I36, May!I36, Jun!I36)</f>
        <v>0</v>
      </c>
      <c r="J36" s="13" t="str">
        <f t="shared" si="8"/>
        <v/>
      </c>
    </row>
    <row r="37" spans="1:10" ht="15.6">
      <c r="A37" s="26" t="str">
        <v>K495</v>
      </c>
      <c r="B37" s="27" t="str">
        <v>NY</v>
      </c>
      <c r="C37" s="27" t="str">
        <f>Sites[[#This Row],[SOL'#]]</f>
        <v>SOL-10374</v>
      </c>
      <c r="D37" s="9">
        <f>SUM(Apr!D37, May!D37, Jun!D37)</f>
        <v>0</v>
      </c>
      <c r="E37" s="14">
        <f>SUM(Apr!E37, May!E37, Jun!E37)</f>
        <v>0</v>
      </c>
      <c r="F37" s="14">
        <f t="shared" si="6"/>
        <v>0</v>
      </c>
      <c r="G37" s="15" t="str">
        <f t="shared" si="7"/>
        <v/>
      </c>
      <c r="H37" s="16">
        <f>SUM(Apr!H37, May!H37, Jun!H37)</f>
        <v>0</v>
      </c>
      <c r="I37" s="16">
        <f>SUM(Apr!I37, May!I37, Jun!I37)</f>
        <v>0</v>
      </c>
      <c r="J37" s="15" t="str">
        <f t="shared" si="8"/>
        <v/>
      </c>
    </row>
    <row r="38" spans="1:10" ht="15.6">
      <c r="A38" s="24" t="str">
        <v>M020</v>
      </c>
      <c r="B38" s="25" t="str">
        <v>NY</v>
      </c>
      <c r="C38" s="25" t="str">
        <f>Sites[[#This Row],[SOL'#]]</f>
        <v>SOL-10380</v>
      </c>
      <c r="D38" s="60">
        <f>SUM(Apr!D38, May!D38, Jun!D38)</f>
        <v>0</v>
      </c>
      <c r="E38" s="10">
        <f>SUM(Apr!E38, May!E38, Jun!E38)</f>
        <v>0</v>
      </c>
      <c r="F38" s="10">
        <f t="shared" si="6"/>
        <v>0</v>
      </c>
      <c r="G38" s="61" t="str">
        <f t="shared" si="7"/>
        <v/>
      </c>
      <c r="H38" s="12">
        <f>SUM(Apr!H38, May!H38, Jun!H38)</f>
        <v>0</v>
      </c>
      <c r="I38" s="12">
        <f>SUM(Apr!I38, May!I38, Jun!I38)</f>
        <v>0</v>
      </c>
      <c r="J38" s="13" t="str">
        <f t="shared" si="8"/>
        <v/>
      </c>
    </row>
    <row r="39" spans="1:10" ht="15.6">
      <c r="A39" s="26" t="str">
        <v>M092</v>
      </c>
      <c r="B39" s="27" t="str">
        <v>NY</v>
      </c>
      <c r="C39" s="27" t="str">
        <f>Sites[[#This Row],[SOL'#]]</f>
        <v>SOL-10383</v>
      </c>
      <c r="D39" s="9">
        <f>SUM(Apr!D39, May!D39, Jun!D39)</f>
        <v>0</v>
      </c>
      <c r="E39" s="14">
        <f>SUM(Apr!E39, May!E39, Jun!E39)</f>
        <v>0</v>
      </c>
      <c r="F39" s="14">
        <f t="shared" si="6"/>
        <v>0</v>
      </c>
      <c r="G39" s="15" t="str">
        <f t="shared" si="7"/>
        <v/>
      </c>
      <c r="H39" s="16">
        <f>SUM(Apr!H39, May!H39, Jun!H39)</f>
        <v>0</v>
      </c>
      <c r="I39" s="16">
        <f>SUM(Apr!I39, May!I39, Jun!I39)</f>
        <v>0</v>
      </c>
      <c r="J39" s="15" t="str">
        <f t="shared" si="8"/>
        <v/>
      </c>
    </row>
    <row r="40" spans="1:10" ht="15.6">
      <c r="A40" s="24" t="str">
        <v>M143</v>
      </c>
      <c r="B40" s="25" t="str">
        <v>NY</v>
      </c>
      <c r="C40" s="25" t="str">
        <f>Sites[[#This Row],[SOL'#]]</f>
        <v>SOL-10384</v>
      </c>
      <c r="D40" s="60">
        <f>SUM(Apr!D40, May!D40, Jun!D40)</f>
        <v>0</v>
      </c>
      <c r="E40" s="10">
        <f>SUM(Apr!E40, May!E40, Jun!E40)</f>
        <v>0</v>
      </c>
      <c r="F40" s="10">
        <f t="shared" si="6"/>
        <v>0</v>
      </c>
      <c r="G40" s="61" t="str">
        <f t="shared" si="7"/>
        <v/>
      </c>
      <c r="H40" s="12">
        <f>SUM(Apr!H40, May!H40, Jun!H40)</f>
        <v>0</v>
      </c>
      <c r="I40" s="12">
        <f>SUM(Apr!I40, May!I40, Jun!I40)</f>
        <v>0</v>
      </c>
      <c r="J40" s="13" t="str">
        <f t="shared" si="8"/>
        <v/>
      </c>
    </row>
    <row r="41" spans="1:10" ht="15.6">
      <c r="A41" s="26" t="str">
        <v>M144</v>
      </c>
      <c r="B41" s="27" t="str">
        <v>NY</v>
      </c>
      <c r="C41" s="27" t="str">
        <f>Sites[[#This Row],[SOL'#]]</f>
        <v>SOL-10385</v>
      </c>
      <c r="D41" s="9">
        <f>SUM(Apr!D41, May!D41, Jun!D41)</f>
        <v>0</v>
      </c>
      <c r="E41" s="14">
        <f>SUM(Apr!E41, May!E41, Jun!E41)</f>
        <v>0</v>
      </c>
      <c r="F41" s="14">
        <f t="shared" si="6"/>
        <v>0</v>
      </c>
      <c r="G41" s="15" t="str">
        <f t="shared" si="7"/>
        <v/>
      </c>
      <c r="H41" s="16">
        <f>SUM(Apr!H41, May!H41, Jun!H41)</f>
        <v>0</v>
      </c>
      <c r="I41" s="16">
        <f>SUM(Apr!I41, May!I41, Jun!I41)</f>
        <v>0</v>
      </c>
      <c r="J41" s="15" t="str">
        <f t="shared" si="8"/>
        <v/>
      </c>
    </row>
    <row r="42" spans="1:10" ht="15.6">
      <c r="A42" s="24" t="str">
        <v>M167</v>
      </c>
      <c r="B42" s="25" t="str">
        <v>NY</v>
      </c>
      <c r="C42" s="25" t="str">
        <f>Sites[[#This Row],[SOL'#]]</f>
        <v>SOL-10386</v>
      </c>
      <c r="D42" s="60">
        <f>SUM(Apr!D42, May!D42, Jun!D42)</f>
        <v>0</v>
      </c>
      <c r="E42" s="10">
        <f>SUM(Apr!E42, May!E42, Jun!E42)</f>
        <v>0</v>
      </c>
      <c r="F42" s="10">
        <f t="shared" si="6"/>
        <v>0</v>
      </c>
      <c r="G42" s="61" t="str">
        <f t="shared" si="7"/>
        <v/>
      </c>
      <c r="H42" s="12">
        <f>SUM(Apr!H42, May!H42, Jun!H42)</f>
        <v>0</v>
      </c>
      <c r="I42" s="12">
        <f>SUM(Apr!I42, May!I42, Jun!I42)</f>
        <v>0</v>
      </c>
      <c r="J42" s="13" t="str">
        <f t="shared" si="8"/>
        <v/>
      </c>
    </row>
    <row r="43" spans="1:10" ht="15.6">
      <c r="A43" s="26" t="str">
        <v>M188</v>
      </c>
      <c r="B43" s="27" t="str">
        <v>NY</v>
      </c>
      <c r="C43" s="27" t="str">
        <f>Sites[[#This Row],[SOL'#]]</f>
        <v>SOL-10387</v>
      </c>
      <c r="D43" s="9">
        <f>SUM(Apr!D43, May!D43, Jun!D43)</f>
        <v>0</v>
      </c>
      <c r="E43" s="14">
        <f>SUM(Apr!E43, May!E43, Jun!E43)</f>
        <v>0</v>
      </c>
      <c r="F43" s="14">
        <f t="shared" si="6"/>
        <v>0</v>
      </c>
      <c r="G43" s="15" t="str">
        <f t="shared" si="7"/>
        <v/>
      </c>
      <c r="H43" s="16">
        <f>SUM(Apr!H43, May!H43, Jun!H43)</f>
        <v>0</v>
      </c>
      <c r="I43" s="16">
        <f>SUM(Apr!I43, May!I43, Jun!I43)</f>
        <v>0</v>
      </c>
      <c r="J43" s="15" t="str">
        <f t="shared" si="8"/>
        <v/>
      </c>
    </row>
    <row r="44" spans="1:10" ht="15.6">
      <c r="A44" s="24" t="str">
        <v>EMHC</v>
      </c>
      <c r="B44" s="25" t="str">
        <v>NY</v>
      </c>
      <c r="C44" s="25" t="str">
        <f>Sites[[#This Row],[SOL'#]]</f>
        <v>SOL-10351</v>
      </c>
      <c r="D44" s="60">
        <f>SUM(Apr!D44, May!D44, Jun!D44)</f>
        <v>0</v>
      </c>
      <c r="E44" s="10">
        <f>SUM(Apr!E44, May!E44, Jun!E44)</f>
        <v>0</v>
      </c>
      <c r="F44" s="10">
        <f t="shared" si="6"/>
        <v>0</v>
      </c>
      <c r="G44" s="61" t="str">
        <f t="shared" si="7"/>
        <v/>
      </c>
      <c r="H44" s="12">
        <f>SUM(Apr!H44, May!H44, Jun!H44)</f>
        <v>0</v>
      </c>
      <c r="I44" s="12">
        <f>SUM(Apr!I44, May!I44, Jun!I44)</f>
        <v>0</v>
      </c>
      <c r="J44" s="13" t="str">
        <f t="shared" si="8"/>
        <v/>
      </c>
    </row>
    <row r="45" spans="1:10" ht="15.6">
      <c r="A45" s="26" t="str">
        <v>Q008</v>
      </c>
      <c r="B45" s="27" t="str">
        <v>NY</v>
      </c>
      <c r="C45" s="27" t="str">
        <f>Sites[[#This Row],[SOL'#]]</f>
        <v>SOL-10397</v>
      </c>
      <c r="D45" s="9">
        <f>SUM(Apr!D45, May!D45, Jun!D45)</f>
        <v>0</v>
      </c>
      <c r="E45" s="14">
        <f>SUM(Apr!E45, May!E45, Jun!E45)</f>
        <v>0</v>
      </c>
      <c r="F45" s="14">
        <f t="shared" si="6"/>
        <v>0</v>
      </c>
      <c r="G45" s="15" t="str">
        <f t="shared" si="7"/>
        <v/>
      </c>
      <c r="H45" s="16">
        <f>SUM(Apr!H45, May!H45, Jun!H45)</f>
        <v>0</v>
      </c>
      <c r="I45" s="16">
        <f>SUM(Apr!I45, May!I45, Jun!I45)</f>
        <v>0</v>
      </c>
      <c r="J45" s="15" t="str">
        <f t="shared" si="8"/>
        <v/>
      </c>
    </row>
    <row r="46" spans="1:10" ht="15.6">
      <c r="A46" s="24" t="str">
        <v>Q018</v>
      </c>
      <c r="B46" s="25" t="str">
        <v>NY</v>
      </c>
      <c r="C46" s="25" t="str">
        <f>Sites[[#This Row],[SOL'#]]</f>
        <v>SOL-10398</v>
      </c>
      <c r="D46" s="60">
        <f>SUM(Apr!D46, May!D46, Jun!D46)</f>
        <v>0</v>
      </c>
      <c r="E46" s="10">
        <f>SUM(Apr!E46, May!E46, Jun!E46)</f>
        <v>0</v>
      </c>
      <c r="F46" s="10">
        <f t="shared" si="6"/>
        <v>0</v>
      </c>
      <c r="G46" s="61" t="str">
        <f t="shared" si="7"/>
        <v/>
      </c>
      <c r="H46" s="12">
        <f>SUM(Apr!H46, May!H46, Jun!H46)</f>
        <v>0</v>
      </c>
      <c r="I46" s="12">
        <f>SUM(Apr!I46, May!I46, Jun!I46)</f>
        <v>0</v>
      </c>
      <c r="J46" s="13" t="str">
        <f t="shared" si="8"/>
        <v/>
      </c>
    </row>
    <row r="47" spans="1:10" ht="15.6">
      <c r="A47" s="26" t="str">
        <v>Q021</v>
      </c>
      <c r="B47" s="27" t="str">
        <v>NY</v>
      </c>
      <c r="C47" s="27" t="str">
        <f>Sites[[#This Row],[SOL'#]]</f>
        <v>SOL-10399</v>
      </c>
      <c r="D47" s="9">
        <f>SUM(Apr!D47, May!D47, Jun!D47)</f>
        <v>0</v>
      </c>
      <c r="E47" s="14">
        <f>SUM(Apr!E47, May!E47, Jun!E47)</f>
        <v>0</v>
      </c>
      <c r="F47" s="14">
        <f t="shared" si="6"/>
        <v>0</v>
      </c>
      <c r="G47" s="15" t="str">
        <f t="shared" si="7"/>
        <v/>
      </c>
      <c r="H47" s="16">
        <f>SUM(Apr!H47, May!H47, Jun!H47)</f>
        <v>0</v>
      </c>
      <c r="I47" s="16">
        <f>SUM(Apr!I47, May!I47, Jun!I47)</f>
        <v>0</v>
      </c>
      <c r="J47" s="15" t="str">
        <f t="shared" si="8"/>
        <v/>
      </c>
    </row>
    <row r="48" spans="1:10" ht="15.6">
      <c r="A48" s="24" t="str">
        <v>Q025</v>
      </c>
      <c r="B48" s="25" t="str">
        <v>NY</v>
      </c>
      <c r="C48" s="25" t="str">
        <f>Sites[[#This Row],[SOL'#]]</f>
        <v>SOL-10400</v>
      </c>
      <c r="D48" s="60">
        <f>SUM(Apr!D48, May!D48, Jun!D48)</f>
        <v>0</v>
      </c>
      <c r="E48" s="10">
        <f>SUM(Apr!E48, May!E48, Jun!E48)</f>
        <v>0</v>
      </c>
      <c r="F48" s="10">
        <f t="shared" si="6"/>
        <v>0</v>
      </c>
      <c r="G48" s="61" t="str">
        <f t="shared" si="7"/>
        <v/>
      </c>
      <c r="H48" s="12">
        <f>SUM(Apr!H48, May!H48, Jun!H48)</f>
        <v>0</v>
      </c>
      <c r="I48" s="12">
        <f>SUM(Apr!I48, May!I48, Jun!I48)</f>
        <v>0</v>
      </c>
      <c r="J48" s="13" t="str">
        <f t="shared" si="8"/>
        <v/>
      </c>
    </row>
    <row r="49" spans="1:10" ht="15.6">
      <c r="A49" s="26" t="str">
        <v>Q074</v>
      </c>
      <c r="B49" s="27" t="str">
        <v>NY</v>
      </c>
      <c r="C49" s="27" t="str">
        <f>Sites[[#This Row],[SOL'#]]</f>
        <v>SOL-10402</v>
      </c>
      <c r="D49" s="9">
        <f>SUM(Apr!D49, May!D49, Jun!D49)</f>
        <v>0</v>
      </c>
      <c r="E49" s="14">
        <f>SUM(Apr!E49, May!E49, Jun!E49)</f>
        <v>0</v>
      </c>
      <c r="F49" s="14">
        <f t="shared" si="6"/>
        <v>0</v>
      </c>
      <c r="G49" s="15" t="str">
        <f t="shared" si="7"/>
        <v/>
      </c>
      <c r="H49" s="16">
        <f>SUM(Apr!H49, May!H49, Jun!H49)</f>
        <v>0</v>
      </c>
      <c r="I49" s="16">
        <f>SUM(Apr!I49, May!I49, Jun!I49)</f>
        <v>0</v>
      </c>
      <c r="J49" s="15" t="str">
        <f t="shared" si="8"/>
        <v/>
      </c>
    </row>
    <row r="50" spans="1:10" ht="15.6">
      <c r="A50" s="24" t="str">
        <v>Q115</v>
      </c>
      <c r="B50" s="25" t="str">
        <v>NY</v>
      </c>
      <c r="C50" s="25" t="str">
        <f>Sites[[#This Row],[SOL'#]]</f>
        <v>SOL-10872</v>
      </c>
      <c r="D50" s="60">
        <f>SUM(Apr!D50, May!D50, Jun!D50)</f>
        <v>0</v>
      </c>
      <c r="E50" s="10">
        <f>SUM(Apr!E50, May!E50, Jun!E50)</f>
        <v>0</v>
      </c>
      <c r="F50" s="10">
        <f t="shared" ref="F50:F81" si="9">IF(AND(ISNUMBER(D50),ISNUMBER(E50)), D50-E50, "")</f>
        <v>0</v>
      </c>
      <c r="G50" s="61" t="str">
        <f t="shared" ref="G50:G81" si="10">IFERROR(F50/E50, "")</f>
        <v/>
      </c>
      <c r="H50" s="12">
        <f>SUM(Apr!H50, May!H50, Jun!H50)</f>
        <v>0</v>
      </c>
      <c r="I50" s="12">
        <f>SUM(Apr!I50, May!I50, Jun!I50)</f>
        <v>0</v>
      </c>
      <c r="J50" s="13" t="str">
        <f t="shared" si="8"/>
        <v/>
      </c>
    </row>
    <row r="51" spans="1:10" ht="15.6">
      <c r="A51" s="26" t="str">
        <v>Q139</v>
      </c>
      <c r="B51" s="27" t="str">
        <v>NY</v>
      </c>
      <c r="C51" s="27" t="str">
        <f>Sites[[#This Row],[SOL'#]]</f>
        <v>SOL-10403</v>
      </c>
      <c r="D51" s="9">
        <f>SUM(Apr!D51, May!D51, Jun!D51)</f>
        <v>0</v>
      </c>
      <c r="E51" s="14">
        <f>SUM(Apr!E51, May!E51, Jun!E51)</f>
        <v>0</v>
      </c>
      <c r="F51" s="14">
        <f t="shared" si="9"/>
        <v>0</v>
      </c>
      <c r="G51" s="15" t="str">
        <f t="shared" si="10"/>
        <v/>
      </c>
      <c r="H51" s="16">
        <f>SUM(Apr!H51, May!H51, Jun!H51)</f>
        <v>0</v>
      </c>
      <c r="I51" s="16">
        <f>SUM(Apr!I51, May!I51, Jun!I51)</f>
        <v>0</v>
      </c>
      <c r="J51" s="15" t="str">
        <f t="shared" si="8"/>
        <v/>
      </c>
    </row>
    <row r="52" spans="1:10" ht="15.6">
      <c r="A52" s="24" t="str">
        <v>Q157</v>
      </c>
      <c r="B52" s="25" t="str">
        <v>NY</v>
      </c>
      <c r="C52" s="25" t="str">
        <f>Sites[[#This Row],[SOL'#]]</f>
        <v>SOL-10404</v>
      </c>
      <c r="D52" s="60">
        <f>SUM(Apr!D52, May!D52, Jun!D52)</f>
        <v>0</v>
      </c>
      <c r="E52" s="10">
        <f>SUM(Apr!E52, May!E52, Jun!E52)</f>
        <v>0</v>
      </c>
      <c r="F52" s="10">
        <f t="shared" si="9"/>
        <v>0</v>
      </c>
      <c r="G52" s="61" t="str">
        <f t="shared" si="10"/>
        <v/>
      </c>
      <c r="H52" s="12">
        <f>SUM(Apr!H52, May!H52, Jun!H52)</f>
        <v>0</v>
      </c>
      <c r="I52" s="12">
        <f>SUM(Apr!I52, May!I52, Jun!I52)</f>
        <v>0</v>
      </c>
      <c r="J52" s="13" t="str">
        <f t="shared" si="8"/>
        <v/>
      </c>
    </row>
    <row r="53" spans="1:10" ht="15.6">
      <c r="A53" s="26" t="str">
        <v>Q192</v>
      </c>
      <c r="B53" s="27" t="str">
        <v>NY</v>
      </c>
      <c r="C53" s="27" t="str">
        <f>Sites[[#This Row],[SOL'#]]</f>
        <v>SOL-10406</v>
      </c>
      <c r="D53" s="9">
        <f>SUM(Apr!D53, May!D53, Jun!D53)</f>
        <v>0</v>
      </c>
      <c r="E53" s="14">
        <f>SUM(Apr!E53, May!E53, Jun!E53)</f>
        <v>0</v>
      </c>
      <c r="F53" s="14">
        <f t="shared" si="9"/>
        <v>0</v>
      </c>
      <c r="G53" s="15" t="str">
        <f t="shared" si="10"/>
        <v/>
      </c>
      <c r="H53" s="16">
        <f>SUM(Apr!H53, May!H53, Jun!H53)</f>
        <v>0</v>
      </c>
      <c r="I53" s="16">
        <f>SUM(Apr!I53, May!I53, Jun!I53)</f>
        <v>0</v>
      </c>
      <c r="J53" s="15" t="str">
        <f t="shared" si="8"/>
        <v/>
      </c>
    </row>
    <row r="54" spans="1:10" ht="15.6">
      <c r="A54" s="24" t="str">
        <v>Q210</v>
      </c>
      <c r="B54" s="25" t="str">
        <v>NY</v>
      </c>
      <c r="C54" s="25" t="str">
        <f>Sites[[#This Row],[SOL'#]]</f>
        <v>SOL-10407</v>
      </c>
      <c r="D54" s="60">
        <f>SUM(Apr!D54, May!D54, Jun!D54)</f>
        <v>0</v>
      </c>
      <c r="E54" s="10">
        <f>SUM(Apr!E54, May!E54, Jun!E54)</f>
        <v>0</v>
      </c>
      <c r="F54" s="10">
        <f t="shared" si="9"/>
        <v>0</v>
      </c>
      <c r="G54" s="61" t="str">
        <f t="shared" si="10"/>
        <v/>
      </c>
      <c r="H54" s="12">
        <f>SUM(Apr!H54, May!H54, Jun!H54)</f>
        <v>0</v>
      </c>
      <c r="I54" s="12">
        <f>SUM(Apr!I54, May!I54, Jun!I54)</f>
        <v>0</v>
      </c>
      <c r="J54" s="13" t="str">
        <f t="shared" si="8"/>
        <v/>
      </c>
    </row>
    <row r="55" spans="1:10" ht="15.6">
      <c r="A55" s="26" t="str">
        <v>Q229</v>
      </c>
      <c r="B55" s="27" t="str">
        <v>NY</v>
      </c>
      <c r="C55" s="27" t="str">
        <f>Sites[[#This Row],[SOL'#]]</f>
        <v>SOL-10408</v>
      </c>
      <c r="D55" s="9">
        <f>SUM(Apr!D55, May!D55, Jun!D55)</f>
        <v>0</v>
      </c>
      <c r="E55" s="14">
        <f>SUM(Apr!E55, May!E55, Jun!E55)</f>
        <v>0</v>
      </c>
      <c r="F55" s="14">
        <f t="shared" si="9"/>
        <v>0</v>
      </c>
      <c r="G55" s="15" t="str">
        <f t="shared" si="10"/>
        <v/>
      </c>
      <c r="H55" s="16">
        <f>SUM(Apr!H55, May!H55, Jun!H55)</f>
        <v>0</v>
      </c>
      <c r="I55" s="16">
        <f>SUM(Apr!I55, May!I55, Jun!I55)</f>
        <v>0</v>
      </c>
      <c r="J55" s="15" t="str">
        <f t="shared" si="8"/>
        <v/>
      </c>
    </row>
    <row r="56" spans="1:10" ht="15.6">
      <c r="A56" s="24" t="str">
        <v>Q231</v>
      </c>
      <c r="B56" s="25" t="str">
        <v>NY</v>
      </c>
      <c r="C56" s="25" t="str">
        <f>Sites[[#This Row],[SOL'#]]</f>
        <v>SOL-10870</v>
      </c>
      <c r="D56" s="60">
        <f>SUM(Apr!D56, May!D56, Jun!D56)</f>
        <v>0</v>
      </c>
      <c r="E56" s="10">
        <f>SUM(Apr!E56, May!E56, Jun!E56)</f>
        <v>0</v>
      </c>
      <c r="F56" s="10">
        <f t="shared" si="9"/>
        <v>0</v>
      </c>
      <c r="G56" s="61" t="str">
        <f t="shared" si="10"/>
        <v/>
      </c>
      <c r="H56" s="12">
        <f>SUM(Apr!H56, May!H56, Jun!H56)</f>
        <v>0</v>
      </c>
      <c r="I56" s="12">
        <f>SUM(Apr!I56, May!I56, Jun!I56)</f>
        <v>0</v>
      </c>
      <c r="J56" s="13" t="str">
        <f t="shared" si="8"/>
        <v/>
      </c>
    </row>
    <row r="57" spans="1:10" ht="15.6">
      <c r="A57" s="26" t="str">
        <v>Q405</v>
      </c>
      <c r="B57" s="27" t="str">
        <v>NY</v>
      </c>
      <c r="C57" s="27" t="str">
        <f>Sites[[#This Row],[SOL'#]]</f>
        <v>SOL-10409</v>
      </c>
      <c r="D57" s="9">
        <f>SUM(Apr!D57, May!D57, Jun!D57)</f>
        <v>0</v>
      </c>
      <c r="E57" s="14">
        <f>SUM(Apr!E57, May!E57, Jun!E57)</f>
        <v>0</v>
      </c>
      <c r="F57" s="14">
        <f t="shared" si="9"/>
        <v>0</v>
      </c>
      <c r="G57" s="15" t="str">
        <f t="shared" si="10"/>
        <v/>
      </c>
      <c r="H57" s="16">
        <f>SUM(Apr!H57, May!H57, Jun!H57)</f>
        <v>0</v>
      </c>
      <c r="I57" s="16">
        <f>SUM(Apr!I57, May!I57, Jun!I57)</f>
        <v>0</v>
      </c>
      <c r="J57" s="15" t="str">
        <f t="shared" si="8"/>
        <v/>
      </c>
    </row>
    <row r="58" spans="1:10" ht="15.6">
      <c r="A58" s="24" t="str">
        <v>Q435</v>
      </c>
      <c r="B58" s="25" t="str">
        <v>NY</v>
      </c>
      <c r="C58" s="25" t="str">
        <f>Sites[[#This Row],[SOL'#]]</f>
        <v>SOL-10923</v>
      </c>
      <c r="D58" s="60">
        <f>SUM(Apr!D58, May!D58, Jun!D58)</f>
        <v>0</v>
      </c>
      <c r="E58" s="10">
        <f>SUM(Apr!E58, May!E58, Jun!E58)</f>
        <v>0</v>
      </c>
      <c r="F58" s="10">
        <f t="shared" si="9"/>
        <v>0</v>
      </c>
      <c r="G58" s="61" t="str">
        <f t="shared" si="10"/>
        <v/>
      </c>
      <c r="H58" s="12">
        <f>SUM(Apr!H58, May!H58, Jun!H58)</f>
        <v>0</v>
      </c>
      <c r="I58" s="12">
        <f>SUM(Apr!I58, May!I58, Jun!I58)</f>
        <v>0</v>
      </c>
      <c r="J58" s="13" t="str">
        <f t="shared" si="8"/>
        <v/>
      </c>
    </row>
    <row r="59" spans="1:10" ht="15.6">
      <c r="A59" s="26" t="str">
        <v>Q485</v>
      </c>
      <c r="B59" s="27" t="str">
        <v>NY</v>
      </c>
      <c r="C59" s="27" t="str">
        <f>Sites[[#This Row],[SOL'#]]</f>
        <v>SOL-10869</v>
      </c>
      <c r="D59" s="9">
        <f>SUM(Apr!D59, May!D59, Jun!D59)</f>
        <v>0</v>
      </c>
      <c r="E59" s="14">
        <f>SUM(Apr!E59, May!E59, Jun!E59)</f>
        <v>0</v>
      </c>
      <c r="F59" s="14">
        <f t="shared" si="9"/>
        <v>0</v>
      </c>
      <c r="G59" s="15" t="str">
        <f t="shared" si="10"/>
        <v/>
      </c>
      <c r="H59" s="16">
        <f>SUM(Apr!H59, May!H59, Jun!H59)</f>
        <v>0</v>
      </c>
      <c r="I59" s="16">
        <f>SUM(Apr!I59, May!I59, Jun!I59)</f>
        <v>0</v>
      </c>
      <c r="J59" s="15" t="str">
        <f t="shared" si="8"/>
        <v/>
      </c>
    </row>
    <row r="60" spans="1:10" ht="15.6">
      <c r="A60" s="24" t="str">
        <v>Q490</v>
      </c>
      <c r="B60" s="25" t="str">
        <v>NY</v>
      </c>
      <c r="C60" s="25" t="str">
        <f>Sites[[#This Row],[SOL'#]]</f>
        <v>SOL-10411</v>
      </c>
      <c r="D60" s="60">
        <f>SUM(Apr!D60, May!D60, Jun!D60)</f>
        <v>0</v>
      </c>
      <c r="E60" s="10">
        <f>SUM(Apr!E60, May!E60, Jun!E60)</f>
        <v>0</v>
      </c>
      <c r="F60" s="10">
        <f t="shared" si="9"/>
        <v>0</v>
      </c>
      <c r="G60" s="61" t="str">
        <f t="shared" si="10"/>
        <v/>
      </c>
      <c r="H60" s="12">
        <f>SUM(Apr!H60, May!H60, Jun!H60)</f>
        <v>0</v>
      </c>
      <c r="I60" s="12">
        <f>SUM(Apr!I60, May!I60, Jun!I60)</f>
        <v>0</v>
      </c>
      <c r="J60" s="13" t="str">
        <f t="shared" si="8"/>
        <v/>
      </c>
    </row>
    <row r="61" spans="1:10" ht="15.6">
      <c r="A61" s="26" t="str">
        <v>Q620</v>
      </c>
      <c r="B61" s="27" t="str">
        <v>NY</v>
      </c>
      <c r="C61" s="27" t="str">
        <f>Sites[[#This Row],[SOL'#]]</f>
        <v>SOL-10867</v>
      </c>
      <c r="D61" s="9">
        <f>SUM(Apr!D61, May!D61, Jun!D61)</f>
        <v>0</v>
      </c>
      <c r="E61" s="14">
        <f>SUM(Apr!E61, May!E61, Jun!E61)</f>
        <v>0</v>
      </c>
      <c r="F61" s="14">
        <f t="shared" si="9"/>
        <v>0</v>
      </c>
      <c r="G61" s="15" t="str">
        <f t="shared" si="10"/>
        <v/>
      </c>
      <c r="H61" s="16">
        <f>SUM(Apr!H61, May!H61, Jun!H61)</f>
        <v>0</v>
      </c>
      <c r="I61" s="16">
        <f>SUM(Apr!I61, May!I61, Jun!I61)</f>
        <v>0</v>
      </c>
      <c r="J61" s="15" t="str">
        <f t="shared" si="8"/>
        <v/>
      </c>
    </row>
    <row r="62" spans="1:10" ht="15.6">
      <c r="A62" s="24" t="str">
        <v>QMOA</v>
      </c>
      <c r="B62" s="25" t="str">
        <v>NY</v>
      </c>
      <c r="C62" s="25" t="str">
        <f>Sites[[#This Row],[SOL'#]]</f>
        <v>SOL-10415</v>
      </c>
      <c r="D62" s="60">
        <f>SUM(Apr!D62, May!D62, Jun!D62)</f>
        <v>0</v>
      </c>
      <c r="E62" s="10">
        <f>SUM(Apr!E62, May!E62, Jun!E62)</f>
        <v>0</v>
      </c>
      <c r="F62" s="10">
        <f t="shared" si="9"/>
        <v>0</v>
      </c>
      <c r="G62" s="61" t="str">
        <f t="shared" si="10"/>
        <v/>
      </c>
      <c r="H62" s="12">
        <f>SUM(Apr!H62, May!H62, Jun!H62)</f>
        <v>0</v>
      </c>
      <c r="I62" s="12">
        <f>SUM(Apr!I62, May!I62, Jun!I62)</f>
        <v>0</v>
      </c>
      <c r="J62" s="13" t="str">
        <f t="shared" si="8"/>
        <v/>
      </c>
    </row>
    <row r="63" spans="1:10" ht="15.6">
      <c r="A63" s="26" t="str">
        <v>X024</v>
      </c>
      <c r="B63" s="27" t="str">
        <v>NY</v>
      </c>
      <c r="C63" s="27" t="str">
        <f>Sites[[#This Row],[SOL'#]]</f>
        <v>SOL-10419</v>
      </c>
      <c r="D63" s="9">
        <f>SUM(Apr!D63, May!D63, Jun!D63)</f>
        <v>0</v>
      </c>
      <c r="E63" s="14">
        <f>SUM(Apr!E63, May!E63, Jun!E63)</f>
        <v>0</v>
      </c>
      <c r="F63" s="14">
        <f t="shared" si="9"/>
        <v>0</v>
      </c>
      <c r="G63" s="15" t="str">
        <f t="shared" si="10"/>
        <v/>
      </c>
      <c r="H63" s="16">
        <f>SUM(Apr!H63, May!H63, Jun!H63)</f>
        <v>0</v>
      </c>
      <c r="I63" s="16">
        <f>SUM(Apr!I63, May!I63, Jun!I63)</f>
        <v>0</v>
      </c>
      <c r="J63" s="15" t="str">
        <f t="shared" si="8"/>
        <v/>
      </c>
    </row>
    <row r="64" spans="1:10" ht="15.6">
      <c r="A64" s="24" t="str">
        <v>X026</v>
      </c>
      <c r="B64" s="25" t="str">
        <v>NY</v>
      </c>
      <c r="C64" s="25" t="str">
        <f>Sites[[#This Row],[SOL'#]]</f>
        <v>SOL-10420</v>
      </c>
      <c r="D64" s="60">
        <f>SUM(Apr!D64, May!D64, Jun!D64)</f>
        <v>0</v>
      </c>
      <c r="E64" s="10">
        <f>SUM(Apr!E64, May!E64, Jun!E64)</f>
        <v>0</v>
      </c>
      <c r="F64" s="10">
        <f t="shared" si="9"/>
        <v>0</v>
      </c>
      <c r="G64" s="61" t="str">
        <f t="shared" si="10"/>
        <v/>
      </c>
      <c r="H64" s="12">
        <f>SUM(Apr!H64, May!H64, Jun!H64)</f>
        <v>0</v>
      </c>
      <c r="I64" s="12">
        <f>SUM(Apr!I64, May!I64, Jun!I64)</f>
        <v>0</v>
      </c>
      <c r="J64" s="13" t="str">
        <f t="shared" si="8"/>
        <v/>
      </c>
    </row>
    <row r="65" spans="1:10" ht="15.6">
      <c r="A65" s="26" t="str">
        <v>X090</v>
      </c>
      <c r="B65" s="27" t="str">
        <v>NY</v>
      </c>
      <c r="C65" s="27" t="str">
        <f>Sites[[#This Row],[SOL'#]]</f>
        <v>SOL-10925</v>
      </c>
      <c r="D65" s="9">
        <f>SUM(Apr!D65, May!D65, Jun!D65)</f>
        <v>0</v>
      </c>
      <c r="E65" s="14">
        <f>SUM(Apr!E65, May!E65, Jun!E65)</f>
        <v>0</v>
      </c>
      <c r="F65" s="14">
        <f t="shared" si="9"/>
        <v>0</v>
      </c>
      <c r="G65" s="15" t="str">
        <f t="shared" si="10"/>
        <v/>
      </c>
      <c r="H65" s="16">
        <f>SUM(Apr!H65, May!H65, Jun!H65)</f>
        <v>0</v>
      </c>
      <c r="I65" s="16">
        <f>SUM(Apr!I65, May!I65, Jun!I65)</f>
        <v>0</v>
      </c>
      <c r="J65" s="15" t="str">
        <f t="shared" si="8"/>
        <v/>
      </c>
    </row>
    <row r="66" spans="1:10" ht="15.6">
      <c r="A66" s="24" t="str">
        <v>X117</v>
      </c>
      <c r="B66" s="25" t="str">
        <v>NY</v>
      </c>
      <c r="C66" s="25" t="str">
        <f>Sites[[#This Row],[SOL'#]]</f>
        <v>SOL-10422</v>
      </c>
      <c r="D66" s="60">
        <f>SUM(Apr!D66, May!D66, Jun!D66)</f>
        <v>0</v>
      </c>
      <c r="E66" s="10">
        <f>SUM(Apr!E66, May!E66, Jun!E66)</f>
        <v>0</v>
      </c>
      <c r="F66" s="10">
        <f t="shared" si="9"/>
        <v>0</v>
      </c>
      <c r="G66" s="61" t="str">
        <f t="shared" si="10"/>
        <v/>
      </c>
      <c r="H66" s="12">
        <f>SUM(Apr!H66, May!H66, Jun!H66)</f>
        <v>0</v>
      </c>
      <c r="I66" s="12">
        <f>SUM(Apr!I66, May!I66, Jun!I66)</f>
        <v>0</v>
      </c>
      <c r="J66" s="13" t="str">
        <f t="shared" si="8"/>
        <v/>
      </c>
    </row>
    <row r="67" spans="1:10" ht="15.6">
      <c r="A67" s="26" t="str">
        <v>X125</v>
      </c>
      <c r="B67" s="27" t="str">
        <v>NY</v>
      </c>
      <c r="C67" s="27" t="str">
        <f>Sites[[#This Row],[SOL'#]]</f>
        <v>SOL-10423</v>
      </c>
      <c r="D67" s="9">
        <f>SUM(Apr!D67, May!D67, Jun!D67)</f>
        <v>0</v>
      </c>
      <c r="E67" s="14">
        <f>SUM(Apr!E67, May!E67, Jun!E67)</f>
        <v>0</v>
      </c>
      <c r="F67" s="14">
        <f t="shared" si="9"/>
        <v>0</v>
      </c>
      <c r="G67" s="15" t="str">
        <f t="shared" si="10"/>
        <v/>
      </c>
      <c r="H67" s="16">
        <f>SUM(Apr!H67, May!H67, Jun!H67)</f>
        <v>0</v>
      </c>
      <c r="I67" s="16">
        <f>SUM(Apr!I67, May!I67, Jun!I67)</f>
        <v>0</v>
      </c>
      <c r="J67" s="15" t="str">
        <f t="shared" si="8"/>
        <v/>
      </c>
    </row>
    <row r="68" spans="1:10" ht="15.6">
      <c r="A68" s="24" t="str">
        <v>X134</v>
      </c>
      <c r="B68" s="25" t="str">
        <v>NY</v>
      </c>
      <c r="C68" s="25" t="str">
        <f>Sites[[#This Row],[SOL'#]]</f>
        <v>SOL-10424</v>
      </c>
      <c r="D68" s="60">
        <f>SUM(Apr!D68, May!D68, Jun!D68)</f>
        <v>0</v>
      </c>
      <c r="E68" s="10">
        <f>SUM(Apr!E68, May!E68, Jun!E68)</f>
        <v>0</v>
      </c>
      <c r="F68" s="10">
        <f t="shared" si="9"/>
        <v>0</v>
      </c>
      <c r="G68" s="61" t="str">
        <f t="shared" si="10"/>
        <v/>
      </c>
      <c r="H68" s="12">
        <f>SUM(Apr!H68, May!H68, Jun!H68)</f>
        <v>0</v>
      </c>
      <c r="I68" s="12">
        <f>SUM(Apr!I68, May!I68, Jun!I68)</f>
        <v>0</v>
      </c>
      <c r="J68" s="13" t="str">
        <f t="shared" si="8"/>
        <v/>
      </c>
    </row>
    <row r="69" spans="1:10" ht="15.6">
      <c r="A69" s="26" t="str">
        <v>X135</v>
      </c>
      <c r="B69" s="27" t="str">
        <v>NY</v>
      </c>
      <c r="C69" s="27" t="str">
        <f>Sites[[#This Row],[SOL'#]]</f>
        <v>SOL-10425</v>
      </c>
      <c r="D69" s="9">
        <f>SUM(Apr!D69, May!D69, Jun!D69)</f>
        <v>0</v>
      </c>
      <c r="E69" s="14">
        <f>SUM(Apr!E69, May!E69, Jun!E69)</f>
        <v>0</v>
      </c>
      <c r="F69" s="14">
        <f t="shared" si="9"/>
        <v>0</v>
      </c>
      <c r="G69" s="15" t="str">
        <f t="shared" si="10"/>
        <v/>
      </c>
      <c r="H69" s="16">
        <f>SUM(Apr!H69, May!H69, Jun!H69)</f>
        <v>0</v>
      </c>
      <c r="I69" s="16">
        <f>SUM(Apr!I69, May!I69, Jun!I69)</f>
        <v>0</v>
      </c>
      <c r="J69" s="15" t="str">
        <f t="shared" si="8"/>
        <v/>
      </c>
    </row>
    <row r="70" spans="1:10" ht="15.6">
      <c r="A70" s="24" t="str">
        <v>X139 JHS 222</v>
      </c>
      <c r="B70" s="25" t="str">
        <v>NY</v>
      </c>
      <c r="C70" s="25" t="str">
        <f>Sites[[#This Row],[SOL'#]]</f>
        <v>SOL-10426</v>
      </c>
      <c r="D70" s="60">
        <f>SUM(Apr!D70, May!D70, Jun!D70)</f>
        <v>0</v>
      </c>
      <c r="E70" s="10">
        <f>SUM(Apr!E70, May!E70, Jun!E70)</f>
        <v>0</v>
      </c>
      <c r="F70" s="10">
        <f t="shared" si="9"/>
        <v>0</v>
      </c>
      <c r="G70" s="61" t="str">
        <f t="shared" si="10"/>
        <v/>
      </c>
      <c r="H70" s="12">
        <f>SUM(Apr!H70, May!H70, Jun!H70)</f>
        <v>0</v>
      </c>
      <c r="I70" s="12">
        <f>SUM(Apr!I70, May!I70, Jun!I70)</f>
        <v>0</v>
      </c>
      <c r="J70" s="13" t="str">
        <f t="shared" si="8"/>
        <v/>
      </c>
    </row>
    <row r="71" spans="1:10" ht="15.6">
      <c r="A71" s="26" t="str">
        <v>X140</v>
      </c>
      <c r="B71" s="27" t="str">
        <v>NY</v>
      </c>
      <c r="C71" s="27" t="str">
        <f>Sites[[#This Row],[SOL'#]]</f>
        <v>SOL-10926</v>
      </c>
      <c r="D71" s="9">
        <f>SUM(Apr!D71, May!D71, Jun!D71)</f>
        <v>0</v>
      </c>
      <c r="E71" s="14">
        <f>SUM(Apr!E71, May!E71, Jun!E71)</f>
        <v>0</v>
      </c>
      <c r="F71" s="14">
        <f t="shared" si="9"/>
        <v>0</v>
      </c>
      <c r="G71" s="15" t="str">
        <f t="shared" si="10"/>
        <v/>
      </c>
      <c r="H71" s="16">
        <f>SUM(Apr!H71, May!H71, Jun!H71)</f>
        <v>0</v>
      </c>
      <c r="I71" s="16">
        <f>SUM(Apr!I71, May!I71, Jun!I71)</f>
        <v>0</v>
      </c>
      <c r="J71" s="15" t="str">
        <f t="shared" si="8"/>
        <v/>
      </c>
    </row>
    <row r="72" spans="1:10" ht="15.6">
      <c r="A72" s="24" t="str">
        <v>X166</v>
      </c>
      <c r="B72" s="25" t="str">
        <v>NY</v>
      </c>
      <c r="C72" s="25" t="str">
        <f>Sites[[#This Row],[SOL'#]]</f>
        <v>SOL-10427</v>
      </c>
      <c r="D72" s="60">
        <f>SUM(Apr!D72, May!D72, Jun!D72)</f>
        <v>0</v>
      </c>
      <c r="E72" s="10">
        <f>SUM(Apr!E72, May!E72, Jun!E72)</f>
        <v>0</v>
      </c>
      <c r="F72" s="10">
        <f t="shared" si="9"/>
        <v>0</v>
      </c>
      <c r="G72" s="61" t="str">
        <f t="shared" si="10"/>
        <v/>
      </c>
      <c r="H72" s="12">
        <f>SUM(Apr!H72, May!H72, Jun!H72)</f>
        <v>0</v>
      </c>
      <c r="I72" s="12">
        <f>SUM(Apr!I72, May!I72, Jun!I72)</f>
        <v>0</v>
      </c>
      <c r="J72" s="13" t="str">
        <f t="shared" si="8"/>
        <v/>
      </c>
    </row>
    <row r="73" spans="1:10" ht="15.6">
      <c r="A73" s="26" t="str">
        <v>Murphy</v>
      </c>
      <c r="B73" s="27" t="str">
        <v>MN</v>
      </c>
      <c r="C73" s="27" t="str">
        <f>Sites[[#This Row],[SOL'#]]</f>
        <v>SOL-10094</v>
      </c>
      <c r="D73" s="9">
        <f>SUM(Apr!D73, May!D73, Jun!D73)</f>
        <v>0</v>
      </c>
      <c r="E73" s="14">
        <f>SUM(Apr!E73, May!E73, Jun!E73)</f>
        <v>0</v>
      </c>
      <c r="F73" s="14">
        <f t="shared" si="9"/>
        <v>0</v>
      </c>
      <c r="G73" s="15" t="str">
        <f t="shared" si="10"/>
        <v/>
      </c>
      <c r="H73" s="16">
        <f>SUM(Apr!H73, May!H73, Jun!H73)</f>
        <v>0</v>
      </c>
      <c r="I73" s="16">
        <f>SUM(Apr!I73, May!I73, Jun!I73)</f>
        <v>0</v>
      </c>
      <c r="J73" s="15" t="str">
        <f t="shared" si="8"/>
        <v/>
      </c>
    </row>
    <row r="74" spans="1:10" ht="15.6">
      <c r="A74" s="24" t="str">
        <v>Terning</v>
      </c>
      <c r="B74" s="25" t="str">
        <v>MN</v>
      </c>
      <c r="C74" s="25" t="str">
        <f>Sites[[#This Row],[SOL'#]]</f>
        <v>SOL-10093</v>
      </c>
      <c r="D74" s="60">
        <f>SUM(Apr!D74, May!D74, Jun!D74)</f>
        <v>0</v>
      </c>
      <c r="E74" s="10">
        <f>SUM(Apr!E74, May!E74, Jun!E74)</f>
        <v>0</v>
      </c>
      <c r="F74" s="10">
        <f t="shared" si="9"/>
        <v>0</v>
      </c>
      <c r="G74" s="61" t="str">
        <f t="shared" si="10"/>
        <v/>
      </c>
      <c r="H74" s="12">
        <f>SUM(Apr!H74, May!H74, Jun!H74)</f>
        <v>0</v>
      </c>
      <c r="I74" s="12">
        <f>SUM(Apr!I74, May!I74, Jun!I74)</f>
        <v>0</v>
      </c>
      <c r="J74" s="13" t="str">
        <f t="shared" si="8"/>
        <v/>
      </c>
    </row>
    <row r="75" spans="1:10" ht="15.6">
      <c r="A75" s="26" t="str">
        <v>Boas Road 04</v>
      </c>
      <c r="B75" s="27" t="str">
        <v>NY</v>
      </c>
      <c r="C75" s="27" t="str">
        <f>Sites[[#This Row],[SOL'#]]</f>
        <v>SOL-10908</v>
      </c>
      <c r="D75" s="9">
        <f>SUM(Apr!D75, May!D75, Jun!D75)</f>
        <v>0</v>
      </c>
      <c r="E75" s="14">
        <f>SUM(Apr!E75, May!E75, Jun!E75)</f>
        <v>0</v>
      </c>
      <c r="F75" s="14">
        <f t="shared" si="9"/>
        <v>0</v>
      </c>
      <c r="G75" s="15" t="str">
        <f t="shared" si="10"/>
        <v/>
      </c>
      <c r="H75" s="16">
        <f>SUM(Apr!H75, May!H75, Jun!H75)</f>
        <v>0</v>
      </c>
      <c r="I75" s="16">
        <f>SUM(Apr!I75, May!I75, Jun!I75)</f>
        <v>0</v>
      </c>
      <c r="J75" s="15" t="str">
        <f t="shared" si="8"/>
        <v/>
      </c>
    </row>
    <row r="76" spans="1:10" ht="15.6">
      <c r="A76" s="24" t="str">
        <v>Kelly Bridge Farm</v>
      </c>
      <c r="B76" s="25" t="str">
        <v>NY</v>
      </c>
      <c r="C76" s="25" t="str">
        <f>Sites[[#This Row],[SOL'#]]</f>
        <v>SOL-10911</v>
      </c>
      <c r="D76" s="60">
        <f>SUM(Apr!D76, May!D76, Jun!D76)</f>
        <v>0</v>
      </c>
      <c r="E76" s="10">
        <f>SUM(Apr!E76, May!E76, Jun!E76)</f>
        <v>0</v>
      </c>
      <c r="F76" s="10">
        <f t="shared" si="9"/>
        <v>0</v>
      </c>
      <c r="G76" s="61" t="str">
        <f t="shared" si="10"/>
        <v/>
      </c>
      <c r="H76" s="12">
        <f>SUM(Apr!H76, May!H76, Jun!H76)</f>
        <v>0</v>
      </c>
      <c r="I76" s="12">
        <f>SUM(Apr!I76, May!I76, Jun!I76)</f>
        <v>0</v>
      </c>
      <c r="J76" s="13" t="str">
        <f t="shared" si="8"/>
        <v/>
      </c>
    </row>
    <row r="77" spans="1:10" ht="15.6">
      <c r="A77" s="26" t="str">
        <v>Pool Brook Road</v>
      </c>
      <c r="B77" s="27" t="str">
        <v>NY</v>
      </c>
      <c r="C77" s="27" t="str">
        <f>Sites[[#This Row],[SOL'#]]</f>
        <v>SOL-10909</v>
      </c>
      <c r="D77" s="9">
        <f>SUM(Apr!D77, May!D77, Jun!D77)</f>
        <v>0</v>
      </c>
      <c r="E77" s="14">
        <f>SUM(Apr!E77, May!E77, Jun!E77)</f>
        <v>0</v>
      </c>
      <c r="F77" s="14">
        <f t="shared" si="9"/>
        <v>0</v>
      </c>
      <c r="G77" s="15" t="str">
        <f t="shared" si="10"/>
        <v/>
      </c>
      <c r="H77" s="16">
        <f>SUM(Apr!H77, May!H77, Jun!H77)</f>
        <v>0</v>
      </c>
      <c r="I77" s="16">
        <f>SUM(Apr!I77, May!I77, Jun!I77)</f>
        <v>0</v>
      </c>
      <c r="J77" s="15" t="str">
        <f t="shared" si="8"/>
        <v/>
      </c>
    </row>
    <row r="78" spans="1:10" ht="15.6">
      <c r="A78" s="24" t="str">
        <v>Sackett Lake</v>
      </c>
      <c r="B78" s="25" t="str">
        <v>NY</v>
      </c>
      <c r="C78" s="25" t="str">
        <f>Sites[[#This Row],[SOL'#]]</f>
        <v>SOL-10910</v>
      </c>
      <c r="D78" s="60">
        <f>SUM(Apr!D78, May!D78, Jun!D78)</f>
        <v>0</v>
      </c>
      <c r="E78" s="10">
        <f>SUM(Apr!E78, May!E78, Jun!E78)</f>
        <v>0</v>
      </c>
      <c r="F78" s="10">
        <f t="shared" si="9"/>
        <v>0</v>
      </c>
      <c r="G78" s="61" t="str">
        <f t="shared" si="10"/>
        <v/>
      </c>
      <c r="H78" s="12">
        <f>SUM(Apr!H78, May!H78, Jun!H78)</f>
        <v>0</v>
      </c>
      <c r="I78" s="12">
        <f>SUM(Apr!I78, May!I78, Jun!I78)</f>
        <v>0</v>
      </c>
      <c r="J78" s="13" t="str">
        <f t="shared" si="8"/>
        <v/>
      </c>
    </row>
    <row r="79" spans="1:10" ht="15.6">
      <c r="A79" s="26" t="str">
        <v>Burritt Road</v>
      </c>
      <c r="B79" s="27" t="str">
        <v>NY</v>
      </c>
      <c r="C79" s="27" t="str">
        <f>Sites[[#This Row],[SOL'#]]</f>
        <v>SOL-10913</v>
      </c>
      <c r="D79" s="9">
        <f>SUM(Apr!D79, May!D79, Jun!D79)</f>
        <v>0</v>
      </c>
      <c r="E79" s="14">
        <f>SUM(Apr!E79, May!E79, Jun!E79)</f>
        <v>0</v>
      </c>
      <c r="F79" s="14">
        <f t="shared" si="9"/>
        <v>0</v>
      </c>
      <c r="G79" s="15" t="str">
        <f t="shared" si="10"/>
        <v/>
      </c>
      <c r="H79" s="16">
        <f>SUM(Apr!H79, May!H79, Jun!H79)</f>
        <v>0</v>
      </c>
      <c r="I79" s="16">
        <f>SUM(Apr!I79, May!I79, Jun!I79)</f>
        <v>0</v>
      </c>
      <c r="J79" s="15" t="str">
        <f t="shared" si="8"/>
        <v/>
      </c>
    </row>
    <row r="80" spans="1:10" ht="15.6">
      <c r="A80" s="24" t="str">
        <v>Villa Roma 1</v>
      </c>
      <c r="B80" s="25" t="str">
        <v>NY</v>
      </c>
      <c r="C80" s="25" t="str">
        <f>Sites[[#This Row],[SOL'#]]</f>
        <v>SOL-10914</v>
      </c>
      <c r="D80" s="60">
        <f>SUM(Apr!D80, May!D80, Jun!D80)</f>
        <v>0</v>
      </c>
      <c r="E80" s="10">
        <f>SUM(Apr!E80, May!E80, Jun!E80)</f>
        <v>0</v>
      </c>
      <c r="F80" s="10">
        <f t="shared" si="9"/>
        <v>0</v>
      </c>
      <c r="G80" s="61" t="str">
        <f t="shared" si="10"/>
        <v/>
      </c>
      <c r="H80" s="12">
        <f>SUM(Apr!H80, May!H80, Jun!H80)</f>
        <v>0</v>
      </c>
      <c r="I80" s="12">
        <f>SUM(Apr!I80, May!I80, Jun!I80)</f>
        <v>0</v>
      </c>
      <c r="J80" s="13" t="str">
        <f t="shared" si="8"/>
        <v/>
      </c>
    </row>
    <row r="81" spans="1:10" ht="15.6">
      <c r="A81" s="26" t="str">
        <v>Villa Roma 2</v>
      </c>
      <c r="B81" s="27" t="str">
        <v>NY</v>
      </c>
      <c r="C81" s="27" t="str">
        <f>Sites[[#This Row],[SOL'#]]</f>
        <v>SOL-10915</v>
      </c>
      <c r="D81" s="9">
        <f>SUM(Apr!D81, May!D81, Jun!D81)</f>
        <v>0</v>
      </c>
      <c r="E81" s="14">
        <f>SUM(Apr!E81, May!E81, Jun!E81)</f>
        <v>0</v>
      </c>
      <c r="F81" s="14">
        <f t="shared" si="9"/>
        <v>0</v>
      </c>
      <c r="G81" s="15" t="str">
        <f t="shared" si="10"/>
        <v/>
      </c>
      <c r="H81" s="16">
        <f>SUM(Apr!H81, May!H81, Jun!H81)</f>
        <v>0</v>
      </c>
      <c r="I81" s="16">
        <f>SUM(Apr!I81, May!I81, Jun!I81)</f>
        <v>0</v>
      </c>
      <c r="J81" s="15" t="str">
        <f t="shared" si="8"/>
        <v/>
      </c>
    </row>
    <row r="82" spans="1:10" ht="15.6">
      <c r="A82" s="24" t="str">
        <v>Washington 1</v>
      </c>
      <c r="B82" s="25" t="str">
        <v>NY</v>
      </c>
      <c r="C82" s="25" t="str">
        <f>Sites[[#This Row],[SOL'#]]</f>
        <v>SOL-10912</v>
      </c>
      <c r="D82" s="60">
        <f>SUM(Apr!D82, May!D82, Jun!D82)</f>
        <v>0</v>
      </c>
      <c r="E82" s="10">
        <f>SUM(Apr!E82, May!E82, Jun!E82)</f>
        <v>0</v>
      </c>
      <c r="F82" s="10">
        <f t="shared" ref="F82:F113" si="11">IF(AND(ISNUMBER(D82),ISNUMBER(E82)), D82-E82, "")</f>
        <v>0</v>
      </c>
      <c r="G82" s="61" t="str">
        <f t="shared" ref="G82:G113" si="12">IFERROR(F82/E82, "")</f>
        <v/>
      </c>
      <c r="H82" s="12">
        <f>SUM(Apr!H82, May!H82, Jun!H82)</f>
        <v>0</v>
      </c>
      <c r="I82" s="12">
        <f>SUM(Apr!I82, May!I82, Jun!I82)</f>
        <v>0</v>
      </c>
      <c r="J82" s="13" t="str">
        <f t="shared" ref="J82:J145" si="13">IFERROR(I82/H82, "")</f>
        <v/>
      </c>
    </row>
    <row r="83" spans="1:10" ht="15.6">
      <c r="A83" s="26" t="str">
        <v>Washington 3</v>
      </c>
      <c r="B83" s="27" t="str">
        <v>NY</v>
      </c>
      <c r="C83" s="27" t="str">
        <f>Sites[[#This Row],[SOL'#]]</f>
        <v>SOL-10828</v>
      </c>
      <c r="D83" s="9">
        <f>SUM(Apr!D83, May!D83, Jun!D83)</f>
        <v>0</v>
      </c>
      <c r="E83" s="14">
        <f>SUM(Apr!E83, May!E83, Jun!E83)</f>
        <v>0</v>
      </c>
      <c r="F83" s="14">
        <f t="shared" si="11"/>
        <v>0</v>
      </c>
      <c r="G83" s="15" t="str">
        <f t="shared" si="12"/>
        <v/>
      </c>
      <c r="H83" s="16">
        <f>SUM(Apr!H83, May!H83, Jun!H83)</f>
        <v>0</v>
      </c>
      <c r="I83" s="16">
        <f>SUM(Apr!I83, May!I83, Jun!I83)</f>
        <v>0</v>
      </c>
      <c r="J83" s="15" t="str">
        <f t="shared" si="13"/>
        <v/>
      </c>
    </row>
    <row r="84" spans="1:10" ht="15.6">
      <c r="A84" s="24" t="str">
        <v>Washington 4</v>
      </c>
      <c r="B84" s="25" t="str">
        <v>NY</v>
      </c>
      <c r="C84" s="25" t="str">
        <f>Sites[[#This Row],[SOL'#]]</f>
        <v>SOL-10829</v>
      </c>
      <c r="D84" s="60">
        <f>SUM(Apr!D84, May!D84, Jun!D84)</f>
        <v>0</v>
      </c>
      <c r="E84" s="10">
        <f>SUM(Apr!E84, May!E84, Jun!E84)</f>
        <v>0</v>
      </c>
      <c r="F84" s="10">
        <f t="shared" si="11"/>
        <v>0</v>
      </c>
      <c r="G84" s="61" t="str">
        <f t="shared" si="12"/>
        <v/>
      </c>
      <c r="H84" s="12">
        <f>SUM(Apr!H84, May!H84, Jun!H84)</f>
        <v>0</v>
      </c>
      <c r="I84" s="12">
        <f>SUM(Apr!I84, May!I84, Jun!I84)</f>
        <v>0</v>
      </c>
      <c r="J84" s="13" t="str">
        <f t="shared" si="13"/>
        <v/>
      </c>
    </row>
    <row r="85" spans="1:10" ht="15.6">
      <c r="A85" s="26" t="str">
        <v>Big Tree</v>
      </c>
      <c r="B85" s="27" t="str">
        <v>NY</v>
      </c>
      <c r="C85" s="27" t="str">
        <f>Sites[[#This Row],[SOL'#]]</f>
        <v>SOL-10966</v>
      </c>
      <c r="D85" s="9">
        <f>SUM(Apr!D85, May!D85, Jun!D85)</f>
        <v>0</v>
      </c>
      <c r="E85" s="14">
        <f>SUM(Apr!E85, May!E85, Jun!E85)</f>
        <v>0</v>
      </c>
      <c r="F85" s="14">
        <f t="shared" si="11"/>
        <v>0</v>
      </c>
      <c r="G85" s="15" t="str">
        <f t="shared" si="12"/>
        <v/>
      </c>
      <c r="H85" s="16">
        <f>SUM(Apr!H85, May!H85, Jun!H85)</f>
        <v>0</v>
      </c>
      <c r="I85" s="16">
        <f>SUM(Apr!I85, May!I85, Jun!I85)</f>
        <v>0</v>
      </c>
      <c r="J85" s="15" t="str">
        <f t="shared" si="13"/>
        <v/>
      </c>
    </row>
    <row r="86" spans="1:10" ht="15.6">
      <c r="A86" s="24" t="str">
        <v>Canoga</v>
      </c>
      <c r="B86" s="25" t="str">
        <v>NY</v>
      </c>
      <c r="C86" s="25" t="str">
        <f>Sites[[#This Row],[SOL'#]]</f>
        <v>SOL-10965</v>
      </c>
      <c r="D86" s="60">
        <f>SUM(Apr!D86, May!D86, Jun!D86)</f>
        <v>0</v>
      </c>
      <c r="E86" s="10">
        <f>SUM(Apr!E86, May!E86, Jun!E86)</f>
        <v>0</v>
      </c>
      <c r="F86" s="10">
        <f t="shared" si="11"/>
        <v>0</v>
      </c>
      <c r="G86" s="61" t="str">
        <f t="shared" si="12"/>
        <v/>
      </c>
      <c r="H86" s="12">
        <f>SUM(Apr!H86, May!H86, Jun!H86)</f>
        <v>0</v>
      </c>
      <c r="I86" s="12">
        <f>SUM(Apr!I86, May!I86, Jun!I86)</f>
        <v>0</v>
      </c>
      <c r="J86" s="13" t="str">
        <f t="shared" si="13"/>
        <v/>
      </c>
    </row>
    <row r="87" spans="1:10" ht="15.6">
      <c r="A87" s="26" t="str">
        <v>County Route 84</v>
      </c>
      <c r="B87" s="27" t="str">
        <v>NY</v>
      </c>
      <c r="C87" s="27" t="str">
        <f>Sites[[#This Row],[SOL'#]]</f>
        <v>SOL-10967</v>
      </c>
      <c r="D87" s="9">
        <f>SUM(Apr!D87, May!D87, Jun!D87)</f>
        <v>0</v>
      </c>
      <c r="E87" s="14">
        <f>SUM(Apr!E87, May!E87, Jun!E87)</f>
        <v>0</v>
      </c>
      <c r="F87" s="14">
        <f t="shared" si="11"/>
        <v>0</v>
      </c>
      <c r="G87" s="15" t="str">
        <f t="shared" si="12"/>
        <v/>
      </c>
      <c r="H87" s="16">
        <f>SUM(Apr!H87, May!H87, Jun!H87)</f>
        <v>0</v>
      </c>
      <c r="I87" s="16">
        <f>SUM(Apr!I87, May!I87, Jun!I87)</f>
        <v>0</v>
      </c>
      <c r="J87" s="15" t="str">
        <f t="shared" si="13"/>
        <v/>
      </c>
    </row>
    <row r="88" spans="1:10" ht="15.6">
      <c r="A88" s="24" t="str">
        <v>Donati</v>
      </c>
      <c r="B88" s="25" t="str">
        <v>NY</v>
      </c>
      <c r="C88" s="25" t="str">
        <f>Sites[[#This Row],[SOL'#]]</f>
        <v>SOL-10968</v>
      </c>
      <c r="D88" s="60">
        <f>SUM(Apr!D88, May!D88, Jun!D88)</f>
        <v>0</v>
      </c>
      <c r="E88" s="10">
        <f>SUM(Apr!E88, May!E88, Jun!E88)</f>
        <v>0</v>
      </c>
      <c r="F88" s="10">
        <f t="shared" si="11"/>
        <v>0</v>
      </c>
      <c r="G88" s="61" t="str">
        <f t="shared" si="12"/>
        <v/>
      </c>
      <c r="H88" s="12">
        <f>SUM(Apr!H88, May!H88, Jun!H88)</f>
        <v>0</v>
      </c>
      <c r="I88" s="12">
        <f>SUM(Apr!I88, May!I88, Jun!I88)</f>
        <v>0</v>
      </c>
      <c r="J88" s="13" t="str">
        <f t="shared" si="13"/>
        <v/>
      </c>
    </row>
    <row r="89" spans="1:10" ht="15.6">
      <c r="A89" s="26" t="str">
        <v>Henrietta</v>
      </c>
      <c r="B89" s="27" t="str">
        <v>NY</v>
      </c>
      <c r="C89" s="27" t="str">
        <f>Sites[[#This Row],[SOL'#]]</f>
        <v>SOL-10972</v>
      </c>
      <c r="D89" s="9">
        <f>SUM(Apr!D89, May!D89, Jun!D89)</f>
        <v>0</v>
      </c>
      <c r="E89" s="14">
        <f>SUM(Apr!E89, May!E89, Jun!E89)</f>
        <v>0</v>
      </c>
      <c r="F89" s="14">
        <f t="shared" si="11"/>
        <v>0</v>
      </c>
      <c r="G89" s="15" t="str">
        <f t="shared" si="12"/>
        <v/>
      </c>
      <c r="H89" s="16">
        <f>SUM(Apr!H89, May!H89, Jun!H89)</f>
        <v>0</v>
      </c>
      <c r="I89" s="16">
        <f>SUM(Apr!I89, May!I89, Jun!I89)</f>
        <v>0</v>
      </c>
      <c r="J89" s="15" t="str">
        <f t="shared" si="13"/>
        <v/>
      </c>
    </row>
    <row r="90" spans="1:10" ht="15.6">
      <c r="A90" s="24" t="str">
        <v>NY 70</v>
      </c>
      <c r="B90" s="25" t="str">
        <v>NY</v>
      </c>
      <c r="C90" s="25" t="str">
        <f>Sites[[#This Row],[SOL'#]]</f>
        <v>SOL-10970</v>
      </c>
      <c r="D90" s="60">
        <f>SUM(Apr!D90, May!D90, Jun!D90)</f>
        <v>0</v>
      </c>
      <c r="E90" s="10">
        <f>SUM(Apr!E90, May!E90, Jun!E90)</f>
        <v>0</v>
      </c>
      <c r="F90" s="10">
        <f t="shared" si="11"/>
        <v>0</v>
      </c>
      <c r="G90" s="61" t="str">
        <f t="shared" si="12"/>
        <v/>
      </c>
      <c r="H90" s="12">
        <f>SUM(Apr!H90, May!H90, Jun!H90)</f>
        <v>0</v>
      </c>
      <c r="I90" s="12">
        <f>SUM(Apr!I90, May!I90, Jun!I90)</f>
        <v>0</v>
      </c>
      <c r="J90" s="13" t="str">
        <f t="shared" si="13"/>
        <v/>
      </c>
    </row>
    <row r="91" spans="1:10" ht="15.6">
      <c r="A91" s="26" t="str">
        <v>Reid</v>
      </c>
      <c r="B91" s="27" t="str">
        <v>NY</v>
      </c>
      <c r="C91" s="27" t="str">
        <f>Sites[[#This Row],[SOL'#]]</f>
        <v>SOL-10991</v>
      </c>
      <c r="D91" s="9">
        <f>SUM(Apr!D91, May!D91, Jun!D91)</f>
        <v>0</v>
      </c>
      <c r="E91" s="14">
        <f>SUM(Apr!E91, May!E91, Jun!E91)</f>
        <v>0</v>
      </c>
      <c r="F91" s="14">
        <f t="shared" si="11"/>
        <v>0</v>
      </c>
      <c r="G91" s="15" t="str">
        <f t="shared" si="12"/>
        <v/>
      </c>
      <c r="H91" s="16">
        <f>SUM(Apr!H91, May!H91, Jun!H91)</f>
        <v>0</v>
      </c>
      <c r="I91" s="16">
        <f>SUM(Apr!I91, May!I91, Jun!I91)</f>
        <v>0</v>
      </c>
      <c r="J91" s="15" t="str">
        <f t="shared" si="13"/>
        <v/>
      </c>
    </row>
    <row r="92" spans="1:10" ht="15.6">
      <c r="A92" s="24" t="str">
        <v>Sangolqui</v>
      </c>
      <c r="B92" s="25" t="str">
        <v>NY</v>
      </c>
      <c r="C92" s="25" t="str">
        <f>Sites[[#This Row],[SOL'#]]</f>
        <v>SOL-10975</v>
      </c>
      <c r="D92" s="60">
        <f>SUM(Apr!D92, May!D92, Jun!D92)</f>
        <v>0</v>
      </c>
      <c r="E92" s="10">
        <f>SUM(Apr!E92, May!E92, Jun!E92)</f>
        <v>0</v>
      </c>
      <c r="F92" s="10">
        <f t="shared" si="11"/>
        <v>0</v>
      </c>
      <c r="G92" s="61" t="str">
        <f t="shared" si="12"/>
        <v/>
      </c>
      <c r="H92" s="12">
        <f>SUM(Apr!H92, May!H92, Jun!H92)</f>
        <v>0</v>
      </c>
      <c r="I92" s="12">
        <f>SUM(Apr!I92, May!I92, Jun!I92)</f>
        <v>0</v>
      </c>
      <c r="J92" s="13" t="str">
        <f t="shared" si="13"/>
        <v/>
      </c>
    </row>
    <row r="93" spans="1:10" ht="15.6">
      <c r="A93" s="26" t="str">
        <v>State Highway 17B</v>
      </c>
      <c r="B93" s="27" t="str">
        <v>NY</v>
      </c>
      <c r="C93" s="27" t="str">
        <f>Sites[[#This Row],[SOL'#]]</f>
        <v>SOL-10988</v>
      </c>
      <c r="D93" s="9">
        <f>SUM(Apr!D93, May!D93, Jun!D93)</f>
        <v>0</v>
      </c>
      <c r="E93" s="14">
        <f>SUM(Apr!E93, May!E93, Jun!E93)</f>
        <v>0</v>
      </c>
      <c r="F93" s="14">
        <f t="shared" si="11"/>
        <v>0</v>
      </c>
      <c r="G93" s="15" t="str">
        <f t="shared" si="12"/>
        <v/>
      </c>
      <c r="H93" s="16">
        <f>SUM(Apr!H93, May!H93, Jun!H93)</f>
        <v>0</v>
      </c>
      <c r="I93" s="16">
        <f>SUM(Apr!I93, May!I93, Jun!I93)</f>
        <v>0</v>
      </c>
      <c r="J93" s="15" t="str">
        <f t="shared" si="13"/>
        <v/>
      </c>
    </row>
    <row r="94" spans="1:10" ht="15.6">
      <c r="A94" s="24" t="str">
        <v>State Route 14A</v>
      </c>
      <c r="B94" s="25" t="str">
        <v>NY</v>
      </c>
      <c r="C94" s="25" t="str">
        <f>Sites[[#This Row],[SOL'#]]</f>
        <v>SOL-10997</v>
      </c>
      <c r="D94" s="60">
        <f>SUM(Apr!D94, May!D94, Jun!D94)</f>
        <v>0</v>
      </c>
      <c r="E94" s="10">
        <f>SUM(Apr!E94, May!E94, Jun!E94)</f>
        <v>0</v>
      </c>
      <c r="F94" s="10">
        <f t="shared" si="11"/>
        <v>0</v>
      </c>
      <c r="G94" s="61" t="str">
        <f t="shared" si="12"/>
        <v/>
      </c>
      <c r="H94" s="12">
        <f>SUM(Apr!H94, May!H94, Jun!H94)</f>
        <v>0</v>
      </c>
      <c r="I94" s="12">
        <f>SUM(Apr!I94, May!I94, Jun!I94)</f>
        <v>0</v>
      </c>
      <c r="J94" s="13" t="str">
        <f t="shared" si="13"/>
        <v/>
      </c>
    </row>
    <row r="95" spans="1:10" ht="15.6">
      <c r="A95" s="26" t="str">
        <v>West Creek</v>
      </c>
      <c r="B95" s="27" t="str">
        <v>NY</v>
      </c>
      <c r="C95" s="27" t="str">
        <f>Sites[[#This Row],[SOL'#]]</f>
        <v>SOL-10995</v>
      </c>
      <c r="D95" s="9">
        <f>SUM(Apr!D95, May!D95, Jun!D95)</f>
        <v>0</v>
      </c>
      <c r="E95" s="14">
        <f>SUM(Apr!E95, May!E95, Jun!E95)</f>
        <v>0</v>
      </c>
      <c r="F95" s="14">
        <f t="shared" si="11"/>
        <v>0</v>
      </c>
      <c r="G95" s="15" t="str">
        <f t="shared" si="12"/>
        <v/>
      </c>
      <c r="H95" s="16">
        <f>SUM(Apr!H95, May!H95, Jun!H95)</f>
        <v>0</v>
      </c>
      <c r="I95" s="16">
        <f>SUM(Apr!I95, May!I95, Jun!I95)</f>
        <v>0</v>
      </c>
      <c r="J95" s="15" t="str">
        <f t="shared" si="13"/>
        <v/>
      </c>
    </row>
    <row r="96" spans="1:10" ht="15.6">
      <c r="A96" s="24" t="str">
        <v>Wildflower</v>
      </c>
      <c r="B96" s="25" t="str">
        <v>NY</v>
      </c>
      <c r="C96" s="25" t="str">
        <f>Sites[[#This Row],[SOL'#]]</f>
        <v>SOL-10982</v>
      </c>
      <c r="D96" s="60">
        <f>SUM(Apr!D96, May!D96, Jun!D96)</f>
        <v>0</v>
      </c>
      <c r="E96" s="10">
        <f>SUM(Apr!E96, May!E96, Jun!E96)</f>
        <v>0</v>
      </c>
      <c r="F96" s="10">
        <f t="shared" si="11"/>
        <v>0</v>
      </c>
      <c r="G96" s="61" t="str">
        <f t="shared" si="12"/>
        <v/>
      </c>
      <c r="H96" s="12">
        <f>SUM(Apr!H96, May!H96, Jun!H96)</f>
        <v>0</v>
      </c>
      <c r="I96" s="12">
        <f>SUM(Apr!I96, May!I96, Jun!I96)</f>
        <v>0</v>
      </c>
      <c r="J96" s="13" t="str">
        <f t="shared" si="13"/>
        <v/>
      </c>
    </row>
    <row r="97" spans="1:10" ht="15.6">
      <c r="A97" s="26" t="str">
        <v>Glen Mary 1</v>
      </c>
      <c r="B97" s="27" t="str">
        <v>NY</v>
      </c>
      <c r="C97" s="27" t="str">
        <f>Sites[[#This Row],[SOL'#]]</f>
        <v>SOL-10993</v>
      </c>
      <c r="D97" s="9">
        <f>SUM(Apr!D97, May!D97, Jun!D97)</f>
        <v>0</v>
      </c>
      <c r="E97" s="14">
        <f>SUM(Apr!E97, May!E97, Jun!E97)</f>
        <v>0</v>
      </c>
      <c r="F97" s="14">
        <f t="shared" si="11"/>
        <v>0</v>
      </c>
      <c r="G97" s="15" t="str">
        <f t="shared" si="12"/>
        <v/>
      </c>
      <c r="H97" s="16">
        <f>SUM(Apr!H97, May!H97, Jun!H97)</f>
        <v>0</v>
      </c>
      <c r="I97" s="16">
        <f>SUM(Apr!I97, May!I97, Jun!I97)</f>
        <v>0</v>
      </c>
      <c r="J97" s="15" t="str">
        <f t="shared" si="13"/>
        <v/>
      </c>
    </row>
    <row r="98" spans="1:10" ht="15.6">
      <c r="A98" s="24" t="str">
        <v>Glen Mary 2</v>
      </c>
      <c r="B98" s="25" t="str">
        <v>NY</v>
      </c>
      <c r="C98" s="25" t="str">
        <f>Sites[[#This Row],[SOL'#]]</f>
        <v>SOL-10994</v>
      </c>
      <c r="D98" s="60">
        <f>SUM(Apr!D98, May!D98, Jun!D98)</f>
        <v>0</v>
      </c>
      <c r="E98" s="10">
        <f>SUM(Apr!E98, May!E98, Jun!E98)</f>
        <v>0</v>
      </c>
      <c r="F98" s="10">
        <f t="shared" si="11"/>
        <v>0</v>
      </c>
      <c r="G98" s="61" t="str">
        <f t="shared" si="12"/>
        <v/>
      </c>
      <c r="H98" s="12">
        <f>SUM(Apr!H98, May!H98, Jun!H98)</f>
        <v>0</v>
      </c>
      <c r="I98" s="12">
        <f>SUM(Apr!I98, May!I98, Jun!I98)</f>
        <v>0</v>
      </c>
      <c r="J98" s="13" t="str">
        <f t="shared" si="13"/>
        <v/>
      </c>
    </row>
    <row r="99" spans="1:10" ht="15.6">
      <c r="A99" s="26" t="str">
        <v>Telegraph 1</v>
      </c>
      <c r="B99" s="27" t="str">
        <v>NY</v>
      </c>
      <c r="C99" s="27" t="str">
        <f>Sites[[#This Row],[SOL'#]]</f>
        <v>SOL-11003</v>
      </c>
      <c r="D99" s="9">
        <f>SUM(Apr!D99, May!D99, Jun!D99)</f>
        <v>0</v>
      </c>
      <c r="E99" s="14">
        <f>SUM(Apr!E99, May!E99, Jun!E99)</f>
        <v>0</v>
      </c>
      <c r="F99" s="14">
        <f t="shared" si="11"/>
        <v>0</v>
      </c>
      <c r="G99" s="15" t="str">
        <f t="shared" si="12"/>
        <v/>
      </c>
      <c r="H99" s="16">
        <f>SUM(Apr!H99, May!H99, Jun!H99)</f>
        <v>0</v>
      </c>
      <c r="I99" s="16">
        <f>SUM(Apr!I99, May!I99, Jun!I99)</f>
        <v>0</v>
      </c>
      <c r="J99" s="15" t="str">
        <f t="shared" si="13"/>
        <v/>
      </c>
    </row>
    <row r="100" spans="1:10" ht="15.6">
      <c r="A100" s="24" t="str">
        <v>Telegraph 2</v>
      </c>
      <c r="B100" s="25" t="str">
        <v>NY</v>
      </c>
      <c r="C100" s="25" t="str">
        <f>Sites[[#This Row],[SOL'#]]</f>
        <v>SOL-11004</v>
      </c>
      <c r="D100" s="60">
        <f>SUM(Apr!D100, May!D100, Jun!D100)</f>
        <v>0</v>
      </c>
      <c r="E100" s="10">
        <f>SUM(Apr!E100, May!E100, Jun!E100)</f>
        <v>0</v>
      </c>
      <c r="F100" s="10">
        <f t="shared" si="11"/>
        <v>0</v>
      </c>
      <c r="G100" s="61" t="str">
        <f t="shared" si="12"/>
        <v/>
      </c>
      <c r="H100" s="12">
        <f>SUM(Apr!H100, May!H100, Jun!H100)</f>
        <v>0</v>
      </c>
      <c r="I100" s="12">
        <f>SUM(Apr!I100, May!I100, Jun!I100)</f>
        <v>0</v>
      </c>
      <c r="J100" s="13" t="str">
        <f t="shared" si="13"/>
        <v/>
      </c>
    </row>
    <row r="101" spans="1:10" ht="15.6">
      <c r="A101" s="26" t="str">
        <v>Cafferty Hill</v>
      </c>
      <c r="B101" s="27" t="str">
        <v>NY</v>
      </c>
      <c r="C101" s="27" t="str">
        <f>Sites[[#This Row],[SOL'#]]</f>
        <v>SOL-10996</v>
      </c>
      <c r="D101" s="9">
        <f>SUM(Apr!D101, May!D101, Jun!D101)</f>
        <v>0</v>
      </c>
      <c r="E101" s="14">
        <f>SUM(Apr!E101, May!E101, Jun!E101)</f>
        <v>0</v>
      </c>
      <c r="F101" s="14">
        <f t="shared" si="11"/>
        <v>0</v>
      </c>
      <c r="G101" s="15" t="str">
        <f t="shared" si="12"/>
        <v/>
      </c>
      <c r="H101" s="16">
        <f>SUM(Apr!H101, May!H101, Jun!H101)</f>
        <v>0</v>
      </c>
      <c r="I101" s="16">
        <f>SUM(Apr!I101, May!I101, Jun!I101)</f>
        <v>0</v>
      </c>
      <c r="J101" s="15" t="str">
        <f t="shared" si="13"/>
        <v/>
      </c>
    </row>
    <row r="102" spans="1:10" ht="15.6">
      <c r="A102" s="24" t="str">
        <v>Dunkleman</v>
      </c>
      <c r="B102" s="25" t="str">
        <v>NY</v>
      </c>
      <c r="C102" s="25" t="str">
        <f>Sites[[#This Row],[SOL'#]]</f>
        <v>SOL-11008</v>
      </c>
      <c r="D102" s="60">
        <f>SUM(Apr!D102, May!D102, Jun!D102)</f>
        <v>0</v>
      </c>
      <c r="E102" s="10">
        <f>SUM(Apr!E102, May!E102, Jun!E102)</f>
        <v>0</v>
      </c>
      <c r="F102" s="10">
        <f t="shared" si="11"/>
        <v>0</v>
      </c>
      <c r="G102" s="61" t="str">
        <f t="shared" si="12"/>
        <v/>
      </c>
      <c r="H102" s="12">
        <f>SUM(Apr!H102, May!H102, Jun!H102)</f>
        <v>0</v>
      </c>
      <c r="I102" s="12">
        <f>SUM(Apr!I102, May!I102, Jun!I102)</f>
        <v>0</v>
      </c>
      <c r="J102" s="13" t="str">
        <f t="shared" si="13"/>
        <v/>
      </c>
    </row>
    <row r="103" spans="1:10" ht="15.6">
      <c r="A103" s="26" t="str">
        <v>Route 19 1</v>
      </c>
      <c r="B103" s="27" t="str">
        <v>NY</v>
      </c>
      <c r="C103" s="27" t="str">
        <f>Sites[[#This Row],[SOL'#]]</f>
        <v>SOL-11001</v>
      </c>
      <c r="D103" s="9">
        <f>SUM(Apr!D103, May!D103, Jun!D103)</f>
        <v>0</v>
      </c>
      <c r="E103" s="14">
        <f>SUM(Apr!E103, May!E103, Jun!E103)</f>
        <v>0</v>
      </c>
      <c r="F103" s="14">
        <f t="shared" si="11"/>
        <v>0</v>
      </c>
      <c r="G103" s="15" t="str">
        <f t="shared" si="12"/>
        <v/>
      </c>
      <c r="H103" s="16">
        <f>SUM(Apr!H103, May!H103, Jun!H103)</f>
        <v>0</v>
      </c>
      <c r="I103" s="16">
        <f>SUM(Apr!I103, May!I103, Jun!I103)</f>
        <v>0</v>
      </c>
      <c r="J103" s="15" t="str">
        <f t="shared" si="13"/>
        <v/>
      </c>
    </row>
    <row r="104" spans="1:10" ht="15.6">
      <c r="A104" s="24" t="str">
        <v>Route 19 2</v>
      </c>
      <c r="B104" s="25" t="str">
        <v>NY</v>
      </c>
      <c r="C104" s="25" t="str">
        <f>Sites[[#This Row],[SOL'#]]</f>
        <v>SOL-11002</v>
      </c>
      <c r="D104" s="60">
        <f>SUM(Apr!D104, May!D104, Jun!D104)</f>
        <v>0</v>
      </c>
      <c r="E104" s="10">
        <f>SUM(Apr!E104, May!E104, Jun!E104)</f>
        <v>0</v>
      </c>
      <c r="F104" s="10">
        <f t="shared" si="11"/>
        <v>0</v>
      </c>
      <c r="G104" s="61" t="str">
        <f t="shared" si="12"/>
        <v/>
      </c>
      <c r="H104" s="12">
        <f>SUM(Apr!H104, May!H104, Jun!H104)</f>
        <v>0</v>
      </c>
      <c r="I104" s="12">
        <f>SUM(Apr!I104, May!I104, Jun!I104)</f>
        <v>0</v>
      </c>
      <c r="J104" s="13" t="str">
        <f t="shared" si="13"/>
        <v/>
      </c>
    </row>
    <row r="105" spans="1:10" ht="15.6">
      <c r="A105" s="26" t="str">
        <v>Yellow Mills 1</v>
      </c>
      <c r="B105" s="27" t="str">
        <v>NY</v>
      </c>
      <c r="C105" s="27" t="str">
        <f>Sites[[#This Row],[SOL'#]]</f>
        <v>SOL-11006</v>
      </c>
      <c r="D105" s="9">
        <f>SUM(Apr!D105, May!D105, Jun!D105)</f>
        <v>0</v>
      </c>
      <c r="E105" s="14">
        <f>SUM(Apr!E105, May!E105, Jun!E105)</f>
        <v>0</v>
      </c>
      <c r="F105" s="14">
        <f t="shared" si="11"/>
        <v>0</v>
      </c>
      <c r="G105" s="15" t="str">
        <f t="shared" si="12"/>
        <v/>
      </c>
      <c r="H105" s="16">
        <f>SUM(Apr!H105, May!H105, Jun!H105)</f>
        <v>0</v>
      </c>
      <c r="I105" s="16">
        <f>SUM(Apr!I105, May!I105, Jun!I105)</f>
        <v>0</v>
      </c>
      <c r="J105" s="15" t="str">
        <f t="shared" si="13"/>
        <v/>
      </c>
    </row>
    <row r="106" spans="1:10" ht="15.6">
      <c r="A106" s="24" t="str">
        <v>Yellow Mills 2</v>
      </c>
      <c r="B106" s="25" t="str">
        <v>NY</v>
      </c>
      <c r="C106" s="25" t="str">
        <f>Sites[[#This Row],[SOL'#]]</f>
        <v>SOL-11005</v>
      </c>
      <c r="D106" s="60">
        <f>SUM(Apr!D106, May!D106, Jun!D106)</f>
        <v>0</v>
      </c>
      <c r="E106" s="10">
        <f>SUM(Apr!E106, May!E106, Jun!E106)</f>
        <v>0</v>
      </c>
      <c r="F106" s="10">
        <f t="shared" si="11"/>
        <v>0</v>
      </c>
      <c r="G106" s="61" t="str">
        <f t="shared" si="12"/>
        <v/>
      </c>
      <c r="H106" s="12">
        <f>SUM(Apr!H106, May!H106, Jun!H106)</f>
        <v>0</v>
      </c>
      <c r="I106" s="12">
        <f>SUM(Apr!I106, May!I106, Jun!I106)</f>
        <v>0</v>
      </c>
      <c r="J106" s="13" t="str">
        <f t="shared" si="13"/>
        <v/>
      </c>
    </row>
    <row r="107" spans="1:10" ht="15.6">
      <c r="A107" s="26" t="str">
        <v>Yellow Mills 3</v>
      </c>
      <c r="B107" s="27" t="str">
        <v>NY</v>
      </c>
      <c r="C107" s="27" t="str">
        <f>Sites[[#This Row],[SOL'#]]</f>
        <v>SOL-11007</v>
      </c>
      <c r="D107" s="9">
        <f>SUM(Apr!D107, May!D107, Jun!D107)</f>
        <v>0</v>
      </c>
      <c r="E107" s="14">
        <f>SUM(Apr!E107, May!E107, Jun!E107)</f>
        <v>0</v>
      </c>
      <c r="F107" s="14">
        <f t="shared" si="11"/>
        <v>0</v>
      </c>
      <c r="G107" s="15" t="str">
        <f t="shared" si="12"/>
        <v/>
      </c>
      <c r="H107" s="16">
        <f>SUM(Apr!H107, May!H107, Jun!H107)</f>
        <v>0</v>
      </c>
      <c r="I107" s="16">
        <f>SUM(Apr!I107, May!I107, Jun!I107)</f>
        <v>0</v>
      </c>
      <c r="J107" s="15" t="str">
        <f t="shared" si="13"/>
        <v/>
      </c>
    </row>
    <row r="108" spans="1:10" ht="15.6">
      <c r="A108" s="24" t="str">
        <v>Catskill</v>
      </c>
      <c r="B108" s="25" t="str">
        <v>NY</v>
      </c>
      <c r="C108" s="25" t="str">
        <f>Sites[[#This Row],[SOL'#]]</f>
        <v>SOL-11021</v>
      </c>
      <c r="D108" s="60">
        <f>SUM(Apr!D108, May!D108, Jun!D108)</f>
        <v>0</v>
      </c>
      <c r="E108" s="10">
        <f>SUM(Apr!E108, May!E108, Jun!E108)</f>
        <v>0</v>
      </c>
      <c r="F108" s="10">
        <f t="shared" si="11"/>
        <v>0</v>
      </c>
      <c r="G108" s="61" t="str">
        <f t="shared" si="12"/>
        <v/>
      </c>
      <c r="H108" s="12">
        <f>SUM(Apr!H108, May!H108, Jun!H108)</f>
        <v>0</v>
      </c>
      <c r="I108" s="12">
        <f>SUM(Apr!I108, May!I108, Jun!I108)</f>
        <v>0</v>
      </c>
      <c r="J108" s="13" t="str">
        <f t="shared" si="13"/>
        <v/>
      </c>
    </row>
    <row r="109" spans="1:10" ht="15.6">
      <c r="A109" s="26" t="str">
        <v>Eddy Ridge</v>
      </c>
      <c r="B109" s="27" t="str">
        <v>NY</v>
      </c>
      <c r="C109" s="27" t="str">
        <f>Sites[[#This Row],[SOL'#]]</f>
        <v>SOL-11054</v>
      </c>
      <c r="D109" s="9">
        <f>SUM(Apr!D109, May!D109, Jun!D109)</f>
        <v>0</v>
      </c>
      <c r="E109" s="14">
        <f>SUM(Apr!E109, May!E109, Jun!E109)</f>
        <v>0</v>
      </c>
      <c r="F109" s="14">
        <f t="shared" si="11"/>
        <v>0</v>
      </c>
      <c r="G109" s="15" t="str">
        <f t="shared" si="12"/>
        <v/>
      </c>
      <c r="H109" s="16">
        <f>SUM(Apr!H109, May!H109, Jun!H109)</f>
        <v>0</v>
      </c>
      <c r="I109" s="16">
        <f>SUM(Apr!I109, May!I109, Jun!I109)</f>
        <v>0</v>
      </c>
      <c r="J109" s="15" t="str">
        <f t="shared" si="13"/>
        <v/>
      </c>
    </row>
    <row r="110" spans="1:10" ht="15.6">
      <c r="A110" s="24" t="str">
        <v>Ridgeway #1</v>
      </c>
      <c r="B110" s="25" t="str">
        <v>NY</v>
      </c>
      <c r="C110" s="25" t="str">
        <f>Sites[[#This Row],[SOL'#]]</f>
        <v>SOL-11018</v>
      </c>
      <c r="D110" s="60">
        <f>SUM(Apr!D110, May!D110, Jun!D110)</f>
        <v>0</v>
      </c>
      <c r="E110" s="10">
        <f>SUM(Apr!E110, May!E110, Jun!E110)</f>
        <v>0</v>
      </c>
      <c r="F110" s="10">
        <f t="shared" si="11"/>
        <v>0</v>
      </c>
      <c r="G110" s="61" t="str">
        <f t="shared" si="12"/>
        <v/>
      </c>
      <c r="H110" s="12">
        <f>SUM(Apr!H110, May!H110, Jun!H110)</f>
        <v>0</v>
      </c>
      <c r="I110" s="12">
        <f>SUM(Apr!I110, May!I110, Jun!I110)</f>
        <v>0</v>
      </c>
      <c r="J110" s="13" t="str">
        <f t="shared" si="13"/>
        <v/>
      </c>
    </row>
    <row r="111" spans="1:10" ht="15.6">
      <c r="A111" s="26" t="str">
        <v>Rivard 1</v>
      </c>
      <c r="B111" s="27" t="str">
        <v>NY</v>
      </c>
      <c r="C111" s="27" t="str">
        <f>Sites[[#This Row],[SOL'#]]</f>
        <v>SOL-11011</v>
      </c>
      <c r="D111" s="9">
        <f>SUM(Apr!D111, May!D111, Jun!D111)</f>
        <v>0</v>
      </c>
      <c r="E111" s="14">
        <f>SUM(Apr!E111, May!E111, Jun!E111)</f>
        <v>0</v>
      </c>
      <c r="F111" s="14">
        <f t="shared" si="11"/>
        <v>0</v>
      </c>
      <c r="G111" s="15" t="str">
        <f t="shared" si="12"/>
        <v/>
      </c>
      <c r="H111" s="16">
        <f>SUM(Apr!H111, May!H111, Jun!H111)</f>
        <v>0</v>
      </c>
      <c r="I111" s="16">
        <f>SUM(Apr!I111, May!I111, Jun!I111)</f>
        <v>0</v>
      </c>
      <c r="J111" s="15" t="str">
        <f t="shared" si="13"/>
        <v/>
      </c>
    </row>
    <row r="112" spans="1:10" ht="15.6">
      <c r="A112" s="24" t="str">
        <v>Rivard 2</v>
      </c>
      <c r="B112" s="25" t="str">
        <v>NY</v>
      </c>
      <c r="C112" s="25" t="str">
        <f>Sites[[#This Row],[SOL'#]]</f>
        <v>SOL-11012</v>
      </c>
      <c r="D112" s="60">
        <f>SUM(Apr!D112, May!D112, Jun!D112)</f>
        <v>0</v>
      </c>
      <c r="E112" s="10">
        <f>SUM(Apr!E112, May!E112, Jun!E112)</f>
        <v>0</v>
      </c>
      <c r="F112" s="10">
        <f t="shared" si="11"/>
        <v>0</v>
      </c>
      <c r="G112" s="61" t="str">
        <f t="shared" si="12"/>
        <v/>
      </c>
      <c r="H112" s="12">
        <f>SUM(Apr!H112, May!H112, Jun!H112)</f>
        <v>0</v>
      </c>
      <c r="I112" s="12">
        <f>SUM(Apr!I112, May!I112, Jun!I112)</f>
        <v>0</v>
      </c>
      <c r="J112" s="13" t="str">
        <f t="shared" si="13"/>
        <v/>
      </c>
    </row>
    <row r="113" spans="1:10" ht="15.6">
      <c r="A113" s="26" t="str">
        <v>Essex</v>
      </c>
      <c r="B113" s="27" t="str">
        <v>DC</v>
      </c>
      <c r="C113" s="27" t="str">
        <f>Sites[[#This Row],[SOL'#]]</f>
        <v>SOL-10036</v>
      </c>
      <c r="D113" s="9">
        <f>SUM(Apr!D113, May!D113, Jun!D113)</f>
        <v>0</v>
      </c>
      <c r="E113" s="14">
        <f>SUM(Apr!E113, May!E113, Jun!E113)</f>
        <v>0</v>
      </c>
      <c r="F113" s="14">
        <f t="shared" si="11"/>
        <v>0</v>
      </c>
      <c r="G113" s="15" t="str">
        <f t="shared" si="12"/>
        <v/>
      </c>
      <c r="H113" s="16">
        <f>SUM(Apr!H113, May!H113, Jun!H113)</f>
        <v>0</v>
      </c>
      <c r="I113" s="16">
        <f>SUM(Apr!I113, May!I113, Jun!I113)</f>
        <v>0</v>
      </c>
      <c r="J113" s="15" t="str">
        <f t="shared" si="13"/>
        <v/>
      </c>
    </row>
    <row r="114" spans="1:10" ht="15.6">
      <c r="A114" s="24" t="str">
        <v>Temple Sinai</v>
      </c>
      <c r="B114" s="25" t="str">
        <v>DC</v>
      </c>
      <c r="C114" s="25" t="str">
        <f>Sites[[#This Row],[SOL'#]]</f>
        <v>SOL-10028</v>
      </c>
      <c r="D114" s="60">
        <f>SUM(Apr!D114, May!D114, Jun!D114)</f>
        <v>0</v>
      </c>
      <c r="E114" s="10">
        <f>SUM(Apr!E114, May!E114, Jun!E114)</f>
        <v>0</v>
      </c>
      <c r="F114" s="10">
        <f t="shared" ref="F114:F160" si="14">IF(AND(ISNUMBER(D114),ISNUMBER(E114)), D114-E114, "")</f>
        <v>0</v>
      </c>
      <c r="G114" s="61" t="str">
        <f t="shared" ref="G114:G160" si="15">IFERROR(F114/E114, "")</f>
        <v/>
      </c>
      <c r="H114" s="12">
        <f>SUM(Apr!H114, May!H114, Jun!H114)</f>
        <v>0</v>
      </c>
      <c r="I114" s="12">
        <f>SUM(Apr!I114, May!I114, Jun!I114)</f>
        <v>0</v>
      </c>
      <c r="J114" s="13" t="str">
        <f t="shared" si="13"/>
        <v/>
      </c>
    </row>
    <row r="115" spans="1:10" ht="15.6">
      <c r="A115" s="26" t="str">
        <v>Weinberg 1</v>
      </c>
      <c r="B115" s="27" t="str">
        <v>DC</v>
      </c>
      <c r="C115" s="27" t="str">
        <f>Sites[[#This Row],[SOL'#]]</f>
        <v>SOL-10039</v>
      </c>
      <c r="D115" s="9">
        <f>SUM(Apr!D115, May!D115, Jun!D115)</f>
        <v>0</v>
      </c>
      <c r="E115" s="14">
        <f>SUM(Apr!E115, May!E115, Jun!E115)</f>
        <v>0</v>
      </c>
      <c r="F115" s="14">
        <f t="shared" si="14"/>
        <v>0</v>
      </c>
      <c r="G115" s="15" t="str">
        <f t="shared" si="15"/>
        <v/>
      </c>
      <c r="H115" s="16">
        <f>SUM(Apr!H115, May!H115, Jun!H115)</f>
        <v>0</v>
      </c>
      <c r="I115" s="16">
        <f>SUM(Apr!I115, May!I115, Jun!I115)</f>
        <v>0</v>
      </c>
      <c r="J115" s="15" t="str">
        <f t="shared" si="13"/>
        <v/>
      </c>
    </row>
    <row r="116" spans="1:10" ht="15.6">
      <c r="A116" s="24" t="str">
        <v>Weinberg 2</v>
      </c>
      <c r="B116" s="25" t="str">
        <v>DC</v>
      </c>
      <c r="C116" s="25" t="str">
        <f>Sites[[#This Row],[SOL'#]]</f>
        <v>SOL-10045</v>
      </c>
      <c r="D116" s="60">
        <f>SUM(Apr!D116, May!D116, Jun!D116)</f>
        <v>0</v>
      </c>
      <c r="E116" s="10">
        <f>SUM(Apr!E116, May!E116, Jun!E116)</f>
        <v>0</v>
      </c>
      <c r="F116" s="10">
        <f t="shared" si="14"/>
        <v>0</v>
      </c>
      <c r="G116" s="61" t="str">
        <f t="shared" si="15"/>
        <v/>
      </c>
      <c r="H116" s="12">
        <f>SUM(Apr!H116, May!H116, Jun!H116)</f>
        <v>0</v>
      </c>
      <c r="I116" s="12">
        <f>SUM(Apr!I116, May!I116, Jun!I116)</f>
        <v>0</v>
      </c>
      <c r="J116" s="13" t="str">
        <f t="shared" si="13"/>
        <v/>
      </c>
    </row>
    <row r="117" spans="1:10" ht="15.6">
      <c r="A117" s="26" t="str">
        <v>Weinberg 3</v>
      </c>
      <c r="B117" s="27" t="str">
        <v>DC</v>
      </c>
      <c r="C117" s="27" t="str">
        <f>Sites[[#This Row],[SOL'#]]</f>
        <v>SOL-10042</v>
      </c>
      <c r="D117" s="9">
        <f>SUM(Apr!D117, May!D117, Jun!D117)</f>
        <v>0</v>
      </c>
      <c r="E117" s="14">
        <f>SUM(Apr!E117, May!E117, Jun!E117)</f>
        <v>0</v>
      </c>
      <c r="F117" s="14">
        <f t="shared" si="14"/>
        <v>0</v>
      </c>
      <c r="G117" s="15" t="str">
        <f t="shared" si="15"/>
        <v/>
      </c>
      <c r="H117" s="16">
        <f>SUM(Apr!H117, May!H117, Jun!H117)</f>
        <v>0</v>
      </c>
      <c r="I117" s="16">
        <f>SUM(Apr!I117, May!I117, Jun!I117)</f>
        <v>0</v>
      </c>
      <c r="J117" s="15" t="str">
        <f t="shared" si="13"/>
        <v/>
      </c>
    </row>
    <row r="118" spans="1:10" ht="15.6">
      <c r="A118" s="24" t="str">
        <v>Clayton Hall</v>
      </c>
      <c r="B118" s="25" t="str">
        <v>DE</v>
      </c>
      <c r="C118" s="25" t="str">
        <f>Sites[[#This Row],[SOL'#]]</f>
        <v>SOL-10820</v>
      </c>
      <c r="D118" s="60">
        <f>SUM(Apr!D118, May!D118, Jun!D118)</f>
        <v>0</v>
      </c>
      <c r="E118" s="10">
        <f>SUM(Apr!E118, May!E118, Jun!E118)</f>
        <v>0</v>
      </c>
      <c r="F118" s="10">
        <f t="shared" si="14"/>
        <v>0</v>
      </c>
      <c r="G118" s="61" t="str">
        <f t="shared" si="15"/>
        <v/>
      </c>
      <c r="H118" s="12">
        <f>SUM(Apr!H118, May!H118, Jun!H118)</f>
        <v>0</v>
      </c>
      <c r="I118" s="12">
        <f>SUM(Apr!I118, May!I118, Jun!I118)</f>
        <v>0</v>
      </c>
      <c r="J118" s="13" t="str">
        <f t="shared" si="13"/>
        <v/>
      </c>
    </row>
    <row r="119" spans="1:10" ht="15.6">
      <c r="A119" s="26" t="str">
        <v>Field House</v>
      </c>
      <c r="B119" s="27" t="str">
        <v>DE</v>
      </c>
      <c r="C119" s="27" t="str">
        <f>Sites[[#This Row],[SOL'#]]</f>
        <v>SOL-10821</v>
      </c>
      <c r="D119" s="9">
        <f>SUM(Apr!D119, May!D119, Jun!D119)</f>
        <v>0</v>
      </c>
      <c r="E119" s="14">
        <f>SUM(Apr!E119, May!E119, Jun!E119)</f>
        <v>0</v>
      </c>
      <c r="F119" s="14">
        <f t="shared" si="14"/>
        <v>0</v>
      </c>
      <c r="G119" s="15" t="str">
        <f t="shared" si="15"/>
        <v/>
      </c>
      <c r="H119" s="16">
        <f>SUM(Apr!H119, May!H119, Jun!H119)</f>
        <v>0</v>
      </c>
      <c r="I119" s="16">
        <f>SUM(Apr!I119, May!I119, Jun!I119)</f>
        <v>0</v>
      </c>
      <c r="J119" s="15" t="str">
        <f t="shared" si="13"/>
        <v/>
      </c>
    </row>
    <row r="120" spans="1:10" ht="15.6">
      <c r="A120" s="24" t="str">
        <v>Wyoming Road</v>
      </c>
      <c r="B120" s="25" t="str">
        <v>DE</v>
      </c>
      <c r="C120" s="25" t="str">
        <f>Sites[[#This Row],[SOL'#]]</f>
        <v>SOL-10819</v>
      </c>
      <c r="D120" s="60">
        <f>SUM(Apr!D120, May!D120, Jun!D120)</f>
        <v>0</v>
      </c>
      <c r="E120" s="10">
        <f>SUM(Apr!E120, May!E120, Jun!E120)</f>
        <v>0</v>
      </c>
      <c r="F120" s="10">
        <f t="shared" si="14"/>
        <v>0</v>
      </c>
      <c r="G120" s="61" t="str">
        <f t="shared" si="15"/>
        <v/>
      </c>
      <c r="H120" s="12">
        <f>SUM(Apr!H120, May!H120, Jun!H120)</f>
        <v>0</v>
      </c>
      <c r="I120" s="12">
        <f>SUM(Apr!I120, May!I120, Jun!I120)</f>
        <v>0</v>
      </c>
      <c r="J120" s="13" t="str">
        <f t="shared" si="13"/>
        <v/>
      </c>
    </row>
    <row r="121" spans="1:10" ht="15.6">
      <c r="A121" s="26" t="str">
        <v>Leoku</v>
      </c>
      <c r="B121" s="27" t="str">
        <v>HI</v>
      </c>
      <c r="C121" s="27" t="str">
        <f>Sites[[#This Row],[SOL'#]]</f>
        <v>SOL-10071</v>
      </c>
      <c r="D121" s="9">
        <f>SUM(Apr!D121, May!D121, Jun!D121)</f>
        <v>0</v>
      </c>
      <c r="E121" s="14">
        <f>SUM(Apr!E121, May!E121, Jun!E121)</f>
        <v>0</v>
      </c>
      <c r="F121" s="14">
        <f t="shared" si="14"/>
        <v>0</v>
      </c>
      <c r="G121" s="15" t="str">
        <f t="shared" si="15"/>
        <v/>
      </c>
      <c r="H121" s="16">
        <f>SUM(Apr!H121, May!H121, Jun!H121)</f>
        <v>0</v>
      </c>
      <c r="I121" s="16">
        <f>SUM(Apr!I121, May!I121, Jun!I121)</f>
        <v>0</v>
      </c>
      <c r="J121" s="15" t="str">
        <f t="shared" si="13"/>
        <v/>
      </c>
    </row>
    <row r="122" spans="1:10" ht="15.6">
      <c r="A122" s="24" t="str">
        <v>Waipahu</v>
      </c>
      <c r="B122" s="25" t="str">
        <v>HI</v>
      </c>
      <c r="C122" s="25" t="str">
        <f>Sites[[#This Row],[SOL'#]]</f>
        <v>SOL-10068</v>
      </c>
      <c r="D122" s="60">
        <f>SUM(Apr!D122, May!D122, Jun!D122)</f>
        <v>0</v>
      </c>
      <c r="E122" s="10">
        <f>SUM(Apr!E122, May!E122, Jun!E122)</f>
        <v>0</v>
      </c>
      <c r="F122" s="10">
        <f t="shared" si="14"/>
        <v>0</v>
      </c>
      <c r="G122" s="61" t="str">
        <f t="shared" si="15"/>
        <v/>
      </c>
      <c r="H122" s="12">
        <f>SUM(Apr!H122, May!H122, Jun!H122)</f>
        <v>0</v>
      </c>
      <c r="I122" s="12">
        <f>SUM(Apr!I122, May!I122, Jun!I122)</f>
        <v>0</v>
      </c>
      <c r="J122" s="13" t="str">
        <f t="shared" si="13"/>
        <v/>
      </c>
    </row>
    <row r="123" spans="1:10" ht="15.6">
      <c r="A123" s="26" t="str">
        <v>Bird in Hand</v>
      </c>
      <c r="B123" s="27" t="str">
        <v>MD</v>
      </c>
      <c r="C123" s="27" t="str">
        <f>Sites[[#This Row],[SOL'#]]</f>
        <v>SOL-10092</v>
      </c>
      <c r="D123" s="9">
        <f>SUM(Apr!D123, May!D123, Jun!D123)</f>
        <v>0</v>
      </c>
      <c r="E123" s="14">
        <f>SUM(Apr!E123, May!E123, Jun!E123)</f>
        <v>0</v>
      </c>
      <c r="F123" s="14">
        <f t="shared" si="14"/>
        <v>0</v>
      </c>
      <c r="G123" s="15" t="str">
        <f t="shared" si="15"/>
        <v/>
      </c>
      <c r="H123" s="16">
        <f>SUM(Apr!H123, May!H123, Jun!H123)</f>
        <v>0</v>
      </c>
      <c r="I123" s="16">
        <f>SUM(Apr!I123, May!I123, Jun!I123)</f>
        <v>0</v>
      </c>
      <c r="J123" s="15" t="str">
        <f t="shared" si="13"/>
        <v/>
      </c>
    </row>
    <row r="124" spans="1:10" ht="15.6">
      <c r="A124" s="24" t="str">
        <v>Shortal</v>
      </c>
      <c r="B124" s="25" t="str">
        <v>MD</v>
      </c>
      <c r="C124" s="25" t="str">
        <f>Sites[[#This Row],[SOL'#]]</f>
        <v>SOL-10091</v>
      </c>
      <c r="D124" s="60">
        <f>SUM(Apr!D124, May!D124, Jun!D124)</f>
        <v>0</v>
      </c>
      <c r="E124" s="10">
        <f>SUM(Apr!E124, May!E124, Jun!E124)</f>
        <v>0</v>
      </c>
      <c r="F124" s="10">
        <f t="shared" si="14"/>
        <v>0</v>
      </c>
      <c r="G124" s="61" t="str">
        <f t="shared" si="15"/>
        <v/>
      </c>
      <c r="H124" s="12">
        <f>SUM(Apr!H124, May!H124, Jun!H124)</f>
        <v>0</v>
      </c>
      <c r="I124" s="12">
        <f>SUM(Apr!I124, May!I124, Jun!I124)</f>
        <v>0</v>
      </c>
      <c r="J124" s="13" t="str">
        <f t="shared" si="13"/>
        <v/>
      </c>
    </row>
    <row r="125" spans="1:10" ht="15.6">
      <c r="A125" s="26" t="str">
        <v>Aguadilla</v>
      </c>
      <c r="B125" s="27" t="str">
        <v>PR</v>
      </c>
      <c r="C125" s="27" t="str">
        <f>Sites[[#This Row],[SOL'#]]</f>
        <v>SOL-10072</v>
      </c>
      <c r="D125" s="9">
        <f>SUM(Apr!D125, May!D125, Jun!D125)</f>
        <v>0</v>
      </c>
      <c r="E125" s="14">
        <f>SUM(Apr!E125, May!E125, Jun!E125)</f>
        <v>0</v>
      </c>
      <c r="F125" s="14">
        <f t="shared" si="14"/>
        <v>0</v>
      </c>
      <c r="G125" s="15" t="str">
        <f t="shared" si="15"/>
        <v/>
      </c>
      <c r="H125" s="16">
        <f>SUM(Apr!H125, May!H125, Jun!H125)</f>
        <v>0</v>
      </c>
      <c r="I125" s="16">
        <f>SUM(Apr!I125, May!I125, Jun!I125)</f>
        <v>0</v>
      </c>
      <c r="J125" s="15" t="str">
        <f t="shared" si="13"/>
        <v/>
      </c>
    </row>
    <row r="126" spans="1:10" ht="15.6">
      <c r="A126" s="24" t="str">
        <v>Bayamon</v>
      </c>
      <c r="B126" s="25" t="str">
        <v>PR</v>
      </c>
      <c r="C126" s="25" t="str">
        <f>Sites[[#This Row],[SOL'#]]</f>
        <v>SOL-10073</v>
      </c>
      <c r="D126" s="60">
        <f>SUM(Apr!D126, May!D126, Jun!D126)</f>
        <v>0</v>
      </c>
      <c r="E126" s="10">
        <f>SUM(Apr!E126, May!E126, Jun!E126)</f>
        <v>0</v>
      </c>
      <c r="F126" s="10">
        <f t="shared" si="14"/>
        <v>0</v>
      </c>
      <c r="G126" s="61" t="str">
        <f t="shared" si="15"/>
        <v/>
      </c>
      <c r="H126" s="12">
        <f>SUM(Apr!H126, May!H126, Jun!H126)</f>
        <v>0</v>
      </c>
      <c r="I126" s="12">
        <f>SUM(Apr!I126, May!I126, Jun!I126)</f>
        <v>0</v>
      </c>
      <c r="J126" s="13" t="str">
        <f t="shared" si="13"/>
        <v/>
      </c>
    </row>
    <row r="127" spans="1:10" ht="15.6">
      <c r="A127" s="26" t="str">
        <v>St Francis</v>
      </c>
      <c r="B127" s="27" t="str">
        <v>PR</v>
      </c>
      <c r="C127" s="27" t="str">
        <f>Sites[[#This Row],[SOL'#]]</f>
        <v>SOL-10034</v>
      </c>
      <c r="D127" s="9">
        <f>SUM(Apr!D127, May!D127, Jun!D127)</f>
        <v>0</v>
      </c>
      <c r="E127" s="14">
        <f>SUM(Apr!E127, May!E127, Jun!E127)</f>
        <v>0</v>
      </c>
      <c r="F127" s="14">
        <f t="shared" si="14"/>
        <v>0</v>
      </c>
      <c r="G127" s="15" t="str">
        <f t="shared" si="15"/>
        <v/>
      </c>
      <c r="H127" s="16">
        <f>SUM(Apr!H127, May!H127, Jun!H127)</f>
        <v>0</v>
      </c>
      <c r="I127" s="16">
        <f>SUM(Apr!I127, May!I127, Jun!I127)</f>
        <v>0</v>
      </c>
      <c r="J127" s="15" t="str">
        <f t="shared" si="13"/>
        <v/>
      </c>
    </row>
    <row r="128" spans="1:10" ht="15.6">
      <c r="A128" s="24" t="str">
        <v>Seaport</v>
      </c>
      <c r="B128" s="25" t="str">
        <v>MA</v>
      </c>
      <c r="C128" s="25" t="str">
        <f>Sites[[#This Row],[SOL'#]]</f>
        <v>SOL-10772</v>
      </c>
      <c r="D128" s="60">
        <f>SUM(Apr!D128, May!D128, Jun!D128)</f>
        <v>0</v>
      </c>
      <c r="E128" s="10">
        <f>SUM(Apr!E128, May!E128, Jun!E128)</f>
        <v>0</v>
      </c>
      <c r="F128" s="10">
        <f t="shared" si="14"/>
        <v>0</v>
      </c>
      <c r="G128" s="61" t="str">
        <f t="shared" si="15"/>
        <v/>
      </c>
      <c r="H128" s="12">
        <f>SUM(Apr!H128, May!H128, Jun!H128)</f>
        <v>0</v>
      </c>
      <c r="I128" s="12">
        <f>SUM(Apr!I128, May!I128, Jun!I128)</f>
        <v>0</v>
      </c>
      <c r="J128" s="13" t="str">
        <f t="shared" si="13"/>
        <v/>
      </c>
    </row>
    <row r="129" spans="1:10" ht="15.6">
      <c r="A129" s="26" t="str">
        <v>Sprague St</v>
      </c>
      <c r="B129" s="27" t="str">
        <v>MA</v>
      </c>
      <c r="C129" s="27" t="str">
        <f>Sites[[#This Row],[SOL'#]]</f>
        <v>SOL-10773</v>
      </c>
      <c r="D129" s="9">
        <f>SUM(Apr!D129, May!D129, Jun!D129)</f>
        <v>0</v>
      </c>
      <c r="E129" s="14">
        <f>SUM(Apr!E129, May!E129, Jun!E129)</f>
        <v>0</v>
      </c>
      <c r="F129" s="14">
        <f t="shared" si="14"/>
        <v>0</v>
      </c>
      <c r="G129" s="15" t="str">
        <f t="shared" si="15"/>
        <v/>
      </c>
      <c r="H129" s="16">
        <f>SUM(Apr!H129, May!H129, Jun!H129)</f>
        <v>0</v>
      </c>
      <c r="I129" s="16">
        <f>SUM(Apr!I129, May!I129, Jun!I129)</f>
        <v>0</v>
      </c>
      <c r="J129" s="15" t="str">
        <f t="shared" si="13"/>
        <v/>
      </c>
    </row>
    <row r="130" spans="1:10" ht="15.6">
      <c r="A130" s="24" t="str">
        <v>Summer St</v>
      </c>
      <c r="B130" s="25" t="str">
        <v>MA</v>
      </c>
      <c r="C130" s="25" t="str">
        <f>Sites[[#This Row],[SOL'#]]</f>
        <v>SOL-10764</v>
      </c>
      <c r="D130" s="60">
        <f>SUM(Apr!D130, May!D130, Jun!D130)</f>
        <v>0</v>
      </c>
      <c r="E130" s="10">
        <f>SUM(Apr!E130, May!E130, Jun!E130)</f>
        <v>0</v>
      </c>
      <c r="F130" s="10">
        <f t="shared" si="14"/>
        <v>0</v>
      </c>
      <c r="G130" s="61" t="str">
        <f t="shared" si="15"/>
        <v/>
      </c>
      <c r="H130" s="12">
        <f>SUM(Apr!H130, May!H130, Jun!H130)</f>
        <v>0</v>
      </c>
      <c r="I130" s="12">
        <f>SUM(Apr!I130, May!I130, Jun!I130)</f>
        <v>0</v>
      </c>
      <c r="J130" s="13" t="str">
        <f t="shared" si="13"/>
        <v/>
      </c>
    </row>
    <row r="131" spans="1:10" ht="15.6">
      <c r="A131" s="26" t="str">
        <v>Brock St Vocational</v>
      </c>
      <c r="B131" s="27" t="str">
        <v>NH</v>
      </c>
      <c r="C131" s="27" t="str">
        <f>Sites[[#This Row],[SOL'#]]</f>
        <v>SOL-10768</v>
      </c>
      <c r="D131" s="9">
        <f>SUM(Apr!D131, May!D131, Jun!D131)</f>
        <v>0</v>
      </c>
      <c r="E131" s="14">
        <f>SUM(Apr!E131, May!E131, Jun!E131)</f>
        <v>0</v>
      </c>
      <c r="F131" s="14">
        <f t="shared" si="14"/>
        <v>0</v>
      </c>
      <c r="G131" s="15" t="str">
        <f t="shared" si="15"/>
        <v/>
      </c>
      <c r="H131" s="16">
        <f>SUM(Apr!H131, May!H131, Jun!H131)</f>
        <v>0</v>
      </c>
      <c r="I131" s="16">
        <f>SUM(Apr!I131, May!I131, Jun!I131)</f>
        <v>0</v>
      </c>
      <c r="J131" s="15" t="str">
        <f t="shared" si="13"/>
        <v/>
      </c>
    </row>
    <row r="132" spans="1:10" ht="15.6">
      <c r="A132" s="24" t="str">
        <v>McClelland ES</v>
      </c>
      <c r="B132" s="25" t="str">
        <v>NH</v>
      </c>
      <c r="C132" s="25" t="str">
        <f>Sites[[#This Row],[SOL'#]]</f>
        <v>SOL-10766</v>
      </c>
      <c r="D132" s="60">
        <f>SUM(Apr!D132, May!D132, Jun!D132)</f>
        <v>0</v>
      </c>
      <c r="E132" s="10">
        <f>SUM(Apr!E132, May!E132, Jun!E132)</f>
        <v>0</v>
      </c>
      <c r="F132" s="10">
        <f t="shared" si="14"/>
        <v>0</v>
      </c>
      <c r="G132" s="61" t="str">
        <f t="shared" si="15"/>
        <v/>
      </c>
      <c r="H132" s="12">
        <f>SUM(Apr!H132, May!H132, Jun!H132)</f>
        <v>0</v>
      </c>
      <c r="I132" s="12">
        <f>SUM(Apr!I132, May!I132, Jun!I132)</f>
        <v>0</v>
      </c>
      <c r="J132" s="13" t="str">
        <f t="shared" si="13"/>
        <v/>
      </c>
    </row>
    <row r="133" spans="1:10" ht="15.6">
      <c r="A133" s="26" t="str">
        <v>Portland St</v>
      </c>
      <c r="B133" s="27" t="str">
        <v>NH</v>
      </c>
      <c r="C133" s="27" t="str">
        <f>Sites[[#This Row],[SOL'#]]</f>
        <v>SOL-10771</v>
      </c>
      <c r="D133" s="9">
        <f>SUM(Apr!D133, May!D133, Jun!D133)</f>
        <v>0</v>
      </c>
      <c r="E133" s="14">
        <f>SUM(Apr!E133, May!E133, Jun!E133)</f>
        <v>0</v>
      </c>
      <c r="F133" s="14">
        <f t="shared" si="14"/>
        <v>0</v>
      </c>
      <c r="G133" s="15" t="str">
        <f t="shared" si="15"/>
        <v/>
      </c>
      <c r="H133" s="16">
        <f>SUM(Apr!H133, May!H133, Jun!H133)</f>
        <v>0</v>
      </c>
      <c r="I133" s="16">
        <f>SUM(Apr!I133, May!I133, Jun!I133)</f>
        <v>0</v>
      </c>
      <c r="J133" s="15" t="str">
        <f t="shared" si="13"/>
        <v/>
      </c>
    </row>
    <row r="134" spans="1:10" ht="15.6">
      <c r="A134" s="24" t="str">
        <v>Portsmouth HS</v>
      </c>
      <c r="B134" s="25" t="str">
        <v>NH</v>
      </c>
      <c r="C134" s="25" t="str">
        <f>Sites[[#This Row],[SOL'#]]</f>
        <v>SOL-10769</v>
      </c>
      <c r="D134" s="60">
        <f>SUM(Apr!D134, May!D134, Jun!D134)</f>
        <v>0</v>
      </c>
      <c r="E134" s="10">
        <f>SUM(Apr!E134, May!E134, Jun!E134)</f>
        <v>0</v>
      </c>
      <c r="F134" s="10">
        <f t="shared" si="14"/>
        <v>0</v>
      </c>
      <c r="G134" s="61" t="str">
        <f t="shared" si="15"/>
        <v/>
      </c>
      <c r="H134" s="12">
        <f>SUM(Apr!H134, May!H134, Jun!H134)</f>
        <v>0</v>
      </c>
      <c r="I134" s="12">
        <f>SUM(Apr!I134, May!I134, Jun!I134)</f>
        <v>0</v>
      </c>
      <c r="J134" s="13" t="str">
        <f t="shared" si="13"/>
        <v/>
      </c>
    </row>
    <row r="135" spans="1:10" ht="15.6">
      <c r="A135" s="26" t="str">
        <v>Portsmouth WTP</v>
      </c>
      <c r="B135" s="27" t="str">
        <v>NH</v>
      </c>
      <c r="C135" s="27" t="str">
        <f>Sites[[#This Row],[SOL'#]]</f>
        <v>SOL-10770</v>
      </c>
      <c r="D135" s="9">
        <f>SUM(Apr!D135, May!D135, Jun!D135)</f>
        <v>0</v>
      </c>
      <c r="E135" s="14">
        <f>SUM(Apr!E135, May!E135, Jun!E135)</f>
        <v>0</v>
      </c>
      <c r="F135" s="14">
        <f t="shared" si="14"/>
        <v>0</v>
      </c>
      <c r="G135" s="15" t="str">
        <f t="shared" si="15"/>
        <v/>
      </c>
      <c r="H135" s="16">
        <f>SUM(Apr!H135, May!H135, Jun!H135)</f>
        <v>0</v>
      </c>
      <c r="I135" s="16">
        <f>SUM(Apr!I135, May!I135, Jun!I135)</f>
        <v>0</v>
      </c>
      <c r="J135" s="15" t="str">
        <f t="shared" si="13"/>
        <v/>
      </c>
    </row>
    <row r="136" spans="1:10" ht="15.6">
      <c r="A136" s="24" t="str">
        <v>Rochester St</v>
      </c>
      <c r="B136" s="25" t="str">
        <v>NH</v>
      </c>
      <c r="C136" s="25" t="str">
        <f>Sites[[#This Row],[SOL'#]]</f>
        <v>SOL-10765</v>
      </c>
      <c r="D136" s="60">
        <f>SUM(Apr!D136, May!D136, Jun!D136)</f>
        <v>0</v>
      </c>
      <c r="E136" s="10">
        <f>SUM(Apr!E136, May!E136, Jun!E136)</f>
        <v>0</v>
      </c>
      <c r="F136" s="10">
        <f t="shared" si="14"/>
        <v>0</v>
      </c>
      <c r="G136" s="61" t="str">
        <f t="shared" si="15"/>
        <v/>
      </c>
      <c r="H136" s="12">
        <f>SUM(Apr!H136, May!H136, Jun!H136)</f>
        <v>0</v>
      </c>
      <c r="I136" s="12">
        <f>SUM(Apr!I136, May!I136, Jun!I136)</f>
        <v>0</v>
      </c>
      <c r="J136" s="13" t="str">
        <f t="shared" si="13"/>
        <v/>
      </c>
    </row>
    <row r="137" spans="1:10" ht="15.6">
      <c r="A137" s="26" t="str">
        <v>Spaulding HS</v>
      </c>
      <c r="B137" s="27" t="str">
        <v>NH</v>
      </c>
      <c r="C137" s="27" t="str">
        <f>Sites[[#This Row],[SOL'#]]</f>
        <v>SOL-10767</v>
      </c>
      <c r="D137" s="9">
        <f>SUM(Apr!D137, May!D137, Jun!D137)</f>
        <v>0</v>
      </c>
      <c r="E137" s="14">
        <f>SUM(Apr!E137, May!E137, Jun!E137)</f>
        <v>0</v>
      </c>
      <c r="F137" s="14">
        <f t="shared" si="14"/>
        <v>0</v>
      </c>
      <c r="G137" s="15" t="str">
        <f t="shared" si="15"/>
        <v/>
      </c>
      <c r="H137" s="16">
        <f>SUM(Apr!H137, May!H137, Jun!H137)</f>
        <v>0</v>
      </c>
      <c r="I137" s="16">
        <f>SUM(Apr!I137, May!I137, Jun!I137)</f>
        <v>0</v>
      </c>
      <c r="J137" s="15" t="str">
        <f t="shared" si="13"/>
        <v/>
      </c>
    </row>
    <row r="138" spans="1:10" ht="15.6">
      <c r="A138" s="24" t="str">
        <v>Ridgeway #2</v>
      </c>
      <c r="B138" s="25" t="str">
        <v>NY</v>
      </c>
      <c r="C138" s="25" t="str">
        <f>Sites[[#This Row],[SOL'#]]</f>
        <v>SOL-11027</v>
      </c>
      <c r="D138" s="60">
        <f>SUM(Apr!D138, May!D138, Jun!D138)</f>
        <v>0</v>
      </c>
      <c r="E138" s="10">
        <f>SUM(Apr!E138, May!E138, Jun!E138)</f>
        <v>0</v>
      </c>
      <c r="F138" s="10">
        <f t="shared" si="14"/>
        <v>0</v>
      </c>
      <c r="G138" s="61" t="str">
        <f t="shared" si="15"/>
        <v/>
      </c>
      <c r="H138" s="12">
        <f>SUM(Apr!H138, May!H138, Jun!H138)</f>
        <v>0</v>
      </c>
      <c r="I138" s="12">
        <f>SUM(Apr!I138, May!I138, Jun!I138)</f>
        <v>0</v>
      </c>
      <c r="J138" s="13" t="str">
        <f t="shared" si="13"/>
        <v/>
      </c>
    </row>
    <row r="139" spans="1:10" ht="15.6">
      <c r="A139" s="26" t="str">
        <v>Spencer</v>
      </c>
      <c r="B139" s="27" t="str">
        <v>NY</v>
      </c>
      <c r="C139" s="27" t="str">
        <f>Sites[[#This Row],[SOL'#]]</f>
        <v>SOL-11017</v>
      </c>
      <c r="D139" s="9">
        <f>SUM(Apr!D139, May!D139, Jun!D139)</f>
        <v>0</v>
      </c>
      <c r="E139" s="14">
        <f>SUM(Apr!E139, May!E139, Jun!E139)</f>
        <v>0</v>
      </c>
      <c r="F139" s="14">
        <f t="shared" si="14"/>
        <v>0</v>
      </c>
      <c r="G139" s="15" t="str">
        <f t="shared" si="15"/>
        <v/>
      </c>
      <c r="H139" s="16">
        <f>SUM(Apr!H139, May!H139, Jun!H139)</f>
        <v>0</v>
      </c>
      <c r="I139" s="16">
        <f>SUM(Apr!I139, May!I139, Jun!I139)</f>
        <v>0</v>
      </c>
      <c r="J139" s="15" t="str">
        <f t="shared" si="13"/>
        <v/>
      </c>
    </row>
    <row r="140" spans="1:10" ht="15.6">
      <c r="A140" s="24" t="str">
        <v>Reisender</v>
      </c>
      <c r="B140" s="25" t="str">
        <v>NY</v>
      </c>
      <c r="C140" s="25" t="str">
        <f>Sites[[#This Row],[SOL'#]]</f>
        <v>SOL-10886</v>
      </c>
      <c r="D140" s="60">
        <f>SUM(Apr!D140, May!D140, Jun!D140)</f>
        <v>0</v>
      </c>
      <c r="E140" s="10">
        <f>SUM(Apr!E140, May!E140, Jun!E140)</f>
        <v>0</v>
      </c>
      <c r="F140" s="10">
        <f t="shared" si="14"/>
        <v>0</v>
      </c>
      <c r="G140" s="61" t="str">
        <f t="shared" si="15"/>
        <v/>
      </c>
      <c r="H140" s="12">
        <f>SUM(Apr!H140, May!H140, Jun!H140)</f>
        <v>0</v>
      </c>
      <c r="I140" s="12">
        <f>SUM(Apr!I140, May!I140, Jun!I140)</f>
        <v>0</v>
      </c>
      <c r="J140" s="13" t="str">
        <f t="shared" si="13"/>
        <v/>
      </c>
    </row>
    <row r="141" spans="1:10" ht="15.6">
      <c r="A141" s="26" t="str">
        <v>Finney</v>
      </c>
      <c r="B141" s="27" t="str">
        <v>NY</v>
      </c>
      <c r="C141" s="27" t="str">
        <f>Sites[[#This Row],[SOL'#]]</f>
        <v>SOL-10999</v>
      </c>
      <c r="D141" s="9">
        <f>SUM(Apr!D141, May!D141, Jun!D141)</f>
        <v>0</v>
      </c>
      <c r="E141" s="14">
        <f>SUM(Apr!E141, May!E141, Jun!E141)</f>
        <v>0</v>
      </c>
      <c r="F141" s="14">
        <f t="shared" si="14"/>
        <v>0</v>
      </c>
      <c r="G141" s="15" t="str">
        <f t="shared" si="15"/>
        <v/>
      </c>
      <c r="H141" s="16">
        <f>SUM(Apr!H141, May!H141, Jun!H141)</f>
        <v>0</v>
      </c>
      <c r="I141" s="16">
        <f>SUM(Apr!I141, May!I141, Jun!I141)</f>
        <v>0</v>
      </c>
      <c r="J141" s="15" t="str">
        <f t="shared" si="13"/>
        <v/>
      </c>
    </row>
    <row r="142" spans="1:10" ht="15.6">
      <c r="A142" s="24" t="str">
        <v>Davis Solar</v>
      </c>
      <c r="B142" s="25" t="str">
        <v>NY</v>
      </c>
      <c r="C142" s="25" t="str">
        <f>Sites[[#This Row],[SOL'#]]</f>
        <v>SOL-10958</v>
      </c>
      <c r="D142" s="60">
        <f>SUM(Apr!D142, May!D142, Jun!D142)</f>
        <v>0</v>
      </c>
      <c r="E142" s="10">
        <f>SUM(Apr!E142, May!E142, Jun!E142)</f>
        <v>0</v>
      </c>
      <c r="F142" s="10">
        <f t="shared" si="14"/>
        <v>0</v>
      </c>
      <c r="G142" s="61" t="str">
        <f t="shared" si="15"/>
        <v/>
      </c>
      <c r="H142" s="12">
        <f>SUM(Apr!H142, May!H142, Jun!H142)</f>
        <v>0</v>
      </c>
      <c r="I142" s="12">
        <f>SUM(Apr!I142, May!I142, Jun!I142)</f>
        <v>0</v>
      </c>
      <c r="J142" s="13" t="str">
        <f t="shared" si="13"/>
        <v/>
      </c>
    </row>
    <row r="143" spans="1:10" ht="15.6">
      <c r="A143" s="26" t="str">
        <v>Genesee</v>
      </c>
      <c r="B143" s="27" t="str">
        <v>NY</v>
      </c>
      <c r="C143" s="27" t="str">
        <f>Sites[[#This Row],[SOL'#]]</f>
        <v>SOL-10951</v>
      </c>
      <c r="D143" s="9">
        <f>SUM(Apr!D143, May!D143, Jun!D143)</f>
        <v>0</v>
      </c>
      <c r="E143" s="14">
        <f>SUM(Apr!E143, May!E143, Jun!E143)</f>
        <v>0</v>
      </c>
      <c r="F143" s="14">
        <f t="shared" si="14"/>
        <v>0</v>
      </c>
      <c r="G143" s="15" t="str">
        <f t="shared" si="15"/>
        <v/>
      </c>
      <c r="H143" s="16">
        <f>SUM(Apr!H143, May!H143, Jun!H143)</f>
        <v>0</v>
      </c>
      <c r="I143" s="16">
        <f>SUM(Apr!I143, May!I143, Jun!I143)</f>
        <v>0</v>
      </c>
      <c r="J143" s="15" t="str">
        <f t="shared" si="13"/>
        <v/>
      </c>
    </row>
    <row r="144" spans="1:10" ht="15.6">
      <c r="A144" s="24" t="str">
        <v>Landau I</v>
      </c>
      <c r="B144" s="25" t="str">
        <v>NY</v>
      </c>
      <c r="C144" s="25" t="str">
        <f>Sites[[#This Row],[SOL'#]]</f>
        <v>SOL-10891</v>
      </c>
      <c r="D144" s="60">
        <f>SUM(Apr!D144, May!D144, Jun!D144)</f>
        <v>0</v>
      </c>
      <c r="E144" s="10">
        <f>SUM(Apr!E144, May!E144, Jun!E144)</f>
        <v>0</v>
      </c>
      <c r="F144" s="10">
        <f t="shared" si="14"/>
        <v>0</v>
      </c>
      <c r="G144" s="61" t="str">
        <f t="shared" si="15"/>
        <v/>
      </c>
      <c r="H144" s="12">
        <f>SUM(Apr!H144, May!H144, Jun!H144)</f>
        <v>0</v>
      </c>
      <c r="I144" s="12">
        <f>SUM(Apr!I144, May!I144, Jun!I144)</f>
        <v>0</v>
      </c>
      <c r="J144" s="13" t="str">
        <f t="shared" si="13"/>
        <v/>
      </c>
    </row>
    <row r="145" spans="1:10" ht="15.6">
      <c r="A145" s="26" t="str">
        <v>Landau II</v>
      </c>
      <c r="B145" s="27" t="str">
        <v>NY</v>
      </c>
      <c r="C145" s="27" t="str">
        <f>Sites[[#This Row],[SOL'#]]</f>
        <v>SOL-10895</v>
      </c>
      <c r="D145" s="9">
        <f>SUM(Apr!D145, May!D145, Jun!D145)</f>
        <v>0</v>
      </c>
      <c r="E145" s="14">
        <f>SUM(Apr!E145, May!E145, Jun!E145)</f>
        <v>0</v>
      </c>
      <c r="F145" s="14">
        <f t="shared" si="14"/>
        <v>0</v>
      </c>
      <c r="G145" s="15" t="str">
        <f t="shared" si="15"/>
        <v/>
      </c>
      <c r="H145" s="16">
        <f>SUM(Apr!H145, May!H145, Jun!H145)</f>
        <v>0</v>
      </c>
      <c r="I145" s="16">
        <f>SUM(Apr!I145, May!I145, Jun!I145)</f>
        <v>0</v>
      </c>
      <c r="J145" s="15" t="str">
        <f t="shared" si="13"/>
        <v/>
      </c>
    </row>
    <row r="146" spans="1:10" ht="15.6">
      <c r="A146" s="24" t="str">
        <v>New Beginnings</v>
      </c>
      <c r="B146" s="25" t="str">
        <v>NY</v>
      </c>
      <c r="C146" s="25" t="str">
        <f>Sites[[#This Row],[SOL'#]]</f>
        <v>SOL-10890</v>
      </c>
      <c r="D146" s="60">
        <f>SUM(Apr!D146, May!D146, Jun!D146)</f>
        <v>0</v>
      </c>
      <c r="E146" s="10">
        <f>SUM(Apr!E146, May!E146, Jun!E146)</f>
        <v>0</v>
      </c>
      <c r="F146" s="10">
        <f t="shared" si="14"/>
        <v>0</v>
      </c>
      <c r="G146" s="61" t="str">
        <f t="shared" si="15"/>
        <v/>
      </c>
      <c r="H146" s="12">
        <f>SUM(Apr!H146, May!H146, Jun!H146)</f>
        <v>0</v>
      </c>
      <c r="I146" s="12">
        <f>SUM(Apr!I146, May!I146, Jun!I146)</f>
        <v>0</v>
      </c>
      <c r="J146" s="13" t="str">
        <f t="shared" ref="J146:J160" si="16">IFERROR(I146/H146, "")</f>
        <v/>
      </c>
    </row>
    <row r="147" spans="1:10" ht="15.6">
      <c r="A147" s="26" t="str">
        <v>Guilin Farm Solar</v>
      </c>
      <c r="B147" s="27" t="str">
        <v>NY</v>
      </c>
      <c r="C147" s="27" t="str">
        <f>Sites[[#This Row],[SOL'#]]</f>
        <v>SOL-10998</v>
      </c>
      <c r="D147" s="9">
        <f>SUM(Apr!D147, May!D147, Jun!D147)</f>
        <v>0</v>
      </c>
      <c r="E147" s="14">
        <f>SUM(Apr!E147, May!E147, Jun!E147)</f>
        <v>0</v>
      </c>
      <c r="F147" s="14">
        <f t="shared" si="14"/>
        <v>0</v>
      </c>
      <c r="G147" s="15" t="str">
        <f t="shared" si="15"/>
        <v/>
      </c>
      <c r="H147" s="16">
        <f>SUM(Apr!H147, May!H147, Jun!H147)</f>
        <v>0</v>
      </c>
      <c r="I147" s="16">
        <f>SUM(Apr!I147, May!I147, Jun!I147)</f>
        <v>0</v>
      </c>
      <c r="J147" s="15" t="str">
        <f t="shared" si="16"/>
        <v/>
      </c>
    </row>
    <row r="148" spans="1:10" ht="15.6">
      <c r="A148" s="24" t="str">
        <v>Brodhead Solar</v>
      </c>
      <c r="B148" s="25" t="str">
        <v>NY</v>
      </c>
      <c r="C148" s="25" t="str">
        <f>Sites[[#This Row],[SOL'#]]</f>
        <v>SOL-10899</v>
      </c>
      <c r="D148" s="60">
        <f>SUM(Apr!D148, May!D148, Jun!D148)</f>
        <v>0</v>
      </c>
      <c r="E148" s="10">
        <f>SUM(Apr!E148, May!E148, Jun!E148)</f>
        <v>0</v>
      </c>
      <c r="F148" s="10">
        <f t="shared" si="14"/>
        <v>0</v>
      </c>
      <c r="G148" s="61" t="str">
        <f t="shared" si="15"/>
        <v/>
      </c>
      <c r="H148" s="12">
        <f>SUM(Apr!H148, May!H148, Jun!H148)</f>
        <v>0</v>
      </c>
      <c r="I148" s="12">
        <f>SUM(Apr!I148, May!I148, Jun!I148)</f>
        <v>0</v>
      </c>
      <c r="J148" s="13" t="str">
        <f t="shared" si="16"/>
        <v/>
      </c>
    </row>
    <row r="149" spans="1:10" ht="15.6">
      <c r="A149" s="26" t="str">
        <v>Svenski</v>
      </c>
      <c r="B149" s="27" t="str">
        <v>NY</v>
      </c>
      <c r="C149" s="27" t="str">
        <f>Sites[[#This Row],[SOL'#]]</f>
        <v>SOL-10894</v>
      </c>
      <c r="D149" s="9">
        <f>SUM(Apr!D149, May!D149, Jun!D149)</f>
        <v>0</v>
      </c>
      <c r="E149" s="14">
        <f>SUM(Apr!E149, May!E149, Jun!E149)</f>
        <v>0</v>
      </c>
      <c r="F149" s="14">
        <f t="shared" si="14"/>
        <v>0</v>
      </c>
      <c r="G149" s="15" t="str">
        <f t="shared" si="15"/>
        <v/>
      </c>
      <c r="H149" s="16">
        <f>SUM(Apr!H149, May!H149, Jun!H149)</f>
        <v>0</v>
      </c>
      <c r="I149" s="16">
        <f>SUM(Apr!I149, May!I149, Jun!I149)</f>
        <v>0</v>
      </c>
      <c r="J149" s="15" t="str">
        <f t="shared" si="16"/>
        <v/>
      </c>
    </row>
    <row r="150" spans="1:10" ht="15.6">
      <c r="A150" s="24" t="str">
        <v>Bantam</v>
      </c>
      <c r="B150" s="25" t="str">
        <v>NY</v>
      </c>
      <c r="C150" s="25" t="str">
        <f>Sites[[#This Row],[SOL'#]]</f>
        <v>SOL-10986</v>
      </c>
      <c r="D150" s="60">
        <f>SUM(Apr!D150, May!D150, Jun!D150)</f>
        <v>0</v>
      </c>
      <c r="E150" s="10">
        <f>SUM(Apr!E150, May!E150, Jun!E150)</f>
        <v>0</v>
      </c>
      <c r="F150" s="10">
        <f t="shared" si="14"/>
        <v>0</v>
      </c>
      <c r="G150" s="61" t="str">
        <f t="shared" si="15"/>
        <v/>
      </c>
      <c r="H150" s="12">
        <f>SUM(Apr!H150, May!H150, Jun!H150)</f>
        <v>0</v>
      </c>
      <c r="I150" s="12">
        <f>SUM(Apr!I150, May!I150, Jun!I150)</f>
        <v>0</v>
      </c>
      <c r="J150" s="13" t="str">
        <f t="shared" si="16"/>
        <v/>
      </c>
    </row>
    <row r="151" spans="1:10" ht="15.6">
      <c r="A151" s="26" t="str">
        <v>Bogart</v>
      </c>
      <c r="B151" s="27" t="str">
        <v>NY</v>
      </c>
      <c r="C151" s="27" t="str">
        <f>Sites[[#This Row],[SOL'#]]</f>
        <v>SOL-10887</v>
      </c>
      <c r="D151" s="9">
        <f>SUM(Apr!D151, May!D151, Jun!D151)</f>
        <v>0</v>
      </c>
      <c r="E151" s="14">
        <f>SUM(Apr!E151, May!E151, Jun!E151)</f>
        <v>0</v>
      </c>
      <c r="F151" s="14">
        <f t="shared" si="14"/>
        <v>0</v>
      </c>
      <c r="G151" s="15" t="str">
        <f t="shared" si="15"/>
        <v/>
      </c>
      <c r="H151" s="16">
        <f>SUM(Apr!H151, May!H151, Jun!H151)</f>
        <v>0</v>
      </c>
      <c r="I151" s="16">
        <f>SUM(Apr!I151, May!I151, Jun!I151)</f>
        <v>0</v>
      </c>
      <c r="J151" s="15" t="str">
        <f t="shared" si="16"/>
        <v/>
      </c>
    </row>
    <row r="152" spans="1:10" ht="15.6">
      <c r="A152" s="24" t="str">
        <v>Dubois</v>
      </c>
      <c r="B152" s="25" t="str">
        <v>NY</v>
      </c>
      <c r="C152" s="25" t="str">
        <f>Sites[[#This Row],[SOL'#]]</f>
        <v>SOL-10892</v>
      </c>
      <c r="D152" s="60">
        <f>SUM(Apr!D152, May!D152, Jun!D152)</f>
        <v>0</v>
      </c>
      <c r="E152" s="10">
        <f>SUM(Apr!E152, May!E152, Jun!E152)</f>
        <v>0</v>
      </c>
      <c r="F152" s="10">
        <f t="shared" si="14"/>
        <v>0</v>
      </c>
      <c r="G152" s="61" t="str">
        <f t="shared" si="15"/>
        <v/>
      </c>
      <c r="H152" s="12">
        <f>SUM(Apr!H152, May!H152, Jun!H152)</f>
        <v>0</v>
      </c>
      <c r="I152" s="12">
        <f>SUM(Apr!I152, May!I152, Jun!I152)</f>
        <v>0</v>
      </c>
      <c r="J152" s="13" t="str">
        <f t="shared" si="16"/>
        <v/>
      </c>
    </row>
    <row r="153" spans="1:10" ht="15.6">
      <c r="A153" s="26" t="str">
        <v>Salt Point</v>
      </c>
      <c r="B153" s="27" t="str">
        <v>NY</v>
      </c>
      <c r="C153" s="27" t="str">
        <f>Sites[[#This Row],[SOL'#]]</f>
        <v>SOL-10888</v>
      </c>
      <c r="D153" s="9">
        <f>SUM(Apr!D153, May!D153, Jun!D153)</f>
        <v>0</v>
      </c>
      <c r="E153" s="14">
        <f>SUM(Apr!E153, May!E153, Jun!E153)</f>
        <v>0</v>
      </c>
      <c r="F153" s="14">
        <f t="shared" si="14"/>
        <v>0</v>
      </c>
      <c r="G153" s="15" t="str">
        <f t="shared" si="15"/>
        <v/>
      </c>
      <c r="H153" s="16">
        <f>SUM(Apr!H153, May!H153, Jun!H153)</f>
        <v>0</v>
      </c>
      <c r="I153" s="16">
        <f>SUM(Apr!I153, May!I153, Jun!I153)</f>
        <v>0</v>
      </c>
      <c r="J153" s="15" t="str">
        <f t="shared" si="16"/>
        <v/>
      </c>
    </row>
    <row r="154" spans="1:10" ht="15.6">
      <c r="A154" s="24" t="str">
        <v>Wheatland 2A</v>
      </c>
      <c r="B154" s="25" t="str">
        <v>NY</v>
      </c>
      <c r="C154" s="25" t="str">
        <f>Sites[[#This Row],[SOL'#]]</f>
        <v>SOL-10971</v>
      </c>
      <c r="D154" s="60">
        <f>SUM(Apr!D154, May!D154, Jun!D154)</f>
        <v>0</v>
      </c>
      <c r="E154" s="10">
        <f>SUM(Apr!E154, May!E154, Jun!E154)</f>
        <v>0</v>
      </c>
      <c r="F154" s="10">
        <f t="shared" si="14"/>
        <v>0</v>
      </c>
      <c r="G154" s="61" t="str">
        <f t="shared" si="15"/>
        <v/>
      </c>
      <c r="H154" s="12">
        <f>SUM(Apr!H154, May!H154, Jun!H154)</f>
        <v>0</v>
      </c>
      <c r="I154" s="12">
        <f>SUM(Apr!I154, May!I154, Jun!I154)</f>
        <v>0</v>
      </c>
      <c r="J154" s="13" t="str">
        <f t="shared" si="16"/>
        <v/>
      </c>
    </row>
    <row r="155" spans="1:10" ht="15.6">
      <c r="A155" s="26" t="str">
        <v>Wheatland 2B</v>
      </c>
      <c r="B155" s="27" t="str">
        <v>NY</v>
      </c>
      <c r="C155" s="27" t="str">
        <f>Sites[[#This Row],[SOL'#]]</f>
        <v>SOL-10961</v>
      </c>
      <c r="D155" s="9">
        <f>SUM(Apr!D155, May!D155, Jun!D155)</f>
        <v>0</v>
      </c>
      <c r="E155" s="14">
        <f>SUM(Apr!E155, May!E155, Jun!E155)</f>
        <v>0</v>
      </c>
      <c r="F155" s="14">
        <f t="shared" si="14"/>
        <v>0</v>
      </c>
      <c r="G155" s="15" t="str">
        <f t="shared" si="15"/>
        <v/>
      </c>
      <c r="H155" s="16">
        <f>SUM(Apr!H155, May!H155, Jun!H155)</f>
        <v>0</v>
      </c>
      <c r="I155" s="16">
        <f>SUM(Apr!I155, May!I155, Jun!I155)</f>
        <v>0</v>
      </c>
      <c r="J155" s="15" t="str">
        <f t="shared" si="16"/>
        <v/>
      </c>
    </row>
    <row r="156" spans="1:10" ht="15.6">
      <c r="A156" s="24" t="str">
        <v>Brickchurch</v>
      </c>
      <c r="B156" s="25" t="str">
        <v>NY</v>
      </c>
      <c r="C156" s="25" t="str">
        <f>Sites[[#This Row],[SOL'#]]</f>
        <v>SOL-10889</v>
      </c>
      <c r="D156" s="60">
        <f>SUM(Apr!D156, May!D156, Jun!D156)</f>
        <v>0</v>
      </c>
      <c r="E156" s="10">
        <f>SUM(Apr!E156, May!E156, Jun!E156)</f>
        <v>0</v>
      </c>
      <c r="F156" s="10">
        <f t="shared" si="14"/>
        <v>0</v>
      </c>
      <c r="G156" s="61" t="str">
        <f t="shared" si="15"/>
        <v/>
      </c>
      <c r="H156" s="12">
        <f>SUM(Apr!H156, May!H156, Jun!H156)</f>
        <v>0</v>
      </c>
      <c r="I156" s="12">
        <f>SUM(Apr!I156, May!I156, Jun!I156)</f>
        <v>0</v>
      </c>
      <c r="J156" s="13" t="str">
        <f t="shared" si="16"/>
        <v/>
      </c>
    </row>
    <row r="157" spans="1:10" ht="15.6">
      <c r="A157" s="26" t="str">
        <v>McCarthy Solar</v>
      </c>
      <c r="B157" s="27" t="str">
        <v>NY</v>
      </c>
      <c r="C157" s="27" t="str">
        <f>Sites[[#This Row],[SOL'#]]</f>
        <v>SOL-10992</v>
      </c>
      <c r="D157" s="9">
        <f>SUM(Apr!D157, May!D157, Jun!D157)</f>
        <v>0</v>
      </c>
      <c r="E157" s="14">
        <f>SUM(Apr!E157, May!E157, Jun!E157)</f>
        <v>0</v>
      </c>
      <c r="F157" s="14">
        <f t="shared" si="14"/>
        <v>0</v>
      </c>
      <c r="G157" s="15" t="str">
        <f t="shared" si="15"/>
        <v/>
      </c>
      <c r="H157" s="16">
        <f>SUM(Apr!H157, May!H157, Jun!H157)</f>
        <v>0</v>
      </c>
      <c r="I157" s="16">
        <f>SUM(Apr!I157, May!I157, Jun!I157)</f>
        <v>0</v>
      </c>
      <c r="J157" s="15" t="str">
        <f t="shared" si="16"/>
        <v/>
      </c>
    </row>
    <row r="158" spans="1:10" ht="15.6">
      <c r="A158" s="24" t="str">
        <v>Costanza</v>
      </c>
      <c r="B158" s="25" t="str">
        <v>NY</v>
      </c>
      <c r="C158" s="25" t="str">
        <f>Sites[[#This Row],[SOL'#]]</f>
        <v>SOL-10907</v>
      </c>
      <c r="D158" s="60">
        <f>SUM(Apr!D158, May!D158, Jun!D158)</f>
        <v>0</v>
      </c>
      <c r="E158" s="10">
        <f>SUM(Apr!E158, May!E158, Jun!E158)</f>
        <v>0</v>
      </c>
      <c r="F158" s="10">
        <f t="shared" si="14"/>
        <v>0</v>
      </c>
      <c r="G158" s="61" t="str">
        <f t="shared" si="15"/>
        <v/>
      </c>
      <c r="H158" s="12">
        <f>SUM(Apr!H158, May!H158, Jun!H158)</f>
        <v>0</v>
      </c>
      <c r="I158" s="12">
        <f>SUM(Apr!I158, May!I158, Jun!I158)</f>
        <v>0</v>
      </c>
      <c r="J158" s="13" t="str">
        <f t="shared" si="16"/>
        <v/>
      </c>
    </row>
    <row r="159" spans="1:10" ht="15.6">
      <c r="A159" s="26" t="str">
        <v>Lockenhurst Pond</v>
      </c>
      <c r="B159" s="27" t="str">
        <v>NY</v>
      </c>
      <c r="C159" s="27" t="str">
        <f>Sites[[#This Row],[SOL'#]]</f>
        <v>SOL-11000</v>
      </c>
      <c r="D159" s="9">
        <f>SUM(Apr!D159, May!D159, Jun!D159)</f>
        <v>0</v>
      </c>
      <c r="E159" s="14">
        <f>SUM(Apr!E159, May!E159, Jun!E159)</f>
        <v>0</v>
      </c>
      <c r="F159" s="14">
        <f t="shared" si="14"/>
        <v>0</v>
      </c>
      <c r="G159" s="15" t="str">
        <f t="shared" si="15"/>
        <v/>
      </c>
      <c r="H159" s="16">
        <f>SUM(Apr!H159, May!H159, Jun!H159)</f>
        <v>0</v>
      </c>
      <c r="I159" s="16">
        <f>SUM(Apr!I159, May!I159, Jun!I159)</f>
        <v>0</v>
      </c>
      <c r="J159" s="15" t="str">
        <f t="shared" si="16"/>
        <v/>
      </c>
    </row>
    <row r="160" spans="1:10" ht="15.6">
      <c r="A160" s="24" t="str">
        <v>Drinkwater</v>
      </c>
      <c r="B160" s="25" t="str">
        <v>NY</v>
      </c>
      <c r="C160" s="25" t="str">
        <f>Sites[[#This Row],[SOL'#]]</f>
        <v>SOL-10896</v>
      </c>
      <c r="D160" s="60">
        <f>SUM(Apr!D160, May!D160, Jun!D160)</f>
        <v>0</v>
      </c>
      <c r="E160" s="10">
        <f>SUM(Apr!E160, May!E160, Jun!E160)</f>
        <v>0</v>
      </c>
      <c r="F160" s="10">
        <f t="shared" si="14"/>
        <v>0</v>
      </c>
      <c r="G160" s="61" t="str">
        <f t="shared" si="15"/>
        <v/>
      </c>
      <c r="H160" s="12">
        <f>SUM(Apr!H160, May!H160, Jun!H160)</f>
        <v>0</v>
      </c>
      <c r="I160" s="12">
        <f>SUM(Apr!I160, May!I160, Jun!I160)</f>
        <v>0</v>
      </c>
      <c r="J160" s="13" t="str">
        <f t="shared" si="16"/>
        <v/>
      </c>
    </row>
    <row r="161" spans="1:10" ht="15.6">
      <c r="A161" s="26" t="str">
        <v>Altamont</v>
      </c>
      <c r="B161" s="27" t="str">
        <v>NY</v>
      </c>
      <c r="C161" s="27" t="str">
        <f>Sites[[#This Row],[SOL'#]]</f>
        <v>SOL-11085</v>
      </c>
      <c r="D161" s="9">
        <f>SUM(Apr!D161, May!D161, Jun!D161)</f>
        <v>0</v>
      </c>
      <c r="E161" s="14">
        <f>SUM(Apr!E161, May!E161, Jun!E161)</f>
        <v>0</v>
      </c>
      <c r="F161" s="14">
        <f t="shared" ref="F161:F162" si="17">IF(AND(ISNUMBER(D161),ISNUMBER(E161)), D161-E161, "")</f>
        <v>0</v>
      </c>
      <c r="G161" s="15" t="str">
        <f t="shared" ref="G161:G162" si="18">IFERROR(F161/E161, "")</f>
        <v/>
      </c>
      <c r="H161" s="16">
        <f>SUM(Apr!H161, May!H161, Jun!H161)</f>
        <v>0</v>
      </c>
      <c r="I161" s="16">
        <f>SUM(Apr!I161, May!I161, Jun!I161)</f>
        <v>0</v>
      </c>
      <c r="J161" s="15" t="str">
        <f t="shared" ref="J161:J162" si="19">IFERROR(I161/H161, "")</f>
        <v/>
      </c>
    </row>
    <row r="162" spans="1:10" ht="15.6">
      <c r="A162" s="24" t="str">
        <v>Krumkill North</v>
      </c>
      <c r="B162" s="25" t="str">
        <v>NY</v>
      </c>
      <c r="C162" s="25" t="str">
        <f>Sites[[#This Row],[SOL'#]]</f>
        <v>SOL-11086</v>
      </c>
      <c r="D162" s="60">
        <f>SUM(Apr!D162, May!D162, Jun!D162)</f>
        <v>0</v>
      </c>
      <c r="E162" s="10">
        <f>SUM(Apr!E162, May!E162, Jun!E162)</f>
        <v>0</v>
      </c>
      <c r="F162" s="10">
        <f t="shared" si="17"/>
        <v>0</v>
      </c>
      <c r="G162" s="61" t="str">
        <f t="shared" si="18"/>
        <v/>
      </c>
      <c r="H162" s="12">
        <f>SUM(Apr!H162, May!H162, Jun!H162)</f>
        <v>0</v>
      </c>
      <c r="I162" s="12">
        <f>SUM(Apr!I162, May!I162, Jun!I162)</f>
        <v>0</v>
      </c>
      <c r="J162" s="13" t="str">
        <f t="shared" si="19"/>
        <v/>
      </c>
    </row>
    <row r="163" spans="1:10" ht="15.6">
      <c r="A163" s="26" t="str">
        <v>Krumkill South</v>
      </c>
      <c r="B163" s="27" t="str">
        <v>NY</v>
      </c>
      <c r="C163" s="27" t="str">
        <f>Sites[[#This Row],[SOL'#]]</f>
        <v>SOL-11087</v>
      </c>
      <c r="D163" s="9">
        <f>SUM(Apr!D163, May!D163, Jun!D163)</f>
        <v>0</v>
      </c>
      <c r="E163" s="14">
        <f>SUM(Apr!E163, May!E163, Jun!E163)</f>
        <v>0</v>
      </c>
      <c r="F163" s="14">
        <f t="shared" ref="F163:F185" si="20">IF(AND(ISNUMBER(D163),ISNUMBER(E163)), D163-E163, "")</f>
        <v>0</v>
      </c>
      <c r="G163" s="15" t="str">
        <f t="shared" ref="G163:G185" si="21">IFERROR(F163/E163, "")</f>
        <v/>
      </c>
      <c r="H163" s="16">
        <f>SUM(Apr!H163, May!H163, Jun!H163)</f>
        <v>0</v>
      </c>
      <c r="I163" s="16">
        <f>SUM(Apr!I163, May!I163, Jun!I163)</f>
        <v>0</v>
      </c>
      <c r="J163" s="15" t="str">
        <f t="shared" ref="J163:J185" si="22">IFERROR(I163/H163, "")</f>
        <v/>
      </c>
    </row>
    <row r="164" spans="1:10" ht="15.6">
      <c r="A164" s="24" t="str">
        <v>X092</v>
      </c>
      <c r="B164" s="25" t="str">
        <v>NY</v>
      </c>
      <c r="C164" s="25" t="str">
        <f>Sites[[#This Row],[SOL'#]]</f>
        <v>SOL-11189</v>
      </c>
      <c r="D164" s="60">
        <f>SUM(Apr!D164, May!D164, Jun!D164)</f>
        <v>0</v>
      </c>
      <c r="E164" s="10">
        <f>SUM(Apr!E164, May!E164, Jun!E164)</f>
        <v>0</v>
      </c>
      <c r="F164" s="10">
        <f t="shared" si="20"/>
        <v>0</v>
      </c>
      <c r="G164" s="61" t="str">
        <f t="shared" si="21"/>
        <v/>
      </c>
      <c r="H164" s="12">
        <f>SUM(Apr!H164, May!H164, Jun!H164)</f>
        <v>0</v>
      </c>
      <c r="I164" s="12">
        <f>SUM(Apr!I164, May!I164, Jun!I164)</f>
        <v>0</v>
      </c>
      <c r="J164" s="13" t="str">
        <f t="shared" si="22"/>
        <v/>
      </c>
    </row>
    <row r="165" spans="1:10" ht="15.6">
      <c r="A165" s="26" t="str">
        <v>X093</v>
      </c>
      <c r="B165" s="27" t="str">
        <v>NY</v>
      </c>
      <c r="C165" s="27" t="str">
        <f>Sites[[#This Row],[SOL'#]]</f>
        <v>SOL-10932</v>
      </c>
      <c r="D165" s="9">
        <f>SUM(Apr!D165, May!D165, Jun!D165)</f>
        <v>0</v>
      </c>
      <c r="E165" s="14">
        <f>SUM(Apr!E165, May!E165, Jun!E165)</f>
        <v>0</v>
      </c>
      <c r="F165" s="14">
        <f t="shared" si="20"/>
        <v>0</v>
      </c>
      <c r="G165" s="15" t="str">
        <f t="shared" si="21"/>
        <v/>
      </c>
      <c r="H165" s="16">
        <f>SUM(Apr!H165, May!H165, Jun!H165)</f>
        <v>0</v>
      </c>
      <c r="I165" s="16">
        <f>SUM(Apr!I165, May!I165, Jun!I165)</f>
        <v>0</v>
      </c>
      <c r="J165" s="15" t="str">
        <f t="shared" si="22"/>
        <v/>
      </c>
    </row>
    <row r="166" spans="1:10" ht="15.6">
      <c r="A166" s="24" t="str">
        <v>X095</v>
      </c>
      <c r="B166" s="25" t="str">
        <v>NY</v>
      </c>
      <c r="C166" s="25" t="str">
        <f>Sites[[#This Row],[SOL'#]]</f>
        <v>SOL-10929</v>
      </c>
      <c r="D166" s="60">
        <f>SUM(Apr!D166, May!D166, Jun!D166)</f>
        <v>0</v>
      </c>
      <c r="E166" s="10">
        <f>SUM(Apr!E166, May!E166, Jun!E166)</f>
        <v>0</v>
      </c>
      <c r="F166" s="10">
        <f t="shared" si="20"/>
        <v>0</v>
      </c>
      <c r="G166" s="61" t="str">
        <f t="shared" si="21"/>
        <v/>
      </c>
      <c r="H166" s="12">
        <f>SUM(Apr!H166, May!H166, Jun!H166)</f>
        <v>0</v>
      </c>
      <c r="I166" s="12">
        <f>SUM(Apr!I166, May!I166, Jun!I166)</f>
        <v>0</v>
      </c>
      <c r="J166" s="13" t="str">
        <f t="shared" si="22"/>
        <v/>
      </c>
    </row>
    <row r="167" spans="1:10" ht="15.6">
      <c r="A167" s="26" t="str">
        <v>X181</v>
      </c>
      <c r="B167" s="27" t="str">
        <v>NY</v>
      </c>
      <c r="C167" s="27" t="str">
        <f>Sites[[#This Row],[SOL'#]]</f>
        <v>SOL-10428</v>
      </c>
      <c r="D167" s="9">
        <f>SUM(Apr!D167, May!D167, Jun!D167)</f>
        <v>0</v>
      </c>
      <c r="E167" s="14">
        <f>SUM(Apr!E167, May!E167, Jun!E167)</f>
        <v>0</v>
      </c>
      <c r="F167" s="14">
        <f t="shared" si="20"/>
        <v>0</v>
      </c>
      <c r="G167" s="15" t="str">
        <f t="shared" si="21"/>
        <v/>
      </c>
      <c r="H167" s="16">
        <f>SUM(Apr!H167, May!H167, Jun!H167)</f>
        <v>0</v>
      </c>
      <c r="I167" s="16">
        <f>SUM(Apr!I167, May!I167, Jun!I167)</f>
        <v>0</v>
      </c>
      <c r="J167" s="15" t="str">
        <f t="shared" si="22"/>
        <v/>
      </c>
    </row>
    <row r="168" spans="1:10" ht="15.6">
      <c r="A168" s="24" t="str">
        <v>X415</v>
      </c>
      <c r="B168" s="25" t="str">
        <v>NY</v>
      </c>
      <c r="C168" s="25" t="str">
        <f>Sites[[#This Row],[SOL'#]]</f>
        <v>SOL-10429</v>
      </c>
      <c r="D168" s="60">
        <f>SUM(Apr!D168, May!D168, Jun!D168)</f>
        <v>0</v>
      </c>
      <c r="E168" s="10">
        <f>SUM(Apr!E168, May!E168, Jun!E168)</f>
        <v>0</v>
      </c>
      <c r="F168" s="10">
        <f t="shared" si="20"/>
        <v>0</v>
      </c>
      <c r="G168" s="61" t="str">
        <f t="shared" si="21"/>
        <v/>
      </c>
      <c r="H168" s="12">
        <f>SUM(Apr!H168, May!H168, Jun!H168)</f>
        <v>0</v>
      </c>
      <c r="I168" s="12">
        <f>SUM(Apr!I168, May!I168, Jun!I168)</f>
        <v>0</v>
      </c>
      <c r="J168" s="13" t="str">
        <f t="shared" si="22"/>
        <v/>
      </c>
    </row>
    <row r="169" spans="1:10" ht="15.6">
      <c r="A169" s="26" t="str">
        <v>K198</v>
      </c>
      <c r="B169" s="27" t="str">
        <v>NY</v>
      </c>
      <c r="C169" s="27" t="str">
        <f>Sites[[#This Row],[SOL'#]]</f>
        <v>SOL-10930</v>
      </c>
      <c r="D169" s="9">
        <f>SUM(Apr!D169, May!D169, Jun!D169)</f>
        <v>0</v>
      </c>
      <c r="E169" s="14">
        <f>SUM(Apr!E169, May!E169, Jun!E169)</f>
        <v>0</v>
      </c>
      <c r="F169" s="14">
        <f t="shared" si="20"/>
        <v>0</v>
      </c>
      <c r="G169" s="15" t="str">
        <f t="shared" si="21"/>
        <v/>
      </c>
      <c r="H169" s="16">
        <f>SUM(Apr!H169, May!H169, Jun!H169)</f>
        <v>0</v>
      </c>
      <c r="I169" s="16">
        <f>SUM(Apr!I169, May!I169, Jun!I169)</f>
        <v>0</v>
      </c>
      <c r="J169" s="15" t="str">
        <f t="shared" si="22"/>
        <v/>
      </c>
    </row>
    <row r="170" spans="1:10" ht="15.6">
      <c r="A170" s="24" t="str">
        <v>K203</v>
      </c>
      <c r="B170" s="25" t="str">
        <v>NY</v>
      </c>
      <c r="C170" s="25" t="str">
        <f>Sites[[#This Row],[SOL'#]]</f>
        <v>SOL-11190</v>
      </c>
      <c r="D170" s="60">
        <f>SUM(Apr!D170, May!D170, Jun!D170)</f>
        <v>0</v>
      </c>
      <c r="E170" s="10">
        <f>SUM(Apr!E170, May!E170, Jun!E170)</f>
        <v>0</v>
      </c>
      <c r="F170" s="10">
        <f t="shared" si="20"/>
        <v>0</v>
      </c>
      <c r="G170" s="61" t="str">
        <f t="shared" si="21"/>
        <v/>
      </c>
      <c r="H170" s="12">
        <f>SUM(Apr!H170, May!H170, Jun!H170)</f>
        <v>0</v>
      </c>
      <c r="I170" s="12">
        <f>SUM(Apr!I170, May!I170, Jun!I170)</f>
        <v>0</v>
      </c>
      <c r="J170" s="13" t="str">
        <f t="shared" si="22"/>
        <v/>
      </c>
    </row>
    <row r="171" spans="1:10" ht="15.6">
      <c r="A171" s="26" t="str">
        <v>K213</v>
      </c>
      <c r="B171" s="27" t="str">
        <v>NY</v>
      </c>
      <c r="C171" s="27" t="str">
        <f>Sites[[#This Row],[SOL'#]]</f>
        <v>SOL-11191</v>
      </c>
      <c r="D171" s="9">
        <f>SUM(Apr!D171, May!D171, Jun!D171)</f>
        <v>0</v>
      </c>
      <c r="E171" s="14">
        <f>SUM(Apr!E171, May!E171, Jun!E171)</f>
        <v>0</v>
      </c>
      <c r="F171" s="14">
        <f t="shared" si="20"/>
        <v>0</v>
      </c>
      <c r="G171" s="15" t="str">
        <f t="shared" si="21"/>
        <v/>
      </c>
      <c r="H171" s="16">
        <f>SUM(Apr!H171, May!H171, Jun!H171)</f>
        <v>0</v>
      </c>
      <c r="I171" s="16">
        <f>SUM(Apr!I171, May!I171, Jun!I171)</f>
        <v>0</v>
      </c>
      <c r="J171" s="15" t="str">
        <f t="shared" si="22"/>
        <v/>
      </c>
    </row>
    <row r="172" spans="1:10" ht="15.6">
      <c r="A172" s="24" t="str">
        <v>K217</v>
      </c>
      <c r="B172" s="25" t="str">
        <v>NY</v>
      </c>
      <c r="C172" s="25" t="str">
        <f>Sites[[#This Row],[SOL'#]]</f>
        <v>SOL-10933</v>
      </c>
      <c r="D172" s="60">
        <f>SUM(Apr!D172, May!D172, Jun!D172)</f>
        <v>0</v>
      </c>
      <c r="E172" s="10">
        <f>SUM(Apr!E172, May!E172, Jun!E172)</f>
        <v>0</v>
      </c>
      <c r="F172" s="10">
        <f t="shared" si="20"/>
        <v>0</v>
      </c>
      <c r="G172" s="61" t="str">
        <f t="shared" si="21"/>
        <v/>
      </c>
      <c r="H172" s="12">
        <f>SUM(Apr!H172, May!H172, Jun!H172)</f>
        <v>0</v>
      </c>
      <c r="I172" s="12">
        <f>SUM(Apr!I172, May!I172, Jun!I172)</f>
        <v>0</v>
      </c>
      <c r="J172" s="13" t="str">
        <f t="shared" si="22"/>
        <v/>
      </c>
    </row>
    <row r="173" spans="1:10" ht="15.6">
      <c r="A173" s="26" t="str">
        <v>K307</v>
      </c>
      <c r="B173" s="27" t="str">
        <v>NY</v>
      </c>
      <c r="C173" s="27" t="str">
        <f>Sites[[#This Row],[SOL'#]]</f>
        <v>SOL-10876</v>
      </c>
      <c r="D173" s="9">
        <f>SUM(Apr!D173, May!D173, Jun!D173)</f>
        <v>0</v>
      </c>
      <c r="E173" s="14">
        <f>SUM(Apr!E173, May!E173, Jun!E173)</f>
        <v>0</v>
      </c>
      <c r="F173" s="14">
        <f t="shared" si="20"/>
        <v>0</v>
      </c>
      <c r="G173" s="15" t="str">
        <f t="shared" si="21"/>
        <v/>
      </c>
      <c r="H173" s="16">
        <f>SUM(Apr!H173, May!H173, Jun!H173)</f>
        <v>0</v>
      </c>
      <c r="I173" s="16">
        <f>SUM(Apr!I173, May!I173, Jun!I173)</f>
        <v>0</v>
      </c>
      <c r="J173" s="15" t="str">
        <f t="shared" si="22"/>
        <v/>
      </c>
    </row>
    <row r="174" spans="1:10" ht="15.6">
      <c r="A174" s="24" t="str">
        <v>K610</v>
      </c>
      <c r="B174" s="25" t="str">
        <v>NY</v>
      </c>
      <c r="C174" s="25" t="str">
        <f>Sites[[#This Row],[SOL'#]]</f>
        <v>SOL-11158</v>
      </c>
      <c r="D174" s="60">
        <f>SUM(Apr!D174, May!D174, Jun!D174)</f>
        <v>0</v>
      </c>
      <c r="E174" s="10">
        <f>SUM(Apr!E174, May!E174, Jun!E174)</f>
        <v>0</v>
      </c>
      <c r="F174" s="10">
        <f t="shared" si="20"/>
        <v>0</v>
      </c>
      <c r="G174" s="61" t="str">
        <f t="shared" si="21"/>
        <v/>
      </c>
      <c r="H174" s="12">
        <f>SUM(Apr!H174, May!H174, Jun!H174)</f>
        <v>0</v>
      </c>
      <c r="I174" s="12">
        <f>SUM(Apr!I174, May!I174, Jun!I174)</f>
        <v>0</v>
      </c>
      <c r="J174" s="13" t="str">
        <f t="shared" si="22"/>
        <v/>
      </c>
    </row>
    <row r="175" spans="1:10" ht="15.6">
      <c r="A175" s="26" t="str">
        <v>M025</v>
      </c>
      <c r="B175" s="27" t="str">
        <v>NY</v>
      </c>
      <c r="C175" s="27" t="str">
        <f>Sites[[#This Row],[SOL'#]]</f>
        <v>SOL-10392</v>
      </c>
      <c r="D175" s="9">
        <f>SUM(Apr!D175, May!D175, Jun!D175)</f>
        <v>0</v>
      </c>
      <c r="E175" s="14">
        <f>SUM(Apr!E175, May!E175, Jun!E175)</f>
        <v>0</v>
      </c>
      <c r="F175" s="14">
        <f t="shared" si="20"/>
        <v>0</v>
      </c>
      <c r="G175" s="15" t="str">
        <f t="shared" si="21"/>
        <v/>
      </c>
      <c r="H175" s="16">
        <f>SUM(Apr!H175, May!H175, Jun!H175)</f>
        <v>0</v>
      </c>
      <c r="I175" s="16">
        <f>SUM(Apr!I175, May!I175, Jun!I175)</f>
        <v>0</v>
      </c>
      <c r="J175" s="15" t="str">
        <f t="shared" si="22"/>
        <v/>
      </c>
    </row>
    <row r="176" spans="1:10" ht="15.6">
      <c r="A176" s="24" t="str">
        <v>M028</v>
      </c>
      <c r="B176" s="25" t="str">
        <v>NY</v>
      </c>
      <c r="C176" s="25" t="str">
        <f>Sites[[#This Row],[SOL'#]]</f>
        <v>SOL-10381</v>
      </c>
      <c r="D176" s="60">
        <f>SUM(Apr!D176, May!D176, Jun!D176)</f>
        <v>0</v>
      </c>
      <c r="E176" s="10">
        <f>SUM(Apr!E176, May!E176, Jun!E176)</f>
        <v>0</v>
      </c>
      <c r="F176" s="10">
        <f t="shared" si="20"/>
        <v>0</v>
      </c>
      <c r="G176" s="61" t="str">
        <f t="shared" si="21"/>
        <v/>
      </c>
      <c r="H176" s="12">
        <f>SUM(Apr!H176, May!H176, Jun!H176)</f>
        <v>0</v>
      </c>
      <c r="I176" s="12">
        <f>SUM(Apr!I176, May!I176, Jun!I176)</f>
        <v>0</v>
      </c>
      <c r="J176" s="13" t="str">
        <f t="shared" si="22"/>
        <v/>
      </c>
    </row>
    <row r="177" spans="1:10" ht="15.6">
      <c r="A177" s="26" t="str">
        <v>Q030</v>
      </c>
      <c r="B177" s="27" t="str">
        <v>NY</v>
      </c>
      <c r="C177" s="27" t="str">
        <f>Sites[[#This Row],[SOL'#]]</f>
        <v>SOL-10878</v>
      </c>
      <c r="D177" s="9">
        <f>SUM(Apr!D177, May!D177, Jun!D177)</f>
        <v>0</v>
      </c>
      <c r="E177" s="14">
        <f>SUM(Apr!E177, May!E177, Jun!E177)</f>
        <v>0</v>
      </c>
      <c r="F177" s="14">
        <f t="shared" si="20"/>
        <v>0</v>
      </c>
      <c r="G177" s="15" t="str">
        <f t="shared" si="21"/>
        <v/>
      </c>
      <c r="H177" s="16">
        <f>SUM(Apr!H177, May!H177, Jun!H177)</f>
        <v>0</v>
      </c>
      <c r="I177" s="16">
        <f>SUM(Apr!I177, May!I177, Jun!I177)</f>
        <v>0</v>
      </c>
      <c r="J177" s="15" t="str">
        <f t="shared" si="22"/>
        <v/>
      </c>
    </row>
    <row r="178" spans="1:10" ht="15.6">
      <c r="A178" s="24" t="str">
        <v>Q130</v>
      </c>
      <c r="B178" s="25" t="str">
        <v>NY</v>
      </c>
      <c r="C178" s="25" t="str">
        <f>Sites[[#This Row],[SOL'#]]</f>
        <v>SOL-10877</v>
      </c>
      <c r="D178" s="60">
        <f>SUM(Apr!D178, May!D178, Jun!D178)</f>
        <v>0</v>
      </c>
      <c r="E178" s="10">
        <f>SUM(Apr!E178, May!E178, Jun!E178)</f>
        <v>0</v>
      </c>
      <c r="F178" s="10">
        <f t="shared" si="20"/>
        <v>0</v>
      </c>
      <c r="G178" s="61" t="str">
        <f t="shared" si="21"/>
        <v/>
      </c>
      <c r="H178" s="12">
        <f>SUM(Apr!H178, May!H178, Jun!H178)</f>
        <v>0</v>
      </c>
      <c r="I178" s="12">
        <f>SUM(Apr!I178, May!I178, Jun!I178)</f>
        <v>0</v>
      </c>
      <c r="J178" s="13" t="str">
        <f t="shared" si="22"/>
        <v/>
      </c>
    </row>
    <row r="179" spans="1:10" ht="15.6">
      <c r="A179" s="26" t="str">
        <v>Q196</v>
      </c>
      <c r="B179" s="27" t="str">
        <v>NY</v>
      </c>
      <c r="C179" s="27" t="str">
        <f>Sites[[#This Row],[SOL'#]]</f>
        <v>SOL-10879</v>
      </c>
      <c r="D179" s="9">
        <f>SUM(Apr!D179, May!D179, Jun!D179)</f>
        <v>0</v>
      </c>
      <c r="E179" s="14">
        <f>SUM(Apr!E179, May!E179, Jun!E179)</f>
        <v>0</v>
      </c>
      <c r="F179" s="14">
        <f t="shared" si="20"/>
        <v>0</v>
      </c>
      <c r="G179" s="15" t="str">
        <f t="shared" si="21"/>
        <v/>
      </c>
      <c r="H179" s="16">
        <f>SUM(Apr!H179, May!H179, Jun!H179)</f>
        <v>0</v>
      </c>
      <c r="I179" s="16">
        <f>SUM(Apr!I179, May!I179, Jun!I179)</f>
        <v>0</v>
      </c>
      <c r="J179" s="15" t="str">
        <f t="shared" si="22"/>
        <v/>
      </c>
    </row>
    <row r="180" spans="1:10" ht="15.6">
      <c r="A180" s="24" t="str">
        <v>Q220</v>
      </c>
      <c r="B180" s="25" t="str">
        <v>NY</v>
      </c>
      <c r="C180" s="25" t="str">
        <f>Sites[[#This Row],[SOL'#]]</f>
        <v>SOL-10873</v>
      </c>
      <c r="D180" s="60">
        <f>SUM(Apr!D180, May!D180, Jun!D180)</f>
        <v>0</v>
      </c>
      <c r="E180" s="10">
        <f>SUM(Apr!E180, May!E180, Jun!E180)</f>
        <v>0</v>
      </c>
      <c r="F180" s="10">
        <f t="shared" si="20"/>
        <v>0</v>
      </c>
      <c r="G180" s="61" t="str">
        <f t="shared" si="21"/>
        <v/>
      </c>
      <c r="H180" s="12">
        <f>SUM(Apr!H180, May!H180, Jun!H180)</f>
        <v>0</v>
      </c>
      <c r="I180" s="12">
        <f>SUM(Apr!I180, May!I180, Jun!I180)</f>
        <v>0</v>
      </c>
      <c r="J180" s="13" t="str">
        <f t="shared" si="22"/>
        <v/>
      </c>
    </row>
    <row r="181" spans="1:10" ht="15.6">
      <c r="A181" s="26" t="str">
        <v>Q205</v>
      </c>
      <c r="B181" s="27" t="str">
        <v>NY</v>
      </c>
      <c r="C181" s="27" t="str">
        <f>Sites[[#This Row],[SOL'#]]</f>
        <v>SOL-10922</v>
      </c>
      <c r="D181" s="9">
        <f>SUM(Apr!D181, May!D181, Jun!D181)</f>
        <v>0</v>
      </c>
      <c r="E181" s="14">
        <f>SUM(Apr!E181, May!E181, Jun!E181)</f>
        <v>0</v>
      </c>
      <c r="F181" s="14">
        <f t="shared" si="20"/>
        <v>0</v>
      </c>
      <c r="G181" s="15" t="str">
        <f t="shared" si="21"/>
        <v/>
      </c>
      <c r="H181" s="16">
        <f>SUM(Apr!H181, May!H181, Jun!H181)</f>
        <v>0</v>
      </c>
      <c r="I181" s="16">
        <f>SUM(Apr!I181, May!I181, Jun!I181)</f>
        <v>0</v>
      </c>
      <c r="J181" s="15" t="str">
        <f t="shared" si="22"/>
        <v/>
      </c>
    </row>
    <row r="182" spans="1:10" ht="15.6">
      <c r="A182" s="24" t="str">
        <v>Q400</v>
      </c>
      <c r="B182" s="25" t="str">
        <v>NY</v>
      </c>
      <c r="C182" s="25" t="str">
        <f>Sites[[#This Row],[SOL'#]]</f>
        <v>SOL-10871</v>
      </c>
      <c r="D182" s="60">
        <f>SUM(Apr!D182, May!D182, Jun!D182)</f>
        <v>0</v>
      </c>
      <c r="E182" s="10">
        <f>SUM(Apr!E182, May!E182, Jun!E182)</f>
        <v>0</v>
      </c>
      <c r="F182" s="10">
        <f t="shared" si="20"/>
        <v>0</v>
      </c>
      <c r="G182" s="61" t="str">
        <f t="shared" si="21"/>
        <v/>
      </c>
      <c r="H182" s="12">
        <f>SUM(Apr!H182, May!H182, Jun!H182)</f>
        <v>0</v>
      </c>
      <c r="I182" s="12">
        <f>SUM(Apr!I182, May!I182, Jun!I182)</f>
        <v>0</v>
      </c>
      <c r="J182" s="13" t="str">
        <f t="shared" si="22"/>
        <v/>
      </c>
    </row>
    <row r="183" spans="1:10" ht="15.6">
      <c r="A183" s="26" t="str">
        <v>R003</v>
      </c>
      <c r="B183" s="27" t="str">
        <v>NY</v>
      </c>
      <c r="C183" s="27" t="str">
        <f>Sites[[#This Row],[SOL'#]]</f>
        <v>SOL-10416</v>
      </c>
      <c r="D183" s="9">
        <f>SUM(Apr!D183, May!D183, Jun!D183)</f>
        <v>0</v>
      </c>
      <c r="E183" s="14">
        <f>SUM(Apr!E183, May!E183, Jun!E183)</f>
        <v>0</v>
      </c>
      <c r="F183" s="14">
        <f t="shared" si="20"/>
        <v>0</v>
      </c>
      <c r="G183" s="15" t="str">
        <f t="shared" si="21"/>
        <v/>
      </c>
      <c r="H183" s="16">
        <f>SUM(Apr!H183, May!H183, Jun!H183)</f>
        <v>0</v>
      </c>
      <c r="I183" s="16">
        <f>SUM(Apr!I183, May!I183, Jun!I183)</f>
        <v>0</v>
      </c>
      <c r="J183" s="15" t="str">
        <f t="shared" si="22"/>
        <v/>
      </c>
    </row>
    <row r="184" spans="1:10" ht="15.6">
      <c r="A184" s="24" t="str">
        <v>R007</v>
      </c>
      <c r="B184" s="25" t="str">
        <v>NY</v>
      </c>
      <c r="C184" s="25" t="str">
        <f>Sites[[#This Row],[SOL'#]]</f>
        <v>SOL-10417</v>
      </c>
      <c r="D184" s="60">
        <f>SUM(Apr!D184, May!D184, Jun!D184)</f>
        <v>0</v>
      </c>
      <c r="E184" s="10">
        <f>SUM(Apr!E184, May!E184, Jun!E184)</f>
        <v>0</v>
      </c>
      <c r="F184" s="10">
        <f t="shared" si="20"/>
        <v>0</v>
      </c>
      <c r="G184" s="61" t="str">
        <f t="shared" si="21"/>
        <v/>
      </c>
      <c r="H184" s="12">
        <f>SUM(Apr!H184, May!H184, Jun!H184)</f>
        <v>0</v>
      </c>
      <c r="I184" s="12">
        <f>SUM(Apr!I184, May!I184, Jun!I184)</f>
        <v>0</v>
      </c>
      <c r="J184" s="13" t="str">
        <f t="shared" si="22"/>
        <v/>
      </c>
    </row>
    <row r="185" spans="1:10" ht="15.6">
      <c r="A185" s="26" t="str">
        <v>BK16</v>
      </c>
      <c r="B185" s="27" t="str">
        <v>NY</v>
      </c>
      <c r="C185" s="27" t="str">
        <f>Sites[[#This Row],[SOL'#]]</f>
        <v>SOL-11093</v>
      </c>
      <c r="D185" s="9">
        <f>SUM(Apr!D185, May!D185, Jun!D185)</f>
        <v>0</v>
      </c>
      <c r="E185" s="14">
        <f>SUM(Apr!E185, May!E185, Jun!E185)</f>
        <v>0</v>
      </c>
      <c r="F185" s="14">
        <f t="shared" si="20"/>
        <v>0</v>
      </c>
      <c r="G185" s="15" t="str">
        <f t="shared" si="21"/>
        <v/>
      </c>
      <c r="H185" s="16">
        <f>SUM(Apr!H185, May!H185, Jun!H185)</f>
        <v>0</v>
      </c>
      <c r="I185" s="16">
        <f>SUM(Apr!I185, May!I185, Jun!I185)</f>
        <v>0</v>
      </c>
      <c r="J185" s="15" t="str">
        <f t="shared" si="22"/>
        <v/>
      </c>
    </row>
    <row r="186" spans="1:10" ht="15.6">
      <c r="A186" s="24" t="str">
        <v>Trenton - Trenton East</v>
      </c>
      <c r="B186" s="25" t="str">
        <v>IL</v>
      </c>
      <c r="C186" s="25" t="str">
        <f>Sites[[#This Row],[SOL'#]]</f>
        <v>SOL-11060</v>
      </c>
      <c r="D186" s="60">
        <f>SUM(Apr!D186, May!D186, Jun!D186)</f>
        <v>0</v>
      </c>
      <c r="E186" s="10">
        <f>SUM(Apr!E186, May!E186, Jun!E186)</f>
        <v>0</v>
      </c>
      <c r="F186" s="10">
        <f>IF(AND(ISNUMBER(D186),ISNUMBER(E186)), D186-E186, "")</f>
        <v>0</v>
      </c>
      <c r="G186" s="61"/>
      <c r="H186" s="76">
        <f>SUM(Apr!H186, May!H186, Jun!H186)</f>
        <v>0</v>
      </c>
      <c r="I186" s="76">
        <f>SUM(Apr!I186, May!I186, Jun!I186)</f>
        <v>0</v>
      </c>
      <c r="J186" s="13"/>
    </row>
    <row r="187" spans="1:10" ht="15.6">
      <c r="A187" s="26" t="str">
        <v>Trenton - Trenton West</v>
      </c>
      <c r="B187" s="27" t="str">
        <v>IL</v>
      </c>
      <c r="C187" s="27" t="str">
        <f>Sites[[#This Row],[SOL'#]]</f>
        <v>SOL-11061</v>
      </c>
      <c r="D187" s="9">
        <f>SUM(Apr!D187, May!D187, Jun!D187)</f>
        <v>0</v>
      </c>
      <c r="E187" s="14">
        <f>SUM(Apr!E187, May!E187, Jun!E187)</f>
        <v>0</v>
      </c>
      <c r="F187" s="14">
        <f>IF(AND(ISNUMBER(D187),ISNUMBER(E187)), D187-E187, "")</f>
        <v>0</v>
      </c>
      <c r="G187" s="15"/>
      <c r="H187" s="78">
        <f>SUM(Apr!H187, May!H187, Jun!H187)</f>
        <v>0</v>
      </c>
      <c r="I187" s="78">
        <f>SUM(Apr!I187, May!I187, Jun!I187)</f>
        <v>0</v>
      </c>
      <c r="J187" s="15"/>
    </row>
    <row r="188" spans="1:10" ht="15.6">
      <c r="A188" s="24" t="str">
        <v>Dakota - Dakota Solar 1</v>
      </c>
      <c r="B188" s="25" t="str">
        <v>IL</v>
      </c>
      <c r="C188" s="25" t="str">
        <f>Sites[[#This Row],[SOL'#]]</f>
        <v>SOL-11113</v>
      </c>
      <c r="D188" s="60">
        <f>SUM(Apr!D188, May!D188, Jun!D188)</f>
        <v>0</v>
      </c>
      <c r="E188" s="10">
        <f>SUM(Apr!E188, May!E188, Jun!E188)</f>
        <v>0</v>
      </c>
      <c r="F188" s="10">
        <f>IF(AND(ISNUMBER(D188),ISNUMBER(E188)), D188-E188, "")</f>
        <v>0</v>
      </c>
      <c r="G188" s="61"/>
      <c r="H188" s="76">
        <f>SUM(Apr!H188, May!H188, Jun!H188)</f>
        <v>0</v>
      </c>
      <c r="I188" s="76">
        <f>SUM(Apr!I188, May!I188, Jun!I188)</f>
        <v>0</v>
      </c>
      <c r="J188" s="13"/>
    </row>
    <row r="189" spans="1:10" ht="15.6">
      <c r="A189" s="26" t="str">
        <v>X018</v>
      </c>
      <c r="B189" s="27" t="str">
        <v>NY</v>
      </c>
      <c r="C189" s="27" t="str">
        <f>Sites[[#This Row],[SOL'#]]</f>
        <v>SOL-10418</v>
      </c>
      <c r="D189" s="9">
        <f>SUM(Apr!D189, May!D189, Jun!D189)</f>
        <v>0</v>
      </c>
      <c r="E189" s="14">
        <f>SUM(Apr!E189, May!E189, Jun!E189)</f>
        <v>0</v>
      </c>
      <c r="F189" s="14">
        <f>IF(AND(ISNUMBER(D189),ISNUMBER(E189)), D189-E189, "")</f>
        <v>0</v>
      </c>
      <c r="G189" s="15"/>
      <c r="H189" s="78">
        <f>SUM(Apr!H189, May!H189, Jun!H189)</f>
        <v>0</v>
      </c>
      <c r="I189" s="78">
        <f>SUM(Apr!I189, May!I189, Jun!I189)</f>
        <v>0</v>
      </c>
      <c r="J189" s="15"/>
    </row>
    <row r="190" spans="1:10" ht="15.6">
      <c r="A190" s="24" t="str">
        <v>Janiak Solar</v>
      </c>
      <c r="B190" s="25" t="str">
        <v>NY</v>
      </c>
      <c r="C190" s="25" t="str">
        <f>Sites[[#This Row],[SOL'#]]</f>
        <v>SOL-10898</v>
      </c>
      <c r="D190" s="60">
        <f>SUM(Apr!D190, May!D190, Jun!D190)</f>
        <v>0</v>
      </c>
      <c r="E190" s="10">
        <f>SUM(Apr!E190, May!E190, Jun!E190)</f>
        <v>0</v>
      </c>
      <c r="F190" s="10">
        <f t="shared" ref="F190:F195" si="23">IF(AND(ISNUMBER(D190),ISNUMBER(E190)), D190-E190, "")</f>
        <v>0</v>
      </c>
      <c r="G190" s="61"/>
      <c r="H190" s="76">
        <f>SUM(Apr!H190, May!H190, Jun!H190)</f>
        <v>0</v>
      </c>
      <c r="I190" s="76">
        <f>SUM(Apr!I190, May!I190, Jun!I190)</f>
        <v>0</v>
      </c>
      <c r="J190" s="13"/>
    </row>
    <row r="191" spans="1:10" ht="15.6">
      <c r="A191" s="26" t="str">
        <v>County Route 11B</v>
      </c>
      <c r="B191" s="27" t="str">
        <v>NY</v>
      </c>
      <c r="C191" s="27" t="str">
        <f>Sites[[#This Row],[SOL'#]]</f>
        <v>SOL-10983</v>
      </c>
      <c r="D191" s="9">
        <f>SUM(Apr!D191, May!D191, Jun!D191)</f>
        <v>0</v>
      </c>
      <c r="E191" s="14">
        <f>SUM(Apr!E191, May!E191, Jun!E191)</f>
        <v>0</v>
      </c>
      <c r="F191" s="14">
        <f t="shared" si="23"/>
        <v>0</v>
      </c>
      <c r="G191" s="15"/>
      <c r="H191" s="78">
        <f>SUM(Apr!H191, May!H191, Jun!H191)</f>
        <v>0</v>
      </c>
      <c r="I191" s="78">
        <f>SUM(Apr!I191, May!I191, Jun!I191)</f>
        <v>0</v>
      </c>
      <c r="J191" s="15"/>
    </row>
    <row r="192" spans="1:10" ht="15.6">
      <c r="A192" s="24" t="str">
        <v>Barone</v>
      </c>
      <c r="B192" s="25" t="str">
        <v>NY</v>
      </c>
      <c r="C192" s="25" t="str">
        <f>Sites[[#This Row],[SOL'#]]</f>
        <v>SOL-11034</v>
      </c>
      <c r="D192" s="60">
        <f>SUM(Apr!D192, May!D192, Jun!D192)</f>
        <v>0</v>
      </c>
      <c r="E192" s="10">
        <f>SUM(Apr!E192, May!E192, Jun!E192)</f>
        <v>0</v>
      </c>
      <c r="F192" s="10">
        <f t="shared" si="23"/>
        <v>0</v>
      </c>
      <c r="G192" s="61"/>
      <c r="H192" s="76">
        <f>SUM(Apr!H192, May!H192, Jun!H192)</f>
        <v>0</v>
      </c>
      <c r="I192" s="76">
        <f>SUM(Apr!I192, May!I192, Jun!I192)</f>
        <v>0</v>
      </c>
      <c r="J192" s="13"/>
    </row>
    <row r="193" spans="1:10" ht="15.6">
      <c r="A193" s="26" t="str">
        <v>Cedarville</v>
      </c>
      <c r="B193" s="27" t="str">
        <v>IL</v>
      </c>
      <c r="C193" s="27" t="str">
        <f>Sites[[#This Row],[SOL'#]]</f>
        <v>SOL-11069</v>
      </c>
      <c r="D193" s="9">
        <f>SUM(Apr!D193, May!D193, Jun!D193)</f>
        <v>0</v>
      </c>
      <c r="E193" s="14">
        <f>SUM(Apr!E193, May!E193, Jun!E193)</f>
        <v>0</v>
      </c>
      <c r="F193" s="14">
        <f t="shared" si="23"/>
        <v>0</v>
      </c>
      <c r="G193" s="15"/>
      <c r="H193" s="78">
        <f>SUM(Apr!H193, May!H193, Jun!H193)</f>
        <v>0</v>
      </c>
      <c r="I193" s="78">
        <f>SUM(Apr!I193, May!I193, Jun!I193)</f>
        <v>0</v>
      </c>
      <c r="J193" s="15"/>
    </row>
    <row r="194" spans="1:10" ht="15.6">
      <c r="A194" s="24" t="str">
        <v xml:space="preserve"> O'Brien Hill #1</v>
      </c>
      <c r="B194" s="25" t="str">
        <v>NY</v>
      </c>
      <c r="C194" s="25" t="str">
        <f>Sites[[#This Row],[SOL'#]]</f>
        <v>SOL-11098</v>
      </c>
      <c r="D194" s="60">
        <f>SUM(Apr!D194, May!D194, Jun!D194)</f>
        <v>0</v>
      </c>
      <c r="E194" s="10">
        <f>SUM(Apr!E194, May!E194, Jun!E194)</f>
        <v>0</v>
      </c>
      <c r="F194" s="10">
        <f t="shared" si="23"/>
        <v>0</v>
      </c>
      <c r="G194" s="61"/>
      <c r="H194" s="76">
        <f>SUM(Apr!H194, May!H194, Jun!H194)</f>
        <v>0</v>
      </c>
      <c r="I194" s="76">
        <f>SUM(Apr!I194, May!I194, Jun!I194)</f>
        <v>0</v>
      </c>
      <c r="J194" s="13"/>
    </row>
    <row r="195" spans="1:10" ht="15.6">
      <c r="A195" s="26" t="str">
        <v xml:space="preserve"> O'Brien Hill #2</v>
      </c>
      <c r="B195" s="27" t="str">
        <v>NY</v>
      </c>
      <c r="C195" s="27" t="str">
        <f>Sites[[#This Row],[SOL'#]]</f>
        <v>SOL-11099</v>
      </c>
      <c r="D195" s="9">
        <f>SUM(Apr!D195, May!D195, Jun!D195)</f>
        <v>0</v>
      </c>
      <c r="E195" s="14">
        <f>SUM(Apr!E195, May!E195, Jun!E195)</f>
        <v>0</v>
      </c>
      <c r="F195" s="14">
        <f t="shared" si="23"/>
        <v>0</v>
      </c>
      <c r="G195" s="15"/>
      <c r="H195" s="78">
        <f>SUM(Apr!H195, May!H195, Jun!H195)</f>
        <v>0</v>
      </c>
      <c r="I195" s="78">
        <f>SUM(Apr!I195, May!I195, Jun!I195)</f>
        <v>0</v>
      </c>
      <c r="J195" s="15"/>
    </row>
    <row r="196" spans="1:10" ht="15.6">
      <c r="A196" s="24" t="str">
        <v>Trinity - Freeport</v>
      </c>
      <c r="B196" s="25" t="str">
        <v>IL</v>
      </c>
      <c r="C196" s="25"/>
      <c r="D196" s="60"/>
      <c r="E196" s="10"/>
      <c r="F196" s="10"/>
      <c r="G196" s="61"/>
      <c r="H196" s="76"/>
      <c r="I196" s="76"/>
      <c r="J196" s="13"/>
    </row>
    <row r="197" spans="1:10" ht="15.6">
      <c r="A197" s="26" t="str">
        <v>Ransom</v>
      </c>
      <c r="B197" s="27" t="str">
        <v>NY</v>
      </c>
      <c r="C197" s="27"/>
      <c r="D197" s="9"/>
      <c r="E197" s="14"/>
      <c r="F197" s="14"/>
      <c r="G197" s="15"/>
      <c r="H197" s="78"/>
      <c r="I197" s="78"/>
      <c r="J197" s="15"/>
    </row>
    <row r="198" spans="1:10" ht="15.6">
      <c r="A198" s="24" t="str">
        <v>Horseheads - Wedge</v>
      </c>
      <c r="B198" s="25" t="str">
        <v>NY</v>
      </c>
      <c r="C198" s="25"/>
      <c r="D198" s="60"/>
      <c r="E198" s="10"/>
      <c r="F198" s="10"/>
      <c r="G198" s="61"/>
      <c r="H198" s="76"/>
      <c r="I198" s="76"/>
      <c r="J198" s="13"/>
    </row>
    <row r="199" spans="1:10" ht="15.6">
      <c r="A199" s="26" t="str">
        <v>Otisville - Shoddy Hollow</v>
      </c>
      <c r="B199" s="27" t="str">
        <v>NY</v>
      </c>
      <c r="C199" s="27"/>
      <c r="D199" s="9"/>
      <c r="E199" s="14"/>
      <c r="F199" s="14"/>
      <c r="G199" s="15"/>
      <c r="H199" s="78"/>
      <c r="I199" s="78"/>
      <c r="J199" s="15"/>
    </row>
    <row r="200" spans="1:10" ht="15.6">
      <c r="A200" s="24" t="str">
        <v>Wellsville - Chenunda Creek</v>
      </c>
      <c r="B200" s="25" t="str">
        <v>NY</v>
      </c>
      <c r="C200" s="25"/>
      <c r="D200" s="60"/>
      <c r="E200" s="10"/>
      <c r="F200" s="10"/>
      <c r="G200" s="61"/>
      <c r="H200" s="76"/>
      <c r="I200" s="76"/>
      <c r="J200" s="13"/>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152" priority="23" stopIfTrue="1" operator="lessThanOrEqual">
      <formula>-0.1</formula>
    </cfRule>
    <cfRule type="expression" dxfId="151" priority="24">
      <formula>AND(ISNUMBER(G2), G2&gt;=0.1)</formula>
    </cfRule>
  </conditionalFormatting>
  <conditionalFormatting sqref="G4:G190 J4:J190">
    <cfRule type="cellIs" dxfId="150" priority="21" stopIfTrue="1" operator="lessThanOrEqual">
      <formula>-0.1</formula>
    </cfRule>
    <cfRule type="expression" dxfId="149" priority="22">
      <formula>AND(ISNUMBER(G4), G4&gt;=0.1)</formula>
    </cfRule>
  </conditionalFormatting>
  <conditionalFormatting sqref="G191 J191">
    <cfRule type="cellIs" dxfId="148" priority="19" stopIfTrue="1" operator="lessThanOrEqual">
      <formula>-0.1</formula>
    </cfRule>
    <cfRule type="expression" dxfId="147" priority="20">
      <formula>AND(ISNUMBER(G191), G191&gt;=0.1)</formula>
    </cfRule>
  </conditionalFormatting>
  <conditionalFormatting sqref="G193 J193">
    <cfRule type="cellIs" dxfId="146" priority="17" stopIfTrue="1" operator="lessThanOrEqual">
      <formula>-0.1</formula>
    </cfRule>
    <cfRule type="expression" dxfId="145" priority="18">
      <formula>AND(ISNUMBER(G193), G193&gt;=0.1)</formula>
    </cfRule>
  </conditionalFormatting>
  <conditionalFormatting sqref="G195 J195">
    <cfRule type="cellIs" dxfId="144" priority="15" stopIfTrue="1" operator="lessThanOrEqual">
      <formula>-0.1</formula>
    </cfRule>
    <cfRule type="expression" dxfId="143" priority="16">
      <formula>AND(ISNUMBER(G195), G195&gt;=0.1)</formula>
    </cfRule>
  </conditionalFormatting>
  <conditionalFormatting sqref="G197 J197">
    <cfRule type="cellIs" dxfId="142" priority="13" stopIfTrue="1" operator="lessThanOrEqual">
      <formula>-0.1</formula>
    </cfRule>
    <cfRule type="expression" dxfId="141" priority="14">
      <formula>AND(ISNUMBER(G197), G197&gt;=0.1)</formula>
    </cfRule>
  </conditionalFormatting>
  <conditionalFormatting sqref="G199 J199">
    <cfRule type="cellIs" dxfId="140" priority="11" stopIfTrue="1" operator="lessThanOrEqual">
      <formula>-0.1</formula>
    </cfRule>
    <cfRule type="expression" dxfId="139" priority="12">
      <formula>AND(ISNUMBER(G199), G199&gt;=0.1)</formula>
    </cfRule>
  </conditionalFormatting>
  <conditionalFormatting sqref="G192 J192">
    <cfRule type="cellIs" dxfId="138" priority="9" stopIfTrue="1" operator="lessThanOrEqual">
      <formula>-0.1</formula>
    </cfRule>
    <cfRule type="expression" dxfId="137" priority="10">
      <formula>AND(ISNUMBER(G192), G192&gt;=0.1)</formula>
    </cfRule>
  </conditionalFormatting>
  <conditionalFormatting sqref="G194 J194">
    <cfRule type="cellIs" dxfId="136" priority="7" stopIfTrue="1" operator="lessThanOrEqual">
      <formula>-0.1</formula>
    </cfRule>
    <cfRule type="expression" dxfId="135" priority="8">
      <formula>AND(ISNUMBER(G194), G194&gt;=0.1)</formula>
    </cfRule>
  </conditionalFormatting>
  <conditionalFormatting sqref="G196 J196">
    <cfRule type="cellIs" dxfId="134" priority="5" stopIfTrue="1" operator="lessThanOrEqual">
      <formula>-0.1</formula>
    </cfRule>
    <cfRule type="expression" dxfId="133" priority="6">
      <formula>AND(ISNUMBER(G196), G196&gt;=0.1)</formula>
    </cfRule>
  </conditionalFormatting>
  <conditionalFormatting sqref="G198 J198">
    <cfRule type="cellIs" dxfId="132" priority="3" stopIfTrue="1" operator="lessThanOrEqual">
      <formula>-0.1</formula>
    </cfRule>
    <cfRule type="expression" dxfId="131" priority="4">
      <formula>AND(ISNUMBER(G198), G198&gt;=0.1)</formula>
    </cfRule>
  </conditionalFormatting>
  <conditionalFormatting sqref="G200 J200">
    <cfRule type="cellIs" dxfId="130" priority="1" stopIfTrue="1" operator="lessThanOrEqual">
      <formula>-0.1</formula>
    </cfRule>
    <cfRule type="expression" dxfId="129" priority="2">
      <formula>AND(ISNUMBER(G200), G200&gt;=0.1)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00"/>
  <sheetViews>
    <sheetView workbookViewId="0">
      <pane xSplit="2" ySplit="3" topLeftCell="I190" activePane="bottomRight" state="frozen"/>
      <selection pane="bottomRight" activeCell="L190" sqref="L190"/>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9" t="str" cm="1">
        <f t="array" ref="A1">portfolio</f>
        <v>Generate Capital</v>
      </c>
      <c r="B1" s="149"/>
      <c r="C1" s="149"/>
      <c r="D1" s="149"/>
      <c r="E1" s="150" t="s">
        <v>15</v>
      </c>
      <c r="F1" s="150"/>
      <c r="G1" s="150"/>
      <c r="H1" s="148" t="s">
        <v>16</v>
      </c>
      <c r="I1" s="148"/>
      <c r="J1" s="148"/>
    </row>
    <row r="2" spans="1:10" ht="19.5" customHeight="1">
      <c r="A2" s="151" t="s">
        <v>2</v>
      </c>
      <c r="B2" s="151"/>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SUM(Jul!D4, Aug!D4, Sep!D4)</f>
        <v>0</v>
      </c>
      <c r="E4" s="10">
        <f>SUM(Jul!E4, Aug!E4, Sep!E4)</f>
        <v>0</v>
      </c>
      <c r="F4" s="10">
        <f>IF(AND(ISNUMBER(D4),ISNUMBER(E4)), D4-E4, "")</f>
        <v>0</v>
      </c>
      <c r="G4" s="11" t="str">
        <f>IFERROR(F4/E4, "")</f>
        <v/>
      </c>
      <c r="H4" s="12">
        <f>SUM(Jul!H4,Aug!H4,Sep!H4)</f>
        <v>0</v>
      </c>
      <c r="I4" s="12">
        <f>SUM(Jul!I4, Aug!I4, Sep!I4)</f>
        <v>0</v>
      </c>
      <c r="J4" s="13" t="str">
        <f>IFERROR(I4/H4, "")</f>
        <v/>
      </c>
    </row>
    <row r="5" spans="1:10" ht="15.6">
      <c r="A5" s="26" t="str">
        <v>Fulton</v>
      </c>
      <c r="B5" s="27" t="str">
        <v>AZ</v>
      </c>
      <c r="C5" s="27" t="str">
        <f>Sites[[#This Row],[SOL'#]]</f>
        <v>SOL-10749</v>
      </c>
      <c r="D5" s="9">
        <f>SUM(Jul!D5, Aug!D5, Sep!D5)</f>
        <v>0</v>
      </c>
      <c r="E5" s="14">
        <f>SUM(Jul!E5, Aug!E5, Sep!E5)</f>
        <v>0</v>
      </c>
      <c r="F5" s="14">
        <f t="shared" ref="F5:F15" si="0">IF(AND(ISNUMBER(D5),ISNUMBER(E5)), D5-E5, "")</f>
        <v>0</v>
      </c>
      <c r="G5" s="15" t="str">
        <f>IFERROR(F5/E5, "")</f>
        <v/>
      </c>
      <c r="H5" s="16">
        <f>SUM(Jul!H5,Aug!H5,Sep!H5)</f>
        <v>0</v>
      </c>
      <c r="I5" s="16">
        <f>SUM(Jul!I5, Aug!I5, Sep!I5)</f>
        <v>0</v>
      </c>
      <c r="J5" s="15" t="str">
        <f>IFERROR(I5/H5, "")</f>
        <v/>
      </c>
    </row>
    <row r="6" spans="1:10" ht="15.6">
      <c r="A6" s="24" t="str">
        <v>JFK Elementary</v>
      </c>
      <c r="B6" s="25" t="str">
        <v>AZ</v>
      </c>
      <c r="C6" s="25" t="str">
        <f>Sites[[#This Row],[SOL'#]]</f>
        <v>SOL-10758</v>
      </c>
      <c r="D6" s="20">
        <f>SUM(Jul!D6, Aug!D6, Sep!D6)</f>
        <v>0</v>
      </c>
      <c r="E6" s="10">
        <f>SUM(Jul!E6, Aug!E6, Sep!E6)</f>
        <v>0</v>
      </c>
      <c r="F6" s="10">
        <f t="shared" si="0"/>
        <v>0</v>
      </c>
      <c r="G6" s="11" t="str">
        <f t="shared" ref="G6:G15" si="1">IFERROR(F6/E6, "")</f>
        <v/>
      </c>
      <c r="H6" s="12">
        <f>SUM(Jul!H6,Aug!H6,Sep!H6)</f>
        <v>0</v>
      </c>
      <c r="I6" s="12">
        <f>SUM(Jul!I6, Aug!I6, Sep!I6)</f>
        <v>0</v>
      </c>
      <c r="J6" s="13" t="str">
        <f t="shared" ref="J6:J15" si="2">IFERROR(I6/H6, "")</f>
        <v/>
      </c>
    </row>
    <row r="7" spans="1:10" ht="15.6">
      <c r="A7" s="26" t="str">
        <v>Noble</v>
      </c>
      <c r="B7" s="27" t="str">
        <v>AZ</v>
      </c>
      <c r="C7" s="27" t="str">
        <f>Sites[[#This Row],[SOL'#]]</f>
        <v>SOL-10750</v>
      </c>
      <c r="D7" s="9">
        <f>SUM(Jul!D7, Aug!D7, Sep!D7)</f>
        <v>0</v>
      </c>
      <c r="E7" s="14">
        <f>SUM(Jul!E7, Aug!E7, Sep!E7)</f>
        <v>0</v>
      </c>
      <c r="F7" s="14">
        <f t="shared" si="0"/>
        <v>0</v>
      </c>
      <c r="G7" s="15" t="str">
        <f t="shared" si="1"/>
        <v/>
      </c>
      <c r="H7" s="16">
        <f>SUM(Jul!H7,Aug!H7,Sep!H7)</f>
        <v>0</v>
      </c>
      <c r="I7" s="16">
        <f>SUM(Jul!I7, Aug!I7, Sep!I7)</f>
        <v>0</v>
      </c>
      <c r="J7" s="15" t="str">
        <f t="shared" si="2"/>
        <v/>
      </c>
    </row>
    <row r="8" spans="1:10" ht="15.6">
      <c r="A8" s="24" t="str">
        <v>Parking 3</v>
      </c>
      <c r="B8" s="25" t="str">
        <v>AZ</v>
      </c>
      <c r="C8" s="25" t="str">
        <f>Sites[[#This Row],[SOL'#]]</f>
        <v>SOL-10751</v>
      </c>
      <c r="D8" s="20">
        <f>SUM(Jul!D8, Aug!D8, Sep!D8)</f>
        <v>0</v>
      </c>
      <c r="E8" s="10">
        <f>SUM(Jul!E8, Aug!E8, Sep!E8)</f>
        <v>0</v>
      </c>
      <c r="F8" s="10">
        <f t="shared" si="0"/>
        <v>0</v>
      </c>
      <c r="G8" s="11" t="str">
        <f t="shared" si="1"/>
        <v/>
      </c>
      <c r="H8" s="12">
        <f>SUM(Jul!H8,Aug!H8,Sep!H8)</f>
        <v>0</v>
      </c>
      <c r="I8" s="12">
        <f>SUM(Jul!I8, Aug!I8, Sep!I8)</f>
        <v>0</v>
      </c>
      <c r="J8" s="13" t="str">
        <f t="shared" si="2"/>
        <v/>
      </c>
    </row>
    <row r="9" spans="1:10" ht="15.6">
      <c r="A9" s="26" t="str">
        <v>PE East</v>
      </c>
      <c r="B9" s="27" t="str">
        <v>AZ</v>
      </c>
      <c r="C9" s="27" t="str">
        <f>Sites[[#This Row],[SOL'#]]</f>
        <v>SOL-10752</v>
      </c>
      <c r="D9" s="9">
        <f>SUM(Jul!D9, Aug!D9, Sep!D9)</f>
        <v>0</v>
      </c>
      <c r="E9" s="14">
        <f>SUM(Jul!E9, Aug!E9, Sep!E9)</f>
        <v>0</v>
      </c>
      <c r="F9" s="14">
        <f t="shared" si="0"/>
        <v>0</v>
      </c>
      <c r="G9" s="15" t="str">
        <f t="shared" si="1"/>
        <v/>
      </c>
      <c r="H9" s="16">
        <f>SUM(Jul!H9,Aug!H9,Sep!H9)</f>
        <v>0</v>
      </c>
      <c r="I9" s="16">
        <f>SUM(Jul!I9, Aug!I9, Sep!I9)</f>
        <v>0</v>
      </c>
      <c r="J9" s="15" t="str">
        <f t="shared" si="2"/>
        <v/>
      </c>
    </row>
    <row r="10" spans="1:10" ht="15.6">
      <c r="A10" s="24" t="str">
        <v>Schwada</v>
      </c>
      <c r="B10" s="25" t="str">
        <v>AZ</v>
      </c>
      <c r="C10" s="25" t="str">
        <f>Sites[[#This Row],[SOL'#]]</f>
        <v>SOL-10753</v>
      </c>
      <c r="D10" s="20">
        <f>SUM(Jul!D10, Aug!D10, Sep!D10)</f>
        <v>0</v>
      </c>
      <c r="E10" s="10">
        <f>SUM(Jul!E10, Aug!E10, Sep!E10)</f>
        <v>0</v>
      </c>
      <c r="F10" s="10">
        <f t="shared" si="0"/>
        <v>0</v>
      </c>
      <c r="G10" s="11" t="str">
        <f t="shared" si="1"/>
        <v/>
      </c>
      <c r="H10" s="12">
        <f>SUM(Jul!H10,Aug!H10,Sep!H10)</f>
        <v>0</v>
      </c>
      <c r="I10" s="12">
        <f>SUM(Jul!I10, Aug!I10, Sep!I10)</f>
        <v>0</v>
      </c>
      <c r="J10" s="13" t="str">
        <f t="shared" si="2"/>
        <v/>
      </c>
    </row>
    <row r="11" spans="1:10" ht="15.6">
      <c r="A11" s="26" t="str">
        <v>Starshine</v>
      </c>
      <c r="B11" s="27" t="str">
        <v>AZ</v>
      </c>
      <c r="C11" s="27" t="str">
        <f>Sites[[#This Row],[SOL'#]]</f>
        <v>SOL-10757</v>
      </c>
      <c r="D11" s="9">
        <f>SUM(Jul!D11, Aug!D11, Sep!D11)</f>
        <v>0</v>
      </c>
      <c r="E11" s="14">
        <f>SUM(Jul!E11, Aug!E11, Sep!E11)</f>
        <v>0</v>
      </c>
      <c r="F11" s="14">
        <f t="shared" si="0"/>
        <v>0</v>
      </c>
      <c r="G11" s="15" t="str">
        <f t="shared" si="1"/>
        <v/>
      </c>
      <c r="H11" s="16">
        <f>SUM(Jul!H11,Aug!H11,Sep!H11)</f>
        <v>0</v>
      </c>
      <c r="I11" s="16">
        <f>SUM(Jul!I11, Aug!I11, Sep!I11)</f>
        <v>0</v>
      </c>
      <c r="J11" s="15" t="str">
        <f t="shared" si="2"/>
        <v/>
      </c>
    </row>
    <row r="12" spans="1:10" ht="15.6">
      <c r="A12" s="24" t="str">
        <v>Yuma Airport</v>
      </c>
      <c r="B12" s="25" t="str">
        <v>AZ</v>
      </c>
      <c r="C12" s="25" t="str">
        <f>Sites[[#This Row],[SOL'#]]</f>
        <v>SOL-10754</v>
      </c>
      <c r="D12" s="20">
        <f>SUM(Jul!D12, Aug!D12, Sep!D12)</f>
        <v>0</v>
      </c>
      <c r="E12" s="10">
        <f>SUM(Jul!E12, Aug!E12, Sep!E12)</f>
        <v>0</v>
      </c>
      <c r="F12" s="10">
        <f t="shared" si="0"/>
        <v>0</v>
      </c>
      <c r="G12" s="11" t="str">
        <f t="shared" si="1"/>
        <v/>
      </c>
      <c r="H12" s="12">
        <f>SUM(Jul!H12,Aug!H12,Sep!H12)</f>
        <v>0</v>
      </c>
      <c r="I12" s="12">
        <f>SUM(Jul!I12, Aug!I12, Sep!I12)</f>
        <v>0</v>
      </c>
      <c r="J12" s="13" t="str">
        <f t="shared" si="2"/>
        <v/>
      </c>
    </row>
    <row r="13" spans="1:10" ht="15.6">
      <c r="A13" s="26" t="str">
        <v>Kinsman</v>
      </c>
      <c r="B13" s="27" t="str">
        <v>OH</v>
      </c>
      <c r="C13" s="27" t="str">
        <f>Sites[[#This Row],[SOL'#]]</f>
        <v>SOL-10762</v>
      </c>
      <c r="D13" s="9">
        <f>SUM(Jul!D13, Aug!D13, Sep!D13)</f>
        <v>0</v>
      </c>
      <c r="E13" s="14">
        <f>SUM(Jul!E13, Aug!E13, Sep!E13)</f>
        <v>0</v>
      </c>
      <c r="F13" s="14">
        <f t="shared" si="0"/>
        <v>0</v>
      </c>
      <c r="G13" s="15" t="str">
        <f t="shared" si="1"/>
        <v/>
      </c>
      <c r="H13" s="16">
        <f>SUM(Jul!H13,Aug!H13,Sep!H13)</f>
        <v>0</v>
      </c>
      <c r="I13" s="16">
        <f>SUM(Jul!I13, Aug!I13, Sep!I13)</f>
        <v>0</v>
      </c>
      <c r="J13" s="15" t="str">
        <f t="shared" si="2"/>
        <v/>
      </c>
    </row>
    <row r="14" spans="1:10" ht="15.6">
      <c r="A14" s="24" t="str">
        <v>Wooster</v>
      </c>
      <c r="B14" s="25" t="str">
        <v>OH</v>
      </c>
      <c r="C14" s="25" t="str">
        <f>Sites[[#This Row],[SOL'#]]</f>
        <v>SOL-10763</v>
      </c>
      <c r="D14" s="20">
        <f>SUM(Jul!D14, Aug!D14, Sep!D14)</f>
        <v>0</v>
      </c>
      <c r="E14" s="10">
        <f>SUM(Jul!E14, Aug!E14, Sep!E14)</f>
        <v>0</v>
      </c>
      <c r="F14" s="10">
        <f t="shared" si="0"/>
        <v>0</v>
      </c>
      <c r="G14" s="11" t="str">
        <f t="shared" si="1"/>
        <v/>
      </c>
      <c r="H14" s="12">
        <f>SUM(Jul!H14,Aug!H14,Sep!H14)</f>
        <v>0</v>
      </c>
      <c r="I14" s="12">
        <f>SUM(Jul!I14, Aug!I14, Sep!I14)</f>
        <v>0</v>
      </c>
      <c r="J14" s="13" t="str">
        <f t="shared" si="2"/>
        <v/>
      </c>
    </row>
    <row r="15" spans="1:10" ht="15.6">
      <c r="A15" s="26" t="str">
        <v>Globe Gila CC</v>
      </c>
      <c r="B15" s="27" t="str">
        <v>AZ</v>
      </c>
      <c r="C15" s="27" t="str">
        <f>Sites[[#This Row],[SOL'#]]</f>
        <v>SOL-10755</v>
      </c>
      <c r="D15" s="9">
        <f>SUM(Jul!D15, Aug!D15, Sep!D15)</f>
        <v>0</v>
      </c>
      <c r="E15" s="14">
        <f>SUM(Jul!E15, Aug!E15, Sep!E15)</f>
        <v>0</v>
      </c>
      <c r="F15" s="14">
        <f t="shared" si="0"/>
        <v>0</v>
      </c>
      <c r="G15" s="15" t="str">
        <f t="shared" si="1"/>
        <v/>
      </c>
      <c r="H15" s="16">
        <f>SUM(Jul!H15,Aug!H15,Sep!H15)</f>
        <v>0</v>
      </c>
      <c r="I15" s="16">
        <f>SUM(Jul!I15, Aug!I15, Sep!I15)</f>
        <v>0</v>
      </c>
      <c r="J15" s="15" t="str">
        <f t="shared" si="2"/>
        <v/>
      </c>
    </row>
    <row r="16" spans="1:10" ht="15.6">
      <c r="A16" s="24" t="str">
        <v>Payson Gila CC</v>
      </c>
      <c r="B16" s="25" t="str">
        <v>AZ</v>
      </c>
      <c r="C16" s="25" t="str">
        <f>Sites[[#This Row],[SOL'#]]</f>
        <v>SOL-10756</v>
      </c>
      <c r="D16" s="20">
        <f>SUM(Jul!D16, Aug!D16, Sep!D16)</f>
        <v>0</v>
      </c>
      <c r="E16" s="10">
        <f>SUM(Jul!E16, Aug!E16, Sep!E16)</f>
        <v>0</v>
      </c>
      <c r="F16" s="10">
        <f t="shared" ref="F16" si="3">IF(AND(ISNUMBER(D16),ISNUMBER(E16)), D16-E16, "")</f>
        <v>0</v>
      </c>
      <c r="G16" s="11" t="str">
        <f t="shared" ref="G16" si="4">IFERROR(F16/E16, "")</f>
        <v/>
      </c>
      <c r="H16" s="12">
        <f>SUM(Jul!H16,Aug!H16,Sep!H16)</f>
        <v>0</v>
      </c>
      <c r="I16" s="12">
        <f>SUM(Jul!I16, Aug!I16, Sep!I16)</f>
        <v>0</v>
      </c>
      <c r="J16" s="13" t="str">
        <f t="shared" ref="J16" si="5">IFERROR(I16/H16, "")</f>
        <v/>
      </c>
    </row>
    <row r="17" spans="1:10" ht="15.6">
      <c r="A17" s="26" t="str">
        <v>SCNM</v>
      </c>
      <c r="B17" s="27" t="str">
        <v>AZ</v>
      </c>
      <c r="C17" s="27" t="str">
        <f>Sites[[#This Row],[SOL'#]]</f>
        <v>SOL-10760</v>
      </c>
      <c r="D17" s="9">
        <f>SUM(Jul!D17, Aug!D17, Sep!D17)</f>
        <v>0</v>
      </c>
      <c r="E17" s="14">
        <f>SUM(Jul!E17, Aug!E17, Sep!E17)</f>
        <v>0</v>
      </c>
      <c r="F17" s="14">
        <f t="shared" ref="F17:F80" si="6">IF(AND(ISNUMBER(D17),ISNUMBER(E17)), D17-E17, "")</f>
        <v>0</v>
      </c>
      <c r="G17" s="15" t="str">
        <f t="shared" ref="G17:G80" si="7">IFERROR(F17/E17, "")</f>
        <v/>
      </c>
      <c r="H17" s="16">
        <f>SUM(Jul!H17,Aug!H17,Sep!H17)</f>
        <v>0</v>
      </c>
      <c r="I17" s="16">
        <f>SUM(Jul!I17, Aug!I17, Sep!I17)</f>
        <v>0</v>
      </c>
      <c r="J17" s="15" t="str">
        <f t="shared" ref="J17:J80" si="8">IFERROR(I17/H17, "")</f>
        <v/>
      </c>
    </row>
    <row r="18" spans="1:10" ht="12.75" customHeight="1">
      <c r="A18" s="24" t="str">
        <v>Sequoia Charter School</v>
      </c>
      <c r="B18" s="25" t="str">
        <v>AZ</v>
      </c>
      <c r="C18" s="25" t="str">
        <f>Sites[[#This Row],[SOL'#]]</f>
        <v>SOL-10759</v>
      </c>
      <c r="D18" s="20">
        <f>SUM(Jul!D18, Aug!D18, Sep!D18)</f>
        <v>0</v>
      </c>
      <c r="E18" s="10">
        <f>SUM(Jul!E18, Aug!E18, Sep!E18)</f>
        <v>0</v>
      </c>
      <c r="F18" s="10">
        <f t="shared" si="6"/>
        <v>0</v>
      </c>
      <c r="G18" s="11" t="str">
        <f t="shared" si="7"/>
        <v/>
      </c>
      <c r="H18" s="12">
        <f>SUM(Jul!H18,Aug!H18,Sep!H18)</f>
        <v>0</v>
      </c>
      <c r="I18" s="12">
        <f>SUM(Jul!I18, Aug!I18, Sep!I18)</f>
        <v>0</v>
      </c>
      <c r="J18" s="13" t="str">
        <f t="shared" si="8"/>
        <v/>
      </c>
    </row>
    <row r="19" spans="1:10" ht="15.6">
      <c r="A19" s="26" t="str">
        <v>RCAB</v>
      </c>
      <c r="B19" s="27" t="str">
        <v>MA</v>
      </c>
      <c r="C19" s="27" t="str">
        <f>Sites[[#This Row],[SOL'#]]</f>
        <v>SOL-10838</v>
      </c>
      <c r="D19" s="9">
        <f>SUM(Jul!D19, Aug!D19, Sep!D19)</f>
        <v>0</v>
      </c>
      <c r="E19" s="14">
        <f>SUM(Jul!E19, Aug!E19, Sep!E19)</f>
        <v>0</v>
      </c>
      <c r="F19" s="14">
        <f t="shared" si="6"/>
        <v>0</v>
      </c>
      <c r="G19" s="15" t="str">
        <f t="shared" si="7"/>
        <v/>
      </c>
      <c r="H19" s="16">
        <f>SUM(Jul!H19,Aug!H19,Sep!H19)</f>
        <v>0</v>
      </c>
      <c r="I19" s="16">
        <f>SUM(Jul!I19, Aug!I19, Sep!I19)</f>
        <v>0</v>
      </c>
      <c r="J19" s="15" t="str">
        <f t="shared" si="8"/>
        <v/>
      </c>
    </row>
    <row r="20" spans="1:10" ht="15.6">
      <c r="A20" s="24" t="str">
        <v>Spectro Coatings</v>
      </c>
      <c r="B20" s="25" t="str">
        <v>MA</v>
      </c>
      <c r="C20" s="25" t="str">
        <f>Sites[[#This Row],[SOL'#]]</f>
        <v>SOL-10074</v>
      </c>
      <c r="D20" s="20">
        <f>SUM(Jul!D20, Aug!D20, Sep!D20)</f>
        <v>0</v>
      </c>
      <c r="E20" s="10">
        <f>SUM(Jul!E20, Aug!E20, Sep!E20)</f>
        <v>0</v>
      </c>
      <c r="F20" s="10">
        <f t="shared" si="6"/>
        <v>0</v>
      </c>
      <c r="G20" s="11" t="str">
        <f t="shared" si="7"/>
        <v/>
      </c>
      <c r="H20" s="12">
        <f>SUM(Jul!H20,Aug!H20,Sep!H20)</f>
        <v>0</v>
      </c>
      <c r="I20" s="12">
        <f>SUM(Jul!I20, Aug!I20, Sep!I20)</f>
        <v>0</v>
      </c>
      <c r="J20" s="13" t="str">
        <f t="shared" si="8"/>
        <v/>
      </c>
    </row>
    <row r="21" spans="1:10" ht="15.6">
      <c r="A21" s="26" t="str">
        <v>K026</v>
      </c>
      <c r="B21" s="27" t="str">
        <v>NY</v>
      </c>
      <c r="C21" s="27" t="str">
        <f>Sites[[#This Row],[SOL'#]]</f>
        <v>SOL-10356</v>
      </c>
      <c r="D21" s="9">
        <f>SUM(Jul!D21, Aug!D21, Sep!D21)</f>
        <v>0</v>
      </c>
      <c r="E21" s="14">
        <f>SUM(Jul!E21, Aug!E21, Sep!E21)</f>
        <v>0</v>
      </c>
      <c r="F21" s="14">
        <f t="shared" si="6"/>
        <v>0</v>
      </c>
      <c r="G21" s="15" t="str">
        <f t="shared" si="7"/>
        <v/>
      </c>
      <c r="H21" s="16">
        <f>SUM(Jul!H21,Aug!H21,Sep!H21)</f>
        <v>0</v>
      </c>
      <c r="I21" s="16">
        <f>SUM(Jul!I21, Aug!I21, Sep!I21)</f>
        <v>0</v>
      </c>
      <c r="J21" s="15" t="str">
        <f t="shared" si="8"/>
        <v/>
      </c>
    </row>
    <row r="22" spans="1:10" ht="15.6">
      <c r="A22" s="24" t="str">
        <v>K041</v>
      </c>
      <c r="B22" s="25" t="str">
        <v>NY</v>
      </c>
      <c r="C22" s="25" t="str">
        <f>Sites[[#This Row],[SOL'#]]</f>
        <v>SOL-10357</v>
      </c>
      <c r="D22" s="20">
        <f>SUM(Jul!D22, Aug!D22, Sep!D22)</f>
        <v>0</v>
      </c>
      <c r="E22" s="10">
        <f>SUM(Jul!E22, Aug!E22, Sep!E22)</f>
        <v>0</v>
      </c>
      <c r="F22" s="10">
        <f t="shared" si="6"/>
        <v>0</v>
      </c>
      <c r="G22" s="11" t="str">
        <f t="shared" si="7"/>
        <v/>
      </c>
      <c r="H22" s="12">
        <f>SUM(Jul!H22,Aug!H22,Sep!H22)</f>
        <v>0</v>
      </c>
      <c r="I22" s="12">
        <f>SUM(Jul!I22, Aug!I22, Sep!I22)</f>
        <v>0</v>
      </c>
      <c r="J22" s="13" t="str">
        <f t="shared" si="8"/>
        <v/>
      </c>
    </row>
    <row r="23" spans="1:10" ht="15.6">
      <c r="A23" s="26" t="str">
        <v>K043</v>
      </c>
      <c r="B23" s="27" t="str">
        <v>NY</v>
      </c>
      <c r="C23" s="27" t="str">
        <f>Sites[[#This Row],[SOL'#]]</f>
        <v>SOL-10358</v>
      </c>
      <c r="D23" s="9">
        <f>SUM(Jul!D23, Aug!D23, Sep!D23)</f>
        <v>0</v>
      </c>
      <c r="E23" s="14">
        <f>SUM(Jul!E23, Aug!E23, Sep!E23)</f>
        <v>0</v>
      </c>
      <c r="F23" s="14">
        <f t="shared" si="6"/>
        <v>0</v>
      </c>
      <c r="G23" s="15" t="str">
        <f t="shared" si="7"/>
        <v/>
      </c>
      <c r="H23" s="16">
        <f>SUM(Jul!H23,Aug!H23,Sep!H23)</f>
        <v>0</v>
      </c>
      <c r="I23" s="16">
        <f>SUM(Jul!I23, Aug!I23, Sep!I23)</f>
        <v>0</v>
      </c>
      <c r="J23" s="15" t="str">
        <f t="shared" si="8"/>
        <v/>
      </c>
    </row>
    <row r="24" spans="1:10" ht="15.6">
      <c r="A24" s="24" t="str">
        <v>K058</v>
      </c>
      <c r="B24" s="25" t="str">
        <v>NY</v>
      </c>
      <c r="C24" s="25" t="str">
        <f>Sites[[#This Row],[SOL'#]]</f>
        <v>SOL-10360</v>
      </c>
      <c r="D24" s="20">
        <f>SUM(Jul!D24, Aug!D24, Sep!D24)</f>
        <v>0</v>
      </c>
      <c r="E24" s="10">
        <f>SUM(Jul!E24, Aug!E24, Sep!E24)</f>
        <v>0</v>
      </c>
      <c r="F24" s="10">
        <f t="shared" si="6"/>
        <v>0</v>
      </c>
      <c r="G24" s="11" t="str">
        <f t="shared" si="7"/>
        <v/>
      </c>
      <c r="H24" s="12">
        <f>SUM(Jul!H24,Aug!H24,Sep!H24)</f>
        <v>0</v>
      </c>
      <c r="I24" s="12">
        <f>SUM(Jul!I24, Aug!I24, Sep!I24)</f>
        <v>0</v>
      </c>
      <c r="J24" s="13" t="str">
        <f t="shared" si="8"/>
        <v/>
      </c>
    </row>
    <row r="25" spans="1:10" ht="15.6">
      <c r="A25" s="26" t="str">
        <v>K115</v>
      </c>
      <c r="B25" s="27" t="str">
        <v>NY</v>
      </c>
      <c r="C25" s="27" t="str">
        <f>Sites[[#This Row],[SOL'#]]</f>
        <v>SOL-10361</v>
      </c>
      <c r="D25" s="9">
        <f>SUM(Jul!D25, Aug!D25, Sep!D25)</f>
        <v>0</v>
      </c>
      <c r="E25" s="14">
        <f>SUM(Jul!E25, Aug!E25, Sep!E25)</f>
        <v>0</v>
      </c>
      <c r="F25" s="14">
        <f t="shared" si="6"/>
        <v>0</v>
      </c>
      <c r="G25" s="15" t="str">
        <f t="shared" si="7"/>
        <v/>
      </c>
      <c r="H25" s="16">
        <f>SUM(Jul!H25,Aug!H25,Sep!H25)</f>
        <v>0</v>
      </c>
      <c r="I25" s="16">
        <f>SUM(Jul!I25, Aug!I25, Sep!I25)</f>
        <v>0</v>
      </c>
      <c r="J25" s="15" t="str">
        <f t="shared" si="8"/>
        <v/>
      </c>
    </row>
    <row r="26" spans="1:10" ht="15.6">
      <c r="A26" s="24" t="str">
        <v>K152</v>
      </c>
      <c r="B26" s="25" t="str">
        <v>NY</v>
      </c>
      <c r="C26" s="25" t="str">
        <f>Sites[[#This Row],[SOL'#]]</f>
        <v>SOL-10362</v>
      </c>
      <c r="D26" s="20">
        <f>SUM(Jul!D26, Aug!D26, Sep!D26)</f>
        <v>0</v>
      </c>
      <c r="E26" s="10">
        <f>SUM(Jul!E26, Aug!E26, Sep!E26)</f>
        <v>0</v>
      </c>
      <c r="F26" s="10">
        <f t="shared" si="6"/>
        <v>0</v>
      </c>
      <c r="G26" s="11" t="str">
        <f t="shared" si="7"/>
        <v/>
      </c>
      <c r="H26" s="12">
        <f>SUM(Jul!H26,Aug!H26,Sep!H26)</f>
        <v>0</v>
      </c>
      <c r="I26" s="12">
        <f>SUM(Jul!I26, Aug!I26, Sep!I26)</f>
        <v>0</v>
      </c>
      <c r="J26" s="13" t="str">
        <f t="shared" si="8"/>
        <v/>
      </c>
    </row>
    <row r="27" spans="1:10" ht="15.6">
      <c r="A27" s="26" t="str">
        <v>K166</v>
      </c>
      <c r="B27" s="27" t="str">
        <v>NY</v>
      </c>
      <c r="C27" s="27" t="str">
        <f>Sites[[#This Row],[SOL'#]]</f>
        <v>SOL-10363</v>
      </c>
      <c r="D27" s="9">
        <f>SUM(Jul!D27, Aug!D27, Sep!D27)</f>
        <v>0</v>
      </c>
      <c r="E27" s="14">
        <f>SUM(Jul!E27, Aug!E27, Sep!E27)</f>
        <v>0</v>
      </c>
      <c r="F27" s="14">
        <f t="shared" si="6"/>
        <v>0</v>
      </c>
      <c r="G27" s="15" t="str">
        <f t="shared" si="7"/>
        <v/>
      </c>
      <c r="H27" s="16">
        <f>SUM(Jul!H27,Aug!H27,Sep!H27)</f>
        <v>0</v>
      </c>
      <c r="I27" s="16">
        <f>SUM(Jul!I27, Aug!I27, Sep!I27)</f>
        <v>0</v>
      </c>
      <c r="J27" s="15" t="str">
        <f t="shared" si="8"/>
        <v/>
      </c>
    </row>
    <row r="28" spans="1:10" ht="15.6">
      <c r="A28" s="24" t="str">
        <v>K206</v>
      </c>
      <c r="B28" s="25" t="str">
        <v>NY</v>
      </c>
      <c r="C28" s="25" t="str">
        <f>Sites[[#This Row],[SOL'#]]</f>
        <v>SOL-10927</v>
      </c>
      <c r="D28" s="20">
        <f>SUM(Jul!D28, Aug!D28, Sep!D28)</f>
        <v>0</v>
      </c>
      <c r="E28" s="10">
        <f>SUM(Jul!E28, Aug!E28, Sep!E28)</f>
        <v>0</v>
      </c>
      <c r="F28" s="10">
        <f t="shared" si="6"/>
        <v>0</v>
      </c>
      <c r="G28" s="11" t="str">
        <f t="shared" si="7"/>
        <v/>
      </c>
      <c r="H28" s="12">
        <f>SUM(Jul!H28,Aug!H28,Sep!H28)</f>
        <v>0</v>
      </c>
      <c r="I28" s="12">
        <f>SUM(Jul!I28, Aug!I28, Sep!I28)</f>
        <v>0</v>
      </c>
      <c r="J28" s="13" t="str">
        <f t="shared" si="8"/>
        <v/>
      </c>
    </row>
    <row r="29" spans="1:10" ht="15.6">
      <c r="A29" s="26" t="str">
        <v>K251</v>
      </c>
      <c r="B29" s="27" t="str">
        <v>NY</v>
      </c>
      <c r="C29" s="27" t="str">
        <f>Sites[[#This Row],[SOL'#]]</f>
        <v>SOL-10365</v>
      </c>
      <c r="D29" s="9">
        <f>SUM(Jul!D29, Aug!D29, Sep!D29)</f>
        <v>0</v>
      </c>
      <c r="E29" s="14">
        <f>SUM(Jul!E29, Aug!E29, Sep!E29)</f>
        <v>0</v>
      </c>
      <c r="F29" s="14">
        <f t="shared" si="6"/>
        <v>0</v>
      </c>
      <c r="G29" s="15" t="str">
        <f t="shared" si="7"/>
        <v/>
      </c>
      <c r="H29" s="16">
        <f>SUM(Jul!H29,Aug!H29,Sep!H29)</f>
        <v>0</v>
      </c>
      <c r="I29" s="16">
        <f>SUM(Jul!I29, Aug!I29, Sep!I29)</f>
        <v>0</v>
      </c>
      <c r="J29" s="15" t="str">
        <f t="shared" si="8"/>
        <v/>
      </c>
    </row>
    <row r="30" spans="1:10" ht="15.6">
      <c r="A30" s="24" t="str">
        <v>K269</v>
      </c>
      <c r="B30" s="25" t="str">
        <v>NY</v>
      </c>
      <c r="C30" s="25" t="str">
        <f>Sites[[#This Row],[SOL'#]]</f>
        <v>SOL-10366</v>
      </c>
      <c r="D30" s="20">
        <f>SUM(Jul!D30, Aug!D30, Sep!D30)</f>
        <v>0</v>
      </c>
      <c r="E30" s="10">
        <f>SUM(Jul!E30, Aug!E30, Sep!E30)</f>
        <v>0</v>
      </c>
      <c r="F30" s="10">
        <f t="shared" si="6"/>
        <v>0</v>
      </c>
      <c r="G30" s="11" t="str">
        <f t="shared" si="7"/>
        <v/>
      </c>
      <c r="H30" s="12">
        <f>SUM(Jul!H30,Aug!H30,Sep!H30)</f>
        <v>0</v>
      </c>
      <c r="I30" s="12">
        <f>SUM(Jul!I30, Aug!I30, Sep!I30)</f>
        <v>0</v>
      </c>
      <c r="J30" s="13" t="str">
        <f t="shared" si="8"/>
        <v/>
      </c>
    </row>
    <row r="31" spans="1:10" ht="15.6">
      <c r="A31" s="26" t="str">
        <v>K273</v>
      </c>
      <c r="B31" s="27" t="str">
        <v>NY</v>
      </c>
      <c r="C31" s="27" t="str">
        <f>Sites[[#This Row],[SOL'#]]</f>
        <v>SOL-10367</v>
      </c>
      <c r="D31" s="9">
        <f>SUM(Jul!D31, Aug!D31, Sep!D31)</f>
        <v>0</v>
      </c>
      <c r="E31" s="14">
        <f>SUM(Jul!E31, Aug!E31, Sep!E31)</f>
        <v>0</v>
      </c>
      <c r="F31" s="14">
        <f t="shared" si="6"/>
        <v>0</v>
      </c>
      <c r="G31" s="15" t="str">
        <f t="shared" si="7"/>
        <v/>
      </c>
      <c r="H31" s="16">
        <f>SUM(Jul!H31,Aug!H31,Sep!H31)</f>
        <v>0</v>
      </c>
      <c r="I31" s="16">
        <f>SUM(Jul!I31, Aug!I31, Sep!I31)</f>
        <v>0</v>
      </c>
      <c r="J31" s="15" t="str">
        <f t="shared" si="8"/>
        <v/>
      </c>
    </row>
    <row r="32" spans="1:10" ht="15.6">
      <c r="A32" s="24" t="str">
        <v>K287</v>
      </c>
      <c r="B32" s="25" t="str">
        <v>NY</v>
      </c>
      <c r="C32" s="25" t="str">
        <f>Sites[[#This Row],[SOL'#]]</f>
        <v>SOL-10919</v>
      </c>
      <c r="D32" s="20">
        <f>SUM(Jul!D32, Aug!D32, Sep!D32)</f>
        <v>0</v>
      </c>
      <c r="E32" s="10">
        <f>SUM(Jul!E32, Aug!E32, Sep!E32)</f>
        <v>0</v>
      </c>
      <c r="F32" s="10">
        <f t="shared" si="6"/>
        <v>0</v>
      </c>
      <c r="G32" s="11" t="str">
        <f t="shared" si="7"/>
        <v/>
      </c>
      <c r="H32" s="12">
        <f>SUM(Jul!H32,Aug!H32,Sep!H32)</f>
        <v>0</v>
      </c>
      <c r="I32" s="12">
        <f>SUM(Jul!I32, Aug!I32, Sep!I32)</f>
        <v>0</v>
      </c>
      <c r="J32" s="13" t="str">
        <f t="shared" si="8"/>
        <v/>
      </c>
    </row>
    <row r="33" spans="1:10" ht="15.6">
      <c r="A33" s="26" t="str">
        <v>K298</v>
      </c>
      <c r="B33" s="27" t="str">
        <v>NY</v>
      </c>
      <c r="C33" s="27" t="str">
        <f>Sites[[#This Row],[SOL'#]]</f>
        <v>SOL-10368</v>
      </c>
      <c r="D33" s="9">
        <f>SUM(Jul!D33, Aug!D33, Sep!D33)</f>
        <v>0</v>
      </c>
      <c r="E33" s="14">
        <f>SUM(Jul!E33, Aug!E33, Sep!E33)</f>
        <v>0</v>
      </c>
      <c r="F33" s="14">
        <f t="shared" si="6"/>
        <v>0</v>
      </c>
      <c r="G33" s="15" t="str">
        <f t="shared" si="7"/>
        <v/>
      </c>
      <c r="H33" s="16">
        <f>SUM(Jul!H33,Aug!H33,Sep!H33)</f>
        <v>0</v>
      </c>
      <c r="I33" s="16">
        <f>SUM(Jul!I33, Aug!I33, Sep!I33)</f>
        <v>0</v>
      </c>
      <c r="J33" s="15" t="str">
        <f t="shared" si="8"/>
        <v/>
      </c>
    </row>
    <row r="34" spans="1:10" ht="15.6">
      <c r="A34" s="24" t="str">
        <v>K335</v>
      </c>
      <c r="B34" s="25" t="str">
        <v>NY</v>
      </c>
      <c r="C34" s="25" t="str">
        <f>Sites[[#This Row],[SOL'#]]</f>
        <v>SOL-10370</v>
      </c>
      <c r="D34" s="20">
        <f>SUM(Jul!D34, Aug!D34, Sep!D34)</f>
        <v>0</v>
      </c>
      <c r="E34" s="10">
        <f>SUM(Jul!E34, Aug!E34, Sep!E34)</f>
        <v>0</v>
      </c>
      <c r="F34" s="10">
        <f t="shared" si="6"/>
        <v>0</v>
      </c>
      <c r="G34" s="11" t="str">
        <f t="shared" si="7"/>
        <v/>
      </c>
      <c r="H34" s="12">
        <f>SUM(Jul!H34,Aug!H34,Sep!H34)</f>
        <v>0</v>
      </c>
      <c r="I34" s="12">
        <f>SUM(Jul!I34, Aug!I34, Sep!I34)</f>
        <v>0</v>
      </c>
      <c r="J34" s="13" t="str">
        <f t="shared" si="8"/>
        <v/>
      </c>
    </row>
    <row r="35" spans="1:10" ht="15.6">
      <c r="A35" s="26" t="str">
        <v>K345</v>
      </c>
      <c r="B35" s="27" t="str">
        <v>NY</v>
      </c>
      <c r="C35" s="27" t="str">
        <f>Sites[[#This Row],[SOL'#]]</f>
        <v>SOL-10920</v>
      </c>
      <c r="D35" s="9">
        <f>SUM(Jul!D35, Aug!D35, Sep!D35)</f>
        <v>0</v>
      </c>
      <c r="E35" s="14">
        <f>SUM(Jul!E35, Aug!E35, Sep!E35)</f>
        <v>0</v>
      </c>
      <c r="F35" s="14">
        <f t="shared" si="6"/>
        <v>0</v>
      </c>
      <c r="G35" s="15" t="str">
        <f t="shared" si="7"/>
        <v/>
      </c>
      <c r="H35" s="16">
        <f>SUM(Jul!H35,Aug!H35,Sep!H35)</f>
        <v>0</v>
      </c>
      <c r="I35" s="16">
        <f>SUM(Jul!I35, Aug!I35, Sep!I35)</f>
        <v>0</v>
      </c>
      <c r="J35" s="15" t="str">
        <f t="shared" si="8"/>
        <v/>
      </c>
    </row>
    <row r="36" spans="1:10" ht="15.6">
      <c r="A36" s="24" t="str">
        <v>K445</v>
      </c>
      <c r="B36" s="25" t="str">
        <v>NY</v>
      </c>
      <c r="C36" s="25" t="str">
        <f>Sites[[#This Row],[SOL'#]]</f>
        <v>SOL-10373</v>
      </c>
      <c r="D36" s="20">
        <f>SUM(Jul!D36, Aug!D36, Sep!D36)</f>
        <v>0</v>
      </c>
      <c r="E36" s="10">
        <f>SUM(Jul!E36, Aug!E36, Sep!E36)</f>
        <v>0</v>
      </c>
      <c r="F36" s="10">
        <f t="shared" si="6"/>
        <v>0</v>
      </c>
      <c r="G36" s="11" t="str">
        <f t="shared" si="7"/>
        <v/>
      </c>
      <c r="H36" s="12">
        <f>SUM(Jul!H36,Aug!H36,Sep!H36)</f>
        <v>0</v>
      </c>
      <c r="I36" s="12">
        <f>SUM(Jul!I36, Aug!I36, Sep!I36)</f>
        <v>0</v>
      </c>
      <c r="J36" s="13" t="str">
        <f t="shared" si="8"/>
        <v/>
      </c>
    </row>
    <row r="37" spans="1:10" ht="15.6">
      <c r="A37" s="26" t="str">
        <v>K495</v>
      </c>
      <c r="B37" s="27" t="str">
        <v>NY</v>
      </c>
      <c r="C37" s="27" t="str">
        <f>Sites[[#This Row],[SOL'#]]</f>
        <v>SOL-10374</v>
      </c>
      <c r="D37" s="9">
        <f>SUM(Jul!D37, Aug!D37, Sep!D37)</f>
        <v>0</v>
      </c>
      <c r="E37" s="14">
        <f>SUM(Jul!E37, Aug!E37, Sep!E37)</f>
        <v>0</v>
      </c>
      <c r="F37" s="14">
        <f t="shared" si="6"/>
        <v>0</v>
      </c>
      <c r="G37" s="15" t="str">
        <f t="shared" si="7"/>
        <v/>
      </c>
      <c r="H37" s="16">
        <f>SUM(Jul!H37,Aug!H37,Sep!H37)</f>
        <v>0</v>
      </c>
      <c r="I37" s="16">
        <f>SUM(Jul!I37, Aug!I37, Sep!I37)</f>
        <v>0</v>
      </c>
      <c r="J37" s="15" t="str">
        <f t="shared" si="8"/>
        <v/>
      </c>
    </row>
    <row r="38" spans="1:10" ht="15.6">
      <c r="A38" s="24" t="str">
        <v>M020</v>
      </c>
      <c r="B38" s="25" t="str">
        <v>NY</v>
      </c>
      <c r="C38" s="25" t="str">
        <f>Sites[[#This Row],[SOL'#]]</f>
        <v>SOL-10380</v>
      </c>
      <c r="D38" s="20">
        <f>SUM(Jul!D38, Aug!D38, Sep!D38)</f>
        <v>0</v>
      </c>
      <c r="E38" s="10">
        <f>SUM(Jul!E38, Aug!E38, Sep!E38)</f>
        <v>0</v>
      </c>
      <c r="F38" s="10">
        <f t="shared" si="6"/>
        <v>0</v>
      </c>
      <c r="G38" s="11" t="str">
        <f t="shared" si="7"/>
        <v/>
      </c>
      <c r="H38" s="12">
        <f>SUM(Jul!H38,Aug!H38,Sep!H38)</f>
        <v>0</v>
      </c>
      <c r="I38" s="12">
        <f>SUM(Jul!I38, Aug!I38, Sep!I38)</f>
        <v>0</v>
      </c>
      <c r="J38" s="13" t="str">
        <f t="shared" si="8"/>
        <v/>
      </c>
    </row>
    <row r="39" spans="1:10" ht="15.6">
      <c r="A39" s="26" t="str">
        <v>M092</v>
      </c>
      <c r="B39" s="27" t="str">
        <v>NY</v>
      </c>
      <c r="C39" s="27" t="str">
        <f>Sites[[#This Row],[SOL'#]]</f>
        <v>SOL-10383</v>
      </c>
      <c r="D39" s="9">
        <f>SUM(Jul!D39, Aug!D39, Sep!D39)</f>
        <v>0</v>
      </c>
      <c r="E39" s="14">
        <f>SUM(Jul!E39, Aug!E39, Sep!E39)</f>
        <v>0</v>
      </c>
      <c r="F39" s="14">
        <f t="shared" si="6"/>
        <v>0</v>
      </c>
      <c r="G39" s="15" t="str">
        <f t="shared" si="7"/>
        <v/>
      </c>
      <c r="H39" s="16">
        <f>SUM(Jul!H39,Aug!H39,Sep!H39)</f>
        <v>0</v>
      </c>
      <c r="I39" s="16">
        <f>SUM(Jul!I39, Aug!I39, Sep!I39)</f>
        <v>0</v>
      </c>
      <c r="J39" s="15" t="str">
        <f t="shared" si="8"/>
        <v/>
      </c>
    </row>
    <row r="40" spans="1:10" ht="15.6">
      <c r="A40" s="24" t="str">
        <v>M143</v>
      </c>
      <c r="B40" s="25" t="str">
        <v>NY</v>
      </c>
      <c r="C40" s="25" t="str">
        <f>Sites[[#This Row],[SOL'#]]</f>
        <v>SOL-10384</v>
      </c>
      <c r="D40" s="20">
        <f>SUM(Jul!D40, Aug!D40, Sep!D40)</f>
        <v>0</v>
      </c>
      <c r="E40" s="10">
        <f>SUM(Jul!E40, Aug!E40, Sep!E40)</f>
        <v>0</v>
      </c>
      <c r="F40" s="10">
        <f t="shared" si="6"/>
        <v>0</v>
      </c>
      <c r="G40" s="11" t="str">
        <f t="shared" si="7"/>
        <v/>
      </c>
      <c r="H40" s="12">
        <f>SUM(Jul!H40,Aug!H40,Sep!H40)</f>
        <v>0</v>
      </c>
      <c r="I40" s="12">
        <f>SUM(Jul!I40, Aug!I40, Sep!I40)</f>
        <v>0</v>
      </c>
      <c r="J40" s="13" t="str">
        <f t="shared" si="8"/>
        <v/>
      </c>
    </row>
    <row r="41" spans="1:10" ht="15.6">
      <c r="A41" s="26" t="str">
        <v>M144</v>
      </c>
      <c r="B41" s="27" t="str">
        <v>NY</v>
      </c>
      <c r="C41" s="27" t="str">
        <f>Sites[[#This Row],[SOL'#]]</f>
        <v>SOL-10385</v>
      </c>
      <c r="D41" s="9">
        <f>SUM(Jul!D41, Aug!D41, Sep!D41)</f>
        <v>0</v>
      </c>
      <c r="E41" s="14">
        <f>SUM(Jul!E41, Aug!E41, Sep!E41)</f>
        <v>0</v>
      </c>
      <c r="F41" s="14">
        <f t="shared" si="6"/>
        <v>0</v>
      </c>
      <c r="G41" s="15" t="str">
        <f t="shared" si="7"/>
        <v/>
      </c>
      <c r="H41" s="16">
        <f>SUM(Jul!H41,Aug!H41,Sep!H41)</f>
        <v>0</v>
      </c>
      <c r="I41" s="16">
        <f>SUM(Jul!I41, Aug!I41, Sep!I41)</f>
        <v>0</v>
      </c>
      <c r="J41" s="15" t="str">
        <f t="shared" si="8"/>
        <v/>
      </c>
    </row>
    <row r="42" spans="1:10" ht="15.6">
      <c r="A42" s="24" t="str">
        <v>M167</v>
      </c>
      <c r="B42" s="25" t="str">
        <v>NY</v>
      </c>
      <c r="C42" s="25" t="str">
        <f>Sites[[#This Row],[SOL'#]]</f>
        <v>SOL-10386</v>
      </c>
      <c r="D42" s="20">
        <f>SUM(Jul!D42, Aug!D42, Sep!D42)</f>
        <v>0</v>
      </c>
      <c r="E42" s="10">
        <f>SUM(Jul!E42, Aug!E42, Sep!E42)</f>
        <v>0</v>
      </c>
      <c r="F42" s="10">
        <f t="shared" si="6"/>
        <v>0</v>
      </c>
      <c r="G42" s="11" t="str">
        <f t="shared" si="7"/>
        <v/>
      </c>
      <c r="H42" s="12">
        <f>SUM(Jul!H42,Aug!H42,Sep!H42)</f>
        <v>0</v>
      </c>
      <c r="I42" s="12">
        <f>SUM(Jul!I42, Aug!I42, Sep!I42)</f>
        <v>0</v>
      </c>
      <c r="J42" s="13" t="str">
        <f t="shared" si="8"/>
        <v/>
      </c>
    </row>
    <row r="43" spans="1:10" ht="15.6">
      <c r="A43" s="26" t="str">
        <v>M188</v>
      </c>
      <c r="B43" s="27" t="str">
        <v>NY</v>
      </c>
      <c r="C43" s="27" t="str">
        <f>Sites[[#This Row],[SOL'#]]</f>
        <v>SOL-10387</v>
      </c>
      <c r="D43" s="9">
        <f>SUM(Jul!D43, Aug!D43, Sep!D43)</f>
        <v>0</v>
      </c>
      <c r="E43" s="14">
        <f>SUM(Jul!E43, Aug!E43, Sep!E43)</f>
        <v>0</v>
      </c>
      <c r="F43" s="14">
        <f t="shared" si="6"/>
        <v>0</v>
      </c>
      <c r="G43" s="15" t="str">
        <f t="shared" si="7"/>
        <v/>
      </c>
      <c r="H43" s="16">
        <f>SUM(Jul!H43,Aug!H43,Sep!H43)</f>
        <v>0</v>
      </c>
      <c r="I43" s="16">
        <f>SUM(Jul!I43, Aug!I43, Sep!I43)</f>
        <v>0</v>
      </c>
      <c r="J43" s="15" t="str">
        <f t="shared" si="8"/>
        <v/>
      </c>
    </row>
    <row r="44" spans="1:10" ht="15.6">
      <c r="A44" s="24" t="str">
        <v>EMHC</v>
      </c>
      <c r="B44" s="25" t="str">
        <v>NY</v>
      </c>
      <c r="C44" s="25" t="str">
        <f>Sites[[#This Row],[SOL'#]]</f>
        <v>SOL-10351</v>
      </c>
      <c r="D44" s="20">
        <f>SUM(Jul!D44, Aug!D44, Sep!D44)</f>
        <v>0</v>
      </c>
      <c r="E44" s="10">
        <f>SUM(Jul!E44, Aug!E44, Sep!E44)</f>
        <v>0</v>
      </c>
      <c r="F44" s="10">
        <f t="shared" si="6"/>
        <v>0</v>
      </c>
      <c r="G44" s="11" t="str">
        <f t="shared" si="7"/>
        <v/>
      </c>
      <c r="H44" s="12">
        <f>SUM(Jul!H44,Aug!H44,Sep!H44)</f>
        <v>0</v>
      </c>
      <c r="I44" s="12">
        <f>SUM(Jul!I44, Aug!I44, Sep!I44)</f>
        <v>0</v>
      </c>
      <c r="J44" s="13" t="str">
        <f t="shared" si="8"/>
        <v/>
      </c>
    </row>
    <row r="45" spans="1:10" ht="15.6">
      <c r="A45" s="26" t="str">
        <v>Q008</v>
      </c>
      <c r="B45" s="27" t="str">
        <v>NY</v>
      </c>
      <c r="C45" s="27" t="str">
        <f>Sites[[#This Row],[SOL'#]]</f>
        <v>SOL-10397</v>
      </c>
      <c r="D45" s="9">
        <f>SUM(Jul!D45, Aug!D45, Sep!D45)</f>
        <v>0</v>
      </c>
      <c r="E45" s="14">
        <f>SUM(Jul!E45, Aug!E45, Sep!E45)</f>
        <v>0</v>
      </c>
      <c r="F45" s="14">
        <f t="shared" si="6"/>
        <v>0</v>
      </c>
      <c r="G45" s="15" t="str">
        <f t="shared" si="7"/>
        <v/>
      </c>
      <c r="H45" s="16">
        <f>SUM(Jul!H45,Aug!H45,Sep!H45)</f>
        <v>0</v>
      </c>
      <c r="I45" s="16">
        <f>SUM(Jul!I45, Aug!I45, Sep!I45)</f>
        <v>0</v>
      </c>
      <c r="J45" s="15" t="str">
        <f t="shared" si="8"/>
        <v/>
      </c>
    </row>
    <row r="46" spans="1:10" ht="15.6">
      <c r="A46" s="24" t="str">
        <v>Q018</v>
      </c>
      <c r="B46" s="25" t="str">
        <v>NY</v>
      </c>
      <c r="C46" s="25" t="str">
        <f>Sites[[#This Row],[SOL'#]]</f>
        <v>SOL-10398</v>
      </c>
      <c r="D46" s="20">
        <f>SUM(Jul!D46, Aug!D46, Sep!D46)</f>
        <v>0</v>
      </c>
      <c r="E46" s="10">
        <f>SUM(Jul!E46, Aug!E46, Sep!E46)</f>
        <v>0</v>
      </c>
      <c r="F46" s="10">
        <f t="shared" si="6"/>
        <v>0</v>
      </c>
      <c r="G46" s="11" t="str">
        <f t="shared" si="7"/>
        <v/>
      </c>
      <c r="H46" s="12">
        <f>SUM(Jul!H46,Aug!H46,Sep!H46)</f>
        <v>0</v>
      </c>
      <c r="I46" s="12">
        <f>SUM(Jul!I46, Aug!I46, Sep!I46)</f>
        <v>0</v>
      </c>
      <c r="J46" s="13" t="str">
        <f t="shared" si="8"/>
        <v/>
      </c>
    </row>
    <row r="47" spans="1:10" ht="15.6">
      <c r="A47" s="26" t="str">
        <v>Q021</v>
      </c>
      <c r="B47" s="27" t="str">
        <v>NY</v>
      </c>
      <c r="C47" s="27" t="str">
        <f>Sites[[#This Row],[SOL'#]]</f>
        <v>SOL-10399</v>
      </c>
      <c r="D47" s="9">
        <f>SUM(Jul!D47, Aug!D47, Sep!D47)</f>
        <v>0</v>
      </c>
      <c r="E47" s="14">
        <f>SUM(Jul!E47, Aug!E47, Sep!E47)</f>
        <v>0</v>
      </c>
      <c r="F47" s="14">
        <f t="shared" si="6"/>
        <v>0</v>
      </c>
      <c r="G47" s="15" t="str">
        <f t="shared" si="7"/>
        <v/>
      </c>
      <c r="H47" s="16">
        <f>SUM(Jul!H47,Aug!H47,Sep!H47)</f>
        <v>0</v>
      </c>
      <c r="I47" s="16">
        <f>SUM(Jul!I47, Aug!I47, Sep!I47)</f>
        <v>0</v>
      </c>
      <c r="J47" s="15" t="str">
        <f t="shared" si="8"/>
        <v/>
      </c>
    </row>
    <row r="48" spans="1:10" ht="15.6">
      <c r="A48" s="24" t="str">
        <v>Q025</v>
      </c>
      <c r="B48" s="25" t="str">
        <v>NY</v>
      </c>
      <c r="C48" s="25" t="str">
        <f>Sites[[#This Row],[SOL'#]]</f>
        <v>SOL-10400</v>
      </c>
      <c r="D48" s="20">
        <f>SUM(Jul!D48, Aug!D48, Sep!D48)</f>
        <v>0</v>
      </c>
      <c r="E48" s="10">
        <f>SUM(Jul!E48, Aug!E48, Sep!E48)</f>
        <v>0</v>
      </c>
      <c r="F48" s="10">
        <f t="shared" si="6"/>
        <v>0</v>
      </c>
      <c r="G48" s="11" t="str">
        <f t="shared" si="7"/>
        <v/>
      </c>
      <c r="H48" s="12">
        <f>SUM(Jul!H48,Aug!H48,Sep!H48)</f>
        <v>0</v>
      </c>
      <c r="I48" s="12">
        <f>SUM(Jul!I48, Aug!I48, Sep!I48)</f>
        <v>0</v>
      </c>
      <c r="J48" s="13" t="str">
        <f t="shared" si="8"/>
        <v/>
      </c>
    </row>
    <row r="49" spans="1:10" ht="15.6">
      <c r="A49" s="26" t="str">
        <v>Q074</v>
      </c>
      <c r="B49" s="27" t="str">
        <v>NY</v>
      </c>
      <c r="C49" s="27" t="str">
        <f>Sites[[#This Row],[SOL'#]]</f>
        <v>SOL-10402</v>
      </c>
      <c r="D49" s="9">
        <f>SUM(Jul!D49, Aug!D49, Sep!D49)</f>
        <v>0</v>
      </c>
      <c r="E49" s="14">
        <f>SUM(Jul!E49, Aug!E49, Sep!E49)</f>
        <v>0</v>
      </c>
      <c r="F49" s="14">
        <f t="shared" si="6"/>
        <v>0</v>
      </c>
      <c r="G49" s="15" t="str">
        <f t="shared" si="7"/>
        <v/>
      </c>
      <c r="H49" s="16">
        <f>SUM(Jul!H49,Aug!H49,Sep!H49)</f>
        <v>0</v>
      </c>
      <c r="I49" s="16">
        <f>SUM(Jul!I49, Aug!I49, Sep!I49)</f>
        <v>0</v>
      </c>
      <c r="J49" s="15" t="str">
        <f t="shared" si="8"/>
        <v/>
      </c>
    </row>
    <row r="50" spans="1:10" ht="15.6">
      <c r="A50" s="24" t="str">
        <v>Q115</v>
      </c>
      <c r="B50" s="25" t="str">
        <v>NY</v>
      </c>
      <c r="C50" s="25" t="str">
        <f>Sites[[#This Row],[SOL'#]]</f>
        <v>SOL-10872</v>
      </c>
      <c r="D50" s="20">
        <f>SUM(Jul!D50, Aug!D50, Sep!D50)</f>
        <v>0</v>
      </c>
      <c r="E50" s="10">
        <f>SUM(Jul!E50, Aug!E50, Sep!E50)</f>
        <v>0</v>
      </c>
      <c r="F50" s="10">
        <f t="shared" si="6"/>
        <v>0</v>
      </c>
      <c r="G50" s="11" t="str">
        <f t="shared" si="7"/>
        <v/>
      </c>
      <c r="H50" s="12">
        <f>SUM(Jul!H50,Aug!H50,Sep!H50)</f>
        <v>0</v>
      </c>
      <c r="I50" s="12">
        <f>SUM(Jul!I50, Aug!I50, Sep!I50)</f>
        <v>0</v>
      </c>
      <c r="J50" s="13" t="str">
        <f t="shared" si="8"/>
        <v/>
      </c>
    </row>
    <row r="51" spans="1:10" ht="15.6">
      <c r="A51" s="26" t="str">
        <v>Q139</v>
      </c>
      <c r="B51" s="27" t="str">
        <v>NY</v>
      </c>
      <c r="C51" s="27" t="str">
        <f>Sites[[#This Row],[SOL'#]]</f>
        <v>SOL-10403</v>
      </c>
      <c r="D51" s="9">
        <f>SUM(Jul!D51, Aug!D51, Sep!D51)</f>
        <v>0</v>
      </c>
      <c r="E51" s="14">
        <f>SUM(Jul!E51, Aug!E51, Sep!E51)</f>
        <v>0</v>
      </c>
      <c r="F51" s="14">
        <f t="shared" si="6"/>
        <v>0</v>
      </c>
      <c r="G51" s="15" t="str">
        <f t="shared" si="7"/>
        <v/>
      </c>
      <c r="H51" s="16">
        <f>SUM(Jul!H51,Aug!H51,Sep!H51)</f>
        <v>0</v>
      </c>
      <c r="I51" s="16">
        <f>SUM(Jul!I51, Aug!I51, Sep!I51)</f>
        <v>0</v>
      </c>
      <c r="J51" s="15" t="str">
        <f t="shared" si="8"/>
        <v/>
      </c>
    </row>
    <row r="52" spans="1:10" ht="15.6">
      <c r="A52" s="24" t="str">
        <v>Q157</v>
      </c>
      <c r="B52" s="25" t="str">
        <v>NY</v>
      </c>
      <c r="C52" s="25" t="str">
        <f>Sites[[#This Row],[SOL'#]]</f>
        <v>SOL-10404</v>
      </c>
      <c r="D52" s="20">
        <f>SUM(Jul!D52, Aug!D52, Sep!D52)</f>
        <v>0</v>
      </c>
      <c r="E52" s="10">
        <f>SUM(Jul!E52, Aug!E52, Sep!E52)</f>
        <v>0</v>
      </c>
      <c r="F52" s="10">
        <f t="shared" si="6"/>
        <v>0</v>
      </c>
      <c r="G52" s="11" t="str">
        <f t="shared" si="7"/>
        <v/>
      </c>
      <c r="H52" s="12">
        <f>SUM(Jul!H52,Aug!H52,Sep!H52)</f>
        <v>0</v>
      </c>
      <c r="I52" s="12">
        <f>SUM(Jul!I52, Aug!I52, Sep!I52)</f>
        <v>0</v>
      </c>
      <c r="J52" s="13" t="str">
        <f t="shared" si="8"/>
        <v/>
      </c>
    </row>
    <row r="53" spans="1:10" ht="15.6">
      <c r="A53" s="26" t="str">
        <v>Q192</v>
      </c>
      <c r="B53" s="27" t="str">
        <v>NY</v>
      </c>
      <c r="C53" s="27" t="str">
        <f>Sites[[#This Row],[SOL'#]]</f>
        <v>SOL-10406</v>
      </c>
      <c r="D53" s="9">
        <f>SUM(Jul!D53, Aug!D53, Sep!D53)</f>
        <v>0</v>
      </c>
      <c r="E53" s="14">
        <f>SUM(Jul!E53, Aug!E53, Sep!E53)</f>
        <v>0</v>
      </c>
      <c r="F53" s="14">
        <f t="shared" si="6"/>
        <v>0</v>
      </c>
      <c r="G53" s="15" t="str">
        <f t="shared" si="7"/>
        <v/>
      </c>
      <c r="H53" s="16">
        <f>SUM(Jul!H53,Aug!H53,Sep!H53)</f>
        <v>0</v>
      </c>
      <c r="I53" s="16">
        <f>SUM(Jul!I53, Aug!I53, Sep!I53)</f>
        <v>0</v>
      </c>
      <c r="J53" s="15" t="str">
        <f t="shared" si="8"/>
        <v/>
      </c>
    </row>
    <row r="54" spans="1:10" ht="15.6">
      <c r="A54" s="24" t="str">
        <v>Q210</v>
      </c>
      <c r="B54" s="25" t="str">
        <v>NY</v>
      </c>
      <c r="C54" s="25" t="str">
        <f>Sites[[#This Row],[SOL'#]]</f>
        <v>SOL-10407</v>
      </c>
      <c r="D54" s="20">
        <f>SUM(Jul!D54, Aug!D54, Sep!D54)</f>
        <v>0</v>
      </c>
      <c r="E54" s="10">
        <f>SUM(Jul!E54, Aug!E54, Sep!E54)</f>
        <v>0</v>
      </c>
      <c r="F54" s="10">
        <f t="shared" si="6"/>
        <v>0</v>
      </c>
      <c r="G54" s="11" t="str">
        <f t="shared" si="7"/>
        <v/>
      </c>
      <c r="H54" s="12">
        <f>SUM(Jul!H54,Aug!H54,Sep!H54)</f>
        <v>0</v>
      </c>
      <c r="I54" s="12">
        <f>SUM(Jul!I54, Aug!I54, Sep!I54)</f>
        <v>0</v>
      </c>
      <c r="J54" s="13" t="str">
        <f t="shared" si="8"/>
        <v/>
      </c>
    </row>
    <row r="55" spans="1:10" ht="15.6">
      <c r="A55" s="26" t="str">
        <v>Q229</v>
      </c>
      <c r="B55" s="27" t="str">
        <v>NY</v>
      </c>
      <c r="C55" s="27" t="str">
        <f>Sites[[#This Row],[SOL'#]]</f>
        <v>SOL-10408</v>
      </c>
      <c r="D55" s="9">
        <f>SUM(Jul!D55, Aug!D55, Sep!D55)</f>
        <v>0</v>
      </c>
      <c r="E55" s="14">
        <f>SUM(Jul!E55, Aug!E55, Sep!E55)</f>
        <v>0</v>
      </c>
      <c r="F55" s="14">
        <f t="shared" si="6"/>
        <v>0</v>
      </c>
      <c r="G55" s="15" t="str">
        <f t="shared" si="7"/>
        <v/>
      </c>
      <c r="H55" s="16">
        <f>SUM(Jul!H55,Aug!H55,Sep!H55)</f>
        <v>0</v>
      </c>
      <c r="I55" s="16">
        <f>SUM(Jul!I55, Aug!I55, Sep!I55)</f>
        <v>0</v>
      </c>
      <c r="J55" s="15" t="str">
        <f t="shared" si="8"/>
        <v/>
      </c>
    </row>
    <row r="56" spans="1:10" ht="15.6">
      <c r="A56" s="24" t="str">
        <v>Q231</v>
      </c>
      <c r="B56" s="25" t="str">
        <v>NY</v>
      </c>
      <c r="C56" s="25" t="str">
        <f>Sites[[#This Row],[SOL'#]]</f>
        <v>SOL-10870</v>
      </c>
      <c r="D56" s="20">
        <f>SUM(Jul!D56, Aug!D56, Sep!D56)</f>
        <v>0</v>
      </c>
      <c r="E56" s="10">
        <f>SUM(Jul!E56, Aug!E56, Sep!E56)</f>
        <v>0</v>
      </c>
      <c r="F56" s="10">
        <f t="shared" si="6"/>
        <v>0</v>
      </c>
      <c r="G56" s="11" t="str">
        <f t="shared" si="7"/>
        <v/>
      </c>
      <c r="H56" s="12">
        <f>SUM(Jul!H56,Aug!H56,Sep!H56)</f>
        <v>0</v>
      </c>
      <c r="I56" s="12">
        <f>SUM(Jul!I56, Aug!I56, Sep!I56)</f>
        <v>0</v>
      </c>
      <c r="J56" s="13" t="str">
        <f t="shared" si="8"/>
        <v/>
      </c>
    </row>
    <row r="57" spans="1:10" ht="15.6">
      <c r="A57" s="26" t="str">
        <v>Q405</v>
      </c>
      <c r="B57" s="27" t="str">
        <v>NY</v>
      </c>
      <c r="C57" s="27" t="str">
        <f>Sites[[#This Row],[SOL'#]]</f>
        <v>SOL-10409</v>
      </c>
      <c r="D57" s="9">
        <f>SUM(Jul!D57, Aug!D57, Sep!D57)</f>
        <v>0</v>
      </c>
      <c r="E57" s="14">
        <f>SUM(Jul!E57, Aug!E57, Sep!E57)</f>
        <v>0</v>
      </c>
      <c r="F57" s="14">
        <f t="shared" si="6"/>
        <v>0</v>
      </c>
      <c r="G57" s="15" t="str">
        <f t="shared" si="7"/>
        <v/>
      </c>
      <c r="H57" s="16">
        <f>SUM(Jul!H57,Aug!H57,Sep!H57)</f>
        <v>0</v>
      </c>
      <c r="I57" s="16">
        <f>SUM(Jul!I57, Aug!I57, Sep!I57)</f>
        <v>0</v>
      </c>
      <c r="J57" s="15" t="str">
        <f t="shared" si="8"/>
        <v/>
      </c>
    </row>
    <row r="58" spans="1:10" ht="15.6">
      <c r="A58" s="24" t="str">
        <v>Q435</v>
      </c>
      <c r="B58" s="25" t="str">
        <v>NY</v>
      </c>
      <c r="C58" s="25" t="str">
        <f>Sites[[#This Row],[SOL'#]]</f>
        <v>SOL-10923</v>
      </c>
      <c r="D58" s="20">
        <f>SUM(Jul!D58, Aug!D58, Sep!D58)</f>
        <v>0</v>
      </c>
      <c r="E58" s="10">
        <f>SUM(Jul!E58, Aug!E58, Sep!E58)</f>
        <v>0</v>
      </c>
      <c r="F58" s="10">
        <f t="shared" si="6"/>
        <v>0</v>
      </c>
      <c r="G58" s="11" t="str">
        <f t="shared" si="7"/>
        <v/>
      </c>
      <c r="H58" s="12">
        <f>SUM(Jul!H58,Aug!H58,Sep!H58)</f>
        <v>0</v>
      </c>
      <c r="I58" s="12">
        <f>SUM(Jul!I58, Aug!I58, Sep!I58)</f>
        <v>0</v>
      </c>
      <c r="J58" s="13" t="str">
        <f t="shared" si="8"/>
        <v/>
      </c>
    </row>
    <row r="59" spans="1:10" ht="15.6">
      <c r="A59" s="26" t="str">
        <v>Q485</v>
      </c>
      <c r="B59" s="27" t="str">
        <v>NY</v>
      </c>
      <c r="C59" s="27" t="str">
        <f>Sites[[#This Row],[SOL'#]]</f>
        <v>SOL-10869</v>
      </c>
      <c r="D59" s="9">
        <f>SUM(Jul!D59, Aug!D59, Sep!D59)</f>
        <v>0</v>
      </c>
      <c r="E59" s="14">
        <f>SUM(Jul!E59, Aug!E59, Sep!E59)</f>
        <v>0</v>
      </c>
      <c r="F59" s="14">
        <f t="shared" si="6"/>
        <v>0</v>
      </c>
      <c r="G59" s="15" t="str">
        <f t="shared" si="7"/>
        <v/>
      </c>
      <c r="H59" s="16">
        <f>SUM(Jul!H59,Aug!H59,Sep!H59)</f>
        <v>0</v>
      </c>
      <c r="I59" s="16">
        <f>SUM(Jul!I59, Aug!I59, Sep!I59)</f>
        <v>0</v>
      </c>
      <c r="J59" s="15" t="str">
        <f t="shared" si="8"/>
        <v/>
      </c>
    </row>
    <row r="60" spans="1:10" ht="15.6">
      <c r="A60" s="24" t="str">
        <v>Q490</v>
      </c>
      <c r="B60" s="25" t="str">
        <v>NY</v>
      </c>
      <c r="C60" s="25" t="str">
        <f>Sites[[#This Row],[SOL'#]]</f>
        <v>SOL-10411</v>
      </c>
      <c r="D60" s="20">
        <f>SUM(Jul!D60, Aug!D60, Sep!D60)</f>
        <v>0</v>
      </c>
      <c r="E60" s="10">
        <f>SUM(Jul!E60, Aug!E60, Sep!E60)</f>
        <v>0</v>
      </c>
      <c r="F60" s="10">
        <f t="shared" si="6"/>
        <v>0</v>
      </c>
      <c r="G60" s="11" t="str">
        <f t="shared" si="7"/>
        <v/>
      </c>
      <c r="H60" s="12">
        <f>SUM(Jul!H60,Aug!H60,Sep!H60)</f>
        <v>0</v>
      </c>
      <c r="I60" s="12">
        <f>SUM(Jul!I60, Aug!I60, Sep!I60)</f>
        <v>0</v>
      </c>
      <c r="J60" s="13" t="str">
        <f t="shared" si="8"/>
        <v/>
      </c>
    </row>
    <row r="61" spans="1:10" ht="15.6">
      <c r="A61" s="26" t="str">
        <v>Q620</v>
      </c>
      <c r="B61" s="27" t="str">
        <v>NY</v>
      </c>
      <c r="C61" s="27" t="str">
        <f>Sites[[#This Row],[SOL'#]]</f>
        <v>SOL-10867</v>
      </c>
      <c r="D61" s="9">
        <f>SUM(Jul!D61, Aug!D61, Sep!D61)</f>
        <v>0</v>
      </c>
      <c r="E61" s="14">
        <f>SUM(Jul!E61, Aug!E61, Sep!E61)</f>
        <v>0</v>
      </c>
      <c r="F61" s="14">
        <f t="shared" si="6"/>
        <v>0</v>
      </c>
      <c r="G61" s="15" t="str">
        <f t="shared" si="7"/>
        <v/>
      </c>
      <c r="H61" s="16">
        <f>SUM(Jul!H61,Aug!H61,Sep!H61)</f>
        <v>0</v>
      </c>
      <c r="I61" s="16">
        <f>SUM(Jul!I61, Aug!I61, Sep!I61)</f>
        <v>0</v>
      </c>
      <c r="J61" s="15" t="str">
        <f t="shared" si="8"/>
        <v/>
      </c>
    </row>
    <row r="62" spans="1:10" ht="15.6">
      <c r="A62" s="24" t="str">
        <v>QMOA</v>
      </c>
      <c r="B62" s="25" t="str">
        <v>NY</v>
      </c>
      <c r="C62" s="25" t="str">
        <f>Sites[[#This Row],[SOL'#]]</f>
        <v>SOL-10415</v>
      </c>
      <c r="D62" s="20">
        <f>SUM(Jul!D62, Aug!D62, Sep!D62)</f>
        <v>0</v>
      </c>
      <c r="E62" s="10">
        <f>SUM(Jul!E62, Aug!E62, Sep!E62)</f>
        <v>0</v>
      </c>
      <c r="F62" s="10">
        <f t="shared" si="6"/>
        <v>0</v>
      </c>
      <c r="G62" s="11" t="str">
        <f t="shared" si="7"/>
        <v/>
      </c>
      <c r="H62" s="12">
        <f>SUM(Jul!H62,Aug!H62,Sep!H62)</f>
        <v>0</v>
      </c>
      <c r="I62" s="12">
        <f>SUM(Jul!I62, Aug!I62, Sep!I62)</f>
        <v>0</v>
      </c>
      <c r="J62" s="13" t="str">
        <f t="shared" si="8"/>
        <v/>
      </c>
    </row>
    <row r="63" spans="1:10" ht="15.6">
      <c r="A63" s="26" t="str">
        <v>X024</v>
      </c>
      <c r="B63" s="27" t="str">
        <v>NY</v>
      </c>
      <c r="C63" s="27" t="str">
        <f>Sites[[#This Row],[SOL'#]]</f>
        <v>SOL-10419</v>
      </c>
      <c r="D63" s="9">
        <f>SUM(Jul!D63, Aug!D63, Sep!D63)</f>
        <v>0</v>
      </c>
      <c r="E63" s="14">
        <f>SUM(Jul!E63, Aug!E63, Sep!E63)</f>
        <v>0</v>
      </c>
      <c r="F63" s="14">
        <f t="shared" si="6"/>
        <v>0</v>
      </c>
      <c r="G63" s="15" t="str">
        <f t="shared" si="7"/>
        <v/>
      </c>
      <c r="H63" s="16">
        <f>SUM(Jul!H63,Aug!H63,Sep!H63)</f>
        <v>0</v>
      </c>
      <c r="I63" s="16">
        <f>SUM(Jul!I63, Aug!I63, Sep!I63)</f>
        <v>0</v>
      </c>
      <c r="J63" s="15" t="str">
        <f t="shared" si="8"/>
        <v/>
      </c>
    </row>
    <row r="64" spans="1:10" ht="15.6">
      <c r="A64" s="24" t="str">
        <v>X026</v>
      </c>
      <c r="B64" s="25" t="str">
        <v>NY</v>
      </c>
      <c r="C64" s="25" t="str">
        <f>Sites[[#This Row],[SOL'#]]</f>
        <v>SOL-10420</v>
      </c>
      <c r="D64" s="20">
        <f>SUM(Jul!D64, Aug!D64, Sep!D64)</f>
        <v>0</v>
      </c>
      <c r="E64" s="10">
        <f>SUM(Jul!E64, Aug!E64, Sep!E64)</f>
        <v>0</v>
      </c>
      <c r="F64" s="10">
        <f t="shared" si="6"/>
        <v>0</v>
      </c>
      <c r="G64" s="11" t="str">
        <f t="shared" si="7"/>
        <v/>
      </c>
      <c r="H64" s="12">
        <f>SUM(Jul!H64,Aug!H64,Sep!H64)</f>
        <v>0</v>
      </c>
      <c r="I64" s="12">
        <f>SUM(Jul!I64, Aug!I64, Sep!I64)</f>
        <v>0</v>
      </c>
      <c r="J64" s="13" t="str">
        <f t="shared" si="8"/>
        <v/>
      </c>
    </row>
    <row r="65" spans="1:10" ht="15.6">
      <c r="A65" s="26" t="str">
        <v>X090</v>
      </c>
      <c r="B65" s="27" t="str">
        <v>NY</v>
      </c>
      <c r="C65" s="27" t="str">
        <f>Sites[[#This Row],[SOL'#]]</f>
        <v>SOL-10925</v>
      </c>
      <c r="D65" s="9">
        <f>SUM(Jul!D65, Aug!D65, Sep!D65)</f>
        <v>0</v>
      </c>
      <c r="E65" s="14">
        <f>SUM(Jul!E65, Aug!E65, Sep!E65)</f>
        <v>0</v>
      </c>
      <c r="F65" s="14">
        <f t="shared" si="6"/>
        <v>0</v>
      </c>
      <c r="G65" s="15" t="str">
        <f t="shared" si="7"/>
        <v/>
      </c>
      <c r="H65" s="16">
        <f>SUM(Jul!H65,Aug!H65,Sep!H65)</f>
        <v>0</v>
      </c>
      <c r="I65" s="16">
        <f>SUM(Jul!I65, Aug!I65, Sep!I65)</f>
        <v>0</v>
      </c>
      <c r="J65" s="15" t="str">
        <f t="shared" si="8"/>
        <v/>
      </c>
    </row>
    <row r="66" spans="1:10" ht="15.6">
      <c r="A66" s="24" t="str">
        <v>X117</v>
      </c>
      <c r="B66" s="25" t="str">
        <v>NY</v>
      </c>
      <c r="C66" s="25" t="str">
        <f>Sites[[#This Row],[SOL'#]]</f>
        <v>SOL-10422</v>
      </c>
      <c r="D66" s="20">
        <f>SUM(Jul!D66, Aug!D66, Sep!D66)</f>
        <v>0</v>
      </c>
      <c r="E66" s="10">
        <f>SUM(Jul!E66, Aug!E66, Sep!E66)</f>
        <v>0</v>
      </c>
      <c r="F66" s="10">
        <f t="shared" si="6"/>
        <v>0</v>
      </c>
      <c r="G66" s="11" t="str">
        <f t="shared" si="7"/>
        <v/>
      </c>
      <c r="H66" s="12">
        <f>SUM(Jul!H66,Aug!H66,Sep!H66)</f>
        <v>0</v>
      </c>
      <c r="I66" s="12">
        <f>SUM(Jul!I66, Aug!I66, Sep!I66)</f>
        <v>0</v>
      </c>
      <c r="J66" s="13" t="str">
        <f t="shared" si="8"/>
        <v/>
      </c>
    </row>
    <row r="67" spans="1:10" ht="15.6">
      <c r="A67" s="26" t="str">
        <v>X125</v>
      </c>
      <c r="B67" s="27" t="str">
        <v>NY</v>
      </c>
      <c r="C67" s="27" t="str">
        <f>Sites[[#This Row],[SOL'#]]</f>
        <v>SOL-10423</v>
      </c>
      <c r="D67" s="9">
        <f>SUM(Jul!D67, Aug!D67, Sep!D67)</f>
        <v>0</v>
      </c>
      <c r="E67" s="14">
        <f>SUM(Jul!E67, Aug!E67, Sep!E67)</f>
        <v>0</v>
      </c>
      <c r="F67" s="14">
        <f t="shared" si="6"/>
        <v>0</v>
      </c>
      <c r="G67" s="15" t="str">
        <f t="shared" si="7"/>
        <v/>
      </c>
      <c r="H67" s="16">
        <f>SUM(Jul!H67,Aug!H67,Sep!H67)</f>
        <v>0</v>
      </c>
      <c r="I67" s="16">
        <f>SUM(Jul!I67, Aug!I67, Sep!I67)</f>
        <v>0</v>
      </c>
      <c r="J67" s="15" t="str">
        <f t="shared" si="8"/>
        <v/>
      </c>
    </row>
    <row r="68" spans="1:10" ht="15.6">
      <c r="A68" s="24" t="str">
        <v>X134</v>
      </c>
      <c r="B68" s="25" t="str">
        <v>NY</v>
      </c>
      <c r="C68" s="25" t="str">
        <f>Sites[[#This Row],[SOL'#]]</f>
        <v>SOL-10424</v>
      </c>
      <c r="D68" s="20">
        <f>SUM(Jul!D68, Aug!D68, Sep!D68)</f>
        <v>0</v>
      </c>
      <c r="E68" s="10">
        <f>SUM(Jul!E68, Aug!E68, Sep!E68)</f>
        <v>0</v>
      </c>
      <c r="F68" s="10">
        <f t="shared" si="6"/>
        <v>0</v>
      </c>
      <c r="G68" s="11" t="str">
        <f t="shared" si="7"/>
        <v/>
      </c>
      <c r="H68" s="12">
        <f>SUM(Jul!H68,Aug!H68,Sep!H68)</f>
        <v>0</v>
      </c>
      <c r="I68" s="12">
        <f>SUM(Jul!I68, Aug!I68, Sep!I68)</f>
        <v>0</v>
      </c>
      <c r="J68" s="13" t="str">
        <f t="shared" si="8"/>
        <v/>
      </c>
    </row>
    <row r="69" spans="1:10" ht="15.6">
      <c r="A69" s="26" t="str">
        <v>X135</v>
      </c>
      <c r="B69" s="27" t="str">
        <v>NY</v>
      </c>
      <c r="C69" s="27" t="str">
        <f>Sites[[#This Row],[SOL'#]]</f>
        <v>SOL-10425</v>
      </c>
      <c r="D69" s="9">
        <f>SUM(Jul!D69, Aug!D69, Sep!D69)</f>
        <v>0</v>
      </c>
      <c r="E69" s="14">
        <f>SUM(Jul!E69, Aug!E69, Sep!E69)</f>
        <v>0</v>
      </c>
      <c r="F69" s="14">
        <f t="shared" si="6"/>
        <v>0</v>
      </c>
      <c r="G69" s="15" t="str">
        <f t="shared" si="7"/>
        <v/>
      </c>
      <c r="H69" s="16">
        <f>SUM(Jul!H69,Aug!H69,Sep!H69)</f>
        <v>0</v>
      </c>
      <c r="I69" s="16">
        <f>SUM(Jul!I69, Aug!I69, Sep!I69)</f>
        <v>0</v>
      </c>
      <c r="J69" s="15" t="str">
        <f t="shared" si="8"/>
        <v/>
      </c>
    </row>
    <row r="70" spans="1:10" ht="15.6">
      <c r="A70" s="24" t="str">
        <v>X139 JHS 222</v>
      </c>
      <c r="B70" s="25" t="str">
        <v>NY</v>
      </c>
      <c r="C70" s="25" t="str">
        <f>Sites[[#This Row],[SOL'#]]</f>
        <v>SOL-10426</v>
      </c>
      <c r="D70" s="20">
        <f>SUM(Jul!D70, Aug!D70, Sep!D70)</f>
        <v>0</v>
      </c>
      <c r="E70" s="10">
        <f>SUM(Jul!E70, Aug!E70, Sep!E70)</f>
        <v>0</v>
      </c>
      <c r="F70" s="10">
        <f t="shared" si="6"/>
        <v>0</v>
      </c>
      <c r="G70" s="11" t="str">
        <f t="shared" si="7"/>
        <v/>
      </c>
      <c r="H70" s="12">
        <f>SUM(Jul!H70,Aug!H70,Sep!H70)</f>
        <v>0</v>
      </c>
      <c r="I70" s="12">
        <f>SUM(Jul!I70, Aug!I70, Sep!I70)</f>
        <v>0</v>
      </c>
      <c r="J70" s="13" t="str">
        <f t="shared" si="8"/>
        <v/>
      </c>
    </row>
    <row r="71" spans="1:10" ht="15.6">
      <c r="A71" s="26" t="str">
        <v>X140</v>
      </c>
      <c r="B71" s="27" t="str">
        <v>NY</v>
      </c>
      <c r="C71" s="27" t="str">
        <f>Sites[[#This Row],[SOL'#]]</f>
        <v>SOL-10926</v>
      </c>
      <c r="D71" s="9">
        <f>SUM(Jul!D71, Aug!D71, Sep!D71)</f>
        <v>0</v>
      </c>
      <c r="E71" s="14">
        <f>SUM(Jul!E71, Aug!E71, Sep!E71)</f>
        <v>0</v>
      </c>
      <c r="F71" s="14">
        <f t="shared" si="6"/>
        <v>0</v>
      </c>
      <c r="G71" s="15" t="str">
        <f t="shared" si="7"/>
        <v/>
      </c>
      <c r="H71" s="16">
        <f>SUM(Jul!H71,Aug!H71,Sep!H71)</f>
        <v>0</v>
      </c>
      <c r="I71" s="16">
        <f>SUM(Jul!I71, Aug!I71, Sep!I71)</f>
        <v>0</v>
      </c>
      <c r="J71" s="15" t="str">
        <f t="shared" si="8"/>
        <v/>
      </c>
    </row>
    <row r="72" spans="1:10" ht="15.6">
      <c r="A72" s="24" t="str">
        <v>X166</v>
      </c>
      <c r="B72" s="25" t="str">
        <v>NY</v>
      </c>
      <c r="C72" s="25" t="str">
        <f>Sites[[#This Row],[SOL'#]]</f>
        <v>SOL-10427</v>
      </c>
      <c r="D72" s="20">
        <f>SUM(Jul!D72, Aug!D72, Sep!D72)</f>
        <v>0</v>
      </c>
      <c r="E72" s="10">
        <f>SUM(Jul!E72, Aug!E72, Sep!E72)</f>
        <v>0</v>
      </c>
      <c r="F72" s="10">
        <f t="shared" si="6"/>
        <v>0</v>
      </c>
      <c r="G72" s="11" t="str">
        <f t="shared" si="7"/>
        <v/>
      </c>
      <c r="H72" s="12">
        <f>SUM(Jul!H72,Aug!H72,Sep!H72)</f>
        <v>0</v>
      </c>
      <c r="I72" s="12">
        <f>SUM(Jul!I72, Aug!I72, Sep!I72)</f>
        <v>0</v>
      </c>
      <c r="J72" s="13" t="str">
        <f t="shared" si="8"/>
        <v/>
      </c>
    </row>
    <row r="73" spans="1:10" ht="15.6">
      <c r="A73" s="26" t="str">
        <v>Murphy</v>
      </c>
      <c r="B73" s="27" t="str">
        <v>MN</v>
      </c>
      <c r="C73" s="27" t="str">
        <f>Sites[[#This Row],[SOL'#]]</f>
        <v>SOL-10094</v>
      </c>
      <c r="D73" s="9">
        <f>SUM(Jul!D73, Aug!D73, Sep!D73)</f>
        <v>0</v>
      </c>
      <c r="E73" s="14">
        <f>SUM(Jul!E73, Aug!E73, Sep!E73)</f>
        <v>0</v>
      </c>
      <c r="F73" s="14">
        <f t="shared" si="6"/>
        <v>0</v>
      </c>
      <c r="G73" s="15" t="str">
        <f t="shared" si="7"/>
        <v/>
      </c>
      <c r="H73" s="16">
        <f>SUM(Jul!H73,Aug!H73,Sep!H73)</f>
        <v>0</v>
      </c>
      <c r="I73" s="16">
        <f>SUM(Jul!I73, Aug!I73, Sep!I73)</f>
        <v>0</v>
      </c>
      <c r="J73" s="15" t="str">
        <f t="shared" si="8"/>
        <v/>
      </c>
    </row>
    <row r="74" spans="1:10" ht="15.6">
      <c r="A74" s="24" t="str">
        <v>Terning</v>
      </c>
      <c r="B74" s="25" t="str">
        <v>MN</v>
      </c>
      <c r="C74" s="25" t="str">
        <f>Sites[[#This Row],[SOL'#]]</f>
        <v>SOL-10093</v>
      </c>
      <c r="D74" s="20">
        <f>SUM(Jul!D74, Aug!D74, Sep!D74)</f>
        <v>0</v>
      </c>
      <c r="E74" s="10">
        <f>SUM(Jul!E74, Aug!E74, Sep!E74)</f>
        <v>0</v>
      </c>
      <c r="F74" s="10">
        <f t="shared" si="6"/>
        <v>0</v>
      </c>
      <c r="G74" s="11" t="str">
        <f t="shared" si="7"/>
        <v/>
      </c>
      <c r="H74" s="12">
        <f>SUM(Jul!H74,Aug!H74,Sep!H74)</f>
        <v>0</v>
      </c>
      <c r="I74" s="12">
        <f>SUM(Jul!I74, Aug!I74, Sep!I74)</f>
        <v>0</v>
      </c>
      <c r="J74" s="13" t="str">
        <f t="shared" si="8"/>
        <v/>
      </c>
    </row>
    <row r="75" spans="1:10" ht="15.6">
      <c r="A75" s="26" t="str">
        <v>Boas Road 04</v>
      </c>
      <c r="B75" s="27" t="str">
        <v>NY</v>
      </c>
      <c r="C75" s="27" t="str">
        <f>Sites[[#This Row],[SOL'#]]</f>
        <v>SOL-10908</v>
      </c>
      <c r="D75" s="9">
        <f>SUM(Jul!D75, Aug!D75, Sep!D75)</f>
        <v>0</v>
      </c>
      <c r="E75" s="14">
        <f>SUM(Jul!E75, Aug!E75, Sep!E75)</f>
        <v>0</v>
      </c>
      <c r="F75" s="14">
        <f t="shared" si="6"/>
        <v>0</v>
      </c>
      <c r="G75" s="15" t="str">
        <f t="shared" si="7"/>
        <v/>
      </c>
      <c r="H75" s="16">
        <f>SUM(Jul!H75,Aug!H75,Sep!H75)</f>
        <v>0</v>
      </c>
      <c r="I75" s="16">
        <f>SUM(Jul!I75, Aug!I75, Sep!I75)</f>
        <v>0</v>
      </c>
      <c r="J75" s="15" t="str">
        <f t="shared" si="8"/>
        <v/>
      </c>
    </row>
    <row r="76" spans="1:10" ht="15.6">
      <c r="A76" s="24" t="str">
        <v>Kelly Bridge Farm</v>
      </c>
      <c r="B76" s="25" t="str">
        <v>NY</v>
      </c>
      <c r="C76" s="25" t="str">
        <f>Sites[[#This Row],[SOL'#]]</f>
        <v>SOL-10911</v>
      </c>
      <c r="D76" s="20">
        <f>SUM(Jul!D76, Aug!D76, Sep!D76)</f>
        <v>0</v>
      </c>
      <c r="E76" s="10">
        <f>SUM(Jul!E76, Aug!E76, Sep!E76)</f>
        <v>0</v>
      </c>
      <c r="F76" s="10">
        <f t="shared" si="6"/>
        <v>0</v>
      </c>
      <c r="G76" s="11" t="str">
        <f t="shared" si="7"/>
        <v/>
      </c>
      <c r="H76" s="12">
        <f>SUM(Jul!H76,Aug!H76,Sep!H76)</f>
        <v>0</v>
      </c>
      <c r="I76" s="12">
        <f>SUM(Jul!I76, Aug!I76, Sep!I76)</f>
        <v>0</v>
      </c>
      <c r="J76" s="13" t="str">
        <f t="shared" si="8"/>
        <v/>
      </c>
    </row>
    <row r="77" spans="1:10" ht="15.6">
      <c r="A77" s="26" t="str">
        <v>Pool Brook Road</v>
      </c>
      <c r="B77" s="27" t="str">
        <v>NY</v>
      </c>
      <c r="C77" s="27" t="str">
        <f>Sites[[#This Row],[SOL'#]]</f>
        <v>SOL-10909</v>
      </c>
      <c r="D77" s="9">
        <f>SUM(Jul!D77, Aug!D77, Sep!D77)</f>
        <v>0</v>
      </c>
      <c r="E77" s="14">
        <f>SUM(Jul!E77, Aug!E77, Sep!E77)</f>
        <v>0</v>
      </c>
      <c r="F77" s="14">
        <f t="shared" si="6"/>
        <v>0</v>
      </c>
      <c r="G77" s="15" t="str">
        <f t="shared" si="7"/>
        <v/>
      </c>
      <c r="H77" s="16">
        <f>SUM(Jul!H77,Aug!H77,Sep!H77)</f>
        <v>0</v>
      </c>
      <c r="I77" s="16">
        <f>SUM(Jul!I77, Aug!I77, Sep!I77)</f>
        <v>0</v>
      </c>
      <c r="J77" s="15" t="str">
        <f t="shared" si="8"/>
        <v/>
      </c>
    </row>
    <row r="78" spans="1:10" ht="15.6">
      <c r="A78" s="24" t="str">
        <v>Sackett Lake</v>
      </c>
      <c r="B78" s="25" t="str">
        <v>NY</v>
      </c>
      <c r="C78" s="25" t="str">
        <f>Sites[[#This Row],[SOL'#]]</f>
        <v>SOL-10910</v>
      </c>
      <c r="D78" s="20">
        <f>SUM(Jul!D78, Aug!D78, Sep!D78)</f>
        <v>0</v>
      </c>
      <c r="E78" s="10">
        <f>SUM(Jul!E78, Aug!E78, Sep!E78)</f>
        <v>0</v>
      </c>
      <c r="F78" s="10">
        <f t="shared" si="6"/>
        <v>0</v>
      </c>
      <c r="G78" s="11" t="str">
        <f t="shared" si="7"/>
        <v/>
      </c>
      <c r="H78" s="12">
        <f>SUM(Jul!H78,Aug!H78,Sep!H78)</f>
        <v>0</v>
      </c>
      <c r="I78" s="12">
        <f>SUM(Jul!I78, Aug!I78, Sep!I78)</f>
        <v>0</v>
      </c>
      <c r="J78" s="13" t="str">
        <f t="shared" si="8"/>
        <v/>
      </c>
    </row>
    <row r="79" spans="1:10" ht="15.6">
      <c r="A79" s="26" t="str">
        <v>Burritt Road</v>
      </c>
      <c r="B79" s="27" t="str">
        <v>NY</v>
      </c>
      <c r="C79" s="27" t="str">
        <f>Sites[[#This Row],[SOL'#]]</f>
        <v>SOL-10913</v>
      </c>
      <c r="D79" s="9">
        <f>SUM(Jul!D79, Aug!D79, Sep!D79)</f>
        <v>0</v>
      </c>
      <c r="E79" s="14">
        <f>SUM(Jul!E79, Aug!E79, Sep!E79)</f>
        <v>0</v>
      </c>
      <c r="F79" s="14">
        <f t="shared" si="6"/>
        <v>0</v>
      </c>
      <c r="G79" s="15" t="str">
        <f t="shared" si="7"/>
        <v/>
      </c>
      <c r="H79" s="16">
        <f>SUM(Jul!H79,Aug!H79,Sep!H79)</f>
        <v>0</v>
      </c>
      <c r="I79" s="16">
        <f>SUM(Jul!I79, Aug!I79, Sep!I79)</f>
        <v>0</v>
      </c>
      <c r="J79" s="15" t="str">
        <f t="shared" si="8"/>
        <v/>
      </c>
    </row>
    <row r="80" spans="1:10" ht="15.6">
      <c r="A80" s="24" t="str">
        <v>Villa Roma 1</v>
      </c>
      <c r="B80" s="25" t="str">
        <v>NY</v>
      </c>
      <c r="C80" s="25" t="str">
        <f>Sites[[#This Row],[SOL'#]]</f>
        <v>SOL-10914</v>
      </c>
      <c r="D80" s="20">
        <f>SUM(Jul!D80, Aug!D80, Sep!D80)</f>
        <v>0</v>
      </c>
      <c r="E80" s="10">
        <f>SUM(Jul!E80, Aug!E80, Sep!E80)</f>
        <v>0</v>
      </c>
      <c r="F80" s="10">
        <f t="shared" si="6"/>
        <v>0</v>
      </c>
      <c r="G80" s="11" t="str">
        <f t="shared" si="7"/>
        <v/>
      </c>
      <c r="H80" s="12">
        <f>SUM(Jul!H80,Aug!H80,Sep!H80)</f>
        <v>0</v>
      </c>
      <c r="I80" s="12">
        <f>SUM(Jul!I80, Aug!I80, Sep!I80)</f>
        <v>0</v>
      </c>
      <c r="J80" s="13" t="str">
        <f t="shared" si="8"/>
        <v/>
      </c>
    </row>
    <row r="81" spans="1:10" ht="15.6">
      <c r="A81" s="26" t="str">
        <v>Villa Roma 2</v>
      </c>
      <c r="B81" s="27" t="str">
        <v>NY</v>
      </c>
      <c r="C81" s="27" t="str">
        <f>Sites[[#This Row],[SOL'#]]</f>
        <v>SOL-10915</v>
      </c>
      <c r="D81" s="9">
        <f>SUM(Jul!D81, Aug!D81, Sep!D81)</f>
        <v>0</v>
      </c>
      <c r="E81" s="14">
        <f>SUM(Jul!E81, Aug!E81, Sep!E81)</f>
        <v>0</v>
      </c>
      <c r="F81" s="14">
        <f t="shared" ref="F81:F144" si="9">IF(AND(ISNUMBER(D81),ISNUMBER(E81)), D81-E81, "")</f>
        <v>0</v>
      </c>
      <c r="G81" s="15" t="str">
        <f t="shared" ref="G81:G144" si="10">IFERROR(F81/E81, "")</f>
        <v/>
      </c>
      <c r="H81" s="16">
        <f>SUM(Jul!H81,Aug!H81,Sep!H81)</f>
        <v>0</v>
      </c>
      <c r="I81" s="16">
        <f>SUM(Jul!I81, Aug!I81, Sep!I81)</f>
        <v>0</v>
      </c>
      <c r="J81" s="15" t="str">
        <f t="shared" ref="J81:J144" si="11">IFERROR(I81/H81, "")</f>
        <v/>
      </c>
    </row>
    <row r="82" spans="1:10" ht="15.6">
      <c r="A82" s="24" t="str">
        <v>Washington 1</v>
      </c>
      <c r="B82" s="25" t="str">
        <v>NY</v>
      </c>
      <c r="C82" s="25" t="str">
        <f>Sites[[#This Row],[SOL'#]]</f>
        <v>SOL-10912</v>
      </c>
      <c r="D82" s="20">
        <f>SUM(Jul!D82, Aug!D82, Sep!D82)</f>
        <v>0</v>
      </c>
      <c r="E82" s="10">
        <f>SUM(Jul!E82, Aug!E82, Sep!E82)</f>
        <v>0</v>
      </c>
      <c r="F82" s="10">
        <f t="shared" si="9"/>
        <v>0</v>
      </c>
      <c r="G82" s="11" t="str">
        <f t="shared" si="10"/>
        <v/>
      </c>
      <c r="H82" s="12">
        <f>SUM(Jul!H82,Aug!H82,Sep!H82)</f>
        <v>0</v>
      </c>
      <c r="I82" s="12">
        <f>SUM(Jul!I82, Aug!I82, Sep!I82)</f>
        <v>0</v>
      </c>
      <c r="J82" s="13" t="str">
        <f t="shared" si="11"/>
        <v/>
      </c>
    </row>
    <row r="83" spans="1:10" ht="15.6">
      <c r="A83" s="26" t="str">
        <v>Washington 3</v>
      </c>
      <c r="B83" s="27" t="str">
        <v>NY</v>
      </c>
      <c r="C83" s="27" t="str">
        <f>Sites[[#This Row],[SOL'#]]</f>
        <v>SOL-10828</v>
      </c>
      <c r="D83" s="9">
        <f>SUM(Jul!D83, Aug!D83, Sep!D83)</f>
        <v>0</v>
      </c>
      <c r="E83" s="14">
        <f>SUM(Jul!E83, Aug!E83, Sep!E83)</f>
        <v>0</v>
      </c>
      <c r="F83" s="14">
        <f t="shared" si="9"/>
        <v>0</v>
      </c>
      <c r="G83" s="15" t="str">
        <f t="shared" si="10"/>
        <v/>
      </c>
      <c r="H83" s="16">
        <f>SUM(Jul!H83,Aug!H83,Sep!H83)</f>
        <v>0</v>
      </c>
      <c r="I83" s="16">
        <f>SUM(Jul!I83, Aug!I83, Sep!I83)</f>
        <v>0</v>
      </c>
      <c r="J83" s="15" t="str">
        <f t="shared" si="11"/>
        <v/>
      </c>
    </row>
    <row r="84" spans="1:10" ht="15.6">
      <c r="A84" s="24" t="str">
        <v>Washington 4</v>
      </c>
      <c r="B84" s="25" t="str">
        <v>NY</v>
      </c>
      <c r="C84" s="25" t="str">
        <f>Sites[[#This Row],[SOL'#]]</f>
        <v>SOL-10829</v>
      </c>
      <c r="D84" s="20">
        <f>SUM(Jul!D84, Aug!D84, Sep!D84)</f>
        <v>0</v>
      </c>
      <c r="E84" s="10">
        <f>SUM(Jul!E84, Aug!E84, Sep!E84)</f>
        <v>0</v>
      </c>
      <c r="F84" s="10">
        <f t="shared" si="9"/>
        <v>0</v>
      </c>
      <c r="G84" s="11" t="str">
        <f t="shared" si="10"/>
        <v/>
      </c>
      <c r="H84" s="12">
        <f>SUM(Jul!H84,Aug!H84,Sep!H84)</f>
        <v>0</v>
      </c>
      <c r="I84" s="12">
        <f>SUM(Jul!I84, Aug!I84, Sep!I84)</f>
        <v>0</v>
      </c>
      <c r="J84" s="13" t="str">
        <f t="shared" si="11"/>
        <v/>
      </c>
    </row>
    <row r="85" spans="1:10" ht="15.6">
      <c r="A85" s="26" t="str">
        <v>Big Tree</v>
      </c>
      <c r="B85" s="27" t="str">
        <v>NY</v>
      </c>
      <c r="C85" s="27" t="str">
        <f>Sites[[#This Row],[SOL'#]]</f>
        <v>SOL-10966</v>
      </c>
      <c r="D85" s="9">
        <f>SUM(Jul!D85, Aug!D85, Sep!D85)</f>
        <v>0</v>
      </c>
      <c r="E85" s="14">
        <f>SUM(Jul!E85, Aug!E85, Sep!E85)</f>
        <v>0</v>
      </c>
      <c r="F85" s="14">
        <f t="shared" si="9"/>
        <v>0</v>
      </c>
      <c r="G85" s="15" t="str">
        <f t="shared" si="10"/>
        <v/>
      </c>
      <c r="H85" s="16">
        <f>SUM(Jul!H85,Aug!H85,Sep!H85)</f>
        <v>0</v>
      </c>
      <c r="I85" s="16">
        <f>SUM(Jul!I85, Aug!I85, Sep!I85)</f>
        <v>0</v>
      </c>
      <c r="J85" s="15" t="str">
        <f t="shared" si="11"/>
        <v/>
      </c>
    </row>
    <row r="86" spans="1:10" ht="15.6">
      <c r="A86" s="24" t="str">
        <v>Canoga</v>
      </c>
      <c r="B86" s="25" t="str">
        <v>NY</v>
      </c>
      <c r="C86" s="25" t="str">
        <f>Sites[[#This Row],[SOL'#]]</f>
        <v>SOL-10965</v>
      </c>
      <c r="D86" s="20">
        <f>SUM(Jul!D86, Aug!D86, Sep!D86)</f>
        <v>0</v>
      </c>
      <c r="E86" s="10">
        <f>SUM(Jul!E86, Aug!E86, Sep!E86)</f>
        <v>0</v>
      </c>
      <c r="F86" s="10">
        <f t="shared" si="9"/>
        <v>0</v>
      </c>
      <c r="G86" s="11" t="str">
        <f t="shared" si="10"/>
        <v/>
      </c>
      <c r="H86" s="12">
        <f>SUM(Jul!H86,Aug!H86,Sep!H86)</f>
        <v>0</v>
      </c>
      <c r="I86" s="12">
        <f>SUM(Jul!I86, Aug!I86, Sep!I86)</f>
        <v>0</v>
      </c>
      <c r="J86" s="13" t="str">
        <f t="shared" si="11"/>
        <v/>
      </c>
    </row>
    <row r="87" spans="1:10" ht="15.6">
      <c r="A87" s="26" t="str">
        <v>County Route 84</v>
      </c>
      <c r="B87" s="27" t="str">
        <v>NY</v>
      </c>
      <c r="C87" s="27" t="str">
        <f>Sites[[#This Row],[SOL'#]]</f>
        <v>SOL-10967</v>
      </c>
      <c r="D87" s="9">
        <f>SUM(Jul!D87, Aug!D87, Sep!D87)</f>
        <v>0</v>
      </c>
      <c r="E87" s="14">
        <f>SUM(Jul!E87, Aug!E87, Sep!E87)</f>
        <v>0</v>
      </c>
      <c r="F87" s="14">
        <f t="shared" si="9"/>
        <v>0</v>
      </c>
      <c r="G87" s="15" t="str">
        <f t="shared" si="10"/>
        <v/>
      </c>
      <c r="H87" s="16">
        <f>SUM(Jul!H87,Aug!H87,Sep!H87)</f>
        <v>0</v>
      </c>
      <c r="I87" s="16">
        <f>SUM(Jul!I87, Aug!I87, Sep!I87)</f>
        <v>0</v>
      </c>
      <c r="J87" s="15" t="str">
        <f t="shared" si="11"/>
        <v/>
      </c>
    </row>
    <row r="88" spans="1:10" ht="15.6">
      <c r="A88" s="24" t="str">
        <v>Donati</v>
      </c>
      <c r="B88" s="25" t="str">
        <v>NY</v>
      </c>
      <c r="C88" s="25" t="str">
        <f>Sites[[#This Row],[SOL'#]]</f>
        <v>SOL-10968</v>
      </c>
      <c r="D88" s="20">
        <f>SUM(Jul!D88, Aug!D88, Sep!D88)</f>
        <v>0</v>
      </c>
      <c r="E88" s="10">
        <f>SUM(Jul!E88, Aug!E88, Sep!E88)</f>
        <v>0</v>
      </c>
      <c r="F88" s="10">
        <f t="shared" si="9"/>
        <v>0</v>
      </c>
      <c r="G88" s="11" t="str">
        <f t="shared" si="10"/>
        <v/>
      </c>
      <c r="H88" s="12">
        <f>SUM(Jul!H88,Aug!H88,Sep!H88)</f>
        <v>0</v>
      </c>
      <c r="I88" s="12">
        <f>SUM(Jul!I88, Aug!I88, Sep!I88)</f>
        <v>0</v>
      </c>
      <c r="J88" s="13" t="str">
        <f t="shared" si="11"/>
        <v/>
      </c>
    </row>
    <row r="89" spans="1:10" ht="15.6">
      <c r="A89" s="26" t="str">
        <v>Henrietta</v>
      </c>
      <c r="B89" s="27" t="str">
        <v>NY</v>
      </c>
      <c r="C89" s="27" t="str">
        <f>Sites[[#This Row],[SOL'#]]</f>
        <v>SOL-10972</v>
      </c>
      <c r="D89" s="9">
        <f>SUM(Jul!D89, Aug!D89, Sep!D89)</f>
        <v>0</v>
      </c>
      <c r="E89" s="14">
        <f>SUM(Jul!E89, Aug!E89, Sep!E89)</f>
        <v>0</v>
      </c>
      <c r="F89" s="14">
        <f t="shared" si="9"/>
        <v>0</v>
      </c>
      <c r="G89" s="15" t="str">
        <f t="shared" si="10"/>
        <v/>
      </c>
      <c r="H89" s="16">
        <f>SUM(Jul!H89,Aug!H89,Sep!H89)</f>
        <v>0</v>
      </c>
      <c r="I89" s="16">
        <f>SUM(Jul!I89, Aug!I89, Sep!I89)</f>
        <v>0</v>
      </c>
      <c r="J89" s="15" t="str">
        <f t="shared" si="11"/>
        <v/>
      </c>
    </row>
    <row r="90" spans="1:10" ht="15.6">
      <c r="A90" s="24" t="str">
        <v>NY 70</v>
      </c>
      <c r="B90" s="25" t="str">
        <v>NY</v>
      </c>
      <c r="C90" s="25" t="str">
        <f>Sites[[#This Row],[SOL'#]]</f>
        <v>SOL-10970</v>
      </c>
      <c r="D90" s="20">
        <f>SUM(Jul!D90, Aug!D90, Sep!D90)</f>
        <v>0</v>
      </c>
      <c r="E90" s="10">
        <f>SUM(Jul!E90, Aug!E90, Sep!E90)</f>
        <v>0</v>
      </c>
      <c r="F90" s="10">
        <f t="shared" si="9"/>
        <v>0</v>
      </c>
      <c r="G90" s="11" t="str">
        <f t="shared" si="10"/>
        <v/>
      </c>
      <c r="H90" s="12">
        <f>SUM(Jul!H90,Aug!H90,Sep!H90)</f>
        <v>0</v>
      </c>
      <c r="I90" s="12">
        <f>SUM(Jul!I90, Aug!I90, Sep!I90)</f>
        <v>0</v>
      </c>
      <c r="J90" s="13" t="str">
        <f t="shared" si="11"/>
        <v/>
      </c>
    </row>
    <row r="91" spans="1:10" ht="15.6">
      <c r="A91" s="26" t="str">
        <v>Reid</v>
      </c>
      <c r="B91" s="27" t="str">
        <v>NY</v>
      </c>
      <c r="C91" s="27" t="str">
        <f>Sites[[#This Row],[SOL'#]]</f>
        <v>SOL-10991</v>
      </c>
      <c r="D91" s="9">
        <f>SUM(Jul!D91, Aug!D91, Sep!D91)</f>
        <v>0</v>
      </c>
      <c r="E91" s="14">
        <f>SUM(Jul!E91, Aug!E91, Sep!E91)</f>
        <v>0</v>
      </c>
      <c r="F91" s="14">
        <f t="shared" si="9"/>
        <v>0</v>
      </c>
      <c r="G91" s="15" t="str">
        <f t="shared" si="10"/>
        <v/>
      </c>
      <c r="H91" s="16">
        <f>SUM(Jul!H91,Aug!H91,Sep!H91)</f>
        <v>0</v>
      </c>
      <c r="I91" s="16">
        <f>SUM(Jul!I91, Aug!I91, Sep!I91)</f>
        <v>0</v>
      </c>
      <c r="J91" s="15" t="str">
        <f t="shared" si="11"/>
        <v/>
      </c>
    </row>
    <row r="92" spans="1:10" ht="15.6">
      <c r="A92" s="24" t="str">
        <v>Sangolqui</v>
      </c>
      <c r="B92" s="25" t="str">
        <v>NY</v>
      </c>
      <c r="C92" s="25" t="str">
        <f>Sites[[#This Row],[SOL'#]]</f>
        <v>SOL-10975</v>
      </c>
      <c r="D92" s="20">
        <f>SUM(Jul!D92, Aug!D92, Sep!D92)</f>
        <v>0</v>
      </c>
      <c r="E92" s="10">
        <f>SUM(Jul!E92, Aug!E92, Sep!E92)</f>
        <v>0</v>
      </c>
      <c r="F92" s="10">
        <f t="shared" si="9"/>
        <v>0</v>
      </c>
      <c r="G92" s="11" t="str">
        <f t="shared" si="10"/>
        <v/>
      </c>
      <c r="H92" s="12">
        <f>SUM(Jul!H92,Aug!H92,Sep!H92)</f>
        <v>0</v>
      </c>
      <c r="I92" s="12">
        <f>SUM(Jul!I92, Aug!I92, Sep!I92)</f>
        <v>0</v>
      </c>
      <c r="J92" s="13" t="str">
        <f t="shared" si="11"/>
        <v/>
      </c>
    </row>
    <row r="93" spans="1:10" ht="15.6">
      <c r="A93" s="26" t="str">
        <v>State Highway 17B</v>
      </c>
      <c r="B93" s="27" t="str">
        <v>NY</v>
      </c>
      <c r="C93" s="27" t="str">
        <f>Sites[[#This Row],[SOL'#]]</f>
        <v>SOL-10988</v>
      </c>
      <c r="D93" s="9">
        <f>SUM(Jul!D93, Aug!D93, Sep!D93)</f>
        <v>0</v>
      </c>
      <c r="E93" s="14">
        <f>SUM(Jul!E93, Aug!E93, Sep!E93)</f>
        <v>0</v>
      </c>
      <c r="F93" s="14">
        <f t="shared" si="9"/>
        <v>0</v>
      </c>
      <c r="G93" s="15" t="str">
        <f t="shared" si="10"/>
        <v/>
      </c>
      <c r="H93" s="16">
        <f>SUM(Jul!H93,Aug!H93,Sep!H93)</f>
        <v>0</v>
      </c>
      <c r="I93" s="16">
        <f>SUM(Jul!I93, Aug!I93, Sep!I93)</f>
        <v>0</v>
      </c>
      <c r="J93" s="15" t="str">
        <f t="shared" si="11"/>
        <v/>
      </c>
    </row>
    <row r="94" spans="1:10" ht="15.6">
      <c r="A94" s="24" t="str">
        <v>State Route 14A</v>
      </c>
      <c r="B94" s="25" t="str">
        <v>NY</v>
      </c>
      <c r="C94" s="25" t="str">
        <f>Sites[[#This Row],[SOL'#]]</f>
        <v>SOL-10997</v>
      </c>
      <c r="D94" s="20">
        <f>SUM(Jul!D94, Aug!D94, Sep!D94)</f>
        <v>0</v>
      </c>
      <c r="E94" s="10">
        <f>SUM(Jul!E94, Aug!E94, Sep!E94)</f>
        <v>0</v>
      </c>
      <c r="F94" s="10">
        <f t="shared" si="9"/>
        <v>0</v>
      </c>
      <c r="G94" s="11" t="str">
        <f t="shared" si="10"/>
        <v/>
      </c>
      <c r="H94" s="12">
        <f>SUM(Jul!H94,Aug!H94,Sep!H94)</f>
        <v>0</v>
      </c>
      <c r="I94" s="12">
        <f>SUM(Jul!I94, Aug!I94, Sep!I94)</f>
        <v>0</v>
      </c>
      <c r="J94" s="13" t="str">
        <f t="shared" si="11"/>
        <v/>
      </c>
    </row>
    <row r="95" spans="1:10" ht="15.6">
      <c r="A95" s="26" t="str">
        <v>West Creek</v>
      </c>
      <c r="B95" s="27" t="str">
        <v>NY</v>
      </c>
      <c r="C95" s="27" t="str">
        <f>Sites[[#This Row],[SOL'#]]</f>
        <v>SOL-10995</v>
      </c>
      <c r="D95" s="9">
        <f>SUM(Jul!D95, Aug!D95, Sep!D95)</f>
        <v>0</v>
      </c>
      <c r="E95" s="14">
        <f>SUM(Jul!E95, Aug!E95, Sep!E95)</f>
        <v>0</v>
      </c>
      <c r="F95" s="14">
        <f t="shared" si="9"/>
        <v>0</v>
      </c>
      <c r="G95" s="15" t="str">
        <f t="shared" si="10"/>
        <v/>
      </c>
      <c r="H95" s="16">
        <f>SUM(Jul!H95,Aug!H95,Sep!H95)</f>
        <v>0</v>
      </c>
      <c r="I95" s="16">
        <f>SUM(Jul!I95, Aug!I95, Sep!I95)</f>
        <v>0</v>
      </c>
      <c r="J95" s="15" t="str">
        <f t="shared" si="11"/>
        <v/>
      </c>
    </row>
    <row r="96" spans="1:10" ht="15.6">
      <c r="A96" s="24" t="str">
        <v>Wildflower</v>
      </c>
      <c r="B96" s="25" t="str">
        <v>NY</v>
      </c>
      <c r="C96" s="25" t="str">
        <f>Sites[[#This Row],[SOL'#]]</f>
        <v>SOL-10982</v>
      </c>
      <c r="D96" s="20">
        <f>SUM(Jul!D96, Aug!D96, Sep!D96)</f>
        <v>0</v>
      </c>
      <c r="E96" s="10">
        <f>SUM(Jul!E96, Aug!E96, Sep!E96)</f>
        <v>0</v>
      </c>
      <c r="F96" s="10">
        <f t="shared" si="9"/>
        <v>0</v>
      </c>
      <c r="G96" s="11" t="str">
        <f t="shared" si="10"/>
        <v/>
      </c>
      <c r="H96" s="12">
        <f>SUM(Jul!H96,Aug!H96,Sep!H96)</f>
        <v>0</v>
      </c>
      <c r="I96" s="12">
        <f>SUM(Jul!I96, Aug!I96, Sep!I96)</f>
        <v>0</v>
      </c>
      <c r="J96" s="13" t="str">
        <f t="shared" si="11"/>
        <v/>
      </c>
    </row>
    <row r="97" spans="1:10" ht="15.6">
      <c r="A97" s="26" t="str">
        <v>Glen Mary 1</v>
      </c>
      <c r="B97" s="27" t="str">
        <v>NY</v>
      </c>
      <c r="C97" s="27" t="str">
        <f>Sites[[#This Row],[SOL'#]]</f>
        <v>SOL-10993</v>
      </c>
      <c r="D97" s="9">
        <f>SUM(Jul!D97, Aug!D97, Sep!D97)</f>
        <v>0</v>
      </c>
      <c r="E97" s="14">
        <f>SUM(Jul!E97, Aug!E97, Sep!E97)</f>
        <v>0</v>
      </c>
      <c r="F97" s="14">
        <f t="shared" si="9"/>
        <v>0</v>
      </c>
      <c r="G97" s="15" t="str">
        <f t="shared" si="10"/>
        <v/>
      </c>
      <c r="H97" s="16">
        <f>SUM(Jul!H97,Aug!H97,Sep!H97)</f>
        <v>0</v>
      </c>
      <c r="I97" s="16">
        <f>SUM(Jul!I97, Aug!I97, Sep!I97)</f>
        <v>0</v>
      </c>
      <c r="J97" s="15" t="str">
        <f t="shared" si="11"/>
        <v/>
      </c>
    </row>
    <row r="98" spans="1:10" ht="15.6">
      <c r="A98" s="24" t="str">
        <v>Glen Mary 2</v>
      </c>
      <c r="B98" s="25" t="str">
        <v>NY</v>
      </c>
      <c r="C98" s="25" t="str">
        <f>Sites[[#This Row],[SOL'#]]</f>
        <v>SOL-10994</v>
      </c>
      <c r="D98" s="20">
        <f>SUM(Jul!D98, Aug!D98, Sep!D98)</f>
        <v>0</v>
      </c>
      <c r="E98" s="10">
        <f>SUM(Jul!E98, Aug!E98, Sep!E98)</f>
        <v>0</v>
      </c>
      <c r="F98" s="10">
        <f t="shared" si="9"/>
        <v>0</v>
      </c>
      <c r="G98" s="11" t="str">
        <f t="shared" si="10"/>
        <v/>
      </c>
      <c r="H98" s="12">
        <f>SUM(Jul!H98,Aug!H98,Sep!H98)</f>
        <v>0</v>
      </c>
      <c r="I98" s="12">
        <f>SUM(Jul!I98, Aug!I98, Sep!I98)</f>
        <v>0</v>
      </c>
      <c r="J98" s="13" t="str">
        <f t="shared" si="11"/>
        <v/>
      </c>
    </row>
    <row r="99" spans="1:10" ht="15.6">
      <c r="A99" s="26" t="str">
        <v>Telegraph 1</v>
      </c>
      <c r="B99" s="27" t="str">
        <v>NY</v>
      </c>
      <c r="C99" s="27" t="str">
        <f>Sites[[#This Row],[SOL'#]]</f>
        <v>SOL-11003</v>
      </c>
      <c r="D99" s="9">
        <f>SUM(Jul!D99, Aug!D99, Sep!D99)</f>
        <v>0</v>
      </c>
      <c r="E99" s="14">
        <f>SUM(Jul!E99, Aug!E99, Sep!E99)</f>
        <v>0</v>
      </c>
      <c r="F99" s="14">
        <f t="shared" si="9"/>
        <v>0</v>
      </c>
      <c r="G99" s="15" t="str">
        <f t="shared" si="10"/>
        <v/>
      </c>
      <c r="H99" s="16">
        <f>SUM(Jul!H99,Aug!H99,Sep!H99)</f>
        <v>0</v>
      </c>
      <c r="I99" s="16">
        <f>SUM(Jul!I99, Aug!I99, Sep!I99)</f>
        <v>0</v>
      </c>
      <c r="J99" s="15" t="str">
        <f t="shared" si="11"/>
        <v/>
      </c>
    </row>
    <row r="100" spans="1:10" ht="15.6">
      <c r="A100" s="24" t="str">
        <v>Telegraph 2</v>
      </c>
      <c r="B100" s="25" t="str">
        <v>NY</v>
      </c>
      <c r="C100" s="25" t="str">
        <f>Sites[[#This Row],[SOL'#]]</f>
        <v>SOL-11004</v>
      </c>
      <c r="D100" s="20">
        <f>SUM(Jul!D100, Aug!D100, Sep!D100)</f>
        <v>0</v>
      </c>
      <c r="E100" s="10">
        <f>SUM(Jul!E100, Aug!E100, Sep!E100)</f>
        <v>0</v>
      </c>
      <c r="F100" s="10">
        <f t="shared" si="9"/>
        <v>0</v>
      </c>
      <c r="G100" s="11" t="str">
        <f t="shared" si="10"/>
        <v/>
      </c>
      <c r="H100" s="12">
        <f>SUM(Jul!H100,Aug!H100,Sep!H100)</f>
        <v>0</v>
      </c>
      <c r="I100" s="12">
        <f>SUM(Jul!I100, Aug!I100, Sep!I100)</f>
        <v>0</v>
      </c>
      <c r="J100" s="13" t="str">
        <f t="shared" si="11"/>
        <v/>
      </c>
    </row>
    <row r="101" spans="1:10" ht="15.6">
      <c r="A101" s="26" t="str">
        <v>Cafferty Hill</v>
      </c>
      <c r="B101" s="27" t="str">
        <v>NY</v>
      </c>
      <c r="C101" s="27" t="str">
        <f>Sites[[#This Row],[SOL'#]]</f>
        <v>SOL-10996</v>
      </c>
      <c r="D101" s="9">
        <f>SUM(Jul!D101, Aug!D101, Sep!D101)</f>
        <v>0</v>
      </c>
      <c r="E101" s="14">
        <f>SUM(Jul!E101, Aug!E101, Sep!E101)</f>
        <v>0</v>
      </c>
      <c r="F101" s="14">
        <f t="shared" si="9"/>
        <v>0</v>
      </c>
      <c r="G101" s="15" t="str">
        <f t="shared" si="10"/>
        <v/>
      </c>
      <c r="H101" s="16">
        <f>SUM(Jul!H101,Aug!H101,Sep!H101)</f>
        <v>0</v>
      </c>
      <c r="I101" s="16">
        <f>SUM(Jul!I101, Aug!I101, Sep!I101)</f>
        <v>0</v>
      </c>
      <c r="J101" s="15" t="str">
        <f t="shared" si="11"/>
        <v/>
      </c>
    </row>
    <row r="102" spans="1:10" ht="15.6">
      <c r="A102" s="24" t="str">
        <v>Dunkleman</v>
      </c>
      <c r="B102" s="25" t="str">
        <v>NY</v>
      </c>
      <c r="C102" s="25" t="str">
        <f>Sites[[#This Row],[SOL'#]]</f>
        <v>SOL-11008</v>
      </c>
      <c r="D102" s="20">
        <f>SUM(Jul!D102, Aug!D102, Sep!D102)</f>
        <v>0</v>
      </c>
      <c r="E102" s="10">
        <f>SUM(Jul!E102, Aug!E102, Sep!E102)</f>
        <v>0</v>
      </c>
      <c r="F102" s="10">
        <f t="shared" si="9"/>
        <v>0</v>
      </c>
      <c r="G102" s="11" t="str">
        <f t="shared" si="10"/>
        <v/>
      </c>
      <c r="H102" s="12">
        <f>SUM(Jul!H102,Aug!H102,Sep!H102)</f>
        <v>0</v>
      </c>
      <c r="I102" s="12">
        <f>SUM(Jul!I102, Aug!I102, Sep!I102)</f>
        <v>0</v>
      </c>
      <c r="J102" s="13" t="str">
        <f t="shared" si="11"/>
        <v/>
      </c>
    </row>
    <row r="103" spans="1:10" ht="15.6">
      <c r="A103" s="26" t="str">
        <v>Route 19 1</v>
      </c>
      <c r="B103" s="27" t="str">
        <v>NY</v>
      </c>
      <c r="C103" s="27" t="str">
        <f>Sites[[#This Row],[SOL'#]]</f>
        <v>SOL-11001</v>
      </c>
      <c r="D103" s="9">
        <f>SUM(Jul!D103, Aug!D103, Sep!D103)</f>
        <v>0</v>
      </c>
      <c r="E103" s="14">
        <f>SUM(Jul!E103, Aug!E103, Sep!E103)</f>
        <v>0</v>
      </c>
      <c r="F103" s="14">
        <f t="shared" si="9"/>
        <v>0</v>
      </c>
      <c r="G103" s="15" t="str">
        <f t="shared" si="10"/>
        <v/>
      </c>
      <c r="H103" s="16">
        <f>SUM(Jul!H103,Aug!H103,Sep!H103)</f>
        <v>0</v>
      </c>
      <c r="I103" s="16">
        <f>SUM(Jul!I103, Aug!I103, Sep!I103)</f>
        <v>0</v>
      </c>
      <c r="J103" s="15" t="str">
        <f t="shared" si="11"/>
        <v/>
      </c>
    </row>
    <row r="104" spans="1:10" ht="15.6">
      <c r="A104" s="24" t="str">
        <v>Route 19 2</v>
      </c>
      <c r="B104" s="25" t="str">
        <v>NY</v>
      </c>
      <c r="C104" s="25" t="str">
        <f>Sites[[#This Row],[SOL'#]]</f>
        <v>SOL-11002</v>
      </c>
      <c r="D104" s="20">
        <f>SUM(Jul!D104, Aug!D104, Sep!D104)</f>
        <v>0</v>
      </c>
      <c r="E104" s="10">
        <f>SUM(Jul!E104, Aug!E104, Sep!E104)</f>
        <v>0</v>
      </c>
      <c r="F104" s="10">
        <f t="shared" si="9"/>
        <v>0</v>
      </c>
      <c r="G104" s="11" t="str">
        <f t="shared" si="10"/>
        <v/>
      </c>
      <c r="H104" s="12">
        <f>SUM(Jul!H104,Aug!H104,Sep!H104)</f>
        <v>0</v>
      </c>
      <c r="I104" s="12">
        <f>SUM(Jul!I104, Aug!I104, Sep!I104)</f>
        <v>0</v>
      </c>
      <c r="J104" s="13" t="str">
        <f t="shared" si="11"/>
        <v/>
      </c>
    </row>
    <row r="105" spans="1:10" ht="15.6">
      <c r="A105" s="26" t="str">
        <v>Yellow Mills 1</v>
      </c>
      <c r="B105" s="27" t="str">
        <v>NY</v>
      </c>
      <c r="C105" s="27" t="str">
        <f>Sites[[#This Row],[SOL'#]]</f>
        <v>SOL-11006</v>
      </c>
      <c r="D105" s="9">
        <f>SUM(Jul!D105, Aug!D105, Sep!D105)</f>
        <v>0</v>
      </c>
      <c r="E105" s="14">
        <f>SUM(Jul!E105, Aug!E105, Sep!E105)</f>
        <v>0</v>
      </c>
      <c r="F105" s="14">
        <f t="shared" si="9"/>
        <v>0</v>
      </c>
      <c r="G105" s="15" t="str">
        <f t="shared" si="10"/>
        <v/>
      </c>
      <c r="H105" s="16">
        <f>SUM(Jul!H105,Aug!H105,Sep!H105)</f>
        <v>0</v>
      </c>
      <c r="I105" s="16">
        <f>SUM(Jul!I105, Aug!I105, Sep!I105)</f>
        <v>0</v>
      </c>
      <c r="J105" s="15" t="str">
        <f t="shared" si="11"/>
        <v/>
      </c>
    </row>
    <row r="106" spans="1:10" ht="15.6">
      <c r="A106" s="24" t="str">
        <v>Yellow Mills 2</v>
      </c>
      <c r="B106" s="25" t="str">
        <v>NY</v>
      </c>
      <c r="C106" s="25" t="str">
        <f>Sites[[#This Row],[SOL'#]]</f>
        <v>SOL-11005</v>
      </c>
      <c r="D106" s="20">
        <f>SUM(Jul!D106, Aug!D106, Sep!D106)</f>
        <v>0</v>
      </c>
      <c r="E106" s="10">
        <f>SUM(Jul!E106, Aug!E106, Sep!E106)</f>
        <v>0</v>
      </c>
      <c r="F106" s="10">
        <f t="shared" si="9"/>
        <v>0</v>
      </c>
      <c r="G106" s="11" t="str">
        <f t="shared" si="10"/>
        <v/>
      </c>
      <c r="H106" s="12">
        <f>SUM(Jul!H106,Aug!H106,Sep!H106)</f>
        <v>0</v>
      </c>
      <c r="I106" s="12">
        <f>SUM(Jul!I106, Aug!I106, Sep!I106)</f>
        <v>0</v>
      </c>
      <c r="J106" s="13" t="str">
        <f t="shared" si="11"/>
        <v/>
      </c>
    </row>
    <row r="107" spans="1:10" ht="15.6">
      <c r="A107" s="26" t="str">
        <v>Yellow Mills 3</v>
      </c>
      <c r="B107" s="27" t="str">
        <v>NY</v>
      </c>
      <c r="C107" s="27" t="str">
        <f>Sites[[#This Row],[SOL'#]]</f>
        <v>SOL-11007</v>
      </c>
      <c r="D107" s="9">
        <f>SUM(Jul!D107, Aug!D107, Sep!D107)</f>
        <v>0</v>
      </c>
      <c r="E107" s="14">
        <f>SUM(Jul!E107, Aug!E107, Sep!E107)</f>
        <v>0</v>
      </c>
      <c r="F107" s="14">
        <f t="shared" si="9"/>
        <v>0</v>
      </c>
      <c r="G107" s="15" t="str">
        <f t="shared" si="10"/>
        <v/>
      </c>
      <c r="H107" s="16">
        <f>SUM(Jul!H107,Aug!H107,Sep!H107)</f>
        <v>0</v>
      </c>
      <c r="I107" s="16">
        <f>SUM(Jul!I107, Aug!I107, Sep!I107)</f>
        <v>0</v>
      </c>
      <c r="J107" s="15" t="str">
        <f t="shared" si="11"/>
        <v/>
      </c>
    </row>
    <row r="108" spans="1:10" ht="15.6">
      <c r="A108" s="24" t="str">
        <v>Catskill</v>
      </c>
      <c r="B108" s="25" t="str">
        <v>NY</v>
      </c>
      <c r="C108" s="25" t="str">
        <f>Sites[[#This Row],[SOL'#]]</f>
        <v>SOL-11021</v>
      </c>
      <c r="D108" s="20">
        <f>SUM(Jul!D108, Aug!D108, Sep!D108)</f>
        <v>0</v>
      </c>
      <c r="E108" s="10">
        <f>SUM(Jul!E108, Aug!E108, Sep!E108)</f>
        <v>0</v>
      </c>
      <c r="F108" s="10">
        <f t="shared" si="9"/>
        <v>0</v>
      </c>
      <c r="G108" s="11" t="str">
        <f t="shared" si="10"/>
        <v/>
      </c>
      <c r="H108" s="12">
        <f>SUM(Jul!H108,Aug!H108,Sep!H108)</f>
        <v>0</v>
      </c>
      <c r="I108" s="12">
        <f>SUM(Jul!I108, Aug!I108, Sep!I108)</f>
        <v>0</v>
      </c>
      <c r="J108" s="13" t="str">
        <f t="shared" si="11"/>
        <v/>
      </c>
    </row>
    <row r="109" spans="1:10" ht="15.6">
      <c r="A109" s="26" t="str">
        <v>Eddy Ridge</v>
      </c>
      <c r="B109" s="27" t="str">
        <v>NY</v>
      </c>
      <c r="C109" s="27" t="str">
        <f>Sites[[#This Row],[SOL'#]]</f>
        <v>SOL-11054</v>
      </c>
      <c r="D109" s="9">
        <f>SUM(Jul!D109, Aug!D109, Sep!D109)</f>
        <v>0</v>
      </c>
      <c r="E109" s="14">
        <f>SUM(Jul!E109, Aug!E109, Sep!E109)</f>
        <v>0</v>
      </c>
      <c r="F109" s="14">
        <f t="shared" si="9"/>
        <v>0</v>
      </c>
      <c r="G109" s="15" t="str">
        <f t="shared" si="10"/>
        <v/>
      </c>
      <c r="H109" s="16">
        <f>SUM(Jul!H109,Aug!H109,Sep!H109)</f>
        <v>0</v>
      </c>
      <c r="I109" s="16">
        <f>SUM(Jul!I109, Aug!I109, Sep!I109)</f>
        <v>0</v>
      </c>
      <c r="J109" s="15" t="str">
        <f t="shared" si="11"/>
        <v/>
      </c>
    </row>
    <row r="110" spans="1:10" ht="15.6">
      <c r="A110" s="24" t="str">
        <v>Ridgeway #1</v>
      </c>
      <c r="B110" s="25" t="str">
        <v>NY</v>
      </c>
      <c r="C110" s="25" t="str">
        <f>Sites[[#This Row],[SOL'#]]</f>
        <v>SOL-11018</v>
      </c>
      <c r="D110" s="20">
        <f>SUM(Jul!D110, Aug!D110, Sep!D110)</f>
        <v>0</v>
      </c>
      <c r="E110" s="10">
        <f>SUM(Jul!E110, Aug!E110, Sep!E110)</f>
        <v>0</v>
      </c>
      <c r="F110" s="10">
        <f t="shared" si="9"/>
        <v>0</v>
      </c>
      <c r="G110" s="11" t="str">
        <f t="shared" si="10"/>
        <v/>
      </c>
      <c r="H110" s="12">
        <f>SUM(Jul!H110,Aug!H110,Sep!H110)</f>
        <v>0</v>
      </c>
      <c r="I110" s="12">
        <f>SUM(Jul!I110, Aug!I110, Sep!I110)</f>
        <v>0</v>
      </c>
      <c r="J110" s="13" t="str">
        <f t="shared" si="11"/>
        <v/>
      </c>
    </row>
    <row r="111" spans="1:10" ht="15.6">
      <c r="A111" s="26" t="str">
        <v>Rivard 1</v>
      </c>
      <c r="B111" s="27" t="str">
        <v>NY</v>
      </c>
      <c r="C111" s="27" t="str">
        <f>Sites[[#This Row],[SOL'#]]</f>
        <v>SOL-11011</v>
      </c>
      <c r="D111" s="9">
        <f>SUM(Jul!D111, Aug!D111, Sep!D111)</f>
        <v>0</v>
      </c>
      <c r="E111" s="14">
        <f>SUM(Jul!E111, Aug!E111, Sep!E111)</f>
        <v>0</v>
      </c>
      <c r="F111" s="14">
        <f t="shared" si="9"/>
        <v>0</v>
      </c>
      <c r="G111" s="15" t="str">
        <f t="shared" si="10"/>
        <v/>
      </c>
      <c r="H111" s="16">
        <f>SUM(Jul!H111,Aug!H111,Sep!H111)</f>
        <v>0</v>
      </c>
      <c r="I111" s="16">
        <f>SUM(Jul!I111, Aug!I111, Sep!I111)</f>
        <v>0</v>
      </c>
      <c r="J111" s="15" t="str">
        <f t="shared" si="11"/>
        <v/>
      </c>
    </row>
    <row r="112" spans="1:10" ht="15.6">
      <c r="A112" s="24" t="str">
        <v>Rivard 2</v>
      </c>
      <c r="B112" s="25" t="str">
        <v>NY</v>
      </c>
      <c r="C112" s="25" t="str">
        <f>Sites[[#This Row],[SOL'#]]</f>
        <v>SOL-11012</v>
      </c>
      <c r="D112" s="20">
        <f>SUM(Jul!D112, Aug!D112, Sep!D112)</f>
        <v>0</v>
      </c>
      <c r="E112" s="10">
        <f>SUM(Jul!E112, Aug!E112, Sep!E112)</f>
        <v>0</v>
      </c>
      <c r="F112" s="10">
        <f t="shared" si="9"/>
        <v>0</v>
      </c>
      <c r="G112" s="11" t="str">
        <f t="shared" si="10"/>
        <v/>
      </c>
      <c r="H112" s="12">
        <f>SUM(Jul!H112,Aug!H112,Sep!H112)</f>
        <v>0</v>
      </c>
      <c r="I112" s="12">
        <f>SUM(Jul!I112, Aug!I112, Sep!I112)</f>
        <v>0</v>
      </c>
      <c r="J112" s="13" t="str">
        <f t="shared" si="11"/>
        <v/>
      </c>
    </row>
    <row r="113" spans="1:10" ht="15.6">
      <c r="A113" s="26" t="str">
        <v>Essex</v>
      </c>
      <c r="B113" s="27" t="str">
        <v>DC</v>
      </c>
      <c r="C113" s="27" t="str">
        <f>Sites[[#This Row],[SOL'#]]</f>
        <v>SOL-10036</v>
      </c>
      <c r="D113" s="9">
        <f>SUM(Jul!D113, Aug!D113, Sep!D113)</f>
        <v>0</v>
      </c>
      <c r="E113" s="14">
        <f>SUM(Jul!E113, Aug!E113, Sep!E113)</f>
        <v>0</v>
      </c>
      <c r="F113" s="14">
        <f t="shared" si="9"/>
        <v>0</v>
      </c>
      <c r="G113" s="15" t="str">
        <f t="shared" si="10"/>
        <v/>
      </c>
      <c r="H113" s="16">
        <f>SUM(Jul!H113,Aug!H113,Sep!H113)</f>
        <v>0</v>
      </c>
      <c r="I113" s="16">
        <f>SUM(Jul!I113, Aug!I113, Sep!I113)</f>
        <v>0</v>
      </c>
      <c r="J113" s="15" t="str">
        <f t="shared" si="11"/>
        <v/>
      </c>
    </row>
    <row r="114" spans="1:10" ht="15.6">
      <c r="A114" s="24" t="str">
        <v>Temple Sinai</v>
      </c>
      <c r="B114" s="25" t="str">
        <v>DC</v>
      </c>
      <c r="C114" s="25" t="str">
        <f>Sites[[#This Row],[SOL'#]]</f>
        <v>SOL-10028</v>
      </c>
      <c r="D114" s="20">
        <f>SUM(Jul!D114, Aug!D114, Sep!D114)</f>
        <v>0</v>
      </c>
      <c r="E114" s="10">
        <f>SUM(Jul!E114, Aug!E114, Sep!E114)</f>
        <v>0</v>
      </c>
      <c r="F114" s="10">
        <f t="shared" si="9"/>
        <v>0</v>
      </c>
      <c r="G114" s="11" t="str">
        <f t="shared" si="10"/>
        <v/>
      </c>
      <c r="H114" s="12">
        <f>SUM(Jul!H114,Aug!H114,Sep!H114)</f>
        <v>0</v>
      </c>
      <c r="I114" s="12">
        <f>SUM(Jul!I114, Aug!I114, Sep!I114)</f>
        <v>0</v>
      </c>
      <c r="J114" s="13" t="str">
        <f t="shared" si="11"/>
        <v/>
      </c>
    </row>
    <row r="115" spans="1:10" ht="15.6">
      <c r="A115" s="26" t="str">
        <v>Weinberg 1</v>
      </c>
      <c r="B115" s="27" t="str">
        <v>DC</v>
      </c>
      <c r="C115" s="27" t="str">
        <f>Sites[[#This Row],[SOL'#]]</f>
        <v>SOL-10039</v>
      </c>
      <c r="D115" s="9">
        <f>SUM(Jul!D115, Aug!D115, Sep!D115)</f>
        <v>0</v>
      </c>
      <c r="E115" s="14">
        <f>SUM(Jul!E115, Aug!E115, Sep!E115)</f>
        <v>0</v>
      </c>
      <c r="F115" s="14">
        <f t="shared" si="9"/>
        <v>0</v>
      </c>
      <c r="G115" s="15" t="str">
        <f t="shared" si="10"/>
        <v/>
      </c>
      <c r="H115" s="16">
        <f>SUM(Jul!H115,Aug!H115,Sep!H115)</f>
        <v>0</v>
      </c>
      <c r="I115" s="16">
        <f>SUM(Jul!I115, Aug!I115, Sep!I115)</f>
        <v>0</v>
      </c>
      <c r="J115" s="15" t="str">
        <f t="shared" si="11"/>
        <v/>
      </c>
    </row>
    <row r="116" spans="1:10" ht="15.6">
      <c r="A116" s="24" t="str">
        <v>Weinberg 2</v>
      </c>
      <c r="B116" s="25" t="str">
        <v>DC</v>
      </c>
      <c r="C116" s="25" t="str">
        <f>Sites[[#This Row],[SOL'#]]</f>
        <v>SOL-10045</v>
      </c>
      <c r="D116" s="20">
        <f>SUM(Jul!D116, Aug!D116, Sep!D116)</f>
        <v>0</v>
      </c>
      <c r="E116" s="10">
        <f>SUM(Jul!E116, Aug!E116, Sep!E116)</f>
        <v>0</v>
      </c>
      <c r="F116" s="10">
        <f t="shared" si="9"/>
        <v>0</v>
      </c>
      <c r="G116" s="11" t="str">
        <f t="shared" si="10"/>
        <v/>
      </c>
      <c r="H116" s="12">
        <f>SUM(Jul!H116,Aug!H116,Sep!H116)</f>
        <v>0</v>
      </c>
      <c r="I116" s="12">
        <f>SUM(Jul!I116, Aug!I116, Sep!I116)</f>
        <v>0</v>
      </c>
      <c r="J116" s="13" t="str">
        <f t="shared" si="11"/>
        <v/>
      </c>
    </row>
    <row r="117" spans="1:10" ht="15.6">
      <c r="A117" s="26" t="str">
        <v>Weinberg 3</v>
      </c>
      <c r="B117" s="27" t="str">
        <v>DC</v>
      </c>
      <c r="C117" s="27" t="str">
        <f>Sites[[#This Row],[SOL'#]]</f>
        <v>SOL-10042</v>
      </c>
      <c r="D117" s="9">
        <f>SUM(Jul!D117, Aug!D117, Sep!D117)</f>
        <v>0</v>
      </c>
      <c r="E117" s="14">
        <f>SUM(Jul!E117, Aug!E117, Sep!E117)</f>
        <v>0</v>
      </c>
      <c r="F117" s="14">
        <f t="shared" si="9"/>
        <v>0</v>
      </c>
      <c r="G117" s="15" t="str">
        <f t="shared" si="10"/>
        <v/>
      </c>
      <c r="H117" s="16">
        <f>SUM(Jul!H117,Aug!H117,Sep!H117)</f>
        <v>0</v>
      </c>
      <c r="I117" s="16">
        <f>SUM(Jul!I117, Aug!I117, Sep!I117)</f>
        <v>0</v>
      </c>
      <c r="J117" s="15" t="str">
        <f t="shared" si="11"/>
        <v/>
      </c>
    </row>
    <row r="118" spans="1:10" ht="15.6">
      <c r="A118" s="24" t="str">
        <v>Clayton Hall</v>
      </c>
      <c r="B118" s="25" t="str">
        <v>DE</v>
      </c>
      <c r="C118" s="25" t="str">
        <f>Sites[[#This Row],[SOL'#]]</f>
        <v>SOL-10820</v>
      </c>
      <c r="D118" s="20">
        <f>SUM(Jul!D118, Aug!D118, Sep!D118)</f>
        <v>0</v>
      </c>
      <c r="E118" s="10">
        <f>SUM(Jul!E118, Aug!E118, Sep!E118)</f>
        <v>0</v>
      </c>
      <c r="F118" s="10">
        <f t="shared" si="9"/>
        <v>0</v>
      </c>
      <c r="G118" s="11" t="str">
        <f t="shared" si="10"/>
        <v/>
      </c>
      <c r="H118" s="12">
        <f>SUM(Jul!H118,Aug!H118,Sep!H118)</f>
        <v>0</v>
      </c>
      <c r="I118" s="12">
        <f>SUM(Jul!I118, Aug!I118, Sep!I118)</f>
        <v>0</v>
      </c>
      <c r="J118" s="13" t="str">
        <f t="shared" si="11"/>
        <v/>
      </c>
    </row>
    <row r="119" spans="1:10" ht="15.6">
      <c r="A119" s="26" t="str">
        <v>Field House</v>
      </c>
      <c r="B119" s="27" t="str">
        <v>DE</v>
      </c>
      <c r="C119" s="27" t="str">
        <f>Sites[[#This Row],[SOL'#]]</f>
        <v>SOL-10821</v>
      </c>
      <c r="D119" s="9">
        <f>SUM(Jul!D119, Aug!D119, Sep!D119)</f>
        <v>0</v>
      </c>
      <c r="E119" s="14">
        <f>SUM(Jul!E119, Aug!E119, Sep!E119)</f>
        <v>0</v>
      </c>
      <c r="F119" s="14">
        <f t="shared" si="9"/>
        <v>0</v>
      </c>
      <c r="G119" s="15" t="str">
        <f t="shared" si="10"/>
        <v/>
      </c>
      <c r="H119" s="16">
        <f>SUM(Jul!H119,Aug!H119,Sep!H119)</f>
        <v>0</v>
      </c>
      <c r="I119" s="16">
        <f>SUM(Jul!I119, Aug!I119, Sep!I119)</f>
        <v>0</v>
      </c>
      <c r="J119" s="15" t="str">
        <f t="shared" si="11"/>
        <v/>
      </c>
    </row>
    <row r="120" spans="1:10" ht="15.6">
      <c r="A120" s="24" t="str">
        <v>Wyoming Road</v>
      </c>
      <c r="B120" s="25" t="str">
        <v>DE</v>
      </c>
      <c r="C120" s="25" t="str">
        <f>Sites[[#This Row],[SOL'#]]</f>
        <v>SOL-10819</v>
      </c>
      <c r="D120" s="20">
        <f>SUM(Jul!D120, Aug!D120, Sep!D120)</f>
        <v>0</v>
      </c>
      <c r="E120" s="10">
        <f>SUM(Jul!E120, Aug!E120, Sep!E120)</f>
        <v>0</v>
      </c>
      <c r="F120" s="10">
        <f t="shared" si="9"/>
        <v>0</v>
      </c>
      <c r="G120" s="11" t="str">
        <f t="shared" si="10"/>
        <v/>
      </c>
      <c r="H120" s="12">
        <f>SUM(Jul!H120,Aug!H120,Sep!H120)</f>
        <v>0</v>
      </c>
      <c r="I120" s="12">
        <f>SUM(Jul!I120, Aug!I120, Sep!I120)</f>
        <v>0</v>
      </c>
      <c r="J120" s="13" t="str">
        <f t="shared" si="11"/>
        <v/>
      </c>
    </row>
    <row r="121" spans="1:10" ht="15.6">
      <c r="A121" s="26" t="str">
        <v>Leoku</v>
      </c>
      <c r="B121" s="27" t="str">
        <v>HI</v>
      </c>
      <c r="C121" s="27" t="str">
        <f>Sites[[#This Row],[SOL'#]]</f>
        <v>SOL-10071</v>
      </c>
      <c r="D121" s="9">
        <f>SUM(Jul!D121, Aug!D121, Sep!D121)</f>
        <v>0</v>
      </c>
      <c r="E121" s="14">
        <f>SUM(Jul!E121, Aug!E121, Sep!E121)</f>
        <v>0</v>
      </c>
      <c r="F121" s="14">
        <f t="shared" si="9"/>
        <v>0</v>
      </c>
      <c r="G121" s="15" t="str">
        <f t="shared" si="10"/>
        <v/>
      </c>
      <c r="H121" s="16">
        <f>SUM(Jul!H121,Aug!H121,Sep!H121)</f>
        <v>0</v>
      </c>
      <c r="I121" s="16">
        <f>SUM(Jul!I121, Aug!I121, Sep!I121)</f>
        <v>0</v>
      </c>
      <c r="J121" s="15" t="str">
        <f t="shared" si="11"/>
        <v/>
      </c>
    </row>
    <row r="122" spans="1:10" ht="15.6">
      <c r="A122" s="24" t="str">
        <v>Waipahu</v>
      </c>
      <c r="B122" s="25" t="str">
        <v>HI</v>
      </c>
      <c r="C122" s="25" t="str">
        <f>Sites[[#This Row],[SOL'#]]</f>
        <v>SOL-10068</v>
      </c>
      <c r="D122" s="20">
        <f>SUM(Jul!D122, Aug!D122, Sep!D122)</f>
        <v>0</v>
      </c>
      <c r="E122" s="10">
        <f>SUM(Jul!E122, Aug!E122, Sep!E122)</f>
        <v>0</v>
      </c>
      <c r="F122" s="10">
        <f t="shared" si="9"/>
        <v>0</v>
      </c>
      <c r="G122" s="11" t="str">
        <f t="shared" si="10"/>
        <v/>
      </c>
      <c r="H122" s="12">
        <f>SUM(Jul!H122,Aug!H122,Sep!H122)</f>
        <v>0</v>
      </c>
      <c r="I122" s="12">
        <f>SUM(Jul!I122, Aug!I122, Sep!I122)</f>
        <v>0</v>
      </c>
      <c r="J122" s="13" t="str">
        <f t="shared" si="11"/>
        <v/>
      </c>
    </row>
    <row r="123" spans="1:10" ht="15.6">
      <c r="A123" s="26" t="str">
        <v>Bird in Hand</v>
      </c>
      <c r="B123" s="27" t="str">
        <v>MD</v>
      </c>
      <c r="C123" s="27" t="str">
        <f>Sites[[#This Row],[SOL'#]]</f>
        <v>SOL-10092</v>
      </c>
      <c r="D123" s="9">
        <f>SUM(Jul!D123, Aug!D123, Sep!D123)</f>
        <v>0</v>
      </c>
      <c r="E123" s="14">
        <f>SUM(Jul!E123, Aug!E123, Sep!E123)</f>
        <v>0</v>
      </c>
      <c r="F123" s="14">
        <f t="shared" si="9"/>
        <v>0</v>
      </c>
      <c r="G123" s="15" t="str">
        <f t="shared" si="10"/>
        <v/>
      </c>
      <c r="H123" s="16">
        <f>SUM(Jul!H123,Aug!H123,Sep!H123)</f>
        <v>0</v>
      </c>
      <c r="I123" s="16">
        <f>SUM(Jul!I123, Aug!I123, Sep!I123)</f>
        <v>0</v>
      </c>
      <c r="J123" s="15" t="str">
        <f t="shared" si="11"/>
        <v/>
      </c>
    </row>
    <row r="124" spans="1:10" ht="15.6">
      <c r="A124" s="24" t="str">
        <v>Shortal</v>
      </c>
      <c r="B124" s="25" t="str">
        <v>MD</v>
      </c>
      <c r="C124" s="25" t="str">
        <f>Sites[[#This Row],[SOL'#]]</f>
        <v>SOL-10091</v>
      </c>
      <c r="D124" s="20">
        <f>SUM(Jul!D124, Aug!D124, Sep!D124)</f>
        <v>0</v>
      </c>
      <c r="E124" s="10">
        <f>SUM(Jul!E124, Aug!E124, Sep!E124)</f>
        <v>0</v>
      </c>
      <c r="F124" s="10">
        <f t="shared" si="9"/>
        <v>0</v>
      </c>
      <c r="G124" s="11" t="str">
        <f t="shared" si="10"/>
        <v/>
      </c>
      <c r="H124" s="12">
        <f>SUM(Jul!H124,Aug!H124,Sep!H124)</f>
        <v>0</v>
      </c>
      <c r="I124" s="12">
        <f>SUM(Jul!I124, Aug!I124, Sep!I124)</f>
        <v>0</v>
      </c>
      <c r="J124" s="13" t="str">
        <f t="shared" si="11"/>
        <v/>
      </c>
    </row>
    <row r="125" spans="1:10" ht="15.6">
      <c r="A125" s="26" t="str">
        <v>Aguadilla</v>
      </c>
      <c r="B125" s="27" t="str">
        <v>PR</v>
      </c>
      <c r="C125" s="27" t="str">
        <f>Sites[[#This Row],[SOL'#]]</f>
        <v>SOL-10072</v>
      </c>
      <c r="D125" s="9">
        <f>SUM(Jul!D125, Aug!D125, Sep!D125)</f>
        <v>0</v>
      </c>
      <c r="E125" s="14">
        <f>SUM(Jul!E125, Aug!E125, Sep!E125)</f>
        <v>0</v>
      </c>
      <c r="F125" s="14">
        <f t="shared" si="9"/>
        <v>0</v>
      </c>
      <c r="G125" s="15" t="str">
        <f t="shared" si="10"/>
        <v/>
      </c>
      <c r="H125" s="16">
        <f>SUM(Jul!H125,Aug!H125,Sep!H125)</f>
        <v>0</v>
      </c>
      <c r="I125" s="16">
        <f>SUM(Jul!I125, Aug!I125, Sep!I125)</f>
        <v>0</v>
      </c>
      <c r="J125" s="15" t="str">
        <f t="shared" si="11"/>
        <v/>
      </c>
    </row>
    <row r="126" spans="1:10" ht="15.6">
      <c r="A126" s="24" t="str">
        <v>Bayamon</v>
      </c>
      <c r="B126" s="25" t="str">
        <v>PR</v>
      </c>
      <c r="C126" s="25" t="str">
        <f>Sites[[#This Row],[SOL'#]]</f>
        <v>SOL-10073</v>
      </c>
      <c r="D126" s="20">
        <f>SUM(Jul!D126, Aug!D126, Sep!D126)</f>
        <v>0</v>
      </c>
      <c r="E126" s="10">
        <f>SUM(Jul!E126, Aug!E126, Sep!E126)</f>
        <v>0</v>
      </c>
      <c r="F126" s="10">
        <f t="shared" si="9"/>
        <v>0</v>
      </c>
      <c r="G126" s="11" t="str">
        <f t="shared" si="10"/>
        <v/>
      </c>
      <c r="H126" s="12">
        <f>SUM(Jul!H126,Aug!H126,Sep!H126)</f>
        <v>0</v>
      </c>
      <c r="I126" s="12">
        <f>SUM(Jul!I126, Aug!I126, Sep!I126)</f>
        <v>0</v>
      </c>
      <c r="J126" s="13" t="str">
        <f t="shared" si="11"/>
        <v/>
      </c>
    </row>
    <row r="127" spans="1:10" ht="15.6">
      <c r="A127" s="26" t="str">
        <v>St Francis</v>
      </c>
      <c r="B127" s="27" t="str">
        <v>PR</v>
      </c>
      <c r="C127" s="27" t="str">
        <f>Sites[[#This Row],[SOL'#]]</f>
        <v>SOL-10034</v>
      </c>
      <c r="D127" s="9">
        <f>SUM(Jul!D127, Aug!D127, Sep!D127)</f>
        <v>0</v>
      </c>
      <c r="E127" s="14">
        <f>SUM(Jul!E127, Aug!E127, Sep!E127)</f>
        <v>0</v>
      </c>
      <c r="F127" s="14">
        <f t="shared" si="9"/>
        <v>0</v>
      </c>
      <c r="G127" s="15" t="str">
        <f t="shared" si="10"/>
        <v/>
      </c>
      <c r="H127" s="16">
        <f>SUM(Jul!H127,Aug!H127,Sep!H127)</f>
        <v>0</v>
      </c>
      <c r="I127" s="16">
        <f>SUM(Jul!I127, Aug!I127, Sep!I127)</f>
        <v>0</v>
      </c>
      <c r="J127" s="15" t="str">
        <f t="shared" si="11"/>
        <v/>
      </c>
    </row>
    <row r="128" spans="1:10" ht="15.6">
      <c r="A128" s="24" t="str">
        <v>Seaport</v>
      </c>
      <c r="B128" s="25" t="str">
        <v>MA</v>
      </c>
      <c r="C128" s="25" t="str">
        <f>Sites[[#This Row],[SOL'#]]</f>
        <v>SOL-10772</v>
      </c>
      <c r="D128" s="20">
        <f>SUM(Jul!D128, Aug!D128, Sep!D128)</f>
        <v>0</v>
      </c>
      <c r="E128" s="10">
        <f>SUM(Jul!E128, Aug!E128, Sep!E128)</f>
        <v>0</v>
      </c>
      <c r="F128" s="10">
        <f t="shared" si="9"/>
        <v>0</v>
      </c>
      <c r="G128" s="11" t="str">
        <f t="shared" si="10"/>
        <v/>
      </c>
      <c r="H128" s="12">
        <f>SUM(Jul!H128,Aug!H128,Sep!H128)</f>
        <v>0</v>
      </c>
      <c r="I128" s="12">
        <f>SUM(Jul!I128, Aug!I128, Sep!I128)</f>
        <v>0</v>
      </c>
      <c r="J128" s="13" t="str">
        <f t="shared" si="11"/>
        <v/>
      </c>
    </row>
    <row r="129" spans="1:10" ht="15.6">
      <c r="A129" s="26" t="str">
        <v>Sprague St</v>
      </c>
      <c r="B129" s="27" t="str">
        <v>MA</v>
      </c>
      <c r="C129" s="27" t="str">
        <f>Sites[[#This Row],[SOL'#]]</f>
        <v>SOL-10773</v>
      </c>
      <c r="D129" s="9">
        <f>SUM(Jul!D129, Aug!D129, Sep!D129)</f>
        <v>0</v>
      </c>
      <c r="E129" s="14">
        <f>SUM(Jul!E129, Aug!E129, Sep!E129)</f>
        <v>0</v>
      </c>
      <c r="F129" s="14">
        <f t="shared" si="9"/>
        <v>0</v>
      </c>
      <c r="G129" s="15" t="str">
        <f t="shared" si="10"/>
        <v/>
      </c>
      <c r="H129" s="16">
        <f>SUM(Jul!H129,Aug!H129,Sep!H129)</f>
        <v>0</v>
      </c>
      <c r="I129" s="16">
        <f>SUM(Jul!I129, Aug!I129, Sep!I129)</f>
        <v>0</v>
      </c>
      <c r="J129" s="15" t="str">
        <f t="shared" si="11"/>
        <v/>
      </c>
    </row>
    <row r="130" spans="1:10" ht="15.6">
      <c r="A130" s="24" t="str">
        <v>Summer St</v>
      </c>
      <c r="B130" s="25" t="str">
        <v>MA</v>
      </c>
      <c r="C130" s="25" t="str">
        <f>Sites[[#This Row],[SOL'#]]</f>
        <v>SOL-10764</v>
      </c>
      <c r="D130" s="20">
        <f>SUM(Jul!D130, Aug!D130, Sep!D130)</f>
        <v>0</v>
      </c>
      <c r="E130" s="10">
        <f>SUM(Jul!E130, Aug!E130, Sep!E130)</f>
        <v>0</v>
      </c>
      <c r="F130" s="10">
        <f t="shared" si="9"/>
        <v>0</v>
      </c>
      <c r="G130" s="11" t="str">
        <f t="shared" si="10"/>
        <v/>
      </c>
      <c r="H130" s="12">
        <f>SUM(Jul!H130,Aug!H130,Sep!H130)</f>
        <v>0</v>
      </c>
      <c r="I130" s="12">
        <f>SUM(Jul!I130, Aug!I130, Sep!I130)</f>
        <v>0</v>
      </c>
      <c r="J130" s="13" t="str">
        <f t="shared" si="11"/>
        <v/>
      </c>
    </row>
    <row r="131" spans="1:10" ht="15.6">
      <c r="A131" s="26" t="str">
        <v>Brock St Vocational</v>
      </c>
      <c r="B131" s="27" t="str">
        <v>NH</v>
      </c>
      <c r="C131" s="27" t="str">
        <f>Sites[[#This Row],[SOL'#]]</f>
        <v>SOL-10768</v>
      </c>
      <c r="D131" s="9">
        <f>SUM(Jul!D131, Aug!D131, Sep!D131)</f>
        <v>0</v>
      </c>
      <c r="E131" s="14">
        <f>SUM(Jul!E131, Aug!E131, Sep!E131)</f>
        <v>0</v>
      </c>
      <c r="F131" s="14">
        <f t="shared" si="9"/>
        <v>0</v>
      </c>
      <c r="G131" s="15" t="str">
        <f t="shared" si="10"/>
        <v/>
      </c>
      <c r="H131" s="16">
        <f>SUM(Jul!H131,Aug!H131,Sep!H131)</f>
        <v>0</v>
      </c>
      <c r="I131" s="16">
        <f>SUM(Jul!I131, Aug!I131, Sep!I131)</f>
        <v>0</v>
      </c>
      <c r="J131" s="15" t="str">
        <f t="shared" si="11"/>
        <v/>
      </c>
    </row>
    <row r="132" spans="1:10" ht="15.6">
      <c r="A132" s="24" t="str">
        <v>McClelland ES</v>
      </c>
      <c r="B132" s="25" t="str">
        <v>NH</v>
      </c>
      <c r="C132" s="25" t="str">
        <f>Sites[[#This Row],[SOL'#]]</f>
        <v>SOL-10766</v>
      </c>
      <c r="D132" s="20">
        <f>SUM(Jul!D132, Aug!D132, Sep!D132)</f>
        <v>0</v>
      </c>
      <c r="E132" s="10">
        <f>SUM(Jul!E132, Aug!E132, Sep!E132)</f>
        <v>0</v>
      </c>
      <c r="F132" s="10">
        <f t="shared" si="9"/>
        <v>0</v>
      </c>
      <c r="G132" s="11" t="str">
        <f t="shared" si="10"/>
        <v/>
      </c>
      <c r="H132" s="12">
        <f>SUM(Jul!H132,Aug!H132,Sep!H132)</f>
        <v>0</v>
      </c>
      <c r="I132" s="12">
        <f>SUM(Jul!I132, Aug!I132, Sep!I132)</f>
        <v>0</v>
      </c>
      <c r="J132" s="13" t="str">
        <f t="shared" si="11"/>
        <v/>
      </c>
    </row>
    <row r="133" spans="1:10" ht="15.6">
      <c r="A133" s="26" t="str">
        <v>Portland St</v>
      </c>
      <c r="B133" s="27" t="str">
        <v>NH</v>
      </c>
      <c r="C133" s="27" t="str">
        <f>Sites[[#This Row],[SOL'#]]</f>
        <v>SOL-10771</v>
      </c>
      <c r="D133" s="9">
        <f>SUM(Jul!D133, Aug!D133, Sep!D133)</f>
        <v>0</v>
      </c>
      <c r="E133" s="14">
        <f>SUM(Jul!E133, Aug!E133, Sep!E133)</f>
        <v>0</v>
      </c>
      <c r="F133" s="14">
        <f t="shared" si="9"/>
        <v>0</v>
      </c>
      <c r="G133" s="15" t="str">
        <f t="shared" si="10"/>
        <v/>
      </c>
      <c r="H133" s="16">
        <f>SUM(Jul!H133,Aug!H133,Sep!H133)</f>
        <v>0</v>
      </c>
      <c r="I133" s="16">
        <f>SUM(Jul!I133, Aug!I133, Sep!I133)</f>
        <v>0</v>
      </c>
      <c r="J133" s="15" t="str">
        <f t="shared" si="11"/>
        <v/>
      </c>
    </row>
    <row r="134" spans="1:10" ht="15.6">
      <c r="A134" s="24" t="str">
        <v>Portsmouth HS</v>
      </c>
      <c r="B134" s="25" t="str">
        <v>NH</v>
      </c>
      <c r="C134" s="25" t="str">
        <f>Sites[[#This Row],[SOL'#]]</f>
        <v>SOL-10769</v>
      </c>
      <c r="D134" s="20">
        <f>SUM(Jul!D134, Aug!D134, Sep!D134)</f>
        <v>0</v>
      </c>
      <c r="E134" s="10">
        <f>SUM(Jul!E134, Aug!E134, Sep!E134)</f>
        <v>0</v>
      </c>
      <c r="F134" s="10">
        <f t="shared" si="9"/>
        <v>0</v>
      </c>
      <c r="G134" s="11" t="str">
        <f t="shared" si="10"/>
        <v/>
      </c>
      <c r="H134" s="12">
        <f>SUM(Jul!H134,Aug!H134,Sep!H134)</f>
        <v>0</v>
      </c>
      <c r="I134" s="12">
        <f>SUM(Jul!I134, Aug!I134, Sep!I134)</f>
        <v>0</v>
      </c>
      <c r="J134" s="13" t="str">
        <f t="shared" si="11"/>
        <v/>
      </c>
    </row>
    <row r="135" spans="1:10" ht="15.6">
      <c r="A135" s="26" t="str">
        <v>Portsmouth WTP</v>
      </c>
      <c r="B135" s="27" t="str">
        <v>NH</v>
      </c>
      <c r="C135" s="27" t="str">
        <f>Sites[[#This Row],[SOL'#]]</f>
        <v>SOL-10770</v>
      </c>
      <c r="D135" s="9">
        <f>SUM(Jul!D135, Aug!D135, Sep!D135)</f>
        <v>0</v>
      </c>
      <c r="E135" s="14">
        <f>SUM(Jul!E135, Aug!E135, Sep!E135)</f>
        <v>0</v>
      </c>
      <c r="F135" s="14">
        <f t="shared" si="9"/>
        <v>0</v>
      </c>
      <c r="G135" s="15" t="str">
        <f t="shared" si="10"/>
        <v/>
      </c>
      <c r="H135" s="16">
        <f>SUM(Jul!H135,Aug!H135,Sep!H135)</f>
        <v>0</v>
      </c>
      <c r="I135" s="16">
        <f>SUM(Jul!I135, Aug!I135, Sep!I135)</f>
        <v>0</v>
      </c>
      <c r="J135" s="15" t="str">
        <f t="shared" si="11"/>
        <v/>
      </c>
    </row>
    <row r="136" spans="1:10" ht="15.6">
      <c r="A136" s="24" t="str">
        <v>Rochester St</v>
      </c>
      <c r="B136" s="25" t="str">
        <v>NH</v>
      </c>
      <c r="C136" s="25" t="str">
        <f>Sites[[#This Row],[SOL'#]]</f>
        <v>SOL-10765</v>
      </c>
      <c r="D136" s="20">
        <f>SUM(Jul!D136, Aug!D136, Sep!D136)</f>
        <v>0</v>
      </c>
      <c r="E136" s="10">
        <f>SUM(Jul!E136, Aug!E136, Sep!E136)</f>
        <v>0</v>
      </c>
      <c r="F136" s="10">
        <f t="shared" si="9"/>
        <v>0</v>
      </c>
      <c r="G136" s="11" t="str">
        <f t="shared" si="10"/>
        <v/>
      </c>
      <c r="H136" s="12">
        <f>SUM(Jul!H136,Aug!H136,Sep!H136)</f>
        <v>0</v>
      </c>
      <c r="I136" s="12">
        <f>SUM(Jul!I136, Aug!I136, Sep!I136)</f>
        <v>0</v>
      </c>
      <c r="J136" s="13" t="str">
        <f t="shared" si="11"/>
        <v/>
      </c>
    </row>
    <row r="137" spans="1:10" ht="15.6">
      <c r="A137" s="26" t="str">
        <v>Spaulding HS</v>
      </c>
      <c r="B137" s="27" t="str">
        <v>NH</v>
      </c>
      <c r="C137" s="27" t="str">
        <f>Sites[[#This Row],[SOL'#]]</f>
        <v>SOL-10767</v>
      </c>
      <c r="D137" s="9">
        <f>SUM(Jul!D137, Aug!D137, Sep!D137)</f>
        <v>0</v>
      </c>
      <c r="E137" s="14">
        <f>SUM(Jul!E137, Aug!E137, Sep!E137)</f>
        <v>0</v>
      </c>
      <c r="F137" s="14">
        <f t="shared" si="9"/>
        <v>0</v>
      </c>
      <c r="G137" s="15" t="str">
        <f t="shared" si="10"/>
        <v/>
      </c>
      <c r="H137" s="16">
        <f>SUM(Jul!H137,Aug!H137,Sep!H137)</f>
        <v>0</v>
      </c>
      <c r="I137" s="16">
        <f>SUM(Jul!I137, Aug!I137, Sep!I137)</f>
        <v>0</v>
      </c>
      <c r="J137" s="15" t="str">
        <f t="shared" si="11"/>
        <v/>
      </c>
    </row>
    <row r="138" spans="1:10" ht="15.6">
      <c r="A138" s="24" t="str">
        <v>Ridgeway #2</v>
      </c>
      <c r="B138" s="25" t="str">
        <v>NY</v>
      </c>
      <c r="C138" s="25" t="str">
        <f>Sites[[#This Row],[SOL'#]]</f>
        <v>SOL-11027</v>
      </c>
      <c r="D138" s="20">
        <f>SUM(Jul!D138, Aug!D138, Sep!D138)</f>
        <v>0</v>
      </c>
      <c r="E138" s="10">
        <f>SUM(Jul!E138, Aug!E138, Sep!E138)</f>
        <v>0</v>
      </c>
      <c r="F138" s="10">
        <f t="shared" si="9"/>
        <v>0</v>
      </c>
      <c r="G138" s="11" t="str">
        <f t="shared" si="10"/>
        <v/>
      </c>
      <c r="H138" s="12">
        <f>SUM(Jul!H138,Aug!H138,Sep!H138)</f>
        <v>0</v>
      </c>
      <c r="I138" s="12">
        <f>SUM(Jul!I138, Aug!I138, Sep!I138)</f>
        <v>0</v>
      </c>
      <c r="J138" s="13" t="str">
        <f t="shared" si="11"/>
        <v/>
      </c>
    </row>
    <row r="139" spans="1:10" ht="15.6">
      <c r="A139" s="26" t="str">
        <v>Spencer</v>
      </c>
      <c r="B139" s="27" t="str">
        <v>NY</v>
      </c>
      <c r="C139" s="27" t="str">
        <f>Sites[[#This Row],[SOL'#]]</f>
        <v>SOL-11017</v>
      </c>
      <c r="D139" s="9">
        <f>SUM(Jul!D139, Aug!D139, Sep!D139)</f>
        <v>0</v>
      </c>
      <c r="E139" s="14">
        <f>SUM(Jul!E139, Aug!E139, Sep!E139)</f>
        <v>0</v>
      </c>
      <c r="F139" s="14">
        <f t="shared" si="9"/>
        <v>0</v>
      </c>
      <c r="G139" s="15" t="str">
        <f t="shared" si="10"/>
        <v/>
      </c>
      <c r="H139" s="16">
        <f>SUM(Jul!H139,Aug!H139,Sep!H139)</f>
        <v>0</v>
      </c>
      <c r="I139" s="16">
        <f>SUM(Jul!I139, Aug!I139, Sep!I139)</f>
        <v>0</v>
      </c>
      <c r="J139" s="15" t="str">
        <f t="shared" si="11"/>
        <v/>
      </c>
    </row>
    <row r="140" spans="1:10" ht="15.6">
      <c r="A140" s="24" t="str">
        <v>Reisender</v>
      </c>
      <c r="B140" s="25" t="str">
        <v>NY</v>
      </c>
      <c r="C140" s="25" t="str">
        <f>Sites[[#This Row],[SOL'#]]</f>
        <v>SOL-10886</v>
      </c>
      <c r="D140" s="20">
        <f>SUM(Jul!D140, Aug!D140, Sep!D140)</f>
        <v>0</v>
      </c>
      <c r="E140" s="10">
        <f>SUM(Jul!E140, Aug!E140, Sep!E140)</f>
        <v>0</v>
      </c>
      <c r="F140" s="10">
        <f t="shared" si="9"/>
        <v>0</v>
      </c>
      <c r="G140" s="11" t="str">
        <f t="shared" si="10"/>
        <v/>
      </c>
      <c r="H140" s="12">
        <f>SUM(Jul!H140,Aug!H140,Sep!H140)</f>
        <v>0</v>
      </c>
      <c r="I140" s="12">
        <f>SUM(Jul!I140, Aug!I140, Sep!I140)</f>
        <v>0</v>
      </c>
      <c r="J140" s="13" t="str">
        <f t="shared" si="11"/>
        <v/>
      </c>
    </row>
    <row r="141" spans="1:10" ht="15.6">
      <c r="A141" s="26" t="str">
        <v>Finney</v>
      </c>
      <c r="B141" s="27" t="str">
        <v>NY</v>
      </c>
      <c r="C141" s="27" t="str">
        <f>Sites[[#This Row],[SOL'#]]</f>
        <v>SOL-10999</v>
      </c>
      <c r="D141" s="9">
        <f>SUM(Jul!D141, Aug!D141, Sep!D141)</f>
        <v>0</v>
      </c>
      <c r="E141" s="14">
        <f>SUM(Jul!E141, Aug!E141, Sep!E141)</f>
        <v>0</v>
      </c>
      <c r="F141" s="14">
        <f t="shared" si="9"/>
        <v>0</v>
      </c>
      <c r="G141" s="15" t="str">
        <f t="shared" si="10"/>
        <v/>
      </c>
      <c r="H141" s="16">
        <f>SUM(Jul!H141,Aug!H141,Sep!H141)</f>
        <v>0</v>
      </c>
      <c r="I141" s="16">
        <f>SUM(Jul!I141, Aug!I141, Sep!I141)</f>
        <v>0</v>
      </c>
      <c r="J141" s="15" t="str">
        <f t="shared" si="11"/>
        <v/>
      </c>
    </row>
    <row r="142" spans="1:10" ht="15.6">
      <c r="A142" s="24" t="str">
        <v>Davis Solar</v>
      </c>
      <c r="B142" s="25" t="str">
        <v>NY</v>
      </c>
      <c r="C142" s="25" t="str">
        <f>Sites[[#This Row],[SOL'#]]</f>
        <v>SOL-10958</v>
      </c>
      <c r="D142" s="20">
        <f>SUM(Jul!D142, Aug!D142, Sep!D142)</f>
        <v>0</v>
      </c>
      <c r="E142" s="10">
        <f>SUM(Jul!E142, Aug!E142, Sep!E142)</f>
        <v>0</v>
      </c>
      <c r="F142" s="10">
        <f t="shared" si="9"/>
        <v>0</v>
      </c>
      <c r="G142" s="11" t="str">
        <f t="shared" si="10"/>
        <v/>
      </c>
      <c r="H142" s="12">
        <f>SUM(Jul!H142,Aug!H142,Sep!H142)</f>
        <v>0</v>
      </c>
      <c r="I142" s="12">
        <f>SUM(Jul!I142, Aug!I142, Sep!I142)</f>
        <v>0</v>
      </c>
      <c r="J142" s="13" t="str">
        <f t="shared" si="11"/>
        <v/>
      </c>
    </row>
    <row r="143" spans="1:10" ht="15.6">
      <c r="A143" s="26" t="str">
        <v>Genesee</v>
      </c>
      <c r="B143" s="27" t="str">
        <v>NY</v>
      </c>
      <c r="C143" s="27" t="str">
        <f>Sites[[#This Row],[SOL'#]]</f>
        <v>SOL-10951</v>
      </c>
      <c r="D143" s="9">
        <f>SUM(Jul!D143, Aug!D143, Sep!D143)</f>
        <v>0</v>
      </c>
      <c r="E143" s="14">
        <f>SUM(Jul!E143, Aug!E143, Sep!E143)</f>
        <v>0</v>
      </c>
      <c r="F143" s="14">
        <f t="shared" si="9"/>
        <v>0</v>
      </c>
      <c r="G143" s="15" t="str">
        <f t="shared" si="10"/>
        <v/>
      </c>
      <c r="H143" s="16">
        <f>SUM(Jul!H143,Aug!H143,Sep!H143)</f>
        <v>0</v>
      </c>
      <c r="I143" s="16">
        <f>SUM(Jul!I143, Aug!I143, Sep!I143)</f>
        <v>0</v>
      </c>
      <c r="J143" s="15" t="str">
        <f t="shared" si="11"/>
        <v/>
      </c>
    </row>
    <row r="144" spans="1:10" ht="15.6">
      <c r="A144" s="24" t="str">
        <v>Landau I</v>
      </c>
      <c r="B144" s="25" t="str">
        <v>NY</v>
      </c>
      <c r="C144" s="25" t="str">
        <f>Sites[[#This Row],[SOL'#]]</f>
        <v>SOL-10891</v>
      </c>
      <c r="D144" s="20">
        <f>SUM(Jul!D144, Aug!D144, Sep!D144)</f>
        <v>0</v>
      </c>
      <c r="E144" s="10">
        <f>SUM(Jul!E144, Aug!E144, Sep!E144)</f>
        <v>0</v>
      </c>
      <c r="F144" s="10">
        <f t="shared" si="9"/>
        <v>0</v>
      </c>
      <c r="G144" s="11" t="str">
        <f t="shared" si="10"/>
        <v/>
      </c>
      <c r="H144" s="12">
        <f>SUM(Jul!H144,Aug!H144,Sep!H144)</f>
        <v>0</v>
      </c>
      <c r="I144" s="12">
        <f>SUM(Jul!I144, Aug!I144, Sep!I144)</f>
        <v>0</v>
      </c>
      <c r="J144" s="13" t="str">
        <f t="shared" si="11"/>
        <v/>
      </c>
    </row>
    <row r="145" spans="1:10" ht="15.6">
      <c r="A145" s="26" t="str">
        <v>Landau II</v>
      </c>
      <c r="B145" s="27" t="str">
        <v>NY</v>
      </c>
      <c r="C145" s="27" t="str">
        <f>Sites[[#This Row],[SOL'#]]</f>
        <v>SOL-10895</v>
      </c>
      <c r="D145" s="9">
        <f>SUM(Jul!D145, Aug!D145, Sep!D145)</f>
        <v>0</v>
      </c>
      <c r="E145" s="14">
        <f>SUM(Jul!E145, Aug!E145, Sep!E145)</f>
        <v>0</v>
      </c>
      <c r="F145" s="14">
        <f t="shared" ref="F145:F161" si="12">IF(AND(ISNUMBER(D145),ISNUMBER(E145)), D145-E145, "")</f>
        <v>0</v>
      </c>
      <c r="G145" s="15" t="str">
        <f t="shared" ref="G145:G161" si="13">IFERROR(F145/E145, "")</f>
        <v/>
      </c>
      <c r="H145" s="16">
        <f>SUM(Jul!H145,Aug!H145,Sep!H145)</f>
        <v>0</v>
      </c>
      <c r="I145" s="16">
        <f>SUM(Jul!I145, Aug!I145, Sep!I145)</f>
        <v>0</v>
      </c>
      <c r="J145" s="15" t="str">
        <f t="shared" ref="J145:J161" si="14">IFERROR(I145/H145, "")</f>
        <v/>
      </c>
    </row>
    <row r="146" spans="1:10" ht="15.6">
      <c r="A146" s="24" t="str">
        <v>New Beginnings</v>
      </c>
      <c r="B146" s="25" t="str">
        <v>NY</v>
      </c>
      <c r="C146" s="25" t="str">
        <f>Sites[[#This Row],[SOL'#]]</f>
        <v>SOL-10890</v>
      </c>
      <c r="D146" s="20">
        <f>SUM(Jul!D146, Aug!D146, Sep!D146)</f>
        <v>0</v>
      </c>
      <c r="E146" s="10">
        <f>SUM(Jul!E146, Aug!E146, Sep!E146)</f>
        <v>0</v>
      </c>
      <c r="F146" s="10">
        <f t="shared" si="12"/>
        <v>0</v>
      </c>
      <c r="G146" s="11" t="str">
        <f t="shared" si="13"/>
        <v/>
      </c>
      <c r="H146" s="12">
        <f>SUM(Jul!H146,Aug!H146,Sep!H146)</f>
        <v>0</v>
      </c>
      <c r="I146" s="12">
        <f>SUM(Jul!I146, Aug!I146, Sep!I146)</f>
        <v>0</v>
      </c>
      <c r="J146" s="13" t="str">
        <f t="shared" si="14"/>
        <v/>
      </c>
    </row>
    <row r="147" spans="1:10" ht="15.6">
      <c r="A147" s="26" t="str">
        <v>Guilin Farm Solar</v>
      </c>
      <c r="B147" s="27" t="str">
        <v>NY</v>
      </c>
      <c r="C147" s="27" t="str">
        <f>Sites[[#This Row],[SOL'#]]</f>
        <v>SOL-10998</v>
      </c>
      <c r="D147" s="9">
        <f>SUM(Jul!D147, Aug!D147, Sep!D147)</f>
        <v>0</v>
      </c>
      <c r="E147" s="14">
        <f>SUM(Jul!E147, Aug!E147, Sep!E147)</f>
        <v>0</v>
      </c>
      <c r="F147" s="14">
        <f t="shared" si="12"/>
        <v>0</v>
      </c>
      <c r="G147" s="15" t="str">
        <f t="shared" si="13"/>
        <v/>
      </c>
      <c r="H147" s="16">
        <f>SUM(Jul!H147,Aug!H147,Sep!H147)</f>
        <v>0</v>
      </c>
      <c r="I147" s="16">
        <f>SUM(Jul!I147, Aug!I147, Sep!I147)</f>
        <v>0</v>
      </c>
      <c r="J147" s="15" t="str">
        <f t="shared" si="14"/>
        <v/>
      </c>
    </row>
    <row r="148" spans="1:10" ht="15.6">
      <c r="A148" s="24" t="str">
        <v>Brodhead Solar</v>
      </c>
      <c r="B148" s="25" t="str">
        <v>NY</v>
      </c>
      <c r="C148" s="25" t="str">
        <f>Sites[[#This Row],[SOL'#]]</f>
        <v>SOL-10899</v>
      </c>
      <c r="D148" s="20">
        <f>SUM(Jul!D148, Aug!D148, Sep!D148)</f>
        <v>0</v>
      </c>
      <c r="E148" s="10">
        <f>SUM(Jul!E148, Aug!E148, Sep!E148)</f>
        <v>0</v>
      </c>
      <c r="F148" s="10">
        <f t="shared" si="12"/>
        <v>0</v>
      </c>
      <c r="G148" s="11" t="str">
        <f t="shared" si="13"/>
        <v/>
      </c>
      <c r="H148" s="12">
        <f>SUM(Jul!H148,Aug!H148,Sep!H148)</f>
        <v>0</v>
      </c>
      <c r="I148" s="12">
        <f>SUM(Jul!I148, Aug!I148, Sep!I148)</f>
        <v>0</v>
      </c>
      <c r="J148" s="13" t="str">
        <f t="shared" si="14"/>
        <v/>
      </c>
    </row>
    <row r="149" spans="1:10" ht="15.6">
      <c r="A149" s="26" t="str">
        <v>Svenski</v>
      </c>
      <c r="B149" s="27" t="str">
        <v>NY</v>
      </c>
      <c r="C149" s="27" t="str">
        <f>Sites[[#This Row],[SOL'#]]</f>
        <v>SOL-10894</v>
      </c>
      <c r="D149" s="9">
        <f>SUM(Jul!D149, Aug!D149, Sep!D149)</f>
        <v>0</v>
      </c>
      <c r="E149" s="14">
        <f>SUM(Jul!E149, Aug!E149, Sep!E149)</f>
        <v>0</v>
      </c>
      <c r="F149" s="14">
        <f t="shared" si="12"/>
        <v>0</v>
      </c>
      <c r="G149" s="15" t="str">
        <f t="shared" si="13"/>
        <v/>
      </c>
      <c r="H149" s="16">
        <f>SUM(Jul!H149,Aug!H149,Sep!H149)</f>
        <v>0</v>
      </c>
      <c r="I149" s="16">
        <f>SUM(Jul!I149, Aug!I149, Sep!I149)</f>
        <v>0</v>
      </c>
      <c r="J149" s="15" t="str">
        <f t="shared" si="14"/>
        <v/>
      </c>
    </row>
    <row r="150" spans="1:10" ht="15.6">
      <c r="A150" s="24" t="str">
        <v>Bantam</v>
      </c>
      <c r="B150" s="25" t="str">
        <v>NY</v>
      </c>
      <c r="C150" s="25" t="str">
        <f>Sites[[#This Row],[SOL'#]]</f>
        <v>SOL-10986</v>
      </c>
      <c r="D150" s="20">
        <f>SUM(Jul!D150, Aug!D150, Sep!D150)</f>
        <v>0</v>
      </c>
      <c r="E150" s="10">
        <f>SUM(Jul!E150, Aug!E150, Sep!E150)</f>
        <v>0</v>
      </c>
      <c r="F150" s="10">
        <f t="shared" si="12"/>
        <v>0</v>
      </c>
      <c r="G150" s="11" t="str">
        <f t="shared" si="13"/>
        <v/>
      </c>
      <c r="H150" s="12">
        <f>SUM(Jul!H150,Aug!H150,Sep!H150)</f>
        <v>0</v>
      </c>
      <c r="I150" s="12">
        <f>SUM(Jul!I150, Aug!I150, Sep!I150)</f>
        <v>0</v>
      </c>
      <c r="J150" s="13" t="str">
        <f t="shared" si="14"/>
        <v/>
      </c>
    </row>
    <row r="151" spans="1:10" ht="15.6">
      <c r="A151" s="26" t="str">
        <v>Bogart</v>
      </c>
      <c r="B151" s="27" t="str">
        <v>NY</v>
      </c>
      <c r="C151" s="27" t="str">
        <f>Sites[[#This Row],[SOL'#]]</f>
        <v>SOL-10887</v>
      </c>
      <c r="D151" s="9">
        <f>SUM(Jul!D151, Aug!D151, Sep!D151)</f>
        <v>0</v>
      </c>
      <c r="E151" s="14">
        <f>SUM(Jul!E151, Aug!E151, Sep!E151)</f>
        <v>0</v>
      </c>
      <c r="F151" s="14">
        <f t="shared" si="12"/>
        <v>0</v>
      </c>
      <c r="G151" s="15" t="str">
        <f t="shared" si="13"/>
        <v/>
      </c>
      <c r="H151" s="16">
        <f>SUM(Jul!H151,Aug!H151,Sep!H151)</f>
        <v>0</v>
      </c>
      <c r="I151" s="16">
        <f>SUM(Jul!I151, Aug!I151, Sep!I151)</f>
        <v>0</v>
      </c>
      <c r="J151" s="15" t="str">
        <f t="shared" si="14"/>
        <v/>
      </c>
    </row>
    <row r="152" spans="1:10" ht="15.6">
      <c r="A152" s="24" t="str">
        <v>Dubois</v>
      </c>
      <c r="B152" s="25" t="str">
        <v>NY</v>
      </c>
      <c r="C152" s="25" t="str">
        <f>Sites[[#This Row],[SOL'#]]</f>
        <v>SOL-10892</v>
      </c>
      <c r="D152" s="20">
        <f>SUM(Jul!D152, Aug!D152, Sep!D152)</f>
        <v>0</v>
      </c>
      <c r="E152" s="10">
        <f>SUM(Jul!E152, Aug!E152, Sep!E152)</f>
        <v>0</v>
      </c>
      <c r="F152" s="10">
        <f t="shared" si="12"/>
        <v>0</v>
      </c>
      <c r="G152" s="11" t="str">
        <f t="shared" si="13"/>
        <v/>
      </c>
      <c r="H152" s="12">
        <f>SUM(Jul!H152,Aug!H152,Sep!H152)</f>
        <v>0</v>
      </c>
      <c r="I152" s="12">
        <f>SUM(Jul!I152, Aug!I152, Sep!I152)</f>
        <v>0</v>
      </c>
      <c r="J152" s="13" t="str">
        <f t="shared" si="14"/>
        <v/>
      </c>
    </row>
    <row r="153" spans="1:10" ht="15.6">
      <c r="A153" s="26" t="str">
        <v>Salt Point</v>
      </c>
      <c r="B153" s="27" t="str">
        <v>NY</v>
      </c>
      <c r="C153" s="27" t="str">
        <f>Sites[[#This Row],[SOL'#]]</f>
        <v>SOL-10888</v>
      </c>
      <c r="D153" s="9">
        <f>SUM(Jul!D153, Aug!D153, Sep!D153)</f>
        <v>0</v>
      </c>
      <c r="E153" s="14">
        <f>SUM(Jul!E153, Aug!E153, Sep!E153)</f>
        <v>0</v>
      </c>
      <c r="F153" s="14">
        <f t="shared" si="12"/>
        <v>0</v>
      </c>
      <c r="G153" s="15" t="str">
        <f t="shared" si="13"/>
        <v/>
      </c>
      <c r="H153" s="16">
        <f>SUM(Jul!H153,Aug!H153,Sep!H153)</f>
        <v>0</v>
      </c>
      <c r="I153" s="16">
        <f>SUM(Jul!I153, Aug!I153, Sep!I153)</f>
        <v>0</v>
      </c>
      <c r="J153" s="15" t="str">
        <f t="shared" si="14"/>
        <v/>
      </c>
    </row>
    <row r="154" spans="1:10" ht="15.6">
      <c r="A154" s="24" t="str">
        <v>Wheatland 2A</v>
      </c>
      <c r="B154" s="25" t="str">
        <v>NY</v>
      </c>
      <c r="C154" s="25" t="str">
        <f>Sites[[#This Row],[SOL'#]]</f>
        <v>SOL-10971</v>
      </c>
      <c r="D154" s="20">
        <f>SUM(Jul!D154, Aug!D154, Sep!D154)</f>
        <v>0</v>
      </c>
      <c r="E154" s="10">
        <f>SUM(Jul!E154, Aug!E154, Sep!E154)</f>
        <v>0</v>
      </c>
      <c r="F154" s="10">
        <f t="shared" si="12"/>
        <v>0</v>
      </c>
      <c r="G154" s="11" t="str">
        <f t="shared" si="13"/>
        <v/>
      </c>
      <c r="H154" s="12">
        <f>SUM(Jul!H154,Aug!H154,Sep!H154)</f>
        <v>0</v>
      </c>
      <c r="I154" s="12">
        <f>SUM(Jul!I154, Aug!I154, Sep!I154)</f>
        <v>0</v>
      </c>
      <c r="J154" s="13" t="str">
        <f t="shared" si="14"/>
        <v/>
      </c>
    </row>
    <row r="155" spans="1:10" ht="15.6">
      <c r="A155" s="26" t="str">
        <v>Wheatland 2B</v>
      </c>
      <c r="B155" s="27" t="str">
        <v>NY</v>
      </c>
      <c r="C155" s="27" t="str">
        <f>Sites[[#This Row],[SOL'#]]</f>
        <v>SOL-10961</v>
      </c>
      <c r="D155" s="9">
        <f>SUM(Jul!D155, Aug!D155, Sep!D155)</f>
        <v>0</v>
      </c>
      <c r="E155" s="14">
        <f>SUM(Jul!E155, Aug!E155, Sep!E155)</f>
        <v>0</v>
      </c>
      <c r="F155" s="14">
        <f t="shared" si="12"/>
        <v>0</v>
      </c>
      <c r="G155" s="15" t="str">
        <f t="shared" si="13"/>
        <v/>
      </c>
      <c r="H155" s="16">
        <f>SUM(Jul!H155,Aug!H155,Sep!H155)</f>
        <v>0</v>
      </c>
      <c r="I155" s="16">
        <f>SUM(Jul!I155, Aug!I155, Sep!I155)</f>
        <v>0</v>
      </c>
      <c r="J155" s="15" t="str">
        <f t="shared" si="14"/>
        <v/>
      </c>
    </row>
    <row r="156" spans="1:10" ht="15.6">
      <c r="A156" s="24" t="str">
        <v>Brickchurch</v>
      </c>
      <c r="B156" s="25" t="str">
        <v>NY</v>
      </c>
      <c r="C156" s="25" t="str">
        <f>Sites[[#This Row],[SOL'#]]</f>
        <v>SOL-10889</v>
      </c>
      <c r="D156" s="20">
        <f>SUM(Jul!D156, Aug!D156, Sep!D156)</f>
        <v>0</v>
      </c>
      <c r="E156" s="10">
        <f>SUM(Jul!E156, Aug!E156, Sep!E156)</f>
        <v>0</v>
      </c>
      <c r="F156" s="10">
        <f t="shared" si="12"/>
        <v>0</v>
      </c>
      <c r="G156" s="11" t="str">
        <f t="shared" si="13"/>
        <v/>
      </c>
      <c r="H156" s="12">
        <f>SUM(Jul!H156,Aug!H156,Sep!H156)</f>
        <v>0</v>
      </c>
      <c r="I156" s="12">
        <f>SUM(Jul!I156, Aug!I156, Sep!I156)</f>
        <v>0</v>
      </c>
      <c r="J156" s="13" t="str">
        <f t="shared" si="14"/>
        <v/>
      </c>
    </row>
    <row r="157" spans="1:10" ht="15.6">
      <c r="A157" s="26" t="str">
        <v>McCarthy Solar</v>
      </c>
      <c r="B157" s="27" t="str">
        <v>NY</v>
      </c>
      <c r="C157" s="27" t="str">
        <f>Sites[[#This Row],[SOL'#]]</f>
        <v>SOL-10992</v>
      </c>
      <c r="D157" s="9">
        <f>SUM(Jul!D157, Aug!D157, Sep!D157)</f>
        <v>0</v>
      </c>
      <c r="E157" s="14">
        <f>SUM(Jul!E157, Aug!E157, Sep!E157)</f>
        <v>0</v>
      </c>
      <c r="F157" s="14">
        <f t="shared" si="12"/>
        <v>0</v>
      </c>
      <c r="G157" s="15" t="str">
        <f t="shared" si="13"/>
        <v/>
      </c>
      <c r="H157" s="16">
        <f>SUM(Jul!H157,Aug!H157,Sep!H157)</f>
        <v>0</v>
      </c>
      <c r="I157" s="16">
        <f>SUM(Jul!I157, Aug!I157, Sep!I157)</f>
        <v>0</v>
      </c>
      <c r="J157" s="15" t="str">
        <f t="shared" si="14"/>
        <v/>
      </c>
    </row>
    <row r="158" spans="1:10" ht="15.6">
      <c r="A158" s="24" t="str">
        <v>Costanza</v>
      </c>
      <c r="B158" s="25" t="str">
        <v>NY</v>
      </c>
      <c r="C158" s="25" t="str">
        <f>Sites[[#This Row],[SOL'#]]</f>
        <v>SOL-10907</v>
      </c>
      <c r="D158" s="20">
        <f>SUM(Jul!D158, Aug!D158, Sep!D158)</f>
        <v>0</v>
      </c>
      <c r="E158" s="10">
        <f>SUM(Jul!E158, Aug!E158, Sep!E158)</f>
        <v>0</v>
      </c>
      <c r="F158" s="10">
        <f t="shared" si="12"/>
        <v>0</v>
      </c>
      <c r="G158" s="11" t="str">
        <f t="shared" si="13"/>
        <v/>
      </c>
      <c r="H158" s="12">
        <f>SUM(Jul!H158,Aug!H158,Sep!H158)</f>
        <v>0</v>
      </c>
      <c r="I158" s="12">
        <f>SUM(Jul!I158, Aug!I158, Sep!I158)</f>
        <v>0</v>
      </c>
      <c r="J158" s="13" t="str">
        <f t="shared" si="14"/>
        <v/>
      </c>
    </row>
    <row r="159" spans="1:10" ht="15.6">
      <c r="A159" s="26" t="str">
        <v>Lockenhurst Pond</v>
      </c>
      <c r="B159" s="27" t="str">
        <v>NY</v>
      </c>
      <c r="C159" s="27" t="str">
        <f>Sites[[#This Row],[SOL'#]]</f>
        <v>SOL-11000</v>
      </c>
      <c r="D159" s="9">
        <f>SUM(Jul!D159, Aug!D159, Sep!D159)</f>
        <v>0</v>
      </c>
      <c r="E159" s="14">
        <f>SUM(Jul!E159, Aug!E159, Sep!E159)</f>
        <v>0</v>
      </c>
      <c r="F159" s="14">
        <f t="shared" si="12"/>
        <v>0</v>
      </c>
      <c r="G159" s="15" t="str">
        <f t="shared" si="13"/>
        <v/>
      </c>
      <c r="H159" s="16">
        <f>SUM(Jul!H159,Aug!H159,Sep!H159)</f>
        <v>0</v>
      </c>
      <c r="I159" s="16">
        <f>SUM(Jul!I159, Aug!I159, Sep!I159)</f>
        <v>0</v>
      </c>
      <c r="J159" s="15" t="str">
        <f t="shared" si="14"/>
        <v/>
      </c>
    </row>
    <row r="160" spans="1:10" ht="15.6">
      <c r="A160" s="24" t="str">
        <v>Drinkwater</v>
      </c>
      <c r="B160" s="25" t="str">
        <v>NY</v>
      </c>
      <c r="C160" s="25" t="str">
        <f>Sites[[#This Row],[SOL'#]]</f>
        <v>SOL-10896</v>
      </c>
      <c r="D160" s="20">
        <f>SUM(Jul!D160, Aug!D160, Sep!D160)</f>
        <v>0</v>
      </c>
      <c r="E160" s="10">
        <f>SUM(Jul!E160, Aug!E160, Sep!E160)</f>
        <v>0</v>
      </c>
      <c r="F160" s="10">
        <f t="shared" si="12"/>
        <v>0</v>
      </c>
      <c r="G160" s="11" t="str">
        <f t="shared" si="13"/>
        <v/>
      </c>
      <c r="H160" s="12">
        <f>SUM(Jul!H160,Aug!H160,Sep!H160)</f>
        <v>0</v>
      </c>
      <c r="I160" s="12">
        <f>SUM(Jul!I160, Aug!I160, Sep!I160)</f>
        <v>0</v>
      </c>
      <c r="J160" s="13" t="str">
        <f t="shared" si="14"/>
        <v/>
      </c>
    </row>
    <row r="161" spans="1:10" ht="15.6">
      <c r="A161" s="26" t="str">
        <v>Altamont</v>
      </c>
      <c r="B161" s="27" t="str">
        <v>NY</v>
      </c>
      <c r="C161" s="27" t="str">
        <f>Sites[[#This Row],[SOL'#]]</f>
        <v>SOL-11085</v>
      </c>
      <c r="D161" s="9">
        <f>SUM(Jul!D161, Aug!D161, Sep!D161)</f>
        <v>0</v>
      </c>
      <c r="E161" s="14">
        <f>SUM(Jul!E161, Aug!E161, Sep!E161)</f>
        <v>0</v>
      </c>
      <c r="F161" s="14">
        <f t="shared" si="12"/>
        <v>0</v>
      </c>
      <c r="G161" s="15" t="str">
        <f t="shared" si="13"/>
        <v/>
      </c>
      <c r="H161" s="16">
        <f>SUM(Jul!H161,Aug!H161,Sep!H161)</f>
        <v>0</v>
      </c>
      <c r="I161" s="16">
        <f>SUM(Jul!I161, Aug!I161, Sep!I161)</f>
        <v>0</v>
      </c>
      <c r="J161" s="15" t="str">
        <f t="shared" si="14"/>
        <v/>
      </c>
    </row>
    <row r="162" spans="1:10" ht="15.6">
      <c r="A162" s="24" t="str">
        <v>Krumkill North</v>
      </c>
      <c r="B162" s="25" t="str">
        <v>NY</v>
      </c>
      <c r="C162" s="25" t="str">
        <f>Sites[[#This Row],[SOL'#]]</f>
        <v>SOL-11086</v>
      </c>
      <c r="D162" s="20">
        <f>SUM(Jul!D162, Aug!D162, Sep!D162)</f>
        <v>0</v>
      </c>
      <c r="E162" s="10">
        <f>SUM(Jul!E162, Aug!E162, Sep!E162)</f>
        <v>0</v>
      </c>
      <c r="F162" s="10">
        <f t="shared" ref="F162:F185" si="15">IF(AND(ISNUMBER(D162),ISNUMBER(E162)), D162-E162, "")</f>
        <v>0</v>
      </c>
      <c r="G162" s="11" t="str">
        <f t="shared" ref="G162:G185" si="16">IFERROR(F162/E162, "")</f>
        <v/>
      </c>
      <c r="H162" s="12">
        <f>SUM(Jul!H162,Aug!H162,Sep!H162)</f>
        <v>0</v>
      </c>
      <c r="I162" s="12">
        <f>SUM(Jul!I162, Aug!I162, Sep!I162)</f>
        <v>0</v>
      </c>
      <c r="J162" s="13" t="str">
        <f t="shared" ref="J162:J185" si="17">IFERROR(I162/H162, "")</f>
        <v/>
      </c>
    </row>
    <row r="163" spans="1:10" ht="15.6">
      <c r="A163" s="26" t="str">
        <v>Krumkill South</v>
      </c>
      <c r="B163" s="27" t="str">
        <v>NY</v>
      </c>
      <c r="C163" s="27" t="str">
        <f>Sites[[#This Row],[SOL'#]]</f>
        <v>SOL-11087</v>
      </c>
      <c r="D163" s="9">
        <f>SUM(Jul!D163, Aug!D163, Sep!D163)</f>
        <v>0</v>
      </c>
      <c r="E163" s="14">
        <f>SUM(Jul!E163, Aug!E163, Sep!E163)</f>
        <v>0</v>
      </c>
      <c r="F163" s="14">
        <f t="shared" si="15"/>
        <v>0</v>
      </c>
      <c r="G163" s="15" t="str">
        <f t="shared" si="16"/>
        <v/>
      </c>
      <c r="H163" s="16">
        <f>SUM(Jul!H163,Aug!H163,Sep!H163)</f>
        <v>0</v>
      </c>
      <c r="I163" s="16">
        <f>SUM(Jul!I163, Aug!I163, Sep!I163)</f>
        <v>0</v>
      </c>
      <c r="J163" s="15" t="str">
        <f t="shared" si="17"/>
        <v/>
      </c>
    </row>
    <row r="164" spans="1:10" ht="15.6">
      <c r="A164" s="24" t="str">
        <v>X092</v>
      </c>
      <c r="B164" s="25" t="str">
        <v>NY</v>
      </c>
      <c r="C164" s="25" t="str">
        <f>Sites[[#This Row],[SOL'#]]</f>
        <v>SOL-11189</v>
      </c>
      <c r="D164" s="20">
        <f>SUM(Jul!D164, Aug!D164, Sep!D164)</f>
        <v>0</v>
      </c>
      <c r="E164" s="10">
        <f>SUM(Jul!E164, Aug!E164, Sep!E164)</f>
        <v>0</v>
      </c>
      <c r="F164" s="10">
        <f t="shared" si="15"/>
        <v>0</v>
      </c>
      <c r="G164" s="11" t="str">
        <f t="shared" si="16"/>
        <v/>
      </c>
      <c r="H164" s="12">
        <f>SUM(Jul!H164,Aug!H164,Sep!H164)</f>
        <v>0</v>
      </c>
      <c r="I164" s="12">
        <f>SUM(Jul!I164, Aug!I164, Sep!I164)</f>
        <v>0</v>
      </c>
      <c r="J164" s="13" t="str">
        <f t="shared" si="17"/>
        <v/>
      </c>
    </row>
    <row r="165" spans="1:10" ht="15.6">
      <c r="A165" s="26" t="str">
        <v>X093</v>
      </c>
      <c r="B165" s="27" t="str">
        <v>NY</v>
      </c>
      <c r="C165" s="27" t="str">
        <f>Sites[[#This Row],[SOL'#]]</f>
        <v>SOL-10932</v>
      </c>
      <c r="D165" s="9">
        <f>SUM(Jul!D165, Aug!D165, Sep!D165)</f>
        <v>0</v>
      </c>
      <c r="E165" s="14">
        <f>SUM(Jul!E165, Aug!E165, Sep!E165)</f>
        <v>0</v>
      </c>
      <c r="F165" s="14">
        <f t="shared" si="15"/>
        <v>0</v>
      </c>
      <c r="G165" s="15" t="str">
        <f t="shared" si="16"/>
        <v/>
      </c>
      <c r="H165" s="16">
        <f>SUM(Jul!H165,Aug!H165,Sep!H165)</f>
        <v>0</v>
      </c>
      <c r="I165" s="16">
        <f>SUM(Jul!I165, Aug!I165, Sep!I165)</f>
        <v>0</v>
      </c>
      <c r="J165" s="15" t="str">
        <f t="shared" si="17"/>
        <v/>
      </c>
    </row>
    <row r="166" spans="1:10" ht="15.6">
      <c r="A166" s="24" t="str">
        <v>X095</v>
      </c>
      <c r="B166" s="25" t="str">
        <v>NY</v>
      </c>
      <c r="C166" s="25" t="str">
        <f>Sites[[#This Row],[SOL'#]]</f>
        <v>SOL-10929</v>
      </c>
      <c r="D166" s="20">
        <f>SUM(Jul!D166, Aug!D166, Sep!D166)</f>
        <v>0</v>
      </c>
      <c r="E166" s="10">
        <f>SUM(Jul!E166, Aug!E166, Sep!E166)</f>
        <v>0</v>
      </c>
      <c r="F166" s="10">
        <f t="shared" si="15"/>
        <v>0</v>
      </c>
      <c r="G166" s="11" t="str">
        <f t="shared" si="16"/>
        <v/>
      </c>
      <c r="H166" s="12">
        <f>SUM(Jul!H166,Aug!H166,Sep!H166)</f>
        <v>0</v>
      </c>
      <c r="I166" s="12">
        <f>SUM(Jul!I166, Aug!I166, Sep!I166)</f>
        <v>0</v>
      </c>
      <c r="J166" s="13" t="str">
        <f t="shared" si="17"/>
        <v/>
      </c>
    </row>
    <row r="167" spans="1:10" ht="15.6">
      <c r="A167" s="26" t="str">
        <v>X181</v>
      </c>
      <c r="B167" s="27" t="str">
        <v>NY</v>
      </c>
      <c r="C167" s="27" t="str">
        <f>Sites[[#This Row],[SOL'#]]</f>
        <v>SOL-10428</v>
      </c>
      <c r="D167" s="9">
        <f>SUM(Jul!D167, Aug!D167, Sep!D167)</f>
        <v>0</v>
      </c>
      <c r="E167" s="14">
        <f>SUM(Jul!E167, Aug!E167, Sep!E167)</f>
        <v>0</v>
      </c>
      <c r="F167" s="14">
        <f t="shared" si="15"/>
        <v>0</v>
      </c>
      <c r="G167" s="15" t="str">
        <f t="shared" si="16"/>
        <v/>
      </c>
      <c r="H167" s="16">
        <f>SUM(Jul!H167,Aug!H167,Sep!H167)</f>
        <v>0</v>
      </c>
      <c r="I167" s="16">
        <f>SUM(Jul!I167, Aug!I167, Sep!I167)</f>
        <v>0</v>
      </c>
      <c r="J167" s="15" t="str">
        <f t="shared" si="17"/>
        <v/>
      </c>
    </row>
    <row r="168" spans="1:10" ht="15.6">
      <c r="A168" s="24" t="str">
        <v>X415</v>
      </c>
      <c r="B168" s="25" t="str">
        <v>NY</v>
      </c>
      <c r="C168" s="25" t="str">
        <f>Sites[[#This Row],[SOL'#]]</f>
        <v>SOL-10429</v>
      </c>
      <c r="D168" s="20">
        <f>SUM(Jul!D168, Aug!D168, Sep!D168)</f>
        <v>0</v>
      </c>
      <c r="E168" s="10">
        <f>SUM(Jul!E168, Aug!E168, Sep!E168)</f>
        <v>0</v>
      </c>
      <c r="F168" s="10">
        <f t="shared" si="15"/>
        <v>0</v>
      </c>
      <c r="G168" s="11" t="str">
        <f t="shared" si="16"/>
        <v/>
      </c>
      <c r="H168" s="12">
        <f>SUM(Jul!H168,Aug!H168,Sep!H168)</f>
        <v>0</v>
      </c>
      <c r="I168" s="12">
        <f>SUM(Jul!I168, Aug!I168, Sep!I168)</f>
        <v>0</v>
      </c>
      <c r="J168" s="13" t="str">
        <f t="shared" si="17"/>
        <v/>
      </c>
    </row>
    <row r="169" spans="1:10" ht="15.6">
      <c r="A169" s="26" t="str">
        <v>K198</v>
      </c>
      <c r="B169" s="27" t="str">
        <v>NY</v>
      </c>
      <c r="C169" s="27" t="str">
        <f>Sites[[#This Row],[SOL'#]]</f>
        <v>SOL-10930</v>
      </c>
      <c r="D169" s="9">
        <f>SUM(Jul!D169, Aug!D169, Sep!D169)</f>
        <v>0</v>
      </c>
      <c r="E169" s="14">
        <f>SUM(Jul!E169, Aug!E169, Sep!E169)</f>
        <v>0</v>
      </c>
      <c r="F169" s="14">
        <f t="shared" si="15"/>
        <v>0</v>
      </c>
      <c r="G169" s="15" t="str">
        <f t="shared" si="16"/>
        <v/>
      </c>
      <c r="H169" s="16">
        <f>SUM(Jul!H169,Aug!H169,Sep!H169)</f>
        <v>0</v>
      </c>
      <c r="I169" s="16">
        <f>SUM(Jul!I169, Aug!I169, Sep!I169)</f>
        <v>0</v>
      </c>
      <c r="J169" s="15" t="str">
        <f t="shared" si="17"/>
        <v/>
      </c>
    </row>
    <row r="170" spans="1:10" ht="15.6">
      <c r="A170" s="24" t="str">
        <v>K203</v>
      </c>
      <c r="B170" s="25" t="str">
        <v>NY</v>
      </c>
      <c r="C170" s="25" t="str">
        <f>Sites[[#This Row],[SOL'#]]</f>
        <v>SOL-11190</v>
      </c>
      <c r="D170" s="20">
        <f>SUM(Jul!D170, Aug!D170, Sep!D170)</f>
        <v>0</v>
      </c>
      <c r="E170" s="10">
        <f>SUM(Jul!E170, Aug!E170, Sep!E170)</f>
        <v>0</v>
      </c>
      <c r="F170" s="10">
        <f t="shared" si="15"/>
        <v>0</v>
      </c>
      <c r="G170" s="11" t="str">
        <f t="shared" si="16"/>
        <v/>
      </c>
      <c r="H170" s="12">
        <f>SUM(Jul!H170,Aug!H170,Sep!H170)</f>
        <v>0</v>
      </c>
      <c r="I170" s="12">
        <f>SUM(Jul!I170, Aug!I170, Sep!I170)</f>
        <v>0</v>
      </c>
      <c r="J170" s="13" t="str">
        <f t="shared" si="17"/>
        <v/>
      </c>
    </row>
    <row r="171" spans="1:10" ht="15.6">
      <c r="A171" s="26" t="str">
        <v>K213</v>
      </c>
      <c r="B171" s="27" t="str">
        <v>NY</v>
      </c>
      <c r="C171" s="27" t="str">
        <f>Sites[[#This Row],[SOL'#]]</f>
        <v>SOL-11191</v>
      </c>
      <c r="D171" s="9">
        <f>SUM(Jul!D171, Aug!D171, Sep!D171)</f>
        <v>0</v>
      </c>
      <c r="E171" s="14">
        <f>SUM(Jul!E171, Aug!E171, Sep!E171)</f>
        <v>0</v>
      </c>
      <c r="F171" s="14">
        <f t="shared" si="15"/>
        <v>0</v>
      </c>
      <c r="G171" s="15" t="str">
        <f t="shared" si="16"/>
        <v/>
      </c>
      <c r="H171" s="16">
        <f>SUM(Jul!H171,Aug!H171,Sep!H171)</f>
        <v>0</v>
      </c>
      <c r="I171" s="16">
        <f>SUM(Jul!I171, Aug!I171, Sep!I171)</f>
        <v>0</v>
      </c>
      <c r="J171" s="15" t="str">
        <f t="shared" si="17"/>
        <v/>
      </c>
    </row>
    <row r="172" spans="1:10" ht="15.6">
      <c r="A172" s="24" t="str">
        <v>K217</v>
      </c>
      <c r="B172" s="25" t="str">
        <v>NY</v>
      </c>
      <c r="C172" s="25" t="str">
        <f>Sites[[#This Row],[SOL'#]]</f>
        <v>SOL-10933</v>
      </c>
      <c r="D172" s="20">
        <f>SUM(Jul!D172, Aug!D172, Sep!D172)</f>
        <v>0</v>
      </c>
      <c r="E172" s="10">
        <f>SUM(Jul!E172, Aug!E172, Sep!E172)</f>
        <v>0</v>
      </c>
      <c r="F172" s="10">
        <f t="shared" si="15"/>
        <v>0</v>
      </c>
      <c r="G172" s="11" t="str">
        <f t="shared" si="16"/>
        <v/>
      </c>
      <c r="H172" s="12">
        <f>SUM(Jul!H172,Aug!H172,Sep!H172)</f>
        <v>0</v>
      </c>
      <c r="I172" s="12">
        <f>SUM(Jul!I172, Aug!I172, Sep!I172)</f>
        <v>0</v>
      </c>
      <c r="J172" s="13" t="str">
        <f t="shared" si="17"/>
        <v/>
      </c>
    </row>
    <row r="173" spans="1:10" ht="15.6">
      <c r="A173" s="26" t="str">
        <v>K307</v>
      </c>
      <c r="B173" s="27" t="str">
        <v>NY</v>
      </c>
      <c r="C173" s="27" t="str">
        <f>Sites[[#This Row],[SOL'#]]</f>
        <v>SOL-10876</v>
      </c>
      <c r="D173" s="9">
        <f>SUM(Jul!D173, Aug!D173, Sep!D173)</f>
        <v>0</v>
      </c>
      <c r="E173" s="14">
        <f>SUM(Jul!E173, Aug!E173, Sep!E173)</f>
        <v>0</v>
      </c>
      <c r="F173" s="14">
        <f t="shared" si="15"/>
        <v>0</v>
      </c>
      <c r="G173" s="15" t="str">
        <f t="shared" si="16"/>
        <v/>
      </c>
      <c r="H173" s="16">
        <f>SUM(Jul!H173,Aug!H173,Sep!H173)</f>
        <v>0</v>
      </c>
      <c r="I173" s="16">
        <f>SUM(Jul!I173, Aug!I173, Sep!I173)</f>
        <v>0</v>
      </c>
      <c r="J173" s="15" t="str">
        <f t="shared" si="17"/>
        <v/>
      </c>
    </row>
    <row r="174" spans="1:10" ht="15.6">
      <c r="A174" s="24" t="str">
        <v>K610</v>
      </c>
      <c r="B174" s="25" t="str">
        <v>NY</v>
      </c>
      <c r="C174" s="25" t="str">
        <f>Sites[[#This Row],[SOL'#]]</f>
        <v>SOL-11158</v>
      </c>
      <c r="D174" s="20">
        <f>SUM(Jul!D174, Aug!D174, Sep!D174)</f>
        <v>0</v>
      </c>
      <c r="E174" s="10">
        <f>SUM(Jul!E174, Aug!E174, Sep!E174)</f>
        <v>0</v>
      </c>
      <c r="F174" s="10">
        <f t="shared" si="15"/>
        <v>0</v>
      </c>
      <c r="G174" s="11" t="str">
        <f t="shared" si="16"/>
        <v/>
      </c>
      <c r="H174" s="12">
        <f>SUM(Jul!H174,Aug!H174,Sep!H174)</f>
        <v>0</v>
      </c>
      <c r="I174" s="12">
        <f>SUM(Jul!I174, Aug!I174, Sep!I174)</f>
        <v>0</v>
      </c>
      <c r="J174" s="13" t="str">
        <f t="shared" si="17"/>
        <v/>
      </c>
    </row>
    <row r="175" spans="1:10" ht="15.6">
      <c r="A175" s="26" t="str">
        <v>M025</v>
      </c>
      <c r="B175" s="27" t="str">
        <v>NY</v>
      </c>
      <c r="C175" s="27" t="str">
        <f>Sites[[#This Row],[SOL'#]]</f>
        <v>SOL-10392</v>
      </c>
      <c r="D175" s="9">
        <f>SUM(Jul!D175, Aug!D175, Sep!D175)</f>
        <v>0</v>
      </c>
      <c r="E175" s="14">
        <f>SUM(Jul!E175, Aug!E175, Sep!E175)</f>
        <v>0</v>
      </c>
      <c r="F175" s="14">
        <f t="shared" si="15"/>
        <v>0</v>
      </c>
      <c r="G175" s="15" t="str">
        <f t="shared" si="16"/>
        <v/>
      </c>
      <c r="H175" s="16">
        <f>SUM(Jul!H175,Aug!H175,Sep!H175)</f>
        <v>0</v>
      </c>
      <c r="I175" s="16">
        <f>SUM(Jul!I175, Aug!I175, Sep!I175)</f>
        <v>0</v>
      </c>
      <c r="J175" s="15" t="str">
        <f t="shared" si="17"/>
        <v/>
      </c>
    </row>
    <row r="176" spans="1:10" ht="15.6">
      <c r="A176" s="24" t="str">
        <v>M028</v>
      </c>
      <c r="B176" s="25" t="str">
        <v>NY</v>
      </c>
      <c r="C176" s="25" t="str">
        <f>Sites[[#This Row],[SOL'#]]</f>
        <v>SOL-10381</v>
      </c>
      <c r="D176" s="20">
        <f>SUM(Jul!D176, Aug!D176, Sep!D176)</f>
        <v>0</v>
      </c>
      <c r="E176" s="10">
        <f>SUM(Jul!E176, Aug!E176, Sep!E176)</f>
        <v>0</v>
      </c>
      <c r="F176" s="10">
        <f t="shared" si="15"/>
        <v>0</v>
      </c>
      <c r="G176" s="11" t="str">
        <f t="shared" si="16"/>
        <v/>
      </c>
      <c r="H176" s="12">
        <f>SUM(Jul!H176,Aug!H176,Sep!H176)</f>
        <v>0</v>
      </c>
      <c r="I176" s="12">
        <f>SUM(Jul!I176, Aug!I176, Sep!I176)</f>
        <v>0</v>
      </c>
      <c r="J176" s="13" t="str">
        <f t="shared" si="17"/>
        <v/>
      </c>
    </row>
    <row r="177" spans="1:10" ht="15.6">
      <c r="A177" s="26" t="str">
        <v>Q030</v>
      </c>
      <c r="B177" s="27" t="str">
        <v>NY</v>
      </c>
      <c r="C177" s="27" t="str">
        <f>Sites[[#This Row],[SOL'#]]</f>
        <v>SOL-10878</v>
      </c>
      <c r="D177" s="9">
        <f>SUM(Jul!D177, Aug!D177, Sep!D177)</f>
        <v>0</v>
      </c>
      <c r="E177" s="14">
        <f>SUM(Jul!E177, Aug!E177, Sep!E177)</f>
        <v>0</v>
      </c>
      <c r="F177" s="14">
        <f t="shared" si="15"/>
        <v>0</v>
      </c>
      <c r="G177" s="15" t="str">
        <f t="shared" si="16"/>
        <v/>
      </c>
      <c r="H177" s="16">
        <f>SUM(Jul!H177,Aug!H177,Sep!H177)</f>
        <v>0</v>
      </c>
      <c r="I177" s="16">
        <f>SUM(Jul!I177, Aug!I177, Sep!I177)</f>
        <v>0</v>
      </c>
      <c r="J177" s="15" t="str">
        <f t="shared" si="17"/>
        <v/>
      </c>
    </row>
    <row r="178" spans="1:10" ht="15.6">
      <c r="A178" s="24" t="str">
        <v>Q130</v>
      </c>
      <c r="B178" s="25" t="str">
        <v>NY</v>
      </c>
      <c r="C178" s="25" t="str">
        <f>Sites[[#This Row],[SOL'#]]</f>
        <v>SOL-10877</v>
      </c>
      <c r="D178" s="20">
        <f>SUM(Jul!D178, Aug!D178, Sep!D178)</f>
        <v>0</v>
      </c>
      <c r="E178" s="10">
        <f>SUM(Jul!E178, Aug!E178, Sep!E178)</f>
        <v>0</v>
      </c>
      <c r="F178" s="10">
        <f t="shared" si="15"/>
        <v>0</v>
      </c>
      <c r="G178" s="11" t="str">
        <f t="shared" si="16"/>
        <v/>
      </c>
      <c r="H178" s="12">
        <f>SUM(Jul!H178,Aug!H178,Sep!H178)</f>
        <v>0</v>
      </c>
      <c r="I178" s="12">
        <f>SUM(Jul!I178, Aug!I178, Sep!I178)</f>
        <v>0</v>
      </c>
      <c r="J178" s="13" t="str">
        <f t="shared" si="17"/>
        <v/>
      </c>
    </row>
    <row r="179" spans="1:10" ht="15.6">
      <c r="A179" s="26" t="str">
        <v>Q196</v>
      </c>
      <c r="B179" s="27" t="str">
        <v>NY</v>
      </c>
      <c r="C179" s="27" t="str">
        <f>Sites[[#This Row],[SOL'#]]</f>
        <v>SOL-10879</v>
      </c>
      <c r="D179" s="9">
        <f>SUM(Jul!D179, Aug!D179, Sep!D179)</f>
        <v>0</v>
      </c>
      <c r="E179" s="14">
        <f>SUM(Jul!E179, Aug!E179, Sep!E179)</f>
        <v>0</v>
      </c>
      <c r="F179" s="14">
        <f t="shared" si="15"/>
        <v>0</v>
      </c>
      <c r="G179" s="15" t="str">
        <f t="shared" si="16"/>
        <v/>
      </c>
      <c r="H179" s="16">
        <f>SUM(Jul!H179,Aug!H179,Sep!H179)</f>
        <v>0</v>
      </c>
      <c r="I179" s="16">
        <f>SUM(Jul!I179, Aug!I179, Sep!I179)</f>
        <v>0</v>
      </c>
      <c r="J179" s="15" t="str">
        <f t="shared" si="17"/>
        <v/>
      </c>
    </row>
    <row r="180" spans="1:10" ht="15.6">
      <c r="A180" s="24" t="str">
        <v>Q220</v>
      </c>
      <c r="B180" s="25" t="str">
        <v>NY</v>
      </c>
      <c r="C180" s="25" t="str">
        <f>Sites[[#This Row],[SOL'#]]</f>
        <v>SOL-10873</v>
      </c>
      <c r="D180" s="20">
        <f>SUM(Jul!D180, Aug!D180, Sep!D180)</f>
        <v>0</v>
      </c>
      <c r="E180" s="10">
        <f>SUM(Jul!E180, Aug!E180, Sep!E180)</f>
        <v>0</v>
      </c>
      <c r="F180" s="10">
        <f t="shared" si="15"/>
        <v>0</v>
      </c>
      <c r="G180" s="11" t="str">
        <f t="shared" si="16"/>
        <v/>
      </c>
      <c r="H180" s="12">
        <f>SUM(Jul!H180,Aug!H180,Sep!H180)</f>
        <v>0</v>
      </c>
      <c r="I180" s="12">
        <f>SUM(Jul!I180, Aug!I180, Sep!I180)</f>
        <v>0</v>
      </c>
      <c r="J180" s="13" t="str">
        <f t="shared" si="17"/>
        <v/>
      </c>
    </row>
    <row r="181" spans="1:10" ht="15.6">
      <c r="A181" s="26" t="str">
        <v>Q205</v>
      </c>
      <c r="B181" s="27" t="str">
        <v>NY</v>
      </c>
      <c r="C181" s="27" t="str">
        <f>Sites[[#This Row],[SOL'#]]</f>
        <v>SOL-10922</v>
      </c>
      <c r="D181" s="9">
        <f>SUM(Jul!D181, Aug!D181, Sep!D181)</f>
        <v>0</v>
      </c>
      <c r="E181" s="14">
        <f>SUM(Jul!E181, Aug!E181, Sep!E181)</f>
        <v>0</v>
      </c>
      <c r="F181" s="14">
        <f t="shared" si="15"/>
        <v>0</v>
      </c>
      <c r="G181" s="15" t="str">
        <f t="shared" si="16"/>
        <v/>
      </c>
      <c r="H181" s="16">
        <f>SUM(Jul!H181,Aug!H181,Sep!H181)</f>
        <v>0</v>
      </c>
      <c r="I181" s="16">
        <f>SUM(Jul!I181, Aug!I181, Sep!I181)</f>
        <v>0</v>
      </c>
      <c r="J181" s="15" t="str">
        <f t="shared" si="17"/>
        <v/>
      </c>
    </row>
    <row r="182" spans="1:10" ht="15.6">
      <c r="A182" s="24" t="str">
        <v>Q400</v>
      </c>
      <c r="B182" s="25" t="str">
        <v>NY</v>
      </c>
      <c r="C182" s="25" t="str">
        <f>Sites[[#This Row],[SOL'#]]</f>
        <v>SOL-10871</v>
      </c>
      <c r="D182" s="20">
        <f>SUM(Jul!D182, Aug!D182, Sep!D182)</f>
        <v>0</v>
      </c>
      <c r="E182" s="10">
        <f>SUM(Jul!E182, Aug!E182, Sep!E182)</f>
        <v>0</v>
      </c>
      <c r="F182" s="10">
        <f t="shared" si="15"/>
        <v>0</v>
      </c>
      <c r="G182" s="11" t="str">
        <f t="shared" si="16"/>
        <v/>
      </c>
      <c r="H182" s="12">
        <f>SUM(Jul!H182,Aug!H182,Sep!H182)</f>
        <v>0</v>
      </c>
      <c r="I182" s="12">
        <f>SUM(Jul!I182, Aug!I182, Sep!I182)</f>
        <v>0</v>
      </c>
      <c r="J182" s="13" t="str">
        <f t="shared" si="17"/>
        <v/>
      </c>
    </row>
    <row r="183" spans="1:10" ht="15.6">
      <c r="A183" s="26" t="str">
        <v>R003</v>
      </c>
      <c r="B183" s="27" t="str">
        <v>NY</v>
      </c>
      <c r="C183" s="27" t="str">
        <f>Sites[[#This Row],[SOL'#]]</f>
        <v>SOL-10416</v>
      </c>
      <c r="D183" s="9">
        <f>SUM(Jul!D183, Aug!D183, Sep!D183)</f>
        <v>0</v>
      </c>
      <c r="E183" s="14">
        <f>SUM(Jul!E183, Aug!E183, Sep!E183)</f>
        <v>0</v>
      </c>
      <c r="F183" s="14">
        <f t="shared" si="15"/>
        <v>0</v>
      </c>
      <c r="G183" s="15" t="str">
        <f t="shared" si="16"/>
        <v/>
      </c>
      <c r="H183" s="16">
        <f>SUM(Jul!H183,Aug!H183,Sep!H183)</f>
        <v>0</v>
      </c>
      <c r="I183" s="16">
        <f>SUM(Jul!I183, Aug!I183, Sep!I183)</f>
        <v>0</v>
      </c>
      <c r="J183" s="15" t="str">
        <f t="shared" si="17"/>
        <v/>
      </c>
    </row>
    <row r="184" spans="1:10" ht="15.6">
      <c r="A184" s="24" t="str">
        <v>R007</v>
      </c>
      <c r="B184" s="25" t="str">
        <v>NY</v>
      </c>
      <c r="C184" s="25" t="str">
        <f>Sites[[#This Row],[SOL'#]]</f>
        <v>SOL-10417</v>
      </c>
      <c r="D184" s="20">
        <f>SUM(Jul!D184, Aug!D184, Sep!D184)</f>
        <v>0</v>
      </c>
      <c r="E184" s="10">
        <f>SUM(Jul!E184, Aug!E184, Sep!E184)</f>
        <v>0</v>
      </c>
      <c r="F184" s="10">
        <f t="shared" si="15"/>
        <v>0</v>
      </c>
      <c r="G184" s="11" t="str">
        <f t="shared" si="16"/>
        <v/>
      </c>
      <c r="H184" s="12">
        <f>SUM(Jul!H184,Aug!H184,Sep!H184)</f>
        <v>0</v>
      </c>
      <c r="I184" s="12">
        <f>SUM(Jul!I184, Aug!I184, Sep!I184)</f>
        <v>0</v>
      </c>
      <c r="J184" s="13" t="str">
        <f t="shared" si="17"/>
        <v/>
      </c>
    </row>
    <row r="185" spans="1:10" ht="15.6">
      <c r="A185" s="26" t="str">
        <v>BK16</v>
      </c>
      <c r="B185" s="27" t="str">
        <v>NY</v>
      </c>
      <c r="C185" s="27" t="str">
        <f>Sites[[#This Row],[SOL'#]]</f>
        <v>SOL-11093</v>
      </c>
      <c r="D185" s="9">
        <f>SUM(Jul!D185, Aug!D185, Sep!D185)</f>
        <v>0</v>
      </c>
      <c r="E185" s="14">
        <f>SUM(Jul!E185, Aug!E185, Sep!E185)</f>
        <v>0</v>
      </c>
      <c r="F185" s="14">
        <f t="shared" si="15"/>
        <v>0</v>
      </c>
      <c r="G185" s="15" t="str">
        <f t="shared" si="16"/>
        <v/>
      </c>
      <c r="H185" s="16">
        <f>SUM(Jul!H185,Aug!H185,Sep!H185)</f>
        <v>0</v>
      </c>
      <c r="I185" s="16">
        <f>SUM(Jul!I185, Aug!I185, Sep!I185)</f>
        <v>0</v>
      </c>
      <c r="J185" s="15" t="str">
        <f t="shared" si="17"/>
        <v/>
      </c>
    </row>
    <row r="186" spans="1:10" ht="15.6">
      <c r="A186" s="24" t="str">
        <v>Trenton - Trenton East</v>
      </c>
      <c r="B186" s="25" t="str">
        <v>IL</v>
      </c>
      <c r="C186" s="25" t="str">
        <f>Sites[[#This Row],[SOL'#]]</f>
        <v>SOL-11060</v>
      </c>
      <c r="D186" s="60">
        <f>SUM(Jul!D186, Aug!D186, Sep!D186)</f>
        <v>0</v>
      </c>
      <c r="E186" s="10">
        <f>SUM(Jul!E186, Aug!E186, Sep!E186)</f>
        <v>0</v>
      </c>
      <c r="F186" s="10">
        <f>IF(AND(ISNUMBER(D186),ISNUMBER(E186)), D186-E186, "")</f>
        <v>0</v>
      </c>
      <c r="G186" s="11"/>
      <c r="H186" s="12">
        <f>SUM(Jul!H186,Aug!H186,Sep!H186)</f>
        <v>0</v>
      </c>
      <c r="I186" s="12">
        <f>SUM(Jul!I186, Aug!I186, Sep!I186)</f>
        <v>0</v>
      </c>
      <c r="J186" s="13"/>
    </row>
    <row r="187" spans="1:10" ht="15.6">
      <c r="A187" s="26" t="str">
        <v>Trenton - Trenton West</v>
      </c>
      <c r="B187" s="27" t="str">
        <v>IL</v>
      </c>
      <c r="C187" s="27" t="str">
        <f>Sites[[#This Row],[SOL'#]]</f>
        <v>SOL-11061</v>
      </c>
      <c r="D187" s="75">
        <f>SUM(Jul!D187, Aug!D187, Sep!D187)</f>
        <v>0</v>
      </c>
      <c r="E187" s="14">
        <f>SUM(Jul!E187, Aug!E187, Sep!E187)</f>
        <v>0</v>
      </c>
      <c r="F187" s="14">
        <f>IF(AND(ISNUMBER(D187),ISNUMBER(E187)), D187-E187, "")</f>
        <v>0</v>
      </c>
      <c r="G187" s="15"/>
      <c r="H187" s="16">
        <f>SUM(Jul!H187,Aug!H187,Sep!H187)</f>
        <v>0</v>
      </c>
      <c r="I187" s="16">
        <f>SUM(Jul!I187, Aug!I187, Sep!I187)</f>
        <v>0</v>
      </c>
      <c r="J187" s="15"/>
    </row>
    <row r="188" spans="1:10" ht="15.6">
      <c r="A188" s="24" t="str">
        <v>Dakota - Dakota Solar 1</v>
      </c>
      <c r="B188" s="25" t="str">
        <v>IL</v>
      </c>
      <c r="C188" s="25" t="str">
        <f>Sites[[#This Row],[SOL'#]]</f>
        <v>SOL-11113</v>
      </c>
      <c r="D188" s="60">
        <f>SUM(Jul!D188, Aug!D188, Sep!D188)</f>
        <v>0</v>
      </c>
      <c r="E188" s="10">
        <f>SUM(Jul!E188, Aug!E188, Sep!E188)</f>
        <v>0</v>
      </c>
      <c r="F188" s="10">
        <f>IF(AND(ISNUMBER(D188),ISNUMBER(E188)), D188-E188, "")</f>
        <v>0</v>
      </c>
      <c r="G188" s="11"/>
      <c r="H188" s="12">
        <f>SUM(Jul!H188,Aug!H188,Sep!H188)</f>
        <v>0</v>
      </c>
      <c r="I188" s="12">
        <f>SUM(Jul!I188, Aug!I188, Sep!I188)</f>
        <v>0</v>
      </c>
      <c r="J188" s="13"/>
    </row>
    <row r="189" spans="1:10" ht="15.6">
      <c r="A189" s="26" t="str">
        <v>X018</v>
      </c>
      <c r="B189" s="27" t="str">
        <v>NY</v>
      </c>
      <c r="C189" s="27" t="str">
        <f>Sites[[#This Row],[SOL'#]]</f>
        <v>SOL-10418</v>
      </c>
      <c r="D189" s="75">
        <f>SUM(Jul!D189, Aug!D189, Sep!D189)</f>
        <v>0</v>
      </c>
      <c r="E189" s="14">
        <f>SUM(Jul!E189, Aug!E189, Sep!E189)</f>
        <v>0</v>
      </c>
      <c r="F189" s="14">
        <f t="shared" ref="F189:F195" si="18">IF(AND(ISNUMBER(D189),ISNUMBER(E189)), D189-E189, "")</f>
        <v>0</v>
      </c>
      <c r="G189" s="15"/>
      <c r="H189" s="16">
        <f>SUM(Jul!H189,Aug!H189,Sep!H189)</f>
        <v>0</v>
      </c>
      <c r="I189" s="16">
        <f>SUM(Jul!I189, Aug!I189, Sep!I189)</f>
        <v>0</v>
      </c>
      <c r="J189" s="15"/>
    </row>
    <row r="190" spans="1:10" ht="15.6">
      <c r="A190" s="24" t="str">
        <v>Janiak Solar</v>
      </c>
      <c r="B190" s="25" t="str">
        <v>NY</v>
      </c>
      <c r="C190" s="25" t="str">
        <f>Sites[[#This Row],[SOL'#]]</f>
        <v>SOL-10898</v>
      </c>
      <c r="D190" s="60">
        <f>SUM(Jul!D190, Aug!D190, Sep!D190)</f>
        <v>0</v>
      </c>
      <c r="E190" s="10">
        <f>SUM(Jul!E190, Aug!E190, Sep!E190)</f>
        <v>0</v>
      </c>
      <c r="F190" s="10">
        <f t="shared" si="18"/>
        <v>0</v>
      </c>
      <c r="G190" s="11"/>
      <c r="H190" s="12">
        <f>SUM(Jul!H190,Aug!H190,Sep!H190)</f>
        <v>0</v>
      </c>
      <c r="I190" s="12">
        <f>SUM(Jul!I190, Aug!I190, Sep!I190)</f>
        <v>0</v>
      </c>
      <c r="J190" s="13"/>
    </row>
    <row r="191" spans="1:10" ht="15.6">
      <c r="A191" s="26" t="str">
        <v>County Route 11B</v>
      </c>
      <c r="B191" s="27" t="str">
        <v>NY</v>
      </c>
      <c r="C191" s="27" t="str">
        <f>Sites[[#This Row],[SOL'#]]</f>
        <v>SOL-10983</v>
      </c>
      <c r="D191" s="75">
        <f>SUM(Jul!D191, Aug!D191, Sep!D191)</f>
        <v>0</v>
      </c>
      <c r="E191" s="14">
        <f>SUM(Jul!E191, Aug!E191, Sep!E191)</f>
        <v>0</v>
      </c>
      <c r="F191" s="14">
        <f t="shared" si="18"/>
        <v>0</v>
      </c>
      <c r="G191" s="15"/>
      <c r="H191" s="16">
        <f>SUM(Jul!H191,Aug!H191,Sep!H191)</f>
        <v>0</v>
      </c>
      <c r="I191" s="16">
        <f>SUM(Jul!I191, Aug!I191, Sep!I191)</f>
        <v>0</v>
      </c>
      <c r="J191" s="15"/>
    </row>
    <row r="192" spans="1:10" ht="15.6">
      <c r="A192" s="24" t="str">
        <v>Barone</v>
      </c>
      <c r="B192" s="25" t="str">
        <v>NY</v>
      </c>
      <c r="C192" s="25" t="str">
        <f>Sites[[#This Row],[SOL'#]]</f>
        <v>SOL-11034</v>
      </c>
      <c r="D192" s="60">
        <f>SUM(Jul!D192, Aug!D192, Sep!D192)</f>
        <v>0</v>
      </c>
      <c r="E192" s="10">
        <f>SUM(Jul!E192, Aug!E192, Sep!E192)</f>
        <v>0</v>
      </c>
      <c r="F192" s="10">
        <f t="shared" si="18"/>
        <v>0</v>
      </c>
      <c r="G192" s="11"/>
      <c r="H192" s="12">
        <f>SUM(Jul!H192,Aug!H192,Sep!H192)</f>
        <v>0</v>
      </c>
      <c r="I192" s="12">
        <f>SUM(Jul!I192, Aug!I192, Sep!I192)</f>
        <v>0</v>
      </c>
      <c r="J192" s="13"/>
    </row>
    <row r="193" spans="1:10" ht="15.6">
      <c r="A193" s="26" t="str">
        <v>Cedarville</v>
      </c>
      <c r="B193" s="27" t="str">
        <v>IL</v>
      </c>
      <c r="C193" s="27" t="str">
        <f>Sites[[#This Row],[SOL'#]]</f>
        <v>SOL-11069</v>
      </c>
      <c r="D193" s="75">
        <f>SUM(Jul!D193, Aug!D193, Sep!D193)</f>
        <v>0</v>
      </c>
      <c r="E193" s="14">
        <f>SUM(Jul!E193, Aug!E193, Sep!E193)</f>
        <v>0</v>
      </c>
      <c r="F193" s="14">
        <f t="shared" si="18"/>
        <v>0</v>
      </c>
      <c r="G193" s="15"/>
      <c r="H193" s="16">
        <f>SUM(Jul!H193,Aug!H193,Sep!H193)</f>
        <v>0</v>
      </c>
      <c r="I193" s="16">
        <f>SUM(Jul!I193, Aug!I193, Sep!I193)</f>
        <v>0</v>
      </c>
      <c r="J193" s="15"/>
    </row>
    <row r="194" spans="1:10" ht="15.6">
      <c r="A194" s="24" t="str">
        <v xml:space="preserve"> O'Brien Hill #1</v>
      </c>
      <c r="B194" s="25" t="str">
        <v>NY</v>
      </c>
      <c r="C194" s="25" t="str">
        <f>Sites[[#This Row],[SOL'#]]</f>
        <v>SOL-11098</v>
      </c>
      <c r="D194" s="60">
        <f>SUM(Jul!D194, Aug!D194, Sep!D194)</f>
        <v>0</v>
      </c>
      <c r="E194" s="10">
        <f>SUM(Jul!E194, Aug!E194, Sep!E194)</f>
        <v>0</v>
      </c>
      <c r="F194" s="10">
        <f t="shared" si="18"/>
        <v>0</v>
      </c>
      <c r="G194" s="11"/>
      <c r="H194" s="12">
        <f>SUM(Jul!H194,Aug!H194,Sep!H194)</f>
        <v>0</v>
      </c>
      <c r="I194" s="12">
        <f>SUM(Jul!I194, Aug!I194, Sep!I194)</f>
        <v>0</v>
      </c>
      <c r="J194" s="13"/>
    </row>
    <row r="195" spans="1:10" ht="15.6">
      <c r="A195" s="26" t="str">
        <v xml:space="preserve"> O'Brien Hill #2</v>
      </c>
      <c r="B195" s="27" t="str">
        <v>NY</v>
      </c>
      <c r="C195" s="27" t="str">
        <f>Sites[[#This Row],[SOL'#]]</f>
        <v>SOL-11099</v>
      </c>
      <c r="D195" s="75">
        <f>SUM(Jul!D195, Aug!D195, Sep!D195)</f>
        <v>0</v>
      </c>
      <c r="E195" s="14">
        <f>SUM(Jul!E195, Aug!E195, Sep!E195)</f>
        <v>0</v>
      </c>
      <c r="F195" s="14">
        <f t="shared" si="18"/>
        <v>0</v>
      </c>
      <c r="G195" s="15"/>
      <c r="H195" s="16">
        <f>SUM(Jul!H195,Aug!H195,Sep!H195)</f>
        <v>0</v>
      </c>
      <c r="I195" s="16">
        <f>SUM(Jul!I195, Aug!I195, Sep!I195)</f>
        <v>0</v>
      </c>
      <c r="J195" s="15"/>
    </row>
    <row r="196" spans="1:10" ht="15.6">
      <c r="A196" s="24" t="str">
        <v>Trinity - Freeport</v>
      </c>
      <c r="B196" s="25" t="str">
        <v>IL</v>
      </c>
      <c r="C196" s="25"/>
      <c r="D196" s="60"/>
      <c r="E196" s="10"/>
      <c r="F196" s="10"/>
      <c r="G196" s="11"/>
      <c r="H196" s="12"/>
      <c r="I196" s="12"/>
      <c r="J196" s="13"/>
    </row>
    <row r="197" spans="1:10" ht="15.6">
      <c r="A197" s="26" t="str">
        <v>Ransom</v>
      </c>
      <c r="B197" s="27" t="str">
        <v>NY</v>
      </c>
      <c r="C197" s="27"/>
      <c r="D197" s="75"/>
      <c r="E197" s="14"/>
      <c r="F197" s="14"/>
      <c r="G197" s="15"/>
      <c r="H197" s="16"/>
      <c r="I197" s="16"/>
      <c r="J197" s="15"/>
    </row>
    <row r="198" spans="1:10" ht="15.6">
      <c r="A198" s="24" t="str">
        <v>Horseheads - Wedge</v>
      </c>
      <c r="B198" s="25" t="str">
        <v>NY</v>
      </c>
      <c r="C198" s="25"/>
      <c r="D198" s="60"/>
      <c r="E198" s="10"/>
      <c r="F198" s="10"/>
      <c r="G198" s="11"/>
      <c r="H198" s="12"/>
      <c r="I198" s="12"/>
      <c r="J198" s="13"/>
    </row>
    <row r="199" spans="1:10" ht="15.6">
      <c r="A199" s="26" t="str">
        <v>Otisville - Shoddy Hollow</v>
      </c>
      <c r="B199" s="27" t="str">
        <v>NY</v>
      </c>
      <c r="C199" s="27"/>
      <c r="D199" s="75"/>
      <c r="E199" s="14"/>
      <c r="F199" s="14"/>
      <c r="G199" s="15"/>
      <c r="H199" s="16"/>
      <c r="I199" s="16"/>
      <c r="J199" s="15"/>
    </row>
    <row r="200" spans="1:10" ht="15.6">
      <c r="A200" s="24" t="str">
        <v>Wellsville - Chenunda Creek</v>
      </c>
      <c r="B200" s="25" t="str">
        <v>NY</v>
      </c>
      <c r="C200" s="25"/>
      <c r="D200" s="60"/>
      <c r="E200" s="10"/>
      <c r="F200" s="10"/>
      <c r="G200" s="11"/>
      <c r="H200" s="12"/>
      <c r="I200" s="12"/>
      <c r="J200" s="13"/>
    </row>
  </sheetData>
  <mergeCells count="4">
    <mergeCell ref="H1:J1"/>
    <mergeCell ref="A1:D1"/>
    <mergeCell ref="E1:G1"/>
    <mergeCell ref="A2:B2"/>
  </mergeCells>
  <conditionalFormatting sqref="G2 J2">
    <cfRule type="cellIs" dxfId="128" priority="21" stopIfTrue="1" operator="lessThanOrEqual">
      <formula>-0.1</formula>
    </cfRule>
    <cfRule type="expression" dxfId="127" priority="22">
      <formula>AND(ISNUMBER(G2), G2&gt;=0.1)</formula>
    </cfRule>
  </conditionalFormatting>
  <conditionalFormatting sqref="G4:G191 J4:J191">
    <cfRule type="cellIs" dxfId="126" priority="19" stopIfTrue="1" operator="lessThanOrEqual">
      <formula>-0.1</formula>
    </cfRule>
    <cfRule type="expression" dxfId="125" priority="20">
      <formula>AND(ISNUMBER(G4), G4&gt;=0.1)</formula>
    </cfRule>
  </conditionalFormatting>
  <conditionalFormatting sqref="G192 J192">
    <cfRule type="cellIs" dxfId="124" priority="17" stopIfTrue="1" operator="lessThanOrEqual">
      <formula>-0.1</formula>
    </cfRule>
    <cfRule type="expression" dxfId="123" priority="18">
      <formula>AND(ISNUMBER(G192), G192&gt;=0.1)</formula>
    </cfRule>
  </conditionalFormatting>
  <conditionalFormatting sqref="G194 J194">
    <cfRule type="cellIs" dxfId="122" priority="15" stopIfTrue="1" operator="lessThanOrEqual">
      <formula>-0.1</formula>
    </cfRule>
    <cfRule type="expression" dxfId="121" priority="16">
      <formula>AND(ISNUMBER(G194), G194&gt;=0.1)</formula>
    </cfRule>
  </conditionalFormatting>
  <conditionalFormatting sqref="G196 J196">
    <cfRule type="cellIs" dxfId="120" priority="13" stopIfTrue="1" operator="lessThanOrEqual">
      <formula>-0.1</formula>
    </cfRule>
    <cfRule type="expression" dxfId="119" priority="14">
      <formula>AND(ISNUMBER(G196), G196&gt;=0.1)</formula>
    </cfRule>
  </conditionalFormatting>
  <conditionalFormatting sqref="G198 J198">
    <cfRule type="cellIs" dxfId="118" priority="11" stopIfTrue="1" operator="lessThanOrEqual">
      <formula>-0.1</formula>
    </cfRule>
    <cfRule type="expression" dxfId="117" priority="12">
      <formula>AND(ISNUMBER(G198), G198&gt;=0.1)</formula>
    </cfRule>
  </conditionalFormatting>
  <conditionalFormatting sqref="G200 J200">
    <cfRule type="cellIs" dxfId="116" priority="9" stopIfTrue="1" operator="lessThanOrEqual">
      <formula>-0.1</formula>
    </cfRule>
    <cfRule type="expression" dxfId="115" priority="10">
      <formula>AND(ISNUMBER(G200), G200&gt;=0.1)</formula>
    </cfRule>
  </conditionalFormatting>
  <conditionalFormatting sqref="G193 J193">
    <cfRule type="cellIs" dxfId="114" priority="7" stopIfTrue="1" operator="lessThanOrEqual">
      <formula>-0.1</formula>
    </cfRule>
    <cfRule type="expression" dxfId="113" priority="8">
      <formula>AND(ISNUMBER(G193), G193&gt;=0.1)</formula>
    </cfRule>
  </conditionalFormatting>
  <conditionalFormatting sqref="G195 J195">
    <cfRule type="cellIs" dxfId="112" priority="5" stopIfTrue="1" operator="lessThanOrEqual">
      <formula>-0.1</formula>
    </cfRule>
    <cfRule type="expression" dxfId="111" priority="6">
      <formula>AND(ISNUMBER(G195), G195&gt;=0.1)</formula>
    </cfRule>
  </conditionalFormatting>
  <conditionalFormatting sqref="G197 J197">
    <cfRule type="cellIs" dxfId="110" priority="3" stopIfTrue="1" operator="lessThanOrEqual">
      <formula>-0.1</formula>
    </cfRule>
    <cfRule type="expression" dxfId="109" priority="4">
      <formula>AND(ISNUMBER(G197), G197&gt;=0.1)</formula>
    </cfRule>
  </conditionalFormatting>
  <conditionalFormatting sqref="G199 J199">
    <cfRule type="cellIs" dxfId="108" priority="1" stopIfTrue="1" operator="lessThanOrEqual">
      <formula>-0.1</formula>
    </cfRule>
    <cfRule type="expression" dxfId="107" priority="2">
      <formula>AND(ISNUMBER(G199), G199&gt;=0.1)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200"/>
  <sheetViews>
    <sheetView workbookViewId="0">
      <pane xSplit="2" ySplit="3" topLeftCell="I193" activePane="bottomRight" state="frozen"/>
      <selection pane="bottomRight" activeCell="I193" sqref="I193:I195"/>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49" t="str" cm="1">
        <f t="array" ref="A1">portfolio</f>
        <v>Generate Capital</v>
      </c>
      <c r="B1" s="149"/>
      <c r="C1" s="149"/>
      <c r="D1" s="149"/>
      <c r="E1" s="150" t="s">
        <v>17</v>
      </c>
      <c r="F1" s="150"/>
      <c r="G1" s="150"/>
      <c r="H1" s="148" t="s">
        <v>18</v>
      </c>
      <c r="I1" s="148"/>
      <c r="J1" s="148"/>
    </row>
    <row r="2" spans="1:10" ht="19.5" customHeight="1">
      <c r="A2" s="151" t="s">
        <v>2</v>
      </c>
      <c r="B2" s="151"/>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SUM(Oct!D4, Nov!D4, Dec!D4)</f>
        <v>0</v>
      </c>
      <c r="E4" s="10">
        <f>SUM(Oct!E4, Nov!E4, Dec!E4)</f>
        <v>0</v>
      </c>
      <c r="F4" s="10">
        <f>IF(AND(ISNUMBER(D4),ISNUMBER(E4)), D4-E4, "")</f>
        <v>0</v>
      </c>
      <c r="G4" s="11" t="str">
        <f>IFERROR(F4/E4, "")</f>
        <v/>
      </c>
      <c r="H4" s="12">
        <f>SUM(Oct!H4,Nov!H4,Dec!H4)</f>
        <v>0</v>
      </c>
      <c r="I4" s="12">
        <f>SUM(Oct!I4, Nov!I4, Dec!I4)</f>
        <v>0</v>
      </c>
      <c r="J4" s="13" t="str">
        <f>IFERROR(I4/H4, "")</f>
        <v/>
      </c>
    </row>
    <row r="5" spans="1:10" ht="15.6">
      <c r="A5" s="26" t="str">
        <v>Fulton</v>
      </c>
      <c r="B5" s="27" t="str">
        <v>AZ</v>
      </c>
      <c r="C5" s="27" t="str">
        <f>Sites[[#This Row],[SOL'#]]</f>
        <v>SOL-10749</v>
      </c>
      <c r="D5" s="9">
        <f>SUM(Oct!D5, Nov!D5, Dec!D5)</f>
        <v>0</v>
      </c>
      <c r="E5" s="14">
        <f>SUM(Oct!E5, Nov!E5, Dec!E5)</f>
        <v>0</v>
      </c>
      <c r="F5" s="14">
        <f t="shared" ref="F5:F15" si="0">IF(AND(ISNUMBER(D5),ISNUMBER(E5)), D5-E5, "")</f>
        <v>0</v>
      </c>
      <c r="G5" s="15" t="str">
        <f>IFERROR(F5/E5, "")</f>
        <v/>
      </c>
      <c r="H5" s="16">
        <f>SUM(Oct!H5,Nov!H5,Dec!H5)</f>
        <v>0</v>
      </c>
      <c r="I5" s="16">
        <f>SUM(Oct!I5, Nov!I5, Dec!I5)</f>
        <v>0</v>
      </c>
      <c r="J5" s="15" t="str">
        <f>IFERROR(I5/H5, "")</f>
        <v/>
      </c>
    </row>
    <row r="6" spans="1:10" ht="15.6">
      <c r="A6" s="24" t="str">
        <v>JFK Elementary</v>
      </c>
      <c r="B6" s="25" t="str">
        <v>AZ</v>
      </c>
      <c r="C6" s="25" t="str">
        <f>Sites[[#This Row],[SOL'#]]</f>
        <v>SOL-10758</v>
      </c>
      <c r="D6" s="20">
        <f>SUM(Oct!D6, Nov!D6, Dec!D6)</f>
        <v>0</v>
      </c>
      <c r="E6" s="10">
        <f>SUM(Oct!E6, Nov!E6, Dec!E6)</f>
        <v>0</v>
      </c>
      <c r="F6" s="10">
        <f t="shared" si="0"/>
        <v>0</v>
      </c>
      <c r="G6" s="11" t="str">
        <f t="shared" ref="G6:G15" si="1">IFERROR(F6/E6, "")</f>
        <v/>
      </c>
      <c r="H6" s="12">
        <f>SUM(Oct!H6,Nov!H6,Dec!H6)</f>
        <v>0</v>
      </c>
      <c r="I6" s="12">
        <f>SUM(Oct!I6, Nov!I6, Dec!I6)</f>
        <v>0</v>
      </c>
      <c r="J6" s="13" t="str">
        <f t="shared" ref="J6:J15" si="2">IFERROR(I6/H6, "")</f>
        <v/>
      </c>
    </row>
    <row r="7" spans="1:10" ht="15.6">
      <c r="A7" s="26" t="str">
        <v>Noble</v>
      </c>
      <c r="B7" s="27" t="str">
        <v>AZ</v>
      </c>
      <c r="C7" s="27" t="str">
        <f>Sites[[#This Row],[SOL'#]]</f>
        <v>SOL-10750</v>
      </c>
      <c r="D7" s="9">
        <f>SUM(Oct!D7, Nov!D7, Dec!D7)</f>
        <v>0</v>
      </c>
      <c r="E7" s="14">
        <f>SUM(Oct!E7, Nov!E7, Dec!E7)</f>
        <v>0</v>
      </c>
      <c r="F7" s="14">
        <f t="shared" si="0"/>
        <v>0</v>
      </c>
      <c r="G7" s="15" t="str">
        <f t="shared" si="1"/>
        <v/>
      </c>
      <c r="H7" s="16">
        <f>SUM(Oct!H7,Nov!H7,Dec!H7)</f>
        <v>0</v>
      </c>
      <c r="I7" s="16">
        <f>SUM(Oct!I7, Nov!I7, Dec!I7)</f>
        <v>0</v>
      </c>
      <c r="J7" s="15" t="str">
        <f t="shared" si="2"/>
        <v/>
      </c>
    </row>
    <row r="8" spans="1:10" ht="15.6">
      <c r="A8" s="24" t="str">
        <v>Parking 3</v>
      </c>
      <c r="B8" s="25" t="str">
        <v>AZ</v>
      </c>
      <c r="C8" s="25" t="str">
        <f>Sites[[#This Row],[SOL'#]]</f>
        <v>SOL-10751</v>
      </c>
      <c r="D8" s="20">
        <f>SUM(Oct!D8, Nov!D8, Dec!D8)</f>
        <v>0</v>
      </c>
      <c r="E8" s="10">
        <f>SUM(Oct!E8, Nov!E8, Dec!E8)</f>
        <v>0</v>
      </c>
      <c r="F8" s="10">
        <f t="shared" si="0"/>
        <v>0</v>
      </c>
      <c r="G8" s="11" t="str">
        <f t="shared" si="1"/>
        <v/>
      </c>
      <c r="H8" s="12">
        <f>SUM(Oct!H8,Nov!H8,Dec!H8)</f>
        <v>0</v>
      </c>
      <c r="I8" s="12">
        <f>SUM(Oct!I8, Nov!I8, Dec!I8)</f>
        <v>0</v>
      </c>
      <c r="J8" s="13" t="str">
        <f t="shared" si="2"/>
        <v/>
      </c>
    </row>
    <row r="9" spans="1:10" ht="15.6">
      <c r="A9" s="26" t="str">
        <v>PE East</v>
      </c>
      <c r="B9" s="27" t="str">
        <v>AZ</v>
      </c>
      <c r="C9" s="27" t="str">
        <f>Sites[[#This Row],[SOL'#]]</f>
        <v>SOL-10752</v>
      </c>
      <c r="D9" s="9">
        <f>SUM(Oct!D9, Nov!D9, Dec!D9)</f>
        <v>0</v>
      </c>
      <c r="E9" s="14">
        <f>SUM(Oct!E9, Nov!E9, Dec!E9)</f>
        <v>0</v>
      </c>
      <c r="F9" s="14">
        <f t="shared" si="0"/>
        <v>0</v>
      </c>
      <c r="G9" s="15" t="str">
        <f t="shared" si="1"/>
        <v/>
      </c>
      <c r="H9" s="16">
        <f>SUM(Oct!H9,Nov!H9,Dec!H9)</f>
        <v>0</v>
      </c>
      <c r="I9" s="16">
        <f>SUM(Oct!I9, Nov!I9, Dec!I9)</f>
        <v>0</v>
      </c>
      <c r="J9" s="15" t="str">
        <f t="shared" si="2"/>
        <v/>
      </c>
    </row>
    <row r="10" spans="1:10" ht="15.6">
      <c r="A10" s="24" t="str">
        <v>Schwada</v>
      </c>
      <c r="B10" s="25" t="str">
        <v>AZ</v>
      </c>
      <c r="C10" s="25" t="str">
        <f>Sites[[#This Row],[SOL'#]]</f>
        <v>SOL-10753</v>
      </c>
      <c r="D10" s="20">
        <f>SUM(Oct!D10, Nov!D10, Dec!D10)</f>
        <v>0</v>
      </c>
      <c r="E10" s="10">
        <f>SUM(Oct!E10, Nov!E10, Dec!E10)</f>
        <v>0</v>
      </c>
      <c r="F10" s="10">
        <f t="shared" si="0"/>
        <v>0</v>
      </c>
      <c r="G10" s="11" t="str">
        <f t="shared" si="1"/>
        <v/>
      </c>
      <c r="H10" s="12">
        <f>SUM(Oct!H10,Nov!H10,Dec!H10)</f>
        <v>0</v>
      </c>
      <c r="I10" s="12">
        <f>SUM(Oct!I10, Nov!I10, Dec!I10)</f>
        <v>0</v>
      </c>
      <c r="J10" s="13" t="str">
        <f t="shared" si="2"/>
        <v/>
      </c>
    </row>
    <row r="11" spans="1:10" ht="15.6">
      <c r="A11" s="26" t="str">
        <v>Starshine</v>
      </c>
      <c r="B11" s="27" t="str">
        <v>AZ</v>
      </c>
      <c r="C11" s="27" t="str">
        <f>Sites[[#This Row],[SOL'#]]</f>
        <v>SOL-10757</v>
      </c>
      <c r="D11" s="9">
        <f>SUM(Oct!D11, Nov!D11, Dec!D11)</f>
        <v>0</v>
      </c>
      <c r="E11" s="14">
        <f>SUM(Oct!E11, Nov!E11, Dec!E11)</f>
        <v>0</v>
      </c>
      <c r="F11" s="14">
        <f t="shared" si="0"/>
        <v>0</v>
      </c>
      <c r="G11" s="15" t="str">
        <f t="shared" si="1"/>
        <v/>
      </c>
      <c r="H11" s="16">
        <f>SUM(Oct!H11,Nov!H11,Dec!H11)</f>
        <v>0</v>
      </c>
      <c r="I11" s="16">
        <f>SUM(Oct!I11, Nov!I11, Dec!I11)</f>
        <v>0</v>
      </c>
      <c r="J11" s="15" t="str">
        <f t="shared" si="2"/>
        <v/>
      </c>
    </row>
    <row r="12" spans="1:10" ht="15.6">
      <c r="A12" s="24" t="str">
        <v>Yuma Airport</v>
      </c>
      <c r="B12" s="25" t="str">
        <v>AZ</v>
      </c>
      <c r="C12" s="25" t="str">
        <f>Sites[[#This Row],[SOL'#]]</f>
        <v>SOL-10754</v>
      </c>
      <c r="D12" s="20">
        <f>SUM(Oct!D12, Nov!D12, Dec!D12)</f>
        <v>0</v>
      </c>
      <c r="E12" s="10">
        <f>SUM(Oct!E12, Nov!E12, Dec!E12)</f>
        <v>0</v>
      </c>
      <c r="F12" s="10">
        <f t="shared" si="0"/>
        <v>0</v>
      </c>
      <c r="G12" s="11" t="str">
        <f t="shared" si="1"/>
        <v/>
      </c>
      <c r="H12" s="12">
        <f>SUM(Oct!H12,Nov!H12,Dec!H12)</f>
        <v>0</v>
      </c>
      <c r="I12" s="12">
        <f>SUM(Oct!I12, Nov!I12, Dec!I12)</f>
        <v>0</v>
      </c>
      <c r="J12" s="13" t="str">
        <f t="shared" si="2"/>
        <v/>
      </c>
    </row>
    <row r="13" spans="1:10" ht="15.6">
      <c r="A13" s="26" t="str">
        <v>Kinsman</v>
      </c>
      <c r="B13" s="27" t="str">
        <v>OH</v>
      </c>
      <c r="C13" s="27" t="str">
        <f>Sites[[#This Row],[SOL'#]]</f>
        <v>SOL-10762</v>
      </c>
      <c r="D13" s="9">
        <f>SUM(Oct!D13, Nov!D13, Dec!D13)</f>
        <v>0</v>
      </c>
      <c r="E13" s="14">
        <f>SUM(Oct!E13, Nov!E13, Dec!E13)</f>
        <v>0</v>
      </c>
      <c r="F13" s="14">
        <f t="shared" si="0"/>
        <v>0</v>
      </c>
      <c r="G13" s="15" t="str">
        <f t="shared" si="1"/>
        <v/>
      </c>
      <c r="H13" s="16">
        <f>SUM(Oct!H13,Nov!H13,Dec!H13)</f>
        <v>0</v>
      </c>
      <c r="I13" s="16">
        <f>SUM(Oct!I13, Nov!I13, Dec!I13)</f>
        <v>0</v>
      </c>
      <c r="J13" s="15" t="str">
        <f t="shared" si="2"/>
        <v/>
      </c>
    </row>
    <row r="14" spans="1:10" ht="15.6">
      <c r="A14" s="24" t="str">
        <v>Wooster</v>
      </c>
      <c r="B14" s="25" t="str">
        <v>OH</v>
      </c>
      <c r="C14" s="25" t="str">
        <f>Sites[[#This Row],[SOL'#]]</f>
        <v>SOL-10763</v>
      </c>
      <c r="D14" s="20">
        <f>SUM(Oct!D14, Nov!D14, Dec!D14)</f>
        <v>0</v>
      </c>
      <c r="E14" s="10">
        <f>SUM(Oct!E14, Nov!E14, Dec!E14)</f>
        <v>0</v>
      </c>
      <c r="F14" s="10">
        <f t="shared" si="0"/>
        <v>0</v>
      </c>
      <c r="G14" s="11" t="str">
        <f t="shared" si="1"/>
        <v/>
      </c>
      <c r="H14" s="12">
        <f>SUM(Oct!H14,Nov!H14,Dec!H14)</f>
        <v>0</v>
      </c>
      <c r="I14" s="12">
        <f>SUM(Oct!I14, Nov!I14, Dec!I14)</f>
        <v>0</v>
      </c>
      <c r="J14" s="13" t="str">
        <f t="shared" si="2"/>
        <v/>
      </c>
    </row>
    <row r="15" spans="1:10" ht="15.6">
      <c r="A15" s="26" t="str">
        <v>Globe Gila CC</v>
      </c>
      <c r="B15" s="27" t="str">
        <v>AZ</v>
      </c>
      <c r="C15" s="27" t="str">
        <f>Sites[[#This Row],[SOL'#]]</f>
        <v>SOL-10755</v>
      </c>
      <c r="D15" s="9">
        <f>SUM(Oct!D15, Nov!D15, Dec!D15)</f>
        <v>0</v>
      </c>
      <c r="E15" s="14">
        <f>SUM(Oct!E15, Nov!E15, Dec!E15)</f>
        <v>0</v>
      </c>
      <c r="F15" s="14">
        <f t="shared" si="0"/>
        <v>0</v>
      </c>
      <c r="G15" s="15" t="str">
        <f t="shared" si="1"/>
        <v/>
      </c>
      <c r="H15" s="16">
        <f>SUM(Oct!H15,Nov!H15,Dec!H15)</f>
        <v>0</v>
      </c>
      <c r="I15" s="16">
        <f>SUM(Oct!I15, Nov!I15, Dec!I15)</f>
        <v>0</v>
      </c>
      <c r="J15" s="15" t="str">
        <f t="shared" si="2"/>
        <v/>
      </c>
    </row>
    <row r="16" spans="1:10" ht="15.6">
      <c r="A16" s="24" t="str">
        <v>Payson Gila CC</v>
      </c>
      <c r="B16" s="25" t="str">
        <v>AZ</v>
      </c>
      <c r="C16" s="25" t="str">
        <f>Sites[[#This Row],[SOL'#]]</f>
        <v>SOL-10756</v>
      </c>
      <c r="D16" s="20">
        <f>SUM(Oct!D16, Nov!D16, Dec!D16)</f>
        <v>0</v>
      </c>
      <c r="E16" s="10">
        <f>SUM(Oct!E16, Nov!E16, Dec!E16)</f>
        <v>0</v>
      </c>
      <c r="F16" s="10">
        <f t="shared" ref="F16:F79" si="3">IF(AND(ISNUMBER(D16),ISNUMBER(E16)), D16-E16, "")</f>
        <v>0</v>
      </c>
      <c r="G16" s="11" t="str">
        <f t="shared" ref="G16:G79" si="4">IFERROR(F16/E16, "")</f>
        <v/>
      </c>
      <c r="H16" s="12">
        <f>SUM(Oct!H16,Nov!H16,Dec!H16)</f>
        <v>0</v>
      </c>
      <c r="I16" s="12">
        <f>SUM(Oct!I16, Nov!I16, Dec!I16)</f>
        <v>0</v>
      </c>
      <c r="J16" s="13" t="str">
        <f t="shared" ref="J16:J79" si="5">IFERROR(I16/H16, "")</f>
        <v/>
      </c>
    </row>
    <row r="17" spans="1:10" ht="15.6">
      <c r="A17" s="26" t="str">
        <v>SCNM</v>
      </c>
      <c r="B17" s="27" t="str">
        <v>AZ</v>
      </c>
      <c r="C17" s="27" t="str">
        <f>Sites[[#This Row],[SOL'#]]</f>
        <v>SOL-10760</v>
      </c>
      <c r="D17" s="9">
        <f>SUM(Oct!D17, Nov!D17, Dec!D17)</f>
        <v>0</v>
      </c>
      <c r="E17" s="14">
        <f>SUM(Oct!E17, Nov!E17, Dec!E17)</f>
        <v>0</v>
      </c>
      <c r="F17" s="14">
        <f t="shared" si="3"/>
        <v>0</v>
      </c>
      <c r="G17" s="15" t="str">
        <f t="shared" si="4"/>
        <v/>
      </c>
      <c r="H17" s="16">
        <f>SUM(Oct!H17,Nov!H17,Dec!H17)</f>
        <v>0</v>
      </c>
      <c r="I17" s="16">
        <f>SUM(Oct!I17, Nov!I17, Dec!I17)</f>
        <v>0</v>
      </c>
      <c r="J17" s="15" t="str">
        <f t="shared" si="5"/>
        <v/>
      </c>
    </row>
    <row r="18" spans="1:10" ht="12.75" customHeight="1">
      <c r="A18" s="24" t="str">
        <v>Sequoia Charter School</v>
      </c>
      <c r="B18" s="25" t="str">
        <v>AZ</v>
      </c>
      <c r="C18" s="25" t="str">
        <f>Sites[[#This Row],[SOL'#]]</f>
        <v>SOL-10759</v>
      </c>
      <c r="D18" s="20">
        <f>SUM(Oct!D18, Nov!D18, Dec!D18)</f>
        <v>0</v>
      </c>
      <c r="E18" s="10">
        <f>SUM(Oct!E18, Nov!E18, Dec!E18)</f>
        <v>0</v>
      </c>
      <c r="F18" s="10">
        <f t="shared" si="3"/>
        <v>0</v>
      </c>
      <c r="G18" s="11" t="str">
        <f t="shared" si="4"/>
        <v/>
      </c>
      <c r="H18" s="12">
        <f>SUM(Oct!H18,Nov!H18,Dec!H18)</f>
        <v>0</v>
      </c>
      <c r="I18" s="12">
        <f>SUM(Oct!I18, Nov!I18, Dec!I18)</f>
        <v>0</v>
      </c>
      <c r="J18" s="13" t="str">
        <f t="shared" si="5"/>
        <v/>
      </c>
    </row>
    <row r="19" spans="1:10" ht="15.6">
      <c r="A19" s="26" t="str">
        <v>RCAB</v>
      </c>
      <c r="B19" s="27" t="str">
        <v>MA</v>
      </c>
      <c r="C19" s="27" t="str">
        <f>Sites[[#This Row],[SOL'#]]</f>
        <v>SOL-10838</v>
      </c>
      <c r="D19" s="9">
        <f>SUM(Oct!D19, Nov!D19, Dec!D19)</f>
        <v>0</v>
      </c>
      <c r="E19" s="14">
        <f>SUM(Oct!E19, Nov!E19, Dec!E19)</f>
        <v>0</v>
      </c>
      <c r="F19" s="14">
        <f t="shared" si="3"/>
        <v>0</v>
      </c>
      <c r="G19" s="15" t="str">
        <f t="shared" si="4"/>
        <v/>
      </c>
      <c r="H19" s="16">
        <f>SUM(Oct!H19,Nov!H19,Dec!H19)</f>
        <v>0</v>
      </c>
      <c r="I19" s="16">
        <f>SUM(Oct!I19, Nov!I19, Dec!I19)</f>
        <v>0</v>
      </c>
      <c r="J19" s="15" t="str">
        <f t="shared" si="5"/>
        <v/>
      </c>
    </row>
    <row r="20" spans="1:10" ht="15.6">
      <c r="A20" s="24" t="str">
        <v>Spectro Coatings</v>
      </c>
      <c r="B20" s="25" t="str">
        <v>MA</v>
      </c>
      <c r="C20" s="25" t="str">
        <f>Sites[[#This Row],[SOL'#]]</f>
        <v>SOL-10074</v>
      </c>
      <c r="D20" s="20">
        <f>SUM(Oct!D20, Nov!D20, Dec!D20)</f>
        <v>0</v>
      </c>
      <c r="E20" s="10">
        <f>SUM(Oct!E20, Nov!E20, Dec!E20)</f>
        <v>0</v>
      </c>
      <c r="F20" s="10">
        <f t="shared" si="3"/>
        <v>0</v>
      </c>
      <c r="G20" s="11" t="str">
        <f t="shared" si="4"/>
        <v/>
      </c>
      <c r="H20" s="12">
        <f>SUM(Oct!H20,Nov!H20,Dec!H20)</f>
        <v>0</v>
      </c>
      <c r="I20" s="12">
        <f>SUM(Oct!I20, Nov!I20, Dec!I20)</f>
        <v>0</v>
      </c>
      <c r="J20" s="13" t="str">
        <f t="shared" si="5"/>
        <v/>
      </c>
    </row>
    <row r="21" spans="1:10" ht="15.6">
      <c r="A21" s="26" t="str">
        <v>K026</v>
      </c>
      <c r="B21" s="27" t="str">
        <v>NY</v>
      </c>
      <c r="C21" s="27" t="str">
        <f>Sites[[#This Row],[SOL'#]]</f>
        <v>SOL-10356</v>
      </c>
      <c r="D21" s="9">
        <f>SUM(Oct!D21, Nov!D21, Dec!D21)</f>
        <v>0</v>
      </c>
      <c r="E21" s="14">
        <f>SUM(Oct!E21, Nov!E21, Dec!E21)</f>
        <v>0</v>
      </c>
      <c r="F21" s="14">
        <f t="shared" si="3"/>
        <v>0</v>
      </c>
      <c r="G21" s="15" t="str">
        <f t="shared" si="4"/>
        <v/>
      </c>
      <c r="H21" s="16">
        <f>SUM(Oct!H21,Nov!H21,Dec!H21)</f>
        <v>0</v>
      </c>
      <c r="I21" s="16">
        <f>SUM(Oct!I21, Nov!I21, Dec!I21)</f>
        <v>0</v>
      </c>
      <c r="J21" s="15" t="str">
        <f t="shared" si="5"/>
        <v/>
      </c>
    </row>
    <row r="22" spans="1:10" ht="15.6">
      <c r="A22" s="24" t="str">
        <v>K041</v>
      </c>
      <c r="B22" s="25" t="str">
        <v>NY</v>
      </c>
      <c r="C22" s="25" t="str">
        <f>Sites[[#This Row],[SOL'#]]</f>
        <v>SOL-10357</v>
      </c>
      <c r="D22" s="20">
        <f>SUM(Oct!D22, Nov!D22, Dec!D22)</f>
        <v>0</v>
      </c>
      <c r="E22" s="10">
        <f>SUM(Oct!E22, Nov!E22, Dec!E22)</f>
        <v>0</v>
      </c>
      <c r="F22" s="10">
        <f t="shared" si="3"/>
        <v>0</v>
      </c>
      <c r="G22" s="11" t="str">
        <f t="shared" si="4"/>
        <v/>
      </c>
      <c r="H22" s="12">
        <f>SUM(Oct!H22,Nov!H22,Dec!H22)</f>
        <v>0</v>
      </c>
      <c r="I22" s="12">
        <f>SUM(Oct!I22, Nov!I22, Dec!I22)</f>
        <v>0</v>
      </c>
      <c r="J22" s="13" t="str">
        <f t="shared" si="5"/>
        <v/>
      </c>
    </row>
    <row r="23" spans="1:10" ht="15.6">
      <c r="A23" s="26" t="str">
        <v>K043</v>
      </c>
      <c r="B23" s="27" t="str">
        <v>NY</v>
      </c>
      <c r="C23" s="27" t="str">
        <f>Sites[[#This Row],[SOL'#]]</f>
        <v>SOL-10358</v>
      </c>
      <c r="D23" s="9">
        <f>SUM(Oct!D23, Nov!D23, Dec!D23)</f>
        <v>0</v>
      </c>
      <c r="E23" s="14">
        <f>SUM(Oct!E23, Nov!E23, Dec!E23)</f>
        <v>0</v>
      </c>
      <c r="F23" s="14">
        <f t="shared" si="3"/>
        <v>0</v>
      </c>
      <c r="G23" s="15" t="str">
        <f t="shared" si="4"/>
        <v/>
      </c>
      <c r="H23" s="16">
        <f>SUM(Oct!H23,Nov!H23,Dec!H23)</f>
        <v>0</v>
      </c>
      <c r="I23" s="16">
        <f>SUM(Oct!I23, Nov!I23, Dec!I23)</f>
        <v>0</v>
      </c>
      <c r="J23" s="15" t="str">
        <f t="shared" si="5"/>
        <v/>
      </c>
    </row>
    <row r="24" spans="1:10" ht="15.6">
      <c r="A24" s="24" t="str">
        <v>K058</v>
      </c>
      <c r="B24" s="25" t="str">
        <v>NY</v>
      </c>
      <c r="C24" s="25" t="str">
        <f>Sites[[#This Row],[SOL'#]]</f>
        <v>SOL-10360</v>
      </c>
      <c r="D24" s="20">
        <f>SUM(Oct!D24, Nov!D24, Dec!D24)</f>
        <v>0</v>
      </c>
      <c r="E24" s="10">
        <f>SUM(Oct!E24, Nov!E24, Dec!E24)</f>
        <v>0</v>
      </c>
      <c r="F24" s="10">
        <f t="shared" si="3"/>
        <v>0</v>
      </c>
      <c r="G24" s="11" t="str">
        <f t="shared" si="4"/>
        <v/>
      </c>
      <c r="H24" s="12">
        <f>SUM(Oct!H24,Nov!H24,Dec!H24)</f>
        <v>0</v>
      </c>
      <c r="I24" s="12">
        <f>SUM(Oct!I24, Nov!I24, Dec!I24)</f>
        <v>0</v>
      </c>
      <c r="J24" s="13" t="str">
        <f t="shared" si="5"/>
        <v/>
      </c>
    </row>
    <row r="25" spans="1:10" ht="15.6">
      <c r="A25" s="26" t="str">
        <v>K115</v>
      </c>
      <c r="B25" s="27" t="str">
        <v>NY</v>
      </c>
      <c r="C25" s="27" t="str">
        <f>Sites[[#This Row],[SOL'#]]</f>
        <v>SOL-10361</v>
      </c>
      <c r="D25" s="9">
        <f>SUM(Oct!D25, Nov!D25, Dec!D25)</f>
        <v>0</v>
      </c>
      <c r="E25" s="14">
        <f>SUM(Oct!E25, Nov!E25, Dec!E25)</f>
        <v>0</v>
      </c>
      <c r="F25" s="14">
        <f t="shared" si="3"/>
        <v>0</v>
      </c>
      <c r="G25" s="15" t="str">
        <f t="shared" si="4"/>
        <v/>
      </c>
      <c r="H25" s="16">
        <f>SUM(Oct!H25,Nov!H25,Dec!H25)</f>
        <v>0</v>
      </c>
      <c r="I25" s="16">
        <f>SUM(Oct!I25, Nov!I25, Dec!I25)</f>
        <v>0</v>
      </c>
      <c r="J25" s="15" t="str">
        <f t="shared" si="5"/>
        <v/>
      </c>
    </row>
    <row r="26" spans="1:10" ht="15.6">
      <c r="A26" s="24" t="str">
        <v>K152</v>
      </c>
      <c r="B26" s="25" t="str">
        <v>NY</v>
      </c>
      <c r="C26" s="25" t="str">
        <f>Sites[[#This Row],[SOL'#]]</f>
        <v>SOL-10362</v>
      </c>
      <c r="D26" s="20">
        <f>SUM(Oct!D26, Nov!D26, Dec!D26)</f>
        <v>0</v>
      </c>
      <c r="E26" s="10">
        <f>SUM(Oct!E26, Nov!E26, Dec!E26)</f>
        <v>0</v>
      </c>
      <c r="F26" s="10">
        <f t="shared" si="3"/>
        <v>0</v>
      </c>
      <c r="G26" s="11" t="str">
        <f t="shared" si="4"/>
        <v/>
      </c>
      <c r="H26" s="12">
        <f>SUM(Oct!H26,Nov!H26,Dec!H26)</f>
        <v>0</v>
      </c>
      <c r="I26" s="12">
        <f>SUM(Oct!I26, Nov!I26, Dec!I26)</f>
        <v>0</v>
      </c>
      <c r="J26" s="13" t="str">
        <f t="shared" si="5"/>
        <v/>
      </c>
    </row>
    <row r="27" spans="1:10" ht="15.6">
      <c r="A27" s="26" t="str">
        <v>K166</v>
      </c>
      <c r="B27" s="27" t="str">
        <v>NY</v>
      </c>
      <c r="C27" s="27" t="str">
        <f>Sites[[#This Row],[SOL'#]]</f>
        <v>SOL-10363</v>
      </c>
      <c r="D27" s="9">
        <f>SUM(Oct!D27, Nov!D27, Dec!D27)</f>
        <v>0</v>
      </c>
      <c r="E27" s="14">
        <f>SUM(Oct!E27, Nov!E27, Dec!E27)</f>
        <v>0</v>
      </c>
      <c r="F27" s="14">
        <f t="shared" si="3"/>
        <v>0</v>
      </c>
      <c r="G27" s="15" t="str">
        <f t="shared" si="4"/>
        <v/>
      </c>
      <c r="H27" s="16">
        <f>SUM(Oct!H27,Nov!H27,Dec!H27)</f>
        <v>0</v>
      </c>
      <c r="I27" s="16">
        <f>SUM(Oct!I27, Nov!I27, Dec!I27)</f>
        <v>0</v>
      </c>
      <c r="J27" s="15" t="str">
        <f t="shared" si="5"/>
        <v/>
      </c>
    </row>
    <row r="28" spans="1:10" ht="15.6">
      <c r="A28" s="24" t="str">
        <v>K206</v>
      </c>
      <c r="B28" s="25" t="str">
        <v>NY</v>
      </c>
      <c r="C28" s="25" t="str">
        <f>Sites[[#This Row],[SOL'#]]</f>
        <v>SOL-10927</v>
      </c>
      <c r="D28" s="20">
        <f>SUM(Oct!D28, Nov!D28, Dec!D28)</f>
        <v>0</v>
      </c>
      <c r="E28" s="10">
        <f>SUM(Oct!E28, Nov!E28, Dec!E28)</f>
        <v>0</v>
      </c>
      <c r="F28" s="10">
        <f t="shared" si="3"/>
        <v>0</v>
      </c>
      <c r="G28" s="11" t="str">
        <f t="shared" si="4"/>
        <v/>
      </c>
      <c r="H28" s="12">
        <f>SUM(Oct!H28,Nov!H28,Dec!H28)</f>
        <v>0</v>
      </c>
      <c r="I28" s="12">
        <f>SUM(Oct!I28, Nov!I28, Dec!I28)</f>
        <v>0</v>
      </c>
      <c r="J28" s="13" t="str">
        <f t="shared" si="5"/>
        <v/>
      </c>
    </row>
    <row r="29" spans="1:10" ht="15.6">
      <c r="A29" s="26" t="str">
        <v>K251</v>
      </c>
      <c r="B29" s="27" t="str">
        <v>NY</v>
      </c>
      <c r="C29" s="27" t="str">
        <f>Sites[[#This Row],[SOL'#]]</f>
        <v>SOL-10365</v>
      </c>
      <c r="D29" s="9">
        <f>SUM(Oct!D29, Nov!D29, Dec!D29)</f>
        <v>0</v>
      </c>
      <c r="E29" s="14">
        <f>SUM(Oct!E29, Nov!E29, Dec!E29)</f>
        <v>0</v>
      </c>
      <c r="F29" s="14">
        <f t="shared" si="3"/>
        <v>0</v>
      </c>
      <c r="G29" s="15" t="str">
        <f t="shared" si="4"/>
        <v/>
      </c>
      <c r="H29" s="16">
        <f>SUM(Oct!H29,Nov!H29,Dec!H29)</f>
        <v>0</v>
      </c>
      <c r="I29" s="16">
        <f>SUM(Oct!I29, Nov!I29, Dec!I29)</f>
        <v>0</v>
      </c>
      <c r="J29" s="15" t="str">
        <f t="shared" si="5"/>
        <v/>
      </c>
    </row>
    <row r="30" spans="1:10" ht="15.6">
      <c r="A30" s="24" t="str">
        <v>K269</v>
      </c>
      <c r="B30" s="25" t="str">
        <v>NY</v>
      </c>
      <c r="C30" s="25" t="str">
        <f>Sites[[#This Row],[SOL'#]]</f>
        <v>SOL-10366</v>
      </c>
      <c r="D30" s="20">
        <f>SUM(Oct!D30, Nov!D30, Dec!D30)</f>
        <v>0</v>
      </c>
      <c r="E30" s="10">
        <f>SUM(Oct!E30, Nov!E30, Dec!E30)</f>
        <v>0</v>
      </c>
      <c r="F30" s="10">
        <f t="shared" si="3"/>
        <v>0</v>
      </c>
      <c r="G30" s="11" t="str">
        <f t="shared" si="4"/>
        <v/>
      </c>
      <c r="H30" s="12">
        <f>SUM(Oct!H30,Nov!H30,Dec!H30)</f>
        <v>0</v>
      </c>
      <c r="I30" s="12">
        <f>SUM(Oct!I30, Nov!I30, Dec!I30)</f>
        <v>0</v>
      </c>
      <c r="J30" s="13" t="str">
        <f t="shared" si="5"/>
        <v/>
      </c>
    </row>
    <row r="31" spans="1:10" ht="15.6">
      <c r="A31" s="26" t="str">
        <v>K273</v>
      </c>
      <c r="B31" s="27" t="str">
        <v>NY</v>
      </c>
      <c r="C31" s="27" t="str">
        <f>Sites[[#This Row],[SOL'#]]</f>
        <v>SOL-10367</v>
      </c>
      <c r="D31" s="9">
        <f>SUM(Oct!D31, Nov!D31, Dec!D31)</f>
        <v>0</v>
      </c>
      <c r="E31" s="14">
        <f>SUM(Oct!E31, Nov!E31, Dec!E31)</f>
        <v>0</v>
      </c>
      <c r="F31" s="14">
        <f t="shared" si="3"/>
        <v>0</v>
      </c>
      <c r="G31" s="15" t="str">
        <f t="shared" si="4"/>
        <v/>
      </c>
      <c r="H31" s="16">
        <f>SUM(Oct!H31,Nov!H31,Dec!H31)</f>
        <v>0</v>
      </c>
      <c r="I31" s="16">
        <f>SUM(Oct!I31, Nov!I31, Dec!I31)</f>
        <v>0</v>
      </c>
      <c r="J31" s="15" t="str">
        <f t="shared" si="5"/>
        <v/>
      </c>
    </row>
    <row r="32" spans="1:10" ht="15.6">
      <c r="A32" s="24" t="str">
        <v>K287</v>
      </c>
      <c r="B32" s="25" t="str">
        <v>NY</v>
      </c>
      <c r="C32" s="25" t="str">
        <f>Sites[[#This Row],[SOL'#]]</f>
        <v>SOL-10919</v>
      </c>
      <c r="D32" s="20">
        <f>SUM(Oct!D32, Nov!D32, Dec!D32)</f>
        <v>0</v>
      </c>
      <c r="E32" s="10">
        <f>SUM(Oct!E32, Nov!E32, Dec!E32)</f>
        <v>0</v>
      </c>
      <c r="F32" s="10">
        <f t="shared" si="3"/>
        <v>0</v>
      </c>
      <c r="G32" s="11" t="str">
        <f t="shared" si="4"/>
        <v/>
      </c>
      <c r="H32" s="12">
        <f>SUM(Oct!H32,Nov!H32,Dec!H32)</f>
        <v>0</v>
      </c>
      <c r="I32" s="12">
        <f>SUM(Oct!I32, Nov!I32, Dec!I32)</f>
        <v>0</v>
      </c>
      <c r="J32" s="13" t="str">
        <f t="shared" si="5"/>
        <v/>
      </c>
    </row>
    <row r="33" spans="1:10" ht="15.6">
      <c r="A33" s="26" t="str">
        <v>K298</v>
      </c>
      <c r="B33" s="27" t="str">
        <v>NY</v>
      </c>
      <c r="C33" s="27" t="str">
        <f>Sites[[#This Row],[SOL'#]]</f>
        <v>SOL-10368</v>
      </c>
      <c r="D33" s="9">
        <f>SUM(Oct!D33, Nov!D33, Dec!D33)</f>
        <v>0</v>
      </c>
      <c r="E33" s="14">
        <f>SUM(Oct!E33, Nov!E33, Dec!E33)</f>
        <v>0</v>
      </c>
      <c r="F33" s="14">
        <f t="shared" si="3"/>
        <v>0</v>
      </c>
      <c r="G33" s="15" t="str">
        <f t="shared" si="4"/>
        <v/>
      </c>
      <c r="H33" s="16">
        <f>SUM(Oct!H33,Nov!H33,Dec!H33)</f>
        <v>0</v>
      </c>
      <c r="I33" s="16">
        <f>SUM(Oct!I33, Nov!I33, Dec!I33)</f>
        <v>0</v>
      </c>
      <c r="J33" s="15" t="str">
        <f t="shared" si="5"/>
        <v/>
      </c>
    </row>
    <row r="34" spans="1:10" ht="15.6">
      <c r="A34" s="24" t="str">
        <v>K335</v>
      </c>
      <c r="B34" s="25" t="str">
        <v>NY</v>
      </c>
      <c r="C34" s="25" t="str">
        <f>Sites[[#This Row],[SOL'#]]</f>
        <v>SOL-10370</v>
      </c>
      <c r="D34" s="20">
        <f>SUM(Oct!D34, Nov!D34, Dec!D34)</f>
        <v>0</v>
      </c>
      <c r="E34" s="10">
        <f>SUM(Oct!E34, Nov!E34, Dec!E34)</f>
        <v>0</v>
      </c>
      <c r="F34" s="10">
        <f t="shared" si="3"/>
        <v>0</v>
      </c>
      <c r="G34" s="11" t="str">
        <f t="shared" si="4"/>
        <v/>
      </c>
      <c r="H34" s="12">
        <f>SUM(Oct!H34,Nov!H34,Dec!H34)</f>
        <v>0</v>
      </c>
      <c r="I34" s="12">
        <f>SUM(Oct!I34, Nov!I34, Dec!I34)</f>
        <v>0</v>
      </c>
      <c r="J34" s="13" t="str">
        <f t="shared" si="5"/>
        <v/>
      </c>
    </row>
    <row r="35" spans="1:10" ht="15.6">
      <c r="A35" s="26" t="str">
        <v>K345</v>
      </c>
      <c r="B35" s="27" t="str">
        <v>NY</v>
      </c>
      <c r="C35" s="27" t="str">
        <f>Sites[[#This Row],[SOL'#]]</f>
        <v>SOL-10920</v>
      </c>
      <c r="D35" s="9">
        <f>SUM(Oct!D35, Nov!D35, Dec!D35)</f>
        <v>0</v>
      </c>
      <c r="E35" s="14">
        <f>SUM(Oct!E35, Nov!E35, Dec!E35)</f>
        <v>0</v>
      </c>
      <c r="F35" s="14">
        <f t="shared" si="3"/>
        <v>0</v>
      </c>
      <c r="G35" s="15" t="str">
        <f t="shared" si="4"/>
        <v/>
      </c>
      <c r="H35" s="16">
        <f>SUM(Oct!H35,Nov!H35,Dec!H35)</f>
        <v>0</v>
      </c>
      <c r="I35" s="16">
        <f>SUM(Oct!I35, Nov!I35, Dec!I35)</f>
        <v>0</v>
      </c>
      <c r="J35" s="15" t="str">
        <f t="shared" si="5"/>
        <v/>
      </c>
    </row>
    <row r="36" spans="1:10" ht="15.6">
      <c r="A36" s="24" t="str">
        <v>K445</v>
      </c>
      <c r="B36" s="25" t="str">
        <v>NY</v>
      </c>
      <c r="C36" s="25" t="str">
        <f>Sites[[#This Row],[SOL'#]]</f>
        <v>SOL-10373</v>
      </c>
      <c r="D36" s="20">
        <f>SUM(Oct!D36, Nov!D36, Dec!D36)</f>
        <v>0</v>
      </c>
      <c r="E36" s="10">
        <f>SUM(Oct!E36, Nov!E36, Dec!E36)</f>
        <v>0</v>
      </c>
      <c r="F36" s="10">
        <f t="shared" si="3"/>
        <v>0</v>
      </c>
      <c r="G36" s="11" t="str">
        <f t="shared" si="4"/>
        <v/>
      </c>
      <c r="H36" s="12">
        <f>SUM(Oct!H36,Nov!H36,Dec!H36)</f>
        <v>0</v>
      </c>
      <c r="I36" s="12">
        <f>SUM(Oct!I36, Nov!I36, Dec!I36)</f>
        <v>0</v>
      </c>
      <c r="J36" s="13" t="str">
        <f t="shared" si="5"/>
        <v/>
      </c>
    </row>
    <row r="37" spans="1:10" ht="15.6">
      <c r="A37" s="26" t="str">
        <v>K495</v>
      </c>
      <c r="B37" s="27" t="str">
        <v>NY</v>
      </c>
      <c r="C37" s="27" t="str">
        <f>Sites[[#This Row],[SOL'#]]</f>
        <v>SOL-10374</v>
      </c>
      <c r="D37" s="9">
        <f>SUM(Oct!D37, Nov!D37, Dec!D37)</f>
        <v>0</v>
      </c>
      <c r="E37" s="14">
        <f>SUM(Oct!E37, Nov!E37, Dec!E37)</f>
        <v>0</v>
      </c>
      <c r="F37" s="14">
        <f t="shared" si="3"/>
        <v>0</v>
      </c>
      <c r="G37" s="15" t="str">
        <f t="shared" si="4"/>
        <v/>
      </c>
      <c r="H37" s="16">
        <f>SUM(Oct!H37,Nov!H37,Dec!H37)</f>
        <v>0</v>
      </c>
      <c r="I37" s="16">
        <f>SUM(Oct!I37, Nov!I37, Dec!I37)</f>
        <v>0</v>
      </c>
      <c r="J37" s="15" t="str">
        <f t="shared" si="5"/>
        <v/>
      </c>
    </row>
    <row r="38" spans="1:10" ht="15.6">
      <c r="A38" s="24" t="str">
        <v>M020</v>
      </c>
      <c r="B38" s="25" t="str">
        <v>NY</v>
      </c>
      <c r="C38" s="25" t="str">
        <f>Sites[[#This Row],[SOL'#]]</f>
        <v>SOL-10380</v>
      </c>
      <c r="D38" s="20">
        <f>SUM(Oct!D38, Nov!D38, Dec!D38)</f>
        <v>0</v>
      </c>
      <c r="E38" s="10">
        <f>SUM(Oct!E38, Nov!E38, Dec!E38)</f>
        <v>0</v>
      </c>
      <c r="F38" s="10">
        <f t="shared" si="3"/>
        <v>0</v>
      </c>
      <c r="G38" s="11" t="str">
        <f t="shared" si="4"/>
        <v/>
      </c>
      <c r="H38" s="12">
        <f>SUM(Oct!H38,Nov!H38,Dec!H38)</f>
        <v>0</v>
      </c>
      <c r="I38" s="12">
        <f>SUM(Oct!I38, Nov!I38, Dec!I38)</f>
        <v>0</v>
      </c>
      <c r="J38" s="13" t="str">
        <f t="shared" si="5"/>
        <v/>
      </c>
    </row>
    <row r="39" spans="1:10" ht="15.6">
      <c r="A39" s="26" t="str">
        <v>M092</v>
      </c>
      <c r="B39" s="27" t="str">
        <v>NY</v>
      </c>
      <c r="C39" s="27" t="str">
        <f>Sites[[#This Row],[SOL'#]]</f>
        <v>SOL-10383</v>
      </c>
      <c r="D39" s="9">
        <f>SUM(Oct!D39, Nov!D39, Dec!D39)</f>
        <v>0</v>
      </c>
      <c r="E39" s="14">
        <f>SUM(Oct!E39, Nov!E39, Dec!E39)</f>
        <v>0</v>
      </c>
      <c r="F39" s="14">
        <f t="shared" si="3"/>
        <v>0</v>
      </c>
      <c r="G39" s="15" t="str">
        <f t="shared" si="4"/>
        <v/>
      </c>
      <c r="H39" s="16">
        <f>SUM(Oct!H39,Nov!H39,Dec!H39)</f>
        <v>0</v>
      </c>
      <c r="I39" s="16">
        <f>SUM(Oct!I39, Nov!I39, Dec!I39)</f>
        <v>0</v>
      </c>
      <c r="J39" s="15" t="str">
        <f t="shared" si="5"/>
        <v/>
      </c>
    </row>
    <row r="40" spans="1:10" ht="15.6">
      <c r="A40" s="24" t="str">
        <v>M143</v>
      </c>
      <c r="B40" s="25" t="str">
        <v>NY</v>
      </c>
      <c r="C40" s="25" t="str">
        <f>Sites[[#This Row],[SOL'#]]</f>
        <v>SOL-10384</v>
      </c>
      <c r="D40" s="20">
        <f>SUM(Oct!D40, Nov!D40, Dec!D40)</f>
        <v>0</v>
      </c>
      <c r="E40" s="10">
        <f>SUM(Oct!E40, Nov!E40, Dec!E40)</f>
        <v>0</v>
      </c>
      <c r="F40" s="10">
        <f t="shared" si="3"/>
        <v>0</v>
      </c>
      <c r="G40" s="11" t="str">
        <f t="shared" si="4"/>
        <v/>
      </c>
      <c r="H40" s="12">
        <f>SUM(Oct!H40,Nov!H40,Dec!H40)</f>
        <v>0</v>
      </c>
      <c r="I40" s="12">
        <f>SUM(Oct!I40, Nov!I40, Dec!I40)</f>
        <v>0</v>
      </c>
      <c r="J40" s="13" t="str">
        <f t="shared" si="5"/>
        <v/>
      </c>
    </row>
    <row r="41" spans="1:10" ht="15.6">
      <c r="A41" s="26" t="str">
        <v>M144</v>
      </c>
      <c r="B41" s="27" t="str">
        <v>NY</v>
      </c>
      <c r="C41" s="27" t="str">
        <f>Sites[[#This Row],[SOL'#]]</f>
        <v>SOL-10385</v>
      </c>
      <c r="D41" s="9">
        <f>SUM(Oct!D41, Nov!D41, Dec!D41)</f>
        <v>0</v>
      </c>
      <c r="E41" s="14">
        <f>SUM(Oct!E41, Nov!E41, Dec!E41)</f>
        <v>0</v>
      </c>
      <c r="F41" s="14">
        <f t="shared" si="3"/>
        <v>0</v>
      </c>
      <c r="G41" s="15" t="str">
        <f t="shared" si="4"/>
        <v/>
      </c>
      <c r="H41" s="16">
        <f>SUM(Oct!H41,Nov!H41,Dec!H41)</f>
        <v>0</v>
      </c>
      <c r="I41" s="16">
        <f>SUM(Oct!I41, Nov!I41, Dec!I41)</f>
        <v>0</v>
      </c>
      <c r="J41" s="15" t="str">
        <f t="shared" si="5"/>
        <v/>
      </c>
    </row>
    <row r="42" spans="1:10" ht="15.6">
      <c r="A42" s="24" t="str">
        <v>M167</v>
      </c>
      <c r="B42" s="25" t="str">
        <v>NY</v>
      </c>
      <c r="C42" s="25" t="str">
        <f>Sites[[#This Row],[SOL'#]]</f>
        <v>SOL-10386</v>
      </c>
      <c r="D42" s="20">
        <f>SUM(Oct!D42, Nov!D42, Dec!D42)</f>
        <v>0</v>
      </c>
      <c r="E42" s="10">
        <f>SUM(Oct!E42, Nov!E42, Dec!E42)</f>
        <v>0</v>
      </c>
      <c r="F42" s="10">
        <f t="shared" si="3"/>
        <v>0</v>
      </c>
      <c r="G42" s="11" t="str">
        <f t="shared" si="4"/>
        <v/>
      </c>
      <c r="H42" s="12">
        <f>SUM(Oct!H42,Nov!H42,Dec!H42)</f>
        <v>0</v>
      </c>
      <c r="I42" s="12">
        <f>SUM(Oct!I42, Nov!I42, Dec!I42)</f>
        <v>0</v>
      </c>
      <c r="J42" s="13" t="str">
        <f t="shared" si="5"/>
        <v/>
      </c>
    </row>
    <row r="43" spans="1:10" ht="15.6">
      <c r="A43" s="26" t="str">
        <v>M188</v>
      </c>
      <c r="B43" s="27" t="str">
        <v>NY</v>
      </c>
      <c r="C43" s="27" t="str">
        <f>Sites[[#This Row],[SOL'#]]</f>
        <v>SOL-10387</v>
      </c>
      <c r="D43" s="9">
        <f>SUM(Oct!D43, Nov!D43, Dec!D43)</f>
        <v>0</v>
      </c>
      <c r="E43" s="14">
        <f>SUM(Oct!E43, Nov!E43, Dec!E43)</f>
        <v>0</v>
      </c>
      <c r="F43" s="14">
        <f t="shared" si="3"/>
        <v>0</v>
      </c>
      <c r="G43" s="15" t="str">
        <f t="shared" si="4"/>
        <v/>
      </c>
      <c r="H43" s="16">
        <f>SUM(Oct!H43,Nov!H43,Dec!H43)</f>
        <v>0</v>
      </c>
      <c r="I43" s="16">
        <f>SUM(Oct!I43, Nov!I43, Dec!I43)</f>
        <v>0</v>
      </c>
      <c r="J43" s="15" t="str">
        <f t="shared" si="5"/>
        <v/>
      </c>
    </row>
    <row r="44" spans="1:10" ht="15.6">
      <c r="A44" s="24" t="str">
        <v>EMHC</v>
      </c>
      <c r="B44" s="25" t="str">
        <v>NY</v>
      </c>
      <c r="C44" s="25" t="str">
        <f>Sites[[#This Row],[SOL'#]]</f>
        <v>SOL-10351</v>
      </c>
      <c r="D44" s="20">
        <f>SUM(Oct!D44, Nov!D44, Dec!D44)</f>
        <v>0</v>
      </c>
      <c r="E44" s="10">
        <f>SUM(Oct!E44, Nov!E44, Dec!E44)</f>
        <v>0</v>
      </c>
      <c r="F44" s="10">
        <f t="shared" si="3"/>
        <v>0</v>
      </c>
      <c r="G44" s="11" t="str">
        <f t="shared" si="4"/>
        <v/>
      </c>
      <c r="H44" s="12">
        <f>SUM(Oct!H44,Nov!H44,Dec!H44)</f>
        <v>0</v>
      </c>
      <c r="I44" s="12">
        <f>SUM(Oct!I44, Nov!I44, Dec!I44)</f>
        <v>0</v>
      </c>
      <c r="J44" s="13" t="str">
        <f t="shared" si="5"/>
        <v/>
      </c>
    </row>
    <row r="45" spans="1:10" ht="15.6">
      <c r="A45" s="26" t="str">
        <v>Q008</v>
      </c>
      <c r="B45" s="27" t="str">
        <v>NY</v>
      </c>
      <c r="C45" s="27" t="str">
        <f>Sites[[#This Row],[SOL'#]]</f>
        <v>SOL-10397</v>
      </c>
      <c r="D45" s="9">
        <f>SUM(Oct!D45, Nov!D45, Dec!D45)</f>
        <v>0</v>
      </c>
      <c r="E45" s="14">
        <f>SUM(Oct!E45, Nov!E45, Dec!E45)</f>
        <v>0</v>
      </c>
      <c r="F45" s="14">
        <f t="shared" si="3"/>
        <v>0</v>
      </c>
      <c r="G45" s="15" t="str">
        <f t="shared" si="4"/>
        <v/>
      </c>
      <c r="H45" s="16">
        <f>SUM(Oct!H45,Nov!H45,Dec!H45)</f>
        <v>0</v>
      </c>
      <c r="I45" s="16">
        <f>SUM(Oct!I45, Nov!I45, Dec!I45)</f>
        <v>0</v>
      </c>
      <c r="J45" s="15" t="str">
        <f t="shared" si="5"/>
        <v/>
      </c>
    </row>
    <row r="46" spans="1:10" ht="15.6">
      <c r="A46" s="24" t="str">
        <v>Q018</v>
      </c>
      <c r="B46" s="25" t="str">
        <v>NY</v>
      </c>
      <c r="C46" s="25" t="str">
        <f>Sites[[#This Row],[SOL'#]]</f>
        <v>SOL-10398</v>
      </c>
      <c r="D46" s="20">
        <f>SUM(Oct!D46, Nov!D46, Dec!D46)</f>
        <v>0</v>
      </c>
      <c r="E46" s="10">
        <f>SUM(Oct!E46, Nov!E46, Dec!E46)</f>
        <v>0</v>
      </c>
      <c r="F46" s="10">
        <f t="shared" si="3"/>
        <v>0</v>
      </c>
      <c r="G46" s="11" t="str">
        <f t="shared" si="4"/>
        <v/>
      </c>
      <c r="H46" s="12">
        <f>SUM(Oct!H46,Nov!H46,Dec!H46)</f>
        <v>0</v>
      </c>
      <c r="I46" s="12">
        <f>SUM(Oct!I46, Nov!I46, Dec!I46)</f>
        <v>0</v>
      </c>
      <c r="J46" s="13" t="str">
        <f t="shared" si="5"/>
        <v/>
      </c>
    </row>
    <row r="47" spans="1:10" ht="15.6">
      <c r="A47" s="26" t="str">
        <v>Q021</v>
      </c>
      <c r="B47" s="27" t="str">
        <v>NY</v>
      </c>
      <c r="C47" s="27" t="str">
        <f>Sites[[#This Row],[SOL'#]]</f>
        <v>SOL-10399</v>
      </c>
      <c r="D47" s="9">
        <f>SUM(Oct!D47, Nov!D47, Dec!D47)</f>
        <v>0</v>
      </c>
      <c r="E47" s="14">
        <f>SUM(Oct!E47, Nov!E47, Dec!E47)</f>
        <v>0</v>
      </c>
      <c r="F47" s="14">
        <f t="shared" si="3"/>
        <v>0</v>
      </c>
      <c r="G47" s="15" t="str">
        <f t="shared" si="4"/>
        <v/>
      </c>
      <c r="H47" s="16">
        <f>SUM(Oct!H47,Nov!H47,Dec!H47)</f>
        <v>0</v>
      </c>
      <c r="I47" s="16">
        <f>SUM(Oct!I47, Nov!I47, Dec!I47)</f>
        <v>0</v>
      </c>
      <c r="J47" s="15" t="str">
        <f t="shared" si="5"/>
        <v/>
      </c>
    </row>
    <row r="48" spans="1:10" ht="15.6">
      <c r="A48" s="24" t="str">
        <v>Q025</v>
      </c>
      <c r="B48" s="25" t="str">
        <v>NY</v>
      </c>
      <c r="C48" s="25" t="str">
        <f>Sites[[#This Row],[SOL'#]]</f>
        <v>SOL-10400</v>
      </c>
      <c r="D48" s="20">
        <f>SUM(Oct!D48, Nov!D48, Dec!D48)</f>
        <v>0</v>
      </c>
      <c r="E48" s="10">
        <f>SUM(Oct!E48, Nov!E48, Dec!E48)</f>
        <v>0</v>
      </c>
      <c r="F48" s="10">
        <f t="shared" si="3"/>
        <v>0</v>
      </c>
      <c r="G48" s="11" t="str">
        <f t="shared" si="4"/>
        <v/>
      </c>
      <c r="H48" s="12">
        <f>SUM(Oct!H48,Nov!H48,Dec!H48)</f>
        <v>0</v>
      </c>
      <c r="I48" s="12">
        <f>SUM(Oct!I48, Nov!I48, Dec!I48)</f>
        <v>0</v>
      </c>
      <c r="J48" s="13" t="str">
        <f t="shared" si="5"/>
        <v/>
      </c>
    </row>
    <row r="49" spans="1:10" ht="15.6">
      <c r="A49" s="26" t="str">
        <v>Q074</v>
      </c>
      <c r="B49" s="27" t="str">
        <v>NY</v>
      </c>
      <c r="C49" s="27" t="str">
        <f>Sites[[#This Row],[SOL'#]]</f>
        <v>SOL-10402</v>
      </c>
      <c r="D49" s="9">
        <f>SUM(Oct!D49, Nov!D49, Dec!D49)</f>
        <v>0</v>
      </c>
      <c r="E49" s="14">
        <f>SUM(Oct!E49, Nov!E49, Dec!E49)</f>
        <v>0</v>
      </c>
      <c r="F49" s="14">
        <f t="shared" si="3"/>
        <v>0</v>
      </c>
      <c r="G49" s="15" t="str">
        <f t="shared" si="4"/>
        <v/>
      </c>
      <c r="H49" s="16">
        <f>SUM(Oct!H49,Nov!H49,Dec!H49)</f>
        <v>0</v>
      </c>
      <c r="I49" s="16">
        <f>SUM(Oct!I49, Nov!I49, Dec!I49)</f>
        <v>0</v>
      </c>
      <c r="J49" s="15" t="str">
        <f t="shared" si="5"/>
        <v/>
      </c>
    </row>
    <row r="50" spans="1:10" ht="15.6">
      <c r="A50" s="24" t="str">
        <v>Q115</v>
      </c>
      <c r="B50" s="25" t="str">
        <v>NY</v>
      </c>
      <c r="C50" s="25" t="str">
        <f>Sites[[#This Row],[SOL'#]]</f>
        <v>SOL-10872</v>
      </c>
      <c r="D50" s="20">
        <f>SUM(Oct!D50, Nov!D50, Dec!D50)</f>
        <v>0</v>
      </c>
      <c r="E50" s="10">
        <f>SUM(Oct!E50, Nov!E50, Dec!E50)</f>
        <v>0</v>
      </c>
      <c r="F50" s="10">
        <f t="shared" si="3"/>
        <v>0</v>
      </c>
      <c r="G50" s="11" t="str">
        <f t="shared" si="4"/>
        <v/>
      </c>
      <c r="H50" s="12">
        <f>SUM(Oct!H50,Nov!H50,Dec!H50)</f>
        <v>0</v>
      </c>
      <c r="I50" s="12">
        <f>SUM(Oct!I50, Nov!I50, Dec!I50)</f>
        <v>0</v>
      </c>
      <c r="J50" s="13" t="str">
        <f t="shared" si="5"/>
        <v/>
      </c>
    </row>
    <row r="51" spans="1:10" ht="15.6">
      <c r="A51" s="26" t="str">
        <v>Q139</v>
      </c>
      <c r="B51" s="27" t="str">
        <v>NY</v>
      </c>
      <c r="C51" s="27" t="str">
        <f>Sites[[#This Row],[SOL'#]]</f>
        <v>SOL-10403</v>
      </c>
      <c r="D51" s="9">
        <f>SUM(Oct!D51, Nov!D51, Dec!D51)</f>
        <v>0</v>
      </c>
      <c r="E51" s="14">
        <f>SUM(Oct!E51, Nov!E51, Dec!E51)</f>
        <v>0</v>
      </c>
      <c r="F51" s="14">
        <f t="shared" si="3"/>
        <v>0</v>
      </c>
      <c r="G51" s="15" t="str">
        <f t="shared" si="4"/>
        <v/>
      </c>
      <c r="H51" s="16">
        <f>SUM(Oct!H51,Nov!H51,Dec!H51)</f>
        <v>0</v>
      </c>
      <c r="I51" s="16">
        <f>SUM(Oct!I51, Nov!I51, Dec!I51)</f>
        <v>0</v>
      </c>
      <c r="J51" s="15" t="str">
        <f t="shared" si="5"/>
        <v/>
      </c>
    </row>
    <row r="52" spans="1:10" ht="15.6">
      <c r="A52" s="24" t="str">
        <v>Q157</v>
      </c>
      <c r="B52" s="25" t="str">
        <v>NY</v>
      </c>
      <c r="C52" s="25" t="str">
        <f>Sites[[#This Row],[SOL'#]]</f>
        <v>SOL-10404</v>
      </c>
      <c r="D52" s="20">
        <f>SUM(Oct!D52, Nov!D52, Dec!D52)</f>
        <v>0</v>
      </c>
      <c r="E52" s="10">
        <f>SUM(Oct!E52, Nov!E52, Dec!E52)</f>
        <v>0</v>
      </c>
      <c r="F52" s="10">
        <f t="shared" si="3"/>
        <v>0</v>
      </c>
      <c r="G52" s="11" t="str">
        <f t="shared" si="4"/>
        <v/>
      </c>
      <c r="H52" s="12">
        <f>SUM(Oct!H52,Nov!H52,Dec!H52)</f>
        <v>0</v>
      </c>
      <c r="I52" s="12">
        <f>SUM(Oct!I52, Nov!I52, Dec!I52)</f>
        <v>0</v>
      </c>
      <c r="J52" s="13" t="str">
        <f t="shared" si="5"/>
        <v/>
      </c>
    </row>
    <row r="53" spans="1:10" ht="15.6">
      <c r="A53" s="26" t="str">
        <v>Q192</v>
      </c>
      <c r="B53" s="27" t="str">
        <v>NY</v>
      </c>
      <c r="C53" s="27" t="str">
        <f>Sites[[#This Row],[SOL'#]]</f>
        <v>SOL-10406</v>
      </c>
      <c r="D53" s="9">
        <f>SUM(Oct!D53, Nov!D53, Dec!D53)</f>
        <v>0</v>
      </c>
      <c r="E53" s="14">
        <f>SUM(Oct!E53, Nov!E53, Dec!E53)</f>
        <v>0</v>
      </c>
      <c r="F53" s="14">
        <f t="shared" si="3"/>
        <v>0</v>
      </c>
      <c r="G53" s="15" t="str">
        <f t="shared" si="4"/>
        <v/>
      </c>
      <c r="H53" s="16">
        <f>SUM(Oct!H53,Nov!H53,Dec!H53)</f>
        <v>0</v>
      </c>
      <c r="I53" s="16">
        <f>SUM(Oct!I53, Nov!I53, Dec!I53)</f>
        <v>0</v>
      </c>
      <c r="J53" s="15" t="str">
        <f t="shared" si="5"/>
        <v/>
      </c>
    </row>
    <row r="54" spans="1:10" ht="15.6">
      <c r="A54" s="24" t="str">
        <v>Q210</v>
      </c>
      <c r="B54" s="25" t="str">
        <v>NY</v>
      </c>
      <c r="C54" s="25" t="str">
        <f>Sites[[#This Row],[SOL'#]]</f>
        <v>SOL-10407</v>
      </c>
      <c r="D54" s="20">
        <f>SUM(Oct!D54, Nov!D54, Dec!D54)</f>
        <v>0</v>
      </c>
      <c r="E54" s="10">
        <f>SUM(Oct!E54, Nov!E54, Dec!E54)</f>
        <v>0</v>
      </c>
      <c r="F54" s="10">
        <f t="shared" si="3"/>
        <v>0</v>
      </c>
      <c r="G54" s="11" t="str">
        <f t="shared" si="4"/>
        <v/>
      </c>
      <c r="H54" s="12">
        <f>SUM(Oct!H54,Nov!H54,Dec!H54)</f>
        <v>0</v>
      </c>
      <c r="I54" s="12">
        <f>SUM(Oct!I54, Nov!I54, Dec!I54)</f>
        <v>0</v>
      </c>
      <c r="J54" s="13" t="str">
        <f t="shared" si="5"/>
        <v/>
      </c>
    </row>
    <row r="55" spans="1:10" ht="15.6">
      <c r="A55" s="26" t="str">
        <v>Q229</v>
      </c>
      <c r="B55" s="27" t="str">
        <v>NY</v>
      </c>
      <c r="C55" s="27" t="str">
        <f>Sites[[#This Row],[SOL'#]]</f>
        <v>SOL-10408</v>
      </c>
      <c r="D55" s="9">
        <f>SUM(Oct!D55, Nov!D55, Dec!D55)</f>
        <v>0</v>
      </c>
      <c r="E55" s="14">
        <f>SUM(Oct!E55, Nov!E55, Dec!E55)</f>
        <v>0</v>
      </c>
      <c r="F55" s="14">
        <f t="shared" si="3"/>
        <v>0</v>
      </c>
      <c r="G55" s="15" t="str">
        <f t="shared" si="4"/>
        <v/>
      </c>
      <c r="H55" s="16">
        <f>SUM(Oct!H55,Nov!H55,Dec!H55)</f>
        <v>0</v>
      </c>
      <c r="I55" s="16">
        <f>SUM(Oct!I55, Nov!I55, Dec!I55)</f>
        <v>0</v>
      </c>
      <c r="J55" s="15" t="str">
        <f t="shared" si="5"/>
        <v/>
      </c>
    </row>
    <row r="56" spans="1:10" ht="15.6">
      <c r="A56" s="24" t="str">
        <v>Q231</v>
      </c>
      <c r="B56" s="25" t="str">
        <v>NY</v>
      </c>
      <c r="C56" s="25" t="str">
        <f>Sites[[#This Row],[SOL'#]]</f>
        <v>SOL-10870</v>
      </c>
      <c r="D56" s="20">
        <f>SUM(Oct!D56, Nov!D56, Dec!D56)</f>
        <v>0</v>
      </c>
      <c r="E56" s="10">
        <f>SUM(Oct!E56, Nov!E56, Dec!E56)</f>
        <v>0</v>
      </c>
      <c r="F56" s="10">
        <f t="shared" si="3"/>
        <v>0</v>
      </c>
      <c r="G56" s="11" t="str">
        <f t="shared" si="4"/>
        <v/>
      </c>
      <c r="H56" s="12">
        <f>SUM(Oct!H56,Nov!H56,Dec!H56)</f>
        <v>0</v>
      </c>
      <c r="I56" s="12">
        <f>SUM(Oct!I56, Nov!I56, Dec!I56)</f>
        <v>0</v>
      </c>
      <c r="J56" s="13" t="str">
        <f t="shared" si="5"/>
        <v/>
      </c>
    </row>
    <row r="57" spans="1:10" ht="15.6">
      <c r="A57" s="26" t="str">
        <v>Q405</v>
      </c>
      <c r="B57" s="27" t="str">
        <v>NY</v>
      </c>
      <c r="C57" s="27" t="str">
        <f>Sites[[#This Row],[SOL'#]]</f>
        <v>SOL-10409</v>
      </c>
      <c r="D57" s="9">
        <f>SUM(Oct!D57, Nov!D57, Dec!D57)</f>
        <v>0</v>
      </c>
      <c r="E57" s="14">
        <f>SUM(Oct!E57, Nov!E57, Dec!E57)</f>
        <v>0</v>
      </c>
      <c r="F57" s="14">
        <f t="shared" si="3"/>
        <v>0</v>
      </c>
      <c r="G57" s="15" t="str">
        <f t="shared" si="4"/>
        <v/>
      </c>
      <c r="H57" s="16">
        <f>SUM(Oct!H57,Nov!H57,Dec!H57)</f>
        <v>0</v>
      </c>
      <c r="I57" s="16">
        <f>SUM(Oct!I57, Nov!I57, Dec!I57)</f>
        <v>0</v>
      </c>
      <c r="J57" s="15" t="str">
        <f t="shared" si="5"/>
        <v/>
      </c>
    </row>
    <row r="58" spans="1:10" ht="15.6">
      <c r="A58" s="24" t="str">
        <v>Q435</v>
      </c>
      <c r="B58" s="25" t="str">
        <v>NY</v>
      </c>
      <c r="C58" s="25" t="str">
        <f>Sites[[#This Row],[SOL'#]]</f>
        <v>SOL-10923</v>
      </c>
      <c r="D58" s="20">
        <f>SUM(Oct!D58, Nov!D58, Dec!D58)</f>
        <v>0</v>
      </c>
      <c r="E58" s="10">
        <f>SUM(Oct!E58, Nov!E58, Dec!E58)</f>
        <v>0</v>
      </c>
      <c r="F58" s="10">
        <f t="shared" si="3"/>
        <v>0</v>
      </c>
      <c r="G58" s="11" t="str">
        <f t="shared" si="4"/>
        <v/>
      </c>
      <c r="H58" s="12">
        <f>SUM(Oct!H58,Nov!H58,Dec!H58)</f>
        <v>0</v>
      </c>
      <c r="I58" s="12">
        <f>SUM(Oct!I58, Nov!I58, Dec!I58)</f>
        <v>0</v>
      </c>
      <c r="J58" s="13" t="str">
        <f t="shared" si="5"/>
        <v/>
      </c>
    </row>
    <row r="59" spans="1:10" ht="15.6">
      <c r="A59" s="26" t="str">
        <v>Q485</v>
      </c>
      <c r="B59" s="27" t="str">
        <v>NY</v>
      </c>
      <c r="C59" s="27" t="str">
        <f>Sites[[#This Row],[SOL'#]]</f>
        <v>SOL-10869</v>
      </c>
      <c r="D59" s="9">
        <f>SUM(Oct!D59, Nov!D59, Dec!D59)</f>
        <v>0</v>
      </c>
      <c r="E59" s="14">
        <f>SUM(Oct!E59, Nov!E59, Dec!E59)</f>
        <v>0</v>
      </c>
      <c r="F59" s="14">
        <f t="shared" si="3"/>
        <v>0</v>
      </c>
      <c r="G59" s="15" t="str">
        <f t="shared" si="4"/>
        <v/>
      </c>
      <c r="H59" s="16">
        <f>SUM(Oct!H59,Nov!H59,Dec!H59)</f>
        <v>0</v>
      </c>
      <c r="I59" s="16">
        <f>SUM(Oct!I59, Nov!I59, Dec!I59)</f>
        <v>0</v>
      </c>
      <c r="J59" s="15" t="str">
        <f t="shared" si="5"/>
        <v/>
      </c>
    </row>
    <row r="60" spans="1:10" ht="15.6">
      <c r="A60" s="24" t="str">
        <v>Q490</v>
      </c>
      <c r="B60" s="25" t="str">
        <v>NY</v>
      </c>
      <c r="C60" s="25" t="str">
        <f>Sites[[#This Row],[SOL'#]]</f>
        <v>SOL-10411</v>
      </c>
      <c r="D60" s="20">
        <f>SUM(Oct!D60, Nov!D60, Dec!D60)</f>
        <v>0</v>
      </c>
      <c r="E60" s="10">
        <f>SUM(Oct!E60, Nov!E60, Dec!E60)</f>
        <v>0</v>
      </c>
      <c r="F60" s="10">
        <f t="shared" si="3"/>
        <v>0</v>
      </c>
      <c r="G60" s="11" t="str">
        <f t="shared" si="4"/>
        <v/>
      </c>
      <c r="H60" s="12">
        <f>SUM(Oct!H60,Nov!H60,Dec!H60)</f>
        <v>0</v>
      </c>
      <c r="I60" s="12">
        <f>SUM(Oct!I60, Nov!I60, Dec!I60)</f>
        <v>0</v>
      </c>
      <c r="J60" s="13" t="str">
        <f t="shared" si="5"/>
        <v/>
      </c>
    </row>
    <row r="61" spans="1:10" ht="15.6">
      <c r="A61" s="26" t="str">
        <v>Q620</v>
      </c>
      <c r="B61" s="27" t="str">
        <v>NY</v>
      </c>
      <c r="C61" s="27" t="str">
        <f>Sites[[#This Row],[SOL'#]]</f>
        <v>SOL-10867</v>
      </c>
      <c r="D61" s="9">
        <f>SUM(Oct!D61, Nov!D61, Dec!D61)</f>
        <v>0</v>
      </c>
      <c r="E61" s="14">
        <f>SUM(Oct!E61, Nov!E61, Dec!E61)</f>
        <v>0</v>
      </c>
      <c r="F61" s="14">
        <f t="shared" si="3"/>
        <v>0</v>
      </c>
      <c r="G61" s="15" t="str">
        <f t="shared" si="4"/>
        <v/>
      </c>
      <c r="H61" s="16">
        <f>SUM(Oct!H61,Nov!H61,Dec!H61)</f>
        <v>0</v>
      </c>
      <c r="I61" s="16">
        <f>SUM(Oct!I61, Nov!I61, Dec!I61)</f>
        <v>0</v>
      </c>
      <c r="J61" s="15" t="str">
        <f t="shared" si="5"/>
        <v/>
      </c>
    </row>
    <row r="62" spans="1:10" ht="15.6">
      <c r="A62" s="24" t="str">
        <v>QMOA</v>
      </c>
      <c r="B62" s="25" t="str">
        <v>NY</v>
      </c>
      <c r="C62" s="25" t="str">
        <f>Sites[[#This Row],[SOL'#]]</f>
        <v>SOL-10415</v>
      </c>
      <c r="D62" s="20">
        <f>SUM(Oct!D62, Nov!D62, Dec!D62)</f>
        <v>0</v>
      </c>
      <c r="E62" s="10">
        <f>SUM(Oct!E62, Nov!E62, Dec!E62)</f>
        <v>0</v>
      </c>
      <c r="F62" s="10">
        <f t="shared" si="3"/>
        <v>0</v>
      </c>
      <c r="G62" s="11" t="str">
        <f t="shared" si="4"/>
        <v/>
      </c>
      <c r="H62" s="12">
        <f>SUM(Oct!H62,Nov!H62,Dec!H62)</f>
        <v>0</v>
      </c>
      <c r="I62" s="12">
        <f>SUM(Oct!I62, Nov!I62, Dec!I62)</f>
        <v>0</v>
      </c>
      <c r="J62" s="13" t="str">
        <f t="shared" si="5"/>
        <v/>
      </c>
    </row>
    <row r="63" spans="1:10" ht="15.6">
      <c r="A63" s="26" t="str">
        <v>X024</v>
      </c>
      <c r="B63" s="27" t="str">
        <v>NY</v>
      </c>
      <c r="C63" s="27" t="str">
        <f>Sites[[#This Row],[SOL'#]]</f>
        <v>SOL-10419</v>
      </c>
      <c r="D63" s="9">
        <f>SUM(Oct!D63, Nov!D63, Dec!D63)</f>
        <v>0</v>
      </c>
      <c r="E63" s="14">
        <f>SUM(Oct!E63, Nov!E63, Dec!E63)</f>
        <v>0</v>
      </c>
      <c r="F63" s="14">
        <f t="shared" si="3"/>
        <v>0</v>
      </c>
      <c r="G63" s="15" t="str">
        <f t="shared" si="4"/>
        <v/>
      </c>
      <c r="H63" s="16">
        <f>SUM(Oct!H63,Nov!H63,Dec!H63)</f>
        <v>0</v>
      </c>
      <c r="I63" s="16">
        <f>SUM(Oct!I63, Nov!I63, Dec!I63)</f>
        <v>0</v>
      </c>
      <c r="J63" s="15" t="str">
        <f t="shared" si="5"/>
        <v/>
      </c>
    </row>
    <row r="64" spans="1:10" ht="15.6">
      <c r="A64" s="24" t="str">
        <v>X026</v>
      </c>
      <c r="B64" s="25" t="str">
        <v>NY</v>
      </c>
      <c r="C64" s="25" t="str">
        <f>Sites[[#This Row],[SOL'#]]</f>
        <v>SOL-10420</v>
      </c>
      <c r="D64" s="20">
        <f>SUM(Oct!D64, Nov!D64, Dec!D64)</f>
        <v>0</v>
      </c>
      <c r="E64" s="10">
        <f>SUM(Oct!E64, Nov!E64, Dec!E64)</f>
        <v>0</v>
      </c>
      <c r="F64" s="10">
        <f t="shared" si="3"/>
        <v>0</v>
      </c>
      <c r="G64" s="11" t="str">
        <f t="shared" si="4"/>
        <v/>
      </c>
      <c r="H64" s="12">
        <f>SUM(Oct!H64,Nov!H64,Dec!H64)</f>
        <v>0</v>
      </c>
      <c r="I64" s="12">
        <f>SUM(Oct!I64, Nov!I64, Dec!I64)</f>
        <v>0</v>
      </c>
      <c r="J64" s="13" t="str">
        <f t="shared" si="5"/>
        <v/>
      </c>
    </row>
    <row r="65" spans="1:10" ht="15.6">
      <c r="A65" s="26" t="str">
        <v>X090</v>
      </c>
      <c r="B65" s="27" t="str">
        <v>NY</v>
      </c>
      <c r="C65" s="27" t="str">
        <f>Sites[[#This Row],[SOL'#]]</f>
        <v>SOL-10925</v>
      </c>
      <c r="D65" s="9">
        <f>SUM(Oct!D65, Nov!D65, Dec!D65)</f>
        <v>0</v>
      </c>
      <c r="E65" s="14">
        <f>SUM(Oct!E65, Nov!E65, Dec!E65)</f>
        <v>0</v>
      </c>
      <c r="F65" s="14">
        <f t="shared" si="3"/>
        <v>0</v>
      </c>
      <c r="G65" s="15" t="str">
        <f t="shared" si="4"/>
        <v/>
      </c>
      <c r="H65" s="16">
        <f>SUM(Oct!H65,Nov!H65,Dec!H65)</f>
        <v>0</v>
      </c>
      <c r="I65" s="16">
        <f>SUM(Oct!I65, Nov!I65, Dec!I65)</f>
        <v>0</v>
      </c>
      <c r="J65" s="15" t="str">
        <f t="shared" si="5"/>
        <v/>
      </c>
    </row>
    <row r="66" spans="1:10" ht="15.6">
      <c r="A66" s="24" t="str">
        <v>X117</v>
      </c>
      <c r="B66" s="25" t="str">
        <v>NY</v>
      </c>
      <c r="C66" s="25" t="str">
        <f>Sites[[#This Row],[SOL'#]]</f>
        <v>SOL-10422</v>
      </c>
      <c r="D66" s="20">
        <f>SUM(Oct!D66, Nov!D66, Dec!D66)</f>
        <v>0</v>
      </c>
      <c r="E66" s="10">
        <f>SUM(Oct!E66, Nov!E66, Dec!E66)</f>
        <v>0</v>
      </c>
      <c r="F66" s="10">
        <f t="shared" si="3"/>
        <v>0</v>
      </c>
      <c r="G66" s="11" t="str">
        <f t="shared" si="4"/>
        <v/>
      </c>
      <c r="H66" s="12">
        <f>SUM(Oct!H66,Nov!H66,Dec!H66)</f>
        <v>0</v>
      </c>
      <c r="I66" s="12">
        <f>SUM(Oct!I66, Nov!I66, Dec!I66)</f>
        <v>0</v>
      </c>
      <c r="J66" s="13" t="str">
        <f t="shared" si="5"/>
        <v/>
      </c>
    </row>
    <row r="67" spans="1:10" ht="15.6">
      <c r="A67" s="26" t="str">
        <v>X125</v>
      </c>
      <c r="B67" s="27" t="str">
        <v>NY</v>
      </c>
      <c r="C67" s="27" t="str">
        <f>Sites[[#This Row],[SOL'#]]</f>
        <v>SOL-10423</v>
      </c>
      <c r="D67" s="9">
        <f>SUM(Oct!D67, Nov!D67, Dec!D67)</f>
        <v>0</v>
      </c>
      <c r="E67" s="14">
        <f>SUM(Oct!E67, Nov!E67, Dec!E67)</f>
        <v>0</v>
      </c>
      <c r="F67" s="14">
        <f t="shared" si="3"/>
        <v>0</v>
      </c>
      <c r="G67" s="15" t="str">
        <f t="shared" si="4"/>
        <v/>
      </c>
      <c r="H67" s="16">
        <f>SUM(Oct!H67,Nov!H67,Dec!H67)</f>
        <v>0</v>
      </c>
      <c r="I67" s="16">
        <f>SUM(Oct!I67, Nov!I67, Dec!I67)</f>
        <v>0</v>
      </c>
      <c r="J67" s="15" t="str">
        <f t="shared" si="5"/>
        <v/>
      </c>
    </row>
    <row r="68" spans="1:10" ht="15.6">
      <c r="A68" s="24" t="str">
        <v>X134</v>
      </c>
      <c r="B68" s="25" t="str">
        <v>NY</v>
      </c>
      <c r="C68" s="25" t="str">
        <f>Sites[[#This Row],[SOL'#]]</f>
        <v>SOL-10424</v>
      </c>
      <c r="D68" s="20">
        <f>SUM(Oct!D68, Nov!D68, Dec!D68)</f>
        <v>0</v>
      </c>
      <c r="E68" s="10">
        <f>SUM(Oct!E68, Nov!E68, Dec!E68)</f>
        <v>0</v>
      </c>
      <c r="F68" s="10">
        <f t="shared" si="3"/>
        <v>0</v>
      </c>
      <c r="G68" s="11" t="str">
        <f t="shared" si="4"/>
        <v/>
      </c>
      <c r="H68" s="12">
        <f>SUM(Oct!H68,Nov!H68,Dec!H68)</f>
        <v>0</v>
      </c>
      <c r="I68" s="12">
        <f>SUM(Oct!I68, Nov!I68, Dec!I68)</f>
        <v>0</v>
      </c>
      <c r="J68" s="13" t="str">
        <f t="shared" si="5"/>
        <v/>
      </c>
    </row>
    <row r="69" spans="1:10" ht="15.6">
      <c r="A69" s="26" t="str">
        <v>X135</v>
      </c>
      <c r="B69" s="27" t="str">
        <v>NY</v>
      </c>
      <c r="C69" s="27" t="str">
        <f>Sites[[#This Row],[SOL'#]]</f>
        <v>SOL-10425</v>
      </c>
      <c r="D69" s="9">
        <f>SUM(Oct!D69, Nov!D69, Dec!D69)</f>
        <v>0</v>
      </c>
      <c r="E69" s="14">
        <f>SUM(Oct!E69, Nov!E69, Dec!E69)</f>
        <v>0</v>
      </c>
      <c r="F69" s="14">
        <f t="shared" si="3"/>
        <v>0</v>
      </c>
      <c r="G69" s="15" t="str">
        <f t="shared" si="4"/>
        <v/>
      </c>
      <c r="H69" s="16">
        <f>SUM(Oct!H69,Nov!H69,Dec!H69)</f>
        <v>0</v>
      </c>
      <c r="I69" s="16">
        <f>SUM(Oct!I69, Nov!I69, Dec!I69)</f>
        <v>0</v>
      </c>
      <c r="J69" s="15" t="str">
        <f t="shared" si="5"/>
        <v/>
      </c>
    </row>
    <row r="70" spans="1:10" ht="15.6">
      <c r="A70" s="24" t="str">
        <v>X139 JHS 222</v>
      </c>
      <c r="B70" s="25" t="str">
        <v>NY</v>
      </c>
      <c r="C70" s="25" t="str">
        <f>Sites[[#This Row],[SOL'#]]</f>
        <v>SOL-10426</v>
      </c>
      <c r="D70" s="20">
        <f>SUM(Oct!D70, Nov!D70, Dec!D70)</f>
        <v>0</v>
      </c>
      <c r="E70" s="10">
        <f>SUM(Oct!E70, Nov!E70, Dec!E70)</f>
        <v>0</v>
      </c>
      <c r="F70" s="10">
        <f t="shared" si="3"/>
        <v>0</v>
      </c>
      <c r="G70" s="11" t="str">
        <f t="shared" si="4"/>
        <v/>
      </c>
      <c r="H70" s="12">
        <f>SUM(Oct!H70,Nov!H70,Dec!H70)</f>
        <v>0</v>
      </c>
      <c r="I70" s="12">
        <f>SUM(Oct!I70, Nov!I70, Dec!I70)</f>
        <v>0</v>
      </c>
      <c r="J70" s="13" t="str">
        <f t="shared" si="5"/>
        <v/>
      </c>
    </row>
    <row r="71" spans="1:10" ht="15.6">
      <c r="A71" s="26" t="str">
        <v>X140</v>
      </c>
      <c r="B71" s="27" t="str">
        <v>NY</v>
      </c>
      <c r="C71" s="27" t="str">
        <f>Sites[[#This Row],[SOL'#]]</f>
        <v>SOL-10926</v>
      </c>
      <c r="D71" s="9">
        <f>SUM(Oct!D71, Nov!D71, Dec!D71)</f>
        <v>0</v>
      </c>
      <c r="E71" s="14">
        <f>SUM(Oct!E71, Nov!E71, Dec!E71)</f>
        <v>0</v>
      </c>
      <c r="F71" s="14">
        <f t="shared" si="3"/>
        <v>0</v>
      </c>
      <c r="G71" s="15" t="str">
        <f t="shared" si="4"/>
        <v/>
      </c>
      <c r="H71" s="16">
        <f>SUM(Oct!H71,Nov!H71,Dec!H71)</f>
        <v>0</v>
      </c>
      <c r="I71" s="16">
        <f>SUM(Oct!I71, Nov!I71, Dec!I71)</f>
        <v>0</v>
      </c>
      <c r="J71" s="15" t="str">
        <f t="shared" si="5"/>
        <v/>
      </c>
    </row>
    <row r="72" spans="1:10" ht="15.6">
      <c r="A72" s="24" t="str">
        <v>X166</v>
      </c>
      <c r="B72" s="25" t="str">
        <v>NY</v>
      </c>
      <c r="C72" s="25" t="str">
        <f>Sites[[#This Row],[SOL'#]]</f>
        <v>SOL-10427</v>
      </c>
      <c r="D72" s="20">
        <f>SUM(Oct!D72, Nov!D72, Dec!D72)</f>
        <v>0</v>
      </c>
      <c r="E72" s="10">
        <f>SUM(Oct!E72, Nov!E72, Dec!E72)</f>
        <v>0</v>
      </c>
      <c r="F72" s="10">
        <f t="shared" si="3"/>
        <v>0</v>
      </c>
      <c r="G72" s="11" t="str">
        <f t="shared" si="4"/>
        <v/>
      </c>
      <c r="H72" s="12">
        <f>SUM(Oct!H72,Nov!H72,Dec!H72)</f>
        <v>0</v>
      </c>
      <c r="I72" s="12">
        <f>SUM(Oct!I72, Nov!I72, Dec!I72)</f>
        <v>0</v>
      </c>
      <c r="J72" s="13" t="str">
        <f t="shared" si="5"/>
        <v/>
      </c>
    </row>
    <row r="73" spans="1:10" ht="15.6">
      <c r="A73" s="26" t="str">
        <v>Murphy</v>
      </c>
      <c r="B73" s="27" t="str">
        <v>MN</v>
      </c>
      <c r="C73" s="27" t="str">
        <f>Sites[[#This Row],[SOL'#]]</f>
        <v>SOL-10094</v>
      </c>
      <c r="D73" s="9">
        <f>SUM(Oct!D73, Nov!D73, Dec!D73)</f>
        <v>0</v>
      </c>
      <c r="E73" s="14">
        <f>SUM(Oct!E73, Nov!E73, Dec!E73)</f>
        <v>0</v>
      </c>
      <c r="F73" s="14">
        <f t="shared" si="3"/>
        <v>0</v>
      </c>
      <c r="G73" s="15" t="str">
        <f t="shared" si="4"/>
        <v/>
      </c>
      <c r="H73" s="16">
        <f>SUM(Oct!H73,Nov!H73,Dec!H73)</f>
        <v>0</v>
      </c>
      <c r="I73" s="16">
        <f>SUM(Oct!I73, Nov!I73, Dec!I73)</f>
        <v>0</v>
      </c>
      <c r="J73" s="15" t="str">
        <f t="shared" si="5"/>
        <v/>
      </c>
    </row>
    <row r="74" spans="1:10" ht="15.6">
      <c r="A74" s="24" t="str">
        <v>Terning</v>
      </c>
      <c r="B74" s="25" t="str">
        <v>MN</v>
      </c>
      <c r="C74" s="25" t="str">
        <f>Sites[[#This Row],[SOL'#]]</f>
        <v>SOL-10093</v>
      </c>
      <c r="D74" s="20">
        <f>SUM(Oct!D74, Nov!D74, Dec!D74)</f>
        <v>0</v>
      </c>
      <c r="E74" s="10">
        <f>SUM(Oct!E74, Nov!E74, Dec!E74)</f>
        <v>0</v>
      </c>
      <c r="F74" s="10">
        <f t="shared" si="3"/>
        <v>0</v>
      </c>
      <c r="G74" s="11" t="str">
        <f t="shared" si="4"/>
        <v/>
      </c>
      <c r="H74" s="12">
        <f>SUM(Oct!H74,Nov!H74,Dec!H74)</f>
        <v>0</v>
      </c>
      <c r="I74" s="12">
        <f>SUM(Oct!I74, Nov!I74, Dec!I74)</f>
        <v>0</v>
      </c>
      <c r="J74" s="13" t="str">
        <f t="shared" si="5"/>
        <v/>
      </c>
    </row>
    <row r="75" spans="1:10" ht="15.6">
      <c r="A75" s="26" t="str">
        <v>Boas Road 04</v>
      </c>
      <c r="B75" s="27" t="str">
        <v>NY</v>
      </c>
      <c r="C75" s="27" t="str">
        <f>Sites[[#This Row],[SOL'#]]</f>
        <v>SOL-10908</v>
      </c>
      <c r="D75" s="9">
        <f>SUM(Oct!D75, Nov!D75, Dec!D75)</f>
        <v>0</v>
      </c>
      <c r="E75" s="14">
        <f>SUM(Oct!E75, Nov!E75, Dec!E75)</f>
        <v>0</v>
      </c>
      <c r="F75" s="14">
        <f t="shared" si="3"/>
        <v>0</v>
      </c>
      <c r="G75" s="15" t="str">
        <f t="shared" si="4"/>
        <v/>
      </c>
      <c r="H75" s="16">
        <f>SUM(Oct!H75,Nov!H75,Dec!H75)</f>
        <v>0</v>
      </c>
      <c r="I75" s="16">
        <f>SUM(Oct!I75, Nov!I75, Dec!I75)</f>
        <v>0</v>
      </c>
      <c r="J75" s="15" t="str">
        <f t="shared" si="5"/>
        <v/>
      </c>
    </row>
    <row r="76" spans="1:10" ht="15.6">
      <c r="A76" s="24" t="str">
        <v>Kelly Bridge Farm</v>
      </c>
      <c r="B76" s="25" t="str">
        <v>NY</v>
      </c>
      <c r="C76" s="25" t="str">
        <f>Sites[[#This Row],[SOL'#]]</f>
        <v>SOL-10911</v>
      </c>
      <c r="D76" s="20">
        <f>SUM(Oct!D76, Nov!D76, Dec!D76)</f>
        <v>0</v>
      </c>
      <c r="E76" s="10">
        <f>SUM(Oct!E76, Nov!E76, Dec!E76)</f>
        <v>0</v>
      </c>
      <c r="F76" s="10">
        <f t="shared" si="3"/>
        <v>0</v>
      </c>
      <c r="G76" s="11" t="str">
        <f t="shared" si="4"/>
        <v/>
      </c>
      <c r="H76" s="12">
        <f>SUM(Oct!H76,Nov!H76,Dec!H76)</f>
        <v>0</v>
      </c>
      <c r="I76" s="12">
        <f>SUM(Oct!I76, Nov!I76, Dec!I76)</f>
        <v>0</v>
      </c>
      <c r="J76" s="13" t="str">
        <f t="shared" si="5"/>
        <v/>
      </c>
    </row>
    <row r="77" spans="1:10" ht="15.6">
      <c r="A77" s="26" t="str">
        <v>Pool Brook Road</v>
      </c>
      <c r="B77" s="27" t="str">
        <v>NY</v>
      </c>
      <c r="C77" s="27" t="str">
        <f>Sites[[#This Row],[SOL'#]]</f>
        <v>SOL-10909</v>
      </c>
      <c r="D77" s="9">
        <f>SUM(Oct!D77, Nov!D77, Dec!D77)</f>
        <v>0</v>
      </c>
      <c r="E77" s="14">
        <f>SUM(Oct!E77, Nov!E77, Dec!E77)</f>
        <v>0</v>
      </c>
      <c r="F77" s="14">
        <f t="shared" si="3"/>
        <v>0</v>
      </c>
      <c r="G77" s="15" t="str">
        <f t="shared" si="4"/>
        <v/>
      </c>
      <c r="H77" s="16">
        <f>SUM(Oct!H77,Nov!H77,Dec!H77)</f>
        <v>0</v>
      </c>
      <c r="I77" s="16">
        <f>SUM(Oct!I77, Nov!I77, Dec!I77)</f>
        <v>0</v>
      </c>
      <c r="J77" s="15" t="str">
        <f t="shared" si="5"/>
        <v/>
      </c>
    </row>
    <row r="78" spans="1:10" ht="15.6">
      <c r="A78" s="24" t="str">
        <v>Sackett Lake</v>
      </c>
      <c r="B78" s="25" t="str">
        <v>NY</v>
      </c>
      <c r="C78" s="25" t="str">
        <f>Sites[[#This Row],[SOL'#]]</f>
        <v>SOL-10910</v>
      </c>
      <c r="D78" s="20">
        <f>SUM(Oct!D78, Nov!D78, Dec!D78)</f>
        <v>0</v>
      </c>
      <c r="E78" s="10">
        <f>SUM(Oct!E78, Nov!E78, Dec!E78)</f>
        <v>0</v>
      </c>
      <c r="F78" s="10">
        <f t="shared" si="3"/>
        <v>0</v>
      </c>
      <c r="G78" s="11" t="str">
        <f t="shared" si="4"/>
        <v/>
      </c>
      <c r="H78" s="12">
        <f>SUM(Oct!H78,Nov!H78,Dec!H78)</f>
        <v>0</v>
      </c>
      <c r="I78" s="12">
        <f>SUM(Oct!I78, Nov!I78, Dec!I78)</f>
        <v>0</v>
      </c>
      <c r="J78" s="13" t="str">
        <f t="shared" si="5"/>
        <v/>
      </c>
    </row>
    <row r="79" spans="1:10" ht="15.6">
      <c r="A79" s="26" t="str">
        <v>Burritt Road</v>
      </c>
      <c r="B79" s="27" t="str">
        <v>NY</v>
      </c>
      <c r="C79" s="27" t="str">
        <f>Sites[[#This Row],[SOL'#]]</f>
        <v>SOL-10913</v>
      </c>
      <c r="D79" s="9">
        <f>SUM(Oct!D79, Nov!D79, Dec!D79)</f>
        <v>0</v>
      </c>
      <c r="E79" s="14">
        <f>SUM(Oct!E79, Nov!E79, Dec!E79)</f>
        <v>0</v>
      </c>
      <c r="F79" s="14">
        <f t="shared" si="3"/>
        <v>0</v>
      </c>
      <c r="G79" s="15" t="str">
        <f t="shared" si="4"/>
        <v/>
      </c>
      <c r="H79" s="16">
        <f>SUM(Oct!H79,Nov!H79,Dec!H79)</f>
        <v>0</v>
      </c>
      <c r="I79" s="16">
        <f>SUM(Oct!I79, Nov!I79, Dec!I79)</f>
        <v>0</v>
      </c>
      <c r="J79" s="15" t="str">
        <f t="shared" si="5"/>
        <v/>
      </c>
    </row>
    <row r="80" spans="1:10" ht="15.6">
      <c r="A80" s="24" t="str">
        <v>Villa Roma 1</v>
      </c>
      <c r="B80" s="25" t="str">
        <v>NY</v>
      </c>
      <c r="C80" s="25" t="str">
        <f>Sites[[#This Row],[SOL'#]]</f>
        <v>SOL-10914</v>
      </c>
      <c r="D80" s="20">
        <f>SUM(Oct!D80, Nov!D80, Dec!D80)</f>
        <v>0</v>
      </c>
      <c r="E80" s="10">
        <f>SUM(Oct!E80, Nov!E80, Dec!E80)</f>
        <v>0</v>
      </c>
      <c r="F80" s="10">
        <f t="shared" ref="F80:F143" si="6">IF(AND(ISNUMBER(D80),ISNUMBER(E80)), D80-E80, "")</f>
        <v>0</v>
      </c>
      <c r="G80" s="11" t="str">
        <f t="shared" ref="G80:G143" si="7">IFERROR(F80/E80, "")</f>
        <v/>
      </c>
      <c r="H80" s="12">
        <f>SUM(Oct!H80,Nov!H80,Dec!H80)</f>
        <v>0</v>
      </c>
      <c r="I80" s="12">
        <f>SUM(Oct!I80, Nov!I80, Dec!I80)</f>
        <v>0</v>
      </c>
      <c r="J80" s="13" t="str">
        <f t="shared" ref="J80:J143" si="8">IFERROR(I80/H80, "")</f>
        <v/>
      </c>
    </row>
    <row r="81" spans="1:10" ht="15.6">
      <c r="A81" s="26" t="str">
        <v>Villa Roma 2</v>
      </c>
      <c r="B81" s="27" t="str">
        <v>NY</v>
      </c>
      <c r="C81" s="27" t="str">
        <f>Sites[[#This Row],[SOL'#]]</f>
        <v>SOL-10915</v>
      </c>
      <c r="D81" s="9">
        <f>SUM(Oct!D81, Nov!D81, Dec!D81)</f>
        <v>0</v>
      </c>
      <c r="E81" s="14">
        <f>SUM(Oct!E81, Nov!E81, Dec!E81)</f>
        <v>0</v>
      </c>
      <c r="F81" s="14">
        <f t="shared" si="6"/>
        <v>0</v>
      </c>
      <c r="G81" s="15" t="str">
        <f t="shared" si="7"/>
        <v/>
      </c>
      <c r="H81" s="16">
        <f>SUM(Oct!H81,Nov!H81,Dec!H81)</f>
        <v>0</v>
      </c>
      <c r="I81" s="16">
        <f>SUM(Oct!I81, Nov!I81, Dec!I81)</f>
        <v>0</v>
      </c>
      <c r="J81" s="15" t="str">
        <f t="shared" si="8"/>
        <v/>
      </c>
    </row>
    <row r="82" spans="1:10" ht="15.6">
      <c r="A82" s="24" t="str">
        <v>Washington 1</v>
      </c>
      <c r="B82" s="25" t="str">
        <v>NY</v>
      </c>
      <c r="C82" s="25" t="str">
        <f>Sites[[#This Row],[SOL'#]]</f>
        <v>SOL-10912</v>
      </c>
      <c r="D82" s="20">
        <f>SUM(Oct!D82, Nov!D82, Dec!D82)</f>
        <v>0</v>
      </c>
      <c r="E82" s="10">
        <f>SUM(Oct!E82, Nov!E82, Dec!E82)</f>
        <v>0</v>
      </c>
      <c r="F82" s="10">
        <f t="shared" si="6"/>
        <v>0</v>
      </c>
      <c r="G82" s="11" t="str">
        <f t="shared" si="7"/>
        <v/>
      </c>
      <c r="H82" s="12">
        <f>SUM(Oct!H82,Nov!H82,Dec!H82)</f>
        <v>0</v>
      </c>
      <c r="I82" s="12">
        <f>SUM(Oct!I82, Nov!I82, Dec!I82)</f>
        <v>0</v>
      </c>
      <c r="J82" s="13" t="str">
        <f t="shared" si="8"/>
        <v/>
      </c>
    </row>
    <row r="83" spans="1:10" ht="15.6">
      <c r="A83" s="26" t="str">
        <v>Washington 3</v>
      </c>
      <c r="B83" s="27" t="str">
        <v>NY</v>
      </c>
      <c r="C83" s="27" t="str">
        <f>Sites[[#This Row],[SOL'#]]</f>
        <v>SOL-10828</v>
      </c>
      <c r="D83" s="9">
        <f>SUM(Oct!D83, Nov!D83, Dec!D83)</f>
        <v>0</v>
      </c>
      <c r="E83" s="14">
        <f>SUM(Oct!E83, Nov!E83, Dec!E83)</f>
        <v>0</v>
      </c>
      <c r="F83" s="14">
        <f t="shared" si="6"/>
        <v>0</v>
      </c>
      <c r="G83" s="15" t="str">
        <f t="shared" si="7"/>
        <v/>
      </c>
      <c r="H83" s="16">
        <f>SUM(Oct!H83,Nov!H83,Dec!H83)</f>
        <v>0</v>
      </c>
      <c r="I83" s="16">
        <f>SUM(Oct!I83, Nov!I83, Dec!I83)</f>
        <v>0</v>
      </c>
      <c r="J83" s="15" t="str">
        <f t="shared" si="8"/>
        <v/>
      </c>
    </row>
    <row r="84" spans="1:10" ht="15.6">
      <c r="A84" s="24" t="str">
        <v>Washington 4</v>
      </c>
      <c r="B84" s="25" t="str">
        <v>NY</v>
      </c>
      <c r="C84" s="25" t="str">
        <f>Sites[[#This Row],[SOL'#]]</f>
        <v>SOL-10829</v>
      </c>
      <c r="D84" s="20">
        <f>SUM(Oct!D84, Nov!D84, Dec!D84)</f>
        <v>0</v>
      </c>
      <c r="E84" s="10">
        <f>SUM(Oct!E84, Nov!E84, Dec!E84)</f>
        <v>0</v>
      </c>
      <c r="F84" s="10">
        <f t="shared" si="6"/>
        <v>0</v>
      </c>
      <c r="G84" s="11" t="str">
        <f t="shared" si="7"/>
        <v/>
      </c>
      <c r="H84" s="12">
        <f>SUM(Oct!H84,Nov!H84,Dec!H84)</f>
        <v>0</v>
      </c>
      <c r="I84" s="12">
        <f>SUM(Oct!I84, Nov!I84, Dec!I84)</f>
        <v>0</v>
      </c>
      <c r="J84" s="13" t="str">
        <f t="shared" si="8"/>
        <v/>
      </c>
    </row>
    <row r="85" spans="1:10" ht="15.6">
      <c r="A85" s="26" t="str">
        <v>Big Tree</v>
      </c>
      <c r="B85" s="27" t="str">
        <v>NY</v>
      </c>
      <c r="C85" s="27" t="str">
        <f>Sites[[#This Row],[SOL'#]]</f>
        <v>SOL-10966</v>
      </c>
      <c r="D85" s="9">
        <f>SUM(Oct!D85, Nov!D85, Dec!D85)</f>
        <v>0</v>
      </c>
      <c r="E85" s="14">
        <f>SUM(Oct!E85, Nov!E85, Dec!E85)</f>
        <v>0</v>
      </c>
      <c r="F85" s="14">
        <f t="shared" si="6"/>
        <v>0</v>
      </c>
      <c r="G85" s="15" t="str">
        <f t="shared" si="7"/>
        <v/>
      </c>
      <c r="H85" s="16">
        <f>SUM(Oct!H85,Nov!H85,Dec!H85)</f>
        <v>0</v>
      </c>
      <c r="I85" s="16">
        <f>SUM(Oct!I85, Nov!I85, Dec!I85)</f>
        <v>0</v>
      </c>
      <c r="J85" s="15" t="str">
        <f t="shared" si="8"/>
        <v/>
      </c>
    </row>
    <row r="86" spans="1:10" ht="15.6">
      <c r="A86" s="24" t="str">
        <v>Canoga</v>
      </c>
      <c r="B86" s="25" t="str">
        <v>NY</v>
      </c>
      <c r="C86" s="25" t="str">
        <f>Sites[[#This Row],[SOL'#]]</f>
        <v>SOL-10965</v>
      </c>
      <c r="D86" s="20">
        <f>SUM(Oct!D86, Nov!D86, Dec!D86)</f>
        <v>0</v>
      </c>
      <c r="E86" s="10">
        <f>SUM(Oct!E86, Nov!E86, Dec!E86)</f>
        <v>0</v>
      </c>
      <c r="F86" s="10">
        <f t="shared" si="6"/>
        <v>0</v>
      </c>
      <c r="G86" s="11" t="str">
        <f t="shared" si="7"/>
        <v/>
      </c>
      <c r="H86" s="12">
        <f>SUM(Oct!H86,Nov!H86,Dec!H86)</f>
        <v>0</v>
      </c>
      <c r="I86" s="12">
        <f>SUM(Oct!I86, Nov!I86, Dec!I86)</f>
        <v>0</v>
      </c>
      <c r="J86" s="13" t="str">
        <f t="shared" si="8"/>
        <v/>
      </c>
    </row>
    <row r="87" spans="1:10" ht="15.6">
      <c r="A87" s="26" t="str">
        <v>County Route 84</v>
      </c>
      <c r="B87" s="27" t="str">
        <v>NY</v>
      </c>
      <c r="C87" s="27" t="str">
        <f>Sites[[#This Row],[SOL'#]]</f>
        <v>SOL-10967</v>
      </c>
      <c r="D87" s="9">
        <f>SUM(Oct!D87, Nov!D87, Dec!D87)</f>
        <v>0</v>
      </c>
      <c r="E87" s="14">
        <f>SUM(Oct!E87, Nov!E87, Dec!E87)</f>
        <v>0</v>
      </c>
      <c r="F87" s="14">
        <f t="shared" si="6"/>
        <v>0</v>
      </c>
      <c r="G87" s="15" t="str">
        <f t="shared" si="7"/>
        <v/>
      </c>
      <c r="H87" s="16">
        <f>SUM(Oct!H87,Nov!H87,Dec!H87)</f>
        <v>0</v>
      </c>
      <c r="I87" s="16">
        <f>SUM(Oct!I87, Nov!I87, Dec!I87)</f>
        <v>0</v>
      </c>
      <c r="J87" s="15" t="str">
        <f t="shared" si="8"/>
        <v/>
      </c>
    </row>
    <row r="88" spans="1:10" ht="15.6">
      <c r="A88" s="24" t="str">
        <v>Donati</v>
      </c>
      <c r="B88" s="25" t="str">
        <v>NY</v>
      </c>
      <c r="C88" s="25" t="str">
        <f>Sites[[#This Row],[SOL'#]]</f>
        <v>SOL-10968</v>
      </c>
      <c r="D88" s="20">
        <f>SUM(Oct!D88, Nov!D88, Dec!D88)</f>
        <v>0</v>
      </c>
      <c r="E88" s="10">
        <f>SUM(Oct!E88, Nov!E88, Dec!E88)</f>
        <v>0</v>
      </c>
      <c r="F88" s="10">
        <f t="shared" si="6"/>
        <v>0</v>
      </c>
      <c r="G88" s="11" t="str">
        <f t="shared" si="7"/>
        <v/>
      </c>
      <c r="H88" s="12">
        <f>SUM(Oct!H88,Nov!H88,Dec!H88)</f>
        <v>0</v>
      </c>
      <c r="I88" s="12">
        <f>SUM(Oct!I88, Nov!I88, Dec!I88)</f>
        <v>0</v>
      </c>
      <c r="J88" s="13" t="str">
        <f t="shared" si="8"/>
        <v/>
      </c>
    </row>
    <row r="89" spans="1:10" ht="15.6">
      <c r="A89" s="26" t="str">
        <v>Henrietta</v>
      </c>
      <c r="B89" s="27" t="str">
        <v>NY</v>
      </c>
      <c r="C89" s="27" t="str">
        <f>Sites[[#This Row],[SOL'#]]</f>
        <v>SOL-10972</v>
      </c>
      <c r="D89" s="9">
        <f>SUM(Oct!D89, Nov!D89, Dec!D89)</f>
        <v>0</v>
      </c>
      <c r="E89" s="14">
        <f>SUM(Oct!E89, Nov!E89, Dec!E89)</f>
        <v>0</v>
      </c>
      <c r="F89" s="14">
        <f t="shared" si="6"/>
        <v>0</v>
      </c>
      <c r="G89" s="15" t="str">
        <f t="shared" si="7"/>
        <v/>
      </c>
      <c r="H89" s="16">
        <f>SUM(Oct!H89,Nov!H89,Dec!H89)</f>
        <v>0</v>
      </c>
      <c r="I89" s="16">
        <f>SUM(Oct!I89, Nov!I89, Dec!I89)</f>
        <v>0</v>
      </c>
      <c r="J89" s="15" t="str">
        <f t="shared" si="8"/>
        <v/>
      </c>
    </row>
    <row r="90" spans="1:10" ht="15.6">
      <c r="A90" s="24" t="str">
        <v>NY 70</v>
      </c>
      <c r="B90" s="25" t="str">
        <v>NY</v>
      </c>
      <c r="C90" s="25" t="str">
        <f>Sites[[#This Row],[SOL'#]]</f>
        <v>SOL-10970</v>
      </c>
      <c r="D90" s="20">
        <f>SUM(Oct!D90, Nov!D90, Dec!D90)</f>
        <v>0</v>
      </c>
      <c r="E90" s="10">
        <f>SUM(Oct!E90, Nov!E90, Dec!E90)</f>
        <v>0</v>
      </c>
      <c r="F90" s="10">
        <f t="shared" si="6"/>
        <v>0</v>
      </c>
      <c r="G90" s="11" t="str">
        <f t="shared" si="7"/>
        <v/>
      </c>
      <c r="H90" s="12">
        <f>SUM(Oct!H90,Nov!H90,Dec!H90)</f>
        <v>0</v>
      </c>
      <c r="I90" s="12">
        <f>SUM(Oct!I90, Nov!I90, Dec!I90)</f>
        <v>0</v>
      </c>
      <c r="J90" s="13" t="str">
        <f t="shared" si="8"/>
        <v/>
      </c>
    </row>
    <row r="91" spans="1:10" ht="15.6">
      <c r="A91" s="26" t="str">
        <v>Reid</v>
      </c>
      <c r="B91" s="27" t="str">
        <v>NY</v>
      </c>
      <c r="C91" s="27" t="str">
        <f>Sites[[#This Row],[SOL'#]]</f>
        <v>SOL-10991</v>
      </c>
      <c r="D91" s="9">
        <f>SUM(Oct!D91, Nov!D91, Dec!D91)</f>
        <v>0</v>
      </c>
      <c r="E91" s="14">
        <f>SUM(Oct!E91, Nov!E91, Dec!E91)</f>
        <v>0</v>
      </c>
      <c r="F91" s="14">
        <f t="shared" si="6"/>
        <v>0</v>
      </c>
      <c r="G91" s="15" t="str">
        <f t="shared" si="7"/>
        <v/>
      </c>
      <c r="H91" s="16">
        <f>SUM(Oct!H91,Nov!H91,Dec!H91)</f>
        <v>0</v>
      </c>
      <c r="I91" s="16">
        <f>SUM(Oct!I91, Nov!I91, Dec!I91)</f>
        <v>0</v>
      </c>
      <c r="J91" s="15" t="str">
        <f t="shared" si="8"/>
        <v/>
      </c>
    </row>
    <row r="92" spans="1:10" ht="15.6">
      <c r="A92" s="24" t="str">
        <v>Sangolqui</v>
      </c>
      <c r="B92" s="25" t="str">
        <v>NY</v>
      </c>
      <c r="C92" s="25" t="str">
        <f>Sites[[#This Row],[SOL'#]]</f>
        <v>SOL-10975</v>
      </c>
      <c r="D92" s="20">
        <f>SUM(Oct!D92, Nov!D92, Dec!D92)</f>
        <v>0</v>
      </c>
      <c r="E92" s="10">
        <f>SUM(Oct!E92, Nov!E92, Dec!E92)</f>
        <v>0</v>
      </c>
      <c r="F92" s="10">
        <f t="shared" si="6"/>
        <v>0</v>
      </c>
      <c r="G92" s="11" t="str">
        <f t="shared" si="7"/>
        <v/>
      </c>
      <c r="H92" s="12">
        <f>SUM(Oct!H92,Nov!H92,Dec!H92)</f>
        <v>0</v>
      </c>
      <c r="I92" s="12">
        <f>SUM(Oct!I92, Nov!I92, Dec!I92)</f>
        <v>0</v>
      </c>
      <c r="J92" s="13" t="str">
        <f t="shared" si="8"/>
        <v/>
      </c>
    </row>
    <row r="93" spans="1:10" ht="15.6">
      <c r="A93" s="26" t="str">
        <v>State Highway 17B</v>
      </c>
      <c r="B93" s="27" t="str">
        <v>NY</v>
      </c>
      <c r="C93" s="27" t="str">
        <f>Sites[[#This Row],[SOL'#]]</f>
        <v>SOL-10988</v>
      </c>
      <c r="D93" s="9">
        <f>SUM(Oct!D93, Nov!D93, Dec!D93)</f>
        <v>0</v>
      </c>
      <c r="E93" s="14">
        <f>SUM(Oct!E93, Nov!E93, Dec!E93)</f>
        <v>0</v>
      </c>
      <c r="F93" s="14">
        <f t="shared" si="6"/>
        <v>0</v>
      </c>
      <c r="G93" s="15" t="str">
        <f t="shared" si="7"/>
        <v/>
      </c>
      <c r="H93" s="16">
        <f>SUM(Oct!H93,Nov!H93,Dec!H93)</f>
        <v>0</v>
      </c>
      <c r="I93" s="16">
        <f>SUM(Oct!I93, Nov!I93, Dec!I93)</f>
        <v>0</v>
      </c>
      <c r="J93" s="15" t="str">
        <f t="shared" si="8"/>
        <v/>
      </c>
    </row>
    <row r="94" spans="1:10" ht="15.6">
      <c r="A94" s="24" t="str">
        <v>State Route 14A</v>
      </c>
      <c r="B94" s="25" t="str">
        <v>NY</v>
      </c>
      <c r="C94" s="25" t="str">
        <f>Sites[[#This Row],[SOL'#]]</f>
        <v>SOL-10997</v>
      </c>
      <c r="D94" s="20">
        <f>SUM(Oct!D94, Nov!D94, Dec!D94)</f>
        <v>0</v>
      </c>
      <c r="E94" s="10">
        <f>SUM(Oct!E94, Nov!E94, Dec!E94)</f>
        <v>0</v>
      </c>
      <c r="F94" s="10">
        <f t="shared" si="6"/>
        <v>0</v>
      </c>
      <c r="G94" s="11" t="str">
        <f t="shared" si="7"/>
        <v/>
      </c>
      <c r="H94" s="12">
        <f>SUM(Oct!H94,Nov!H94,Dec!H94)</f>
        <v>0</v>
      </c>
      <c r="I94" s="12">
        <f>SUM(Oct!I94, Nov!I94, Dec!I94)</f>
        <v>0</v>
      </c>
      <c r="J94" s="13" t="str">
        <f t="shared" si="8"/>
        <v/>
      </c>
    </row>
    <row r="95" spans="1:10" ht="15.6">
      <c r="A95" s="26" t="str">
        <v>West Creek</v>
      </c>
      <c r="B95" s="27" t="str">
        <v>NY</v>
      </c>
      <c r="C95" s="27" t="str">
        <f>Sites[[#This Row],[SOL'#]]</f>
        <v>SOL-10995</v>
      </c>
      <c r="D95" s="9">
        <f>SUM(Oct!D95, Nov!D95, Dec!D95)</f>
        <v>0</v>
      </c>
      <c r="E95" s="14">
        <f>SUM(Oct!E95, Nov!E95, Dec!E95)</f>
        <v>0</v>
      </c>
      <c r="F95" s="14">
        <f t="shared" si="6"/>
        <v>0</v>
      </c>
      <c r="G95" s="15" t="str">
        <f t="shared" si="7"/>
        <v/>
      </c>
      <c r="H95" s="16">
        <f>SUM(Oct!H95,Nov!H95,Dec!H95)</f>
        <v>0</v>
      </c>
      <c r="I95" s="16">
        <f>SUM(Oct!I95, Nov!I95, Dec!I95)</f>
        <v>0</v>
      </c>
      <c r="J95" s="15" t="str">
        <f t="shared" si="8"/>
        <v/>
      </c>
    </row>
    <row r="96" spans="1:10" ht="15.6">
      <c r="A96" s="24" t="str">
        <v>Wildflower</v>
      </c>
      <c r="B96" s="25" t="str">
        <v>NY</v>
      </c>
      <c r="C96" s="25" t="str">
        <f>Sites[[#This Row],[SOL'#]]</f>
        <v>SOL-10982</v>
      </c>
      <c r="D96" s="20">
        <f>SUM(Oct!D96, Nov!D96, Dec!D96)</f>
        <v>0</v>
      </c>
      <c r="E96" s="10">
        <f>SUM(Oct!E96, Nov!E96, Dec!E96)</f>
        <v>0</v>
      </c>
      <c r="F96" s="10">
        <f t="shared" si="6"/>
        <v>0</v>
      </c>
      <c r="G96" s="11" t="str">
        <f t="shared" si="7"/>
        <v/>
      </c>
      <c r="H96" s="12">
        <f>SUM(Oct!H96,Nov!H96,Dec!H96)</f>
        <v>0</v>
      </c>
      <c r="I96" s="12">
        <f>SUM(Oct!I96, Nov!I96, Dec!I96)</f>
        <v>0</v>
      </c>
      <c r="J96" s="13" t="str">
        <f t="shared" si="8"/>
        <v/>
      </c>
    </row>
    <row r="97" spans="1:10" ht="15.6">
      <c r="A97" s="26" t="str">
        <v>Glen Mary 1</v>
      </c>
      <c r="B97" s="27" t="str">
        <v>NY</v>
      </c>
      <c r="C97" s="27" t="str">
        <f>Sites[[#This Row],[SOL'#]]</f>
        <v>SOL-10993</v>
      </c>
      <c r="D97" s="9">
        <f>SUM(Oct!D97, Nov!D97, Dec!D97)</f>
        <v>0</v>
      </c>
      <c r="E97" s="14">
        <f>SUM(Oct!E97, Nov!E97, Dec!E97)</f>
        <v>0</v>
      </c>
      <c r="F97" s="14">
        <f t="shared" si="6"/>
        <v>0</v>
      </c>
      <c r="G97" s="15" t="str">
        <f t="shared" si="7"/>
        <v/>
      </c>
      <c r="H97" s="16">
        <f>SUM(Oct!H97,Nov!H97,Dec!H97)</f>
        <v>0</v>
      </c>
      <c r="I97" s="16">
        <f>SUM(Oct!I97, Nov!I97, Dec!I97)</f>
        <v>0</v>
      </c>
      <c r="J97" s="15" t="str">
        <f t="shared" si="8"/>
        <v/>
      </c>
    </row>
    <row r="98" spans="1:10" ht="15.6">
      <c r="A98" s="24" t="str">
        <v>Glen Mary 2</v>
      </c>
      <c r="B98" s="25" t="str">
        <v>NY</v>
      </c>
      <c r="C98" s="25" t="str">
        <f>Sites[[#This Row],[SOL'#]]</f>
        <v>SOL-10994</v>
      </c>
      <c r="D98" s="20">
        <f>SUM(Oct!D98, Nov!D98, Dec!D98)</f>
        <v>0</v>
      </c>
      <c r="E98" s="10">
        <f>SUM(Oct!E98, Nov!E98, Dec!E98)</f>
        <v>0</v>
      </c>
      <c r="F98" s="10">
        <f t="shared" si="6"/>
        <v>0</v>
      </c>
      <c r="G98" s="11" t="str">
        <f t="shared" si="7"/>
        <v/>
      </c>
      <c r="H98" s="12">
        <f>SUM(Oct!H98,Nov!H98,Dec!H98)</f>
        <v>0</v>
      </c>
      <c r="I98" s="12">
        <f>SUM(Oct!I98, Nov!I98, Dec!I98)</f>
        <v>0</v>
      </c>
      <c r="J98" s="13" t="str">
        <f t="shared" si="8"/>
        <v/>
      </c>
    </row>
    <row r="99" spans="1:10" ht="15.6">
      <c r="A99" s="26" t="str">
        <v>Telegraph 1</v>
      </c>
      <c r="B99" s="27" t="str">
        <v>NY</v>
      </c>
      <c r="C99" s="27" t="str">
        <f>Sites[[#This Row],[SOL'#]]</f>
        <v>SOL-11003</v>
      </c>
      <c r="D99" s="9">
        <f>SUM(Oct!D99, Nov!D99, Dec!D99)</f>
        <v>0</v>
      </c>
      <c r="E99" s="14">
        <f>SUM(Oct!E99, Nov!E99, Dec!E99)</f>
        <v>0</v>
      </c>
      <c r="F99" s="14">
        <f t="shared" si="6"/>
        <v>0</v>
      </c>
      <c r="G99" s="15" t="str">
        <f t="shared" si="7"/>
        <v/>
      </c>
      <c r="H99" s="16">
        <f>SUM(Oct!H99,Nov!H99,Dec!H99)</f>
        <v>0</v>
      </c>
      <c r="I99" s="16">
        <f>SUM(Oct!I99, Nov!I99, Dec!I99)</f>
        <v>0</v>
      </c>
      <c r="J99" s="15" t="str">
        <f t="shared" si="8"/>
        <v/>
      </c>
    </row>
    <row r="100" spans="1:10" ht="15.6">
      <c r="A100" s="24" t="str">
        <v>Telegraph 2</v>
      </c>
      <c r="B100" s="25" t="str">
        <v>NY</v>
      </c>
      <c r="C100" s="25" t="str">
        <f>Sites[[#This Row],[SOL'#]]</f>
        <v>SOL-11004</v>
      </c>
      <c r="D100" s="20">
        <f>SUM(Oct!D100, Nov!D100, Dec!D100)</f>
        <v>0</v>
      </c>
      <c r="E100" s="10">
        <f>SUM(Oct!E100, Nov!E100, Dec!E100)</f>
        <v>0</v>
      </c>
      <c r="F100" s="10">
        <f t="shared" si="6"/>
        <v>0</v>
      </c>
      <c r="G100" s="11" t="str">
        <f t="shared" si="7"/>
        <v/>
      </c>
      <c r="H100" s="12">
        <f>SUM(Oct!H100,Nov!H100,Dec!H100)</f>
        <v>0</v>
      </c>
      <c r="I100" s="12">
        <f>SUM(Oct!I100, Nov!I100, Dec!I100)</f>
        <v>0</v>
      </c>
      <c r="J100" s="13" t="str">
        <f t="shared" si="8"/>
        <v/>
      </c>
    </row>
    <row r="101" spans="1:10" ht="15.6">
      <c r="A101" s="26" t="str">
        <v>Cafferty Hill</v>
      </c>
      <c r="B101" s="27" t="str">
        <v>NY</v>
      </c>
      <c r="C101" s="27" t="str">
        <f>Sites[[#This Row],[SOL'#]]</f>
        <v>SOL-10996</v>
      </c>
      <c r="D101" s="9">
        <f>SUM(Oct!D101, Nov!D101, Dec!D101)</f>
        <v>0</v>
      </c>
      <c r="E101" s="14">
        <f>SUM(Oct!E101, Nov!E101, Dec!E101)</f>
        <v>0</v>
      </c>
      <c r="F101" s="14">
        <f t="shared" si="6"/>
        <v>0</v>
      </c>
      <c r="G101" s="15" t="str">
        <f t="shared" si="7"/>
        <v/>
      </c>
      <c r="H101" s="16">
        <f>SUM(Oct!H101,Nov!H101,Dec!H101)</f>
        <v>0</v>
      </c>
      <c r="I101" s="16">
        <f>SUM(Oct!I101, Nov!I101, Dec!I101)</f>
        <v>0</v>
      </c>
      <c r="J101" s="15" t="str">
        <f t="shared" si="8"/>
        <v/>
      </c>
    </row>
    <row r="102" spans="1:10" ht="15.6">
      <c r="A102" s="24" t="str">
        <v>Dunkleman</v>
      </c>
      <c r="B102" s="25" t="str">
        <v>NY</v>
      </c>
      <c r="C102" s="25" t="str">
        <f>Sites[[#This Row],[SOL'#]]</f>
        <v>SOL-11008</v>
      </c>
      <c r="D102" s="20">
        <f>SUM(Oct!D102, Nov!D102, Dec!D102)</f>
        <v>0</v>
      </c>
      <c r="E102" s="10">
        <f>SUM(Oct!E102, Nov!E102, Dec!E102)</f>
        <v>0</v>
      </c>
      <c r="F102" s="10">
        <f t="shared" si="6"/>
        <v>0</v>
      </c>
      <c r="G102" s="11" t="str">
        <f t="shared" si="7"/>
        <v/>
      </c>
      <c r="H102" s="12">
        <f>SUM(Oct!H102,Nov!H102,Dec!H102)</f>
        <v>0</v>
      </c>
      <c r="I102" s="12">
        <f>SUM(Oct!I102, Nov!I102, Dec!I102)</f>
        <v>0</v>
      </c>
      <c r="J102" s="13" t="str">
        <f t="shared" si="8"/>
        <v/>
      </c>
    </row>
    <row r="103" spans="1:10" ht="15.6">
      <c r="A103" s="26" t="str">
        <v>Route 19 1</v>
      </c>
      <c r="B103" s="27" t="str">
        <v>NY</v>
      </c>
      <c r="C103" s="27" t="str">
        <f>Sites[[#This Row],[SOL'#]]</f>
        <v>SOL-11001</v>
      </c>
      <c r="D103" s="9">
        <f>SUM(Oct!D103, Nov!D103, Dec!D103)</f>
        <v>0</v>
      </c>
      <c r="E103" s="14">
        <f>SUM(Oct!E103, Nov!E103, Dec!E103)</f>
        <v>0</v>
      </c>
      <c r="F103" s="14">
        <f t="shared" si="6"/>
        <v>0</v>
      </c>
      <c r="G103" s="15" t="str">
        <f t="shared" si="7"/>
        <v/>
      </c>
      <c r="H103" s="16">
        <f>SUM(Oct!H103,Nov!H103,Dec!H103)</f>
        <v>0</v>
      </c>
      <c r="I103" s="16">
        <f>SUM(Oct!I103, Nov!I103, Dec!I103)</f>
        <v>0</v>
      </c>
      <c r="J103" s="15" t="str">
        <f t="shared" si="8"/>
        <v/>
      </c>
    </row>
    <row r="104" spans="1:10" ht="15.6">
      <c r="A104" s="24" t="str">
        <v>Route 19 2</v>
      </c>
      <c r="B104" s="25" t="str">
        <v>NY</v>
      </c>
      <c r="C104" s="25" t="str">
        <f>Sites[[#This Row],[SOL'#]]</f>
        <v>SOL-11002</v>
      </c>
      <c r="D104" s="20">
        <f>SUM(Oct!D104, Nov!D104, Dec!D104)</f>
        <v>0</v>
      </c>
      <c r="E104" s="10">
        <f>SUM(Oct!E104, Nov!E104, Dec!E104)</f>
        <v>0</v>
      </c>
      <c r="F104" s="10">
        <f t="shared" si="6"/>
        <v>0</v>
      </c>
      <c r="G104" s="11" t="str">
        <f t="shared" si="7"/>
        <v/>
      </c>
      <c r="H104" s="12">
        <f>SUM(Oct!H104,Nov!H104,Dec!H104)</f>
        <v>0</v>
      </c>
      <c r="I104" s="12">
        <f>SUM(Oct!I104, Nov!I104, Dec!I104)</f>
        <v>0</v>
      </c>
      <c r="J104" s="13" t="str">
        <f t="shared" si="8"/>
        <v/>
      </c>
    </row>
    <row r="105" spans="1:10" ht="15.6">
      <c r="A105" s="26" t="str">
        <v>Yellow Mills 1</v>
      </c>
      <c r="B105" s="27" t="str">
        <v>NY</v>
      </c>
      <c r="C105" s="27" t="str">
        <f>Sites[[#This Row],[SOL'#]]</f>
        <v>SOL-11006</v>
      </c>
      <c r="D105" s="9">
        <f>SUM(Oct!D105, Nov!D105, Dec!D105)</f>
        <v>0</v>
      </c>
      <c r="E105" s="14">
        <f>SUM(Oct!E105, Nov!E105, Dec!E105)</f>
        <v>0</v>
      </c>
      <c r="F105" s="14">
        <f t="shared" si="6"/>
        <v>0</v>
      </c>
      <c r="G105" s="15" t="str">
        <f t="shared" si="7"/>
        <v/>
      </c>
      <c r="H105" s="16">
        <f>SUM(Oct!H105,Nov!H105,Dec!H105)</f>
        <v>0</v>
      </c>
      <c r="I105" s="16">
        <f>SUM(Oct!I105, Nov!I105, Dec!I105)</f>
        <v>0</v>
      </c>
      <c r="J105" s="15" t="str">
        <f t="shared" si="8"/>
        <v/>
      </c>
    </row>
    <row r="106" spans="1:10" ht="15.6">
      <c r="A106" s="24" t="str">
        <v>Yellow Mills 2</v>
      </c>
      <c r="B106" s="25" t="str">
        <v>NY</v>
      </c>
      <c r="C106" s="25" t="str">
        <f>Sites[[#This Row],[SOL'#]]</f>
        <v>SOL-11005</v>
      </c>
      <c r="D106" s="20">
        <f>SUM(Oct!D106, Nov!D106, Dec!D106)</f>
        <v>0</v>
      </c>
      <c r="E106" s="10">
        <f>SUM(Oct!E106, Nov!E106, Dec!E106)</f>
        <v>0</v>
      </c>
      <c r="F106" s="10">
        <f t="shared" si="6"/>
        <v>0</v>
      </c>
      <c r="G106" s="11" t="str">
        <f t="shared" si="7"/>
        <v/>
      </c>
      <c r="H106" s="12">
        <f>SUM(Oct!H106,Nov!H106,Dec!H106)</f>
        <v>0</v>
      </c>
      <c r="I106" s="12">
        <f>SUM(Oct!I106, Nov!I106, Dec!I106)</f>
        <v>0</v>
      </c>
      <c r="J106" s="13" t="str">
        <f t="shared" si="8"/>
        <v/>
      </c>
    </row>
    <row r="107" spans="1:10" ht="15.6">
      <c r="A107" s="26" t="str">
        <v>Yellow Mills 3</v>
      </c>
      <c r="B107" s="27" t="str">
        <v>NY</v>
      </c>
      <c r="C107" s="27" t="str">
        <f>Sites[[#This Row],[SOL'#]]</f>
        <v>SOL-11007</v>
      </c>
      <c r="D107" s="9">
        <f>SUM(Oct!D107, Nov!D107, Dec!D107)</f>
        <v>0</v>
      </c>
      <c r="E107" s="14">
        <f>SUM(Oct!E107, Nov!E107, Dec!E107)</f>
        <v>0</v>
      </c>
      <c r="F107" s="14">
        <f t="shared" si="6"/>
        <v>0</v>
      </c>
      <c r="G107" s="15" t="str">
        <f t="shared" si="7"/>
        <v/>
      </c>
      <c r="H107" s="16">
        <f>SUM(Oct!H107,Nov!H107,Dec!H107)</f>
        <v>0</v>
      </c>
      <c r="I107" s="16">
        <f>SUM(Oct!I107, Nov!I107, Dec!I107)</f>
        <v>0</v>
      </c>
      <c r="J107" s="15" t="str">
        <f t="shared" si="8"/>
        <v/>
      </c>
    </row>
    <row r="108" spans="1:10" ht="15.6">
      <c r="A108" s="24" t="str">
        <v>Catskill</v>
      </c>
      <c r="B108" s="25" t="str">
        <v>NY</v>
      </c>
      <c r="C108" s="25" t="str">
        <f>Sites[[#This Row],[SOL'#]]</f>
        <v>SOL-11021</v>
      </c>
      <c r="D108" s="20">
        <f>SUM(Oct!D108, Nov!D108, Dec!D108)</f>
        <v>0</v>
      </c>
      <c r="E108" s="10">
        <f>SUM(Oct!E108, Nov!E108, Dec!E108)</f>
        <v>0</v>
      </c>
      <c r="F108" s="10">
        <f t="shared" si="6"/>
        <v>0</v>
      </c>
      <c r="G108" s="11" t="str">
        <f t="shared" si="7"/>
        <v/>
      </c>
      <c r="H108" s="12">
        <f>SUM(Oct!H108,Nov!H108,Dec!H108)</f>
        <v>0</v>
      </c>
      <c r="I108" s="12">
        <f>SUM(Oct!I108, Nov!I108, Dec!I108)</f>
        <v>0</v>
      </c>
      <c r="J108" s="13" t="str">
        <f t="shared" si="8"/>
        <v/>
      </c>
    </row>
    <row r="109" spans="1:10" ht="15.6">
      <c r="A109" s="26" t="str">
        <v>Eddy Ridge</v>
      </c>
      <c r="B109" s="27" t="str">
        <v>NY</v>
      </c>
      <c r="C109" s="27" t="str">
        <f>Sites[[#This Row],[SOL'#]]</f>
        <v>SOL-11054</v>
      </c>
      <c r="D109" s="9">
        <f>SUM(Oct!D109, Nov!D109, Dec!D109)</f>
        <v>0</v>
      </c>
      <c r="E109" s="14">
        <f>SUM(Oct!E109, Nov!E109, Dec!E109)</f>
        <v>0</v>
      </c>
      <c r="F109" s="14">
        <f t="shared" si="6"/>
        <v>0</v>
      </c>
      <c r="G109" s="15" t="str">
        <f t="shared" si="7"/>
        <v/>
      </c>
      <c r="H109" s="16">
        <f>SUM(Oct!H109,Nov!H109,Dec!H109)</f>
        <v>0</v>
      </c>
      <c r="I109" s="16">
        <f>SUM(Oct!I109, Nov!I109, Dec!I109)</f>
        <v>0</v>
      </c>
      <c r="J109" s="15" t="str">
        <f t="shared" si="8"/>
        <v/>
      </c>
    </row>
    <row r="110" spans="1:10" ht="15.6">
      <c r="A110" s="24" t="str">
        <v>Ridgeway #1</v>
      </c>
      <c r="B110" s="25" t="str">
        <v>NY</v>
      </c>
      <c r="C110" s="25" t="str">
        <f>Sites[[#This Row],[SOL'#]]</f>
        <v>SOL-11018</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8"/>
        <v/>
      </c>
    </row>
    <row r="111" spans="1:10" ht="15.6">
      <c r="A111" s="26" t="str">
        <v>Rivard 1</v>
      </c>
      <c r="B111" s="27" t="str">
        <v>NY</v>
      </c>
      <c r="C111" s="27" t="str">
        <f>Sites[[#This Row],[SOL'#]]</f>
        <v>SOL-11011</v>
      </c>
      <c r="D111" s="9">
        <f>SUM(Oct!D111, Nov!D111, Dec!D111)</f>
        <v>0</v>
      </c>
      <c r="E111" s="14">
        <f>SUM(Oct!E111, Nov!E111, Dec!E111)</f>
        <v>0</v>
      </c>
      <c r="F111" s="14">
        <f t="shared" si="6"/>
        <v>0</v>
      </c>
      <c r="G111" s="15" t="str">
        <f t="shared" si="7"/>
        <v/>
      </c>
      <c r="H111" s="16">
        <f>SUM(Oct!H111,Nov!H111,Dec!H111)</f>
        <v>0</v>
      </c>
      <c r="I111" s="16">
        <f>SUM(Oct!I111, Nov!I111, Dec!I111)</f>
        <v>0</v>
      </c>
      <c r="J111" s="15" t="str">
        <f t="shared" si="8"/>
        <v/>
      </c>
    </row>
    <row r="112" spans="1:10" ht="15.6">
      <c r="A112" s="24" t="str">
        <v>Rivard 2</v>
      </c>
      <c r="B112" s="25" t="str">
        <v>NY</v>
      </c>
      <c r="C112" s="25" t="str">
        <f>Sites[[#This Row],[SOL'#]]</f>
        <v>SOL-11012</v>
      </c>
      <c r="D112" s="20">
        <f>SUM(Oct!D112, Nov!D112, Dec!D112)</f>
        <v>0</v>
      </c>
      <c r="E112" s="10">
        <f>SUM(Oct!E112, Nov!E112, Dec!E112)</f>
        <v>0</v>
      </c>
      <c r="F112" s="10">
        <f t="shared" si="6"/>
        <v>0</v>
      </c>
      <c r="G112" s="11" t="str">
        <f t="shared" si="7"/>
        <v/>
      </c>
      <c r="H112" s="12">
        <f>SUM(Oct!H112,Nov!H112,Dec!H112)</f>
        <v>0</v>
      </c>
      <c r="I112" s="12">
        <f>SUM(Oct!I112, Nov!I112, Dec!I112)</f>
        <v>0</v>
      </c>
      <c r="J112" s="13" t="str">
        <f t="shared" si="8"/>
        <v/>
      </c>
    </row>
    <row r="113" spans="1:10" ht="15.6">
      <c r="A113" s="26" t="str">
        <v>Essex</v>
      </c>
      <c r="B113" s="27" t="str">
        <v>DC</v>
      </c>
      <c r="C113" s="27" t="str">
        <f>Sites[[#This Row],[SOL'#]]</f>
        <v>SOL-10036</v>
      </c>
      <c r="D113" s="9">
        <f>SUM(Oct!D113, Nov!D113, Dec!D113)</f>
        <v>0</v>
      </c>
      <c r="E113" s="14">
        <f>SUM(Oct!E113, Nov!E113, Dec!E113)</f>
        <v>0</v>
      </c>
      <c r="F113" s="14">
        <f t="shared" si="6"/>
        <v>0</v>
      </c>
      <c r="G113" s="15" t="str">
        <f t="shared" si="7"/>
        <v/>
      </c>
      <c r="H113" s="16">
        <f>SUM(Oct!H113,Nov!H113,Dec!H113)</f>
        <v>0</v>
      </c>
      <c r="I113" s="16">
        <f>SUM(Oct!I113, Nov!I113, Dec!I113)</f>
        <v>0</v>
      </c>
      <c r="J113" s="15" t="str">
        <f t="shared" si="8"/>
        <v/>
      </c>
    </row>
    <row r="114" spans="1:10" ht="15.6">
      <c r="A114" s="24" t="str">
        <v>Temple Sinai</v>
      </c>
      <c r="B114" s="25" t="str">
        <v>DC</v>
      </c>
      <c r="C114" s="25" t="str">
        <f>Sites[[#This Row],[SOL'#]]</f>
        <v>SOL-10028</v>
      </c>
      <c r="D114" s="20">
        <f>SUM(Oct!D114, Nov!D114, Dec!D114)</f>
        <v>0</v>
      </c>
      <c r="E114" s="10">
        <f>SUM(Oct!E114, Nov!E114, Dec!E114)</f>
        <v>0</v>
      </c>
      <c r="F114" s="10">
        <f t="shared" si="6"/>
        <v>0</v>
      </c>
      <c r="G114" s="11" t="str">
        <f t="shared" si="7"/>
        <v/>
      </c>
      <c r="H114" s="12">
        <f>SUM(Oct!H114,Nov!H114,Dec!H114)</f>
        <v>0</v>
      </c>
      <c r="I114" s="12">
        <f>SUM(Oct!I114, Nov!I114, Dec!I114)</f>
        <v>0</v>
      </c>
      <c r="J114" s="13" t="str">
        <f t="shared" si="8"/>
        <v/>
      </c>
    </row>
    <row r="115" spans="1:10" ht="15.6">
      <c r="A115" s="26" t="str">
        <v>Weinberg 1</v>
      </c>
      <c r="B115" s="27" t="str">
        <v>DC</v>
      </c>
      <c r="C115" s="27" t="str">
        <f>Sites[[#This Row],[SOL'#]]</f>
        <v>SOL-10039</v>
      </c>
      <c r="D115" s="9">
        <f>SUM(Oct!D115, Nov!D115, Dec!D115)</f>
        <v>0</v>
      </c>
      <c r="E115" s="14">
        <f>SUM(Oct!E115, Nov!E115, Dec!E115)</f>
        <v>0</v>
      </c>
      <c r="F115" s="14">
        <f t="shared" si="6"/>
        <v>0</v>
      </c>
      <c r="G115" s="15" t="str">
        <f t="shared" si="7"/>
        <v/>
      </c>
      <c r="H115" s="16">
        <f>SUM(Oct!H115,Nov!H115,Dec!H115)</f>
        <v>0</v>
      </c>
      <c r="I115" s="16">
        <f>SUM(Oct!I115, Nov!I115, Dec!I115)</f>
        <v>0</v>
      </c>
      <c r="J115" s="15" t="str">
        <f t="shared" si="8"/>
        <v/>
      </c>
    </row>
    <row r="116" spans="1:10" ht="15.6">
      <c r="A116" s="24" t="str">
        <v>Weinberg 2</v>
      </c>
      <c r="B116" s="25" t="str">
        <v>DC</v>
      </c>
      <c r="C116" s="25" t="str">
        <f>Sites[[#This Row],[SOL'#]]</f>
        <v>SOL-10045</v>
      </c>
      <c r="D116" s="20">
        <f>SUM(Oct!D116, Nov!D116, Dec!D116)</f>
        <v>0</v>
      </c>
      <c r="E116" s="10">
        <f>SUM(Oct!E116, Nov!E116, Dec!E116)</f>
        <v>0</v>
      </c>
      <c r="F116" s="10">
        <f t="shared" si="6"/>
        <v>0</v>
      </c>
      <c r="G116" s="11" t="str">
        <f t="shared" si="7"/>
        <v/>
      </c>
      <c r="H116" s="12">
        <f>SUM(Oct!H116,Nov!H116,Dec!H116)</f>
        <v>0</v>
      </c>
      <c r="I116" s="12">
        <f>SUM(Oct!I116, Nov!I116, Dec!I116)</f>
        <v>0</v>
      </c>
      <c r="J116" s="13" t="str">
        <f t="shared" si="8"/>
        <v/>
      </c>
    </row>
    <row r="117" spans="1:10" ht="15.6">
      <c r="A117" s="26" t="str">
        <v>Weinberg 3</v>
      </c>
      <c r="B117" s="27" t="str">
        <v>DC</v>
      </c>
      <c r="C117" s="27" t="str">
        <f>Sites[[#This Row],[SOL'#]]</f>
        <v>SOL-10042</v>
      </c>
      <c r="D117" s="9">
        <f>SUM(Oct!D117, Nov!D117, Dec!D117)</f>
        <v>0</v>
      </c>
      <c r="E117" s="14">
        <f>SUM(Oct!E117, Nov!E117, Dec!E117)</f>
        <v>0</v>
      </c>
      <c r="F117" s="14">
        <f t="shared" si="6"/>
        <v>0</v>
      </c>
      <c r="G117" s="15" t="str">
        <f t="shared" si="7"/>
        <v/>
      </c>
      <c r="H117" s="16">
        <f>SUM(Oct!H117,Nov!H117,Dec!H117)</f>
        <v>0</v>
      </c>
      <c r="I117" s="16">
        <f>SUM(Oct!I117, Nov!I117, Dec!I117)</f>
        <v>0</v>
      </c>
      <c r="J117" s="15" t="str">
        <f t="shared" si="8"/>
        <v/>
      </c>
    </row>
    <row r="118" spans="1:10" ht="15.6">
      <c r="A118" s="24" t="str">
        <v>Clayton Hall</v>
      </c>
      <c r="B118" s="25" t="str">
        <v>DE</v>
      </c>
      <c r="C118" s="25" t="str">
        <f>Sites[[#This Row],[SOL'#]]</f>
        <v>SOL-10820</v>
      </c>
      <c r="D118" s="20">
        <f>SUM(Oct!D118, Nov!D118, Dec!D118)</f>
        <v>0</v>
      </c>
      <c r="E118" s="10">
        <f>SUM(Oct!E118, Nov!E118, Dec!E118)</f>
        <v>0</v>
      </c>
      <c r="F118" s="10">
        <f t="shared" si="6"/>
        <v>0</v>
      </c>
      <c r="G118" s="11" t="str">
        <f t="shared" si="7"/>
        <v/>
      </c>
      <c r="H118" s="12">
        <f>SUM(Oct!H118,Nov!H118,Dec!H118)</f>
        <v>0</v>
      </c>
      <c r="I118" s="12">
        <f>SUM(Oct!I118, Nov!I118, Dec!I118)</f>
        <v>0</v>
      </c>
      <c r="J118" s="13" t="str">
        <f t="shared" si="8"/>
        <v/>
      </c>
    </row>
    <row r="119" spans="1:10" ht="15.6">
      <c r="A119" s="26" t="str">
        <v>Field House</v>
      </c>
      <c r="B119" s="27" t="str">
        <v>DE</v>
      </c>
      <c r="C119" s="27" t="str">
        <f>Sites[[#This Row],[SOL'#]]</f>
        <v>SOL-10821</v>
      </c>
      <c r="D119" s="9">
        <f>SUM(Oct!D119, Nov!D119, Dec!D119)</f>
        <v>0</v>
      </c>
      <c r="E119" s="14">
        <f>SUM(Oct!E119, Nov!E119, Dec!E119)</f>
        <v>0</v>
      </c>
      <c r="F119" s="14">
        <f t="shared" si="6"/>
        <v>0</v>
      </c>
      <c r="G119" s="15" t="str">
        <f t="shared" si="7"/>
        <v/>
      </c>
      <c r="H119" s="16">
        <f>SUM(Oct!H119,Nov!H119,Dec!H119)</f>
        <v>0</v>
      </c>
      <c r="I119" s="16">
        <f>SUM(Oct!I119, Nov!I119, Dec!I119)</f>
        <v>0</v>
      </c>
      <c r="J119" s="15" t="str">
        <f t="shared" si="8"/>
        <v/>
      </c>
    </row>
    <row r="120" spans="1:10" ht="15.6">
      <c r="A120" s="24" t="str">
        <v>Wyoming Road</v>
      </c>
      <c r="B120" s="25" t="str">
        <v>DE</v>
      </c>
      <c r="C120" s="25" t="str">
        <f>Sites[[#This Row],[SOL'#]]</f>
        <v>SOL-10819</v>
      </c>
      <c r="D120" s="20">
        <f>SUM(Oct!D120, Nov!D120, Dec!D120)</f>
        <v>0</v>
      </c>
      <c r="E120" s="10">
        <f>SUM(Oct!E120, Nov!E120, Dec!E120)</f>
        <v>0</v>
      </c>
      <c r="F120" s="10">
        <f t="shared" si="6"/>
        <v>0</v>
      </c>
      <c r="G120" s="11" t="str">
        <f t="shared" si="7"/>
        <v/>
      </c>
      <c r="H120" s="12">
        <f>SUM(Oct!H120,Nov!H120,Dec!H120)</f>
        <v>0</v>
      </c>
      <c r="I120" s="12">
        <f>SUM(Oct!I120, Nov!I120, Dec!I120)</f>
        <v>0</v>
      </c>
      <c r="J120" s="13" t="str">
        <f t="shared" si="8"/>
        <v/>
      </c>
    </row>
    <row r="121" spans="1:10" ht="15.6">
      <c r="A121" s="26" t="str">
        <v>Leoku</v>
      </c>
      <c r="B121" s="27" t="str">
        <v>HI</v>
      </c>
      <c r="C121" s="27" t="str">
        <f>Sites[[#This Row],[SOL'#]]</f>
        <v>SOL-10071</v>
      </c>
      <c r="D121" s="9">
        <f>SUM(Oct!D121, Nov!D121, Dec!D121)</f>
        <v>0</v>
      </c>
      <c r="E121" s="14">
        <f>SUM(Oct!E121, Nov!E121, Dec!E121)</f>
        <v>0</v>
      </c>
      <c r="F121" s="14">
        <f t="shared" si="6"/>
        <v>0</v>
      </c>
      <c r="G121" s="15" t="str">
        <f t="shared" si="7"/>
        <v/>
      </c>
      <c r="H121" s="16">
        <f>SUM(Oct!H121,Nov!H121,Dec!H121)</f>
        <v>0</v>
      </c>
      <c r="I121" s="16">
        <f>SUM(Oct!I121, Nov!I121, Dec!I121)</f>
        <v>0</v>
      </c>
      <c r="J121" s="15" t="str">
        <f t="shared" si="8"/>
        <v/>
      </c>
    </row>
    <row r="122" spans="1:10" ht="15.6">
      <c r="A122" s="24" t="str">
        <v>Waipahu</v>
      </c>
      <c r="B122" s="25" t="str">
        <v>HI</v>
      </c>
      <c r="C122" s="25" t="str">
        <f>Sites[[#This Row],[SOL'#]]</f>
        <v>SOL-10068</v>
      </c>
      <c r="D122" s="20">
        <f>SUM(Oct!D122, Nov!D122, Dec!D122)</f>
        <v>0</v>
      </c>
      <c r="E122" s="10">
        <f>SUM(Oct!E122, Nov!E122, Dec!E122)</f>
        <v>0</v>
      </c>
      <c r="F122" s="10">
        <f t="shared" si="6"/>
        <v>0</v>
      </c>
      <c r="G122" s="11" t="str">
        <f t="shared" si="7"/>
        <v/>
      </c>
      <c r="H122" s="12">
        <f>SUM(Oct!H122,Nov!H122,Dec!H122)</f>
        <v>0</v>
      </c>
      <c r="I122" s="12">
        <f>SUM(Oct!I122, Nov!I122, Dec!I122)</f>
        <v>0</v>
      </c>
      <c r="J122" s="13" t="str">
        <f t="shared" si="8"/>
        <v/>
      </c>
    </row>
    <row r="123" spans="1:10" ht="15.6">
      <c r="A123" s="26" t="str">
        <v>Bird in Hand</v>
      </c>
      <c r="B123" s="27" t="str">
        <v>MD</v>
      </c>
      <c r="C123" s="27" t="str">
        <f>Sites[[#This Row],[SOL'#]]</f>
        <v>SOL-10092</v>
      </c>
      <c r="D123" s="9">
        <f>SUM(Oct!D123, Nov!D123, Dec!D123)</f>
        <v>0</v>
      </c>
      <c r="E123" s="14">
        <f>SUM(Oct!E123, Nov!E123, Dec!E123)</f>
        <v>0</v>
      </c>
      <c r="F123" s="14">
        <f t="shared" si="6"/>
        <v>0</v>
      </c>
      <c r="G123" s="15" t="str">
        <f t="shared" si="7"/>
        <v/>
      </c>
      <c r="H123" s="16">
        <f>SUM(Oct!H123,Nov!H123,Dec!H123)</f>
        <v>0</v>
      </c>
      <c r="I123" s="16">
        <f>SUM(Oct!I123, Nov!I123, Dec!I123)</f>
        <v>0</v>
      </c>
      <c r="J123" s="15" t="str">
        <f t="shared" si="8"/>
        <v/>
      </c>
    </row>
    <row r="124" spans="1:10" ht="15.6">
      <c r="A124" s="24" t="str">
        <v>Shortal</v>
      </c>
      <c r="B124" s="25" t="str">
        <v>MD</v>
      </c>
      <c r="C124" s="25" t="str">
        <f>Sites[[#This Row],[SOL'#]]</f>
        <v>SOL-10091</v>
      </c>
      <c r="D124" s="20">
        <f>SUM(Oct!D124, Nov!D124, Dec!D124)</f>
        <v>0</v>
      </c>
      <c r="E124" s="10">
        <f>SUM(Oct!E124, Nov!E124, Dec!E124)</f>
        <v>0</v>
      </c>
      <c r="F124" s="10">
        <f t="shared" si="6"/>
        <v>0</v>
      </c>
      <c r="G124" s="11" t="str">
        <f t="shared" si="7"/>
        <v/>
      </c>
      <c r="H124" s="12">
        <f>SUM(Oct!H124,Nov!H124,Dec!H124)</f>
        <v>0</v>
      </c>
      <c r="I124" s="12">
        <f>SUM(Oct!I124, Nov!I124, Dec!I124)</f>
        <v>0</v>
      </c>
      <c r="J124" s="13" t="str">
        <f t="shared" si="8"/>
        <v/>
      </c>
    </row>
    <row r="125" spans="1:10" ht="15.6">
      <c r="A125" s="26" t="str">
        <v>Aguadilla</v>
      </c>
      <c r="B125" s="27" t="str">
        <v>PR</v>
      </c>
      <c r="C125" s="27" t="str">
        <f>Sites[[#This Row],[SOL'#]]</f>
        <v>SOL-10072</v>
      </c>
      <c r="D125" s="9">
        <f>SUM(Oct!D125, Nov!D125, Dec!D125)</f>
        <v>0</v>
      </c>
      <c r="E125" s="14">
        <f>SUM(Oct!E125, Nov!E125, Dec!E125)</f>
        <v>0</v>
      </c>
      <c r="F125" s="14">
        <f t="shared" si="6"/>
        <v>0</v>
      </c>
      <c r="G125" s="15" t="str">
        <f t="shared" si="7"/>
        <v/>
      </c>
      <c r="H125" s="16">
        <f>SUM(Oct!H125,Nov!H125,Dec!H125)</f>
        <v>0</v>
      </c>
      <c r="I125" s="16">
        <f>SUM(Oct!I125, Nov!I125, Dec!I125)</f>
        <v>0</v>
      </c>
      <c r="J125" s="15" t="str">
        <f t="shared" si="8"/>
        <v/>
      </c>
    </row>
    <row r="126" spans="1:10" ht="15.6">
      <c r="A126" s="24" t="str">
        <v>Bayamon</v>
      </c>
      <c r="B126" s="25" t="str">
        <v>PR</v>
      </c>
      <c r="C126" s="25" t="str">
        <f>Sites[[#This Row],[SOL'#]]</f>
        <v>SOL-10073</v>
      </c>
      <c r="D126" s="20">
        <f>SUM(Oct!D126, Nov!D126, Dec!D126)</f>
        <v>0</v>
      </c>
      <c r="E126" s="10">
        <f>SUM(Oct!E126, Nov!E126, Dec!E126)</f>
        <v>0</v>
      </c>
      <c r="F126" s="10">
        <f t="shared" si="6"/>
        <v>0</v>
      </c>
      <c r="G126" s="11" t="str">
        <f t="shared" si="7"/>
        <v/>
      </c>
      <c r="H126" s="12">
        <f>SUM(Oct!H126,Nov!H126,Dec!H126)</f>
        <v>0</v>
      </c>
      <c r="I126" s="12">
        <f>SUM(Oct!I126, Nov!I126, Dec!I126)</f>
        <v>0</v>
      </c>
      <c r="J126" s="13" t="str">
        <f t="shared" si="8"/>
        <v/>
      </c>
    </row>
    <row r="127" spans="1:10" ht="15.6">
      <c r="A127" s="26" t="str">
        <v>St Francis</v>
      </c>
      <c r="B127" s="27" t="str">
        <v>PR</v>
      </c>
      <c r="C127" s="27" t="str">
        <f>Sites[[#This Row],[SOL'#]]</f>
        <v>SOL-10034</v>
      </c>
      <c r="D127" s="9">
        <f>SUM(Oct!D127, Nov!D127, Dec!D127)</f>
        <v>0</v>
      </c>
      <c r="E127" s="14">
        <f>SUM(Oct!E127, Nov!E127, Dec!E127)</f>
        <v>0</v>
      </c>
      <c r="F127" s="14">
        <f t="shared" si="6"/>
        <v>0</v>
      </c>
      <c r="G127" s="15" t="str">
        <f t="shared" si="7"/>
        <v/>
      </c>
      <c r="H127" s="16">
        <f>SUM(Oct!H127,Nov!H127,Dec!H127)</f>
        <v>0</v>
      </c>
      <c r="I127" s="16">
        <f>SUM(Oct!I127, Nov!I127, Dec!I127)</f>
        <v>0</v>
      </c>
      <c r="J127" s="15" t="str">
        <f t="shared" si="8"/>
        <v/>
      </c>
    </row>
    <row r="128" spans="1:10" ht="15.6">
      <c r="A128" s="24" t="str">
        <v>Seaport</v>
      </c>
      <c r="B128" s="25" t="str">
        <v>MA</v>
      </c>
      <c r="C128" s="25" t="str">
        <f>Sites[[#This Row],[SOL'#]]</f>
        <v>SOL-10772</v>
      </c>
      <c r="D128" s="20">
        <f>SUM(Oct!D128, Nov!D128, Dec!D128)</f>
        <v>0</v>
      </c>
      <c r="E128" s="10">
        <f>SUM(Oct!E128, Nov!E128, Dec!E128)</f>
        <v>0</v>
      </c>
      <c r="F128" s="10">
        <f t="shared" si="6"/>
        <v>0</v>
      </c>
      <c r="G128" s="11" t="str">
        <f t="shared" si="7"/>
        <v/>
      </c>
      <c r="H128" s="12">
        <f>SUM(Oct!H128,Nov!H128,Dec!H128)</f>
        <v>0</v>
      </c>
      <c r="I128" s="12">
        <f>SUM(Oct!I128, Nov!I128, Dec!I128)</f>
        <v>0</v>
      </c>
      <c r="J128" s="13" t="str">
        <f t="shared" si="8"/>
        <v/>
      </c>
    </row>
    <row r="129" spans="1:10" ht="15.6">
      <c r="A129" s="26" t="str">
        <v>Sprague St</v>
      </c>
      <c r="B129" s="27" t="str">
        <v>MA</v>
      </c>
      <c r="C129" s="27" t="str">
        <f>Sites[[#This Row],[SOL'#]]</f>
        <v>SOL-10773</v>
      </c>
      <c r="D129" s="9">
        <f>SUM(Oct!D129, Nov!D129, Dec!D129)</f>
        <v>0</v>
      </c>
      <c r="E129" s="14">
        <f>SUM(Oct!E129, Nov!E129, Dec!E129)</f>
        <v>0</v>
      </c>
      <c r="F129" s="14">
        <f t="shared" si="6"/>
        <v>0</v>
      </c>
      <c r="G129" s="15" t="str">
        <f t="shared" si="7"/>
        <v/>
      </c>
      <c r="H129" s="16">
        <f>SUM(Oct!H129,Nov!H129,Dec!H129)</f>
        <v>0</v>
      </c>
      <c r="I129" s="16">
        <f>SUM(Oct!I129, Nov!I129, Dec!I129)</f>
        <v>0</v>
      </c>
      <c r="J129" s="15" t="str">
        <f t="shared" si="8"/>
        <v/>
      </c>
    </row>
    <row r="130" spans="1:10" ht="15.6">
      <c r="A130" s="24" t="str">
        <v>Summer St</v>
      </c>
      <c r="B130" s="25" t="str">
        <v>MA</v>
      </c>
      <c r="C130" s="25" t="str">
        <f>Sites[[#This Row],[SOL'#]]</f>
        <v>SOL-10764</v>
      </c>
      <c r="D130" s="20">
        <f>SUM(Oct!D130, Nov!D130, Dec!D130)</f>
        <v>0</v>
      </c>
      <c r="E130" s="10">
        <f>SUM(Oct!E130, Nov!E130, Dec!E130)</f>
        <v>0</v>
      </c>
      <c r="F130" s="10">
        <f t="shared" si="6"/>
        <v>0</v>
      </c>
      <c r="G130" s="11" t="str">
        <f t="shared" si="7"/>
        <v/>
      </c>
      <c r="H130" s="12">
        <f>SUM(Oct!H130,Nov!H130,Dec!H130)</f>
        <v>0</v>
      </c>
      <c r="I130" s="12">
        <f>SUM(Oct!I130, Nov!I130, Dec!I130)</f>
        <v>0</v>
      </c>
      <c r="J130" s="13" t="str">
        <f t="shared" si="8"/>
        <v/>
      </c>
    </row>
    <row r="131" spans="1:10" ht="15.6">
      <c r="A131" s="26" t="str">
        <v>Brock St Vocational</v>
      </c>
      <c r="B131" s="27" t="str">
        <v>NH</v>
      </c>
      <c r="C131" s="27" t="str">
        <f>Sites[[#This Row],[SOL'#]]</f>
        <v>SOL-10768</v>
      </c>
      <c r="D131" s="9">
        <f>SUM(Oct!D131, Nov!D131, Dec!D131)</f>
        <v>0</v>
      </c>
      <c r="E131" s="14">
        <f>SUM(Oct!E131, Nov!E131, Dec!E131)</f>
        <v>0</v>
      </c>
      <c r="F131" s="14">
        <f t="shared" si="6"/>
        <v>0</v>
      </c>
      <c r="G131" s="15" t="str">
        <f t="shared" si="7"/>
        <v/>
      </c>
      <c r="H131" s="16">
        <f>SUM(Oct!H131,Nov!H131,Dec!H131)</f>
        <v>0</v>
      </c>
      <c r="I131" s="16">
        <f>SUM(Oct!I131, Nov!I131, Dec!I131)</f>
        <v>0</v>
      </c>
      <c r="J131" s="15" t="str">
        <f t="shared" si="8"/>
        <v/>
      </c>
    </row>
    <row r="132" spans="1:10" ht="15.6">
      <c r="A132" s="24" t="str">
        <v>McClelland ES</v>
      </c>
      <c r="B132" s="25" t="str">
        <v>NH</v>
      </c>
      <c r="C132" s="25" t="str">
        <f>Sites[[#This Row],[SOL'#]]</f>
        <v>SOL-10766</v>
      </c>
      <c r="D132" s="20">
        <f>SUM(Oct!D132, Nov!D132, Dec!D132)</f>
        <v>0</v>
      </c>
      <c r="E132" s="10">
        <f>SUM(Oct!E132, Nov!E132, Dec!E132)</f>
        <v>0</v>
      </c>
      <c r="F132" s="10">
        <f t="shared" si="6"/>
        <v>0</v>
      </c>
      <c r="G132" s="11" t="str">
        <f t="shared" si="7"/>
        <v/>
      </c>
      <c r="H132" s="12">
        <f>SUM(Oct!H132,Nov!H132,Dec!H132)</f>
        <v>0</v>
      </c>
      <c r="I132" s="12">
        <f>SUM(Oct!I132, Nov!I132, Dec!I132)</f>
        <v>0</v>
      </c>
      <c r="J132" s="13" t="str">
        <f t="shared" si="8"/>
        <v/>
      </c>
    </row>
    <row r="133" spans="1:10" ht="15.6">
      <c r="A133" s="26" t="str">
        <v>Portland St</v>
      </c>
      <c r="B133" s="27" t="str">
        <v>NH</v>
      </c>
      <c r="C133" s="27" t="str">
        <f>Sites[[#This Row],[SOL'#]]</f>
        <v>SOL-10771</v>
      </c>
      <c r="D133" s="9">
        <f>SUM(Oct!D133, Nov!D133, Dec!D133)</f>
        <v>0</v>
      </c>
      <c r="E133" s="14">
        <f>SUM(Oct!E133, Nov!E133, Dec!E133)</f>
        <v>0</v>
      </c>
      <c r="F133" s="14">
        <f t="shared" si="6"/>
        <v>0</v>
      </c>
      <c r="G133" s="15" t="str">
        <f t="shared" si="7"/>
        <v/>
      </c>
      <c r="H133" s="16">
        <f>SUM(Oct!H133,Nov!H133,Dec!H133)</f>
        <v>0</v>
      </c>
      <c r="I133" s="16">
        <f>SUM(Oct!I133, Nov!I133, Dec!I133)</f>
        <v>0</v>
      </c>
      <c r="J133" s="15" t="str">
        <f t="shared" si="8"/>
        <v/>
      </c>
    </row>
    <row r="134" spans="1:10" ht="15.6">
      <c r="A134" s="24" t="str">
        <v>Portsmouth HS</v>
      </c>
      <c r="B134" s="25" t="str">
        <v>NH</v>
      </c>
      <c r="C134" s="25" t="str">
        <f>Sites[[#This Row],[SOL'#]]</f>
        <v>SOL-10769</v>
      </c>
      <c r="D134" s="20">
        <f>SUM(Oct!D134, Nov!D134, Dec!D134)</f>
        <v>0</v>
      </c>
      <c r="E134" s="10">
        <f>SUM(Oct!E134, Nov!E134, Dec!E134)</f>
        <v>0</v>
      </c>
      <c r="F134" s="10">
        <f t="shared" si="6"/>
        <v>0</v>
      </c>
      <c r="G134" s="11" t="str">
        <f t="shared" si="7"/>
        <v/>
      </c>
      <c r="H134" s="12">
        <f>SUM(Oct!H134,Nov!H134,Dec!H134)</f>
        <v>0</v>
      </c>
      <c r="I134" s="12">
        <f>SUM(Oct!I134, Nov!I134, Dec!I134)</f>
        <v>0</v>
      </c>
      <c r="J134" s="13" t="str">
        <f t="shared" si="8"/>
        <v/>
      </c>
    </row>
    <row r="135" spans="1:10" ht="15.6">
      <c r="A135" s="26" t="str">
        <v>Portsmouth WTP</v>
      </c>
      <c r="B135" s="27" t="str">
        <v>NH</v>
      </c>
      <c r="C135" s="27" t="str">
        <f>Sites[[#This Row],[SOL'#]]</f>
        <v>SOL-10770</v>
      </c>
      <c r="D135" s="9">
        <f>SUM(Oct!D135, Nov!D135, Dec!D135)</f>
        <v>0</v>
      </c>
      <c r="E135" s="14">
        <f>SUM(Oct!E135, Nov!E135, Dec!E135)</f>
        <v>0</v>
      </c>
      <c r="F135" s="14">
        <f t="shared" si="6"/>
        <v>0</v>
      </c>
      <c r="G135" s="15" t="str">
        <f t="shared" si="7"/>
        <v/>
      </c>
      <c r="H135" s="16">
        <f>SUM(Oct!H135,Nov!H135,Dec!H135)</f>
        <v>0</v>
      </c>
      <c r="I135" s="16">
        <f>SUM(Oct!I135, Nov!I135, Dec!I135)</f>
        <v>0</v>
      </c>
      <c r="J135" s="15" t="str">
        <f t="shared" si="8"/>
        <v/>
      </c>
    </row>
    <row r="136" spans="1:10" ht="15.6">
      <c r="A136" s="24" t="str">
        <v>Rochester St</v>
      </c>
      <c r="B136" s="25" t="str">
        <v>NH</v>
      </c>
      <c r="C136" s="25" t="str">
        <f>Sites[[#This Row],[SOL'#]]</f>
        <v>SOL-10765</v>
      </c>
      <c r="D136" s="20">
        <f>SUM(Oct!D136, Nov!D136, Dec!D136)</f>
        <v>0</v>
      </c>
      <c r="E136" s="10">
        <f>SUM(Oct!E136, Nov!E136, Dec!E136)</f>
        <v>0</v>
      </c>
      <c r="F136" s="10">
        <f t="shared" si="6"/>
        <v>0</v>
      </c>
      <c r="G136" s="11" t="str">
        <f t="shared" si="7"/>
        <v/>
      </c>
      <c r="H136" s="12">
        <f>SUM(Oct!H136,Nov!H136,Dec!H136)</f>
        <v>0</v>
      </c>
      <c r="I136" s="12">
        <f>SUM(Oct!I136, Nov!I136, Dec!I136)</f>
        <v>0</v>
      </c>
      <c r="J136" s="13" t="str">
        <f t="shared" si="8"/>
        <v/>
      </c>
    </row>
    <row r="137" spans="1:10" ht="15.6">
      <c r="A137" s="26" t="str">
        <v>Spaulding HS</v>
      </c>
      <c r="B137" s="27" t="str">
        <v>NH</v>
      </c>
      <c r="C137" s="27" t="str">
        <f>Sites[[#This Row],[SOL'#]]</f>
        <v>SOL-10767</v>
      </c>
      <c r="D137" s="9">
        <f>SUM(Oct!D137, Nov!D137, Dec!D137)</f>
        <v>0</v>
      </c>
      <c r="E137" s="14">
        <f>SUM(Oct!E137, Nov!E137, Dec!E137)</f>
        <v>0</v>
      </c>
      <c r="F137" s="14">
        <f t="shared" si="6"/>
        <v>0</v>
      </c>
      <c r="G137" s="15" t="str">
        <f t="shared" si="7"/>
        <v/>
      </c>
      <c r="H137" s="16">
        <f>SUM(Oct!H137,Nov!H137,Dec!H137)</f>
        <v>0</v>
      </c>
      <c r="I137" s="16">
        <f>SUM(Oct!I137, Nov!I137, Dec!I137)</f>
        <v>0</v>
      </c>
      <c r="J137" s="15" t="str">
        <f t="shared" si="8"/>
        <v/>
      </c>
    </row>
    <row r="138" spans="1:10" ht="15.6">
      <c r="A138" s="24" t="str">
        <v>Ridgeway #2</v>
      </c>
      <c r="B138" s="25" t="str">
        <v>NY</v>
      </c>
      <c r="C138" s="25" t="str">
        <f>Sites[[#This Row],[SOL'#]]</f>
        <v>SOL-11027</v>
      </c>
      <c r="D138" s="20">
        <f>SUM(Oct!D138, Nov!D138, Dec!D138)</f>
        <v>0</v>
      </c>
      <c r="E138" s="10">
        <f>SUM(Oct!E138, Nov!E138, Dec!E138)</f>
        <v>0</v>
      </c>
      <c r="F138" s="10">
        <f t="shared" si="6"/>
        <v>0</v>
      </c>
      <c r="G138" s="11" t="str">
        <f t="shared" si="7"/>
        <v/>
      </c>
      <c r="H138" s="12">
        <f>SUM(Oct!H138,Nov!H138,Dec!H138)</f>
        <v>0</v>
      </c>
      <c r="I138" s="12">
        <f>SUM(Oct!I138, Nov!I138, Dec!I138)</f>
        <v>0</v>
      </c>
      <c r="J138" s="13" t="str">
        <f t="shared" si="8"/>
        <v/>
      </c>
    </row>
    <row r="139" spans="1:10" ht="15.6">
      <c r="A139" s="26" t="str">
        <v>Spencer</v>
      </c>
      <c r="B139" s="27" t="str">
        <v>NY</v>
      </c>
      <c r="C139" s="27" t="str">
        <f>Sites[[#This Row],[SOL'#]]</f>
        <v>SOL-11017</v>
      </c>
      <c r="D139" s="9">
        <f>SUM(Oct!D139, Nov!D139, Dec!D139)</f>
        <v>0</v>
      </c>
      <c r="E139" s="14">
        <f>SUM(Oct!E139, Nov!E139, Dec!E139)</f>
        <v>0</v>
      </c>
      <c r="F139" s="14">
        <f t="shared" si="6"/>
        <v>0</v>
      </c>
      <c r="G139" s="15" t="str">
        <f t="shared" si="7"/>
        <v/>
      </c>
      <c r="H139" s="16">
        <f>SUM(Oct!H139,Nov!H139,Dec!H139)</f>
        <v>0</v>
      </c>
      <c r="I139" s="16">
        <f>SUM(Oct!I139, Nov!I139, Dec!I139)</f>
        <v>0</v>
      </c>
      <c r="J139" s="15" t="str">
        <f t="shared" si="8"/>
        <v/>
      </c>
    </row>
    <row r="140" spans="1:10" ht="15.6">
      <c r="A140" s="24" t="str">
        <v>Reisender</v>
      </c>
      <c r="B140" s="25" t="str">
        <v>NY</v>
      </c>
      <c r="C140" s="25" t="str">
        <f>Sites[[#This Row],[SOL'#]]</f>
        <v>SOL-10886</v>
      </c>
      <c r="D140" s="20">
        <f>SUM(Oct!D140, Nov!D140, Dec!D140)</f>
        <v>0</v>
      </c>
      <c r="E140" s="10">
        <f>SUM(Oct!E140, Nov!E140, Dec!E140)</f>
        <v>0</v>
      </c>
      <c r="F140" s="10">
        <f t="shared" si="6"/>
        <v>0</v>
      </c>
      <c r="G140" s="11" t="str">
        <f t="shared" si="7"/>
        <v/>
      </c>
      <c r="H140" s="12">
        <f>SUM(Oct!H140,Nov!H140,Dec!H140)</f>
        <v>0</v>
      </c>
      <c r="I140" s="12">
        <f>SUM(Oct!I140, Nov!I140, Dec!I140)</f>
        <v>0</v>
      </c>
      <c r="J140" s="13" t="str">
        <f t="shared" si="8"/>
        <v/>
      </c>
    </row>
    <row r="141" spans="1:10" ht="15.6">
      <c r="A141" s="26" t="str">
        <v>Finney</v>
      </c>
      <c r="B141" s="27" t="str">
        <v>NY</v>
      </c>
      <c r="C141" s="27" t="str">
        <f>Sites[[#This Row],[SOL'#]]</f>
        <v>SOL-10999</v>
      </c>
      <c r="D141" s="9">
        <f>SUM(Oct!D141, Nov!D141, Dec!D141)</f>
        <v>0</v>
      </c>
      <c r="E141" s="14">
        <f>SUM(Oct!E141, Nov!E141, Dec!E141)</f>
        <v>0</v>
      </c>
      <c r="F141" s="14">
        <f t="shared" si="6"/>
        <v>0</v>
      </c>
      <c r="G141" s="15" t="str">
        <f t="shared" si="7"/>
        <v/>
      </c>
      <c r="H141" s="16">
        <f>SUM(Oct!H141,Nov!H141,Dec!H141)</f>
        <v>0</v>
      </c>
      <c r="I141" s="16">
        <f>SUM(Oct!I141, Nov!I141, Dec!I141)</f>
        <v>0</v>
      </c>
      <c r="J141" s="15" t="str">
        <f t="shared" si="8"/>
        <v/>
      </c>
    </row>
    <row r="142" spans="1:10" ht="15.6">
      <c r="A142" s="24" t="str">
        <v>Davis Solar</v>
      </c>
      <c r="B142" s="25" t="str">
        <v>NY</v>
      </c>
      <c r="C142" s="25" t="str">
        <f>Sites[[#This Row],[SOL'#]]</f>
        <v>SOL-10958</v>
      </c>
      <c r="D142" s="20">
        <f>SUM(Oct!D142, Nov!D142, Dec!D142)</f>
        <v>0</v>
      </c>
      <c r="E142" s="10">
        <f>SUM(Oct!E142, Nov!E142, Dec!E142)</f>
        <v>0</v>
      </c>
      <c r="F142" s="10">
        <f t="shared" si="6"/>
        <v>0</v>
      </c>
      <c r="G142" s="11" t="str">
        <f t="shared" si="7"/>
        <v/>
      </c>
      <c r="H142" s="12">
        <f>SUM(Oct!H142,Nov!H142,Dec!H142)</f>
        <v>0</v>
      </c>
      <c r="I142" s="12">
        <f>SUM(Oct!I142, Nov!I142, Dec!I142)</f>
        <v>0</v>
      </c>
      <c r="J142" s="13" t="str">
        <f t="shared" si="8"/>
        <v/>
      </c>
    </row>
    <row r="143" spans="1:10" ht="15.6">
      <c r="A143" s="26" t="str">
        <v>Genesee</v>
      </c>
      <c r="B143" s="27" t="str">
        <v>NY</v>
      </c>
      <c r="C143" s="27" t="str">
        <f>Sites[[#This Row],[SOL'#]]</f>
        <v>SOL-10951</v>
      </c>
      <c r="D143" s="9">
        <f>SUM(Oct!D143, Nov!D143, Dec!D143)</f>
        <v>0</v>
      </c>
      <c r="E143" s="14">
        <f>SUM(Oct!E143, Nov!E143, Dec!E143)</f>
        <v>0</v>
      </c>
      <c r="F143" s="14">
        <f t="shared" si="6"/>
        <v>0</v>
      </c>
      <c r="G143" s="15" t="str">
        <f t="shared" si="7"/>
        <v/>
      </c>
      <c r="H143" s="16">
        <f>SUM(Oct!H143,Nov!H143,Dec!H143)</f>
        <v>0</v>
      </c>
      <c r="I143" s="16">
        <f>SUM(Oct!I143, Nov!I143, Dec!I143)</f>
        <v>0</v>
      </c>
      <c r="J143" s="15" t="str">
        <f t="shared" si="8"/>
        <v/>
      </c>
    </row>
    <row r="144" spans="1:10" ht="15.6">
      <c r="A144" s="24" t="str">
        <v>Landau I</v>
      </c>
      <c r="B144" s="25" t="str">
        <v>NY</v>
      </c>
      <c r="C144" s="25" t="str">
        <f>Sites[[#This Row],[SOL'#]]</f>
        <v>SOL-10891</v>
      </c>
      <c r="D144" s="20">
        <f>SUM(Oct!D144, Nov!D144, Dec!D144)</f>
        <v>0</v>
      </c>
      <c r="E144" s="10">
        <f>SUM(Oct!E144, Nov!E144, Dec!E144)</f>
        <v>0</v>
      </c>
      <c r="F144" s="10">
        <f t="shared" ref="F144:F161" si="9">IF(AND(ISNUMBER(D144),ISNUMBER(E144)), D144-E144, "")</f>
        <v>0</v>
      </c>
      <c r="G144" s="11" t="str">
        <f t="shared" ref="G144:G161" si="10">IFERROR(F144/E144, "")</f>
        <v/>
      </c>
      <c r="H144" s="12">
        <f>SUM(Oct!H144,Nov!H144,Dec!H144)</f>
        <v>0</v>
      </c>
      <c r="I144" s="12">
        <f>SUM(Oct!I144, Nov!I144, Dec!I144)</f>
        <v>0</v>
      </c>
      <c r="J144" s="13" t="str">
        <f t="shared" ref="J144:J161" si="11">IFERROR(I144/H144, "")</f>
        <v/>
      </c>
    </row>
    <row r="145" spans="1:10" ht="15.6">
      <c r="A145" s="26" t="str">
        <v>Landau II</v>
      </c>
      <c r="B145" s="27" t="str">
        <v>NY</v>
      </c>
      <c r="C145" s="27" t="str">
        <f>Sites[[#This Row],[SOL'#]]</f>
        <v>SOL-10895</v>
      </c>
      <c r="D145" s="9">
        <f>SUM(Oct!D145, Nov!D145, Dec!D145)</f>
        <v>0</v>
      </c>
      <c r="E145" s="14">
        <f>SUM(Oct!E145, Nov!E145, Dec!E145)</f>
        <v>0</v>
      </c>
      <c r="F145" s="14">
        <f t="shared" si="9"/>
        <v>0</v>
      </c>
      <c r="G145" s="15" t="str">
        <f t="shared" si="10"/>
        <v/>
      </c>
      <c r="H145" s="16">
        <f>SUM(Oct!H145,Nov!H145,Dec!H145)</f>
        <v>0</v>
      </c>
      <c r="I145" s="16">
        <f>SUM(Oct!I145, Nov!I145, Dec!I145)</f>
        <v>0</v>
      </c>
      <c r="J145" s="15" t="str">
        <f t="shared" si="11"/>
        <v/>
      </c>
    </row>
    <row r="146" spans="1:10" ht="15.6">
      <c r="A146" s="24" t="str">
        <v>New Beginnings</v>
      </c>
      <c r="B146" s="25" t="str">
        <v>NY</v>
      </c>
      <c r="C146" s="25" t="str">
        <f>Sites[[#This Row],[SOL'#]]</f>
        <v>SOL-10890</v>
      </c>
      <c r="D146" s="20">
        <f>SUM(Oct!D146, Nov!D146, Dec!D146)</f>
        <v>0</v>
      </c>
      <c r="E146" s="10">
        <f>SUM(Oct!E146, Nov!E146, Dec!E146)</f>
        <v>0</v>
      </c>
      <c r="F146" s="10">
        <f t="shared" si="9"/>
        <v>0</v>
      </c>
      <c r="G146" s="11" t="str">
        <f t="shared" si="10"/>
        <v/>
      </c>
      <c r="H146" s="12">
        <f>SUM(Oct!H146,Nov!H146,Dec!H146)</f>
        <v>0</v>
      </c>
      <c r="I146" s="12">
        <f>SUM(Oct!I146, Nov!I146, Dec!I146)</f>
        <v>0</v>
      </c>
      <c r="J146" s="13" t="str">
        <f t="shared" si="11"/>
        <v/>
      </c>
    </row>
    <row r="147" spans="1:10" ht="15.6">
      <c r="A147" s="26" t="str">
        <v>Guilin Farm Solar</v>
      </c>
      <c r="B147" s="27" t="str">
        <v>NY</v>
      </c>
      <c r="C147" s="27" t="str">
        <f>Sites[[#This Row],[SOL'#]]</f>
        <v>SOL-10998</v>
      </c>
      <c r="D147" s="9">
        <f>SUM(Oct!D147, Nov!D147, Dec!D147)</f>
        <v>0</v>
      </c>
      <c r="E147" s="14">
        <f>SUM(Oct!E147, Nov!E147, Dec!E147)</f>
        <v>0</v>
      </c>
      <c r="F147" s="14">
        <f t="shared" si="9"/>
        <v>0</v>
      </c>
      <c r="G147" s="15" t="str">
        <f t="shared" si="10"/>
        <v/>
      </c>
      <c r="H147" s="16">
        <f>SUM(Oct!H147,Nov!H147,Dec!H147)</f>
        <v>0</v>
      </c>
      <c r="I147" s="16">
        <f>SUM(Oct!I147, Nov!I147, Dec!I147)</f>
        <v>0</v>
      </c>
      <c r="J147" s="15" t="str">
        <f t="shared" si="11"/>
        <v/>
      </c>
    </row>
    <row r="148" spans="1:10" ht="15.6">
      <c r="A148" s="24" t="str">
        <v>Brodhead Solar</v>
      </c>
      <c r="B148" s="25" t="str">
        <v>NY</v>
      </c>
      <c r="C148" s="25" t="str">
        <f>Sites[[#This Row],[SOL'#]]</f>
        <v>SOL-10899</v>
      </c>
      <c r="D148" s="20">
        <f>SUM(Oct!D148, Nov!D148, Dec!D148)</f>
        <v>0</v>
      </c>
      <c r="E148" s="10">
        <f>SUM(Oct!E148, Nov!E148, Dec!E148)</f>
        <v>0</v>
      </c>
      <c r="F148" s="10">
        <f t="shared" si="9"/>
        <v>0</v>
      </c>
      <c r="G148" s="11" t="str">
        <f t="shared" si="10"/>
        <v/>
      </c>
      <c r="H148" s="12">
        <f>SUM(Oct!H148,Nov!H148,Dec!H148)</f>
        <v>0</v>
      </c>
      <c r="I148" s="12">
        <f>SUM(Oct!I148, Nov!I148, Dec!I148)</f>
        <v>0</v>
      </c>
      <c r="J148" s="13" t="str">
        <f t="shared" si="11"/>
        <v/>
      </c>
    </row>
    <row r="149" spans="1:10" ht="15.6">
      <c r="A149" s="26" t="str">
        <v>Svenski</v>
      </c>
      <c r="B149" s="27" t="str">
        <v>NY</v>
      </c>
      <c r="C149" s="27" t="str">
        <f>Sites[[#This Row],[SOL'#]]</f>
        <v>SOL-10894</v>
      </c>
      <c r="D149" s="9">
        <f>SUM(Oct!D149, Nov!D149, Dec!D149)</f>
        <v>0</v>
      </c>
      <c r="E149" s="14">
        <f>SUM(Oct!E149, Nov!E149, Dec!E149)</f>
        <v>0</v>
      </c>
      <c r="F149" s="14">
        <f t="shared" si="9"/>
        <v>0</v>
      </c>
      <c r="G149" s="15" t="str">
        <f t="shared" si="10"/>
        <v/>
      </c>
      <c r="H149" s="16">
        <f>SUM(Oct!H149,Nov!H149,Dec!H149)</f>
        <v>0</v>
      </c>
      <c r="I149" s="16">
        <f>SUM(Oct!I149, Nov!I149, Dec!I149)</f>
        <v>0</v>
      </c>
      <c r="J149" s="15" t="str">
        <f t="shared" si="11"/>
        <v/>
      </c>
    </row>
    <row r="150" spans="1:10" ht="15.6">
      <c r="A150" s="24" t="str">
        <v>Bantam</v>
      </c>
      <c r="B150" s="25" t="str">
        <v>NY</v>
      </c>
      <c r="C150" s="25" t="str">
        <f>Sites[[#This Row],[SOL'#]]</f>
        <v>SOL-10986</v>
      </c>
      <c r="D150" s="20">
        <f>SUM(Oct!D150, Nov!D150, Dec!D150)</f>
        <v>0</v>
      </c>
      <c r="E150" s="10">
        <f>SUM(Oct!E150, Nov!E150, Dec!E150)</f>
        <v>0</v>
      </c>
      <c r="F150" s="10">
        <f t="shared" si="9"/>
        <v>0</v>
      </c>
      <c r="G150" s="11" t="str">
        <f t="shared" si="10"/>
        <v/>
      </c>
      <c r="H150" s="12">
        <f>SUM(Oct!H150,Nov!H150,Dec!H150)</f>
        <v>0</v>
      </c>
      <c r="I150" s="12">
        <f>SUM(Oct!I150, Nov!I150, Dec!I150)</f>
        <v>0</v>
      </c>
      <c r="J150" s="13" t="str">
        <f t="shared" si="11"/>
        <v/>
      </c>
    </row>
    <row r="151" spans="1:10" ht="15.6">
      <c r="A151" s="26" t="str">
        <v>Bogart</v>
      </c>
      <c r="B151" s="27" t="str">
        <v>NY</v>
      </c>
      <c r="C151" s="27" t="str">
        <f>Sites[[#This Row],[SOL'#]]</f>
        <v>SOL-10887</v>
      </c>
      <c r="D151" s="9">
        <f>SUM(Oct!D151, Nov!D151, Dec!D151)</f>
        <v>0</v>
      </c>
      <c r="E151" s="14">
        <f>SUM(Oct!E151, Nov!E151, Dec!E151)</f>
        <v>0</v>
      </c>
      <c r="F151" s="14">
        <f t="shared" si="9"/>
        <v>0</v>
      </c>
      <c r="G151" s="15" t="str">
        <f t="shared" si="10"/>
        <v/>
      </c>
      <c r="H151" s="16">
        <f>SUM(Oct!H151,Nov!H151,Dec!H151)</f>
        <v>0</v>
      </c>
      <c r="I151" s="16">
        <f>SUM(Oct!I151, Nov!I151, Dec!I151)</f>
        <v>0</v>
      </c>
      <c r="J151" s="15" t="str">
        <f t="shared" si="11"/>
        <v/>
      </c>
    </row>
    <row r="152" spans="1:10" ht="15.6">
      <c r="A152" s="24" t="str">
        <v>Dubois</v>
      </c>
      <c r="B152" s="25" t="str">
        <v>NY</v>
      </c>
      <c r="C152" s="25" t="str">
        <f>Sites[[#This Row],[SOL'#]]</f>
        <v>SOL-10892</v>
      </c>
      <c r="D152" s="20">
        <f>SUM(Oct!D152, Nov!D152, Dec!D152)</f>
        <v>0</v>
      </c>
      <c r="E152" s="10">
        <f>SUM(Oct!E152, Nov!E152, Dec!E152)</f>
        <v>0</v>
      </c>
      <c r="F152" s="10">
        <f t="shared" si="9"/>
        <v>0</v>
      </c>
      <c r="G152" s="11" t="str">
        <f t="shared" si="10"/>
        <v/>
      </c>
      <c r="H152" s="12">
        <f>SUM(Oct!H152,Nov!H152,Dec!H152)</f>
        <v>0</v>
      </c>
      <c r="I152" s="12">
        <f>SUM(Oct!I152, Nov!I152, Dec!I152)</f>
        <v>0</v>
      </c>
      <c r="J152" s="13" t="str">
        <f t="shared" si="11"/>
        <v/>
      </c>
    </row>
    <row r="153" spans="1:10" ht="15.6">
      <c r="A153" s="26" t="str">
        <v>Salt Point</v>
      </c>
      <c r="B153" s="27" t="str">
        <v>NY</v>
      </c>
      <c r="C153" s="27" t="str">
        <f>Sites[[#This Row],[SOL'#]]</f>
        <v>SOL-10888</v>
      </c>
      <c r="D153" s="9">
        <f>SUM(Oct!D153, Nov!D153, Dec!D153)</f>
        <v>0</v>
      </c>
      <c r="E153" s="14">
        <f>SUM(Oct!E153, Nov!E153, Dec!E153)</f>
        <v>0</v>
      </c>
      <c r="F153" s="14">
        <f t="shared" si="9"/>
        <v>0</v>
      </c>
      <c r="G153" s="15" t="str">
        <f t="shared" si="10"/>
        <v/>
      </c>
      <c r="H153" s="16">
        <f>SUM(Oct!H153,Nov!H153,Dec!H153)</f>
        <v>0</v>
      </c>
      <c r="I153" s="16">
        <f>SUM(Oct!I153, Nov!I153, Dec!I153)</f>
        <v>0</v>
      </c>
      <c r="J153" s="15" t="str">
        <f t="shared" si="11"/>
        <v/>
      </c>
    </row>
    <row r="154" spans="1:10" ht="15.6">
      <c r="A154" s="24" t="str">
        <v>Wheatland 2A</v>
      </c>
      <c r="B154" s="25" t="str">
        <v>NY</v>
      </c>
      <c r="C154" s="25" t="str">
        <f>Sites[[#This Row],[SOL'#]]</f>
        <v>SOL-10971</v>
      </c>
      <c r="D154" s="20">
        <f>SUM(Oct!D154, Nov!D154, Dec!D154)</f>
        <v>0</v>
      </c>
      <c r="E154" s="10">
        <f>SUM(Oct!E154, Nov!E154, Dec!E154)</f>
        <v>0</v>
      </c>
      <c r="F154" s="10">
        <f t="shared" si="9"/>
        <v>0</v>
      </c>
      <c r="G154" s="11" t="str">
        <f t="shared" si="10"/>
        <v/>
      </c>
      <c r="H154" s="12">
        <f>SUM(Oct!H154,Nov!H154,Dec!H154)</f>
        <v>0</v>
      </c>
      <c r="I154" s="12">
        <f>SUM(Oct!I154, Nov!I154, Dec!I154)</f>
        <v>0</v>
      </c>
      <c r="J154" s="13" t="str">
        <f t="shared" si="11"/>
        <v/>
      </c>
    </row>
    <row r="155" spans="1:10" ht="15.6">
      <c r="A155" s="26" t="str">
        <v>Wheatland 2B</v>
      </c>
      <c r="B155" s="27" t="str">
        <v>NY</v>
      </c>
      <c r="C155" s="27" t="str">
        <f>Sites[[#This Row],[SOL'#]]</f>
        <v>SOL-10961</v>
      </c>
      <c r="D155" s="9">
        <f>SUM(Oct!D155, Nov!D155, Dec!D155)</f>
        <v>0</v>
      </c>
      <c r="E155" s="14">
        <f>SUM(Oct!E155, Nov!E155, Dec!E155)</f>
        <v>0</v>
      </c>
      <c r="F155" s="14">
        <f t="shared" si="9"/>
        <v>0</v>
      </c>
      <c r="G155" s="15" t="str">
        <f t="shared" si="10"/>
        <v/>
      </c>
      <c r="H155" s="16">
        <f>SUM(Oct!H155,Nov!H155,Dec!H155)</f>
        <v>0</v>
      </c>
      <c r="I155" s="16">
        <f>SUM(Oct!I155, Nov!I155, Dec!I155)</f>
        <v>0</v>
      </c>
      <c r="J155" s="15" t="str">
        <f t="shared" si="11"/>
        <v/>
      </c>
    </row>
    <row r="156" spans="1:10" ht="15.6">
      <c r="A156" s="24" t="str">
        <v>Brickchurch</v>
      </c>
      <c r="B156" s="25" t="str">
        <v>NY</v>
      </c>
      <c r="C156" s="25" t="str">
        <f>Sites[[#This Row],[SOL'#]]</f>
        <v>SOL-10889</v>
      </c>
      <c r="D156" s="20">
        <f>SUM(Oct!D156, Nov!D156, Dec!D156)</f>
        <v>0</v>
      </c>
      <c r="E156" s="10">
        <f>SUM(Oct!E156, Nov!E156, Dec!E156)</f>
        <v>0</v>
      </c>
      <c r="F156" s="10">
        <f t="shared" si="9"/>
        <v>0</v>
      </c>
      <c r="G156" s="11" t="str">
        <f t="shared" si="10"/>
        <v/>
      </c>
      <c r="H156" s="12">
        <f>SUM(Oct!H156,Nov!H156,Dec!H156)</f>
        <v>0</v>
      </c>
      <c r="I156" s="12">
        <f>SUM(Oct!I156, Nov!I156, Dec!I156)</f>
        <v>0</v>
      </c>
      <c r="J156" s="13" t="str">
        <f t="shared" si="11"/>
        <v/>
      </c>
    </row>
    <row r="157" spans="1:10" ht="15.6">
      <c r="A157" s="26" t="str">
        <v>McCarthy Solar</v>
      </c>
      <c r="B157" s="27" t="str">
        <v>NY</v>
      </c>
      <c r="C157" s="27" t="str">
        <f>Sites[[#This Row],[SOL'#]]</f>
        <v>SOL-10992</v>
      </c>
      <c r="D157" s="9">
        <f>SUM(Oct!D157, Nov!D157, Dec!D157)</f>
        <v>0</v>
      </c>
      <c r="E157" s="14">
        <f>SUM(Oct!E157, Nov!E157, Dec!E157)</f>
        <v>0</v>
      </c>
      <c r="F157" s="14">
        <f t="shared" si="9"/>
        <v>0</v>
      </c>
      <c r="G157" s="15" t="str">
        <f t="shared" si="10"/>
        <v/>
      </c>
      <c r="H157" s="16">
        <f>SUM(Oct!H157,Nov!H157,Dec!H157)</f>
        <v>0</v>
      </c>
      <c r="I157" s="16">
        <f>SUM(Oct!I157, Nov!I157, Dec!I157)</f>
        <v>0</v>
      </c>
      <c r="J157" s="15" t="str">
        <f t="shared" si="11"/>
        <v/>
      </c>
    </row>
    <row r="158" spans="1:10" ht="15.6">
      <c r="A158" s="24" t="str">
        <v>Costanza</v>
      </c>
      <c r="B158" s="25" t="str">
        <v>NY</v>
      </c>
      <c r="C158" s="25" t="str">
        <f>Sites[[#This Row],[SOL'#]]</f>
        <v>SOL-10907</v>
      </c>
      <c r="D158" s="20">
        <f>SUM(Oct!D158, Nov!D158, Dec!D158)</f>
        <v>0</v>
      </c>
      <c r="E158" s="10">
        <f>SUM(Oct!E158, Nov!E158, Dec!E158)</f>
        <v>0</v>
      </c>
      <c r="F158" s="10">
        <f t="shared" si="9"/>
        <v>0</v>
      </c>
      <c r="G158" s="11" t="str">
        <f t="shared" si="10"/>
        <v/>
      </c>
      <c r="H158" s="12">
        <f>SUM(Oct!H158,Nov!H158,Dec!H158)</f>
        <v>0</v>
      </c>
      <c r="I158" s="12">
        <f>SUM(Oct!I158, Nov!I158, Dec!I158)</f>
        <v>0</v>
      </c>
      <c r="J158" s="13" t="str">
        <f t="shared" si="11"/>
        <v/>
      </c>
    </row>
    <row r="159" spans="1:10" ht="15.6">
      <c r="A159" s="26" t="str">
        <v>Lockenhurst Pond</v>
      </c>
      <c r="B159" s="27" t="str">
        <v>NY</v>
      </c>
      <c r="C159" s="27" t="str">
        <f>Sites[[#This Row],[SOL'#]]</f>
        <v>SOL-11000</v>
      </c>
      <c r="D159" s="9">
        <f>SUM(Oct!D159, Nov!D159, Dec!D159)</f>
        <v>0</v>
      </c>
      <c r="E159" s="14">
        <f>SUM(Oct!E159, Nov!E159, Dec!E159)</f>
        <v>0</v>
      </c>
      <c r="F159" s="14">
        <f t="shared" si="9"/>
        <v>0</v>
      </c>
      <c r="G159" s="15" t="str">
        <f t="shared" si="10"/>
        <v/>
      </c>
      <c r="H159" s="16">
        <f>SUM(Oct!H159,Nov!H159,Dec!H159)</f>
        <v>0</v>
      </c>
      <c r="I159" s="16">
        <f>SUM(Oct!I159, Nov!I159, Dec!I159)</f>
        <v>0</v>
      </c>
      <c r="J159" s="15" t="str">
        <f t="shared" si="11"/>
        <v/>
      </c>
    </row>
    <row r="160" spans="1:10" ht="15.6">
      <c r="A160" s="24" t="str">
        <v>Drinkwater</v>
      </c>
      <c r="B160" s="25" t="str">
        <v>NY</v>
      </c>
      <c r="C160" s="25" t="str">
        <f>Sites[[#This Row],[SOL'#]]</f>
        <v>SOL-10896</v>
      </c>
      <c r="D160" s="20">
        <f>SUM(Oct!D160, Nov!D160, Dec!D160)</f>
        <v>0</v>
      </c>
      <c r="E160" s="10">
        <f>SUM(Oct!E160, Nov!E160, Dec!E160)</f>
        <v>0</v>
      </c>
      <c r="F160" s="10">
        <f t="shared" si="9"/>
        <v>0</v>
      </c>
      <c r="G160" s="11" t="str">
        <f t="shared" si="10"/>
        <v/>
      </c>
      <c r="H160" s="12">
        <f>SUM(Oct!H160,Nov!H160,Dec!H160)</f>
        <v>0</v>
      </c>
      <c r="I160" s="12">
        <f>SUM(Oct!I160, Nov!I160, Dec!I160)</f>
        <v>0</v>
      </c>
      <c r="J160" s="13" t="str">
        <f t="shared" si="11"/>
        <v/>
      </c>
    </row>
    <row r="161" spans="1:10" ht="15.6">
      <c r="A161" s="26" t="str">
        <v>Altamont</v>
      </c>
      <c r="B161" s="27" t="str">
        <v>NY</v>
      </c>
      <c r="C161" s="27" t="str">
        <f>Sites[[#This Row],[SOL'#]]</f>
        <v>SOL-11085</v>
      </c>
      <c r="D161" s="9">
        <f>SUM(Oct!D161, Nov!D161, Dec!D161)</f>
        <v>0</v>
      </c>
      <c r="E161" s="14">
        <f>SUM(Oct!E161, Nov!E161, Dec!E161)</f>
        <v>0</v>
      </c>
      <c r="F161" s="14">
        <f t="shared" si="9"/>
        <v>0</v>
      </c>
      <c r="G161" s="15" t="str">
        <f t="shared" si="10"/>
        <v/>
      </c>
      <c r="H161" s="16">
        <f>SUM(Oct!H161,Nov!H161,Dec!H161)</f>
        <v>0</v>
      </c>
      <c r="I161" s="16">
        <f>SUM(Oct!I161, Nov!I161, Dec!I161)</f>
        <v>0</v>
      </c>
      <c r="J161" s="15" t="str">
        <f t="shared" si="11"/>
        <v/>
      </c>
    </row>
    <row r="162" spans="1:10" ht="15.6">
      <c r="A162" s="24" t="str">
        <v>Krumkill North</v>
      </c>
      <c r="B162" s="25" t="str">
        <v>NY</v>
      </c>
      <c r="C162" s="25" t="str">
        <f>Sites[[#This Row],[SOL'#]]</f>
        <v>SOL-11086</v>
      </c>
      <c r="D162" s="20">
        <f>SUM(Oct!D162, Nov!D162, Dec!D162)</f>
        <v>0</v>
      </c>
      <c r="E162" s="10">
        <f>SUM(Oct!E162, Nov!E162, Dec!E162)</f>
        <v>0</v>
      </c>
      <c r="F162" s="10">
        <f t="shared" ref="F162:F185" si="12">IF(AND(ISNUMBER(D162),ISNUMBER(E162)), D162-E162, "")</f>
        <v>0</v>
      </c>
      <c r="G162" s="11" t="str">
        <f t="shared" ref="G162:G185" si="13">IFERROR(F162/E162, "")</f>
        <v/>
      </c>
      <c r="H162" s="12">
        <f>SUM(Oct!H162,Nov!H162,Dec!H162)</f>
        <v>0</v>
      </c>
      <c r="I162" s="12">
        <f>SUM(Oct!I162, Nov!I162, Dec!I162)</f>
        <v>0</v>
      </c>
      <c r="J162" s="13" t="str">
        <f t="shared" ref="J162:J185" si="14">IFERROR(I162/H162, "")</f>
        <v/>
      </c>
    </row>
    <row r="163" spans="1:10" ht="15.6">
      <c r="A163" s="26" t="str">
        <v>Krumkill South</v>
      </c>
      <c r="B163" s="27" t="str">
        <v>NY</v>
      </c>
      <c r="C163" s="27" t="str">
        <f>Sites[[#This Row],[SOL'#]]</f>
        <v>SOL-11087</v>
      </c>
      <c r="D163" s="9">
        <f>SUM(Oct!D163, Nov!D163, Dec!D163)</f>
        <v>0</v>
      </c>
      <c r="E163" s="14">
        <f>SUM(Oct!E163, Nov!E163, Dec!E163)</f>
        <v>0</v>
      </c>
      <c r="F163" s="14">
        <f t="shared" si="12"/>
        <v>0</v>
      </c>
      <c r="G163" s="15" t="str">
        <f t="shared" si="13"/>
        <v/>
      </c>
      <c r="H163" s="16">
        <f>SUM(Oct!H163,Nov!H163,Dec!H163)</f>
        <v>0</v>
      </c>
      <c r="I163" s="16">
        <f>SUM(Oct!I163, Nov!I163, Dec!I163)</f>
        <v>0</v>
      </c>
      <c r="J163" s="15" t="str">
        <f t="shared" si="14"/>
        <v/>
      </c>
    </row>
    <row r="164" spans="1:10" ht="15.6">
      <c r="A164" s="24" t="str">
        <v>X092</v>
      </c>
      <c r="B164" s="25" t="str">
        <v>NY</v>
      </c>
      <c r="C164" s="25" t="str">
        <f>Sites[[#This Row],[SOL'#]]</f>
        <v>SOL-11189</v>
      </c>
      <c r="D164" s="20">
        <f>SUM(Oct!D164, Nov!D164, Dec!D164)</f>
        <v>0</v>
      </c>
      <c r="E164" s="10">
        <f>SUM(Oct!E164, Nov!E164, Dec!E164)</f>
        <v>0</v>
      </c>
      <c r="F164" s="10">
        <f t="shared" si="12"/>
        <v>0</v>
      </c>
      <c r="G164" s="11" t="str">
        <f t="shared" si="13"/>
        <v/>
      </c>
      <c r="H164" s="12">
        <f>SUM(Oct!H164,Nov!H164,Dec!H164)</f>
        <v>0</v>
      </c>
      <c r="I164" s="12">
        <f>SUM(Oct!I164, Nov!I164, Dec!I164)</f>
        <v>0</v>
      </c>
      <c r="J164" s="13" t="str">
        <f t="shared" si="14"/>
        <v/>
      </c>
    </row>
    <row r="165" spans="1:10" ht="15.6">
      <c r="A165" s="26" t="str">
        <v>X093</v>
      </c>
      <c r="B165" s="27" t="str">
        <v>NY</v>
      </c>
      <c r="C165" s="27" t="str">
        <f>Sites[[#This Row],[SOL'#]]</f>
        <v>SOL-10932</v>
      </c>
      <c r="D165" s="9">
        <f>SUM(Oct!D165, Nov!D165, Dec!D165)</f>
        <v>0</v>
      </c>
      <c r="E165" s="14">
        <f>SUM(Oct!E165, Nov!E165, Dec!E165)</f>
        <v>0</v>
      </c>
      <c r="F165" s="14">
        <f t="shared" si="12"/>
        <v>0</v>
      </c>
      <c r="G165" s="15" t="str">
        <f t="shared" si="13"/>
        <v/>
      </c>
      <c r="H165" s="16">
        <f>SUM(Oct!H165,Nov!H165,Dec!H165)</f>
        <v>0</v>
      </c>
      <c r="I165" s="16">
        <f>SUM(Oct!I165, Nov!I165, Dec!I165)</f>
        <v>0</v>
      </c>
      <c r="J165" s="15" t="str">
        <f t="shared" si="14"/>
        <v/>
      </c>
    </row>
    <row r="166" spans="1:10" ht="15.6">
      <c r="A166" s="24" t="str">
        <v>X095</v>
      </c>
      <c r="B166" s="25" t="str">
        <v>NY</v>
      </c>
      <c r="C166" s="25" t="str">
        <f>Sites[[#This Row],[SOL'#]]</f>
        <v>SOL-10929</v>
      </c>
      <c r="D166" s="20">
        <f>SUM(Oct!D166, Nov!D166, Dec!D166)</f>
        <v>0</v>
      </c>
      <c r="E166" s="10">
        <f>SUM(Oct!E166, Nov!E166, Dec!E166)</f>
        <v>0</v>
      </c>
      <c r="F166" s="10">
        <f t="shared" si="12"/>
        <v>0</v>
      </c>
      <c r="G166" s="11" t="str">
        <f t="shared" si="13"/>
        <v/>
      </c>
      <c r="H166" s="12">
        <f>SUM(Oct!H166,Nov!H166,Dec!H166)</f>
        <v>0</v>
      </c>
      <c r="I166" s="12">
        <f>SUM(Oct!I166, Nov!I166, Dec!I166)</f>
        <v>0</v>
      </c>
      <c r="J166" s="13" t="str">
        <f t="shared" si="14"/>
        <v/>
      </c>
    </row>
    <row r="167" spans="1:10" ht="15.6">
      <c r="A167" s="26" t="str">
        <v>X181</v>
      </c>
      <c r="B167" s="27" t="str">
        <v>NY</v>
      </c>
      <c r="C167" s="27" t="str">
        <f>Sites[[#This Row],[SOL'#]]</f>
        <v>SOL-10428</v>
      </c>
      <c r="D167" s="9">
        <f>SUM(Oct!D167, Nov!D167, Dec!D167)</f>
        <v>0</v>
      </c>
      <c r="E167" s="14">
        <f>SUM(Oct!E167, Nov!E167, Dec!E167)</f>
        <v>0</v>
      </c>
      <c r="F167" s="14">
        <f t="shared" si="12"/>
        <v>0</v>
      </c>
      <c r="G167" s="15" t="str">
        <f t="shared" si="13"/>
        <v/>
      </c>
      <c r="H167" s="16">
        <f>SUM(Oct!H167,Nov!H167,Dec!H167)</f>
        <v>0</v>
      </c>
      <c r="I167" s="16">
        <f>SUM(Oct!I167, Nov!I167, Dec!I167)</f>
        <v>0</v>
      </c>
      <c r="J167" s="15" t="str">
        <f t="shared" si="14"/>
        <v/>
      </c>
    </row>
    <row r="168" spans="1:10" ht="15.6">
      <c r="A168" s="24" t="str">
        <v>X415</v>
      </c>
      <c r="B168" s="25" t="str">
        <v>NY</v>
      </c>
      <c r="C168" s="25" t="str">
        <f>Sites[[#This Row],[SOL'#]]</f>
        <v>SOL-10429</v>
      </c>
      <c r="D168" s="20">
        <f>SUM(Oct!D168, Nov!D168, Dec!D168)</f>
        <v>0</v>
      </c>
      <c r="E168" s="10">
        <f>SUM(Oct!E168, Nov!E168, Dec!E168)</f>
        <v>0</v>
      </c>
      <c r="F168" s="10">
        <f t="shared" si="12"/>
        <v>0</v>
      </c>
      <c r="G168" s="11" t="str">
        <f t="shared" si="13"/>
        <v/>
      </c>
      <c r="H168" s="12">
        <f>SUM(Oct!H168,Nov!H168,Dec!H168)</f>
        <v>0</v>
      </c>
      <c r="I168" s="12">
        <f>SUM(Oct!I168, Nov!I168, Dec!I168)</f>
        <v>0</v>
      </c>
      <c r="J168" s="13" t="str">
        <f t="shared" si="14"/>
        <v/>
      </c>
    </row>
    <row r="169" spans="1:10" ht="15.6">
      <c r="A169" s="26" t="str">
        <v>K198</v>
      </c>
      <c r="B169" s="27" t="str">
        <v>NY</v>
      </c>
      <c r="C169" s="27" t="str">
        <f>Sites[[#This Row],[SOL'#]]</f>
        <v>SOL-10930</v>
      </c>
      <c r="D169" s="9">
        <f>SUM(Oct!D169, Nov!D169, Dec!D169)</f>
        <v>0</v>
      </c>
      <c r="E169" s="14">
        <f>SUM(Oct!E169, Nov!E169, Dec!E169)</f>
        <v>0</v>
      </c>
      <c r="F169" s="14">
        <f t="shared" si="12"/>
        <v>0</v>
      </c>
      <c r="G169" s="15" t="str">
        <f t="shared" si="13"/>
        <v/>
      </c>
      <c r="H169" s="16">
        <f>SUM(Oct!H169,Nov!H169,Dec!H169)</f>
        <v>0</v>
      </c>
      <c r="I169" s="16">
        <f>SUM(Oct!I169, Nov!I169, Dec!I169)</f>
        <v>0</v>
      </c>
      <c r="J169" s="15" t="str">
        <f t="shared" si="14"/>
        <v/>
      </c>
    </row>
    <row r="170" spans="1:10" ht="15.6">
      <c r="A170" s="24" t="str">
        <v>K203</v>
      </c>
      <c r="B170" s="25" t="str">
        <v>NY</v>
      </c>
      <c r="C170" s="25" t="str">
        <f>Sites[[#This Row],[SOL'#]]</f>
        <v>SOL-11190</v>
      </c>
      <c r="D170" s="20">
        <f>SUM(Oct!D170, Nov!D170, Dec!D170)</f>
        <v>0</v>
      </c>
      <c r="E170" s="10">
        <f>SUM(Oct!E170, Nov!E170, Dec!E170)</f>
        <v>0</v>
      </c>
      <c r="F170" s="10">
        <f t="shared" si="12"/>
        <v>0</v>
      </c>
      <c r="G170" s="11" t="str">
        <f t="shared" si="13"/>
        <v/>
      </c>
      <c r="H170" s="12">
        <f>SUM(Oct!H170,Nov!H170,Dec!H170)</f>
        <v>0</v>
      </c>
      <c r="I170" s="12">
        <f>SUM(Oct!I170, Nov!I170, Dec!I170)</f>
        <v>0</v>
      </c>
      <c r="J170" s="13" t="str">
        <f t="shared" si="14"/>
        <v/>
      </c>
    </row>
    <row r="171" spans="1:10" ht="15.6">
      <c r="A171" s="26" t="str">
        <v>K213</v>
      </c>
      <c r="B171" s="27" t="str">
        <v>NY</v>
      </c>
      <c r="C171" s="27" t="str">
        <f>Sites[[#This Row],[SOL'#]]</f>
        <v>SOL-11191</v>
      </c>
      <c r="D171" s="9">
        <f>SUM(Oct!D171, Nov!D171, Dec!D171)</f>
        <v>0</v>
      </c>
      <c r="E171" s="14">
        <f>SUM(Oct!E171, Nov!E171, Dec!E171)</f>
        <v>0</v>
      </c>
      <c r="F171" s="14">
        <f t="shared" si="12"/>
        <v>0</v>
      </c>
      <c r="G171" s="15" t="str">
        <f t="shared" si="13"/>
        <v/>
      </c>
      <c r="H171" s="16">
        <f>SUM(Oct!H171,Nov!H171,Dec!H171)</f>
        <v>0</v>
      </c>
      <c r="I171" s="16">
        <f>SUM(Oct!I171, Nov!I171, Dec!I171)</f>
        <v>0</v>
      </c>
      <c r="J171" s="15" t="str">
        <f t="shared" si="14"/>
        <v/>
      </c>
    </row>
    <row r="172" spans="1:10" ht="15.6">
      <c r="A172" s="24" t="str">
        <v>K217</v>
      </c>
      <c r="B172" s="25" t="str">
        <v>NY</v>
      </c>
      <c r="C172" s="25" t="str">
        <f>Sites[[#This Row],[SOL'#]]</f>
        <v>SOL-10933</v>
      </c>
      <c r="D172" s="20">
        <f>SUM(Oct!D172, Nov!D172, Dec!D172)</f>
        <v>0</v>
      </c>
      <c r="E172" s="10">
        <f>SUM(Oct!E172, Nov!E172, Dec!E172)</f>
        <v>0</v>
      </c>
      <c r="F172" s="10">
        <f t="shared" si="12"/>
        <v>0</v>
      </c>
      <c r="G172" s="11" t="str">
        <f t="shared" si="13"/>
        <v/>
      </c>
      <c r="H172" s="12">
        <f>SUM(Oct!H172,Nov!H172,Dec!H172)</f>
        <v>0</v>
      </c>
      <c r="I172" s="12">
        <f>SUM(Oct!I172, Nov!I172, Dec!I172)</f>
        <v>0</v>
      </c>
      <c r="J172" s="13" t="str">
        <f t="shared" si="14"/>
        <v/>
      </c>
    </row>
    <row r="173" spans="1:10" ht="15.6">
      <c r="A173" s="26" t="str">
        <v>K307</v>
      </c>
      <c r="B173" s="27" t="str">
        <v>NY</v>
      </c>
      <c r="C173" s="27" t="str">
        <f>Sites[[#This Row],[SOL'#]]</f>
        <v>SOL-10876</v>
      </c>
      <c r="D173" s="9">
        <f>SUM(Oct!D173, Nov!D173, Dec!D173)</f>
        <v>0</v>
      </c>
      <c r="E173" s="14">
        <f>SUM(Oct!E173, Nov!E173, Dec!E173)</f>
        <v>0</v>
      </c>
      <c r="F173" s="14">
        <f t="shared" si="12"/>
        <v>0</v>
      </c>
      <c r="G173" s="15" t="str">
        <f t="shared" si="13"/>
        <v/>
      </c>
      <c r="H173" s="16">
        <f>SUM(Oct!H173,Nov!H173,Dec!H173)</f>
        <v>0</v>
      </c>
      <c r="I173" s="16">
        <f>SUM(Oct!I173, Nov!I173, Dec!I173)</f>
        <v>0</v>
      </c>
      <c r="J173" s="15" t="str">
        <f t="shared" si="14"/>
        <v/>
      </c>
    </row>
    <row r="174" spans="1:10" ht="15.6">
      <c r="A174" s="24" t="str">
        <v>K610</v>
      </c>
      <c r="B174" s="25" t="str">
        <v>NY</v>
      </c>
      <c r="C174" s="25" t="str">
        <f>Sites[[#This Row],[SOL'#]]</f>
        <v>SOL-11158</v>
      </c>
      <c r="D174" s="20">
        <f>SUM(Oct!D174, Nov!D174, Dec!D174)</f>
        <v>0</v>
      </c>
      <c r="E174" s="10">
        <f>SUM(Oct!E174, Nov!E174, Dec!E174)</f>
        <v>0</v>
      </c>
      <c r="F174" s="10">
        <f t="shared" si="12"/>
        <v>0</v>
      </c>
      <c r="G174" s="11" t="str">
        <f t="shared" si="13"/>
        <v/>
      </c>
      <c r="H174" s="12">
        <f>SUM(Oct!H174,Nov!H174,Dec!H174)</f>
        <v>0</v>
      </c>
      <c r="I174" s="12">
        <f>SUM(Oct!I174, Nov!I174, Dec!I174)</f>
        <v>0</v>
      </c>
      <c r="J174" s="13" t="str">
        <f t="shared" si="14"/>
        <v/>
      </c>
    </row>
    <row r="175" spans="1:10" ht="15.6">
      <c r="A175" s="26" t="str">
        <v>M025</v>
      </c>
      <c r="B175" s="27" t="str">
        <v>NY</v>
      </c>
      <c r="C175" s="27" t="str">
        <f>Sites[[#This Row],[SOL'#]]</f>
        <v>SOL-10392</v>
      </c>
      <c r="D175" s="9">
        <f>SUM(Oct!D175, Nov!D175, Dec!D175)</f>
        <v>0</v>
      </c>
      <c r="E175" s="14">
        <f>SUM(Oct!E175, Nov!E175, Dec!E175)</f>
        <v>0</v>
      </c>
      <c r="F175" s="14">
        <f t="shared" si="12"/>
        <v>0</v>
      </c>
      <c r="G175" s="15" t="str">
        <f t="shared" si="13"/>
        <v/>
      </c>
      <c r="H175" s="16">
        <f>SUM(Oct!H175,Nov!H175,Dec!H175)</f>
        <v>0</v>
      </c>
      <c r="I175" s="16">
        <f>SUM(Oct!I175, Nov!I175, Dec!I175)</f>
        <v>0</v>
      </c>
      <c r="J175" s="15" t="str">
        <f t="shared" si="14"/>
        <v/>
      </c>
    </row>
    <row r="176" spans="1:10" ht="15.6">
      <c r="A176" s="24" t="str">
        <v>M028</v>
      </c>
      <c r="B176" s="25" t="str">
        <v>NY</v>
      </c>
      <c r="C176" s="25" t="str">
        <f>Sites[[#This Row],[SOL'#]]</f>
        <v>SOL-10381</v>
      </c>
      <c r="D176" s="20">
        <f>SUM(Oct!D176, Nov!D176, Dec!D176)</f>
        <v>0</v>
      </c>
      <c r="E176" s="10">
        <f>SUM(Oct!E176, Nov!E176, Dec!E176)</f>
        <v>0</v>
      </c>
      <c r="F176" s="10">
        <f t="shared" si="12"/>
        <v>0</v>
      </c>
      <c r="G176" s="11" t="str">
        <f t="shared" si="13"/>
        <v/>
      </c>
      <c r="H176" s="12">
        <f>SUM(Oct!H176,Nov!H176,Dec!H176)</f>
        <v>0</v>
      </c>
      <c r="I176" s="12">
        <f>SUM(Oct!I176, Nov!I176, Dec!I176)</f>
        <v>0</v>
      </c>
      <c r="J176" s="13" t="str">
        <f t="shared" si="14"/>
        <v/>
      </c>
    </row>
    <row r="177" spans="1:10" ht="15.6">
      <c r="A177" s="26" t="str">
        <v>Q030</v>
      </c>
      <c r="B177" s="27" t="str">
        <v>NY</v>
      </c>
      <c r="C177" s="27" t="str">
        <f>Sites[[#This Row],[SOL'#]]</f>
        <v>SOL-10878</v>
      </c>
      <c r="D177" s="9">
        <f>SUM(Oct!D177, Nov!D177, Dec!D177)</f>
        <v>0</v>
      </c>
      <c r="E177" s="14">
        <f>SUM(Oct!E177, Nov!E177, Dec!E177)</f>
        <v>0</v>
      </c>
      <c r="F177" s="14">
        <f t="shared" si="12"/>
        <v>0</v>
      </c>
      <c r="G177" s="15" t="str">
        <f t="shared" si="13"/>
        <v/>
      </c>
      <c r="H177" s="16">
        <f>SUM(Oct!H177,Nov!H177,Dec!H177)</f>
        <v>0</v>
      </c>
      <c r="I177" s="16">
        <f>SUM(Oct!I177, Nov!I177, Dec!I177)</f>
        <v>0</v>
      </c>
      <c r="J177" s="15" t="str">
        <f t="shared" si="14"/>
        <v/>
      </c>
    </row>
    <row r="178" spans="1:10" ht="15.6">
      <c r="A178" s="24" t="str">
        <v>Q130</v>
      </c>
      <c r="B178" s="25" t="str">
        <v>NY</v>
      </c>
      <c r="C178" s="25" t="str">
        <f>Sites[[#This Row],[SOL'#]]</f>
        <v>SOL-10877</v>
      </c>
      <c r="D178" s="20">
        <f>SUM(Oct!D178, Nov!D178, Dec!D178)</f>
        <v>0</v>
      </c>
      <c r="E178" s="10">
        <f>SUM(Oct!E178, Nov!E178, Dec!E178)</f>
        <v>0</v>
      </c>
      <c r="F178" s="10">
        <f t="shared" si="12"/>
        <v>0</v>
      </c>
      <c r="G178" s="11" t="str">
        <f t="shared" si="13"/>
        <v/>
      </c>
      <c r="H178" s="12">
        <f>SUM(Oct!H178,Nov!H178,Dec!H178)</f>
        <v>0</v>
      </c>
      <c r="I178" s="12">
        <f>SUM(Oct!I178, Nov!I178, Dec!I178)</f>
        <v>0</v>
      </c>
      <c r="J178" s="13" t="str">
        <f t="shared" si="14"/>
        <v/>
      </c>
    </row>
    <row r="179" spans="1:10" ht="15.6">
      <c r="A179" s="26" t="str">
        <v>Q196</v>
      </c>
      <c r="B179" s="27" t="str">
        <v>NY</v>
      </c>
      <c r="C179" s="27" t="str">
        <f>Sites[[#This Row],[SOL'#]]</f>
        <v>SOL-10879</v>
      </c>
      <c r="D179" s="9">
        <f>SUM(Oct!D179, Nov!D179, Dec!D179)</f>
        <v>0</v>
      </c>
      <c r="E179" s="14">
        <f>SUM(Oct!E179, Nov!E179, Dec!E179)</f>
        <v>0</v>
      </c>
      <c r="F179" s="14">
        <f t="shared" si="12"/>
        <v>0</v>
      </c>
      <c r="G179" s="15" t="str">
        <f t="shared" si="13"/>
        <v/>
      </c>
      <c r="H179" s="16">
        <f>SUM(Oct!H179,Nov!H179,Dec!H179)</f>
        <v>0</v>
      </c>
      <c r="I179" s="16">
        <f>SUM(Oct!I179, Nov!I179, Dec!I179)</f>
        <v>0</v>
      </c>
      <c r="J179" s="15" t="str">
        <f t="shared" si="14"/>
        <v/>
      </c>
    </row>
    <row r="180" spans="1:10" ht="15.6">
      <c r="A180" s="24" t="str">
        <v>Q220</v>
      </c>
      <c r="B180" s="25" t="str">
        <v>NY</v>
      </c>
      <c r="C180" s="25" t="str">
        <f>Sites[[#This Row],[SOL'#]]</f>
        <v>SOL-10873</v>
      </c>
      <c r="D180" s="20">
        <f>SUM(Oct!D180, Nov!D180, Dec!D180)</f>
        <v>0</v>
      </c>
      <c r="E180" s="10">
        <f>SUM(Oct!E180, Nov!E180, Dec!E180)</f>
        <v>0</v>
      </c>
      <c r="F180" s="10">
        <f t="shared" si="12"/>
        <v>0</v>
      </c>
      <c r="G180" s="11" t="str">
        <f t="shared" si="13"/>
        <v/>
      </c>
      <c r="H180" s="12">
        <f>SUM(Oct!H180,Nov!H180,Dec!H180)</f>
        <v>0</v>
      </c>
      <c r="I180" s="12">
        <f>SUM(Oct!I180, Nov!I180, Dec!I180)</f>
        <v>0</v>
      </c>
      <c r="J180" s="13" t="str">
        <f t="shared" si="14"/>
        <v/>
      </c>
    </row>
    <row r="181" spans="1:10" ht="15.6">
      <c r="A181" s="26" t="str">
        <v>Q205</v>
      </c>
      <c r="B181" s="27" t="str">
        <v>NY</v>
      </c>
      <c r="C181" s="27" t="str">
        <f>Sites[[#This Row],[SOL'#]]</f>
        <v>SOL-10922</v>
      </c>
      <c r="D181" s="9">
        <f>SUM(Oct!D181, Nov!D181, Dec!D181)</f>
        <v>0</v>
      </c>
      <c r="E181" s="14">
        <f>SUM(Oct!E181, Nov!E181, Dec!E181)</f>
        <v>0</v>
      </c>
      <c r="F181" s="14">
        <f t="shared" si="12"/>
        <v>0</v>
      </c>
      <c r="G181" s="15" t="str">
        <f t="shared" si="13"/>
        <v/>
      </c>
      <c r="H181" s="16">
        <f>SUM(Oct!H181,Nov!H181,Dec!H181)</f>
        <v>0</v>
      </c>
      <c r="I181" s="16">
        <f>SUM(Oct!I181, Nov!I181, Dec!I181)</f>
        <v>0</v>
      </c>
      <c r="J181" s="15" t="str">
        <f t="shared" si="14"/>
        <v/>
      </c>
    </row>
    <row r="182" spans="1:10" ht="15.6">
      <c r="A182" s="24" t="str">
        <v>Q400</v>
      </c>
      <c r="B182" s="25" t="str">
        <v>NY</v>
      </c>
      <c r="C182" s="25" t="str">
        <f>Sites[[#This Row],[SOL'#]]</f>
        <v>SOL-10871</v>
      </c>
      <c r="D182" s="20">
        <f>SUM(Oct!D182, Nov!D182, Dec!D182)</f>
        <v>0</v>
      </c>
      <c r="E182" s="10">
        <f>SUM(Oct!E182, Nov!E182, Dec!E182)</f>
        <v>0</v>
      </c>
      <c r="F182" s="10">
        <f t="shared" si="12"/>
        <v>0</v>
      </c>
      <c r="G182" s="11" t="str">
        <f t="shared" si="13"/>
        <v/>
      </c>
      <c r="H182" s="12">
        <f>SUM(Oct!H182,Nov!H182,Dec!H182)</f>
        <v>0</v>
      </c>
      <c r="I182" s="12">
        <f>SUM(Oct!I182, Nov!I182, Dec!I182)</f>
        <v>0</v>
      </c>
      <c r="J182" s="13" t="str">
        <f t="shared" si="14"/>
        <v/>
      </c>
    </row>
    <row r="183" spans="1:10" ht="15.6">
      <c r="A183" s="26" t="str">
        <v>R003</v>
      </c>
      <c r="B183" s="27" t="str">
        <v>NY</v>
      </c>
      <c r="C183" s="27" t="str">
        <f>Sites[[#This Row],[SOL'#]]</f>
        <v>SOL-10416</v>
      </c>
      <c r="D183" s="9">
        <f>SUM(Oct!D183, Nov!D183, Dec!D183)</f>
        <v>0</v>
      </c>
      <c r="E183" s="14">
        <f>SUM(Oct!E183, Nov!E183, Dec!E183)</f>
        <v>0</v>
      </c>
      <c r="F183" s="14">
        <f t="shared" si="12"/>
        <v>0</v>
      </c>
      <c r="G183" s="15" t="str">
        <f t="shared" si="13"/>
        <v/>
      </c>
      <c r="H183" s="16">
        <f>SUM(Oct!H183,Nov!H183,Dec!H183)</f>
        <v>0</v>
      </c>
      <c r="I183" s="16">
        <f>SUM(Oct!I183, Nov!I183, Dec!I183)</f>
        <v>0</v>
      </c>
      <c r="J183" s="15" t="str">
        <f t="shared" si="14"/>
        <v/>
      </c>
    </row>
    <row r="184" spans="1:10" ht="15.6">
      <c r="A184" s="24" t="str">
        <v>R007</v>
      </c>
      <c r="B184" s="25" t="str">
        <v>NY</v>
      </c>
      <c r="C184" s="25" t="str">
        <f>Sites[[#This Row],[SOL'#]]</f>
        <v>SOL-10417</v>
      </c>
      <c r="D184" s="20">
        <f>SUM(Oct!D184, Nov!D184, Dec!D184)</f>
        <v>0</v>
      </c>
      <c r="E184" s="10">
        <f>SUM(Oct!E184, Nov!E184, Dec!E184)</f>
        <v>0</v>
      </c>
      <c r="F184" s="10">
        <f t="shared" si="12"/>
        <v>0</v>
      </c>
      <c r="G184" s="11" t="str">
        <f t="shared" si="13"/>
        <v/>
      </c>
      <c r="H184" s="12">
        <f>SUM(Oct!H184,Nov!H184,Dec!H184)</f>
        <v>0</v>
      </c>
      <c r="I184" s="12">
        <f>SUM(Oct!I184, Nov!I184, Dec!I184)</f>
        <v>0</v>
      </c>
      <c r="J184" s="13" t="str">
        <f t="shared" si="14"/>
        <v/>
      </c>
    </row>
    <row r="185" spans="1:10" ht="15.6">
      <c r="A185" s="26" t="str">
        <v>BK16</v>
      </c>
      <c r="B185" s="27" t="str">
        <v>NY</v>
      </c>
      <c r="C185" s="27" t="str">
        <f>Sites[[#This Row],[SOL'#]]</f>
        <v>SOL-11093</v>
      </c>
      <c r="D185" s="9">
        <f>SUM(Oct!D185, Nov!D185, Dec!D185)</f>
        <v>0</v>
      </c>
      <c r="E185" s="14">
        <f>SUM(Oct!E185, Nov!E185, Dec!E185)</f>
        <v>0</v>
      </c>
      <c r="F185" s="14">
        <f t="shared" si="12"/>
        <v>0</v>
      </c>
      <c r="G185" s="15" t="str">
        <f t="shared" si="13"/>
        <v/>
      </c>
      <c r="H185" s="16">
        <f>SUM(Oct!H185,Nov!H185,Dec!H185)</f>
        <v>0</v>
      </c>
      <c r="I185" s="16">
        <f>SUM(Oct!I185, Nov!I185, Dec!I185)</f>
        <v>0</v>
      </c>
      <c r="J185" s="15" t="str">
        <f t="shared" si="14"/>
        <v/>
      </c>
    </row>
    <row r="186" spans="1:10" ht="15.6">
      <c r="A186" s="24" t="str">
        <v>Trenton - Trenton East</v>
      </c>
      <c r="B186" s="25" t="str">
        <v>IL</v>
      </c>
      <c r="C186" s="25" t="str">
        <f>Sites[[#This Row],[SOL'#]]</f>
        <v>SOL-11060</v>
      </c>
      <c r="D186" s="60">
        <f>SUM(Oct!D186, Nov!D186, Dec!D186)</f>
        <v>0</v>
      </c>
      <c r="E186" s="10">
        <f>SUM(Oct!E186, Nov!E186, Dec!E186)</f>
        <v>0</v>
      </c>
      <c r="F186" s="10">
        <f>IF(AND(ISNUMBER(D186),ISNUMBER(E186)), D186-E186, "")</f>
        <v>0</v>
      </c>
      <c r="G186" s="11"/>
      <c r="H186" s="76">
        <f>SUM(Oct!H186,Nov!H186,Dec!H186)</f>
        <v>0</v>
      </c>
      <c r="I186" s="76">
        <f>SUM(Oct!I186, Nov!I186, Dec!I186)</f>
        <v>0</v>
      </c>
      <c r="J186" s="13"/>
    </row>
    <row r="187" spans="1:10" ht="15.6">
      <c r="A187" s="26" t="str">
        <v>Trenton - Trenton West</v>
      </c>
      <c r="B187" s="27" t="str">
        <v>IL</v>
      </c>
      <c r="C187" s="27" t="str">
        <f>Sites[[#This Row],[SOL'#]]</f>
        <v>SOL-11061</v>
      </c>
      <c r="D187" s="75">
        <f>SUM(Oct!D187, Nov!D187, Dec!D187)</f>
        <v>0</v>
      </c>
      <c r="E187" s="14">
        <f>SUM(Oct!E187, Nov!E187, Dec!E187)</f>
        <v>0</v>
      </c>
      <c r="F187" s="14">
        <f>IF(AND(ISNUMBER(D187),ISNUMBER(E187)), D187-E187, "")</f>
        <v>0</v>
      </c>
      <c r="G187" s="15"/>
      <c r="H187" s="78">
        <f>SUM(Oct!H187,Nov!H187,Dec!H187)</f>
        <v>0</v>
      </c>
      <c r="I187" s="78">
        <f>SUM(Oct!I187, Nov!I187, Dec!I187)</f>
        <v>0</v>
      </c>
      <c r="J187" s="15"/>
    </row>
    <row r="188" spans="1:10" ht="15.6">
      <c r="A188" s="24" t="str">
        <v>Dakota - Dakota Solar 1</v>
      </c>
      <c r="B188" s="25" t="str">
        <v>IL</v>
      </c>
      <c r="C188" s="25" t="str">
        <f>Sites[[#This Row],[SOL'#]]</f>
        <v>SOL-11113</v>
      </c>
      <c r="D188" s="60">
        <f>SUM(Oct!D188, Nov!D188, Dec!D188)</f>
        <v>0</v>
      </c>
      <c r="E188" s="10">
        <f>SUM(Oct!E188, Nov!E188, Dec!E188)</f>
        <v>0</v>
      </c>
      <c r="F188" s="10">
        <f>IF(AND(ISNUMBER(D188),ISNUMBER(E188)), D188-E188, "")</f>
        <v>0</v>
      </c>
      <c r="G188" s="11"/>
      <c r="H188" s="76">
        <f>SUM(Oct!H188,Nov!H188,Dec!H188)</f>
        <v>0</v>
      </c>
      <c r="I188" s="76">
        <f>SUM(Oct!I188, Nov!I188, Dec!I188)</f>
        <v>0</v>
      </c>
      <c r="J188" s="13"/>
    </row>
    <row r="189" spans="1:10" ht="15.6">
      <c r="A189" s="26" t="str">
        <v>X018</v>
      </c>
      <c r="B189" s="27" t="str">
        <v>NY</v>
      </c>
      <c r="C189" s="27" t="str">
        <f>Sites[[#This Row],[SOL'#]]</f>
        <v>SOL-10418</v>
      </c>
      <c r="D189" s="75">
        <f>SUM(Oct!D189, Nov!D189, Dec!D189)</f>
        <v>0</v>
      </c>
      <c r="E189" s="14">
        <f>SUM(Oct!E189, Nov!E189, Dec!E189)</f>
        <v>0</v>
      </c>
      <c r="F189" s="14">
        <f>IF(AND(ISNUMBER(D189),ISNUMBER(E189)), D189-E189, "")</f>
        <v>0</v>
      </c>
      <c r="G189" s="15"/>
      <c r="H189" s="78">
        <f>SUM(Oct!H189,Nov!H189,Dec!H189)</f>
        <v>0</v>
      </c>
      <c r="I189" s="78">
        <f>SUM(Oct!I189, Nov!I189, Dec!I189)</f>
        <v>0</v>
      </c>
      <c r="J189" s="15"/>
    </row>
    <row r="190" spans="1:10" ht="15.6">
      <c r="A190" s="24" t="str">
        <v>Janiak Solar</v>
      </c>
      <c r="B190" s="25" t="str">
        <v>NY</v>
      </c>
      <c r="C190" s="25" t="str">
        <f>Sites[[#This Row],[SOL'#]]</f>
        <v>SOL-10898</v>
      </c>
      <c r="D190" s="60">
        <f>SUM(Oct!D190, Nov!D190, Dec!D190)</f>
        <v>0</v>
      </c>
      <c r="E190" s="10">
        <f>SUM(Oct!E190, Nov!E190, Dec!E190)</f>
        <v>0</v>
      </c>
      <c r="F190" s="10">
        <f t="shared" ref="F190:F195" si="15">IF(AND(ISNUMBER(D190),ISNUMBER(E190)), D190-E190, "")</f>
        <v>0</v>
      </c>
      <c r="G190" s="11"/>
      <c r="H190" s="76">
        <f>SUM(Oct!H190,Nov!H190,Dec!H190)</f>
        <v>0</v>
      </c>
      <c r="I190" s="76">
        <f>SUM(Oct!I190, Nov!I190, Dec!I190)</f>
        <v>0</v>
      </c>
      <c r="J190" s="13"/>
    </row>
    <row r="191" spans="1:10" ht="15.6">
      <c r="A191" s="26" t="str">
        <v>County Route 11B</v>
      </c>
      <c r="B191" s="27" t="str">
        <v>NY</v>
      </c>
      <c r="C191" s="27" t="str">
        <f>Sites[[#This Row],[SOL'#]]</f>
        <v>SOL-10983</v>
      </c>
      <c r="D191" s="75">
        <f>SUM(Oct!D191, Nov!D191, Dec!D191)</f>
        <v>0</v>
      </c>
      <c r="E191" s="14">
        <f>SUM(Oct!E191, Nov!E191, Dec!E191)</f>
        <v>0</v>
      </c>
      <c r="F191" s="14">
        <f t="shared" si="15"/>
        <v>0</v>
      </c>
      <c r="G191" s="15"/>
      <c r="H191" s="78">
        <f>SUM(Oct!H191,Nov!H191,Dec!H191)</f>
        <v>0</v>
      </c>
      <c r="I191" s="78">
        <f>SUM(Oct!I191, Nov!I191, Dec!I191)</f>
        <v>0</v>
      </c>
      <c r="J191" s="15"/>
    </row>
    <row r="192" spans="1:10" ht="15.6">
      <c r="A192" s="24" t="str">
        <v>Barone</v>
      </c>
      <c r="B192" s="25" t="str">
        <v>NY</v>
      </c>
      <c r="C192" s="25" t="str">
        <f>Sites[[#This Row],[SOL'#]]</f>
        <v>SOL-11034</v>
      </c>
      <c r="D192" s="60">
        <f>SUM(Oct!D192, Nov!D192, Dec!D192)</f>
        <v>0</v>
      </c>
      <c r="E192" s="10">
        <f>SUM(Oct!E192, Nov!E192, Dec!E192)</f>
        <v>0</v>
      </c>
      <c r="F192" s="10">
        <f t="shared" si="15"/>
        <v>0</v>
      </c>
      <c r="G192" s="11"/>
      <c r="H192" s="76">
        <f>SUM(Oct!H192,Nov!H192,Dec!H192)</f>
        <v>0</v>
      </c>
      <c r="I192" s="76">
        <f>SUM(Oct!I192, Nov!I192, Dec!I192)</f>
        <v>0</v>
      </c>
      <c r="J192" s="13"/>
    </row>
    <row r="193" spans="1:10" ht="15.6">
      <c r="A193" s="26" t="str">
        <v>Cedarville</v>
      </c>
      <c r="B193" s="27" t="str">
        <v>IL</v>
      </c>
      <c r="C193" s="27" t="str">
        <f>Sites[[#This Row],[SOL'#]]</f>
        <v>SOL-11069</v>
      </c>
      <c r="D193" s="75">
        <f>SUM(Oct!D193, Nov!D193, Dec!D193)</f>
        <v>0</v>
      </c>
      <c r="E193" s="14">
        <f>SUM(Oct!E193, Nov!E193, Dec!E193)</f>
        <v>0</v>
      </c>
      <c r="F193" s="14">
        <f t="shared" si="15"/>
        <v>0</v>
      </c>
      <c r="G193" s="15"/>
      <c r="H193" s="78">
        <f>SUM(Oct!H193,Nov!H193,Dec!H193)</f>
        <v>0</v>
      </c>
      <c r="I193" s="78">
        <f>SUM(Oct!I193, Nov!I193, Dec!I193)</f>
        <v>0</v>
      </c>
      <c r="J193" s="15"/>
    </row>
    <row r="194" spans="1:10" ht="15.6">
      <c r="A194" s="24" t="str">
        <v xml:space="preserve"> O'Brien Hill #1</v>
      </c>
      <c r="B194" s="25" t="str">
        <v>NY</v>
      </c>
      <c r="C194" s="25" t="str">
        <f>Sites[[#This Row],[SOL'#]]</f>
        <v>SOL-11098</v>
      </c>
      <c r="D194" s="60">
        <f>SUM(Oct!D194, Nov!D194, Dec!D194)</f>
        <v>0</v>
      </c>
      <c r="E194" s="10">
        <f>SUM(Oct!E194, Nov!E194, Dec!E194)</f>
        <v>0</v>
      </c>
      <c r="F194" s="10">
        <f t="shared" si="15"/>
        <v>0</v>
      </c>
      <c r="G194" s="11"/>
      <c r="H194" s="76">
        <f>SUM(Oct!H194,Nov!H194,Dec!H194)</f>
        <v>0</v>
      </c>
      <c r="I194" s="76">
        <f>SUM(Oct!I194, Nov!I194, Dec!I194)</f>
        <v>0</v>
      </c>
      <c r="J194" s="13"/>
    </row>
    <row r="195" spans="1:10" ht="15.6">
      <c r="A195" s="26" t="str">
        <v xml:space="preserve"> O'Brien Hill #2</v>
      </c>
      <c r="B195" s="27" t="str">
        <v>NY</v>
      </c>
      <c r="C195" s="27" t="str">
        <f>Sites[[#This Row],[SOL'#]]</f>
        <v>SOL-11099</v>
      </c>
      <c r="D195" s="75">
        <f>SUM(Oct!D195, Nov!D195, Dec!D195)</f>
        <v>0</v>
      </c>
      <c r="E195" s="14">
        <f>SUM(Oct!E195, Nov!E195, Dec!E195)</f>
        <v>0</v>
      </c>
      <c r="F195" s="14">
        <f t="shared" si="15"/>
        <v>0</v>
      </c>
      <c r="G195" s="15"/>
      <c r="H195" s="78">
        <f>SUM(Oct!H195,Nov!H195,Dec!H195)</f>
        <v>0</v>
      </c>
      <c r="I195" s="78">
        <f>SUM(Oct!I195, Nov!I195, Dec!I195)</f>
        <v>0</v>
      </c>
      <c r="J195" s="15"/>
    </row>
    <row r="196" spans="1:10" ht="15.6">
      <c r="A196" s="24" t="str">
        <v>Trinity - Freeport</v>
      </c>
      <c r="B196" s="25" t="str">
        <v>IL</v>
      </c>
      <c r="C196" s="25"/>
      <c r="D196" s="60"/>
      <c r="E196" s="10"/>
      <c r="F196" s="10"/>
      <c r="G196" s="11"/>
      <c r="H196" s="76"/>
      <c r="I196" s="76"/>
      <c r="J196" s="13"/>
    </row>
    <row r="197" spans="1:10" ht="15.6">
      <c r="A197" s="26" t="str">
        <v>Ransom</v>
      </c>
      <c r="B197" s="27" t="str">
        <v>NY</v>
      </c>
      <c r="C197" s="27"/>
      <c r="D197" s="75"/>
      <c r="E197" s="14"/>
      <c r="F197" s="14"/>
      <c r="G197" s="15"/>
      <c r="H197" s="78"/>
      <c r="I197" s="78"/>
      <c r="J197" s="15"/>
    </row>
    <row r="198" spans="1:10" ht="15.6">
      <c r="A198" s="24" t="str">
        <v>Horseheads - Wedge</v>
      </c>
      <c r="B198" s="25" t="str">
        <v>NY</v>
      </c>
      <c r="C198" s="25"/>
      <c r="D198" s="60"/>
      <c r="E198" s="10"/>
      <c r="F198" s="10"/>
      <c r="G198" s="11"/>
      <c r="H198" s="76"/>
      <c r="I198" s="76"/>
      <c r="J198" s="13"/>
    </row>
    <row r="199" spans="1:10" ht="15.6">
      <c r="A199" s="26" t="str">
        <v>Otisville - Shoddy Hollow</v>
      </c>
      <c r="B199" s="27" t="str">
        <v>NY</v>
      </c>
      <c r="C199" s="27"/>
      <c r="D199" s="75"/>
      <c r="E199" s="14"/>
      <c r="F199" s="14"/>
      <c r="G199" s="15"/>
      <c r="H199" s="78"/>
      <c r="I199" s="78"/>
      <c r="J199" s="15"/>
    </row>
    <row r="200" spans="1:10" ht="15.6">
      <c r="A200" s="24" t="str">
        <v>Wellsville - Chenunda Creek</v>
      </c>
      <c r="B200" s="25" t="str">
        <v>NY</v>
      </c>
      <c r="C200" s="25"/>
      <c r="D200" s="60"/>
      <c r="E200" s="10"/>
      <c r="F200" s="10"/>
      <c r="G200" s="11"/>
      <c r="H200" s="76"/>
      <c r="I200" s="76"/>
      <c r="J200" s="13"/>
    </row>
  </sheetData>
  <mergeCells count="4">
    <mergeCell ref="H1:J1"/>
    <mergeCell ref="A1:D1"/>
    <mergeCell ref="E1:G1"/>
    <mergeCell ref="A2:B2"/>
  </mergeCells>
  <conditionalFormatting sqref="G2 J2">
    <cfRule type="cellIs" dxfId="106" priority="23" stopIfTrue="1" operator="lessThanOrEqual">
      <formula>-0.1</formula>
    </cfRule>
    <cfRule type="expression" dxfId="105" priority="24">
      <formula>AND(ISNUMBER(G2), G2&gt;=0.1)</formula>
    </cfRule>
  </conditionalFormatting>
  <conditionalFormatting sqref="G4:G190 J4:J190">
    <cfRule type="cellIs" dxfId="104" priority="21" stopIfTrue="1" operator="lessThanOrEqual">
      <formula>-0.1</formula>
    </cfRule>
    <cfRule type="expression" dxfId="103" priority="22">
      <formula>AND(ISNUMBER(G4), G4&gt;=0.1)</formula>
    </cfRule>
  </conditionalFormatting>
  <conditionalFormatting sqref="G191 J191">
    <cfRule type="cellIs" dxfId="102" priority="19" stopIfTrue="1" operator="lessThanOrEqual">
      <formula>-0.1</formula>
    </cfRule>
    <cfRule type="expression" dxfId="101" priority="20">
      <formula>AND(ISNUMBER(G191), G191&gt;=0.1)</formula>
    </cfRule>
  </conditionalFormatting>
  <conditionalFormatting sqref="G193 J193">
    <cfRule type="cellIs" dxfId="100" priority="17" stopIfTrue="1" operator="lessThanOrEqual">
      <formula>-0.1</formula>
    </cfRule>
    <cfRule type="expression" dxfId="99" priority="18">
      <formula>AND(ISNUMBER(G193), G193&gt;=0.1)</formula>
    </cfRule>
  </conditionalFormatting>
  <conditionalFormatting sqref="G195 J195">
    <cfRule type="cellIs" dxfId="98" priority="15" stopIfTrue="1" operator="lessThanOrEqual">
      <formula>-0.1</formula>
    </cfRule>
    <cfRule type="expression" dxfId="97" priority="16">
      <formula>AND(ISNUMBER(G195), G195&gt;=0.1)</formula>
    </cfRule>
  </conditionalFormatting>
  <conditionalFormatting sqref="G197 J197">
    <cfRule type="cellIs" dxfId="96" priority="13" stopIfTrue="1" operator="lessThanOrEqual">
      <formula>-0.1</formula>
    </cfRule>
    <cfRule type="expression" dxfId="95" priority="14">
      <formula>AND(ISNUMBER(G197), G197&gt;=0.1)</formula>
    </cfRule>
  </conditionalFormatting>
  <conditionalFormatting sqref="G199 J199">
    <cfRule type="cellIs" dxfId="94" priority="11" stopIfTrue="1" operator="lessThanOrEqual">
      <formula>-0.1</formula>
    </cfRule>
    <cfRule type="expression" dxfId="93" priority="12">
      <formula>AND(ISNUMBER(G199), G199&gt;=0.1)</formula>
    </cfRule>
  </conditionalFormatting>
  <conditionalFormatting sqref="G192 J192">
    <cfRule type="cellIs" dxfId="92" priority="9" stopIfTrue="1" operator="lessThanOrEqual">
      <formula>-0.1</formula>
    </cfRule>
    <cfRule type="expression" dxfId="91" priority="10">
      <formula>AND(ISNUMBER(G192), G192&gt;=0.1)</formula>
    </cfRule>
  </conditionalFormatting>
  <conditionalFormatting sqref="G194 J194">
    <cfRule type="cellIs" dxfId="90" priority="7" stopIfTrue="1" operator="lessThanOrEqual">
      <formula>-0.1</formula>
    </cfRule>
    <cfRule type="expression" dxfId="89" priority="8">
      <formula>AND(ISNUMBER(G194), G194&gt;=0.1)</formula>
    </cfRule>
  </conditionalFormatting>
  <conditionalFormatting sqref="G196 J196">
    <cfRule type="cellIs" dxfId="88" priority="5" stopIfTrue="1" operator="lessThanOrEqual">
      <formula>-0.1</formula>
    </cfRule>
    <cfRule type="expression" dxfId="87" priority="6">
      <formula>AND(ISNUMBER(G196), G196&gt;=0.1)</formula>
    </cfRule>
  </conditionalFormatting>
  <conditionalFormatting sqref="G198 J198">
    <cfRule type="cellIs" dxfId="86" priority="3" stopIfTrue="1" operator="lessThanOrEqual">
      <formula>-0.1</formula>
    </cfRule>
    <cfRule type="expression" dxfId="85" priority="4">
      <formula>AND(ISNUMBER(G198), G198&gt;=0.1)</formula>
    </cfRule>
  </conditionalFormatting>
  <conditionalFormatting sqref="G200 J200">
    <cfRule type="cellIs" dxfId="84" priority="1" stopIfTrue="1" operator="lessThanOrEqual">
      <formula>-0.1</formula>
    </cfRule>
    <cfRule type="expression" dxfId="83" priority="2">
      <formula>AND(ISNUMBER(G200), G200&gt;=0.1)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200"/>
  <sheetViews>
    <sheetView zoomScale="73" zoomScaleNormal="50" workbookViewId="0">
      <pane xSplit="2" ySplit="3" topLeftCell="C182" activePane="bottomRight" state="frozen"/>
      <selection pane="bottomRight" activeCell="K189" sqref="K189"/>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49" t="str" cm="1">
        <f t="array" ref="A1">portfolio</f>
        <v>Generate Capital</v>
      </c>
      <c r="B1" s="149"/>
      <c r="C1" s="149"/>
      <c r="D1" s="149"/>
      <c r="E1" s="150" t="s">
        <v>19</v>
      </c>
      <c r="F1" s="150"/>
      <c r="G1" s="150"/>
      <c r="H1" s="148" t="s">
        <v>20</v>
      </c>
      <c r="I1" s="148"/>
      <c r="J1" s="148"/>
      <c r="K1" s="4"/>
      <c r="L1" s="4"/>
    </row>
    <row r="2" spans="1:20" ht="19.5" customHeight="1">
      <c r="A2" s="151" t="s">
        <v>2</v>
      </c>
      <c r="B2" s="151"/>
      <c r="C2" s="65"/>
      <c r="D2" s="5">
        <f>SUM(D4:D137)</f>
        <v>9234212.2868879009</v>
      </c>
      <c r="E2" s="5">
        <f>SUM(E4:E137)</f>
        <v>5144511.8000000007</v>
      </c>
      <c r="F2" s="5">
        <f>D2-E2</f>
        <v>4089700.4868879002</v>
      </c>
      <c r="G2" s="6">
        <f>IFERROR(F2/E2, 0)</f>
        <v>0.79496376835755334</v>
      </c>
      <c r="H2" s="5">
        <f>SUM(H4:H137)</f>
        <v>11492435.575800002</v>
      </c>
      <c r="I2" s="7">
        <f>D2-H2</f>
        <v>-2258223.2889121007</v>
      </c>
      <c r="J2" s="6">
        <f>IFERROR(I2/H2, 0)</f>
        <v>-0.19649649319482074</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10022.647341772101</v>
      </c>
      <c r="E4" s="10">
        <v>7832.1040000000003</v>
      </c>
      <c r="F4" s="10">
        <f>IF(AND(ISNUMBER(D4),ISNUMBER(E4)), D4-E4, "")</f>
        <v>2190.5433417721006</v>
      </c>
      <c r="G4" s="11">
        <f>IFERROR(F4/E4, "")</f>
        <v>0.27968772398478114</v>
      </c>
      <c r="H4" s="12">
        <v>8961.4670000000006</v>
      </c>
      <c r="I4" s="12">
        <f>IF(AND(ISNUMBER(D4),ISNUMBER(H4)), D4-H4, "")</f>
        <v>1061.1803417721003</v>
      </c>
      <c r="J4" s="13">
        <f>IFERROR(I4/H4, "")</f>
        <v>0.11841591803798421</v>
      </c>
      <c r="K4" s="37"/>
      <c r="L4" s="59"/>
      <c r="M4" s="118"/>
      <c r="N4" s="118"/>
      <c r="O4" s="118"/>
      <c r="P4" s="118"/>
      <c r="Q4" s="118"/>
      <c r="R4" s="118"/>
      <c r="S4" s="118"/>
      <c r="T4" s="118"/>
    </row>
    <row r="5" spans="1:20" ht="15.75">
      <c r="A5" s="26" t="str">
        <v>Fulton</v>
      </c>
      <c r="B5" s="27" t="str">
        <v>AZ</v>
      </c>
      <c r="C5" s="27" t="str">
        <f>Sites[[#This Row],[SOL'#]]</f>
        <v>SOL-10749</v>
      </c>
      <c r="D5" s="9">
        <v>27358.25</v>
      </c>
      <c r="E5" s="14">
        <v>36174.120000000003</v>
      </c>
      <c r="F5" s="14">
        <f t="shared" ref="F5:F15" si="0">IF(AND(ISNUMBER(D5),ISNUMBER(E5)), D5-E5, "")</f>
        <v>-8815.8700000000026</v>
      </c>
      <c r="G5" s="15">
        <f>IFERROR(F5/E5, "")</f>
        <v>-0.24370655042887021</v>
      </c>
      <c r="H5" s="16">
        <v>36985.040000000001</v>
      </c>
      <c r="I5" s="16">
        <f t="shared" ref="I5:I6" si="1">IF(AND(ISNUMBER(D5),ISNUMBER(H5)), D5-H5, "")</f>
        <v>-9626.7900000000009</v>
      </c>
      <c r="J5" s="15">
        <f t="shared" ref="J5:J6" si="2">IFERROR(I5/H5, "")</f>
        <v>-0.26028875458834166</v>
      </c>
      <c r="K5" s="56" t="s">
        <v>23</v>
      </c>
      <c r="L5" s="57"/>
      <c r="M5" s="118"/>
      <c r="N5" s="118"/>
      <c r="O5" s="118"/>
      <c r="P5" s="118"/>
      <c r="Q5" s="118"/>
      <c r="R5" s="118"/>
      <c r="S5" s="118"/>
      <c r="T5" s="118"/>
    </row>
    <row r="6" spans="1:20" ht="15.6">
      <c r="A6" s="24" t="str">
        <v>JFK Elementary</v>
      </c>
      <c r="B6" s="25" t="str">
        <v>AZ</v>
      </c>
      <c r="C6" s="25" t="str">
        <f>Sites[[#This Row],[SOL'#]]</f>
        <v>SOL-10758</v>
      </c>
      <c r="D6" s="20">
        <v>17013.968749261501</v>
      </c>
      <c r="E6" s="10">
        <v>0</v>
      </c>
      <c r="F6" s="10">
        <f t="shared" si="0"/>
        <v>17013.968749261501</v>
      </c>
      <c r="G6" s="11" t="str">
        <f t="shared" ref="G6:G15" si="3">IFERROR(F6/E6, "")</f>
        <v/>
      </c>
      <c r="H6" s="12">
        <v>15355</v>
      </c>
      <c r="I6" s="12">
        <f t="shared" si="1"/>
        <v>1658.9687492615012</v>
      </c>
      <c r="J6" s="13">
        <f t="shared" si="2"/>
        <v>0.1080409475259851</v>
      </c>
      <c r="K6" s="37"/>
      <c r="L6" s="59"/>
      <c r="M6" s="118"/>
      <c r="N6" s="118"/>
      <c r="O6" s="118"/>
      <c r="P6" s="118"/>
      <c r="Q6" s="118"/>
      <c r="R6" s="118"/>
      <c r="S6" s="118"/>
      <c r="T6" s="118"/>
    </row>
    <row r="7" spans="1:20" ht="15.6">
      <c r="A7" s="26" t="str">
        <v>Noble</v>
      </c>
      <c r="B7" s="27" t="str">
        <v>AZ</v>
      </c>
      <c r="C7" s="27" t="str">
        <f>Sites[[#This Row],[SOL'#]]</f>
        <v>SOL-10750</v>
      </c>
      <c r="D7" s="9">
        <v>9682.2103991950898</v>
      </c>
      <c r="E7" s="14">
        <v>13203.51</v>
      </c>
      <c r="F7" s="14">
        <f t="shared" si="0"/>
        <v>-3521.2996008049104</v>
      </c>
      <c r="G7" s="15">
        <f t="shared" si="3"/>
        <v>-0.26669420485953432</v>
      </c>
      <c r="H7" s="16">
        <v>10458.620000000001</v>
      </c>
      <c r="I7" s="16">
        <f t="shared" ref="I7:I15" si="4">IF(AND(ISNUMBER(D7),ISNUMBER(H7)), D7-H7, "")</f>
        <v>-776.40960080491095</v>
      </c>
      <c r="J7" s="15">
        <f t="shared" ref="J7:J15" si="5">IFERROR(I7/H7, "")</f>
        <v>-7.4236333359937623E-2</v>
      </c>
      <c r="K7" s="56"/>
      <c r="L7" s="58"/>
      <c r="M7" s="118"/>
      <c r="N7" s="118"/>
      <c r="O7" s="118"/>
      <c r="P7" s="118"/>
      <c r="Q7" s="118"/>
      <c r="R7" s="118"/>
      <c r="S7" s="118"/>
      <c r="T7" s="118"/>
    </row>
    <row r="8" spans="1:20" ht="15.6">
      <c r="A8" s="24" t="str">
        <v>Parking 3</v>
      </c>
      <c r="B8" s="25" t="str">
        <v>AZ</v>
      </c>
      <c r="C8" s="25" t="str">
        <f>Sites[[#This Row],[SOL'#]]</f>
        <v>SOL-10751</v>
      </c>
      <c r="D8" s="20">
        <v>25936.075000000201</v>
      </c>
      <c r="E8" s="10">
        <v>17329.39</v>
      </c>
      <c r="F8" s="10">
        <f t="shared" si="0"/>
        <v>8606.6850000002014</v>
      </c>
      <c r="G8" s="11">
        <f t="shared" si="3"/>
        <v>0.49665250767627722</v>
      </c>
      <c r="H8" s="12">
        <v>21447.37</v>
      </c>
      <c r="I8" s="12">
        <f t="shared" si="4"/>
        <v>4488.7050000002018</v>
      </c>
      <c r="J8" s="13">
        <f t="shared" si="5"/>
        <v>0.20928929747564395</v>
      </c>
      <c r="K8" s="37"/>
      <c r="L8" s="59"/>
      <c r="M8" s="118"/>
      <c r="N8" s="118"/>
      <c r="O8" s="118"/>
      <c r="P8" s="118"/>
      <c r="Q8" s="118"/>
      <c r="R8" s="118"/>
      <c r="S8" s="118"/>
      <c r="T8" s="118"/>
    </row>
    <row r="9" spans="1:20" ht="15.6">
      <c r="A9" s="26" t="str">
        <v>PE East</v>
      </c>
      <c r="B9" s="27" t="str">
        <v>AZ</v>
      </c>
      <c r="C9" s="27" t="str">
        <f>Sites[[#This Row],[SOL'#]]</f>
        <v>SOL-10752</v>
      </c>
      <c r="D9" s="9">
        <v>21756.534644440701</v>
      </c>
      <c r="E9" s="14">
        <v>13878.13</v>
      </c>
      <c r="F9" s="14">
        <f t="shared" si="0"/>
        <v>7878.4046444407013</v>
      </c>
      <c r="G9" s="15">
        <f t="shared" si="3"/>
        <v>0.56768488581968191</v>
      </c>
      <c r="H9" s="16">
        <v>22716.21</v>
      </c>
      <c r="I9" s="16">
        <f t="shared" si="4"/>
        <v>-959.67535555929862</v>
      </c>
      <c r="J9" s="15">
        <f t="shared" si="5"/>
        <v>-4.2246279443591106E-2</v>
      </c>
      <c r="K9" s="56"/>
      <c r="L9" s="58"/>
      <c r="M9" s="118"/>
      <c r="N9" s="118"/>
      <c r="O9" s="118"/>
      <c r="P9" s="118"/>
      <c r="Q9" s="118"/>
      <c r="R9" s="118"/>
      <c r="S9" s="118"/>
      <c r="T9" s="118"/>
    </row>
    <row r="10" spans="1:20" ht="15.6">
      <c r="A10" s="24" t="str">
        <v>Schwada</v>
      </c>
      <c r="B10" s="25" t="str">
        <v>AZ</v>
      </c>
      <c r="C10" s="25" t="str">
        <f>Sites[[#This Row],[SOL'#]]</f>
        <v>SOL-10753</v>
      </c>
      <c r="D10" s="20">
        <v>10137.009</v>
      </c>
      <c r="E10" s="10">
        <v>5713.7309999999998</v>
      </c>
      <c r="F10" s="10">
        <f t="shared" si="0"/>
        <v>4423.2780000000002</v>
      </c>
      <c r="G10" s="11">
        <f t="shared" si="3"/>
        <v>0.77414880049480805</v>
      </c>
      <c r="H10" s="12">
        <v>10042</v>
      </c>
      <c r="I10" s="12">
        <f t="shared" si="4"/>
        <v>95.009000000000015</v>
      </c>
      <c r="J10" s="13">
        <f t="shared" si="5"/>
        <v>9.4611631149173481E-3</v>
      </c>
      <c r="K10" s="37" t="s">
        <v>24</v>
      </c>
      <c r="L10" s="113" t="s">
        <v>25</v>
      </c>
      <c r="M10" s="118"/>
      <c r="N10" s="118"/>
      <c r="O10" s="118"/>
      <c r="P10" s="118"/>
      <c r="Q10" s="118"/>
      <c r="R10" s="118"/>
      <c r="S10" s="118"/>
      <c r="T10" s="118"/>
    </row>
    <row r="11" spans="1:20" ht="15.6">
      <c r="A11" s="26" t="str">
        <v>Starshine</v>
      </c>
      <c r="B11" s="27" t="str">
        <v>AZ</v>
      </c>
      <c r="C11" s="27" t="str">
        <f>Sites[[#This Row],[SOL'#]]</f>
        <v>SOL-10757</v>
      </c>
      <c r="D11" s="9">
        <v>4693.2999999999902</v>
      </c>
      <c r="E11" s="14">
        <v>0</v>
      </c>
      <c r="F11" s="14">
        <f t="shared" si="0"/>
        <v>4693.2999999999902</v>
      </c>
      <c r="G11" s="15" t="str">
        <f t="shared" si="3"/>
        <v/>
      </c>
      <c r="H11" s="16">
        <v>5668</v>
      </c>
      <c r="I11" s="16">
        <f t="shared" si="4"/>
        <v>-974.70000000000982</v>
      </c>
      <c r="J11" s="15">
        <f t="shared" si="5"/>
        <v>-0.17196541990120146</v>
      </c>
      <c r="K11" s="56" t="s">
        <v>26</v>
      </c>
      <c r="L11" s="114" t="s">
        <v>27</v>
      </c>
      <c r="M11" s="118"/>
      <c r="N11" s="118"/>
      <c r="O11" s="118"/>
      <c r="P11" s="118"/>
      <c r="Q11" s="118"/>
      <c r="R11" s="118"/>
      <c r="S11" s="118"/>
      <c r="T11" s="118"/>
    </row>
    <row r="12" spans="1:20" ht="15.6">
      <c r="A12" s="24" t="str">
        <v>Yuma Airport</v>
      </c>
      <c r="B12" s="25" t="str">
        <v>AZ</v>
      </c>
      <c r="C12" s="25" t="str">
        <f>Sites[[#This Row],[SOL'#]]</f>
        <v>SOL-10754</v>
      </c>
      <c r="D12" s="20">
        <v>60094</v>
      </c>
      <c r="E12" s="10">
        <v>80477.88</v>
      </c>
      <c r="F12" s="10">
        <f t="shared" si="0"/>
        <v>-20383.880000000005</v>
      </c>
      <c r="G12" s="11">
        <f t="shared" si="3"/>
        <v>-0.25328549907129766</v>
      </c>
      <c r="H12" s="12">
        <v>62836</v>
      </c>
      <c r="I12" s="12">
        <f t="shared" si="4"/>
        <v>-2742</v>
      </c>
      <c r="J12" s="13">
        <f t="shared" si="5"/>
        <v>-4.3637405309058498E-2</v>
      </c>
      <c r="K12" s="37"/>
      <c r="L12" s="59"/>
      <c r="M12" s="118"/>
      <c r="N12" s="118"/>
      <c r="O12" s="118"/>
      <c r="P12" s="118"/>
      <c r="Q12" s="118"/>
      <c r="R12" s="118"/>
      <c r="S12" s="118"/>
      <c r="T12" s="118"/>
    </row>
    <row r="13" spans="1:20" ht="68.25" customHeight="1">
      <c r="A13" s="26" t="str">
        <v>Kinsman</v>
      </c>
      <c r="B13" s="27" t="str">
        <v>OH</v>
      </c>
      <c r="C13" s="27" t="str">
        <f>Sites[[#This Row],[SOL'#]]</f>
        <v>SOL-10762</v>
      </c>
      <c r="D13" s="9">
        <v>16786.8671875</v>
      </c>
      <c r="E13" s="14">
        <v>52112.79</v>
      </c>
      <c r="F13" s="14">
        <f t="shared" si="0"/>
        <v>-35325.922812500001</v>
      </c>
      <c r="G13" s="15">
        <f t="shared" si="3"/>
        <v>-0.67787433396868602</v>
      </c>
      <c r="H13" s="16">
        <v>52574</v>
      </c>
      <c r="I13" s="16">
        <f t="shared" si="4"/>
        <v>-35787.1328125</v>
      </c>
      <c r="J13" s="15">
        <f t="shared" si="5"/>
        <v>-0.68070020946665655</v>
      </c>
      <c r="K13" s="56" t="s">
        <v>28</v>
      </c>
      <c r="L13" s="114" t="s">
        <v>29</v>
      </c>
      <c r="M13" s="117" t="s">
        <v>30</v>
      </c>
      <c r="N13" s="117" t="s">
        <v>31</v>
      </c>
      <c r="O13" s="118"/>
      <c r="P13" s="118"/>
      <c r="Q13" s="118"/>
      <c r="R13" s="118"/>
      <c r="S13" s="118"/>
      <c r="T13" s="118"/>
    </row>
    <row r="14" spans="1:20" ht="40.5" customHeight="1">
      <c r="A14" s="24" t="str">
        <v>Wooster</v>
      </c>
      <c r="B14" s="25" t="str">
        <v>OH</v>
      </c>
      <c r="C14" s="25" t="str">
        <f>Sites[[#This Row],[SOL'#]]</f>
        <v>SOL-10763</v>
      </c>
      <c r="D14" s="20">
        <v>6035.75</v>
      </c>
      <c r="E14" s="10">
        <v>0</v>
      </c>
      <c r="F14" s="10">
        <f t="shared" si="0"/>
        <v>6035.75</v>
      </c>
      <c r="G14" s="11" t="str">
        <f t="shared" si="3"/>
        <v/>
      </c>
      <c r="H14" s="12">
        <v>11652</v>
      </c>
      <c r="I14" s="12">
        <f t="shared" si="4"/>
        <v>-5616.25</v>
      </c>
      <c r="J14" s="13">
        <f t="shared" si="5"/>
        <v>-0.4819987984895297</v>
      </c>
      <c r="K14" s="37" t="s">
        <v>32</v>
      </c>
      <c r="L14" s="113" t="s">
        <v>33</v>
      </c>
      <c r="M14" s="118"/>
      <c r="N14" s="118"/>
      <c r="O14" s="118"/>
      <c r="P14" s="118"/>
      <c r="Q14" s="118"/>
      <c r="R14" s="118"/>
      <c r="S14" s="118"/>
      <c r="T14" s="118"/>
    </row>
    <row r="15" spans="1:20" ht="54" customHeight="1">
      <c r="A15" s="26" t="str">
        <v>Globe Gila CC</v>
      </c>
      <c r="B15" s="27" t="str">
        <v>AZ</v>
      </c>
      <c r="C15" s="27" t="str">
        <f>Sites[[#This Row],[SOL'#]]</f>
        <v>SOL-10755</v>
      </c>
      <c r="D15" s="9">
        <v>10938.7724047223</v>
      </c>
      <c r="E15" s="14">
        <v>0</v>
      </c>
      <c r="F15" s="14">
        <f t="shared" si="0"/>
        <v>10938.7724047223</v>
      </c>
      <c r="G15" s="15" t="str">
        <f t="shared" si="3"/>
        <v/>
      </c>
      <c r="H15" s="16">
        <v>11007</v>
      </c>
      <c r="I15" s="16">
        <f t="shared" si="4"/>
        <v>-68.227595277699947</v>
      </c>
      <c r="J15" s="15">
        <f t="shared" si="5"/>
        <v>-6.1985641208049374E-3</v>
      </c>
      <c r="K15" s="56" t="s">
        <v>34</v>
      </c>
      <c r="L15" s="114" t="s">
        <v>35</v>
      </c>
      <c r="M15" s="118"/>
      <c r="N15" s="118"/>
      <c r="O15" s="118"/>
      <c r="P15" s="118"/>
      <c r="Q15" s="118"/>
      <c r="R15" s="118"/>
      <c r="S15" s="118"/>
      <c r="T15" s="118"/>
    </row>
    <row r="16" spans="1:20" ht="46.5" customHeight="1">
      <c r="A16" s="24" t="str">
        <v>Payson Gila CC</v>
      </c>
      <c r="B16" s="25" t="str">
        <v>AZ</v>
      </c>
      <c r="C16" s="25" t="str">
        <f>Sites[[#This Row],[SOL'#]]</f>
        <v>SOL-10756</v>
      </c>
      <c r="D16" s="20">
        <v>8485.4826627329494</v>
      </c>
      <c r="E16" s="10">
        <v>4084.471</v>
      </c>
      <c r="F16" s="10">
        <f t="shared" ref="F16:F79" si="6">IF(AND(ISNUMBER(D16),ISNUMBER(E16)), D16-E16, "")</f>
        <v>4401.0116627329498</v>
      </c>
      <c r="G16" s="11">
        <f t="shared" ref="G16:G79" si="7">IFERROR(F16/E16, "")</f>
        <v>1.0774985702513129</v>
      </c>
      <c r="H16" s="12">
        <v>8158</v>
      </c>
      <c r="I16" s="12">
        <f t="shared" ref="I16:I17" si="8">IF(AND(ISNUMBER(D16),ISNUMBER(H16)), D16-H16, "")</f>
        <v>327.48266273294939</v>
      </c>
      <c r="J16" s="13">
        <f t="shared" ref="J16:J17" si="9">IFERROR(I16/H16, "")</f>
        <v>4.0142518108966581E-2</v>
      </c>
      <c r="K16" s="37" t="s">
        <v>36</v>
      </c>
      <c r="L16" s="113" t="s">
        <v>37</v>
      </c>
      <c r="M16" s="118"/>
      <c r="N16" s="118"/>
      <c r="O16" s="118"/>
      <c r="P16" s="118"/>
      <c r="Q16" s="118"/>
      <c r="R16" s="118"/>
      <c r="S16" s="118"/>
      <c r="T16" s="118"/>
    </row>
    <row r="17" spans="1:20" ht="82.5" customHeight="1">
      <c r="A17" s="26" t="str">
        <v>SCNM</v>
      </c>
      <c r="B17" s="27" t="str">
        <v>AZ</v>
      </c>
      <c r="C17" s="27" t="str">
        <f>Sites[[#This Row],[SOL'#]]</f>
        <v>SOL-10760</v>
      </c>
      <c r="D17" s="9">
        <v>55904.5</v>
      </c>
      <c r="E17" s="14">
        <v>28084.05</v>
      </c>
      <c r="F17" s="14">
        <f t="shared" si="6"/>
        <v>27820.45</v>
      </c>
      <c r="G17" s="15">
        <f t="shared" si="7"/>
        <v>0.99061388937849071</v>
      </c>
      <c r="H17" s="16">
        <v>54453</v>
      </c>
      <c r="I17" s="16">
        <f t="shared" si="8"/>
        <v>1451.5</v>
      </c>
      <c r="J17" s="15">
        <f t="shared" si="9"/>
        <v>2.6656015279231633E-2</v>
      </c>
      <c r="K17" s="56" t="s">
        <v>38</v>
      </c>
      <c r="L17" s="114" t="s">
        <v>39</v>
      </c>
      <c r="M17" s="117" t="s">
        <v>40</v>
      </c>
      <c r="N17" s="118"/>
      <c r="O17" s="118"/>
      <c r="P17" s="118"/>
      <c r="Q17" s="118"/>
      <c r="R17" s="118"/>
      <c r="S17" s="118"/>
      <c r="T17" s="118"/>
    </row>
    <row r="18" spans="1:20" ht="39" customHeight="1">
      <c r="A18" s="24" t="str">
        <v>Sequoia Charter School</v>
      </c>
      <c r="B18" s="25" t="str">
        <v>AZ</v>
      </c>
      <c r="C18" s="25" t="str">
        <f>Sites[[#This Row],[SOL'#]]</f>
        <v>SOL-10759</v>
      </c>
      <c r="D18" s="20">
        <v>17436.379999999899</v>
      </c>
      <c r="E18" s="10">
        <v>0</v>
      </c>
      <c r="F18" s="10">
        <f t="shared" si="6"/>
        <v>17436.379999999899</v>
      </c>
      <c r="G18" s="11" t="str">
        <f t="shared" si="7"/>
        <v/>
      </c>
      <c r="H18" s="12">
        <v>32604</v>
      </c>
      <c r="I18" s="12">
        <f t="shared" ref="I18:I81" si="10">IF(AND(ISNUMBER(D18),ISNUMBER(H18)), D18-H18, "")</f>
        <v>-15167.620000000101</v>
      </c>
      <c r="J18" s="13">
        <f t="shared" ref="J18:J81" si="11">IFERROR(I18/H18, "")</f>
        <v>-0.46520733652312907</v>
      </c>
      <c r="K18" s="37" t="s">
        <v>41</v>
      </c>
      <c r="L18" s="113" t="s">
        <v>42</v>
      </c>
      <c r="M18" s="118"/>
      <c r="N18" s="118"/>
      <c r="O18" s="118"/>
      <c r="P18" s="118"/>
      <c r="Q18" s="118"/>
      <c r="R18" s="118"/>
      <c r="S18" s="118"/>
      <c r="T18" s="118"/>
    </row>
    <row r="19" spans="1:20" ht="15.6">
      <c r="A19" s="26" t="str">
        <v>RCAB</v>
      </c>
      <c r="B19" s="27" t="str">
        <v>MA</v>
      </c>
      <c r="C19" s="27" t="str">
        <f>Sites[[#This Row],[SOL'#]]</f>
        <v>SOL-10838</v>
      </c>
      <c r="D19" s="9">
        <v>31671</v>
      </c>
      <c r="E19" s="14">
        <v>60562.239999999998</v>
      </c>
      <c r="F19" s="14">
        <f t="shared" si="6"/>
        <v>-28891.239999999998</v>
      </c>
      <c r="G19" s="15">
        <f t="shared" si="7"/>
        <v>-0.47705038651146325</v>
      </c>
      <c r="H19" s="16">
        <v>46121.62</v>
      </c>
      <c r="I19" s="16">
        <f t="shared" si="10"/>
        <v>-14450.620000000003</v>
      </c>
      <c r="J19" s="15">
        <f t="shared" si="11"/>
        <v>-0.31331553401636808</v>
      </c>
      <c r="K19" s="56" t="s">
        <v>43</v>
      </c>
      <c r="L19" s="114" t="s">
        <v>44</v>
      </c>
      <c r="M19" s="118"/>
      <c r="N19" s="118"/>
      <c r="O19" s="118"/>
      <c r="P19" s="118"/>
      <c r="Q19" s="118"/>
      <c r="R19" s="118"/>
      <c r="S19" s="118"/>
      <c r="T19" s="118"/>
    </row>
    <row r="20" spans="1:20" ht="15.6">
      <c r="A20" s="24" t="str">
        <v>Spectro Coatings</v>
      </c>
      <c r="B20" s="25" t="str">
        <v>MA</v>
      </c>
      <c r="C20" s="25" t="str">
        <f>Sites[[#This Row],[SOL'#]]</f>
        <v>SOL-10074</v>
      </c>
      <c r="D20" s="20">
        <v>9236.5</v>
      </c>
      <c r="E20" s="10">
        <v>18734.62</v>
      </c>
      <c r="F20" s="10">
        <f t="shared" si="6"/>
        <v>-9498.119999999999</v>
      </c>
      <c r="G20" s="11">
        <f t="shared" si="7"/>
        <v>-0.50698226064900165</v>
      </c>
      <c r="H20" s="12">
        <v>11364.41</v>
      </c>
      <c r="I20" s="12">
        <f t="shared" si="10"/>
        <v>-2127.91</v>
      </c>
      <c r="J20" s="13">
        <f t="shared" si="11"/>
        <v>-0.18724333247392516</v>
      </c>
      <c r="K20" s="37" t="s">
        <v>45</v>
      </c>
      <c r="L20" s="113" t="s">
        <v>46</v>
      </c>
      <c r="M20" s="118"/>
      <c r="N20" s="118"/>
      <c r="O20" s="118"/>
      <c r="P20" s="118"/>
      <c r="Q20" s="118"/>
      <c r="R20" s="118"/>
      <c r="S20" s="118"/>
      <c r="T20" s="118"/>
    </row>
    <row r="21" spans="1:20" ht="15.6">
      <c r="A21" s="26" t="str">
        <v>K026</v>
      </c>
      <c r="B21" s="27" t="str">
        <v>NY</v>
      </c>
      <c r="C21" s="27" t="str">
        <f>Sites[[#This Row],[SOL'#]]</f>
        <v>SOL-10356</v>
      </c>
      <c r="D21" s="9">
        <v>11980.125</v>
      </c>
      <c r="E21" s="14">
        <v>18586.79</v>
      </c>
      <c r="F21" s="14">
        <f t="shared" si="6"/>
        <v>-6606.6650000000009</v>
      </c>
      <c r="G21" s="15">
        <f t="shared" si="7"/>
        <v>-0.3554494885884007</v>
      </c>
      <c r="H21" s="16">
        <v>11111.47</v>
      </c>
      <c r="I21" s="16">
        <f t="shared" si="10"/>
        <v>868.65500000000065</v>
      </c>
      <c r="J21" s="15">
        <f t="shared" si="11"/>
        <v>7.817642490147575E-2</v>
      </c>
      <c r="K21" s="56"/>
      <c r="L21" s="58"/>
      <c r="M21" s="118"/>
      <c r="N21" s="118"/>
      <c r="O21" s="118"/>
      <c r="P21" s="118"/>
      <c r="Q21" s="118"/>
      <c r="R21" s="118"/>
      <c r="S21" s="118"/>
      <c r="T21" s="118"/>
    </row>
    <row r="22" spans="1:20" ht="15.6">
      <c r="A22" s="24" t="str">
        <v>K041</v>
      </c>
      <c r="B22" s="25" t="str">
        <v>NY</v>
      </c>
      <c r="C22" s="25" t="str">
        <f>Sites[[#This Row],[SOL'#]]</f>
        <v>SOL-10357</v>
      </c>
      <c r="D22" s="20">
        <v>8842.546875</v>
      </c>
      <c r="E22" s="10">
        <v>13490.72</v>
      </c>
      <c r="F22" s="10">
        <f t="shared" si="6"/>
        <v>-4648.1731249999993</v>
      </c>
      <c r="G22" s="11">
        <f t="shared" si="7"/>
        <v>-0.34454596381809122</v>
      </c>
      <c r="H22" s="12">
        <v>9924</v>
      </c>
      <c r="I22" s="12">
        <f t="shared" si="10"/>
        <v>-1081.453125</v>
      </c>
      <c r="J22" s="13">
        <f t="shared" si="11"/>
        <v>-0.10897351118500605</v>
      </c>
      <c r="K22" s="37"/>
      <c r="L22" s="59"/>
      <c r="M22" s="118"/>
      <c r="N22" s="118"/>
      <c r="O22" s="118"/>
      <c r="P22" s="118"/>
      <c r="Q22" s="118"/>
      <c r="R22" s="118"/>
      <c r="S22" s="118"/>
      <c r="T22" s="118"/>
    </row>
    <row r="23" spans="1:20" ht="15.6">
      <c r="A23" s="26" t="str">
        <v>K043</v>
      </c>
      <c r="B23" s="27" t="str">
        <v>NY</v>
      </c>
      <c r="C23" s="27" t="str">
        <f>Sites[[#This Row],[SOL'#]]</f>
        <v>SOL-10358</v>
      </c>
      <c r="D23" s="9">
        <v>10563.6875</v>
      </c>
      <c r="E23" s="14">
        <v>15508.68</v>
      </c>
      <c r="F23" s="14">
        <f t="shared" si="6"/>
        <v>-4944.9925000000003</v>
      </c>
      <c r="G23" s="15">
        <f t="shared" si="7"/>
        <v>-0.31885321639236869</v>
      </c>
      <c r="H23" s="16">
        <v>2303</v>
      </c>
      <c r="I23" s="16">
        <f t="shared" si="10"/>
        <v>8260.6875</v>
      </c>
      <c r="J23" s="15">
        <f t="shared" si="11"/>
        <v>3.5869246634824141</v>
      </c>
      <c r="K23" s="56" t="s">
        <v>47</v>
      </c>
      <c r="L23" s="58"/>
      <c r="M23" s="118"/>
      <c r="N23" s="118"/>
      <c r="O23" s="118"/>
      <c r="P23" s="118"/>
      <c r="Q23" s="118"/>
      <c r="R23" s="118"/>
      <c r="S23" s="118"/>
      <c r="T23" s="118"/>
    </row>
    <row r="24" spans="1:20" ht="15.6">
      <c r="A24" s="24" t="str">
        <v>K058</v>
      </c>
      <c r="B24" s="25" t="str">
        <v>NY</v>
      </c>
      <c r="C24" s="25" t="str">
        <f>Sites[[#This Row],[SOL'#]]</f>
        <v>SOL-10360</v>
      </c>
      <c r="D24" s="20">
        <v>8472.1875</v>
      </c>
      <c r="E24" s="10">
        <v>12896.51</v>
      </c>
      <c r="F24" s="10">
        <f t="shared" si="6"/>
        <v>-4424.3225000000002</v>
      </c>
      <c r="G24" s="11">
        <f t="shared" si="7"/>
        <v>-0.34306354975105668</v>
      </c>
      <c r="H24" s="12">
        <v>9147.0290000000005</v>
      </c>
      <c r="I24" s="12">
        <f t="shared" si="10"/>
        <v>-674.84150000000045</v>
      </c>
      <c r="J24" s="13">
        <f t="shared" si="11"/>
        <v>-7.3777124791011423E-2</v>
      </c>
      <c r="K24" s="55"/>
      <c r="L24" s="53"/>
      <c r="M24" s="118"/>
      <c r="N24" s="118"/>
      <c r="O24" s="118"/>
      <c r="P24" s="118"/>
      <c r="Q24" s="118"/>
      <c r="R24" s="118"/>
      <c r="S24" s="118"/>
      <c r="T24" s="118"/>
    </row>
    <row r="25" spans="1:20" ht="15.6">
      <c r="A25" s="26" t="str">
        <v>K115</v>
      </c>
      <c r="B25" s="27" t="str">
        <v>NY</v>
      </c>
      <c r="C25" s="27" t="str">
        <f>Sites[[#This Row],[SOL'#]]</f>
        <v>SOL-10361</v>
      </c>
      <c r="D25" s="9">
        <v>2497.5194140624999</v>
      </c>
      <c r="E25" s="14">
        <v>7565.8450000000003</v>
      </c>
      <c r="F25" s="14">
        <f t="shared" si="6"/>
        <v>-5068.3255859375004</v>
      </c>
      <c r="G25" s="15">
        <f t="shared" si="7"/>
        <v>-0.66989550882122229</v>
      </c>
      <c r="H25" s="16">
        <v>5593.8329999999996</v>
      </c>
      <c r="I25" s="16">
        <f t="shared" si="10"/>
        <v>-3096.3135859374997</v>
      </c>
      <c r="J25" s="15">
        <f t="shared" si="11"/>
        <v>-0.55352270722731622</v>
      </c>
      <c r="K25" s="139" t="s">
        <v>48</v>
      </c>
      <c r="L25" s="114" t="s">
        <v>49</v>
      </c>
      <c r="M25" s="118"/>
      <c r="N25" s="118"/>
      <c r="O25" s="118"/>
      <c r="P25" s="118"/>
      <c r="Q25" s="118"/>
      <c r="R25" s="118"/>
      <c r="S25" s="118"/>
      <c r="T25" s="118"/>
    </row>
    <row r="26" spans="1:20" ht="15.75">
      <c r="A26" s="24" t="str">
        <v>K152</v>
      </c>
      <c r="B26" s="25" t="str">
        <v>NY</v>
      </c>
      <c r="C26" s="25" t="str">
        <f>Sites[[#This Row],[SOL'#]]</f>
        <v>SOL-10362</v>
      </c>
      <c r="D26" s="20">
        <v>3001</v>
      </c>
      <c r="E26" s="10">
        <v>4499.1469999999999</v>
      </c>
      <c r="F26" s="10">
        <f t="shared" si="6"/>
        <v>-1498.1469999999999</v>
      </c>
      <c r="G26" s="11">
        <f t="shared" si="7"/>
        <v>-0.33298467465055043</v>
      </c>
      <c r="H26" s="12">
        <v>3567</v>
      </c>
      <c r="I26" s="12">
        <f t="shared" si="10"/>
        <v>-566</v>
      </c>
      <c r="J26" s="13">
        <f t="shared" si="11"/>
        <v>-0.15867675918138491</v>
      </c>
      <c r="K26" s="37" t="s">
        <v>50</v>
      </c>
      <c r="L26" s="59"/>
      <c r="M26" s="118"/>
      <c r="N26" s="118"/>
      <c r="O26" s="118"/>
      <c r="P26" s="118"/>
      <c r="Q26" s="118"/>
      <c r="R26" s="118"/>
      <c r="S26" s="118"/>
      <c r="T26" s="118"/>
    </row>
    <row r="27" spans="1:20" ht="15.75">
      <c r="A27" s="26" t="str">
        <v>K166</v>
      </c>
      <c r="B27" s="27" t="str">
        <v>NY</v>
      </c>
      <c r="C27" s="27" t="str">
        <f>Sites[[#This Row],[SOL'#]]</f>
        <v>SOL-10363</v>
      </c>
      <c r="D27" s="9">
        <v>10743.5</v>
      </c>
      <c r="E27" s="14">
        <v>17382.57</v>
      </c>
      <c r="F27" s="14">
        <f t="shared" si="6"/>
        <v>-6639.07</v>
      </c>
      <c r="G27" s="15">
        <f t="shared" si="7"/>
        <v>-0.38193834398480775</v>
      </c>
      <c r="H27" s="16">
        <v>12125.14</v>
      </c>
      <c r="I27" s="16">
        <f t="shared" si="10"/>
        <v>-1381.6399999999994</v>
      </c>
      <c r="J27" s="15">
        <f t="shared" si="11"/>
        <v>-0.11394837502907179</v>
      </c>
      <c r="K27" s="56" t="s">
        <v>50</v>
      </c>
      <c r="L27" s="58"/>
      <c r="M27" s="118"/>
      <c r="N27" s="118"/>
      <c r="O27" s="118"/>
      <c r="P27" s="118"/>
      <c r="Q27" s="118"/>
      <c r="R27" s="118"/>
      <c r="S27" s="118"/>
      <c r="T27" s="118"/>
    </row>
    <row r="28" spans="1:20" ht="15.6">
      <c r="A28" s="24" t="str">
        <v>K206</v>
      </c>
      <c r="B28" s="25" t="str">
        <v>NY</v>
      </c>
      <c r="C28" s="25" t="str">
        <f>Sites[[#This Row],[SOL'#]]</f>
        <v>SOL-10927</v>
      </c>
      <c r="D28" s="20">
        <v>7155.197649576</v>
      </c>
      <c r="E28" s="10">
        <v>11256.59</v>
      </c>
      <c r="F28" s="10">
        <f t="shared" si="6"/>
        <v>-4101.3923504240001</v>
      </c>
      <c r="G28" s="11">
        <f t="shared" si="7"/>
        <v>-0.36435477799440152</v>
      </c>
      <c r="H28" s="12">
        <v>6894</v>
      </c>
      <c r="I28" s="12">
        <f t="shared" si="10"/>
        <v>261.197649576</v>
      </c>
      <c r="J28" s="13">
        <f t="shared" si="11"/>
        <v>3.7887677629242819E-2</v>
      </c>
      <c r="K28" s="37"/>
      <c r="L28" s="59"/>
      <c r="M28" s="118"/>
      <c r="N28" s="118"/>
      <c r="O28" s="118"/>
      <c r="P28" s="118"/>
      <c r="Q28" s="118"/>
      <c r="R28" s="118"/>
      <c r="S28" s="118"/>
      <c r="T28" s="118"/>
    </row>
    <row r="29" spans="1:20" ht="21" customHeight="1">
      <c r="A29" s="26" t="str">
        <v>K251</v>
      </c>
      <c r="B29" s="27" t="str">
        <v>NY</v>
      </c>
      <c r="C29" s="27" t="str">
        <f>Sites[[#This Row],[SOL'#]]</f>
        <v>SOL-10365</v>
      </c>
      <c r="D29" s="9">
        <v>7964.375</v>
      </c>
      <c r="E29" s="14">
        <v>0</v>
      </c>
      <c r="F29" s="14">
        <f t="shared" si="6"/>
        <v>7964.375</v>
      </c>
      <c r="G29" s="15" t="str">
        <f t="shared" si="7"/>
        <v/>
      </c>
      <c r="H29" s="16">
        <v>8525.6919999999991</v>
      </c>
      <c r="I29" s="16">
        <f t="shared" si="10"/>
        <v>-561.3169999999991</v>
      </c>
      <c r="J29" s="15">
        <f t="shared" si="11"/>
        <v>-6.5838292070602503E-2</v>
      </c>
      <c r="K29" s="112" t="s">
        <v>51</v>
      </c>
      <c r="L29" s="114" t="s">
        <v>52</v>
      </c>
      <c r="M29" s="118"/>
      <c r="N29" s="118"/>
      <c r="O29" s="118"/>
      <c r="P29" s="118"/>
      <c r="Q29" s="118"/>
      <c r="R29" s="118"/>
      <c r="S29" s="118"/>
      <c r="T29" s="118"/>
    </row>
    <row r="30" spans="1:20" ht="15.6">
      <c r="A30" s="24" t="str">
        <v>K269</v>
      </c>
      <c r="B30" s="25" t="str">
        <v>NY</v>
      </c>
      <c r="C30" s="25" t="str">
        <f>Sites[[#This Row],[SOL'#]]</f>
        <v>SOL-10366</v>
      </c>
      <c r="D30" s="20">
        <v>6631</v>
      </c>
      <c r="E30" s="10">
        <v>11493.23</v>
      </c>
      <c r="F30" s="10">
        <f t="shared" si="6"/>
        <v>-4862.2299999999996</v>
      </c>
      <c r="G30" s="11">
        <f t="shared" si="7"/>
        <v>-0.42305165736698908</v>
      </c>
      <c r="H30" s="12">
        <v>7761.9319999999998</v>
      </c>
      <c r="I30" s="12">
        <f t="shared" si="10"/>
        <v>-1130.9319999999998</v>
      </c>
      <c r="J30" s="13">
        <f t="shared" si="11"/>
        <v>-0.14570238440635655</v>
      </c>
      <c r="K30" s="37"/>
      <c r="L30" s="59"/>
      <c r="M30" s="118"/>
      <c r="N30" s="118"/>
      <c r="O30" s="118"/>
      <c r="P30" s="118"/>
      <c r="Q30" s="118"/>
      <c r="R30" s="118"/>
      <c r="S30" s="118"/>
      <c r="T30" s="118"/>
    </row>
    <row r="31" spans="1:20" ht="28.9">
      <c r="A31" s="26" t="str">
        <v>K273</v>
      </c>
      <c r="B31" s="27" t="str">
        <v>NY</v>
      </c>
      <c r="C31" s="27" t="str">
        <f>Sites[[#This Row],[SOL'#]]</f>
        <v>SOL-10367</v>
      </c>
      <c r="D31" s="9">
        <v>6884.75</v>
      </c>
      <c r="E31" s="14">
        <v>0</v>
      </c>
      <c r="F31" s="14">
        <f t="shared" si="6"/>
        <v>6884.75</v>
      </c>
      <c r="G31" s="15" t="str">
        <f t="shared" si="7"/>
        <v/>
      </c>
      <c r="H31" s="16">
        <v>9546</v>
      </c>
      <c r="I31" s="16">
        <f t="shared" si="10"/>
        <v>-2661.25</v>
      </c>
      <c r="J31" s="15">
        <f t="shared" si="11"/>
        <v>-0.27878168866540959</v>
      </c>
      <c r="K31" s="56" t="s">
        <v>53</v>
      </c>
      <c r="L31" s="114" t="s">
        <v>54</v>
      </c>
      <c r="M31" s="117" t="s">
        <v>55</v>
      </c>
      <c r="N31" s="118"/>
      <c r="O31" s="118"/>
      <c r="P31" s="118"/>
      <c r="Q31" s="118"/>
      <c r="R31" s="118"/>
      <c r="S31" s="118"/>
      <c r="T31" s="118"/>
    </row>
    <row r="32" spans="1:20" ht="15.6">
      <c r="A32" s="24" t="str">
        <v>K287</v>
      </c>
      <c r="B32" s="25" t="str">
        <v>NY</v>
      </c>
      <c r="C32" s="25" t="str">
        <f>Sites[[#This Row],[SOL'#]]</f>
        <v>SOL-10919</v>
      </c>
      <c r="D32" s="20">
        <v>6469.90625</v>
      </c>
      <c r="E32" s="10">
        <v>8103.8879999999999</v>
      </c>
      <c r="F32" s="10">
        <f t="shared" si="6"/>
        <v>-1633.9817499999999</v>
      </c>
      <c r="G32" s="11">
        <f t="shared" si="7"/>
        <v>-0.201629359882565</v>
      </c>
      <c r="H32" s="12">
        <v>7303</v>
      </c>
      <c r="I32" s="12">
        <f t="shared" si="10"/>
        <v>-833.09375</v>
      </c>
      <c r="J32" s="13">
        <f t="shared" si="11"/>
        <v>-0.11407555114336573</v>
      </c>
      <c r="K32" s="37"/>
      <c r="L32" s="59"/>
      <c r="M32" s="118"/>
      <c r="N32" s="118"/>
      <c r="O32" s="118"/>
      <c r="P32" s="118"/>
      <c r="Q32" s="118"/>
      <c r="R32" s="118"/>
      <c r="S32" s="118"/>
      <c r="T32" s="118"/>
    </row>
    <row r="33" spans="1:20" ht="18" customHeight="1">
      <c r="A33" s="26" t="str">
        <v>K298</v>
      </c>
      <c r="B33" s="27" t="str">
        <v>NY</v>
      </c>
      <c r="C33" s="27" t="str">
        <f>Sites[[#This Row],[SOL'#]]</f>
        <v>SOL-10368</v>
      </c>
      <c r="D33" s="9">
        <v>4878.34375</v>
      </c>
      <c r="E33" s="14">
        <v>10470.4</v>
      </c>
      <c r="F33" s="14">
        <f t="shared" si="6"/>
        <v>-5592.0562499999996</v>
      </c>
      <c r="G33" s="15">
        <f t="shared" si="7"/>
        <v>-0.53408238940250607</v>
      </c>
      <c r="H33" s="16">
        <v>6119</v>
      </c>
      <c r="I33" s="16">
        <f t="shared" si="10"/>
        <v>-1240.65625</v>
      </c>
      <c r="J33" s="15">
        <f t="shared" si="11"/>
        <v>-0.20275473933649288</v>
      </c>
      <c r="K33" s="147" t="s">
        <v>50</v>
      </c>
      <c r="L33" s="58"/>
      <c r="M33" s="118"/>
      <c r="N33" s="118"/>
      <c r="O33" s="118"/>
      <c r="P33" s="118"/>
      <c r="Q33" s="118"/>
      <c r="R33" s="118"/>
      <c r="S33" s="118"/>
      <c r="T33" s="118"/>
    </row>
    <row r="34" spans="1:20" ht="15.6">
      <c r="A34" s="24" t="str">
        <v>K335</v>
      </c>
      <c r="B34" s="25" t="str">
        <v>NY</v>
      </c>
      <c r="C34" s="25" t="str">
        <f>Sites[[#This Row],[SOL'#]]</f>
        <v>SOL-10370</v>
      </c>
      <c r="D34" s="20">
        <v>6585.9375</v>
      </c>
      <c r="E34" s="10">
        <v>11111.72</v>
      </c>
      <c r="F34" s="10">
        <f t="shared" si="6"/>
        <v>-4525.7824999999993</v>
      </c>
      <c r="G34" s="11">
        <f t="shared" si="7"/>
        <v>-0.40729810506384245</v>
      </c>
      <c r="H34" s="12">
        <v>8179</v>
      </c>
      <c r="I34" s="12">
        <f t="shared" si="10"/>
        <v>-1593.0625</v>
      </c>
      <c r="J34" s="13">
        <f t="shared" si="11"/>
        <v>-0.19477472796185352</v>
      </c>
      <c r="K34" s="37"/>
      <c r="L34" s="59"/>
      <c r="M34" s="118"/>
      <c r="N34" s="118"/>
      <c r="O34" s="118"/>
      <c r="P34" s="118"/>
      <c r="Q34" s="118"/>
      <c r="R34" s="118"/>
      <c r="S34" s="118"/>
      <c r="T34" s="118"/>
    </row>
    <row r="35" spans="1:20" ht="15.6">
      <c r="A35" s="26" t="str">
        <v>K345</v>
      </c>
      <c r="B35" s="27" t="str">
        <v>NY</v>
      </c>
      <c r="C35" s="27" t="str">
        <f>Sites[[#This Row],[SOL'#]]</f>
        <v>SOL-10920</v>
      </c>
      <c r="D35" s="9">
        <v>7617.6813281250097</v>
      </c>
      <c r="E35" s="14">
        <v>8115.26</v>
      </c>
      <c r="F35" s="14">
        <f t="shared" si="6"/>
        <v>-497.5786718749905</v>
      </c>
      <c r="G35" s="15">
        <f t="shared" si="7"/>
        <v>-6.1313953203593043E-2</v>
      </c>
      <c r="H35" s="16">
        <v>6910</v>
      </c>
      <c r="I35" s="16">
        <f t="shared" si="10"/>
        <v>707.68132812500971</v>
      </c>
      <c r="J35" s="15">
        <f t="shared" si="11"/>
        <v>0.1024140851121577</v>
      </c>
      <c r="K35" s="56"/>
      <c r="L35" s="58"/>
      <c r="M35" s="118"/>
      <c r="N35" s="118"/>
      <c r="O35" s="118"/>
      <c r="P35" s="118"/>
      <c r="Q35" s="118"/>
      <c r="R35" s="118"/>
      <c r="S35" s="118"/>
      <c r="T35" s="118"/>
    </row>
    <row r="36" spans="1:20" ht="15.6">
      <c r="A36" s="24" t="str">
        <v>K445</v>
      </c>
      <c r="B36" s="25" t="str">
        <v>NY</v>
      </c>
      <c r="C36" s="25" t="str">
        <f>Sites[[#This Row],[SOL'#]]</f>
        <v>SOL-10373</v>
      </c>
      <c r="D36" s="20">
        <v>7247.96875</v>
      </c>
      <c r="E36" s="10">
        <v>11595.77</v>
      </c>
      <c r="F36" s="10">
        <f t="shared" si="6"/>
        <v>-4347.8012500000004</v>
      </c>
      <c r="G36" s="11">
        <f t="shared" si="7"/>
        <v>-0.37494717901441649</v>
      </c>
      <c r="H36" s="12">
        <v>6816.6750000000002</v>
      </c>
      <c r="I36" s="12">
        <f t="shared" si="10"/>
        <v>431.29374999999982</v>
      </c>
      <c r="J36" s="13">
        <f t="shared" si="11"/>
        <v>6.3270399424939547E-2</v>
      </c>
      <c r="K36" s="37"/>
      <c r="L36" s="59"/>
      <c r="M36" s="118"/>
      <c r="N36" s="118"/>
      <c r="O36" s="118"/>
      <c r="P36" s="118"/>
      <c r="Q36" s="118"/>
      <c r="R36" s="118"/>
      <c r="S36" s="118"/>
      <c r="T36" s="118"/>
    </row>
    <row r="37" spans="1:20" ht="15.6">
      <c r="A37" s="26" t="str">
        <v>K495</v>
      </c>
      <c r="B37" s="27" t="str">
        <v>NY</v>
      </c>
      <c r="C37" s="27" t="str">
        <f>Sites[[#This Row],[SOL'#]]</f>
        <v>SOL-10374</v>
      </c>
      <c r="D37" s="9">
        <v>0</v>
      </c>
      <c r="E37" s="14">
        <v>32841.14</v>
      </c>
      <c r="F37" s="14">
        <f t="shared" si="6"/>
        <v>-32841.14</v>
      </c>
      <c r="G37" s="15">
        <f t="shared" si="7"/>
        <v>-1</v>
      </c>
      <c r="H37" s="16">
        <v>33557</v>
      </c>
      <c r="I37" s="16">
        <f t="shared" si="10"/>
        <v>-33557</v>
      </c>
      <c r="J37" s="15">
        <f t="shared" si="11"/>
        <v>-1</v>
      </c>
      <c r="K37" s="56" t="s">
        <v>56</v>
      </c>
      <c r="L37" s="114" t="s">
        <v>57</v>
      </c>
      <c r="M37" s="118"/>
      <c r="N37" s="118"/>
      <c r="O37" s="118"/>
      <c r="P37" s="118"/>
      <c r="Q37" s="118"/>
      <c r="R37" s="118"/>
      <c r="S37" s="118"/>
      <c r="T37" s="118"/>
    </row>
    <row r="38" spans="1:20" ht="15.75">
      <c r="A38" s="24" t="str">
        <v>M020</v>
      </c>
      <c r="B38" s="25" t="str">
        <v>NY</v>
      </c>
      <c r="C38" s="25" t="str">
        <f>Sites[[#This Row],[SOL'#]]</f>
        <v>SOL-10380</v>
      </c>
      <c r="D38" s="20">
        <v>7114.65625</v>
      </c>
      <c r="E38" s="10">
        <v>10428.83</v>
      </c>
      <c r="F38" s="10">
        <f t="shared" si="6"/>
        <v>-3314.1737499999999</v>
      </c>
      <c r="G38" s="11">
        <f t="shared" si="7"/>
        <v>-0.31778960343585999</v>
      </c>
      <c r="H38" s="12">
        <v>9125</v>
      </c>
      <c r="I38" s="12">
        <f t="shared" si="10"/>
        <v>-2010.34375</v>
      </c>
      <c r="J38" s="13">
        <f t="shared" si="11"/>
        <v>-0.22031164383561644</v>
      </c>
      <c r="K38" s="37" t="s">
        <v>50</v>
      </c>
      <c r="L38" s="59"/>
      <c r="M38" s="118"/>
      <c r="N38" s="118"/>
      <c r="O38" s="118"/>
      <c r="P38" s="118"/>
      <c r="Q38" s="118"/>
      <c r="R38" s="118"/>
      <c r="S38" s="118"/>
      <c r="T38" s="118"/>
    </row>
    <row r="39" spans="1:20" ht="15.75">
      <c r="A39" s="26" t="str">
        <v>M092</v>
      </c>
      <c r="B39" s="27" t="str">
        <v>NY</v>
      </c>
      <c r="C39" s="27" t="str">
        <f>Sites[[#This Row],[SOL'#]]</f>
        <v>SOL-10383</v>
      </c>
      <c r="D39" s="9">
        <v>7110.6875000001201</v>
      </c>
      <c r="E39" s="14">
        <v>11229.76</v>
      </c>
      <c r="F39" s="14">
        <f t="shared" si="6"/>
        <v>-4119.0724999998802</v>
      </c>
      <c r="G39" s="15">
        <f t="shared" si="7"/>
        <v>-0.36679969117771705</v>
      </c>
      <c r="H39" s="16">
        <v>8178.46</v>
      </c>
      <c r="I39" s="16">
        <f t="shared" si="10"/>
        <v>-1067.77249999988</v>
      </c>
      <c r="J39" s="15">
        <f t="shared" si="11"/>
        <v>-0.13055911504120335</v>
      </c>
      <c r="K39" s="56" t="s">
        <v>50</v>
      </c>
      <c r="L39" s="58"/>
      <c r="M39" s="118"/>
      <c r="N39" s="118"/>
      <c r="O39" s="118"/>
      <c r="P39" s="118"/>
      <c r="Q39" s="118"/>
      <c r="R39" s="118"/>
      <c r="S39" s="118"/>
      <c r="T39" s="118"/>
    </row>
    <row r="40" spans="1:20" ht="15.75">
      <c r="A40" s="24" t="str">
        <v>M143</v>
      </c>
      <c r="B40" s="25" t="str">
        <v>NY</v>
      </c>
      <c r="C40" s="25" t="str">
        <f>Sites[[#This Row],[SOL'#]]</f>
        <v>SOL-10384</v>
      </c>
      <c r="D40" s="20">
        <v>7303.28125</v>
      </c>
      <c r="E40" s="10">
        <v>10937.18</v>
      </c>
      <c r="F40" s="10">
        <f t="shared" si="6"/>
        <v>-3633.8987500000003</v>
      </c>
      <c r="G40" s="11">
        <f t="shared" si="7"/>
        <v>-0.33225189216964524</v>
      </c>
      <c r="H40" s="12">
        <v>8702.7440000000006</v>
      </c>
      <c r="I40" s="12">
        <f t="shared" si="10"/>
        <v>-1399.4627500000006</v>
      </c>
      <c r="J40" s="13">
        <f t="shared" si="11"/>
        <v>-0.16080706843726536</v>
      </c>
      <c r="K40" s="37" t="s">
        <v>50</v>
      </c>
      <c r="L40" s="59"/>
      <c r="M40" s="118"/>
      <c r="N40" s="118"/>
      <c r="O40" s="118"/>
      <c r="P40" s="118"/>
      <c r="Q40" s="118"/>
      <c r="R40" s="118"/>
      <c r="S40" s="118"/>
      <c r="T40" s="118"/>
    </row>
    <row r="41" spans="1:20" ht="15.75">
      <c r="A41" s="26" t="str">
        <v>M144</v>
      </c>
      <c r="B41" s="27" t="str">
        <v>NY</v>
      </c>
      <c r="C41" s="27" t="str">
        <f>Sites[[#This Row],[SOL'#]]</f>
        <v>SOL-10385</v>
      </c>
      <c r="D41" s="9">
        <v>12171.125</v>
      </c>
      <c r="E41" s="14">
        <v>0</v>
      </c>
      <c r="F41" s="14">
        <f t="shared" si="6"/>
        <v>12171.125</v>
      </c>
      <c r="G41" s="15" t="str">
        <f t="shared" si="7"/>
        <v/>
      </c>
      <c r="H41" s="16">
        <v>13644</v>
      </c>
      <c r="I41" s="16">
        <f t="shared" si="10"/>
        <v>-1472.875</v>
      </c>
      <c r="J41" s="15">
        <f t="shared" si="11"/>
        <v>-0.10795038111990618</v>
      </c>
      <c r="K41" s="56" t="s">
        <v>50</v>
      </c>
      <c r="L41" s="57"/>
      <c r="M41" s="118"/>
      <c r="N41" s="118"/>
      <c r="O41" s="118"/>
      <c r="P41" s="118"/>
      <c r="Q41" s="118"/>
      <c r="R41" s="118"/>
      <c r="S41" s="118"/>
      <c r="T41" s="118"/>
    </row>
    <row r="42" spans="1:20" ht="15.75">
      <c r="A42" s="24" t="str">
        <v>M167</v>
      </c>
      <c r="B42" s="25" t="str">
        <v>NY</v>
      </c>
      <c r="C42" s="25" t="str">
        <f>Sites[[#This Row],[SOL'#]]</f>
        <v>SOL-10386</v>
      </c>
      <c r="D42" s="20">
        <v>6736.5</v>
      </c>
      <c r="E42" s="10">
        <v>8426.0560000000005</v>
      </c>
      <c r="F42" s="10">
        <f t="shared" si="6"/>
        <v>-1689.5560000000005</v>
      </c>
      <c r="G42" s="11">
        <f t="shared" si="7"/>
        <v>-0.20051563863330607</v>
      </c>
      <c r="H42" s="12">
        <v>8106.2110000000002</v>
      </c>
      <c r="I42" s="12">
        <f t="shared" si="10"/>
        <v>-1369.7110000000002</v>
      </c>
      <c r="J42" s="13">
        <f t="shared" si="11"/>
        <v>-0.16897055850137632</v>
      </c>
      <c r="K42" s="37" t="s">
        <v>50</v>
      </c>
      <c r="L42" s="59"/>
      <c r="M42" s="118"/>
      <c r="N42" s="118"/>
      <c r="O42" s="118"/>
      <c r="P42" s="118"/>
      <c r="Q42" s="118"/>
      <c r="R42" s="118"/>
      <c r="S42" s="118"/>
      <c r="T42" s="118"/>
    </row>
    <row r="43" spans="1:20" ht="15.6">
      <c r="A43" s="26" t="str">
        <v>M188</v>
      </c>
      <c r="B43" s="27" t="str">
        <v>NY</v>
      </c>
      <c r="C43" s="27" t="str">
        <f>Sites[[#This Row],[SOL'#]]</f>
        <v>SOL-10387</v>
      </c>
      <c r="D43" s="9">
        <v>6676.81249999994</v>
      </c>
      <c r="E43" s="14">
        <v>0</v>
      </c>
      <c r="F43" s="14">
        <f t="shared" si="6"/>
        <v>6676.81249999994</v>
      </c>
      <c r="G43" s="15" t="str">
        <f t="shared" si="7"/>
        <v/>
      </c>
      <c r="H43" s="16">
        <v>6981</v>
      </c>
      <c r="I43" s="16">
        <f t="shared" si="10"/>
        <v>-304.18750000006003</v>
      </c>
      <c r="J43" s="15">
        <f t="shared" si="11"/>
        <v>-4.3573628420005735E-2</v>
      </c>
      <c r="K43" s="56"/>
      <c r="L43" s="58"/>
      <c r="M43" s="118"/>
      <c r="N43" s="118"/>
      <c r="O43" s="118"/>
      <c r="P43" s="118"/>
      <c r="Q43" s="118"/>
      <c r="R43" s="118"/>
      <c r="S43" s="118"/>
      <c r="T43" s="118"/>
    </row>
    <row r="44" spans="1:20" ht="15.6">
      <c r="A44" s="24" t="str">
        <v>EMHC</v>
      </c>
      <c r="B44" s="25" t="str">
        <v>NY</v>
      </c>
      <c r="C44" s="25" t="str">
        <f>Sites[[#This Row],[SOL'#]]</f>
        <v>SOL-10351</v>
      </c>
      <c r="D44" s="20">
        <v>1958.046875</v>
      </c>
      <c r="E44" s="10">
        <v>2171.0189999999998</v>
      </c>
      <c r="F44" s="10">
        <f t="shared" si="6"/>
        <v>-212.97212499999978</v>
      </c>
      <c r="G44" s="11">
        <f t="shared" si="7"/>
        <v>-9.8097771138806161E-2</v>
      </c>
      <c r="H44" s="12">
        <v>2319.395</v>
      </c>
      <c r="I44" s="12">
        <f t="shared" si="10"/>
        <v>-361.34812499999998</v>
      </c>
      <c r="J44" s="13">
        <f t="shared" si="11"/>
        <v>-0.155794129503599</v>
      </c>
      <c r="K44" s="37"/>
      <c r="L44" s="59"/>
      <c r="M44" s="118"/>
      <c r="N44" s="118"/>
      <c r="O44" s="118"/>
      <c r="P44" s="118"/>
      <c r="Q44" s="118"/>
      <c r="R44" s="118"/>
      <c r="S44" s="118"/>
      <c r="T44" s="118"/>
    </row>
    <row r="45" spans="1:20" ht="15.75">
      <c r="A45" s="26" t="str">
        <v>Q008</v>
      </c>
      <c r="B45" s="27" t="str">
        <v>NY</v>
      </c>
      <c r="C45" s="27" t="str">
        <f>Sites[[#This Row],[SOL'#]]</f>
        <v>SOL-10397</v>
      </c>
      <c r="D45" s="9">
        <v>11304.46875</v>
      </c>
      <c r="E45" s="14">
        <v>16377.23</v>
      </c>
      <c r="F45" s="14">
        <f t="shared" si="6"/>
        <v>-5072.7612499999996</v>
      </c>
      <c r="G45" s="15">
        <f t="shared" si="7"/>
        <v>-0.30974476452977701</v>
      </c>
      <c r="H45" s="16">
        <v>10992</v>
      </c>
      <c r="I45" s="16">
        <f t="shared" si="10"/>
        <v>312.46875</v>
      </c>
      <c r="J45" s="15">
        <f t="shared" si="11"/>
        <v>2.8426924126637554E-2</v>
      </c>
      <c r="K45" s="56" t="s">
        <v>50</v>
      </c>
      <c r="L45" s="58"/>
      <c r="M45" s="118"/>
      <c r="N45" s="118"/>
      <c r="O45" s="118"/>
      <c r="P45" s="118"/>
      <c r="Q45" s="118"/>
      <c r="R45" s="118"/>
      <c r="S45" s="118"/>
      <c r="T45" s="118"/>
    </row>
    <row r="46" spans="1:20" ht="15.75">
      <c r="A46" s="24" t="str">
        <v>Q018</v>
      </c>
      <c r="B46" s="25" t="str">
        <v>NY</v>
      </c>
      <c r="C46" s="25" t="str">
        <f>Sites[[#This Row],[SOL'#]]</f>
        <v>SOL-10398</v>
      </c>
      <c r="D46" s="20">
        <v>6700.6875</v>
      </c>
      <c r="E46" s="10">
        <v>8361.3019999999997</v>
      </c>
      <c r="F46" s="10">
        <f t="shared" si="6"/>
        <v>-1660.6144999999997</v>
      </c>
      <c r="G46" s="11">
        <f t="shared" si="7"/>
        <v>-0.19860716668289219</v>
      </c>
      <c r="H46" s="12">
        <v>6682.3109999999997</v>
      </c>
      <c r="I46" s="12">
        <f t="shared" si="10"/>
        <v>18.376500000000306</v>
      </c>
      <c r="J46" s="13">
        <f t="shared" si="11"/>
        <v>2.7500216616676934E-3</v>
      </c>
      <c r="K46" s="37" t="s">
        <v>50</v>
      </c>
      <c r="L46" s="59"/>
      <c r="M46" s="118"/>
      <c r="N46" s="118"/>
      <c r="O46" s="118"/>
      <c r="P46" s="118"/>
      <c r="Q46" s="118"/>
      <c r="R46" s="118"/>
      <c r="S46" s="118"/>
      <c r="T46" s="118"/>
    </row>
    <row r="47" spans="1:20" ht="15.75">
      <c r="A47" s="26" t="str">
        <v>Q021</v>
      </c>
      <c r="B47" s="27" t="str">
        <v>NY</v>
      </c>
      <c r="C47" s="27" t="str">
        <f>Sites[[#This Row],[SOL'#]]</f>
        <v>SOL-10399</v>
      </c>
      <c r="D47" s="9">
        <v>5780.40625</v>
      </c>
      <c r="E47" s="14">
        <v>9454.2549999999992</v>
      </c>
      <c r="F47" s="14">
        <f t="shared" si="6"/>
        <v>-3673.8487499999992</v>
      </c>
      <c r="G47" s="15">
        <f t="shared" si="7"/>
        <v>-0.38859209424751073</v>
      </c>
      <c r="H47" s="16">
        <v>5223.6469999999999</v>
      </c>
      <c r="I47" s="16">
        <f t="shared" si="10"/>
        <v>556.75925000000007</v>
      </c>
      <c r="J47" s="15">
        <f t="shared" si="11"/>
        <v>0.10658439400671602</v>
      </c>
      <c r="K47" s="56" t="s">
        <v>50</v>
      </c>
      <c r="L47" s="57"/>
      <c r="M47" s="118"/>
      <c r="N47" s="118"/>
      <c r="O47" s="118"/>
      <c r="P47" s="118"/>
      <c r="Q47" s="118"/>
      <c r="R47" s="118"/>
      <c r="S47" s="118"/>
      <c r="T47" s="118"/>
    </row>
    <row r="48" spans="1:20" ht="15.75">
      <c r="A48" s="24" t="str">
        <v>Q025</v>
      </c>
      <c r="B48" s="25" t="str">
        <v>NY</v>
      </c>
      <c r="C48" s="25" t="str">
        <f>Sites[[#This Row],[SOL'#]]</f>
        <v>SOL-10400</v>
      </c>
      <c r="D48" s="20">
        <v>9494.875</v>
      </c>
      <c r="E48" s="10">
        <v>13415.23</v>
      </c>
      <c r="F48" s="10">
        <f t="shared" si="6"/>
        <v>-3920.3549999999996</v>
      </c>
      <c r="G48" s="11">
        <f t="shared" si="7"/>
        <v>-0.29223166505531395</v>
      </c>
      <c r="H48" s="12">
        <v>7767</v>
      </c>
      <c r="I48" s="12">
        <f t="shared" si="10"/>
        <v>1727.875</v>
      </c>
      <c r="J48" s="13">
        <f t="shared" si="11"/>
        <v>0.22246362817046478</v>
      </c>
      <c r="K48" s="37" t="s">
        <v>50</v>
      </c>
      <c r="L48" s="59"/>
      <c r="M48" s="118"/>
      <c r="N48" s="118"/>
      <c r="O48" s="118"/>
      <c r="P48" s="118"/>
      <c r="Q48" s="118"/>
      <c r="R48" s="118"/>
      <c r="S48" s="118"/>
      <c r="T48" s="118"/>
    </row>
    <row r="49" spans="1:20" ht="15.6">
      <c r="A49" s="26" t="str">
        <v>Q074</v>
      </c>
      <c r="B49" s="27" t="str">
        <v>NY</v>
      </c>
      <c r="C49" s="27" t="str">
        <f>Sites[[#This Row],[SOL'#]]</f>
        <v>SOL-10402</v>
      </c>
      <c r="D49" s="9">
        <v>5694.625</v>
      </c>
      <c r="E49" s="14">
        <v>7433.2870000000003</v>
      </c>
      <c r="F49" s="14">
        <f t="shared" si="6"/>
        <v>-1738.6620000000003</v>
      </c>
      <c r="G49" s="15">
        <f t="shared" si="7"/>
        <v>-0.23390217544405326</v>
      </c>
      <c r="H49" s="16">
        <v>6035.1019999999999</v>
      </c>
      <c r="I49" s="16">
        <f t="shared" si="10"/>
        <v>-340.47699999999986</v>
      </c>
      <c r="J49" s="15">
        <f t="shared" si="11"/>
        <v>-5.6416113596754434E-2</v>
      </c>
      <c r="K49" s="56" t="s">
        <v>58</v>
      </c>
      <c r="L49" s="114" t="s">
        <v>59</v>
      </c>
      <c r="M49" s="118"/>
      <c r="N49" s="118"/>
      <c r="O49" s="118"/>
      <c r="P49" s="118"/>
      <c r="Q49" s="118"/>
      <c r="R49" s="118"/>
      <c r="S49" s="118"/>
      <c r="T49" s="118"/>
    </row>
    <row r="50" spans="1:20" ht="15.6">
      <c r="A50" s="24" t="str">
        <v>Q115</v>
      </c>
      <c r="B50" s="25" t="str">
        <v>NY</v>
      </c>
      <c r="C50" s="25" t="str">
        <f>Sites[[#This Row],[SOL'#]]</f>
        <v>SOL-10872</v>
      </c>
      <c r="D50" s="20">
        <v>7869.5625</v>
      </c>
      <c r="E50" s="10">
        <v>12376.31</v>
      </c>
      <c r="F50" s="10">
        <f t="shared" si="6"/>
        <v>-4506.7474999999995</v>
      </c>
      <c r="G50" s="11">
        <f t="shared" si="7"/>
        <v>-0.36414306849133543</v>
      </c>
      <c r="H50" s="12">
        <v>8154.5069999999996</v>
      </c>
      <c r="I50" s="12">
        <f t="shared" si="10"/>
        <v>-284.94449999999961</v>
      </c>
      <c r="J50" s="13">
        <f t="shared" si="11"/>
        <v>-3.494319153812727E-2</v>
      </c>
      <c r="K50" s="37"/>
      <c r="L50" s="59"/>
      <c r="M50" s="118"/>
      <c r="N50" s="118"/>
      <c r="O50" s="118"/>
      <c r="P50" s="118"/>
      <c r="Q50" s="118"/>
      <c r="R50" s="118"/>
      <c r="S50" s="118"/>
      <c r="T50" s="118"/>
    </row>
    <row r="51" spans="1:20" ht="15.6">
      <c r="A51" s="26" t="str">
        <v>Q139</v>
      </c>
      <c r="B51" s="27" t="str">
        <v>NY</v>
      </c>
      <c r="C51" s="27" t="str">
        <f>Sites[[#This Row],[SOL'#]]</f>
        <v>SOL-10403</v>
      </c>
      <c r="D51" s="9">
        <v>5074.71874999994</v>
      </c>
      <c r="E51" s="14">
        <v>6806.3190000000004</v>
      </c>
      <c r="F51" s="14">
        <f t="shared" si="6"/>
        <v>-1731.6002500000604</v>
      </c>
      <c r="G51" s="15">
        <f t="shared" si="7"/>
        <v>-0.25441068072184986</v>
      </c>
      <c r="H51" s="16">
        <v>5168</v>
      </c>
      <c r="I51" s="16">
        <f t="shared" si="10"/>
        <v>-93.281250000060027</v>
      </c>
      <c r="J51" s="15">
        <f t="shared" si="11"/>
        <v>-1.80497774767918E-2</v>
      </c>
      <c r="K51" s="56"/>
      <c r="L51" s="58"/>
      <c r="M51" s="118"/>
      <c r="N51" s="118"/>
      <c r="O51" s="118"/>
      <c r="P51" s="118"/>
      <c r="Q51" s="118"/>
      <c r="R51" s="118"/>
      <c r="S51" s="118"/>
      <c r="T51" s="118"/>
    </row>
    <row r="52" spans="1:20" ht="39.6">
      <c r="A52" s="24" t="str">
        <v>Q157</v>
      </c>
      <c r="B52" s="25" t="str">
        <v>NY</v>
      </c>
      <c r="C52" s="25" t="str">
        <f>Sites[[#This Row],[SOL'#]]</f>
        <v>SOL-10404</v>
      </c>
      <c r="D52" s="20">
        <v>7985.125</v>
      </c>
      <c r="E52" s="10">
        <v>13511.83</v>
      </c>
      <c r="F52" s="10">
        <f t="shared" si="6"/>
        <v>-5526.7049999999999</v>
      </c>
      <c r="G52" s="11">
        <f t="shared" si="7"/>
        <v>-0.40902712659943175</v>
      </c>
      <c r="H52" s="12">
        <v>9200.2710000000006</v>
      </c>
      <c r="I52" s="12">
        <f t="shared" si="10"/>
        <v>-1215.1460000000006</v>
      </c>
      <c r="J52" s="13">
        <f t="shared" si="11"/>
        <v>-0.13207719642171417</v>
      </c>
      <c r="K52" s="37" t="s">
        <v>60</v>
      </c>
      <c r="L52" s="113" t="s">
        <v>61</v>
      </c>
      <c r="M52" s="117" t="s">
        <v>62</v>
      </c>
      <c r="N52" s="118"/>
      <c r="O52" s="118"/>
      <c r="P52" s="118"/>
      <c r="Q52" s="118"/>
      <c r="R52" s="118"/>
      <c r="S52" s="118"/>
      <c r="T52" s="118"/>
    </row>
    <row r="53" spans="1:20" ht="15.6">
      <c r="A53" s="26" t="str">
        <v>Q192</v>
      </c>
      <c r="B53" s="27" t="str">
        <v>NY</v>
      </c>
      <c r="C53" s="27" t="str">
        <f>Sites[[#This Row],[SOL'#]]</f>
        <v>SOL-10406</v>
      </c>
      <c r="D53" s="9">
        <v>13490.125</v>
      </c>
      <c r="E53" s="14">
        <v>19580.54</v>
      </c>
      <c r="F53" s="14">
        <f t="shared" si="6"/>
        <v>-6090.4150000000009</v>
      </c>
      <c r="G53" s="15">
        <f t="shared" si="7"/>
        <v>-0.31104428172052462</v>
      </c>
      <c r="H53" s="16">
        <v>13910.41</v>
      </c>
      <c r="I53" s="16">
        <f t="shared" si="10"/>
        <v>-420.28499999999985</v>
      </c>
      <c r="J53" s="15">
        <f t="shared" si="11"/>
        <v>-3.0213703262520649E-2</v>
      </c>
      <c r="K53" s="56"/>
      <c r="L53" s="57"/>
      <c r="M53" s="118"/>
      <c r="N53" s="118"/>
      <c r="O53" s="118"/>
      <c r="P53" s="118"/>
      <c r="Q53" s="118"/>
      <c r="R53" s="118"/>
      <c r="S53" s="118"/>
      <c r="T53" s="118"/>
    </row>
    <row r="54" spans="1:20" ht="15.6">
      <c r="A54" s="24" t="str">
        <v>Q210</v>
      </c>
      <c r="B54" s="25" t="str">
        <v>NY</v>
      </c>
      <c r="C54" s="25" t="str">
        <f>Sites[[#This Row],[SOL'#]]</f>
        <v>SOL-10407</v>
      </c>
      <c r="D54" s="20">
        <v>11766.375</v>
      </c>
      <c r="E54" s="10">
        <v>14293.21</v>
      </c>
      <c r="F54" s="10">
        <f t="shared" si="6"/>
        <v>-2526.8349999999991</v>
      </c>
      <c r="G54" s="11">
        <f t="shared" si="7"/>
        <v>-0.17678569054816934</v>
      </c>
      <c r="H54" s="12">
        <v>11622</v>
      </c>
      <c r="I54" s="12">
        <f t="shared" si="10"/>
        <v>144.375</v>
      </c>
      <c r="J54" s="13">
        <f t="shared" si="11"/>
        <v>1.2422560660815695E-2</v>
      </c>
      <c r="K54" s="37"/>
      <c r="L54" s="59"/>
      <c r="M54" s="118"/>
      <c r="N54" s="118"/>
      <c r="O54" s="118"/>
      <c r="P54" s="118"/>
      <c r="Q54" s="118"/>
      <c r="R54" s="118"/>
      <c r="S54" s="118"/>
      <c r="T54" s="118"/>
    </row>
    <row r="55" spans="1:20" ht="15.6">
      <c r="A55" s="26" t="str">
        <v>Q229</v>
      </c>
      <c r="B55" s="27" t="str">
        <v>NY</v>
      </c>
      <c r="C55" s="27" t="str">
        <f>Sites[[#This Row],[SOL'#]]</f>
        <v>SOL-10408</v>
      </c>
      <c r="D55" s="9">
        <v>4152.53125</v>
      </c>
      <c r="E55" s="14">
        <v>7352.509</v>
      </c>
      <c r="F55" s="14">
        <f t="shared" si="6"/>
        <v>-3199.97775</v>
      </c>
      <c r="G55" s="15">
        <f t="shared" si="7"/>
        <v>-0.43522255464087156</v>
      </c>
      <c r="H55" s="16">
        <v>3687.114</v>
      </c>
      <c r="I55" s="16">
        <f t="shared" si="10"/>
        <v>465.41724999999997</v>
      </c>
      <c r="J55" s="15">
        <f t="shared" si="11"/>
        <v>0.12622806075429183</v>
      </c>
      <c r="K55" s="56"/>
      <c r="L55" s="58"/>
      <c r="M55" s="118"/>
      <c r="N55" s="118"/>
      <c r="O55" s="118"/>
      <c r="P55" s="118"/>
      <c r="Q55" s="118"/>
      <c r="R55" s="118"/>
      <c r="S55" s="118"/>
      <c r="T55" s="118"/>
    </row>
    <row r="56" spans="1:20" ht="15.6">
      <c r="A56" s="24" t="str">
        <v>Q231</v>
      </c>
      <c r="B56" s="25" t="str">
        <v>NY</v>
      </c>
      <c r="C56" s="25" t="str">
        <f>Sites[[#This Row],[SOL'#]]</f>
        <v>SOL-10870</v>
      </c>
      <c r="D56" s="20">
        <v>17624.25</v>
      </c>
      <c r="E56" s="10">
        <v>30638.85</v>
      </c>
      <c r="F56" s="10">
        <f t="shared" si="6"/>
        <v>-13014.599999999999</v>
      </c>
      <c r="G56" s="11">
        <f t="shared" si="7"/>
        <v>-0.42477442854415226</v>
      </c>
      <c r="H56" s="12">
        <v>16899</v>
      </c>
      <c r="I56" s="12">
        <f t="shared" si="10"/>
        <v>725.25</v>
      </c>
      <c r="J56" s="13">
        <f t="shared" si="11"/>
        <v>4.2916740635540566E-2</v>
      </c>
      <c r="K56" s="37"/>
      <c r="L56" s="59"/>
      <c r="M56" s="118"/>
      <c r="N56" s="118"/>
      <c r="O56" s="118"/>
      <c r="P56" s="118"/>
      <c r="Q56" s="118"/>
      <c r="R56" s="118"/>
      <c r="S56" s="118"/>
      <c r="T56" s="118"/>
    </row>
    <row r="57" spans="1:20" ht="15.6">
      <c r="A57" s="26" t="str">
        <v>Q405</v>
      </c>
      <c r="B57" s="27" t="str">
        <v>NY</v>
      </c>
      <c r="C57" s="27" t="str">
        <f>Sites[[#This Row],[SOL'#]]</f>
        <v>SOL-10409</v>
      </c>
      <c r="D57" s="9">
        <v>21223.625</v>
      </c>
      <c r="E57" s="14">
        <v>28842.48</v>
      </c>
      <c r="F57" s="14">
        <f t="shared" si="6"/>
        <v>-7618.8549999999996</v>
      </c>
      <c r="G57" s="15">
        <f t="shared" si="7"/>
        <v>-0.26415394931365122</v>
      </c>
      <c r="H57" s="16">
        <v>20777.84</v>
      </c>
      <c r="I57" s="16">
        <f t="shared" si="10"/>
        <v>445.78499999999985</v>
      </c>
      <c r="J57" s="15">
        <f t="shared" si="11"/>
        <v>2.1454828798373644E-2</v>
      </c>
      <c r="K57" s="56"/>
      <c r="L57" s="58"/>
      <c r="M57" s="118"/>
      <c r="N57" s="118"/>
      <c r="O57" s="118"/>
      <c r="P57" s="118"/>
      <c r="Q57" s="118"/>
      <c r="R57" s="118"/>
      <c r="S57" s="118"/>
      <c r="T57" s="118"/>
    </row>
    <row r="58" spans="1:20" ht="15.6">
      <c r="A58" s="24" t="str">
        <v>Q435</v>
      </c>
      <c r="B58" s="25" t="str">
        <v>NY</v>
      </c>
      <c r="C58" s="25" t="str">
        <f>Sites[[#This Row],[SOL'#]]</f>
        <v>SOL-10923</v>
      </c>
      <c r="D58" s="20">
        <v>27409.75</v>
      </c>
      <c r="E58" s="10">
        <v>28681.61</v>
      </c>
      <c r="F58" s="10">
        <f t="shared" si="6"/>
        <v>-1271.8600000000006</v>
      </c>
      <c r="G58" s="11">
        <f t="shared" si="7"/>
        <v>-4.4344093654435736E-2</v>
      </c>
      <c r="H58" s="12">
        <v>25692</v>
      </c>
      <c r="I58" s="12">
        <f t="shared" si="10"/>
        <v>1717.75</v>
      </c>
      <c r="J58" s="13">
        <f t="shared" si="11"/>
        <v>6.6859333644714303E-2</v>
      </c>
      <c r="K58" s="37"/>
      <c r="L58" s="59"/>
      <c r="M58" s="118"/>
      <c r="N58" s="118"/>
      <c r="O58" s="118"/>
      <c r="P58" s="118"/>
      <c r="Q58" s="118"/>
      <c r="R58" s="118"/>
      <c r="S58" s="118"/>
      <c r="T58" s="118"/>
    </row>
    <row r="59" spans="1:20" ht="28.9">
      <c r="A59" s="26" t="str">
        <v>Q485</v>
      </c>
      <c r="B59" s="27" t="str">
        <v>NY</v>
      </c>
      <c r="C59" s="27" t="str">
        <f>Sites[[#This Row],[SOL'#]]</f>
        <v>SOL-10869</v>
      </c>
      <c r="D59" s="9">
        <v>25454.25</v>
      </c>
      <c r="E59" s="14">
        <v>27297.56</v>
      </c>
      <c r="F59" s="14">
        <f t="shared" si="6"/>
        <v>-1843.3100000000013</v>
      </c>
      <c r="G59" s="15">
        <f t="shared" si="7"/>
        <v>-6.7526548160348449E-2</v>
      </c>
      <c r="H59" s="16">
        <v>23827.9</v>
      </c>
      <c r="I59" s="16">
        <f t="shared" si="10"/>
        <v>1626.3499999999985</v>
      </c>
      <c r="J59" s="15">
        <f t="shared" si="11"/>
        <v>6.8254021546170607E-2</v>
      </c>
      <c r="K59" s="56" t="s">
        <v>63</v>
      </c>
      <c r="L59" s="114" t="s">
        <v>64</v>
      </c>
      <c r="M59" s="118"/>
      <c r="N59" s="118"/>
      <c r="O59" s="118"/>
      <c r="P59" s="118"/>
      <c r="Q59" s="118"/>
      <c r="R59" s="118"/>
      <c r="S59" s="118"/>
      <c r="T59" s="118"/>
    </row>
    <row r="60" spans="1:20" ht="57.6">
      <c r="A60" s="24" t="str">
        <v>Q490</v>
      </c>
      <c r="B60" s="25" t="str">
        <v>NY</v>
      </c>
      <c r="C60" s="25" t="str">
        <f>Sites[[#This Row],[SOL'#]]</f>
        <v>SOL-10411</v>
      </c>
      <c r="D60" s="20">
        <v>17658.5577889448</v>
      </c>
      <c r="E60" s="10">
        <v>0</v>
      </c>
      <c r="F60" s="10">
        <f t="shared" si="6"/>
        <v>17658.5577889448</v>
      </c>
      <c r="G60" s="11" t="str">
        <f t="shared" si="7"/>
        <v/>
      </c>
      <c r="H60" s="12">
        <v>16846.57</v>
      </c>
      <c r="I60" s="12">
        <f t="shared" si="10"/>
        <v>811.98778894479983</v>
      </c>
      <c r="J60" s="13">
        <f t="shared" si="11"/>
        <v>4.8198997715546837E-2</v>
      </c>
      <c r="K60" s="37" t="s">
        <v>65</v>
      </c>
      <c r="L60" s="113" t="s">
        <v>66</v>
      </c>
      <c r="M60" s="118"/>
      <c r="N60" s="118"/>
      <c r="O60" s="118"/>
      <c r="P60" s="118"/>
      <c r="Q60" s="118"/>
      <c r="R60" s="118"/>
      <c r="S60" s="118"/>
      <c r="T60" s="118"/>
    </row>
    <row r="61" spans="1:20" ht="15.6">
      <c r="A61" s="26" t="str">
        <v>Q620</v>
      </c>
      <c r="B61" s="27" t="str">
        <v>NY</v>
      </c>
      <c r="C61" s="27" t="str">
        <f>Sites[[#This Row],[SOL'#]]</f>
        <v>SOL-10867</v>
      </c>
      <c r="D61" s="9">
        <v>26364.625</v>
      </c>
      <c r="E61" s="14">
        <v>35204.15</v>
      </c>
      <c r="F61" s="14">
        <f t="shared" si="6"/>
        <v>-8839.5250000000015</v>
      </c>
      <c r="G61" s="15">
        <f t="shared" si="7"/>
        <v>-0.25109326599278781</v>
      </c>
      <c r="H61" s="16">
        <v>27281.47</v>
      </c>
      <c r="I61" s="16">
        <f t="shared" si="10"/>
        <v>-916.84500000000116</v>
      </c>
      <c r="J61" s="15">
        <f t="shared" si="11"/>
        <v>-3.3606876755541443E-2</v>
      </c>
      <c r="K61" s="56"/>
      <c r="L61" s="58"/>
      <c r="M61" s="118"/>
      <c r="N61" s="118"/>
      <c r="O61" s="118"/>
      <c r="P61" s="118"/>
      <c r="Q61" s="118"/>
      <c r="R61" s="118"/>
      <c r="S61" s="118"/>
      <c r="T61" s="118"/>
    </row>
    <row r="62" spans="1:20" ht="15.6">
      <c r="A62" s="24" t="str">
        <v>QMOA</v>
      </c>
      <c r="B62" s="25" t="str">
        <v>NY</v>
      </c>
      <c r="C62" s="25" t="str">
        <f>Sites[[#This Row],[SOL'#]]</f>
        <v>SOL-10415</v>
      </c>
      <c r="D62" s="20">
        <v>2696.5</v>
      </c>
      <c r="E62" s="10">
        <v>0</v>
      </c>
      <c r="F62" s="10">
        <f t="shared" si="6"/>
        <v>2696.5</v>
      </c>
      <c r="G62" s="11" t="str">
        <f t="shared" si="7"/>
        <v/>
      </c>
      <c r="H62" s="12">
        <v>2932.0630000000001</v>
      </c>
      <c r="I62" s="12">
        <f t="shared" si="10"/>
        <v>-235.5630000000001</v>
      </c>
      <c r="J62" s="13">
        <f t="shared" si="11"/>
        <v>-8.0340361035898644E-2</v>
      </c>
      <c r="K62" s="37"/>
      <c r="L62" s="59"/>
      <c r="M62" s="118"/>
      <c r="N62" s="118"/>
      <c r="O62" s="118"/>
      <c r="P62" s="118"/>
      <c r="Q62" s="118"/>
      <c r="R62" s="118"/>
      <c r="S62" s="118"/>
      <c r="T62" s="118"/>
    </row>
    <row r="63" spans="1:20" ht="15.6">
      <c r="A63" s="26" t="str">
        <v>X024</v>
      </c>
      <c r="B63" s="27" t="str">
        <v>NY</v>
      </c>
      <c r="C63" s="27" t="str">
        <f>Sites[[#This Row],[SOL'#]]</f>
        <v>SOL-10419</v>
      </c>
      <c r="D63" s="9">
        <v>7807.09375</v>
      </c>
      <c r="E63" s="14">
        <v>15291.95</v>
      </c>
      <c r="F63" s="14">
        <f t="shared" si="6"/>
        <v>-7484.8562500000007</v>
      </c>
      <c r="G63" s="15">
        <f t="shared" si="7"/>
        <v>-0.48946381919899035</v>
      </c>
      <c r="H63" s="16">
        <v>8671</v>
      </c>
      <c r="I63" s="16">
        <f t="shared" si="10"/>
        <v>-863.90625</v>
      </c>
      <c r="J63" s="15">
        <f t="shared" si="11"/>
        <v>-9.9631674547341717E-2</v>
      </c>
      <c r="K63" s="56"/>
      <c r="L63" s="58"/>
      <c r="M63" s="118"/>
      <c r="N63" s="118"/>
      <c r="O63" s="118"/>
      <c r="P63" s="118"/>
      <c r="Q63" s="118"/>
      <c r="R63" s="118"/>
      <c r="S63" s="118"/>
      <c r="T63" s="118"/>
    </row>
    <row r="64" spans="1:20" ht="15.6">
      <c r="A64" s="24" t="str">
        <v>X026</v>
      </c>
      <c r="B64" s="25" t="str">
        <v>NY</v>
      </c>
      <c r="C64" s="25" t="str">
        <f>Sites[[#This Row],[SOL'#]]</f>
        <v>SOL-10420</v>
      </c>
      <c r="D64" s="60">
        <v>6588.3</v>
      </c>
      <c r="E64" s="10">
        <v>11626.77</v>
      </c>
      <c r="F64" s="10">
        <f t="shared" ref="F64:F69" si="12">IF(AND(ISNUMBER(D64),ISNUMBER(E64)), D64-E64, "")</f>
        <v>-5038.47</v>
      </c>
      <c r="G64" s="11">
        <f t="shared" si="7"/>
        <v>-0.43335079304054352</v>
      </c>
      <c r="H64" s="12">
        <v>11127.49</v>
      </c>
      <c r="I64" s="12">
        <f t="shared" ref="I64:I69" si="13">IF(AND(ISNUMBER(D64),ISNUMBER(H64)), D64-H64, "")</f>
        <v>-4539.1899999999996</v>
      </c>
      <c r="J64" s="13">
        <f t="shared" si="11"/>
        <v>-0.40792577661269519</v>
      </c>
      <c r="K64" s="37" t="s">
        <v>67</v>
      </c>
      <c r="L64" s="113" t="s">
        <v>68</v>
      </c>
      <c r="M64" s="118"/>
      <c r="N64" s="118"/>
      <c r="O64" s="118"/>
      <c r="P64" s="118"/>
      <c r="Q64" s="118"/>
      <c r="R64" s="118"/>
      <c r="S64" s="118"/>
      <c r="T64" s="118"/>
    </row>
    <row r="65" spans="1:20" ht="15.6">
      <c r="A65" s="26" t="str">
        <v>X090</v>
      </c>
      <c r="B65" s="27" t="str">
        <v>NY</v>
      </c>
      <c r="C65" s="27" t="str">
        <f>Sites[[#This Row],[SOL'#]]</f>
        <v>SOL-10925</v>
      </c>
      <c r="D65" s="75">
        <v>7675.09375</v>
      </c>
      <c r="E65" s="14">
        <v>6852.3220000000001</v>
      </c>
      <c r="F65" s="14">
        <f t="shared" si="12"/>
        <v>822.77174999999988</v>
      </c>
      <c r="G65" s="15">
        <f t="shared" si="7"/>
        <v>0.12007196246761315</v>
      </c>
      <c r="H65" s="16">
        <v>7353</v>
      </c>
      <c r="I65" s="16">
        <f t="shared" si="13"/>
        <v>322.09375</v>
      </c>
      <c r="J65" s="15">
        <f t="shared" si="11"/>
        <v>4.3804399564803483E-2</v>
      </c>
      <c r="K65" s="56"/>
      <c r="L65" s="57"/>
      <c r="M65" s="118"/>
      <c r="N65" s="118"/>
      <c r="O65" s="118"/>
      <c r="P65" s="118"/>
      <c r="Q65" s="118"/>
      <c r="R65" s="118"/>
      <c r="S65" s="118"/>
      <c r="T65" s="118"/>
    </row>
    <row r="66" spans="1:20" ht="15.75">
      <c r="A66" s="24" t="str">
        <v>X117</v>
      </c>
      <c r="B66" s="25" t="str">
        <v>NY</v>
      </c>
      <c r="C66" s="25" t="str">
        <f>Sites[[#This Row],[SOL'#]]</f>
        <v>SOL-10422</v>
      </c>
      <c r="D66" s="20">
        <v>5524.7</v>
      </c>
      <c r="E66" s="10">
        <v>9713.0370000000003</v>
      </c>
      <c r="F66" s="10">
        <f t="shared" si="12"/>
        <v>-4188.3370000000004</v>
      </c>
      <c r="G66" s="11">
        <f t="shared" si="7"/>
        <v>-0.43120776745728451</v>
      </c>
      <c r="H66" s="12">
        <v>6534.0249999999996</v>
      </c>
      <c r="I66" s="12">
        <f t="shared" si="13"/>
        <v>-1009.3249999999998</v>
      </c>
      <c r="J66" s="13">
        <f t="shared" si="11"/>
        <v>-0.15447216684968298</v>
      </c>
      <c r="K66" s="37" t="s">
        <v>50</v>
      </c>
      <c r="L66" s="59"/>
      <c r="M66" s="118"/>
      <c r="N66" s="118"/>
      <c r="O66" s="118"/>
      <c r="P66" s="118"/>
      <c r="Q66" s="118"/>
      <c r="R66" s="118"/>
      <c r="S66" s="118"/>
      <c r="T66" s="118"/>
    </row>
    <row r="67" spans="1:20" ht="15.75">
      <c r="A67" s="26" t="str">
        <v>X125</v>
      </c>
      <c r="B67" s="27" t="str">
        <v>NY</v>
      </c>
      <c r="C67" s="27" t="str">
        <f>Sites[[#This Row],[SOL'#]]</f>
        <v>SOL-10423</v>
      </c>
      <c r="D67" s="9">
        <v>12077.875</v>
      </c>
      <c r="E67" s="14">
        <v>16953.080000000002</v>
      </c>
      <c r="F67" s="14">
        <f t="shared" si="12"/>
        <v>-4875.2050000000017</v>
      </c>
      <c r="G67" s="15">
        <f t="shared" si="7"/>
        <v>-0.28757045917320045</v>
      </c>
      <c r="H67" s="16">
        <v>11985.79</v>
      </c>
      <c r="I67" s="16">
        <f t="shared" si="13"/>
        <v>92.084999999999127</v>
      </c>
      <c r="J67" s="15">
        <f t="shared" si="11"/>
        <v>7.6828477722368843E-3</v>
      </c>
      <c r="K67" s="56" t="s">
        <v>50</v>
      </c>
      <c r="L67" s="58"/>
      <c r="M67" s="118"/>
      <c r="N67" s="118"/>
      <c r="O67" s="118"/>
      <c r="P67" s="118"/>
      <c r="Q67" s="118"/>
      <c r="R67" s="118"/>
      <c r="S67" s="118"/>
      <c r="T67" s="118"/>
    </row>
    <row r="68" spans="1:20" ht="15.6">
      <c r="A68" s="24" t="str">
        <v>X134</v>
      </c>
      <c r="B68" s="25" t="str">
        <v>NY</v>
      </c>
      <c r="C68" s="25" t="str">
        <f>Sites[[#This Row],[SOL'#]]</f>
        <v>SOL-10424</v>
      </c>
      <c r="D68" s="20">
        <v>10465.15625</v>
      </c>
      <c r="E68" s="10">
        <v>0</v>
      </c>
      <c r="F68" s="10">
        <f t="shared" si="12"/>
        <v>10465.15625</v>
      </c>
      <c r="G68" s="11" t="str">
        <f t="shared" si="7"/>
        <v/>
      </c>
      <c r="H68" s="12">
        <v>10182</v>
      </c>
      <c r="I68" s="12">
        <f t="shared" si="13"/>
        <v>283.15625</v>
      </c>
      <c r="J68" s="13">
        <f t="shared" si="11"/>
        <v>2.7809492241209977E-2</v>
      </c>
      <c r="K68" s="37"/>
      <c r="L68" s="59"/>
      <c r="M68" s="118"/>
      <c r="N68" s="118"/>
      <c r="O68" s="118"/>
      <c r="P68" s="118"/>
      <c r="Q68" s="118"/>
      <c r="R68" s="118"/>
      <c r="S68" s="118"/>
      <c r="T68" s="118"/>
    </row>
    <row r="69" spans="1:20" ht="15.75">
      <c r="A69" s="26" t="str">
        <v>X135</v>
      </c>
      <c r="B69" s="27" t="str">
        <v>NY</v>
      </c>
      <c r="C69" s="27" t="str">
        <f>Sites[[#This Row],[SOL'#]]</f>
        <v>SOL-10425</v>
      </c>
      <c r="D69" s="9">
        <v>9755.1875</v>
      </c>
      <c r="E69" s="14">
        <v>14564.38</v>
      </c>
      <c r="F69" s="14">
        <f t="shared" si="12"/>
        <v>-4809.1924999999992</v>
      </c>
      <c r="G69" s="15">
        <f t="shared" si="7"/>
        <v>-0.33020234984256108</v>
      </c>
      <c r="H69" s="16">
        <v>9790</v>
      </c>
      <c r="I69" s="16">
        <f t="shared" si="13"/>
        <v>-34.8125</v>
      </c>
      <c r="J69" s="15">
        <f t="shared" si="11"/>
        <v>-3.5559244126659858E-3</v>
      </c>
      <c r="K69" s="56" t="s">
        <v>50</v>
      </c>
      <c r="L69" s="58"/>
      <c r="M69" s="118"/>
      <c r="N69" s="118"/>
      <c r="O69" s="118"/>
      <c r="P69" s="118"/>
      <c r="Q69" s="118"/>
      <c r="R69" s="118"/>
      <c r="S69" s="118"/>
      <c r="T69" s="118"/>
    </row>
    <row r="70" spans="1:20" ht="15.75">
      <c r="A70" s="24" t="str">
        <v>X139 JHS 222</v>
      </c>
      <c r="B70" s="25" t="str">
        <v>NY</v>
      </c>
      <c r="C70" s="25" t="str">
        <f>Sites[[#This Row],[SOL'#]]</f>
        <v>SOL-10426</v>
      </c>
      <c r="D70" s="20">
        <v>12809.0209026512</v>
      </c>
      <c r="E70" s="10">
        <v>16768.060000000001</v>
      </c>
      <c r="F70" s="10">
        <f t="shared" si="6"/>
        <v>-3959.0390973488011</v>
      </c>
      <c r="G70" s="11">
        <f t="shared" si="7"/>
        <v>-0.23610597155239191</v>
      </c>
      <c r="H70" s="12">
        <v>12346</v>
      </c>
      <c r="I70" s="12">
        <f t="shared" si="10"/>
        <v>463.02090265120023</v>
      </c>
      <c r="J70" s="13">
        <f t="shared" si="11"/>
        <v>3.7503718018078745E-2</v>
      </c>
      <c r="K70" s="37" t="s">
        <v>50</v>
      </c>
      <c r="L70" s="59"/>
      <c r="M70" s="118"/>
      <c r="N70" s="118"/>
      <c r="O70" s="118"/>
      <c r="P70" s="118"/>
      <c r="Q70" s="118"/>
      <c r="R70" s="118"/>
      <c r="S70" s="118"/>
      <c r="T70" s="118"/>
    </row>
    <row r="71" spans="1:20" ht="15.6">
      <c r="A71" s="26" t="str">
        <v>X140</v>
      </c>
      <c r="B71" s="27" t="str">
        <v>NY</v>
      </c>
      <c r="C71" s="27" t="str">
        <f>Sites[[#This Row],[SOL'#]]</f>
        <v>SOL-10926</v>
      </c>
      <c r="D71" s="9">
        <v>8890.625</v>
      </c>
      <c r="E71" s="14">
        <v>8929.9140000000007</v>
      </c>
      <c r="F71" s="14">
        <f t="shared" si="6"/>
        <v>-39.289000000000669</v>
      </c>
      <c r="G71" s="15">
        <f t="shared" si="7"/>
        <v>-4.3997064249443685E-3</v>
      </c>
      <c r="H71" s="16">
        <v>8234</v>
      </c>
      <c r="I71" s="16">
        <f t="shared" si="10"/>
        <v>656.625</v>
      </c>
      <c r="J71" s="15">
        <f t="shared" si="11"/>
        <v>7.9745567160553796E-2</v>
      </c>
      <c r="K71" s="56"/>
      <c r="L71" s="58"/>
      <c r="M71" s="118"/>
      <c r="N71" s="118"/>
      <c r="O71" s="118"/>
      <c r="P71" s="118"/>
      <c r="Q71" s="118"/>
      <c r="R71" s="118"/>
      <c r="S71" s="118"/>
      <c r="T71" s="118"/>
    </row>
    <row r="72" spans="1:20" ht="15.75">
      <c r="A72" s="24" t="str">
        <v>X166</v>
      </c>
      <c r="B72" s="25" t="str">
        <v>NY</v>
      </c>
      <c r="C72" s="25" t="str">
        <f>Sites[[#This Row],[SOL'#]]</f>
        <v>SOL-10427</v>
      </c>
      <c r="D72" s="20">
        <v>8246.6</v>
      </c>
      <c r="E72" s="10">
        <v>13090.03</v>
      </c>
      <c r="F72" s="10">
        <f t="shared" si="6"/>
        <v>-4843.43</v>
      </c>
      <c r="G72" s="11">
        <f t="shared" si="7"/>
        <v>-0.37000908324885429</v>
      </c>
      <c r="H72" s="12">
        <v>7246</v>
      </c>
      <c r="I72" s="12">
        <f t="shared" si="10"/>
        <v>1000.6000000000004</v>
      </c>
      <c r="J72" s="13">
        <f t="shared" si="11"/>
        <v>0.13808998067899536</v>
      </c>
      <c r="K72" s="37" t="s">
        <v>50</v>
      </c>
      <c r="L72" s="59"/>
      <c r="M72" s="118"/>
      <c r="N72" s="118"/>
      <c r="O72" s="118"/>
      <c r="P72" s="118"/>
      <c r="Q72" s="118"/>
      <c r="R72" s="118"/>
      <c r="S72" s="118"/>
      <c r="T72" s="118"/>
    </row>
    <row r="73" spans="1:20" ht="114" customHeight="1">
      <c r="A73" s="26" t="str">
        <v>Murphy</v>
      </c>
      <c r="B73" s="27" t="str">
        <v>MN</v>
      </c>
      <c r="C73" s="27" t="str">
        <f>Sites[[#This Row],[SOL'#]]</f>
        <v>SOL-10094</v>
      </c>
      <c r="D73" s="9">
        <v>512400</v>
      </c>
      <c r="E73" s="14">
        <v>650404.30000000005</v>
      </c>
      <c r="F73" s="14">
        <f t="shared" si="6"/>
        <v>-138004.30000000005</v>
      </c>
      <c r="G73" s="15">
        <f t="shared" si="7"/>
        <v>-0.21218233028287181</v>
      </c>
      <c r="H73" s="16">
        <v>514855.4</v>
      </c>
      <c r="I73" s="16">
        <f t="shared" si="10"/>
        <v>-2455.4000000000233</v>
      </c>
      <c r="J73" s="15">
        <f t="shared" si="11"/>
        <v>-4.7691060441437012E-3</v>
      </c>
      <c r="K73" s="56" t="s">
        <v>69</v>
      </c>
      <c r="L73" s="114" t="s">
        <v>70</v>
      </c>
      <c r="M73" s="117" t="s">
        <v>71</v>
      </c>
      <c r="N73" s="117" t="s">
        <v>72</v>
      </c>
      <c r="O73" s="117" t="s">
        <v>73</v>
      </c>
      <c r="P73" s="117" t="s">
        <v>74</v>
      </c>
      <c r="Q73" s="117" t="s">
        <v>73</v>
      </c>
      <c r="R73" s="118"/>
      <c r="S73" s="118"/>
      <c r="T73" s="118"/>
    </row>
    <row r="74" spans="1:20" ht="15.75">
      <c r="A74" s="24" t="str">
        <v>Terning</v>
      </c>
      <c r="B74" s="25" t="str">
        <v>MN</v>
      </c>
      <c r="C74" s="25" t="str">
        <f>Sites[[#This Row],[SOL'#]]</f>
        <v>SOL-10093</v>
      </c>
      <c r="D74" s="20">
        <v>526233</v>
      </c>
      <c r="E74" s="10">
        <v>640284.30000000005</v>
      </c>
      <c r="F74" s="10">
        <f t="shared" si="6"/>
        <v>-114051.30000000005</v>
      </c>
      <c r="G74" s="11">
        <f t="shared" si="7"/>
        <v>-0.17812602932790955</v>
      </c>
      <c r="H74" s="12">
        <v>466507.1</v>
      </c>
      <c r="I74" s="12">
        <f t="shared" si="10"/>
        <v>59725.900000000023</v>
      </c>
      <c r="J74" s="13">
        <f t="shared" si="11"/>
        <v>0.12802784780767543</v>
      </c>
      <c r="K74" s="37" t="s">
        <v>50</v>
      </c>
      <c r="L74" s="59"/>
      <c r="M74" s="118"/>
      <c r="N74" s="118"/>
      <c r="O74" s="118"/>
      <c r="P74" s="118"/>
      <c r="Q74" s="118"/>
      <c r="R74" s="118"/>
      <c r="S74" s="118"/>
      <c r="T74" s="118"/>
    </row>
    <row r="75" spans="1:20" ht="15.75">
      <c r="A75" s="26" t="str">
        <v>Boas Road 04</v>
      </c>
      <c r="B75" s="27" t="str">
        <v>NY</v>
      </c>
      <c r="C75" s="27" t="str">
        <f>Sites[[#This Row],[SOL'#]]</f>
        <v>SOL-10908</v>
      </c>
      <c r="D75" s="9">
        <v>139690</v>
      </c>
      <c r="E75" s="14">
        <v>195502.94699999999</v>
      </c>
      <c r="F75" s="14">
        <f t="shared" si="6"/>
        <v>-55812.946999999986</v>
      </c>
      <c r="G75" s="15">
        <f t="shared" si="7"/>
        <v>-0.28548391651610239</v>
      </c>
      <c r="H75" s="16">
        <v>155064.5</v>
      </c>
      <c r="I75" s="16">
        <f t="shared" si="10"/>
        <v>-15374.5</v>
      </c>
      <c r="J75" s="15">
        <f t="shared" si="11"/>
        <v>-9.9149063776686475E-2</v>
      </c>
      <c r="K75" s="56" t="s">
        <v>50</v>
      </c>
      <c r="L75" s="58"/>
      <c r="M75" s="118"/>
      <c r="N75" s="118"/>
      <c r="O75" s="118"/>
      <c r="P75" s="118"/>
      <c r="Q75" s="118"/>
      <c r="R75" s="118"/>
      <c r="S75" s="118"/>
      <c r="T75" s="118"/>
    </row>
    <row r="76" spans="1:20" ht="126" customHeight="1">
      <c r="A76" s="24" t="str">
        <v>Kelly Bridge Farm</v>
      </c>
      <c r="B76" s="25" t="str">
        <v>NY</v>
      </c>
      <c r="C76" s="25" t="str">
        <f>Sites[[#This Row],[SOL'#]]</f>
        <v>SOL-10911</v>
      </c>
      <c r="D76" s="20">
        <v>105630</v>
      </c>
      <c r="E76" s="10">
        <v>192097.42800000001</v>
      </c>
      <c r="F76" s="10">
        <f t="shared" si="6"/>
        <v>-86467.428000000014</v>
      </c>
      <c r="G76" s="11">
        <f t="shared" si="7"/>
        <v>-0.45012277832267494</v>
      </c>
      <c r="H76" s="12">
        <v>144336.79999999999</v>
      </c>
      <c r="I76" s="12">
        <f t="shared" si="10"/>
        <v>-38706.799999999988</v>
      </c>
      <c r="J76" s="13">
        <f t="shared" si="11"/>
        <v>-0.26817000238331451</v>
      </c>
      <c r="K76" s="37" t="s">
        <v>75</v>
      </c>
      <c r="L76" s="113" t="s">
        <v>76</v>
      </c>
      <c r="M76" s="117" t="s">
        <v>77</v>
      </c>
      <c r="N76" s="117" t="s">
        <v>78</v>
      </c>
      <c r="O76" s="117" t="s">
        <v>79</v>
      </c>
      <c r="P76" s="117" t="s">
        <v>80</v>
      </c>
      <c r="Q76" s="118"/>
      <c r="R76" s="118"/>
      <c r="S76" s="118"/>
      <c r="T76" s="118"/>
    </row>
    <row r="77" spans="1:20" ht="15.75">
      <c r="A77" s="26" t="str">
        <v>Pool Brook Road</v>
      </c>
      <c r="B77" s="27" t="str">
        <v>NY</v>
      </c>
      <c r="C77" s="27" t="str">
        <f>Sites[[#This Row],[SOL'#]]</f>
        <v>SOL-10909</v>
      </c>
      <c r="D77" s="9">
        <v>55489</v>
      </c>
      <c r="E77" s="14">
        <v>160091.75200000001</v>
      </c>
      <c r="F77" s="14">
        <f t="shared" si="6"/>
        <v>-104602.75200000001</v>
      </c>
      <c r="G77" s="15">
        <f t="shared" si="7"/>
        <v>-0.65339251206395699</v>
      </c>
      <c r="H77" s="16">
        <v>143824.5</v>
      </c>
      <c r="I77" s="16">
        <f t="shared" si="10"/>
        <v>-88335.5</v>
      </c>
      <c r="J77" s="15">
        <f t="shared" si="11"/>
        <v>-0.61418951569447489</v>
      </c>
      <c r="K77" s="146" t="s">
        <v>50</v>
      </c>
      <c r="L77" s="57"/>
      <c r="M77" s="118"/>
      <c r="N77" s="118"/>
      <c r="O77" s="118"/>
      <c r="P77" s="118"/>
      <c r="Q77" s="118"/>
      <c r="R77" s="118"/>
      <c r="S77" s="118"/>
      <c r="T77" s="118"/>
    </row>
    <row r="78" spans="1:20" ht="46.5" customHeight="1">
      <c r="A78" s="24" t="str">
        <v>Sackett Lake</v>
      </c>
      <c r="B78" s="25" t="str">
        <v>NY</v>
      </c>
      <c r="C78" s="25" t="str">
        <f>Sites[[#This Row],[SOL'#]]</f>
        <v>SOL-10910</v>
      </c>
      <c r="D78" s="20">
        <v>132347</v>
      </c>
      <c r="E78" s="10">
        <v>200740.75399999999</v>
      </c>
      <c r="F78" s="10">
        <f t="shared" si="6"/>
        <v>-68393.753999999986</v>
      </c>
      <c r="G78" s="11">
        <f t="shared" si="7"/>
        <v>-0.34070687011567163</v>
      </c>
      <c r="H78" s="12">
        <v>168308.5</v>
      </c>
      <c r="I78" s="12">
        <f t="shared" si="10"/>
        <v>-35961.5</v>
      </c>
      <c r="J78" s="13">
        <f t="shared" si="11"/>
        <v>-0.21366419402466305</v>
      </c>
      <c r="K78" s="37" t="s">
        <v>81</v>
      </c>
      <c r="L78" s="113" t="s">
        <v>82</v>
      </c>
      <c r="M78" s="118"/>
      <c r="N78" s="118"/>
      <c r="O78" s="118"/>
      <c r="P78" s="118"/>
      <c r="Q78" s="118"/>
      <c r="R78" s="118"/>
      <c r="S78" s="118"/>
      <c r="T78" s="118"/>
    </row>
    <row r="79" spans="1:20" ht="43.5" customHeight="1">
      <c r="A79" s="26" t="str">
        <v>Burritt Road</v>
      </c>
      <c r="B79" s="27" t="str">
        <v>NY</v>
      </c>
      <c r="C79" s="27" t="str">
        <f>Sites[[#This Row],[SOL'#]]</f>
        <v>SOL-10913</v>
      </c>
      <c r="D79" s="9">
        <v>72290</v>
      </c>
      <c r="E79" s="14">
        <v>0</v>
      </c>
      <c r="F79" s="14">
        <f t="shared" si="6"/>
        <v>72290</v>
      </c>
      <c r="G79" s="15" t="str">
        <f t="shared" si="7"/>
        <v/>
      </c>
      <c r="H79" s="16">
        <v>111972.4</v>
      </c>
      <c r="I79" s="16">
        <f t="shared" si="10"/>
        <v>-39682.399999999994</v>
      </c>
      <c r="J79" s="15">
        <f t="shared" si="11"/>
        <v>-0.35439447578153183</v>
      </c>
      <c r="K79" s="56" t="s">
        <v>83</v>
      </c>
      <c r="L79" s="114" t="s">
        <v>84</v>
      </c>
      <c r="M79" s="118"/>
      <c r="N79" s="118"/>
      <c r="O79" s="118"/>
      <c r="P79" s="118"/>
      <c r="Q79" s="118"/>
      <c r="R79" s="118"/>
      <c r="S79" s="118"/>
      <c r="T79" s="118"/>
    </row>
    <row r="80" spans="1:20" ht="132" customHeight="1">
      <c r="A80" s="24" t="str">
        <v>Villa Roma 1</v>
      </c>
      <c r="B80" s="25" t="str">
        <v>NY</v>
      </c>
      <c r="C80" s="25" t="str">
        <f>Sites[[#This Row],[SOL'#]]</f>
        <v>SOL-10914</v>
      </c>
      <c r="D80" s="20">
        <v>75089</v>
      </c>
      <c r="E80" s="10">
        <v>234497.34599999999</v>
      </c>
      <c r="F80" s="10">
        <f t="shared" ref="F80:F143" si="14">IF(AND(ISNUMBER(D80),ISNUMBER(E80)), D80-E80, "")</f>
        <v>-159408.34599999999</v>
      </c>
      <c r="G80" s="11">
        <f t="shared" ref="G80:G143" si="15">IFERROR(F80/E80, "")</f>
        <v>-0.6797874207070983</v>
      </c>
      <c r="H80" s="12">
        <v>119197</v>
      </c>
      <c r="I80" s="12">
        <f t="shared" si="10"/>
        <v>-44108</v>
      </c>
      <c r="J80" s="13">
        <f t="shared" si="11"/>
        <v>-0.37004287020646492</v>
      </c>
      <c r="K80" s="37" t="s">
        <v>85</v>
      </c>
      <c r="L80" s="113" t="s">
        <v>86</v>
      </c>
      <c r="M80" s="117" t="s">
        <v>87</v>
      </c>
      <c r="N80" s="117" t="s">
        <v>88</v>
      </c>
      <c r="O80" s="117" t="s">
        <v>89</v>
      </c>
      <c r="P80" s="117" t="s">
        <v>90</v>
      </c>
      <c r="Q80" s="118"/>
      <c r="R80" s="118"/>
      <c r="S80" s="118"/>
      <c r="T80" s="118"/>
    </row>
    <row r="81" spans="1:20" ht="15.6">
      <c r="A81" s="26" t="str">
        <v>Villa Roma 2</v>
      </c>
      <c r="B81" s="27" t="str">
        <v>NY</v>
      </c>
      <c r="C81" s="27" t="str">
        <f>Sites[[#This Row],[SOL'#]]</f>
        <v>SOL-10915</v>
      </c>
      <c r="D81" s="9">
        <v>94660</v>
      </c>
      <c r="E81" s="14">
        <v>158029.45499999999</v>
      </c>
      <c r="F81" s="14">
        <f t="shared" si="14"/>
        <v>-63369.454999999987</v>
      </c>
      <c r="G81" s="15">
        <f t="shared" si="15"/>
        <v>-0.40099774437619867</v>
      </c>
      <c r="H81" s="16">
        <v>116241.7</v>
      </c>
      <c r="I81" s="16">
        <f t="shared" si="10"/>
        <v>-21581.699999999997</v>
      </c>
      <c r="J81" s="15">
        <f t="shared" si="11"/>
        <v>-0.18566228814616439</v>
      </c>
      <c r="K81" s="56" t="s">
        <v>91</v>
      </c>
      <c r="L81" s="114" t="s">
        <v>92</v>
      </c>
      <c r="M81" s="118"/>
      <c r="N81" s="118"/>
      <c r="O81" s="118"/>
      <c r="P81" s="118"/>
      <c r="Q81" s="118"/>
      <c r="R81" s="118"/>
      <c r="S81" s="118"/>
      <c r="T81" s="118"/>
    </row>
    <row r="82" spans="1:20" ht="39" customHeight="1">
      <c r="A82" s="24" t="str">
        <v>Washington 1</v>
      </c>
      <c r="B82" s="25" t="str">
        <v>NY</v>
      </c>
      <c r="C82" s="25" t="str">
        <f>Sites[[#This Row],[SOL'#]]</f>
        <v>SOL-10912</v>
      </c>
      <c r="D82" s="20">
        <v>106440</v>
      </c>
      <c r="E82" s="10">
        <v>159121.52600000001</v>
      </c>
      <c r="F82" s="10">
        <f t="shared" si="14"/>
        <v>-52681.526000000013</v>
      </c>
      <c r="G82" s="11">
        <f t="shared" si="15"/>
        <v>-0.33107730502785654</v>
      </c>
      <c r="H82" s="12">
        <v>107375.8</v>
      </c>
      <c r="I82" s="12">
        <f t="shared" ref="I82:I145" si="16">IF(AND(ISNUMBER(D82),ISNUMBER(H82)), D82-H82, "")</f>
        <v>-935.80000000000291</v>
      </c>
      <c r="J82" s="13">
        <f t="shared" ref="J82:J145" si="17">IFERROR(I82/H82, "")</f>
        <v>-8.7151853583396152E-3</v>
      </c>
      <c r="K82" s="37" t="s">
        <v>93</v>
      </c>
      <c r="L82" s="113" t="s">
        <v>94</v>
      </c>
      <c r="M82" s="118"/>
      <c r="N82" s="118"/>
      <c r="O82" s="118"/>
      <c r="P82" s="118"/>
      <c r="Q82" s="118"/>
      <c r="R82" s="118"/>
      <c r="S82" s="118"/>
      <c r="T82" s="118"/>
    </row>
    <row r="83" spans="1:20" ht="100.5" customHeight="1">
      <c r="A83" s="26" t="str">
        <v>Washington 3</v>
      </c>
      <c r="B83" s="27" t="str">
        <v>NY</v>
      </c>
      <c r="C83" s="27" t="str">
        <f>Sites[[#This Row],[SOL'#]]</f>
        <v>SOL-10828</v>
      </c>
      <c r="D83" s="9">
        <v>126003</v>
      </c>
      <c r="E83" s="14">
        <v>96875.183000000005</v>
      </c>
      <c r="F83" s="14">
        <f t="shared" si="14"/>
        <v>29127.816999999995</v>
      </c>
      <c r="G83" s="15">
        <f t="shared" si="15"/>
        <v>0.30067367201773437</v>
      </c>
      <c r="H83" s="16">
        <v>132253.79999999999</v>
      </c>
      <c r="I83" s="16">
        <f t="shared" si="16"/>
        <v>-6250.7999999999884</v>
      </c>
      <c r="J83" s="15">
        <f t="shared" si="17"/>
        <v>-4.7263670306637605E-2</v>
      </c>
      <c r="K83" s="56" t="s">
        <v>95</v>
      </c>
      <c r="L83" s="114" t="s">
        <v>96</v>
      </c>
      <c r="M83" s="117" t="s">
        <v>97</v>
      </c>
      <c r="N83" s="118"/>
      <c r="O83" s="118"/>
      <c r="P83" s="118"/>
      <c r="Q83" s="118"/>
      <c r="R83" s="118"/>
      <c r="S83" s="118"/>
      <c r="T83" s="118"/>
    </row>
    <row r="84" spans="1:20" ht="15.75">
      <c r="A84" s="24" t="str">
        <v>Washington 4</v>
      </c>
      <c r="B84" s="25" t="str">
        <v>NY</v>
      </c>
      <c r="C84" s="25" t="str">
        <f>Sites[[#This Row],[SOL'#]]</f>
        <v>SOL-10829</v>
      </c>
      <c r="D84" s="20">
        <v>91589</v>
      </c>
      <c r="E84" s="10">
        <v>0</v>
      </c>
      <c r="F84" s="10">
        <f t="shared" si="14"/>
        <v>91589</v>
      </c>
      <c r="G84" s="11" t="str">
        <f t="shared" si="15"/>
        <v/>
      </c>
      <c r="H84" s="12">
        <v>132064.4</v>
      </c>
      <c r="I84" s="12">
        <f t="shared" si="16"/>
        <v>-40475.399999999994</v>
      </c>
      <c r="J84" s="13">
        <f t="shared" si="17"/>
        <v>-0.30648229197270421</v>
      </c>
      <c r="K84" s="59" t="s">
        <v>50</v>
      </c>
      <c r="L84" s="59"/>
      <c r="M84" s="118"/>
      <c r="N84" s="118"/>
      <c r="O84" s="118"/>
      <c r="P84" s="118"/>
      <c r="Q84" s="118"/>
      <c r="R84" s="118"/>
      <c r="S84" s="118"/>
      <c r="T84" s="118"/>
    </row>
    <row r="85" spans="1:20" ht="15.75">
      <c r="A85" s="26" t="str">
        <v>Big Tree</v>
      </c>
      <c r="B85" s="27" t="str">
        <v>NY</v>
      </c>
      <c r="C85" s="27" t="str">
        <f>Sites[[#This Row],[SOL'#]]</f>
        <v>SOL-10966</v>
      </c>
      <c r="D85" s="9">
        <v>23918</v>
      </c>
      <c r="E85" s="14">
        <v>0</v>
      </c>
      <c r="F85" s="14">
        <f t="shared" si="14"/>
        <v>23918</v>
      </c>
      <c r="G85" s="15" t="str">
        <f t="shared" si="15"/>
        <v/>
      </c>
      <c r="H85" s="16">
        <v>116825.9</v>
      </c>
      <c r="I85" s="16">
        <f t="shared" si="16"/>
        <v>-92907.9</v>
      </c>
      <c r="J85" s="15">
        <f t="shared" si="17"/>
        <v>-0.79526800135928766</v>
      </c>
      <c r="K85" s="146" t="s">
        <v>50</v>
      </c>
      <c r="L85" s="58"/>
      <c r="M85" s="118"/>
      <c r="N85" s="118"/>
      <c r="O85" s="118"/>
      <c r="P85" s="118"/>
      <c r="Q85" s="118"/>
      <c r="R85" s="118"/>
      <c r="S85" s="118"/>
      <c r="T85" s="118"/>
    </row>
    <row r="86" spans="1:20" ht="130.5" customHeight="1">
      <c r="A86" s="24" t="str">
        <v>Canoga</v>
      </c>
      <c r="B86" s="25" t="str">
        <v>NY</v>
      </c>
      <c r="C86" s="25" t="str">
        <f>Sites[[#This Row],[SOL'#]]</f>
        <v>SOL-10965</v>
      </c>
      <c r="D86" s="20">
        <v>314990</v>
      </c>
      <c r="E86" s="10">
        <v>0</v>
      </c>
      <c r="F86" s="10">
        <f t="shared" si="14"/>
        <v>314990</v>
      </c>
      <c r="G86" s="11" t="str">
        <f t="shared" si="15"/>
        <v/>
      </c>
      <c r="H86" s="12"/>
      <c r="I86" s="12" t="str">
        <f t="shared" si="16"/>
        <v/>
      </c>
      <c r="J86" s="13" t="str">
        <f t="shared" si="17"/>
        <v/>
      </c>
      <c r="K86" s="37" t="s">
        <v>98</v>
      </c>
      <c r="L86" s="113" t="s">
        <v>99</v>
      </c>
      <c r="M86" s="117" t="s">
        <v>100</v>
      </c>
      <c r="N86" s="117" t="s">
        <v>101</v>
      </c>
      <c r="O86" s="117" t="s">
        <v>102</v>
      </c>
      <c r="P86" s="117" t="s">
        <v>101</v>
      </c>
      <c r="Q86" s="118"/>
      <c r="R86" s="118"/>
      <c r="S86" s="118"/>
      <c r="T86" s="118"/>
    </row>
    <row r="87" spans="1:20" ht="15.6">
      <c r="A87" s="26" t="str">
        <v>County Route 84</v>
      </c>
      <c r="B87" s="27" t="str">
        <v>NY</v>
      </c>
      <c r="C87" s="27" t="str">
        <f>Sites[[#This Row],[SOL'#]]</f>
        <v>SOL-10967</v>
      </c>
      <c r="D87" s="9">
        <v>423990</v>
      </c>
      <c r="E87" s="14">
        <v>0</v>
      </c>
      <c r="F87" s="14">
        <f t="shared" si="14"/>
        <v>423990</v>
      </c>
      <c r="G87" s="15" t="str">
        <f t="shared" si="15"/>
        <v/>
      </c>
      <c r="H87" s="16">
        <v>472285.7</v>
      </c>
      <c r="I87" s="16">
        <f t="shared" si="16"/>
        <v>-48295.700000000012</v>
      </c>
      <c r="J87" s="15"/>
      <c r="K87" s="56" t="s">
        <v>103</v>
      </c>
      <c r="L87" s="114" t="s">
        <v>104</v>
      </c>
      <c r="M87" s="118"/>
      <c r="N87" s="118"/>
      <c r="O87" s="118"/>
      <c r="P87" s="118"/>
      <c r="Q87" s="118"/>
      <c r="R87" s="118"/>
      <c r="S87" s="118"/>
      <c r="T87" s="118"/>
    </row>
    <row r="88" spans="1:20" ht="43.15">
      <c r="A88" s="24" t="str">
        <v>Donati</v>
      </c>
      <c r="B88" s="25" t="str">
        <v>NY</v>
      </c>
      <c r="C88" s="25" t="str">
        <f>Sites[[#This Row],[SOL'#]]</f>
        <v>SOL-10968</v>
      </c>
      <c r="D88" s="20">
        <v>127357</v>
      </c>
      <c r="E88" s="10">
        <v>0</v>
      </c>
      <c r="F88" s="10">
        <f t="shared" si="14"/>
        <v>127357</v>
      </c>
      <c r="G88" s="11" t="str">
        <f t="shared" si="15"/>
        <v/>
      </c>
      <c r="H88" s="12">
        <v>156570.4</v>
      </c>
      <c r="I88" s="12">
        <f t="shared" si="16"/>
        <v>-29213.399999999994</v>
      </c>
      <c r="J88" s="13">
        <f t="shared" si="17"/>
        <v>-0.18658316003535785</v>
      </c>
      <c r="K88" s="37" t="s">
        <v>105</v>
      </c>
      <c r="L88" s="113" t="s">
        <v>106</v>
      </c>
      <c r="M88" s="117" t="s">
        <v>107</v>
      </c>
      <c r="N88" s="118"/>
      <c r="O88" s="118"/>
      <c r="P88" s="118"/>
      <c r="Q88" s="118"/>
      <c r="R88" s="118"/>
      <c r="S88" s="118"/>
      <c r="T88" s="118"/>
    </row>
    <row r="89" spans="1:20" ht="15.75">
      <c r="A89" s="26" t="str">
        <v>Henrietta</v>
      </c>
      <c r="B89" s="27" t="str">
        <v>NY</v>
      </c>
      <c r="C89" s="27" t="str">
        <f>Sites[[#This Row],[SOL'#]]</f>
        <v>SOL-10972</v>
      </c>
      <c r="D89" s="9">
        <v>200110</v>
      </c>
      <c r="E89" s="14">
        <v>0</v>
      </c>
      <c r="F89" s="14">
        <f t="shared" si="14"/>
        <v>200110</v>
      </c>
      <c r="G89" s="15" t="str">
        <f t="shared" si="15"/>
        <v/>
      </c>
      <c r="H89" s="16">
        <v>268925.40000000002</v>
      </c>
      <c r="I89" s="16">
        <f t="shared" si="16"/>
        <v>-68815.400000000023</v>
      </c>
      <c r="J89" s="15">
        <f t="shared" si="17"/>
        <v>-0.2558902952268548</v>
      </c>
      <c r="K89" s="56" t="s">
        <v>23</v>
      </c>
      <c r="L89" s="57"/>
      <c r="M89" s="118"/>
      <c r="N89" s="118"/>
      <c r="O89" s="118"/>
      <c r="P89" s="118"/>
      <c r="Q89" s="118"/>
      <c r="R89" s="118"/>
      <c r="S89" s="118"/>
      <c r="T89" s="118"/>
    </row>
    <row r="90" spans="1:20" ht="28.9">
      <c r="A90" s="24" t="str">
        <v>NY 70</v>
      </c>
      <c r="B90" s="25" t="str">
        <v>NY</v>
      </c>
      <c r="C90" s="25" t="str">
        <f>Sites[[#This Row],[SOL'#]]</f>
        <v>SOL-10970</v>
      </c>
      <c r="D90" s="20">
        <v>284620</v>
      </c>
      <c r="E90" s="10">
        <v>0</v>
      </c>
      <c r="F90" s="10">
        <f t="shared" si="14"/>
        <v>284620</v>
      </c>
      <c r="G90" s="11" t="str">
        <f t="shared" si="15"/>
        <v/>
      </c>
      <c r="H90" s="12">
        <v>386450</v>
      </c>
      <c r="I90" s="12">
        <f t="shared" si="16"/>
        <v>-101830</v>
      </c>
      <c r="J90" s="13">
        <f t="shared" si="17"/>
        <v>-0.26350109975417257</v>
      </c>
      <c r="K90" s="37" t="s">
        <v>108</v>
      </c>
      <c r="L90" s="113" t="s">
        <v>109</v>
      </c>
      <c r="M90" s="118"/>
      <c r="N90" s="118"/>
      <c r="O90" s="118"/>
      <c r="P90" s="118"/>
      <c r="Q90" s="118"/>
      <c r="R90" s="118"/>
      <c r="S90" s="118"/>
      <c r="T90" s="118"/>
    </row>
    <row r="91" spans="1:20" ht="15.6">
      <c r="A91" s="26" t="str">
        <v>Reid</v>
      </c>
      <c r="B91" s="27" t="str">
        <v>NY</v>
      </c>
      <c r="C91" s="27" t="str">
        <f>Sites[[#This Row],[SOL'#]]</f>
        <v>SOL-10991</v>
      </c>
      <c r="D91" s="9">
        <v>165884.98926101299</v>
      </c>
      <c r="E91" s="14">
        <v>348144.2</v>
      </c>
      <c r="F91" s="14">
        <f t="shared" si="14"/>
        <v>-182259.21073898702</v>
      </c>
      <c r="G91" s="15">
        <f t="shared" si="15"/>
        <v>-0.52351643583028817</v>
      </c>
      <c r="H91" s="16">
        <v>265223</v>
      </c>
      <c r="I91" s="16">
        <f t="shared" si="16"/>
        <v>-99338.01073898701</v>
      </c>
      <c r="J91" s="15">
        <f t="shared" si="17"/>
        <v>-0.37454523453466332</v>
      </c>
      <c r="K91" s="56" t="s">
        <v>110</v>
      </c>
      <c r="L91" s="114" t="s">
        <v>111</v>
      </c>
      <c r="M91" s="118"/>
      <c r="N91" s="118"/>
      <c r="O91" s="118"/>
      <c r="P91" s="118"/>
      <c r="Q91" s="118"/>
      <c r="R91" s="118"/>
      <c r="S91" s="118"/>
      <c r="T91" s="118"/>
    </row>
    <row r="92" spans="1:20" ht="15.6">
      <c r="A92" s="24" t="str">
        <v>Sangolqui</v>
      </c>
      <c r="B92" s="25" t="str">
        <v>NY</v>
      </c>
      <c r="C92" s="25" t="str">
        <f>Sites[[#This Row],[SOL'#]]</f>
        <v>SOL-10975</v>
      </c>
      <c r="D92" s="20">
        <v>129267</v>
      </c>
      <c r="E92" s="10">
        <v>0</v>
      </c>
      <c r="F92" s="10">
        <f t="shared" si="14"/>
        <v>129267</v>
      </c>
      <c r="G92" s="11" t="str">
        <f t="shared" si="15"/>
        <v/>
      </c>
      <c r="H92" s="12">
        <v>151974.9</v>
      </c>
      <c r="I92" s="12">
        <f t="shared" si="16"/>
        <v>-22707.899999999994</v>
      </c>
      <c r="J92" s="13">
        <f t="shared" si="17"/>
        <v>-0.14941875270192639</v>
      </c>
      <c r="K92" s="37" t="s">
        <v>112</v>
      </c>
      <c r="L92" s="113" t="s">
        <v>113</v>
      </c>
      <c r="M92" s="118"/>
      <c r="N92" s="118"/>
      <c r="O92" s="118"/>
      <c r="P92" s="118"/>
      <c r="Q92" s="118"/>
      <c r="R92" s="118"/>
      <c r="S92" s="118"/>
      <c r="T92" s="118"/>
    </row>
    <row r="93" spans="1:20" ht="57.6">
      <c r="A93" s="26" t="str">
        <v>State Highway 17B</v>
      </c>
      <c r="B93" s="27" t="str">
        <v>NY</v>
      </c>
      <c r="C93" s="27" t="str">
        <f>Sites[[#This Row],[SOL'#]]</f>
        <v>SOL-10988</v>
      </c>
      <c r="D93" s="9">
        <v>242020</v>
      </c>
      <c r="E93" s="14">
        <v>0</v>
      </c>
      <c r="F93" s="14">
        <f t="shared" si="14"/>
        <v>242020</v>
      </c>
      <c r="G93" s="15" t="str">
        <f t="shared" si="15"/>
        <v/>
      </c>
      <c r="H93" s="16">
        <v>384984</v>
      </c>
      <c r="I93" s="16">
        <f t="shared" si="16"/>
        <v>-142964</v>
      </c>
      <c r="J93" s="15">
        <f t="shared" si="17"/>
        <v>-0.37135049768302059</v>
      </c>
      <c r="K93" s="56" t="s">
        <v>114</v>
      </c>
      <c r="L93" s="114" t="s">
        <v>115</v>
      </c>
      <c r="M93" s="117" t="s">
        <v>116</v>
      </c>
      <c r="N93" s="118"/>
      <c r="O93" s="118"/>
      <c r="P93" s="118"/>
      <c r="Q93" s="118"/>
      <c r="R93" s="118"/>
      <c r="S93" s="118"/>
      <c r="T93" s="118"/>
    </row>
    <row r="94" spans="1:20" ht="130.5" customHeight="1">
      <c r="A94" s="24" t="str">
        <v>State Route 14A</v>
      </c>
      <c r="B94" s="25" t="str">
        <v>NY</v>
      </c>
      <c r="C94" s="25" t="str">
        <f>Sites[[#This Row],[SOL'#]]</f>
        <v>SOL-10997</v>
      </c>
      <c r="D94" s="20">
        <v>331004</v>
      </c>
      <c r="E94" s="10">
        <v>0</v>
      </c>
      <c r="F94" s="10">
        <f t="shared" si="14"/>
        <v>331004</v>
      </c>
      <c r="G94" s="11" t="str">
        <f t="shared" si="15"/>
        <v/>
      </c>
      <c r="H94" s="12">
        <v>427147.4</v>
      </c>
      <c r="I94" s="12">
        <f t="shared" si="16"/>
        <v>-96143.400000000023</v>
      </c>
      <c r="J94" s="13">
        <f t="shared" si="17"/>
        <v>-0.22508248908924652</v>
      </c>
      <c r="K94" s="37" t="s">
        <v>117</v>
      </c>
      <c r="L94" s="113" t="s">
        <v>118</v>
      </c>
      <c r="M94" s="118"/>
      <c r="N94" s="118"/>
      <c r="O94" s="118"/>
      <c r="P94" s="118"/>
      <c r="Q94" s="118"/>
      <c r="R94" s="118"/>
      <c r="S94" s="118"/>
      <c r="T94" s="118"/>
    </row>
    <row r="95" spans="1:20" ht="15.6">
      <c r="A95" s="26" t="str">
        <v>West Creek</v>
      </c>
      <c r="B95" s="27" t="str">
        <v>NY</v>
      </c>
      <c r="C95" s="27" t="str">
        <f>Sites[[#This Row],[SOL'#]]</f>
        <v>SOL-10995</v>
      </c>
      <c r="D95" s="9">
        <v>376140</v>
      </c>
      <c r="E95" s="14">
        <v>0</v>
      </c>
      <c r="F95" s="14">
        <f t="shared" si="14"/>
        <v>376140</v>
      </c>
      <c r="G95" s="15" t="str">
        <f t="shared" si="15"/>
        <v/>
      </c>
      <c r="H95" s="16">
        <v>397925.5</v>
      </c>
      <c r="I95" s="16">
        <f t="shared" si="16"/>
        <v>-21785.5</v>
      </c>
      <c r="J95" s="15">
        <f t="shared" si="17"/>
        <v>-5.474768518227658E-2</v>
      </c>
      <c r="K95" s="56"/>
      <c r="L95" s="57"/>
      <c r="M95" s="118"/>
      <c r="N95" s="118"/>
      <c r="O95" s="118"/>
      <c r="P95" s="118"/>
      <c r="Q95" s="118"/>
      <c r="R95" s="118"/>
      <c r="S95" s="118"/>
      <c r="T95" s="118"/>
    </row>
    <row r="96" spans="1:20" ht="135" customHeight="1">
      <c r="A96" s="24" t="str">
        <v>Wildflower</v>
      </c>
      <c r="B96" s="25" t="str">
        <v>NY</v>
      </c>
      <c r="C96" s="25" t="str">
        <f>Sites[[#This Row],[SOL'#]]</f>
        <v>SOL-10982</v>
      </c>
      <c r="D96" s="20">
        <v>324291.40000000002</v>
      </c>
      <c r="E96" s="10">
        <v>0</v>
      </c>
      <c r="F96" s="10">
        <f t="shared" si="14"/>
        <v>324291.40000000002</v>
      </c>
      <c r="G96" s="11" t="str">
        <f t="shared" si="15"/>
        <v/>
      </c>
      <c r="H96" s="12">
        <v>433603.2</v>
      </c>
      <c r="I96" s="12">
        <f t="shared" si="16"/>
        <v>-109311.79999999999</v>
      </c>
      <c r="J96" s="13">
        <f t="shared" si="17"/>
        <v>-0.25210099925461804</v>
      </c>
      <c r="K96" s="63" t="s">
        <v>119</v>
      </c>
      <c r="L96" s="115" t="s">
        <v>120</v>
      </c>
      <c r="M96" s="117" t="s">
        <v>121</v>
      </c>
      <c r="N96" s="117" t="s">
        <v>122</v>
      </c>
      <c r="O96" s="118"/>
      <c r="P96" s="118"/>
      <c r="Q96" s="118"/>
      <c r="R96" s="118"/>
      <c r="S96" s="118"/>
      <c r="T96" s="118"/>
    </row>
    <row r="97" spans="1:20" ht="15.6">
      <c r="A97" s="26" t="str">
        <v>Glen Mary 1</v>
      </c>
      <c r="B97" s="27" t="str">
        <v>NY</v>
      </c>
      <c r="C97" s="27" t="str">
        <f>Sites[[#This Row],[SOL'#]]</f>
        <v>SOL-10993</v>
      </c>
      <c r="D97" s="9">
        <v>396140</v>
      </c>
      <c r="E97" s="14">
        <v>0</v>
      </c>
      <c r="F97" s="14">
        <f t="shared" si="14"/>
        <v>396140</v>
      </c>
      <c r="G97" s="15" t="str">
        <f t="shared" si="15"/>
        <v/>
      </c>
      <c r="H97" s="16">
        <v>420494.8</v>
      </c>
      <c r="I97" s="16">
        <f t="shared" si="16"/>
        <v>-24354.799999999988</v>
      </c>
      <c r="J97" s="15">
        <f t="shared" si="17"/>
        <v>-5.7919384496550229E-2</v>
      </c>
      <c r="K97" s="56"/>
      <c r="L97" s="58"/>
      <c r="M97" s="118"/>
      <c r="N97" s="118"/>
      <c r="O97" s="118"/>
      <c r="P97" s="118"/>
      <c r="Q97" s="118"/>
      <c r="R97" s="118"/>
      <c r="S97" s="118"/>
      <c r="T97" s="118"/>
    </row>
    <row r="98" spans="1:20" ht="57.6">
      <c r="A98" s="24" t="str">
        <v>Glen Mary 2</v>
      </c>
      <c r="B98" s="25" t="str">
        <v>NY</v>
      </c>
      <c r="C98" s="25" t="str">
        <f>Sites[[#This Row],[SOL'#]]</f>
        <v>SOL-10994</v>
      </c>
      <c r="D98" s="20">
        <v>63710</v>
      </c>
      <c r="E98" s="10">
        <v>0</v>
      </c>
      <c r="F98" s="10">
        <f t="shared" si="14"/>
        <v>63710</v>
      </c>
      <c r="G98" s="11" t="str">
        <f t="shared" si="15"/>
        <v/>
      </c>
      <c r="H98" s="12">
        <v>171573.9</v>
      </c>
      <c r="I98" s="12">
        <f t="shared" si="16"/>
        <v>-107863.9</v>
      </c>
      <c r="J98" s="13">
        <f t="shared" si="17"/>
        <v>-0.62867312569102873</v>
      </c>
      <c r="K98" s="37" t="s">
        <v>123</v>
      </c>
      <c r="L98" s="113" t="s">
        <v>124</v>
      </c>
      <c r="M98" s="118"/>
      <c r="N98" s="118"/>
      <c r="O98" s="118"/>
      <c r="P98" s="118"/>
      <c r="Q98" s="118"/>
      <c r="R98" s="118"/>
      <c r="S98" s="118"/>
      <c r="T98" s="118"/>
    </row>
    <row r="99" spans="1:20" ht="43.15">
      <c r="A99" s="26" t="str">
        <v>Telegraph 1</v>
      </c>
      <c r="B99" s="27" t="str">
        <v>NY</v>
      </c>
      <c r="C99" s="27" t="str">
        <f>Sites[[#This Row],[SOL'#]]</f>
        <v>SOL-11003</v>
      </c>
      <c r="D99" s="9">
        <v>136202</v>
      </c>
      <c r="E99" s="14">
        <v>0</v>
      </c>
      <c r="F99" s="14">
        <f t="shared" si="14"/>
        <v>136202</v>
      </c>
      <c r="G99" s="15" t="str">
        <f t="shared" si="15"/>
        <v/>
      </c>
      <c r="H99" s="16">
        <v>286022.2</v>
      </c>
      <c r="I99" s="16">
        <f t="shared" si="16"/>
        <v>-149820.20000000001</v>
      </c>
      <c r="J99" s="15">
        <f t="shared" si="17"/>
        <v>-0.52380619406465656</v>
      </c>
      <c r="K99" s="56" t="s">
        <v>125</v>
      </c>
      <c r="L99" s="114" t="s">
        <v>126</v>
      </c>
      <c r="M99" s="117" t="s">
        <v>127</v>
      </c>
      <c r="N99" s="117" t="s">
        <v>128</v>
      </c>
      <c r="O99" s="118"/>
      <c r="P99" s="118"/>
      <c r="Q99" s="118"/>
      <c r="R99" s="118"/>
      <c r="S99" s="118"/>
      <c r="T99" s="118"/>
    </row>
    <row r="100" spans="1:20" ht="57.6">
      <c r="A100" s="24" t="str">
        <v>Telegraph 2</v>
      </c>
      <c r="B100" s="25" t="str">
        <v>NY</v>
      </c>
      <c r="C100" s="25" t="str">
        <f>Sites[[#This Row],[SOL'#]]</f>
        <v>SOL-11004</v>
      </c>
      <c r="D100" s="20">
        <v>87233</v>
      </c>
      <c r="E100" s="10">
        <v>0</v>
      </c>
      <c r="F100" s="10">
        <f t="shared" si="14"/>
        <v>87233</v>
      </c>
      <c r="G100" s="11" t="str">
        <f t="shared" si="15"/>
        <v/>
      </c>
      <c r="H100" s="12">
        <v>146627.1</v>
      </c>
      <c r="I100" s="12">
        <f t="shared" si="16"/>
        <v>-59394.100000000006</v>
      </c>
      <c r="J100" s="13">
        <f t="shared" si="17"/>
        <v>-0.40506904930943871</v>
      </c>
      <c r="K100" s="37" t="s">
        <v>129</v>
      </c>
      <c r="L100" s="113" t="s">
        <v>130</v>
      </c>
      <c r="M100" s="117" t="s">
        <v>131</v>
      </c>
      <c r="N100" s="117" t="s">
        <v>132</v>
      </c>
      <c r="O100" s="118"/>
      <c r="P100" s="118"/>
      <c r="Q100" s="118"/>
      <c r="R100" s="118"/>
      <c r="S100" s="118"/>
      <c r="T100" s="118"/>
    </row>
    <row r="101" spans="1:20" ht="43.15">
      <c r="A101" s="26" t="str">
        <v>Cafferty Hill</v>
      </c>
      <c r="B101" s="27" t="str">
        <v>NY</v>
      </c>
      <c r="C101" s="27" t="str">
        <f>Sites[[#This Row],[SOL'#]]</f>
        <v>SOL-10996</v>
      </c>
      <c r="D101" s="9">
        <v>349660</v>
      </c>
      <c r="E101" s="14">
        <v>0</v>
      </c>
      <c r="F101" s="14">
        <f t="shared" si="14"/>
        <v>349660</v>
      </c>
      <c r="G101" s="15" t="str">
        <f t="shared" si="15"/>
        <v/>
      </c>
      <c r="H101" s="16">
        <v>373143.4</v>
      </c>
      <c r="I101" s="16">
        <f t="shared" si="16"/>
        <v>-23483.400000000023</v>
      </c>
      <c r="J101" s="15">
        <f t="shared" si="17"/>
        <v>-6.2933981949030909E-2</v>
      </c>
      <c r="K101" s="56" t="s">
        <v>133</v>
      </c>
      <c r="L101" s="114" t="s">
        <v>134</v>
      </c>
      <c r="M101" s="117" t="s">
        <v>135</v>
      </c>
      <c r="N101" s="118"/>
      <c r="O101" s="118"/>
      <c r="P101" s="118"/>
      <c r="Q101" s="118"/>
      <c r="R101" s="118"/>
      <c r="S101" s="118"/>
      <c r="T101" s="118"/>
    </row>
    <row r="102" spans="1:20" ht="129.6">
      <c r="A102" s="24" t="str">
        <v>Dunkleman</v>
      </c>
      <c r="B102" s="25" t="str">
        <v>NY</v>
      </c>
      <c r="C102" s="25" t="str">
        <f>Sites[[#This Row],[SOL'#]]</f>
        <v>SOL-11008</v>
      </c>
      <c r="D102" s="20">
        <v>142060</v>
      </c>
      <c r="E102" s="10">
        <v>0</v>
      </c>
      <c r="F102" s="10">
        <f t="shared" si="14"/>
        <v>142060</v>
      </c>
      <c r="G102" s="11" t="str">
        <f t="shared" si="15"/>
        <v/>
      </c>
      <c r="H102" s="12">
        <v>369715.7</v>
      </c>
      <c r="I102" s="12">
        <f t="shared" si="16"/>
        <v>-227655.7</v>
      </c>
      <c r="J102" s="13">
        <f t="shared" si="17"/>
        <v>-0.61575881143267652</v>
      </c>
      <c r="K102" s="37" t="s">
        <v>136</v>
      </c>
      <c r="L102" s="113" t="s">
        <v>137</v>
      </c>
      <c r="M102" s="117" t="s">
        <v>138</v>
      </c>
      <c r="N102" s="118"/>
      <c r="O102" s="118"/>
      <c r="P102" s="118"/>
      <c r="Q102" s="118"/>
      <c r="R102" s="118"/>
      <c r="S102" s="118"/>
      <c r="T102" s="118"/>
    </row>
    <row r="103" spans="1:20" ht="28.9">
      <c r="A103" s="26" t="str">
        <v>Route 19 1</v>
      </c>
      <c r="B103" s="27" t="str">
        <v>NY</v>
      </c>
      <c r="C103" s="27" t="str">
        <f>Sites[[#This Row],[SOL'#]]</f>
        <v>SOL-11001</v>
      </c>
      <c r="D103" s="9">
        <v>100050</v>
      </c>
      <c r="E103" s="14">
        <v>0</v>
      </c>
      <c r="F103" s="14">
        <f t="shared" si="14"/>
        <v>100050</v>
      </c>
      <c r="G103" s="15" t="str">
        <f t="shared" si="15"/>
        <v/>
      </c>
      <c r="H103" s="16">
        <v>154567.79999999999</v>
      </c>
      <c r="I103" s="16">
        <f t="shared" si="16"/>
        <v>-54517.799999999988</v>
      </c>
      <c r="J103" s="15">
        <f t="shared" si="17"/>
        <v>-0.35271123739873372</v>
      </c>
      <c r="K103" s="56" t="s">
        <v>139</v>
      </c>
      <c r="L103" s="114" t="s">
        <v>140</v>
      </c>
      <c r="M103" s="118"/>
      <c r="N103" s="118"/>
      <c r="O103" s="118"/>
      <c r="P103" s="118"/>
      <c r="Q103" s="118"/>
      <c r="R103" s="118"/>
      <c r="S103" s="118"/>
      <c r="T103" s="118"/>
    </row>
    <row r="104" spans="1:20" ht="72">
      <c r="A104" s="24" t="str">
        <v>Route 19 2</v>
      </c>
      <c r="B104" s="25" t="str">
        <v>NY</v>
      </c>
      <c r="C104" s="25" t="str">
        <f>Sites[[#This Row],[SOL'#]]</f>
        <v>SOL-11002</v>
      </c>
      <c r="D104" s="20">
        <v>273860</v>
      </c>
      <c r="E104" s="10">
        <v>0</v>
      </c>
      <c r="F104" s="10">
        <f t="shared" si="14"/>
        <v>273860</v>
      </c>
      <c r="G104" s="11" t="str">
        <f t="shared" si="15"/>
        <v/>
      </c>
      <c r="H104" s="12">
        <v>409574.6</v>
      </c>
      <c r="I104" s="12">
        <f t="shared" si="16"/>
        <v>-135714.59999999998</v>
      </c>
      <c r="J104" s="13">
        <f t="shared" si="17"/>
        <v>-0.33135502055059074</v>
      </c>
      <c r="K104" s="37" t="s">
        <v>141</v>
      </c>
      <c r="L104" s="113" t="s">
        <v>142</v>
      </c>
      <c r="M104" s="117" t="s">
        <v>143</v>
      </c>
      <c r="N104" s="118"/>
      <c r="O104" s="118"/>
      <c r="P104" s="118"/>
      <c r="Q104" s="118"/>
      <c r="R104" s="118"/>
      <c r="S104" s="118"/>
      <c r="T104" s="118"/>
    </row>
    <row r="105" spans="1:20" ht="28.9">
      <c r="A105" s="26" t="str">
        <v>Yellow Mills 1</v>
      </c>
      <c r="B105" s="27" t="str">
        <v>NY</v>
      </c>
      <c r="C105" s="27" t="str">
        <f>Sites[[#This Row],[SOL'#]]</f>
        <v>SOL-11006</v>
      </c>
      <c r="D105" s="9">
        <v>43612</v>
      </c>
      <c r="E105" s="14">
        <v>0</v>
      </c>
      <c r="F105" s="14">
        <f t="shared" si="14"/>
        <v>43612</v>
      </c>
      <c r="G105" s="15" t="str">
        <f t="shared" si="15"/>
        <v/>
      </c>
      <c r="H105" s="16">
        <v>123508.6</v>
      </c>
      <c r="I105" s="16">
        <f t="shared" si="16"/>
        <v>-79896.600000000006</v>
      </c>
      <c r="J105" s="15">
        <f t="shared" si="17"/>
        <v>-0.646890985728929</v>
      </c>
      <c r="K105" s="56" t="s">
        <v>144</v>
      </c>
      <c r="L105" s="114" t="s">
        <v>145</v>
      </c>
      <c r="M105" s="117" t="s">
        <v>146</v>
      </c>
      <c r="N105" s="117" t="s">
        <v>147</v>
      </c>
      <c r="O105" s="118"/>
      <c r="P105" s="118"/>
      <c r="Q105" s="118"/>
      <c r="R105" s="118"/>
      <c r="S105" s="118"/>
      <c r="T105" s="118"/>
    </row>
    <row r="106" spans="1:20" ht="15.6">
      <c r="A106" s="24" t="str">
        <v>Yellow Mills 2</v>
      </c>
      <c r="B106" s="25" t="str">
        <v>NY</v>
      </c>
      <c r="C106" s="25" t="str">
        <f>Sites[[#This Row],[SOL'#]]</f>
        <v>SOL-11005</v>
      </c>
      <c r="D106" s="20">
        <v>133771</v>
      </c>
      <c r="E106" s="10">
        <v>0</v>
      </c>
      <c r="F106" s="10">
        <f t="shared" si="14"/>
        <v>133771</v>
      </c>
      <c r="G106" s="11" t="str">
        <f t="shared" si="15"/>
        <v/>
      </c>
      <c r="H106" s="12">
        <v>126216.1</v>
      </c>
      <c r="I106" s="12">
        <f t="shared" si="16"/>
        <v>7554.8999999999942</v>
      </c>
      <c r="J106" s="13">
        <f t="shared" si="17"/>
        <v>5.9856864536299202E-2</v>
      </c>
      <c r="K106" s="37" t="s">
        <v>148</v>
      </c>
      <c r="L106" s="113" t="s">
        <v>149</v>
      </c>
      <c r="M106" s="118"/>
      <c r="N106" s="118"/>
      <c r="O106" s="118"/>
      <c r="P106" s="118"/>
      <c r="Q106" s="118"/>
      <c r="R106" s="118"/>
      <c r="S106" s="118"/>
      <c r="T106" s="118"/>
    </row>
    <row r="107" spans="1:20" ht="15.6">
      <c r="A107" s="26" t="str">
        <v>Yellow Mills 3</v>
      </c>
      <c r="B107" s="27" t="str">
        <v>NY</v>
      </c>
      <c r="C107" s="27" t="str">
        <f>Sites[[#This Row],[SOL'#]]</f>
        <v>SOL-11007</v>
      </c>
      <c r="D107" s="9">
        <v>125120</v>
      </c>
      <c r="E107" s="14">
        <v>0</v>
      </c>
      <c r="F107" s="14">
        <f t="shared" si="14"/>
        <v>125120</v>
      </c>
      <c r="G107" s="15" t="str">
        <f t="shared" si="15"/>
        <v/>
      </c>
      <c r="H107" s="16">
        <v>111400.8</v>
      </c>
      <c r="I107" s="16">
        <f t="shared" si="16"/>
        <v>13719.199999999997</v>
      </c>
      <c r="J107" s="15">
        <f t="shared" si="17"/>
        <v>0.12315171883864386</v>
      </c>
      <c r="K107" s="56" t="s">
        <v>150</v>
      </c>
      <c r="L107" s="114" t="s">
        <v>151</v>
      </c>
      <c r="M107" s="118"/>
      <c r="N107" s="118"/>
      <c r="O107" s="118"/>
      <c r="P107" s="118"/>
      <c r="Q107" s="118"/>
      <c r="R107" s="118"/>
      <c r="S107" s="118"/>
      <c r="T107" s="118"/>
    </row>
    <row r="108" spans="1:20" ht="28.9">
      <c r="A108" s="24" t="str">
        <v>Catskill</v>
      </c>
      <c r="B108" s="25" t="str">
        <v>NY</v>
      </c>
      <c r="C108" s="25" t="str">
        <f>Sites[[#This Row],[SOL'#]]</f>
        <v>SOL-11021</v>
      </c>
      <c r="D108" s="20">
        <v>203760</v>
      </c>
      <c r="E108" s="10">
        <v>0</v>
      </c>
      <c r="F108" s="10">
        <f t="shared" si="14"/>
        <v>203760</v>
      </c>
      <c r="G108" s="11" t="str">
        <f t="shared" si="15"/>
        <v/>
      </c>
      <c r="H108" s="12">
        <v>295119.3</v>
      </c>
      <c r="I108" s="12">
        <f t="shared" si="16"/>
        <v>-91359.299999999988</v>
      </c>
      <c r="J108" s="13">
        <f t="shared" si="17"/>
        <v>-0.30956735123727924</v>
      </c>
      <c r="K108" s="37" t="s">
        <v>152</v>
      </c>
      <c r="L108" s="113" t="s">
        <v>153</v>
      </c>
      <c r="M108" s="117" t="s">
        <v>154</v>
      </c>
      <c r="N108" s="118"/>
      <c r="O108" s="118"/>
      <c r="P108" s="118"/>
      <c r="Q108" s="118"/>
      <c r="R108" s="118"/>
      <c r="S108" s="118"/>
      <c r="T108" s="118"/>
    </row>
    <row r="109" spans="1:20" ht="15.6">
      <c r="A109" s="26" t="str">
        <v>Eddy Ridge</v>
      </c>
      <c r="B109" s="27" t="str">
        <v>NY</v>
      </c>
      <c r="C109" s="27" t="str">
        <f>Sites[[#This Row],[SOL'#]]</f>
        <v>SOL-11054</v>
      </c>
      <c r="D109" s="9">
        <v>142318.1</v>
      </c>
      <c r="E109" s="14">
        <v>0</v>
      </c>
      <c r="F109" s="14">
        <f t="shared" si="14"/>
        <v>142318.1</v>
      </c>
      <c r="G109" s="15" t="str">
        <f t="shared" si="15"/>
        <v/>
      </c>
      <c r="H109" s="16">
        <v>176115</v>
      </c>
      <c r="I109" s="16">
        <f t="shared" si="16"/>
        <v>-33796.899999999994</v>
      </c>
      <c r="J109" s="15">
        <f t="shared" si="17"/>
        <v>-0.19190245010362544</v>
      </c>
      <c r="K109" s="56" t="s">
        <v>155</v>
      </c>
      <c r="L109" s="114" t="s">
        <v>156</v>
      </c>
      <c r="M109" s="118"/>
      <c r="N109" s="118"/>
      <c r="O109" s="118"/>
      <c r="P109" s="118"/>
      <c r="Q109" s="118"/>
      <c r="R109" s="118"/>
      <c r="S109" s="118"/>
      <c r="T109" s="118"/>
    </row>
    <row r="110" spans="1:20" ht="15.75">
      <c r="A110" s="24" t="str">
        <v>Ridgeway #1</v>
      </c>
      <c r="B110" s="25" t="str">
        <v>NY</v>
      </c>
      <c r="C110" s="25" t="str">
        <f>Sites[[#This Row],[SOL'#]]</f>
        <v>SOL-11018</v>
      </c>
      <c r="D110" s="20">
        <v>278224</v>
      </c>
      <c r="E110" s="10">
        <v>0</v>
      </c>
      <c r="F110" s="10">
        <f t="shared" si="14"/>
        <v>278224</v>
      </c>
      <c r="G110" s="11" t="str">
        <f t="shared" si="15"/>
        <v/>
      </c>
      <c r="H110" s="12">
        <v>426059</v>
      </c>
      <c r="I110" s="12">
        <f t="shared" si="16"/>
        <v>-147835</v>
      </c>
      <c r="J110" s="13">
        <f t="shared" si="17"/>
        <v>-0.34698246017570339</v>
      </c>
      <c r="K110" s="59" t="s">
        <v>50</v>
      </c>
      <c r="L110" s="59"/>
      <c r="M110" s="118"/>
      <c r="N110" s="118"/>
      <c r="O110" s="118"/>
      <c r="P110" s="118"/>
      <c r="Q110" s="118"/>
      <c r="R110" s="118"/>
      <c r="S110" s="118"/>
      <c r="T110" s="118"/>
    </row>
    <row r="111" spans="1:20" ht="15.75">
      <c r="A111" s="26" t="str">
        <v>Rivard 1</v>
      </c>
      <c r="B111" s="27" t="str">
        <v>NY</v>
      </c>
      <c r="C111" s="27" t="str">
        <f>Sites[[#This Row],[SOL'#]]</f>
        <v>SOL-11011</v>
      </c>
      <c r="D111" s="9">
        <v>179839.57894736901</v>
      </c>
      <c r="E111" s="14">
        <v>270917.40000000002</v>
      </c>
      <c r="F111" s="14">
        <f t="shared" si="14"/>
        <v>-91077.821052631014</v>
      </c>
      <c r="G111" s="15">
        <f t="shared" si="15"/>
        <v>-0.33618298807175545</v>
      </c>
      <c r="H111" s="16">
        <v>258355.8</v>
      </c>
      <c r="I111" s="16">
        <f t="shared" si="16"/>
        <v>-78516.221052630979</v>
      </c>
      <c r="J111" s="15">
        <f t="shared" si="17"/>
        <v>-0.30390732877926868</v>
      </c>
      <c r="K111" s="146" t="s">
        <v>50</v>
      </c>
      <c r="L111" s="58"/>
      <c r="M111" s="118"/>
      <c r="N111" s="118"/>
      <c r="O111" s="118"/>
      <c r="P111" s="118"/>
      <c r="Q111" s="118"/>
      <c r="R111" s="118"/>
      <c r="S111" s="118"/>
      <c r="T111" s="118"/>
    </row>
    <row r="112" spans="1:20" ht="28.9">
      <c r="A112" s="24" t="str">
        <v>Rivard 2</v>
      </c>
      <c r="B112" s="25" t="str">
        <v>NY</v>
      </c>
      <c r="C112" s="25" t="str">
        <f>Sites[[#This Row],[SOL'#]]</f>
        <v>SOL-11012</v>
      </c>
      <c r="D112" s="20">
        <v>181084.28598953399</v>
      </c>
      <c r="E112" s="10">
        <v>212124.1</v>
      </c>
      <c r="F112" s="10">
        <f t="shared" si="14"/>
        <v>-31039.814010466012</v>
      </c>
      <c r="G112" s="11">
        <f t="shared" si="15"/>
        <v>-0.14632855960480687</v>
      </c>
      <c r="H112" s="12">
        <v>246477.3</v>
      </c>
      <c r="I112" s="12">
        <f t="shared" si="16"/>
        <v>-65393.014010465995</v>
      </c>
      <c r="J112" s="13">
        <f t="shared" si="17"/>
        <v>-0.26531049313858113</v>
      </c>
      <c r="K112" s="37" t="s">
        <v>157</v>
      </c>
      <c r="L112" s="113" t="s">
        <v>158</v>
      </c>
      <c r="M112" s="118"/>
      <c r="N112" s="118"/>
      <c r="O112" s="118"/>
      <c r="P112" s="118"/>
      <c r="Q112" s="118"/>
      <c r="R112" s="118"/>
      <c r="S112" s="118"/>
      <c r="T112" s="118"/>
    </row>
    <row r="113" spans="1:20" ht="15.75">
      <c r="A113" s="26" t="str">
        <v>Essex</v>
      </c>
      <c r="B113" s="27" t="str">
        <v>DC</v>
      </c>
      <c r="C113" s="27" t="str">
        <f>Sites[[#This Row],[SOL'#]]</f>
        <v>SOL-10036</v>
      </c>
      <c r="D113" s="9">
        <v>1103</v>
      </c>
      <c r="E113" s="14">
        <v>1699.8030000000001</v>
      </c>
      <c r="F113" s="14">
        <f t="shared" si="14"/>
        <v>-596.80300000000011</v>
      </c>
      <c r="G113" s="15">
        <f t="shared" si="15"/>
        <v>-0.35110127467712438</v>
      </c>
      <c r="H113" s="16">
        <v>2153.1579999999999</v>
      </c>
      <c r="I113" s="16">
        <f t="shared" si="16"/>
        <v>-1050.1579999999999</v>
      </c>
      <c r="J113" s="15">
        <f t="shared" si="17"/>
        <v>-0.48772918661798159</v>
      </c>
      <c r="K113" s="146" t="s">
        <v>50</v>
      </c>
      <c r="L113" s="57"/>
      <c r="M113" s="118"/>
      <c r="N113" s="118"/>
      <c r="O113" s="118"/>
      <c r="P113" s="118"/>
      <c r="Q113" s="118"/>
      <c r="R113" s="118"/>
      <c r="S113" s="118"/>
      <c r="T113" s="118"/>
    </row>
    <row r="114" spans="1:20" ht="15.75">
      <c r="A114" s="24" t="str">
        <v>Temple Sinai</v>
      </c>
      <c r="B114" s="25" t="str">
        <v>DC</v>
      </c>
      <c r="C114" s="25" t="str">
        <f>Sites[[#This Row],[SOL'#]]</f>
        <v>SOL-10028</v>
      </c>
      <c r="D114" s="20">
        <v>2552.3199999999501</v>
      </c>
      <c r="E114" s="10">
        <v>6182.4269999999997</v>
      </c>
      <c r="F114" s="10">
        <f t="shared" si="14"/>
        <v>-3630.1070000000495</v>
      </c>
      <c r="G114" s="11">
        <f t="shared" si="15"/>
        <v>-0.58716536402290709</v>
      </c>
      <c r="H114" s="12">
        <v>5021.5619999999999</v>
      </c>
      <c r="I114" s="12">
        <f t="shared" si="16"/>
        <v>-2469.2420000000498</v>
      </c>
      <c r="J114" s="13">
        <f t="shared" si="17"/>
        <v>-0.49172787272168494</v>
      </c>
      <c r="K114" s="59" t="s">
        <v>50</v>
      </c>
      <c r="L114" s="59"/>
      <c r="M114" s="118"/>
      <c r="N114" s="118"/>
      <c r="O114" s="118"/>
      <c r="P114" s="118"/>
      <c r="Q114" s="118"/>
      <c r="R114" s="118"/>
      <c r="S114" s="118"/>
      <c r="T114" s="118"/>
    </row>
    <row r="115" spans="1:20" ht="15.75">
      <c r="A115" s="26" t="str">
        <v>Weinberg 1</v>
      </c>
      <c r="B115" s="27" t="str">
        <v>DC</v>
      </c>
      <c r="C115" s="27" t="str">
        <f>Sites[[#This Row],[SOL'#]]</f>
        <v>SOL-10039</v>
      </c>
      <c r="D115" s="9">
        <v>423</v>
      </c>
      <c r="E115" s="14">
        <v>770.59780000000001</v>
      </c>
      <c r="F115" s="14">
        <f t="shared" si="14"/>
        <v>-347.59780000000001</v>
      </c>
      <c r="G115" s="15">
        <f t="shared" si="15"/>
        <v>-0.45107551565810339</v>
      </c>
      <c r="H115" s="16">
        <v>777.08339999999998</v>
      </c>
      <c r="I115" s="16">
        <f t="shared" si="16"/>
        <v>-354.08339999999998</v>
      </c>
      <c r="J115" s="15">
        <f t="shared" si="17"/>
        <v>-0.45565688316080361</v>
      </c>
      <c r="K115" s="146" t="s">
        <v>50</v>
      </c>
      <c r="L115" s="58"/>
      <c r="M115" s="118"/>
      <c r="N115" s="118"/>
      <c r="O115" s="118"/>
      <c r="P115" s="118"/>
      <c r="Q115" s="118"/>
      <c r="R115" s="118"/>
      <c r="S115" s="118"/>
      <c r="T115" s="118"/>
    </row>
    <row r="116" spans="1:20" ht="15.75">
      <c r="A116" s="24" t="str">
        <v>Weinberg 2</v>
      </c>
      <c r="B116" s="25" t="str">
        <v>DC</v>
      </c>
      <c r="C116" s="25" t="str">
        <f>Sites[[#This Row],[SOL'#]]</f>
        <v>SOL-10045</v>
      </c>
      <c r="D116" s="20">
        <v>493</v>
      </c>
      <c r="E116" s="10">
        <v>791.80420000000004</v>
      </c>
      <c r="F116" s="10">
        <f t="shared" si="14"/>
        <v>-298.80420000000004</v>
      </c>
      <c r="G116" s="11">
        <f t="shared" si="15"/>
        <v>-0.37737132488057024</v>
      </c>
      <c r="H116" s="12">
        <v>827.99239999999998</v>
      </c>
      <c r="I116" s="12">
        <f t="shared" si="16"/>
        <v>-334.99239999999998</v>
      </c>
      <c r="J116" s="13">
        <f t="shared" si="17"/>
        <v>-0.40458390680880646</v>
      </c>
      <c r="K116" s="59" t="s">
        <v>50</v>
      </c>
      <c r="L116" s="59"/>
      <c r="M116" s="118"/>
      <c r="N116" s="118"/>
      <c r="O116" s="118"/>
      <c r="P116" s="118"/>
      <c r="Q116" s="118"/>
      <c r="R116" s="118"/>
      <c r="S116" s="118"/>
      <c r="T116" s="118"/>
    </row>
    <row r="117" spans="1:20" ht="15.75">
      <c r="A117" s="26" t="str">
        <v>Weinberg 3</v>
      </c>
      <c r="B117" s="27" t="str">
        <v>DC</v>
      </c>
      <c r="C117" s="27" t="str">
        <f>Sites[[#This Row],[SOL'#]]</f>
        <v>SOL-10042</v>
      </c>
      <c r="D117" s="9">
        <v>579</v>
      </c>
      <c r="E117" s="14">
        <v>894.06949999999995</v>
      </c>
      <c r="F117" s="14">
        <f t="shared" si="14"/>
        <v>-315.06949999999995</v>
      </c>
      <c r="G117" s="15">
        <f t="shared" si="15"/>
        <v>-0.35239933808277762</v>
      </c>
      <c r="H117" s="16">
        <v>862</v>
      </c>
      <c r="I117" s="16">
        <f t="shared" si="16"/>
        <v>-283</v>
      </c>
      <c r="J117" s="15">
        <f t="shared" si="17"/>
        <v>-0.32830626450116007</v>
      </c>
      <c r="K117" s="146" t="s">
        <v>50</v>
      </c>
      <c r="L117" s="58"/>
      <c r="M117" s="118"/>
      <c r="N117" s="118"/>
      <c r="O117" s="118"/>
      <c r="P117" s="118"/>
      <c r="Q117" s="118"/>
      <c r="R117" s="118"/>
      <c r="S117" s="118"/>
      <c r="T117" s="118"/>
    </row>
    <row r="118" spans="1:20" ht="15.75">
      <c r="A118" s="24" t="str">
        <v>Clayton Hall</v>
      </c>
      <c r="B118" s="25" t="str">
        <v>DE</v>
      </c>
      <c r="C118" s="25" t="str">
        <f>Sites[[#This Row],[SOL'#]]</f>
        <v>SOL-10820</v>
      </c>
      <c r="D118" s="20">
        <v>5787</v>
      </c>
      <c r="E118" s="10">
        <v>9888.4</v>
      </c>
      <c r="F118" s="10">
        <f t="shared" si="14"/>
        <v>-4101.3999999999996</v>
      </c>
      <c r="G118" s="11">
        <f t="shared" si="15"/>
        <v>-0.41476882003155208</v>
      </c>
      <c r="H118" s="12">
        <v>8468.0300000000007</v>
      </c>
      <c r="I118" s="12">
        <f t="shared" si="16"/>
        <v>-2681.0300000000007</v>
      </c>
      <c r="J118" s="13">
        <f t="shared" si="17"/>
        <v>-0.31660610555229496</v>
      </c>
      <c r="K118" s="59" t="s">
        <v>50</v>
      </c>
      <c r="L118" s="59"/>
      <c r="M118" s="118"/>
      <c r="N118" s="118"/>
      <c r="O118" s="118"/>
      <c r="P118" s="118"/>
      <c r="Q118" s="118"/>
      <c r="R118" s="118"/>
      <c r="S118" s="118"/>
      <c r="T118" s="118"/>
    </row>
    <row r="119" spans="1:20" ht="15.6">
      <c r="A119" s="26" t="str">
        <v>Field House</v>
      </c>
      <c r="B119" s="27" t="str">
        <v>DE</v>
      </c>
      <c r="C119" s="27" t="str">
        <f>Sites[[#This Row],[SOL'#]]</f>
        <v>SOL-10821</v>
      </c>
      <c r="D119" s="9">
        <v>30447</v>
      </c>
      <c r="E119" s="14">
        <v>0</v>
      </c>
      <c r="F119" s="14">
        <f t="shared" si="14"/>
        <v>30447</v>
      </c>
      <c r="G119" s="15" t="str">
        <f t="shared" si="15"/>
        <v/>
      </c>
      <c r="H119" s="16">
        <v>26938</v>
      </c>
      <c r="I119" s="16">
        <f t="shared" si="16"/>
        <v>3509</v>
      </c>
      <c r="J119" s="15">
        <f t="shared" si="17"/>
        <v>0.13026208330239811</v>
      </c>
      <c r="K119" s="56"/>
      <c r="L119" s="58"/>
      <c r="M119" s="118"/>
      <c r="N119" s="118"/>
      <c r="O119" s="118"/>
      <c r="P119" s="118"/>
      <c r="Q119" s="118"/>
      <c r="R119" s="118"/>
      <c r="S119" s="118"/>
      <c r="T119" s="118"/>
    </row>
    <row r="120" spans="1:20" ht="15.6">
      <c r="A120" s="24" t="str">
        <v>Wyoming Road</v>
      </c>
      <c r="B120" s="25" t="str">
        <v>DE</v>
      </c>
      <c r="C120" s="25" t="str">
        <f>Sites[[#This Row],[SOL'#]]</f>
        <v>SOL-10819</v>
      </c>
      <c r="D120" s="20">
        <v>0</v>
      </c>
      <c r="E120" s="10">
        <v>15379.655000000001</v>
      </c>
      <c r="F120" s="10">
        <f t="shared" si="14"/>
        <v>-15379.655000000001</v>
      </c>
      <c r="G120" s="11">
        <f t="shared" si="15"/>
        <v>-1</v>
      </c>
      <c r="H120" s="12">
        <v>15716.125</v>
      </c>
      <c r="I120" s="12">
        <f t="shared" si="16"/>
        <v>-15716.125</v>
      </c>
      <c r="J120" s="13">
        <f t="shared" si="17"/>
        <v>-1</v>
      </c>
      <c r="K120" s="37" t="s">
        <v>159</v>
      </c>
      <c r="L120" s="113" t="s">
        <v>160</v>
      </c>
      <c r="M120" s="118"/>
      <c r="N120" s="118"/>
      <c r="O120" s="118"/>
      <c r="P120" s="118"/>
      <c r="Q120" s="118"/>
      <c r="R120" s="118"/>
      <c r="S120" s="118"/>
      <c r="T120" s="118"/>
    </row>
    <row r="121" spans="1:20" ht="15.6">
      <c r="A121" s="26" t="str">
        <v>Leoku</v>
      </c>
      <c r="B121" s="27" t="str">
        <v>HI</v>
      </c>
      <c r="C121" s="27" t="str">
        <f>Sites[[#This Row],[SOL'#]]</f>
        <v>SOL-10071</v>
      </c>
      <c r="D121" s="9">
        <v>7974</v>
      </c>
      <c r="E121" s="14">
        <v>8441.8950000000004</v>
      </c>
      <c r="F121" s="14">
        <f t="shared" si="14"/>
        <v>-467.89500000000044</v>
      </c>
      <c r="G121" s="15">
        <f t="shared" si="15"/>
        <v>-5.5425351772321309E-2</v>
      </c>
      <c r="H121" s="16">
        <v>9806.3279999999995</v>
      </c>
      <c r="I121" s="16">
        <f t="shared" si="16"/>
        <v>-1832.3279999999995</v>
      </c>
      <c r="J121" s="15">
        <f t="shared" si="17"/>
        <v>-0.18685159215559582</v>
      </c>
      <c r="K121" s="56" t="s">
        <v>161</v>
      </c>
      <c r="L121" s="114" t="s">
        <v>162</v>
      </c>
      <c r="M121" s="118"/>
      <c r="N121" s="118"/>
      <c r="O121" s="118"/>
      <c r="P121" s="118"/>
      <c r="Q121" s="118"/>
      <c r="R121" s="118"/>
      <c r="S121" s="118"/>
      <c r="T121" s="118"/>
    </row>
    <row r="122" spans="1:20" ht="15.6">
      <c r="A122" s="24" t="str">
        <v>Waipahu</v>
      </c>
      <c r="B122" s="25" t="str">
        <v>HI</v>
      </c>
      <c r="C122" s="25" t="str">
        <f>Sites[[#This Row],[SOL'#]]</f>
        <v>SOL-10068</v>
      </c>
      <c r="D122" s="20">
        <v>10130</v>
      </c>
      <c r="E122" s="10">
        <v>8193.3529999999992</v>
      </c>
      <c r="F122" s="10">
        <f t="shared" si="14"/>
        <v>1936.6470000000008</v>
      </c>
      <c r="G122" s="11">
        <f t="shared" si="15"/>
        <v>0.23636806567470009</v>
      </c>
      <c r="H122" s="12">
        <v>9801.0810000000001</v>
      </c>
      <c r="I122" s="12">
        <f t="shared" si="16"/>
        <v>328.91899999999987</v>
      </c>
      <c r="J122" s="13">
        <f t="shared" si="17"/>
        <v>3.3559461451241945E-2</v>
      </c>
      <c r="K122" s="37"/>
      <c r="L122" s="59"/>
      <c r="M122" s="118"/>
      <c r="N122" s="118"/>
      <c r="O122" s="118"/>
      <c r="P122" s="118"/>
      <c r="Q122" s="118"/>
      <c r="R122" s="118"/>
      <c r="S122" s="118"/>
      <c r="T122" s="118"/>
    </row>
    <row r="123" spans="1:20" ht="15.75">
      <c r="A123" s="26" t="str">
        <v>Bird in Hand</v>
      </c>
      <c r="B123" s="27" t="str">
        <v>MD</v>
      </c>
      <c r="C123" s="27" t="str">
        <f>Sites[[#This Row],[SOL'#]]</f>
        <v>SOL-10092</v>
      </c>
      <c r="D123" s="9">
        <v>98611</v>
      </c>
      <c r="E123" s="14">
        <v>125140.9</v>
      </c>
      <c r="F123" s="14">
        <f t="shared" si="14"/>
        <v>-26529.899999999994</v>
      </c>
      <c r="G123" s="15">
        <f t="shared" si="15"/>
        <v>-0.21200023333698251</v>
      </c>
      <c r="H123" s="16">
        <v>80822.61</v>
      </c>
      <c r="I123" s="16">
        <f t="shared" si="16"/>
        <v>17788.39</v>
      </c>
      <c r="J123" s="15">
        <f t="shared" si="17"/>
        <v>0.2200917540277405</v>
      </c>
      <c r="K123" s="56" t="s">
        <v>50</v>
      </c>
      <c r="L123" s="58"/>
      <c r="M123" s="118"/>
      <c r="N123" s="118"/>
      <c r="O123" s="118"/>
      <c r="P123" s="118"/>
      <c r="Q123" s="118"/>
      <c r="R123" s="118"/>
      <c r="S123" s="118"/>
      <c r="T123" s="118"/>
    </row>
    <row r="124" spans="1:20" ht="15.75">
      <c r="A124" s="24" t="str">
        <v>Shortal</v>
      </c>
      <c r="B124" s="25" t="str">
        <v>MD</v>
      </c>
      <c r="C124" s="25" t="str">
        <f>Sites[[#This Row],[SOL'#]]</f>
        <v>SOL-10091</v>
      </c>
      <c r="D124" s="20">
        <v>102004</v>
      </c>
      <c r="E124" s="10">
        <v>83606.8</v>
      </c>
      <c r="F124" s="10">
        <f t="shared" si="14"/>
        <v>18397.199999999997</v>
      </c>
      <c r="G124" s="11">
        <f t="shared" si="15"/>
        <v>0.22004430261653354</v>
      </c>
      <c r="H124" s="12">
        <v>129786.5</v>
      </c>
      <c r="I124" s="12">
        <f t="shared" si="16"/>
        <v>-27782.5</v>
      </c>
      <c r="J124" s="13">
        <f t="shared" si="17"/>
        <v>-0.21406309593062453</v>
      </c>
      <c r="K124" s="59" t="s">
        <v>50</v>
      </c>
      <c r="L124" s="59"/>
      <c r="M124" s="118"/>
      <c r="N124" s="118"/>
      <c r="O124" s="118"/>
      <c r="P124" s="118"/>
      <c r="Q124" s="118"/>
      <c r="R124" s="118"/>
      <c r="S124" s="118"/>
      <c r="T124" s="118"/>
    </row>
    <row r="125" spans="1:20" ht="28.9">
      <c r="A125" s="26" t="str">
        <v>Aguadilla</v>
      </c>
      <c r="B125" s="27" t="str">
        <v>PR</v>
      </c>
      <c r="C125" s="27" t="str">
        <f>Sites[[#This Row],[SOL'#]]</f>
        <v>SOL-10072</v>
      </c>
      <c r="D125" s="9">
        <v>12842</v>
      </c>
      <c r="E125" s="14">
        <v>15178.37</v>
      </c>
      <c r="F125" s="14">
        <f t="shared" si="14"/>
        <v>-2336.3700000000008</v>
      </c>
      <c r="G125" s="15">
        <f t="shared" si="15"/>
        <v>-0.15392759565091646</v>
      </c>
      <c r="H125" s="16">
        <v>17574</v>
      </c>
      <c r="I125" s="16">
        <f t="shared" si="16"/>
        <v>-4732</v>
      </c>
      <c r="J125" s="15">
        <f t="shared" si="17"/>
        <v>-0.26926140889951067</v>
      </c>
      <c r="K125" s="56" t="s">
        <v>163</v>
      </c>
      <c r="L125" s="114" t="s">
        <v>164</v>
      </c>
      <c r="M125" s="117" t="s">
        <v>165</v>
      </c>
      <c r="N125" s="118"/>
      <c r="O125" s="118"/>
      <c r="P125" s="118"/>
      <c r="Q125" s="118"/>
      <c r="R125" s="118"/>
      <c r="S125" s="118"/>
      <c r="T125" s="118"/>
    </row>
    <row r="126" spans="1:20" ht="123.75" customHeight="1">
      <c r="A126" s="24" t="str">
        <v>Bayamon</v>
      </c>
      <c r="B126" s="25" t="str">
        <v>PR</v>
      </c>
      <c r="C126" s="25" t="str">
        <f>Sites[[#This Row],[SOL'#]]</f>
        <v>SOL-10073</v>
      </c>
      <c r="D126" s="20">
        <v>48400</v>
      </c>
      <c r="E126" s="10">
        <v>61566.34</v>
      </c>
      <c r="F126" s="10">
        <f t="shared" si="14"/>
        <v>-13166.339999999997</v>
      </c>
      <c r="G126" s="11">
        <f t="shared" si="15"/>
        <v>-0.21385614282089851</v>
      </c>
      <c r="H126" s="12">
        <v>71395</v>
      </c>
      <c r="I126" s="12">
        <f t="shared" si="16"/>
        <v>-22995</v>
      </c>
      <c r="J126" s="13">
        <f t="shared" si="17"/>
        <v>-0.32208137824777644</v>
      </c>
      <c r="K126" s="37" t="s">
        <v>166</v>
      </c>
      <c r="L126" s="113" t="s">
        <v>167</v>
      </c>
      <c r="M126" s="117" t="s">
        <v>168</v>
      </c>
      <c r="N126" s="117" t="s">
        <v>169</v>
      </c>
      <c r="O126" s="117" t="s">
        <v>170</v>
      </c>
      <c r="P126" s="117" t="s">
        <v>171</v>
      </c>
      <c r="Q126" s="118"/>
      <c r="R126" s="118"/>
      <c r="S126" s="118"/>
      <c r="T126" s="118"/>
    </row>
    <row r="127" spans="1:20" ht="158.25" customHeight="1">
      <c r="A127" s="26" t="str">
        <v>St Francis</v>
      </c>
      <c r="B127" s="27" t="str">
        <v>PR</v>
      </c>
      <c r="C127" s="27" t="str">
        <f>Sites[[#This Row],[SOL'#]]</f>
        <v>SOL-10034</v>
      </c>
      <c r="D127" s="9">
        <v>16576</v>
      </c>
      <c r="E127" s="14">
        <v>34340.120000000003</v>
      </c>
      <c r="F127" s="14">
        <f t="shared" si="14"/>
        <v>-17764.120000000003</v>
      </c>
      <c r="G127" s="15">
        <f t="shared" si="15"/>
        <v>-0.51729929889586879</v>
      </c>
      <c r="H127" s="16">
        <v>32478</v>
      </c>
      <c r="I127" s="16">
        <f t="shared" si="16"/>
        <v>-15902</v>
      </c>
      <c r="J127" s="15">
        <f t="shared" si="17"/>
        <v>-0.4896237453045138</v>
      </c>
      <c r="K127" s="57" t="s">
        <v>172</v>
      </c>
      <c r="L127" s="131" t="s">
        <v>173</v>
      </c>
      <c r="M127" s="131" t="s">
        <v>174</v>
      </c>
      <c r="N127" s="117" t="s">
        <v>175</v>
      </c>
      <c r="O127" s="117" t="s">
        <v>176</v>
      </c>
      <c r="P127" s="117" t="s">
        <v>177</v>
      </c>
      <c r="Q127" s="117" t="s">
        <v>178</v>
      </c>
      <c r="R127" s="117" t="s">
        <v>179</v>
      </c>
      <c r="S127" s="117" t="s">
        <v>180</v>
      </c>
      <c r="T127" s="117" t="s">
        <v>181</v>
      </c>
    </row>
    <row r="128" spans="1:20" ht="28.9">
      <c r="A128" s="24" t="str">
        <v>Seaport</v>
      </c>
      <c r="B128" s="25" t="str">
        <v>MA</v>
      </c>
      <c r="C128" s="25" t="str">
        <f>Sites[[#This Row],[SOL'#]]</f>
        <v>SOL-10772</v>
      </c>
      <c r="D128" s="20">
        <v>26369.5</v>
      </c>
      <c r="E128" s="10">
        <v>785.40150000000006</v>
      </c>
      <c r="F128" s="10">
        <f t="shared" si="14"/>
        <v>25584.0985</v>
      </c>
      <c r="G128" s="11">
        <f t="shared" si="15"/>
        <v>32.574547540334464</v>
      </c>
      <c r="H128" s="12">
        <v>22961.7</v>
      </c>
      <c r="I128" s="12">
        <f t="shared" si="16"/>
        <v>3407.7999999999993</v>
      </c>
      <c r="J128" s="13">
        <f t="shared" si="17"/>
        <v>0.1484123562279796</v>
      </c>
      <c r="K128" s="37" t="s">
        <v>182</v>
      </c>
      <c r="L128" s="113" t="s">
        <v>183</v>
      </c>
      <c r="M128" s="118"/>
      <c r="N128" s="118"/>
      <c r="O128" s="118"/>
      <c r="P128" s="118"/>
      <c r="Q128" s="118"/>
      <c r="R128" s="118"/>
      <c r="S128" s="118"/>
      <c r="T128" s="118"/>
    </row>
    <row r="129" spans="1:20" ht="15.75">
      <c r="A129" s="26" t="str">
        <v>Sprague St</v>
      </c>
      <c r="B129" s="27" t="str">
        <v>MA</v>
      </c>
      <c r="C129" s="27" t="str">
        <f>Sites[[#This Row],[SOL'#]]</f>
        <v>SOL-10773</v>
      </c>
      <c r="D129" s="9">
        <v>51260</v>
      </c>
      <c r="E129" s="14">
        <v>71386.84</v>
      </c>
      <c r="F129" s="14">
        <f t="shared" si="14"/>
        <v>-20126.839999999997</v>
      </c>
      <c r="G129" s="15">
        <f t="shared" si="15"/>
        <v>-0.28194048090656482</v>
      </c>
      <c r="H129" s="16">
        <v>51080.3</v>
      </c>
      <c r="I129" s="16">
        <f t="shared" si="16"/>
        <v>179.69999999999709</v>
      </c>
      <c r="J129" s="15">
        <f t="shared" si="17"/>
        <v>3.5179903015447652E-3</v>
      </c>
      <c r="K129" s="56" t="s">
        <v>50</v>
      </c>
      <c r="L129" s="58"/>
      <c r="M129" s="118"/>
      <c r="N129" s="118"/>
      <c r="O129" s="118"/>
      <c r="P129" s="118"/>
      <c r="Q129" s="118"/>
      <c r="R129" s="118"/>
      <c r="S129" s="118"/>
      <c r="T129" s="118"/>
    </row>
    <row r="130" spans="1:20" ht="15.75">
      <c r="A130" s="24" t="str">
        <v>Summer St</v>
      </c>
      <c r="B130" s="25" t="str">
        <v>MA</v>
      </c>
      <c r="C130" s="25" t="str">
        <f>Sites[[#This Row],[SOL'#]]</f>
        <v>SOL-10764</v>
      </c>
      <c r="D130" s="20">
        <v>133768</v>
      </c>
      <c r="E130" s="10">
        <v>150485.9</v>
      </c>
      <c r="F130" s="10">
        <f t="shared" si="14"/>
        <v>-16717.899999999994</v>
      </c>
      <c r="G130" s="11">
        <f t="shared" si="15"/>
        <v>-0.11109280005635076</v>
      </c>
      <c r="H130" s="12">
        <v>127039.2</v>
      </c>
      <c r="I130" s="12">
        <f t="shared" si="16"/>
        <v>6728.8000000000029</v>
      </c>
      <c r="J130" s="13">
        <f t="shared" si="17"/>
        <v>5.2966328503328129E-2</v>
      </c>
      <c r="K130" s="37" t="s">
        <v>50</v>
      </c>
      <c r="L130" s="59"/>
      <c r="M130" s="118"/>
      <c r="N130" s="118"/>
      <c r="O130" s="118"/>
      <c r="P130" s="118"/>
      <c r="Q130" s="118"/>
      <c r="R130" s="118"/>
      <c r="S130" s="118"/>
      <c r="T130" s="118"/>
    </row>
    <row r="131" spans="1:20" ht="15.75">
      <c r="A131" s="26" t="str">
        <v>Brock St Vocational</v>
      </c>
      <c r="B131" s="27" t="str">
        <v>NH</v>
      </c>
      <c r="C131" s="27" t="str">
        <f>Sites[[#This Row],[SOL'#]]</f>
        <v>SOL-10768</v>
      </c>
      <c r="D131" s="9">
        <v>2926.0042360000002</v>
      </c>
      <c r="E131" s="14">
        <v>6829.9709999999995</v>
      </c>
      <c r="F131" s="14">
        <f t="shared" si="14"/>
        <v>-3903.9667639999993</v>
      </c>
      <c r="G131" s="15">
        <f t="shared" si="15"/>
        <v>-0.57159346123138732</v>
      </c>
      <c r="H131" s="16">
        <v>4611.1369999999997</v>
      </c>
      <c r="I131" s="16">
        <f t="shared" si="16"/>
        <v>-1685.1327639999995</v>
      </c>
      <c r="J131" s="15">
        <f t="shared" si="17"/>
        <v>-0.36544842714497522</v>
      </c>
      <c r="K131" s="146" t="s">
        <v>50</v>
      </c>
      <c r="L131" s="58"/>
      <c r="M131" s="118"/>
      <c r="N131" s="118"/>
      <c r="O131" s="118"/>
      <c r="P131" s="118"/>
      <c r="Q131" s="118"/>
      <c r="R131" s="118"/>
      <c r="S131" s="118"/>
      <c r="T131" s="118"/>
    </row>
    <row r="132" spans="1:20" ht="15.6">
      <c r="A132" s="24" t="str">
        <v>McClelland ES</v>
      </c>
      <c r="B132" s="25" t="str">
        <v>NH</v>
      </c>
      <c r="C132" s="25" t="str">
        <f>Sites[[#This Row],[SOL'#]]</f>
        <v>SOL-10766</v>
      </c>
      <c r="D132" s="20">
        <v>3766.438564</v>
      </c>
      <c r="E132" s="10">
        <v>6708.2079999999996</v>
      </c>
      <c r="F132" s="10">
        <f t="shared" si="14"/>
        <v>-2941.7694359999996</v>
      </c>
      <c r="G132" s="11">
        <f t="shared" si="15"/>
        <v>-0.43853282963199708</v>
      </c>
      <c r="H132" s="12">
        <v>3403.4430000000002</v>
      </c>
      <c r="I132" s="12">
        <f t="shared" si="16"/>
        <v>362.99556399999983</v>
      </c>
      <c r="J132" s="13">
        <f t="shared" si="17"/>
        <v>0.10665539690248957</v>
      </c>
      <c r="K132" s="37"/>
      <c r="L132" s="59"/>
      <c r="M132" s="118"/>
      <c r="N132" s="118"/>
      <c r="O132" s="118"/>
      <c r="P132" s="118"/>
      <c r="Q132" s="118"/>
      <c r="R132" s="118"/>
      <c r="S132" s="118"/>
      <c r="T132" s="118"/>
    </row>
    <row r="133" spans="1:20" ht="15.75">
      <c r="A133" s="26" t="str">
        <v>Portland St</v>
      </c>
      <c r="B133" s="27" t="str">
        <v>NH</v>
      </c>
      <c r="C133" s="27" t="str">
        <f>Sites[[#This Row],[SOL'#]]</f>
        <v>SOL-10771</v>
      </c>
      <c r="D133" s="9">
        <v>2419</v>
      </c>
      <c r="E133" s="14">
        <v>3961.7660000000001</v>
      </c>
      <c r="F133" s="14">
        <f t="shared" si="14"/>
        <v>-1542.7660000000001</v>
      </c>
      <c r="G133" s="15">
        <f t="shared" si="15"/>
        <v>-0.38941371095617461</v>
      </c>
      <c r="H133" s="16">
        <v>4214.4799999999996</v>
      </c>
      <c r="I133" s="16">
        <f t="shared" si="16"/>
        <v>-1795.4799999999996</v>
      </c>
      <c r="J133" s="15">
        <f t="shared" si="17"/>
        <v>-0.42602646115297732</v>
      </c>
      <c r="K133" s="146" t="s">
        <v>50</v>
      </c>
      <c r="L133" s="58"/>
      <c r="M133" s="118"/>
      <c r="N133" s="118"/>
      <c r="O133" s="118"/>
      <c r="P133" s="118"/>
      <c r="Q133" s="118"/>
      <c r="R133" s="118"/>
      <c r="S133" s="118"/>
      <c r="T133" s="118"/>
    </row>
    <row r="134" spans="1:20" ht="15.6">
      <c r="A134" s="24" t="str">
        <v>Portsmouth HS</v>
      </c>
      <c r="B134" s="25" t="str">
        <v>NH</v>
      </c>
      <c r="C134" s="25" t="str">
        <f>Sites[[#This Row],[SOL'#]]</f>
        <v>SOL-10769</v>
      </c>
      <c r="D134" s="20">
        <v>11278.625</v>
      </c>
      <c r="E134" s="10">
        <v>5673.085</v>
      </c>
      <c r="F134" s="10">
        <f t="shared" si="14"/>
        <v>5605.54</v>
      </c>
      <c r="G134" s="11">
        <f t="shared" si="15"/>
        <v>0.98809377966309331</v>
      </c>
      <c r="H134" s="12">
        <v>16344.56</v>
      </c>
      <c r="I134" s="12">
        <f t="shared" si="16"/>
        <v>-5065.9349999999995</v>
      </c>
      <c r="J134" s="13">
        <f t="shared" si="17"/>
        <v>-0.3099462451115233</v>
      </c>
      <c r="K134" s="37" t="s">
        <v>184</v>
      </c>
      <c r="L134" s="113" t="s">
        <v>185</v>
      </c>
      <c r="M134" s="118"/>
      <c r="N134" s="118"/>
      <c r="O134" s="118"/>
      <c r="P134" s="118"/>
      <c r="Q134" s="118"/>
      <c r="R134" s="118"/>
      <c r="S134" s="118"/>
      <c r="T134" s="118"/>
    </row>
    <row r="135" spans="1:20" ht="28.9">
      <c r="A135" s="26" t="str">
        <v>Portsmouth WTP</v>
      </c>
      <c r="B135" s="27" t="str">
        <v>NH</v>
      </c>
      <c r="C135" s="27" t="str">
        <f>Sites[[#This Row],[SOL'#]]</f>
        <v>SOL-10770</v>
      </c>
      <c r="D135" s="9">
        <v>4993.5</v>
      </c>
      <c r="E135" s="14">
        <v>7501.5919999999996</v>
      </c>
      <c r="F135" s="14">
        <f t="shared" si="14"/>
        <v>-2508.0919999999996</v>
      </c>
      <c r="G135" s="15">
        <f t="shared" si="15"/>
        <v>-0.33434129715399075</v>
      </c>
      <c r="H135" s="16">
        <v>14242.65</v>
      </c>
      <c r="I135" s="16">
        <f t="shared" si="16"/>
        <v>-9249.15</v>
      </c>
      <c r="J135" s="15">
        <f t="shared" si="17"/>
        <v>-0.64939811060441699</v>
      </c>
      <c r="K135" s="56" t="s">
        <v>186</v>
      </c>
      <c r="L135" s="114" t="s">
        <v>187</v>
      </c>
      <c r="M135" s="118"/>
      <c r="N135" s="118"/>
      <c r="O135" s="118"/>
      <c r="P135" s="118"/>
      <c r="Q135" s="118"/>
      <c r="R135" s="118"/>
      <c r="S135" s="118"/>
      <c r="T135" s="118"/>
    </row>
    <row r="136" spans="1:20" ht="15.75">
      <c r="A136" s="24" t="str">
        <v>Rochester St</v>
      </c>
      <c r="B136" s="25" t="str">
        <v>NH</v>
      </c>
      <c r="C136" s="25" t="str">
        <f>Sites[[#This Row],[SOL'#]]</f>
        <v>SOL-10765</v>
      </c>
      <c r="D136" s="20">
        <v>9500.2462109999997</v>
      </c>
      <c r="E136" s="10">
        <v>23441.63</v>
      </c>
      <c r="F136" s="10">
        <f t="shared" si="14"/>
        <v>-13941.383789000001</v>
      </c>
      <c r="G136" s="11">
        <f t="shared" si="15"/>
        <v>-0.59472757606872906</v>
      </c>
      <c r="H136" s="12">
        <v>10978.35</v>
      </c>
      <c r="I136" s="12">
        <f t="shared" si="16"/>
        <v>-1478.1037890000007</v>
      </c>
      <c r="J136" s="13">
        <f t="shared" si="17"/>
        <v>-0.13463806391670885</v>
      </c>
      <c r="K136" s="37" t="s">
        <v>50</v>
      </c>
      <c r="L136" s="59"/>
      <c r="M136" s="118"/>
      <c r="N136" s="118"/>
      <c r="O136" s="118"/>
      <c r="P136" s="118"/>
      <c r="Q136" s="118"/>
      <c r="R136" s="118"/>
      <c r="S136" s="118"/>
      <c r="T136" s="118"/>
    </row>
    <row r="137" spans="1:20" ht="15.75">
      <c r="A137" s="26" t="str">
        <v>Spaulding HS</v>
      </c>
      <c r="B137" s="27" t="str">
        <v>NH</v>
      </c>
      <c r="C137" s="27" t="str">
        <f>Sites[[#This Row],[SOL'#]]</f>
        <v>SOL-10767</v>
      </c>
      <c r="D137" s="9">
        <v>4532.5054559999999</v>
      </c>
      <c r="E137" s="14">
        <v>7117.8249999999998</v>
      </c>
      <c r="F137" s="14">
        <f t="shared" si="14"/>
        <v>-2585.319544</v>
      </c>
      <c r="G137" s="15">
        <f t="shared" si="15"/>
        <v>-0.36321763235257964</v>
      </c>
      <c r="H137" s="16">
        <v>5230.7579999999998</v>
      </c>
      <c r="I137" s="16">
        <f t="shared" si="16"/>
        <v>-698.25254399999994</v>
      </c>
      <c r="J137" s="15">
        <f t="shared" si="17"/>
        <v>-0.13348974355150819</v>
      </c>
      <c r="K137" s="56" t="s">
        <v>50</v>
      </c>
      <c r="L137" s="58"/>
      <c r="M137" s="118"/>
      <c r="N137" s="118"/>
      <c r="O137" s="118"/>
      <c r="P137" s="118"/>
      <c r="Q137" s="118"/>
      <c r="R137" s="118"/>
      <c r="S137" s="118"/>
      <c r="T137" s="118"/>
    </row>
    <row r="138" spans="1:20" ht="28.9">
      <c r="A138" s="24" t="str">
        <v>Ridgeway #2</v>
      </c>
      <c r="B138" s="25" t="str">
        <v>NY</v>
      </c>
      <c r="C138" s="25" t="str">
        <f>Sites[[#This Row],[SOL'#]]</f>
        <v>SOL-11027</v>
      </c>
      <c r="D138" s="20">
        <v>79273</v>
      </c>
      <c r="E138" s="10">
        <v>0</v>
      </c>
      <c r="F138" s="10">
        <f t="shared" si="14"/>
        <v>79273</v>
      </c>
      <c r="G138" s="11" t="str">
        <f t="shared" si="15"/>
        <v/>
      </c>
      <c r="H138" s="12">
        <v>219945.2</v>
      </c>
      <c r="I138" s="12">
        <f t="shared" si="16"/>
        <v>-140672.20000000001</v>
      </c>
      <c r="J138" s="13">
        <f t="shared" si="17"/>
        <v>-0.63957840407519695</v>
      </c>
      <c r="K138" s="37" t="s">
        <v>188</v>
      </c>
      <c r="L138" s="113" t="s">
        <v>189</v>
      </c>
      <c r="M138" s="117" t="s">
        <v>190</v>
      </c>
      <c r="N138" s="118"/>
      <c r="O138" s="118"/>
      <c r="P138" s="118"/>
      <c r="Q138" s="118"/>
      <c r="R138" s="118"/>
      <c r="S138" s="118"/>
      <c r="T138" s="118"/>
    </row>
    <row r="139" spans="1:20" ht="15.6">
      <c r="A139" s="26" t="str">
        <v>Spencer</v>
      </c>
      <c r="B139" s="27" t="str">
        <v>NY</v>
      </c>
      <c r="C139" s="27" t="str">
        <f>Sites[[#This Row],[SOL'#]]</f>
        <v>SOL-11017</v>
      </c>
      <c r="D139" s="9">
        <v>414005</v>
      </c>
      <c r="E139" s="14">
        <v>0</v>
      </c>
      <c r="F139" s="14">
        <f t="shared" si="14"/>
        <v>414005</v>
      </c>
      <c r="G139" s="15" t="str">
        <f t="shared" si="15"/>
        <v/>
      </c>
      <c r="H139" s="16">
        <v>306010.59999999998</v>
      </c>
      <c r="I139" s="16">
        <f t="shared" si="16"/>
        <v>107994.40000000002</v>
      </c>
      <c r="J139" s="15">
        <f t="shared" si="17"/>
        <v>0.35291065080752115</v>
      </c>
      <c r="K139" s="56" t="s">
        <v>191</v>
      </c>
      <c r="L139" s="114" t="s">
        <v>192</v>
      </c>
      <c r="M139" s="118"/>
      <c r="N139" s="118"/>
      <c r="O139" s="118"/>
      <c r="P139" s="118"/>
      <c r="Q139" s="118"/>
      <c r="R139" s="118"/>
      <c r="S139" s="118"/>
      <c r="T139" s="118"/>
    </row>
    <row r="140" spans="1:20" ht="15.75">
      <c r="A140" s="28" t="str">
        <v>Reisender</v>
      </c>
      <c r="B140" s="25" t="str">
        <v>NY</v>
      </c>
      <c r="C140" s="25" t="str">
        <f>Sites[[#This Row],[SOL'#]]</f>
        <v>SOL-10886</v>
      </c>
      <c r="D140" s="60">
        <v>103860</v>
      </c>
      <c r="E140" s="10">
        <v>170531.49299999999</v>
      </c>
      <c r="F140" s="10">
        <f t="shared" si="14"/>
        <v>-66671.492999999988</v>
      </c>
      <c r="G140" s="11">
        <f t="shared" si="15"/>
        <v>-0.39096293492252482</v>
      </c>
      <c r="H140" s="76">
        <v>141381.5</v>
      </c>
      <c r="I140" s="12">
        <f t="shared" si="16"/>
        <v>-37521.5</v>
      </c>
      <c r="J140" s="13">
        <f t="shared" si="17"/>
        <v>-0.26539186527233055</v>
      </c>
      <c r="K140" s="146" t="s">
        <v>50</v>
      </c>
      <c r="L140" s="59"/>
      <c r="M140" s="118"/>
      <c r="N140" s="118"/>
      <c r="O140" s="118"/>
      <c r="P140" s="118"/>
      <c r="Q140" s="118"/>
      <c r="R140" s="118"/>
      <c r="S140" s="118"/>
      <c r="T140" s="118"/>
    </row>
    <row r="141" spans="1:20" ht="15.6">
      <c r="A141" s="26" t="str">
        <v>Finney</v>
      </c>
      <c r="B141" s="27" t="str">
        <v>NY</v>
      </c>
      <c r="C141" s="27" t="str">
        <f>Sites[[#This Row],[SOL'#]]</f>
        <v>SOL-10999</v>
      </c>
      <c r="D141" s="75">
        <v>454350</v>
      </c>
      <c r="E141" s="14">
        <v>0</v>
      </c>
      <c r="F141" s="14">
        <f t="shared" si="14"/>
        <v>454350</v>
      </c>
      <c r="G141" s="15" t="str">
        <f t="shared" si="15"/>
        <v/>
      </c>
      <c r="H141" s="78">
        <v>423916.4</v>
      </c>
      <c r="I141" s="16">
        <f t="shared" si="16"/>
        <v>30433.599999999977</v>
      </c>
      <c r="J141" s="15">
        <f t="shared" si="17"/>
        <v>7.1791513609758842E-2</v>
      </c>
      <c r="K141" s="56"/>
      <c r="L141" s="84"/>
      <c r="M141" s="118"/>
      <c r="N141" s="118"/>
      <c r="O141" s="118"/>
      <c r="P141" s="118"/>
      <c r="Q141" s="118"/>
      <c r="R141" s="118"/>
      <c r="S141" s="118"/>
      <c r="T141" s="118"/>
    </row>
    <row r="142" spans="1:20" ht="28.9">
      <c r="A142" s="24" t="str">
        <v>Davis Solar</v>
      </c>
      <c r="B142" s="25" t="str">
        <v>NY</v>
      </c>
      <c r="C142" s="25" t="str">
        <f>Sites[[#This Row],[SOL'#]]</f>
        <v>SOL-10958</v>
      </c>
      <c r="D142" s="60">
        <v>113022</v>
      </c>
      <c r="E142" s="10">
        <v>215455</v>
      </c>
      <c r="F142" s="10">
        <f t="shared" si="14"/>
        <v>-102433</v>
      </c>
      <c r="G142" s="11">
        <f t="shared" si="15"/>
        <v>-0.47542642315100603</v>
      </c>
      <c r="H142" s="76">
        <v>182746</v>
      </c>
      <c r="I142" s="12">
        <f t="shared" si="16"/>
        <v>-69724</v>
      </c>
      <c r="J142" s="13">
        <f t="shared" si="17"/>
        <v>-0.38153502675845163</v>
      </c>
      <c r="K142" s="63" t="s">
        <v>193</v>
      </c>
      <c r="L142" s="113" t="s">
        <v>194</v>
      </c>
      <c r="M142" s="118"/>
      <c r="N142" s="118"/>
      <c r="O142" s="118"/>
      <c r="P142" s="118"/>
      <c r="Q142" s="118"/>
      <c r="R142" s="118"/>
      <c r="S142" s="118"/>
      <c r="T142" s="118"/>
    </row>
    <row r="143" spans="1:20" ht="57.6">
      <c r="A143" s="26" t="str">
        <v>Genesee</v>
      </c>
      <c r="B143" s="27" t="str">
        <v>NY</v>
      </c>
      <c r="C143" s="27" t="str">
        <f>Sites[[#This Row],[SOL'#]]</f>
        <v>SOL-10951</v>
      </c>
      <c r="D143" s="75">
        <v>195743</v>
      </c>
      <c r="E143" s="14">
        <v>0</v>
      </c>
      <c r="F143" s="14">
        <f t="shared" si="14"/>
        <v>195743</v>
      </c>
      <c r="G143" s="15" t="str">
        <f t="shared" si="15"/>
        <v/>
      </c>
      <c r="H143" s="78">
        <v>223003.4</v>
      </c>
      <c r="I143" s="16">
        <f t="shared" si="16"/>
        <v>-27260.399999999994</v>
      </c>
      <c r="J143" s="15">
        <f t="shared" si="17"/>
        <v>-0.12224208240771214</v>
      </c>
      <c r="K143" s="56" t="s">
        <v>195</v>
      </c>
      <c r="L143" s="116" t="s">
        <v>196</v>
      </c>
      <c r="M143" s="117" t="s">
        <v>197</v>
      </c>
      <c r="N143" s="118"/>
      <c r="O143" s="118"/>
      <c r="P143" s="118"/>
      <c r="Q143" s="118"/>
      <c r="R143" s="118"/>
      <c r="S143" s="118"/>
      <c r="T143" s="118"/>
    </row>
    <row r="144" spans="1:20" ht="15.75">
      <c r="A144" s="24" t="str">
        <v>Landau I</v>
      </c>
      <c r="B144" s="25" t="str">
        <v>NY</v>
      </c>
      <c r="C144" s="25" t="str">
        <f>Sites[[#This Row],[SOL'#]]</f>
        <v>SOL-10891</v>
      </c>
      <c r="D144" s="60">
        <v>128600</v>
      </c>
      <c r="E144" s="10">
        <v>0</v>
      </c>
      <c r="F144" s="10">
        <f t="shared" ref="F144:F185" si="18">IF(AND(ISNUMBER(D144),ISNUMBER(E144)), D144-E144, "")</f>
        <v>128600</v>
      </c>
      <c r="G144" s="11" t="str">
        <f t="shared" ref="G144:G185" si="19">IFERROR(F144/E144, "")</f>
        <v/>
      </c>
      <c r="H144" s="76">
        <v>183280</v>
      </c>
      <c r="I144" s="12">
        <f t="shared" si="16"/>
        <v>-54680</v>
      </c>
      <c r="J144" s="13">
        <f t="shared" si="17"/>
        <v>-0.29834133566128329</v>
      </c>
      <c r="K144" s="59" t="s">
        <v>50</v>
      </c>
      <c r="L144" s="59"/>
      <c r="M144" s="118"/>
      <c r="N144" s="118"/>
      <c r="O144" s="118"/>
      <c r="P144" s="118"/>
      <c r="Q144" s="118"/>
      <c r="R144" s="118"/>
      <c r="S144" s="118"/>
      <c r="T144" s="118"/>
    </row>
    <row r="145" spans="1:20" ht="55.5" customHeight="1">
      <c r="A145" s="26" t="str">
        <v>Landau II</v>
      </c>
      <c r="B145" s="27" t="str">
        <v>NY</v>
      </c>
      <c r="C145" s="27" t="str">
        <f>Sites[[#This Row],[SOL'#]]</f>
        <v>SOL-10895</v>
      </c>
      <c r="D145" s="75">
        <v>273640</v>
      </c>
      <c r="E145" s="14">
        <v>0</v>
      </c>
      <c r="F145" s="14">
        <f t="shared" si="18"/>
        <v>273640</v>
      </c>
      <c r="G145" s="15" t="str">
        <f t="shared" si="19"/>
        <v/>
      </c>
      <c r="H145" s="78">
        <v>345100.3</v>
      </c>
      <c r="I145" s="16">
        <f t="shared" si="16"/>
        <v>-71460.299999999988</v>
      </c>
      <c r="J145" s="15">
        <f t="shared" si="17"/>
        <v>-0.20707110367623555</v>
      </c>
      <c r="K145" s="56" t="s">
        <v>198</v>
      </c>
      <c r="L145" s="116" t="s">
        <v>199</v>
      </c>
      <c r="M145" s="117" t="s">
        <v>200</v>
      </c>
      <c r="N145" s="118"/>
      <c r="O145" s="118"/>
      <c r="P145" s="118"/>
      <c r="Q145" s="118"/>
      <c r="R145" s="118"/>
      <c r="S145" s="118"/>
      <c r="T145" s="118"/>
    </row>
    <row r="146" spans="1:20" ht="28.9">
      <c r="A146" s="24" t="str">
        <v>New Beginnings</v>
      </c>
      <c r="B146" s="25" t="str">
        <v>NY</v>
      </c>
      <c r="C146" s="25" t="str">
        <f>Sites[[#This Row],[SOL'#]]</f>
        <v>SOL-10890</v>
      </c>
      <c r="D146" s="60">
        <v>139570</v>
      </c>
      <c r="E146" s="10">
        <v>236173.087</v>
      </c>
      <c r="F146" s="10">
        <f t="shared" si="18"/>
        <v>-96603.087</v>
      </c>
      <c r="G146" s="11">
        <f t="shared" si="19"/>
        <v>-0.40903512007699677</v>
      </c>
      <c r="H146" s="76">
        <v>183796</v>
      </c>
      <c r="I146" s="12">
        <f t="shared" ref="I146:I163" si="20">IF(AND(ISNUMBER(D146),ISNUMBER(H146)), D146-H146, "")</f>
        <v>-44226</v>
      </c>
      <c r="J146" s="13">
        <f t="shared" ref="J146:J163" si="21">IFERROR(I146/H146, "")</f>
        <v>-0.24062547607129645</v>
      </c>
      <c r="K146" s="63" t="s">
        <v>201</v>
      </c>
      <c r="L146" s="113" t="s">
        <v>202</v>
      </c>
      <c r="M146" s="118"/>
      <c r="N146" s="118"/>
      <c r="O146" s="118"/>
      <c r="P146" s="118"/>
      <c r="Q146" s="118"/>
      <c r="R146" s="118"/>
      <c r="S146" s="118"/>
      <c r="T146" s="118"/>
    </row>
    <row r="147" spans="1:20" ht="15.6">
      <c r="A147" s="26" t="str">
        <v>Guilin Farm Solar</v>
      </c>
      <c r="B147" s="27" t="str">
        <v>NY</v>
      </c>
      <c r="C147" s="27" t="str">
        <f>Sites[[#This Row],[SOL'#]]</f>
        <v>SOL-10998</v>
      </c>
      <c r="D147" s="75">
        <v>233704</v>
      </c>
      <c r="E147" s="14">
        <v>370127.43</v>
      </c>
      <c r="F147" s="14">
        <f t="shared" si="18"/>
        <v>-136423.43</v>
      </c>
      <c r="G147" s="15">
        <f t="shared" si="19"/>
        <v>-0.36858503029618744</v>
      </c>
      <c r="H147" s="78">
        <v>381120.6</v>
      </c>
      <c r="I147" s="16">
        <f t="shared" si="20"/>
        <v>-147416.59999999998</v>
      </c>
      <c r="J147" s="15">
        <f t="shared" si="21"/>
        <v>-0.38679777477260474</v>
      </c>
      <c r="K147" s="56" t="s">
        <v>203</v>
      </c>
      <c r="L147" s="117" t="s">
        <v>204</v>
      </c>
      <c r="M147" s="118"/>
      <c r="N147" s="118"/>
      <c r="O147" s="118"/>
      <c r="P147" s="118"/>
      <c r="Q147" s="118"/>
      <c r="R147" s="118"/>
      <c r="S147" s="118"/>
      <c r="T147" s="118"/>
    </row>
    <row r="148" spans="1:20" ht="28.9">
      <c r="A148" s="24" t="str">
        <v>Brodhead Solar</v>
      </c>
      <c r="B148" s="25" t="str">
        <v>NY</v>
      </c>
      <c r="C148" s="25" t="str">
        <f>Sites[[#This Row],[SOL'#]]</f>
        <v>SOL-10899</v>
      </c>
      <c r="D148" s="60">
        <v>199162</v>
      </c>
      <c r="E148" s="10">
        <v>235454.7</v>
      </c>
      <c r="F148" s="10">
        <f t="shared" si="18"/>
        <v>-36292.700000000012</v>
      </c>
      <c r="G148" s="11">
        <f t="shared" si="19"/>
        <v>-0.1541387791367087</v>
      </c>
      <c r="H148" s="76">
        <v>225874.51</v>
      </c>
      <c r="I148" s="12">
        <f t="shared" si="20"/>
        <v>-26712.510000000009</v>
      </c>
      <c r="J148" s="13">
        <f t="shared" si="21"/>
        <v>-0.11826261405060716</v>
      </c>
      <c r="K148" s="63" t="s">
        <v>205</v>
      </c>
      <c r="L148" s="113" t="s">
        <v>206</v>
      </c>
      <c r="M148" s="117" t="s">
        <v>207</v>
      </c>
      <c r="N148" s="118"/>
      <c r="O148" s="118"/>
      <c r="P148" s="118"/>
      <c r="Q148" s="118"/>
      <c r="R148" s="118"/>
      <c r="S148" s="118"/>
      <c r="T148" s="118"/>
    </row>
    <row r="149" spans="1:20" ht="15.75">
      <c r="A149" s="26" t="str">
        <v>Svenski</v>
      </c>
      <c r="B149" s="27" t="str">
        <v>NY</v>
      </c>
      <c r="C149" s="27" t="str">
        <f>Sites[[#This Row],[SOL'#]]</f>
        <v>SOL-10894</v>
      </c>
      <c r="D149" s="75">
        <v>110333</v>
      </c>
      <c r="E149" s="14">
        <v>0</v>
      </c>
      <c r="F149" s="14">
        <f t="shared" si="18"/>
        <v>110333</v>
      </c>
      <c r="G149" s="15" t="str">
        <f t="shared" si="19"/>
        <v/>
      </c>
      <c r="H149" s="78">
        <v>143761.4</v>
      </c>
      <c r="I149" s="16">
        <f t="shared" si="20"/>
        <v>-33428.399999999994</v>
      </c>
      <c r="J149" s="15">
        <f t="shared" si="21"/>
        <v>-0.23252695090615419</v>
      </c>
      <c r="K149" s="146" t="s">
        <v>50</v>
      </c>
      <c r="L149" s="84"/>
      <c r="M149" s="118"/>
      <c r="N149" s="118"/>
      <c r="O149" s="118"/>
      <c r="P149" s="118"/>
      <c r="Q149" s="118"/>
      <c r="R149" s="118"/>
      <c r="S149" s="118"/>
      <c r="T149" s="118"/>
    </row>
    <row r="150" spans="1:20" ht="15.6">
      <c r="A150" s="24" t="str">
        <v>Bantam</v>
      </c>
      <c r="B150" s="25" t="str">
        <v>NY</v>
      </c>
      <c r="C150" s="25" t="str">
        <f>Sites[[#This Row],[SOL'#]]</f>
        <v>SOL-10986</v>
      </c>
      <c r="D150" s="60">
        <v>106590</v>
      </c>
      <c r="E150" s="10">
        <v>0</v>
      </c>
      <c r="F150" s="10">
        <f t="shared" si="18"/>
        <v>106590</v>
      </c>
      <c r="G150" s="11" t="str">
        <f t="shared" si="19"/>
        <v/>
      </c>
      <c r="H150" s="76"/>
      <c r="I150" s="12" t="str">
        <f t="shared" si="20"/>
        <v/>
      </c>
      <c r="J150" s="13" t="str">
        <f t="shared" si="21"/>
        <v/>
      </c>
      <c r="K150" s="63" t="s">
        <v>208</v>
      </c>
      <c r="L150" s="113" t="s">
        <v>209</v>
      </c>
      <c r="M150" s="118"/>
      <c r="N150" s="118"/>
      <c r="O150" s="118"/>
      <c r="P150" s="118"/>
      <c r="Q150" s="118"/>
      <c r="R150" s="118"/>
      <c r="S150" s="118"/>
      <c r="T150" s="118"/>
    </row>
    <row r="151" spans="1:20" ht="15.6">
      <c r="A151" s="26" t="str">
        <v>Bogart</v>
      </c>
      <c r="B151" s="27" t="str">
        <v>NY</v>
      </c>
      <c r="C151" s="27" t="str">
        <f>Sites[[#This Row],[SOL'#]]</f>
        <v>SOL-10887</v>
      </c>
      <c r="D151" s="75">
        <v>163390</v>
      </c>
      <c r="E151" s="14">
        <v>224512.07800000001</v>
      </c>
      <c r="F151" s="14">
        <f t="shared" si="18"/>
        <v>-61122.078000000009</v>
      </c>
      <c r="G151" s="15">
        <f t="shared" si="19"/>
        <v>-0.27224405272307894</v>
      </c>
      <c r="H151" s="78">
        <v>167525.6</v>
      </c>
      <c r="I151" s="16">
        <f t="shared" si="20"/>
        <v>-4135.6000000000058</v>
      </c>
      <c r="J151" s="15">
        <f t="shared" si="21"/>
        <v>-2.4686376291145985E-2</v>
      </c>
      <c r="K151" s="56" t="s">
        <v>210</v>
      </c>
      <c r="L151" s="117" t="s">
        <v>211</v>
      </c>
      <c r="M151" s="118"/>
      <c r="N151" s="118"/>
      <c r="O151" s="118"/>
      <c r="P151" s="118"/>
      <c r="Q151" s="118"/>
      <c r="R151" s="118"/>
      <c r="S151" s="118"/>
      <c r="T151" s="118"/>
    </row>
    <row r="152" spans="1:20" ht="15.6">
      <c r="A152" s="24" t="str">
        <v>Dubois</v>
      </c>
      <c r="B152" s="25" t="str">
        <v>NY</v>
      </c>
      <c r="C152" s="25" t="str">
        <f>Sites[[#This Row],[SOL'#]]</f>
        <v>SOL-10892</v>
      </c>
      <c r="D152" s="60">
        <v>121698.49</v>
      </c>
      <c r="E152" s="10">
        <v>0</v>
      </c>
      <c r="F152" s="10">
        <f t="shared" si="18"/>
        <v>121698.49</v>
      </c>
      <c r="G152" s="11" t="str">
        <f t="shared" si="19"/>
        <v/>
      </c>
      <c r="H152" s="76"/>
      <c r="I152" s="12" t="str">
        <f t="shared" si="20"/>
        <v/>
      </c>
      <c r="J152" s="13" t="str">
        <f t="shared" si="21"/>
        <v/>
      </c>
      <c r="K152" s="63" t="s">
        <v>212</v>
      </c>
      <c r="L152" s="113" t="s">
        <v>213</v>
      </c>
      <c r="M152" s="118"/>
      <c r="N152" s="118"/>
      <c r="O152" s="118"/>
      <c r="P152" s="118"/>
      <c r="Q152" s="118"/>
      <c r="R152" s="118"/>
      <c r="S152" s="118"/>
      <c r="T152" s="118"/>
    </row>
    <row r="153" spans="1:20" ht="15.6">
      <c r="A153" s="26" t="str">
        <v>Salt Point</v>
      </c>
      <c r="B153" s="27" t="str">
        <v>NY</v>
      </c>
      <c r="C153" s="27" t="str">
        <f>Sites[[#This Row],[SOL'#]]</f>
        <v>SOL-10888</v>
      </c>
      <c r="D153" s="75">
        <v>169980</v>
      </c>
      <c r="E153" s="14">
        <v>0</v>
      </c>
      <c r="F153" s="14">
        <f t="shared" si="18"/>
        <v>169980</v>
      </c>
      <c r="G153" s="15" t="str">
        <f t="shared" si="19"/>
        <v/>
      </c>
      <c r="H153" s="78">
        <v>135218.20000000001</v>
      </c>
      <c r="I153" s="16">
        <f t="shared" si="20"/>
        <v>34761.799999999988</v>
      </c>
      <c r="J153" s="15">
        <f t="shared" si="21"/>
        <v>0.25707929849679989</v>
      </c>
      <c r="K153" s="139" t="s">
        <v>214</v>
      </c>
      <c r="L153" s="117" t="s">
        <v>215</v>
      </c>
      <c r="M153" s="118"/>
      <c r="N153" s="118"/>
      <c r="O153" s="118"/>
      <c r="P153" s="118"/>
      <c r="Q153" s="118"/>
      <c r="R153" s="118"/>
      <c r="S153" s="118"/>
      <c r="T153" s="118"/>
    </row>
    <row r="154" spans="1:20" ht="36" customHeight="1">
      <c r="A154" s="24" t="str">
        <v>Wheatland 2A</v>
      </c>
      <c r="B154" s="25" t="str">
        <v>NY</v>
      </c>
      <c r="C154" s="25" t="str">
        <f>Sites[[#This Row],[SOL'#]]</f>
        <v>SOL-10971</v>
      </c>
      <c r="D154" s="60">
        <v>294880</v>
      </c>
      <c r="E154" s="10">
        <v>0</v>
      </c>
      <c r="F154" s="10">
        <f t="shared" si="18"/>
        <v>294880</v>
      </c>
      <c r="G154" s="11" t="str">
        <f t="shared" si="19"/>
        <v/>
      </c>
      <c r="H154" s="76">
        <v>282852.59999999998</v>
      </c>
      <c r="I154" s="12">
        <f t="shared" si="20"/>
        <v>12027.400000000023</v>
      </c>
      <c r="J154" s="13">
        <f t="shared" si="21"/>
        <v>4.2521794036894212E-2</v>
      </c>
      <c r="K154" s="63" t="s">
        <v>216</v>
      </c>
      <c r="L154" s="113" t="s">
        <v>217</v>
      </c>
      <c r="M154" s="118"/>
      <c r="N154" s="118"/>
      <c r="O154" s="118"/>
      <c r="P154" s="118"/>
      <c r="Q154" s="118"/>
      <c r="R154" s="118"/>
      <c r="S154" s="118"/>
      <c r="T154" s="118"/>
    </row>
    <row r="155" spans="1:20" ht="28.9">
      <c r="A155" s="26" t="str">
        <v>Wheatland 2B</v>
      </c>
      <c r="B155" s="27" t="str">
        <v>NY</v>
      </c>
      <c r="C155" s="27" t="str">
        <f>Sites[[#This Row],[SOL'#]]</f>
        <v>SOL-10961</v>
      </c>
      <c r="D155" s="75">
        <v>283280</v>
      </c>
      <c r="E155" s="14">
        <v>0</v>
      </c>
      <c r="F155" s="14">
        <f t="shared" si="18"/>
        <v>283280</v>
      </c>
      <c r="G155" s="15" t="str">
        <f t="shared" si="19"/>
        <v/>
      </c>
      <c r="H155" s="78">
        <v>279044.7</v>
      </c>
      <c r="I155" s="16">
        <f t="shared" si="20"/>
        <v>4235.2999999999884</v>
      </c>
      <c r="J155" s="15">
        <f t="shared" si="21"/>
        <v>1.5177855017493571E-2</v>
      </c>
      <c r="K155" s="56" t="s">
        <v>218</v>
      </c>
      <c r="L155" s="117" t="s">
        <v>219</v>
      </c>
      <c r="M155" s="118"/>
      <c r="N155" s="118"/>
      <c r="O155" s="118"/>
      <c r="P155" s="118"/>
      <c r="Q155" s="118"/>
      <c r="R155" s="118"/>
      <c r="S155" s="118"/>
      <c r="T155" s="118"/>
    </row>
    <row r="156" spans="1:20" ht="15.6">
      <c r="A156" s="24" t="str">
        <v>Brickchurch</v>
      </c>
      <c r="B156" s="25" t="str">
        <v>NY</v>
      </c>
      <c r="C156" s="25" t="str">
        <f>Sites[[#This Row],[SOL'#]]</f>
        <v>SOL-10889</v>
      </c>
      <c r="D156" s="60">
        <v>69810</v>
      </c>
      <c r="E156" s="10">
        <v>119057.518</v>
      </c>
      <c r="F156" s="10">
        <f t="shared" si="18"/>
        <v>-49247.517999999996</v>
      </c>
      <c r="G156" s="11">
        <f t="shared" si="19"/>
        <v>-0.41364475614215307</v>
      </c>
      <c r="H156" s="76">
        <v>79341.5</v>
      </c>
      <c r="I156" s="12">
        <f t="shared" si="20"/>
        <v>-9531.5</v>
      </c>
      <c r="J156" s="13">
        <f t="shared" si="21"/>
        <v>-0.12013259139290283</v>
      </c>
      <c r="K156" s="63" t="s">
        <v>220</v>
      </c>
      <c r="L156" s="113" t="s">
        <v>221</v>
      </c>
      <c r="M156" s="118"/>
      <c r="N156" s="118"/>
      <c r="O156" s="118"/>
      <c r="P156" s="118"/>
      <c r="Q156" s="118"/>
      <c r="R156" s="118"/>
      <c r="S156" s="118"/>
      <c r="T156" s="118"/>
    </row>
    <row r="157" spans="1:20" ht="15.6">
      <c r="A157" s="26" t="str">
        <v>McCarthy Solar</v>
      </c>
      <c r="B157" s="27" t="str">
        <v>NY</v>
      </c>
      <c r="C157" s="27" t="str">
        <f>Sites[[#This Row],[SOL'#]]</f>
        <v>SOL-10992</v>
      </c>
      <c r="D157" s="75">
        <v>140810</v>
      </c>
      <c r="E157" s="14">
        <v>0</v>
      </c>
      <c r="F157" s="14">
        <f t="shared" si="18"/>
        <v>140810</v>
      </c>
      <c r="G157" s="15" t="str">
        <f t="shared" si="19"/>
        <v/>
      </c>
      <c r="H157" s="78">
        <v>199506</v>
      </c>
      <c r="I157" s="16">
        <f t="shared" si="20"/>
        <v>-58696</v>
      </c>
      <c r="J157" s="15">
        <f t="shared" si="21"/>
        <v>-0.29420669052559822</v>
      </c>
      <c r="K157" s="56" t="s">
        <v>222</v>
      </c>
      <c r="L157" s="117" t="s">
        <v>223</v>
      </c>
      <c r="M157" s="118"/>
      <c r="N157" s="118"/>
      <c r="O157" s="118"/>
      <c r="P157" s="118"/>
      <c r="Q157" s="118"/>
      <c r="R157" s="118"/>
      <c r="S157" s="118"/>
      <c r="T157" s="118"/>
    </row>
    <row r="158" spans="1:20" ht="43.15">
      <c r="A158" s="24" t="str">
        <v>Costanza</v>
      </c>
      <c r="B158" s="25" t="str">
        <v>NY</v>
      </c>
      <c r="C158" s="25" t="str">
        <f>Sites[[#This Row],[SOL'#]]</f>
        <v>SOL-10907</v>
      </c>
      <c r="D158" s="60">
        <v>128370</v>
      </c>
      <c r="E158" s="10">
        <v>0</v>
      </c>
      <c r="F158" s="10">
        <f t="shared" si="18"/>
        <v>128370</v>
      </c>
      <c r="G158" s="11" t="str">
        <f t="shared" si="19"/>
        <v/>
      </c>
      <c r="H158" s="76">
        <v>161660.6</v>
      </c>
      <c r="I158" s="12">
        <f t="shared" si="20"/>
        <v>-33290.600000000006</v>
      </c>
      <c r="J158" s="13">
        <f t="shared" si="21"/>
        <v>-0.20592896475702802</v>
      </c>
      <c r="K158" s="63" t="s">
        <v>224</v>
      </c>
      <c r="L158" s="113" t="s">
        <v>225</v>
      </c>
      <c r="M158" s="117" t="s">
        <v>226</v>
      </c>
      <c r="N158" s="117" t="s">
        <v>227</v>
      </c>
      <c r="O158" s="118"/>
      <c r="P158" s="118"/>
      <c r="Q158" s="118"/>
      <c r="R158" s="118"/>
      <c r="S158" s="118"/>
      <c r="T158" s="118"/>
    </row>
    <row r="159" spans="1:20" ht="15.6">
      <c r="A159" s="26" t="str">
        <v>Lockenhurst Pond</v>
      </c>
      <c r="B159" s="27" t="str">
        <v>NY</v>
      </c>
      <c r="C159" s="27" t="str">
        <f>Sites[[#This Row],[SOL'#]]</f>
        <v>SOL-11000</v>
      </c>
      <c r="D159" s="75">
        <v>175059</v>
      </c>
      <c r="E159" s="14">
        <v>204006.8</v>
      </c>
      <c r="F159" s="14">
        <f t="shared" si="18"/>
        <v>-28947.799999999988</v>
      </c>
      <c r="G159" s="15">
        <f t="shared" si="19"/>
        <v>-0.14189625051713958</v>
      </c>
      <c r="H159" s="78">
        <v>160367</v>
      </c>
      <c r="I159" s="16">
        <f t="shared" si="20"/>
        <v>14692</v>
      </c>
      <c r="J159" s="15">
        <f t="shared" si="21"/>
        <v>9.1614858418502559E-2</v>
      </c>
      <c r="K159" s="56"/>
      <c r="L159" s="84"/>
      <c r="M159" s="118"/>
      <c r="N159" s="118"/>
      <c r="O159" s="118"/>
      <c r="P159" s="118"/>
      <c r="Q159" s="118"/>
      <c r="R159" s="118"/>
      <c r="S159" s="118"/>
      <c r="T159" s="118"/>
    </row>
    <row r="160" spans="1:20" ht="15.75">
      <c r="A160" s="24" t="str">
        <v>Drinkwater</v>
      </c>
      <c r="B160" s="25" t="str">
        <v>NY</v>
      </c>
      <c r="C160" s="25" t="str">
        <f>Sites[[#This Row],[SOL'#]]</f>
        <v>SOL-10896</v>
      </c>
      <c r="D160" s="60">
        <v>124560</v>
      </c>
      <c r="E160" s="10">
        <v>0</v>
      </c>
      <c r="F160" s="10">
        <f t="shared" si="18"/>
        <v>124560</v>
      </c>
      <c r="G160" s="11" t="str">
        <f t="shared" si="19"/>
        <v/>
      </c>
      <c r="H160" s="76">
        <v>167148</v>
      </c>
      <c r="I160" s="12">
        <f t="shared" si="20"/>
        <v>-42588</v>
      </c>
      <c r="J160" s="13">
        <f t="shared" si="21"/>
        <v>-0.25479216024122336</v>
      </c>
      <c r="K160" s="59" t="s">
        <v>50</v>
      </c>
      <c r="L160" s="59"/>
      <c r="M160" s="118"/>
      <c r="N160" s="118"/>
      <c r="O160" s="118"/>
      <c r="P160" s="118"/>
      <c r="Q160" s="118"/>
      <c r="R160" s="118"/>
      <c r="S160" s="118"/>
      <c r="T160" s="118"/>
    </row>
    <row r="161" spans="1:20" ht="15.75">
      <c r="A161" s="26" t="str">
        <v>Altamont</v>
      </c>
      <c r="B161" s="27" t="str">
        <v>NY</v>
      </c>
      <c r="C161" s="27" t="s">
        <v>228</v>
      </c>
      <c r="D161" s="75">
        <v>265275</v>
      </c>
      <c r="E161" s="14">
        <v>472996.8</v>
      </c>
      <c r="F161" s="14">
        <f t="shared" si="18"/>
        <v>-207721.8</v>
      </c>
      <c r="G161" s="15">
        <f t="shared" si="19"/>
        <v>-0.4391611106037081</v>
      </c>
      <c r="H161" s="78">
        <v>348142.2</v>
      </c>
      <c r="I161" s="16">
        <f t="shared" si="20"/>
        <v>-82867.200000000012</v>
      </c>
      <c r="J161" s="15">
        <f t="shared" si="21"/>
        <v>-0.23802687522512356</v>
      </c>
      <c r="K161" s="146" t="s">
        <v>50</v>
      </c>
      <c r="L161" s="84"/>
      <c r="M161" s="118"/>
      <c r="N161" s="118"/>
      <c r="O161" s="118"/>
      <c r="P161" s="118"/>
      <c r="Q161" s="118"/>
      <c r="R161" s="118"/>
      <c r="S161" s="118"/>
      <c r="T161" s="118"/>
    </row>
    <row r="162" spans="1:20" ht="15.75">
      <c r="A162" s="24" t="str">
        <v>Krumkill North</v>
      </c>
      <c r="B162" s="25" t="str">
        <v>NY</v>
      </c>
      <c r="C162" s="25" t="str">
        <f>Sites[[#This Row],[SOL'#]]</f>
        <v>SOL-11086</v>
      </c>
      <c r="D162" s="60">
        <v>203628</v>
      </c>
      <c r="E162" s="10">
        <v>375941</v>
      </c>
      <c r="F162" s="10">
        <f t="shared" si="18"/>
        <v>-172313</v>
      </c>
      <c r="G162" s="11">
        <f t="shared" si="19"/>
        <v>-0.458351177445397</v>
      </c>
      <c r="H162" s="76">
        <v>466230.1</v>
      </c>
      <c r="I162" s="12">
        <f t="shared" si="20"/>
        <v>-262602.09999999998</v>
      </c>
      <c r="J162" s="13">
        <f t="shared" si="21"/>
        <v>-0.56324570206857083</v>
      </c>
      <c r="K162" s="59" t="s">
        <v>50</v>
      </c>
      <c r="L162" s="59"/>
      <c r="M162" s="118"/>
      <c r="N162" s="118"/>
      <c r="O162" s="118"/>
      <c r="P162" s="118"/>
      <c r="Q162" s="118"/>
      <c r="R162" s="118"/>
      <c r="S162" s="118"/>
      <c r="T162" s="118"/>
    </row>
    <row r="163" spans="1:20" ht="15.75">
      <c r="A163" s="26" t="str">
        <v>Krumkill South</v>
      </c>
      <c r="B163" s="27" t="str">
        <v>NY</v>
      </c>
      <c r="C163" s="27" t="str">
        <f>Sites[[#This Row],[SOL'#]]</f>
        <v>SOL-11087</v>
      </c>
      <c r="D163" s="75">
        <v>210392</v>
      </c>
      <c r="E163" s="14">
        <v>367457.4</v>
      </c>
      <c r="F163" s="14">
        <f t="shared" si="18"/>
        <v>-157065.40000000002</v>
      </c>
      <c r="G163" s="15">
        <f t="shared" si="19"/>
        <v>-0.42743839149789886</v>
      </c>
      <c r="H163" s="78">
        <v>365510.3</v>
      </c>
      <c r="I163" s="16">
        <f t="shared" si="20"/>
        <v>-155118.29999999999</v>
      </c>
      <c r="J163" s="15">
        <f t="shared" si="21"/>
        <v>-0.42438831409128552</v>
      </c>
      <c r="K163" s="146" t="s">
        <v>50</v>
      </c>
      <c r="L163" s="84"/>
      <c r="M163" s="118"/>
      <c r="N163" s="118"/>
      <c r="O163" s="118"/>
      <c r="P163" s="118"/>
      <c r="Q163" s="118"/>
      <c r="R163" s="118"/>
      <c r="S163" s="118"/>
      <c r="T163" s="118"/>
    </row>
    <row r="164" spans="1:20" ht="15.6">
      <c r="A164" s="24" t="str">
        <v>X092</v>
      </c>
      <c r="B164" s="25" t="str">
        <v>NY</v>
      </c>
      <c r="C164" s="25" t="str">
        <f>Sites[[#This Row],[SOL'#]]</f>
        <v>SOL-11189</v>
      </c>
      <c r="D164" s="60"/>
      <c r="E164" s="10"/>
      <c r="F164" s="10" t="str">
        <f t="shared" si="18"/>
        <v/>
      </c>
      <c r="G164" s="11" t="str">
        <f t="shared" si="19"/>
        <v/>
      </c>
      <c r="H164" s="76"/>
      <c r="I164" s="12" t="str">
        <f t="shared" ref="I164:I195" si="22">IF(AND(ISNUMBER(D164),ISNUMBER(H164)), D164-H164, "")</f>
        <v/>
      </c>
      <c r="J164" s="13" t="str">
        <f t="shared" ref="J164:J195" si="23">IFERROR(I164/H164, "")</f>
        <v/>
      </c>
      <c r="K164" s="63"/>
      <c r="L164" s="59"/>
      <c r="M164" s="118"/>
      <c r="N164" s="118"/>
      <c r="O164" s="118"/>
      <c r="P164" s="118"/>
      <c r="Q164" s="118"/>
      <c r="R164" s="118"/>
      <c r="S164" s="118"/>
      <c r="T164" s="118"/>
    </row>
    <row r="165" spans="1:20" ht="15.6">
      <c r="A165" s="26" t="str">
        <v>X093</v>
      </c>
      <c r="B165" s="27" t="str">
        <v>NY</v>
      </c>
      <c r="C165" s="27" t="str">
        <f>Sites[[#This Row],[SOL'#]]</f>
        <v>SOL-10932</v>
      </c>
      <c r="D165" s="75">
        <v>2111.48556738772</v>
      </c>
      <c r="E165" s="14">
        <v>0</v>
      </c>
      <c r="F165" s="14">
        <f t="shared" si="18"/>
        <v>2111.48556738772</v>
      </c>
      <c r="G165" s="15" t="str">
        <f t="shared" si="19"/>
        <v/>
      </c>
      <c r="H165" s="78">
        <v>0</v>
      </c>
      <c r="I165" s="16">
        <f t="shared" si="22"/>
        <v>2111.48556738772</v>
      </c>
      <c r="J165" s="15" t="str">
        <f t="shared" si="23"/>
        <v/>
      </c>
      <c r="K165" s="56" t="s">
        <v>229</v>
      </c>
      <c r="L165" s="117" t="s">
        <v>230</v>
      </c>
      <c r="M165" s="118"/>
      <c r="N165" s="118"/>
      <c r="O165" s="118"/>
      <c r="P165" s="118"/>
      <c r="Q165" s="118"/>
      <c r="R165" s="118"/>
      <c r="S165" s="118"/>
      <c r="T165" s="118"/>
    </row>
    <row r="166" spans="1:20" ht="15.6">
      <c r="A166" s="24" t="str">
        <v>X095</v>
      </c>
      <c r="B166" s="25" t="str">
        <v>NY</v>
      </c>
      <c r="C166" s="25" t="str">
        <f>Sites[[#This Row],[SOL'#]]</f>
        <v>SOL-10929</v>
      </c>
      <c r="D166" s="60">
        <v>5841.4006177607998</v>
      </c>
      <c r="E166" s="10">
        <v>0</v>
      </c>
      <c r="F166" s="10">
        <f t="shared" si="18"/>
        <v>5841.4006177607998</v>
      </c>
      <c r="G166" s="11" t="str">
        <f t="shared" si="19"/>
        <v/>
      </c>
      <c r="H166" s="76">
        <v>0</v>
      </c>
      <c r="I166" s="12">
        <f t="shared" si="22"/>
        <v>5841.4006177607998</v>
      </c>
      <c r="J166" s="13" t="str">
        <f t="shared" si="23"/>
        <v/>
      </c>
      <c r="K166" s="63" t="s">
        <v>231</v>
      </c>
      <c r="L166" s="113" t="s">
        <v>232</v>
      </c>
      <c r="M166" s="118"/>
      <c r="N166" s="118"/>
      <c r="O166" s="118"/>
      <c r="P166" s="118"/>
      <c r="Q166" s="118"/>
      <c r="R166" s="118"/>
      <c r="S166" s="118"/>
      <c r="T166" s="118"/>
    </row>
    <row r="167" spans="1:20" ht="15.6">
      <c r="A167" s="26" t="str">
        <v>X181</v>
      </c>
      <c r="B167" s="27" t="str">
        <v>NY</v>
      </c>
      <c r="C167" s="27" t="str">
        <f>Sites[[#This Row],[SOL'#]]</f>
        <v>SOL-10428</v>
      </c>
      <c r="D167" s="75">
        <v>4382.1068310000001</v>
      </c>
      <c r="E167" s="14">
        <v>0</v>
      </c>
      <c r="F167" s="14">
        <f t="shared" si="18"/>
        <v>4382.1068310000001</v>
      </c>
      <c r="G167" s="15" t="str">
        <f t="shared" si="19"/>
        <v/>
      </c>
      <c r="H167" s="78">
        <v>0</v>
      </c>
      <c r="I167" s="16">
        <f t="shared" si="22"/>
        <v>4382.1068310000001</v>
      </c>
      <c r="J167" s="15" t="str">
        <f t="shared" si="23"/>
        <v/>
      </c>
      <c r="K167" s="56" t="s">
        <v>233</v>
      </c>
      <c r="L167" s="117" t="s">
        <v>234</v>
      </c>
      <c r="M167" s="118"/>
      <c r="N167" s="118"/>
      <c r="O167" s="118"/>
      <c r="P167" s="118"/>
      <c r="Q167" s="118"/>
      <c r="R167" s="118"/>
      <c r="S167" s="118"/>
      <c r="T167" s="118"/>
    </row>
    <row r="168" spans="1:20" ht="15.6">
      <c r="A168" s="24" t="str">
        <v>X415</v>
      </c>
      <c r="B168" s="25" t="str">
        <v>NY</v>
      </c>
      <c r="C168" s="25" t="str">
        <f>Sites[[#This Row],[SOL'#]]</f>
        <v>SOL-10429</v>
      </c>
      <c r="D168" s="60">
        <v>7232.0394130000004</v>
      </c>
      <c r="E168" s="10">
        <v>0</v>
      </c>
      <c r="F168" s="10">
        <f t="shared" si="18"/>
        <v>7232.0394130000004</v>
      </c>
      <c r="G168" s="11" t="str">
        <f t="shared" si="19"/>
        <v/>
      </c>
      <c r="H168" s="76">
        <v>0</v>
      </c>
      <c r="I168" s="12">
        <f t="shared" si="22"/>
        <v>7232.0394130000004</v>
      </c>
      <c r="J168" s="13" t="str">
        <f t="shared" si="23"/>
        <v/>
      </c>
      <c r="K168" s="63" t="s">
        <v>235</v>
      </c>
      <c r="L168" s="113" t="s">
        <v>236</v>
      </c>
      <c r="M168" s="118"/>
      <c r="N168" s="118"/>
      <c r="O168" s="118"/>
      <c r="P168" s="118"/>
      <c r="Q168" s="118"/>
      <c r="R168" s="118"/>
      <c r="S168" s="118"/>
      <c r="T168" s="118"/>
    </row>
    <row r="169" spans="1:20" ht="15.6">
      <c r="A169" s="26" t="str">
        <v>K198</v>
      </c>
      <c r="B169" s="27" t="str">
        <v>NY</v>
      </c>
      <c r="C169" s="27" t="str">
        <f>Sites[[#This Row],[SOL'#]]</f>
        <v>SOL-10930</v>
      </c>
      <c r="D169" s="75">
        <v>5586.1181933593798</v>
      </c>
      <c r="E169" s="14">
        <v>0</v>
      </c>
      <c r="F169" s="14">
        <f t="shared" si="18"/>
        <v>5586.1181933593798</v>
      </c>
      <c r="G169" s="15" t="str">
        <f t="shared" si="19"/>
        <v/>
      </c>
      <c r="H169" s="78">
        <v>0</v>
      </c>
      <c r="I169" s="16">
        <f t="shared" si="22"/>
        <v>5586.1181933593798</v>
      </c>
      <c r="J169" s="15" t="str">
        <f t="shared" si="23"/>
        <v/>
      </c>
      <c r="K169" s="56" t="s">
        <v>237</v>
      </c>
      <c r="L169" s="117" t="s">
        <v>238</v>
      </c>
      <c r="M169" s="118"/>
      <c r="N169" s="118"/>
      <c r="O169" s="118"/>
      <c r="P169" s="118"/>
      <c r="Q169" s="118"/>
      <c r="R169" s="118"/>
      <c r="S169" s="118"/>
      <c r="T169" s="118"/>
    </row>
    <row r="170" spans="1:20" ht="15.6">
      <c r="A170" s="24" t="str">
        <v>K203</v>
      </c>
      <c r="B170" s="25" t="str">
        <v>NY</v>
      </c>
      <c r="C170" s="25" t="str">
        <f>Sites[[#This Row],[SOL'#]]</f>
        <v>SOL-11190</v>
      </c>
      <c r="D170" s="60"/>
      <c r="E170" s="10"/>
      <c r="F170" s="10" t="str">
        <f t="shared" si="18"/>
        <v/>
      </c>
      <c r="G170" s="11" t="str">
        <f t="shared" si="19"/>
        <v/>
      </c>
      <c r="H170" s="76"/>
      <c r="I170" s="12" t="str">
        <f t="shared" si="22"/>
        <v/>
      </c>
      <c r="J170" s="13" t="str">
        <f t="shared" si="23"/>
        <v/>
      </c>
      <c r="K170" s="63"/>
      <c r="L170" s="59"/>
      <c r="M170" s="118"/>
      <c r="N170" s="118"/>
      <c r="O170" s="118"/>
      <c r="P170" s="118"/>
      <c r="Q170" s="118"/>
      <c r="R170" s="118"/>
      <c r="S170" s="118"/>
      <c r="T170" s="118"/>
    </row>
    <row r="171" spans="1:20" ht="15.6">
      <c r="A171" s="26" t="str">
        <v>K213</v>
      </c>
      <c r="B171" s="27" t="str">
        <v>NY</v>
      </c>
      <c r="C171" s="27" t="str">
        <f>Sites[[#This Row],[SOL'#]]</f>
        <v>SOL-11191</v>
      </c>
      <c r="D171" s="75"/>
      <c r="E171" s="14"/>
      <c r="F171" s="14" t="str">
        <f t="shared" si="18"/>
        <v/>
      </c>
      <c r="G171" s="15" t="str">
        <f t="shared" si="19"/>
        <v/>
      </c>
      <c r="H171" s="78"/>
      <c r="I171" s="16" t="str">
        <f t="shared" si="22"/>
        <v/>
      </c>
      <c r="J171" s="15" t="str">
        <f t="shared" si="23"/>
        <v/>
      </c>
      <c r="K171" s="57"/>
      <c r="L171" s="86"/>
      <c r="M171" s="118"/>
      <c r="N171" s="118"/>
      <c r="O171" s="118"/>
      <c r="P171" s="118"/>
      <c r="Q171" s="118"/>
      <c r="R171" s="118"/>
      <c r="S171" s="118"/>
      <c r="T171" s="118"/>
    </row>
    <row r="172" spans="1:20" ht="15.6">
      <c r="A172" s="24" t="str">
        <v>K217</v>
      </c>
      <c r="B172" s="25" t="str">
        <v>NY</v>
      </c>
      <c r="C172" s="25" t="str">
        <f>Sites[[#This Row],[SOL'#]]</f>
        <v>SOL-10933</v>
      </c>
      <c r="D172" s="60">
        <v>3763.5269082227501</v>
      </c>
      <c r="E172" s="10">
        <v>0</v>
      </c>
      <c r="F172" s="10">
        <f t="shared" si="18"/>
        <v>3763.5269082227501</v>
      </c>
      <c r="G172" s="11" t="str">
        <f t="shared" si="19"/>
        <v/>
      </c>
      <c r="H172" s="76">
        <v>0</v>
      </c>
      <c r="I172" s="12">
        <f t="shared" si="22"/>
        <v>3763.5269082227501</v>
      </c>
      <c r="J172" s="13" t="str">
        <f t="shared" si="23"/>
        <v/>
      </c>
      <c r="K172" s="63" t="s">
        <v>237</v>
      </c>
      <c r="L172" s="113" t="s">
        <v>239</v>
      </c>
      <c r="M172" s="118"/>
      <c r="N172" s="118"/>
      <c r="O172" s="118"/>
      <c r="P172" s="118"/>
      <c r="Q172" s="118"/>
      <c r="R172" s="118"/>
      <c r="S172" s="118"/>
      <c r="T172" s="118"/>
    </row>
    <row r="173" spans="1:20" ht="15.6">
      <c r="A173" s="26" t="str">
        <v>K307</v>
      </c>
      <c r="B173" s="27" t="str">
        <v>NY</v>
      </c>
      <c r="C173" s="27" t="str">
        <f>Sites[[#This Row],[SOL'#]]</f>
        <v>SOL-10876</v>
      </c>
      <c r="D173" s="75">
        <v>6600.8426369999997</v>
      </c>
      <c r="E173" s="14">
        <v>0</v>
      </c>
      <c r="F173" s="14">
        <f t="shared" si="18"/>
        <v>6600.8426369999997</v>
      </c>
      <c r="G173" s="15" t="str">
        <f t="shared" si="19"/>
        <v/>
      </c>
      <c r="H173" s="78">
        <v>0</v>
      </c>
      <c r="I173" s="16">
        <f t="shared" si="22"/>
        <v>6600.8426369999997</v>
      </c>
      <c r="J173" s="15" t="str">
        <f t="shared" si="23"/>
        <v/>
      </c>
      <c r="K173" s="56"/>
      <c r="L173" s="84"/>
      <c r="M173" s="118"/>
      <c r="N173" s="118"/>
      <c r="O173" s="118"/>
      <c r="P173" s="118"/>
      <c r="Q173" s="118"/>
      <c r="R173" s="118"/>
      <c r="S173" s="118"/>
      <c r="T173" s="118"/>
    </row>
    <row r="174" spans="1:20" ht="15.6">
      <c r="A174" s="24" t="str">
        <v>K610</v>
      </c>
      <c r="B174" s="25" t="str">
        <v>NY</v>
      </c>
      <c r="C174" s="25" t="str">
        <f>Sites[[#This Row],[SOL'#]]</f>
        <v>SOL-11158</v>
      </c>
      <c r="D174" s="60"/>
      <c r="E174" s="10"/>
      <c r="F174" s="10" t="str">
        <f t="shared" si="18"/>
        <v/>
      </c>
      <c r="G174" s="11" t="str">
        <f t="shared" si="19"/>
        <v/>
      </c>
      <c r="H174" s="76"/>
      <c r="I174" s="12" t="str">
        <f t="shared" si="22"/>
        <v/>
      </c>
      <c r="J174" s="13" t="str">
        <f t="shared" si="23"/>
        <v/>
      </c>
      <c r="K174" s="63"/>
      <c r="L174" s="59"/>
      <c r="M174" s="118"/>
      <c r="N174" s="118"/>
      <c r="O174" s="118"/>
      <c r="P174" s="118"/>
      <c r="Q174" s="118"/>
      <c r="R174" s="118"/>
      <c r="S174" s="118"/>
      <c r="T174" s="118"/>
    </row>
    <row r="175" spans="1:20" ht="15.6">
      <c r="A175" s="26" t="str">
        <v>M025</v>
      </c>
      <c r="B175" s="27" t="str">
        <v>NY</v>
      </c>
      <c r="C175" s="27" t="str">
        <f>Sites[[#This Row],[SOL'#]]</f>
        <v>SOL-10392</v>
      </c>
      <c r="D175" s="75">
        <v>6835.8961179999997</v>
      </c>
      <c r="E175" s="14">
        <v>0</v>
      </c>
      <c r="F175" s="14">
        <f t="shared" si="18"/>
        <v>6835.8961179999997</v>
      </c>
      <c r="G175" s="15" t="str">
        <f t="shared" si="19"/>
        <v/>
      </c>
      <c r="H175" s="78">
        <v>0</v>
      </c>
      <c r="I175" s="16">
        <f t="shared" si="22"/>
        <v>6835.8961179999997</v>
      </c>
      <c r="J175" s="15" t="str">
        <f t="shared" si="23"/>
        <v/>
      </c>
      <c r="K175" s="56" t="s">
        <v>237</v>
      </c>
      <c r="L175" s="117" t="s">
        <v>240</v>
      </c>
      <c r="M175" s="118"/>
      <c r="N175" s="118"/>
      <c r="O175" s="118"/>
      <c r="P175" s="118"/>
      <c r="Q175" s="118"/>
      <c r="R175" s="118"/>
      <c r="S175" s="118"/>
      <c r="T175" s="118"/>
    </row>
    <row r="176" spans="1:20" ht="15.6">
      <c r="A176" s="24" t="str">
        <v>M028</v>
      </c>
      <c r="B176" s="25" t="str">
        <v>NY</v>
      </c>
      <c r="C176" s="25" t="str">
        <f>Sites[[#This Row],[SOL'#]]</f>
        <v>SOL-10381</v>
      </c>
      <c r="D176" s="60">
        <v>2615.2417190000001</v>
      </c>
      <c r="E176" s="10">
        <v>0</v>
      </c>
      <c r="F176" s="10">
        <f t="shared" si="18"/>
        <v>2615.2417190000001</v>
      </c>
      <c r="G176" s="11" t="str">
        <f t="shared" si="19"/>
        <v/>
      </c>
      <c r="H176" s="76">
        <v>0</v>
      </c>
      <c r="I176" s="12">
        <f t="shared" si="22"/>
        <v>2615.2417190000001</v>
      </c>
      <c r="J176" s="13" t="str">
        <f t="shared" si="23"/>
        <v/>
      </c>
      <c r="K176" s="63" t="s">
        <v>241</v>
      </c>
      <c r="L176" s="113" t="s">
        <v>242</v>
      </c>
      <c r="M176" s="118"/>
      <c r="N176" s="118"/>
      <c r="O176" s="118"/>
      <c r="P176" s="118"/>
      <c r="Q176" s="118"/>
      <c r="R176" s="118"/>
      <c r="S176" s="118"/>
      <c r="T176" s="118"/>
    </row>
    <row r="177" spans="1:20" ht="15.6">
      <c r="A177" s="26" t="str">
        <v>Q030</v>
      </c>
      <c r="B177" s="27" t="str">
        <v>NY</v>
      </c>
      <c r="C177" s="27" t="str">
        <f>Sites[[#This Row],[SOL'#]]</f>
        <v>SOL-10878</v>
      </c>
      <c r="D177" s="75">
        <v>8979.27</v>
      </c>
      <c r="E177" s="14">
        <v>0</v>
      </c>
      <c r="F177" s="14">
        <f t="shared" si="18"/>
        <v>8979.27</v>
      </c>
      <c r="G177" s="15" t="str">
        <f t="shared" si="19"/>
        <v/>
      </c>
      <c r="H177" s="78">
        <v>0</v>
      </c>
      <c r="I177" s="16">
        <f t="shared" si="22"/>
        <v>8979.27</v>
      </c>
      <c r="J177" s="15" t="str">
        <f t="shared" si="23"/>
        <v/>
      </c>
      <c r="K177" s="56"/>
      <c r="L177" s="84"/>
      <c r="M177" s="118"/>
      <c r="N177" s="118"/>
      <c r="O177" s="118"/>
      <c r="P177" s="118"/>
      <c r="Q177" s="118"/>
      <c r="R177" s="118"/>
      <c r="S177" s="118"/>
      <c r="T177" s="118"/>
    </row>
    <row r="178" spans="1:20" ht="15.6">
      <c r="A178" s="24" t="str">
        <v>Q130</v>
      </c>
      <c r="B178" s="25" t="str">
        <v>NY</v>
      </c>
      <c r="C178" s="25" t="str">
        <f>Sites[[#This Row],[SOL'#]]</f>
        <v>SOL-10877</v>
      </c>
      <c r="D178" s="60">
        <v>3425.5079999999998</v>
      </c>
      <c r="E178" s="10">
        <v>0</v>
      </c>
      <c r="F178" s="10">
        <f t="shared" si="18"/>
        <v>3425.5079999999998</v>
      </c>
      <c r="G178" s="11" t="str">
        <f t="shared" si="19"/>
        <v/>
      </c>
      <c r="H178" s="76">
        <v>0</v>
      </c>
      <c r="I178" s="12">
        <f t="shared" si="22"/>
        <v>3425.5079999999998</v>
      </c>
      <c r="J178" s="13" t="str">
        <f t="shared" si="23"/>
        <v/>
      </c>
      <c r="K178" s="63" t="s">
        <v>243</v>
      </c>
      <c r="L178" s="113" t="s">
        <v>244</v>
      </c>
      <c r="M178" s="118"/>
      <c r="N178" s="118"/>
      <c r="O178" s="118"/>
      <c r="P178" s="118"/>
      <c r="Q178" s="118"/>
      <c r="R178" s="118"/>
      <c r="S178" s="118"/>
      <c r="T178" s="118"/>
    </row>
    <row r="179" spans="1:20" ht="15.6">
      <c r="A179" s="26" t="str">
        <v>Q196</v>
      </c>
      <c r="B179" s="27" t="str">
        <v>NY</v>
      </c>
      <c r="C179" s="27" t="str">
        <f>Sites[[#This Row],[SOL'#]]</f>
        <v>SOL-10879</v>
      </c>
      <c r="D179" s="75">
        <v>3235.96</v>
      </c>
      <c r="E179" s="14">
        <v>0</v>
      </c>
      <c r="F179" s="14">
        <f t="shared" si="18"/>
        <v>3235.96</v>
      </c>
      <c r="G179" s="15" t="str">
        <f t="shared" si="19"/>
        <v/>
      </c>
      <c r="H179" s="78"/>
      <c r="I179" s="16" t="str">
        <f t="shared" si="22"/>
        <v/>
      </c>
      <c r="J179" s="15" t="str">
        <f t="shared" si="23"/>
        <v/>
      </c>
      <c r="K179" s="63" t="s">
        <v>243</v>
      </c>
      <c r="L179" s="117" t="s">
        <v>245</v>
      </c>
      <c r="M179" s="118"/>
      <c r="N179" s="118"/>
      <c r="O179" s="118"/>
      <c r="P179" s="118"/>
      <c r="Q179" s="118"/>
      <c r="R179" s="118"/>
      <c r="S179" s="118"/>
      <c r="T179" s="118"/>
    </row>
    <row r="180" spans="1:20" ht="15.6">
      <c r="A180" s="24" t="str">
        <v>Q220</v>
      </c>
      <c r="B180" s="25" t="str">
        <v>NY</v>
      </c>
      <c r="C180" s="25" t="str">
        <f>Sites[[#This Row],[SOL'#]]</f>
        <v>SOL-10873</v>
      </c>
      <c r="D180" s="60">
        <v>6469.201</v>
      </c>
      <c r="E180" s="10">
        <v>0</v>
      </c>
      <c r="F180" s="10">
        <f t="shared" si="18"/>
        <v>6469.201</v>
      </c>
      <c r="G180" s="11" t="str">
        <f t="shared" si="19"/>
        <v/>
      </c>
      <c r="H180" s="76"/>
      <c r="I180" s="12" t="str">
        <f t="shared" si="22"/>
        <v/>
      </c>
      <c r="J180" s="13" t="str">
        <f t="shared" si="23"/>
        <v/>
      </c>
      <c r="K180" s="63" t="s">
        <v>243</v>
      </c>
      <c r="L180" s="113" t="s">
        <v>246</v>
      </c>
      <c r="M180" s="118"/>
      <c r="N180" s="118"/>
      <c r="O180" s="118"/>
      <c r="P180" s="118"/>
      <c r="Q180" s="118"/>
      <c r="R180" s="118"/>
      <c r="S180" s="118"/>
      <c r="T180" s="118"/>
    </row>
    <row r="181" spans="1:20" ht="15.6">
      <c r="A181" s="26" t="str">
        <v>Q205</v>
      </c>
      <c r="B181" s="27" t="str">
        <v>NY</v>
      </c>
      <c r="C181" s="27" t="str">
        <f>Sites[[#This Row],[SOL'#]]</f>
        <v>SOL-10922</v>
      </c>
      <c r="D181" s="75"/>
      <c r="E181" s="14"/>
      <c r="F181" s="14" t="str">
        <f t="shared" si="18"/>
        <v/>
      </c>
      <c r="G181" s="15" t="str">
        <f t="shared" si="19"/>
        <v/>
      </c>
      <c r="H181" s="78"/>
      <c r="I181" s="16" t="str">
        <f t="shared" si="22"/>
        <v/>
      </c>
      <c r="J181" s="15" t="str">
        <f t="shared" si="23"/>
        <v/>
      </c>
      <c r="K181" s="56"/>
      <c r="L181" s="84"/>
      <c r="M181" s="118"/>
      <c r="N181" s="118"/>
      <c r="O181" s="118"/>
      <c r="P181" s="118"/>
      <c r="Q181" s="118"/>
      <c r="R181" s="118"/>
      <c r="S181" s="118"/>
      <c r="T181" s="118"/>
    </row>
    <row r="182" spans="1:20" ht="28.9">
      <c r="A182" s="24" t="str">
        <v>Q400</v>
      </c>
      <c r="B182" s="25" t="str">
        <v>NY</v>
      </c>
      <c r="C182" s="25" t="str">
        <f>Sites[[#This Row],[SOL'#]]</f>
        <v>SOL-10871</v>
      </c>
      <c r="D182" s="60">
        <v>8851.6523440000001</v>
      </c>
      <c r="E182" s="10">
        <v>0</v>
      </c>
      <c r="F182" s="10">
        <f t="shared" si="18"/>
        <v>8851.6523440000001</v>
      </c>
      <c r="G182" s="11" t="str">
        <f t="shared" si="19"/>
        <v/>
      </c>
      <c r="H182" s="76">
        <v>0</v>
      </c>
      <c r="I182" s="12">
        <f t="shared" si="22"/>
        <v>8851.6523440000001</v>
      </c>
      <c r="J182" s="13" t="str">
        <f t="shared" si="23"/>
        <v/>
      </c>
      <c r="K182" s="63" t="s">
        <v>247</v>
      </c>
      <c r="L182" s="113" t="s">
        <v>248</v>
      </c>
      <c r="M182" s="117" t="s">
        <v>249</v>
      </c>
      <c r="N182" s="118"/>
      <c r="O182" s="118"/>
      <c r="P182" s="118"/>
      <c r="Q182" s="118"/>
      <c r="R182" s="118"/>
      <c r="S182" s="118"/>
      <c r="T182" s="118"/>
    </row>
    <row r="183" spans="1:20" ht="15.6">
      <c r="A183" s="26" t="str">
        <v>R003</v>
      </c>
      <c r="B183" s="27" t="str">
        <v>NY</v>
      </c>
      <c r="C183" s="27" t="str">
        <f>Sites[[#This Row],[SOL'#]]</f>
        <v>SOL-10416</v>
      </c>
      <c r="D183" s="75"/>
      <c r="E183" s="14"/>
      <c r="F183" s="14" t="str">
        <f t="shared" si="18"/>
        <v/>
      </c>
      <c r="G183" s="15" t="str">
        <f t="shared" si="19"/>
        <v/>
      </c>
      <c r="H183" s="78"/>
      <c r="I183" s="16" t="str">
        <f t="shared" si="22"/>
        <v/>
      </c>
      <c r="J183" s="15" t="str">
        <f t="shared" si="23"/>
        <v/>
      </c>
      <c r="K183" s="56" t="s">
        <v>250</v>
      </c>
      <c r="L183" s="117" t="s">
        <v>251</v>
      </c>
      <c r="M183" s="118"/>
      <c r="N183" s="118"/>
      <c r="O183" s="118"/>
      <c r="P183" s="118"/>
      <c r="Q183" s="118"/>
      <c r="R183" s="118"/>
      <c r="S183" s="118"/>
      <c r="T183" s="118"/>
    </row>
    <row r="184" spans="1:20" ht="15.6">
      <c r="A184" s="24" t="str">
        <v>R007</v>
      </c>
      <c r="B184" s="25" t="str">
        <v>NY</v>
      </c>
      <c r="C184" s="25" t="str">
        <f>Sites[[#This Row],[SOL'#]]</f>
        <v>SOL-10417</v>
      </c>
      <c r="D184" s="60">
        <v>14021.9</v>
      </c>
      <c r="E184" s="10">
        <v>0</v>
      </c>
      <c r="F184" s="10">
        <f t="shared" si="18"/>
        <v>14021.9</v>
      </c>
      <c r="G184" s="11" t="str">
        <f t="shared" si="19"/>
        <v/>
      </c>
      <c r="H184" s="76">
        <v>0</v>
      </c>
      <c r="I184" s="12">
        <f t="shared" si="22"/>
        <v>14021.9</v>
      </c>
      <c r="J184" s="13" t="str">
        <f t="shared" si="23"/>
        <v/>
      </c>
      <c r="K184" s="63"/>
      <c r="L184" s="59"/>
      <c r="M184" s="118"/>
      <c r="N184" s="118"/>
      <c r="O184" s="118"/>
      <c r="P184" s="118"/>
      <c r="Q184" s="118"/>
      <c r="R184" s="118"/>
      <c r="S184" s="118"/>
      <c r="T184" s="118"/>
    </row>
    <row r="185" spans="1:20" ht="15.6">
      <c r="A185" s="26" t="str">
        <v>BK16</v>
      </c>
      <c r="B185" s="27" t="str">
        <v>NY</v>
      </c>
      <c r="C185" s="27" t="str">
        <f>Sites[[#This Row],[SOL'#]]</f>
        <v>SOL-11093</v>
      </c>
      <c r="D185" s="75">
        <v>14917.816421408599</v>
      </c>
      <c r="E185" s="14">
        <v>0</v>
      </c>
      <c r="F185" s="14">
        <f t="shared" si="18"/>
        <v>14917.816421408599</v>
      </c>
      <c r="G185" s="15" t="str">
        <f t="shared" si="19"/>
        <v/>
      </c>
      <c r="H185" s="78">
        <v>0</v>
      </c>
      <c r="I185" s="16">
        <f t="shared" si="22"/>
        <v>14917.816421408599</v>
      </c>
      <c r="J185" s="15" t="str">
        <f t="shared" si="23"/>
        <v/>
      </c>
      <c r="K185" s="56" t="s">
        <v>237</v>
      </c>
      <c r="L185" s="117" t="s">
        <v>252</v>
      </c>
      <c r="M185" s="118"/>
      <c r="N185" s="118"/>
      <c r="O185" s="118"/>
      <c r="P185" s="118"/>
      <c r="Q185" s="118"/>
      <c r="R185" s="118"/>
      <c r="S185" s="118"/>
      <c r="T185" s="118"/>
    </row>
    <row r="186" spans="1:20" ht="15.6">
      <c r="A186" s="24" t="str">
        <v>Trenton - Trenton East</v>
      </c>
      <c r="B186" s="25" t="str">
        <v>IL</v>
      </c>
      <c r="C186" s="25" t="str">
        <f>Sites[[#This Row],[SOL'#]]</f>
        <v>SOL-11060</v>
      </c>
      <c r="D186" s="60"/>
      <c r="E186" s="10"/>
      <c r="F186" s="10" t="str">
        <f t="shared" ref="F186:F195" si="24">IF(AND(ISNUMBER(D186),ISNUMBER(E186)), D186-E186, "")</f>
        <v/>
      </c>
      <c r="G186" s="11" t="str">
        <f t="shared" ref="G186:G195" si="25">IFERROR(F186/E186, "")</f>
        <v/>
      </c>
      <c r="H186" s="76"/>
      <c r="I186" s="12" t="str">
        <f t="shared" si="22"/>
        <v/>
      </c>
      <c r="J186" s="13" t="str">
        <f t="shared" si="23"/>
        <v/>
      </c>
      <c r="K186" s="63"/>
      <c r="L186" s="59"/>
      <c r="M186" s="118"/>
      <c r="N186" s="118"/>
      <c r="O186" s="118"/>
      <c r="P186" s="118"/>
      <c r="Q186" s="118"/>
      <c r="R186" s="118"/>
      <c r="S186" s="118"/>
      <c r="T186" s="118"/>
    </row>
    <row r="187" spans="1:20" ht="15.6">
      <c r="A187" s="26" t="str">
        <v>Trenton - Trenton West</v>
      </c>
      <c r="B187" s="27" t="str">
        <v>IL</v>
      </c>
      <c r="C187" s="27" t="str">
        <f>Sites[[#This Row],[SOL'#]]</f>
        <v>SOL-11061</v>
      </c>
      <c r="D187" s="75"/>
      <c r="E187" s="14"/>
      <c r="F187" s="14" t="str">
        <f t="shared" si="24"/>
        <v/>
      </c>
      <c r="G187" s="15" t="str">
        <f t="shared" si="25"/>
        <v/>
      </c>
      <c r="H187" s="78"/>
      <c r="I187" s="16" t="str">
        <f t="shared" si="22"/>
        <v/>
      </c>
      <c r="J187" s="15" t="str">
        <f t="shared" si="23"/>
        <v/>
      </c>
      <c r="K187" s="56"/>
      <c r="L187" s="117"/>
      <c r="M187" s="118"/>
      <c r="N187" s="118"/>
      <c r="O187" s="118"/>
      <c r="P187" s="118"/>
      <c r="Q187" s="118"/>
      <c r="R187" s="118"/>
      <c r="S187" s="118"/>
      <c r="T187" s="118"/>
    </row>
    <row r="188" spans="1:20" ht="15.6">
      <c r="A188" s="24" t="str">
        <v>Dakota - Dakota Solar 1</v>
      </c>
      <c r="B188" s="25" t="str">
        <v>IL</v>
      </c>
      <c r="C188" s="25" t="str">
        <f>Sites[[#This Row],[SOL'#]]</f>
        <v>SOL-11113</v>
      </c>
      <c r="D188" s="60"/>
      <c r="E188" s="10"/>
      <c r="F188" s="10" t="str">
        <f t="shared" si="24"/>
        <v/>
      </c>
      <c r="G188" s="11" t="str">
        <f t="shared" si="25"/>
        <v/>
      </c>
      <c r="H188" s="76"/>
      <c r="I188" s="12" t="str">
        <f t="shared" si="22"/>
        <v/>
      </c>
      <c r="J188" s="13" t="str">
        <f t="shared" si="23"/>
        <v/>
      </c>
      <c r="K188" s="63"/>
      <c r="L188" s="59"/>
      <c r="M188" s="118"/>
      <c r="N188" s="118"/>
      <c r="O188" s="118"/>
      <c r="P188" s="118"/>
      <c r="Q188" s="118"/>
      <c r="R188" s="118"/>
      <c r="S188" s="118"/>
      <c r="T188" s="118"/>
    </row>
    <row r="189" spans="1:20" ht="15.75">
      <c r="A189" s="26" t="str">
        <v>X018</v>
      </c>
      <c r="B189" s="27" t="str">
        <v>NY</v>
      </c>
      <c r="C189" s="27" t="str">
        <f>Sites[[#This Row],[SOL'#]]</f>
        <v>SOL-10418</v>
      </c>
      <c r="D189" s="75">
        <v>6974.78</v>
      </c>
      <c r="E189" s="14">
        <v>9491.5249999999996</v>
      </c>
      <c r="F189" s="14">
        <f t="shared" si="24"/>
        <v>-2516.7449999999999</v>
      </c>
      <c r="G189" s="15">
        <f t="shared" si="25"/>
        <v>-0.2651570743373694</v>
      </c>
      <c r="H189" s="78">
        <v>0</v>
      </c>
      <c r="I189" s="16">
        <f t="shared" si="22"/>
        <v>6974.78</v>
      </c>
      <c r="J189" s="15" t="str">
        <f t="shared" si="23"/>
        <v/>
      </c>
      <c r="K189" s="56" t="s">
        <v>50</v>
      </c>
      <c r="L189" s="117"/>
      <c r="M189" s="118"/>
      <c r="N189" s="118"/>
      <c r="O189" s="118"/>
      <c r="P189" s="118"/>
      <c r="Q189" s="118"/>
      <c r="R189" s="118"/>
      <c r="S189" s="118"/>
      <c r="T189" s="118"/>
    </row>
    <row r="190" spans="1:20" ht="15.75">
      <c r="A190" s="24" t="str">
        <v>Janiak Solar</v>
      </c>
      <c r="B190" s="25" t="str">
        <v>NY</v>
      </c>
      <c r="C190" s="25" t="str">
        <f>Sites[[#This Row],[SOL'#]]</f>
        <v>SOL-10898</v>
      </c>
      <c r="D190" s="60">
        <v>171787.774</v>
      </c>
      <c r="E190" s="10">
        <v>248610.101</v>
      </c>
      <c r="F190" s="10">
        <f t="shared" si="24"/>
        <v>-76822.32699999999</v>
      </c>
      <c r="G190" s="11">
        <f t="shared" si="25"/>
        <v>-0.30900726354638336</v>
      </c>
      <c r="H190" s="76">
        <v>209672.823</v>
      </c>
      <c r="I190" s="12">
        <f t="shared" si="22"/>
        <v>-37885.048999999999</v>
      </c>
      <c r="J190" s="13">
        <f t="shared" si="23"/>
        <v>-0.18068650222732965</v>
      </c>
      <c r="K190" s="59" t="s">
        <v>50</v>
      </c>
      <c r="L190" s="59"/>
    </row>
    <row r="191" spans="1:20" ht="28.9">
      <c r="A191" s="26" t="str">
        <v>County Route 11B</v>
      </c>
      <c r="B191" s="27" t="str">
        <v>NY</v>
      </c>
      <c r="C191" s="27" t="str">
        <f>Sites[[#This Row],[SOL'#]]</f>
        <v>SOL-10983</v>
      </c>
      <c r="D191" s="75">
        <v>314905</v>
      </c>
      <c r="E191" s="14">
        <v>0</v>
      </c>
      <c r="F191" s="14">
        <f t="shared" si="24"/>
        <v>314905</v>
      </c>
      <c r="G191" s="15" t="str">
        <f t="shared" si="25"/>
        <v/>
      </c>
      <c r="H191" s="78">
        <v>0</v>
      </c>
      <c r="I191" s="16">
        <f t="shared" si="22"/>
        <v>314905</v>
      </c>
      <c r="J191" s="15" t="str">
        <f t="shared" si="23"/>
        <v/>
      </c>
      <c r="K191" s="144" t="s">
        <v>253</v>
      </c>
      <c r="L191" s="116" t="s">
        <v>254</v>
      </c>
    </row>
    <row r="192" spans="1:20" ht="28.9">
      <c r="A192" s="24" t="str">
        <v>Barone</v>
      </c>
      <c r="B192" s="25" t="str">
        <v>NY</v>
      </c>
      <c r="C192" s="25" t="str">
        <f>Sites[[#This Row],[SOL'#]]</f>
        <v>SOL-11034</v>
      </c>
      <c r="D192" s="60">
        <v>246714</v>
      </c>
      <c r="E192" s="10">
        <v>0</v>
      </c>
      <c r="F192" s="10">
        <f t="shared" si="24"/>
        <v>246714</v>
      </c>
      <c r="G192" s="11" t="str">
        <f t="shared" si="25"/>
        <v/>
      </c>
      <c r="H192" s="76">
        <v>210690</v>
      </c>
      <c r="I192" s="12">
        <f t="shared" si="22"/>
        <v>36024</v>
      </c>
      <c r="J192" s="13">
        <f t="shared" si="23"/>
        <v>0.17098106222412074</v>
      </c>
      <c r="K192" s="63" t="s">
        <v>255</v>
      </c>
      <c r="L192" s="113" t="s">
        <v>256</v>
      </c>
      <c r="M192" s="131" t="s">
        <v>257</v>
      </c>
    </row>
    <row r="193" spans="1:20" ht="43.15">
      <c r="A193" s="26" t="str">
        <v>Cedarville</v>
      </c>
      <c r="B193" s="27" t="str">
        <v>IL</v>
      </c>
      <c r="C193" s="27" t="str">
        <f>Sites[[#This Row],[SOL'#]]</f>
        <v>SOL-11069</v>
      </c>
      <c r="D193" s="75">
        <v>192250.1</v>
      </c>
      <c r="E193" s="14">
        <v>230003.1</v>
      </c>
      <c r="F193" s="14">
        <f t="shared" si="24"/>
        <v>-37753</v>
      </c>
      <c r="G193" s="15">
        <f t="shared" si="25"/>
        <v>-0.16414126592206801</v>
      </c>
      <c r="H193" s="78">
        <v>193682.4</v>
      </c>
      <c r="I193" s="16">
        <f t="shared" si="22"/>
        <v>-1432.2999999999884</v>
      </c>
      <c r="J193" s="15">
        <f t="shared" si="23"/>
        <v>-7.395096301987111E-3</v>
      </c>
      <c r="K193" s="56" t="s">
        <v>258</v>
      </c>
      <c r="L193" s="116" t="s">
        <v>259</v>
      </c>
      <c r="M193" s="131" t="s">
        <v>260</v>
      </c>
    </row>
    <row r="194" spans="1:20" ht="28.9">
      <c r="A194" s="24" t="str">
        <v xml:space="preserve"> O'Brien Hill #1</v>
      </c>
      <c r="B194" s="25" t="str">
        <v>NY</v>
      </c>
      <c r="C194" s="25" t="str">
        <f>Sites[[#This Row],[SOL'#]]</f>
        <v>SOL-11098</v>
      </c>
      <c r="D194" s="60">
        <v>286395</v>
      </c>
      <c r="E194" s="10">
        <v>0</v>
      </c>
      <c r="F194" s="10">
        <f t="shared" si="24"/>
        <v>286395</v>
      </c>
      <c r="G194" s="11" t="str">
        <f t="shared" si="25"/>
        <v/>
      </c>
      <c r="H194" s="76">
        <v>0</v>
      </c>
      <c r="I194" s="12">
        <f t="shared" si="22"/>
        <v>286395</v>
      </c>
      <c r="J194" s="13" t="str">
        <f t="shared" si="23"/>
        <v/>
      </c>
      <c r="K194" s="63" t="s">
        <v>261</v>
      </c>
      <c r="L194" s="113" t="s">
        <v>262</v>
      </c>
      <c r="M194" s="131" t="s">
        <v>263</v>
      </c>
    </row>
    <row r="195" spans="1:20" ht="86.45">
      <c r="A195" s="26" t="str">
        <v xml:space="preserve"> O'Brien Hill #2</v>
      </c>
      <c r="B195" s="27" t="str">
        <v>NY</v>
      </c>
      <c r="C195" s="27" t="str">
        <f>Sites[[#This Row],[SOL'#]]</f>
        <v>SOL-11099</v>
      </c>
      <c r="D195" s="75">
        <v>286189</v>
      </c>
      <c r="E195" s="14">
        <v>0</v>
      </c>
      <c r="F195" s="14">
        <f t="shared" si="24"/>
        <v>286189</v>
      </c>
      <c r="G195" s="15" t="str">
        <f t="shared" si="25"/>
        <v/>
      </c>
      <c r="H195" s="78">
        <v>0</v>
      </c>
      <c r="I195" s="16">
        <f t="shared" si="22"/>
        <v>286189</v>
      </c>
      <c r="J195" s="15" t="str">
        <f t="shared" si="23"/>
        <v/>
      </c>
      <c r="K195" s="56" t="s">
        <v>264</v>
      </c>
      <c r="L195" s="116" t="s">
        <v>265</v>
      </c>
      <c r="M195" s="131" t="s">
        <v>266</v>
      </c>
      <c r="N195" s="131" t="s">
        <v>267</v>
      </c>
      <c r="O195" s="131" t="s">
        <v>263</v>
      </c>
    </row>
    <row r="196" spans="1:20" ht="15.6">
      <c r="A196" s="24" t="str">
        <v>Trinity - Freeport</v>
      </c>
      <c r="B196" s="25" t="str">
        <v>IL</v>
      </c>
      <c r="C196" s="25" t="str">
        <f>Sites[[#This Row],[SOL'#]]</f>
        <v>SOL-11057</v>
      </c>
      <c r="D196" s="60"/>
      <c r="E196" s="10"/>
      <c r="F196" s="10"/>
      <c r="G196" s="11"/>
      <c r="H196" s="76"/>
      <c r="I196" s="12"/>
      <c r="J196" s="13"/>
      <c r="K196" s="63"/>
      <c r="L196" s="59"/>
    </row>
    <row r="197" spans="1:20" ht="15.6">
      <c r="A197" s="26" t="str">
        <v>Ransom</v>
      </c>
      <c r="B197" s="27" t="str">
        <v>NY</v>
      </c>
      <c r="C197" s="27" t="str">
        <f>Sites[[#This Row],[SOL'#]]</f>
        <v>SOL-11157</v>
      </c>
      <c r="D197" s="75"/>
      <c r="E197" s="14"/>
      <c r="F197" s="14"/>
      <c r="G197" s="15"/>
      <c r="H197" s="78"/>
      <c r="I197" s="16"/>
      <c r="J197" s="15"/>
      <c r="K197" s="56"/>
      <c r="L197" s="116"/>
    </row>
    <row r="198" spans="1:20" ht="15.6">
      <c r="A198" s="24" t="str">
        <v>Horseheads - Wedge</v>
      </c>
      <c r="B198" s="25" t="str">
        <v>NY</v>
      </c>
      <c r="C198" s="25" t="str">
        <f>Sites[[#This Row],[SOL'#]]</f>
        <v>SOL-11160</v>
      </c>
      <c r="D198" s="60"/>
      <c r="E198" s="10"/>
      <c r="F198" s="10"/>
      <c r="G198" s="11"/>
      <c r="H198" s="76"/>
      <c r="I198" s="12"/>
      <c r="J198" s="13"/>
      <c r="K198" s="63"/>
      <c r="L198" s="59"/>
      <c r="M198" s="24"/>
      <c r="N198" s="25"/>
      <c r="O198" s="25"/>
      <c r="P198" s="60"/>
      <c r="Q198" s="10"/>
      <c r="R198" s="10"/>
      <c r="S198" s="11"/>
      <c r="T198" s="76"/>
    </row>
    <row r="199" spans="1:20" ht="15.6">
      <c r="A199" s="26" t="str">
        <v>Otisville - Shoddy Hollow</v>
      </c>
      <c r="B199" s="27" t="str">
        <v>NY</v>
      </c>
      <c r="C199" s="27" t="str">
        <f>Sites[[#This Row],[SOL'#]]</f>
        <v>SOL-11185</v>
      </c>
      <c r="D199" s="75"/>
      <c r="E199" s="14"/>
      <c r="F199" s="14"/>
      <c r="G199" s="15"/>
      <c r="H199" s="78"/>
      <c r="I199" s="16"/>
      <c r="J199" s="15"/>
      <c r="K199" s="56"/>
      <c r="L199" s="116"/>
      <c r="M199" s="26"/>
      <c r="N199" s="27"/>
      <c r="O199" s="27"/>
      <c r="P199" s="75"/>
      <c r="Q199" s="14"/>
      <c r="R199" s="14"/>
      <c r="S199" s="15"/>
      <c r="T199" s="78"/>
    </row>
    <row r="200" spans="1:20" ht="15.6">
      <c r="A200" s="24" t="str">
        <v>Wellsville - Chenunda Creek</v>
      </c>
      <c r="B200" s="25" t="str">
        <v>NY</v>
      </c>
      <c r="C200" s="25" t="str">
        <f>Sites[[#This Row],[SOL'#]]</f>
        <v>SOL-11187</v>
      </c>
      <c r="D200" s="60"/>
      <c r="E200" s="10"/>
      <c r="F200" s="10"/>
      <c r="G200" s="11"/>
      <c r="H200" s="76"/>
      <c r="I200" s="12"/>
      <c r="J200" s="13"/>
      <c r="K200" s="63"/>
      <c r="L200" s="59"/>
      <c r="M200" s="24"/>
      <c r="N200" s="25"/>
      <c r="O200" s="25"/>
      <c r="P200" s="60"/>
      <c r="Q200" s="10"/>
      <c r="R200" s="10"/>
      <c r="S200" s="11"/>
      <c r="T200" s="76"/>
    </row>
  </sheetData>
  <mergeCells count="4">
    <mergeCell ref="E1:G1"/>
    <mergeCell ref="A1:D1"/>
    <mergeCell ref="H1:J1"/>
    <mergeCell ref="A2:B2"/>
  </mergeCells>
  <phoneticPr fontId="40" type="noConversion"/>
  <conditionalFormatting sqref="G2 J2">
    <cfRule type="cellIs" dxfId="82" priority="18" stopIfTrue="1" operator="lessThanOrEqual">
      <formula>-0.1</formula>
    </cfRule>
    <cfRule type="expression" dxfId="81" priority="19">
      <formula>AND(ISNUMBER(G2), G2&gt;=0.1)</formula>
    </cfRule>
  </conditionalFormatting>
  <conditionalFormatting sqref="G4:G200 J4:J200 S198:S200 V198:V200 AE198:AE200 AH198:AH200">
    <cfRule type="cellIs" dxfId="80" priority="1" stopIfTrue="1" operator="lessThanOrEqual">
      <formula>-0.1</formula>
    </cfRule>
    <cfRule type="expression" dxfId="79" priority="2">
      <formula>AND(ISNUMBER(G4), G4&gt;=0.1)</formula>
    </cfRule>
  </conditionalFormatting>
  <hyperlinks>
    <hyperlink ref="L10" r:id="rId1" display="https://us3.assetplanner.com/service_request?ID=094057" xr:uid="{9E890019-19E1-42F8-8F1C-A69B5EFC8577}"/>
    <hyperlink ref="L11" r:id="rId2" display="https://us3.assetplanner.com/service_request?ID=091355" xr:uid="{CE385AB0-06BA-4CF8-A678-9C9CFD33854D}"/>
    <hyperlink ref="L13" r:id="rId3" display="https://us3.assetplanner.com/service_request?ID=082252" xr:uid="{B6435CD6-FF57-4870-BCD2-7518478146D3}"/>
    <hyperlink ref="M13" r:id="rId4" display="https://us3.assetplanner.com/service_request?ID=092555" xr:uid="{92BA630F-80D6-4D6D-99C9-DC395381D99B}"/>
    <hyperlink ref="N13" r:id="rId5" display="https://us3.assetplanner.com/service_request?ID=091903" xr:uid="{A4BD5BC5-95BC-4F91-BA76-E99EFD52D3F5}"/>
    <hyperlink ref="L14" r:id="rId6" display="https://us3.assetplanner.com/service_request?ID=092556" xr:uid="{3CF0933F-D04F-42F0-BB38-B35643BA085F}"/>
    <hyperlink ref="L15" r:id="rId7" display="https://us3.assetplanner.com/service_request?ID=095708" xr:uid="{F205834C-EA28-41D5-9E2C-5E7790641BFF}"/>
    <hyperlink ref="L16" r:id="rId8" display="https://us3.assetplanner.com/service_request?ID=093028" xr:uid="{4A5D5E5E-3D3A-42B4-B005-92A26A31D954}"/>
    <hyperlink ref="L17" r:id="rId9" display="https://us3.assetplanner.com/service_request?ID=091894" xr:uid="{B493A1A2-9BD6-461A-88BF-A325F7DE7EFC}"/>
    <hyperlink ref="M17" r:id="rId10" display="https://us3.assetplanner.com/service_request?ID=093029" xr:uid="{A472C5D0-C4A0-4252-BE90-D1B9E1EBED47}"/>
    <hyperlink ref="L18" r:id="rId11" display="https://us3.assetplanner.com/service_request?ID=093550" xr:uid="{02CD9A70-BE0C-4833-9C08-FE1DD83113CA}"/>
    <hyperlink ref="L19" r:id="rId12" display="https://us3.assetplanner.com/service_request?ID=093047" xr:uid="{FA2BFDA9-A873-46F5-A46E-3F6CD3C20DAD}"/>
    <hyperlink ref="L20" r:id="rId13" display="https://us3.assetplanner.com/service_request?ID=095619" xr:uid="{AEAFD5D9-1FA6-462C-9EFF-EEE15E1A63FE}"/>
    <hyperlink ref="L25" r:id="rId14" display="https://us3.assetplanner.com/service_request?ID=093291" xr:uid="{D3FC547A-1938-47E5-B0B8-62B79966D2E2}"/>
    <hyperlink ref="L29" r:id="rId15" display="https://us3.assetplanner.com/service_request?ID=093633" xr:uid="{B9FD353F-9224-4F83-BFAF-6575D1ACD8B0}"/>
    <hyperlink ref="L31" r:id="rId16" display="https://us3.assetplanner.com/service_request?ID=086842" xr:uid="{FD1A08EE-96AD-4AE1-8342-BF1593934659}"/>
    <hyperlink ref="M31" r:id="rId17" display="https://us3.assetplanner.com/service_request?ID=093294" xr:uid="{4F77AB07-05C5-44C8-B24F-93EECA0A0EC7}"/>
    <hyperlink ref="L37" r:id="rId18" display="https://us3.assetplanner.com/service_request?ID=093196" xr:uid="{47088777-606A-499F-A49D-80DA1A549998}"/>
    <hyperlink ref="L49" r:id="rId19" display="https://us3.assetplanner.com/service_request?ID=095201" xr:uid="{73A961E1-E1EC-49B7-92A5-D91C53289CF8}"/>
    <hyperlink ref="L52" r:id="rId20" display="https://us3.assetplanner.com/service_request?ID=094206" xr:uid="{F0313766-D685-4870-8AFD-F592D1F46251}"/>
    <hyperlink ref="M52" r:id="rId21" display="https://us3.assetplanner.com/service_request?ID=096202" xr:uid="{48AA792A-63FE-4B72-B537-035E9396FF46}"/>
    <hyperlink ref="L59" r:id="rId22" display="https://us3.assetplanner.com/service_request?ID=096130" xr:uid="{187E4470-A6C6-429A-8D4E-FA02790C4CBA}"/>
    <hyperlink ref="L60" r:id="rId23" display="https://us3.assetplanner.com/service_request?ID=093326" xr:uid="{58384811-ADA1-4705-B8D4-D7DC46106AEF}"/>
    <hyperlink ref="L64" r:id="rId24" display="https://us3.assetplanner.com/service_request?ID=095758" xr:uid="{5FD31C7A-CFDB-4703-9E55-449F92C27535}"/>
    <hyperlink ref="L73" r:id="rId25" display="https://us3.assetplanner.com/service_request?ID=095297" xr:uid="{C8F904A0-AF29-4518-9908-DC7ED350AF2F}"/>
    <hyperlink ref="M73" r:id="rId26" display="https://us3.assetplanner.com/service_request?ID=092042" xr:uid="{2E1327E9-975E-40FD-8DE0-F5BD0E70E324}"/>
    <hyperlink ref="N73" r:id="rId27" display="https://us3.assetplanner.com/service_request?ID=095706" xr:uid="{837AD8ED-478D-4B5F-A0C1-B1CFB970B6A3}"/>
    <hyperlink ref="O73" r:id="rId28" display="https://us3.assetplanner.com/service_request?ID=095899" xr:uid="{ADD5164F-1A8F-4240-8343-66B03207D0D8}"/>
    <hyperlink ref="P73" r:id="rId29" display="https://us3.assetplanner.com/service_request?ID=095707" xr:uid="{5566EF17-4D36-44CD-93B0-D1618747A9E1}"/>
    <hyperlink ref="Q73" r:id="rId30" display="https://us3.assetplanner.com/service_request?ID=095899" xr:uid="{A236D019-64D9-4A18-AD49-FF581C9FC272}"/>
    <hyperlink ref="L76" r:id="rId31" display="https://us3.assetplanner.com/service_request?ID=093285" xr:uid="{7CFF4066-BDF1-435C-B58E-0963FA68446B}"/>
    <hyperlink ref="M76" r:id="rId32" display="https://us3.assetplanner.com/service_request?ID=093470" xr:uid="{06EA6043-BAA6-4FC2-9C34-D54BE4371AB0}"/>
    <hyperlink ref="N76" r:id="rId33" display="https://us3.assetplanner.com/service_request?ID=095395" xr:uid="{7DD60125-C7A4-47A3-BC4B-D9C78FE76EC0}"/>
    <hyperlink ref="O76" r:id="rId34" display="https://us3.assetplanner.com/service_request?ID=095473" xr:uid="{9FEBD8D1-19DB-443C-9C85-A654EC38CC87}"/>
    <hyperlink ref="P76" r:id="rId35" display="https://us3.assetplanner.com/service_request?ID=096164" xr:uid="{B2E66D39-D15E-41B5-B0CD-08A095A1C225}"/>
    <hyperlink ref="L78" r:id="rId36" display="https://us3.assetplanner.com/service_request?ID=095433" xr:uid="{9462C75F-0602-4B61-B02F-C68D95FF9AD0}"/>
    <hyperlink ref="L79" r:id="rId37" display="https://us3.assetplanner.com/service_request?ID=093972" xr:uid="{CF5811F0-8907-446F-AD16-62B26F068D63}"/>
    <hyperlink ref="L80" r:id="rId38" display="https://us3.assetplanner.com/service_request?ID=095885" xr:uid="{7C4FDED6-D091-477B-99CA-D8C2DCFFB16D}"/>
    <hyperlink ref="M80" r:id="rId39" display="https://us3.assetplanner.com/service_request?ID=095919" xr:uid="{C3AC143A-3AC6-48B4-AF6D-A8678A1147B4}"/>
    <hyperlink ref="N80" r:id="rId40" display="https://us3.assetplanner.com/service_request?ID=095976" xr:uid="{DDA3DC22-BE20-4DFB-9FDB-110D643C802A}"/>
    <hyperlink ref="O80" r:id="rId41" display="https://us3.assetplanner.com/service_request?ID=096119" xr:uid="{B768D490-B385-4096-875B-E95199AAA243}"/>
    <hyperlink ref="P80" r:id="rId42" display="https://us3.assetplanner.com/service_request?ID=095645" xr:uid="{DF737316-AF3A-4EDB-A341-3245F02A9D9B}"/>
    <hyperlink ref="L81" r:id="rId43" display="https://us3.assetplanner.com/service_request?ID=095176" xr:uid="{254721B0-C332-47CB-A30F-1B64088F1EF3}"/>
    <hyperlink ref="L82" r:id="rId44" display="https://us3.assetplanner.com/service_request?ID=095483" xr:uid="{D352211A-40C8-4709-B68F-A5D8729A6087}"/>
    <hyperlink ref="L83" r:id="rId45" display="https://us3.assetplanner.com/service_request?ID=093024" xr:uid="{90ABA3A5-3C8E-4F39-9586-BF48CBC194E0}"/>
    <hyperlink ref="M83" r:id="rId46" display="https://us3.assetplanner.com/service_request?ID=095445" xr:uid="{5A0E22C5-CC2E-4F67-A0F5-AC5A396F0E67}"/>
    <hyperlink ref="L86" r:id="rId47" display="https://us3.assetplanner.com/service_request?ID=094278" xr:uid="{6DD839B7-29E0-4705-BD4D-E935773A22AA}"/>
    <hyperlink ref="M86" r:id="rId48" display="https://us3.assetplanner.com/service_request?ID=095604" xr:uid="{DA569BD6-8C5B-4C08-A900-D7AB6E4C7B37}"/>
    <hyperlink ref="N86" r:id="rId49" display="https://us3.assetplanner.com/service_request?ID=095991" xr:uid="{8EB903A6-B713-4CD8-860F-EF697AF71773}"/>
    <hyperlink ref="O86" r:id="rId50" display="https://us3.assetplanner.com/service_request?ID=096045" xr:uid="{9C21FD11-B00B-4B9B-AC8D-AD2925E16BD6}"/>
    <hyperlink ref="P86" r:id="rId51" display="https://us3.assetplanner.com/service_request?ID=095991" xr:uid="{DAF97875-A040-4AED-8935-E21820E51D67}"/>
    <hyperlink ref="L87" r:id="rId52" display="https://us3.assetplanner.com/service_request?ID=096126" xr:uid="{D1F497C9-92D0-4D9F-9676-3797310FA70C}"/>
    <hyperlink ref="L88" r:id="rId53" display="https://us3.assetplanner.com/service_request?ID=092964" xr:uid="{8B2C878C-C341-4D11-B0EF-89E2102D9AF5}"/>
    <hyperlink ref="M88" r:id="rId54" display="https://us3.assetplanner.com/service_request?ID=095253" xr:uid="{F1CBF450-F8E1-49D1-86CB-F83F059F0425}"/>
    <hyperlink ref="L90" r:id="rId55" display="https://us3.assetplanner.com/service_request?ID=095252" xr:uid="{F34ED4E8-DABF-42E0-99EA-02D97DDABA35}"/>
    <hyperlink ref="L91" r:id="rId56" display="https://us3.assetplanner.com/service_request?ID=093436" xr:uid="{BAB1D53D-E39C-4953-83B0-424DF5053619}"/>
    <hyperlink ref="L92" r:id="rId57" display="https://us3.assetplanner.com/service_request?ID=096100" xr:uid="{923E3B70-DCEE-4C9C-98AA-279E9DEAD01C}"/>
    <hyperlink ref="L93" r:id="rId58" display="https://us3.assetplanner.com/service_request?ID=095376" xr:uid="{0470E6E7-2FF9-4F22-9292-1104F9F905E5}"/>
    <hyperlink ref="M93" r:id="rId59" display="https://us3.assetplanner.com/service_request?ID=093375" xr:uid="{5317EE62-815F-4DD3-AA0A-C428609CF226}"/>
    <hyperlink ref="L94" r:id="rId60" display="https://us3.assetplanner.com/service_request?ID=095549" xr:uid="{4DC94617-F4C4-4D7E-9965-9FA0252EEB3A}"/>
    <hyperlink ref="L96" r:id="rId61" display="https://us3.assetplanner.com/service_request?ID=095496" xr:uid="{A5535048-2E9E-43A0-AD1C-99C312B14CDB}"/>
    <hyperlink ref="M96" r:id="rId62" display="https://us3.assetplanner.com/service_request?ID=095852" xr:uid="{013C48EC-6DB3-49ED-BA02-22038F933FDB}"/>
    <hyperlink ref="N96" r:id="rId63" display="https://us3.assetplanner.com/service_request?ID=096056" xr:uid="{93C07185-CE74-4731-B323-3F8E51342DD3}"/>
    <hyperlink ref="L98" r:id="rId64" display="https://us3.assetplanner.com/service_request?ID=095635" xr:uid="{6212380B-067A-42D6-8EF9-28331D0F362A}"/>
    <hyperlink ref="L99" r:id="rId65" display="https://us3.assetplanner.com/service_request?ID=095374" xr:uid="{F25351B3-08D3-42B5-8C02-C2E4102B8607}"/>
    <hyperlink ref="M99" r:id="rId66" display="https://us3.assetplanner.com/service_request?ID=095374" xr:uid="{91D091C4-B8F4-4C0B-8948-88537547D794}"/>
    <hyperlink ref="N99" r:id="rId67" display="https://us3.assetplanner.com/service_request?ID=096112" xr:uid="{75BACF64-E59A-4CE9-98FF-3D323399C01A}"/>
    <hyperlink ref="L100" r:id="rId68" display="https://us3.assetplanner.com/service_request?ID=095375" xr:uid="{A6EBEA0D-D06C-4721-9654-CD98622A9C1C}"/>
    <hyperlink ref="M100" r:id="rId69" display="https://us3.assetplanner.com/service_request?ID=095375" xr:uid="{82895C73-7744-427D-8CE7-9480762350F8}"/>
    <hyperlink ref="N100" r:id="rId70" display="https://us3.assetplanner.com/service_request?ID=096113" xr:uid="{814BA6C3-8AC1-4574-85C2-301151CC8573}"/>
    <hyperlink ref="L101" r:id="rId71" display="https://us3.assetplanner.com/service_request?ID=095917" xr:uid="{28491889-2B13-4C0C-815B-E484A58AD856}"/>
    <hyperlink ref="M101" r:id="rId72" display="https://us3.assetplanner.com/service_request?ID=094891" xr:uid="{F8B01938-BFF0-4911-BB76-B895DA9214D1}"/>
    <hyperlink ref="L102" r:id="rId73" display="https://us3.assetplanner.com/service_request?ID=095812" xr:uid="{5EAB772D-6EFA-448D-B792-D831778549D0}"/>
    <hyperlink ref="M102" r:id="rId74" display="https://us3.assetplanner.com/service_request?ID=095109" xr:uid="{14CC3FD5-5282-40A0-841F-FFA83E03E1C8}"/>
    <hyperlink ref="L103" r:id="rId75" display="https://us3.assetplanner.com/service_request?ID=095371" xr:uid="{77F67A5A-A200-4673-8AE2-F2F9E319698B}"/>
    <hyperlink ref="L104" r:id="rId76" display="https://us3.assetplanner.com/service_request?ID=095373" xr:uid="{668EA213-3FF0-4D66-852D-F748774E657A}"/>
    <hyperlink ref="M104" r:id="rId77" display="https://us3.assetplanner.com/service_request?ID=096177" xr:uid="{DE4DE3C2-1970-4EA4-917E-452D25857256}"/>
    <hyperlink ref="L105" r:id="rId78" display="https://us3.assetplanner.com/service_request?ID=096106" xr:uid="{12039072-8541-4CC9-BE3D-60F671708B99}"/>
    <hyperlink ref="M105" r:id="rId79" display="https://us3.assetplanner.com/service_request?ID=095599" xr:uid="{A59FEC0D-1157-46E2-80C3-3708F5F771AA}"/>
    <hyperlink ref="N105" r:id="rId80" display="https://us3.assetplanner.com/service_request?ID=095506" xr:uid="{CA7724CF-9EF4-4BE7-B44B-A5D1F79BAA62}"/>
    <hyperlink ref="L106" r:id="rId81" display="https://us3.assetplanner.com/service_request?ID=095508" xr:uid="{0200C59F-BE98-40C8-ABC5-864BE303079B}"/>
    <hyperlink ref="L107" r:id="rId82" display="https://us3.assetplanner.com/service_request?ID=095507" xr:uid="{7EC35A1F-2635-43AB-982C-E1BC62DD031C}"/>
    <hyperlink ref="L108" r:id="rId83" display="https://us3.assetplanner.com/service_request?ID=095211" xr:uid="{1EBDD19D-D200-4C42-8387-6EC483C053D8}"/>
    <hyperlink ref="M108" r:id="rId84" display="https://us3.assetplanner.com/service_request?ID=095865" xr:uid="{2FB47B26-CBE9-4322-A07E-3A87EE1AF006}"/>
    <hyperlink ref="L109" r:id="rId85" display="https://us3.assetplanner.com/service_request?ID=096147" xr:uid="{7BA93804-29D7-4A33-82F3-3D2C42BB6B15}"/>
    <hyperlink ref="L112" r:id="rId86" display="https://us3.assetplanner.com/service_request?ID=095073" xr:uid="{62BD2108-A9F2-4BD2-900A-11FC11E69E8A}"/>
    <hyperlink ref="L120" r:id="rId87" display="https://us3.assetplanner.com/service_request?ID=087641" xr:uid="{54D8C1AC-8196-4FD7-91FF-B71A88B92D4A}"/>
    <hyperlink ref="L121" r:id="rId88" display="https://us3.assetplanner.com/service_request?ID=095581" xr:uid="{99757C49-94E5-4B27-9082-CF038FF12A2C}"/>
    <hyperlink ref="L125" r:id="rId89" display="https://us3.assetplanner.com/service_request?ID=093354" xr:uid="{057FB542-7D7E-4ECA-8490-68D62BBC8EC2}"/>
    <hyperlink ref="M125" r:id="rId90" display="https://us3.assetplanner.com/service_request?ID=094955" xr:uid="{42FB4C47-875E-43EB-A1D5-C3BBC6EFC83D}"/>
    <hyperlink ref="L126" r:id="rId91" display="https://us3.assetplanner.com/service_request?ID=092332" xr:uid="{A914B5D5-8970-4EA6-88AC-557D7BDBD65E}"/>
    <hyperlink ref="M126" r:id="rId92" display="https://us3.assetplanner.com/service_request?ID=094825" xr:uid="{A2FC01A5-780B-4031-AB04-7F749B4A72E1}"/>
    <hyperlink ref="N126" r:id="rId93" display="https://us3.assetplanner.com/service_request?ID=095136" xr:uid="{4436ECC1-A3C0-4F7B-B4E1-8642D6A3BCDE}"/>
    <hyperlink ref="O126" r:id="rId94" display="https://us3.assetplanner.com/service_request?ID=095183" xr:uid="{68E4E033-55CB-4AB3-9DFE-993599F16080}"/>
    <hyperlink ref="P126" r:id="rId95" display="https://us3.assetplanner.com/service_request?ID=095649" xr:uid="{F07FC9E4-FBAC-455A-9C04-7123D3EFDC2F}"/>
    <hyperlink ref="L127" r:id="rId96" display="https://us3.assetplanner.com/service_request?ID=088869" xr:uid="{6EE1FA8F-0F17-4561-83D8-A6AFCD4567F3}"/>
    <hyperlink ref="M127" r:id="rId97" display="https://us3.assetplanner.com/service_request?ID=092095" xr:uid="{036FF5D5-8831-452E-AC28-5D0D848AB5FE}"/>
    <hyperlink ref="N127" r:id="rId98" display="https://us3.assetplanner.com/service_request?ID=092115" xr:uid="{2F5ED822-D4BB-4849-9C7B-BAE5FB277A73}"/>
    <hyperlink ref="O127" r:id="rId99" display="https://us3.assetplanner.com/service_request?ID=092209" xr:uid="{9C081BF3-7CC0-41BB-BBA4-3D3EDD1887D5}"/>
    <hyperlink ref="P127" r:id="rId100" display="https://us3.assetplanner.com/service_request?ID=092255" xr:uid="{065566CC-26E2-4AA0-830E-AF4BD09702BA}"/>
    <hyperlink ref="Q127" r:id="rId101" display="https://us3.assetplanner.com/service_request?ID=092751" xr:uid="{4727DBEB-92F0-4BF0-83CB-5F004BD6AB91}"/>
    <hyperlink ref="R127" r:id="rId102" display="https://us3.assetplanner.com/service_request?ID=095850" xr:uid="{4997B694-A5BC-4CFF-8A25-44317364C182}"/>
    <hyperlink ref="S127" r:id="rId103" display="https://us3.assetplanner.com/service_request?ID=092777" xr:uid="{FADC576D-C865-43A2-9760-D5E1E8AC5F60}"/>
    <hyperlink ref="T127" r:id="rId104" display="https://us3.assetplanner.com/service_request?ID=094998" xr:uid="{903933E8-1B8D-4D98-860E-95D1DB3529BF}"/>
    <hyperlink ref="L128" r:id="rId105" display="https://us3.assetplanner.com/service_request?ID=095305" xr:uid="{6A81D8C2-78D1-4EF0-AFF5-8C588F1748CB}"/>
    <hyperlink ref="L134" r:id="rId106" display="https://us3.assetplanner.com/service_request?ID=095643" xr:uid="{379967F2-1078-4F63-9F2A-F9BAB5201490}"/>
    <hyperlink ref="L135" r:id="rId107" display="https://us3.assetplanner.com/service_request?ID=095531" xr:uid="{CBD8D60F-30FA-4658-AF22-67B1BFCC5BB5}"/>
    <hyperlink ref="L138" r:id="rId108" display="https://us3.assetplanner.com/service_request?ID=095678" xr:uid="{C063B499-19C7-4C09-90A9-0AE3A89CA39F}"/>
    <hyperlink ref="M138" r:id="rId109" display="https://us3.assetplanner.com/service_request?ID=096054" xr:uid="{26261EC5-7A6C-4D43-9E89-417C80A3B858}"/>
    <hyperlink ref="L139" r:id="rId110" display="https://us3.assetplanner.com/service_request?ID=095821" xr:uid="{A8A7EF89-F323-4CBB-B686-563B2C813837}"/>
    <hyperlink ref="L142" r:id="rId111" display="https://us3.assetplanner.com/service_request?ID=095558" xr:uid="{7917C96C-EDB1-49C3-8818-27FC8042DA5A}"/>
    <hyperlink ref="L143" r:id="rId112" display="https://us3.assetplanner.com/service_request?ID=095213" xr:uid="{D491498D-4097-40B0-8A41-658FCB692639}"/>
    <hyperlink ref="M143" r:id="rId113" display="https://us3.assetplanner.com/service_request?ID=095794" xr:uid="{72C08130-72EE-40FB-BF7B-D569681BFA34}"/>
    <hyperlink ref="L145" r:id="rId114" display="https://us3.assetplanner.com/service_request?ID=094986" xr:uid="{2726F841-128C-4AEE-BF2A-20264C0D8069}"/>
    <hyperlink ref="M145" r:id="rId115" display="https://us3.assetplanner.com/service_request?ID=095304" xr:uid="{A386D09D-AFBD-473F-ABCC-49802DB421CB}"/>
    <hyperlink ref="L146" r:id="rId116" display="https://us3.assetplanner.com/service_request?ID=095185" xr:uid="{E0411EE9-AB02-4C24-AD97-66AC05E674C9}"/>
    <hyperlink ref="L147" r:id="rId117" display="https://us3.assetplanner.com/service_request?ID=094262" xr:uid="{27049285-34FE-4E1C-9A67-5AB5F5368FC4}"/>
    <hyperlink ref="L148" r:id="rId118" display="https://us3.assetplanner.com/service_request?ID=095624" xr:uid="{12869903-78E5-4123-935C-CC482FD59DFC}"/>
    <hyperlink ref="M148" r:id="rId119" display="https://us3.assetplanner.com/service_request?ID=093637" xr:uid="{BCD7853F-798A-4E61-A1AA-080CDC885D03}"/>
    <hyperlink ref="L150" r:id="rId120" display="https://us3.assetplanner.com/service_request?ID=096042" xr:uid="{49B7CFB9-90CA-4C3D-A48E-557CF724B70D}"/>
    <hyperlink ref="L151" r:id="rId121" display="https://us3.assetplanner.com/service_request?ID=096006" xr:uid="{C7A9A936-AD0A-4A0F-8522-76C7161D1257}"/>
    <hyperlink ref="L152" r:id="rId122" display="https://us3.assetplanner.com/service_request?ID=096107" xr:uid="{123B4ECC-BA32-466C-B864-FC68168B45C7}"/>
    <hyperlink ref="L153" r:id="rId123" display="https://us3.assetplanner.com/service_request?ID=095269" xr:uid="{37477B79-A19F-4D0A-B668-5ED2DCB455F5}"/>
    <hyperlink ref="L154" r:id="rId124" display="https://us3.assetplanner.com/service_request?ID=094820" xr:uid="{39CA499C-ACD5-46F9-91FE-32EF5CD0C4C4}"/>
    <hyperlink ref="L155" r:id="rId125" display="https://us3.assetplanner.com/service_request?ID=095759" xr:uid="{EBE5902D-BCA2-417E-906B-5A5E229585EA}"/>
    <hyperlink ref="L156" r:id="rId126" display="https://us3.assetplanner.com/service_request?ID=093842" xr:uid="{487CF483-8934-4A9C-A116-9CC1F72B032D}"/>
    <hyperlink ref="L157" r:id="rId127" display="https://us3.assetplanner.com/service_request?ID=095582" xr:uid="{569908FC-FD34-4EC7-8F6A-F9E266412A9C}"/>
    <hyperlink ref="L158" r:id="rId128" display="https://us3.assetplanner.com/service_request?ID=095886" xr:uid="{96654F8E-15F2-433C-A8DB-1C7358E476B5}"/>
    <hyperlink ref="M158" r:id="rId129" display="https://us3.assetplanner.com/service_request?ID=095986" xr:uid="{78803A7D-98FD-4A56-85DD-0EF4D1D83DF0}"/>
    <hyperlink ref="N158" r:id="rId130" display="https://us3.assetplanner.com/service_request?ID=096141" xr:uid="{6AD0B8C5-5D65-44E1-8E3D-5D5760447419}"/>
    <hyperlink ref="L165" r:id="rId131" display="https://us3.assetplanner.com/service_request?ID=095945" xr:uid="{104059F1-E8E9-48A8-823A-4106C1C5543B}"/>
    <hyperlink ref="L166" r:id="rId132" display="https://us3.assetplanner.com/service_request?ID=095946" xr:uid="{98B09824-BA03-4FDF-B25D-EC4FE1693D6C}"/>
    <hyperlink ref="L167" r:id="rId133" display="https://us3.assetplanner.com/service_request?ID=095948" xr:uid="{422BF582-EA79-4E58-B89F-606F960155B7}"/>
    <hyperlink ref="L168" r:id="rId134" display="https://us3.assetplanner.com/service_request?ID=095950" xr:uid="{0AE297A2-3812-4292-925B-E5E17F70CB4F}"/>
    <hyperlink ref="L169" r:id="rId135" display="https://us3.assetplanner.com/service_request?ID=095962" xr:uid="{D3CB2E36-9C6F-4FD1-B2A2-822FD62C051D}"/>
    <hyperlink ref="L172" r:id="rId136" display="https://us3.assetplanner.com/service_request?ID=095960" xr:uid="{AB5B116B-9B4C-4573-AF5D-F132ACF9DAE2}"/>
    <hyperlink ref="L175" r:id="rId137" display="https://us3.assetplanner.com/service_request?ID=095956" xr:uid="{0FC29F3C-0AB7-4D5A-A93B-0D5644313557}"/>
    <hyperlink ref="L176" r:id="rId138" display="https://us3.assetplanner.com/service_request?ID=095955" xr:uid="{0FFBB618-D4F7-48B6-B521-46ABC6443D56}"/>
    <hyperlink ref="L178" r:id="rId139" display="https://us3.assetplanner.com/service_request?ID=095937" xr:uid="{E7D82205-6B4F-4DFD-A34C-30ABD5E89F5B}"/>
    <hyperlink ref="L179" r:id="rId140" display="https://us3.assetplanner.com/service_request?ID=095938" xr:uid="{775DFD59-0C46-4597-B6CD-D4FD41EF5182}"/>
    <hyperlink ref="L180" r:id="rId141" display="https://us3.assetplanner.com/service_request?ID=095939" xr:uid="{1CF2F93D-3650-4BE1-A47F-733D2FFD5805}"/>
    <hyperlink ref="L182" r:id="rId142" display="https://us3.assetplanner.com/service_request?ID=095941" xr:uid="{E2251AC5-7F78-4573-8C7B-676C7A83E491}"/>
    <hyperlink ref="L183" r:id="rId143" display="https://us3.assetplanner.com/service_request?ID=095942" xr:uid="{D6705650-FAB3-4D91-8AA8-AE3E25C4118A}"/>
    <hyperlink ref="L185" r:id="rId144" display="https://us3.assetplanner.com/service_request?ID=095961" xr:uid="{EF159B5D-60D7-4FB6-BBA5-DDEFCFF927F3}"/>
    <hyperlink ref="M182" r:id="rId145" display="https://us3.assetplanner.com/service_request?ID=095940" xr:uid="{C40728E6-D481-49DA-B311-431BB8B68365}"/>
    <hyperlink ref="L191" r:id="rId146" display="https://us3.assetplanner.com/service_request?ID=095242" xr:uid="{1D6AEB8D-0554-4972-A2E5-8F6C04422332}"/>
    <hyperlink ref="L192" r:id="rId147" display="https://us3.assetplanner.com/service_request?ID=095500" xr:uid="{993ACFA8-13A5-4EEA-A0E6-6FF4C897C9AD}"/>
    <hyperlink ref="M192" r:id="rId148" display="https://us3.assetplanner.com/service_request?ID=096195" xr:uid="{277E1403-A3A3-4673-A706-BFD9CAC9B8DA}"/>
    <hyperlink ref="L193" r:id="rId149" display="https://us3.assetplanner.com/service_request?ID=095099" xr:uid="{DACCC72E-CC17-4932-9D6A-9B9F716B5C2C}"/>
    <hyperlink ref="M193" r:id="rId150" display="https://us3.assetplanner.com/service_request?ID=095797" xr:uid="{5362D73E-25B0-4E8B-8127-62FEFE852A03}"/>
    <hyperlink ref="L194" r:id="rId151" display="https://us3.assetplanner.com/service_request?ID=095644" xr:uid="{3FC9542F-C6DA-49D2-9233-4E475511EF34}"/>
    <hyperlink ref="M194" r:id="rId152" display="https://us3.assetplanner.com/service_request?ID=096127" xr:uid="{2A5FA0C5-CBC2-4075-B037-77587AAA22A5}"/>
    <hyperlink ref="L195" r:id="rId153" display="https://us3.assetplanner.com/service_request?ID=095284" xr:uid="{16732EB1-654F-4E23-B931-DFBB1F97452B}"/>
    <hyperlink ref="M195" r:id="rId154" display="https://us3.assetplanner.com/service_request?ID=095992" xr:uid="{F82D6D9A-EA35-48B4-BD0C-E901DE01D0DA}"/>
    <hyperlink ref="N195" r:id="rId155" display="https://us3.assetplanner.com/service_request?ID=095328" xr:uid="{21329873-FDF6-47E4-8590-7FC85203199F}"/>
    <hyperlink ref="O195" r:id="rId156" display="https://us3.assetplanner.com/service_request?ID=096127" xr:uid="{D7BDD732-5485-4475-87A7-783AC126756A}"/>
  </hyperlinks>
  <pageMargins left="0.4" right="0.7" top="0.25" bottom="0.25" header="0.3" footer="0.3"/>
  <pageSetup fitToHeight="99" orientation="landscape" r:id="rId157"/>
  <legacyDrawing r:id="rId15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200"/>
  <sheetViews>
    <sheetView zoomScale="70" zoomScaleNormal="70" workbookViewId="0">
      <pane xSplit="2" ySplit="3" topLeftCell="E167" activePane="bottomRight" state="frozen"/>
      <selection pane="bottomRight" activeCell="K191" sqref="K191"/>
      <selection pane="bottomLeft" activeCell="K164" sqref="K164"/>
      <selection pane="topRight" activeCell="K164" sqref="K164"/>
    </sheetView>
  </sheetViews>
  <sheetFormatPr defaultRowHeight="14.45"/>
  <cols>
    <col min="1" max="1" width="22.855468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54" customWidth="1"/>
    <col min="12" max="12" width="22.85546875" customWidth="1"/>
    <col min="13" max="15" width="22.85546875" style="118" customWidth="1"/>
    <col min="16" max="22" width="22.85546875" customWidth="1"/>
  </cols>
  <sheetData>
    <row r="1" spans="1:19" ht="15.6">
      <c r="A1" s="149" t="str" cm="1">
        <f t="array" ref="A1">portfolio</f>
        <v>Generate Capital</v>
      </c>
      <c r="B1" s="149"/>
      <c r="C1" s="149"/>
      <c r="D1" s="149"/>
      <c r="E1" s="150" t="s">
        <v>268</v>
      </c>
      <c r="F1" s="150"/>
      <c r="G1" s="150"/>
      <c r="H1" s="148" t="s">
        <v>269</v>
      </c>
      <c r="I1" s="148"/>
      <c r="J1" s="148"/>
      <c r="K1" s="50"/>
      <c r="L1" s="4"/>
    </row>
    <row r="2" spans="1:19" ht="15.6">
      <c r="A2" s="151" t="s">
        <v>2</v>
      </c>
      <c r="B2" s="151"/>
      <c r="C2" s="65"/>
      <c r="D2" s="5">
        <f>SUM(D4:D137)</f>
        <v>10860884.080126863</v>
      </c>
      <c r="E2" s="5">
        <f>SUM(E4:E137)</f>
        <v>5939387.2301999992</v>
      </c>
      <c r="F2" s="5">
        <f>D2-E2</f>
        <v>4921496.8499268638</v>
      </c>
      <c r="G2" s="6">
        <f>IFERROR(F2/E2, 0)</f>
        <v>0.82862030360683192</v>
      </c>
      <c r="H2" s="5">
        <f>SUM(H4:H137)</f>
        <v>16320688.2106</v>
      </c>
      <c r="I2" s="7">
        <f>D2-H2</f>
        <v>-5459804.1304731369</v>
      </c>
      <c r="J2" s="6">
        <f>IFERROR(I2/H2, 0)</f>
        <v>-0.33453271455348865</v>
      </c>
      <c r="K2" s="51"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9" ht="15.6">
      <c r="A3" s="8" t="s">
        <v>3</v>
      </c>
      <c r="B3" s="8" t="s">
        <v>4</v>
      </c>
      <c r="C3" s="8" t="s">
        <v>5</v>
      </c>
      <c r="D3" s="19" t="s">
        <v>6</v>
      </c>
      <c r="E3" s="31" t="s">
        <v>7</v>
      </c>
      <c r="F3" s="31" t="s">
        <v>8</v>
      </c>
      <c r="G3" s="32" t="s">
        <v>9</v>
      </c>
      <c r="H3" s="33" t="s">
        <v>10</v>
      </c>
      <c r="I3" s="34" t="s">
        <v>8</v>
      </c>
      <c r="J3" s="35" t="s">
        <v>9</v>
      </c>
      <c r="K3" s="52" t="s">
        <v>21</v>
      </c>
      <c r="L3" s="21" t="s">
        <v>22</v>
      </c>
    </row>
    <row r="4" spans="1:19" ht="15.6">
      <c r="A4" s="28" t="str" cm="1">
        <f t="array" ref="A4:A200">Sites[Site]</f>
        <v>Farmer</v>
      </c>
      <c r="B4" s="25" t="str" cm="1">
        <f t="array" ref="B4:B200">Sites[State]</f>
        <v>AZ</v>
      </c>
      <c r="C4" s="25" t="str">
        <f>Sites[[#This Row],[SOL'#]]</f>
        <v>SOL-10748</v>
      </c>
      <c r="D4" s="20">
        <v>10573.6521152202</v>
      </c>
      <c r="E4" s="10">
        <v>7409.32</v>
      </c>
      <c r="F4" s="10">
        <f>IF(AND(ISNUMBER(D4),ISNUMBER(E4)), D4-E4, "")</f>
        <v>3164.3321152202006</v>
      </c>
      <c r="G4" s="11">
        <f>IFERROR(F4/E4, "")</f>
        <v>0.42707456490206941</v>
      </c>
      <c r="H4" s="12">
        <v>9634.1610000000001</v>
      </c>
      <c r="I4" s="12">
        <f>IF(AND(ISNUMBER(D4),ISNUMBER(H4)), D4-H4, "")</f>
        <v>939.4911152202003</v>
      </c>
      <c r="J4" s="13">
        <f>IFERROR(I4/H4, "")</f>
        <v>9.751665092790128E-2</v>
      </c>
      <c r="K4" s="53"/>
      <c r="L4" s="37"/>
    </row>
    <row r="5" spans="1:19" ht="15.75">
      <c r="A5" s="26" t="str">
        <v>Fulton</v>
      </c>
      <c r="B5" s="27" t="str">
        <v>AZ</v>
      </c>
      <c r="C5" s="27" t="str">
        <f>Sites[[#This Row],[SOL'#]]</f>
        <v>SOL-10749</v>
      </c>
      <c r="D5" s="9">
        <v>29770.25</v>
      </c>
      <c r="E5" s="14">
        <v>39065.360000000001</v>
      </c>
      <c r="F5" s="14">
        <f t="shared" ref="F5:F15" si="0">IF(AND(ISNUMBER(D5),ISNUMBER(E5)), D5-E5, "")</f>
        <v>-9295.11</v>
      </c>
      <c r="G5" s="15">
        <f>IFERROR(F5/E5, "")</f>
        <v>-0.23793739517567483</v>
      </c>
      <c r="H5" s="16">
        <v>37543.32</v>
      </c>
      <c r="I5" s="16">
        <f t="shared" ref="I5:I15" si="1">IF(AND(ISNUMBER(D5),ISNUMBER(H5)), D5-H5, "")</f>
        <v>-7773.07</v>
      </c>
      <c r="J5" s="15">
        <f t="shared" ref="J5:J67" si="2">IFERROR(I5/H5, "")</f>
        <v>-0.20704269095008113</v>
      </c>
      <c r="K5" s="38" t="s">
        <v>50</v>
      </c>
      <c r="L5" s="126"/>
    </row>
    <row r="6" spans="1:19" ht="15.6">
      <c r="A6" s="24" t="str">
        <v>JFK Elementary</v>
      </c>
      <c r="B6" s="25" t="str">
        <v>AZ</v>
      </c>
      <c r="C6" s="25" t="str">
        <f>Sites[[#This Row],[SOL'#]]</f>
        <v>SOL-10758</v>
      </c>
      <c r="D6" s="20">
        <v>17693.229223399201</v>
      </c>
      <c r="E6" s="10">
        <v>0</v>
      </c>
      <c r="F6" s="10">
        <f t="shared" si="0"/>
        <v>17693.229223399201</v>
      </c>
      <c r="G6" s="11" t="str">
        <f t="shared" ref="G6:G15" si="3">IFERROR(F6/E6, "")</f>
        <v/>
      </c>
      <c r="H6" s="12">
        <v>15108</v>
      </c>
      <c r="I6" s="12">
        <f t="shared" si="1"/>
        <v>2585.2292233992011</v>
      </c>
      <c r="J6" s="13">
        <f t="shared" si="2"/>
        <v>0.17111657554932494</v>
      </c>
      <c r="K6" s="53"/>
      <c r="L6" s="55"/>
    </row>
    <row r="7" spans="1:19" ht="15.75">
      <c r="A7" s="26" t="str">
        <v>Noble</v>
      </c>
      <c r="B7" s="27" t="str">
        <v>AZ</v>
      </c>
      <c r="C7" s="27" t="str">
        <f>Sites[[#This Row],[SOL'#]]</f>
        <v>SOL-10750</v>
      </c>
      <c r="D7" s="9">
        <v>10180.275086780801</v>
      </c>
      <c r="E7" s="14">
        <v>12508.12</v>
      </c>
      <c r="F7" s="14">
        <f t="shared" si="0"/>
        <v>-2327.8449132192</v>
      </c>
      <c r="G7" s="15">
        <f t="shared" si="3"/>
        <v>-0.18610669814642006</v>
      </c>
      <c r="H7" s="16">
        <v>9846.6180000000004</v>
      </c>
      <c r="I7" s="16">
        <f t="shared" si="1"/>
        <v>333.65708678080046</v>
      </c>
      <c r="J7" s="15">
        <f t="shared" si="2"/>
        <v>3.388545049486031E-2</v>
      </c>
      <c r="K7" s="146" t="s">
        <v>23</v>
      </c>
      <c r="L7" s="140"/>
    </row>
    <row r="8" spans="1:19" ht="15.75">
      <c r="A8" s="24" t="str">
        <v>Parking 3</v>
      </c>
      <c r="B8" s="25" t="str">
        <v>AZ</v>
      </c>
      <c r="C8" s="25" t="str">
        <f>Sites[[#This Row],[SOL'#]]</f>
        <v>SOL-10751</v>
      </c>
      <c r="D8" s="20">
        <v>26696.3124999998</v>
      </c>
      <c r="E8" s="10">
        <v>19132.3</v>
      </c>
      <c r="F8" s="10">
        <f t="shared" si="0"/>
        <v>7564.0124999998006</v>
      </c>
      <c r="G8" s="11">
        <f t="shared" si="3"/>
        <v>0.39535301558097047</v>
      </c>
      <c r="H8" s="12">
        <v>23776.46</v>
      </c>
      <c r="I8" s="12">
        <f t="shared" si="1"/>
        <v>2919.8524999998008</v>
      </c>
      <c r="J8" s="13">
        <f t="shared" si="2"/>
        <v>0.12280434093215731</v>
      </c>
      <c r="K8" s="53" t="s">
        <v>23</v>
      </c>
      <c r="L8" s="55"/>
    </row>
    <row r="9" spans="1:19" ht="15.75">
      <c r="A9" s="26" t="str">
        <v>PE East</v>
      </c>
      <c r="B9" s="27" t="str">
        <v>AZ</v>
      </c>
      <c r="C9" s="27" t="str">
        <f>Sites[[#This Row],[SOL'#]]</f>
        <v>SOL-10752</v>
      </c>
      <c r="D9" s="9">
        <v>23496.912475236699</v>
      </c>
      <c r="E9" s="14">
        <v>14849.62</v>
      </c>
      <c r="F9" s="14">
        <f t="shared" si="0"/>
        <v>8647.292475236698</v>
      </c>
      <c r="G9" s="15">
        <f t="shared" si="3"/>
        <v>0.58232415881596278</v>
      </c>
      <c r="H9" s="16">
        <v>23143.43</v>
      </c>
      <c r="I9" s="16">
        <f t="shared" si="1"/>
        <v>353.48247523669852</v>
      </c>
      <c r="J9" s="15">
        <f t="shared" si="2"/>
        <v>1.5273556047513204E-2</v>
      </c>
      <c r="K9" s="146" t="s">
        <v>23</v>
      </c>
      <c r="L9" s="140"/>
    </row>
    <row r="10" spans="1:19" ht="28.9">
      <c r="A10" s="24" t="str">
        <v>Schwada</v>
      </c>
      <c r="B10" s="25" t="str">
        <v>AZ</v>
      </c>
      <c r="C10" s="25" t="str">
        <f>Sites[[#This Row],[SOL'#]]</f>
        <v>SOL-10753</v>
      </c>
      <c r="D10" s="20">
        <v>10611.011</v>
      </c>
      <c r="E10" s="10">
        <v>6113.7049999999999</v>
      </c>
      <c r="F10" s="10">
        <f t="shared" si="0"/>
        <v>4497.3060000000005</v>
      </c>
      <c r="G10" s="11">
        <f t="shared" si="3"/>
        <v>0.73561056675125813</v>
      </c>
      <c r="H10" s="12">
        <v>10204</v>
      </c>
      <c r="I10" s="12">
        <f t="shared" si="1"/>
        <v>407.01100000000042</v>
      </c>
      <c r="J10" s="13">
        <f t="shared" si="2"/>
        <v>3.9887397099176831E-2</v>
      </c>
      <c r="K10" s="53" t="s">
        <v>24</v>
      </c>
      <c r="L10" s="129" t="s">
        <v>270</v>
      </c>
    </row>
    <row r="11" spans="1:19" s="49" customFormat="1" ht="15.6">
      <c r="A11" s="43" t="str">
        <v>Starshine</v>
      </c>
      <c r="B11" s="44" t="str">
        <v>AZ</v>
      </c>
      <c r="C11" s="44" t="str">
        <f>Sites[[#This Row],[SOL'#]]</f>
        <v>SOL-10757</v>
      </c>
      <c r="D11" s="45">
        <v>6163.7907299861499</v>
      </c>
      <c r="E11" s="46">
        <v>0</v>
      </c>
      <c r="F11" s="46">
        <f t="shared" si="0"/>
        <v>6163.7907299861499</v>
      </c>
      <c r="G11" s="47" t="str">
        <f t="shared" si="3"/>
        <v/>
      </c>
      <c r="H11" s="48">
        <v>6328</v>
      </c>
      <c r="I11" s="48">
        <f t="shared" si="1"/>
        <v>-164.20927001385007</v>
      </c>
      <c r="J11" s="15">
        <f t="shared" si="2"/>
        <v>-2.5949631797384652E-2</v>
      </c>
      <c r="K11" s="141"/>
      <c r="L11" s="142"/>
      <c r="M11" s="137"/>
      <c r="N11" s="137"/>
      <c r="O11" s="137"/>
    </row>
    <row r="12" spans="1:19" ht="15.75">
      <c r="A12" s="24" t="str">
        <v>Yuma Airport</v>
      </c>
      <c r="B12" s="25" t="str">
        <v>AZ</v>
      </c>
      <c r="C12" s="25" t="str">
        <f>Sites[[#This Row],[SOL'#]]</f>
        <v>SOL-10754</v>
      </c>
      <c r="D12" s="20">
        <v>59009</v>
      </c>
      <c r="E12" s="10">
        <v>74020.27</v>
      </c>
      <c r="F12" s="10">
        <f t="shared" si="0"/>
        <v>-15011.270000000004</v>
      </c>
      <c r="G12" s="11">
        <f t="shared" si="3"/>
        <v>-0.20279944939406466</v>
      </c>
      <c r="H12" s="12">
        <v>59338</v>
      </c>
      <c r="I12" s="12">
        <f t="shared" si="1"/>
        <v>-329</v>
      </c>
      <c r="J12" s="13">
        <f t="shared" si="2"/>
        <v>-5.5445077353466583E-3</v>
      </c>
      <c r="K12" s="53" t="s">
        <v>23</v>
      </c>
      <c r="L12" s="55"/>
      <c r="P12" s="24"/>
      <c r="Q12" s="25"/>
      <c r="R12" s="25"/>
      <c r="S12" s="20"/>
    </row>
    <row r="13" spans="1:19" ht="43.15">
      <c r="A13" s="26" t="str">
        <v>Kinsman</v>
      </c>
      <c r="B13" s="27" t="str">
        <v>OH</v>
      </c>
      <c r="C13" s="27" t="str">
        <f>Sites[[#This Row],[SOL'#]]</f>
        <v>SOL-10762</v>
      </c>
      <c r="D13" s="9">
        <v>33971.8203125</v>
      </c>
      <c r="E13" s="14">
        <v>61160.25</v>
      </c>
      <c r="F13" s="14">
        <f t="shared" si="0"/>
        <v>-27188.4296875</v>
      </c>
      <c r="G13" s="15">
        <f t="shared" si="3"/>
        <v>-0.44454412281669875</v>
      </c>
      <c r="H13" s="16">
        <v>62296</v>
      </c>
      <c r="I13" s="16">
        <f t="shared" si="1"/>
        <v>-28324.1796875</v>
      </c>
      <c r="J13" s="15">
        <f t="shared" si="2"/>
        <v>-0.45467092088577116</v>
      </c>
      <c r="K13" s="126" t="s">
        <v>271</v>
      </c>
      <c r="L13" s="130" t="s">
        <v>272</v>
      </c>
      <c r="M13" s="117" t="s">
        <v>31</v>
      </c>
    </row>
    <row r="14" spans="1:19" ht="28.9">
      <c r="A14" s="24" t="str">
        <v>Wooster</v>
      </c>
      <c r="B14" s="25" t="str">
        <v>OH</v>
      </c>
      <c r="C14" s="25" t="str">
        <f>Sites[[#This Row],[SOL'#]]</f>
        <v>SOL-10763</v>
      </c>
      <c r="D14" s="20">
        <v>8951.25</v>
      </c>
      <c r="E14" s="10">
        <v>0</v>
      </c>
      <c r="F14" s="10">
        <f t="shared" si="0"/>
        <v>8951.25</v>
      </c>
      <c r="G14" s="11" t="str">
        <f t="shared" si="3"/>
        <v/>
      </c>
      <c r="H14" s="12">
        <v>13354</v>
      </c>
      <c r="I14" s="12">
        <f t="shared" si="1"/>
        <v>-4402.75</v>
      </c>
      <c r="J14" s="13">
        <f t="shared" si="2"/>
        <v>-0.32969522240527183</v>
      </c>
      <c r="K14" s="53" t="s">
        <v>273</v>
      </c>
      <c r="L14" s="129" t="s">
        <v>274</v>
      </c>
    </row>
    <row r="15" spans="1:19" ht="15.6">
      <c r="A15" s="26" t="str">
        <v>Globe Gila CC</v>
      </c>
      <c r="B15" s="27" t="str">
        <v>AZ</v>
      </c>
      <c r="C15" s="27" t="str">
        <f>Sites[[#This Row],[SOL'#]]</f>
        <v>SOL-10755</v>
      </c>
      <c r="D15" s="9">
        <v>14585.557857143</v>
      </c>
      <c r="E15" s="14">
        <v>0</v>
      </c>
      <c r="F15" s="14">
        <f t="shared" si="0"/>
        <v>14585.557857143</v>
      </c>
      <c r="G15" s="15" t="str">
        <f t="shared" si="3"/>
        <v/>
      </c>
      <c r="H15" s="16">
        <v>10665</v>
      </c>
      <c r="I15" s="16">
        <f t="shared" si="1"/>
        <v>3920.5578571429996</v>
      </c>
      <c r="J15" s="15">
        <f t="shared" si="2"/>
        <v>0.36760973812873882</v>
      </c>
      <c r="K15" s="126"/>
      <c r="L15" s="140"/>
    </row>
    <row r="16" spans="1:19" ht="45" customHeight="1">
      <c r="A16" s="24" t="str">
        <v>Payson Gila CC</v>
      </c>
      <c r="B16" s="25" t="str">
        <v>AZ</v>
      </c>
      <c r="C16" s="25" t="str">
        <f>Sites[[#This Row],[SOL'#]]</f>
        <v>SOL-10756</v>
      </c>
      <c r="D16" s="20">
        <v>9655.2561830065697</v>
      </c>
      <c r="E16" s="10">
        <v>4192.1620000000003</v>
      </c>
      <c r="F16" s="10">
        <f t="shared" ref="F16:F17" si="4">IF(AND(ISNUMBER(D16),ISNUMBER(E16)), D16-E16, "")</f>
        <v>5463.0941830065694</v>
      </c>
      <c r="G16" s="11">
        <f t="shared" ref="G16:G17" si="5">IFERROR(F16/E16, "")</f>
        <v>1.3031686712027277</v>
      </c>
      <c r="H16" s="12">
        <v>8752</v>
      </c>
      <c r="I16" s="12">
        <f t="shared" ref="I16:I17" si="6">IF(AND(ISNUMBER(D16),ISNUMBER(H16)), D16-H16, "")</f>
        <v>903.2561830065697</v>
      </c>
      <c r="J16" s="13">
        <f t="shared" si="2"/>
        <v>0.10320568818630824</v>
      </c>
      <c r="K16" s="53" t="s">
        <v>36</v>
      </c>
      <c r="L16" s="129" t="s">
        <v>275</v>
      </c>
    </row>
    <row r="17" spans="1:14" ht="77.25" customHeight="1">
      <c r="A17" s="26" t="str">
        <v>SCNM</v>
      </c>
      <c r="B17" s="27" t="str">
        <v>AZ</v>
      </c>
      <c r="C17" s="27" t="str">
        <f>Sites[[#This Row],[SOL'#]]</f>
        <v>SOL-10760</v>
      </c>
      <c r="D17" s="9">
        <v>60442.629999999903</v>
      </c>
      <c r="E17" s="14">
        <v>29263.08</v>
      </c>
      <c r="F17" s="14">
        <f t="shared" si="4"/>
        <v>31179.549999999901</v>
      </c>
      <c r="G17" s="15">
        <f t="shared" si="5"/>
        <v>1.0654910556236699</v>
      </c>
      <c r="H17" s="16">
        <v>54018</v>
      </c>
      <c r="I17" s="16">
        <f t="shared" si="6"/>
        <v>6424.6299999999028</v>
      </c>
      <c r="J17" s="15">
        <f t="shared" si="2"/>
        <v>0.11893498463474958</v>
      </c>
      <c r="K17" s="126" t="s">
        <v>38</v>
      </c>
      <c r="L17" s="130" t="s">
        <v>276</v>
      </c>
      <c r="M17" s="117" t="s">
        <v>40</v>
      </c>
      <c r="N17" s="117" t="s">
        <v>40</v>
      </c>
    </row>
    <row r="18" spans="1:14" ht="42" customHeight="1">
      <c r="A18" s="24" t="str">
        <v>Sequoia Charter School</v>
      </c>
      <c r="B18" s="25" t="str">
        <v>AZ</v>
      </c>
      <c r="C18" s="25" t="str">
        <f>Sites[[#This Row],[SOL'#]]</f>
        <v>SOL-10759</v>
      </c>
      <c r="D18" s="20">
        <v>20776.990000000202</v>
      </c>
      <c r="E18" s="10">
        <v>0</v>
      </c>
      <c r="F18" s="10">
        <f t="shared" ref="F18:F81" si="7">IF(AND(ISNUMBER(D18),ISNUMBER(E18)), D18-E18, "")</f>
        <v>20776.990000000202</v>
      </c>
      <c r="G18" s="11" t="str">
        <f t="shared" ref="G18:G81" si="8">IFERROR(F18/E18, "")</f>
        <v/>
      </c>
      <c r="H18" s="12">
        <v>34134</v>
      </c>
      <c r="I18" s="12">
        <f t="shared" ref="I18:I81" si="9">IF(AND(ISNUMBER(D18),ISNUMBER(H18)), D18-H18, "")</f>
        <v>-13357.009999999798</v>
      </c>
      <c r="J18" s="13">
        <f t="shared" ref="J18:J81" si="10">IFERROR(I18/H18, "")</f>
        <v>-0.39131100955058878</v>
      </c>
      <c r="K18" s="53" t="s">
        <v>41</v>
      </c>
      <c r="L18" s="129" t="s">
        <v>277</v>
      </c>
    </row>
    <row r="19" spans="1:14" ht="45.75" customHeight="1">
      <c r="A19" s="26" t="str">
        <v>RCAB</v>
      </c>
      <c r="B19" s="27" t="str">
        <v>MA</v>
      </c>
      <c r="C19" s="27" t="str">
        <f>Sites[[#This Row],[SOL'#]]</f>
        <v>SOL-10838</v>
      </c>
      <c r="D19" s="9">
        <v>34742.5</v>
      </c>
      <c r="E19" s="14">
        <v>71476.179999999993</v>
      </c>
      <c r="F19" s="14">
        <f t="shared" si="7"/>
        <v>-36733.679999999993</v>
      </c>
      <c r="G19" s="15">
        <f t="shared" si="8"/>
        <v>-0.51392897605887722</v>
      </c>
      <c r="H19" s="16">
        <v>62380.79</v>
      </c>
      <c r="I19" s="16">
        <f t="shared" si="9"/>
        <v>-27638.29</v>
      </c>
      <c r="J19" s="15">
        <f t="shared" si="2"/>
        <v>-0.44305771055480381</v>
      </c>
      <c r="K19" s="126" t="s">
        <v>278</v>
      </c>
      <c r="L19" s="114" t="s">
        <v>279</v>
      </c>
      <c r="M19" s="117" t="s">
        <v>280</v>
      </c>
    </row>
    <row r="20" spans="1:14" ht="15.75">
      <c r="A20" s="24" t="str">
        <v>Spectro Coatings</v>
      </c>
      <c r="B20" s="25" t="str">
        <v>MA</v>
      </c>
      <c r="C20" s="25" t="str">
        <f>Sites[[#This Row],[SOL'#]]</f>
        <v>SOL-10074</v>
      </c>
      <c r="D20" s="20">
        <v>2557.25</v>
      </c>
      <c r="E20" s="10">
        <v>23169.18</v>
      </c>
      <c r="F20" s="10">
        <f t="shared" si="7"/>
        <v>-20611.93</v>
      </c>
      <c r="G20" s="11">
        <f t="shared" si="8"/>
        <v>-0.88962708218417741</v>
      </c>
      <c r="H20" s="12">
        <v>16225.21</v>
      </c>
      <c r="I20" s="12">
        <f t="shared" si="9"/>
        <v>-13667.96</v>
      </c>
      <c r="J20" s="13">
        <f t="shared" si="10"/>
        <v>-0.84239032961668914</v>
      </c>
      <c r="K20" s="53" t="s">
        <v>23</v>
      </c>
      <c r="L20" s="55"/>
    </row>
    <row r="21" spans="1:14" ht="15.75">
      <c r="A21" s="26" t="str">
        <v>K026</v>
      </c>
      <c r="B21" s="27" t="str">
        <v>NY</v>
      </c>
      <c r="C21" s="27" t="str">
        <f>Sites[[#This Row],[SOL'#]]</f>
        <v>SOL-10356</v>
      </c>
      <c r="D21" s="9">
        <v>17315.75</v>
      </c>
      <c r="E21" s="14">
        <v>21363.42</v>
      </c>
      <c r="F21" s="14">
        <f t="shared" si="7"/>
        <v>-4047.6699999999983</v>
      </c>
      <c r="G21" s="15">
        <f t="shared" si="8"/>
        <v>-0.18946732311586809</v>
      </c>
      <c r="H21" s="16">
        <v>15170.88</v>
      </c>
      <c r="I21" s="16">
        <f t="shared" si="9"/>
        <v>2144.8700000000008</v>
      </c>
      <c r="J21" s="15">
        <f t="shared" si="2"/>
        <v>0.14138072412411151</v>
      </c>
      <c r="K21" s="38" t="s">
        <v>23</v>
      </c>
      <c r="L21" s="140"/>
    </row>
    <row r="22" spans="1:14" ht="15.75">
      <c r="A22" s="24" t="str">
        <v>K041</v>
      </c>
      <c r="B22" s="25" t="str">
        <v>NY</v>
      </c>
      <c r="C22" s="25" t="str">
        <f>Sites[[#This Row],[SOL'#]]</f>
        <v>SOL-10357</v>
      </c>
      <c r="D22" s="20">
        <v>13320.78125</v>
      </c>
      <c r="E22" s="10">
        <v>17186.990000000002</v>
      </c>
      <c r="F22" s="10">
        <f t="shared" si="7"/>
        <v>-3866.2087500000016</v>
      </c>
      <c r="G22" s="11">
        <f t="shared" si="8"/>
        <v>-0.22494972941742569</v>
      </c>
      <c r="H22" s="12">
        <v>13859</v>
      </c>
      <c r="I22" s="12">
        <f t="shared" si="9"/>
        <v>-538.21875</v>
      </c>
      <c r="J22" s="13">
        <f t="shared" si="10"/>
        <v>-3.8835323616422543E-2</v>
      </c>
      <c r="K22" s="53" t="s">
        <v>23</v>
      </c>
      <c r="L22" s="55"/>
    </row>
    <row r="23" spans="1:14" ht="15.6">
      <c r="A23" s="26" t="str">
        <v>K043</v>
      </c>
      <c r="B23" s="27" t="str">
        <v>NY</v>
      </c>
      <c r="C23" s="27" t="str">
        <f>Sites[[#This Row],[SOL'#]]</f>
        <v>SOL-10358</v>
      </c>
      <c r="D23" s="9">
        <v>15518.34375</v>
      </c>
      <c r="E23" s="14">
        <v>18500.95</v>
      </c>
      <c r="F23" s="14">
        <f t="shared" si="7"/>
        <v>-2982.6062500000007</v>
      </c>
      <c r="G23" s="15">
        <f t="shared" si="8"/>
        <v>-0.16121368091908797</v>
      </c>
      <c r="H23" s="16">
        <v>3061</v>
      </c>
      <c r="I23" s="16">
        <f t="shared" si="9"/>
        <v>12457.34375</v>
      </c>
      <c r="J23" s="15">
        <f t="shared" si="2"/>
        <v>4.0696974028095392</v>
      </c>
      <c r="K23" s="56" t="s">
        <v>47</v>
      </c>
      <c r="L23" s="140"/>
    </row>
    <row r="24" spans="1:14" ht="73.5" customHeight="1">
      <c r="A24" s="24" t="str">
        <v>K058</v>
      </c>
      <c r="B24" s="25" t="str">
        <v>NY</v>
      </c>
      <c r="C24" s="25" t="str">
        <f>Sites[[#This Row],[SOL'#]]</f>
        <v>SOL-10360</v>
      </c>
      <c r="D24" s="20">
        <v>4162.5625</v>
      </c>
      <c r="E24" s="10">
        <v>9281.1830000000009</v>
      </c>
      <c r="F24" s="10">
        <f t="shared" si="7"/>
        <v>-5118.6205000000009</v>
      </c>
      <c r="G24" s="11">
        <f t="shared" si="8"/>
        <v>-0.55150517988924475</v>
      </c>
      <c r="H24" s="12">
        <v>12005.22</v>
      </c>
      <c r="I24" s="12">
        <f t="shared" si="9"/>
        <v>-7842.6574999999993</v>
      </c>
      <c r="J24" s="13">
        <f t="shared" si="10"/>
        <v>-0.65327061894742455</v>
      </c>
      <c r="K24" s="53" t="s">
        <v>281</v>
      </c>
      <c r="L24" s="129" t="s">
        <v>282</v>
      </c>
    </row>
    <row r="25" spans="1:14" ht="30.75">
      <c r="A25" s="26" t="str">
        <v>K115</v>
      </c>
      <c r="B25" s="27" t="str">
        <v>NY</v>
      </c>
      <c r="C25" s="27" t="str">
        <f>Sites[[#This Row],[SOL'#]]</f>
        <v>SOL-10361</v>
      </c>
      <c r="D25" s="9">
        <v>3372.4180859375001</v>
      </c>
      <c r="E25" s="14">
        <v>7965.9009999999998</v>
      </c>
      <c r="F25" s="14">
        <f t="shared" si="7"/>
        <v>-4593.4829140624997</v>
      </c>
      <c r="G25" s="15">
        <f t="shared" si="8"/>
        <v>-0.57664323396217199</v>
      </c>
      <c r="H25" s="16">
        <v>7488.0910000000003</v>
      </c>
      <c r="I25" s="16">
        <f t="shared" si="9"/>
        <v>-4115.6729140625002</v>
      </c>
      <c r="J25" s="15">
        <f t="shared" si="2"/>
        <v>-0.54962912631036398</v>
      </c>
      <c r="K25" s="126" t="s">
        <v>283</v>
      </c>
      <c r="L25" s="132" t="s">
        <v>49</v>
      </c>
    </row>
    <row r="26" spans="1:14" ht="15.75">
      <c r="A26" s="24" t="str">
        <v>K152</v>
      </c>
      <c r="B26" s="25" t="str">
        <v>NY</v>
      </c>
      <c r="C26" s="25" t="str">
        <f>Sites[[#This Row],[SOL'#]]</f>
        <v>SOL-10362</v>
      </c>
      <c r="D26" s="20">
        <v>4885.59375</v>
      </c>
      <c r="E26" s="10">
        <v>5681.2479999999996</v>
      </c>
      <c r="F26" s="10">
        <f t="shared" si="7"/>
        <v>-795.65424999999959</v>
      </c>
      <c r="G26" s="11">
        <f t="shared" si="8"/>
        <v>-0.14004920221754089</v>
      </c>
      <c r="H26" s="12">
        <v>4676</v>
      </c>
      <c r="I26" s="12">
        <f t="shared" si="9"/>
        <v>209.59375</v>
      </c>
      <c r="J26" s="13">
        <f t="shared" si="10"/>
        <v>4.4823299828913601E-2</v>
      </c>
      <c r="K26" s="53" t="s">
        <v>50</v>
      </c>
      <c r="L26" s="55"/>
    </row>
    <row r="27" spans="1:14" ht="15.75">
      <c r="A27" s="26" t="str">
        <v>K166</v>
      </c>
      <c r="B27" s="27" t="str">
        <v>NY</v>
      </c>
      <c r="C27" s="27" t="str">
        <f>Sites[[#This Row],[SOL'#]]</f>
        <v>SOL-10363</v>
      </c>
      <c r="D27" s="9">
        <v>17203.5</v>
      </c>
      <c r="E27" s="14">
        <v>21280.06</v>
      </c>
      <c r="F27" s="14">
        <f t="shared" si="7"/>
        <v>-4076.5600000000013</v>
      </c>
      <c r="G27" s="15">
        <f t="shared" si="8"/>
        <v>-0.19156712904004974</v>
      </c>
      <c r="H27" s="16">
        <v>16417.23</v>
      </c>
      <c r="I27" s="16">
        <f t="shared" si="9"/>
        <v>786.27000000000044</v>
      </c>
      <c r="J27" s="15">
        <f t="shared" si="2"/>
        <v>4.7892975855244789E-2</v>
      </c>
      <c r="K27" s="126" t="s">
        <v>50</v>
      </c>
      <c r="L27" s="140"/>
    </row>
    <row r="28" spans="1:14" ht="15.75">
      <c r="A28" s="24" t="str">
        <v>K206</v>
      </c>
      <c r="B28" s="25" t="str">
        <v>NY</v>
      </c>
      <c r="C28" s="25" t="str">
        <f>Sites[[#This Row],[SOL'#]]</f>
        <v>SOL-10927</v>
      </c>
      <c r="D28" s="20">
        <v>10148.324069173999</v>
      </c>
      <c r="E28" s="10">
        <v>12619.81</v>
      </c>
      <c r="F28" s="10">
        <f t="shared" si="7"/>
        <v>-2471.4859308260002</v>
      </c>
      <c r="G28" s="11">
        <f t="shared" si="8"/>
        <v>-0.19584177026643035</v>
      </c>
      <c r="H28" s="12">
        <v>9232</v>
      </c>
      <c r="I28" s="12">
        <f t="shared" si="9"/>
        <v>916.32406917399931</v>
      </c>
      <c r="J28" s="13">
        <f t="shared" si="10"/>
        <v>9.9255206799609974E-2</v>
      </c>
      <c r="K28" s="53" t="s">
        <v>23</v>
      </c>
      <c r="L28" s="55"/>
    </row>
    <row r="29" spans="1:14" ht="15.6">
      <c r="A29" s="26" t="str">
        <v>K251</v>
      </c>
      <c r="B29" s="27" t="str">
        <v>NY</v>
      </c>
      <c r="C29" s="27" t="str">
        <f>Sites[[#This Row],[SOL'#]]</f>
        <v>SOL-10365</v>
      </c>
      <c r="D29" s="9">
        <v>11751.0625</v>
      </c>
      <c r="E29" s="14">
        <v>0</v>
      </c>
      <c r="F29" s="14">
        <f t="shared" si="7"/>
        <v>11751.0625</v>
      </c>
      <c r="G29" s="15" t="str">
        <f t="shared" si="8"/>
        <v/>
      </c>
      <c r="H29" s="16">
        <v>11033.06</v>
      </c>
      <c r="I29" s="16">
        <f t="shared" si="9"/>
        <v>718.00250000000051</v>
      </c>
      <c r="J29" s="15">
        <f t="shared" si="2"/>
        <v>6.5077367475568929E-2</v>
      </c>
      <c r="K29" s="112" t="s">
        <v>51</v>
      </c>
      <c r="L29" s="133" t="s">
        <v>284</v>
      </c>
    </row>
    <row r="30" spans="1:14" ht="15.6">
      <c r="A30" s="24" t="str">
        <v>K269</v>
      </c>
      <c r="B30" s="25" t="str">
        <v>NY</v>
      </c>
      <c r="C30" s="25" t="str">
        <f>Sites[[#This Row],[SOL'#]]</f>
        <v>SOL-10366</v>
      </c>
      <c r="D30" s="20">
        <v>10325.6875</v>
      </c>
      <c r="E30" s="10">
        <v>14133.12</v>
      </c>
      <c r="F30" s="10">
        <f t="shared" si="7"/>
        <v>-3807.4325000000008</v>
      </c>
      <c r="G30" s="11">
        <f t="shared" si="8"/>
        <v>-0.26939787534528825</v>
      </c>
      <c r="H30" s="12">
        <v>10722.85</v>
      </c>
      <c r="I30" s="12">
        <f t="shared" si="9"/>
        <v>-397.16250000000036</v>
      </c>
      <c r="J30" s="13">
        <f t="shared" si="10"/>
        <v>-3.7038893577733566E-2</v>
      </c>
      <c r="K30" s="53"/>
      <c r="L30" s="55"/>
    </row>
    <row r="31" spans="1:14" ht="52.5" customHeight="1">
      <c r="A31" s="26" t="str">
        <v>K273</v>
      </c>
      <c r="B31" s="27" t="str">
        <v>NY</v>
      </c>
      <c r="C31" s="27" t="str">
        <f>Sites[[#This Row],[SOL'#]]</f>
        <v>SOL-10367</v>
      </c>
      <c r="D31" s="9">
        <v>10878.625</v>
      </c>
      <c r="E31" s="14">
        <v>0</v>
      </c>
      <c r="F31" s="14">
        <f t="shared" si="7"/>
        <v>10878.625</v>
      </c>
      <c r="G31" s="15" t="str">
        <f t="shared" si="8"/>
        <v/>
      </c>
      <c r="H31" s="16">
        <v>12777</v>
      </c>
      <c r="I31" s="16">
        <f t="shared" si="9"/>
        <v>-1898.375</v>
      </c>
      <c r="J31" s="15">
        <f t="shared" si="2"/>
        <v>-0.14857752211004149</v>
      </c>
      <c r="K31" s="56" t="s">
        <v>53</v>
      </c>
      <c r="L31" s="130" t="s">
        <v>54</v>
      </c>
      <c r="M31" s="117" t="s">
        <v>55</v>
      </c>
    </row>
    <row r="32" spans="1:14" ht="15.6">
      <c r="A32" s="24" t="str">
        <v>K287</v>
      </c>
      <c r="B32" s="25" t="str">
        <v>NY</v>
      </c>
      <c r="C32" s="25" t="str">
        <f>Sites[[#This Row],[SOL'#]]</f>
        <v>SOL-10919</v>
      </c>
      <c r="D32" s="20">
        <v>9429.75</v>
      </c>
      <c r="E32" s="10">
        <v>9596.7870000000003</v>
      </c>
      <c r="F32" s="10">
        <f t="shared" si="7"/>
        <v>-167.03700000000026</v>
      </c>
      <c r="G32" s="11">
        <f t="shared" si="8"/>
        <v>-1.7405512907601291E-2</v>
      </c>
      <c r="H32" s="12">
        <v>9504</v>
      </c>
      <c r="I32" s="12">
        <f t="shared" si="9"/>
        <v>-74.25</v>
      </c>
      <c r="J32" s="13">
        <f t="shared" si="10"/>
        <v>-7.8125E-3</v>
      </c>
      <c r="K32" s="53"/>
      <c r="L32" s="55"/>
    </row>
    <row r="33" spans="1:19" ht="15.75">
      <c r="A33" s="26" t="str">
        <v>K298</v>
      </c>
      <c r="B33" s="27" t="str">
        <v>NY</v>
      </c>
      <c r="C33" s="27" t="str">
        <f>Sites[[#This Row],[SOL'#]]</f>
        <v>SOL-10368</v>
      </c>
      <c r="D33" s="9">
        <v>9181.5</v>
      </c>
      <c r="E33" s="14">
        <v>12211.43</v>
      </c>
      <c r="F33" s="14">
        <f t="shared" si="7"/>
        <v>-3029.9300000000003</v>
      </c>
      <c r="G33" s="15">
        <f t="shared" si="8"/>
        <v>-0.24812245576480399</v>
      </c>
      <c r="H33" s="16">
        <v>9465</v>
      </c>
      <c r="I33" s="16">
        <f t="shared" si="9"/>
        <v>-283.5</v>
      </c>
      <c r="J33" s="15">
        <f t="shared" si="2"/>
        <v>-2.9952456418383518E-2</v>
      </c>
      <c r="K33" s="146" t="s">
        <v>23</v>
      </c>
      <c r="L33" s="140"/>
    </row>
    <row r="34" spans="1:19" ht="15.75">
      <c r="A34" s="24" t="str">
        <v>K335</v>
      </c>
      <c r="B34" s="25" t="str">
        <v>NY</v>
      </c>
      <c r="C34" s="25" t="str">
        <f>Sites[[#This Row],[SOL'#]]</f>
        <v>SOL-10370</v>
      </c>
      <c r="D34" s="20">
        <v>9894.3125</v>
      </c>
      <c r="E34" s="10">
        <v>13143.68</v>
      </c>
      <c r="F34" s="10">
        <f t="shared" si="7"/>
        <v>-3249.3675000000003</v>
      </c>
      <c r="G34" s="11">
        <f t="shared" si="8"/>
        <v>-0.24721900563616889</v>
      </c>
      <c r="H34" s="12">
        <v>10841</v>
      </c>
      <c r="I34" s="12">
        <f t="shared" si="9"/>
        <v>-946.6875</v>
      </c>
      <c r="J34" s="13">
        <f t="shared" si="10"/>
        <v>-8.7324739415183095E-2</v>
      </c>
      <c r="K34" s="53" t="s">
        <v>23</v>
      </c>
      <c r="L34" s="55"/>
    </row>
    <row r="35" spans="1:19" ht="15.6">
      <c r="A35" s="26" t="str">
        <v>K345</v>
      </c>
      <c r="B35" s="27" t="str">
        <v>NY</v>
      </c>
      <c r="C35" s="27" t="str">
        <f>Sites[[#This Row],[SOL'#]]</f>
        <v>SOL-10920</v>
      </c>
      <c r="D35" s="9">
        <v>12057.631171875</v>
      </c>
      <c r="E35" s="14">
        <v>9026.366</v>
      </c>
      <c r="F35" s="14">
        <f t="shared" si="7"/>
        <v>3031.2651718750003</v>
      </c>
      <c r="G35" s="15">
        <f t="shared" si="8"/>
        <v>0.3358234279304651</v>
      </c>
      <c r="H35" s="16">
        <v>11577</v>
      </c>
      <c r="I35" s="16">
        <f t="shared" si="9"/>
        <v>480.63117187500029</v>
      </c>
      <c r="J35" s="15">
        <f t="shared" si="2"/>
        <v>4.1516037995594737E-2</v>
      </c>
      <c r="K35" s="126"/>
      <c r="L35" s="140"/>
    </row>
    <row r="36" spans="1:19" ht="15.75">
      <c r="A36" s="24" t="str">
        <v>K445</v>
      </c>
      <c r="B36" s="25" t="str">
        <v>NY</v>
      </c>
      <c r="C36" s="25" t="str">
        <f>Sites[[#This Row],[SOL'#]]</f>
        <v>SOL-10373</v>
      </c>
      <c r="D36" s="20">
        <v>9972.625</v>
      </c>
      <c r="E36" s="10">
        <v>13155.89</v>
      </c>
      <c r="F36" s="10">
        <f t="shared" si="7"/>
        <v>-3183.2649999999994</v>
      </c>
      <c r="G36" s="11">
        <f t="shared" si="8"/>
        <v>-0.24196500578828187</v>
      </c>
      <c r="H36" s="12">
        <v>9461.3119999999999</v>
      </c>
      <c r="I36" s="12">
        <f t="shared" si="9"/>
        <v>511.3130000000001</v>
      </c>
      <c r="J36" s="13">
        <f t="shared" si="10"/>
        <v>5.4042504887271463E-2</v>
      </c>
      <c r="K36" s="53" t="s">
        <v>23</v>
      </c>
      <c r="L36" s="55"/>
      <c r="P36" s="24"/>
      <c r="Q36" s="25"/>
      <c r="R36" s="25"/>
      <c r="S36" s="20"/>
    </row>
    <row r="37" spans="1:19" ht="66.75" customHeight="1">
      <c r="A37" s="26" t="str">
        <v>K495</v>
      </c>
      <c r="B37" s="27" t="str">
        <v>NY</v>
      </c>
      <c r="C37" s="27" t="str">
        <f>Sites[[#This Row],[SOL'#]]</f>
        <v>SOL-10374</v>
      </c>
      <c r="D37" s="9">
        <v>576</v>
      </c>
      <c r="E37" s="14">
        <v>39846.9</v>
      </c>
      <c r="F37" s="14">
        <f t="shared" si="7"/>
        <v>-39270.9</v>
      </c>
      <c r="G37" s="15">
        <f t="shared" si="8"/>
        <v>-0.98554467223297171</v>
      </c>
      <c r="H37" s="16">
        <v>42524</v>
      </c>
      <c r="I37" s="16">
        <f t="shared" si="9"/>
        <v>-41948</v>
      </c>
      <c r="J37" s="15">
        <f t="shared" si="2"/>
        <v>-0.98645470792963974</v>
      </c>
      <c r="K37" s="95" t="s">
        <v>285</v>
      </c>
      <c r="L37" s="130" t="s">
        <v>57</v>
      </c>
    </row>
    <row r="38" spans="1:19" ht="15.75">
      <c r="A38" s="24" t="str">
        <v>M020</v>
      </c>
      <c r="B38" s="25" t="str">
        <v>NY</v>
      </c>
      <c r="C38" s="25" t="str">
        <f>Sites[[#This Row],[SOL'#]]</f>
        <v>SOL-10380</v>
      </c>
      <c r="D38" s="20">
        <v>10867.53125</v>
      </c>
      <c r="E38" s="10">
        <v>12814.96</v>
      </c>
      <c r="F38" s="10">
        <f t="shared" si="7"/>
        <v>-1947.4287499999991</v>
      </c>
      <c r="G38" s="11">
        <f t="shared" si="8"/>
        <v>-0.1519652616941449</v>
      </c>
      <c r="H38" s="12">
        <v>11685</v>
      </c>
      <c r="I38" s="12">
        <f t="shared" si="9"/>
        <v>-817.46875</v>
      </c>
      <c r="J38" s="13">
        <f t="shared" si="10"/>
        <v>-6.9958814719726148E-2</v>
      </c>
      <c r="K38" s="53" t="s">
        <v>50</v>
      </c>
      <c r="L38" s="55"/>
    </row>
    <row r="39" spans="1:19" ht="15.75">
      <c r="A39" s="26" t="str">
        <v>M092</v>
      </c>
      <c r="B39" s="27" t="str">
        <v>NY</v>
      </c>
      <c r="C39" s="27" t="str">
        <f>Sites[[#This Row],[SOL'#]]</f>
        <v>SOL-10383</v>
      </c>
      <c r="D39" s="9">
        <v>10232.6874999999</v>
      </c>
      <c r="E39" s="14">
        <v>12943.67</v>
      </c>
      <c r="F39" s="14">
        <f t="shared" si="7"/>
        <v>-2710.9825000001001</v>
      </c>
      <c r="G39" s="15">
        <f t="shared" si="8"/>
        <v>-0.20944465518667427</v>
      </c>
      <c r="H39" s="16">
        <v>10669.36</v>
      </c>
      <c r="I39" s="16">
        <f t="shared" si="9"/>
        <v>-436.67250000010063</v>
      </c>
      <c r="J39" s="15">
        <f t="shared" si="2"/>
        <v>-4.0927712627570972E-2</v>
      </c>
      <c r="K39" s="38" t="s">
        <v>23</v>
      </c>
      <c r="L39" s="140"/>
    </row>
    <row r="40" spans="1:19" ht="15.75">
      <c r="A40" s="24" t="str">
        <v>M143</v>
      </c>
      <c r="B40" s="25" t="str">
        <v>NY</v>
      </c>
      <c r="C40" s="25" t="str">
        <f>Sites[[#This Row],[SOL'#]]</f>
        <v>SOL-10384</v>
      </c>
      <c r="D40" s="20">
        <v>11888.4375</v>
      </c>
      <c r="E40" s="10">
        <v>14631.46</v>
      </c>
      <c r="F40" s="10">
        <f t="shared" si="7"/>
        <v>-2743.0224999999991</v>
      </c>
      <c r="G40" s="11">
        <f t="shared" si="8"/>
        <v>-0.18747428486289128</v>
      </c>
      <c r="H40" s="12">
        <v>11479.42</v>
      </c>
      <c r="I40" s="12">
        <f t="shared" si="9"/>
        <v>409.01749999999993</v>
      </c>
      <c r="J40" s="13">
        <f t="shared" si="10"/>
        <v>3.5630502237917937E-2</v>
      </c>
      <c r="K40" s="53" t="s">
        <v>50</v>
      </c>
      <c r="L40" s="55"/>
    </row>
    <row r="41" spans="1:19" ht="15.6">
      <c r="A41" s="26" t="str">
        <v>M144</v>
      </c>
      <c r="B41" s="27" t="str">
        <v>NY</v>
      </c>
      <c r="C41" s="27" t="str">
        <f>Sites[[#This Row],[SOL'#]]</f>
        <v>SOL-10385</v>
      </c>
      <c r="D41" s="9">
        <v>17687.03125</v>
      </c>
      <c r="E41" s="14">
        <v>0</v>
      </c>
      <c r="F41" s="14">
        <f t="shared" si="7"/>
        <v>17687.03125</v>
      </c>
      <c r="G41" s="15" t="str">
        <f t="shared" si="8"/>
        <v/>
      </c>
      <c r="H41" s="16">
        <v>18132</v>
      </c>
      <c r="I41" s="16">
        <f t="shared" si="9"/>
        <v>-444.96875</v>
      </c>
      <c r="J41" s="15">
        <f t="shared" si="2"/>
        <v>-2.4540522281050078E-2</v>
      </c>
      <c r="K41" s="126"/>
      <c r="L41" s="140"/>
    </row>
    <row r="42" spans="1:19" ht="15.6">
      <c r="A42" s="24" t="str">
        <v>M167</v>
      </c>
      <c r="B42" s="25" t="str">
        <v>NY</v>
      </c>
      <c r="C42" s="25" t="str">
        <f>Sites[[#This Row],[SOL'#]]</f>
        <v>SOL-10386</v>
      </c>
      <c r="D42" s="20">
        <v>12276.0625</v>
      </c>
      <c r="E42" s="10">
        <v>12046.86</v>
      </c>
      <c r="F42" s="10">
        <f t="shared" si="7"/>
        <v>229.20249999999942</v>
      </c>
      <c r="G42" s="11">
        <f t="shared" si="8"/>
        <v>1.9025912146401584E-2</v>
      </c>
      <c r="H42" s="12">
        <v>13350.32</v>
      </c>
      <c r="I42" s="12">
        <f t="shared" si="9"/>
        <v>-1074.2574999999997</v>
      </c>
      <c r="J42" s="13">
        <f t="shared" si="10"/>
        <v>-8.0466797799603279E-2</v>
      </c>
      <c r="K42" s="53"/>
      <c r="L42" s="55"/>
    </row>
    <row r="43" spans="1:19" ht="15.6">
      <c r="A43" s="26" t="str">
        <v>M188</v>
      </c>
      <c r="B43" s="27" t="str">
        <v>NY</v>
      </c>
      <c r="C43" s="27" t="str">
        <f>Sites[[#This Row],[SOL'#]]</f>
        <v>SOL-10387</v>
      </c>
      <c r="D43" s="9">
        <v>9166.43750000006</v>
      </c>
      <c r="E43" s="14">
        <v>0</v>
      </c>
      <c r="F43" s="14">
        <f t="shared" si="7"/>
        <v>9166.43750000006</v>
      </c>
      <c r="G43" s="15" t="str">
        <f t="shared" si="8"/>
        <v/>
      </c>
      <c r="H43" s="16">
        <v>9611</v>
      </c>
      <c r="I43" s="16">
        <f t="shared" si="9"/>
        <v>-444.56249999993997</v>
      </c>
      <c r="J43" s="15">
        <f t="shared" si="2"/>
        <v>-4.625559255019665E-2</v>
      </c>
      <c r="K43" s="126"/>
      <c r="L43" s="140"/>
    </row>
    <row r="44" spans="1:19" ht="15.6">
      <c r="A44" s="24" t="str">
        <v>EMHC</v>
      </c>
      <c r="B44" s="25" t="str">
        <v>NY</v>
      </c>
      <c r="C44" s="25" t="str">
        <f>Sites[[#This Row],[SOL'#]]</f>
        <v>SOL-10351</v>
      </c>
      <c r="D44" s="20">
        <v>3579.109375</v>
      </c>
      <c r="E44" s="10">
        <v>2980.9180000000001</v>
      </c>
      <c r="F44" s="10">
        <f t="shared" si="7"/>
        <v>598.19137499999988</v>
      </c>
      <c r="G44" s="11">
        <f t="shared" si="8"/>
        <v>0.20067354251274266</v>
      </c>
      <c r="H44" s="12">
        <v>3438.4270000000001</v>
      </c>
      <c r="I44" s="12">
        <f t="shared" si="9"/>
        <v>140.68237499999987</v>
      </c>
      <c r="J44" s="13">
        <f t="shared" si="10"/>
        <v>4.0914748226441873E-2</v>
      </c>
      <c r="K44" s="53"/>
      <c r="L44" s="55"/>
    </row>
    <row r="45" spans="1:19" ht="78">
      <c r="A45" s="26" t="str">
        <v>Q008</v>
      </c>
      <c r="B45" s="27" t="str">
        <v>NY</v>
      </c>
      <c r="C45" s="27" t="str">
        <f>Sites[[#This Row],[SOL'#]]</f>
        <v>SOL-10397</v>
      </c>
      <c r="D45" s="9">
        <v>10602.4375</v>
      </c>
      <c r="E45" s="14">
        <v>13743.77</v>
      </c>
      <c r="F45" s="14">
        <f t="shared" si="7"/>
        <v>-3141.3325000000004</v>
      </c>
      <c r="G45" s="15">
        <f t="shared" si="8"/>
        <v>-0.22856410577301572</v>
      </c>
      <c r="H45" s="16">
        <v>14789</v>
      </c>
      <c r="I45" s="16">
        <f t="shared" si="9"/>
        <v>-4186.5625</v>
      </c>
      <c r="J45" s="15">
        <f t="shared" si="2"/>
        <v>-0.28308624653458653</v>
      </c>
      <c r="K45" s="99" t="s">
        <v>286</v>
      </c>
      <c r="L45" s="130" t="s">
        <v>287</v>
      </c>
      <c r="M45" s="117" t="s">
        <v>288</v>
      </c>
    </row>
    <row r="46" spans="1:19" ht="15.6">
      <c r="A46" s="24" t="str">
        <v>Q018</v>
      </c>
      <c r="B46" s="25" t="str">
        <v>NY</v>
      </c>
      <c r="C46" s="25" t="str">
        <f>Sites[[#This Row],[SOL'#]]</f>
        <v>SOL-10398</v>
      </c>
      <c r="D46" s="20">
        <v>10195.875</v>
      </c>
      <c r="E46" s="10">
        <v>10582.87</v>
      </c>
      <c r="F46" s="10">
        <f t="shared" si="7"/>
        <v>-386.9950000000008</v>
      </c>
      <c r="G46" s="11">
        <f t="shared" si="8"/>
        <v>-3.6568057625200046E-2</v>
      </c>
      <c r="H46" s="12">
        <v>8701.0149999999994</v>
      </c>
      <c r="I46" s="12">
        <f t="shared" si="9"/>
        <v>1494.8600000000006</v>
      </c>
      <c r="J46" s="13">
        <f t="shared" si="10"/>
        <v>0.1718029448288505</v>
      </c>
      <c r="K46" s="53"/>
      <c r="L46" s="55"/>
    </row>
    <row r="47" spans="1:19" ht="15.75">
      <c r="A47" s="26" t="str">
        <v>Q021</v>
      </c>
      <c r="B47" s="27" t="str">
        <v>NY</v>
      </c>
      <c r="C47" s="27" t="str">
        <f>Sites[[#This Row],[SOL'#]]</f>
        <v>SOL-10399</v>
      </c>
      <c r="D47" s="9">
        <v>7999.06250000006</v>
      </c>
      <c r="E47" s="14">
        <v>9770.4189999999999</v>
      </c>
      <c r="F47" s="14">
        <f t="shared" si="7"/>
        <v>-1771.3564999999398</v>
      </c>
      <c r="G47" s="15">
        <f t="shared" si="8"/>
        <v>-0.18129790544294364</v>
      </c>
      <c r="H47" s="16">
        <v>7091</v>
      </c>
      <c r="I47" s="16">
        <f t="shared" si="9"/>
        <v>908.06250000006003</v>
      </c>
      <c r="J47" s="15">
        <f t="shared" si="2"/>
        <v>0.12805845437879848</v>
      </c>
      <c r="K47" s="126" t="s">
        <v>50</v>
      </c>
      <c r="L47" s="140"/>
    </row>
    <row r="48" spans="1:19" ht="15.75">
      <c r="A48" s="24" t="str">
        <v>Q025</v>
      </c>
      <c r="B48" s="25" t="str">
        <v>NY</v>
      </c>
      <c r="C48" s="25" t="str">
        <f>Sites[[#This Row],[SOL'#]]</f>
        <v>SOL-10400</v>
      </c>
      <c r="D48" s="20">
        <v>13488.125</v>
      </c>
      <c r="E48" s="10">
        <v>15603.33</v>
      </c>
      <c r="F48" s="10">
        <f t="shared" si="7"/>
        <v>-2115.2049999999999</v>
      </c>
      <c r="G48" s="11">
        <f t="shared" si="8"/>
        <v>-0.13556112701583573</v>
      </c>
      <c r="H48" s="12">
        <v>9540</v>
      </c>
      <c r="I48" s="12">
        <f t="shared" si="9"/>
        <v>3948.125</v>
      </c>
      <c r="J48" s="13">
        <f t="shared" si="10"/>
        <v>0.41384958071278827</v>
      </c>
      <c r="K48" s="53" t="s">
        <v>50</v>
      </c>
      <c r="L48" s="55"/>
    </row>
    <row r="49" spans="1:12" ht="15.6">
      <c r="A49" s="26" t="str">
        <v>Q074</v>
      </c>
      <c r="B49" s="27" t="str">
        <v>NY</v>
      </c>
      <c r="C49" s="27" t="str">
        <f>Sites[[#This Row],[SOL'#]]</f>
        <v>SOL-10402</v>
      </c>
      <c r="D49" s="9">
        <v>8712.375</v>
      </c>
      <c r="E49" s="14">
        <v>9652.3340000000007</v>
      </c>
      <c r="F49" s="14">
        <f t="shared" si="7"/>
        <v>-939.95900000000074</v>
      </c>
      <c r="G49" s="15">
        <f t="shared" si="8"/>
        <v>-9.7381524510030487E-2</v>
      </c>
      <c r="H49" s="16">
        <v>8010.3040000000001</v>
      </c>
      <c r="I49" s="16">
        <f t="shared" si="9"/>
        <v>702.07099999999991</v>
      </c>
      <c r="J49" s="15">
        <f t="shared" si="2"/>
        <v>8.7645986968784201E-2</v>
      </c>
      <c r="K49" s="126"/>
      <c r="L49" s="126"/>
    </row>
    <row r="50" spans="1:12" ht="15.75">
      <c r="A50" s="24" t="str">
        <v>Q115</v>
      </c>
      <c r="B50" s="25" t="str">
        <v>NY</v>
      </c>
      <c r="C50" s="25" t="str">
        <f>Sites[[#This Row],[SOL'#]]</f>
        <v>SOL-10872</v>
      </c>
      <c r="D50" s="20">
        <v>11579.0625</v>
      </c>
      <c r="E50" s="10">
        <v>13986.53</v>
      </c>
      <c r="F50" s="10">
        <f t="shared" si="7"/>
        <v>-2407.4675000000007</v>
      </c>
      <c r="G50" s="11">
        <f t="shared" si="8"/>
        <v>-0.17212757560309816</v>
      </c>
      <c r="H50" s="12">
        <v>10682.2</v>
      </c>
      <c r="I50" s="12">
        <f t="shared" si="9"/>
        <v>896.86249999999927</v>
      </c>
      <c r="J50" s="13">
        <f t="shared" si="10"/>
        <v>8.395859467150954E-2</v>
      </c>
      <c r="K50" s="53" t="s">
        <v>50</v>
      </c>
      <c r="L50" s="55"/>
    </row>
    <row r="51" spans="1:12" ht="15.75">
      <c r="A51" s="26" t="str">
        <v>Q139</v>
      </c>
      <c r="B51" s="27" t="str">
        <v>NY</v>
      </c>
      <c r="C51" s="27" t="str">
        <f>Sites[[#This Row],[SOL'#]]</f>
        <v>SOL-10403</v>
      </c>
      <c r="D51" s="9">
        <v>6671.93750000006</v>
      </c>
      <c r="E51" s="14">
        <v>7652.4610000000002</v>
      </c>
      <c r="F51" s="14">
        <f t="shared" si="7"/>
        <v>-980.52349999994021</v>
      </c>
      <c r="G51" s="15">
        <f t="shared" si="8"/>
        <v>-0.12813178662392924</v>
      </c>
      <c r="H51" s="16">
        <v>6752</v>
      </c>
      <c r="I51" s="16">
        <f t="shared" si="9"/>
        <v>-80.062499999939973</v>
      </c>
      <c r="J51" s="15">
        <f t="shared" si="2"/>
        <v>-1.1857597748806275E-2</v>
      </c>
      <c r="K51" s="126" t="s">
        <v>50</v>
      </c>
      <c r="L51" s="140"/>
    </row>
    <row r="52" spans="1:12" ht="15.75">
      <c r="A52" s="24" t="str">
        <v>Q157</v>
      </c>
      <c r="B52" s="25" t="str">
        <v>NY</v>
      </c>
      <c r="C52" s="25" t="str">
        <f>Sites[[#This Row],[SOL'#]]</f>
        <v>SOL-10404</v>
      </c>
      <c r="D52" s="20">
        <v>11403.1875</v>
      </c>
      <c r="E52" s="10">
        <v>14877.12</v>
      </c>
      <c r="F52" s="10">
        <f t="shared" si="7"/>
        <v>-3473.9325000000008</v>
      </c>
      <c r="G52" s="11">
        <f t="shared" si="8"/>
        <v>-0.23350840081951349</v>
      </c>
      <c r="H52" s="12">
        <v>12206.92</v>
      </c>
      <c r="I52" s="12">
        <f t="shared" si="9"/>
        <v>-803.73250000000007</v>
      </c>
      <c r="J52" s="13">
        <f t="shared" si="10"/>
        <v>-6.5842366460990981E-2</v>
      </c>
      <c r="K52" s="53" t="s">
        <v>23</v>
      </c>
      <c r="L52" s="55"/>
    </row>
    <row r="53" spans="1:12" ht="15.75">
      <c r="A53" s="26" t="str">
        <v>Q192</v>
      </c>
      <c r="B53" s="27" t="str">
        <v>NY</v>
      </c>
      <c r="C53" s="27" t="str">
        <f>Sites[[#This Row],[SOL'#]]</f>
        <v>SOL-10406</v>
      </c>
      <c r="D53" s="9">
        <v>18821</v>
      </c>
      <c r="E53" s="14">
        <v>23040.39</v>
      </c>
      <c r="F53" s="14">
        <f t="shared" si="7"/>
        <v>-4219.3899999999994</v>
      </c>
      <c r="G53" s="15">
        <f t="shared" si="8"/>
        <v>-0.18313014666852426</v>
      </c>
      <c r="H53" s="16">
        <v>17990.990000000002</v>
      </c>
      <c r="I53" s="16">
        <f t="shared" si="9"/>
        <v>830.0099999999984</v>
      </c>
      <c r="J53" s="15">
        <f t="shared" si="2"/>
        <v>4.6134759676927081E-2</v>
      </c>
      <c r="K53" s="126" t="s">
        <v>50</v>
      </c>
      <c r="L53" s="140"/>
    </row>
    <row r="54" spans="1:12" ht="15.6">
      <c r="A54" s="24" t="str">
        <v>Q210</v>
      </c>
      <c r="B54" s="25" t="str">
        <v>NY</v>
      </c>
      <c r="C54" s="25" t="str">
        <f>Sites[[#This Row],[SOL'#]]</f>
        <v>SOL-10407</v>
      </c>
      <c r="D54" s="20">
        <v>15487.5</v>
      </c>
      <c r="E54" s="10">
        <v>16908.57</v>
      </c>
      <c r="F54" s="10">
        <f t="shared" si="7"/>
        <v>-1421.0699999999997</v>
      </c>
      <c r="G54" s="11">
        <f t="shared" si="8"/>
        <v>-8.404436330215978E-2</v>
      </c>
      <c r="H54" s="12">
        <v>15013</v>
      </c>
      <c r="I54" s="12">
        <f t="shared" si="9"/>
        <v>474.5</v>
      </c>
      <c r="J54" s="13">
        <f t="shared" si="10"/>
        <v>3.1605941517351625E-2</v>
      </c>
      <c r="K54" s="53"/>
      <c r="L54" s="55"/>
    </row>
    <row r="55" spans="1:12" ht="15.75">
      <c r="A55" s="26" t="str">
        <v>Q229</v>
      </c>
      <c r="B55" s="27" t="str">
        <v>NY</v>
      </c>
      <c r="C55" s="27" t="str">
        <f>Sites[[#This Row],[SOL'#]]</f>
        <v>SOL-10408</v>
      </c>
      <c r="D55" s="9">
        <v>6297.90625</v>
      </c>
      <c r="E55" s="14">
        <v>8488.41</v>
      </c>
      <c r="F55" s="14">
        <f t="shared" si="7"/>
        <v>-2190.5037499999999</v>
      </c>
      <c r="G55" s="15">
        <f t="shared" si="8"/>
        <v>-0.25805819346614972</v>
      </c>
      <c r="H55" s="16">
        <v>5292.6949999999997</v>
      </c>
      <c r="I55" s="16">
        <f t="shared" si="9"/>
        <v>1005.2112500000003</v>
      </c>
      <c r="J55" s="15">
        <f t="shared" si="2"/>
        <v>0.18992427298380132</v>
      </c>
      <c r="K55" s="38" t="s">
        <v>23</v>
      </c>
      <c r="L55" s="140"/>
    </row>
    <row r="56" spans="1:12" ht="15.75">
      <c r="A56" s="24" t="str">
        <v>Q231</v>
      </c>
      <c r="B56" s="25" t="str">
        <v>NY</v>
      </c>
      <c r="C56" s="25" t="str">
        <f>Sites[[#This Row],[SOL'#]]</f>
        <v>SOL-10870</v>
      </c>
      <c r="D56" s="20">
        <v>25056.625</v>
      </c>
      <c r="E56" s="10">
        <v>32973.33</v>
      </c>
      <c r="F56" s="10">
        <f t="shared" si="7"/>
        <v>-7916.7050000000017</v>
      </c>
      <c r="G56" s="11">
        <f t="shared" si="8"/>
        <v>-0.24009419127519124</v>
      </c>
      <c r="H56" s="12">
        <v>23657</v>
      </c>
      <c r="I56" s="12">
        <f t="shared" si="9"/>
        <v>1399.625</v>
      </c>
      <c r="J56" s="13">
        <f t="shared" si="10"/>
        <v>5.9163249778078367E-2</v>
      </c>
      <c r="K56" s="53" t="s">
        <v>23</v>
      </c>
      <c r="L56" s="55"/>
    </row>
    <row r="57" spans="1:12" ht="15.75">
      <c r="A57" s="26" t="str">
        <v>Q405</v>
      </c>
      <c r="B57" s="27" t="str">
        <v>NY</v>
      </c>
      <c r="C57" s="27" t="str">
        <f>Sites[[#This Row],[SOL'#]]</f>
        <v>SOL-10409</v>
      </c>
      <c r="D57" s="9">
        <v>28712.875</v>
      </c>
      <c r="E57" s="14">
        <v>33159.449999999997</v>
      </c>
      <c r="F57" s="14">
        <f t="shared" si="7"/>
        <v>-4446.5749999999971</v>
      </c>
      <c r="G57" s="15">
        <f t="shared" si="8"/>
        <v>-0.13409676577868443</v>
      </c>
      <c r="H57" s="16">
        <v>26589.46</v>
      </c>
      <c r="I57" s="16">
        <f t="shared" si="9"/>
        <v>2123.4150000000009</v>
      </c>
      <c r="J57" s="15">
        <f t="shared" si="2"/>
        <v>7.9859275066135257E-2</v>
      </c>
      <c r="K57" s="126" t="s">
        <v>50</v>
      </c>
      <c r="L57" s="140"/>
    </row>
    <row r="58" spans="1:12" ht="15.6">
      <c r="A58" s="24" t="str">
        <v>Q435</v>
      </c>
      <c r="B58" s="25" t="str">
        <v>NY</v>
      </c>
      <c r="C58" s="25" t="str">
        <f>Sites[[#This Row],[SOL'#]]</f>
        <v>SOL-10923</v>
      </c>
      <c r="D58" s="20">
        <v>38240.625</v>
      </c>
      <c r="E58" s="10">
        <v>33165.410000000003</v>
      </c>
      <c r="F58" s="10">
        <f t="shared" si="7"/>
        <v>5075.2149999999965</v>
      </c>
      <c r="G58" s="11">
        <f t="shared" si="8"/>
        <v>0.15302735591087208</v>
      </c>
      <c r="H58" s="12">
        <v>34507</v>
      </c>
      <c r="I58" s="12">
        <f t="shared" si="9"/>
        <v>3733.625</v>
      </c>
      <c r="J58" s="13">
        <f t="shared" si="10"/>
        <v>0.10819906106007476</v>
      </c>
      <c r="K58" s="53"/>
      <c r="L58" s="55"/>
    </row>
    <row r="59" spans="1:12" ht="28.9">
      <c r="A59" s="26" t="str">
        <v>Q485</v>
      </c>
      <c r="B59" s="27" t="str">
        <v>NY</v>
      </c>
      <c r="C59" s="27" t="str">
        <f>Sites[[#This Row],[SOL'#]]</f>
        <v>SOL-10869</v>
      </c>
      <c r="D59" s="9">
        <v>30533.75</v>
      </c>
      <c r="E59" s="14">
        <v>31458.799999999999</v>
      </c>
      <c r="F59" s="14">
        <f t="shared" si="7"/>
        <v>-925.04999999999927</v>
      </c>
      <c r="G59" s="15">
        <f t="shared" si="8"/>
        <v>-2.9405126705405141E-2</v>
      </c>
      <c r="H59" s="16">
        <v>32755.35</v>
      </c>
      <c r="I59" s="16">
        <f t="shared" si="9"/>
        <v>-2221.5999999999985</v>
      </c>
      <c r="J59" s="15">
        <f t="shared" si="2"/>
        <v>-6.7824034852321788E-2</v>
      </c>
      <c r="K59" s="126" t="s">
        <v>289</v>
      </c>
      <c r="L59" s="114" t="s">
        <v>290</v>
      </c>
    </row>
    <row r="60" spans="1:12" ht="43.15">
      <c r="A60" s="24" t="str">
        <v>Q490</v>
      </c>
      <c r="B60" s="25" t="str">
        <v>NY</v>
      </c>
      <c r="C60" s="25" t="str">
        <f>Sites[[#This Row],[SOL'#]]</f>
        <v>SOL-10411</v>
      </c>
      <c r="D60" s="20">
        <v>24146.5</v>
      </c>
      <c r="E60" s="10">
        <v>0</v>
      </c>
      <c r="F60" s="10">
        <f t="shared" si="7"/>
        <v>24146.5</v>
      </c>
      <c r="G60" s="11" t="str">
        <f t="shared" si="8"/>
        <v/>
      </c>
      <c r="H60" s="12">
        <v>22664.36</v>
      </c>
      <c r="I60" s="12">
        <f t="shared" si="9"/>
        <v>1482.1399999999994</v>
      </c>
      <c r="J60" s="13">
        <f t="shared" si="10"/>
        <v>6.5395184333464501E-2</v>
      </c>
      <c r="K60" s="53" t="s">
        <v>291</v>
      </c>
      <c r="L60" s="129" t="s">
        <v>292</v>
      </c>
    </row>
    <row r="61" spans="1:12" ht="15.6">
      <c r="A61" s="26" t="str">
        <v>Q620</v>
      </c>
      <c r="B61" s="27" t="str">
        <v>NY</v>
      </c>
      <c r="C61" s="27" t="str">
        <f>Sites[[#This Row],[SOL'#]]</f>
        <v>SOL-10867</v>
      </c>
      <c r="D61" s="9">
        <v>36470.75</v>
      </c>
      <c r="E61" s="14">
        <v>40130.17</v>
      </c>
      <c r="F61" s="14">
        <f t="shared" si="7"/>
        <v>-3659.4199999999983</v>
      </c>
      <c r="G61" s="15">
        <f t="shared" si="8"/>
        <v>-9.118874901352271E-2</v>
      </c>
      <c r="H61" s="16">
        <v>36602.33</v>
      </c>
      <c r="I61" s="16">
        <f t="shared" si="9"/>
        <v>-131.58000000000175</v>
      </c>
      <c r="J61" s="15">
        <f t="shared" si="2"/>
        <v>-3.5948531145422093E-3</v>
      </c>
      <c r="K61" s="126"/>
      <c r="L61" s="140"/>
    </row>
    <row r="62" spans="1:12" ht="15.6">
      <c r="A62" s="24" t="str">
        <v>QMOA</v>
      </c>
      <c r="B62" s="25" t="str">
        <v>NY</v>
      </c>
      <c r="C62" s="25" t="str">
        <f>Sites[[#This Row],[SOL'#]]</f>
        <v>SOL-10415</v>
      </c>
      <c r="D62" s="20">
        <v>3286.3</v>
      </c>
      <c r="E62" s="10">
        <v>0</v>
      </c>
      <c r="F62" s="10">
        <f t="shared" si="7"/>
        <v>3286.3</v>
      </c>
      <c r="G62" s="11" t="str">
        <f t="shared" si="8"/>
        <v/>
      </c>
      <c r="H62" s="12">
        <v>3713.027</v>
      </c>
      <c r="I62" s="12">
        <f t="shared" si="9"/>
        <v>-426.72699999999986</v>
      </c>
      <c r="J62" s="13">
        <f t="shared" si="10"/>
        <v>-0.11492698544879955</v>
      </c>
      <c r="K62" s="53"/>
      <c r="L62" s="55"/>
    </row>
    <row r="63" spans="1:12" ht="15.6">
      <c r="A63" s="26" t="str">
        <v>X024</v>
      </c>
      <c r="B63" s="27" t="str">
        <v>NY</v>
      </c>
      <c r="C63" s="27" t="str">
        <f>Sites[[#This Row],[SOL'#]]</f>
        <v>SOL-10419</v>
      </c>
      <c r="D63" s="9">
        <v>13357.03125</v>
      </c>
      <c r="E63" s="14">
        <v>17555.580000000002</v>
      </c>
      <c r="F63" s="14">
        <f t="shared" si="7"/>
        <v>-4198.5487500000017</v>
      </c>
      <c r="G63" s="15">
        <f t="shared" si="8"/>
        <v>-0.23915750718574957</v>
      </c>
      <c r="H63" s="16">
        <v>11514</v>
      </c>
      <c r="I63" s="16">
        <f t="shared" si="9"/>
        <v>1843.03125</v>
      </c>
      <c r="J63" s="15">
        <f t="shared" si="2"/>
        <v>0.16006872068785827</v>
      </c>
      <c r="K63" s="126" t="s">
        <v>293</v>
      </c>
      <c r="L63" s="132" t="s">
        <v>294</v>
      </c>
    </row>
    <row r="64" spans="1:12" ht="15.6">
      <c r="A64" s="24" t="str">
        <v>X026</v>
      </c>
      <c r="B64" s="25" t="str">
        <v>NY</v>
      </c>
      <c r="C64" s="25" t="str">
        <f>Sites[[#This Row],[SOL'#]]</f>
        <v>SOL-10420</v>
      </c>
      <c r="D64" s="20">
        <v>10799.6</v>
      </c>
      <c r="E64" s="10">
        <v>13459.43</v>
      </c>
      <c r="F64" s="10">
        <f t="shared" si="7"/>
        <v>-2659.83</v>
      </c>
      <c r="G64" s="11">
        <f t="shared" si="8"/>
        <v>-0.197618324104364</v>
      </c>
      <c r="H64" s="12">
        <v>15192.76</v>
      </c>
      <c r="I64" s="12">
        <f t="shared" si="9"/>
        <v>-4393.16</v>
      </c>
      <c r="J64" s="13">
        <f t="shared" si="10"/>
        <v>-0.28916141635884457</v>
      </c>
      <c r="K64" s="53" t="s">
        <v>295</v>
      </c>
      <c r="L64" s="129" t="s">
        <v>296</v>
      </c>
    </row>
    <row r="65" spans="1:16" ht="15.6">
      <c r="A65" s="26" t="str">
        <v>X090</v>
      </c>
      <c r="B65" s="27" t="str">
        <v>NY</v>
      </c>
      <c r="C65" s="27" t="str">
        <f>Sites[[#This Row],[SOL'#]]</f>
        <v>SOL-10925</v>
      </c>
      <c r="D65" s="9">
        <v>10677.875</v>
      </c>
      <c r="E65" s="14">
        <v>8915.4629999999997</v>
      </c>
      <c r="F65" s="14">
        <f t="shared" si="7"/>
        <v>1762.4120000000003</v>
      </c>
      <c r="G65" s="15">
        <f t="shared" si="8"/>
        <v>0.1976803672450887</v>
      </c>
      <c r="H65" s="16">
        <v>9953</v>
      </c>
      <c r="I65" s="16">
        <f t="shared" si="9"/>
        <v>724.875</v>
      </c>
      <c r="J65" s="15">
        <f t="shared" si="2"/>
        <v>7.2829800060283334E-2</v>
      </c>
      <c r="K65" s="126"/>
      <c r="L65" s="140"/>
    </row>
    <row r="66" spans="1:16" ht="15.75">
      <c r="A66" s="24" t="str">
        <v>X117</v>
      </c>
      <c r="B66" s="25" t="str">
        <v>NY</v>
      </c>
      <c r="C66" s="25" t="str">
        <f>Sites[[#This Row],[SOL'#]]</f>
        <v>SOL-10422</v>
      </c>
      <c r="D66" s="20">
        <v>8069</v>
      </c>
      <c r="E66" s="10">
        <v>11399.76</v>
      </c>
      <c r="F66" s="10">
        <f t="shared" si="7"/>
        <v>-3330.76</v>
      </c>
      <c r="G66" s="11">
        <f t="shared" si="8"/>
        <v>-0.29217808094205494</v>
      </c>
      <c r="H66" s="12">
        <v>8666.4240000000009</v>
      </c>
      <c r="I66" s="12">
        <f t="shared" si="9"/>
        <v>-597.42400000000089</v>
      </c>
      <c r="J66" s="13">
        <f t="shared" si="10"/>
        <v>-6.8935468654660881E-2</v>
      </c>
      <c r="K66" s="53" t="s">
        <v>23</v>
      </c>
      <c r="L66" s="129"/>
    </row>
    <row r="67" spans="1:16" ht="15.75">
      <c r="A67" s="26" t="str">
        <v>X125</v>
      </c>
      <c r="B67" s="27" t="str">
        <v>NY</v>
      </c>
      <c r="C67" s="27" t="str">
        <f>Sites[[#This Row],[SOL'#]]</f>
        <v>SOL-10423</v>
      </c>
      <c r="D67" s="9">
        <v>15785</v>
      </c>
      <c r="E67" s="14">
        <v>18886.62</v>
      </c>
      <c r="F67" s="14">
        <f t="shared" si="7"/>
        <v>-3101.619999999999</v>
      </c>
      <c r="G67" s="15">
        <f t="shared" si="8"/>
        <v>-0.16422313786161838</v>
      </c>
      <c r="H67" s="16">
        <v>15455.69</v>
      </c>
      <c r="I67" s="16">
        <f t="shared" si="9"/>
        <v>329.30999999999949</v>
      </c>
      <c r="J67" s="15">
        <f t="shared" si="2"/>
        <v>2.1306716167314398E-2</v>
      </c>
      <c r="K67" s="126" t="s">
        <v>50</v>
      </c>
      <c r="L67" s="140"/>
    </row>
    <row r="68" spans="1:16" ht="15.6">
      <c r="A68" s="24" t="str">
        <v>X134</v>
      </c>
      <c r="B68" s="25" t="str">
        <v>NY</v>
      </c>
      <c r="C68" s="25" t="str">
        <f>Sites[[#This Row],[SOL'#]]</f>
        <v>SOL-10424</v>
      </c>
      <c r="D68" s="20">
        <v>15055.5625</v>
      </c>
      <c r="E68" s="10">
        <v>0</v>
      </c>
      <c r="F68" s="10">
        <f t="shared" si="7"/>
        <v>15055.5625</v>
      </c>
      <c r="G68" s="11" t="str">
        <f t="shared" si="8"/>
        <v/>
      </c>
      <c r="H68" s="12">
        <v>15137</v>
      </c>
      <c r="I68" s="12">
        <f t="shared" si="9"/>
        <v>-81.4375</v>
      </c>
      <c r="J68" s="13">
        <f t="shared" si="10"/>
        <v>-5.3800290678469977E-3</v>
      </c>
      <c r="K68" s="53"/>
      <c r="L68" s="55"/>
    </row>
    <row r="69" spans="1:16" ht="15.6">
      <c r="A69" s="26" t="str">
        <v>X135</v>
      </c>
      <c r="B69" s="27" t="str">
        <v>NY</v>
      </c>
      <c r="C69" s="27" t="str">
        <f>Sites[[#This Row],[SOL'#]]</f>
        <v>SOL-10425</v>
      </c>
      <c r="D69" s="9">
        <v>12885.6875</v>
      </c>
      <c r="E69" s="14">
        <v>15852.51</v>
      </c>
      <c r="F69" s="14">
        <f t="shared" si="7"/>
        <v>-2966.8225000000002</v>
      </c>
      <c r="G69" s="15">
        <f t="shared" si="8"/>
        <v>-0.18715159302848572</v>
      </c>
      <c r="H69" s="16">
        <v>13152</v>
      </c>
      <c r="I69" s="16">
        <f t="shared" si="9"/>
        <v>-266.3125</v>
      </c>
      <c r="J69" s="15">
        <f t="shared" si="10"/>
        <v>-2.0248821472019465E-2</v>
      </c>
      <c r="K69" s="126"/>
      <c r="L69" s="140"/>
    </row>
    <row r="70" spans="1:16" ht="15.6">
      <c r="A70" s="24" t="str">
        <v>X139 JHS 222</v>
      </c>
      <c r="B70" s="25" t="str">
        <v>NY</v>
      </c>
      <c r="C70" s="25" t="str">
        <f>Sites[[#This Row],[SOL'#]]</f>
        <v>SOL-10426</v>
      </c>
      <c r="D70" s="20">
        <v>19027.021380983799</v>
      </c>
      <c r="E70" s="10">
        <v>21977.34</v>
      </c>
      <c r="F70" s="10">
        <f t="shared" si="7"/>
        <v>-2950.3186190162014</v>
      </c>
      <c r="G70" s="11">
        <f t="shared" si="8"/>
        <v>-0.13424366274609217</v>
      </c>
      <c r="H70" s="12">
        <v>17714</v>
      </c>
      <c r="I70" s="12">
        <f t="shared" si="9"/>
        <v>1313.0213809837987</v>
      </c>
      <c r="J70" s="13">
        <f t="shared" si="10"/>
        <v>7.4123370271186567E-2</v>
      </c>
      <c r="K70" s="53"/>
      <c r="L70" s="55"/>
    </row>
    <row r="71" spans="1:16" ht="15.6">
      <c r="A71" s="26" t="str">
        <v>X140</v>
      </c>
      <c r="B71" s="27" t="str">
        <v>NY</v>
      </c>
      <c r="C71" s="27" t="str">
        <f>Sites[[#This Row],[SOL'#]]</f>
        <v>SOL-10926</v>
      </c>
      <c r="D71" s="9">
        <v>11175.4375</v>
      </c>
      <c r="E71" s="14">
        <v>10393.82</v>
      </c>
      <c r="F71" s="14">
        <f t="shared" si="7"/>
        <v>781.61750000000029</v>
      </c>
      <c r="G71" s="15">
        <f t="shared" si="8"/>
        <v>7.5200215127835604E-2</v>
      </c>
      <c r="H71" s="16">
        <v>10945</v>
      </c>
      <c r="I71" s="16">
        <f t="shared" si="9"/>
        <v>230.4375</v>
      </c>
      <c r="J71" s="15">
        <f t="shared" si="10"/>
        <v>2.1054134307903153E-2</v>
      </c>
      <c r="K71" s="126"/>
      <c r="L71" s="126"/>
    </row>
    <row r="72" spans="1:16" ht="15.75">
      <c r="A72" s="24" t="str">
        <v>X166</v>
      </c>
      <c r="B72" s="25" t="str">
        <v>NY</v>
      </c>
      <c r="C72" s="25" t="str">
        <f>Sites[[#This Row],[SOL'#]]</f>
        <v>SOL-10427</v>
      </c>
      <c r="D72" s="20">
        <v>11556.1</v>
      </c>
      <c r="E72" s="10">
        <v>14445.19</v>
      </c>
      <c r="F72" s="10">
        <f t="shared" si="7"/>
        <v>-2889.09</v>
      </c>
      <c r="G72" s="11">
        <f t="shared" si="8"/>
        <v>-0.20000359981419422</v>
      </c>
      <c r="H72" s="12">
        <v>11066</v>
      </c>
      <c r="I72" s="12">
        <f t="shared" si="9"/>
        <v>490.10000000000036</v>
      </c>
      <c r="J72" s="13">
        <f t="shared" si="10"/>
        <v>4.4288812579071059E-2</v>
      </c>
      <c r="K72" s="53" t="s">
        <v>23</v>
      </c>
      <c r="L72" s="55"/>
    </row>
    <row r="73" spans="1:16" ht="15.75">
      <c r="A73" s="26" t="str">
        <v>Murphy</v>
      </c>
      <c r="B73" s="27" t="str">
        <v>MN</v>
      </c>
      <c r="C73" s="27" t="str">
        <f>Sites[[#This Row],[SOL'#]]</f>
        <v>SOL-10094</v>
      </c>
      <c r="D73" s="9">
        <v>460150</v>
      </c>
      <c r="E73" s="14">
        <v>753001.2</v>
      </c>
      <c r="F73" s="14">
        <f t="shared" si="7"/>
        <v>-292851.19999999995</v>
      </c>
      <c r="G73" s="15">
        <f t="shared" si="8"/>
        <v>-0.3889119964217852</v>
      </c>
      <c r="H73" s="16">
        <v>667564.9</v>
      </c>
      <c r="I73" s="16">
        <f t="shared" si="9"/>
        <v>-207414.90000000002</v>
      </c>
      <c r="J73" s="15">
        <f t="shared" si="10"/>
        <v>-0.3107037233383601</v>
      </c>
      <c r="K73" s="38" t="s">
        <v>23</v>
      </c>
      <c r="L73" s="126"/>
    </row>
    <row r="74" spans="1:16" ht="15.75">
      <c r="A74" s="24" t="str">
        <v>Terning</v>
      </c>
      <c r="B74" s="25" t="str">
        <v>MN</v>
      </c>
      <c r="C74" s="25" t="str">
        <f>Sites[[#This Row],[SOL'#]]</f>
        <v>SOL-10093</v>
      </c>
      <c r="D74" s="20">
        <v>350130</v>
      </c>
      <c r="E74" s="10">
        <v>749173.8</v>
      </c>
      <c r="F74" s="10">
        <f t="shared" si="7"/>
        <v>-399043.80000000005</v>
      </c>
      <c r="G74" s="11">
        <f t="shared" si="8"/>
        <v>-0.53264516191036049</v>
      </c>
      <c r="H74" s="12">
        <v>630205.69999999995</v>
      </c>
      <c r="I74" s="12">
        <f t="shared" si="9"/>
        <v>-280075.69999999995</v>
      </c>
      <c r="J74" s="13">
        <f t="shared" si="10"/>
        <v>-0.44441949668179764</v>
      </c>
      <c r="K74" s="53" t="s">
        <v>23</v>
      </c>
      <c r="L74" s="55"/>
    </row>
    <row r="75" spans="1:16" ht="40.5" customHeight="1">
      <c r="A75" s="26" t="str">
        <v>Boas Road 04</v>
      </c>
      <c r="B75" s="27" t="str">
        <v>NY</v>
      </c>
      <c r="C75" s="27" t="str">
        <f>Sites[[#This Row],[SOL'#]]</f>
        <v>SOL-10908</v>
      </c>
      <c r="D75" s="9">
        <v>126816</v>
      </c>
      <c r="E75" s="14">
        <v>236439.995</v>
      </c>
      <c r="F75" s="14">
        <f t="shared" si="7"/>
        <v>-109623.995</v>
      </c>
      <c r="G75" s="15">
        <f t="shared" si="8"/>
        <v>-0.46364404211732452</v>
      </c>
      <c r="H75" s="16">
        <v>221381.46</v>
      </c>
      <c r="I75" s="16">
        <f t="shared" si="9"/>
        <v>-94565.459999999992</v>
      </c>
      <c r="J75" s="15">
        <f t="shared" si="10"/>
        <v>-0.42716070261710259</v>
      </c>
      <c r="K75" s="126" t="s">
        <v>297</v>
      </c>
      <c r="L75" s="114" t="s">
        <v>298</v>
      </c>
    </row>
    <row r="76" spans="1:16" ht="71.25" customHeight="1">
      <c r="A76" s="24" t="str">
        <v>Kelly Bridge Farm</v>
      </c>
      <c r="B76" s="25" t="str">
        <v>NY</v>
      </c>
      <c r="C76" s="25" t="str">
        <f>Sites[[#This Row],[SOL'#]]</f>
        <v>SOL-10911</v>
      </c>
      <c r="D76" s="20">
        <v>129392</v>
      </c>
      <c r="E76" s="10">
        <v>222534.07699999999</v>
      </c>
      <c r="F76" s="10">
        <f t="shared" si="7"/>
        <v>-93142.07699999999</v>
      </c>
      <c r="G76" s="11">
        <f t="shared" si="8"/>
        <v>-0.41855197305354719</v>
      </c>
      <c r="H76" s="12">
        <v>209678.4</v>
      </c>
      <c r="I76" s="12">
        <f t="shared" si="9"/>
        <v>-80286.399999999994</v>
      </c>
      <c r="J76" s="13">
        <f t="shared" si="10"/>
        <v>-0.38290257842486397</v>
      </c>
      <c r="K76" s="53" t="s">
        <v>299</v>
      </c>
      <c r="L76" s="129" t="s">
        <v>300</v>
      </c>
      <c r="M76" s="117" t="s">
        <v>80</v>
      </c>
    </row>
    <row r="77" spans="1:16" ht="15.6">
      <c r="A77" s="26" t="str">
        <v>Pool Brook Road</v>
      </c>
      <c r="B77" s="27" t="str">
        <v>NY</v>
      </c>
      <c r="C77" s="27" t="str">
        <f>Sites[[#This Row],[SOL'#]]</f>
        <v>SOL-10909</v>
      </c>
      <c r="D77" s="9">
        <v>103676</v>
      </c>
      <c r="E77" s="14">
        <v>166624.15299999999</v>
      </c>
      <c r="F77" s="14">
        <f t="shared" si="7"/>
        <v>-62948.152999999991</v>
      </c>
      <c r="G77" s="15">
        <f t="shared" si="8"/>
        <v>-0.37778528422587088</v>
      </c>
      <c r="H77" s="16">
        <v>197019.95</v>
      </c>
      <c r="I77" s="16">
        <f t="shared" si="9"/>
        <v>-93343.950000000012</v>
      </c>
      <c r="J77" s="15">
        <f t="shared" si="10"/>
        <v>-0.47377917819997417</v>
      </c>
      <c r="K77" s="126" t="s">
        <v>301</v>
      </c>
      <c r="L77" s="132" t="s">
        <v>302</v>
      </c>
    </row>
    <row r="78" spans="1:16" ht="124.5" customHeight="1">
      <c r="A78" s="24" t="str">
        <v>Sackett Lake</v>
      </c>
      <c r="B78" s="25" t="str">
        <v>NY</v>
      </c>
      <c r="C78" s="25" t="str">
        <f>Sites[[#This Row],[SOL'#]]</f>
        <v>SOL-10910</v>
      </c>
      <c r="D78" s="20">
        <v>133417</v>
      </c>
      <c r="E78" s="10">
        <v>238769.59</v>
      </c>
      <c r="F78" s="10">
        <f t="shared" si="7"/>
        <v>-105352.59</v>
      </c>
      <c r="G78" s="11">
        <f t="shared" si="8"/>
        <v>-0.44123118861158156</v>
      </c>
      <c r="H78" s="12">
        <v>223751.3</v>
      </c>
      <c r="I78" s="12">
        <f t="shared" si="9"/>
        <v>-90334.299999999988</v>
      </c>
      <c r="J78" s="13">
        <f t="shared" si="10"/>
        <v>-0.40372636941103801</v>
      </c>
      <c r="K78" s="53" t="s">
        <v>303</v>
      </c>
      <c r="L78" s="129" t="s">
        <v>304</v>
      </c>
    </row>
    <row r="79" spans="1:16" ht="48" customHeight="1">
      <c r="A79" s="26" t="str">
        <v>Burritt Road</v>
      </c>
      <c r="B79" s="27" t="str">
        <v>NY</v>
      </c>
      <c r="C79" s="27" t="str">
        <f>Sites[[#This Row],[SOL'#]]</f>
        <v>SOL-10913</v>
      </c>
      <c r="D79" s="9">
        <v>70080</v>
      </c>
      <c r="E79" s="14">
        <v>0</v>
      </c>
      <c r="F79" s="14">
        <f t="shared" si="7"/>
        <v>70080</v>
      </c>
      <c r="G79" s="15" t="str">
        <f t="shared" si="8"/>
        <v/>
      </c>
      <c r="H79" s="16">
        <v>176195.64</v>
      </c>
      <c r="I79" s="16">
        <f t="shared" si="9"/>
        <v>-106115.64000000001</v>
      </c>
      <c r="J79" s="15">
        <f t="shared" si="10"/>
        <v>-0.60226030564660971</v>
      </c>
      <c r="K79" s="56" t="s">
        <v>305</v>
      </c>
      <c r="L79" s="114" t="s">
        <v>84</v>
      </c>
    </row>
    <row r="80" spans="1:16" ht="205.5" customHeight="1">
      <c r="A80" s="24" t="str">
        <v>Villa Roma 1</v>
      </c>
      <c r="B80" s="25" t="str">
        <v>NY</v>
      </c>
      <c r="C80" s="25" t="str">
        <f>Sites[[#This Row],[SOL'#]]</f>
        <v>SOL-10914</v>
      </c>
      <c r="D80" s="20">
        <v>108474</v>
      </c>
      <c r="E80" s="10">
        <v>143425.427</v>
      </c>
      <c r="F80" s="10">
        <f t="shared" si="7"/>
        <v>-34951.426999999996</v>
      </c>
      <c r="G80" s="11">
        <f t="shared" si="8"/>
        <v>-0.24369059051154157</v>
      </c>
      <c r="H80" s="12">
        <v>154660.6</v>
      </c>
      <c r="I80" s="12">
        <f t="shared" si="9"/>
        <v>-46186.600000000006</v>
      </c>
      <c r="J80" s="13">
        <f t="shared" si="10"/>
        <v>-0.29863197220235799</v>
      </c>
      <c r="K80" s="53" t="s">
        <v>306</v>
      </c>
      <c r="L80" s="129" t="s">
        <v>307</v>
      </c>
      <c r="M80" s="117" t="s">
        <v>308</v>
      </c>
      <c r="N80" s="117" t="s">
        <v>309</v>
      </c>
      <c r="O80" s="117" t="s">
        <v>310</v>
      </c>
      <c r="P80" s="131" t="s">
        <v>311</v>
      </c>
    </row>
    <row r="81" spans="1:17" ht="33" customHeight="1">
      <c r="A81" s="26" t="str">
        <v>Villa Roma 2</v>
      </c>
      <c r="B81" s="27" t="str">
        <v>NY</v>
      </c>
      <c r="C81" s="27" t="str">
        <f>Sites[[#This Row],[SOL'#]]</f>
        <v>SOL-10915</v>
      </c>
      <c r="D81" s="9">
        <v>116176</v>
      </c>
      <c r="E81" s="14">
        <v>202602.86199999999</v>
      </c>
      <c r="F81" s="14">
        <f t="shared" si="7"/>
        <v>-86426.861999999994</v>
      </c>
      <c r="G81" s="15">
        <f t="shared" si="8"/>
        <v>-0.42658263139441732</v>
      </c>
      <c r="H81" s="16">
        <v>149735.1</v>
      </c>
      <c r="I81" s="16">
        <f t="shared" si="9"/>
        <v>-33559.100000000006</v>
      </c>
      <c r="J81" s="15">
        <f t="shared" si="10"/>
        <v>-0.2241231347893714</v>
      </c>
      <c r="K81" s="126" t="s">
        <v>23</v>
      </c>
      <c r="L81" s="140"/>
    </row>
    <row r="82" spans="1:17" ht="98.25" customHeight="1">
      <c r="A82" s="24" t="str">
        <v>Washington 1</v>
      </c>
      <c r="B82" s="25" t="str">
        <v>NY</v>
      </c>
      <c r="C82" s="25" t="str">
        <f>Sites[[#This Row],[SOL'#]]</f>
        <v>SOL-10912</v>
      </c>
      <c r="D82" s="20">
        <v>91690</v>
      </c>
      <c r="E82" s="10">
        <v>180993.09899999999</v>
      </c>
      <c r="F82" s="10">
        <f t="shared" ref="F82:F145" si="11">IF(AND(ISNUMBER(D82),ISNUMBER(E82)), D82-E82, "")</f>
        <v>-89303.098999999987</v>
      </c>
      <c r="G82" s="11">
        <f t="shared" ref="G82:G145" si="12">IFERROR(F82/E82, "")</f>
        <v>-0.49340609942260832</v>
      </c>
      <c r="H82" s="12">
        <v>174362.65</v>
      </c>
      <c r="I82" s="12">
        <f t="shared" ref="I82:I137" si="13">IF(AND(ISNUMBER(D82),ISNUMBER(H82)), D82-H82, "")</f>
        <v>-82672.649999999994</v>
      </c>
      <c r="J82" s="13">
        <f t="shared" ref="J82:J145" si="14">IFERROR(I82/H82, "")</f>
        <v>-0.47414196790425012</v>
      </c>
      <c r="K82" s="53" t="s">
        <v>312</v>
      </c>
      <c r="L82" s="129" t="s">
        <v>313</v>
      </c>
      <c r="M82" s="117" t="s">
        <v>314</v>
      </c>
    </row>
    <row r="83" spans="1:17" ht="125.25" customHeight="1">
      <c r="A83" s="26" t="str">
        <v>Washington 3</v>
      </c>
      <c r="B83" s="27" t="str">
        <v>NY</v>
      </c>
      <c r="C83" s="27" t="str">
        <f>Sites[[#This Row],[SOL'#]]</f>
        <v>SOL-10828</v>
      </c>
      <c r="D83" s="9">
        <v>114033</v>
      </c>
      <c r="E83" s="14">
        <v>0</v>
      </c>
      <c r="F83" s="14">
        <f t="shared" si="11"/>
        <v>114033</v>
      </c>
      <c r="G83" s="15" t="str">
        <f t="shared" si="12"/>
        <v/>
      </c>
      <c r="H83" s="16">
        <v>213534.97</v>
      </c>
      <c r="I83" s="16">
        <f t="shared" si="13"/>
        <v>-99501.97</v>
      </c>
      <c r="J83" s="15">
        <f t="shared" si="14"/>
        <v>-0.46597505785586313</v>
      </c>
      <c r="K83" s="126" t="s">
        <v>315</v>
      </c>
      <c r="L83" s="114" t="s">
        <v>316</v>
      </c>
      <c r="M83" s="117" t="s">
        <v>97</v>
      </c>
      <c r="N83" s="117" t="s">
        <v>317</v>
      </c>
    </row>
    <row r="84" spans="1:17" ht="195.75" customHeight="1">
      <c r="A84" s="24" t="str">
        <v>Washington 4</v>
      </c>
      <c r="B84" s="25" t="str">
        <v>NY</v>
      </c>
      <c r="C84" s="25" t="str">
        <f>Sites[[#This Row],[SOL'#]]</f>
        <v>SOL-10829</v>
      </c>
      <c r="D84" s="20">
        <v>72393</v>
      </c>
      <c r="E84" s="10">
        <v>214328.826</v>
      </c>
      <c r="F84" s="10">
        <f t="shared" si="11"/>
        <v>-141935.826</v>
      </c>
      <c r="G84" s="11">
        <f t="shared" si="12"/>
        <v>-0.66223395447516709</v>
      </c>
      <c r="H84" s="12">
        <v>213201.1</v>
      </c>
      <c r="I84" s="12">
        <f t="shared" si="13"/>
        <v>-140808.1</v>
      </c>
      <c r="J84" s="13">
        <f t="shared" si="14"/>
        <v>-0.66044734290770546</v>
      </c>
      <c r="K84" s="53" t="s">
        <v>318</v>
      </c>
      <c r="L84" s="129" t="s">
        <v>319</v>
      </c>
      <c r="M84" s="117" t="s">
        <v>320</v>
      </c>
      <c r="N84" s="117" t="s">
        <v>321</v>
      </c>
      <c r="O84" s="117" t="s">
        <v>322</v>
      </c>
      <c r="P84" s="134" t="s">
        <v>323</v>
      </c>
      <c r="Q84" s="131" t="s">
        <v>324</v>
      </c>
    </row>
    <row r="85" spans="1:17" ht="15.75">
      <c r="A85" s="26" t="str">
        <v>Big Tree</v>
      </c>
      <c r="B85" s="27" t="str">
        <v>NY</v>
      </c>
      <c r="C85" s="27" t="str">
        <f>Sites[[#This Row],[SOL'#]]</f>
        <v>SOL-10966</v>
      </c>
      <c r="D85" s="9">
        <v>72637</v>
      </c>
      <c r="E85" s="14">
        <v>0</v>
      </c>
      <c r="F85" s="14">
        <f t="shared" si="11"/>
        <v>72637</v>
      </c>
      <c r="G85" s="15" t="str">
        <f t="shared" si="12"/>
        <v/>
      </c>
      <c r="H85" s="16">
        <v>174248.8</v>
      </c>
      <c r="I85" s="16">
        <f t="shared" si="13"/>
        <v>-101611.79999999999</v>
      </c>
      <c r="J85" s="15">
        <f t="shared" si="14"/>
        <v>-0.58314203598532666</v>
      </c>
      <c r="K85" s="126" t="s">
        <v>23</v>
      </c>
      <c r="L85" s="126"/>
    </row>
    <row r="86" spans="1:17" ht="115.15">
      <c r="A86" s="24" t="str">
        <v>Canoga</v>
      </c>
      <c r="B86" s="25" t="str">
        <v>NY</v>
      </c>
      <c r="C86" s="25" t="str">
        <f>Sites[[#This Row],[SOL'#]]</f>
        <v>SOL-10965</v>
      </c>
      <c r="D86" s="20">
        <v>371320</v>
      </c>
      <c r="E86" s="10">
        <v>0</v>
      </c>
      <c r="F86" s="10">
        <f t="shared" si="11"/>
        <v>371320</v>
      </c>
      <c r="G86" s="11" t="str">
        <f t="shared" si="12"/>
        <v/>
      </c>
      <c r="H86" s="12">
        <v>542311.13</v>
      </c>
      <c r="I86" s="12">
        <f t="shared" si="13"/>
        <v>-170991.13</v>
      </c>
      <c r="J86" s="13">
        <f t="shared" si="14"/>
        <v>-0.31530079421383073</v>
      </c>
      <c r="K86" s="53" t="s">
        <v>325</v>
      </c>
      <c r="L86" s="113" t="s">
        <v>326</v>
      </c>
      <c r="M86" s="117" t="s">
        <v>101</v>
      </c>
      <c r="N86" s="117" t="s">
        <v>327</v>
      </c>
    </row>
    <row r="87" spans="1:17" ht="41.25" customHeight="1">
      <c r="A87" s="26" t="str">
        <v>County Route 84</v>
      </c>
      <c r="B87" s="27" t="str">
        <v>NY</v>
      </c>
      <c r="C87" s="27" t="str">
        <f>Sites[[#This Row],[SOL'#]]</f>
        <v>SOL-10967</v>
      </c>
      <c r="D87" s="9">
        <v>490380</v>
      </c>
      <c r="E87" s="14">
        <v>0</v>
      </c>
      <c r="F87" s="14">
        <f t="shared" si="11"/>
        <v>490380</v>
      </c>
      <c r="G87" s="15" t="str">
        <f t="shared" si="12"/>
        <v/>
      </c>
      <c r="H87" s="16">
        <v>565014.13</v>
      </c>
      <c r="I87" s="16">
        <f t="shared" si="13"/>
        <v>-74634.13</v>
      </c>
      <c r="J87" s="15">
        <f t="shared" si="14"/>
        <v>-0.13209250182822863</v>
      </c>
      <c r="K87" s="126" t="s">
        <v>328</v>
      </c>
      <c r="L87" s="114" t="s">
        <v>329</v>
      </c>
    </row>
    <row r="88" spans="1:17" ht="93" customHeight="1">
      <c r="A88" s="24" t="str">
        <v>Donati</v>
      </c>
      <c r="B88" s="25" t="str">
        <v>NY</v>
      </c>
      <c r="C88" s="25" t="str">
        <f>Sites[[#This Row],[SOL'#]]</f>
        <v>SOL-10968</v>
      </c>
      <c r="D88" s="20">
        <v>145850</v>
      </c>
      <c r="E88" s="10">
        <v>0</v>
      </c>
      <c r="F88" s="10">
        <f t="shared" si="11"/>
        <v>145850</v>
      </c>
      <c r="G88" s="11" t="str">
        <f t="shared" si="12"/>
        <v/>
      </c>
      <c r="H88" s="12">
        <v>242335.08</v>
      </c>
      <c r="I88" s="12">
        <f t="shared" si="13"/>
        <v>-96485.079999999987</v>
      </c>
      <c r="J88" s="13">
        <f t="shared" si="14"/>
        <v>-0.39814739161990081</v>
      </c>
      <c r="K88" s="53" t="s">
        <v>330</v>
      </c>
      <c r="L88" s="113" t="s">
        <v>331</v>
      </c>
      <c r="M88" s="117" t="s">
        <v>332</v>
      </c>
      <c r="N88" s="117" t="s">
        <v>107</v>
      </c>
    </row>
    <row r="89" spans="1:17" ht="51.75" customHeight="1">
      <c r="A89" s="26" t="str">
        <v>Henrietta</v>
      </c>
      <c r="B89" s="27" t="str">
        <v>NY</v>
      </c>
      <c r="C89" s="27" t="str">
        <f>Sites[[#This Row],[SOL'#]]</f>
        <v>SOL-10972</v>
      </c>
      <c r="D89" s="9">
        <v>284330</v>
      </c>
      <c r="E89" s="14">
        <v>0</v>
      </c>
      <c r="F89" s="14">
        <f t="shared" si="11"/>
        <v>284330</v>
      </c>
      <c r="G89" s="15" t="str">
        <f t="shared" si="12"/>
        <v/>
      </c>
      <c r="H89" s="16">
        <v>435403</v>
      </c>
      <c r="I89" s="16">
        <f t="shared" si="13"/>
        <v>-151073</v>
      </c>
      <c r="J89" s="15">
        <f t="shared" si="14"/>
        <v>-0.34697280450525148</v>
      </c>
      <c r="K89" s="126" t="s">
        <v>333</v>
      </c>
      <c r="L89" s="114" t="s">
        <v>334</v>
      </c>
    </row>
    <row r="90" spans="1:17" ht="111" customHeight="1">
      <c r="A90" s="24" t="str">
        <v>NY 70</v>
      </c>
      <c r="B90" s="25" t="str">
        <v>NY</v>
      </c>
      <c r="C90" s="25" t="str">
        <f>Sites[[#This Row],[SOL'#]]</f>
        <v>SOL-10970</v>
      </c>
      <c r="D90" s="20">
        <v>381710</v>
      </c>
      <c r="E90" s="10">
        <v>0</v>
      </c>
      <c r="F90" s="10">
        <f t="shared" si="11"/>
        <v>381710</v>
      </c>
      <c r="G90" s="11" t="str">
        <f t="shared" si="12"/>
        <v/>
      </c>
      <c r="H90" s="12">
        <v>546198.4</v>
      </c>
      <c r="I90" s="12">
        <f t="shared" si="13"/>
        <v>-164488.40000000002</v>
      </c>
      <c r="J90" s="13">
        <f t="shared" si="14"/>
        <v>-0.30115137649615964</v>
      </c>
      <c r="K90" s="53" t="s">
        <v>335</v>
      </c>
      <c r="L90" s="113" t="s">
        <v>336</v>
      </c>
      <c r="M90" s="117" t="s">
        <v>337</v>
      </c>
      <c r="N90" s="117" t="s">
        <v>338</v>
      </c>
      <c r="O90" s="117" t="s">
        <v>339</v>
      </c>
      <c r="P90" s="131" t="s">
        <v>340</v>
      </c>
    </row>
    <row r="91" spans="1:17" ht="43.15">
      <c r="A91" s="26" t="str">
        <v>Reid</v>
      </c>
      <c r="B91" s="27" t="str">
        <v>NY</v>
      </c>
      <c r="C91" s="27" t="str">
        <f>Sites[[#This Row],[SOL'#]]</f>
        <v>SOL-10991</v>
      </c>
      <c r="D91" s="9">
        <v>100770.98203980199</v>
      </c>
      <c r="E91" s="14">
        <v>356493.2</v>
      </c>
      <c r="F91" s="14">
        <f t="shared" si="11"/>
        <v>-255722.217960198</v>
      </c>
      <c r="G91" s="15">
        <f t="shared" si="12"/>
        <v>-0.71732705689813436</v>
      </c>
      <c r="H91" s="16">
        <v>430708</v>
      </c>
      <c r="I91" s="16">
        <f t="shared" si="13"/>
        <v>-329937.01796019799</v>
      </c>
      <c r="J91" s="15">
        <f t="shared" si="14"/>
        <v>-0.76603410654131798</v>
      </c>
      <c r="K91" s="126" t="s">
        <v>341</v>
      </c>
      <c r="L91" s="114" t="s">
        <v>342</v>
      </c>
      <c r="M91" s="117" t="s">
        <v>343</v>
      </c>
    </row>
    <row r="92" spans="1:17" ht="100.5" customHeight="1">
      <c r="A92" s="24" t="str">
        <v>Sangolqui</v>
      </c>
      <c r="B92" s="25" t="str">
        <v>NY</v>
      </c>
      <c r="C92" s="25" t="str">
        <f>Sites[[#This Row],[SOL'#]]</f>
        <v>SOL-10975</v>
      </c>
      <c r="D92" s="20">
        <v>149355</v>
      </c>
      <c r="E92" s="10">
        <v>0</v>
      </c>
      <c r="F92" s="10">
        <f t="shared" si="11"/>
        <v>149355</v>
      </c>
      <c r="G92" s="11" t="str">
        <f t="shared" si="12"/>
        <v/>
      </c>
      <c r="H92" s="12">
        <v>234644.93</v>
      </c>
      <c r="I92" s="12">
        <f t="shared" si="13"/>
        <v>-85289.93</v>
      </c>
      <c r="J92" s="13">
        <f t="shared" si="14"/>
        <v>-0.36348507508770805</v>
      </c>
      <c r="K92" s="53" t="s">
        <v>344</v>
      </c>
      <c r="L92" s="129" t="s">
        <v>345</v>
      </c>
      <c r="M92" s="117" t="s">
        <v>346</v>
      </c>
      <c r="N92" s="117" t="s">
        <v>347</v>
      </c>
    </row>
    <row r="93" spans="1:17" ht="43.15">
      <c r="A93" s="26" t="str">
        <v>State Highway 17B</v>
      </c>
      <c r="B93" s="27" t="str">
        <v>NY</v>
      </c>
      <c r="C93" s="27" t="str">
        <f>Sites[[#This Row],[SOL'#]]</f>
        <v>SOL-10988</v>
      </c>
      <c r="D93" s="9">
        <v>360290</v>
      </c>
      <c r="E93" s="14">
        <v>0</v>
      </c>
      <c r="F93" s="14">
        <f t="shared" si="11"/>
        <v>360290</v>
      </c>
      <c r="G93" s="15" t="str">
        <f t="shared" si="12"/>
        <v/>
      </c>
      <c r="H93" s="16">
        <v>472300.06</v>
      </c>
      <c r="I93" s="16">
        <f t="shared" si="13"/>
        <v>-112010.06</v>
      </c>
      <c r="J93" s="15">
        <f t="shared" si="14"/>
        <v>-0.23715868255447606</v>
      </c>
      <c r="K93" s="126" t="s">
        <v>348</v>
      </c>
      <c r="L93" s="114" t="s">
        <v>349</v>
      </c>
    </row>
    <row r="94" spans="1:17" ht="28.9">
      <c r="A94" s="24" t="str">
        <v>State Route 14A</v>
      </c>
      <c r="B94" s="25" t="str">
        <v>NY</v>
      </c>
      <c r="C94" s="25" t="str">
        <f>Sites[[#This Row],[SOL'#]]</f>
        <v>SOL-10997</v>
      </c>
      <c r="D94" s="20">
        <v>403215</v>
      </c>
      <c r="E94" s="10">
        <v>0</v>
      </c>
      <c r="F94" s="10">
        <f t="shared" si="11"/>
        <v>403215</v>
      </c>
      <c r="G94" s="11" t="str">
        <f t="shared" si="12"/>
        <v/>
      </c>
      <c r="H94" s="12">
        <v>539717.54</v>
      </c>
      <c r="I94" s="12">
        <f t="shared" si="13"/>
        <v>-136502.54000000004</v>
      </c>
      <c r="J94" s="13">
        <f t="shared" si="14"/>
        <v>-0.25291477464304762</v>
      </c>
      <c r="K94" s="53" t="s">
        <v>350</v>
      </c>
      <c r="L94" s="129" t="s">
        <v>351</v>
      </c>
    </row>
    <row r="95" spans="1:17" ht="15.75">
      <c r="A95" s="26" t="str">
        <v>West Creek</v>
      </c>
      <c r="B95" s="27" t="str">
        <v>NY</v>
      </c>
      <c r="C95" s="27" t="str">
        <f>Sites[[#This Row],[SOL'#]]</f>
        <v>SOL-10995</v>
      </c>
      <c r="D95" s="9">
        <v>448900</v>
      </c>
      <c r="E95" s="14">
        <v>0</v>
      </c>
      <c r="F95" s="14">
        <f t="shared" si="11"/>
        <v>448900</v>
      </c>
      <c r="G95" s="15" t="str">
        <f t="shared" si="12"/>
        <v/>
      </c>
      <c r="H95" s="16">
        <v>504797.7</v>
      </c>
      <c r="I95" s="16">
        <f t="shared" si="13"/>
        <v>-55897.700000000012</v>
      </c>
      <c r="J95" s="15">
        <f t="shared" si="14"/>
        <v>-0.11073287378290354</v>
      </c>
      <c r="K95" s="126" t="s">
        <v>23</v>
      </c>
      <c r="L95" s="126"/>
    </row>
    <row r="96" spans="1:17" ht="187.15">
      <c r="A96" s="24" t="str">
        <v>Wildflower</v>
      </c>
      <c r="B96" s="25" t="str">
        <v>NY</v>
      </c>
      <c r="C96" s="25" t="str">
        <f>Sites[[#This Row],[SOL'#]]</f>
        <v>SOL-10982</v>
      </c>
      <c r="D96" s="20">
        <v>369846.5</v>
      </c>
      <c r="E96" s="10">
        <v>0</v>
      </c>
      <c r="F96" s="10">
        <f t="shared" si="11"/>
        <v>369846.5</v>
      </c>
      <c r="G96" s="11" t="str">
        <f t="shared" si="12"/>
        <v/>
      </c>
      <c r="H96" s="12">
        <v>608235.16</v>
      </c>
      <c r="I96" s="12">
        <f t="shared" si="13"/>
        <v>-238388.66000000003</v>
      </c>
      <c r="J96" s="13">
        <f t="shared" si="14"/>
        <v>-0.39193502065878599</v>
      </c>
      <c r="K96" s="53" t="s">
        <v>352</v>
      </c>
      <c r="L96" s="129" t="s">
        <v>353</v>
      </c>
      <c r="M96" s="117" t="s">
        <v>121</v>
      </c>
      <c r="N96" s="117" t="s">
        <v>354</v>
      </c>
    </row>
    <row r="97" spans="1:13" ht="15.75">
      <c r="A97" s="26" t="str">
        <v>Glen Mary 1</v>
      </c>
      <c r="B97" s="27" t="str">
        <v>NY</v>
      </c>
      <c r="C97" s="27" t="str">
        <f>Sites[[#This Row],[SOL'#]]</f>
        <v>SOL-10993</v>
      </c>
      <c r="D97" s="9">
        <v>474210</v>
      </c>
      <c r="E97" s="14">
        <v>0</v>
      </c>
      <c r="F97" s="14">
        <f t="shared" si="11"/>
        <v>474210</v>
      </c>
      <c r="G97" s="15" t="str">
        <f t="shared" si="12"/>
        <v/>
      </c>
      <c r="H97" s="16">
        <v>580930</v>
      </c>
      <c r="I97" s="16">
        <f t="shared" si="13"/>
        <v>-106720</v>
      </c>
      <c r="J97" s="15">
        <f t="shared" si="14"/>
        <v>-0.18370543783244109</v>
      </c>
      <c r="K97" s="120" t="s">
        <v>23</v>
      </c>
      <c r="L97" s="140"/>
    </row>
    <row r="98" spans="1:13" ht="43.15">
      <c r="A98" s="24" t="str">
        <v>Glen Mary 2</v>
      </c>
      <c r="B98" s="25" t="str">
        <v>NY</v>
      </c>
      <c r="C98" s="25" t="str">
        <f>Sites[[#This Row],[SOL'#]]</f>
        <v>SOL-10994</v>
      </c>
      <c r="D98" s="20">
        <v>15960</v>
      </c>
      <c r="E98" s="10">
        <v>0</v>
      </c>
      <c r="F98" s="10">
        <f t="shared" si="11"/>
        <v>15960</v>
      </c>
      <c r="G98" s="11" t="str">
        <f t="shared" si="12"/>
        <v/>
      </c>
      <c r="H98" s="12">
        <v>242369.3</v>
      </c>
      <c r="I98" s="12">
        <f t="shared" si="13"/>
        <v>-226409.3</v>
      </c>
      <c r="J98" s="13">
        <f t="shared" si="14"/>
        <v>-0.93415007593783539</v>
      </c>
      <c r="K98" s="53" t="s">
        <v>355</v>
      </c>
      <c r="L98" s="129" t="s">
        <v>124</v>
      </c>
    </row>
    <row r="99" spans="1:13" ht="28.9">
      <c r="A99" s="26" t="str">
        <v>Telegraph 1</v>
      </c>
      <c r="B99" s="27" t="str">
        <v>NY</v>
      </c>
      <c r="C99" s="27" t="str">
        <f>Sites[[#This Row],[SOL'#]]</f>
        <v>SOL-11003</v>
      </c>
      <c r="D99" s="9">
        <v>205099</v>
      </c>
      <c r="E99" s="14">
        <v>0</v>
      </c>
      <c r="F99" s="14">
        <f t="shared" si="11"/>
        <v>205099</v>
      </c>
      <c r="G99" s="15" t="str">
        <f t="shared" si="12"/>
        <v/>
      </c>
      <c r="H99" s="16">
        <v>385388.91</v>
      </c>
      <c r="I99" s="16">
        <f t="shared" si="13"/>
        <v>-180289.90999999997</v>
      </c>
      <c r="J99" s="15">
        <f t="shared" si="14"/>
        <v>-0.46781291656783791</v>
      </c>
      <c r="K99" s="126" t="s">
        <v>356</v>
      </c>
      <c r="L99" s="132" t="s">
        <v>357</v>
      </c>
    </row>
    <row r="100" spans="1:13" ht="28.9">
      <c r="A100" s="24" t="str">
        <v>Telegraph 2</v>
      </c>
      <c r="B100" s="25" t="str">
        <v>NY</v>
      </c>
      <c r="C100" s="25" t="str">
        <f>Sites[[#This Row],[SOL'#]]</f>
        <v>SOL-11004</v>
      </c>
      <c r="D100" s="20">
        <v>117513</v>
      </c>
      <c r="E100" s="10">
        <v>0</v>
      </c>
      <c r="F100" s="10">
        <f t="shared" si="11"/>
        <v>117513</v>
      </c>
      <c r="G100" s="11" t="str">
        <f t="shared" si="12"/>
        <v/>
      </c>
      <c r="H100" s="12">
        <v>199344.36</v>
      </c>
      <c r="I100" s="12">
        <f t="shared" si="13"/>
        <v>-81831.359999999986</v>
      </c>
      <c r="J100" s="13">
        <f t="shared" si="14"/>
        <v>-0.41050250932607268</v>
      </c>
      <c r="K100" s="53" t="s">
        <v>358</v>
      </c>
      <c r="L100" s="129" t="s">
        <v>359</v>
      </c>
      <c r="M100" s="138"/>
    </row>
    <row r="101" spans="1:13" ht="15.75">
      <c r="A101" s="26" t="str">
        <v>Cafferty Hill</v>
      </c>
      <c r="B101" s="27" t="str">
        <v>NY</v>
      </c>
      <c r="C101" s="27" t="str">
        <f>Sites[[#This Row],[SOL'#]]</f>
        <v>SOL-10996</v>
      </c>
      <c r="D101" s="9">
        <v>430610</v>
      </c>
      <c r="E101" s="14">
        <v>0</v>
      </c>
      <c r="F101" s="14">
        <f t="shared" si="11"/>
        <v>430610</v>
      </c>
      <c r="G101" s="15" t="str">
        <f t="shared" si="12"/>
        <v/>
      </c>
      <c r="H101" s="16">
        <v>487273.3</v>
      </c>
      <c r="I101" s="16">
        <f t="shared" si="13"/>
        <v>-56663.299999999988</v>
      </c>
      <c r="J101" s="15">
        <f t="shared" si="14"/>
        <v>-0.11628648645431627</v>
      </c>
      <c r="K101" s="126" t="s">
        <v>360</v>
      </c>
      <c r="L101" s="140"/>
    </row>
    <row r="102" spans="1:13" ht="75.75" customHeight="1">
      <c r="A102" s="24" t="str">
        <v>Dunkleman</v>
      </c>
      <c r="B102" s="25" t="str">
        <v>NY</v>
      </c>
      <c r="C102" s="25" t="str">
        <f>Sites[[#This Row],[SOL'#]]</f>
        <v>SOL-11008</v>
      </c>
      <c r="D102" s="20">
        <v>357280</v>
      </c>
      <c r="E102" s="10">
        <v>0</v>
      </c>
      <c r="F102" s="10">
        <f t="shared" si="11"/>
        <v>357280</v>
      </c>
      <c r="G102" s="11" t="str">
        <f t="shared" si="12"/>
        <v/>
      </c>
      <c r="H102" s="12">
        <v>577807.1</v>
      </c>
      <c r="I102" s="12">
        <f t="shared" si="13"/>
        <v>-220527.09999999998</v>
      </c>
      <c r="J102" s="13">
        <f t="shared" si="14"/>
        <v>-0.38166214987666297</v>
      </c>
      <c r="K102" s="53" t="s">
        <v>361</v>
      </c>
      <c r="L102" s="129" t="s">
        <v>362</v>
      </c>
    </row>
    <row r="103" spans="1:13" ht="15.6">
      <c r="A103" s="26" t="str">
        <v>Route 19 1</v>
      </c>
      <c r="B103" s="27" t="str">
        <v>NY</v>
      </c>
      <c r="C103" s="27" t="str">
        <f>Sites[[#This Row],[SOL'#]]</f>
        <v>SOL-11001</v>
      </c>
      <c r="D103" s="9">
        <v>153320</v>
      </c>
      <c r="E103" s="14">
        <v>0</v>
      </c>
      <c r="F103" s="14">
        <f t="shared" si="11"/>
        <v>153320</v>
      </c>
      <c r="G103" s="15" t="str">
        <f t="shared" si="12"/>
        <v/>
      </c>
      <c r="H103" s="16">
        <v>230848.08</v>
      </c>
      <c r="I103" s="16">
        <f t="shared" si="13"/>
        <v>-77528.079999999987</v>
      </c>
      <c r="J103" s="15">
        <f t="shared" si="14"/>
        <v>-0.33584026343212381</v>
      </c>
      <c r="K103" s="126" t="s">
        <v>363</v>
      </c>
      <c r="L103" s="114" t="s">
        <v>364</v>
      </c>
    </row>
    <row r="104" spans="1:13" ht="43.15">
      <c r="A104" s="24" t="str">
        <v>Route 19 2</v>
      </c>
      <c r="B104" s="25" t="str">
        <v>NY</v>
      </c>
      <c r="C104" s="25" t="str">
        <f>Sites[[#This Row],[SOL'#]]</f>
        <v>SOL-11002</v>
      </c>
      <c r="D104" s="20">
        <v>399420</v>
      </c>
      <c r="E104" s="10">
        <v>0</v>
      </c>
      <c r="F104" s="10">
        <f t="shared" si="11"/>
        <v>399420</v>
      </c>
      <c r="G104" s="11" t="str">
        <f t="shared" si="12"/>
        <v/>
      </c>
      <c r="H104" s="12">
        <v>591330.4</v>
      </c>
      <c r="I104" s="12">
        <f t="shared" si="13"/>
        <v>-191910.40000000002</v>
      </c>
      <c r="J104" s="13">
        <f t="shared" si="14"/>
        <v>-0.32454005408820519</v>
      </c>
      <c r="K104" s="53" t="s">
        <v>365</v>
      </c>
      <c r="L104" s="129" t="s">
        <v>366</v>
      </c>
      <c r="M104" s="117" t="s">
        <v>143</v>
      </c>
    </row>
    <row r="105" spans="1:13" ht="43.5" customHeight="1">
      <c r="A105" s="26" t="str">
        <v>Yellow Mills 1</v>
      </c>
      <c r="B105" s="27" t="str">
        <v>NY</v>
      </c>
      <c r="C105" s="27" t="str">
        <f>Sites[[#This Row],[SOL'#]]</f>
        <v>SOL-11006</v>
      </c>
      <c r="D105" s="9">
        <v>0</v>
      </c>
      <c r="E105" s="14">
        <v>0</v>
      </c>
      <c r="F105" s="14">
        <f t="shared" si="11"/>
        <v>0</v>
      </c>
      <c r="G105" s="15" t="str">
        <f t="shared" si="12"/>
        <v/>
      </c>
      <c r="H105" s="16">
        <v>176276.8</v>
      </c>
      <c r="I105" s="16">
        <f t="shared" si="13"/>
        <v>-176276.8</v>
      </c>
      <c r="J105" s="15">
        <f t="shared" si="14"/>
        <v>-1</v>
      </c>
      <c r="K105" s="126" t="s">
        <v>367</v>
      </c>
      <c r="L105" s="114" t="s">
        <v>368</v>
      </c>
      <c r="M105" s="117" t="s">
        <v>146</v>
      </c>
    </row>
    <row r="106" spans="1:13" ht="22.5" customHeight="1">
      <c r="A106" s="24" t="str">
        <v>Yellow Mills 2</v>
      </c>
      <c r="B106" s="25" t="str">
        <v>NY</v>
      </c>
      <c r="C106" s="25" t="str">
        <f>Sites[[#This Row],[SOL'#]]</f>
        <v>SOL-11005</v>
      </c>
      <c r="D106" s="20">
        <v>95037</v>
      </c>
      <c r="E106" s="10">
        <v>0</v>
      </c>
      <c r="F106" s="10">
        <f t="shared" si="11"/>
        <v>95037</v>
      </c>
      <c r="G106" s="11" t="str">
        <f t="shared" si="12"/>
        <v/>
      </c>
      <c r="H106" s="12">
        <v>181688.5</v>
      </c>
      <c r="I106" s="12">
        <f t="shared" si="13"/>
        <v>-86651.5</v>
      </c>
      <c r="J106" s="13">
        <f t="shared" si="14"/>
        <v>-0.47692341562619539</v>
      </c>
      <c r="K106" s="53" t="s">
        <v>23</v>
      </c>
      <c r="L106" s="55"/>
    </row>
    <row r="107" spans="1:13" ht="39.75" customHeight="1">
      <c r="A107" s="26" t="str">
        <v>Yellow Mills 3</v>
      </c>
      <c r="B107" s="27" t="str">
        <v>NY</v>
      </c>
      <c r="C107" s="27" t="str">
        <f>Sites[[#This Row],[SOL'#]]</f>
        <v>SOL-11007</v>
      </c>
      <c r="D107" s="9">
        <v>57876</v>
      </c>
      <c r="E107" s="14">
        <v>0</v>
      </c>
      <c r="F107" s="14">
        <f t="shared" si="11"/>
        <v>57876</v>
      </c>
      <c r="G107" s="15" t="str">
        <f t="shared" si="12"/>
        <v/>
      </c>
      <c r="H107" s="16">
        <v>169042.26</v>
      </c>
      <c r="I107" s="16">
        <f t="shared" si="13"/>
        <v>-111166.26000000001</v>
      </c>
      <c r="J107" s="15">
        <f t="shared" si="14"/>
        <v>-0.65762407577844739</v>
      </c>
      <c r="K107" s="126" t="s">
        <v>369</v>
      </c>
      <c r="L107" s="114" t="s">
        <v>370</v>
      </c>
    </row>
    <row r="108" spans="1:13" ht="68.25" customHeight="1">
      <c r="A108" s="24" t="str">
        <v>Catskill</v>
      </c>
      <c r="B108" s="25" t="str">
        <v>NY</v>
      </c>
      <c r="C108" s="25" t="str">
        <f>Sites[[#This Row],[SOL'#]]</f>
        <v>SOL-11021</v>
      </c>
      <c r="D108" s="20">
        <v>321660</v>
      </c>
      <c r="E108" s="10">
        <v>0</v>
      </c>
      <c r="F108" s="10">
        <f t="shared" si="11"/>
        <v>321660</v>
      </c>
      <c r="G108" s="11" t="str">
        <f t="shared" si="12"/>
        <v/>
      </c>
      <c r="H108" s="12">
        <v>378964.03</v>
      </c>
      <c r="I108" s="12">
        <f t="shared" si="13"/>
        <v>-57304.030000000028</v>
      </c>
      <c r="J108" s="13">
        <f t="shared" si="14"/>
        <v>-0.15121231954388922</v>
      </c>
      <c r="K108" s="53" t="s">
        <v>371</v>
      </c>
      <c r="L108" s="129" t="s">
        <v>372</v>
      </c>
      <c r="M108" s="117" t="s">
        <v>373</v>
      </c>
    </row>
    <row r="109" spans="1:13" ht="15.75">
      <c r="A109" s="26" t="str">
        <v>Eddy Ridge</v>
      </c>
      <c r="B109" s="27" t="str">
        <v>NY</v>
      </c>
      <c r="C109" s="27" t="str">
        <f>Sites[[#This Row],[SOL'#]]</f>
        <v>SOL-11054</v>
      </c>
      <c r="D109" s="9">
        <v>161167.29999999999</v>
      </c>
      <c r="E109" s="14">
        <v>0</v>
      </c>
      <c r="F109" s="14">
        <f t="shared" si="11"/>
        <v>161167.29999999999</v>
      </c>
      <c r="G109" s="15" t="str">
        <f t="shared" si="12"/>
        <v/>
      </c>
      <c r="H109" s="16">
        <v>261685</v>
      </c>
      <c r="I109" s="16">
        <f t="shared" si="13"/>
        <v>-100517.70000000001</v>
      </c>
      <c r="J109" s="15">
        <f t="shared" si="14"/>
        <v>-0.38411716376559607</v>
      </c>
      <c r="K109" s="126" t="s">
        <v>23</v>
      </c>
      <c r="L109" s="140"/>
    </row>
    <row r="110" spans="1:13" ht="33" customHeight="1">
      <c r="A110" s="24" t="str">
        <v>Ridgeway #1</v>
      </c>
      <c r="B110" s="25" t="str">
        <v>NY</v>
      </c>
      <c r="C110" s="25" t="str">
        <f>Sites[[#This Row],[SOL'#]]</f>
        <v>SOL-11018</v>
      </c>
      <c r="D110" s="20">
        <v>355256</v>
      </c>
      <c r="E110" s="10">
        <v>0</v>
      </c>
      <c r="F110" s="10">
        <f t="shared" si="11"/>
        <v>355256</v>
      </c>
      <c r="G110" s="11" t="str">
        <f t="shared" si="12"/>
        <v/>
      </c>
      <c r="H110" s="12">
        <v>585713.19999999995</v>
      </c>
      <c r="I110" s="12">
        <f t="shared" si="13"/>
        <v>-230457.19999999995</v>
      </c>
      <c r="J110" s="13">
        <f t="shared" si="14"/>
        <v>-0.39346424154347209</v>
      </c>
      <c r="K110" s="55" t="s">
        <v>374</v>
      </c>
      <c r="L110" s="129" t="s">
        <v>375</v>
      </c>
    </row>
    <row r="111" spans="1:13" ht="23.25" customHeight="1">
      <c r="A111" s="26" t="str">
        <v>Rivard 1</v>
      </c>
      <c r="B111" s="27" t="str">
        <v>NY</v>
      </c>
      <c r="C111" s="27" t="str">
        <f>Sites[[#This Row],[SOL'#]]</f>
        <v>SOL-11011</v>
      </c>
      <c r="D111" s="9">
        <v>309993.42105263</v>
      </c>
      <c r="E111" s="14">
        <v>396616.5</v>
      </c>
      <c r="F111" s="14">
        <f t="shared" si="11"/>
        <v>-86623.078947369999</v>
      </c>
      <c r="G111" s="15">
        <f t="shared" si="12"/>
        <v>-0.21840513177684237</v>
      </c>
      <c r="H111" s="16">
        <v>398747.4</v>
      </c>
      <c r="I111" s="16">
        <f t="shared" si="13"/>
        <v>-88753.978947370022</v>
      </c>
      <c r="J111" s="15">
        <f t="shared" si="14"/>
        <v>-0.2225819627848859</v>
      </c>
      <c r="K111" s="126" t="s">
        <v>23</v>
      </c>
      <c r="L111" s="126"/>
    </row>
    <row r="112" spans="1:13" ht="84.75" customHeight="1">
      <c r="A112" s="24" t="str">
        <v>Rivard 2</v>
      </c>
      <c r="B112" s="25" t="str">
        <v>NY</v>
      </c>
      <c r="C112" s="25" t="str">
        <f>Sites[[#This Row],[SOL'#]]</f>
        <v>SOL-11012</v>
      </c>
      <c r="D112" s="20">
        <v>313341.18134714902</v>
      </c>
      <c r="E112" s="10">
        <v>304931.09999999998</v>
      </c>
      <c r="F112" s="10">
        <f t="shared" si="11"/>
        <v>8410.0813471490401</v>
      </c>
      <c r="G112" s="11">
        <f t="shared" si="12"/>
        <v>2.7580267631438841E-2</v>
      </c>
      <c r="H112" s="12">
        <v>381926.8</v>
      </c>
      <c r="I112" s="12">
        <f t="shared" si="13"/>
        <v>-68585.618652850972</v>
      </c>
      <c r="J112" s="13">
        <f t="shared" si="14"/>
        <v>-0.17957791559233596</v>
      </c>
      <c r="K112" s="53" t="s">
        <v>376</v>
      </c>
      <c r="L112" s="129" t="s">
        <v>377</v>
      </c>
    </row>
    <row r="113" spans="1:19" ht="15.75">
      <c r="A113" s="26" t="str">
        <v>Essex</v>
      </c>
      <c r="B113" s="27" t="str">
        <v>DC</v>
      </c>
      <c r="C113" s="27" t="str">
        <f>Sites[[#This Row],[SOL'#]]</f>
        <v>SOL-10036</v>
      </c>
      <c r="D113" s="9">
        <v>2025</v>
      </c>
      <c r="E113" s="14">
        <v>2433.9580000000001</v>
      </c>
      <c r="F113" s="14">
        <f t="shared" si="11"/>
        <v>-408.95800000000008</v>
      </c>
      <c r="G113" s="15">
        <f t="shared" si="12"/>
        <v>-0.16802179823973959</v>
      </c>
      <c r="H113" s="16">
        <v>2639.58</v>
      </c>
      <c r="I113" s="16">
        <f t="shared" si="13"/>
        <v>-614.57999999999993</v>
      </c>
      <c r="J113" s="15">
        <f t="shared" si="14"/>
        <v>-0.23283249607892162</v>
      </c>
      <c r="K113" s="126" t="s">
        <v>23</v>
      </c>
      <c r="L113" s="140"/>
    </row>
    <row r="114" spans="1:19" ht="15.75">
      <c r="A114" s="24" t="str">
        <v>Temple Sinai</v>
      </c>
      <c r="B114" s="25" t="str">
        <v>DC</v>
      </c>
      <c r="C114" s="25" t="str">
        <f>Sites[[#This Row],[SOL'#]]</f>
        <v>SOL-10028</v>
      </c>
      <c r="D114" s="20">
        <v>5585.5</v>
      </c>
      <c r="E114" s="10">
        <v>7616.0110000000004</v>
      </c>
      <c r="F114" s="10">
        <f t="shared" si="11"/>
        <v>-2030.5110000000004</v>
      </c>
      <c r="G114" s="11">
        <f t="shared" si="12"/>
        <v>-0.26661082816188164</v>
      </c>
      <c r="H114" s="12">
        <v>6154.2349999999997</v>
      </c>
      <c r="I114" s="12">
        <f t="shared" si="13"/>
        <v>-568.73499999999967</v>
      </c>
      <c r="J114" s="13">
        <f t="shared" si="14"/>
        <v>-9.2413598115769005E-2</v>
      </c>
      <c r="K114" s="53" t="s">
        <v>23</v>
      </c>
      <c r="L114" s="55"/>
    </row>
    <row r="115" spans="1:19" ht="54.75" customHeight="1">
      <c r="A115" s="26" t="str">
        <v>Weinberg 1</v>
      </c>
      <c r="B115" s="27" t="str">
        <v>DC</v>
      </c>
      <c r="C115" s="27" t="str">
        <f>Sites[[#This Row],[SOL'#]]</f>
        <v>SOL-10039</v>
      </c>
      <c r="D115" s="9">
        <v>131</v>
      </c>
      <c r="E115" s="14">
        <v>128.6403</v>
      </c>
      <c r="F115" s="14">
        <f t="shared" si="11"/>
        <v>2.3597000000000037</v>
      </c>
      <c r="G115" s="15">
        <f t="shared" si="12"/>
        <v>1.8343396276283588E-2</v>
      </c>
      <c r="H115" s="16">
        <v>949.5779</v>
      </c>
      <c r="I115" s="16">
        <f t="shared" si="13"/>
        <v>-818.5779</v>
      </c>
      <c r="J115" s="15">
        <f t="shared" si="14"/>
        <v>-0.86204396711423048</v>
      </c>
      <c r="K115" s="126" t="s">
        <v>378</v>
      </c>
      <c r="L115" s="130" t="s">
        <v>379</v>
      </c>
    </row>
    <row r="116" spans="1:19" ht="15.6">
      <c r="A116" s="24" t="str">
        <v>Weinberg 2</v>
      </c>
      <c r="B116" s="25" t="str">
        <v>DC</v>
      </c>
      <c r="C116" s="25" t="str">
        <f>Sites[[#This Row],[SOL'#]]</f>
        <v>SOL-10045</v>
      </c>
      <c r="D116" s="20">
        <v>867</v>
      </c>
      <c r="E116" s="10">
        <v>862.54020000000003</v>
      </c>
      <c r="F116" s="10">
        <f t="shared" si="11"/>
        <v>4.4597999999999729</v>
      </c>
      <c r="G116" s="11">
        <f t="shared" si="12"/>
        <v>5.1705416164950606E-3</v>
      </c>
      <c r="H116" s="12">
        <v>988.94370000000004</v>
      </c>
      <c r="I116" s="12">
        <f t="shared" si="13"/>
        <v>-121.94370000000004</v>
      </c>
      <c r="J116" s="13">
        <f t="shared" si="14"/>
        <v>-0.12330701939857651</v>
      </c>
      <c r="K116" s="53"/>
      <c r="L116" s="55"/>
    </row>
    <row r="117" spans="1:19" ht="15.6">
      <c r="A117" s="26" t="str">
        <v>Weinberg 3</v>
      </c>
      <c r="B117" s="27" t="str">
        <v>DC</v>
      </c>
      <c r="C117" s="27" t="str">
        <f>Sites[[#This Row],[SOL'#]]</f>
        <v>SOL-10042</v>
      </c>
      <c r="D117" s="9">
        <v>1003</v>
      </c>
      <c r="E117" s="14">
        <v>983.22370000000001</v>
      </c>
      <c r="F117" s="14">
        <f t="shared" si="11"/>
        <v>19.776299999999992</v>
      </c>
      <c r="G117" s="15">
        <f t="shared" si="12"/>
        <v>2.0113734036313398E-2</v>
      </c>
      <c r="H117" s="16">
        <v>1030</v>
      </c>
      <c r="I117" s="16">
        <f t="shared" si="13"/>
        <v>-27</v>
      </c>
      <c r="J117" s="15">
        <f t="shared" si="14"/>
        <v>-2.621359223300971E-2</v>
      </c>
      <c r="K117" s="126"/>
      <c r="L117" s="140"/>
    </row>
    <row r="118" spans="1:19" ht="15.6">
      <c r="A118" s="24" t="str">
        <v>Clayton Hall</v>
      </c>
      <c r="B118" s="25" t="str">
        <v>DE</v>
      </c>
      <c r="C118" s="25" t="str">
        <f>Sites[[#This Row],[SOL'#]]</f>
        <v>SOL-10820</v>
      </c>
      <c r="D118" s="20">
        <v>10376</v>
      </c>
      <c r="E118" s="10">
        <v>10688.18</v>
      </c>
      <c r="F118" s="10">
        <f t="shared" si="11"/>
        <v>-312.18000000000029</v>
      </c>
      <c r="G118" s="11">
        <f t="shared" si="12"/>
        <v>-2.9207966183204277E-2</v>
      </c>
      <c r="H118" s="12">
        <v>10721</v>
      </c>
      <c r="I118" s="12">
        <f t="shared" si="13"/>
        <v>-345</v>
      </c>
      <c r="J118" s="13">
        <f t="shared" si="14"/>
        <v>-3.217983397071169E-2</v>
      </c>
      <c r="K118" s="53"/>
      <c r="L118" s="55"/>
    </row>
    <row r="119" spans="1:19" ht="15.6">
      <c r="A119" s="26" t="str">
        <v>Field House</v>
      </c>
      <c r="B119" s="27" t="str">
        <v>DE</v>
      </c>
      <c r="C119" s="27" t="str">
        <f>Sites[[#This Row],[SOL'#]]</f>
        <v>SOL-10821</v>
      </c>
      <c r="D119" s="9">
        <v>33085</v>
      </c>
      <c r="E119" s="14">
        <v>0</v>
      </c>
      <c r="F119" s="14">
        <f t="shared" si="11"/>
        <v>33085</v>
      </c>
      <c r="G119" s="15" t="str">
        <f t="shared" si="12"/>
        <v/>
      </c>
      <c r="H119" s="16">
        <v>32706</v>
      </c>
      <c r="I119" s="16">
        <f t="shared" si="13"/>
        <v>379</v>
      </c>
      <c r="J119" s="15">
        <f t="shared" si="14"/>
        <v>1.1588087812633768E-2</v>
      </c>
      <c r="K119" s="126"/>
      <c r="L119" s="140"/>
    </row>
    <row r="120" spans="1:19" ht="43.15">
      <c r="A120" s="24" t="str">
        <v>Wyoming Road</v>
      </c>
      <c r="B120" s="25" t="str">
        <v>DE</v>
      </c>
      <c r="C120" s="25" t="str">
        <f>Sites[[#This Row],[SOL'#]]</f>
        <v>SOL-10819</v>
      </c>
      <c r="D120" s="20">
        <v>0</v>
      </c>
      <c r="E120" s="10">
        <v>16539.95</v>
      </c>
      <c r="F120" s="10">
        <f t="shared" si="11"/>
        <v>-16539.95</v>
      </c>
      <c r="G120" s="11">
        <f t="shared" si="12"/>
        <v>-1</v>
      </c>
      <c r="H120" s="12">
        <v>19771.8</v>
      </c>
      <c r="I120" s="12">
        <f t="shared" si="13"/>
        <v>-19771.8</v>
      </c>
      <c r="J120" s="13">
        <f t="shared" si="14"/>
        <v>-1</v>
      </c>
      <c r="K120" s="53" t="s">
        <v>380</v>
      </c>
      <c r="L120" s="129" t="s">
        <v>381</v>
      </c>
      <c r="M120" s="117" t="s">
        <v>382</v>
      </c>
    </row>
    <row r="121" spans="1:19" ht="15.6">
      <c r="A121" s="26" t="str">
        <v>Leoku</v>
      </c>
      <c r="B121" s="27" t="str">
        <v>HI</v>
      </c>
      <c r="C121" s="27" t="str">
        <f>Sites[[#This Row],[SOL'#]]</f>
        <v>SOL-10071</v>
      </c>
      <c r="D121" s="9">
        <v>8933</v>
      </c>
      <c r="E121" s="14">
        <v>9233.7610000000004</v>
      </c>
      <c r="F121" s="14">
        <f t="shared" si="11"/>
        <v>-300.76100000000042</v>
      </c>
      <c r="G121" s="15">
        <f t="shared" si="12"/>
        <v>-3.2571884847355306E-2</v>
      </c>
      <c r="H121" s="16">
        <v>10227.1</v>
      </c>
      <c r="I121" s="16">
        <f t="shared" si="13"/>
        <v>-1294.1000000000004</v>
      </c>
      <c r="J121" s="15">
        <f t="shared" si="14"/>
        <v>-0.12653635928073456</v>
      </c>
      <c r="K121" s="126"/>
      <c r="L121" s="140"/>
    </row>
    <row r="122" spans="1:19" ht="15.6">
      <c r="A122" s="24" t="str">
        <v>Waipahu</v>
      </c>
      <c r="B122" s="25" t="str">
        <v>HI</v>
      </c>
      <c r="C122" s="25" t="str">
        <f>Sites[[#This Row],[SOL'#]]</f>
        <v>SOL-10068</v>
      </c>
      <c r="D122" s="20">
        <v>10740</v>
      </c>
      <c r="E122" s="10">
        <v>8722.2450000000008</v>
      </c>
      <c r="F122" s="10">
        <f t="shared" si="11"/>
        <v>2017.7549999999992</v>
      </c>
      <c r="G122" s="11">
        <f t="shared" si="12"/>
        <v>0.23133436403127852</v>
      </c>
      <c r="H122" s="12">
        <v>10221.620000000001</v>
      </c>
      <c r="I122" s="12">
        <f t="shared" si="13"/>
        <v>518.3799999999992</v>
      </c>
      <c r="J122" s="13">
        <f t="shared" si="14"/>
        <v>5.0714074677008066E-2</v>
      </c>
      <c r="K122" s="53"/>
      <c r="L122" s="55"/>
    </row>
    <row r="123" spans="1:19" ht="15.6">
      <c r="A123" s="26" t="str">
        <v>Bird in Hand</v>
      </c>
      <c r="B123" s="27" t="str">
        <v>MD</v>
      </c>
      <c r="C123" s="27" t="str">
        <f>Sites[[#This Row],[SOL'#]]</f>
        <v>SOL-10092</v>
      </c>
      <c r="D123" s="9">
        <v>115692</v>
      </c>
      <c r="E123" s="14">
        <v>118500.2</v>
      </c>
      <c r="F123" s="14">
        <f>IF(AND(ISNUMBER(D123),ISNUMBER(E123)), D123-E123, "")</f>
        <v>-2808.1999999999971</v>
      </c>
      <c r="G123" s="15">
        <f t="shared" si="12"/>
        <v>-2.3697850298986814E-2</v>
      </c>
      <c r="H123" s="16">
        <v>101260.2</v>
      </c>
      <c r="I123" s="16">
        <f t="shared" si="13"/>
        <v>14431.800000000003</v>
      </c>
      <c r="J123" s="15">
        <f t="shared" si="14"/>
        <v>0.14252193853063694</v>
      </c>
      <c r="K123" s="126"/>
      <c r="L123" s="140"/>
    </row>
    <row r="124" spans="1:19" ht="15.75">
      <c r="A124" s="24" t="str">
        <v>Shortal</v>
      </c>
      <c r="B124" s="25" t="str">
        <v>MD</v>
      </c>
      <c r="C124" s="25" t="str">
        <f>Sites[[#This Row],[SOL'#]]</f>
        <v>SOL-10091</v>
      </c>
      <c r="D124" s="20">
        <v>121333</v>
      </c>
      <c r="E124" s="10">
        <v>89401.65</v>
      </c>
      <c r="F124" s="10">
        <f t="shared" si="11"/>
        <v>31931.350000000006</v>
      </c>
      <c r="G124" s="11">
        <f t="shared" si="12"/>
        <v>0.357167345345416</v>
      </c>
      <c r="H124" s="12">
        <v>137259.1</v>
      </c>
      <c r="I124" s="12">
        <f>IF(AND(ISNUMBER(D125),ISNUMBER(H124)), D125-H124, "")</f>
        <v>-123508.1</v>
      </c>
      <c r="J124" s="13">
        <f t="shared" si="14"/>
        <v>-0.89981720701942536</v>
      </c>
      <c r="K124" s="53" t="s">
        <v>23</v>
      </c>
      <c r="L124" s="55"/>
    </row>
    <row r="125" spans="1:19" ht="86.45">
      <c r="A125" s="26" t="str">
        <v>Aguadilla</v>
      </c>
      <c r="B125" s="27" t="str">
        <v>PR</v>
      </c>
      <c r="C125" s="27" t="str">
        <f>Sites[[#This Row],[SOL'#]]</f>
        <v>SOL-10072</v>
      </c>
      <c r="D125" s="9">
        <v>13751</v>
      </c>
      <c r="E125" s="14">
        <v>16023.16</v>
      </c>
      <c r="F125" s="14">
        <f>IF(AND(ISNUMBER(D125),ISNUMBER(E125)), D125-E125, "")</f>
        <v>-2272.16</v>
      </c>
      <c r="G125" s="15">
        <f t="shared" si="12"/>
        <v>-0.14180473764226281</v>
      </c>
      <c r="H125" s="16">
        <v>17587</v>
      </c>
      <c r="I125" s="16">
        <f>IF(AND(ISNUMBER(D125),ISNUMBER(H125)), D125-H125, "")</f>
        <v>-3836</v>
      </c>
      <c r="J125" s="15">
        <f t="shared" si="14"/>
        <v>-0.21811565360777846</v>
      </c>
      <c r="K125" s="126" t="s">
        <v>383</v>
      </c>
      <c r="L125" s="130" t="s">
        <v>384</v>
      </c>
      <c r="M125" s="117" t="s">
        <v>385</v>
      </c>
      <c r="N125" s="117" t="s">
        <v>386</v>
      </c>
      <c r="O125" s="117" t="s">
        <v>387</v>
      </c>
    </row>
    <row r="126" spans="1:19" ht="147.75" customHeight="1">
      <c r="A126" s="24" t="str">
        <v>Bayamon</v>
      </c>
      <c r="B126" s="25" t="str">
        <v>PR</v>
      </c>
      <c r="C126" s="25" t="str">
        <f>Sites[[#This Row],[SOL'#]]</f>
        <v>SOL-10073</v>
      </c>
      <c r="D126" s="20">
        <v>51547</v>
      </c>
      <c r="E126" s="10">
        <v>61693.16</v>
      </c>
      <c r="F126" s="10">
        <f t="shared" si="11"/>
        <v>-10146.160000000003</v>
      </c>
      <c r="G126" s="11">
        <f t="shared" si="12"/>
        <v>-0.16446166803580822</v>
      </c>
      <c r="H126" s="12">
        <v>67621</v>
      </c>
      <c r="I126" s="12">
        <f t="shared" si="13"/>
        <v>-16074</v>
      </c>
      <c r="J126" s="13">
        <f t="shared" si="14"/>
        <v>-0.23770722112953077</v>
      </c>
      <c r="K126" s="53" t="s">
        <v>388</v>
      </c>
      <c r="L126" s="129" t="s">
        <v>389</v>
      </c>
      <c r="M126" s="117" t="s">
        <v>168</v>
      </c>
      <c r="N126" s="117" t="s">
        <v>171</v>
      </c>
      <c r="O126" s="117" t="s">
        <v>390</v>
      </c>
      <c r="P126" s="131" t="s">
        <v>391</v>
      </c>
    </row>
    <row r="127" spans="1:19" ht="230.25" customHeight="1">
      <c r="A127" s="26" t="str">
        <v>St Francis</v>
      </c>
      <c r="B127" s="27" t="str">
        <v>PR</v>
      </c>
      <c r="C127" s="27" t="str">
        <f>Sites[[#This Row],[SOL'#]]</f>
        <v>SOL-10034</v>
      </c>
      <c r="D127" s="9">
        <v>18916.75</v>
      </c>
      <c r="E127" s="14">
        <v>38308.879999999997</v>
      </c>
      <c r="F127" s="14">
        <f t="shared" si="11"/>
        <v>-19392.129999999997</v>
      </c>
      <c r="G127" s="15">
        <f t="shared" si="12"/>
        <v>-0.50620456666965985</v>
      </c>
      <c r="H127" s="16">
        <v>34141</v>
      </c>
      <c r="I127" s="16">
        <f t="shared" si="13"/>
        <v>-15224.25</v>
      </c>
      <c r="J127" s="15">
        <f t="shared" si="14"/>
        <v>-0.44592279077941477</v>
      </c>
      <c r="K127" s="126" t="s">
        <v>392</v>
      </c>
      <c r="L127" s="130" t="s">
        <v>393</v>
      </c>
      <c r="M127" s="117" t="s">
        <v>174</v>
      </c>
      <c r="N127" s="117" t="s">
        <v>175</v>
      </c>
      <c r="O127" s="117" t="s">
        <v>176</v>
      </c>
      <c r="P127" s="131" t="s">
        <v>177</v>
      </c>
      <c r="Q127" s="131" t="s">
        <v>178</v>
      </c>
      <c r="R127" s="131" t="s">
        <v>179</v>
      </c>
      <c r="S127" s="131" t="s">
        <v>181</v>
      </c>
    </row>
    <row r="128" spans="1:19" ht="36" customHeight="1">
      <c r="A128" s="24" t="str">
        <v>Seaport</v>
      </c>
      <c r="B128" s="25" t="str">
        <v>MA</v>
      </c>
      <c r="C128" s="25" t="str">
        <f>Sites[[#This Row],[SOL'#]]</f>
        <v>SOL-10772</v>
      </c>
      <c r="D128" s="20">
        <v>25084</v>
      </c>
      <c r="E128" s="10">
        <v>1011.955</v>
      </c>
      <c r="F128" s="10">
        <f t="shared" si="11"/>
        <v>24072.044999999998</v>
      </c>
      <c r="G128" s="11">
        <f t="shared" si="12"/>
        <v>23.787663483060015</v>
      </c>
      <c r="H128" s="12">
        <v>34536.71</v>
      </c>
      <c r="I128" s="12">
        <f t="shared" si="13"/>
        <v>-9452.7099999999991</v>
      </c>
      <c r="J128" s="13">
        <f t="shared" si="14"/>
        <v>-0.27370036115194524</v>
      </c>
      <c r="K128" s="53" t="s">
        <v>182</v>
      </c>
      <c r="L128" s="129" t="s">
        <v>394</v>
      </c>
    </row>
    <row r="129" spans="1:14" ht="15.75">
      <c r="A129" s="26" t="str">
        <v>Sprague St</v>
      </c>
      <c r="B129" s="27" t="str">
        <v>MA</v>
      </c>
      <c r="C129" s="27" t="str">
        <f>Sites[[#This Row],[SOL'#]]</f>
        <v>SOL-10773</v>
      </c>
      <c r="D129" s="9">
        <v>47601</v>
      </c>
      <c r="E129" s="14">
        <v>83078.3</v>
      </c>
      <c r="F129" s="14">
        <f t="shared" si="11"/>
        <v>-35477.300000000003</v>
      </c>
      <c r="G129" s="15">
        <f t="shared" si="12"/>
        <v>-0.42703449637269902</v>
      </c>
      <c r="H129" s="16">
        <v>69078.28</v>
      </c>
      <c r="I129" s="16">
        <f t="shared" si="13"/>
        <v>-21477.279999999999</v>
      </c>
      <c r="J129" s="15">
        <f t="shared" si="14"/>
        <v>-0.31091219989843405</v>
      </c>
      <c r="K129" s="126" t="s">
        <v>23</v>
      </c>
      <c r="L129" s="140"/>
    </row>
    <row r="130" spans="1:14" ht="15.75">
      <c r="A130" s="24" t="str">
        <v>Summer St</v>
      </c>
      <c r="B130" s="25" t="str">
        <v>MA</v>
      </c>
      <c r="C130" s="25" t="str">
        <f>Sites[[#This Row],[SOL'#]]</f>
        <v>SOL-10764</v>
      </c>
      <c r="D130" s="20">
        <v>108656</v>
      </c>
      <c r="E130" s="10">
        <v>177508.6</v>
      </c>
      <c r="F130" s="10">
        <f t="shared" si="11"/>
        <v>-68852.600000000006</v>
      </c>
      <c r="G130" s="11">
        <f t="shared" si="12"/>
        <v>-0.38788317861782473</v>
      </c>
      <c r="H130" s="12">
        <v>165150.70000000001</v>
      </c>
      <c r="I130" s="12">
        <f t="shared" si="13"/>
        <v>-56494.700000000012</v>
      </c>
      <c r="J130" s="13">
        <f t="shared" si="14"/>
        <v>-0.34207968843002184</v>
      </c>
      <c r="K130" s="53" t="s">
        <v>23</v>
      </c>
      <c r="L130" s="55"/>
    </row>
    <row r="131" spans="1:14" ht="28.9">
      <c r="A131" s="26" t="str">
        <v>Brock St Vocational</v>
      </c>
      <c r="B131" s="27" t="str">
        <v>NH</v>
      </c>
      <c r="C131" s="27" t="str">
        <f>Sites[[#This Row],[SOL'#]]</f>
        <v>SOL-10768</v>
      </c>
      <c r="D131" s="9">
        <v>11.875</v>
      </c>
      <c r="E131" s="14">
        <v>3731.25</v>
      </c>
      <c r="F131" s="14">
        <f t="shared" si="11"/>
        <v>-3719.375</v>
      </c>
      <c r="G131" s="15">
        <f t="shared" si="12"/>
        <v>-0.99681742043551091</v>
      </c>
      <c r="H131" s="16">
        <v>5983.02</v>
      </c>
      <c r="I131" s="16">
        <f t="shared" si="13"/>
        <v>-5971.1450000000004</v>
      </c>
      <c r="J131" s="15">
        <f t="shared" si="14"/>
        <v>-0.99801521639573321</v>
      </c>
      <c r="K131" s="126" t="s">
        <v>395</v>
      </c>
      <c r="L131" s="130" t="s">
        <v>396</v>
      </c>
    </row>
    <row r="132" spans="1:14" ht="15.6">
      <c r="A132" s="24" t="str">
        <v>McClelland ES</v>
      </c>
      <c r="B132" s="25" t="str">
        <v>NH</v>
      </c>
      <c r="C132" s="25" t="str">
        <f>Sites[[#This Row],[SOL'#]]</f>
        <v>SOL-10766</v>
      </c>
      <c r="D132" s="20">
        <v>230.28</v>
      </c>
      <c r="E132" s="10">
        <v>7317.84</v>
      </c>
      <c r="F132" s="10">
        <f t="shared" si="11"/>
        <v>-7087.56</v>
      </c>
      <c r="G132" s="11">
        <f t="shared" si="12"/>
        <v>-0.96853169787806237</v>
      </c>
      <c r="H132" s="12">
        <v>4468.46</v>
      </c>
      <c r="I132" s="12">
        <f t="shared" si="13"/>
        <v>-4238.18</v>
      </c>
      <c r="J132" s="13">
        <f t="shared" si="14"/>
        <v>-0.94846546684987676</v>
      </c>
      <c r="K132" s="122" t="s">
        <v>397</v>
      </c>
      <c r="L132" s="55"/>
    </row>
    <row r="133" spans="1:14" ht="15.6">
      <c r="A133" s="26" t="str">
        <v>Portland St</v>
      </c>
      <c r="B133" s="27" t="str">
        <v>NH</v>
      </c>
      <c r="C133" s="27" t="str">
        <f>Sites[[#This Row],[SOL'#]]</f>
        <v>SOL-10771</v>
      </c>
      <c r="D133" s="9">
        <v>11.065</v>
      </c>
      <c r="E133" s="14">
        <v>2981.48</v>
      </c>
      <c r="F133" s="14">
        <f t="shared" si="11"/>
        <v>-2970.415</v>
      </c>
      <c r="G133" s="15">
        <f t="shared" si="12"/>
        <v>-0.99628875591987875</v>
      </c>
      <c r="H133" s="16">
        <v>5298.56</v>
      </c>
      <c r="I133" s="16">
        <f t="shared" si="13"/>
        <v>-5287.4950000000008</v>
      </c>
      <c r="J133" s="15">
        <f t="shared" si="14"/>
        <v>-0.99791169676289415</v>
      </c>
      <c r="K133" s="126" t="s">
        <v>397</v>
      </c>
      <c r="L133" s="140"/>
    </row>
    <row r="134" spans="1:14" ht="28.9">
      <c r="A134" s="24" t="str">
        <v>Portsmouth HS</v>
      </c>
      <c r="B134" s="25" t="str">
        <v>NH</v>
      </c>
      <c r="C134" s="25" t="str">
        <f>Sites[[#This Row],[SOL'#]]</f>
        <v>SOL-10769</v>
      </c>
      <c r="D134" s="20">
        <v>722.75</v>
      </c>
      <c r="E134" s="10">
        <v>0</v>
      </c>
      <c r="F134" s="10">
        <f t="shared" si="11"/>
        <v>722.75</v>
      </c>
      <c r="G134" s="11" t="str">
        <f t="shared" si="12"/>
        <v/>
      </c>
      <c r="H134" s="12">
        <v>20375.439999999999</v>
      </c>
      <c r="I134" s="12">
        <f t="shared" si="13"/>
        <v>-19652.689999999999</v>
      </c>
      <c r="J134" s="13">
        <f t="shared" si="14"/>
        <v>-0.96452837337500441</v>
      </c>
      <c r="K134" s="53" t="s">
        <v>398</v>
      </c>
      <c r="L134" s="129" t="s">
        <v>399</v>
      </c>
    </row>
    <row r="135" spans="1:14" ht="28.9">
      <c r="A135" s="26" t="str">
        <v>Portsmouth WTP</v>
      </c>
      <c r="B135" s="27" t="str">
        <v>NH</v>
      </c>
      <c r="C135" s="27" t="str">
        <f>Sites[[#This Row],[SOL'#]]</f>
        <v>SOL-10770</v>
      </c>
      <c r="D135" s="9">
        <v>0</v>
      </c>
      <c r="E135" s="14">
        <v>0</v>
      </c>
      <c r="F135" s="14">
        <f t="shared" si="11"/>
        <v>0</v>
      </c>
      <c r="G135" s="15" t="str">
        <f t="shared" si="12"/>
        <v/>
      </c>
      <c r="H135" s="16">
        <v>15494</v>
      </c>
      <c r="I135" s="16">
        <f t="shared" si="13"/>
        <v>-15494</v>
      </c>
      <c r="J135" s="15">
        <f t="shared" si="14"/>
        <v>-1</v>
      </c>
      <c r="K135" s="126" t="s">
        <v>400</v>
      </c>
      <c r="L135" s="130" t="s">
        <v>187</v>
      </c>
    </row>
    <row r="136" spans="1:14" ht="28.9">
      <c r="A136" s="24" t="str">
        <v>Rochester St</v>
      </c>
      <c r="B136" s="25" t="str">
        <v>NH</v>
      </c>
      <c r="C136" s="25" t="str">
        <f>Sites[[#This Row],[SOL'#]]</f>
        <v>SOL-10765</v>
      </c>
      <c r="D136" s="20">
        <v>102.876</v>
      </c>
      <c r="E136" s="10">
        <v>19004.419999999998</v>
      </c>
      <c r="F136" s="10">
        <f t="shared" si="11"/>
        <v>-18901.543999999998</v>
      </c>
      <c r="G136" s="11">
        <f t="shared" si="12"/>
        <v>-0.99458673298106437</v>
      </c>
      <c r="H136" s="12">
        <v>14124.71</v>
      </c>
      <c r="I136" s="12">
        <f t="shared" si="13"/>
        <v>-14021.833999999999</v>
      </c>
      <c r="J136" s="13">
        <f t="shared" si="14"/>
        <v>-0.99271659382741306</v>
      </c>
      <c r="K136" s="53" t="s">
        <v>395</v>
      </c>
      <c r="L136" s="129" t="s">
        <v>396</v>
      </c>
    </row>
    <row r="137" spans="1:14" ht="28.9">
      <c r="A137" s="26" t="str">
        <v>Spaulding HS</v>
      </c>
      <c r="B137" s="27" t="str">
        <v>NH</v>
      </c>
      <c r="C137" s="27" t="str">
        <f>Sites[[#This Row],[SOL'#]]</f>
        <v>SOL-10767</v>
      </c>
      <c r="D137" s="9">
        <v>40.939371039999997</v>
      </c>
      <c r="E137" s="14">
        <v>6833.77</v>
      </c>
      <c r="F137" s="14">
        <f t="shared" si="11"/>
        <v>-6792.8306289600005</v>
      </c>
      <c r="G137" s="15">
        <f t="shared" si="12"/>
        <v>-0.99400925535392615</v>
      </c>
      <c r="H137" s="16">
        <v>6078.35</v>
      </c>
      <c r="I137" s="16">
        <f t="shared" si="13"/>
        <v>-6037.4106289600004</v>
      </c>
      <c r="J137" s="15">
        <f t="shared" si="14"/>
        <v>-0.99326472298567869</v>
      </c>
      <c r="K137" s="126" t="s">
        <v>395</v>
      </c>
      <c r="L137" s="130" t="s">
        <v>401</v>
      </c>
    </row>
    <row r="138" spans="1:14" ht="57.6">
      <c r="A138" s="24" t="str">
        <v>Ridgeway #2</v>
      </c>
      <c r="B138" s="25" t="str">
        <v>NY</v>
      </c>
      <c r="C138" s="25" t="str">
        <f>Sites[[#This Row],[SOL'#]]</f>
        <v>SOL-11027</v>
      </c>
      <c r="D138" s="20">
        <v>178480</v>
      </c>
      <c r="E138" s="10">
        <v>0</v>
      </c>
      <c r="F138" s="10">
        <f t="shared" si="11"/>
        <v>178480</v>
      </c>
      <c r="G138" s="11" t="str">
        <f t="shared" si="12"/>
        <v/>
      </c>
      <c r="H138" s="12">
        <v>302945.3</v>
      </c>
      <c r="I138" s="12">
        <f t="shared" ref="I138:I169" si="15">IF(AND(ISNUMBER(D138),ISNUMBER(H138)), D138-H138, "")</f>
        <v>-124465.29999999999</v>
      </c>
      <c r="J138" s="13">
        <f t="shared" si="14"/>
        <v>-0.41085073774044356</v>
      </c>
      <c r="K138" s="53" t="s">
        <v>402</v>
      </c>
      <c r="L138" s="129" t="s">
        <v>403</v>
      </c>
      <c r="M138" s="117" t="s">
        <v>404</v>
      </c>
      <c r="N138" s="117" t="s">
        <v>405</v>
      </c>
    </row>
    <row r="139" spans="1:14" ht="43.15">
      <c r="A139" s="26" t="str">
        <v>Spencer</v>
      </c>
      <c r="B139" s="27" t="str">
        <v>NY</v>
      </c>
      <c r="C139" s="27" t="str">
        <f>Sites[[#This Row],[SOL'#]]</f>
        <v>SOL-11017</v>
      </c>
      <c r="D139" s="9">
        <v>506432</v>
      </c>
      <c r="E139" s="14">
        <v>0</v>
      </c>
      <c r="F139" s="14">
        <f t="shared" si="11"/>
        <v>506432</v>
      </c>
      <c r="G139" s="15" t="str">
        <f t="shared" si="12"/>
        <v/>
      </c>
      <c r="H139" s="16">
        <v>640780</v>
      </c>
      <c r="I139" s="16">
        <f t="shared" si="15"/>
        <v>-134348</v>
      </c>
      <c r="J139" s="15">
        <f t="shared" si="14"/>
        <v>-0.2096632229470333</v>
      </c>
      <c r="K139" s="126" t="s">
        <v>406</v>
      </c>
      <c r="L139" s="132" t="s">
        <v>407</v>
      </c>
      <c r="M139" s="117" t="s">
        <v>408</v>
      </c>
      <c r="N139" s="117" t="s">
        <v>409</v>
      </c>
    </row>
    <row r="140" spans="1:14" ht="15.75">
      <c r="A140" s="28" t="str">
        <v>Reisender</v>
      </c>
      <c r="B140" s="25" t="str">
        <v>NY</v>
      </c>
      <c r="C140" s="25" t="str">
        <f>Sites[[#This Row],[SOL'#]]</f>
        <v>SOL-10886</v>
      </c>
      <c r="D140" s="60">
        <v>164650</v>
      </c>
      <c r="E140" s="10">
        <v>227955.55900000001</v>
      </c>
      <c r="F140" s="10">
        <f t="shared" si="11"/>
        <v>-63305.559000000008</v>
      </c>
      <c r="G140" s="11">
        <f t="shared" si="12"/>
        <v>-0.27771009085152432</v>
      </c>
      <c r="H140" s="76">
        <v>200588.3</v>
      </c>
      <c r="I140" s="76">
        <f t="shared" si="15"/>
        <v>-35938.299999999988</v>
      </c>
      <c r="J140" s="13">
        <f t="shared" si="14"/>
        <v>-0.1791644876595494</v>
      </c>
      <c r="K140" s="63" t="s">
        <v>23</v>
      </c>
      <c r="L140" s="37"/>
    </row>
    <row r="141" spans="1:14" ht="15.75">
      <c r="A141" s="26" t="str">
        <v>Finney</v>
      </c>
      <c r="B141" s="27" t="str">
        <v>NY</v>
      </c>
      <c r="C141" s="27" t="str">
        <f>Sites[[#This Row],[SOL'#]]</f>
        <v>SOL-10999</v>
      </c>
      <c r="D141" s="75">
        <v>468670</v>
      </c>
      <c r="E141" s="14">
        <v>0</v>
      </c>
      <c r="F141" s="14">
        <f t="shared" si="11"/>
        <v>468670</v>
      </c>
      <c r="G141" s="15" t="str">
        <f t="shared" si="12"/>
        <v/>
      </c>
      <c r="H141" s="78">
        <v>630586.74</v>
      </c>
      <c r="I141" s="78">
        <f t="shared" si="15"/>
        <v>-161916.74</v>
      </c>
      <c r="J141" s="15">
        <f t="shared" si="14"/>
        <v>-0.25677155850121425</v>
      </c>
      <c r="K141" s="38" t="s">
        <v>23</v>
      </c>
      <c r="L141" s="17"/>
    </row>
    <row r="142" spans="1:14" ht="15.75">
      <c r="A142" s="24" t="str">
        <v>Davis Solar</v>
      </c>
      <c r="B142" s="25" t="str">
        <v>NY</v>
      </c>
      <c r="C142" s="25" t="str">
        <f>Sites[[#This Row],[SOL'#]]</f>
        <v>SOL-10958</v>
      </c>
      <c r="D142" s="20">
        <v>197368</v>
      </c>
      <c r="E142" s="10">
        <v>259655</v>
      </c>
      <c r="F142" s="10">
        <f t="shared" si="11"/>
        <v>-62287</v>
      </c>
      <c r="G142" s="11">
        <f t="shared" si="12"/>
        <v>-0.23988369182184052</v>
      </c>
      <c r="H142" s="12">
        <v>249300</v>
      </c>
      <c r="I142" s="12">
        <f t="shared" si="15"/>
        <v>-51932</v>
      </c>
      <c r="J142" s="13">
        <f t="shared" si="14"/>
        <v>-0.20831127156036902</v>
      </c>
      <c r="K142" s="53" t="s">
        <v>23</v>
      </c>
      <c r="L142" s="129"/>
      <c r="M142" s="117"/>
      <c r="N142" s="117"/>
    </row>
    <row r="143" spans="1:14" ht="15.6">
      <c r="A143" s="26" t="str">
        <v>Genesee</v>
      </c>
      <c r="B143" s="27" t="str">
        <v>NY</v>
      </c>
      <c r="C143" s="27" t="str">
        <f>Sites[[#This Row],[SOL'#]]</f>
        <v>SOL-10951</v>
      </c>
      <c r="D143" s="75">
        <v>203639.4</v>
      </c>
      <c r="E143" s="14">
        <v>0</v>
      </c>
      <c r="F143" s="14">
        <f t="shared" si="11"/>
        <v>203639.4</v>
      </c>
      <c r="G143" s="15" t="str">
        <f t="shared" si="12"/>
        <v/>
      </c>
      <c r="H143" s="78">
        <v>365270.6</v>
      </c>
      <c r="I143" s="78">
        <f t="shared" si="15"/>
        <v>-161631.19999999998</v>
      </c>
      <c r="J143" s="15">
        <f t="shared" si="14"/>
        <v>-0.4424971514269147</v>
      </c>
      <c r="K143" s="38" t="s">
        <v>410</v>
      </c>
      <c r="L143" s="134" t="s">
        <v>411</v>
      </c>
    </row>
    <row r="144" spans="1:14" ht="15.6">
      <c r="A144" s="24" t="str">
        <v>Landau I</v>
      </c>
      <c r="B144" s="25" t="str">
        <v>NY</v>
      </c>
      <c r="C144" s="25" t="str">
        <f>Sites[[#This Row],[SOL'#]]</f>
        <v>SOL-10891</v>
      </c>
      <c r="D144" s="60">
        <v>210150</v>
      </c>
      <c r="E144" s="10">
        <v>0</v>
      </c>
      <c r="F144" s="10">
        <f t="shared" si="11"/>
        <v>210150</v>
      </c>
      <c r="G144" s="11" t="str">
        <f t="shared" si="12"/>
        <v/>
      </c>
      <c r="H144" s="76">
        <v>248827.5</v>
      </c>
      <c r="I144" s="76">
        <f t="shared" si="15"/>
        <v>-38677.5</v>
      </c>
      <c r="J144" s="13">
        <f t="shared" si="14"/>
        <v>-0.15543900895198481</v>
      </c>
      <c r="K144" s="63"/>
      <c r="L144" s="37"/>
    </row>
    <row r="145" spans="1:14" ht="15.75">
      <c r="A145" s="26" t="str">
        <v>Landau II</v>
      </c>
      <c r="B145" s="27" t="str">
        <v>NY</v>
      </c>
      <c r="C145" s="27" t="str">
        <f>Sites[[#This Row],[SOL'#]]</f>
        <v>SOL-10895</v>
      </c>
      <c r="D145" s="75">
        <v>390900</v>
      </c>
      <c r="E145" s="14">
        <v>0</v>
      </c>
      <c r="F145" s="14">
        <f t="shared" si="11"/>
        <v>390900</v>
      </c>
      <c r="G145" s="15" t="str">
        <f t="shared" si="12"/>
        <v/>
      </c>
      <c r="H145" s="78">
        <v>529946.01</v>
      </c>
      <c r="I145" s="78">
        <f t="shared" si="15"/>
        <v>-139046.01</v>
      </c>
      <c r="J145" s="15">
        <f t="shared" si="14"/>
        <v>-0.26237769013488754</v>
      </c>
      <c r="K145" s="38" t="s">
        <v>23</v>
      </c>
      <c r="L145" s="17"/>
    </row>
    <row r="146" spans="1:14" ht="15.75">
      <c r="A146" s="24" t="str">
        <v>New Beginnings</v>
      </c>
      <c r="B146" s="25" t="str">
        <v>NY</v>
      </c>
      <c r="C146" s="25" t="str">
        <f>Sites[[#This Row],[SOL'#]]</f>
        <v>SOL-10890</v>
      </c>
      <c r="D146" s="60">
        <v>190730</v>
      </c>
      <c r="E146" s="10">
        <v>265677.15000000002</v>
      </c>
      <c r="F146" s="10">
        <f t="shared" ref="F146:F187" si="16">IF(AND(ISNUMBER(D146),ISNUMBER(E146)), D146-E146, "")</f>
        <v>-74947.150000000023</v>
      </c>
      <c r="G146" s="11">
        <f t="shared" ref="G146:G163" si="17">IFERROR(F146/E146, "")</f>
        <v>-0.28209859221991812</v>
      </c>
      <c r="H146" s="76">
        <v>247191.04000000001</v>
      </c>
      <c r="I146" s="76">
        <f t="shared" si="15"/>
        <v>-56461.040000000008</v>
      </c>
      <c r="J146" s="13">
        <f t="shared" ref="J146:J195" si="18">IFERROR(I146/H146, "")</f>
        <v>-0.22841054433040942</v>
      </c>
      <c r="K146" s="63" t="s">
        <v>23</v>
      </c>
      <c r="L146" s="37"/>
    </row>
    <row r="147" spans="1:14" ht="15.75">
      <c r="A147" s="26" t="str">
        <v>Guilin Farm Solar</v>
      </c>
      <c r="B147" s="27" t="str">
        <v>NY</v>
      </c>
      <c r="C147" s="27" t="str">
        <f>Sites[[#This Row],[SOL'#]]</f>
        <v>SOL-10998</v>
      </c>
      <c r="D147" s="75">
        <v>239278</v>
      </c>
      <c r="E147" s="14">
        <v>412605.85</v>
      </c>
      <c r="F147" s="14">
        <f t="shared" si="16"/>
        <v>-173327.84999999998</v>
      </c>
      <c r="G147" s="15">
        <f t="shared" si="17"/>
        <v>-0.42008093195964136</v>
      </c>
      <c r="H147" s="78">
        <v>538628.5</v>
      </c>
      <c r="I147" s="78">
        <f t="shared" si="15"/>
        <v>-299350.5</v>
      </c>
      <c r="J147" s="15">
        <f t="shared" si="18"/>
        <v>-0.555764316221663</v>
      </c>
      <c r="K147" s="38" t="s">
        <v>23</v>
      </c>
      <c r="L147" s="17"/>
    </row>
    <row r="148" spans="1:14" ht="28.9">
      <c r="A148" s="24" t="str">
        <v>Brodhead Solar</v>
      </c>
      <c r="B148" s="25" t="str">
        <v>NY</v>
      </c>
      <c r="C148" s="25" t="str">
        <f>Sites[[#This Row],[SOL'#]]</f>
        <v>SOL-10899</v>
      </c>
      <c r="D148" s="60">
        <v>266505</v>
      </c>
      <c r="E148" s="10">
        <v>276256.89</v>
      </c>
      <c r="F148" s="10">
        <f t="shared" si="16"/>
        <v>-9751.890000000014</v>
      </c>
      <c r="G148" s="11">
        <f t="shared" si="17"/>
        <v>-3.530007885052211E-2</v>
      </c>
      <c r="H148" s="76">
        <v>258251.13</v>
      </c>
      <c r="I148" s="76">
        <f t="shared" si="15"/>
        <v>8253.8699999999953</v>
      </c>
      <c r="J148" s="13">
        <f t="shared" si="18"/>
        <v>3.1960634596255186E-2</v>
      </c>
      <c r="K148" s="63" t="s">
        <v>412</v>
      </c>
      <c r="L148" s="129" t="s">
        <v>413</v>
      </c>
      <c r="M148" s="117" t="s">
        <v>414</v>
      </c>
    </row>
    <row r="149" spans="1:14" ht="15.75">
      <c r="A149" s="26" t="str">
        <v>Svenski</v>
      </c>
      <c r="B149" s="27" t="str">
        <v>NY</v>
      </c>
      <c r="C149" s="27" t="str">
        <f>Sites[[#This Row],[SOL'#]]</f>
        <v>SOL-10894</v>
      </c>
      <c r="D149" s="75">
        <v>190306</v>
      </c>
      <c r="E149" s="14">
        <v>0</v>
      </c>
      <c r="F149" s="14">
        <f t="shared" si="16"/>
        <v>190306</v>
      </c>
      <c r="G149" s="15" t="str">
        <f t="shared" si="17"/>
        <v/>
      </c>
      <c r="H149" s="78">
        <v>239078.53</v>
      </c>
      <c r="I149" s="78">
        <f t="shared" si="15"/>
        <v>-48772.53</v>
      </c>
      <c r="J149" s="15">
        <f t="shared" si="18"/>
        <v>-0.20400213268836812</v>
      </c>
      <c r="K149" s="38" t="s">
        <v>23</v>
      </c>
      <c r="L149" s="17"/>
    </row>
    <row r="150" spans="1:14" ht="43.15">
      <c r="A150" s="24" t="str">
        <v>Bantam</v>
      </c>
      <c r="B150" s="25" t="str">
        <v>NY</v>
      </c>
      <c r="C150" s="25" t="str">
        <f>Sites[[#This Row],[SOL'#]]</f>
        <v>SOL-10986</v>
      </c>
      <c r="D150" s="60">
        <v>72770</v>
      </c>
      <c r="E150" s="10">
        <v>0</v>
      </c>
      <c r="F150" s="10">
        <f t="shared" si="16"/>
        <v>72770</v>
      </c>
      <c r="G150" s="11" t="str">
        <f t="shared" si="17"/>
        <v/>
      </c>
      <c r="H150" s="76">
        <v>574351.30000000005</v>
      </c>
      <c r="I150" s="76">
        <f t="shared" si="15"/>
        <v>-501581.30000000005</v>
      </c>
      <c r="J150" s="13">
        <f t="shared" si="18"/>
        <v>-0.87330053923443718</v>
      </c>
      <c r="K150" s="63" t="s">
        <v>415</v>
      </c>
      <c r="L150" s="129" t="s">
        <v>416</v>
      </c>
      <c r="M150" s="117" t="s">
        <v>417</v>
      </c>
    </row>
    <row r="151" spans="1:14" ht="15.6">
      <c r="A151" s="26" t="str">
        <v>Bogart</v>
      </c>
      <c r="B151" s="27" t="str">
        <v>NY</v>
      </c>
      <c r="C151" s="27" t="str">
        <f>Sites[[#This Row],[SOL'#]]</f>
        <v>SOL-10887</v>
      </c>
      <c r="D151" s="75">
        <v>212200</v>
      </c>
      <c r="E151" s="14">
        <v>234482.041</v>
      </c>
      <c r="F151" s="14">
        <f t="shared" si="16"/>
        <v>-22282.040999999997</v>
      </c>
      <c r="G151" s="15">
        <f t="shared" si="17"/>
        <v>-9.5026642146977897E-2</v>
      </c>
      <c r="H151" s="78">
        <v>227697.5</v>
      </c>
      <c r="I151" s="78">
        <f t="shared" si="15"/>
        <v>-15497.5</v>
      </c>
      <c r="J151" s="15">
        <f t="shared" si="18"/>
        <v>-6.8061792509799185E-2</v>
      </c>
      <c r="K151" s="38" t="s">
        <v>418</v>
      </c>
      <c r="L151" s="134" t="s">
        <v>211</v>
      </c>
    </row>
    <row r="152" spans="1:14" ht="28.9">
      <c r="A152" s="24" t="str">
        <v>Dubois</v>
      </c>
      <c r="B152" s="25" t="str">
        <v>NY</v>
      </c>
      <c r="C152" s="25" t="str">
        <f>Sites[[#This Row],[SOL'#]]</f>
        <v>SOL-10892</v>
      </c>
      <c r="D152" s="60">
        <v>180310</v>
      </c>
      <c r="E152" s="10">
        <v>0</v>
      </c>
      <c r="F152" s="10">
        <f t="shared" si="16"/>
        <v>180310</v>
      </c>
      <c r="G152" s="11" t="str">
        <f t="shared" si="17"/>
        <v/>
      </c>
      <c r="H152" s="76"/>
      <c r="I152" s="76" t="str">
        <f t="shared" si="15"/>
        <v/>
      </c>
      <c r="J152" s="13" t="str">
        <f t="shared" si="18"/>
        <v/>
      </c>
      <c r="K152" s="63" t="s">
        <v>419</v>
      </c>
      <c r="L152" s="129" t="s">
        <v>420</v>
      </c>
    </row>
    <row r="153" spans="1:14" ht="15.6">
      <c r="A153" s="26" t="str">
        <v>Salt Point</v>
      </c>
      <c r="B153" s="27" t="str">
        <v>NY</v>
      </c>
      <c r="C153" s="27" t="str">
        <f>Sites[[#This Row],[SOL'#]]</f>
        <v>SOL-10888</v>
      </c>
      <c r="D153" s="75">
        <v>218340</v>
      </c>
      <c r="E153" s="14">
        <v>0</v>
      </c>
      <c r="F153" s="14">
        <f t="shared" si="16"/>
        <v>218340</v>
      </c>
      <c r="G153" s="15" t="str">
        <f t="shared" si="17"/>
        <v/>
      </c>
      <c r="H153" s="78">
        <v>214083.4</v>
      </c>
      <c r="I153" s="78">
        <f t="shared" si="15"/>
        <v>4256.6000000000058</v>
      </c>
      <c r="J153" s="15">
        <f t="shared" si="18"/>
        <v>1.988290544712951E-2</v>
      </c>
      <c r="K153" s="126" t="s">
        <v>421</v>
      </c>
      <c r="L153" s="131" t="s">
        <v>422</v>
      </c>
    </row>
    <row r="154" spans="1:14" ht="40.5" customHeight="1">
      <c r="A154" s="24" t="str">
        <v>Wheatland 2A</v>
      </c>
      <c r="B154" s="25" t="str">
        <v>NY</v>
      </c>
      <c r="C154" s="25" t="str">
        <f>Sites[[#This Row],[SOL'#]]</f>
        <v>SOL-10971</v>
      </c>
      <c r="D154" s="60">
        <v>318700</v>
      </c>
      <c r="E154" s="10">
        <v>0</v>
      </c>
      <c r="F154" s="10">
        <f t="shared" si="16"/>
        <v>318700</v>
      </c>
      <c r="G154" s="11" t="str">
        <f t="shared" si="17"/>
        <v/>
      </c>
      <c r="H154" s="76">
        <v>408837.7</v>
      </c>
      <c r="I154" s="76">
        <f t="shared" si="15"/>
        <v>-90137.700000000012</v>
      </c>
      <c r="J154" s="13">
        <f t="shared" si="18"/>
        <v>-0.22047306302721106</v>
      </c>
      <c r="K154" s="63" t="s">
        <v>423</v>
      </c>
      <c r="L154" s="129" t="s">
        <v>217</v>
      </c>
    </row>
    <row r="155" spans="1:14" ht="53.25" customHeight="1">
      <c r="A155" s="26" t="str">
        <v>Wheatland 2B</v>
      </c>
      <c r="B155" s="27" t="str">
        <v>NY</v>
      </c>
      <c r="C155" s="27" t="str">
        <f>Sites[[#This Row],[SOL'#]]</f>
        <v>SOL-10961</v>
      </c>
      <c r="D155" s="75">
        <v>320430</v>
      </c>
      <c r="E155" s="14">
        <v>0</v>
      </c>
      <c r="F155" s="14">
        <f t="shared" si="16"/>
        <v>320430</v>
      </c>
      <c r="G155" s="15" t="str">
        <f t="shared" si="17"/>
        <v/>
      </c>
      <c r="H155" s="78">
        <v>403613.2</v>
      </c>
      <c r="I155" s="78">
        <f t="shared" si="15"/>
        <v>-83183.200000000012</v>
      </c>
      <c r="J155" s="15">
        <f t="shared" si="18"/>
        <v>-0.20609633183453863</v>
      </c>
      <c r="K155" s="38" t="s">
        <v>218</v>
      </c>
      <c r="L155" s="134" t="s">
        <v>424</v>
      </c>
    </row>
    <row r="156" spans="1:14" ht="61.5" customHeight="1">
      <c r="A156" s="24" t="str">
        <v>Brickchurch</v>
      </c>
      <c r="B156" s="25" t="str">
        <v>NY</v>
      </c>
      <c r="C156" s="25" t="str">
        <f>Sites[[#This Row],[SOL'#]]</f>
        <v>SOL-10889</v>
      </c>
      <c r="D156" s="60">
        <v>85870</v>
      </c>
      <c r="E156" s="10">
        <v>136599.924</v>
      </c>
      <c r="F156" s="10">
        <f t="shared" si="16"/>
        <v>-50729.923999999999</v>
      </c>
      <c r="G156" s="11">
        <f t="shared" si="17"/>
        <v>-0.37137593136581831</v>
      </c>
      <c r="H156" s="76">
        <v>119208.74</v>
      </c>
      <c r="I156" s="76">
        <f t="shared" si="15"/>
        <v>-33338.740000000005</v>
      </c>
      <c r="J156" s="13">
        <f t="shared" si="18"/>
        <v>-0.27966691032889035</v>
      </c>
      <c r="K156" s="63" t="s">
        <v>425</v>
      </c>
      <c r="L156" s="129" t="s">
        <v>426</v>
      </c>
      <c r="M156" s="117" t="s">
        <v>427</v>
      </c>
    </row>
    <row r="157" spans="1:14" ht="28.9">
      <c r="A157" s="26" t="str">
        <v>McCarthy Solar</v>
      </c>
      <c r="B157" s="27" t="str">
        <v>NY</v>
      </c>
      <c r="C157" s="27" t="str">
        <f>Sites[[#This Row],[SOL'#]]</f>
        <v>SOL-10992</v>
      </c>
      <c r="D157" s="75">
        <v>226670</v>
      </c>
      <c r="E157" s="14">
        <v>0</v>
      </c>
      <c r="F157" s="14">
        <f t="shared" si="16"/>
        <v>226670</v>
      </c>
      <c r="G157" s="15" t="str">
        <f t="shared" si="17"/>
        <v/>
      </c>
      <c r="H157" s="78">
        <v>243726.4</v>
      </c>
      <c r="I157" s="78">
        <f t="shared" si="15"/>
        <v>-17056.399999999994</v>
      </c>
      <c r="J157" s="15">
        <f t="shared" si="18"/>
        <v>-6.9981750027900108E-2</v>
      </c>
      <c r="K157" s="38" t="s">
        <v>428</v>
      </c>
      <c r="L157" s="134" t="s">
        <v>429</v>
      </c>
    </row>
    <row r="158" spans="1:14" ht="96.75" customHeight="1">
      <c r="A158" s="24" t="str">
        <v>Costanza</v>
      </c>
      <c r="B158" s="25" t="str">
        <v>NY</v>
      </c>
      <c r="C158" s="25" t="str">
        <f>Sites[[#This Row],[SOL'#]]</f>
        <v>SOL-10907</v>
      </c>
      <c r="D158" s="60">
        <v>160740</v>
      </c>
      <c r="E158" s="10">
        <v>0</v>
      </c>
      <c r="F158" s="10">
        <f t="shared" si="16"/>
        <v>160740</v>
      </c>
      <c r="G158" s="11" t="str">
        <f t="shared" si="17"/>
        <v/>
      </c>
      <c r="H158" s="76">
        <v>235079.29</v>
      </c>
      <c r="I158" s="76">
        <f t="shared" si="15"/>
        <v>-74339.290000000008</v>
      </c>
      <c r="J158" s="13">
        <f t="shared" si="18"/>
        <v>-0.31623070666922637</v>
      </c>
      <c r="K158" s="63" t="s">
        <v>430</v>
      </c>
      <c r="L158" s="129" t="s">
        <v>431</v>
      </c>
      <c r="M158" s="117" t="s">
        <v>432</v>
      </c>
      <c r="N158" s="117" t="s">
        <v>433</v>
      </c>
    </row>
    <row r="159" spans="1:14" ht="15.6">
      <c r="A159" s="26" t="str">
        <v>Lockenhurst Pond</v>
      </c>
      <c r="B159" s="27" t="str">
        <v>NY</v>
      </c>
      <c r="C159" s="27" t="str">
        <f>Sites[[#This Row],[SOL'#]]</f>
        <v>SOL-11000</v>
      </c>
      <c r="D159" s="75">
        <v>235272</v>
      </c>
      <c r="E159" s="14">
        <v>255015.6</v>
      </c>
      <c r="F159" s="14">
        <f t="shared" si="16"/>
        <v>-19743.600000000006</v>
      </c>
      <c r="G159" s="15">
        <f t="shared" si="17"/>
        <v>-7.7421146000479987E-2</v>
      </c>
      <c r="H159" s="78">
        <v>218702</v>
      </c>
      <c r="I159" s="78">
        <f t="shared" si="15"/>
        <v>16570</v>
      </c>
      <c r="J159" s="15">
        <f t="shared" si="18"/>
        <v>7.5765196477398475E-2</v>
      </c>
      <c r="K159" s="38"/>
      <c r="L159" s="17"/>
    </row>
    <row r="160" spans="1:14" ht="15.75">
      <c r="A160" s="24" t="str">
        <v>Drinkwater</v>
      </c>
      <c r="B160" s="25" t="str">
        <v>NY</v>
      </c>
      <c r="C160" s="25" t="str">
        <f>Sites[[#This Row],[SOL'#]]</f>
        <v>SOL-10896</v>
      </c>
      <c r="D160" s="60">
        <v>135100</v>
      </c>
      <c r="E160" s="10">
        <v>0</v>
      </c>
      <c r="F160" s="10">
        <f t="shared" si="16"/>
        <v>135100</v>
      </c>
      <c r="G160" s="11" t="str">
        <f t="shared" si="17"/>
        <v/>
      </c>
      <c r="H160" s="76">
        <v>227553.66</v>
      </c>
      <c r="I160" s="76">
        <f t="shared" si="15"/>
        <v>-92453.66</v>
      </c>
      <c r="J160" s="13">
        <f t="shared" si="18"/>
        <v>-0.40629388250665799</v>
      </c>
      <c r="K160" s="63" t="s">
        <v>23</v>
      </c>
      <c r="L160" s="37"/>
    </row>
    <row r="161" spans="1:13" ht="43.15">
      <c r="A161" s="26" t="str">
        <v>Altamont</v>
      </c>
      <c r="B161" s="27" t="str">
        <v>NY</v>
      </c>
      <c r="C161" s="27" t="str">
        <f>Sites[[#This Row],[SOL'#]]</f>
        <v>SOL-11085</v>
      </c>
      <c r="D161" s="75">
        <v>381372</v>
      </c>
      <c r="E161" s="14">
        <v>496237.5</v>
      </c>
      <c r="F161" s="14">
        <f t="shared" si="16"/>
        <v>-114865.5</v>
      </c>
      <c r="G161" s="15">
        <f t="shared" si="17"/>
        <v>-0.23147283306884303</v>
      </c>
      <c r="H161" s="78">
        <v>452003.8</v>
      </c>
      <c r="I161" s="78">
        <f t="shared" si="15"/>
        <v>-70631.799999999988</v>
      </c>
      <c r="J161" s="15">
        <f t="shared" si="18"/>
        <v>-0.15626373052615927</v>
      </c>
      <c r="K161" s="38" t="s">
        <v>434</v>
      </c>
      <c r="L161" s="135" t="s">
        <v>435</v>
      </c>
      <c r="M161" s="117" t="s">
        <v>436</v>
      </c>
    </row>
    <row r="162" spans="1:13" ht="15.75">
      <c r="A162" s="24" t="str">
        <v>Krumkill North</v>
      </c>
      <c r="B162" s="25" t="str">
        <v>NY</v>
      </c>
      <c r="C162" s="25" t="str">
        <f>Sites[[#This Row],[SOL'#]]</f>
        <v>SOL-11086</v>
      </c>
      <c r="D162" s="60">
        <v>331760</v>
      </c>
      <c r="E162" s="10">
        <v>482100.4</v>
      </c>
      <c r="F162" s="10">
        <f t="shared" si="16"/>
        <v>-150340.40000000002</v>
      </c>
      <c r="G162" s="11">
        <f t="shared" si="17"/>
        <v>-0.31184458672923737</v>
      </c>
      <c r="H162" s="76">
        <v>577126.69999999995</v>
      </c>
      <c r="I162" s="76">
        <f t="shared" si="15"/>
        <v>-245366.69999999995</v>
      </c>
      <c r="J162" s="13">
        <f t="shared" si="18"/>
        <v>-0.42515222393973451</v>
      </c>
      <c r="K162" s="63" t="s">
        <v>23</v>
      </c>
      <c r="L162" s="37"/>
    </row>
    <row r="163" spans="1:13" ht="15.75">
      <c r="A163" s="26" t="str">
        <v>Krumkill South</v>
      </c>
      <c r="B163" s="27" t="str">
        <v>NY</v>
      </c>
      <c r="C163" s="27" t="str">
        <f>Sites[[#This Row],[SOL'#]]</f>
        <v>SOL-11087</v>
      </c>
      <c r="D163" s="75">
        <v>308273</v>
      </c>
      <c r="E163" s="14">
        <v>399017.4</v>
      </c>
      <c r="F163" s="14">
        <f t="shared" si="16"/>
        <v>-90744.400000000023</v>
      </c>
      <c r="G163" s="15">
        <f t="shared" si="17"/>
        <v>-0.22741965638591205</v>
      </c>
      <c r="H163" s="78">
        <v>452450.3</v>
      </c>
      <c r="I163" s="78">
        <f t="shared" si="15"/>
        <v>-144177.29999999999</v>
      </c>
      <c r="J163" s="15">
        <f t="shared" si="18"/>
        <v>-0.31865886706230495</v>
      </c>
      <c r="K163" s="38" t="s">
        <v>23</v>
      </c>
      <c r="L163" s="17"/>
    </row>
    <row r="164" spans="1:13" ht="15.6">
      <c r="A164" s="24" t="str">
        <v>X092</v>
      </c>
      <c r="B164" s="25" t="str">
        <v>NY</v>
      </c>
      <c r="C164" s="25" t="str">
        <f>Sites[[#This Row],[SOL'#]]</f>
        <v>SOL-11189</v>
      </c>
      <c r="D164" s="60"/>
      <c r="E164" s="10"/>
      <c r="F164" s="10" t="str">
        <f t="shared" si="16"/>
        <v/>
      </c>
      <c r="G164" s="11" t="str">
        <f t="shared" ref="G164:G189" si="19">IFERROR(F164/E164, "")</f>
        <v/>
      </c>
      <c r="H164" s="76"/>
      <c r="I164" s="76" t="str">
        <f t="shared" si="15"/>
        <v/>
      </c>
      <c r="J164" s="13" t="str">
        <f t="shared" si="18"/>
        <v/>
      </c>
      <c r="K164" s="63"/>
      <c r="L164" s="37"/>
    </row>
    <row r="165" spans="1:13" ht="28.9">
      <c r="A165" s="26" t="str">
        <v>X093</v>
      </c>
      <c r="B165" s="27" t="str">
        <v>NY</v>
      </c>
      <c r="C165" s="27" t="str">
        <f>Sites[[#This Row],[SOL'#]]</f>
        <v>SOL-10932</v>
      </c>
      <c r="D165" s="75">
        <v>5962.3918886912597</v>
      </c>
      <c r="E165" s="14">
        <v>0</v>
      </c>
      <c r="F165" s="14">
        <f t="shared" si="16"/>
        <v>5962.3918886912597</v>
      </c>
      <c r="G165" s="15" t="str">
        <f t="shared" si="19"/>
        <v/>
      </c>
      <c r="H165" s="78">
        <v>0</v>
      </c>
      <c r="I165" s="78">
        <f t="shared" si="15"/>
        <v>5962.3918886912597</v>
      </c>
      <c r="J165" s="15" t="str">
        <f t="shared" si="18"/>
        <v/>
      </c>
      <c r="K165" s="38" t="s">
        <v>437</v>
      </c>
      <c r="L165" s="135" t="s">
        <v>438</v>
      </c>
      <c r="M165" s="117" t="s">
        <v>439</v>
      </c>
    </row>
    <row r="166" spans="1:13" ht="15.6">
      <c r="A166" s="24" t="str">
        <v>X095</v>
      </c>
      <c r="B166" s="25" t="str">
        <v>NY</v>
      </c>
      <c r="C166" s="25" t="str">
        <f>Sites[[#This Row],[SOL'#]]</f>
        <v>SOL-10929</v>
      </c>
      <c r="D166" s="60">
        <v>7581.9853172110597</v>
      </c>
      <c r="E166" s="10">
        <v>0</v>
      </c>
      <c r="F166" s="10">
        <f t="shared" si="16"/>
        <v>7581.9853172110597</v>
      </c>
      <c r="G166" s="11" t="str">
        <f t="shared" si="19"/>
        <v/>
      </c>
      <c r="H166" s="76">
        <v>0</v>
      </c>
      <c r="I166" s="76">
        <f t="shared" si="15"/>
        <v>7581.9853172110597</v>
      </c>
      <c r="J166" s="13" t="str">
        <f t="shared" si="18"/>
        <v/>
      </c>
      <c r="K166" s="63" t="s">
        <v>231</v>
      </c>
      <c r="L166" s="129" t="s">
        <v>232</v>
      </c>
    </row>
    <row r="167" spans="1:13" ht="15.6">
      <c r="A167" s="26" t="str">
        <v>X181</v>
      </c>
      <c r="B167" s="27" t="str">
        <v>NY</v>
      </c>
      <c r="C167" s="27" t="str">
        <f>Sites[[#This Row],[SOL'#]]</f>
        <v>SOL-10428</v>
      </c>
      <c r="D167" s="75">
        <v>12161.18685</v>
      </c>
      <c r="E167" s="14">
        <v>0</v>
      </c>
      <c r="F167" s="14">
        <f t="shared" si="16"/>
        <v>12161.18685</v>
      </c>
      <c r="G167" s="15" t="str">
        <f t="shared" si="19"/>
        <v/>
      </c>
      <c r="H167" s="78">
        <v>0</v>
      </c>
      <c r="I167" s="78">
        <f t="shared" si="15"/>
        <v>12161.18685</v>
      </c>
      <c r="J167" s="15" t="str">
        <f t="shared" si="18"/>
        <v/>
      </c>
      <c r="K167" s="38" t="s">
        <v>233</v>
      </c>
      <c r="L167" s="131" t="s">
        <v>234</v>
      </c>
    </row>
    <row r="168" spans="1:13" ht="15.6">
      <c r="A168" s="24" t="str">
        <v>X415</v>
      </c>
      <c r="B168" s="25" t="str">
        <v>NY</v>
      </c>
      <c r="C168" s="25" t="str">
        <f>Sites[[#This Row],[SOL'#]]</f>
        <v>SOL-10429</v>
      </c>
      <c r="D168" s="60">
        <v>6531.152341</v>
      </c>
      <c r="E168" s="10">
        <v>0</v>
      </c>
      <c r="F168" s="10">
        <f t="shared" si="16"/>
        <v>6531.152341</v>
      </c>
      <c r="G168" s="11" t="str">
        <f t="shared" si="19"/>
        <v/>
      </c>
      <c r="H168" s="76">
        <v>0</v>
      </c>
      <c r="I168" s="76">
        <f t="shared" si="15"/>
        <v>6531.152341</v>
      </c>
      <c r="J168" s="13" t="str">
        <f t="shared" si="18"/>
        <v/>
      </c>
      <c r="K168" s="63" t="s">
        <v>235</v>
      </c>
      <c r="L168" s="129" t="s">
        <v>236</v>
      </c>
    </row>
    <row r="169" spans="1:13" ht="15.6">
      <c r="A169" s="26" t="str">
        <v>K198</v>
      </c>
      <c r="B169" s="27" t="str">
        <v>NY</v>
      </c>
      <c r="C169" s="27" t="str">
        <f>Sites[[#This Row],[SOL'#]]</f>
        <v>SOL-10930</v>
      </c>
      <c r="D169" s="75">
        <v>8238.6279296875</v>
      </c>
      <c r="E169" s="14">
        <v>0</v>
      </c>
      <c r="F169" s="14">
        <f t="shared" si="16"/>
        <v>8238.6279296875</v>
      </c>
      <c r="G169" s="15" t="str">
        <f t="shared" si="19"/>
        <v/>
      </c>
      <c r="H169" s="78">
        <v>0</v>
      </c>
      <c r="I169" s="78">
        <f t="shared" si="15"/>
        <v>8238.6279296875</v>
      </c>
      <c r="J169" s="15" t="str">
        <f t="shared" si="18"/>
        <v/>
      </c>
      <c r="K169" s="38" t="s">
        <v>237</v>
      </c>
      <c r="L169" s="131" t="s">
        <v>238</v>
      </c>
    </row>
    <row r="170" spans="1:13" ht="15.6">
      <c r="A170" s="24" t="str">
        <v>K203</v>
      </c>
      <c r="B170" s="25" t="str">
        <v>NY</v>
      </c>
      <c r="C170" s="25" t="str">
        <f>Sites[[#This Row],[SOL'#]]</f>
        <v>SOL-11190</v>
      </c>
      <c r="D170" s="60"/>
      <c r="E170" s="10"/>
      <c r="F170" s="10" t="str">
        <f t="shared" si="16"/>
        <v/>
      </c>
      <c r="G170" s="11" t="str">
        <f t="shared" si="19"/>
        <v/>
      </c>
      <c r="H170" s="76"/>
      <c r="I170" s="76" t="str">
        <f t="shared" ref="I170:I188" si="20">IF(AND(ISNUMBER(D170),ISNUMBER(H170)), D170-H170, "")</f>
        <v/>
      </c>
      <c r="J170" s="13" t="str">
        <f t="shared" si="18"/>
        <v/>
      </c>
      <c r="K170" s="63" t="s">
        <v>237</v>
      </c>
      <c r="L170" s="129" t="s">
        <v>440</v>
      </c>
    </row>
    <row r="171" spans="1:13" ht="15.6">
      <c r="A171" s="26" t="str">
        <v>K213</v>
      </c>
      <c r="B171" s="27" t="str">
        <v>NY</v>
      </c>
      <c r="C171" s="27" t="str">
        <f>Sites[[#This Row],[SOL'#]]</f>
        <v>SOL-11191</v>
      </c>
      <c r="D171" s="75"/>
      <c r="E171" s="14"/>
      <c r="F171" s="14" t="str">
        <f t="shared" si="16"/>
        <v/>
      </c>
      <c r="G171" s="15" t="str">
        <f t="shared" si="19"/>
        <v/>
      </c>
      <c r="H171" s="78"/>
      <c r="I171" s="78" t="str">
        <f t="shared" si="20"/>
        <v/>
      </c>
      <c r="J171" s="15" t="str">
        <f t="shared" si="18"/>
        <v/>
      </c>
      <c r="K171" s="38"/>
      <c r="L171" s="17"/>
    </row>
    <row r="172" spans="1:13" ht="15.6">
      <c r="A172" s="24" t="str">
        <v>K217</v>
      </c>
      <c r="B172" s="25" t="str">
        <v>NY</v>
      </c>
      <c r="C172" s="25" t="str">
        <f>Sites[[#This Row],[SOL'#]]</f>
        <v>SOL-10933</v>
      </c>
      <c r="D172" s="60">
        <v>5661.9752832031199</v>
      </c>
      <c r="E172" s="10">
        <v>0</v>
      </c>
      <c r="F172" s="10">
        <f t="shared" si="16"/>
        <v>5661.9752832031199</v>
      </c>
      <c r="G172" s="11" t="str">
        <f t="shared" si="19"/>
        <v/>
      </c>
      <c r="H172" s="76">
        <v>0</v>
      </c>
      <c r="I172" s="76">
        <f t="shared" si="20"/>
        <v>5661.9752832031199</v>
      </c>
      <c r="J172" s="13" t="str">
        <f t="shared" si="18"/>
        <v/>
      </c>
      <c r="K172" s="63" t="s">
        <v>237</v>
      </c>
      <c r="L172" s="129" t="s">
        <v>239</v>
      </c>
    </row>
    <row r="173" spans="1:13" ht="15.6">
      <c r="A173" s="26" t="str">
        <v>K307</v>
      </c>
      <c r="B173" s="27" t="str">
        <v>NY</v>
      </c>
      <c r="C173" s="27" t="str">
        <f>Sites[[#This Row],[SOL'#]]</f>
        <v>SOL-10876</v>
      </c>
      <c r="D173" s="75">
        <v>12916.76168</v>
      </c>
      <c r="E173" s="14">
        <v>0</v>
      </c>
      <c r="F173" s="14">
        <f t="shared" si="16"/>
        <v>12916.76168</v>
      </c>
      <c r="G173" s="15" t="str">
        <f t="shared" si="19"/>
        <v/>
      </c>
      <c r="H173" s="78">
        <v>0</v>
      </c>
      <c r="I173" s="78">
        <f t="shared" si="20"/>
        <v>12916.76168</v>
      </c>
      <c r="J173" s="15" t="str">
        <f t="shared" si="18"/>
        <v/>
      </c>
      <c r="K173" s="38"/>
      <c r="L173" s="17"/>
    </row>
    <row r="174" spans="1:13" ht="15.6">
      <c r="A174" s="24" t="str">
        <v>K610</v>
      </c>
      <c r="B174" s="25" t="str">
        <v>NY</v>
      </c>
      <c r="C174" s="25" t="str">
        <f>Sites[[#This Row],[SOL'#]]</f>
        <v>SOL-11158</v>
      </c>
      <c r="D174" s="60"/>
      <c r="E174" s="10"/>
      <c r="F174" s="10" t="str">
        <f t="shared" si="16"/>
        <v/>
      </c>
      <c r="G174" s="11" t="str">
        <f t="shared" si="19"/>
        <v/>
      </c>
      <c r="H174" s="76"/>
      <c r="I174" s="76" t="str">
        <f t="shared" si="20"/>
        <v/>
      </c>
      <c r="J174" s="13" t="str">
        <f t="shared" si="18"/>
        <v/>
      </c>
      <c r="K174" s="63"/>
      <c r="L174" s="37"/>
    </row>
    <row r="175" spans="1:13" ht="28.9">
      <c r="A175" s="26" t="str">
        <v>M025</v>
      </c>
      <c r="B175" s="27" t="str">
        <v>NY</v>
      </c>
      <c r="C175" s="27" t="str">
        <f>Sites[[#This Row],[SOL'#]]</f>
        <v>SOL-10392</v>
      </c>
      <c r="D175" s="75">
        <v>11939.340819999999</v>
      </c>
      <c r="E175" s="14">
        <v>0</v>
      </c>
      <c r="F175" s="14">
        <f t="shared" si="16"/>
        <v>11939.340819999999</v>
      </c>
      <c r="G175" s="15" t="str">
        <f t="shared" si="19"/>
        <v/>
      </c>
      <c r="H175" s="78">
        <v>0</v>
      </c>
      <c r="I175" s="78">
        <f t="shared" si="20"/>
        <v>11939.340819999999</v>
      </c>
      <c r="J175" s="15" t="str">
        <f t="shared" si="18"/>
        <v/>
      </c>
      <c r="K175" s="38" t="s">
        <v>441</v>
      </c>
      <c r="L175" s="135" t="s">
        <v>442</v>
      </c>
      <c r="M175" s="117" t="s">
        <v>443</v>
      </c>
    </row>
    <row r="176" spans="1:13" ht="15.6">
      <c r="A176" s="24" t="str">
        <v>M028</v>
      </c>
      <c r="B176" s="25" t="str">
        <v>NY</v>
      </c>
      <c r="C176" s="25" t="str">
        <f>Sites[[#This Row],[SOL'#]]</f>
        <v>SOL-10381</v>
      </c>
      <c r="D176" s="60">
        <v>8250.1922969999996</v>
      </c>
      <c r="E176" s="10">
        <v>0</v>
      </c>
      <c r="F176" s="10">
        <f t="shared" si="16"/>
        <v>8250.1922969999996</v>
      </c>
      <c r="G176" s="11" t="str">
        <f t="shared" si="19"/>
        <v/>
      </c>
      <c r="H176" s="76">
        <v>0</v>
      </c>
      <c r="I176" s="76">
        <f t="shared" si="20"/>
        <v>8250.1922969999996</v>
      </c>
      <c r="J176" s="13" t="str">
        <f t="shared" si="18"/>
        <v/>
      </c>
      <c r="K176" s="63" t="s">
        <v>241</v>
      </c>
      <c r="L176" s="129" t="s">
        <v>242</v>
      </c>
    </row>
    <row r="177" spans="1:14" ht="15.6">
      <c r="A177" s="26" t="str">
        <v>Q030</v>
      </c>
      <c r="B177" s="27" t="str">
        <v>NY</v>
      </c>
      <c r="C177" s="27" t="str">
        <f>Sites[[#This Row],[SOL'#]]</f>
        <v>SOL-10878</v>
      </c>
      <c r="D177" s="75">
        <v>12842.908390000001</v>
      </c>
      <c r="E177" s="14">
        <v>0</v>
      </c>
      <c r="F177" s="14">
        <f t="shared" si="16"/>
        <v>12842.908390000001</v>
      </c>
      <c r="G177" s="15" t="str">
        <f t="shared" si="19"/>
        <v/>
      </c>
      <c r="H177" s="78">
        <v>0</v>
      </c>
      <c r="I177" s="78">
        <f t="shared" si="20"/>
        <v>12842.908390000001</v>
      </c>
      <c r="J177" s="15" t="str">
        <f t="shared" si="18"/>
        <v/>
      </c>
      <c r="K177" s="38"/>
      <c r="L177" s="17"/>
    </row>
    <row r="178" spans="1:14" ht="15.6">
      <c r="A178" s="24" t="str">
        <v>Q130</v>
      </c>
      <c r="B178" s="25" t="str">
        <v>NY</v>
      </c>
      <c r="C178" s="25" t="str">
        <f>Sites[[#This Row],[SOL'#]]</f>
        <v>SOL-10877</v>
      </c>
      <c r="D178" s="60">
        <v>6870.1664700000001</v>
      </c>
      <c r="E178" s="10">
        <v>0</v>
      </c>
      <c r="F178" s="10">
        <f t="shared" si="16"/>
        <v>6870.1664700000001</v>
      </c>
      <c r="G178" s="11" t="str">
        <f t="shared" si="19"/>
        <v/>
      </c>
      <c r="H178" s="76">
        <v>0</v>
      </c>
      <c r="I178" s="76">
        <f t="shared" si="20"/>
        <v>6870.1664700000001</v>
      </c>
      <c r="J178" s="13" t="str">
        <f t="shared" si="18"/>
        <v/>
      </c>
      <c r="K178" s="63" t="s">
        <v>243</v>
      </c>
      <c r="L178" s="129" t="s">
        <v>244</v>
      </c>
    </row>
    <row r="179" spans="1:14" ht="15.6">
      <c r="A179" s="26" t="str">
        <v>Q196</v>
      </c>
      <c r="B179" s="27" t="str">
        <v>NY</v>
      </c>
      <c r="C179" s="27" t="str">
        <f>Sites[[#This Row],[SOL'#]]</f>
        <v>SOL-10879</v>
      </c>
      <c r="D179" s="75">
        <v>8604.3924999999999</v>
      </c>
      <c r="E179" s="14">
        <v>0</v>
      </c>
      <c r="F179" s="14">
        <f t="shared" si="16"/>
        <v>8604.3924999999999</v>
      </c>
      <c r="G179" s="15" t="str">
        <f t="shared" si="19"/>
        <v/>
      </c>
      <c r="H179" s="78">
        <v>0</v>
      </c>
      <c r="I179" s="78">
        <f t="shared" si="20"/>
        <v>8604.3924999999999</v>
      </c>
      <c r="J179" s="15" t="str">
        <f t="shared" si="18"/>
        <v/>
      </c>
      <c r="K179" s="38" t="s">
        <v>243</v>
      </c>
      <c r="L179" s="131" t="s">
        <v>245</v>
      </c>
    </row>
    <row r="180" spans="1:14" ht="28.9">
      <c r="A180" s="24" t="str">
        <v>Q220</v>
      </c>
      <c r="B180" s="25" t="str">
        <v>NY</v>
      </c>
      <c r="C180" s="25" t="str">
        <f>Sites[[#This Row],[SOL'#]]</f>
        <v>SOL-10873</v>
      </c>
      <c r="D180" s="60">
        <v>10122.787410000001</v>
      </c>
      <c r="E180" s="10">
        <v>0</v>
      </c>
      <c r="F180" s="10">
        <f t="shared" si="16"/>
        <v>10122.787410000001</v>
      </c>
      <c r="G180" s="11" t="str">
        <f t="shared" si="19"/>
        <v/>
      </c>
      <c r="H180" s="76">
        <v>0</v>
      </c>
      <c r="I180" s="76">
        <f t="shared" si="20"/>
        <v>10122.787410000001</v>
      </c>
      <c r="J180" s="13" t="str">
        <f t="shared" si="18"/>
        <v/>
      </c>
      <c r="K180" s="63" t="s">
        <v>444</v>
      </c>
      <c r="L180" s="129" t="s">
        <v>246</v>
      </c>
    </row>
    <row r="181" spans="1:14" ht="15.6">
      <c r="A181" s="26" t="str">
        <v>Q205</v>
      </c>
      <c r="B181" s="27" t="str">
        <v>NY</v>
      </c>
      <c r="C181" s="27" t="str">
        <f>Sites[[#This Row],[SOL'#]]</f>
        <v>SOL-10922</v>
      </c>
      <c r="D181" s="75"/>
      <c r="E181" s="14"/>
      <c r="F181" s="14" t="str">
        <f t="shared" si="16"/>
        <v/>
      </c>
      <c r="G181" s="15" t="str">
        <f t="shared" si="19"/>
        <v/>
      </c>
      <c r="H181" s="78"/>
      <c r="I181" s="78" t="str">
        <f t="shared" si="20"/>
        <v/>
      </c>
      <c r="J181" s="15" t="str">
        <f t="shared" si="18"/>
        <v/>
      </c>
      <c r="K181" s="38"/>
      <c r="L181" s="17"/>
    </row>
    <row r="182" spans="1:14" ht="43.15">
      <c r="A182" s="24" t="str">
        <v>Q400</v>
      </c>
      <c r="B182" s="25" t="str">
        <v>NY</v>
      </c>
      <c r="C182" s="25" t="str">
        <f>Sites[[#This Row],[SOL'#]]</f>
        <v>SOL-10871</v>
      </c>
      <c r="D182" s="60">
        <v>6925.4609380000002</v>
      </c>
      <c r="E182" s="10">
        <v>0</v>
      </c>
      <c r="F182" s="10">
        <f t="shared" si="16"/>
        <v>6925.4609380000002</v>
      </c>
      <c r="G182" s="11" t="str">
        <f t="shared" si="19"/>
        <v/>
      </c>
      <c r="H182" s="76">
        <v>0</v>
      </c>
      <c r="I182" s="76">
        <f t="shared" si="20"/>
        <v>6925.4609380000002</v>
      </c>
      <c r="J182" s="13" t="str">
        <f t="shared" si="18"/>
        <v/>
      </c>
      <c r="K182" s="63" t="s">
        <v>445</v>
      </c>
      <c r="L182" s="129" t="s">
        <v>446</v>
      </c>
      <c r="M182" s="117" t="s">
        <v>249</v>
      </c>
      <c r="N182" s="117" t="s">
        <v>249</v>
      </c>
    </row>
    <row r="183" spans="1:14" ht="15.6">
      <c r="A183" s="26" t="str">
        <v>R003</v>
      </c>
      <c r="B183" s="27" t="str">
        <v>NY</v>
      </c>
      <c r="C183" s="27" t="str">
        <f>Sites[[#This Row],[SOL'#]]</f>
        <v>SOL-10416</v>
      </c>
      <c r="D183" s="75">
        <v>20656.632809999999</v>
      </c>
      <c r="E183" s="14"/>
      <c r="F183" s="14" t="str">
        <f t="shared" si="16"/>
        <v/>
      </c>
      <c r="G183" s="15" t="str">
        <f t="shared" si="19"/>
        <v/>
      </c>
      <c r="H183" s="78"/>
      <c r="I183" s="78" t="str">
        <f t="shared" si="20"/>
        <v/>
      </c>
      <c r="J183" s="15" t="str">
        <f t="shared" si="18"/>
        <v/>
      </c>
      <c r="K183" s="38" t="s">
        <v>250</v>
      </c>
      <c r="L183" s="131" t="s">
        <v>251</v>
      </c>
    </row>
    <row r="184" spans="1:14" ht="15.6">
      <c r="A184" s="24" t="str">
        <v>R007</v>
      </c>
      <c r="B184" s="25" t="str">
        <v>NY</v>
      </c>
      <c r="C184" s="25" t="str">
        <f>Sites[[#This Row],[SOL'#]]</f>
        <v>SOL-10417</v>
      </c>
      <c r="D184" s="60">
        <v>21665.457030000001</v>
      </c>
      <c r="E184" s="10">
        <v>0</v>
      </c>
      <c r="F184" s="10">
        <f t="shared" si="16"/>
        <v>21665.457030000001</v>
      </c>
      <c r="G184" s="11" t="str">
        <f t="shared" si="19"/>
        <v/>
      </c>
      <c r="H184" s="76">
        <v>0</v>
      </c>
      <c r="I184" s="76">
        <f t="shared" si="20"/>
        <v>21665.457030000001</v>
      </c>
      <c r="J184" s="13" t="str">
        <f t="shared" si="18"/>
        <v/>
      </c>
      <c r="K184" s="63"/>
      <c r="L184" s="37"/>
    </row>
    <row r="185" spans="1:14" ht="28.9">
      <c r="A185" s="26" t="str">
        <v>BK16</v>
      </c>
      <c r="B185" s="27" t="str">
        <v>NY</v>
      </c>
      <c r="C185" s="27" t="str">
        <f>Sites[[#This Row],[SOL'#]]</f>
        <v>SOL-11093</v>
      </c>
      <c r="D185" s="75">
        <v>19771.3448328669</v>
      </c>
      <c r="E185" s="14">
        <v>0</v>
      </c>
      <c r="F185" s="14">
        <f t="shared" si="16"/>
        <v>19771.3448328669</v>
      </c>
      <c r="G185" s="15" t="str">
        <f t="shared" si="19"/>
        <v/>
      </c>
      <c r="H185" s="78">
        <v>0</v>
      </c>
      <c r="I185" s="78">
        <f t="shared" si="20"/>
        <v>19771.3448328669</v>
      </c>
      <c r="J185" s="15" t="str">
        <f t="shared" si="18"/>
        <v/>
      </c>
      <c r="K185" s="38" t="s">
        <v>447</v>
      </c>
      <c r="L185" s="135" t="s">
        <v>448</v>
      </c>
      <c r="M185" s="117" t="s">
        <v>449</v>
      </c>
    </row>
    <row r="186" spans="1:14" ht="15.6">
      <c r="A186" s="24" t="str">
        <v>Trenton - Trenton East</v>
      </c>
      <c r="B186" s="25" t="str">
        <v>IL</v>
      </c>
      <c r="C186" s="25" t="str">
        <f>Sites[[#This Row],[SOL'#]]</f>
        <v>SOL-11060</v>
      </c>
      <c r="D186" s="60">
        <v>277433</v>
      </c>
      <c r="E186" s="10">
        <v>272748.7</v>
      </c>
      <c r="F186" s="10">
        <f t="shared" si="16"/>
        <v>4684.2999999999884</v>
      </c>
      <c r="G186" s="11">
        <f t="shared" si="19"/>
        <v>1.7174417329945069E-2</v>
      </c>
      <c r="H186" s="76">
        <v>250258</v>
      </c>
      <c r="I186" s="76">
        <f t="shared" si="20"/>
        <v>27175</v>
      </c>
      <c r="J186" s="13">
        <f t="shared" si="18"/>
        <v>0.10858793724875929</v>
      </c>
      <c r="K186" s="63" t="s">
        <v>450</v>
      </c>
      <c r="L186" s="136" t="s">
        <v>451</v>
      </c>
    </row>
    <row r="187" spans="1:14" ht="15.6">
      <c r="A187" s="26" t="str">
        <v>Trenton - Trenton West</v>
      </c>
      <c r="B187" s="27" t="str">
        <v>IL</v>
      </c>
      <c r="C187" s="27" t="str">
        <f>Sites[[#This Row],[SOL'#]]</f>
        <v>SOL-11061</v>
      </c>
      <c r="D187" s="75">
        <v>286335</v>
      </c>
      <c r="E187" s="14">
        <v>245107.1</v>
      </c>
      <c r="F187" s="14">
        <f t="shared" si="16"/>
        <v>41227.899999999994</v>
      </c>
      <c r="G187" s="77">
        <f t="shared" si="19"/>
        <v>0.1682036138488032</v>
      </c>
      <c r="H187" s="78">
        <v>252415.00399999999</v>
      </c>
      <c r="I187" s="78">
        <f t="shared" si="20"/>
        <v>33919.996000000014</v>
      </c>
      <c r="J187" s="15">
        <f t="shared" si="18"/>
        <v>0.13438185314847614</v>
      </c>
      <c r="K187" s="38"/>
      <c r="L187" s="119"/>
    </row>
    <row r="188" spans="1:14" ht="57.6">
      <c r="A188" s="24" t="str">
        <v>Dakota - Dakota Solar 1</v>
      </c>
      <c r="B188" s="25" t="str">
        <v>IL</v>
      </c>
      <c r="C188" s="25" t="str">
        <f>Sites[[#This Row],[SOL'#]]</f>
        <v>SOL-11113</v>
      </c>
      <c r="D188" s="60">
        <v>540549</v>
      </c>
      <c r="E188" s="10">
        <v>358197.96899999998</v>
      </c>
      <c r="F188" s="10">
        <f>IF(AND(ISNUMBER(D188),ISNUMBER(E188)), D188-E188, "")</f>
        <v>182351.03100000002</v>
      </c>
      <c r="G188" s="11">
        <f t="shared" si="19"/>
        <v>0.50907890826148161</v>
      </c>
      <c r="H188" s="76">
        <v>0</v>
      </c>
      <c r="I188" s="76">
        <f t="shared" si="20"/>
        <v>540549</v>
      </c>
      <c r="J188" s="13" t="str">
        <f t="shared" si="18"/>
        <v/>
      </c>
      <c r="K188" s="63" t="s">
        <v>452</v>
      </c>
      <c r="L188" s="136" t="s">
        <v>453</v>
      </c>
      <c r="M188" s="117" t="s">
        <v>454</v>
      </c>
    </row>
    <row r="189" spans="1:14" ht="45.75">
      <c r="A189" s="26" t="str">
        <v>X018</v>
      </c>
      <c r="B189" s="27" t="str">
        <v>NY</v>
      </c>
      <c r="C189" s="27" t="str">
        <f>Sites[[#This Row],[SOL'#]]</f>
        <v>SOL-10418</v>
      </c>
      <c r="D189" s="75">
        <v>8177</v>
      </c>
      <c r="E189" s="14">
        <v>11217.398999999999</v>
      </c>
      <c r="F189" s="14">
        <f>IF(AND(ISNUMBER(D189),ISNUMBER(E189)), D189-E189, "")</f>
        <v>-3040.3989999999994</v>
      </c>
      <c r="G189" s="77">
        <f t="shared" si="19"/>
        <v>-0.27104313575722855</v>
      </c>
      <c r="H189" s="78">
        <v>0</v>
      </c>
      <c r="I189" s="78">
        <f t="shared" ref="I189:I195" si="21">IF(AND(ISNUMBER(D189),ISNUMBER(H189)), D189-H189, "")</f>
        <v>8177</v>
      </c>
      <c r="J189" s="15" t="str">
        <f t="shared" si="18"/>
        <v/>
      </c>
      <c r="K189" s="145" t="s">
        <v>455</v>
      </c>
      <c r="L189" s="135" t="s">
        <v>456</v>
      </c>
    </row>
    <row r="190" spans="1:14" ht="15.75">
      <c r="A190" s="24" t="str">
        <v>Janiak Solar</v>
      </c>
      <c r="B190" s="25" t="str">
        <v>NY</v>
      </c>
      <c r="C190" s="25" t="str">
        <f>Sites[[#This Row],[SOL'#]]</f>
        <v>SOL-10898</v>
      </c>
      <c r="D190" s="60">
        <v>206037.052</v>
      </c>
      <c r="E190" s="10">
        <v>269225.69699999999</v>
      </c>
      <c r="F190" s="10">
        <f t="shared" ref="F190:F195" si="22">IF(AND(ISNUMBER(D190),ISNUMBER(E190)), D190-E190, "")</f>
        <v>-63188.64499999999</v>
      </c>
      <c r="G190" s="11">
        <f t="shared" ref="G190:G195" si="23">IFERROR(F190/E190, "")</f>
        <v>-0.23470510320565718</v>
      </c>
      <c r="H190" s="76">
        <v>256159.24600000001</v>
      </c>
      <c r="I190" s="76">
        <f t="shared" si="21"/>
        <v>-50122.194000000018</v>
      </c>
      <c r="J190" s="13">
        <f t="shared" si="18"/>
        <v>-0.19566810405118079</v>
      </c>
      <c r="K190" s="63" t="s">
        <v>23</v>
      </c>
      <c r="L190" s="136"/>
    </row>
    <row r="191" spans="1:14" ht="15.6">
      <c r="A191" s="26" t="str">
        <v>County Route 11B</v>
      </c>
      <c r="B191" s="27" t="str">
        <v>NY</v>
      </c>
      <c r="C191" s="27" t="str">
        <f>Sites[[#This Row],[SOL'#]]</f>
        <v>SOL-10983</v>
      </c>
      <c r="D191" s="75">
        <v>385858</v>
      </c>
      <c r="E191" s="14">
        <v>0</v>
      </c>
      <c r="F191" s="14">
        <f t="shared" si="22"/>
        <v>385858</v>
      </c>
      <c r="G191" s="77" t="str">
        <f t="shared" si="23"/>
        <v/>
      </c>
      <c r="H191" s="78">
        <v>0</v>
      </c>
      <c r="I191" s="78">
        <f t="shared" si="21"/>
        <v>385858</v>
      </c>
      <c r="J191" s="15" t="str">
        <f t="shared" si="18"/>
        <v/>
      </c>
      <c r="K191" s="54" t="s">
        <v>457</v>
      </c>
      <c r="L191" s="131" t="s">
        <v>458</v>
      </c>
    </row>
    <row r="192" spans="1:14" ht="43.15">
      <c r="A192" s="24" t="str">
        <v>Barone</v>
      </c>
      <c r="B192" s="25" t="str">
        <v>NY</v>
      </c>
      <c r="C192" s="25" t="str">
        <f>Sites[[#This Row],[SOL'#]]</f>
        <v>SOL-11034</v>
      </c>
      <c r="D192" s="60">
        <v>359132</v>
      </c>
      <c r="E192" s="10">
        <v>0</v>
      </c>
      <c r="F192" s="10">
        <f t="shared" si="22"/>
        <v>359132</v>
      </c>
      <c r="G192" s="11" t="str">
        <f t="shared" si="23"/>
        <v/>
      </c>
      <c r="H192" s="76">
        <v>314249.5</v>
      </c>
      <c r="I192" s="76">
        <f t="shared" si="21"/>
        <v>44882.5</v>
      </c>
      <c r="J192" s="13">
        <f t="shared" si="18"/>
        <v>0.14282441181290662</v>
      </c>
      <c r="K192" s="63" t="s">
        <v>459</v>
      </c>
      <c r="L192" s="136" t="s">
        <v>460</v>
      </c>
      <c r="M192" s="117" t="s">
        <v>461</v>
      </c>
    </row>
    <row r="193" spans="1:12" ht="28.9">
      <c r="A193" s="26" t="str">
        <v>Cedarville</v>
      </c>
      <c r="B193" s="27" t="str">
        <v>IL</v>
      </c>
      <c r="C193" s="27" t="str">
        <f>Sites[[#This Row],[SOL'#]]</f>
        <v>SOL-11069</v>
      </c>
      <c r="D193" s="75">
        <v>228799.9</v>
      </c>
      <c r="E193" s="14">
        <v>250182.1</v>
      </c>
      <c r="F193" s="14">
        <f t="shared" si="22"/>
        <v>-21382.200000000012</v>
      </c>
      <c r="G193" s="77">
        <f t="shared" si="23"/>
        <v>-8.546654616777144E-2</v>
      </c>
      <c r="H193" s="78">
        <v>248354.5</v>
      </c>
      <c r="I193" s="78">
        <f t="shared" si="21"/>
        <v>-19554.600000000006</v>
      </c>
      <c r="J193" s="15">
        <f t="shared" si="18"/>
        <v>-7.8736644594722488E-2</v>
      </c>
      <c r="K193" s="144" t="s">
        <v>462</v>
      </c>
      <c r="L193" s="135" t="s">
        <v>463</v>
      </c>
    </row>
    <row r="194" spans="1:12" ht="15.6">
      <c r="A194" s="24" t="str">
        <v xml:space="preserve"> O'Brien Hill #1</v>
      </c>
      <c r="B194" s="25" t="str">
        <v>NY</v>
      </c>
      <c r="C194" s="25" t="str">
        <f>Sites[[#This Row],[SOL'#]]</f>
        <v>SOL-11098</v>
      </c>
      <c r="D194" s="60">
        <v>416554</v>
      </c>
      <c r="E194" s="10">
        <v>0</v>
      </c>
      <c r="F194" s="10">
        <f t="shared" si="22"/>
        <v>416554</v>
      </c>
      <c r="G194" s="11" t="str">
        <f t="shared" si="23"/>
        <v/>
      </c>
      <c r="H194" s="76">
        <v>0</v>
      </c>
      <c r="I194" s="76">
        <f t="shared" si="21"/>
        <v>416554</v>
      </c>
      <c r="J194" s="13" t="str">
        <f t="shared" si="18"/>
        <v/>
      </c>
      <c r="K194" s="63"/>
      <c r="L194" s="136"/>
    </row>
    <row r="195" spans="1:12" ht="28.9">
      <c r="A195" s="26" t="str">
        <v xml:space="preserve"> O'Brien Hill #2</v>
      </c>
      <c r="B195" s="27" t="str">
        <v>NY</v>
      </c>
      <c r="C195" s="27" t="str">
        <f>Sites[[#This Row],[SOL'#]]</f>
        <v>SOL-11099</v>
      </c>
      <c r="D195" s="75">
        <v>392818</v>
      </c>
      <c r="E195" s="14">
        <v>0</v>
      </c>
      <c r="F195" s="14">
        <f t="shared" si="22"/>
        <v>392818</v>
      </c>
      <c r="G195" s="77" t="str">
        <f t="shared" si="23"/>
        <v/>
      </c>
      <c r="H195" s="78">
        <v>0</v>
      </c>
      <c r="I195" s="78">
        <f t="shared" si="21"/>
        <v>392818</v>
      </c>
      <c r="J195" s="15" t="str">
        <f t="shared" si="18"/>
        <v/>
      </c>
      <c r="K195" s="56" t="s">
        <v>464</v>
      </c>
      <c r="L195" s="135" t="s">
        <v>465</v>
      </c>
    </row>
    <row r="196" spans="1:12" ht="15.6">
      <c r="A196" s="24" t="str">
        <v>Trinity - Freeport</v>
      </c>
      <c r="B196" s="25" t="str">
        <v>IL</v>
      </c>
      <c r="C196" s="25" t="str">
        <f>Sites[[#This Row],[SOL'#]]</f>
        <v>SOL-11057</v>
      </c>
      <c r="D196" s="60"/>
      <c r="E196" s="10"/>
      <c r="F196" s="10"/>
      <c r="G196" s="11"/>
      <c r="H196" s="76"/>
      <c r="I196" s="76"/>
      <c r="J196" s="73"/>
      <c r="K196" s="63"/>
      <c r="L196" s="136"/>
    </row>
    <row r="197" spans="1:12" ht="15.6">
      <c r="A197" s="26" t="str">
        <v>Ransom</v>
      </c>
      <c r="B197" s="27" t="str">
        <v>NY</v>
      </c>
      <c r="C197" s="27" t="str">
        <f>Sites[[#This Row],[SOL'#]]</f>
        <v>SOL-11157</v>
      </c>
      <c r="D197" s="75"/>
      <c r="E197" s="14"/>
      <c r="F197" s="14"/>
      <c r="G197" s="77"/>
      <c r="H197" s="78"/>
      <c r="I197" s="78"/>
      <c r="J197" s="77"/>
      <c r="K197" s="56"/>
      <c r="L197" s="135"/>
    </row>
    <row r="198" spans="1:12" ht="15.75">
      <c r="A198" s="24" t="str">
        <v>Horseheads - Wedge</v>
      </c>
      <c r="B198" s="25" t="str">
        <v>NY</v>
      </c>
      <c r="C198" s="25" t="str">
        <f>Sites[[#This Row],[SOL'#]]</f>
        <v>SOL-11160</v>
      </c>
      <c r="D198" s="60"/>
      <c r="E198" s="10"/>
      <c r="F198" s="10"/>
      <c r="G198" s="11"/>
      <c r="H198" s="76"/>
      <c r="I198" s="76"/>
      <c r="J198" s="73"/>
      <c r="K198" s="63"/>
      <c r="L198" s="136"/>
    </row>
    <row r="199" spans="1:12" ht="15.75">
      <c r="A199" s="26" t="str">
        <v>Otisville - Shoddy Hollow</v>
      </c>
      <c r="B199" s="27" t="str">
        <v>NY</v>
      </c>
      <c r="C199" s="27" t="str">
        <f>Sites[[#This Row],[SOL'#]]</f>
        <v>SOL-11185</v>
      </c>
      <c r="D199" s="75"/>
      <c r="E199" s="14"/>
      <c r="F199" s="14"/>
      <c r="G199" s="77"/>
      <c r="H199" s="78"/>
      <c r="I199" s="78"/>
      <c r="J199" s="77"/>
      <c r="K199" s="56"/>
      <c r="L199" s="135"/>
    </row>
    <row r="200" spans="1:12" ht="15.75">
      <c r="A200" s="24" t="str">
        <v>Wellsville - Chenunda Creek</v>
      </c>
      <c r="B200" s="25" t="str">
        <v>NY</v>
      </c>
      <c r="C200" s="25" t="str">
        <f>Sites[[#This Row],[SOL'#]]</f>
        <v>SOL-11187</v>
      </c>
      <c r="D200" s="60"/>
      <c r="E200" s="10"/>
      <c r="F200" s="10"/>
      <c r="G200" s="11"/>
      <c r="H200" s="76"/>
      <c r="I200" s="76"/>
      <c r="J200" s="73"/>
      <c r="K200" s="63"/>
      <c r="L200" s="136"/>
    </row>
  </sheetData>
  <mergeCells count="4">
    <mergeCell ref="H1:J1"/>
    <mergeCell ref="A1:D1"/>
    <mergeCell ref="E1:G1"/>
    <mergeCell ref="A2:B2"/>
  </mergeCells>
  <phoneticPr fontId="40" type="noConversion"/>
  <conditionalFormatting sqref="G2 J2">
    <cfRule type="cellIs" dxfId="78" priority="17" stopIfTrue="1" operator="lessThanOrEqual">
      <formula>-0.1</formula>
    </cfRule>
    <cfRule type="expression" dxfId="77" priority="18">
      <formula>AND(ISNUMBER(G2), G2&gt;=0.1)</formula>
    </cfRule>
  </conditionalFormatting>
  <conditionalFormatting sqref="G4:G200 J4:J200">
    <cfRule type="cellIs" dxfId="76" priority="1" stopIfTrue="1" operator="lessThanOrEqual">
      <formula>-0.1</formula>
    </cfRule>
    <cfRule type="expression" dxfId="75" priority="2">
      <formula>AND(ISNUMBER(G4), G4&gt;=0.1)</formula>
    </cfRule>
  </conditionalFormatting>
  <hyperlinks>
    <hyperlink ref="L10" r:id="rId1" display="https://us3.assetplanner.com/service_request?ID=094057" xr:uid="{F45CA52A-3C52-4695-85DB-8740410F5C64}"/>
    <hyperlink ref="L13" r:id="rId2" display="https://us3.assetplanner.com/service_request?ID=092555" xr:uid="{9F0F6117-18A9-42DC-A17A-33CACFDAE1C8}"/>
    <hyperlink ref="M13" r:id="rId3" display="https://us3.assetplanner.com/service_request?ID=091903" xr:uid="{E6ACBF69-C07F-409A-ACDC-0C002AF05DFC}"/>
    <hyperlink ref="L14" r:id="rId4" display="https://us3.assetplanner.com/service_request?ID=092556" xr:uid="{5CAD2429-CA76-48EC-92B4-A7013286049E}"/>
    <hyperlink ref="L16" r:id="rId5" display="https://us3.assetplanner.com/service_request?ID=093028" xr:uid="{F983CFA3-9C4C-48F5-A6D0-FD30DF5B2555}"/>
    <hyperlink ref="N17" r:id="rId6" display="https://us3.assetplanner.com/service_request?ID=093029" xr:uid="{66DE21E1-D53F-46FB-A57B-D20713F97B0E}"/>
    <hyperlink ref="L18" r:id="rId7" display="https://us3.assetplanner.com/service_request?ID=093550" xr:uid="{A056E7EB-13E3-49BA-8785-8CFE9E4D2AE7}"/>
    <hyperlink ref="L19" r:id="rId8" display="https://us3.assetplanner.com/service_request?ID=093047" xr:uid="{7765B152-AD28-4378-BFC6-2D45E464079D}"/>
    <hyperlink ref="M19" r:id="rId9" display="https://us3.assetplanner.com/service_request?ID=097910" xr:uid="{1347AEAF-5197-4687-BF0B-E38CAFAE5A31}"/>
    <hyperlink ref="L24" r:id="rId10" display="https://us3.assetplanner.com/service_request?ID=097569" xr:uid="{43150C69-0D8C-4DC6-B584-53F31474AD31}"/>
    <hyperlink ref="L25" r:id="rId11" display="https://us3.assetplanner.com/service_request?ID=093291" xr:uid="{9FD58F21-690E-4426-BA47-159BFEC9551E}"/>
    <hyperlink ref="L29" r:id="rId12" display="https://us3.assetplanner.com/service_request?ID=093633" xr:uid="{0B3FC683-407A-430A-AB89-DD8541664F02}"/>
    <hyperlink ref="L31" r:id="rId13" display="https://us3.assetplanner.com/service_request?ID=086842" xr:uid="{4CBF9CCD-6789-4986-A2BB-C94F70296A83}"/>
    <hyperlink ref="M31" r:id="rId14" display="https://us3.assetplanner.com/service_request?ID=093294" xr:uid="{E95A5BA9-A08F-4FA1-A45B-F73D51495CD6}"/>
    <hyperlink ref="L37" r:id="rId15" display="https://us3.assetplanner.com/service_request?ID=093196" xr:uid="{34C008D0-D46E-4F25-954A-E6C4A5A56860}"/>
    <hyperlink ref="L45" r:id="rId16" display="https://us3.assetplanner.com/service_request?ID=097083" xr:uid="{E9048F56-B79F-4220-8FA4-243B7E980CF3}"/>
    <hyperlink ref="M45" r:id="rId17" display="https://us3.assetplanner.com/service_request?ID=097636" xr:uid="{4C78A41A-188D-4189-BE0E-D24CAABED05B}"/>
    <hyperlink ref="L59" r:id="rId18" display="https://us3.assetplanner.com/service_request?ID=096249" xr:uid="{54979C60-BDEF-45F2-B32F-C2AAAF0F63FB}"/>
    <hyperlink ref="L60" r:id="rId19" display="https://us3.assetplanner.com/service_request?ID=093326" xr:uid="{436574D1-3F05-4C87-839E-13D9D2A7576E}"/>
    <hyperlink ref="L63" r:id="rId20" display="https://us3.assetplanner.com/service_request?ID=096294" xr:uid="{F48D3BBE-8B7F-43E0-AEA9-EBED59E0118B}"/>
    <hyperlink ref="L64" r:id="rId21" display="https://us3.assetplanner.com/service_request?ID=095758" xr:uid="{294A8AE5-FA58-42F7-83E5-D86CD2C4D236}"/>
    <hyperlink ref="L75" r:id="rId22" display="https://us3.assetplanner.com/service_request?ID=096330" xr:uid="{0EC59678-6E88-4710-81EE-5AEE282A1E96}"/>
    <hyperlink ref="L76" r:id="rId23" display="https://us3.assetplanner.com/service_request?ID=095473" xr:uid="{1D40D33B-75F6-4D67-A3E9-9273C734E839}"/>
    <hyperlink ref="M76" r:id="rId24" display="https://us3.assetplanner.com/service_request?ID=096164" xr:uid="{0AC04F6D-2246-4F63-BBA1-75E2A46F8D09}"/>
    <hyperlink ref="L77" r:id="rId25" display="https://us3.assetplanner.com/service_request?ID=096701" xr:uid="{8A1B5B8E-72B3-4E58-89E2-B5A58BAF068B}"/>
    <hyperlink ref="L78" r:id="rId26" display="https://us3.assetplanner.com/service_request?ID=096750" xr:uid="{0D07CB3D-7FDE-4FDB-A1F0-97B4B5FC3A44}"/>
    <hyperlink ref="L79" r:id="rId27" display="https://us3.assetplanner.com/service_request?ID=093972" xr:uid="{D618F1EC-0DD7-4A66-A242-7EEA896B478D}"/>
    <hyperlink ref="L80" r:id="rId28" display="https://us3.assetplanner.com/service_request?ID=095919" xr:uid="{45BAEC9F-368E-4A52-8CD4-22A5C73E0431}"/>
    <hyperlink ref="M80" r:id="rId29" display="https://us3.assetplanner.com/service_request?ID=096726" xr:uid="{88EA7A51-D15B-47AD-8D63-7C1E0A0EE351}"/>
    <hyperlink ref="N80" r:id="rId30" display="https://us3.assetplanner.com/service_request?ID=096907" xr:uid="{E0A8607F-2636-465F-BBBE-899D32A578AD}"/>
    <hyperlink ref="O80" r:id="rId31" display="https://us3.assetplanner.com/service_request?ID=097233" xr:uid="{D5222E29-29F4-4C62-A654-E5FFCA8A1DD3}"/>
    <hyperlink ref="P80" r:id="rId32" display="https://us3.assetplanner.com/service_request?ID=097643" xr:uid="{6B6431AE-0D2F-492E-8B5C-0B335B4CF358}"/>
    <hyperlink ref="L82" r:id="rId33" display="https://us3.assetplanner.com/service_request?ID=095483" xr:uid="{4CEF951C-CB58-4978-AB98-541B69DEB4C6}"/>
    <hyperlink ref="M82" r:id="rId34" display="https://us3.assetplanner.com/service_request?ID=097935" xr:uid="{14A52287-97CA-4DA7-AF8E-264A07CF9B72}"/>
    <hyperlink ref="L83" r:id="rId35" display="https://us3.assetplanner.com/service_request?ID=093024" xr:uid="{C3917813-79C1-4FA8-959E-4E28026A5CC5}"/>
    <hyperlink ref="M83" r:id="rId36" display="https://us3.assetplanner.com/service_request?ID=095445" xr:uid="{D840C3C0-AEAA-4C2A-8787-C5543AC4B2F9}"/>
    <hyperlink ref="N83" r:id="rId37" display="https://us3.assetplanner.com/service_request?ID=097568" xr:uid="{A3F1ABAA-3890-4FEE-9BA5-00F1EB696579}"/>
    <hyperlink ref="L84" r:id="rId38" display="https://us3.assetplanner.com/service_request?ID=096121" xr:uid="{24E21FCA-C4D9-47C3-A602-A3135883F06C}"/>
    <hyperlink ref="M84" r:id="rId39" display="https://us3.assetplanner.com/service_request?ID=096150" xr:uid="{55202D9C-7522-4406-BC1D-A91B0DF1176B}"/>
    <hyperlink ref="N84" r:id="rId40" display="https://us3.assetplanner.com/service_request?ID=096230" xr:uid="{BDE2845D-67DD-4A04-A66A-F891ED46E343}"/>
    <hyperlink ref="O84" r:id="rId41" display="https://us3.assetplanner.com/service_request?ID=096525" xr:uid="{95F80024-2882-408C-B79F-22C690D01D2B}"/>
    <hyperlink ref="P84" r:id="rId42" display="https://us3.assetplanner.com/service_request?ID=097011" xr:uid="{D7E669F7-29CA-4E1A-8D1B-DB2C58E1B45D}"/>
    <hyperlink ref="Q84" r:id="rId43" display="https://us3.assetplanner.com/service_request?ID=097121" xr:uid="{FB3115F0-3A94-436E-9D2C-7F04D4DE5C68}"/>
    <hyperlink ref="L86" r:id="rId44" display="https://us3.assetplanner.com/service_request?ID=094278" xr:uid="{5DAA914C-6E7A-494D-9A71-1DA32FC3F663}"/>
    <hyperlink ref="M86" r:id="rId45" display="https://us3.assetplanner.com/service_request?ID=095991" xr:uid="{D5018612-C02C-409D-8B08-0E53BC37C00C}"/>
    <hyperlink ref="N86" r:id="rId46" display="https://us3.assetplanner.com/service_request?ID=096215" xr:uid="{49FCEB52-7C95-4711-B283-E5D207A932DD}"/>
    <hyperlink ref="L87" r:id="rId47" display="https://us3.assetplanner.com/service_request?ID=097025" xr:uid="{18C0C3FE-C7E7-4F3D-B9C3-1D43F3796470}"/>
    <hyperlink ref="L88" r:id="rId48" display="https://us3.assetplanner.com/service_request?ID=092964" xr:uid="{5AA6A5FF-84A9-4A99-BCB9-1B850A4A6E7F}"/>
    <hyperlink ref="M88" r:id="rId49" display="https://us3.assetplanner.com/service_request?ID=097169" xr:uid="{3C4DFF25-71A3-41CD-A2A1-499DE738BC0E}"/>
    <hyperlink ref="N88" r:id="rId50" display="https://us3.assetplanner.com/service_request?ID=095253" xr:uid="{A15D9542-266E-472F-81BB-6133EEC2B0DB}"/>
    <hyperlink ref="L89" r:id="rId51" display="https://us3.assetplanner.com/service_request?ID=097524" xr:uid="{37DA2F32-0DF0-4358-90C4-1C6FD15E6C13}"/>
    <hyperlink ref="L90" r:id="rId52" display="https://us3.assetplanner.com/service_request?ID=097010" xr:uid="{887E60D0-CA82-4591-9982-FD723C7FB910}"/>
    <hyperlink ref="M90" r:id="rId53" display="https://us3.assetplanner.com/service_request?ID=097162" xr:uid="{BD618824-50E6-42F5-AFCE-E1F785031AD5}"/>
    <hyperlink ref="N90" r:id="rId54" display="https://us3.assetplanner.com/service_request?ID=097599" xr:uid="{469C66D8-8E37-46ED-A8A8-2E00FDDD7E0B}"/>
    <hyperlink ref="O90" r:id="rId55" display="https://us3.assetplanner.com/service_request?ID=097684" xr:uid="{CAE138E1-F362-45A4-994F-A97D44381E83}"/>
    <hyperlink ref="P90" r:id="rId56" display="https://us3.assetplanner.com/service_request?ID=097701" xr:uid="{724E7FB7-3309-4E4A-B4E2-AE319FE29CC4}"/>
    <hyperlink ref="L91" r:id="rId57" display="https://us3.assetplanner.com/service_request?ID=097930" xr:uid="{7909C9B3-667E-4995-9B64-3FD8F76007C6}"/>
    <hyperlink ref="M91" r:id="rId58" display="https://us3.assetplanner.com/service_request?ID=093436" xr:uid="{BFE29071-A752-486C-ABAE-FE5F4AE26AA0}"/>
    <hyperlink ref="L92" r:id="rId59" display="https://us3.assetplanner.com/service_request?ID=096416" xr:uid="{E713E561-C306-49F3-9631-BE8E810C941F}"/>
    <hyperlink ref="M92" r:id="rId60" display="https://us3.assetplanner.com/service_request?ID=097158" xr:uid="{59485463-5BD0-41F6-99DB-083B314355BB}"/>
    <hyperlink ref="N92" r:id="rId61" display="https://us3.assetplanner.com/service_request?ID=097883" xr:uid="{5F2275C0-7253-4C3F-9FA0-3D3F07FC18E9}"/>
    <hyperlink ref="L93" r:id="rId62" display="https://us3.assetplanner.com/service_request?ID=093375" xr:uid="{7987716B-BDF1-4832-B002-266F9B4C5A0D}"/>
    <hyperlink ref="L94" r:id="rId63" display="https://us3.assetplanner.com/service_request?ID=096675" xr:uid="{3A68B2DA-2745-4220-8FC1-A602536EB74E}"/>
    <hyperlink ref="L96" r:id="rId64" display="https://us3.assetplanner.com/service_request?ID=096552" xr:uid="{B923C52D-FC5D-4E72-BEBA-CDE75F429154}"/>
    <hyperlink ref="M96" r:id="rId65" display="https://us3.assetplanner.com/service_request?ID=095852" xr:uid="{D5F1FBF0-38EC-43FA-975A-5FE6234205B9}"/>
    <hyperlink ref="N96" r:id="rId66" display="https://us3.assetplanner.com/service_request?ID=097526" xr:uid="{E8216ED1-1675-48C9-976A-F83C2694ED52}"/>
    <hyperlink ref="L98" r:id="rId67" display="https://us3.assetplanner.com/service_request?ID=095635" xr:uid="{F37A88A5-3C88-42F4-8A17-138BE889AB3D}"/>
    <hyperlink ref="L99" r:id="rId68" display="https://us3.assetplanner.com/service_request?ID=097667" xr:uid="{343F394C-7453-4EE1-A113-5F6513AB20BD}"/>
    <hyperlink ref="L100" r:id="rId69" display="https://us3.assetplanner.com/service_request?ID=097668" xr:uid="{710CF680-5B73-4CF3-B591-DC673C7410B0}"/>
    <hyperlink ref="L102" r:id="rId70" display="https://us3.assetplanner.com/service_request?ID=095109" xr:uid="{185D435D-C091-4D5A-800D-7157DEE4DDEE}"/>
    <hyperlink ref="L103" r:id="rId71" display="https://us3.assetplanner.com/service_request?ID=097685" xr:uid="{FECA3BD2-C9BE-4272-AFD4-2DDBBFC9FE62}"/>
    <hyperlink ref="L104" r:id="rId72" display="https://us3.assetplanner.com/service_request?ID=097686" xr:uid="{5F3B251D-8584-4AE1-A98A-440D0BDF6FD9}"/>
    <hyperlink ref="M104" r:id="rId73" display="https://us3.assetplanner.com/service_request?ID=096177" xr:uid="{BDE956A4-10B0-4D56-9693-B60B7465B413}"/>
    <hyperlink ref="L105" r:id="rId74" display="https://us3.assetplanner.com/service_request?ID=096106" xr:uid="{A788680A-1C46-4860-A1FD-B7BB41DFDEE5}"/>
    <hyperlink ref="M105" r:id="rId75" display="https://us3.assetplanner.com/service_request?ID=095599" xr:uid="{7F4A788E-0417-4E3C-AB97-7BA32EBAE136}"/>
    <hyperlink ref="L107" r:id="rId76" display="https://us3.assetplanner.com/service_request?ID=097829" xr:uid="{8341E7EB-E18B-44BB-9F35-9BB14F53175F}"/>
    <hyperlink ref="L108" r:id="rId77" display="https://us3.assetplanner.com/service_request?ID=094307" xr:uid="{8066982B-F896-4EAA-A400-223C8FC0F7C6}"/>
    <hyperlink ref="M108" r:id="rId78" display="https://us3.assetplanner.com/service_request?ID=096751" xr:uid="{E0909AFB-D6E8-4F05-87C2-1285E159ACF1}"/>
    <hyperlink ref="L110" r:id="rId79" display="https://us3.assetplanner.com/service_request?ID=097457" xr:uid="{35C62058-102D-4593-8CFB-AD7FBC6E8D2E}"/>
    <hyperlink ref="L112" r:id="rId80" display="https://us3.assetplanner.com/service_request?ID=095073" xr:uid="{75D6E89F-C36F-4171-9558-B6B5F7236F36}"/>
    <hyperlink ref="L115" r:id="rId81" display="https://us3.assetplanner.com/service_request?ID=096397" xr:uid="{2F491C18-410B-405D-B289-A5B79D19708B}"/>
    <hyperlink ref="L120" r:id="rId82" display="https://us3.assetplanner.com/service_request?ID=087641" xr:uid="{3F2CCC80-251F-44A6-AC65-8A1A294884C0}"/>
    <hyperlink ref="M120" r:id="rId83" display="https://us3.assetplanner.com/service_request?ID=097740" xr:uid="{C9FD79B2-AA22-438A-8D97-1F2188D32507}"/>
    <hyperlink ref="L125" r:id="rId84" display="https://us3.assetplanner.com/service_request?ID=093354" xr:uid="{7C50154C-E38A-4DC2-8F5E-5F28EB8DAEDB}"/>
    <hyperlink ref="M125" r:id="rId85" display="https://us3.assetplanner.com/service_request?ID=096413" xr:uid="{9154273C-C7A5-47F2-8F93-DE9954013A4C}"/>
    <hyperlink ref="N125" r:id="rId86" display="https://us3.assetplanner.com/service_request?ID=096870" xr:uid="{74F98C1B-42C0-49DD-8278-DDCD2ABC2DD8}"/>
    <hyperlink ref="O125" r:id="rId87" display="https://us3.assetplanner.com/service_request?ID=092301" xr:uid="{A574F120-4290-46BD-9CB5-FB88FBE6AE5E}"/>
    <hyperlink ref="L126" r:id="rId88" display="https://us3.assetplanner.com/service_request?ID=092332" xr:uid="{230FCAD2-A25C-45C5-82BD-1E9738952F1D}"/>
    <hyperlink ref="M126" r:id="rId89" display="https://us3.assetplanner.com/service_request?ID=094825" xr:uid="{3C4C5484-FB27-4DF0-A764-9D7B5980F976}"/>
    <hyperlink ref="N126" r:id="rId90" display="https://us3.assetplanner.com/service_request?ID=095649" xr:uid="{A67F95FA-2B98-49EE-84C1-A7B39AA27B5F}"/>
    <hyperlink ref="O126" r:id="rId91" display="https://us3.assetplanner.com/service_request?ID=096223" xr:uid="{3A55E682-10C2-44F6-A27D-7E1AD8FA6339}"/>
    <hyperlink ref="P126" r:id="rId92" display="https://us3.assetplanner.com/service_request?ID=097176" xr:uid="{C07CB3F6-58B4-454E-BF87-2B2762FA9481}"/>
    <hyperlink ref="L127" r:id="rId93" display="https://us3.assetplanner.com/service_request?ID=088869" xr:uid="{6A561C16-3C70-45ED-B4C5-270579D18D4F}"/>
    <hyperlink ref="M127" r:id="rId94" display="https://us3.assetplanner.com/service_request?ID=092095" xr:uid="{3D64F693-1893-4EEC-B03B-0D537DA3FA04}"/>
    <hyperlink ref="N127" r:id="rId95" display="https://us3.assetplanner.com/service_request?ID=092115" xr:uid="{421D642C-0B5B-4255-A693-8F99C24C55A0}"/>
    <hyperlink ref="O127" r:id="rId96" display="https://us3.assetplanner.com/service_request?ID=092209" xr:uid="{F1150A61-F10B-4A39-BC0A-AD11BDD8D2B4}"/>
    <hyperlink ref="P127" r:id="rId97" display="https://us3.assetplanner.com/service_request?ID=092255" xr:uid="{1CE3C0BE-A6C5-4FDF-87FE-0BEA804A973D}"/>
    <hyperlink ref="Q127" r:id="rId98" display="https://us3.assetplanner.com/service_request?ID=092751" xr:uid="{35EED30F-5AA3-4ACC-99C0-C4A91701224A}"/>
    <hyperlink ref="R127" r:id="rId99" display="https://us3.assetplanner.com/service_request?ID=095850" xr:uid="{2C775B93-2E63-4CF3-A8DE-7655147F3F33}"/>
    <hyperlink ref="S127" r:id="rId100" display="https://us3.assetplanner.com/service_request?ID=094998" xr:uid="{FAE49372-2AA4-4587-AC21-52F933529576}"/>
    <hyperlink ref="L128" r:id="rId101" display="https://us3.assetplanner.com/service_request?ID=095305" xr:uid="{56BE13EA-8705-4BB7-883A-E36013171CC7}"/>
    <hyperlink ref="L131" r:id="rId102" display="https://us3.assetplanner.com/service_request?ID=097968" xr:uid="{FC5AF8DF-6F72-4A0D-93E9-B6E6544860F0}"/>
    <hyperlink ref="L134" r:id="rId103" display="https://us3.assetplanner.com/service_request?ID=095643" xr:uid="{6FF88634-CEF2-40DA-BA3A-CAF5BEBDA2D9}"/>
    <hyperlink ref="L135" r:id="rId104" display="https://us3.assetplanner.com/service_request?ID=095531" xr:uid="{97B64642-3575-4EFC-8258-2453C955558C}"/>
    <hyperlink ref="L136" r:id="rId105" display="https://us3.assetplanner.com/service_request?ID=097968" xr:uid="{7A7FC0E7-7072-421F-B920-658C7B86951B}"/>
    <hyperlink ref="L137" r:id="rId106" display="https://us3.assetplanner.com/service_request?ID=097969" xr:uid="{82ECC1C8-B284-45E5-A08A-D2DC247EFE5E}"/>
    <hyperlink ref="L138" r:id="rId107" display="https://us3.assetplanner.com/service_request?ID=097015" xr:uid="{827FFEB3-5602-4B65-B6A7-A6DD4A19AC0C}"/>
    <hyperlink ref="M138" r:id="rId108" display="https://us3.assetplanner.com/service_request?ID=097436" xr:uid="{5D10A6FF-8313-4C2E-9E1D-192C1D56169C}"/>
    <hyperlink ref="N138" r:id="rId109" display="https://us3.assetplanner.com/service_request?ID=097751" xr:uid="{581984EE-F03E-4508-925B-01868A354E33}"/>
    <hyperlink ref="L139" r:id="rId110" display="https://us3.assetplanner.com/service_request?ID=095821" xr:uid="{86D120A6-A09B-458E-8E18-09050482DE4E}"/>
    <hyperlink ref="M139" r:id="rId111" display="https://us3.assetplanner.com/service_request?ID=097157" xr:uid="{47B232EF-FD33-4B93-80AB-BCACEB55965D}"/>
    <hyperlink ref="N139" r:id="rId112" display="https://us3.assetplanner.com/service_request?ID=097647" xr:uid="{007572A1-19AA-4209-A990-84E0F5B156DF}"/>
    <hyperlink ref="L143" r:id="rId113" display="https://us3.assetplanner.com/service_request?ID=097565" xr:uid="{C6FA95A9-134F-49A5-ABE5-DDA55EB9D5BF}"/>
    <hyperlink ref="L148" r:id="rId114" display="https://us3.assetplanner.com/service_request?ID=097725" xr:uid="{58EB8CFA-F2B6-4043-84A7-0F1F3F55A55D}"/>
    <hyperlink ref="M148" r:id="rId115" display="https://us3.assetplanner.com/service_request?ID=095624" xr:uid="{03FA786B-0367-4CDB-B00D-402775C87BF4}"/>
    <hyperlink ref="L150" r:id="rId116" display="https://us3.assetplanner.com/service_request?ID=096042" xr:uid="{FEC8B34E-414E-44D3-8B5A-0DF6F8784161}"/>
    <hyperlink ref="M150" r:id="rId117" display="https://us3.assetplanner.com/service_request?ID=096682" xr:uid="{19A1308A-466E-47A7-8CC7-6D714D679C31}"/>
    <hyperlink ref="L151" r:id="rId118" display="https://us3.assetplanner.com/service_request?ID=096006" xr:uid="{04D63025-A8D5-4415-9FD6-53A49A398D80}"/>
    <hyperlink ref="L152" r:id="rId119" display="https://us3.assetplanner.com/service_request?ID=096934" xr:uid="{B11EB8B8-F4E9-40D4-BA0F-A0E62003517A}"/>
    <hyperlink ref="L153" r:id="rId120" display="https://us3.assetplanner.com/service_request?ID=097471" xr:uid="{D239B350-D078-4F66-A626-C9AD5482D09E}"/>
    <hyperlink ref="L154" r:id="rId121" display="https://us3.assetplanner.com/service_request?ID=094820" xr:uid="{E136F58E-1474-416F-B463-DCBEEA158E3C}"/>
    <hyperlink ref="L155" r:id="rId122" display="https://us3.assetplanner.com/service_request?ID=095759" xr:uid="{9F758C21-7EB0-4942-A519-34CBE5E2CC8C}"/>
    <hyperlink ref="L156" r:id="rId123" display="https://us3.assetplanner.com/service_request?ID=096669" xr:uid="{3135662F-602E-483B-8E84-83F96D77DC1C}"/>
    <hyperlink ref="M156" r:id="rId124" display="https://us3.assetplanner.com/service_request?ID=097454" xr:uid="{BBADF497-8AEE-4A28-8E2E-625D713F5595}"/>
    <hyperlink ref="L157" r:id="rId125" display="https://us3.assetplanner.com/service_request?ID=096303" xr:uid="{ECD5B7A8-4ECF-415C-AB91-157AE7DEEFB7}"/>
    <hyperlink ref="L158" r:id="rId126" display="https://us3.assetplanner.com/service_request?ID=096906" xr:uid="{BE97AC9C-593A-41AF-B32E-7E6DEB1650B5}"/>
    <hyperlink ref="M158" r:id="rId127" display="https://us3.assetplanner.com/service_request?ID=097179" xr:uid="{8F6E7651-D52D-4624-8106-5AF8A6697204}"/>
    <hyperlink ref="N158" r:id="rId128" display="https://us3.assetplanner.com/service_request?ID=097913" xr:uid="{B22C5EC6-3C7E-4816-ABDA-165B249BEEC6}"/>
    <hyperlink ref="L161" r:id="rId129" display="https://us3.assetplanner.com/service_request?ID=097024" xr:uid="{A747A0B3-7397-4AFB-9C87-ACBA0B98897E}"/>
    <hyperlink ref="M161" r:id="rId130" display="https://us3.assetplanner.com/service_request?ID=097188" xr:uid="{ED3D5DFB-B1DE-48C5-A0C1-B8125EC02A3E}"/>
    <hyperlink ref="L165" r:id="rId131" display="https://us3.assetplanner.com/service_request?ID=095945" xr:uid="{3F958D16-A5EF-4BEB-A72F-867F889AA10D}"/>
    <hyperlink ref="M165" r:id="rId132" display="https://us3.assetplanner.com/service_request?ID=097637" xr:uid="{44FD2A6C-A7BA-48BA-BED0-AF0381838237}"/>
    <hyperlink ref="L166" r:id="rId133" display="https://us3.assetplanner.com/service_request?ID=095946" xr:uid="{62E2C2C2-144A-47D6-8319-F4EAA1768629}"/>
    <hyperlink ref="L167" r:id="rId134" display="https://us3.assetplanner.com/service_request?ID=095948" xr:uid="{BBA4067D-7C1D-4920-A2FE-73BCFFA9313C}"/>
    <hyperlink ref="L168" r:id="rId135" display="https://us3.assetplanner.com/service_request?ID=095950" xr:uid="{0032341E-BC70-44E9-B950-CAD0CEAB1A25}"/>
    <hyperlink ref="L169" r:id="rId136" display="https://us3.assetplanner.com/service_request?ID=095962" xr:uid="{73916FB1-DA8E-43D2-AE83-0334321E8960}"/>
    <hyperlink ref="L170" r:id="rId137" display="https://us3.assetplanner.com/service_request?ID=095954" xr:uid="{62D6BE75-A80A-4EDB-AF61-79F5054B104F}"/>
    <hyperlink ref="L172" r:id="rId138" display="https://us3.assetplanner.com/service_request?ID=095960" xr:uid="{A9B912D1-9078-4883-9180-C839DB7E0D28}"/>
    <hyperlink ref="L175" r:id="rId139" display="https://us3.assetplanner.com/service_request?ID=095956" xr:uid="{4A76B80E-E6F3-49C5-A9A3-663B6119D2DC}"/>
    <hyperlink ref="M175" r:id="rId140" display="https://us3.assetplanner.com/service_request?ID=096424" xr:uid="{0C8F83DB-46F4-469D-BBF2-07B796AD0854}"/>
    <hyperlink ref="L176" r:id="rId141" display="https://us3.assetplanner.com/service_request?ID=095955" xr:uid="{CFD519EE-201A-4DB5-A307-EB36882C8D3F}"/>
    <hyperlink ref="L178" r:id="rId142" display="https://us3.assetplanner.com/service_request?ID=095937" xr:uid="{30B7E966-812F-4C2A-994E-F787ADD22A04}"/>
    <hyperlink ref="L179" r:id="rId143" display="https://us3.assetplanner.com/service_request?ID=095938" xr:uid="{744D2E2B-2289-4C28-BFB4-DA1322B3BD6D}"/>
    <hyperlink ref="L180" r:id="rId144" display="https://us3.assetplanner.com/service_request?ID=095939" xr:uid="{383C6235-E490-4FFF-8952-5DA8C0BAF5EC}"/>
    <hyperlink ref="L182" r:id="rId145" display="https://us3.assetplanner.com/service_request?ID=095941" xr:uid="{F7B86361-D50A-47AF-8306-BB4CEDAE4957}"/>
    <hyperlink ref="M182" r:id="rId146" display="https://us3.assetplanner.com/service_request?ID=095940" xr:uid="{EDCC42B0-BE9E-49B5-895D-DBB00D5BDBA5}"/>
    <hyperlink ref="N182" r:id="rId147" display="https://us3.assetplanner.com/service_request?ID=095940" xr:uid="{216EE549-7641-44BE-8146-8C36A5821027}"/>
    <hyperlink ref="L183" r:id="rId148" display="https://us3.assetplanner.com/service_request?ID=095942" xr:uid="{A1EB3A98-C3BB-40E5-BA39-86F959CB67DE}"/>
    <hyperlink ref="L185" r:id="rId149" display="https://us3.assetplanner.com/service_request?ID=095961" xr:uid="{DF113FAA-4D39-4CCA-89B3-26E5F6109E52}"/>
    <hyperlink ref="M185" r:id="rId150" display="https://us3.assetplanner.com/service_request?ID=097620" xr:uid="{E5A4709E-AE01-4989-9FE3-394B0D414D33}"/>
    <hyperlink ref="L186" r:id="rId151" display="https://us3.assetplanner.com/service_request?ID=096931" xr:uid="{C37BD0B6-DD5D-4EB6-BE78-CA5BF2A26E0C}"/>
    <hyperlink ref="L188" r:id="rId152" display="https://us3.assetplanner.com/service_request?ID=097882" xr:uid="{6725B987-5F3E-4C36-8BAA-73C415249453}"/>
    <hyperlink ref="M188" r:id="rId153" display="https://us3.assetplanner.com/service_request?ID=097602" xr:uid="{117330A8-7D2C-4B60-82F2-127F592618B6}"/>
    <hyperlink ref="L189" r:id="rId154" display="https://us3.assetplanner.com/service_request?ID=096257" xr:uid="{EFA7577F-AA4F-4FDC-A802-449F4F4D1041}"/>
    <hyperlink ref="L17" r:id="rId155" display="https://us3.assetplanner.com/service_request?ID=091894" xr:uid="{B01433A3-04BB-4931-8304-91C6068A824A}"/>
    <hyperlink ref="M17" r:id="rId156" display="https://us3.assetplanner.com/service_request?ID=093029" xr:uid="{7E97F590-D9CF-4E7E-814B-EF4AB820D9C1}"/>
    <hyperlink ref="L191" r:id="rId157" display="https://us3.assetplanner.com/service_request?ID=095492" xr:uid="{86210244-81E4-4BFD-BF7C-18BE0AF3D6F9}"/>
    <hyperlink ref="L192" r:id="rId158" display="https://us3.assetplanner.com/service_request?ID=096195" xr:uid="{BDB2DCD1-B9F2-47CE-B84A-FE84C80620BE}"/>
    <hyperlink ref="M192" r:id="rId159" display="https://us3.assetplanner.com/service_request?ID=097168" xr:uid="{6EEAF20D-416D-4369-AE16-0F95CEAC1BF9}"/>
    <hyperlink ref="L193" r:id="rId160" display="https://us3.assetplanner.com/service_request?ID=095797" xr:uid="{E53B8073-EEFE-400B-BEC0-5114895F8CA1}"/>
    <hyperlink ref="L195" r:id="rId161" display="https://us3.assetplanner.com/service_request?ID=095284" xr:uid="{0F43DF4D-B38D-4F65-A301-98279AE06482}"/>
  </hyperlinks>
  <pageMargins left="0.4" right="0.7" top="0.25" bottom="0.25" header="0.3" footer="0.3"/>
  <pageSetup fitToHeight="99" orientation="landscape"/>
  <legacyDrawing r:id="rId16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200"/>
  <sheetViews>
    <sheetView tabSelected="1" zoomScale="70" zoomScaleNormal="70" workbookViewId="0">
      <pane xSplit="2" ySplit="3" topLeftCell="C4" activePane="bottomRight" state="frozen"/>
      <selection pane="bottomRight" activeCell="L6" sqref="L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5" customWidth="1"/>
    <col min="12" max="12" width="24.85546875" customWidth="1"/>
  </cols>
  <sheetData>
    <row r="1" spans="1:12" ht="19.5" customHeight="1">
      <c r="A1" s="149" t="str" cm="1">
        <f t="array" ref="A1">portfolio</f>
        <v>Generate Capital</v>
      </c>
      <c r="B1" s="149"/>
      <c r="C1" s="149"/>
      <c r="D1" s="149"/>
      <c r="E1" s="150" t="s">
        <v>466</v>
      </c>
      <c r="F1" s="150"/>
      <c r="G1" s="150"/>
      <c r="H1" s="148" t="s">
        <v>467</v>
      </c>
      <c r="I1" s="148"/>
      <c r="J1" s="148"/>
      <c r="K1" s="4"/>
      <c r="L1" s="4"/>
    </row>
    <row r="2" spans="1:12" ht="19.5" customHeight="1">
      <c r="A2" s="151" t="s">
        <v>2</v>
      </c>
      <c r="B2" s="151"/>
      <c r="C2" s="65"/>
      <c r="D2" s="5">
        <f>SUM(D4:D138)</f>
        <v>0</v>
      </c>
      <c r="E2" s="5">
        <f>SUM(E4:E138)</f>
        <v>0</v>
      </c>
      <c r="F2" s="5">
        <f>D2-E2</f>
        <v>0</v>
      </c>
      <c r="G2" s="6">
        <f>IFERROR(F2/E2, 0)</f>
        <v>0</v>
      </c>
      <c r="H2" s="5">
        <f>SUM(H4:H138)</f>
        <v>0</v>
      </c>
      <c r="I2" s="7">
        <f>D2-H2</f>
        <v>0</v>
      </c>
      <c r="J2" s="6">
        <f>IFERROR(I2/H2, 0)</f>
        <v>0</v>
      </c>
      <c r="K2" s="22"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
        <v>468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13" si="0">IF(AND(ISNUMBER(D5),ISNUMBER(E5)), D5-E5, "")</f>
        <v/>
      </c>
      <c r="G5" s="15" t="str">
        <f>IFERROR(F5/E5, "")</f>
        <v/>
      </c>
      <c r="H5" s="16"/>
      <c r="I5" s="16" t="str">
        <f t="shared" ref="I5:I17" si="1">IF(AND(ISNUMBER(D5),ISNUMBER(H5)), D5-H5, "")</f>
        <v/>
      </c>
      <c r="J5" s="15" t="str">
        <f t="shared" ref="J5:J17" si="2">IFERROR(I5/H5, "")</f>
        <v/>
      </c>
      <c r="K5" s="38"/>
      <c r="L5" s="38"/>
    </row>
    <row r="6" spans="1:12" ht="15.6">
      <c r="A6" s="24" t="str">
        <v>JFK Elementary</v>
      </c>
      <c r="B6" s="25" t="str">
        <v>AZ</v>
      </c>
      <c r="C6" s="25" t="str">
        <f>Sites[[#This Row],[SOL'#]]</f>
        <v>SOL-10758</v>
      </c>
      <c r="D6" s="20"/>
      <c r="E6" s="10"/>
      <c r="F6" s="10" t="str">
        <f t="shared" si="0"/>
        <v/>
      </c>
      <c r="G6" s="11" t="str">
        <f t="shared" ref="G6:G13"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56"/>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39"/>
    </row>
    <row r="14" spans="1:12" ht="15.6">
      <c r="A14" s="24" t="str">
        <v>Wooster</v>
      </c>
      <c r="B14" s="25" t="str">
        <v>OH</v>
      </c>
      <c r="C14" s="25" t="str">
        <f>Sites[[#This Row],[SOL'#]]</f>
        <v>SOL-10763</v>
      </c>
      <c r="D14" s="20"/>
      <c r="E14" s="10"/>
      <c r="F14" s="10" t="str">
        <f t="shared" ref="F14:F77" si="4">IF(AND(ISNUMBER(D14),ISNUMBER(E14)), D14-E14, "")</f>
        <v/>
      </c>
      <c r="G14" s="11" t="str">
        <f t="shared" ref="G14:G77" si="5">IFERROR(F14/E14, "")</f>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4"/>
        <v/>
      </c>
      <c r="G15" s="15" t="str">
        <f t="shared" si="5"/>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4"/>
        <v/>
      </c>
      <c r="G16" s="11" t="str">
        <f t="shared" si="5"/>
        <v/>
      </c>
      <c r="H16" s="12"/>
      <c r="I16" s="12" t="str">
        <f t="shared" si="1"/>
        <v/>
      </c>
      <c r="J16" s="13" t="str">
        <f t="shared" si="2"/>
        <v/>
      </c>
      <c r="K16" s="37"/>
      <c r="L16" s="37"/>
    </row>
    <row r="17" spans="1:12" ht="15.6">
      <c r="A17" s="26" t="str">
        <v>SCNM</v>
      </c>
      <c r="B17" s="27" t="str">
        <v>AZ</v>
      </c>
      <c r="C17" s="27" t="str">
        <f>Sites[[#This Row],[SOL'#]]</f>
        <v>SOL-10760</v>
      </c>
      <c r="D17" s="9"/>
      <c r="E17" s="14"/>
      <c r="F17" s="14" t="str">
        <f t="shared" si="4"/>
        <v/>
      </c>
      <c r="G17" s="15" t="str">
        <f t="shared" si="5"/>
        <v/>
      </c>
      <c r="H17" s="16"/>
      <c r="I17" s="16" t="str">
        <f t="shared" si="1"/>
        <v/>
      </c>
      <c r="J17" s="15" t="str">
        <f t="shared" si="2"/>
        <v/>
      </c>
      <c r="K17" s="126"/>
      <c r="L17" s="140"/>
    </row>
    <row r="18" spans="1:12" ht="12.75" customHeight="1">
      <c r="A18" s="24" t="str">
        <v>Sequoia Charter School</v>
      </c>
      <c r="B18" s="25" t="str">
        <v>AZ</v>
      </c>
      <c r="C18" s="25" t="str">
        <f>Sites[[#This Row],[SOL'#]]</f>
        <v>SOL-10759</v>
      </c>
      <c r="D18" s="20"/>
      <c r="E18" s="10"/>
      <c r="F18" s="10" t="str">
        <f t="shared" si="4"/>
        <v/>
      </c>
      <c r="G18" s="11" t="str">
        <f t="shared" si="5"/>
        <v/>
      </c>
      <c r="H18" s="12"/>
      <c r="I18" s="12" t="str">
        <f t="shared" ref="I18:I81" si="6">IF(AND(ISNUMBER(D18),ISNUMBER(H18)), D18-H18, "")</f>
        <v/>
      </c>
      <c r="J18" s="13" t="str">
        <f t="shared" ref="J18:J81" si="7">IFERROR(I18/H18, "")</f>
        <v/>
      </c>
      <c r="K18" s="37"/>
      <c r="L18" s="37"/>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7"/>
        <v/>
      </c>
      <c r="K19" s="38"/>
      <c r="L19" s="39"/>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7"/>
        <v/>
      </c>
      <c r="K20" s="37"/>
      <c r="L20" s="37"/>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7"/>
        <v/>
      </c>
      <c r="K21" s="38"/>
      <c r="L21" s="39"/>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7"/>
        <v/>
      </c>
      <c r="K22" s="37"/>
      <c r="L22" s="37"/>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7"/>
        <v/>
      </c>
      <c r="K23" s="38"/>
      <c r="L23" s="39"/>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7"/>
        <v/>
      </c>
      <c r="K24" s="37"/>
      <c r="L24" s="37"/>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7"/>
        <v/>
      </c>
      <c r="K25" s="38"/>
      <c r="L25" s="39"/>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7"/>
        <v/>
      </c>
      <c r="K26" s="37"/>
      <c r="L26" s="37"/>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7"/>
        <v/>
      </c>
      <c r="K27" s="38"/>
      <c r="L27" s="39"/>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7"/>
        <v/>
      </c>
      <c r="K28" s="37"/>
      <c r="L28" s="37"/>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7"/>
        <v/>
      </c>
      <c r="K29" s="38"/>
      <c r="L29" s="38"/>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7"/>
        <v/>
      </c>
      <c r="K30" s="37"/>
      <c r="L30" s="37"/>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7"/>
        <v/>
      </c>
      <c r="K31" s="38"/>
      <c r="L31" s="39"/>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7"/>
        <v/>
      </c>
      <c r="K32" s="37"/>
      <c r="L32" s="37"/>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7"/>
        <v/>
      </c>
      <c r="K33" s="38"/>
      <c r="L33" s="39"/>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7"/>
        <v/>
      </c>
      <c r="K34" s="37"/>
      <c r="L34" s="37"/>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7"/>
        <v/>
      </c>
      <c r="K35" s="38"/>
      <c r="L35" s="39"/>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7"/>
        <v/>
      </c>
      <c r="K36" s="37"/>
      <c r="L36" s="37"/>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7"/>
        <v/>
      </c>
      <c r="K37" s="57"/>
      <c r="L37" s="58"/>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7"/>
        <v/>
      </c>
      <c r="K38" s="37"/>
      <c r="L38" s="37"/>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7"/>
        <v/>
      </c>
      <c r="K39" s="38"/>
      <c r="L39" s="39"/>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7"/>
        <v/>
      </c>
      <c r="K40" s="37"/>
      <c r="L40" s="37"/>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7"/>
        <v/>
      </c>
      <c r="K41" s="38"/>
      <c r="L41" s="38"/>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7"/>
        <v/>
      </c>
      <c r="K42" s="37"/>
      <c r="L42" s="37"/>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7"/>
        <v/>
      </c>
      <c r="K43" s="38"/>
      <c r="L43" s="39"/>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7"/>
        <v/>
      </c>
      <c r="K44" s="37"/>
      <c r="L44" s="37"/>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7"/>
        <v/>
      </c>
      <c r="K45" s="38"/>
      <c r="L45" s="39"/>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7"/>
        <v/>
      </c>
      <c r="K46" s="37"/>
      <c r="L46" s="37"/>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7"/>
        <v/>
      </c>
      <c r="K47" s="38"/>
      <c r="L47" s="39"/>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7"/>
        <v/>
      </c>
      <c r="K48" s="37"/>
      <c r="L48" s="37"/>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7"/>
        <v/>
      </c>
      <c r="K49" s="38"/>
      <c r="L49" s="39"/>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7"/>
        <v/>
      </c>
      <c r="K50" s="37"/>
      <c r="L50" s="37"/>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7"/>
        <v/>
      </c>
      <c r="K51" s="38"/>
      <c r="L51" s="39"/>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7"/>
        <v/>
      </c>
      <c r="K52" s="37"/>
      <c r="L52" s="37"/>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7"/>
        <v/>
      </c>
      <c r="K53" s="38"/>
      <c r="L53" s="38"/>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7"/>
        <v/>
      </c>
      <c r="K54" s="37"/>
      <c r="L54" s="37"/>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7"/>
        <v/>
      </c>
      <c r="K55" s="38"/>
      <c r="L55" s="39"/>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7"/>
        <v/>
      </c>
      <c r="K56" s="37"/>
      <c r="L56" s="37"/>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7"/>
        <v/>
      </c>
      <c r="K57" s="38"/>
      <c r="L57" s="39"/>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7"/>
        <v/>
      </c>
      <c r="K58" s="59"/>
      <c r="L58" s="59"/>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7"/>
        <v/>
      </c>
      <c r="K59" s="38"/>
      <c r="L59" s="39"/>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7"/>
        <v/>
      </c>
      <c r="K60" s="37"/>
      <c r="L60" s="37"/>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si="7"/>
        <v/>
      </c>
      <c r="K61" s="38"/>
      <c r="L61" s="39"/>
    </row>
    <row r="62" spans="1:12" ht="15.6">
      <c r="A62" s="24" t="str">
        <v>QMOA</v>
      </c>
      <c r="B62" s="25" t="str">
        <v>NY</v>
      </c>
      <c r="C62" s="25" t="str">
        <f>Sites[[#This Row],[SOL'#]]</f>
        <v>SOL-10415</v>
      </c>
      <c r="D62" s="20"/>
      <c r="E62" s="10"/>
      <c r="F62" s="10" t="str">
        <f t="shared" si="4"/>
        <v/>
      </c>
      <c r="G62" s="11" t="str">
        <f t="shared" si="5"/>
        <v/>
      </c>
      <c r="H62" s="12"/>
      <c r="I62" s="12" t="str">
        <f t="shared" si="6"/>
        <v/>
      </c>
      <c r="J62" s="13" t="str">
        <f t="shared" si="7"/>
        <v/>
      </c>
      <c r="K62" s="37"/>
      <c r="L62" s="37"/>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38"/>
      <c r="L63" s="39"/>
    </row>
    <row r="64" spans="1:12" ht="15.6">
      <c r="A64" s="24" t="str">
        <v>X026</v>
      </c>
      <c r="B64" s="25" t="str">
        <v>NY</v>
      </c>
      <c r="C64" s="25" t="str">
        <f>Sites[[#This Row],[SOL'#]]</f>
        <v>SOL-10420</v>
      </c>
      <c r="D64" s="20"/>
      <c r="E64" s="10"/>
      <c r="F64" s="10" t="str">
        <f t="shared" si="4"/>
        <v/>
      </c>
      <c r="G64" s="11" t="str">
        <f t="shared" si="5"/>
        <v/>
      </c>
      <c r="H64" s="12"/>
      <c r="I64" s="12" t="str">
        <f t="shared" si="6"/>
        <v/>
      </c>
      <c r="J64" s="13" t="str">
        <f t="shared" si="7"/>
        <v/>
      </c>
      <c r="K64" s="59"/>
      <c r="L64" s="59"/>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38"/>
      <c r="L65" s="38"/>
    </row>
    <row r="66" spans="1:12" ht="15.6">
      <c r="A66" s="24" t="str">
        <v>X117</v>
      </c>
      <c r="B66" s="25" t="str">
        <v>NY</v>
      </c>
      <c r="C66" s="25" t="str">
        <f>Sites[[#This Row],[SOL'#]]</f>
        <v>SOL-10422</v>
      </c>
      <c r="D66" s="20"/>
      <c r="E66" s="10"/>
      <c r="F66" s="10" t="str">
        <f t="shared" si="4"/>
        <v/>
      </c>
      <c r="G66" s="11" t="str">
        <f t="shared" si="5"/>
        <v/>
      </c>
      <c r="H66" s="12"/>
      <c r="I66" s="12" t="str">
        <f t="shared" si="6"/>
        <v/>
      </c>
      <c r="J66" s="13" t="str">
        <f t="shared" si="7"/>
        <v/>
      </c>
      <c r="K66" s="37"/>
      <c r="L66" s="37"/>
    </row>
    <row r="67" spans="1:12" ht="15.6">
      <c r="A67" s="26" t="str">
        <v>X125</v>
      </c>
      <c r="B67" s="27" t="str">
        <v>NY</v>
      </c>
      <c r="C67" s="27" t="str">
        <f>Sites[[#This Row],[SOL'#]]</f>
        <v>SOL-10423</v>
      </c>
      <c r="D67" s="9"/>
      <c r="E67" s="14"/>
      <c r="F67" s="14" t="str">
        <f t="shared" si="4"/>
        <v/>
      </c>
      <c r="G67" s="15" t="str">
        <f t="shared" si="5"/>
        <v/>
      </c>
      <c r="H67" s="16"/>
      <c r="I67" s="16" t="str">
        <f t="shared" si="6"/>
        <v/>
      </c>
      <c r="J67" s="15" t="str">
        <f t="shared" si="7"/>
        <v/>
      </c>
      <c r="K67" s="38"/>
      <c r="L67" s="39"/>
    </row>
    <row r="68" spans="1:12" ht="15.6">
      <c r="A68" s="24" t="str">
        <v>X134</v>
      </c>
      <c r="B68" s="25" t="str">
        <v>NY</v>
      </c>
      <c r="C68" s="25" t="str">
        <f>Sites[[#This Row],[SOL'#]]</f>
        <v>SOL-10424</v>
      </c>
      <c r="D68" s="20"/>
      <c r="E68" s="10"/>
      <c r="F68" s="10" t="str">
        <f>IF(AND(ISNUMBER(D68),ISNUMBER(E68)), D68-E68, "")</f>
        <v/>
      </c>
      <c r="G68" s="11" t="str">
        <f>IFERROR(F68/E68, "")</f>
        <v/>
      </c>
      <c r="H68" s="12"/>
      <c r="I68" s="12" t="str">
        <f>IF(AND(ISNUMBER(D68),ISNUMBER(H68)), D68-H68, "")</f>
        <v/>
      </c>
      <c r="J68" s="13" t="str">
        <f>IFERROR(I68/H68, "")</f>
        <v/>
      </c>
      <c r="K68" s="37"/>
      <c r="L68" s="37"/>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38"/>
      <c r="L69" s="39"/>
    </row>
    <row r="70" spans="1:12" ht="15.6">
      <c r="A70" s="24" t="str">
        <v>X139 JHS 222</v>
      </c>
      <c r="B70" s="25" t="str">
        <v>NY</v>
      </c>
      <c r="C70" s="25" t="str">
        <f>Sites[[#This Row],[SOL'#]]</f>
        <v>SOL-10426</v>
      </c>
      <c r="D70" s="20"/>
      <c r="E70" s="10"/>
      <c r="F70" s="10" t="str">
        <f t="shared" si="4"/>
        <v/>
      </c>
      <c r="G70" s="11" t="str">
        <f t="shared" si="5"/>
        <v/>
      </c>
      <c r="H70" s="12"/>
      <c r="I70" s="12" t="str">
        <f t="shared" si="6"/>
        <v/>
      </c>
      <c r="J70" s="13" t="str">
        <f t="shared" si="7"/>
        <v/>
      </c>
      <c r="K70" s="37"/>
      <c r="L70" s="37"/>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38"/>
      <c r="L71" s="39"/>
    </row>
    <row r="72" spans="1:12" ht="15.6">
      <c r="A72" s="24" t="str">
        <v>X166</v>
      </c>
      <c r="B72" s="25" t="str">
        <v>NY</v>
      </c>
      <c r="C72" s="25" t="str">
        <f>Sites[[#This Row],[SOL'#]]</f>
        <v>SOL-10427</v>
      </c>
      <c r="D72" s="20"/>
      <c r="E72" s="10"/>
      <c r="F72" s="10" t="str">
        <f t="shared" si="4"/>
        <v/>
      </c>
      <c r="G72" s="11" t="str">
        <f t="shared" si="5"/>
        <v/>
      </c>
      <c r="H72" s="12"/>
      <c r="I72" s="12" t="str">
        <f t="shared" si="6"/>
        <v/>
      </c>
      <c r="J72" s="13" t="str">
        <f t="shared" si="7"/>
        <v/>
      </c>
      <c r="K72" s="37"/>
      <c r="L72" s="37"/>
    </row>
    <row r="73" spans="1:12" ht="53.25" customHeight="1">
      <c r="A73" s="26" t="str">
        <v>Murphy</v>
      </c>
      <c r="B73" s="27" t="str">
        <v>MN</v>
      </c>
      <c r="C73" s="27" t="str">
        <f>Sites[[#This Row],[SOL'#]]</f>
        <v>SOL-10094</v>
      </c>
      <c r="D73" s="9"/>
      <c r="E73" s="14"/>
      <c r="F73" s="14" t="str">
        <f t="shared" si="4"/>
        <v/>
      </c>
      <c r="G73" s="15" t="str">
        <f t="shared" si="5"/>
        <v/>
      </c>
      <c r="H73" s="16"/>
      <c r="I73" s="16" t="str">
        <f t="shared" si="6"/>
        <v/>
      </c>
      <c r="J73" s="15" t="str">
        <f t="shared" si="7"/>
        <v/>
      </c>
      <c r="K73" s="38"/>
      <c r="L73" s="39"/>
    </row>
    <row r="74" spans="1:12" ht="15.6">
      <c r="A74" s="24" t="str">
        <v>Terning</v>
      </c>
      <c r="B74" s="25" t="str">
        <v>MN</v>
      </c>
      <c r="C74" s="25" t="str">
        <f>Sites[[#This Row],[SOL'#]]</f>
        <v>SOL-10093</v>
      </c>
      <c r="D74" s="20"/>
      <c r="E74" s="10"/>
      <c r="F74" s="10" t="str">
        <f t="shared" si="4"/>
        <v/>
      </c>
      <c r="G74" s="11" t="str">
        <f t="shared" si="5"/>
        <v/>
      </c>
      <c r="H74" s="12"/>
      <c r="I74" s="12" t="str">
        <f t="shared" si="6"/>
        <v/>
      </c>
      <c r="J74" s="13" t="str">
        <f t="shared" si="7"/>
        <v/>
      </c>
      <c r="K74" s="37"/>
      <c r="L74" s="37"/>
    </row>
    <row r="75" spans="1:12" ht="15.6">
      <c r="A75" s="26" t="str">
        <v>Boas Road 04</v>
      </c>
      <c r="B75" s="27" t="str">
        <v>NY</v>
      </c>
      <c r="C75" s="27" t="str">
        <f>Sites[[#This Row],[SOL'#]]</f>
        <v>SOL-10908</v>
      </c>
      <c r="D75" s="79"/>
      <c r="E75" s="80"/>
      <c r="F75" s="14" t="str">
        <f t="shared" si="4"/>
        <v/>
      </c>
      <c r="G75" s="15" t="str">
        <f t="shared" si="5"/>
        <v/>
      </c>
      <c r="H75" s="79"/>
      <c r="I75" s="16" t="str">
        <f t="shared" si="6"/>
        <v/>
      </c>
      <c r="J75" s="15" t="str">
        <f t="shared" si="7"/>
        <v/>
      </c>
      <c r="K75" s="38"/>
      <c r="L75" s="39"/>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13" t="str">
        <f t="shared" si="7"/>
        <v/>
      </c>
      <c r="K76" s="37"/>
      <c r="L76" s="37"/>
    </row>
    <row r="77" spans="1:12" ht="15.6">
      <c r="A77" s="26" t="str">
        <v>Pool Brook Road</v>
      </c>
      <c r="B77" s="27" t="str">
        <v>NY</v>
      </c>
      <c r="C77" s="27" t="str">
        <f>Sites[[#This Row],[SOL'#]]</f>
        <v>SOL-10909</v>
      </c>
      <c r="D77" s="81"/>
      <c r="E77" s="80"/>
      <c r="F77" s="14" t="str">
        <f t="shared" si="4"/>
        <v/>
      </c>
      <c r="G77" s="15" t="str">
        <f t="shared" si="5"/>
        <v/>
      </c>
      <c r="H77" s="81"/>
      <c r="I77" s="16" t="str">
        <f t="shared" si="6"/>
        <v/>
      </c>
      <c r="J77" s="15" t="str">
        <f t="shared" si="7"/>
        <v/>
      </c>
      <c r="K77" s="38"/>
      <c r="L77" s="38"/>
    </row>
    <row r="78" spans="1:12" ht="15.6">
      <c r="A78" s="24" t="str">
        <v>Sackett Lake</v>
      </c>
      <c r="B78" s="25" t="str">
        <v>NY</v>
      </c>
      <c r="C78" s="25" t="str">
        <f>Sites[[#This Row],[SOL'#]]</f>
        <v>SOL-10910</v>
      </c>
      <c r="D78" s="20"/>
      <c r="E78" s="10"/>
      <c r="F78" s="10" t="str">
        <f t="shared" ref="F78:F139" si="8">IF(AND(ISNUMBER(D78),ISNUMBER(E78)), D78-E78, "")</f>
        <v/>
      </c>
      <c r="G78" s="11" t="str">
        <f t="shared" ref="G78:G138" si="9">IFERROR(F78/E78, "")</f>
        <v/>
      </c>
      <c r="H78" s="12"/>
      <c r="I78" s="12" t="str">
        <f t="shared" si="6"/>
        <v/>
      </c>
      <c r="J78" s="13" t="str">
        <f t="shared" si="7"/>
        <v/>
      </c>
      <c r="K78" s="37"/>
      <c r="L78" s="37"/>
    </row>
    <row r="79" spans="1:12" ht="15.6">
      <c r="A79" s="26" t="str">
        <v>Burritt Road</v>
      </c>
      <c r="B79" s="27" t="str">
        <v>NY</v>
      </c>
      <c r="C79" s="27" t="str">
        <f>Sites[[#This Row],[SOL'#]]</f>
        <v>SOL-10913</v>
      </c>
      <c r="D79" s="9"/>
      <c r="E79" s="14"/>
      <c r="F79" s="14" t="str">
        <f t="shared" si="8"/>
        <v/>
      </c>
      <c r="G79" s="15" t="str">
        <f t="shared" si="9"/>
        <v/>
      </c>
      <c r="H79" s="16"/>
      <c r="I79" s="16" t="str">
        <f t="shared" si="6"/>
        <v/>
      </c>
      <c r="J79" s="15" t="str">
        <f t="shared" si="7"/>
        <v/>
      </c>
      <c r="K79" s="38"/>
      <c r="L79" s="39"/>
    </row>
    <row r="80" spans="1:12" ht="15.6">
      <c r="A80" s="24" t="str">
        <v>Villa Roma 1</v>
      </c>
      <c r="B80" s="25" t="str">
        <v>NY</v>
      </c>
      <c r="C80" s="25" t="str">
        <f>Sites[[#This Row],[SOL'#]]</f>
        <v>SOL-10914</v>
      </c>
      <c r="D80" s="20"/>
      <c r="E80" s="10"/>
      <c r="F80" s="10" t="str">
        <f t="shared" si="8"/>
        <v/>
      </c>
      <c r="G80" s="11" t="str">
        <f t="shared" si="9"/>
        <v/>
      </c>
      <c r="H80" s="12"/>
      <c r="I80" s="12" t="str">
        <f t="shared" si="6"/>
        <v/>
      </c>
      <c r="J80" s="13" t="str">
        <f t="shared" si="7"/>
        <v/>
      </c>
      <c r="K80" s="37"/>
      <c r="L80" s="37"/>
    </row>
    <row r="81" spans="1:12" ht="15.6">
      <c r="A81" s="26" t="str">
        <v>Villa Roma 2</v>
      </c>
      <c r="B81" s="27" t="str">
        <v>NY</v>
      </c>
      <c r="C81" s="27" t="str">
        <f>Sites[[#This Row],[SOL'#]]</f>
        <v>SOL-10915</v>
      </c>
      <c r="D81" s="9"/>
      <c r="E81" s="14"/>
      <c r="F81" s="14" t="str">
        <f t="shared" si="8"/>
        <v/>
      </c>
      <c r="G81" s="15" t="str">
        <f t="shared" si="9"/>
        <v/>
      </c>
      <c r="H81" s="16"/>
      <c r="I81" s="16" t="str">
        <f t="shared" si="6"/>
        <v/>
      </c>
      <c r="J81" s="15" t="str">
        <f t="shared" si="7"/>
        <v/>
      </c>
      <c r="K81" s="38"/>
      <c r="L81" s="39"/>
    </row>
    <row r="82" spans="1:12" ht="15.6">
      <c r="A82" s="24" t="str">
        <v>Washington 1</v>
      </c>
      <c r="B82" s="25" t="str">
        <v>NY</v>
      </c>
      <c r="C82" s="25" t="str">
        <f>Sites[[#This Row],[SOL'#]]</f>
        <v>SOL-10912</v>
      </c>
      <c r="D82" s="20"/>
      <c r="E82" s="10"/>
      <c r="F82" s="10" t="str">
        <f t="shared" si="8"/>
        <v/>
      </c>
      <c r="G82" s="11" t="str">
        <f t="shared" si="9"/>
        <v/>
      </c>
      <c r="H82" s="12"/>
      <c r="I82" s="12" t="str">
        <f t="shared" ref="I82:I138" si="10">IF(AND(ISNUMBER(D82),ISNUMBER(H82)), D82-H82, "")</f>
        <v/>
      </c>
      <c r="J82" s="13" t="str">
        <f t="shared" ref="J82:J138" si="11">IFERROR(I82/H82, "")</f>
        <v/>
      </c>
      <c r="K82" s="37"/>
      <c r="L82" s="37"/>
    </row>
    <row r="83" spans="1:12" ht="15.6">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56"/>
      <c r="L83" s="56"/>
    </row>
    <row r="84" spans="1:12" ht="15.6">
      <c r="A84" s="24" t="str">
        <v>Washington 4</v>
      </c>
      <c r="B84" s="25" t="str">
        <v>NY</v>
      </c>
      <c r="C84" s="25" t="str">
        <f>Sites[[#This Row],[SOL'#]]</f>
        <v>SOL-10829</v>
      </c>
      <c r="D84" s="20"/>
      <c r="E84" s="10"/>
      <c r="F84" s="10" t="str">
        <f t="shared" si="8"/>
        <v/>
      </c>
      <c r="G84" s="11" t="str">
        <f>IFERROR(F84/E84, "")</f>
        <v/>
      </c>
      <c r="H84" s="12"/>
      <c r="I84" s="12" t="str">
        <f t="shared" si="10"/>
        <v/>
      </c>
      <c r="J84" s="13" t="str">
        <f t="shared" si="11"/>
        <v/>
      </c>
      <c r="K84" s="37"/>
      <c r="L84" s="37"/>
    </row>
    <row r="85" spans="1:12" ht="15.6">
      <c r="A85" s="26" t="str">
        <v>Big Tree</v>
      </c>
      <c r="B85" s="27" t="str">
        <v>NY</v>
      </c>
      <c r="C85" s="27" t="str">
        <f>Sites[[#This Row],[SOL'#]]</f>
        <v>SOL-10966</v>
      </c>
      <c r="D85" s="9"/>
      <c r="E85" s="14"/>
      <c r="F85" s="14" t="str">
        <f t="shared" si="8"/>
        <v/>
      </c>
      <c r="G85" s="15" t="str">
        <f t="shared" si="9"/>
        <v/>
      </c>
      <c r="H85" s="16"/>
      <c r="I85" s="16" t="str">
        <f t="shared" si="10"/>
        <v/>
      </c>
      <c r="J85" s="15" t="str">
        <f t="shared" si="11"/>
        <v/>
      </c>
      <c r="K85" s="56"/>
      <c r="L85" s="56"/>
    </row>
    <row r="86" spans="1:12" ht="15.6">
      <c r="A86" s="24" t="str">
        <v>Canoga</v>
      </c>
      <c r="B86" s="25" t="str">
        <v>NY</v>
      </c>
      <c r="C86" s="25" t="str">
        <f>Sites[[#This Row],[SOL'#]]</f>
        <v>SOL-10965</v>
      </c>
      <c r="D86" s="20"/>
      <c r="E86" s="10"/>
      <c r="F86" s="10" t="str">
        <f t="shared" si="8"/>
        <v/>
      </c>
      <c r="G86" s="11" t="str">
        <f t="shared" si="9"/>
        <v/>
      </c>
      <c r="H86" s="12"/>
      <c r="I86" s="12" t="str">
        <f t="shared" si="10"/>
        <v/>
      </c>
      <c r="J86" s="13" t="str">
        <f t="shared" si="11"/>
        <v/>
      </c>
      <c r="K86" s="37"/>
      <c r="L86" s="37"/>
    </row>
    <row r="87" spans="1:12" ht="15.6">
      <c r="A87" s="26" t="str">
        <v>County Route 84</v>
      </c>
      <c r="B87" s="27" t="str">
        <v>NY</v>
      </c>
      <c r="C87" s="27" t="str">
        <f>Sites[[#This Row],[SOL'#]]</f>
        <v>SOL-10967</v>
      </c>
      <c r="D87" s="9"/>
      <c r="E87" s="14"/>
      <c r="F87" s="14" t="str">
        <f t="shared" si="8"/>
        <v/>
      </c>
      <c r="G87" s="15" t="str">
        <f t="shared" si="9"/>
        <v/>
      </c>
      <c r="H87" s="16"/>
      <c r="I87" s="16" t="str">
        <f t="shared" si="10"/>
        <v/>
      </c>
      <c r="J87" s="15" t="str">
        <f t="shared" si="11"/>
        <v/>
      </c>
      <c r="K87" s="56"/>
      <c r="L87" s="56"/>
    </row>
    <row r="88" spans="1:12" ht="15.6">
      <c r="A88" s="24" t="str">
        <v>Donati</v>
      </c>
      <c r="B88" s="25" t="str">
        <v>NY</v>
      </c>
      <c r="C88" s="25" t="str">
        <f>Sites[[#This Row],[SOL'#]]</f>
        <v>SOL-10968</v>
      </c>
      <c r="D88" s="20"/>
      <c r="E88" s="10"/>
      <c r="F88" s="10" t="str">
        <f t="shared" si="8"/>
        <v/>
      </c>
      <c r="G88" s="11" t="str">
        <f t="shared" si="9"/>
        <v/>
      </c>
      <c r="H88" s="12"/>
      <c r="I88" s="12" t="str">
        <f t="shared" si="10"/>
        <v/>
      </c>
      <c r="J88" s="13" t="str">
        <f t="shared" si="11"/>
        <v/>
      </c>
      <c r="K88" s="37"/>
      <c r="L88" s="37"/>
    </row>
    <row r="89" spans="1:12" ht="15.6">
      <c r="A89" s="26" t="str">
        <v>Henrietta</v>
      </c>
      <c r="B89" s="27" t="str">
        <v>NY</v>
      </c>
      <c r="C89" s="27" t="str">
        <f>Sites[[#This Row],[SOL'#]]</f>
        <v>SOL-10972</v>
      </c>
      <c r="D89" s="9"/>
      <c r="E89" s="14"/>
      <c r="F89" s="14" t="str">
        <f t="shared" si="8"/>
        <v/>
      </c>
      <c r="G89" s="15" t="str">
        <f t="shared" si="9"/>
        <v/>
      </c>
      <c r="H89" s="16"/>
      <c r="I89" s="16" t="str">
        <f t="shared" si="10"/>
        <v/>
      </c>
      <c r="J89" s="15" t="str">
        <f t="shared" si="11"/>
        <v/>
      </c>
      <c r="K89" s="56"/>
      <c r="L89" s="56"/>
    </row>
    <row r="90" spans="1:12" ht="15.6">
      <c r="A90" s="24" t="str">
        <v>NY 70</v>
      </c>
      <c r="B90" s="25" t="str">
        <v>NY</v>
      </c>
      <c r="C90" s="25" t="str">
        <f>Sites[[#This Row],[SOL'#]]</f>
        <v>SOL-10970</v>
      </c>
      <c r="D90" s="20"/>
      <c r="E90" s="10"/>
      <c r="F90" s="10" t="str">
        <f t="shared" si="8"/>
        <v/>
      </c>
      <c r="G90" s="11" t="str">
        <f t="shared" si="9"/>
        <v/>
      </c>
      <c r="H90" s="12"/>
      <c r="I90" s="12" t="str">
        <f t="shared" si="10"/>
        <v/>
      </c>
      <c r="J90" s="13" t="str">
        <f t="shared" si="11"/>
        <v/>
      </c>
      <c r="K90" s="37"/>
      <c r="L90" s="37"/>
    </row>
    <row r="91" spans="1:12" ht="65.25" customHeight="1">
      <c r="A91" s="26" t="str">
        <v>Reid</v>
      </c>
      <c r="B91" s="27" t="str">
        <v>NY</v>
      </c>
      <c r="C91" s="27" t="str">
        <f>Sites[[#This Row],[SOL'#]]</f>
        <v>SOL-10991</v>
      </c>
      <c r="D91" s="9"/>
      <c r="E91" s="14"/>
      <c r="F91" s="14" t="str">
        <f t="shared" si="8"/>
        <v/>
      </c>
      <c r="G91" s="15" t="str">
        <f t="shared" si="9"/>
        <v/>
      </c>
      <c r="H91" s="16"/>
      <c r="I91" s="16" t="str">
        <f t="shared" si="10"/>
        <v/>
      </c>
      <c r="J91" s="15" t="str">
        <f t="shared" si="11"/>
        <v/>
      </c>
      <c r="K91" s="57"/>
      <c r="L91" s="58"/>
    </row>
    <row r="92" spans="1:12" ht="15.6">
      <c r="A92" s="24" t="str">
        <v>Sangolqui</v>
      </c>
      <c r="B92" s="25" t="str">
        <v>NY</v>
      </c>
      <c r="C92" s="25" t="str">
        <f>Sites[[#This Row],[SOL'#]]</f>
        <v>SOL-10975</v>
      </c>
      <c r="D92" s="20"/>
      <c r="E92" s="10"/>
      <c r="F92" s="10" t="str">
        <f t="shared" si="8"/>
        <v/>
      </c>
      <c r="G92" s="11" t="str">
        <f t="shared" si="9"/>
        <v/>
      </c>
      <c r="H92" s="12"/>
      <c r="I92" s="12" t="str">
        <f t="shared" si="10"/>
        <v/>
      </c>
      <c r="J92" s="13" t="str">
        <f t="shared" si="11"/>
        <v/>
      </c>
      <c r="K92" s="37"/>
      <c r="L92" s="37"/>
    </row>
    <row r="93" spans="1:12" ht="15.6">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57"/>
      <c r="L93" s="58"/>
    </row>
    <row r="94" spans="1:12" ht="15.6">
      <c r="A94" s="24" t="str">
        <v>State Route 14A</v>
      </c>
      <c r="B94" s="25" t="str">
        <v>NY</v>
      </c>
      <c r="C94" s="25" t="str">
        <f>Sites[[#This Row],[SOL'#]]</f>
        <v>SOL-10997</v>
      </c>
      <c r="D94" s="20"/>
      <c r="E94" s="10"/>
      <c r="F94" s="10" t="str">
        <f>IF(AND(ISNUMBER(D94),ISNUMBER(E94)), D94-E94, "")</f>
        <v/>
      </c>
      <c r="G94" s="11" t="str">
        <f>IFERROR(F94/E94, "")</f>
        <v/>
      </c>
      <c r="H94" s="12"/>
      <c r="I94" s="12" t="str">
        <f>IF(AND(ISNUMBER(D94),ISNUMBER(H94)), D94-H94, "")</f>
        <v/>
      </c>
      <c r="J94" s="13" t="str">
        <f>IFERROR(I94/H94, "")</f>
        <v/>
      </c>
      <c r="K94" s="37"/>
      <c r="L94" s="37"/>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57"/>
      <c r="L95" s="58"/>
    </row>
    <row r="96" spans="1:12" ht="15.6">
      <c r="A96" s="24" t="str">
        <v>Wildflower</v>
      </c>
      <c r="B96" s="25" t="str">
        <v>NY</v>
      </c>
      <c r="C96" s="25" t="str">
        <f>Sites[[#This Row],[SOL'#]]</f>
        <v>SOL-10982</v>
      </c>
      <c r="D96" s="20"/>
      <c r="E96" s="10"/>
      <c r="F96" s="10" t="str">
        <f t="shared" si="8"/>
        <v/>
      </c>
      <c r="G96" s="11" t="str">
        <f t="shared" si="9"/>
        <v/>
      </c>
      <c r="H96" s="12"/>
      <c r="I96" s="12" t="str">
        <f t="shared" si="10"/>
        <v/>
      </c>
      <c r="J96" s="13" t="str">
        <f t="shared" si="11"/>
        <v/>
      </c>
      <c r="K96" s="63"/>
      <c r="L96" s="63"/>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56"/>
      <c r="L97" s="56"/>
    </row>
    <row r="98" spans="1:12" ht="15.6">
      <c r="A98" s="24" t="str">
        <v>Glen Mary 2</v>
      </c>
      <c r="B98" s="25" t="str">
        <v>NY</v>
      </c>
      <c r="C98" s="25" t="str">
        <f>Sites[[#This Row],[SOL'#]]</f>
        <v>SOL-10994</v>
      </c>
      <c r="D98" s="20"/>
      <c r="E98" s="10"/>
      <c r="F98" s="10" t="str">
        <f t="shared" si="8"/>
        <v/>
      </c>
      <c r="G98" s="11" t="str">
        <f t="shared" si="9"/>
        <v/>
      </c>
      <c r="H98" s="12"/>
      <c r="I98" s="12" t="str">
        <f t="shared" si="10"/>
        <v/>
      </c>
      <c r="J98" s="13" t="str">
        <f t="shared" si="11"/>
        <v/>
      </c>
      <c r="K98" s="37"/>
      <c r="L98" s="37"/>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38"/>
      <c r="L99" s="39"/>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13" t="str">
        <f t="shared" si="11"/>
        <v/>
      </c>
      <c r="K100" s="37"/>
      <c r="L100" s="37"/>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38"/>
      <c r="L101" s="38"/>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13" t="str">
        <f t="shared" si="11"/>
        <v/>
      </c>
      <c r="K102" s="37"/>
      <c r="L102" s="37"/>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38"/>
      <c r="L103" s="39"/>
    </row>
    <row r="104" spans="1:12" ht="15.6">
      <c r="A104" s="24" t="str">
        <v>Route 19 2</v>
      </c>
      <c r="B104" s="25" t="str">
        <v>NY</v>
      </c>
      <c r="C104" s="25" t="str">
        <f>Sites[[#This Row],[SOL'#]]</f>
        <v>SOL-11002</v>
      </c>
      <c r="D104" s="20"/>
      <c r="E104" s="10"/>
      <c r="F104" s="10" t="str">
        <f t="shared" si="8"/>
        <v/>
      </c>
      <c r="G104" s="11" t="str">
        <f t="shared" si="9"/>
        <v/>
      </c>
      <c r="H104" s="12"/>
      <c r="I104" s="12" t="str">
        <f t="shared" si="10"/>
        <v/>
      </c>
      <c r="J104" s="13" t="str">
        <f t="shared" si="11"/>
        <v/>
      </c>
      <c r="K104" s="37"/>
      <c r="L104" s="37"/>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56"/>
      <c r="L105" s="56"/>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13" t="str">
        <f t="shared" si="11"/>
        <v/>
      </c>
      <c r="K106" s="37"/>
      <c r="L106" s="37"/>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56"/>
      <c r="L107" s="56"/>
    </row>
    <row r="108" spans="1:12" ht="15.6">
      <c r="A108" s="24" t="str">
        <v>Catskill</v>
      </c>
      <c r="B108" s="25" t="str">
        <v>NY</v>
      </c>
      <c r="C108" s="25" t="str">
        <f>Sites[[#This Row],[SOL'#]]</f>
        <v>SOL-11021</v>
      </c>
      <c r="D108" s="20"/>
      <c r="E108" s="10"/>
      <c r="F108" s="10" t="str">
        <f t="shared" si="8"/>
        <v/>
      </c>
      <c r="G108" s="11" t="str">
        <f t="shared" si="9"/>
        <v/>
      </c>
      <c r="H108" s="12"/>
      <c r="I108" s="12" t="str">
        <f t="shared" si="10"/>
        <v/>
      </c>
      <c r="J108" s="13" t="str">
        <f t="shared" si="11"/>
        <v/>
      </c>
      <c r="K108" s="63"/>
      <c r="L108" s="63"/>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56"/>
      <c r="L109" s="56"/>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13" t="str">
        <f t="shared" si="11"/>
        <v/>
      </c>
      <c r="K110" s="63"/>
      <c r="L110" s="63"/>
    </row>
    <row r="111" spans="1:12" ht="15.6">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38"/>
      <c r="L111" s="39"/>
    </row>
    <row r="112" spans="1:12" ht="15.6">
      <c r="A112" s="24" t="str">
        <v>Rivard 2</v>
      </c>
      <c r="B112" s="25" t="str">
        <v>NY</v>
      </c>
      <c r="C112" s="25" t="str">
        <f>Sites[[#This Row],[SOL'#]]</f>
        <v>SOL-11012</v>
      </c>
      <c r="D112" s="20"/>
      <c r="E112" s="10"/>
      <c r="F112" s="10" t="str">
        <f t="shared" si="8"/>
        <v/>
      </c>
      <c r="G112" s="11" t="str">
        <f t="shared" si="9"/>
        <v/>
      </c>
      <c r="H112" s="12"/>
      <c r="I112" s="12" t="str">
        <f t="shared" si="10"/>
        <v/>
      </c>
      <c r="J112" s="13" t="str">
        <f t="shared" si="11"/>
        <v/>
      </c>
      <c r="K112" s="37"/>
      <c r="L112" s="37"/>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38"/>
      <c r="L113" s="38"/>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13" t="str">
        <f t="shared" si="11"/>
        <v/>
      </c>
      <c r="K114" s="37"/>
      <c r="L114" s="37"/>
    </row>
    <row r="115" spans="1:12" ht="15.6">
      <c r="A115" s="26" t="str">
        <v>Weinberg 1</v>
      </c>
      <c r="B115" s="27" t="str">
        <v>DC</v>
      </c>
      <c r="C115" s="27" t="str">
        <f>Sites[[#This Row],[SOL'#]]</f>
        <v>SOL-10039</v>
      </c>
      <c r="D115" s="9"/>
      <c r="E115" s="14"/>
      <c r="F115" s="14" t="str">
        <f t="shared" si="8"/>
        <v/>
      </c>
      <c r="G115" s="15" t="str">
        <f t="shared" si="9"/>
        <v/>
      </c>
      <c r="H115" s="16"/>
      <c r="I115" s="16" t="str">
        <f t="shared" si="10"/>
        <v/>
      </c>
      <c r="J115" s="15" t="str">
        <f t="shared" si="11"/>
        <v/>
      </c>
      <c r="K115" s="38"/>
      <c r="L115" s="39"/>
    </row>
    <row r="116" spans="1:12" ht="15.6">
      <c r="A116" s="24" t="str">
        <v>Weinberg 2</v>
      </c>
      <c r="B116" s="25" t="str">
        <v>DC</v>
      </c>
      <c r="C116" s="25" t="str">
        <f>Sites[[#This Row],[SOL'#]]</f>
        <v>SOL-10045</v>
      </c>
      <c r="D116" s="20"/>
      <c r="E116" s="10"/>
      <c r="F116" s="10" t="str">
        <f t="shared" si="8"/>
        <v/>
      </c>
      <c r="G116" s="11" t="str">
        <f t="shared" si="9"/>
        <v/>
      </c>
      <c r="H116" s="12"/>
      <c r="I116" s="12" t="str">
        <f t="shared" si="10"/>
        <v/>
      </c>
      <c r="J116" s="13" t="str">
        <f t="shared" si="11"/>
        <v/>
      </c>
      <c r="K116" s="37"/>
      <c r="L116" s="37"/>
    </row>
    <row r="117" spans="1:12" ht="15.6">
      <c r="A117" s="26" t="str">
        <v>Weinberg 3</v>
      </c>
      <c r="B117" s="27" t="str">
        <v>DC</v>
      </c>
      <c r="C117" s="27" t="str">
        <f>Sites[[#This Row],[SOL'#]]</f>
        <v>SOL-10042</v>
      </c>
      <c r="D117" s="9"/>
      <c r="E117" s="14"/>
      <c r="F117" s="14" t="str">
        <f t="shared" si="8"/>
        <v/>
      </c>
      <c r="G117" s="15" t="str">
        <f t="shared" si="9"/>
        <v/>
      </c>
      <c r="H117" s="16"/>
      <c r="I117" s="16" t="str">
        <f t="shared" si="10"/>
        <v/>
      </c>
      <c r="J117" s="15" t="str">
        <f t="shared" si="11"/>
        <v/>
      </c>
      <c r="K117" s="38"/>
      <c r="L117" s="39"/>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13" t="str">
        <f t="shared" si="11"/>
        <v/>
      </c>
      <c r="K118" s="37"/>
      <c r="L118" s="37"/>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38"/>
      <c r="L119" s="39"/>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13" t="str">
        <f t="shared" si="11"/>
        <v/>
      </c>
      <c r="K120" s="37"/>
      <c r="L120" s="37"/>
    </row>
    <row r="121" spans="1:12" ht="15.6">
      <c r="A121" s="26" t="str">
        <v>Leoku</v>
      </c>
      <c r="B121" s="27" t="str">
        <v>HI</v>
      </c>
      <c r="C121" s="27" t="str">
        <f>Sites[[#This Row],[SOL'#]]</f>
        <v>SOL-10071</v>
      </c>
      <c r="D121" s="9"/>
      <c r="E121" s="14"/>
      <c r="F121" s="14" t="str">
        <f t="shared" si="8"/>
        <v/>
      </c>
      <c r="G121" s="15" t="str">
        <f t="shared" si="9"/>
        <v/>
      </c>
      <c r="H121" s="16"/>
      <c r="I121" s="16" t="str">
        <f t="shared" si="10"/>
        <v/>
      </c>
      <c r="J121" s="15" t="str">
        <f t="shared" si="11"/>
        <v/>
      </c>
      <c r="K121" s="38"/>
      <c r="L121" s="39"/>
    </row>
    <row r="122" spans="1:12" ht="15.6">
      <c r="A122" s="24" t="str">
        <v>Waipahu</v>
      </c>
      <c r="B122" s="25" t="str">
        <v>HI</v>
      </c>
      <c r="C122" s="25" t="str">
        <f>Sites[[#This Row],[SOL'#]]</f>
        <v>SOL-10068</v>
      </c>
      <c r="D122" s="20"/>
      <c r="E122" s="10"/>
      <c r="F122" s="10" t="str">
        <f t="shared" si="8"/>
        <v/>
      </c>
      <c r="G122" s="11" t="str">
        <f t="shared" si="9"/>
        <v/>
      </c>
      <c r="H122" s="12"/>
      <c r="I122" s="12" t="str">
        <f t="shared" si="10"/>
        <v/>
      </c>
      <c r="J122" s="13" t="str">
        <f t="shared" si="11"/>
        <v/>
      </c>
      <c r="K122" s="37"/>
      <c r="L122" s="37"/>
    </row>
    <row r="123" spans="1:12" ht="15.6">
      <c r="A123" s="26" t="str">
        <v>Bird in Hand</v>
      </c>
      <c r="B123" s="27" t="str">
        <v>MD</v>
      </c>
      <c r="C123" s="27" t="str">
        <f>Sites[[#This Row],[SOL'#]]</f>
        <v>SOL-10092</v>
      </c>
      <c r="D123" s="9"/>
      <c r="E123" s="14"/>
      <c r="F123" s="14" t="str">
        <f t="shared" si="8"/>
        <v/>
      </c>
      <c r="G123" s="15" t="str">
        <f t="shared" si="9"/>
        <v/>
      </c>
      <c r="H123" s="16"/>
      <c r="I123" s="16" t="str">
        <f t="shared" si="10"/>
        <v/>
      </c>
      <c r="J123" s="15" t="str">
        <f t="shared" si="11"/>
        <v/>
      </c>
      <c r="K123" s="57"/>
      <c r="L123" s="58"/>
    </row>
    <row r="124" spans="1:12" ht="15.6">
      <c r="A124" s="24" t="str">
        <v>Shortal</v>
      </c>
      <c r="B124" s="25" t="str">
        <v>MD</v>
      </c>
      <c r="C124" s="25" t="str">
        <f>Sites[[#This Row],[SOL'#]]</f>
        <v>SOL-10091</v>
      </c>
      <c r="D124" s="20"/>
      <c r="E124" s="10"/>
      <c r="F124" s="10" t="str">
        <f t="shared" si="8"/>
        <v/>
      </c>
      <c r="G124" s="11" t="str">
        <f t="shared" si="9"/>
        <v/>
      </c>
      <c r="H124" s="12"/>
      <c r="I124" s="12" t="str">
        <f t="shared" si="10"/>
        <v/>
      </c>
      <c r="J124" s="13" t="str">
        <f t="shared" si="11"/>
        <v/>
      </c>
      <c r="K124" s="59"/>
      <c r="L124" s="59"/>
    </row>
    <row r="125" spans="1:12" ht="15.6">
      <c r="A125" s="26" t="str">
        <v>Aguadilla</v>
      </c>
      <c r="B125" s="27" t="str">
        <v>PR</v>
      </c>
      <c r="C125" s="27" t="str">
        <f>Sites[[#This Row],[SOL'#]]</f>
        <v>SOL-10072</v>
      </c>
      <c r="D125" s="9"/>
      <c r="E125" s="14"/>
      <c r="F125" s="14" t="str">
        <f t="shared" si="8"/>
        <v/>
      </c>
      <c r="G125" s="15" t="str">
        <f t="shared" si="9"/>
        <v/>
      </c>
      <c r="H125" s="16"/>
      <c r="I125" s="16" t="str">
        <f t="shared" si="10"/>
        <v/>
      </c>
      <c r="J125" s="15" t="str">
        <f t="shared" si="11"/>
        <v/>
      </c>
      <c r="K125" s="57"/>
      <c r="L125" s="57"/>
    </row>
    <row r="126" spans="1:12" ht="105.75" customHeight="1">
      <c r="A126" s="24" t="str">
        <v>Bayamon</v>
      </c>
      <c r="B126" s="25" t="str">
        <v>PR</v>
      </c>
      <c r="C126" s="25" t="str">
        <f>Sites[[#This Row],[SOL'#]]</f>
        <v>SOL-10073</v>
      </c>
      <c r="D126" s="20"/>
      <c r="E126" s="10"/>
      <c r="F126" s="10" t="str">
        <f t="shared" si="8"/>
        <v/>
      </c>
      <c r="G126" s="11" t="str">
        <f t="shared" si="9"/>
        <v/>
      </c>
      <c r="H126" s="12"/>
      <c r="I126" s="12" t="str">
        <f t="shared" si="10"/>
        <v/>
      </c>
      <c r="J126" s="13" t="str">
        <f t="shared" si="11"/>
        <v/>
      </c>
      <c r="K126" s="59"/>
      <c r="L126" s="59"/>
    </row>
    <row r="127" spans="1:12" ht="63" customHeight="1">
      <c r="A127" s="26" t="str">
        <v>St Francis</v>
      </c>
      <c r="B127" s="27" t="str">
        <v>PR</v>
      </c>
      <c r="C127" s="27" t="str">
        <f>Sites[[#This Row],[SOL'#]]</f>
        <v>SOL-10034</v>
      </c>
      <c r="D127" s="9"/>
      <c r="E127" s="14"/>
      <c r="F127" s="14" t="str">
        <f t="shared" si="8"/>
        <v/>
      </c>
      <c r="G127" s="15" t="str">
        <f t="shared" si="9"/>
        <v/>
      </c>
      <c r="H127" s="16"/>
      <c r="I127" s="16" t="str">
        <f t="shared" si="10"/>
        <v/>
      </c>
      <c r="J127" s="15" t="str">
        <f t="shared" si="11"/>
        <v/>
      </c>
      <c r="K127" s="62"/>
      <c r="L127" s="58"/>
    </row>
    <row r="128" spans="1:12" ht="15.6">
      <c r="A128" s="24" t="str">
        <v>Seaport</v>
      </c>
      <c r="B128" s="25" t="str">
        <v>MA</v>
      </c>
      <c r="C128" s="25" t="str">
        <f>Sites[[#This Row],[SOL'#]]</f>
        <v>SOL-10772</v>
      </c>
      <c r="D128" s="20"/>
      <c r="E128" s="10"/>
      <c r="F128" s="10" t="str">
        <f t="shared" si="8"/>
        <v/>
      </c>
      <c r="G128" s="11" t="str">
        <f t="shared" si="9"/>
        <v/>
      </c>
      <c r="H128" s="12"/>
      <c r="I128" s="12" t="str">
        <f t="shared" si="10"/>
        <v/>
      </c>
      <c r="J128" s="13" t="str">
        <f t="shared" si="11"/>
        <v/>
      </c>
      <c r="K128" s="59"/>
      <c r="L128" s="59"/>
    </row>
    <row r="129" spans="1:12" ht="49.5" customHeight="1">
      <c r="A129" s="26" t="str">
        <v>Sprague St</v>
      </c>
      <c r="B129" s="27" t="str">
        <v>MA</v>
      </c>
      <c r="C129" s="27" t="str">
        <f>Sites[[#This Row],[SOL'#]]</f>
        <v>SOL-10773</v>
      </c>
      <c r="D129" s="9"/>
      <c r="E129" s="14"/>
      <c r="F129" s="14" t="str">
        <f t="shared" si="8"/>
        <v/>
      </c>
      <c r="G129" s="15" t="str">
        <f t="shared" si="9"/>
        <v/>
      </c>
      <c r="H129" s="16"/>
      <c r="I129" s="16" t="str">
        <f t="shared" si="10"/>
        <v/>
      </c>
      <c r="J129" s="15" t="str">
        <f t="shared" si="11"/>
        <v/>
      </c>
      <c r="K129" s="57"/>
      <c r="L129" s="57"/>
    </row>
    <row r="130" spans="1:12" ht="15.6">
      <c r="A130" s="24" t="str">
        <v>Summer St</v>
      </c>
      <c r="B130" s="25" t="str">
        <v>MA</v>
      </c>
      <c r="C130" s="25" t="str">
        <f>Sites[[#This Row],[SOL'#]]</f>
        <v>SOL-10764</v>
      </c>
      <c r="D130" s="20"/>
      <c r="E130" s="10"/>
      <c r="F130" s="10" t="str">
        <f t="shared" si="8"/>
        <v/>
      </c>
      <c r="G130" s="11" t="str">
        <f t="shared" si="9"/>
        <v/>
      </c>
      <c r="H130" s="12"/>
      <c r="I130" s="12" t="str">
        <f t="shared" si="10"/>
        <v/>
      </c>
      <c r="J130" s="13" t="str">
        <f t="shared" si="11"/>
        <v/>
      </c>
      <c r="K130" s="59"/>
      <c r="L130" s="59"/>
    </row>
    <row r="131" spans="1:12" ht="15.6">
      <c r="A131" s="26" t="str">
        <v>Brock St Vocational</v>
      </c>
      <c r="B131" s="27" t="str">
        <v>NH</v>
      </c>
      <c r="C131" s="27" t="str">
        <f>Sites[[#This Row],[SOL'#]]</f>
        <v>SOL-10768</v>
      </c>
      <c r="D131" s="9"/>
      <c r="E131" s="14"/>
      <c r="F131" s="14" t="str">
        <f t="shared" si="8"/>
        <v/>
      </c>
      <c r="G131" s="15" t="str">
        <f t="shared" si="9"/>
        <v/>
      </c>
      <c r="H131" s="16"/>
      <c r="I131" s="16" t="str">
        <f t="shared" si="10"/>
        <v/>
      </c>
      <c r="J131" s="15" t="str">
        <f t="shared" si="11"/>
        <v/>
      </c>
      <c r="K131" s="38"/>
      <c r="L131" s="39"/>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13" t="str">
        <f t="shared" si="11"/>
        <v/>
      </c>
      <c r="K132" s="37"/>
      <c r="L132" s="37"/>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38"/>
      <c r="L133" s="39"/>
    </row>
    <row r="134" spans="1:12" ht="15.6">
      <c r="A134" s="24" t="str">
        <v>Portsmouth HS</v>
      </c>
      <c r="B134" s="25" t="str">
        <v>NH</v>
      </c>
      <c r="C134" s="25" t="str">
        <f>Sites[[#This Row],[SOL'#]]</f>
        <v>SOL-10769</v>
      </c>
      <c r="D134" s="20"/>
      <c r="E134" s="10"/>
      <c r="F134" s="10" t="str">
        <f t="shared" si="8"/>
        <v/>
      </c>
      <c r="G134" s="11" t="str">
        <f t="shared" si="9"/>
        <v/>
      </c>
      <c r="H134" s="12"/>
      <c r="I134" s="12" t="str">
        <f t="shared" si="10"/>
        <v/>
      </c>
      <c r="J134" s="13" t="str">
        <f t="shared" si="11"/>
        <v/>
      </c>
      <c r="K134" s="37"/>
      <c r="L134" s="37"/>
    </row>
    <row r="135" spans="1:12" ht="15.6">
      <c r="A135" s="26" t="str">
        <v>Portsmouth WTP</v>
      </c>
      <c r="B135" s="27" t="str">
        <v>NH</v>
      </c>
      <c r="C135" s="27" t="str">
        <f>Sites[[#This Row],[SOL'#]]</f>
        <v>SOL-10770</v>
      </c>
      <c r="D135" s="9"/>
      <c r="E135" s="14"/>
      <c r="F135" s="14" t="str">
        <f t="shared" si="8"/>
        <v/>
      </c>
      <c r="G135" s="15" t="str">
        <f t="shared" si="9"/>
        <v/>
      </c>
      <c r="H135" s="16"/>
      <c r="I135" s="16" t="str">
        <f t="shared" si="10"/>
        <v/>
      </c>
      <c r="J135" s="15" t="str">
        <f t="shared" si="11"/>
        <v/>
      </c>
      <c r="K135" s="64"/>
      <c r="L135" s="64"/>
    </row>
    <row r="136" spans="1:12" ht="15.6">
      <c r="A136" s="24" t="str">
        <v>Rochester St</v>
      </c>
      <c r="B136" s="25" t="str">
        <v>NH</v>
      </c>
      <c r="C136" s="25" t="str">
        <f>Sites[[#This Row],[SOL'#]]</f>
        <v>SOL-10765</v>
      </c>
      <c r="D136" s="20"/>
      <c r="E136" s="10"/>
      <c r="F136" s="10" t="str">
        <f t="shared" si="8"/>
        <v/>
      </c>
      <c r="G136" s="11" t="str">
        <f t="shared" si="9"/>
        <v/>
      </c>
      <c r="H136" s="12"/>
      <c r="I136" s="12" t="str">
        <f t="shared" si="10"/>
        <v/>
      </c>
      <c r="J136" s="13" t="str">
        <f t="shared" si="11"/>
        <v/>
      </c>
      <c r="K136" s="37"/>
      <c r="L136" s="37"/>
    </row>
    <row r="137" spans="1:12" ht="15.6">
      <c r="A137" s="26" t="str">
        <v>Spaulding HS</v>
      </c>
      <c r="B137" s="27" t="str">
        <v>NH</v>
      </c>
      <c r="C137" s="27" t="str">
        <f>Sites[[#This Row],[SOL'#]]</f>
        <v>SOL-10767</v>
      </c>
      <c r="D137" s="9"/>
      <c r="E137" s="14"/>
      <c r="F137" s="14" t="str">
        <f t="shared" si="8"/>
        <v/>
      </c>
      <c r="G137" s="15" t="str">
        <f t="shared" si="9"/>
        <v/>
      </c>
      <c r="H137" s="16"/>
      <c r="I137" s="16" t="str">
        <f t="shared" si="10"/>
        <v/>
      </c>
      <c r="J137" s="15" t="str">
        <f t="shared" si="11"/>
        <v/>
      </c>
      <c r="K137" s="38"/>
      <c r="L137" s="39"/>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13" t="str">
        <f t="shared" si="11"/>
        <v/>
      </c>
      <c r="K138" s="37"/>
      <c r="L138" s="37"/>
    </row>
    <row r="139" spans="1:12" ht="15.6">
      <c r="A139" s="26" t="str">
        <v>Spencer</v>
      </c>
      <c r="B139" s="27" t="str">
        <v>NY</v>
      </c>
      <c r="C139" s="27" t="str">
        <f>Sites[[#This Row],[SOL'#]]</f>
        <v>SOL-11017</v>
      </c>
      <c r="D139" s="75"/>
      <c r="E139" s="14"/>
      <c r="F139" s="14" t="str">
        <f t="shared" si="8"/>
        <v/>
      </c>
      <c r="G139" s="15"/>
      <c r="H139" s="16"/>
      <c r="I139" s="16"/>
      <c r="J139" s="15"/>
      <c r="K139" s="38"/>
      <c r="L139" s="39"/>
    </row>
    <row r="140" spans="1:12" ht="15.6">
      <c r="A140" s="28" t="str">
        <v>Reisender</v>
      </c>
      <c r="B140" s="25" t="str">
        <v>NY</v>
      </c>
      <c r="C140" s="25" t="str">
        <f>Sites[[#This Row],[SOL'#]]</f>
        <v>SOL-10886</v>
      </c>
      <c r="D140" s="60"/>
      <c r="E140" s="10"/>
      <c r="F140" s="10"/>
      <c r="G140" s="61"/>
      <c r="H140" s="76"/>
      <c r="I140" s="76"/>
      <c r="J140" s="73"/>
      <c r="K140" s="63"/>
      <c r="L140" s="37"/>
    </row>
    <row r="141" spans="1:12" ht="15.6">
      <c r="A141" s="26" t="str">
        <v>Finney</v>
      </c>
      <c r="B141" s="27" t="str">
        <v>NY</v>
      </c>
      <c r="C141" s="27" t="str">
        <f>Sites[[#This Row],[SOL'#]]</f>
        <v>SOL-10999</v>
      </c>
      <c r="D141" s="75"/>
      <c r="E141" s="14"/>
      <c r="F141" s="14"/>
      <c r="G141" s="77"/>
      <c r="H141" s="78"/>
      <c r="I141" s="78"/>
      <c r="J141" s="77"/>
      <c r="K141" s="38"/>
      <c r="L141" s="17"/>
    </row>
    <row r="142" spans="1:12" ht="15.6">
      <c r="A142" s="24" t="str">
        <v>Davis Solar</v>
      </c>
      <c r="B142" s="25" t="str">
        <v>NY</v>
      </c>
      <c r="C142" s="25" t="str">
        <f>Sites[[#This Row],[SOL'#]]</f>
        <v>SOL-10958</v>
      </c>
      <c r="D142" s="60"/>
      <c r="E142" s="10"/>
      <c r="F142" s="10"/>
      <c r="G142" s="61"/>
      <c r="H142" s="76"/>
      <c r="I142" s="76"/>
      <c r="J142" s="73"/>
      <c r="K142" s="63"/>
      <c r="L142" s="37"/>
    </row>
    <row r="143" spans="1:12" ht="15.6">
      <c r="A143" s="26" t="str">
        <v>Genesee</v>
      </c>
      <c r="B143" s="27" t="str">
        <v>NY</v>
      </c>
      <c r="C143" s="27" t="str">
        <f>Sites[[#This Row],[SOL'#]]</f>
        <v>SOL-10951</v>
      </c>
      <c r="D143" s="75"/>
      <c r="E143" s="14"/>
      <c r="F143" s="14"/>
      <c r="G143" s="77"/>
      <c r="H143" s="78"/>
      <c r="I143" s="78"/>
      <c r="J143" s="77"/>
      <c r="K143" s="38"/>
      <c r="L143" s="17"/>
    </row>
    <row r="144" spans="1:12" ht="15.6">
      <c r="A144" s="24" t="str">
        <v>Landau I</v>
      </c>
      <c r="B144" s="25" t="str">
        <v>NY</v>
      </c>
      <c r="C144" s="25" t="str">
        <f>Sites[[#This Row],[SOL'#]]</f>
        <v>SOL-10891</v>
      </c>
      <c r="D144" s="60"/>
      <c r="E144" s="10"/>
      <c r="F144" s="10"/>
      <c r="G144" s="61"/>
      <c r="H144" s="76"/>
      <c r="I144" s="76"/>
      <c r="J144" s="73"/>
      <c r="K144" s="63"/>
      <c r="L144" s="37"/>
    </row>
    <row r="145" spans="1:12" ht="15.6">
      <c r="A145" s="26" t="str">
        <v>Landau II</v>
      </c>
      <c r="B145" s="27" t="str">
        <v>NY</v>
      </c>
      <c r="C145" s="27" t="str">
        <f>Sites[[#This Row],[SOL'#]]</f>
        <v>SOL-10895</v>
      </c>
      <c r="D145" s="75"/>
      <c r="E145" s="14"/>
      <c r="F145" s="14"/>
      <c r="G145" s="77"/>
      <c r="H145" s="78"/>
      <c r="I145" s="78"/>
      <c r="J145" s="77"/>
      <c r="K145" s="38"/>
      <c r="L145" s="17"/>
    </row>
    <row r="146" spans="1:12" ht="15.6">
      <c r="A146" s="24" t="str">
        <v>New Beginnings</v>
      </c>
      <c r="B146" s="25" t="str">
        <v>NY</v>
      </c>
      <c r="C146" s="25" t="str">
        <f>Sites[[#This Row],[SOL'#]]</f>
        <v>SOL-10890</v>
      </c>
      <c r="D146" s="60"/>
      <c r="E146" s="10"/>
      <c r="F146" s="10"/>
      <c r="G146" s="61"/>
      <c r="H146" s="76"/>
      <c r="I146" s="76"/>
      <c r="J146" s="73"/>
      <c r="K146" s="63"/>
      <c r="L146" s="37"/>
    </row>
    <row r="147" spans="1:12" ht="15.6">
      <c r="A147" s="26" t="str">
        <v>Guilin Farm Solar</v>
      </c>
      <c r="B147" s="27" t="str">
        <v>NY</v>
      </c>
      <c r="C147" s="27" t="str">
        <f>Sites[[#This Row],[SOL'#]]</f>
        <v>SOL-10998</v>
      </c>
      <c r="D147" s="75"/>
      <c r="E147" s="14"/>
      <c r="F147" s="14"/>
      <c r="G147" s="77"/>
      <c r="H147" s="78"/>
      <c r="I147" s="78"/>
      <c r="J147" s="77"/>
      <c r="K147" s="38"/>
      <c r="L147" s="17"/>
    </row>
    <row r="148" spans="1:12" ht="15.6">
      <c r="A148" s="24" t="str">
        <v>Brodhead Solar</v>
      </c>
      <c r="B148" s="25" t="str">
        <v>NY</v>
      </c>
      <c r="C148" s="25" t="str">
        <f>Sites[[#This Row],[SOL'#]]</f>
        <v>SOL-10899</v>
      </c>
      <c r="D148" s="60"/>
      <c r="E148" s="10"/>
      <c r="F148" s="10"/>
      <c r="G148" s="61"/>
      <c r="H148" s="76"/>
      <c r="I148" s="76"/>
      <c r="J148" s="73"/>
      <c r="K148" s="63"/>
      <c r="L148" s="37"/>
    </row>
    <row r="149" spans="1:12" ht="15.6">
      <c r="A149" s="26" t="str">
        <v>Svenski</v>
      </c>
      <c r="B149" s="27" t="str">
        <v>NY</v>
      </c>
      <c r="C149" s="27" t="str">
        <f>Sites[[#This Row],[SOL'#]]</f>
        <v>SOL-10894</v>
      </c>
      <c r="D149" s="75"/>
      <c r="E149" s="14"/>
      <c r="F149" s="14"/>
      <c r="G149" s="77"/>
      <c r="H149" s="78"/>
      <c r="I149" s="78"/>
      <c r="J149" s="77"/>
      <c r="K149" s="38"/>
      <c r="L149" s="17"/>
    </row>
    <row r="150" spans="1:12" ht="15.6">
      <c r="A150" s="24" t="str">
        <v>Bantam</v>
      </c>
      <c r="B150" s="25" t="str">
        <v>NY</v>
      </c>
      <c r="C150" s="25" t="str">
        <f>Sites[[#This Row],[SOL'#]]</f>
        <v>SOL-10986</v>
      </c>
      <c r="D150" s="60"/>
      <c r="E150" s="10"/>
      <c r="F150" s="10"/>
      <c r="G150" s="61"/>
      <c r="H150" s="76"/>
      <c r="I150" s="76"/>
      <c r="J150" s="73"/>
      <c r="K150" s="63"/>
      <c r="L150" s="37"/>
    </row>
    <row r="151" spans="1:12" ht="15.6">
      <c r="A151" s="26" t="str">
        <v>Bogart</v>
      </c>
      <c r="B151" s="27" t="str">
        <v>NY</v>
      </c>
      <c r="C151" s="27" t="str">
        <f>Sites[[#This Row],[SOL'#]]</f>
        <v>SOL-10887</v>
      </c>
      <c r="D151" s="75"/>
      <c r="E151" s="14"/>
      <c r="F151" s="14"/>
      <c r="G151" s="77"/>
      <c r="H151" s="78"/>
      <c r="I151" s="78"/>
      <c r="J151" s="77"/>
      <c r="K151" s="38"/>
      <c r="L151" s="17"/>
    </row>
    <row r="152" spans="1:12" ht="15.6">
      <c r="A152" s="24" t="str">
        <v>Dubois</v>
      </c>
      <c r="B152" s="25" t="str">
        <v>NY</v>
      </c>
      <c r="C152" s="25" t="str">
        <f>Sites[[#This Row],[SOL'#]]</f>
        <v>SOL-10892</v>
      </c>
      <c r="D152" s="60"/>
      <c r="E152" s="10"/>
      <c r="F152" s="10"/>
      <c r="G152" s="61"/>
      <c r="H152" s="76"/>
      <c r="I152" s="76"/>
      <c r="J152" s="73"/>
      <c r="K152" s="63"/>
      <c r="L152" s="37"/>
    </row>
    <row r="153" spans="1:12" ht="15.6">
      <c r="A153" s="26" t="str">
        <v>Salt Point</v>
      </c>
      <c r="B153" s="27" t="str">
        <v>NY</v>
      </c>
      <c r="C153" s="27" t="str">
        <f>Sites[[#This Row],[SOL'#]]</f>
        <v>SOL-10888</v>
      </c>
      <c r="D153" s="75"/>
      <c r="E153" s="14"/>
      <c r="F153" s="14"/>
      <c r="G153" s="77"/>
      <c r="H153" s="78"/>
      <c r="I153" s="78"/>
      <c r="J153" s="77"/>
      <c r="K153" s="126"/>
      <c r="L153" s="17"/>
    </row>
    <row r="154" spans="1:12" ht="15.6">
      <c r="A154" s="24" t="str">
        <v>Wheatland 2A</v>
      </c>
      <c r="B154" s="25" t="str">
        <v>NY</v>
      </c>
      <c r="C154" s="25" t="str">
        <f>Sites[[#This Row],[SOL'#]]</f>
        <v>SOL-10971</v>
      </c>
      <c r="D154" s="60"/>
      <c r="E154" s="10"/>
      <c r="F154" s="10"/>
      <c r="G154" s="61"/>
      <c r="H154" s="76"/>
      <c r="I154" s="76"/>
      <c r="J154" s="73"/>
      <c r="K154" s="63"/>
      <c r="L154" s="37"/>
    </row>
    <row r="155" spans="1:12" ht="15.6">
      <c r="A155" s="26" t="str">
        <v>Wheatland 2B</v>
      </c>
      <c r="B155" s="27" t="str">
        <v>NY</v>
      </c>
      <c r="C155" s="27" t="str">
        <f>Sites[[#This Row],[SOL'#]]</f>
        <v>SOL-10961</v>
      </c>
      <c r="D155" s="75"/>
      <c r="E155" s="14"/>
      <c r="F155" s="14"/>
      <c r="G155" s="77"/>
      <c r="H155" s="78"/>
      <c r="I155" s="78"/>
      <c r="J155" s="77"/>
      <c r="K155" s="38"/>
      <c r="L155" s="17"/>
    </row>
    <row r="156" spans="1:12" ht="15.6">
      <c r="A156" s="24" t="str">
        <v>Brickchurch</v>
      </c>
      <c r="B156" s="25" t="str">
        <v>NY</v>
      </c>
      <c r="C156" s="25" t="str">
        <f>Sites[[#This Row],[SOL'#]]</f>
        <v>SOL-10889</v>
      </c>
      <c r="D156" s="60"/>
      <c r="E156" s="10"/>
      <c r="F156" s="10"/>
      <c r="G156" s="61"/>
      <c r="H156" s="76"/>
      <c r="I156" s="76"/>
      <c r="J156" s="73"/>
      <c r="K156" s="63"/>
      <c r="L156" s="37"/>
    </row>
    <row r="157" spans="1:12" ht="15.6">
      <c r="A157" s="26" t="str">
        <v>McCarthy Solar</v>
      </c>
      <c r="B157" s="27" t="str">
        <v>NY</v>
      </c>
      <c r="C157" s="27" t="str">
        <f>Sites[[#This Row],[SOL'#]]</f>
        <v>SOL-10992</v>
      </c>
      <c r="D157" s="75"/>
      <c r="E157" s="14"/>
      <c r="F157" s="14"/>
      <c r="G157" s="77"/>
      <c r="H157" s="78"/>
      <c r="I157" s="78"/>
      <c r="J157" s="77"/>
      <c r="K157" s="38"/>
      <c r="L157" s="17"/>
    </row>
    <row r="158" spans="1:12" ht="15.6">
      <c r="A158" s="24" t="str">
        <v>Costanza</v>
      </c>
      <c r="B158" s="25" t="str">
        <v>NY</v>
      </c>
      <c r="C158" s="25" t="str">
        <f>Sites[[#This Row],[SOL'#]]</f>
        <v>SOL-10907</v>
      </c>
      <c r="D158" s="60"/>
      <c r="E158" s="10"/>
      <c r="F158" s="10"/>
      <c r="G158" s="61"/>
      <c r="H158" s="76"/>
      <c r="I158" s="76"/>
      <c r="J158" s="73"/>
      <c r="K158" s="63"/>
      <c r="L158" s="37"/>
    </row>
    <row r="159" spans="1:12" ht="15.6">
      <c r="A159" s="26" t="str">
        <v>Lockenhurst Pond</v>
      </c>
      <c r="B159" s="27" t="str">
        <v>NY</v>
      </c>
      <c r="C159" s="27" t="str">
        <f>Sites[[#This Row],[SOL'#]]</f>
        <v>SOL-11000</v>
      </c>
      <c r="D159" s="75"/>
      <c r="E159" s="14"/>
      <c r="F159" s="14"/>
      <c r="G159" s="77"/>
      <c r="H159" s="78"/>
      <c r="I159" s="78"/>
      <c r="J159" s="77"/>
      <c r="K159" s="38"/>
      <c r="L159" s="17"/>
    </row>
    <row r="160" spans="1:12" ht="15.6">
      <c r="A160" s="24" t="str">
        <v>Drinkwater</v>
      </c>
      <c r="B160" s="25" t="str">
        <v>NY</v>
      </c>
      <c r="C160" s="25" t="str">
        <f>Sites[[#This Row],[SOL'#]]</f>
        <v>SOL-10896</v>
      </c>
      <c r="D160" s="60"/>
      <c r="E160" s="10"/>
      <c r="F160" s="10"/>
      <c r="G160" s="61"/>
      <c r="H160" s="76"/>
      <c r="I160" s="76"/>
      <c r="J160" s="73"/>
      <c r="K160" s="63"/>
      <c r="L160" s="37"/>
    </row>
    <row r="161" spans="1:12" ht="15.6">
      <c r="A161" s="26" t="str">
        <v>Altamont</v>
      </c>
      <c r="B161" s="27" t="str">
        <v>NY</v>
      </c>
      <c r="C161" s="27" t="s">
        <v>228</v>
      </c>
      <c r="D161" s="75"/>
      <c r="E161" s="14"/>
      <c r="F161" s="14"/>
      <c r="G161" s="77"/>
      <c r="H161" s="78"/>
      <c r="I161" s="78"/>
      <c r="J161" s="77"/>
      <c r="K161" s="38"/>
      <c r="L161" s="17"/>
    </row>
    <row r="162" spans="1:12" ht="15.6">
      <c r="A162" s="24" t="str">
        <v>Krumkill North</v>
      </c>
      <c r="B162" s="25" t="str">
        <v>NY</v>
      </c>
      <c r="C162" s="25" t="str">
        <f>Sites[[#This Row],[SOL'#]]</f>
        <v>SOL-11086</v>
      </c>
      <c r="D162" s="60"/>
      <c r="E162" s="10"/>
      <c r="F162" s="10"/>
      <c r="G162" s="61"/>
      <c r="H162" s="76"/>
      <c r="I162" s="76"/>
      <c r="J162" s="73"/>
      <c r="K162" s="63"/>
      <c r="L162" s="37"/>
    </row>
    <row r="163" spans="1:12" ht="15.6">
      <c r="A163" s="26" t="str">
        <v>Krumkill South</v>
      </c>
      <c r="B163" s="27" t="str">
        <v>NY</v>
      </c>
      <c r="C163" s="27" t="s">
        <v>469</v>
      </c>
      <c r="D163" s="75"/>
      <c r="E163" s="14"/>
      <c r="F163" s="14"/>
      <c r="G163" s="77"/>
      <c r="H163" s="78"/>
      <c r="I163" s="78"/>
      <c r="J163" s="77"/>
      <c r="K163" s="38"/>
      <c r="L163" s="17"/>
    </row>
    <row r="164" spans="1:12" ht="15.6">
      <c r="A164" s="24" t="str">
        <v>X092</v>
      </c>
      <c r="B164" s="25" t="str">
        <v>NY</v>
      </c>
      <c r="C164" s="25" t="str">
        <f>Sites[[#This Row],[SOL'#]]</f>
        <v>SOL-11189</v>
      </c>
      <c r="D164" s="60"/>
      <c r="E164" s="10"/>
      <c r="F164" s="10"/>
      <c r="G164" s="61"/>
      <c r="H164" s="76"/>
      <c r="I164" s="76"/>
      <c r="J164" s="73"/>
      <c r="K164" s="63"/>
      <c r="L164" s="37"/>
    </row>
    <row r="165" spans="1:12" ht="15.6">
      <c r="A165" s="26" t="str">
        <v>X093</v>
      </c>
      <c r="B165" s="27" t="str">
        <v>NY</v>
      </c>
      <c r="C165" s="27" t="s">
        <v>470</v>
      </c>
      <c r="D165" s="75"/>
      <c r="E165" s="14"/>
      <c r="F165" s="14"/>
      <c r="G165" s="77"/>
      <c r="H165" s="78"/>
      <c r="I165" s="78"/>
      <c r="J165" s="77"/>
      <c r="K165" s="38"/>
      <c r="L165" s="17"/>
    </row>
    <row r="166" spans="1:12" ht="15.6">
      <c r="A166" s="24" t="str">
        <v>X095</v>
      </c>
      <c r="B166" s="25" t="str">
        <v>NY</v>
      </c>
      <c r="C166" s="25" t="str">
        <f>Sites[[#This Row],[SOL'#]]</f>
        <v>SOL-10929</v>
      </c>
      <c r="D166" s="60"/>
      <c r="E166" s="10"/>
      <c r="F166" s="10"/>
      <c r="G166" s="61"/>
      <c r="H166" s="76"/>
      <c r="I166" s="76"/>
      <c r="J166" s="73"/>
      <c r="K166" s="63"/>
      <c r="L166" s="37"/>
    </row>
    <row r="167" spans="1:12" ht="15.6">
      <c r="A167" s="26" t="str">
        <v>X181</v>
      </c>
      <c r="B167" s="27" t="str">
        <v>NY</v>
      </c>
      <c r="C167" s="27" t="s">
        <v>471</v>
      </c>
      <c r="D167" s="75"/>
      <c r="E167" s="14"/>
      <c r="F167" s="14"/>
      <c r="G167" s="77"/>
      <c r="H167" s="78"/>
      <c r="I167" s="78"/>
      <c r="J167" s="77"/>
      <c r="K167" s="38"/>
      <c r="L167" s="17"/>
    </row>
    <row r="168" spans="1:12" ht="15.6">
      <c r="A168" s="24" t="str">
        <v>X415</v>
      </c>
      <c r="B168" s="25" t="str">
        <v>NY</v>
      </c>
      <c r="C168" s="25" t="str">
        <f>Sites[[#This Row],[SOL'#]]</f>
        <v>SOL-10429</v>
      </c>
      <c r="D168" s="60"/>
      <c r="E168" s="10"/>
      <c r="F168" s="10"/>
      <c r="G168" s="61"/>
      <c r="H168" s="76"/>
      <c r="I168" s="76"/>
      <c r="J168" s="73"/>
      <c r="K168" s="63"/>
      <c r="L168" s="37"/>
    </row>
    <row r="169" spans="1:12" ht="15.6">
      <c r="A169" s="26" t="str">
        <v>K198</v>
      </c>
      <c r="B169" s="27" t="str">
        <v>NY</v>
      </c>
      <c r="C169" s="27" t="s">
        <v>472</v>
      </c>
      <c r="D169" s="75"/>
      <c r="E169" s="14"/>
      <c r="F169" s="14"/>
      <c r="G169" s="77"/>
      <c r="H169" s="78"/>
      <c r="I169" s="78"/>
      <c r="J169" s="77"/>
      <c r="K169" s="38"/>
      <c r="L169" s="17"/>
    </row>
    <row r="170" spans="1:12" ht="15.6">
      <c r="A170" s="24" t="str">
        <v>K203</v>
      </c>
      <c r="B170" s="25" t="str">
        <v>NY</v>
      </c>
      <c r="C170" s="25" t="str">
        <f>Sites[[#This Row],[SOL'#]]</f>
        <v>SOL-11190</v>
      </c>
      <c r="D170" s="60"/>
      <c r="E170" s="10"/>
      <c r="F170" s="10"/>
      <c r="G170" s="61"/>
      <c r="H170" s="76"/>
      <c r="I170" s="76"/>
      <c r="J170" s="73"/>
      <c r="K170" s="63"/>
      <c r="L170" s="37"/>
    </row>
    <row r="171" spans="1:12" ht="15.6">
      <c r="A171" s="26" t="str">
        <v>K213</v>
      </c>
      <c r="B171" s="27" t="str">
        <v>NY</v>
      </c>
      <c r="C171" s="27" t="s">
        <v>473</v>
      </c>
      <c r="D171" s="75"/>
      <c r="E171" s="14"/>
      <c r="F171" s="14"/>
      <c r="G171" s="77"/>
      <c r="H171" s="78"/>
      <c r="I171" s="78"/>
      <c r="J171" s="77"/>
      <c r="K171" s="38"/>
      <c r="L171" s="17"/>
    </row>
    <row r="172" spans="1:12" ht="15.6">
      <c r="A172" s="24" t="str">
        <v>K217</v>
      </c>
      <c r="B172" s="25" t="str">
        <v>NY</v>
      </c>
      <c r="C172" s="25" t="str">
        <f>Sites[[#This Row],[SOL'#]]</f>
        <v>SOL-10933</v>
      </c>
      <c r="D172" s="60"/>
      <c r="E172" s="10"/>
      <c r="F172" s="10"/>
      <c r="G172" s="61"/>
      <c r="H172" s="76"/>
      <c r="I172" s="76"/>
      <c r="J172" s="73"/>
      <c r="K172" s="63"/>
      <c r="L172" s="37"/>
    </row>
    <row r="173" spans="1:12" ht="15.6">
      <c r="A173" s="26" t="str">
        <v>K307</v>
      </c>
      <c r="B173" s="27" t="str">
        <v>NY</v>
      </c>
      <c r="C173" s="27" t="s">
        <v>474</v>
      </c>
      <c r="D173" s="75"/>
      <c r="E173" s="14"/>
      <c r="F173" s="14"/>
      <c r="G173" s="77"/>
      <c r="H173" s="78"/>
      <c r="I173" s="78"/>
      <c r="J173" s="77"/>
      <c r="K173" s="38"/>
      <c r="L173" s="17"/>
    </row>
    <row r="174" spans="1:12" ht="15.6">
      <c r="A174" s="24" t="str">
        <v>K610</v>
      </c>
      <c r="B174" s="25" t="str">
        <v>NY</v>
      </c>
      <c r="C174" s="25" t="str">
        <f>Sites[[#This Row],[SOL'#]]</f>
        <v>SOL-11158</v>
      </c>
      <c r="D174" s="60"/>
      <c r="E174" s="10"/>
      <c r="F174" s="10"/>
      <c r="G174" s="61"/>
      <c r="H174" s="76"/>
      <c r="I174" s="76"/>
      <c r="J174" s="73"/>
      <c r="K174" s="63"/>
      <c r="L174" s="37"/>
    </row>
    <row r="175" spans="1:12" ht="15.6">
      <c r="A175" s="26" t="str">
        <v>M025</v>
      </c>
      <c r="B175" s="27" t="str">
        <v>NY</v>
      </c>
      <c r="C175" s="27" t="s">
        <v>475</v>
      </c>
      <c r="D175" s="75"/>
      <c r="E175" s="14"/>
      <c r="F175" s="14"/>
      <c r="G175" s="77"/>
      <c r="H175" s="78"/>
      <c r="I175" s="78"/>
      <c r="J175" s="77"/>
      <c r="K175" s="38"/>
      <c r="L175" s="17"/>
    </row>
    <row r="176" spans="1:12" ht="15.6">
      <c r="A176" s="24" t="str">
        <v>M028</v>
      </c>
      <c r="B176" s="25" t="str">
        <v>NY</v>
      </c>
      <c r="C176" s="25" t="str">
        <f>Sites[[#This Row],[SOL'#]]</f>
        <v>SOL-10381</v>
      </c>
      <c r="D176" s="60"/>
      <c r="E176" s="10"/>
      <c r="F176" s="10"/>
      <c r="G176" s="61"/>
      <c r="H176" s="76"/>
      <c r="I176" s="76"/>
      <c r="J176" s="73"/>
      <c r="K176" s="63"/>
      <c r="L176" s="37"/>
    </row>
    <row r="177" spans="1:12" ht="15.6">
      <c r="A177" s="26" t="str">
        <v>Q030</v>
      </c>
      <c r="B177" s="27" t="str">
        <v>NY</v>
      </c>
      <c r="C177" s="27" t="s">
        <v>476</v>
      </c>
      <c r="D177" s="75"/>
      <c r="E177" s="14"/>
      <c r="F177" s="14"/>
      <c r="G177" s="77"/>
      <c r="H177" s="78"/>
      <c r="I177" s="78"/>
      <c r="J177" s="77"/>
      <c r="K177" s="38"/>
      <c r="L177" s="17"/>
    </row>
    <row r="178" spans="1:12" ht="15.6">
      <c r="A178" s="24" t="str">
        <v>Q130</v>
      </c>
      <c r="B178" s="25" t="str">
        <v>NY</v>
      </c>
      <c r="C178" s="25" t="str">
        <f>Sites[[#This Row],[SOL'#]]</f>
        <v>SOL-10877</v>
      </c>
      <c r="D178" s="60"/>
      <c r="E178" s="10"/>
      <c r="F178" s="10"/>
      <c r="G178" s="61"/>
      <c r="H178" s="76"/>
      <c r="I178" s="76"/>
      <c r="J178" s="73"/>
      <c r="K178" s="63"/>
      <c r="L178" s="37"/>
    </row>
    <row r="179" spans="1:12" ht="15.6">
      <c r="A179" s="26" t="str">
        <v>Q196</v>
      </c>
      <c r="B179" s="27" t="str">
        <v>NY</v>
      </c>
      <c r="C179" s="27" t="s">
        <v>477</v>
      </c>
      <c r="D179" s="75"/>
      <c r="E179" s="14"/>
      <c r="F179" s="14"/>
      <c r="G179" s="77"/>
      <c r="H179" s="78"/>
      <c r="I179" s="78"/>
      <c r="J179" s="77"/>
      <c r="K179" s="38"/>
      <c r="L179" s="17"/>
    </row>
    <row r="180" spans="1:12" ht="15.6">
      <c r="A180" s="24" t="str">
        <v>Q220</v>
      </c>
      <c r="B180" s="25" t="str">
        <v>NY</v>
      </c>
      <c r="C180" s="25" t="str">
        <f>Sites[[#This Row],[SOL'#]]</f>
        <v>SOL-10873</v>
      </c>
      <c r="D180" s="60"/>
      <c r="E180" s="10"/>
      <c r="F180" s="10"/>
      <c r="G180" s="61"/>
      <c r="H180" s="76"/>
      <c r="I180" s="76"/>
      <c r="J180" s="73"/>
      <c r="K180" s="63"/>
      <c r="L180" s="37"/>
    </row>
    <row r="181" spans="1:12" ht="15.6">
      <c r="A181" s="26" t="str">
        <v>Q205</v>
      </c>
      <c r="B181" s="27" t="str">
        <v>NY</v>
      </c>
      <c r="C181" s="27" t="s">
        <v>478</v>
      </c>
      <c r="D181" s="75"/>
      <c r="E181" s="14"/>
      <c r="F181" s="14"/>
      <c r="G181" s="77"/>
      <c r="H181" s="78"/>
      <c r="I181" s="78"/>
      <c r="J181" s="77"/>
      <c r="K181" s="38"/>
      <c r="L181" s="17"/>
    </row>
    <row r="182" spans="1:12" ht="15.6">
      <c r="A182" s="24" t="str">
        <v>Q400</v>
      </c>
      <c r="B182" s="25" t="str">
        <v>NY</v>
      </c>
      <c r="C182" s="25" t="str">
        <f>Sites[[#This Row],[SOL'#]]</f>
        <v>SOL-10871</v>
      </c>
      <c r="D182" s="60"/>
      <c r="E182" s="10"/>
      <c r="F182" s="10"/>
      <c r="G182" s="61"/>
      <c r="H182" s="76"/>
      <c r="I182" s="76"/>
      <c r="J182" s="73"/>
      <c r="K182" s="63"/>
      <c r="L182" s="37"/>
    </row>
    <row r="183" spans="1:12" ht="15.6">
      <c r="A183" s="26" t="str">
        <v>R003</v>
      </c>
      <c r="B183" s="27" t="str">
        <v>NY</v>
      </c>
      <c r="C183" s="27" t="s">
        <v>479</v>
      </c>
      <c r="D183" s="75"/>
      <c r="E183" s="14"/>
      <c r="F183" s="14"/>
      <c r="G183" s="77"/>
      <c r="H183" s="78"/>
      <c r="I183" s="78"/>
      <c r="J183" s="77"/>
      <c r="K183" s="38"/>
      <c r="L183" s="17"/>
    </row>
    <row r="184" spans="1:12" ht="15.6">
      <c r="A184" s="24" t="str">
        <v>R007</v>
      </c>
      <c r="B184" s="25" t="str">
        <v>NY</v>
      </c>
      <c r="C184" s="25" t="str">
        <f>Sites[[#This Row],[SOL'#]]</f>
        <v>SOL-10417</v>
      </c>
      <c r="D184" s="60"/>
      <c r="E184" s="10"/>
      <c r="F184" s="10"/>
      <c r="G184" s="61"/>
      <c r="H184" s="76"/>
      <c r="I184" s="76"/>
      <c r="J184" s="73"/>
      <c r="K184" s="63"/>
      <c r="L184" s="37"/>
    </row>
    <row r="185" spans="1:12" ht="15.6">
      <c r="A185" s="26" t="str">
        <v>BK16</v>
      </c>
      <c r="B185" s="27" t="str">
        <v>NY</v>
      </c>
      <c r="C185" s="27" t="s">
        <v>480</v>
      </c>
      <c r="D185" s="75"/>
      <c r="E185" s="14"/>
      <c r="F185" s="14"/>
      <c r="G185" s="77"/>
      <c r="H185" s="78"/>
      <c r="I185" s="78"/>
      <c r="J185" s="77"/>
      <c r="K185" s="38"/>
      <c r="L185" s="17"/>
    </row>
    <row r="186" spans="1:12" ht="15.6">
      <c r="A186" s="24" t="str">
        <v>Trenton - Trenton East</v>
      </c>
      <c r="B186" s="25" t="str">
        <v>IL</v>
      </c>
      <c r="C186" s="25"/>
      <c r="D186" s="60"/>
      <c r="E186" s="10"/>
      <c r="F186" s="10"/>
      <c r="G186" s="61"/>
      <c r="H186" s="76"/>
      <c r="I186" s="76"/>
      <c r="J186" s="73"/>
      <c r="K186" s="63"/>
      <c r="L186" s="37"/>
    </row>
    <row r="187" spans="1:12" ht="15.6">
      <c r="A187" s="26" t="str">
        <v>Trenton - Trenton West</v>
      </c>
      <c r="B187" s="27" t="str">
        <v>IL</v>
      </c>
      <c r="C187" s="27"/>
      <c r="D187" s="75"/>
      <c r="E187" s="14"/>
      <c r="F187" s="14"/>
      <c r="G187" s="77"/>
      <c r="H187" s="78"/>
      <c r="I187" s="78"/>
      <c r="J187" s="77"/>
      <c r="K187" s="38"/>
      <c r="L187" s="17"/>
    </row>
    <row r="188" spans="1:12" ht="15.6">
      <c r="A188" s="24" t="str">
        <v>Dakota - Dakota Solar 1</v>
      </c>
      <c r="B188" s="25" t="str">
        <v>IL</v>
      </c>
      <c r="C188" s="25"/>
      <c r="D188" s="60"/>
      <c r="E188" s="10"/>
      <c r="F188" s="10"/>
      <c r="G188" s="61"/>
      <c r="H188" s="76"/>
      <c r="I188" s="76"/>
      <c r="J188" s="73"/>
      <c r="K188" s="63"/>
      <c r="L188" s="37"/>
    </row>
    <row r="189" spans="1:12" ht="15.6">
      <c r="A189" s="26" t="str">
        <v>X018</v>
      </c>
      <c r="B189" s="27" t="str">
        <v>NY</v>
      </c>
      <c r="C189" s="27"/>
      <c r="D189" s="75"/>
      <c r="E189" s="14"/>
      <c r="F189" s="14"/>
      <c r="G189" s="77"/>
      <c r="H189" s="78"/>
      <c r="I189" s="78"/>
      <c r="J189" s="77"/>
      <c r="K189" s="38"/>
      <c r="L189" s="17"/>
    </row>
    <row r="190" spans="1:12" ht="15.6">
      <c r="A190" s="24" t="str">
        <v>Janiak Solar</v>
      </c>
      <c r="B190" s="25" t="str">
        <v>NY</v>
      </c>
      <c r="C190" s="25"/>
      <c r="D190" s="60"/>
      <c r="E190" s="10"/>
      <c r="F190" s="10"/>
      <c r="G190" s="61"/>
      <c r="H190" s="76"/>
      <c r="I190" s="76"/>
      <c r="J190" s="73"/>
      <c r="K190" s="63"/>
      <c r="L190" s="37"/>
    </row>
    <row r="191" spans="1:12" ht="15.6">
      <c r="A191" s="26" t="str">
        <v>County Route 11B</v>
      </c>
      <c r="B191" s="27" t="str">
        <v>NY</v>
      </c>
      <c r="C191" s="27"/>
      <c r="D191" s="75"/>
      <c r="E191" s="14"/>
      <c r="F191" s="14"/>
      <c r="G191" s="77"/>
      <c r="H191" s="78"/>
      <c r="I191" s="78"/>
      <c r="J191" s="77"/>
      <c r="K191" s="38"/>
      <c r="L191" s="17"/>
    </row>
    <row r="192" spans="1:12" ht="15.6">
      <c r="A192" s="24" t="str">
        <v>Barone</v>
      </c>
      <c r="B192" s="25" t="str">
        <v>NY</v>
      </c>
      <c r="C192" s="25"/>
      <c r="D192" s="60"/>
      <c r="E192" s="10"/>
      <c r="F192" s="10"/>
      <c r="G192" s="61"/>
      <c r="H192" s="76"/>
      <c r="I192" s="76"/>
      <c r="J192" s="73"/>
      <c r="K192" s="63"/>
      <c r="L192" s="37"/>
    </row>
    <row r="193" spans="1:12" ht="15.6">
      <c r="A193" s="26" t="str">
        <v>Cedarville</v>
      </c>
      <c r="B193" s="27" t="str">
        <v>IL</v>
      </c>
      <c r="C193" s="27"/>
      <c r="D193" s="75"/>
      <c r="E193" s="14"/>
      <c r="F193" s="14"/>
      <c r="G193" s="77"/>
      <c r="H193" s="78"/>
      <c r="I193" s="78"/>
      <c r="J193" s="77"/>
      <c r="K193" s="38"/>
      <c r="L193" s="17"/>
    </row>
    <row r="194" spans="1:12" ht="15.6">
      <c r="A194" s="24" t="str">
        <v xml:space="preserve"> O'Brien Hill #1</v>
      </c>
      <c r="B194" s="25" t="str">
        <v>NY</v>
      </c>
      <c r="C194" s="25"/>
      <c r="D194" s="60"/>
      <c r="E194" s="10"/>
      <c r="F194" s="10"/>
      <c r="G194" s="61"/>
      <c r="H194" s="76"/>
      <c r="I194" s="76"/>
      <c r="J194" s="73"/>
      <c r="K194" s="63"/>
      <c r="L194" s="37"/>
    </row>
    <row r="195" spans="1:12" ht="15.6">
      <c r="A195" s="26" t="str">
        <v xml:space="preserve"> O'Brien Hill #2</v>
      </c>
      <c r="B195" s="27" t="str">
        <v>NY</v>
      </c>
      <c r="C195" s="27"/>
      <c r="D195" s="75"/>
      <c r="E195" s="14"/>
      <c r="F195" s="14"/>
      <c r="G195" s="77"/>
      <c r="H195" s="78"/>
      <c r="I195" s="78"/>
      <c r="J195" s="77"/>
      <c r="K195" s="38"/>
      <c r="L195" s="17"/>
    </row>
    <row r="196" spans="1:12" ht="15.6">
      <c r="A196" s="24" t="str">
        <v>Trinity - Freeport</v>
      </c>
      <c r="B196" s="25" t="str">
        <v>IL</v>
      </c>
      <c r="C196" s="25"/>
      <c r="D196" s="60"/>
      <c r="E196" s="10"/>
      <c r="F196" s="10"/>
      <c r="G196" s="61"/>
      <c r="H196" s="76"/>
      <c r="I196" s="76"/>
      <c r="J196" s="73"/>
      <c r="K196" s="63"/>
      <c r="L196" s="37"/>
    </row>
    <row r="197" spans="1:12" ht="15.6">
      <c r="A197" s="26" t="str">
        <v>Ransom</v>
      </c>
      <c r="B197" s="27" t="str">
        <v>NY</v>
      </c>
      <c r="C197" s="27"/>
      <c r="D197" s="75"/>
      <c r="E197" s="14"/>
      <c r="F197" s="14"/>
      <c r="G197" s="77"/>
      <c r="H197" s="78"/>
      <c r="I197" s="78"/>
      <c r="J197" s="77"/>
      <c r="K197" s="38"/>
      <c r="L197" s="17"/>
    </row>
    <row r="198" spans="1:12" ht="15.6">
      <c r="A198" s="24" t="str">
        <v>Horseheads - Wedge</v>
      </c>
      <c r="B198" s="25" t="str">
        <v>NY</v>
      </c>
      <c r="C198" s="25"/>
      <c r="D198" s="60"/>
      <c r="E198" s="10"/>
      <c r="F198" s="10"/>
      <c r="G198" s="61"/>
      <c r="H198" s="76"/>
      <c r="I198" s="76"/>
      <c r="J198" s="73"/>
      <c r="K198" s="63"/>
      <c r="L198" s="37"/>
    </row>
    <row r="199" spans="1:12" ht="15.6">
      <c r="A199" s="26" t="str">
        <v>Otisville - Shoddy Hollow</v>
      </c>
      <c r="B199" s="27" t="str">
        <v>NY</v>
      </c>
      <c r="C199" s="27"/>
      <c r="D199" s="75"/>
      <c r="E199" s="14"/>
      <c r="F199" s="14"/>
      <c r="G199" s="77"/>
      <c r="H199" s="78"/>
      <c r="I199" s="78"/>
      <c r="J199" s="77"/>
      <c r="K199" s="38"/>
      <c r="L199" s="17"/>
    </row>
    <row r="200" spans="1:12" ht="15.6">
      <c r="A200" s="24" t="str">
        <v>Wellsville - Chenunda Creek</v>
      </c>
      <c r="B200" s="25" t="str">
        <v>NY</v>
      </c>
      <c r="C200" s="25"/>
      <c r="D200" s="60"/>
      <c r="E200" s="10"/>
      <c r="F200" s="10"/>
      <c r="G200" s="61"/>
      <c r="H200" s="76"/>
      <c r="I200" s="76"/>
      <c r="J200" s="73"/>
      <c r="K200" s="63"/>
      <c r="L200" s="37"/>
    </row>
  </sheetData>
  <mergeCells count="4">
    <mergeCell ref="H1:J1"/>
    <mergeCell ref="A1:D1"/>
    <mergeCell ref="E1:G1"/>
    <mergeCell ref="A2:B2"/>
  </mergeCells>
  <phoneticPr fontId="40" type="noConversion"/>
  <conditionalFormatting sqref="G2 J2 G4:G186 J4:J186">
    <cfRule type="cellIs" dxfId="74" priority="35" stopIfTrue="1" operator="lessThanOrEqual">
      <formula>-0.1</formula>
    </cfRule>
    <cfRule type="expression" dxfId="73" priority="36">
      <formula>AND(ISNUMBER(G2), G2&gt;=0.1)</formula>
    </cfRule>
  </conditionalFormatting>
  <conditionalFormatting sqref="G187 J187">
    <cfRule type="cellIs" dxfId="72" priority="27" stopIfTrue="1" operator="lessThanOrEqual">
      <formula>-0.1</formula>
    </cfRule>
    <cfRule type="expression" dxfId="71" priority="28">
      <formula>AND(ISNUMBER(G187), G187&gt;=0.1)</formula>
    </cfRule>
  </conditionalFormatting>
  <conditionalFormatting sqref="G189 J189">
    <cfRule type="cellIs" dxfId="70" priority="25" stopIfTrue="1" operator="lessThanOrEqual">
      <formula>-0.1</formula>
    </cfRule>
    <cfRule type="expression" dxfId="69" priority="26">
      <formula>AND(ISNUMBER(G189), G189&gt;=0.1)</formula>
    </cfRule>
  </conditionalFormatting>
  <conditionalFormatting sqref="G191 J191">
    <cfRule type="cellIs" dxfId="68" priority="23" stopIfTrue="1" operator="lessThanOrEqual">
      <formula>-0.1</formula>
    </cfRule>
    <cfRule type="expression" dxfId="67" priority="24">
      <formula>AND(ISNUMBER(G191), G191&gt;=0.1)</formula>
    </cfRule>
  </conditionalFormatting>
  <conditionalFormatting sqref="G193 J193">
    <cfRule type="cellIs" dxfId="66" priority="21" stopIfTrue="1" operator="lessThanOrEqual">
      <formula>-0.1</formula>
    </cfRule>
    <cfRule type="expression" dxfId="65" priority="22">
      <formula>AND(ISNUMBER(G193), G193&gt;=0.1)</formula>
    </cfRule>
  </conditionalFormatting>
  <conditionalFormatting sqref="G195 J195">
    <cfRule type="cellIs" dxfId="64" priority="19" stopIfTrue="1" operator="lessThanOrEqual">
      <formula>-0.1</formula>
    </cfRule>
    <cfRule type="expression" dxfId="63" priority="20">
      <formula>AND(ISNUMBER(G195), G195&gt;=0.1)</formula>
    </cfRule>
  </conditionalFormatting>
  <conditionalFormatting sqref="G197 J197">
    <cfRule type="cellIs" dxfId="62" priority="17" stopIfTrue="1" operator="lessThanOrEqual">
      <formula>-0.1</formula>
    </cfRule>
    <cfRule type="expression" dxfId="61" priority="18">
      <formula>AND(ISNUMBER(G197), G197&gt;=0.1)</formula>
    </cfRule>
  </conditionalFormatting>
  <conditionalFormatting sqref="G199 J199">
    <cfRule type="cellIs" dxfId="60" priority="15" stopIfTrue="1" operator="lessThanOrEqual">
      <formula>-0.1</formula>
    </cfRule>
    <cfRule type="expression" dxfId="59" priority="16">
      <formula>AND(ISNUMBER(G199), G199&gt;=0.1)</formula>
    </cfRule>
  </conditionalFormatting>
  <conditionalFormatting sqref="G188 J188">
    <cfRule type="cellIs" dxfId="58" priority="13" stopIfTrue="1" operator="lessThanOrEqual">
      <formula>-0.1</formula>
    </cfRule>
    <cfRule type="expression" dxfId="57" priority="14">
      <formula>AND(ISNUMBER(G188), G188&gt;=0.1)</formula>
    </cfRule>
  </conditionalFormatting>
  <conditionalFormatting sqref="G190 J190">
    <cfRule type="cellIs" dxfId="56" priority="11" stopIfTrue="1" operator="lessThanOrEqual">
      <formula>-0.1</formula>
    </cfRule>
    <cfRule type="expression" dxfId="55" priority="12">
      <formula>AND(ISNUMBER(G190), G190&gt;=0.1)</formula>
    </cfRule>
  </conditionalFormatting>
  <conditionalFormatting sqref="G192 J192">
    <cfRule type="cellIs" dxfId="54" priority="9" stopIfTrue="1" operator="lessThanOrEqual">
      <formula>-0.1</formula>
    </cfRule>
    <cfRule type="expression" dxfId="53" priority="10">
      <formula>AND(ISNUMBER(G192), G192&gt;=0.1)</formula>
    </cfRule>
  </conditionalFormatting>
  <conditionalFormatting sqref="G194 J194">
    <cfRule type="cellIs" dxfId="52" priority="7" stopIfTrue="1" operator="lessThanOrEqual">
      <formula>-0.1</formula>
    </cfRule>
    <cfRule type="expression" dxfId="51" priority="8">
      <formula>AND(ISNUMBER(G194), G194&gt;=0.1)</formula>
    </cfRule>
  </conditionalFormatting>
  <conditionalFormatting sqref="G196 J196">
    <cfRule type="cellIs" dxfId="50" priority="5" stopIfTrue="1" operator="lessThanOrEqual">
      <formula>-0.1</formula>
    </cfRule>
    <cfRule type="expression" dxfId="49" priority="6">
      <formula>AND(ISNUMBER(G196), G196&gt;=0.1)</formula>
    </cfRule>
  </conditionalFormatting>
  <conditionalFormatting sqref="G198 J198">
    <cfRule type="cellIs" dxfId="48" priority="3" stopIfTrue="1" operator="lessThanOrEqual">
      <formula>-0.1</formula>
    </cfRule>
    <cfRule type="expression" dxfId="47" priority="4">
      <formula>AND(ISNUMBER(G198), G198&gt;=0.1)</formula>
    </cfRule>
  </conditionalFormatting>
  <conditionalFormatting sqref="G200 J200">
    <cfRule type="cellIs" dxfId="46" priority="1" stopIfTrue="1" operator="lessThanOrEqual">
      <formula>-0.1</formula>
    </cfRule>
    <cfRule type="expression" dxfId="45" priority="2">
      <formula>AND(ISNUMBER(G200), G200&gt;=0.1)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200"/>
  <sheetViews>
    <sheetView zoomScale="70" zoomScaleNormal="70" workbookViewId="0">
      <pane xSplit="2" ySplit="3" topLeftCell="C162" activePane="bottomRight" state="frozen"/>
      <selection pane="bottomRight" activeCell="A127" sqref="A127:XFD12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49" t="str" cm="1">
        <f t="array" ref="A1">portfolio</f>
        <v>Generate Capital</v>
      </c>
      <c r="B1" s="149"/>
      <c r="C1" s="149"/>
      <c r="D1" s="149"/>
      <c r="E1" s="150" t="s">
        <v>481</v>
      </c>
      <c r="F1" s="150"/>
      <c r="G1" s="150"/>
      <c r="H1" s="148" t="s">
        <v>482</v>
      </c>
      <c r="I1" s="148"/>
      <c r="J1" s="148"/>
      <c r="K1" s="4"/>
      <c r="L1" s="4"/>
    </row>
    <row r="2" spans="1:12" ht="19.5" customHeight="1">
      <c r="A2" s="151" t="s">
        <v>2</v>
      </c>
      <c r="B2" s="151"/>
      <c r="C2" s="65"/>
      <c r="D2" s="5">
        <f>SUM(D4:D160)</f>
        <v>0</v>
      </c>
      <c r="E2" s="5">
        <f>SUM(E4:E160)</f>
        <v>0</v>
      </c>
      <c r="F2" s="5">
        <f>D2-E2</f>
        <v>0</v>
      </c>
      <c r="G2" s="6">
        <f>IFERROR(F2/E2, 0)</f>
        <v>0</v>
      </c>
      <c r="H2" s="5">
        <f>SUM(H4:H160)</f>
        <v>0</v>
      </c>
      <c r="I2" s="7">
        <f>D2-H2</f>
        <v>0</v>
      </c>
      <c r="J2" s="6">
        <f>IFERROR(I2/H2, 0)</f>
        <v>0</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67"/>
      <c r="L5" s="67"/>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9"/>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67"/>
      <c r="L13" s="68"/>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si="3"/>
        <v/>
      </c>
      <c r="H18" s="12"/>
      <c r="I18" s="12" t="str">
        <f t="shared" si="1"/>
        <v/>
      </c>
      <c r="J18" s="73" t="str">
        <f t="shared" si="2"/>
        <v/>
      </c>
      <c r="K18" s="37"/>
      <c r="L18" s="37"/>
    </row>
    <row r="19" spans="1:12" ht="15.6">
      <c r="A19" s="26" t="str">
        <v>RCAB</v>
      </c>
      <c r="B19" s="27" t="str">
        <v>MA</v>
      </c>
      <c r="C19" s="27" t="str">
        <f>Sites[[#This Row],[SOL'#]]</f>
        <v>SOL-10838</v>
      </c>
      <c r="D19" s="9"/>
      <c r="E19" s="14"/>
      <c r="F19" s="14" t="str">
        <f t="shared" si="0"/>
        <v/>
      </c>
      <c r="G19" s="15" t="str">
        <f t="shared" si="3"/>
        <v/>
      </c>
      <c r="H19" s="16"/>
      <c r="I19" s="16" t="str">
        <f t="shared" si="1"/>
        <v/>
      </c>
      <c r="J19" s="15" t="str">
        <f t="shared" si="2"/>
        <v/>
      </c>
      <c r="K19" s="67"/>
      <c r="L19" s="70"/>
    </row>
    <row r="20" spans="1:12" ht="15.6">
      <c r="A20" s="24" t="str">
        <v>Spectro Coatings</v>
      </c>
      <c r="B20" s="25" t="str">
        <v>MA</v>
      </c>
      <c r="C20" s="25" t="str">
        <f>Sites[[#This Row],[SOL'#]]</f>
        <v>SOL-10074</v>
      </c>
      <c r="D20" s="20"/>
      <c r="E20" s="10"/>
      <c r="F20" s="10" t="str">
        <f t="shared" si="0"/>
        <v/>
      </c>
      <c r="G20" s="11" t="str">
        <f t="shared" si="3"/>
        <v/>
      </c>
      <c r="H20" s="12"/>
      <c r="I20" s="12" t="str">
        <f t="shared" si="1"/>
        <v/>
      </c>
      <c r="J20" s="73" t="str">
        <f t="shared" si="2"/>
        <v/>
      </c>
      <c r="K20" s="66"/>
      <c r="L20" s="66"/>
    </row>
    <row r="21" spans="1:12" ht="15.6">
      <c r="A21" s="26" t="str">
        <v>K026</v>
      </c>
      <c r="B21" s="27" t="str">
        <v>NY</v>
      </c>
      <c r="C21" s="27" t="str">
        <f>Sites[[#This Row],[SOL'#]]</f>
        <v>SOL-10356</v>
      </c>
      <c r="D21" s="9"/>
      <c r="E21" s="14"/>
      <c r="F21" s="14" t="str">
        <f t="shared" si="0"/>
        <v/>
      </c>
      <c r="G21" s="15" t="str">
        <f t="shared" si="3"/>
        <v/>
      </c>
      <c r="H21" s="16"/>
      <c r="I21" s="16" t="str">
        <f t="shared" si="1"/>
        <v/>
      </c>
      <c r="J21" s="15" t="str">
        <f t="shared" si="2"/>
        <v/>
      </c>
      <c r="K21" s="38"/>
      <c r="L21" s="39"/>
    </row>
    <row r="22" spans="1:12" ht="15.6">
      <c r="A22" s="24" t="str">
        <v>K041</v>
      </c>
      <c r="B22" s="25" t="str">
        <v>NY</v>
      </c>
      <c r="C22" s="25" t="str">
        <f>Sites[[#This Row],[SOL'#]]</f>
        <v>SOL-10357</v>
      </c>
      <c r="D22" s="20"/>
      <c r="E22" s="10"/>
      <c r="F22" s="10" t="str">
        <f t="shared" si="0"/>
        <v/>
      </c>
      <c r="G22" s="11" t="str">
        <f t="shared" si="3"/>
        <v/>
      </c>
      <c r="H22" s="12"/>
      <c r="I22" s="12" t="str">
        <f t="shared" si="1"/>
        <v/>
      </c>
      <c r="J22" s="73" t="str">
        <f t="shared" si="2"/>
        <v/>
      </c>
      <c r="K22" s="66"/>
      <c r="L22" s="66"/>
    </row>
    <row r="23" spans="1:12" ht="15.6">
      <c r="A23" s="26" t="str">
        <v>K043</v>
      </c>
      <c r="B23" s="27" t="str">
        <v>NY</v>
      </c>
      <c r="C23" s="27" t="str">
        <f>Sites[[#This Row],[SOL'#]]</f>
        <v>SOL-10358</v>
      </c>
      <c r="D23" s="9"/>
      <c r="E23" s="14"/>
      <c r="F23" s="14" t="str">
        <f t="shared" si="0"/>
        <v/>
      </c>
      <c r="G23" s="15" t="str">
        <f t="shared" si="3"/>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3"/>
        <v/>
      </c>
      <c r="H24" s="12"/>
      <c r="I24" s="12" t="str">
        <f t="shared" si="1"/>
        <v/>
      </c>
      <c r="J24" s="73" t="str">
        <f t="shared" si="2"/>
        <v/>
      </c>
      <c r="K24" s="37"/>
      <c r="L24" s="37"/>
    </row>
    <row r="25" spans="1:12" ht="15.6">
      <c r="A25" s="26" t="str">
        <v>K115</v>
      </c>
      <c r="B25" s="27" t="str">
        <v>NY</v>
      </c>
      <c r="C25" s="27" t="str">
        <f>Sites[[#This Row],[SOL'#]]</f>
        <v>SOL-10361</v>
      </c>
      <c r="D25" s="9"/>
      <c r="E25" s="14"/>
      <c r="F25" s="14" t="str">
        <f t="shared" si="0"/>
        <v/>
      </c>
      <c r="G25" s="15" t="str">
        <f t="shared" si="3"/>
        <v/>
      </c>
      <c r="H25" s="16"/>
      <c r="I25" s="16" t="str">
        <f t="shared" si="1"/>
        <v/>
      </c>
      <c r="J25" s="15" t="str">
        <f t="shared" si="2"/>
        <v/>
      </c>
      <c r="K25" s="69"/>
      <c r="L25" s="67"/>
    </row>
    <row r="26" spans="1:12" ht="15.6">
      <c r="A26" s="24" t="str">
        <v>K152</v>
      </c>
      <c r="B26" s="25" t="str">
        <v>NY</v>
      </c>
      <c r="C26" s="25" t="str">
        <f>Sites[[#This Row],[SOL'#]]</f>
        <v>SOL-10362</v>
      </c>
      <c r="D26" s="20"/>
      <c r="E26" s="10"/>
      <c r="F26" s="10" t="str">
        <f t="shared" si="0"/>
        <v/>
      </c>
      <c r="G26" s="11" t="str">
        <f t="shared" si="3"/>
        <v/>
      </c>
      <c r="H26" s="12"/>
      <c r="I26" s="12" t="str">
        <f t="shared" si="1"/>
        <v/>
      </c>
      <c r="J26" s="73" t="str">
        <f t="shared" si="2"/>
        <v/>
      </c>
      <c r="K26" s="37"/>
      <c r="L26" s="37"/>
    </row>
    <row r="27" spans="1:12" ht="15.6">
      <c r="A27" s="26" t="str">
        <v>K166</v>
      </c>
      <c r="B27" s="27" t="str">
        <v>NY</v>
      </c>
      <c r="C27" s="27" t="str">
        <f>Sites[[#This Row],[SOL'#]]</f>
        <v>SOL-10363</v>
      </c>
      <c r="D27" s="9"/>
      <c r="E27" s="14"/>
      <c r="F27" s="14" t="str">
        <f t="shared" si="0"/>
        <v/>
      </c>
      <c r="G27" s="15" t="str">
        <f t="shared" si="3"/>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3"/>
        <v/>
      </c>
      <c r="H28" s="12"/>
      <c r="I28" s="12" t="str">
        <f t="shared" si="1"/>
        <v/>
      </c>
      <c r="J28" s="73" t="str">
        <f t="shared" si="2"/>
        <v/>
      </c>
      <c r="K28" s="37"/>
      <c r="L28" s="37"/>
    </row>
    <row r="29" spans="1:12" ht="15.6">
      <c r="A29" s="26" t="str">
        <v>K251</v>
      </c>
      <c r="B29" s="27" t="str">
        <v>NY</v>
      </c>
      <c r="C29" s="27" t="str">
        <f>Sites[[#This Row],[SOL'#]]</f>
        <v>SOL-10365</v>
      </c>
      <c r="D29" s="9"/>
      <c r="E29" s="14"/>
      <c r="F29" s="14" t="str">
        <f t="shared" si="0"/>
        <v/>
      </c>
      <c r="G29" s="15" t="str">
        <f t="shared" si="3"/>
        <v/>
      </c>
      <c r="H29" s="16"/>
      <c r="I29" s="16" t="str">
        <f t="shared" si="1"/>
        <v/>
      </c>
      <c r="J29" s="15" t="str">
        <f t="shared" si="2"/>
        <v/>
      </c>
      <c r="K29" s="67"/>
      <c r="L29" s="67"/>
    </row>
    <row r="30" spans="1:12" ht="15.6">
      <c r="A30" s="24" t="str">
        <v>K269</v>
      </c>
      <c r="B30" s="25" t="str">
        <v>NY</v>
      </c>
      <c r="C30" s="25" t="str">
        <f>Sites[[#This Row],[SOL'#]]</f>
        <v>SOL-10366</v>
      </c>
      <c r="D30" s="20"/>
      <c r="E30" s="10"/>
      <c r="F30" s="10" t="str">
        <f t="shared" si="0"/>
        <v/>
      </c>
      <c r="G30" s="11" t="str">
        <f t="shared" si="3"/>
        <v/>
      </c>
      <c r="H30" s="12"/>
      <c r="I30" s="12" t="str">
        <f t="shared" si="1"/>
        <v/>
      </c>
      <c r="J30" s="73" t="str">
        <f t="shared" si="2"/>
        <v/>
      </c>
      <c r="K30" s="37"/>
      <c r="L30" s="37"/>
    </row>
    <row r="31" spans="1:12" ht="15.6">
      <c r="A31" s="26" t="str">
        <v>K273</v>
      </c>
      <c r="B31" s="27" t="str">
        <v>NY</v>
      </c>
      <c r="C31" s="27" t="str">
        <f>Sites[[#This Row],[SOL'#]]</f>
        <v>SOL-10367</v>
      </c>
      <c r="D31" s="9"/>
      <c r="E31" s="14"/>
      <c r="F31" s="14" t="str">
        <f t="shared" si="0"/>
        <v/>
      </c>
      <c r="G31" s="15" t="str">
        <f t="shared" si="3"/>
        <v/>
      </c>
      <c r="H31" s="16"/>
      <c r="I31" s="16" t="str">
        <f t="shared" si="1"/>
        <v/>
      </c>
      <c r="J31" s="15" t="str">
        <f t="shared" si="2"/>
        <v/>
      </c>
      <c r="K31" s="67"/>
      <c r="L31" s="68"/>
    </row>
    <row r="32" spans="1:12" ht="15.6">
      <c r="A32" s="24" t="str">
        <v>K287</v>
      </c>
      <c r="B32" s="25" t="str">
        <v>NY</v>
      </c>
      <c r="C32" s="25" t="str">
        <f>Sites[[#This Row],[SOL'#]]</f>
        <v>SOL-10919</v>
      </c>
      <c r="D32" s="20"/>
      <c r="E32" s="10"/>
      <c r="F32" s="10" t="str">
        <f t="shared" si="0"/>
        <v/>
      </c>
      <c r="G32" s="11" t="str">
        <f t="shared" si="3"/>
        <v/>
      </c>
      <c r="H32" s="12"/>
      <c r="I32" s="12" t="str">
        <f t="shared" si="1"/>
        <v/>
      </c>
      <c r="J32" s="73" t="str">
        <f t="shared" si="2"/>
        <v/>
      </c>
      <c r="K32" s="37"/>
      <c r="L32" s="37"/>
    </row>
    <row r="33" spans="1:12" ht="15.6">
      <c r="A33" s="26" t="str">
        <v>K298</v>
      </c>
      <c r="B33" s="27" t="str">
        <v>NY</v>
      </c>
      <c r="C33" s="27" t="str">
        <f>Sites[[#This Row],[SOL'#]]</f>
        <v>SOL-10368</v>
      </c>
      <c r="D33" s="9"/>
      <c r="E33" s="14"/>
      <c r="F33" s="14" t="str">
        <f t="shared" si="0"/>
        <v/>
      </c>
      <c r="G33" s="15" t="str">
        <f t="shared" si="3"/>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3"/>
        <v/>
      </c>
      <c r="H34" s="12"/>
      <c r="I34" s="12" t="str">
        <f t="shared" si="1"/>
        <v/>
      </c>
      <c r="J34" s="73" t="str">
        <f t="shared" si="2"/>
        <v/>
      </c>
      <c r="K34" s="66"/>
      <c r="L34" s="66"/>
    </row>
    <row r="35" spans="1:12" ht="15.6">
      <c r="A35" s="26" t="str">
        <v>K345</v>
      </c>
      <c r="B35" s="27" t="str">
        <v>NY</v>
      </c>
      <c r="C35" s="27" t="str">
        <f>Sites[[#This Row],[SOL'#]]</f>
        <v>SOL-10920</v>
      </c>
      <c r="D35" s="9"/>
      <c r="E35" s="14"/>
      <c r="F35" s="14" t="str">
        <f t="shared" si="0"/>
        <v/>
      </c>
      <c r="G35" s="15" t="str">
        <f t="shared" si="3"/>
        <v/>
      </c>
      <c r="H35" s="16"/>
      <c r="I35" s="16" t="str">
        <f t="shared" si="1"/>
        <v/>
      </c>
      <c r="J35" s="15" t="str">
        <f t="shared" si="2"/>
        <v/>
      </c>
      <c r="K35" s="67"/>
      <c r="L35" s="68"/>
    </row>
    <row r="36" spans="1:12" ht="15.6">
      <c r="A36" s="24" t="str">
        <v>K445</v>
      </c>
      <c r="B36" s="25" t="str">
        <v>NY</v>
      </c>
      <c r="C36" s="25" t="str">
        <f>Sites[[#This Row],[SOL'#]]</f>
        <v>SOL-10373</v>
      </c>
      <c r="D36" s="20"/>
      <c r="E36" s="10"/>
      <c r="F36" s="10" t="str">
        <f t="shared" si="0"/>
        <v/>
      </c>
      <c r="G36" s="11" t="str">
        <f t="shared" si="3"/>
        <v/>
      </c>
      <c r="H36" s="12"/>
      <c r="I36" s="12" t="str">
        <f t="shared" si="1"/>
        <v/>
      </c>
      <c r="J36" s="73" t="str">
        <f t="shared" si="2"/>
        <v/>
      </c>
      <c r="K36" s="37"/>
      <c r="L36" s="37"/>
    </row>
    <row r="37" spans="1:12" ht="15.6">
      <c r="A37" s="26" t="str">
        <v>K495</v>
      </c>
      <c r="B37" s="27" t="str">
        <v>NY</v>
      </c>
      <c r="C37" s="27" t="str">
        <f>Sites[[#This Row],[SOL'#]]</f>
        <v>SOL-10374</v>
      </c>
      <c r="D37" s="9"/>
      <c r="E37" s="14"/>
      <c r="F37" s="14" t="str">
        <f t="shared" si="0"/>
        <v/>
      </c>
      <c r="G37" s="15" t="str">
        <f t="shared" si="3"/>
        <v/>
      </c>
      <c r="H37" s="16"/>
      <c r="I37" s="16" t="str">
        <f t="shared" si="1"/>
        <v/>
      </c>
      <c r="J37" s="15" t="str">
        <f t="shared" si="2"/>
        <v/>
      </c>
      <c r="K37" s="38"/>
      <c r="L37" s="39"/>
    </row>
    <row r="38" spans="1:12" ht="15.6">
      <c r="A38" s="24" t="str">
        <v>M020</v>
      </c>
      <c r="B38" s="25" t="str">
        <v>NY</v>
      </c>
      <c r="C38" s="25" t="str">
        <f>Sites[[#This Row],[SOL'#]]</f>
        <v>SOL-10380</v>
      </c>
      <c r="D38" s="20"/>
      <c r="E38" s="10"/>
      <c r="F38" s="10" t="str">
        <f t="shared" si="0"/>
        <v/>
      </c>
      <c r="G38" s="11" t="str">
        <f t="shared" si="3"/>
        <v/>
      </c>
      <c r="H38" s="12"/>
      <c r="I38" s="12" t="str">
        <f t="shared" si="1"/>
        <v/>
      </c>
      <c r="J38" s="73" t="str">
        <f t="shared" si="2"/>
        <v/>
      </c>
      <c r="K38" s="37"/>
      <c r="L38" s="37"/>
    </row>
    <row r="39" spans="1:12" ht="15.6">
      <c r="A39" s="26" t="str">
        <v>M092</v>
      </c>
      <c r="B39" s="27" t="str">
        <v>NY</v>
      </c>
      <c r="C39" s="27" t="str">
        <f>Sites[[#This Row],[SOL'#]]</f>
        <v>SOL-10383</v>
      </c>
      <c r="D39" s="9"/>
      <c r="E39" s="14"/>
      <c r="F39" s="14" t="str">
        <f t="shared" si="0"/>
        <v/>
      </c>
      <c r="G39" s="15" t="str">
        <f t="shared" si="3"/>
        <v/>
      </c>
      <c r="H39" s="16"/>
      <c r="I39" s="16" t="str">
        <f t="shared" si="1"/>
        <v/>
      </c>
      <c r="J39" s="15" t="str">
        <f t="shared" si="2"/>
        <v/>
      </c>
      <c r="K39" s="38"/>
      <c r="L39" s="39"/>
    </row>
    <row r="40" spans="1:12" ht="15.6">
      <c r="A40" s="24" t="str">
        <v>M143</v>
      </c>
      <c r="B40" s="25" t="str">
        <v>NY</v>
      </c>
      <c r="C40" s="25" t="str">
        <f>Sites[[#This Row],[SOL'#]]</f>
        <v>SOL-10384</v>
      </c>
      <c r="D40" s="20"/>
      <c r="E40" s="10"/>
      <c r="F40" s="10" t="str">
        <f t="shared" si="0"/>
        <v/>
      </c>
      <c r="G40" s="11" t="str">
        <f t="shared" si="3"/>
        <v/>
      </c>
      <c r="H40" s="12"/>
      <c r="I40" s="12" t="str">
        <f t="shared" si="1"/>
        <v/>
      </c>
      <c r="J40" s="73" t="str">
        <f t="shared" si="2"/>
        <v/>
      </c>
      <c r="K40" s="37"/>
      <c r="L40" s="37"/>
    </row>
    <row r="41" spans="1:12" ht="15.6">
      <c r="A41" s="26" t="str">
        <v>M144</v>
      </c>
      <c r="B41" s="27" t="str">
        <v>NY</v>
      </c>
      <c r="C41" s="27"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73" t="str">
        <f t="shared" si="2"/>
        <v/>
      </c>
      <c r="K42" s="66"/>
      <c r="L42" s="66"/>
    </row>
    <row r="43" spans="1:12" ht="15.6">
      <c r="A43" s="26" t="str">
        <v>M188</v>
      </c>
      <c r="B43" s="27" t="str">
        <v>NY</v>
      </c>
      <c r="C43" s="27" t="str">
        <f>Sites[[#This Row],[SOL'#]]</f>
        <v>SOL-10387</v>
      </c>
      <c r="D43" s="9"/>
      <c r="E43" s="14"/>
      <c r="F43" s="14" t="str">
        <f t="shared" si="0"/>
        <v/>
      </c>
      <c r="G43" s="15" t="str">
        <f t="shared" si="3"/>
        <v/>
      </c>
      <c r="H43" s="16"/>
      <c r="I43" s="16" t="str">
        <f t="shared" si="1"/>
        <v/>
      </c>
      <c r="J43" s="15" t="str">
        <f t="shared" si="2"/>
        <v/>
      </c>
      <c r="K43" s="38"/>
      <c r="L43" s="39"/>
    </row>
    <row r="44" spans="1:12" ht="15.6">
      <c r="A44" s="24" t="str">
        <v>EMHC</v>
      </c>
      <c r="B44" s="25" t="str">
        <v>NY</v>
      </c>
      <c r="C44" s="25" t="str">
        <f>Sites[[#This Row],[SOL'#]]</f>
        <v>SOL-10351</v>
      </c>
      <c r="D44" s="20"/>
      <c r="E44" s="10"/>
      <c r="F44" s="10" t="str">
        <f t="shared" si="0"/>
        <v/>
      </c>
      <c r="G44" s="11" t="str">
        <f t="shared" si="3"/>
        <v/>
      </c>
      <c r="H44" s="12"/>
      <c r="I44" s="12" t="str">
        <f t="shared" si="1"/>
        <v/>
      </c>
      <c r="J44" s="73" t="str">
        <f t="shared" si="2"/>
        <v/>
      </c>
      <c r="K44" s="37"/>
      <c r="L44" s="37"/>
    </row>
    <row r="45" spans="1:12" ht="15.6">
      <c r="A45" s="26" t="str">
        <v>Q008</v>
      </c>
      <c r="B45" s="27" t="str">
        <v>NY</v>
      </c>
      <c r="C45" s="27" t="str">
        <f>Sites[[#This Row],[SOL'#]]</f>
        <v>SOL-10397</v>
      </c>
      <c r="D45" s="9"/>
      <c r="E45" s="14"/>
      <c r="F45" s="14" t="str">
        <f t="shared" si="0"/>
        <v/>
      </c>
      <c r="G45" s="15" t="str">
        <f t="shared" si="3"/>
        <v/>
      </c>
      <c r="H45" s="16"/>
      <c r="I45" s="16" t="str">
        <f t="shared" si="1"/>
        <v/>
      </c>
      <c r="J45" s="15" t="str">
        <f t="shared" si="2"/>
        <v/>
      </c>
      <c r="K45" s="38"/>
      <c r="L45" s="39"/>
    </row>
    <row r="46" spans="1:12" ht="15.6">
      <c r="A46" s="24" t="str">
        <v>Q018</v>
      </c>
      <c r="B46" s="25" t="str">
        <v>NY</v>
      </c>
      <c r="C46" s="25" t="str">
        <f>Sites[[#This Row],[SOL'#]]</f>
        <v>SOL-10398</v>
      </c>
      <c r="D46" s="20"/>
      <c r="E46" s="10"/>
      <c r="F46" s="10" t="str">
        <f t="shared" si="0"/>
        <v/>
      </c>
      <c r="G46" s="11" t="str">
        <f t="shared" si="3"/>
        <v/>
      </c>
      <c r="H46" s="12"/>
      <c r="I46" s="12" t="str">
        <f t="shared" si="1"/>
        <v/>
      </c>
      <c r="J46" s="73" t="str">
        <f t="shared" si="2"/>
        <v/>
      </c>
      <c r="K46" s="37"/>
      <c r="L46" s="37"/>
    </row>
    <row r="47" spans="1:12" ht="15.6">
      <c r="A47" s="26" t="str">
        <v>Q021</v>
      </c>
      <c r="B47" s="27" t="str">
        <v>NY</v>
      </c>
      <c r="C47" s="27" t="str">
        <f>Sites[[#This Row],[SOL'#]]</f>
        <v>SOL-10399</v>
      </c>
      <c r="D47" s="9"/>
      <c r="E47" s="14"/>
      <c r="F47" s="14" t="str">
        <f t="shared" si="0"/>
        <v/>
      </c>
      <c r="G47" s="15" t="str">
        <f t="shared" si="3"/>
        <v/>
      </c>
      <c r="H47" s="16"/>
      <c r="I47" s="16" t="str">
        <f t="shared" si="1"/>
        <v/>
      </c>
      <c r="J47" s="15" t="str">
        <f t="shared" si="2"/>
        <v/>
      </c>
      <c r="K47" s="38"/>
      <c r="L47" s="39"/>
    </row>
    <row r="48" spans="1:12" ht="15.6">
      <c r="A48" s="24" t="str">
        <v>Q025</v>
      </c>
      <c r="B48" s="25" t="str">
        <v>NY</v>
      </c>
      <c r="C48" s="25" t="str">
        <f>Sites[[#This Row],[SOL'#]]</f>
        <v>SOL-10400</v>
      </c>
      <c r="D48" s="20"/>
      <c r="E48" s="10"/>
      <c r="F48" s="10" t="str">
        <f t="shared" si="0"/>
        <v/>
      </c>
      <c r="G48" s="11" t="str">
        <f t="shared" si="3"/>
        <v/>
      </c>
      <c r="H48" s="12"/>
      <c r="I48" s="12" t="str">
        <f t="shared" si="1"/>
        <v/>
      </c>
      <c r="J48" s="73" t="str">
        <f t="shared" si="2"/>
        <v/>
      </c>
      <c r="K48" s="66"/>
      <c r="L48" s="66"/>
    </row>
    <row r="49" spans="1:12" ht="15.6">
      <c r="A49" s="26" t="str">
        <v>Q074</v>
      </c>
      <c r="B49" s="27" t="str">
        <v>NY</v>
      </c>
      <c r="C49" s="27" t="str">
        <f>Sites[[#This Row],[SOL'#]]</f>
        <v>SOL-10402</v>
      </c>
      <c r="D49" s="9"/>
      <c r="E49" s="14"/>
      <c r="F49" s="14" t="str">
        <f t="shared" si="0"/>
        <v/>
      </c>
      <c r="G49" s="15" t="str">
        <f t="shared" si="3"/>
        <v/>
      </c>
      <c r="H49" s="16"/>
      <c r="I49" s="16" t="str">
        <f t="shared" si="1"/>
        <v/>
      </c>
      <c r="J49" s="15" t="str">
        <f t="shared" si="2"/>
        <v/>
      </c>
      <c r="K49" s="38"/>
      <c r="L49" s="39"/>
    </row>
    <row r="50" spans="1:12" ht="15.6">
      <c r="A50" s="24" t="str">
        <v>Q115</v>
      </c>
      <c r="B50" s="25" t="str">
        <v>NY</v>
      </c>
      <c r="C50" s="25" t="str">
        <f>Sites[[#This Row],[SOL'#]]</f>
        <v>SOL-10872</v>
      </c>
      <c r="D50" s="20"/>
      <c r="E50" s="10"/>
      <c r="F50" s="10" t="str">
        <f t="shared" si="0"/>
        <v/>
      </c>
      <c r="G50" s="11" t="str">
        <f t="shared" si="3"/>
        <v/>
      </c>
      <c r="H50" s="12"/>
      <c r="I50" s="12" t="str">
        <f t="shared" si="1"/>
        <v/>
      </c>
      <c r="J50" s="73" t="str">
        <f t="shared" si="2"/>
        <v/>
      </c>
      <c r="K50" s="37"/>
      <c r="L50" s="37"/>
    </row>
    <row r="51" spans="1:12" ht="15.6">
      <c r="A51" s="26" t="str">
        <v>Q139</v>
      </c>
      <c r="B51" s="27" t="str">
        <v>NY</v>
      </c>
      <c r="C51" s="27" t="str">
        <f>Sites[[#This Row],[SOL'#]]</f>
        <v>SOL-10403</v>
      </c>
      <c r="D51" s="9"/>
      <c r="E51" s="14"/>
      <c r="F51" s="14" t="str">
        <f t="shared" si="0"/>
        <v/>
      </c>
      <c r="G51" s="15" t="str">
        <f t="shared" si="3"/>
        <v/>
      </c>
      <c r="H51" s="16"/>
      <c r="I51" s="16" t="str">
        <f t="shared" si="1"/>
        <v/>
      </c>
      <c r="J51" s="15" t="str">
        <f t="shared" si="2"/>
        <v/>
      </c>
      <c r="K51" s="38"/>
      <c r="L51" s="39"/>
    </row>
    <row r="52" spans="1:12" ht="15.6">
      <c r="A52" s="24" t="str">
        <v>Q157</v>
      </c>
      <c r="B52" s="25" t="str">
        <v>NY</v>
      </c>
      <c r="C52" s="25" t="str">
        <f>Sites[[#This Row],[SOL'#]]</f>
        <v>SOL-10404</v>
      </c>
      <c r="D52" s="20"/>
      <c r="E52" s="10"/>
      <c r="F52" s="10" t="str">
        <f t="shared" si="0"/>
        <v/>
      </c>
      <c r="G52" s="11" t="str">
        <f t="shared" si="3"/>
        <v/>
      </c>
      <c r="H52" s="12"/>
      <c r="I52" s="12" t="str">
        <f t="shared" si="1"/>
        <v/>
      </c>
      <c r="J52" s="73" t="str">
        <f t="shared" si="2"/>
        <v/>
      </c>
      <c r="K52" s="37"/>
      <c r="L52" s="37"/>
    </row>
    <row r="53" spans="1:12" ht="15.6">
      <c r="A53" s="26" t="str">
        <v>Q192</v>
      </c>
      <c r="B53" s="27" t="str">
        <v>NY</v>
      </c>
      <c r="C53" s="27"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73" t="str">
        <f t="shared" si="2"/>
        <v/>
      </c>
      <c r="K54" s="66"/>
      <c r="L54" s="66"/>
    </row>
    <row r="55" spans="1:12" ht="15.6">
      <c r="A55" s="26" t="str">
        <v>Q229</v>
      </c>
      <c r="B55" s="27" t="str">
        <v>NY</v>
      </c>
      <c r="C55" s="27" t="str">
        <f>Sites[[#This Row],[SOL'#]]</f>
        <v>SOL-10408</v>
      </c>
      <c r="D55" s="9"/>
      <c r="E55" s="14"/>
      <c r="F55" s="14" t="str">
        <f t="shared" si="0"/>
        <v/>
      </c>
      <c r="G55" s="15" t="str">
        <f t="shared" si="3"/>
        <v/>
      </c>
      <c r="H55" s="16"/>
      <c r="I55" s="16" t="str">
        <f t="shared" si="1"/>
        <v/>
      </c>
      <c r="J55" s="15" t="str">
        <f t="shared" si="2"/>
        <v/>
      </c>
      <c r="K55" s="38"/>
      <c r="L55" s="39"/>
    </row>
    <row r="56" spans="1:12" ht="15.6">
      <c r="A56" s="24" t="str">
        <v>Q231</v>
      </c>
      <c r="B56" s="25" t="str">
        <v>NY</v>
      </c>
      <c r="C56" s="25" t="str">
        <f>Sites[[#This Row],[SOL'#]]</f>
        <v>SOL-10870</v>
      </c>
      <c r="D56" s="20"/>
      <c r="E56" s="10"/>
      <c r="F56" s="10" t="str">
        <f t="shared" si="0"/>
        <v/>
      </c>
      <c r="G56" s="11" t="str">
        <f t="shared" si="3"/>
        <v/>
      </c>
      <c r="H56" s="12"/>
      <c r="I56" s="12" t="str">
        <f t="shared" si="1"/>
        <v/>
      </c>
      <c r="J56" s="73" t="str">
        <f t="shared" si="2"/>
        <v/>
      </c>
      <c r="K56" s="37"/>
      <c r="L56" s="37"/>
    </row>
    <row r="57" spans="1:12" ht="15.6">
      <c r="A57" s="26" t="str">
        <v>Q405</v>
      </c>
      <c r="B57" s="27" t="str">
        <v>NY</v>
      </c>
      <c r="C57" s="27" t="str">
        <f>Sites[[#This Row],[SOL'#]]</f>
        <v>SOL-10409</v>
      </c>
      <c r="D57" s="9"/>
      <c r="E57" s="14"/>
      <c r="F57" s="14" t="str">
        <f t="shared" si="0"/>
        <v/>
      </c>
      <c r="G57" s="15" t="str">
        <f t="shared" si="3"/>
        <v/>
      </c>
      <c r="H57" s="16"/>
      <c r="I57" s="16" t="str">
        <f t="shared" si="1"/>
        <v/>
      </c>
      <c r="J57" s="15" t="str">
        <f t="shared" si="2"/>
        <v/>
      </c>
      <c r="K57" s="67"/>
      <c r="L57" s="68"/>
    </row>
    <row r="58" spans="1:12" ht="15.6">
      <c r="A58" s="24" t="str">
        <v>Q435</v>
      </c>
      <c r="B58" s="25" t="str">
        <v>NY</v>
      </c>
      <c r="C58" s="25" t="str">
        <f>Sites[[#This Row],[SOL'#]]</f>
        <v>SOL-10923</v>
      </c>
      <c r="D58" s="20"/>
      <c r="E58" s="10"/>
      <c r="F58" s="10" t="str">
        <f t="shared" si="0"/>
        <v/>
      </c>
      <c r="G58" s="11" t="str">
        <f t="shared" si="3"/>
        <v/>
      </c>
      <c r="H58" s="12"/>
      <c r="I58" s="12" t="str">
        <f t="shared" si="1"/>
        <v/>
      </c>
      <c r="J58" s="73" t="str">
        <f t="shared" si="2"/>
        <v/>
      </c>
      <c r="K58" s="37"/>
      <c r="L58" s="37"/>
    </row>
    <row r="59" spans="1:12" ht="15.6">
      <c r="A59" s="26" t="str">
        <v>Q485</v>
      </c>
      <c r="B59" s="27" t="str">
        <v>NY</v>
      </c>
      <c r="C59" s="27" t="str">
        <f>Sites[[#This Row],[SOL'#]]</f>
        <v>SOL-10869</v>
      </c>
      <c r="D59" s="9"/>
      <c r="E59" s="14"/>
      <c r="F59" s="14" t="str">
        <f t="shared" si="0"/>
        <v/>
      </c>
      <c r="G59" s="15" t="str">
        <f t="shared" si="3"/>
        <v/>
      </c>
      <c r="H59" s="16"/>
      <c r="I59" s="16" t="str">
        <f t="shared" si="1"/>
        <v/>
      </c>
      <c r="J59" s="15" t="str">
        <f t="shared" si="2"/>
        <v/>
      </c>
      <c r="K59" s="67"/>
      <c r="L59" s="39"/>
    </row>
    <row r="60" spans="1:12" ht="15.6">
      <c r="A60" s="24" t="str">
        <v>Q490</v>
      </c>
      <c r="B60" s="25" t="str">
        <v>NY</v>
      </c>
      <c r="C60" s="25" t="str">
        <f>Sites[[#This Row],[SOL'#]]</f>
        <v>SOL-10411</v>
      </c>
      <c r="D60" s="20"/>
      <c r="E60" s="10"/>
      <c r="F60" s="10" t="str">
        <f t="shared" si="0"/>
        <v/>
      </c>
      <c r="G60" s="11" t="str">
        <f t="shared" si="3"/>
        <v/>
      </c>
      <c r="H60" s="12"/>
      <c r="I60" s="12" t="str">
        <f t="shared" si="1"/>
        <v/>
      </c>
      <c r="J60" s="73" t="str">
        <f t="shared" si="2"/>
        <v/>
      </c>
      <c r="K60" s="37"/>
      <c r="L60" s="37"/>
    </row>
    <row r="61" spans="1:12" ht="15.6">
      <c r="A61" s="26" t="str">
        <v>Q620</v>
      </c>
      <c r="B61" s="27" t="str">
        <v>NY</v>
      </c>
      <c r="C61" s="27" t="str">
        <f>Sites[[#This Row],[SOL'#]]</f>
        <v>SOL-10867</v>
      </c>
      <c r="D61" s="9"/>
      <c r="E61" s="14"/>
      <c r="F61" s="14" t="str">
        <f t="shared" si="0"/>
        <v/>
      </c>
      <c r="G61" s="15" t="str">
        <f t="shared" si="3"/>
        <v/>
      </c>
      <c r="H61" s="16"/>
      <c r="I61" s="16" t="str">
        <f t="shared" si="1"/>
        <v/>
      </c>
      <c r="J61" s="15" t="str">
        <f t="shared" si="2"/>
        <v/>
      </c>
      <c r="K61" s="38"/>
      <c r="L61" s="39"/>
    </row>
    <row r="62" spans="1:12" ht="15.6">
      <c r="A62" s="24" t="str">
        <v>QMOA</v>
      </c>
      <c r="B62" s="25" t="str">
        <v>NY</v>
      </c>
      <c r="C62" s="25" t="str">
        <f>Sites[[#This Row],[SOL'#]]</f>
        <v>SOL-10415</v>
      </c>
      <c r="D62" s="20"/>
      <c r="E62" s="10"/>
      <c r="F62" s="10" t="str">
        <f t="shared" si="0"/>
        <v/>
      </c>
      <c r="G62" s="11" t="str">
        <f t="shared" si="3"/>
        <v/>
      </c>
      <c r="H62" s="12"/>
      <c r="I62" s="12" t="str">
        <f t="shared" si="1"/>
        <v/>
      </c>
      <c r="J62" s="73" t="str">
        <f t="shared" si="2"/>
        <v/>
      </c>
      <c r="K62" s="37"/>
      <c r="L62" s="37"/>
    </row>
    <row r="63" spans="1:12" ht="15.6">
      <c r="A63" s="26" t="str">
        <v>X024</v>
      </c>
      <c r="B63" s="27" t="str">
        <v>NY</v>
      </c>
      <c r="C63" s="27" t="str">
        <f>Sites[[#This Row],[SOL'#]]</f>
        <v>SOL-10419</v>
      </c>
      <c r="D63" s="9"/>
      <c r="E63" s="14"/>
      <c r="F63" s="14" t="str">
        <f t="shared" si="0"/>
        <v/>
      </c>
      <c r="G63" s="15" t="str">
        <f t="shared" si="3"/>
        <v/>
      </c>
      <c r="H63" s="16"/>
      <c r="I63" s="16" t="str">
        <f t="shared" si="1"/>
        <v/>
      </c>
      <c r="J63" s="15" t="str">
        <f t="shared" si="2"/>
        <v/>
      </c>
      <c r="K63" s="38"/>
      <c r="L63" s="39"/>
    </row>
    <row r="64" spans="1:12" ht="15.6">
      <c r="A64" s="24" t="str">
        <v>X026</v>
      </c>
      <c r="B64" s="25" t="str">
        <v>NY</v>
      </c>
      <c r="C64" s="25" t="str">
        <f>Sites[[#This Row],[SOL'#]]</f>
        <v>SOL-10420</v>
      </c>
      <c r="D64" s="20"/>
      <c r="E64" s="10"/>
      <c r="F64" s="10" t="str">
        <f t="shared" si="0"/>
        <v/>
      </c>
      <c r="G64" s="11" t="str">
        <f t="shared" si="3"/>
        <v/>
      </c>
      <c r="H64" s="12"/>
      <c r="I64" s="12" t="str">
        <f t="shared" si="1"/>
        <v/>
      </c>
      <c r="J64" s="73" t="str">
        <f t="shared" si="2"/>
        <v/>
      </c>
      <c r="K64" s="37"/>
      <c r="L64" s="37"/>
    </row>
    <row r="65" spans="1:12" ht="15.6">
      <c r="A65" s="26" t="str">
        <v>X090</v>
      </c>
      <c r="B65" s="27" t="str">
        <v>NY</v>
      </c>
      <c r="C65" s="27"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73" t="str">
        <f t="shared" si="2"/>
        <v/>
      </c>
      <c r="K66" s="37"/>
      <c r="L66" s="37"/>
    </row>
    <row r="67" spans="1:12" ht="15.6">
      <c r="A67" s="26" t="str">
        <v>X125</v>
      </c>
      <c r="B67" s="27" t="str">
        <v>NY</v>
      </c>
      <c r="C67" s="27" t="str">
        <f>Sites[[#This Row],[SOL'#]]</f>
        <v>SOL-10423</v>
      </c>
      <c r="D67" s="9"/>
      <c r="E67" s="14"/>
      <c r="F67" s="14" t="str">
        <f t="shared" si="0"/>
        <v/>
      </c>
      <c r="G67" s="15" t="str">
        <f t="shared" si="3"/>
        <v/>
      </c>
      <c r="H67" s="16"/>
      <c r="I67" s="16" t="str">
        <f t="shared" si="1"/>
        <v/>
      </c>
      <c r="J67" s="15" t="str">
        <f t="shared" si="2"/>
        <v/>
      </c>
      <c r="K67" s="67"/>
      <c r="L67" s="68"/>
    </row>
    <row r="68" spans="1:12" ht="15.6">
      <c r="A68" s="24" t="str">
        <v>X134</v>
      </c>
      <c r="B68" s="25" t="str">
        <v>NY</v>
      </c>
      <c r="C68" s="25" t="str">
        <f>Sites[[#This Row],[SOL'#]]</f>
        <v>SOL-10424</v>
      </c>
      <c r="D68" s="20"/>
      <c r="E68" s="10"/>
      <c r="F68" s="10" t="str">
        <f t="shared" si="0"/>
        <v/>
      </c>
      <c r="G68" s="11" t="str">
        <f t="shared" si="3"/>
        <v/>
      </c>
      <c r="H68" s="12"/>
      <c r="I68" s="12" t="str">
        <f t="shared" si="1"/>
        <v/>
      </c>
      <c r="J68" s="73" t="str">
        <f t="shared" si="2"/>
        <v/>
      </c>
      <c r="K68" s="66"/>
      <c r="L68" s="71"/>
    </row>
    <row r="69" spans="1:12" ht="15.6">
      <c r="A69" s="26" t="str">
        <v>X135</v>
      </c>
      <c r="B69" s="27" t="str">
        <v>NY</v>
      </c>
      <c r="C69" s="27" t="str">
        <f>Sites[[#This Row],[SOL'#]]</f>
        <v>SOL-10425</v>
      </c>
      <c r="D69" s="9"/>
      <c r="E69" s="14"/>
      <c r="F69" s="14" t="str">
        <f t="shared" ref="F69:F132" si="4">IF(AND(ISNUMBER(D69),ISNUMBER(E69)), D69-E69, "")</f>
        <v/>
      </c>
      <c r="G69" s="15" t="str">
        <f t="shared" si="3"/>
        <v/>
      </c>
      <c r="H69" s="16"/>
      <c r="I69" s="16" t="str">
        <f t="shared" ref="I69:I132" si="5">IF(AND(ISNUMBER(D69),ISNUMBER(H69)), D69-H69, "")</f>
        <v/>
      </c>
      <c r="J69" s="15" t="str">
        <f t="shared" ref="J69:J132" si="6">IFERROR(I69/H69, "")</f>
        <v/>
      </c>
      <c r="K69" s="38"/>
      <c r="L69" s="39"/>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73" t="str">
        <f t="shared" si="6"/>
        <v/>
      </c>
      <c r="K70" s="37"/>
      <c r="L70" s="37"/>
    </row>
    <row r="71" spans="1:12" ht="15.6">
      <c r="A71" s="26" t="str">
        <v>X140</v>
      </c>
      <c r="B71" s="27" t="str">
        <v>NY</v>
      </c>
      <c r="C71" s="27" t="str">
        <f>Sites[[#This Row],[SOL'#]]</f>
        <v>SOL-10926</v>
      </c>
      <c r="D71" s="9"/>
      <c r="E71" s="14"/>
      <c r="F71" s="14" t="str">
        <f t="shared" si="4"/>
        <v/>
      </c>
      <c r="G71" s="15" t="str">
        <f t="shared" si="7"/>
        <v/>
      </c>
      <c r="H71" s="16"/>
      <c r="I71" s="16" t="str">
        <f t="shared" si="5"/>
        <v/>
      </c>
      <c r="J71" s="15" t="str">
        <f t="shared" si="6"/>
        <v/>
      </c>
      <c r="K71" s="38"/>
      <c r="L71" s="39"/>
    </row>
    <row r="72" spans="1:12" ht="15.6">
      <c r="A72" s="24" t="str">
        <v>X166</v>
      </c>
      <c r="B72" s="25" t="str">
        <v>NY</v>
      </c>
      <c r="C72" s="25" t="str">
        <f>Sites[[#This Row],[SOL'#]]</f>
        <v>SOL-10427</v>
      </c>
      <c r="D72" s="20"/>
      <c r="E72" s="10"/>
      <c r="F72" s="10" t="str">
        <f t="shared" si="4"/>
        <v/>
      </c>
      <c r="G72" s="11" t="str">
        <f t="shared" si="7"/>
        <v/>
      </c>
      <c r="H72" s="12"/>
      <c r="I72" s="12" t="str">
        <f t="shared" si="5"/>
        <v/>
      </c>
      <c r="J72" s="73" t="str">
        <f t="shared" si="6"/>
        <v/>
      </c>
      <c r="K72" s="37"/>
      <c r="L72" s="37"/>
    </row>
    <row r="73" spans="1:12" ht="15.6">
      <c r="A73" s="26" t="str">
        <v>Murphy</v>
      </c>
      <c r="B73" s="27" t="str">
        <v>MN</v>
      </c>
      <c r="C73" s="27" t="str">
        <f>Sites[[#This Row],[SOL'#]]</f>
        <v>SOL-10094</v>
      </c>
      <c r="D73" s="9"/>
      <c r="E73" s="14"/>
      <c r="F73" s="14" t="str">
        <f t="shared" si="4"/>
        <v/>
      </c>
      <c r="G73" s="15" t="str">
        <f t="shared" si="7"/>
        <v/>
      </c>
      <c r="H73" s="16"/>
      <c r="I73" s="16" t="str">
        <f t="shared" si="5"/>
        <v/>
      </c>
      <c r="J73" s="15" t="str">
        <f t="shared" si="6"/>
        <v/>
      </c>
      <c r="K73" s="38"/>
      <c r="L73" s="68"/>
    </row>
    <row r="74" spans="1:12" ht="15.6">
      <c r="A74" s="24" t="str">
        <v>Terning</v>
      </c>
      <c r="B74" s="25" t="str">
        <v>MN</v>
      </c>
      <c r="C74" s="25" t="str">
        <f>Sites[[#This Row],[SOL'#]]</f>
        <v>SOL-10093</v>
      </c>
      <c r="D74" s="20"/>
      <c r="E74" s="10"/>
      <c r="F74" s="10" t="str">
        <f t="shared" si="4"/>
        <v/>
      </c>
      <c r="G74" s="11" t="str">
        <f t="shared" si="7"/>
        <v/>
      </c>
      <c r="H74" s="12"/>
      <c r="I74" s="12" t="str">
        <f t="shared" si="5"/>
        <v/>
      </c>
      <c r="J74" s="73" t="str">
        <f t="shared" si="6"/>
        <v/>
      </c>
      <c r="K74" s="37"/>
      <c r="L74" s="37"/>
    </row>
    <row r="75" spans="1:12" ht="15.6">
      <c r="A75" s="26" t="str">
        <v>Boas Road 04</v>
      </c>
      <c r="B75" s="27" t="str">
        <v>NY</v>
      </c>
      <c r="C75" s="27" t="str">
        <f>Sites[[#This Row],[SOL'#]]</f>
        <v>SOL-10908</v>
      </c>
      <c r="D75" s="9"/>
      <c r="E75" s="14"/>
      <c r="F75" s="14" t="str">
        <f t="shared" si="4"/>
        <v/>
      </c>
      <c r="G75" s="15" t="str">
        <f t="shared" si="7"/>
        <v/>
      </c>
      <c r="H75" s="16"/>
      <c r="I75" s="16" t="str">
        <f t="shared" si="5"/>
        <v/>
      </c>
      <c r="J75" s="15" t="str">
        <f t="shared" si="6"/>
        <v/>
      </c>
      <c r="K75" s="38"/>
      <c r="L75" s="68"/>
    </row>
    <row r="76" spans="1:12" ht="15.6">
      <c r="A76" s="24" t="str">
        <v>Kelly Bridge Farm</v>
      </c>
      <c r="B76" s="25" t="str">
        <v>NY</v>
      </c>
      <c r="C76" s="25" t="str">
        <f>Sites[[#This Row],[SOL'#]]</f>
        <v>SOL-10911</v>
      </c>
      <c r="D76" s="20"/>
      <c r="E76" s="10"/>
      <c r="F76" s="10" t="str">
        <f t="shared" si="4"/>
        <v/>
      </c>
      <c r="G76" s="11" t="str">
        <f t="shared" si="7"/>
        <v/>
      </c>
      <c r="H76" s="12"/>
      <c r="I76" s="12" t="str">
        <f t="shared" si="5"/>
        <v/>
      </c>
      <c r="J76" s="73" t="str">
        <f t="shared" si="6"/>
        <v/>
      </c>
      <c r="K76" s="37"/>
      <c r="L76" s="37"/>
    </row>
    <row r="77" spans="1:12" ht="15.6">
      <c r="A77" s="26" t="str">
        <v>Pool Brook Road</v>
      </c>
      <c r="B77" s="27" t="str">
        <v>NY</v>
      </c>
      <c r="C77" s="27" t="str">
        <f>Sites[[#This Row],[SOL'#]]</f>
        <v>SOL-10909</v>
      </c>
      <c r="D77" s="9"/>
      <c r="E77" s="14"/>
      <c r="F77" s="14" t="str">
        <f t="shared" si="4"/>
        <v/>
      </c>
      <c r="G77" s="15" t="str">
        <f t="shared" si="7"/>
        <v/>
      </c>
      <c r="H77" s="16"/>
      <c r="I77" s="16" t="str">
        <f t="shared" si="5"/>
        <v/>
      </c>
      <c r="J77" s="15" t="str">
        <f t="shared" si="6"/>
        <v/>
      </c>
      <c r="K77" s="38"/>
      <c r="L77" s="38"/>
    </row>
    <row r="78" spans="1:12" ht="35.25" customHeight="1">
      <c r="A78" s="24" t="str">
        <v>Sackett Lake</v>
      </c>
      <c r="B78" s="25" t="str">
        <v>NY</v>
      </c>
      <c r="C78" s="25" t="str">
        <f>Sites[[#This Row],[SOL'#]]</f>
        <v>SOL-10910</v>
      </c>
      <c r="D78" s="20"/>
      <c r="E78" s="10"/>
      <c r="F78" s="10" t="str">
        <f t="shared" si="4"/>
        <v/>
      </c>
      <c r="G78" s="11" t="str">
        <f t="shared" si="7"/>
        <v/>
      </c>
      <c r="H78" s="12"/>
      <c r="I78" s="12" t="str">
        <f t="shared" si="5"/>
        <v/>
      </c>
      <c r="J78" s="73" t="str">
        <f t="shared" si="6"/>
        <v/>
      </c>
      <c r="K78" s="37"/>
      <c r="L78" s="37"/>
    </row>
    <row r="79" spans="1:12" ht="15.6">
      <c r="A79" s="26" t="str">
        <v>Burritt Road</v>
      </c>
      <c r="B79" s="27" t="str">
        <v>NY</v>
      </c>
      <c r="C79" s="27" t="str">
        <f>Sites[[#This Row],[SOL'#]]</f>
        <v>SOL-10913</v>
      </c>
      <c r="D79" s="9"/>
      <c r="E79" s="14"/>
      <c r="F79" s="14" t="str">
        <f t="shared" si="4"/>
        <v/>
      </c>
      <c r="G79" s="15" t="str">
        <f t="shared" si="7"/>
        <v/>
      </c>
      <c r="H79" s="16"/>
      <c r="I79" s="16" t="str">
        <f t="shared" si="5"/>
        <v/>
      </c>
      <c r="J79" s="15" t="str">
        <f t="shared" si="6"/>
        <v/>
      </c>
      <c r="K79" s="38"/>
      <c r="L79" s="39"/>
    </row>
    <row r="80" spans="1:12" ht="15.6">
      <c r="A80" s="24" t="str">
        <v>Villa Roma 1</v>
      </c>
      <c r="B80" s="25" t="str">
        <v>NY</v>
      </c>
      <c r="C80" s="25" t="str">
        <f>Sites[[#This Row],[SOL'#]]</f>
        <v>SOL-10914</v>
      </c>
      <c r="D80" s="20"/>
      <c r="E80" s="10"/>
      <c r="F80" s="10" t="str">
        <f t="shared" si="4"/>
        <v/>
      </c>
      <c r="G80" s="11" t="str">
        <f t="shared" si="7"/>
        <v/>
      </c>
      <c r="H80" s="12"/>
      <c r="I80" s="12" t="str">
        <f t="shared" si="5"/>
        <v/>
      </c>
      <c r="J80" s="73" t="str">
        <f t="shared" si="6"/>
        <v/>
      </c>
      <c r="K80" s="37"/>
      <c r="L80" s="37"/>
    </row>
    <row r="81" spans="1:12" ht="15.6">
      <c r="A81" s="26" t="str">
        <v>Villa Roma 2</v>
      </c>
      <c r="B81" s="27" t="str">
        <v>NY</v>
      </c>
      <c r="C81" s="27" t="str">
        <f>Sites[[#This Row],[SOL'#]]</f>
        <v>SOL-10915</v>
      </c>
      <c r="D81" s="9"/>
      <c r="E81" s="14"/>
      <c r="F81" s="14" t="str">
        <f t="shared" si="4"/>
        <v/>
      </c>
      <c r="G81" s="15" t="str">
        <f t="shared" si="7"/>
        <v/>
      </c>
      <c r="H81" s="16"/>
      <c r="I81" s="16" t="str">
        <f t="shared" si="5"/>
        <v/>
      </c>
      <c r="J81" s="15" t="str">
        <f t="shared" si="6"/>
        <v/>
      </c>
      <c r="K81" s="72"/>
      <c r="L81" s="39"/>
    </row>
    <row r="82" spans="1:12" ht="15.6">
      <c r="A82" s="24" t="str">
        <v>Washington 1</v>
      </c>
      <c r="B82" s="25" t="str">
        <v>NY</v>
      </c>
      <c r="C82" s="25" t="str">
        <f>Sites[[#This Row],[SOL'#]]</f>
        <v>SOL-10912</v>
      </c>
      <c r="D82" s="20"/>
      <c r="E82" s="10"/>
      <c r="F82" s="10" t="str">
        <f t="shared" si="4"/>
        <v/>
      </c>
      <c r="G82" s="11" t="str">
        <f t="shared" si="7"/>
        <v/>
      </c>
      <c r="H82" s="12"/>
      <c r="I82" s="12" t="str">
        <f t="shared" si="5"/>
        <v/>
      </c>
      <c r="J82" s="73" t="str">
        <f t="shared" si="6"/>
        <v/>
      </c>
      <c r="K82" s="37"/>
      <c r="L82" s="37"/>
    </row>
    <row r="83" spans="1:12" ht="15.6">
      <c r="A83" s="26" t="str">
        <v>Washington 3</v>
      </c>
      <c r="B83" s="27" t="str">
        <v>NY</v>
      </c>
      <c r="C83" s="27" t="str">
        <f>Sites[[#This Row],[SOL'#]]</f>
        <v>SOL-10828</v>
      </c>
      <c r="D83" s="9"/>
      <c r="E83" s="14"/>
      <c r="F83" s="14" t="str">
        <f t="shared" si="4"/>
        <v/>
      </c>
      <c r="G83" s="15" t="str">
        <f t="shared" si="7"/>
        <v/>
      </c>
      <c r="H83" s="16"/>
      <c r="I83" s="16" t="str">
        <f t="shared" si="5"/>
        <v/>
      </c>
      <c r="J83" s="15" t="str">
        <f t="shared" si="6"/>
        <v/>
      </c>
      <c r="K83" s="38"/>
      <c r="L83" s="39"/>
    </row>
    <row r="84" spans="1:12" ht="15.6">
      <c r="A84" s="24" t="str">
        <v>Washington 4</v>
      </c>
      <c r="B84" s="25" t="str">
        <v>NY</v>
      </c>
      <c r="C84" s="25" t="str">
        <f>Sites[[#This Row],[SOL'#]]</f>
        <v>SOL-10829</v>
      </c>
      <c r="D84" s="20"/>
      <c r="E84" s="10"/>
      <c r="F84" s="10" t="str">
        <f t="shared" si="4"/>
        <v/>
      </c>
      <c r="G84" s="11" t="str">
        <f t="shared" si="7"/>
        <v/>
      </c>
      <c r="H84" s="12"/>
      <c r="I84" s="12" t="str">
        <f t="shared" si="5"/>
        <v/>
      </c>
      <c r="J84" s="73" t="str">
        <f t="shared" si="6"/>
        <v/>
      </c>
      <c r="K84" s="37"/>
      <c r="L84" s="37"/>
    </row>
    <row r="85" spans="1:12" ht="15.6">
      <c r="A85" s="26" t="str">
        <v>Big Tree</v>
      </c>
      <c r="B85" s="27" t="str">
        <v>NY</v>
      </c>
      <c r="C85" s="27" t="str">
        <f>Sites[[#This Row],[SOL'#]]</f>
        <v>SOL-10966</v>
      </c>
      <c r="D85" s="9"/>
      <c r="E85" s="14"/>
      <c r="F85" s="14" t="str">
        <f t="shared" si="4"/>
        <v/>
      </c>
      <c r="G85" s="15" t="str">
        <f t="shared" si="7"/>
        <v/>
      </c>
      <c r="H85" s="16"/>
      <c r="I85" s="16" t="str">
        <f t="shared" si="5"/>
        <v/>
      </c>
      <c r="J85" s="15" t="str">
        <f t="shared" si="6"/>
        <v/>
      </c>
      <c r="K85" s="67"/>
      <c r="L85" s="68"/>
    </row>
    <row r="86" spans="1:12" ht="15.6">
      <c r="A86" s="24" t="str">
        <v>Canoga</v>
      </c>
      <c r="B86" s="25" t="str">
        <v>NY</v>
      </c>
      <c r="C86" s="25" t="str">
        <f>Sites[[#This Row],[SOL'#]]</f>
        <v>SOL-10965</v>
      </c>
      <c r="D86" s="20"/>
      <c r="E86" s="10"/>
      <c r="F86" s="10" t="str">
        <f t="shared" si="4"/>
        <v/>
      </c>
      <c r="G86" s="11" t="str">
        <f t="shared" si="7"/>
        <v/>
      </c>
      <c r="H86" s="12"/>
      <c r="I86" s="12" t="str">
        <f t="shared" si="5"/>
        <v/>
      </c>
      <c r="J86" s="73" t="str">
        <f t="shared" si="6"/>
        <v/>
      </c>
      <c r="K86" s="37"/>
      <c r="L86" s="37"/>
    </row>
    <row r="87" spans="1:12" ht="15.6">
      <c r="A87" s="26" t="str">
        <v>County Route 84</v>
      </c>
      <c r="B87" s="27" t="str">
        <v>NY</v>
      </c>
      <c r="C87" s="27" t="str">
        <f>Sites[[#This Row],[SOL'#]]</f>
        <v>SOL-10967</v>
      </c>
      <c r="D87" s="9"/>
      <c r="E87" s="14"/>
      <c r="F87" s="14" t="str">
        <f t="shared" si="4"/>
        <v/>
      </c>
      <c r="G87" s="15" t="str">
        <f t="shared" si="7"/>
        <v/>
      </c>
      <c r="H87" s="16"/>
      <c r="I87" s="16" t="str">
        <f t="shared" si="5"/>
        <v/>
      </c>
      <c r="J87" s="15" t="str">
        <f t="shared" si="6"/>
        <v/>
      </c>
      <c r="K87" s="67"/>
      <c r="L87" s="68"/>
    </row>
    <row r="88" spans="1:12" ht="15.6">
      <c r="A88" s="24" t="str">
        <v>Donati</v>
      </c>
      <c r="B88" s="25" t="str">
        <v>NY</v>
      </c>
      <c r="C88" s="25" t="str">
        <f>Sites[[#This Row],[SOL'#]]</f>
        <v>SOL-10968</v>
      </c>
      <c r="D88" s="20"/>
      <c r="E88" s="10"/>
      <c r="F88" s="10" t="str">
        <f t="shared" si="4"/>
        <v/>
      </c>
      <c r="G88" s="11" t="str">
        <f t="shared" si="7"/>
        <v/>
      </c>
      <c r="H88" s="12"/>
      <c r="I88" s="12" t="str">
        <f t="shared" si="5"/>
        <v/>
      </c>
      <c r="J88" s="73" t="str">
        <f t="shared" si="6"/>
        <v/>
      </c>
      <c r="K88" s="66"/>
      <c r="L88" s="66"/>
    </row>
    <row r="89" spans="1:12" ht="15.6">
      <c r="A89" s="26" t="str">
        <v>Henrietta</v>
      </c>
      <c r="B89" s="27" t="str">
        <v>NY</v>
      </c>
      <c r="C89" s="27"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73" t="str">
        <f t="shared" si="6"/>
        <v/>
      </c>
      <c r="K90" s="37"/>
      <c r="L90" s="37"/>
    </row>
    <row r="91" spans="1:12" ht="15.6">
      <c r="A91" s="26" t="str">
        <v>Reid</v>
      </c>
      <c r="B91" s="27" t="str">
        <v>NY</v>
      </c>
      <c r="C91" s="27" t="str">
        <f>Sites[[#This Row],[SOL'#]]</f>
        <v>SOL-10991</v>
      </c>
      <c r="D91" s="9"/>
      <c r="E91" s="14"/>
      <c r="F91" s="14" t="str">
        <f t="shared" si="4"/>
        <v/>
      </c>
      <c r="G91" s="15" t="str">
        <f t="shared" si="7"/>
        <v/>
      </c>
      <c r="H91" s="16"/>
      <c r="I91" s="16" t="str">
        <f t="shared" si="5"/>
        <v/>
      </c>
      <c r="J91" s="15" t="str">
        <f t="shared" si="6"/>
        <v/>
      </c>
      <c r="K91" s="38"/>
      <c r="L91" s="39"/>
    </row>
    <row r="92" spans="1:12" ht="15.6">
      <c r="A92" s="24" t="str">
        <v>Sangolqui</v>
      </c>
      <c r="B92" s="25" t="str">
        <v>NY</v>
      </c>
      <c r="C92" s="25" t="str">
        <f>Sites[[#This Row],[SOL'#]]</f>
        <v>SOL-10975</v>
      </c>
      <c r="D92" s="20"/>
      <c r="E92" s="10"/>
      <c r="F92" s="10" t="str">
        <f t="shared" si="4"/>
        <v/>
      </c>
      <c r="G92" s="11" t="str">
        <f t="shared" si="7"/>
        <v/>
      </c>
      <c r="H92" s="12"/>
      <c r="I92" s="12" t="str">
        <f t="shared" si="5"/>
        <v/>
      </c>
      <c r="J92" s="73" t="str">
        <f t="shared" si="6"/>
        <v/>
      </c>
      <c r="K92" s="37"/>
      <c r="L92" s="37"/>
    </row>
    <row r="93" spans="1:12" ht="15.6">
      <c r="A93" s="26" t="str">
        <v>State Highway 17B</v>
      </c>
      <c r="B93" s="27" t="str">
        <v>NY</v>
      </c>
      <c r="C93" s="27" t="str">
        <f>Sites[[#This Row],[SOL'#]]</f>
        <v>SOL-10988</v>
      </c>
      <c r="D93" s="9"/>
      <c r="E93" s="14"/>
      <c r="F93" s="14" t="str">
        <f t="shared" si="4"/>
        <v/>
      </c>
      <c r="G93" s="15" t="str">
        <f t="shared" si="7"/>
        <v/>
      </c>
      <c r="H93" s="16"/>
      <c r="I93" s="16" t="str">
        <f t="shared" si="5"/>
        <v/>
      </c>
      <c r="J93" s="15" t="str">
        <f t="shared" si="6"/>
        <v/>
      </c>
      <c r="K93" s="38"/>
      <c r="L93" s="39"/>
    </row>
    <row r="94" spans="1:12" ht="15.6">
      <c r="A94" s="24" t="str">
        <v>State Route 14A</v>
      </c>
      <c r="B94" s="25" t="str">
        <v>NY</v>
      </c>
      <c r="C94" s="25" t="str">
        <f>Sites[[#This Row],[SOL'#]]</f>
        <v>SOL-10997</v>
      </c>
      <c r="D94" s="20"/>
      <c r="E94" s="10"/>
      <c r="F94" s="10" t="str">
        <f t="shared" si="4"/>
        <v/>
      </c>
      <c r="G94" s="11" t="str">
        <f t="shared" si="7"/>
        <v/>
      </c>
      <c r="H94" s="12"/>
      <c r="I94" s="12" t="str">
        <f t="shared" si="5"/>
        <v/>
      </c>
      <c r="J94" s="73" t="str">
        <f t="shared" si="6"/>
        <v/>
      </c>
      <c r="K94" s="66"/>
      <c r="L94" s="66"/>
    </row>
    <row r="95" spans="1:12" ht="15.6">
      <c r="A95" s="26" t="str">
        <v>West Creek</v>
      </c>
      <c r="B95" s="27" t="str">
        <v>NY</v>
      </c>
      <c r="C95" s="27" t="str">
        <f>Sites[[#This Row],[SOL'#]]</f>
        <v>SOL-10995</v>
      </c>
      <c r="D95" s="9"/>
      <c r="E95" s="14"/>
      <c r="F95" s="14" t="str">
        <f t="shared" si="4"/>
        <v/>
      </c>
      <c r="G95" s="15" t="str">
        <f t="shared" si="7"/>
        <v/>
      </c>
      <c r="H95" s="16"/>
      <c r="I95" s="16" t="str">
        <f t="shared" si="5"/>
        <v/>
      </c>
      <c r="J95" s="15" t="str">
        <f t="shared" si="6"/>
        <v/>
      </c>
      <c r="K95" s="69"/>
      <c r="L95" s="70"/>
    </row>
    <row r="96" spans="1:12" ht="15.6">
      <c r="A96" s="24" t="str">
        <v>Wildflower</v>
      </c>
      <c r="B96" s="25" t="str">
        <v>NY</v>
      </c>
      <c r="C96" s="25" t="str">
        <f>Sites[[#This Row],[SOL'#]]</f>
        <v>SOL-10982</v>
      </c>
      <c r="D96" s="20"/>
      <c r="E96" s="10"/>
      <c r="F96" s="10" t="str">
        <f t="shared" si="4"/>
        <v/>
      </c>
      <c r="G96" s="11" t="str">
        <f t="shared" si="7"/>
        <v/>
      </c>
      <c r="H96" s="12"/>
      <c r="I96" s="12" t="str">
        <f t="shared" si="5"/>
        <v/>
      </c>
      <c r="J96" s="73" t="str">
        <f t="shared" si="6"/>
        <v/>
      </c>
      <c r="K96" s="37"/>
      <c r="L96" s="37"/>
    </row>
    <row r="97" spans="1:12" ht="15.6">
      <c r="A97" s="26" t="str">
        <v>Glen Mary 1</v>
      </c>
      <c r="B97" s="27" t="str">
        <v>NY</v>
      </c>
      <c r="C97" s="27" t="str">
        <f>Sites[[#This Row],[SOL'#]]</f>
        <v>SOL-10993</v>
      </c>
      <c r="D97" s="9"/>
      <c r="E97" s="14"/>
      <c r="F97" s="14" t="str">
        <f t="shared" si="4"/>
        <v/>
      </c>
      <c r="G97" s="15" t="str">
        <f t="shared" si="7"/>
        <v/>
      </c>
      <c r="H97" s="16"/>
      <c r="I97" s="16" t="str">
        <f t="shared" si="5"/>
        <v/>
      </c>
      <c r="J97" s="15" t="str">
        <f t="shared" si="6"/>
        <v/>
      </c>
      <c r="K97" s="38"/>
      <c r="L97" s="39"/>
    </row>
    <row r="98" spans="1:12" ht="15.6">
      <c r="A98" s="24" t="str">
        <v>Glen Mary 2</v>
      </c>
      <c r="B98" s="25" t="str">
        <v>NY</v>
      </c>
      <c r="C98" s="25" t="str">
        <f>Sites[[#This Row],[SOL'#]]</f>
        <v>SOL-10994</v>
      </c>
      <c r="D98" s="20"/>
      <c r="E98" s="10"/>
      <c r="F98" s="10" t="str">
        <f t="shared" si="4"/>
        <v/>
      </c>
      <c r="G98" s="11" t="str">
        <f t="shared" si="7"/>
        <v/>
      </c>
      <c r="H98" s="12"/>
      <c r="I98" s="12" t="str">
        <f t="shared" si="5"/>
        <v/>
      </c>
      <c r="J98" s="73" t="str">
        <f t="shared" si="6"/>
        <v/>
      </c>
      <c r="K98" s="37"/>
      <c r="L98" s="37"/>
    </row>
    <row r="99" spans="1:12" ht="15.6">
      <c r="A99" s="26" t="str">
        <v>Telegraph 1</v>
      </c>
      <c r="B99" s="27" t="str">
        <v>NY</v>
      </c>
      <c r="C99" s="27" t="str">
        <f>Sites[[#This Row],[SOL'#]]</f>
        <v>SOL-11003</v>
      </c>
      <c r="D99" s="9"/>
      <c r="E99" s="14"/>
      <c r="F99" s="14" t="str">
        <f t="shared" si="4"/>
        <v/>
      </c>
      <c r="G99" s="15" t="str">
        <f t="shared" si="7"/>
        <v/>
      </c>
      <c r="H99" s="16"/>
      <c r="I99" s="16" t="str">
        <f t="shared" si="5"/>
        <v/>
      </c>
      <c r="J99" s="15" t="str">
        <f t="shared" si="6"/>
        <v/>
      </c>
      <c r="K99" s="38"/>
      <c r="L99" s="39"/>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73" t="str">
        <f t="shared" si="6"/>
        <v/>
      </c>
      <c r="K100" s="37"/>
      <c r="L100" s="37"/>
    </row>
    <row r="101" spans="1:12" ht="15.6">
      <c r="A101" s="26" t="str">
        <v>Cafferty Hill</v>
      </c>
      <c r="B101" s="27" t="str">
        <v>NY</v>
      </c>
      <c r="C101" s="27" t="str">
        <f>Sites[[#This Row],[SOL'#]]</f>
        <v>SOL-10996</v>
      </c>
      <c r="D101" s="9"/>
      <c r="E101" s="14"/>
      <c r="F101" s="14" t="str">
        <f t="shared" si="4"/>
        <v/>
      </c>
      <c r="G101" s="15" t="str">
        <f t="shared" si="7"/>
        <v/>
      </c>
      <c r="H101" s="16"/>
      <c r="I101" s="16" t="str">
        <f t="shared" si="5"/>
        <v/>
      </c>
      <c r="J101" s="15" t="str">
        <f t="shared" si="6"/>
        <v/>
      </c>
      <c r="K101" s="38"/>
      <c r="L101" s="38"/>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73" t="str">
        <f t="shared" si="6"/>
        <v/>
      </c>
      <c r="K102" s="66"/>
      <c r="L102" s="66"/>
    </row>
    <row r="103" spans="1:12" ht="15.6">
      <c r="A103" s="26" t="str">
        <v>Route 19 1</v>
      </c>
      <c r="B103" s="27" t="str">
        <v>NY</v>
      </c>
      <c r="C103" s="27" t="str">
        <f>Sites[[#This Row],[SOL'#]]</f>
        <v>SOL-11001</v>
      </c>
      <c r="D103" s="9"/>
      <c r="E103" s="14"/>
      <c r="F103" s="14" t="str">
        <f t="shared" si="4"/>
        <v/>
      </c>
      <c r="G103" s="15" t="str">
        <f t="shared" si="7"/>
        <v/>
      </c>
      <c r="H103" s="16"/>
      <c r="I103" s="16" t="str">
        <f t="shared" si="5"/>
        <v/>
      </c>
      <c r="J103" s="15" t="str">
        <f t="shared" si="6"/>
        <v/>
      </c>
      <c r="K103" s="69"/>
      <c r="L103" s="70"/>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73" t="str">
        <f t="shared" si="6"/>
        <v/>
      </c>
      <c r="K104" s="37"/>
      <c r="L104" s="37"/>
    </row>
    <row r="105" spans="1:12" ht="15.6">
      <c r="A105" s="26" t="str">
        <v>Yellow Mills 1</v>
      </c>
      <c r="B105" s="27" t="str">
        <v>NY</v>
      </c>
      <c r="C105" s="27" t="str">
        <f>Sites[[#This Row],[SOL'#]]</f>
        <v>SOL-11006</v>
      </c>
      <c r="D105" s="9"/>
      <c r="E105" s="14"/>
      <c r="F105" s="14" t="str">
        <f t="shared" si="4"/>
        <v/>
      </c>
      <c r="G105" s="15" t="str">
        <f t="shared" si="7"/>
        <v/>
      </c>
      <c r="H105" s="16"/>
      <c r="I105" s="16" t="str">
        <f t="shared" si="5"/>
        <v/>
      </c>
      <c r="J105" s="15" t="str">
        <f t="shared" si="6"/>
        <v/>
      </c>
      <c r="K105" s="38"/>
      <c r="L105" s="39"/>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73" t="str">
        <f t="shared" si="6"/>
        <v/>
      </c>
      <c r="K106" s="37"/>
      <c r="L106" s="37"/>
    </row>
    <row r="107" spans="1:12" ht="15.6">
      <c r="A107" s="26" t="str">
        <v>Yellow Mills 3</v>
      </c>
      <c r="B107" s="27" t="str">
        <v>NY</v>
      </c>
      <c r="C107" s="27" t="str">
        <f>Sites[[#This Row],[SOL'#]]</f>
        <v>SOL-11007</v>
      </c>
      <c r="D107" s="9"/>
      <c r="E107" s="14"/>
      <c r="F107" s="14" t="str">
        <f t="shared" si="4"/>
        <v/>
      </c>
      <c r="G107" s="15" t="str">
        <f t="shared" si="7"/>
        <v/>
      </c>
      <c r="H107" s="16"/>
      <c r="I107" s="16" t="str">
        <f t="shared" si="5"/>
        <v/>
      </c>
      <c r="J107" s="15" t="str">
        <f t="shared" si="6"/>
        <v/>
      </c>
      <c r="K107" s="38"/>
      <c r="L107" s="39"/>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73" t="str">
        <f t="shared" si="6"/>
        <v/>
      </c>
      <c r="K108" s="37"/>
      <c r="L108" s="37"/>
    </row>
    <row r="109" spans="1:12" ht="15.6">
      <c r="A109" s="26" t="str">
        <v>Eddy Ridge</v>
      </c>
      <c r="B109" s="27" t="str">
        <v>NY</v>
      </c>
      <c r="C109" s="27" t="str">
        <f>Sites[[#This Row],[SOL'#]]</f>
        <v>SOL-11054</v>
      </c>
      <c r="D109" s="9"/>
      <c r="E109" s="14"/>
      <c r="F109" s="14" t="str">
        <f t="shared" si="4"/>
        <v/>
      </c>
      <c r="G109" s="15" t="str">
        <f t="shared" si="7"/>
        <v/>
      </c>
      <c r="H109" s="16"/>
      <c r="I109" s="16" t="str">
        <f t="shared" si="5"/>
        <v/>
      </c>
      <c r="J109" s="15" t="str">
        <f t="shared" si="6"/>
        <v/>
      </c>
      <c r="K109" s="38"/>
      <c r="L109" s="39"/>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73" t="str">
        <f t="shared" si="6"/>
        <v/>
      </c>
      <c r="K110" s="37"/>
      <c r="L110" s="37"/>
    </row>
    <row r="111" spans="1:12" ht="15.6">
      <c r="A111" s="26" t="str">
        <v>Rivard 1</v>
      </c>
      <c r="B111" s="27" t="str">
        <v>NY</v>
      </c>
      <c r="C111" s="27" t="str">
        <f>Sites[[#This Row],[SOL'#]]</f>
        <v>SOL-11011</v>
      </c>
      <c r="D111" s="9"/>
      <c r="E111" s="14"/>
      <c r="F111" s="14" t="str">
        <f t="shared" si="4"/>
        <v/>
      </c>
      <c r="G111" s="15" t="str">
        <f t="shared" si="7"/>
        <v/>
      </c>
      <c r="H111" s="16"/>
      <c r="I111" s="16" t="str">
        <f t="shared" si="5"/>
        <v/>
      </c>
      <c r="J111" s="15" t="str">
        <f t="shared" si="6"/>
        <v/>
      </c>
      <c r="K111" s="38"/>
      <c r="L111" s="39"/>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73" t="str">
        <f t="shared" si="6"/>
        <v/>
      </c>
      <c r="K112" s="66"/>
      <c r="L112" s="66"/>
    </row>
    <row r="113" spans="1:12" ht="15.6">
      <c r="A113" s="26" t="str">
        <v>Essex</v>
      </c>
      <c r="B113" s="27" t="str">
        <v>DC</v>
      </c>
      <c r="C113" s="27" t="str">
        <f>Sites[[#This Row],[SOL'#]]</f>
        <v>SOL-10036</v>
      </c>
      <c r="D113" s="9"/>
      <c r="E113" s="14"/>
      <c r="F113" s="14" t="str">
        <f t="shared" si="4"/>
        <v/>
      </c>
      <c r="G113" s="15" t="str">
        <f t="shared" si="7"/>
        <v/>
      </c>
      <c r="H113" s="16"/>
      <c r="I113" s="16" t="str">
        <f t="shared" si="5"/>
        <v/>
      </c>
      <c r="J113" s="15" t="str">
        <f t="shared" si="6"/>
        <v/>
      </c>
      <c r="K113" s="67"/>
      <c r="L113" s="67"/>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73" t="str">
        <f t="shared" si="6"/>
        <v/>
      </c>
      <c r="K114" s="66"/>
      <c r="L114" s="66"/>
    </row>
    <row r="115" spans="1:12" ht="15.6">
      <c r="A115" s="26" t="str">
        <v>Weinberg 1</v>
      </c>
      <c r="B115" s="27" t="str">
        <v>DC</v>
      </c>
      <c r="C115" s="27" t="str">
        <f>Sites[[#This Row],[SOL'#]]</f>
        <v>SOL-10039</v>
      </c>
      <c r="D115" s="9"/>
      <c r="E115" s="14"/>
      <c r="F115" s="14" t="str">
        <f t="shared" si="4"/>
        <v/>
      </c>
      <c r="G115" s="15" t="str">
        <f t="shared" si="7"/>
        <v/>
      </c>
      <c r="H115" s="16"/>
      <c r="I115" s="16" t="str">
        <f t="shared" si="5"/>
        <v/>
      </c>
      <c r="J115" s="15" t="str">
        <f t="shared" si="6"/>
        <v/>
      </c>
      <c r="K115" s="38"/>
      <c r="L115" s="39"/>
    </row>
    <row r="116" spans="1:12" ht="15.6">
      <c r="A116" s="24" t="str">
        <v>Weinberg 2</v>
      </c>
      <c r="B116" s="25" t="str">
        <v>DC</v>
      </c>
      <c r="C116" s="25" t="str">
        <f>Sites[[#This Row],[SOL'#]]</f>
        <v>SOL-10045</v>
      </c>
      <c r="D116" s="20"/>
      <c r="E116" s="10"/>
      <c r="F116" s="10" t="str">
        <f t="shared" si="4"/>
        <v/>
      </c>
      <c r="G116" s="11" t="str">
        <f t="shared" si="7"/>
        <v/>
      </c>
      <c r="H116" s="12"/>
      <c r="I116" s="12" t="str">
        <f t="shared" si="5"/>
        <v/>
      </c>
      <c r="J116" s="73" t="str">
        <f t="shared" si="6"/>
        <v/>
      </c>
      <c r="K116" s="37"/>
      <c r="L116" s="37"/>
    </row>
    <row r="117" spans="1:12" ht="15.6">
      <c r="A117" s="26" t="str">
        <v>Weinberg 3</v>
      </c>
      <c r="B117" s="27" t="str">
        <v>DC</v>
      </c>
      <c r="C117" s="27" t="str">
        <f>Sites[[#This Row],[SOL'#]]</f>
        <v>SOL-10042</v>
      </c>
      <c r="D117" s="9"/>
      <c r="E117" s="14"/>
      <c r="F117" s="14" t="str">
        <f t="shared" si="4"/>
        <v/>
      </c>
      <c r="G117" s="15" t="str">
        <f t="shared" si="7"/>
        <v/>
      </c>
      <c r="H117" s="16"/>
      <c r="I117" s="16" t="str">
        <f t="shared" si="5"/>
        <v/>
      </c>
      <c r="J117" s="15" t="str">
        <f t="shared" si="6"/>
        <v/>
      </c>
      <c r="K117" s="38"/>
      <c r="L117" s="39"/>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73" t="str">
        <f t="shared" si="6"/>
        <v/>
      </c>
      <c r="K118" s="37"/>
      <c r="L118" s="37"/>
    </row>
    <row r="119" spans="1:12" ht="15.6">
      <c r="A119" s="26" t="str">
        <v>Field House</v>
      </c>
      <c r="B119" s="27" t="str">
        <v>DE</v>
      </c>
      <c r="C119" s="27" t="str">
        <f>Sites[[#This Row],[SOL'#]]</f>
        <v>SOL-10821</v>
      </c>
      <c r="D119" s="9"/>
      <c r="E119" s="14"/>
      <c r="F119" s="14" t="str">
        <f t="shared" si="4"/>
        <v/>
      </c>
      <c r="G119" s="15" t="str">
        <f t="shared" si="7"/>
        <v/>
      </c>
      <c r="H119" s="16"/>
      <c r="I119" s="16" t="str">
        <f t="shared" si="5"/>
        <v/>
      </c>
      <c r="J119" s="15" t="str">
        <f t="shared" si="6"/>
        <v/>
      </c>
      <c r="K119" s="38"/>
      <c r="L119" s="39"/>
    </row>
    <row r="120" spans="1:12" ht="15.6">
      <c r="A120" s="24" t="str">
        <v>Wyoming Road</v>
      </c>
      <c r="B120" s="25" t="str">
        <v>DE</v>
      </c>
      <c r="C120" s="25" t="str">
        <f>Sites[[#This Row],[SOL'#]]</f>
        <v>SOL-10819</v>
      </c>
      <c r="D120" s="60"/>
      <c r="E120" s="10"/>
      <c r="F120" s="10" t="str">
        <f t="shared" si="4"/>
        <v/>
      </c>
      <c r="G120" s="11" t="str">
        <f t="shared" si="7"/>
        <v/>
      </c>
      <c r="H120" s="12"/>
      <c r="I120" s="12" t="str">
        <f t="shared" si="5"/>
        <v/>
      </c>
      <c r="J120" s="73" t="str">
        <f t="shared" si="6"/>
        <v/>
      </c>
      <c r="K120" s="37"/>
      <c r="L120" s="37"/>
    </row>
    <row r="121" spans="1:12" ht="15.6">
      <c r="A121" s="26" t="str">
        <v>Leoku</v>
      </c>
      <c r="B121" s="27" t="str">
        <v>HI</v>
      </c>
      <c r="C121" s="27" t="str">
        <f>Sites[[#This Row],[SOL'#]]</f>
        <v>SOL-10071</v>
      </c>
      <c r="D121" s="9"/>
      <c r="E121" s="14"/>
      <c r="F121" s="14" t="str">
        <f t="shared" si="4"/>
        <v/>
      </c>
      <c r="G121" s="15" t="str">
        <f t="shared" si="7"/>
        <v/>
      </c>
      <c r="H121" s="16"/>
      <c r="I121" s="16" t="str">
        <f t="shared" si="5"/>
        <v/>
      </c>
      <c r="J121" s="15" t="str">
        <f t="shared" si="6"/>
        <v/>
      </c>
      <c r="K121" s="38"/>
      <c r="L121" s="39"/>
    </row>
    <row r="122" spans="1:12" ht="15.6">
      <c r="A122" s="24" t="str">
        <v>Waipahu</v>
      </c>
      <c r="B122" s="25" t="str">
        <v>HI</v>
      </c>
      <c r="C122" s="25" t="str">
        <f>Sites[[#This Row],[SOL'#]]</f>
        <v>SOL-10068</v>
      </c>
      <c r="D122" s="20"/>
      <c r="E122" s="10"/>
      <c r="F122" s="10" t="str">
        <f t="shared" si="4"/>
        <v/>
      </c>
      <c r="G122" s="11" t="str">
        <f t="shared" si="7"/>
        <v/>
      </c>
      <c r="H122" s="12"/>
      <c r="I122" s="12" t="str">
        <f t="shared" si="5"/>
        <v/>
      </c>
      <c r="J122" s="73" t="str">
        <f t="shared" si="6"/>
        <v/>
      </c>
      <c r="K122" s="37"/>
      <c r="L122" s="37"/>
    </row>
    <row r="123" spans="1:12" ht="15.6">
      <c r="A123" s="26" t="str">
        <v>Bird in Hand</v>
      </c>
      <c r="B123" s="27" t="str">
        <v>MD</v>
      </c>
      <c r="C123" s="27" t="str">
        <f>Sites[[#This Row],[SOL'#]]</f>
        <v>SOL-10092</v>
      </c>
      <c r="D123" s="9"/>
      <c r="E123" s="14"/>
      <c r="F123" s="14" t="str">
        <f t="shared" si="4"/>
        <v/>
      </c>
      <c r="G123" s="15" t="str">
        <f t="shared" si="7"/>
        <v/>
      </c>
      <c r="H123" s="16"/>
      <c r="I123" s="16" t="str">
        <f t="shared" si="5"/>
        <v/>
      </c>
      <c r="J123" s="15" t="str">
        <f t="shared" si="6"/>
        <v/>
      </c>
      <c r="K123" s="38"/>
      <c r="L123" s="58"/>
    </row>
    <row r="124" spans="1:12" ht="15.6">
      <c r="A124" s="24" t="str">
        <v>Shortal</v>
      </c>
      <c r="B124" s="25" t="str">
        <v>MD</v>
      </c>
      <c r="C124" s="25" t="str">
        <f>Sites[[#This Row],[SOL'#]]</f>
        <v>SOL-10091</v>
      </c>
      <c r="D124" s="20"/>
      <c r="E124" s="10"/>
      <c r="F124" s="10" t="str">
        <f t="shared" si="4"/>
        <v/>
      </c>
      <c r="G124" s="11" t="str">
        <f t="shared" si="7"/>
        <v/>
      </c>
      <c r="H124" s="12"/>
      <c r="I124" s="12" t="str">
        <f t="shared" si="5"/>
        <v/>
      </c>
      <c r="J124" s="73" t="str">
        <f t="shared" si="6"/>
        <v/>
      </c>
      <c r="K124" s="37"/>
      <c r="L124" s="37"/>
    </row>
    <row r="125" spans="1:12" ht="15.6">
      <c r="A125" s="26" t="str">
        <v>Aguadilla</v>
      </c>
      <c r="B125" s="27" t="str">
        <v>PR</v>
      </c>
      <c r="C125" s="27" t="str">
        <f>Sites[[#This Row],[SOL'#]]</f>
        <v>SOL-10072</v>
      </c>
      <c r="D125" s="9"/>
      <c r="E125" s="14"/>
      <c r="F125" s="14" t="str">
        <f t="shared" si="4"/>
        <v/>
      </c>
      <c r="G125" s="15" t="str">
        <f t="shared" si="7"/>
        <v/>
      </c>
      <c r="H125" s="16"/>
      <c r="I125" s="16" t="str">
        <f t="shared" si="5"/>
        <v/>
      </c>
      <c r="J125" s="15" t="str">
        <f t="shared" si="6"/>
        <v/>
      </c>
      <c r="K125" s="38"/>
      <c r="L125" s="57"/>
    </row>
    <row r="126" spans="1:12" ht="15.6">
      <c r="A126" s="24" t="str">
        <v>Bayamon</v>
      </c>
      <c r="B126" s="25" t="str">
        <v>PR</v>
      </c>
      <c r="C126" s="25" t="str">
        <f>Sites[[#This Row],[SOL'#]]</f>
        <v>SOL-10073</v>
      </c>
      <c r="D126" s="20"/>
      <c r="E126" s="10"/>
      <c r="F126" s="10" t="str">
        <f t="shared" si="4"/>
        <v/>
      </c>
      <c r="G126" s="11" t="str">
        <f t="shared" si="7"/>
        <v/>
      </c>
      <c r="H126" s="12"/>
      <c r="I126" s="12" t="str">
        <f t="shared" si="5"/>
        <v/>
      </c>
      <c r="J126" s="73" t="str">
        <f t="shared" si="6"/>
        <v/>
      </c>
      <c r="K126" s="37"/>
      <c r="L126" s="37"/>
    </row>
    <row r="127" spans="1:12" ht="15.6">
      <c r="A127" s="26" t="str">
        <v>St Francis</v>
      </c>
      <c r="B127" s="27" t="str">
        <v>PR</v>
      </c>
      <c r="C127" s="27" t="str">
        <f>Sites[[#This Row],[SOL'#]]</f>
        <v>SOL-10034</v>
      </c>
      <c r="D127" s="9"/>
      <c r="E127" s="14"/>
      <c r="F127" s="14" t="str">
        <f t="shared" si="4"/>
        <v/>
      </c>
      <c r="G127" s="15" t="str">
        <f t="shared" si="7"/>
        <v/>
      </c>
      <c r="H127" s="16"/>
      <c r="I127" s="16" t="str">
        <f t="shared" si="5"/>
        <v/>
      </c>
      <c r="J127" s="15" t="str">
        <f t="shared" si="6"/>
        <v/>
      </c>
      <c r="K127" s="67"/>
      <c r="L127" s="68"/>
    </row>
    <row r="128" spans="1:12" ht="15.6">
      <c r="A128" s="24" t="str">
        <v>Seaport</v>
      </c>
      <c r="B128" s="25" t="str">
        <v>MA</v>
      </c>
      <c r="C128" s="25" t="str">
        <f>Sites[[#This Row],[SOL'#]]</f>
        <v>SOL-10772</v>
      </c>
      <c r="D128" s="20"/>
      <c r="E128" s="10"/>
      <c r="F128" s="10" t="str">
        <f t="shared" si="4"/>
        <v/>
      </c>
      <c r="G128" s="11" t="str">
        <f t="shared" si="7"/>
        <v/>
      </c>
      <c r="H128" s="12"/>
      <c r="I128" s="12" t="str">
        <f t="shared" si="5"/>
        <v/>
      </c>
      <c r="J128" s="73" t="str">
        <f t="shared" si="6"/>
        <v/>
      </c>
      <c r="K128" s="37"/>
      <c r="L128" s="37"/>
    </row>
    <row r="129" spans="1:12" ht="15.6">
      <c r="A129" s="26" t="str">
        <v>Sprague St</v>
      </c>
      <c r="B129" s="27" t="str">
        <v>MA</v>
      </c>
      <c r="C129" s="27" t="str">
        <f>Sites[[#This Row],[SOL'#]]</f>
        <v>SOL-10773</v>
      </c>
      <c r="D129" s="9"/>
      <c r="E129" s="14"/>
      <c r="F129" s="14" t="str">
        <f t="shared" si="4"/>
        <v/>
      </c>
      <c r="G129" s="15" t="str">
        <f t="shared" si="7"/>
        <v/>
      </c>
      <c r="H129" s="16"/>
      <c r="I129" s="16" t="str">
        <f t="shared" si="5"/>
        <v/>
      </c>
      <c r="J129" s="15" t="str">
        <f t="shared" si="6"/>
        <v/>
      </c>
      <c r="K129" s="38"/>
      <c r="L129" s="58"/>
    </row>
    <row r="130" spans="1:12" ht="181.5" customHeight="1">
      <c r="A130" s="24" t="str">
        <v>Summer St</v>
      </c>
      <c r="B130" s="25" t="str">
        <v>MA</v>
      </c>
      <c r="C130" s="25" t="str">
        <f>Sites[[#This Row],[SOL'#]]</f>
        <v>SOL-10764</v>
      </c>
      <c r="D130" s="20"/>
      <c r="E130" s="10"/>
      <c r="F130" s="10" t="str">
        <f t="shared" si="4"/>
        <v/>
      </c>
      <c r="G130" s="11" t="str">
        <f t="shared" si="7"/>
        <v/>
      </c>
      <c r="H130" s="12"/>
      <c r="I130" s="12" t="str">
        <f t="shared" si="5"/>
        <v/>
      </c>
      <c r="J130" s="73" t="str">
        <f t="shared" si="6"/>
        <v/>
      </c>
      <c r="K130" s="37"/>
      <c r="L130" s="37"/>
    </row>
    <row r="131" spans="1:12" ht="15.6">
      <c r="A131" s="26" t="str">
        <v>Brock St Vocational</v>
      </c>
      <c r="B131" s="27" t="str">
        <v>NH</v>
      </c>
      <c r="C131" s="27" t="str">
        <f>Sites[[#This Row],[SOL'#]]</f>
        <v>SOL-10768</v>
      </c>
      <c r="D131" s="9"/>
      <c r="E131" s="14"/>
      <c r="F131" s="14" t="str">
        <f t="shared" si="4"/>
        <v/>
      </c>
      <c r="G131" s="15" t="str">
        <f t="shared" si="7"/>
        <v/>
      </c>
      <c r="H131" s="16"/>
      <c r="I131" s="16" t="str">
        <f t="shared" si="5"/>
        <v/>
      </c>
      <c r="J131" s="15" t="str">
        <f t="shared" si="6"/>
        <v/>
      </c>
      <c r="K131" s="38"/>
      <c r="L131" s="39"/>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73" t="str">
        <f t="shared" si="6"/>
        <v/>
      </c>
      <c r="K132" s="37"/>
      <c r="L132" s="37"/>
    </row>
    <row r="133" spans="1:12" ht="15.6">
      <c r="A133" s="26" t="str">
        <v>Portland St</v>
      </c>
      <c r="B133" s="27" t="str">
        <v>NH</v>
      </c>
      <c r="C133" s="27" t="str">
        <f>Sites[[#This Row],[SOL'#]]</f>
        <v>SOL-10771</v>
      </c>
      <c r="D133" s="9"/>
      <c r="E133" s="14"/>
      <c r="F133" s="14" t="str">
        <f t="shared" ref="F133:F139" si="8">IF(AND(ISNUMBER(D133),ISNUMBER(E133)), D133-E133, "")</f>
        <v/>
      </c>
      <c r="G133" s="15" t="str">
        <f t="shared" si="7"/>
        <v/>
      </c>
      <c r="H133" s="16"/>
      <c r="I133" s="16" t="str">
        <f t="shared" ref="I133:I139" si="9">IF(AND(ISNUMBER(D133),ISNUMBER(H133)), D133-H133, "")</f>
        <v/>
      </c>
      <c r="J133" s="15" t="str">
        <f t="shared" ref="J133:J139" si="10">IFERROR(I133/H133, "")</f>
        <v/>
      </c>
      <c r="K133" s="38"/>
      <c r="L133" s="39"/>
    </row>
    <row r="134" spans="1:12" ht="15.6">
      <c r="A134" s="24" t="str">
        <v>Portsmouth HS</v>
      </c>
      <c r="B134" s="25" t="str">
        <v>NH</v>
      </c>
      <c r="C134" s="25" t="str">
        <f>Sites[[#This Row],[SOL'#]]</f>
        <v>SOL-10769</v>
      </c>
      <c r="D134" s="20"/>
      <c r="E134" s="10"/>
      <c r="F134" s="10" t="str">
        <f t="shared" si="8"/>
        <v/>
      </c>
      <c r="G134" s="11" t="str">
        <f t="shared" ref="G134:G139" si="11">IFERROR(F134/E134, "")</f>
        <v/>
      </c>
      <c r="H134" s="12"/>
      <c r="I134" s="12" t="str">
        <f t="shared" si="9"/>
        <v/>
      </c>
      <c r="J134" s="73" t="str">
        <f t="shared" si="10"/>
        <v/>
      </c>
      <c r="K134" s="37"/>
      <c r="L134" s="37"/>
    </row>
    <row r="135" spans="1:12" ht="15.6">
      <c r="A135" s="26" t="str">
        <v>Portsmouth WTP</v>
      </c>
      <c r="B135" s="27" t="str">
        <v>NH</v>
      </c>
      <c r="C135" s="27" t="str">
        <f>Sites[[#This Row],[SOL'#]]</f>
        <v>SOL-10770</v>
      </c>
      <c r="D135" s="9"/>
      <c r="E135" s="14"/>
      <c r="F135" s="14" t="str">
        <f t="shared" si="8"/>
        <v/>
      </c>
      <c r="G135" s="15" t="str">
        <f t="shared" si="11"/>
        <v/>
      </c>
      <c r="H135" s="16"/>
      <c r="I135" s="16" t="str">
        <f t="shared" si="9"/>
        <v/>
      </c>
      <c r="J135" s="15" t="str">
        <f t="shared" si="10"/>
        <v/>
      </c>
      <c r="K135" s="38"/>
      <c r="L135" s="39"/>
    </row>
    <row r="136" spans="1:12" ht="15.6">
      <c r="A136" s="24" t="str">
        <v>Rochester St</v>
      </c>
      <c r="B136" s="25" t="str">
        <v>NH</v>
      </c>
      <c r="C136" s="25" t="str">
        <f>Sites[[#This Row],[SOL'#]]</f>
        <v>SOL-10765</v>
      </c>
      <c r="D136" s="20"/>
      <c r="E136" s="10"/>
      <c r="F136" s="10" t="str">
        <f t="shared" si="8"/>
        <v/>
      </c>
      <c r="G136" s="11" t="str">
        <f t="shared" si="11"/>
        <v/>
      </c>
      <c r="H136" s="12"/>
      <c r="I136" s="12" t="str">
        <f t="shared" si="9"/>
        <v/>
      </c>
      <c r="J136" s="73" t="str">
        <f t="shared" si="10"/>
        <v/>
      </c>
      <c r="K136" s="37"/>
      <c r="L136" s="37"/>
    </row>
    <row r="137" spans="1:12" ht="15.6">
      <c r="A137" s="26" t="str">
        <v>Spaulding HS</v>
      </c>
      <c r="B137" s="27" t="str">
        <v>NH</v>
      </c>
      <c r="C137" s="27" t="str">
        <f>Sites[[#This Row],[SOL'#]]</f>
        <v>SOL-10767</v>
      </c>
      <c r="D137" s="9"/>
      <c r="E137" s="14"/>
      <c r="F137" s="14" t="str">
        <f t="shared" si="8"/>
        <v/>
      </c>
      <c r="G137" s="15" t="str">
        <f t="shared" si="11"/>
        <v/>
      </c>
      <c r="H137" s="16"/>
      <c r="I137" s="16" t="str">
        <f t="shared" si="9"/>
        <v/>
      </c>
      <c r="J137" s="15" t="str">
        <f t="shared" si="10"/>
        <v/>
      </c>
      <c r="K137" s="38"/>
      <c r="L137" s="39"/>
    </row>
    <row r="138" spans="1:12" ht="15.6">
      <c r="A138" s="24" t="str">
        <v>Ridgeway #2</v>
      </c>
      <c r="B138" s="25" t="str">
        <v>NY</v>
      </c>
      <c r="C138" s="25" t="str">
        <f>Sites[[#This Row],[SOL'#]]</f>
        <v>SOL-11027</v>
      </c>
      <c r="D138" s="20"/>
      <c r="E138" s="10"/>
      <c r="F138" s="10" t="str">
        <f t="shared" si="8"/>
        <v/>
      </c>
      <c r="G138" s="11" t="str">
        <f t="shared" si="11"/>
        <v/>
      </c>
      <c r="H138" s="12"/>
      <c r="I138" s="12" t="str">
        <f t="shared" si="9"/>
        <v/>
      </c>
      <c r="J138" s="73" t="str">
        <f t="shared" si="10"/>
        <v/>
      </c>
      <c r="K138" s="37"/>
      <c r="L138" s="37"/>
    </row>
    <row r="139" spans="1:12" ht="15.6">
      <c r="A139" s="26" t="str">
        <v>Spencer</v>
      </c>
      <c r="B139" s="27" t="str">
        <v>NY</v>
      </c>
      <c r="C139" s="27" t="str">
        <f>Sites[[#This Row],[SOL'#]]</f>
        <v>SOL-11017</v>
      </c>
      <c r="D139" s="9"/>
      <c r="E139" s="14"/>
      <c r="F139" s="14" t="str">
        <f t="shared" si="8"/>
        <v/>
      </c>
      <c r="G139" s="15" t="str">
        <f t="shared" si="11"/>
        <v/>
      </c>
      <c r="H139" s="16"/>
      <c r="I139" s="16" t="str">
        <f t="shared" si="9"/>
        <v/>
      </c>
      <c r="J139" s="15" t="str">
        <f t="shared" si="10"/>
        <v/>
      </c>
      <c r="K139" s="38"/>
      <c r="L139" s="39"/>
    </row>
    <row r="140" spans="1:12" ht="15.6">
      <c r="A140" s="28" t="str">
        <v>Reisender</v>
      </c>
      <c r="B140" s="25" t="str">
        <v>NY</v>
      </c>
      <c r="C140" s="25" t="str">
        <f>Sites[[#This Row],[SOL'#]]</f>
        <v>SOL-10886</v>
      </c>
      <c r="D140" s="60"/>
      <c r="E140" s="10"/>
      <c r="F140" s="10"/>
      <c r="G140" s="61"/>
      <c r="H140" s="76"/>
      <c r="I140" s="76"/>
      <c r="J140" s="73"/>
      <c r="K140" s="63"/>
      <c r="L140" s="37"/>
    </row>
    <row r="141" spans="1:12" ht="15.6">
      <c r="A141" s="26" t="str">
        <v>Finney</v>
      </c>
      <c r="B141" s="27" t="str">
        <v>NY</v>
      </c>
      <c r="C141" s="27" t="str">
        <f>Sites[[#This Row],[SOL'#]]</f>
        <v>SOL-10999</v>
      </c>
      <c r="D141" s="75"/>
      <c r="E141" s="14"/>
      <c r="F141" s="14"/>
      <c r="G141" s="77"/>
      <c r="H141" s="78"/>
      <c r="I141" s="78"/>
      <c r="J141" s="77"/>
      <c r="K141" s="38"/>
      <c r="L141" s="17"/>
    </row>
    <row r="142" spans="1:12" ht="15.6">
      <c r="A142" s="24" t="str">
        <v>Davis Solar</v>
      </c>
      <c r="B142" s="25" t="str">
        <v>NY</v>
      </c>
      <c r="C142" s="25" t="str">
        <f>Sites[[#This Row],[SOL'#]]</f>
        <v>SOL-10958</v>
      </c>
      <c r="D142" s="60"/>
      <c r="E142" s="10"/>
      <c r="F142" s="10"/>
      <c r="G142" s="61"/>
      <c r="H142" s="76"/>
      <c r="I142" s="76"/>
      <c r="J142" s="73"/>
      <c r="K142" s="63"/>
      <c r="L142" s="37"/>
    </row>
    <row r="143" spans="1:12" ht="15.6">
      <c r="A143" s="26" t="str">
        <v>Genesee</v>
      </c>
      <c r="B143" s="27" t="str">
        <v>NY</v>
      </c>
      <c r="C143" s="27" t="str">
        <f>Sites[[#This Row],[SOL'#]]</f>
        <v>SOL-10951</v>
      </c>
      <c r="D143" s="75"/>
      <c r="E143" s="14"/>
      <c r="F143" s="14"/>
      <c r="G143" s="77"/>
      <c r="H143" s="78"/>
      <c r="I143" s="78"/>
      <c r="J143" s="77"/>
      <c r="K143" s="38"/>
      <c r="L143" s="17"/>
    </row>
    <row r="144" spans="1:12" ht="15.6">
      <c r="A144" s="24" t="str">
        <v>Landau I</v>
      </c>
      <c r="B144" s="25" t="str">
        <v>NY</v>
      </c>
      <c r="C144" s="25" t="str">
        <f>Sites[[#This Row],[SOL'#]]</f>
        <v>SOL-10891</v>
      </c>
      <c r="D144" s="60"/>
      <c r="E144" s="10"/>
      <c r="F144" s="10"/>
      <c r="G144" s="61"/>
      <c r="H144" s="76"/>
      <c r="I144" s="76"/>
      <c r="J144" s="73"/>
      <c r="K144" s="63"/>
      <c r="L144" s="37"/>
    </row>
    <row r="145" spans="1:12" ht="15.6">
      <c r="A145" s="26" t="str">
        <v>Landau II</v>
      </c>
      <c r="B145" s="27" t="str">
        <v>NY</v>
      </c>
      <c r="C145" s="27" t="str">
        <f>Sites[[#This Row],[SOL'#]]</f>
        <v>SOL-10895</v>
      </c>
      <c r="D145" s="75"/>
      <c r="E145" s="14"/>
      <c r="F145" s="14"/>
      <c r="G145" s="77"/>
      <c r="H145" s="78"/>
      <c r="I145" s="78"/>
      <c r="J145" s="77"/>
      <c r="K145" s="38"/>
      <c r="L145" s="17"/>
    </row>
    <row r="146" spans="1:12" ht="15.6">
      <c r="A146" s="24" t="str">
        <v>New Beginnings</v>
      </c>
      <c r="B146" s="25" t="str">
        <v>NY</v>
      </c>
      <c r="C146" s="25" t="str">
        <f>Sites[[#This Row],[SOL'#]]</f>
        <v>SOL-10890</v>
      </c>
      <c r="D146" s="60"/>
      <c r="E146" s="10"/>
      <c r="F146" s="10"/>
      <c r="G146" s="61"/>
      <c r="H146" s="76"/>
      <c r="I146" s="76"/>
      <c r="J146" s="73"/>
      <c r="K146" s="63"/>
      <c r="L146" s="37"/>
    </row>
    <row r="147" spans="1:12" ht="15.6">
      <c r="A147" s="26" t="str">
        <v>Guilin Farm Solar</v>
      </c>
      <c r="B147" s="27" t="str">
        <v>NY</v>
      </c>
      <c r="C147" s="27" t="str">
        <f>Sites[[#This Row],[SOL'#]]</f>
        <v>SOL-10998</v>
      </c>
      <c r="D147" s="75"/>
      <c r="E147" s="14"/>
      <c r="F147" s="14"/>
      <c r="G147" s="77"/>
      <c r="H147" s="78"/>
      <c r="I147" s="78"/>
      <c r="J147" s="77"/>
      <c r="K147" s="38"/>
      <c r="L147" s="17"/>
    </row>
    <row r="148" spans="1:12" ht="15.6">
      <c r="A148" s="24" t="str">
        <v>Brodhead Solar</v>
      </c>
      <c r="B148" s="25" t="str">
        <v>NY</v>
      </c>
      <c r="C148" s="25" t="str">
        <f>Sites[[#This Row],[SOL'#]]</f>
        <v>SOL-10899</v>
      </c>
      <c r="D148" s="60"/>
      <c r="E148" s="10"/>
      <c r="F148" s="10"/>
      <c r="G148" s="61"/>
      <c r="H148" s="76"/>
      <c r="I148" s="76"/>
      <c r="J148" s="73"/>
      <c r="K148" s="63"/>
      <c r="L148" s="37"/>
    </row>
    <row r="149" spans="1:12" ht="15.6">
      <c r="A149" s="26" t="str">
        <v>Svenski</v>
      </c>
      <c r="B149" s="27" t="str">
        <v>NY</v>
      </c>
      <c r="C149" s="27" t="str">
        <f>Sites[[#This Row],[SOL'#]]</f>
        <v>SOL-10894</v>
      </c>
      <c r="D149" s="75"/>
      <c r="E149" s="14"/>
      <c r="F149" s="14"/>
      <c r="G149" s="77"/>
      <c r="H149" s="78"/>
      <c r="I149" s="78"/>
      <c r="J149" s="77"/>
      <c r="K149" s="38"/>
      <c r="L149" s="17"/>
    </row>
    <row r="150" spans="1:12" ht="15.6">
      <c r="A150" s="24" t="str">
        <v>Bantam</v>
      </c>
      <c r="B150" s="25" t="str">
        <v>NY</v>
      </c>
      <c r="C150" s="25" t="str">
        <f>Sites[[#This Row],[SOL'#]]</f>
        <v>SOL-10986</v>
      </c>
      <c r="D150" s="60"/>
      <c r="E150" s="10"/>
      <c r="F150" s="10"/>
      <c r="G150" s="61"/>
      <c r="H150" s="76"/>
      <c r="I150" s="76"/>
      <c r="J150" s="73"/>
      <c r="K150" s="63"/>
      <c r="L150" s="37"/>
    </row>
    <row r="151" spans="1:12" ht="15.6">
      <c r="A151" s="26" t="str">
        <v>Bogart</v>
      </c>
      <c r="B151" s="27" t="str">
        <v>NY</v>
      </c>
      <c r="C151" s="27" t="str">
        <f>Sites[[#This Row],[SOL'#]]</f>
        <v>SOL-10887</v>
      </c>
      <c r="D151" s="75"/>
      <c r="E151" s="14"/>
      <c r="F151" s="14"/>
      <c r="G151" s="77"/>
      <c r="H151" s="78"/>
      <c r="I151" s="78"/>
      <c r="J151" s="77"/>
      <c r="K151" s="38"/>
      <c r="L151" s="17"/>
    </row>
    <row r="152" spans="1:12" ht="15.6">
      <c r="A152" s="24" t="str">
        <v>Dubois</v>
      </c>
      <c r="B152" s="25" t="str">
        <v>NY</v>
      </c>
      <c r="C152" s="25" t="str">
        <f>Sites[[#This Row],[SOL'#]]</f>
        <v>SOL-10892</v>
      </c>
      <c r="D152" s="60"/>
      <c r="E152" s="10"/>
      <c r="F152" s="10"/>
      <c r="G152" s="61"/>
      <c r="H152" s="76"/>
      <c r="I152" s="76"/>
      <c r="J152" s="73"/>
      <c r="K152" s="63"/>
      <c r="L152" s="37"/>
    </row>
    <row r="153" spans="1:12" ht="15.6">
      <c r="A153" s="26" t="str">
        <v>Salt Point</v>
      </c>
      <c r="B153" s="27" t="str">
        <v>NY</v>
      </c>
      <c r="C153" s="27" t="str">
        <f>Sites[[#This Row],[SOL'#]]</f>
        <v>SOL-10888</v>
      </c>
      <c r="D153" s="75"/>
      <c r="E153" s="14"/>
      <c r="F153" s="14"/>
      <c r="G153" s="77"/>
      <c r="H153" s="78"/>
      <c r="I153" s="78"/>
      <c r="J153" s="77"/>
      <c r="K153" s="126"/>
      <c r="L153" s="17"/>
    </row>
    <row r="154" spans="1:12" ht="15.6">
      <c r="A154" s="24" t="str">
        <v>Wheatland 2A</v>
      </c>
      <c r="B154" s="25" t="str">
        <v>NY</v>
      </c>
      <c r="C154" s="25" t="str">
        <f>Sites[[#This Row],[SOL'#]]</f>
        <v>SOL-10971</v>
      </c>
      <c r="D154" s="60"/>
      <c r="E154" s="10"/>
      <c r="F154" s="10"/>
      <c r="G154" s="61"/>
      <c r="H154" s="76"/>
      <c r="I154" s="76"/>
      <c r="J154" s="73"/>
      <c r="K154" s="63"/>
      <c r="L154" s="37"/>
    </row>
    <row r="155" spans="1:12" ht="15.6">
      <c r="A155" s="26" t="str">
        <v>Wheatland 2B</v>
      </c>
      <c r="B155" s="27" t="str">
        <v>NY</v>
      </c>
      <c r="C155" s="27" t="str">
        <f>Sites[[#This Row],[SOL'#]]</f>
        <v>SOL-10961</v>
      </c>
      <c r="D155" s="75"/>
      <c r="E155" s="14"/>
      <c r="F155" s="14"/>
      <c r="G155" s="77"/>
      <c r="H155" s="78"/>
      <c r="I155" s="78"/>
      <c r="J155" s="77"/>
      <c r="K155" s="38"/>
      <c r="L155" s="17"/>
    </row>
    <row r="156" spans="1:12" ht="15.6">
      <c r="A156" s="24" t="str">
        <v>Brickchurch</v>
      </c>
      <c r="B156" s="25" t="str">
        <v>NY</v>
      </c>
      <c r="C156" s="25" t="str">
        <f>Sites[[#This Row],[SOL'#]]</f>
        <v>SOL-10889</v>
      </c>
      <c r="D156" s="60"/>
      <c r="E156" s="10"/>
      <c r="F156" s="10"/>
      <c r="G156" s="61"/>
      <c r="H156" s="76"/>
      <c r="I156" s="76"/>
      <c r="J156" s="73"/>
      <c r="K156" s="63"/>
      <c r="L156" s="37"/>
    </row>
    <row r="157" spans="1:12" ht="15.6">
      <c r="A157" s="26" t="str">
        <v>McCarthy Solar</v>
      </c>
      <c r="B157" s="27" t="str">
        <v>NY</v>
      </c>
      <c r="C157" s="27" t="str">
        <f>Sites[[#This Row],[SOL'#]]</f>
        <v>SOL-10992</v>
      </c>
      <c r="D157" s="75"/>
      <c r="E157" s="14"/>
      <c r="F157" s="14"/>
      <c r="G157" s="77"/>
      <c r="H157" s="78"/>
      <c r="I157" s="78"/>
      <c r="J157" s="77"/>
      <c r="K157" s="38"/>
      <c r="L157" s="17"/>
    </row>
    <row r="158" spans="1:12" ht="15.6">
      <c r="A158" s="24" t="str">
        <v>Costanza</v>
      </c>
      <c r="B158" s="25" t="str">
        <v>NY</v>
      </c>
      <c r="C158" s="25" t="str">
        <f>Sites[[#This Row],[SOL'#]]</f>
        <v>SOL-10907</v>
      </c>
      <c r="D158" s="60"/>
      <c r="E158" s="10"/>
      <c r="F158" s="10"/>
      <c r="G158" s="61"/>
      <c r="H158" s="76"/>
      <c r="I158" s="76"/>
      <c r="J158" s="73"/>
      <c r="K158" s="63"/>
      <c r="L158" s="37"/>
    </row>
    <row r="159" spans="1:12" ht="15.6">
      <c r="A159" s="26" t="str">
        <v>Lockenhurst Pond</v>
      </c>
      <c r="B159" s="27" t="str">
        <v>NY</v>
      </c>
      <c r="C159" s="27" t="str">
        <f>Sites[[#This Row],[SOL'#]]</f>
        <v>SOL-11000</v>
      </c>
      <c r="D159" s="75"/>
      <c r="E159" s="14"/>
      <c r="F159" s="14"/>
      <c r="G159" s="77"/>
      <c r="H159" s="78"/>
      <c r="I159" s="78"/>
      <c r="J159" s="77"/>
      <c r="K159" s="38"/>
      <c r="L159" s="17"/>
    </row>
    <row r="160" spans="1:12" ht="15.6">
      <c r="A160" s="24" t="str">
        <v>Drinkwater</v>
      </c>
      <c r="B160" s="25" t="str">
        <v>NY</v>
      </c>
      <c r="C160" s="25" t="str">
        <f>Sites[[#This Row],[SOL'#]]</f>
        <v>SOL-10896</v>
      </c>
      <c r="D160" s="60"/>
      <c r="E160" s="10"/>
      <c r="F160" s="10"/>
      <c r="G160" s="61"/>
      <c r="H160" s="76"/>
      <c r="I160" s="76"/>
      <c r="J160" s="73"/>
      <c r="K160" s="63"/>
      <c r="L160" s="37"/>
    </row>
    <row r="161" spans="1:12" ht="15.6">
      <c r="A161" s="26" t="str">
        <v>Altamont</v>
      </c>
      <c r="B161" s="27" t="str">
        <v>NY</v>
      </c>
      <c r="C161" s="27" t="s">
        <v>228</v>
      </c>
      <c r="D161" s="75"/>
      <c r="E161" s="14"/>
      <c r="F161" s="14"/>
      <c r="G161" s="77"/>
      <c r="H161" s="78"/>
      <c r="I161" s="78"/>
      <c r="J161" s="77"/>
      <c r="K161" s="38"/>
      <c r="L161" s="17"/>
    </row>
    <row r="162" spans="1:12" ht="15.6">
      <c r="A162" s="24" t="str">
        <v>Krumkill North</v>
      </c>
      <c r="B162" s="25" t="str">
        <v>NY</v>
      </c>
      <c r="C162" s="25" t="str">
        <f>Sites[[#This Row],[SOL'#]]</f>
        <v>SOL-11086</v>
      </c>
      <c r="D162" s="60"/>
      <c r="E162" s="10"/>
      <c r="F162" s="10"/>
      <c r="G162" s="61"/>
      <c r="H162" s="76"/>
      <c r="I162" s="76"/>
      <c r="J162" s="73"/>
      <c r="K162" s="63"/>
      <c r="L162" s="37"/>
    </row>
    <row r="163" spans="1:12" ht="15.6">
      <c r="A163" s="26" t="str">
        <v>Krumkill South</v>
      </c>
      <c r="B163" s="27" t="str">
        <v>NY</v>
      </c>
      <c r="C163" s="27" t="s">
        <v>469</v>
      </c>
      <c r="D163" s="75"/>
      <c r="E163" s="14"/>
      <c r="F163" s="14"/>
      <c r="G163" s="77"/>
      <c r="H163" s="78"/>
      <c r="I163" s="78"/>
      <c r="J163" s="77"/>
      <c r="K163" s="38"/>
      <c r="L163" s="17"/>
    </row>
    <row r="164" spans="1:12" ht="15.6">
      <c r="A164" s="24" t="str">
        <v>X092</v>
      </c>
      <c r="B164" s="25" t="str">
        <v>NY</v>
      </c>
      <c r="C164" s="25" t="str">
        <f>Sites[[#This Row],[SOL'#]]</f>
        <v>SOL-11189</v>
      </c>
      <c r="D164" s="60"/>
      <c r="E164" s="10"/>
      <c r="F164" s="10"/>
      <c r="G164" s="61"/>
      <c r="H164" s="76"/>
      <c r="I164" s="76"/>
      <c r="J164" s="73"/>
      <c r="K164" s="63"/>
      <c r="L164" s="37"/>
    </row>
    <row r="165" spans="1:12" ht="15.6">
      <c r="A165" s="26" t="str">
        <v>X093</v>
      </c>
      <c r="B165" s="27" t="str">
        <v>NY</v>
      </c>
      <c r="C165" s="27" t="s">
        <v>470</v>
      </c>
      <c r="D165" s="75"/>
      <c r="E165" s="14"/>
      <c r="F165" s="14"/>
      <c r="G165" s="77"/>
      <c r="H165" s="78"/>
      <c r="I165" s="78"/>
      <c r="J165" s="77"/>
      <c r="K165" s="38"/>
      <c r="L165" s="17"/>
    </row>
    <row r="166" spans="1:12" ht="15.6">
      <c r="A166" s="24" t="str">
        <v>X095</v>
      </c>
      <c r="B166" s="25" t="str">
        <v>NY</v>
      </c>
      <c r="C166" s="25" t="str">
        <f>Sites[[#This Row],[SOL'#]]</f>
        <v>SOL-10929</v>
      </c>
      <c r="D166" s="60"/>
      <c r="E166" s="10"/>
      <c r="F166" s="10"/>
      <c r="G166" s="61"/>
      <c r="H166" s="76"/>
      <c r="I166" s="76"/>
      <c r="J166" s="73"/>
      <c r="K166" s="63"/>
      <c r="L166" s="37"/>
    </row>
    <row r="167" spans="1:12" ht="15.6">
      <c r="A167" s="26" t="str">
        <v>X181</v>
      </c>
      <c r="B167" s="27" t="str">
        <v>NY</v>
      </c>
      <c r="C167" s="27" t="s">
        <v>471</v>
      </c>
      <c r="D167" s="75"/>
      <c r="E167" s="14"/>
      <c r="F167" s="14"/>
      <c r="G167" s="77"/>
      <c r="H167" s="78"/>
      <c r="I167" s="78"/>
      <c r="J167" s="77"/>
      <c r="K167" s="38"/>
      <c r="L167" s="17"/>
    </row>
    <row r="168" spans="1:12" ht="15.6">
      <c r="A168" s="24" t="str">
        <v>X415</v>
      </c>
      <c r="B168" s="25" t="str">
        <v>NY</v>
      </c>
      <c r="C168" s="25" t="str">
        <f>Sites[[#This Row],[SOL'#]]</f>
        <v>SOL-10429</v>
      </c>
      <c r="D168" s="60"/>
      <c r="E168" s="10"/>
      <c r="F168" s="10"/>
      <c r="G168" s="61"/>
      <c r="H168" s="76"/>
      <c r="I168" s="76"/>
      <c r="J168" s="73"/>
      <c r="K168" s="63"/>
      <c r="L168" s="37"/>
    </row>
    <row r="169" spans="1:12" ht="15.6">
      <c r="A169" s="26" t="str">
        <v>K198</v>
      </c>
      <c r="B169" s="27" t="str">
        <v>NY</v>
      </c>
      <c r="C169" s="27" t="s">
        <v>472</v>
      </c>
      <c r="D169" s="75"/>
      <c r="E169" s="14"/>
      <c r="F169" s="14"/>
      <c r="G169" s="77"/>
      <c r="H169" s="78"/>
      <c r="I169" s="78"/>
      <c r="J169" s="77"/>
      <c r="K169" s="38"/>
      <c r="L169" s="17"/>
    </row>
    <row r="170" spans="1:12" ht="15.6">
      <c r="A170" s="24" t="str">
        <v>K203</v>
      </c>
      <c r="B170" s="25" t="str">
        <v>NY</v>
      </c>
      <c r="C170" s="25" t="str">
        <f>Sites[[#This Row],[SOL'#]]</f>
        <v>SOL-11190</v>
      </c>
      <c r="D170" s="60"/>
      <c r="E170" s="10"/>
      <c r="F170" s="10"/>
      <c r="G170" s="61"/>
      <c r="H170" s="76"/>
      <c r="I170" s="76"/>
      <c r="J170" s="73"/>
      <c r="K170" s="63"/>
      <c r="L170" s="37"/>
    </row>
    <row r="171" spans="1:12" ht="15.6">
      <c r="A171" s="26" t="str">
        <v>K213</v>
      </c>
      <c r="B171" s="27" t="str">
        <v>NY</v>
      </c>
      <c r="C171" s="27" t="s">
        <v>473</v>
      </c>
      <c r="D171" s="75"/>
      <c r="E171" s="14"/>
      <c r="F171" s="14"/>
      <c r="G171" s="77"/>
      <c r="H171" s="78"/>
      <c r="I171" s="78"/>
      <c r="J171" s="77"/>
      <c r="K171" s="38"/>
      <c r="L171" s="17"/>
    </row>
    <row r="172" spans="1:12" ht="15.6">
      <c r="A172" s="24" t="str">
        <v>K217</v>
      </c>
      <c r="B172" s="25" t="str">
        <v>NY</v>
      </c>
      <c r="C172" s="25" t="str">
        <f>Sites[[#This Row],[SOL'#]]</f>
        <v>SOL-10933</v>
      </c>
      <c r="D172" s="60"/>
      <c r="E172" s="10"/>
      <c r="F172" s="10"/>
      <c r="G172" s="61"/>
      <c r="H172" s="76"/>
      <c r="I172" s="76"/>
      <c r="J172" s="73"/>
      <c r="K172" s="63"/>
      <c r="L172" s="37"/>
    </row>
    <row r="173" spans="1:12" ht="15.6">
      <c r="A173" s="26" t="str">
        <v>K307</v>
      </c>
      <c r="B173" s="27" t="str">
        <v>NY</v>
      </c>
      <c r="C173" s="27" t="s">
        <v>474</v>
      </c>
      <c r="D173" s="75"/>
      <c r="E173" s="14"/>
      <c r="F173" s="14"/>
      <c r="G173" s="77"/>
      <c r="H173" s="78"/>
      <c r="I173" s="78"/>
      <c r="J173" s="77"/>
      <c r="K173" s="38"/>
      <c r="L173" s="17"/>
    </row>
    <row r="174" spans="1:12" ht="15.6">
      <c r="A174" s="24" t="str">
        <v>K610</v>
      </c>
      <c r="B174" s="25" t="str">
        <v>NY</v>
      </c>
      <c r="C174" s="25" t="str">
        <f>Sites[[#This Row],[SOL'#]]</f>
        <v>SOL-11158</v>
      </c>
      <c r="D174" s="60"/>
      <c r="E174" s="10"/>
      <c r="F174" s="10"/>
      <c r="G174" s="61"/>
      <c r="H174" s="76"/>
      <c r="I174" s="76"/>
      <c r="J174" s="73"/>
      <c r="K174" s="63"/>
      <c r="L174" s="37"/>
    </row>
    <row r="175" spans="1:12" ht="15.6">
      <c r="A175" s="26" t="str">
        <v>M025</v>
      </c>
      <c r="B175" s="27" t="str">
        <v>NY</v>
      </c>
      <c r="C175" s="27" t="s">
        <v>475</v>
      </c>
      <c r="D175" s="75"/>
      <c r="E175" s="14"/>
      <c r="F175" s="14"/>
      <c r="G175" s="77"/>
      <c r="H175" s="78"/>
      <c r="I175" s="78"/>
      <c r="J175" s="77"/>
      <c r="K175" s="38"/>
      <c r="L175" s="17"/>
    </row>
    <row r="176" spans="1:12" ht="15.6">
      <c r="A176" s="24" t="str">
        <v>M028</v>
      </c>
      <c r="B176" s="25" t="str">
        <v>NY</v>
      </c>
      <c r="C176" s="25" t="str">
        <f>Sites[[#This Row],[SOL'#]]</f>
        <v>SOL-10381</v>
      </c>
      <c r="D176" s="60"/>
      <c r="E176" s="10"/>
      <c r="F176" s="10"/>
      <c r="G176" s="61"/>
      <c r="H176" s="76"/>
      <c r="I176" s="76"/>
      <c r="J176" s="73"/>
      <c r="K176" s="63"/>
      <c r="L176" s="37"/>
    </row>
    <row r="177" spans="1:12" ht="15.6">
      <c r="A177" s="26" t="str">
        <v>Q030</v>
      </c>
      <c r="B177" s="27" t="str">
        <v>NY</v>
      </c>
      <c r="C177" s="27" t="s">
        <v>476</v>
      </c>
      <c r="D177" s="75"/>
      <c r="E177" s="14"/>
      <c r="F177" s="14"/>
      <c r="G177" s="77"/>
      <c r="H177" s="78"/>
      <c r="I177" s="78"/>
      <c r="J177" s="77"/>
      <c r="K177" s="38"/>
      <c r="L177" s="17"/>
    </row>
    <row r="178" spans="1:12" ht="15.6">
      <c r="A178" s="24" t="str">
        <v>Q130</v>
      </c>
      <c r="B178" s="25" t="str">
        <v>NY</v>
      </c>
      <c r="C178" s="25" t="str">
        <f>Sites[[#This Row],[SOL'#]]</f>
        <v>SOL-10877</v>
      </c>
      <c r="D178" s="60"/>
      <c r="E178" s="10"/>
      <c r="F178" s="10"/>
      <c r="G178" s="61"/>
      <c r="H178" s="76"/>
      <c r="I178" s="76"/>
      <c r="J178" s="73"/>
      <c r="K178" s="63"/>
      <c r="L178" s="37"/>
    </row>
    <row r="179" spans="1:12" ht="15.6">
      <c r="A179" s="26" t="str">
        <v>Q196</v>
      </c>
      <c r="B179" s="27" t="str">
        <v>NY</v>
      </c>
      <c r="C179" s="27" t="s">
        <v>477</v>
      </c>
      <c r="D179" s="75"/>
      <c r="E179" s="14"/>
      <c r="F179" s="14"/>
      <c r="G179" s="77"/>
      <c r="H179" s="78"/>
      <c r="I179" s="78"/>
      <c r="J179" s="77"/>
      <c r="K179" s="38"/>
      <c r="L179" s="17"/>
    </row>
    <row r="180" spans="1:12" ht="15.6">
      <c r="A180" s="24" t="str">
        <v>Q220</v>
      </c>
      <c r="B180" s="25" t="str">
        <v>NY</v>
      </c>
      <c r="C180" s="25" t="str">
        <f>Sites[[#This Row],[SOL'#]]</f>
        <v>SOL-10873</v>
      </c>
      <c r="D180" s="60"/>
      <c r="E180" s="10"/>
      <c r="F180" s="10"/>
      <c r="G180" s="61"/>
      <c r="H180" s="76"/>
      <c r="I180" s="76"/>
      <c r="J180" s="73"/>
      <c r="K180" s="63"/>
      <c r="L180" s="37"/>
    </row>
    <row r="181" spans="1:12" ht="15.6">
      <c r="A181" s="26" t="str">
        <v>Q205</v>
      </c>
      <c r="B181" s="27" t="str">
        <v>NY</v>
      </c>
      <c r="C181" s="27" t="s">
        <v>478</v>
      </c>
      <c r="D181" s="75"/>
      <c r="E181" s="14"/>
      <c r="F181" s="14"/>
      <c r="G181" s="77"/>
      <c r="H181" s="78"/>
      <c r="I181" s="78"/>
      <c r="J181" s="77"/>
      <c r="K181" s="38"/>
      <c r="L181" s="17"/>
    </row>
    <row r="182" spans="1:12" ht="15.6">
      <c r="A182" s="24" t="str">
        <v>Q400</v>
      </c>
      <c r="B182" s="25" t="str">
        <v>NY</v>
      </c>
      <c r="C182" s="25" t="str">
        <f>Sites[[#This Row],[SOL'#]]</f>
        <v>SOL-10871</v>
      </c>
      <c r="D182" s="60"/>
      <c r="E182" s="10"/>
      <c r="F182" s="10"/>
      <c r="G182" s="61"/>
      <c r="H182" s="76"/>
      <c r="I182" s="76"/>
      <c r="J182" s="73"/>
      <c r="K182" s="63"/>
      <c r="L182" s="37"/>
    </row>
    <row r="183" spans="1:12" ht="15.6">
      <c r="A183" s="26" t="str">
        <v>R003</v>
      </c>
      <c r="B183" s="27" t="str">
        <v>NY</v>
      </c>
      <c r="C183" s="27" t="s">
        <v>479</v>
      </c>
      <c r="D183" s="75"/>
      <c r="E183" s="14"/>
      <c r="F183" s="14"/>
      <c r="G183" s="77"/>
      <c r="H183" s="78"/>
      <c r="I183" s="78"/>
      <c r="J183" s="77"/>
      <c r="K183" s="38"/>
      <c r="L183" s="17"/>
    </row>
    <row r="184" spans="1:12" ht="15.6">
      <c r="A184" s="24" t="str">
        <v>R007</v>
      </c>
      <c r="B184" s="25" t="str">
        <v>NY</v>
      </c>
      <c r="C184" s="25" t="str">
        <f>Sites[[#This Row],[SOL'#]]</f>
        <v>SOL-10417</v>
      </c>
      <c r="D184" s="60"/>
      <c r="E184" s="10"/>
      <c r="F184" s="10"/>
      <c r="G184" s="61"/>
      <c r="H184" s="76"/>
      <c r="I184" s="76"/>
      <c r="J184" s="73"/>
      <c r="K184" s="63"/>
      <c r="L184" s="37"/>
    </row>
    <row r="185" spans="1:12" ht="15.6">
      <c r="A185" s="26" t="str">
        <v>BK16</v>
      </c>
      <c r="B185" s="27" t="str">
        <v>NY</v>
      </c>
      <c r="C185" s="27" t="s">
        <v>480</v>
      </c>
      <c r="D185" s="75"/>
      <c r="E185" s="14"/>
      <c r="F185" s="14"/>
      <c r="G185" s="77"/>
      <c r="H185" s="78"/>
      <c r="I185" s="78"/>
      <c r="J185" s="77"/>
      <c r="K185" s="38"/>
      <c r="L185" s="1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44" priority="9" stopIfTrue="1" operator="lessThanOrEqual">
      <formula>-0.1</formula>
    </cfRule>
    <cfRule type="expression" dxfId="43" priority="10">
      <formula>AND(ISNUMBER(G2), G2&gt;=0.1)</formula>
    </cfRule>
  </conditionalFormatting>
  <conditionalFormatting sqref="G4:G185 J4:J185">
    <cfRule type="cellIs" dxfId="42" priority="1" stopIfTrue="1" operator="lessThanOrEqual">
      <formula>-0.1</formula>
    </cfRule>
    <cfRule type="expression" dxfId="41" priority="2">
      <formula>AND(ISNUMBER(G4), G4&gt;=0.1)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200"/>
  <sheetViews>
    <sheetView zoomScale="50" zoomScaleNormal="50" workbookViewId="0">
      <pane xSplit="2" ySplit="3" topLeftCell="C155" activePane="bottomRight" state="frozen"/>
      <selection pane="bottomRight" activeCell="K213" sqref="K21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5.6">
      <c r="A1" s="149" t="str" cm="1">
        <f t="array" ref="A1">portfolio</f>
        <v>Generate Capital</v>
      </c>
      <c r="B1" s="149"/>
      <c r="C1" s="149"/>
      <c r="D1" s="149"/>
      <c r="E1" s="150" t="s">
        <v>483</v>
      </c>
      <c r="F1" s="150"/>
      <c r="G1" s="150"/>
      <c r="H1" s="148" t="s">
        <v>484</v>
      </c>
      <c r="I1" s="148"/>
      <c r="J1" s="148"/>
      <c r="K1" s="4"/>
      <c r="L1" s="4"/>
    </row>
    <row r="2" spans="1:12" ht="15.6">
      <c r="A2" s="151" t="s">
        <v>2</v>
      </c>
      <c r="B2" s="151"/>
      <c r="C2" s="65"/>
      <c r="D2" s="5">
        <f>SUM(D4:D160)</f>
        <v>0</v>
      </c>
      <c r="E2" s="5">
        <f>SUM(E4:E160)</f>
        <v>0</v>
      </c>
      <c r="F2" s="5">
        <f>D2-E2</f>
        <v>0</v>
      </c>
      <c r="G2" s="6">
        <f>IFERROR(F2/E2, 0)</f>
        <v>0</v>
      </c>
      <c r="H2" s="5">
        <f>SUM(H4:H160)</f>
        <v>0</v>
      </c>
      <c r="I2" s="7">
        <f>D2-H2</f>
        <v>0</v>
      </c>
      <c r="J2" s="6">
        <f>IFERROR(I2/H2, 0)</f>
        <v>0</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5.6">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60" si="2">IFERROR(I5/H5, "")</f>
        <v/>
      </c>
      <c r="K5" s="57"/>
      <c r="L5" s="57"/>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8"/>
    </row>
    <row r="14" spans="1:12" ht="15.6">
      <c r="A14" s="24" t="str">
        <v>Wooster</v>
      </c>
      <c r="B14" s="25" t="str">
        <v>OH</v>
      </c>
      <c r="C14" s="25" t="str">
        <f>Sites[[#This Row],[SOL'#]]</f>
        <v>SOL-10763</v>
      </c>
      <c r="D14" s="20"/>
      <c r="E14" s="10"/>
      <c r="F14" s="10" t="str">
        <f t="shared" si="0"/>
        <v/>
      </c>
      <c r="G14" s="11" t="str">
        <f t="shared" si="3"/>
        <v/>
      </c>
      <c r="H14" s="12"/>
      <c r="I14" s="12" t="str">
        <f t="shared" si="1"/>
        <v/>
      </c>
      <c r="J14" s="13" t="str">
        <f>IFERROR(I14/H14, "")</f>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8"/>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15.6">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si="2"/>
        <v/>
      </c>
      <c r="K18" s="59"/>
      <c r="L18" s="59"/>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2"/>
        <v/>
      </c>
      <c r="K19" s="57"/>
      <c r="L19" s="58"/>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2"/>
        <v/>
      </c>
      <c r="K20" s="59"/>
      <c r="L20" s="59"/>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2"/>
        <v/>
      </c>
      <c r="K21" s="57"/>
      <c r="L21" s="58"/>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2"/>
        <v/>
      </c>
      <c r="K22" s="59"/>
      <c r="L22" s="59"/>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2"/>
        <v/>
      </c>
      <c r="K23" s="57"/>
      <c r="L23" s="58"/>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2"/>
        <v/>
      </c>
      <c r="K24" s="59"/>
      <c r="L24" s="59"/>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2"/>
        <v/>
      </c>
      <c r="K25" s="69"/>
      <c r="L25" s="69"/>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2"/>
        <v/>
      </c>
      <c r="K26" s="59"/>
      <c r="L26" s="59"/>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2"/>
        <v/>
      </c>
      <c r="K27" s="57"/>
      <c r="L27" s="58"/>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2"/>
        <v/>
      </c>
      <c r="K28" s="59"/>
      <c r="L28" s="59"/>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2"/>
        <v/>
      </c>
      <c r="K29" s="57"/>
      <c r="L29" s="57"/>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2"/>
        <v/>
      </c>
      <c r="K30" s="59"/>
      <c r="L30" s="59"/>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2"/>
        <v/>
      </c>
      <c r="K31" s="69"/>
      <c r="L31" s="70"/>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2"/>
        <v/>
      </c>
      <c r="K32" s="59"/>
      <c r="L32" s="59"/>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2"/>
        <v/>
      </c>
      <c r="K33" s="57"/>
      <c r="L33" s="58"/>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2"/>
        <v/>
      </c>
      <c r="K34" s="59"/>
      <c r="L34" s="59"/>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2"/>
        <v/>
      </c>
      <c r="K35" s="57"/>
      <c r="L35" s="58"/>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2"/>
        <v/>
      </c>
      <c r="K36" s="59"/>
      <c r="L36" s="59"/>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2"/>
        <v/>
      </c>
      <c r="K37" s="57"/>
      <c r="L37" s="58"/>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2"/>
        <v/>
      </c>
      <c r="K38" s="59"/>
      <c r="L38" s="59"/>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2"/>
        <v/>
      </c>
      <c r="K39" s="57"/>
      <c r="L39" s="58"/>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2"/>
        <v/>
      </c>
      <c r="K40" s="59"/>
      <c r="L40" s="59"/>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2"/>
        <v/>
      </c>
      <c r="K41" s="57"/>
      <c r="L41" s="57"/>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2"/>
        <v/>
      </c>
      <c r="K42" s="59"/>
      <c r="L42" s="59"/>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2"/>
        <v/>
      </c>
      <c r="K43" s="57"/>
      <c r="L43" s="58"/>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2"/>
        <v/>
      </c>
      <c r="K44" s="59"/>
      <c r="L44" s="59"/>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2"/>
        <v/>
      </c>
      <c r="K45" s="57"/>
      <c r="L45" s="58"/>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2"/>
        <v/>
      </c>
      <c r="K46" s="59"/>
      <c r="L46" s="59"/>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2"/>
        <v/>
      </c>
      <c r="K47" s="57"/>
      <c r="L47" s="58"/>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2"/>
        <v/>
      </c>
      <c r="K48" s="59"/>
      <c r="L48" s="59"/>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2"/>
        <v/>
      </c>
      <c r="K49" s="57"/>
      <c r="L49" s="58"/>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2"/>
        <v/>
      </c>
      <c r="K50" s="59"/>
      <c r="L50" s="59"/>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2"/>
        <v/>
      </c>
      <c r="K51" s="57"/>
      <c r="L51" s="58"/>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2"/>
        <v/>
      </c>
      <c r="K52" s="59"/>
      <c r="L52" s="59"/>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2"/>
        <v/>
      </c>
      <c r="K53" s="57"/>
      <c r="L53" s="57"/>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2"/>
        <v/>
      </c>
      <c r="K54" s="59"/>
      <c r="L54" s="59"/>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2"/>
        <v/>
      </c>
      <c r="K55" s="57"/>
      <c r="L55" s="58"/>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2"/>
        <v/>
      </c>
      <c r="K56" s="59"/>
      <c r="L56" s="59"/>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2"/>
        <v/>
      </c>
      <c r="K57" s="57"/>
      <c r="L57" s="58"/>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2"/>
        <v/>
      </c>
      <c r="K58" s="59"/>
      <c r="L58" s="59"/>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2"/>
        <v/>
      </c>
      <c r="K59" s="57"/>
      <c r="L59" s="58"/>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2"/>
        <v/>
      </c>
      <c r="K60" s="59"/>
      <c r="L60" s="59"/>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ref="J61:J81" si="7">IFERROR(I61/H61, "")</f>
        <v/>
      </c>
      <c r="K61" s="57"/>
      <c r="L61" s="58"/>
    </row>
    <row r="62" spans="1:12" ht="15.6">
      <c r="A62" s="24" t="str">
        <v>QMOA</v>
      </c>
      <c r="B62" s="25" t="str">
        <v>NY</v>
      </c>
      <c r="C62" s="25" t="str">
        <f>Sites[[#This Row],[SOL'#]]</f>
        <v>SOL-10415</v>
      </c>
      <c r="D62" s="20"/>
      <c r="E62" s="10"/>
      <c r="F62" s="10" t="str">
        <f t="shared" si="4"/>
        <v/>
      </c>
      <c r="G62" s="11" t="str">
        <f t="shared" si="5"/>
        <v/>
      </c>
      <c r="H62" s="12"/>
      <c r="I62" s="12" t="str">
        <f t="shared" si="6"/>
        <v/>
      </c>
      <c r="J62" s="73" t="str">
        <f t="shared" si="7"/>
        <v/>
      </c>
      <c r="K62" s="59"/>
      <c r="L62" s="59"/>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57"/>
      <c r="L63" s="58"/>
    </row>
    <row r="64" spans="1:12" ht="15.6">
      <c r="A64" s="24" t="str">
        <v>X026</v>
      </c>
      <c r="B64" s="25" t="str">
        <v>NY</v>
      </c>
      <c r="C64" s="25" t="str">
        <f>Sites[[#This Row],[SOL'#]]</f>
        <v>SOL-10420</v>
      </c>
      <c r="D64" s="20"/>
      <c r="E64" s="10"/>
      <c r="F64" s="10" t="str">
        <f t="shared" si="4"/>
        <v/>
      </c>
      <c r="G64" s="11" t="str">
        <f t="shared" si="5"/>
        <v/>
      </c>
      <c r="H64" s="12"/>
      <c r="I64" s="12" t="str">
        <f t="shared" si="6"/>
        <v/>
      </c>
      <c r="J64" s="73" t="str">
        <f t="shared" si="7"/>
        <v/>
      </c>
      <c r="K64" s="59"/>
      <c r="L64" s="59"/>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57"/>
      <c r="L65" s="57"/>
    </row>
    <row r="66" spans="1:12" ht="15.6">
      <c r="A66" s="24" t="str">
        <v>X117</v>
      </c>
      <c r="B66" s="25" t="str">
        <v>NY</v>
      </c>
      <c r="C66" s="25" t="str">
        <f>Sites[[#This Row],[SOL'#]]</f>
        <v>SOL-10422</v>
      </c>
      <c r="D66" s="20"/>
      <c r="E66" s="10"/>
      <c r="F66" s="10" t="str">
        <f t="shared" si="4"/>
        <v/>
      </c>
      <c r="G66" s="11" t="str">
        <f t="shared" si="5"/>
        <v/>
      </c>
      <c r="H66" s="12"/>
      <c r="I66" s="12" t="str">
        <f t="shared" si="6"/>
        <v/>
      </c>
      <c r="J66" s="73" t="str">
        <f t="shared" si="7"/>
        <v/>
      </c>
      <c r="K66" s="59"/>
      <c r="L66" s="59"/>
    </row>
    <row r="67" spans="1:12" ht="15.6">
      <c r="A67" s="26" t="str">
        <v>X125</v>
      </c>
      <c r="B67" s="27" t="str">
        <v>NY</v>
      </c>
      <c r="C67" s="27" t="str">
        <f>Sites[[#This Row],[SOL'#]]</f>
        <v>SOL-10423</v>
      </c>
      <c r="D67" s="9"/>
      <c r="E67" s="14"/>
      <c r="F67" s="14" t="str">
        <f>IF(AND(ISNUMBER(D67),ISNUMBER(E67)), D67-E67, "")</f>
        <v/>
      </c>
      <c r="G67" s="15" t="str">
        <f>IFERROR(F67/E67, "")</f>
        <v/>
      </c>
      <c r="H67" s="16"/>
      <c r="I67" s="16" t="str">
        <f>IF(AND(ISNUMBER(D67),ISNUMBER(H67)), D67-H67, "")</f>
        <v/>
      </c>
      <c r="J67" s="15" t="str">
        <f t="shared" si="7"/>
        <v/>
      </c>
      <c r="K67" s="57"/>
      <c r="L67" s="58"/>
    </row>
    <row r="68" spans="1:12" ht="15.6">
      <c r="A68" s="24" t="str">
        <v>X134</v>
      </c>
      <c r="B68" s="25" t="str">
        <v>NY</v>
      </c>
      <c r="C68" s="25" t="str">
        <f>Sites[[#This Row],[SOL'#]]</f>
        <v>SOL-10424</v>
      </c>
      <c r="D68" s="20"/>
      <c r="E68" s="10"/>
      <c r="F68" s="10" t="str">
        <f t="shared" si="4"/>
        <v/>
      </c>
      <c r="G68" s="11" t="str">
        <f t="shared" si="5"/>
        <v/>
      </c>
      <c r="H68" s="12"/>
      <c r="I68" s="12" t="str">
        <f t="shared" si="6"/>
        <v/>
      </c>
      <c r="J68" s="73" t="str">
        <f t="shared" si="7"/>
        <v/>
      </c>
      <c r="K68" s="59"/>
      <c r="L68" s="59"/>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57"/>
      <c r="L69" s="58"/>
    </row>
    <row r="70" spans="1:12" ht="15.6">
      <c r="A70" s="24" t="str">
        <v>X139 JHS 222</v>
      </c>
      <c r="B70" s="25" t="str">
        <v>NY</v>
      </c>
      <c r="C70" s="25" t="str">
        <f>Sites[[#This Row],[SOL'#]]</f>
        <v>SOL-10426</v>
      </c>
      <c r="D70" s="20"/>
      <c r="E70" s="10"/>
      <c r="F70" s="10" t="str">
        <f t="shared" si="4"/>
        <v/>
      </c>
      <c r="G70" s="11" t="str">
        <f t="shared" si="5"/>
        <v/>
      </c>
      <c r="H70" s="12"/>
      <c r="I70" s="12" t="str">
        <f t="shared" si="6"/>
        <v/>
      </c>
      <c r="J70" s="73" t="str">
        <f t="shared" si="7"/>
        <v/>
      </c>
      <c r="K70" s="59"/>
      <c r="L70" s="59"/>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57"/>
      <c r="L71" s="58"/>
    </row>
    <row r="72" spans="1:12" ht="15.6">
      <c r="A72" s="24" t="str">
        <v>X166</v>
      </c>
      <c r="B72" s="25" t="str">
        <v>NY</v>
      </c>
      <c r="C72" s="25" t="str">
        <f>Sites[[#This Row],[SOL'#]]</f>
        <v>SOL-10427</v>
      </c>
      <c r="D72" s="20"/>
      <c r="E72" s="10"/>
      <c r="F72" s="10" t="str">
        <f t="shared" si="4"/>
        <v/>
      </c>
      <c r="G72" s="11" t="str">
        <f t="shared" si="5"/>
        <v/>
      </c>
      <c r="H72" s="12"/>
      <c r="I72" s="12" t="str">
        <f t="shared" si="6"/>
        <v/>
      </c>
      <c r="J72" s="73" t="str">
        <f t="shared" si="7"/>
        <v/>
      </c>
      <c r="K72" s="59"/>
      <c r="L72" s="59"/>
    </row>
    <row r="73" spans="1:12" ht="15.6">
      <c r="A73" s="26" t="str">
        <v>Murphy</v>
      </c>
      <c r="B73" s="27" t="str">
        <v>MN</v>
      </c>
      <c r="C73" s="27" t="str">
        <f>Sites[[#This Row],[SOL'#]]</f>
        <v>SOL-10094</v>
      </c>
      <c r="D73" s="9"/>
      <c r="E73" s="14"/>
      <c r="F73" s="14" t="str">
        <f t="shared" si="4"/>
        <v/>
      </c>
      <c r="G73" s="15" t="str">
        <f t="shared" si="5"/>
        <v/>
      </c>
      <c r="H73" s="16"/>
      <c r="I73" s="16" t="str">
        <f t="shared" si="6"/>
        <v/>
      </c>
      <c r="J73" s="15" t="str">
        <f t="shared" si="7"/>
        <v/>
      </c>
      <c r="K73" s="57"/>
      <c r="L73" s="58"/>
    </row>
    <row r="74" spans="1:12" ht="15.6">
      <c r="A74" s="24" t="str">
        <v>Terning</v>
      </c>
      <c r="B74" s="25" t="str">
        <v>MN</v>
      </c>
      <c r="C74" s="25" t="str">
        <f>Sites[[#This Row],[SOL'#]]</f>
        <v>SOL-10093</v>
      </c>
      <c r="D74" s="20"/>
      <c r="E74" s="10"/>
      <c r="F74" s="10" t="str">
        <f t="shared" si="4"/>
        <v/>
      </c>
      <c r="G74" s="11" t="str">
        <f t="shared" si="5"/>
        <v/>
      </c>
      <c r="H74" s="12"/>
      <c r="I74" s="12" t="str">
        <f t="shared" si="6"/>
        <v/>
      </c>
      <c r="J74" s="73" t="str">
        <f t="shared" si="7"/>
        <v/>
      </c>
      <c r="K74" s="59"/>
      <c r="L74" s="59"/>
    </row>
    <row r="75" spans="1:12" ht="15.6">
      <c r="A75" s="26" t="str">
        <v>Boas Road 04</v>
      </c>
      <c r="B75" s="27" t="str">
        <v>NY</v>
      </c>
      <c r="C75" s="27" t="str">
        <f>Sites[[#This Row],[SOL'#]]</f>
        <v>SOL-10908</v>
      </c>
      <c r="D75" s="9"/>
      <c r="E75" s="14"/>
      <c r="F75" s="14" t="str">
        <f t="shared" si="4"/>
        <v/>
      </c>
      <c r="G75" s="15" t="str">
        <f t="shared" si="5"/>
        <v/>
      </c>
      <c r="H75" s="16"/>
      <c r="I75" s="16" t="str">
        <f t="shared" si="6"/>
        <v/>
      </c>
      <c r="J75" s="15" t="str">
        <f t="shared" si="7"/>
        <v/>
      </c>
      <c r="K75" s="57"/>
      <c r="L75" s="58"/>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73" t="str">
        <f t="shared" si="7"/>
        <v/>
      </c>
      <c r="K76" s="59"/>
      <c r="L76" s="59"/>
    </row>
    <row r="77" spans="1:12" ht="15.6">
      <c r="A77" s="26" t="str">
        <v>Pool Brook Road</v>
      </c>
      <c r="B77" s="27" t="str">
        <v>NY</v>
      </c>
      <c r="C77" s="27" t="str">
        <f>Sites[[#This Row],[SOL'#]]</f>
        <v>SOL-10909</v>
      </c>
      <c r="D77" s="9"/>
      <c r="E77" s="14"/>
      <c r="F77" s="14" t="str">
        <f t="shared" si="4"/>
        <v/>
      </c>
      <c r="G77" s="15" t="str">
        <f t="shared" si="5"/>
        <v/>
      </c>
      <c r="H77" s="16"/>
      <c r="I77" s="16" t="str">
        <f t="shared" si="6"/>
        <v/>
      </c>
      <c r="J77" s="15" t="str">
        <f t="shared" si="7"/>
        <v/>
      </c>
      <c r="K77" s="57"/>
      <c r="L77" s="57"/>
    </row>
    <row r="78" spans="1:12" ht="61.35" customHeight="1">
      <c r="A78" s="24" t="str">
        <v>Sackett Lake</v>
      </c>
      <c r="B78" s="25" t="str">
        <v>NY</v>
      </c>
      <c r="C78" s="25" t="str">
        <f>Sites[[#This Row],[SOL'#]]</f>
        <v>SOL-10910</v>
      </c>
      <c r="D78" s="20"/>
      <c r="E78" s="10"/>
      <c r="F78" s="10" t="str">
        <f t="shared" si="4"/>
        <v/>
      </c>
      <c r="G78" s="11" t="str">
        <f t="shared" si="5"/>
        <v/>
      </c>
      <c r="H78" s="12"/>
      <c r="I78" s="12" t="str">
        <f t="shared" si="6"/>
        <v/>
      </c>
      <c r="J78" s="73" t="str">
        <f t="shared" si="7"/>
        <v/>
      </c>
      <c r="K78" s="59"/>
      <c r="L78" s="59"/>
    </row>
    <row r="79" spans="1:12" ht="47.85" customHeight="1">
      <c r="A79" s="26" t="str">
        <v>Burritt Road</v>
      </c>
      <c r="B79" s="27" t="str">
        <v>NY</v>
      </c>
      <c r="C79" s="27" t="str">
        <f>Sites[[#This Row],[SOL'#]]</f>
        <v>SOL-10913</v>
      </c>
      <c r="D79" s="9"/>
      <c r="E79" s="14"/>
      <c r="F79" s="14" t="str">
        <f t="shared" si="4"/>
        <v/>
      </c>
      <c r="G79" s="15" t="str">
        <f t="shared" si="5"/>
        <v/>
      </c>
      <c r="H79" s="16"/>
      <c r="I79" s="16" t="str">
        <f t="shared" si="6"/>
        <v/>
      </c>
      <c r="J79" s="15" t="str">
        <f t="shared" si="7"/>
        <v/>
      </c>
      <c r="K79" s="57"/>
      <c r="L79" s="58"/>
    </row>
    <row r="80" spans="1:12" ht="15.6">
      <c r="A80" s="24" t="str">
        <v>Villa Roma 1</v>
      </c>
      <c r="B80" s="25" t="str">
        <v>NY</v>
      </c>
      <c r="C80" s="25" t="str">
        <f>Sites[[#This Row],[SOL'#]]</f>
        <v>SOL-10914</v>
      </c>
      <c r="D80" s="20"/>
      <c r="E80" s="10"/>
      <c r="F80" s="10" t="str">
        <f t="shared" si="4"/>
        <v/>
      </c>
      <c r="G80" s="11" t="str">
        <f t="shared" si="5"/>
        <v/>
      </c>
      <c r="H80" s="12"/>
      <c r="I80" s="12" t="str">
        <f t="shared" si="6"/>
        <v/>
      </c>
      <c r="J80" s="73" t="str">
        <f t="shared" si="7"/>
        <v/>
      </c>
      <c r="K80" s="59"/>
      <c r="L80" s="59"/>
    </row>
    <row r="81" spans="1:12" ht="15.6">
      <c r="A81" s="26" t="str">
        <v>Villa Roma 2</v>
      </c>
      <c r="B81" s="27" t="str">
        <v>NY</v>
      </c>
      <c r="C81" s="27" t="str">
        <f>Sites[[#This Row],[SOL'#]]</f>
        <v>SOL-10915</v>
      </c>
      <c r="D81" s="9"/>
      <c r="E81" s="14"/>
      <c r="F81" s="14" t="str">
        <f t="shared" si="4"/>
        <v/>
      </c>
      <c r="G81" s="15" t="str">
        <f t="shared" si="5"/>
        <v/>
      </c>
      <c r="H81" s="16"/>
      <c r="I81" s="16" t="str">
        <f t="shared" si="6"/>
        <v/>
      </c>
      <c r="J81" s="15" t="str">
        <f t="shared" si="7"/>
        <v/>
      </c>
      <c r="K81" s="57"/>
      <c r="L81" s="58"/>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73" t="str">
        <f t="shared" ref="J82:J145" si="11">IFERROR(I82/H82, "")</f>
        <v/>
      </c>
      <c r="K82" s="59"/>
      <c r="L82" s="59"/>
    </row>
    <row r="83" spans="1:12" ht="15.6">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57"/>
      <c r="L83" s="58"/>
    </row>
    <row r="84" spans="1:12" ht="15.6">
      <c r="A84" s="24" t="str">
        <v>Washington 4</v>
      </c>
      <c r="B84" s="25" t="str">
        <v>NY</v>
      </c>
      <c r="C84" s="25" t="str">
        <f>Sites[[#This Row],[SOL'#]]</f>
        <v>SOL-10829</v>
      </c>
      <c r="D84" s="20"/>
      <c r="E84" s="10"/>
      <c r="F84" s="10" t="str">
        <f t="shared" si="8"/>
        <v/>
      </c>
      <c r="G84" s="10" t="str">
        <f t="shared" si="9"/>
        <v/>
      </c>
      <c r="H84" s="12"/>
      <c r="I84" s="12" t="str">
        <f t="shared" si="10"/>
        <v/>
      </c>
      <c r="J84" s="73" t="str">
        <f t="shared" si="11"/>
        <v/>
      </c>
      <c r="K84" s="59"/>
      <c r="L84" s="59"/>
    </row>
    <row r="85" spans="1:12" ht="15.6">
      <c r="A85" s="26" t="str">
        <v>Big Tree</v>
      </c>
      <c r="B85" s="27" t="str">
        <v>NY</v>
      </c>
      <c r="C85" s="27" t="str">
        <f>Sites[[#This Row],[SOL'#]]</f>
        <v>SOL-10966</v>
      </c>
      <c r="D85" s="9"/>
      <c r="E85" s="14"/>
      <c r="F85" s="14" t="str">
        <f t="shared" si="8"/>
        <v/>
      </c>
      <c r="G85" s="46" t="str">
        <f t="shared" si="9"/>
        <v/>
      </c>
      <c r="H85" s="46"/>
      <c r="I85" s="46" t="str">
        <f t="shared" si="10"/>
        <v/>
      </c>
      <c r="J85" s="15" t="str">
        <f t="shared" si="11"/>
        <v/>
      </c>
      <c r="K85" s="57"/>
      <c r="L85" s="58"/>
    </row>
    <row r="86" spans="1:12" ht="15.6">
      <c r="A86" s="24" t="str">
        <v>Canoga</v>
      </c>
      <c r="B86" s="25" t="str">
        <v>NY</v>
      </c>
      <c r="C86" s="25" t="str">
        <f>Sites[[#This Row],[SOL'#]]</f>
        <v>SOL-10965</v>
      </c>
      <c r="D86" s="20"/>
      <c r="E86" s="10"/>
      <c r="F86" s="10" t="str">
        <f t="shared" si="8"/>
        <v/>
      </c>
      <c r="G86" s="10" t="str">
        <f t="shared" si="9"/>
        <v/>
      </c>
      <c r="H86" s="12"/>
      <c r="I86" s="12" t="str">
        <f t="shared" si="10"/>
        <v/>
      </c>
      <c r="J86" s="73" t="str">
        <f t="shared" si="11"/>
        <v/>
      </c>
      <c r="K86" s="59"/>
      <c r="L86" s="59"/>
    </row>
    <row r="87" spans="1:12" ht="15.6">
      <c r="A87" s="26" t="str">
        <v>County Route 84</v>
      </c>
      <c r="B87" s="27" t="str">
        <v>NY</v>
      </c>
      <c r="C87" s="27" t="str">
        <f>Sites[[#This Row],[SOL'#]]</f>
        <v>SOL-10967</v>
      </c>
      <c r="D87" s="9"/>
      <c r="E87" s="14"/>
      <c r="F87" s="46" t="str">
        <f t="shared" si="8"/>
        <v/>
      </c>
      <c r="G87" s="46" t="str">
        <f t="shared" si="9"/>
        <v/>
      </c>
      <c r="H87" s="16"/>
      <c r="I87" s="16" t="str">
        <f t="shared" si="10"/>
        <v/>
      </c>
      <c r="J87" s="15" t="str">
        <f t="shared" si="11"/>
        <v/>
      </c>
      <c r="K87" s="57"/>
      <c r="L87" s="58"/>
    </row>
    <row r="88" spans="1:12" ht="15.6">
      <c r="A88" s="24" t="str">
        <v>Donati</v>
      </c>
      <c r="B88" s="25" t="str">
        <v>NY</v>
      </c>
      <c r="C88" s="25" t="str">
        <f>Sites[[#This Row],[SOL'#]]</f>
        <v>SOL-10968</v>
      </c>
      <c r="D88" s="20"/>
      <c r="E88" s="10"/>
      <c r="F88" s="10" t="str">
        <f t="shared" si="8"/>
        <v/>
      </c>
      <c r="G88" s="10" t="str">
        <f t="shared" si="9"/>
        <v/>
      </c>
      <c r="H88" s="12"/>
      <c r="I88" s="12" t="str">
        <f t="shared" si="10"/>
        <v/>
      </c>
      <c r="J88" s="73" t="str">
        <f t="shared" si="11"/>
        <v/>
      </c>
      <c r="K88" s="59"/>
      <c r="L88" s="59"/>
    </row>
    <row r="89" spans="1:12" ht="15.6">
      <c r="A89" s="26" t="str">
        <v>Henrietta</v>
      </c>
      <c r="B89" s="27" t="str">
        <v>NY</v>
      </c>
      <c r="C89" s="27" t="str">
        <f>Sites[[#This Row],[SOL'#]]</f>
        <v>SOL-10972</v>
      </c>
      <c r="D89" s="9"/>
      <c r="E89" s="14"/>
      <c r="F89" s="14" t="str">
        <f t="shared" si="8"/>
        <v/>
      </c>
      <c r="G89" s="14" t="str">
        <f t="shared" si="9"/>
        <v/>
      </c>
      <c r="H89" s="14"/>
      <c r="I89" s="14" t="str">
        <f t="shared" si="10"/>
        <v/>
      </c>
      <c r="J89" s="15" t="str">
        <f t="shared" si="11"/>
        <v/>
      </c>
      <c r="K89" s="57"/>
      <c r="L89" s="57"/>
    </row>
    <row r="90" spans="1:12" ht="15.6">
      <c r="A90" s="24" t="str">
        <v>NY 70</v>
      </c>
      <c r="B90" s="25" t="str">
        <v>NY</v>
      </c>
      <c r="C90" s="25" t="str">
        <f>Sites[[#This Row],[SOL'#]]</f>
        <v>SOL-10970</v>
      </c>
      <c r="D90" s="20"/>
      <c r="E90" s="10"/>
      <c r="F90" s="10" t="str">
        <f t="shared" si="8"/>
        <v/>
      </c>
      <c r="G90" s="11" t="str">
        <f t="shared" si="9"/>
        <v/>
      </c>
      <c r="H90" s="12"/>
      <c r="I90" s="12" t="str">
        <f t="shared" si="10"/>
        <v/>
      </c>
      <c r="J90" s="73" t="str">
        <f t="shared" si="11"/>
        <v/>
      </c>
      <c r="K90" s="59"/>
      <c r="L90" s="59"/>
    </row>
    <row r="91" spans="1:12" ht="161.85" customHeight="1">
      <c r="A91" s="26" t="str">
        <v>Reid</v>
      </c>
      <c r="B91" s="27" t="str">
        <v>NY</v>
      </c>
      <c r="C91" s="27" t="str">
        <f>Sites[[#This Row],[SOL'#]]</f>
        <v>SOL-10991</v>
      </c>
      <c r="D91" s="9"/>
      <c r="E91" s="14"/>
      <c r="F91" s="14" t="str">
        <f t="shared" si="8"/>
        <v/>
      </c>
      <c r="G91" s="15" t="str">
        <f t="shared" si="9"/>
        <v/>
      </c>
      <c r="H91" s="16"/>
      <c r="I91" s="16" t="str">
        <f t="shared" si="10"/>
        <v/>
      </c>
      <c r="J91" s="15" t="str">
        <f t="shared" si="11"/>
        <v/>
      </c>
      <c r="K91" s="57"/>
      <c r="L91" s="58"/>
    </row>
    <row r="92" spans="1:12" ht="15.6">
      <c r="A92" s="24" t="str">
        <v>Sangolqui</v>
      </c>
      <c r="B92" s="25" t="str">
        <v>NY</v>
      </c>
      <c r="C92" s="25" t="str">
        <f>Sites[[#This Row],[SOL'#]]</f>
        <v>SOL-10975</v>
      </c>
      <c r="D92" s="20"/>
      <c r="E92" s="10"/>
      <c r="F92" s="10" t="str">
        <f t="shared" si="8"/>
        <v/>
      </c>
      <c r="G92" s="11" t="str">
        <f t="shared" si="9"/>
        <v/>
      </c>
      <c r="H92" s="12"/>
      <c r="I92" s="12" t="str">
        <f t="shared" si="10"/>
        <v/>
      </c>
      <c r="J92" s="73" t="str">
        <f t="shared" si="11"/>
        <v/>
      </c>
      <c r="K92" s="59"/>
      <c r="L92" s="59"/>
    </row>
    <row r="93" spans="1:12" ht="15.6">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57"/>
      <c r="L93" s="58"/>
    </row>
    <row r="94" spans="1:12" ht="15.6">
      <c r="A94" s="24" t="str">
        <v>State Route 14A</v>
      </c>
      <c r="B94" s="25" t="str">
        <v>NY</v>
      </c>
      <c r="C94" s="25" t="str">
        <f>Sites[[#This Row],[SOL'#]]</f>
        <v>SOL-10997</v>
      </c>
      <c r="D94" s="20"/>
      <c r="E94" s="10"/>
      <c r="F94" s="10" t="str">
        <f t="shared" si="8"/>
        <v/>
      </c>
      <c r="G94" s="11" t="str">
        <f t="shared" si="9"/>
        <v/>
      </c>
      <c r="H94" s="12"/>
      <c r="I94" s="12" t="str">
        <f t="shared" si="10"/>
        <v/>
      </c>
      <c r="J94" s="73" t="str">
        <f t="shared" si="11"/>
        <v/>
      </c>
      <c r="K94" s="59"/>
      <c r="L94" s="59"/>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57"/>
      <c r="L95" s="58"/>
    </row>
    <row r="96" spans="1:12" ht="15.6">
      <c r="A96" s="24" t="str">
        <v>Wildflower</v>
      </c>
      <c r="B96" s="25" t="str">
        <v>NY</v>
      </c>
      <c r="C96" s="25" t="str">
        <f>Sites[[#This Row],[SOL'#]]</f>
        <v>SOL-10982</v>
      </c>
      <c r="D96" s="20"/>
      <c r="E96" s="10"/>
      <c r="F96" s="10" t="str">
        <f t="shared" si="8"/>
        <v/>
      </c>
      <c r="G96" s="11" t="str">
        <f t="shared" si="9"/>
        <v/>
      </c>
      <c r="H96" s="12"/>
      <c r="I96" s="12" t="str">
        <f t="shared" si="10"/>
        <v/>
      </c>
      <c r="J96" s="73" t="str">
        <f t="shared" si="11"/>
        <v/>
      </c>
      <c r="K96" s="59"/>
      <c r="L96" s="59"/>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57"/>
      <c r="L97" s="58"/>
    </row>
    <row r="98" spans="1:12" ht="15.6">
      <c r="A98" s="24" t="str">
        <v>Glen Mary 2</v>
      </c>
      <c r="B98" s="25" t="str">
        <v>NY</v>
      </c>
      <c r="C98" s="25" t="str">
        <f>Sites[[#This Row],[SOL'#]]</f>
        <v>SOL-10994</v>
      </c>
      <c r="D98" s="20"/>
      <c r="E98" s="10"/>
      <c r="F98" s="10" t="str">
        <f t="shared" si="8"/>
        <v/>
      </c>
      <c r="G98" s="11" t="str">
        <f t="shared" si="9"/>
        <v/>
      </c>
      <c r="H98" s="12"/>
      <c r="I98" s="12" t="str">
        <f t="shared" si="10"/>
        <v/>
      </c>
      <c r="J98" s="73" t="str">
        <f t="shared" si="11"/>
        <v/>
      </c>
      <c r="K98" s="59"/>
      <c r="L98" s="59"/>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57"/>
      <c r="L99" s="58"/>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73" t="str">
        <f t="shared" si="11"/>
        <v/>
      </c>
      <c r="K100" s="82"/>
      <c r="L100" s="83"/>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57"/>
      <c r="L101" s="57"/>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73" t="str">
        <f t="shared" si="11"/>
        <v/>
      </c>
      <c r="K102" s="59"/>
      <c r="L102" s="59"/>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57"/>
      <c r="L103" s="58"/>
    </row>
    <row r="104" spans="1:12" ht="15.6">
      <c r="A104" s="24" t="str">
        <v>Route 19 2</v>
      </c>
      <c r="B104" s="25" t="str">
        <v>NY</v>
      </c>
      <c r="C104" s="25" t="str">
        <f>Sites[[#This Row],[SOL'#]]</f>
        <v>SOL-11002</v>
      </c>
      <c r="D104" s="20"/>
      <c r="E104" s="10"/>
      <c r="F104" s="10" t="str">
        <f t="shared" si="8"/>
        <v/>
      </c>
      <c r="G104" s="11" t="str">
        <f t="shared" si="9"/>
        <v/>
      </c>
      <c r="H104" s="12"/>
      <c r="I104" s="12" t="str">
        <f t="shared" si="10"/>
        <v/>
      </c>
      <c r="J104" s="73" t="str">
        <f t="shared" si="11"/>
        <v/>
      </c>
      <c r="K104" s="59"/>
      <c r="L104" s="59"/>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57"/>
      <c r="L105" s="57"/>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73" t="str">
        <f t="shared" si="11"/>
        <v/>
      </c>
      <c r="K106" s="59"/>
      <c r="L106" s="59"/>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57"/>
      <c r="L107" s="57"/>
    </row>
    <row r="108" spans="1:12" ht="15.6">
      <c r="A108" s="24" t="str">
        <v>Catskill</v>
      </c>
      <c r="B108" s="25" t="str">
        <v>NY</v>
      </c>
      <c r="C108" s="25" t="str">
        <f>Sites[[#This Row],[SOL'#]]</f>
        <v>SOL-11021</v>
      </c>
      <c r="D108" s="20"/>
      <c r="E108" s="10"/>
      <c r="F108" s="10" t="str">
        <f t="shared" si="8"/>
        <v/>
      </c>
      <c r="G108" s="11" t="str">
        <f t="shared" si="9"/>
        <v/>
      </c>
      <c r="H108" s="12"/>
      <c r="I108" s="12" t="str">
        <f t="shared" si="10"/>
        <v/>
      </c>
      <c r="J108" s="73" t="str">
        <f t="shared" si="11"/>
        <v/>
      </c>
      <c r="K108" s="59"/>
      <c r="L108" s="59"/>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57"/>
      <c r="L109" s="58"/>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73" t="str">
        <f t="shared" si="11"/>
        <v/>
      </c>
      <c r="K110" s="59"/>
      <c r="L110" s="59"/>
    </row>
    <row r="111" spans="1:12" ht="15.6">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57"/>
      <c r="L111" s="58"/>
    </row>
    <row r="112" spans="1:12" ht="15.6">
      <c r="A112" s="24" t="str">
        <v>Rivard 2</v>
      </c>
      <c r="B112" s="25" t="str">
        <v>NY</v>
      </c>
      <c r="C112" s="25" t="str">
        <f>Sites[[#This Row],[SOL'#]]</f>
        <v>SOL-11012</v>
      </c>
      <c r="D112" s="20"/>
      <c r="E112" s="10"/>
      <c r="F112" s="10" t="str">
        <f t="shared" si="8"/>
        <v/>
      </c>
      <c r="G112" s="11" t="str">
        <f t="shared" si="9"/>
        <v/>
      </c>
      <c r="H112" s="12"/>
      <c r="I112" s="12" t="str">
        <f t="shared" si="10"/>
        <v/>
      </c>
      <c r="J112" s="73" t="str">
        <f t="shared" si="11"/>
        <v/>
      </c>
      <c r="K112" s="59"/>
      <c r="L112" s="59"/>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57"/>
      <c r="L113" s="57"/>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73" t="str">
        <f t="shared" si="11"/>
        <v/>
      </c>
      <c r="K114" s="59"/>
      <c r="L114" s="59"/>
    </row>
    <row r="115" spans="1:12" ht="15.6">
      <c r="A115" s="26" t="str">
        <v>Weinberg 1</v>
      </c>
      <c r="B115" s="27" t="str">
        <v>DC</v>
      </c>
      <c r="C115" s="27" t="str">
        <f>Sites[[#This Row],[SOL'#]]</f>
        <v>SOL-10039</v>
      </c>
      <c r="D115" s="9"/>
      <c r="E115" s="14"/>
      <c r="F115" s="14" t="str">
        <f t="shared" si="8"/>
        <v/>
      </c>
      <c r="G115" s="15" t="str">
        <f t="shared" si="9"/>
        <v/>
      </c>
      <c r="H115" s="16"/>
      <c r="I115" s="16" t="str">
        <f t="shared" si="10"/>
        <v/>
      </c>
      <c r="J115" s="15" t="str">
        <f t="shared" si="11"/>
        <v/>
      </c>
      <c r="K115" s="57"/>
      <c r="L115" s="58"/>
    </row>
    <row r="116" spans="1:12" ht="15.6">
      <c r="A116" s="24" t="str">
        <v>Weinberg 2</v>
      </c>
      <c r="B116" s="25" t="str">
        <v>DC</v>
      </c>
      <c r="C116" s="25" t="str">
        <f>Sites[[#This Row],[SOL'#]]</f>
        <v>SOL-10045</v>
      </c>
      <c r="D116" s="20"/>
      <c r="E116" s="10"/>
      <c r="F116" s="10" t="str">
        <f t="shared" si="8"/>
        <v/>
      </c>
      <c r="G116" s="11" t="str">
        <f t="shared" si="9"/>
        <v/>
      </c>
      <c r="H116" s="12"/>
      <c r="I116" s="12" t="str">
        <f t="shared" si="10"/>
        <v/>
      </c>
      <c r="J116" s="73" t="str">
        <f t="shared" si="11"/>
        <v/>
      </c>
      <c r="K116" s="59"/>
      <c r="L116" s="59"/>
    </row>
    <row r="117" spans="1:12" ht="15.6">
      <c r="A117" s="26" t="str">
        <v>Weinberg 3</v>
      </c>
      <c r="B117" s="27" t="str">
        <v>DC</v>
      </c>
      <c r="C117" s="27" t="str">
        <f>Sites[[#This Row],[SOL'#]]</f>
        <v>SOL-10042</v>
      </c>
      <c r="D117" s="9"/>
      <c r="E117" s="14"/>
      <c r="F117" s="14" t="str">
        <f t="shared" si="8"/>
        <v/>
      </c>
      <c r="G117" s="15" t="str">
        <f t="shared" si="9"/>
        <v/>
      </c>
      <c r="H117" s="16"/>
      <c r="I117" s="16" t="str">
        <f t="shared" si="10"/>
        <v/>
      </c>
      <c r="J117" s="15" t="str">
        <f t="shared" si="11"/>
        <v/>
      </c>
      <c r="K117" s="57"/>
      <c r="L117" s="58"/>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73" t="str">
        <f t="shared" si="11"/>
        <v/>
      </c>
      <c r="K118" s="59"/>
      <c r="L118" s="59"/>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57"/>
      <c r="L119" s="58"/>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73" t="str">
        <f t="shared" si="11"/>
        <v/>
      </c>
      <c r="K120" s="59"/>
      <c r="L120" s="59"/>
    </row>
    <row r="121" spans="1:12" ht="15.6">
      <c r="A121" s="26" t="str">
        <v>Leoku</v>
      </c>
      <c r="B121" s="27" t="str">
        <v>HI</v>
      </c>
      <c r="C121" s="27" t="str">
        <f>Sites[[#This Row],[SOL'#]]</f>
        <v>SOL-10071</v>
      </c>
      <c r="D121" s="9"/>
      <c r="E121" s="14"/>
      <c r="F121" s="14" t="str">
        <f>IF(AND(ISNUMBER(D121),ISNUMBER(E121)), D121-E121, "")</f>
        <v/>
      </c>
      <c r="G121" s="15" t="str">
        <f>IFERROR(F121/E121, "")</f>
        <v/>
      </c>
      <c r="H121" s="16"/>
      <c r="I121" s="16" t="str">
        <f>IF(AND(ISNUMBER(D121),ISNUMBER(H121)), D121-H121, "")</f>
        <v/>
      </c>
      <c r="J121" s="15" t="str">
        <f t="shared" si="11"/>
        <v/>
      </c>
      <c r="K121" s="57"/>
      <c r="L121" s="58"/>
    </row>
    <row r="122" spans="1:12" ht="15.6">
      <c r="A122" s="24" t="str">
        <v>Waipahu</v>
      </c>
      <c r="B122" s="25" t="str">
        <v>HI</v>
      </c>
      <c r="C122" s="25" t="str">
        <f>Sites[[#This Row],[SOL'#]]</f>
        <v>SOL-10068</v>
      </c>
      <c r="D122" s="20"/>
      <c r="E122" s="10"/>
      <c r="F122" s="10" t="str">
        <f t="shared" si="8"/>
        <v/>
      </c>
      <c r="G122" s="11" t="str">
        <f t="shared" si="9"/>
        <v/>
      </c>
      <c r="H122" s="12"/>
      <c r="I122" s="12" t="str">
        <f t="shared" si="10"/>
        <v/>
      </c>
      <c r="J122" s="73" t="str">
        <f t="shared" si="11"/>
        <v/>
      </c>
      <c r="K122" s="59"/>
      <c r="L122" s="59"/>
    </row>
    <row r="123" spans="1:12" ht="15.6">
      <c r="A123" s="26" t="str">
        <v>Bird in Hand</v>
      </c>
      <c r="B123" s="27" t="str">
        <v>MD</v>
      </c>
      <c r="C123" s="27" t="str">
        <f>Sites[[#This Row],[SOL'#]]</f>
        <v>SOL-10092</v>
      </c>
      <c r="D123" s="9"/>
      <c r="E123" s="14"/>
      <c r="F123" s="14" t="str">
        <f t="shared" si="8"/>
        <v/>
      </c>
      <c r="G123" s="15" t="str">
        <f t="shared" si="9"/>
        <v/>
      </c>
      <c r="H123" s="16"/>
      <c r="I123" s="16" t="str">
        <f t="shared" si="10"/>
        <v/>
      </c>
      <c r="J123" s="15" t="str">
        <f t="shared" si="11"/>
        <v/>
      </c>
      <c r="K123" s="57"/>
      <c r="L123" s="58"/>
    </row>
    <row r="124" spans="1:12" ht="15.6">
      <c r="A124" s="24" t="str">
        <v>Shortal</v>
      </c>
      <c r="B124" s="25" t="str">
        <v>MD</v>
      </c>
      <c r="C124" s="25" t="str">
        <f>Sites[[#This Row],[SOL'#]]</f>
        <v>SOL-10091</v>
      </c>
      <c r="D124" s="20"/>
      <c r="E124" s="10"/>
      <c r="F124" s="10" t="str">
        <f t="shared" si="8"/>
        <v/>
      </c>
      <c r="G124" s="11" t="str">
        <f t="shared" si="9"/>
        <v/>
      </c>
      <c r="H124" s="12"/>
      <c r="I124" s="12" t="str">
        <f t="shared" si="10"/>
        <v/>
      </c>
      <c r="J124" s="73" t="str">
        <f t="shared" si="11"/>
        <v/>
      </c>
      <c r="K124" s="59"/>
      <c r="L124" s="59"/>
    </row>
    <row r="125" spans="1:12" ht="15.6">
      <c r="A125" s="26" t="str">
        <v>Aguadilla</v>
      </c>
      <c r="B125" s="27" t="str">
        <v>PR</v>
      </c>
      <c r="C125" s="27" t="str">
        <f>Sites[[#This Row],[SOL'#]]</f>
        <v>SOL-10072</v>
      </c>
      <c r="D125" s="9"/>
      <c r="E125" s="14"/>
      <c r="F125" s="14" t="str">
        <f t="shared" si="8"/>
        <v/>
      </c>
      <c r="G125" s="15" t="str">
        <f t="shared" si="9"/>
        <v/>
      </c>
      <c r="H125" s="16"/>
      <c r="I125" s="16" t="str">
        <f t="shared" si="10"/>
        <v/>
      </c>
      <c r="J125" s="15" t="str">
        <f t="shared" si="11"/>
        <v/>
      </c>
      <c r="K125" s="57"/>
      <c r="L125" s="57"/>
    </row>
    <row r="126" spans="1:12" ht="106.5" customHeight="1">
      <c r="A126" s="24" t="str">
        <v>Bayamon</v>
      </c>
      <c r="B126" s="25" t="str">
        <v>PR</v>
      </c>
      <c r="C126" s="25" t="str">
        <f>Sites[[#This Row],[SOL'#]]</f>
        <v>SOL-10073</v>
      </c>
      <c r="D126" s="20"/>
      <c r="E126" s="10"/>
      <c r="F126" s="10" t="str">
        <f t="shared" si="8"/>
        <v/>
      </c>
      <c r="G126" s="11" t="str">
        <f t="shared" si="9"/>
        <v/>
      </c>
      <c r="H126" s="12"/>
      <c r="I126" s="12" t="str">
        <f t="shared" si="10"/>
        <v/>
      </c>
      <c r="J126" s="73" t="str">
        <f t="shared" si="11"/>
        <v/>
      </c>
      <c r="K126" s="59"/>
      <c r="L126" s="59"/>
    </row>
    <row r="127" spans="1:12" ht="122.25" customHeight="1">
      <c r="A127" s="26" t="str">
        <v>St Francis</v>
      </c>
      <c r="B127" s="27" t="str">
        <v>PR</v>
      </c>
      <c r="C127" s="27" t="str">
        <f>Sites[[#This Row],[SOL'#]]</f>
        <v>SOL-10034</v>
      </c>
      <c r="D127" s="9"/>
      <c r="E127" s="14"/>
      <c r="F127" s="14" t="str">
        <f t="shared" si="8"/>
        <v/>
      </c>
      <c r="G127" s="15" t="str">
        <f t="shared" si="9"/>
        <v/>
      </c>
      <c r="H127" s="16"/>
      <c r="I127" s="16" t="str">
        <f t="shared" si="10"/>
        <v/>
      </c>
      <c r="J127" s="15" t="str">
        <f t="shared" si="11"/>
        <v/>
      </c>
      <c r="K127" s="57"/>
      <c r="L127" s="57"/>
    </row>
    <row r="128" spans="1:12" ht="15.6">
      <c r="A128" s="24" t="str">
        <v>Seaport</v>
      </c>
      <c r="B128" s="25" t="str">
        <v>MA</v>
      </c>
      <c r="C128" s="25" t="str">
        <f>Sites[[#This Row],[SOL'#]]</f>
        <v>SOL-10772</v>
      </c>
      <c r="D128" s="20"/>
      <c r="E128" s="10"/>
      <c r="F128" s="10" t="str">
        <f t="shared" si="8"/>
        <v/>
      </c>
      <c r="G128" s="11" t="str">
        <f t="shared" si="9"/>
        <v/>
      </c>
      <c r="H128" s="12"/>
      <c r="I128" s="12" t="str">
        <f t="shared" si="10"/>
        <v/>
      </c>
      <c r="J128" s="73" t="str">
        <f t="shared" si="11"/>
        <v/>
      </c>
      <c r="K128" s="59"/>
      <c r="L128" s="59"/>
    </row>
    <row r="129" spans="1:12" ht="15.6">
      <c r="A129" s="26" t="str">
        <v>Sprague St</v>
      </c>
      <c r="B129" s="27" t="str">
        <v>MA</v>
      </c>
      <c r="C129" s="27" t="str">
        <f>Sites[[#This Row],[SOL'#]]</f>
        <v>SOL-10773</v>
      </c>
      <c r="D129" s="9"/>
      <c r="E129" s="14"/>
      <c r="F129" s="14" t="str">
        <f t="shared" si="8"/>
        <v/>
      </c>
      <c r="G129" s="15" t="str">
        <f t="shared" si="9"/>
        <v/>
      </c>
      <c r="H129" s="16"/>
      <c r="I129" s="16" t="str">
        <f t="shared" si="10"/>
        <v/>
      </c>
      <c r="J129" s="15" t="str">
        <f t="shared" si="11"/>
        <v/>
      </c>
      <c r="K129" s="57"/>
      <c r="L129" s="69"/>
    </row>
    <row r="130" spans="1:12" ht="78" customHeight="1">
      <c r="A130" s="24" t="str">
        <v>Summer St</v>
      </c>
      <c r="B130" s="25" t="str">
        <v>MA</v>
      </c>
      <c r="C130" s="25" t="str">
        <f>Sites[[#This Row],[SOL'#]]</f>
        <v>SOL-10764</v>
      </c>
      <c r="D130" s="20"/>
      <c r="E130" s="10"/>
      <c r="F130" s="10" t="str">
        <f t="shared" si="8"/>
        <v/>
      </c>
      <c r="G130" s="11" t="str">
        <f t="shared" si="9"/>
        <v/>
      </c>
      <c r="H130" s="12"/>
      <c r="I130" s="12" t="str">
        <f t="shared" si="10"/>
        <v/>
      </c>
      <c r="J130" s="73" t="str">
        <f t="shared" si="11"/>
        <v/>
      </c>
      <c r="K130" s="59"/>
      <c r="L130" s="59"/>
    </row>
    <row r="131" spans="1:12" ht="15.6">
      <c r="A131" s="26" t="str">
        <v>Brock St Vocational</v>
      </c>
      <c r="B131" s="27" t="str">
        <v>NH</v>
      </c>
      <c r="C131" s="27" t="str">
        <f>Sites[[#This Row],[SOL'#]]</f>
        <v>SOL-10768</v>
      </c>
      <c r="D131" s="9"/>
      <c r="E131" s="14"/>
      <c r="F131" s="14" t="str">
        <f t="shared" si="8"/>
        <v/>
      </c>
      <c r="G131" s="15" t="str">
        <f t="shared" si="9"/>
        <v/>
      </c>
      <c r="H131" s="16"/>
      <c r="I131" s="16" t="str">
        <f t="shared" si="10"/>
        <v/>
      </c>
      <c r="J131" s="15" t="str">
        <f t="shared" si="11"/>
        <v/>
      </c>
      <c r="K131" s="57"/>
      <c r="L131" s="58"/>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73" t="str">
        <f t="shared" si="11"/>
        <v/>
      </c>
      <c r="K132" s="59"/>
      <c r="L132" s="59"/>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57"/>
      <c r="L133" s="58"/>
    </row>
    <row r="134" spans="1:12" ht="15.6">
      <c r="A134" s="24" t="str">
        <v>Portsmouth HS</v>
      </c>
      <c r="B134" s="25" t="str">
        <v>NH</v>
      </c>
      <c r="C134" s="25" t="str">
        <f>Sites[[#This Row],[SOL'#]]</f>
        <v>SOL-10769</v>
      </c>
      <c r="D134" s="20"/>
      <c r="E134" s="10"/>
      <c r="F134" s="10" t="str">
        <f t="shared" si="8"/>
        <v/>
      </c>
      <c r="G134" s="11" t="str">
        <f t="shared" si="9"/>
        <v/>
      </c>
      <c r="H134" s="12"/>
      <c r="I134" s="12" t="str">
        <f t="shared" si="10"/>
        <v/>
      </c>
      <c r="J134" s="73" t="str">
        <f t="shared" si="11"/>
        <v/>
      </c>
      <c r="K134" s="59"/>
      <c r="L134" s="59"/>
    </row>
    <row r="135" spans="1:12" ht="15.6">
      <c r="A135" s="26" t="str">
        <v>Portsmouth WTP</v>
      </c>
      <c r="B135" s="27" t="str">
        <v>NH</v>
      </c>
      <c r="C135" s="27" t="str">
        <f>Sites[[#This Row],[SOL'#]]</f>
        <v>SOL-10770</v>
      </c>
      <c r="D135" s="9"/>
      <c r="E135" s="14"/>
      <c r="F135" s="14" t="str">
        <f t="shared" si="8"/>
        <v/>
      </c>
      <c r="G135" s="15" t="str">
        <f t="shared" si="9"/>
        <v/>
      </c>
      <c r="H135" s="16"/>
      <c r="I135" s="16" t="str">
        <f t="shared" si="10"/>
        <v/>
      </c>
      <c r="J135" s="15" t="str">
        <f t="shared" si="11"/>
        <v/>
      </c>
      <c r="K135" s="57"/>
      <c r="L135" s="58"/>
    </row>
    <row r="136" spans="1:12" ht="15.6">
      <c r="A136" s="24" t="str">
        <v>Rochester St</v>
      </c>
      <c r="B136" s="25" t="str">
        <v>NH</v>
      </c>
      <c r="C136" s="25" t="str">
        <f>Sites[[#This Row],[SOL'#]]</f>
        <v>SOL-10765</v>
      </c>
      <c r="D136" s="20"/>
      <c r="E136" s="10"/>
      <c r="F136" s="10" t="str">
        <f t="shared" si="8"/>
        <v/>
      </c>
      <c r="G136" s="11" t="str">
        <f t="shared" si="9"/>
        <v/>
      </c>
      <c r="H136" s="12"/>
      <c r="I136" s="12" t="str">
        <f t="shared" si="10"/>
        <v/>
      </c>
      <c r="J136" s="73" t="str">
        <f t="shared" si="11"/>
        <v/>
      </c>
      <c r="K136" s="59"/>
      <c r="L136" s="59"/>
    </row>
    <row r="137" spans="1:12" ht="15.6">
      <c r="A137" s="26" t="str">
        <v>Spaulding HS</v>
      </c>
      <c r="B137" s="27" t="str">
        <v>NH</v>
      </c>
      <c r="C137" s="27" t="str">
        <f>Sites[[#This Row],[SOL'#]]</f>
        <v>SOL-10767</v>
      </c>
      <c r="D137" s="9"/>
      <c r="E137" s="14"/>
      <c r="F137" s="14" t="str">
        <f t="shared" si="8"/>
        <v/>
      </c>
      <c r="G137" s="15" t="str">
        <f t="shared" si="9"/>
        <v/>
      </c>
      <c r="H137" s="16"/>
      <c r="I137" s="16" t="str">
        <f t="shared" si="10"/>
        <v/>
      </c>
      <c r="J137" s="15" t="str">
        <f t="shared" si="11"/>
        <v/>
      </c>
      <c r="K137" s="57"/>
      <c r="L137" s="58"/>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73" t="str">
        <f t="shared" si="11"/>
        <v/>
      </c>
      <c r="K138" s="59"/>
      <c r="L138" s="59"/>
    </row>
    <row r="139" spans="1:12" ht="15.6">
      <c r="A139" s="26" t="str">
        <v>Spencer</v>
      </c>
      <c r="B139" s="27" t="str">
        <v>NY</v>
      </c>
      <c r="C139" s="27" t="str">
        <f>Sites[[#This Row],[SOL'#]]</f>
        <v>SOL-11017</v>
      </c>
      <c r="D139" s="9"/>
      <c r="E139" s="14"/>
      <c r="F139" s="14" t="str">
        <f t="shared" si="8"/>
        <v/>
      </c>
      <c r="G139" s="15" t="str">
        <f t="shared" si="9"/>
        <v/>
      </c>
      <c r="H139" s="16"/>
      <c r="I139" s="16" t="str">
        <f t="shared" si="10"/>
        <v/>
      </c>
      <c r="J139" s="15" t="str">
        <f t="shared" si="11"/>
        <v/>
      </c>
      <c r="K139" s="57"/>
      <c r="L139" s="58"/>
    </row>
    <row r="140" spans="1:12" ht="15.6">
      <c r="A140" s="28" t="str">
        <v>Reisender</v>
      </c>
      <c r="B140" s="25" t="str">
        <v>NY</v>
      </c>
      <c r="C140" s="25" t="str">
        <f>Sites[[#This Row],[SOL'#]]</f>
        <v>SOL-10886</v>
      </c>
      <c r="D140" s="60"/>
      <c r="E140" s="10"/>
      <c r="F140" s="10" t="str">
        <f t="shared" si="8"/>
        <v/>
      </c>
      <c r="G140" s="61" t="str">
        <f t="shared" si="9"/>
        <v/>
      </c>
      <c r="H140" s="76"/>
      <c r="I140" s="76" t="str">
        <f t="shared" si="10"/>
        <v/>
      </c>
      <c r="J140" s="73" t="str">
        <f t="shared" si="11"/>
        <v/>
      </c>
      <c r="K140" s="82"/>
      <c r="L140" s="59"/>
    </row>
    <row r="141" spans="1:12" ht="15.6">
      <c r="A141" s="26" t="str">
        <v>Finney</v>
      </c>
      <c r="B141" s="27" t="str">
        <v>NY</v>
      </c>
      <c r="C141" s="27" t="str">
        <f>Sites[[#This Row],[SOL'#]]</f>
        <v>SOL-10999</v>
      </c>
      <c r="D141" s="75"/>
      <c r="E141" s="14"/>
      <c r="F141" s="14" t="str">
        <f t="shared" si="8"/>
        <v/>
      </c>
      <c r="G141" s="77" t="str">
        <f t="shared" si="9"/>
        <v/>
      </c>
      <c r="H141" s="78"/>
      <c r="I141" s="78" t="str">
        <f t="shared" si="10"/>
        <v/>
      </c>
      <c r="J141" s="77" t="str">
        <f t="shared" si="11"/>
        <v/>
      </c>
      <c r="K141" s="57"/>
      <c r="L141" s="84"/>
    </row>
    <row r="142" spans="1:12" ht="15.6">
      <c r="A142" s="24" t="str">
        <v>Davis Solar</v>
      </c>
      <c r="B142" s="25" t="str">
        <v>NY</v>
      </c>
      <c r="C142" s="25" t="str">
        <f>Sites[[#This Row],[SOL'#]]</f>
        <v>SOL-10958</v>
      </c>
      <c r="D142" s="60"/>
      <c r="E142" s="10"/>
      <c r="F142" s="10" t="str">
        <f t="shared" si="8"/>
        <v/>
      </c>
      <c r="G142" s="61" t="str">
        <f t="shared" si="9"/>
        <v/>
      </c>
      <c r="H142" s="76"/>
      <c r="I142" s="76" t="str">
        <f t="shared" si="10"/>
        <v/>
      </c>
      <c r="J142" s="73" t="str">
        <f t="shared" si="11"/>
        <v/>
      </c>
      <c r="K142" s="82"/>
      <c r="L142" s="59"/>
    </row>
    <row r="143" spans="1:12" ht="15.6">
      <c r="A143" s="26" t="str">
        <v>Genesee</v>
      </c>
      <c r="B143" s="27" t="str">
        <v>NY</v>
      </c>
      <c r="C143" s="27" t="str">
        <f>Sites[[#This Row],[SOL'#]]</f>
        <v>SOL-10951</v>
      </c>
      <c r="D143" s="75"/>
      <c r="E143" s="14"/>
      <c r="F143" s="14" t="str">
        <f t="shared" si="8"/>
        <v/>
      </c>
      <c r="G143" s="77" t="str">
        <f t="shared" si="9"/>
        <v/>
      </c>
      <c r="H143" s="78"/>
      <c r="I143" s="78" t="str">
        <f t="shared" si="10"/>
        <v/>
      </c>
      <c r="J143" s="77" t="str">
        <f t="shared" si="11"/>
        <v/>
      </c>
      <c r="K143" s="38"/>
      <c r="L143" s="17"/>
    </row>
    <row r="144" spans="1:12" ht="15.6">
      <c r="A144" s="24" t="str">
        <v>Landau I</v>
      </c>
      <c r="B144" s="25" t="str">
        <v>NY</v>
      </c>
      <c r="C144" s="25" t="str">
        <f>Sites[[#This Row],[SOL'#]]</f>
        <v>SOL-10891</v>
      </c>
      <c r="D144" s="60"/>
      <c r="E144" s="10"/>
      <c r="F144" s="10" t="str">
        <f t="shared" si="8"/>
        <v/>
      </c>
      <c r="G144" s="61" t="str">
        <f t="shared" si="9"/>
        <v/>
      </c>
      <c r="H144" s="76"/>
      <c r="I144" s="76" t="str">
        <f t="shared" si="10"/>
        <v/>
      </c>
      <c r="J144" s="73" t="str">
        <f t="shared" si="11"/>
        <v/>
      </c>
      <c r="K144" s="63"/>
      <c r="L144" s="37"/>
    </row>
    <row r="145" spans="1:12" ht="15.6">
      <c r="A145" s="26" t="str">
        <v>Landau II</v>
      </c>
      <c r="B145" s="27" t="str">
        <v>NY</v>
      </c>
      <c r="C145" s="27" t="str">
        <f>Sites[[#This Row],[SOL'#]]</f>
        <v>SOL-10895</v>
      </c>
      <c r="D145" s="75"/>
      <c r="E145" s="14"/>
      <c r="F145" s="14" t="str">
        <f t="shared" si="8"/>
        <v/>
      </c>
      <c r="G145" s="77" t="str">
        <f t="shared" si="9"/>
        <v/>
      </c>
      <c r="H145" s="78"/>
      <c r="I145" s="78" t="str">
        <f t="shared" si="10"/>
        <v/>
      </c>
      <c r="J145" s="77" t="str">
        <f t="shared" si="11"/>
        <v/>
      </c>
      <c r="K145" s="38"/>
      <c r="L145" s="17"/>
    </row>
    <row r="146" spans="1:12" ht="15.6">
      <c r="A146" s="24" t="str">
        <v>New Beginnings</v>
      </c>
      <c r="B146" s="25" t="str">
        <v>NY</v>
      </c>
      <c r="C146" s="25" t="str">
        <f>Sites[[#This Row],[SOL'#]]</f>
        <v>SOL-10890</v>
      </c>
      <c r="D146" s="60"/>
      <c r="E146" s="10"/>
      <c r="F146" s="10" t="str">
        <f t="shared" ref="F146:F160" si="12">IF(AND(ISNUMBER(D146),ISNUMBER(E146)), D146-E146, "")</f>
        <v/>
      </c>
      <c r="G146" s="61" t="str">
        <f t="shared" ref="G146:G160" si="13">IFERROR(F146/E146, "")</f>
        <v/>
      </c>
      <c r="H146" s="76"/>
      <c r="I146" s="76" t="str">
        <f t="shared" ref="I146:I160" si="14">IF(AND(ISNUMBER(D146),ISNUMBER(H146)), D146-H146, "")</f>
        <v/>
      </c>
      <c r="J146" s="73" t="str">
        <f t="shared" ref="J146:J160" si="15">IFERROR(I146/H146, "")</f>
        <v/>
      </c>
      <c r="K146" s="63"/>
      <c r="L146" s="37"/>
    </row>
    <row r="147" spans="1:12" ht="15.6">
      <c r="A147" s="26" t="str">
        <v>Guilin Farm Solar</v>
      </c>
      <c r="B147" s="27" t="str">
        <v>NY</v>
      </c>
      <c r="C147" s="27" t="str">
        <f>Sites[[#This Row],[SOL'#]]</f>
        <v>SOL-10998</v>
      </c>
      <c r="D147" s="75"/>
      <c r="E147" s="14"/>
      <c r="F147" s="14" t="str">
        <f t="shared" si="12"/>
        <v/>
      </c>
      <c r="G147" s="77" t="str">
        <f t="shared" si="13"/>
        <v/>
      </c>
      <c r="H147" s="78"/>
      <c r="I147" s="78" t="str">
        <f t="shared" si="14"/>
        <v/>
      </c>
      <c r="J147" s="77" t="str">
        <f t="shared" si="15"/>
        <v/>
      </c>
      <c r="K147" s="38"/>
      <c r="L147" s="17"/>
    </row>
    <row r="148" spans="1:12" ht="15.6">
      <c r="A148" s="24" t="str">
        <v>Brodhead Solar</v>
      </c>
      <c r="B148" s="25" t="str">
        <v>NY</v>
      </c>
      <c r="C148" s="25" t="str">
        <f>Sites[[#This Row],[SOL'#]]</f>
        <v>SOL-10899</v>
      </c>
      <c r="D148" s="60"/>
      <c r="E148" s="10"/>
      <c r="F148" s="10" t="str">
        <f t="shared" si="12"/>
        <v/>
      </c>
      <c r="G148" s="61" t="str">
        <f t="shared" si="13"/>
        <v/>
      </c>
      <c r="H148" s="76"/>
      <c r="I148" s="76" t="str">
        <f t="shared" si="14"/>
        <v/>
      </c>
      <c r="J148" s="73" t="str">
        <f t="shared" si="15"/>
        <v/>
      </c>
      <c r="K148" s="63"/>
      <c r="L148" s="37"/>
    </row>
    <row r="149" spans="1:12" ht="15.6">
      <c r="A149" s="26" t="str">
        <v>Svenski</v>
      </c>
      <c r="B149" s="27" t="str">
        <v>NY</v>
      </c>
      <c r="C149" s="27" t="str">
        <f>Sites[[#This Row],[SOL'#]]</f>
        <v>SOL-10894</v>
      </c>
      <c r="D149" s="75"/>
      <c r="E149" s="14"/>
      <c r="F149" s="14" t="str">
        <f t="shared" si="12"/>
        <v/>
      </c>
      <c r="G149" s="77" t="str">
        <f t="shared" si="13"/>
        <v/>
      </c>
      <c r="H149" s="78"/>
      <c r="I149" s="78" t="str">
        <f t="shared" si="14"/>
        <v/>
      </c>
      <c r="J149" s="77" t="str">
        <f t="shared" si="15"/>
        <v/>
      </c>
      <c r="K149" s="38"/>
      <c r="L149" s="17"/>
    </row>
    <row r="150" spans="1:12" ht="15.6">
      <c r="A150" s="24" t="str">
        <v>Bantam</v>
      </c>
      <c r="B150" s="25" t="str">
        <v>NY</v>
      </c>
      <c r="C150" s="25" t="str">
        <f>Sites[[#This Row],[SOL'#]]</f>
        <v>SOL-10986</v>
      </c>
      <c r="D150" s="60"/>
      <c r="E150" s="10"/>
      <c r="F150" s="10" t="str">
        <f t="shared" si="12"/>
        <v/>
      </c>
      <c r="G150" s="61" t="str">
        <f t="shared" si="13"/>
        <v/>
      </c>
      <c r="H150" s="76"/>
      <c r="I150" s="76" t="str">
        <f t="shared" si="14"/>
        <v/>
      </c>
      <c r="J150" s="73" t="str">
        <f t="shared" si="15"/>
        <v/>
      </c>
      <c r="K150" s="63"/>
      <c r="L150" s="37"/>
    </row>
    <row r="151" spans="1:12" ht="15.6">
      <c r="A151" s="26" t="str">
        <v>Bogart</v>
      </c>
      <c r="B151" s="27" t="str">
        <v>NY</v>
      </c>
      <c r="C151" s="27" t="str">
        <f>Sites[[#This Row],[SOL'#]]</f>
        <v>SOL-10887</v>
      </c>
      <c r="D151" s="75"/>
      <c r="E151" s="14"/>
      <c r="F151" s="14" t="str">
        <f t="shared" si="12"/>
        <v/>
      </c>
      <c r="G151" s="77" t="str">
        <f t="shared" si="13"/>
        <v/>
      </c>
      <c r="H151" s="78"/>
      <c r="I151" s="78" t="str">
        <f t="shared" si="14"/>
        <v/>
      </c>
      <c r="J151" s="77" t="str">
        <f t="shared" si="15"/>
        <v/>
      </c>
      <c r="K151" s="38"/>
      <c r="L151" s="17"/>
    </row>
    <row r="152" spans="1:12" ht="15.6">
      <c r="A152" s="24" t="str">
        <v>Dubois</v>
      </c>
      <c r="B152" s="25" t="str">
        <v>NY</v>
      </c>
      <c r="C152" s="25" t="str">
        <f>Sites[[#This Row],[SOL'#]]</f>
        <v>SOL-10892</v>
      </c>
      <c r="D152" s="60"/>
      <c r="E152" s="10"/>
      <c r="F152" s="10" t="str">
        <f t="shared" si="12"/>
        <v/>
      </c>
      <c r="G152" s="61" t="str">
        <f t="shared" si="13"/>
        <v/>
      </c>
      <c r="H152" s="76"/>
      <c r="I152" s="76" t="str">
        <f t="shared" si="14"/>
        <v/>
      </c>
      <c r="J152" s="73" t="str">
        <f t="shared" si="15"/>
        <v/>
      </c>
      <c r="K152" s="63"/>
      <c r="L152" s="37"/>
    </row>
    <row r="153" spans="1:12" ht="15.6">
      <c r="A153" s="26" t="str">
        <v>Salt Point</v>
      </c>
      <c r="B153" s="27" t="str">
        <v>NY</v>
      </c>
      <c r="C153" s="27" t="str">
        <f>Sites[[#This Row],[SOL'#]]</f>
        <v>SOL-10888</v>
      </c>
      <c r="D153" s="75"/>
      <c r="E153" s="14"/>
      <c r="F153" s="14" t="str">
        <f t="shared" si="12"/>
        <v/>
      </c>
      <c r="G153" s="77" t="str">
        <f t="shared" si="13"/>
        <v/>
      </c>
      <c r="H153" s="78"/>
      <c r="I153" s="78" t="str">
        <f t="shared" si="14"/>
        <v/>
      </c>
      <c r="J153" s="77" t="str">
        <f t="shared" si="15"/>
        <v/>
      </c>
      <c r="K153" s="126"/>
      <c r="L153" s="17"/>
    </row>
    <row r="154" spans="1:12" ht="15.6">
      <c r="A154" s="24" t="str">
        <v>Wheatland 2A</v>
      </c>
      <c r="B154" s="25" t="str">
        <v>NY</v>
      </c>
      <c r="C154" s="25" t="str">
        <f>Sites[[#This Row],[SOL'#]]</f>
        <v>SOL-10971</v>
      </c>
      <c r="D154" s="60"/>
      <c r="E154" s="10"/>
      <c r="F154" s="10" t="str">
        <f t="shared" si="12"/>
        <v/>
      </c>
      <c r="G154" s="61" t="str">
        <f t="shared" si="13"/>
        <v/>
      </c>
      <c r="H154" s="76"/>
      <c r="I154" s="76" t="str">
        <f t="shared" si="14"/>
        <v/>
      </c>
      <c r="J154" s="73" t="str">
        <f t="shared" si="15"/>
        <v/>
      </c>
      <c r="K154" s="63"/>
      <c r="L154" s="37"/>
    </row>
    <row r="155" spans="1:12" ht="15.6">
      <c r="A155" s="26" t="str">
        <v>Wheatland 2B</v>
      </c>
      <c r="B155" s="27" t="str">
        <v>NY</v>
      </c>
      <c r="C155" s="27" t="str">
        <f>Sites[[#This Row],[SOL'#]]</f>
        <v>SOL-10961</v>
      </c>
      <c r="D155" s="75"/>
      <c r="E155" s="14"/>
      <c r="F155" s="14" t="str">
        <f t="shared" si="12"/>
        <v/>
      </c>
      <c r="G155" s="77" t="str">
        <f t="shared" si="13"/>
        <v/>
      </c>
      <c r="H155" s="78"/>
      <c r="I155" s="78" t="str">
        <f t="shared" si="14"/>
        <v/>
      </c>
      <c r="J155" s="77" t="str">
        <f t="shared" si="15"/>
        <v/>
      </c>
      <c r="K155" s="38"/>
      <c r="L155" s="17"/>
    </row>
    <row r="156" spans="1:12" ht="15.6">
      <c r="A156" s="24" t="str">
        <v>Brickchurch</v>
      </c>
      <c r="B156" s="25" t="str">
        <v>NY</v>
      </c>
      <c r="C156" s="25" t="str">
        <f>Sites[[#This Row],[SOL'#]]</f>
        <v>SOL-10889</v>
      </c>
      <c r="D156" s="60"/>
      <c r="E156" s="10"/>
      <c r="F156" s="10" t="str">
        <f t="shared" si="12"/>
        <v/>
      </c>
      <c r="G156" s="61" t="str">
        <f t="shared" si="13"/>
        <v/>
      </c>
      <c r="H156" s="76"/>
      <c r="I156" s="76" t="str">
        <f t="shared" si="14"/>
        <v/>
      </c>
      <c r="J156" s="73" t="str">
        <f t="shared" si="15"/>
        <v/>
      </c>
      <c r="K156" s="63"/>
      <c r="L156" s="37"/>
    </row>
    <row r="157" spans="1:12" ht="15.6">
      <c r="A157" s="26" t="str">
        <v>McCarthy Solar</v>
      </c>
      <c r="B157" s="27" t="str">
        <v>NY</v>
      </c>
      <c r="C157" s="27" t="str">
        <f>Sites[[#This Row],[SOL'#]]</f>
        <v>SOL-10992</v>
      </c>
      <c r="D157" s="75"/>
      <c r="E157" s="14"/>
      <c r="F157" s="14" t="str">
        <f t="shared" si="12"/>
        <v/>
      </c>
      <c r="G157" s="77" t="str">
        <f t="shared" si="13"/>
        <v/>
      </c>
      <c r="H157" s="78"/>
      <c r="I157" s="78" t="str">
        <f t="shared" si="14"/>
        <v/>
      </c>
      <c r="J157" s="77" t="str">
        <f t="shared" si="15"/>
        <v/>
      </c>
      <c r="K157" s="38"/>
      <c r="L157" s="17"/>
    </row>
    <row r="158" spans="1:12" ht="15.6">
      <c r="A158" s="24" t="str">
        <v>Costanza</v>
      </c>
      <c r="B158" s="25" t="str">
        <v>NY</v>
      </c>
      <c r="C158" s="25" t="str">
        <f>Sites[[#This Row],[SOL'#]]</f>
        <v>SOL-10907</v>
      </c>
      <c r="D158" s="60"/>
      <c r="E158" s="10"/>
      <c r="F158" s="10" t="str">
        <f t="shared" si="12"/>
        <v/>
      </c>
      <c r="G158" s="61" t="str">
        <f t="shared" si="13"/>
        <v/>
      </c>
      <c r="H158" s="76"/>
      <c r="I158" s="76" t="str">
        <f t="shared" si="14"/>
        <v/>
      </c>
      <c r="J158" s="73" t="str">
        <f t="shared" si="15"/>
        <v/>
      </c>
      <c r="K158" s="63"/>
      <c r="L158" s="37"/>
    </row>
    <row r="159" spans="1:12" ht="15.6">
      <c r="A159" s="26" t="str">
        <v>Lockenhurst Pond</v>
      </c>
      <c r="B159" s="27" t="str">
        <v>NY</v>
      </c>
      <c r="C159" s="27" t="str">
        <f>Sites[[#This Row],[SOL'#]]</f>
        <v>SOL-11000</v>
      </c>
      <c r="D159" s="75"/>
      <c r="E159" s="14"/>
      <c r="F159" s="14" t="str">
        <f t="shared" si="12"/>
        <v/>
      </c>
      <c r="G159" s="77" t="str">
        <f t="shared" si="13"/>
        <v/>
      </c>
      <c r="H159" s="78"/>
      <c r="I159" s="78" t="str">
        <f t="shared" si="14"/>
        <v/>
      </c>
      <c r="J159" s="77" t="str">
        <f t="shared" si="15"/>
        <v/>
      </c>
      <c r="K159" s="38"/>
      <c r="L159" s="17"/>
    </row>
    <row r="160" spans="1:12" ht="15.6">
      <c r="A160" s="24" t="str">
        <v>Drinkwater</v>
      </c>
      <c r="B160" s="25" t="str">
        <v>NY</v>
      </c>
      <c r="C160" s="25" t="str">
        <f>Sites[[#This Row],[SOL'#]]</f>
        <v>SOL-10896</v>
      </c>
      <c r="D160" s="60"/>
      <c r="E160" s="10"/>
      <c r="F160" s="10" t="str">
        <f t="shared" si="12"/>
        <v/>
      </c>
      <c r="G160" s="61" t="str">
        <f t="shared" si="13"/>
        <v/>
      </c>
      <c r="H160" s="76"/>
      <c r="I160" s="76" t="str">
        <f t="shared" si="14"/>
        <v/>
      </c>
      <c r="J160" s="73" t="str">
        <f t="shared" si="15"/>
        <v/>
      </c>
      <c r="K160" s="63"/>
      <c r="L160" s="37"/>
    </row>
    <row r="161" spans="1:12" ht="15.6">
      <c r="A161" s="26" t="str">
        <v>Altamont</v>
      </c>
      <c r="B161" s="27" t="str">
        <v>NY</v>
      </c>
      <c r="C161" s="27" t="s">
        <v>228</v>
      </c>
      <c r="D161" s="75"/>
      <c r="E161" s="14"/>
      <c r="F161" s="14"/>
      <c r="G161" s="77"/>
      <c r="H161" s="78"/>
      <c r="I161" s="78"/>
      <c r="J161" s="77"/>
      <c r="K161" s="38"/>
      <c r="L161" s="17"/>
    </row>
    <row r="162" spans="1:12" ht="15.6">
      <c r="A162" s="24" t="str">
        <v>Krumkill North</v>
      </c>
      <c r="B162" s="25" t="str">
        <v>NY</v>
      </c>
      <c r="C162" s="25" t="str">
        <f>Sites[[#This Row],[SOL'#]]</f>
        <v>SOL-11086</v>
      </c>
      <c r="D162" s="60"/>
      <c r="E162" s="10"/>
      <c r="F162" s="10" t="str">
        <f t="shared" ref="F162" si="16">IF(AND(ISNUMBER(D162),ISNUMBER(E162)), D162-E162, "")</f>
        <v/>
      </c>
      <c r="G162" s="61" t="str">
        <f t="shared" ref="G162" si="17">IFERROR(F162/E162, "")</f>
        <v/>
      </c>
      <c r="H162" s="76"/>
      <c r="I162" s="76" t="str">
        <f t="shared" ref="I162" si="18">IF(AND(ISNUMBER(D162),ISNUMBER(H162)), D162-H162, "")</f>
        <v/>
      </c>
      <c r="J162" s="73" t="str">
        <f t="shared" ref="J162" si="19">IFERROR(I162/H162, "")</f>
        <v/>
      </c>
      <c r="K162" s="63"/>
      <c r="L162" s="37"/>
    </row>
    <row r="163" spans="1:12" ht="15.6">
      <c r="A163" s="26" t="str">
        <v>Krumkill South</v>
      </c>
      <c r="B163" s="27" t="str">
        <v>NY</v>
      </c>
      <c r="C163" s="27" t="s">
        <v>469</v>
      </c>
      <c r="D163" s="75"/>
      <c r="E163" s="14"/>
      <c r="F163" s="14"/>
      <c r="G163" s="77"/>
      <c r="H163" s="78"/>
      <c r="I163" s="78"/>
      <c r="J163" s="77"/>
      <c r="K163" s="38"/>
      <c r="L163" s="17"/>
    </row>
    <row r="164" spans="1:12" ht="15.6">
      <c r="A164" s="24" t="str">
        <v>X092</v>
      </c>
      <c r="B164" s="25" t="str">
        <v>NY</v>
      </c>
      <c r="C164" s="25" t="str">
        <f>Sites[[#This Row],[SOL'#]]</f>
        <v>SOL-11189</v>
      </c>
      <c r="D164" s="60"/>
      <c r="E164" s="10"/>
      <c r="F164" s="10" t="str">
        <f t="shared" ref="F164" si="20">IF(AND(ISNUMBER(D164),ISNUMBER(E164)), D164-E164, "")</f>
        <v/>
      </c>
      <c r="G164" s="61" t="str">
        <f t="shared" ref="G164" si="21">IFERROR(F164/E164, "")</f>
        <v/>
      </c>
      <c r="H164" s="76"/>
      <c r="I164" s="76" t="str">
        <f t="shared" ref="I164" si="22">IF(AND(ISNUMBER(D164),ISNUMBER(H164)), D164-H164, "")</f>
        <v/>
      </c>
      <c r="J164" s="73" t="str">
        <f t="shared" ref="J164" si="23">IFERROR(I164/H164, "")</f>
        <v/>
      </c>
      <c r="K164" s="63"/>
      <c r="L164" s="37"/>
    </row>
    <row r="165" spans="1:12" ht="15.6">
      <c r="A165" s="26" t="str">
        <v>X093</v>
      </c>
      <c r="B165" s="27" t="str">
        <v>NY</v>
      </c>
      <c r="C165" s="27" t="s">
        <v>470</v>
      </c>
      <c r="D165" s="75"/>
      <c r="E165" s="14"/>
      <c r="F165" s="14"/>
      <c r="G165" s="77"/>
      <c r="H165" s="78"/>
      <c r="I165" s="78"/>
      <c r="J165" s="77"/>
      <c r="K165" s="38"/>
      <c r="L165" s="17"/>
    </row>
    <row r="166" spans="1:12" ht="15.6">
      <c r="A166" s="24" t="str">
        <v>X095</v>
      </c>
      <c r="B166" s="25" t="str">
        <v>NY</v>
      </c>
      <c r="C166" s="25" t="str">
        <f>Sites[[#This Row],[SOL'#]]</f>
        <v>SOL-10929</v>
      </c>
      <c r="D166" s="60"/>
      <c r="E166" s="10"/>
      <c r="F166" s="10" t="str">
        <f t="shared" ref="F166" si="24">IF(AND(ISNUMBER(D166),ISNUMBER(E166)), D166-E166, "")</f>
        <v/>
      </c>
      <c r="G166" s="61" t="str">
        <f t="shared" ref="G166" si="25">IFERROR(F166/E166, "")</f>
        <v/>
      </c>
      <c r="H166" s="76"/>
      <c r="I166" s="76" t="str">
        <f t="shared" ref="I166" si="26">IF(AND(ISNUMBER(D166),ISNUMBER(H166)), D166-H166, "")</f>
        <v/>
      </c>
      <c r="J166" s="73" t="str">
        <f t="shared" ref="J166" si="27">IFERROR(I166/H166, "")</f>
        <v/>
      </c>
      <c r="K166" s="63"/>
      <c r="L166" s="37"/>
    </row>
    <row r="167" spans="1:12" ht="15.6">
      <c r="A167" s="26" t="str">
        <v>X181</v>
      </c>
      <c r="B167" s="27" t="str">
        <v>NY</v>
      </c>
      <c r="C167" s="27" t="s">
        <v>471</v>
      </c>
      <c r="D167" s="75"/>
      <c r="E167" s="14"/>
      <c r="F167" s="14"/>
      <c r="G167" s="77"/>
      <c r="H167" s="78"/>
      <c r="I167" s="78"/>
      <c r="J167" s="77"/>
      <c r="K167" s="38"/>
      <c r="L167" s="17"/>
    </row>
    <row r="168" spans="1:12" ht="15.6">
      <c r="A168" s="24" t="str">
        <v>X415</v>
      </c>
      <c r="B168" s="25" t="str">
        <v>NY</v>
      </c>
      <c r="C168" s="25" t="str">
        <f>Sites[[#This Row],[SOL'#]]</f>
        <v>SOL-10429</v>
      </c>
      <c r="D168" s="60"/>
      <c r="E168" s="10"/>
      <c r="F168" s="10" t="str">
        <f t="shared" ref="F168" si="28">IF(AND(ISNUMBER(D168),ISNUMBER(E168)), D168-E168, "")</f>
        <v/>
      </c>
      <c r="G168" s="61" t="str">
        <f t="shared" ref="G168" si="29">IFERROR(F168/E168, "")</f>
        <v/>
      </c>
      <c r="H168" s="76"/>
      <c r="I168" s="76" t="str">
        <f t="shared" ref="I168" si="30">IF(AND(ISNUMBER(D168),ISNUMBER(H168)), D168-H168, "")</f>
        <v/>
      </c>
      <c r="J168" s="73" t="str">
        <f t="shared" ref="J168" si="31">IFERROR(I168/H168, "")</f>
        <v/>
      </c>
      <c r="K168" s="63"/>
      <c r="L168" s="37"/>
    </row>
    <row r="169" spans="1:12" ht="15.6">
      <c r="A169" s="26" t="str">
        <v>K198</v>
      </c>
      <c r="B169" s="27" t="str">
        <v>NY</v>
      </c>
      <c r="C169" s="27" t="s">
        <v>472</v>
      </c>
      <c r="D169" s="75"/>
      <c r="E169" s="14"/>
      <c r="F169" s="14"/>
      <c r="G169" s="77"/>
      <c r="H169" s="78"/>
      <c r="I169" s="78"/>
      <c r="J169" s="77"/>
      <c r="K169" s="38"/>
      <c r="L169" s="17"/>
    </row>
    <row r="170" spans="1:12" ht="15.6">
      <c r="A170" s="24" t="str">
        <v>K203</v>
      </c>
      <c r="B170" s="25" t="str">
        <v>NY</v>
      </c>
      <c r="C170" s="25" t="str">
        <f>Sites[[#This Row],[SOL'#]]</f>
        <v>SOL-11190</v>
      </c>
      <c r="D170" s="60"/>
      <c r="E170" s="10"/>
      <c r="F170" s="10" t="str">
        <f t="shared" ref="F170" si="32">IF(AND(ISNUMBER(D170),ISNUMBER(E170)), D170-E170, "")</f>
        <v/>
      </c>
      <c r="G170" s="61" t="str">
        <f t="shared" ref="G170" si="33">IFERROR(F170/E170, "")</f>
        <v/>
      </c>
      <c r="H170" s="76"/>
      <c r="I170" s="76" t="str">
        <f t="shared" ref="I170" si="34">IF(AND(ISNUMBER(D170),ISNUMBER(H170)), D170-H170, "")</f>
        <v/>
      </c>
      <c r="J170" s="73" t="str">
        <f t="shared" ref="J170" si="35">IFERROR(I170/H170, "")</f>
        <v/>
      </c>
      <c r="K170" s="63"/>
      <c r="L170" s="37"/>
    </row>
    <row r="171" spans="1:12" ht="15.6">
      <c r="A171" s="26" t="str">
        <v>K213</v>
      </c>
      <c r="B171" s="27" t="str">
        <v>NY</v>
      </c>
      <c r="C171" s="27" t="s">
        <v>473</v>
      </c>
      <c r="D171" s="75"/>
      <c r="E171" s="14"/>
      <c r="F171" s="14"/>
      <c r="G171" s="77"/>
      <c r="H171" s="78"/>
      <c r="I171" s="78"/>
      <c r="J171" s="77"/>
      <c r="K171" s="38"/>
      <c r="L171" s="17"/>
    </row>
    <row r="172" spans="1:12" ht="15.6">
      <c r="A172" s="24" t="str">
        <v>K217</v>
      </c>
      <c r="B172" s="25" t="str">
        <v>NY</v>
      </c>
      <c r="C172" s="25" t="str">
        <f>Sites[[#This Row],[SOL'#]]</f>
        <v>SOL-10933</v>
      </c>
      <c r="D172" s="60"/>
      <c r="E172" s="10"/>
      <c r="F172" s="10" t="str">
        <f t="shared" ref="F172" si="36">IF(AND(ISNUMBER(D172),ISNUMBER(E172)), D172-E172, "")</f>
        <v/>
      </c>
      <c r="G172" s="61" t="str">
        <f t="shared" ref="G172" si="37">IFERROR(F172/E172, "")</f>
        <v/>
      </c>
      <c r="H172" s="76"/>
      <c r="I172" s="76" t="str">
        <f t="shared" ref="I172" si="38">IF(AND(ISNUMBER(D172),ISNUMBER(H172)), D172-H172, "")</f>
        <v/>
      </c>
      <c r="J172" s="73" t="str">
        <f t="shared" ref="J172" si="39">IFERROR(I172/H172, "")</f>
        <v/>
      </c>
      <c r="K172" s="63"/>
      <c r="L172" s="37"/>
    </row>
    <row r="173" spans="1:12" ht="15.6">
      <c r="A173" s="26" t="str">
        <v>K307</v>
      </c>
      <c r="B173" s="27" t="str">
        <v>NY</v>
      </c>
      <c r="C173" s="27" t="s">
        <v>474</v>
      </c>
      <c r="D173" s="75"/>
      <c r="E173" s="14"/>
      <c r="F173" s="14"/>
      <c r="G173" s="77"/>
      <c r="H173" s="78"/>
      <c r="I173" s="78"/>
      <c r="J173" s="77"/>
      <c r="K173" s="38"/>
      <c r="L173" s="17"/>
    </row>
    <row r="174" spans="1:12" ht="15.6">
      <c r="A174" s="24" t="str">
        <v>K610</v>
      </c>
      <c r="B174" s="25" t="str">
        <v>NY</v>
      </c>
      <c r="C174" s="25" t="str">
        <f>Sites[[#This Row],[SOL'#]]</f>
        <v>SOL-11158</v>
      </c>
      <c r="D174" s="60"/>
      <c r="E174" s="10"/>
      <c r="F174" s="10" t="str">
        <f t="shared" ref="F174" si="40">IF(AND(ISNUMBER(D174),ISNUMBER(E174)), D174-E174, "")</f>
        <v/>
      </c>
      <c r="G174" s="61" t="str">
        <f t="shared" ref="G174" si="41">IFERROR(F174/E174, "")</f>
        <v/>
      </c>
      <c r="H174" s="76"/>
      <c r="I174" s="76" t="str">
        <f t="shared" ref="I174" si="42">IF(AND(ISNUMBER(D174),ISNUMBER(H174)), D174-H174, "")</f>
        <v/>
      </c>
      <c r="J174" s="73" t="str">
        <f t="shared" ref="J174" si="43">IFERROR(I174/H174, "")</f>
        <v/>
      </c>
      <c r="K174" s="63"/>
      <c r="L174" s="37"/>
    </row>
    <row r="175" spans="1:12" ht="15.6">
      <c r="A175" s="26" t="str">
        <v>M025</v>
      </c>
      <c r="B175" s="27" t="str">
        <v>NY</v>
      </c>
      <c r="C175" s="27" t="s">
        <v>475</v>
      </c>
      <c r="D175" s="75"/>
      <c r="E175" s="14"/>
      <c r="F175" s="14"/>
      <c r="G175" s="77"/>
      <c r="H175" s="78"/>
      <c r="I175" s="78"/>
      <c r="J175" s="77"/>
      <c r="K175" s="38"/>
      <c r="L175" s="17"/>
    </row>
    <row r="176" spans="1:12" ht="15.6">
      <c r="A176" s="24" t="str">
        <v>M028</v>
      </c>
      <c r="B176" s="25" t="str">
        <v>NY</v>
      </c>
      <c r="C176" s="25" t="str">
        <f>Sites[[#This Row],[SOL'#]]</f>
        <v>SOL-10381</v>
      </c>
      <c r="D176" s="60"/>
      <c r="E176" s="10"/>
      <c r="F176" s="10" t="str">
        <f t="shared" ref="F176" si="44">IF(AND(ISNUMBER(D176),ISNUMBER(E176)), D176-E176, "")</f>
        <v/>
      </c>
      <c r="G176" s="61" t="str">
        <f t="shared" ref="G176" si="45">IFERROR(F176/E176, "")</f>
        <v/>
      </c>
      <c r="H176" s="76"/>
      <c r="I176" s="76" t="str">
        <f t="shared" ref="I176" si="46">IF(AND(ISNUMBER(D176),ISNUMBER(H176)), D176-H176, "")</f>
        <v/>
      </c>
      <c r="J176" s="73" t="str">
        <f t="shared" ref="J176" si="47">IFERROR(I176/H176, "")</f>
        <v/>
      </c>
      <c r="K176" s="63"/>
      <c r="L176" s="37"/>
    </row>
    <row r="177" spans="1:12" ht="15.6">
      <c r="A177" s="26" t="str">
        <v>Q030</v>
      </c>
      <c r="B177" s="27" t="str">
        <v>NY</v>
      </c>
      <c r="C177" s="27" t="s">
        <v>476</v>
      </c>
      <c r="D177" s="75"/>
      <c r="E177" s="14"/>
      <c r="F177" s="14"/>
      <c r="G177" s="77"/>
      <c r="H177" s="78"/>
      <c r="I177" s="78"/>
      <c r="J177" s="77"/>
      <c r="K177" s="38"/>
      <c r="L177" s="17"/>
    </row>
    <row r="178" spans="1:12" ht="15.6">
      <c r="A178" s="24" t="str">
        <v>Q130</v>
      </c>
      <c r="B178" s="25" t="str">
        <v>NY</v>
      </c>
      <c r="C178" s="25" t="str">
        <f>Sites[[#This Row],[SOL'#]]</f>
        <v>SOL-10877</v>
      </c>
      <c r="D178" s="60"/>
      <c r="E178" s="10"/>
      <c r="F178" s="10" t="str">
        <f t="shared" ref="F178" si="48">IF(AND(ISNUMBER(D178),ISNUMBER(E178)), D178-E178, "")</f>
        <v/>
      </c>
      <c r="G178" s="61" t="str">
        <f t="shared" ref="G178" si="49">IFERROR(F178/E178, "")</f>
        <v/>
      </c>
      <c r="H178" s="76"/>
      <c r="I178" s="76" t="str">
        <f t="shared" ref="I178" si="50">IF(AND(ISNUMBER(D178),ISNUMBER(H178)), D178-H178, "")</f>
        <v/>
      </c>
      <c r="J178" s="73" t="str">
        <f t="shared" ref="J178" si="51">IFERROR(I178/H178, "")</f>
        <v/>
      </c>
      <c r="K178" s="63"/>
      <c r="L178" s="37"/>
    </row>
    <row r="179" spans="1:12" ht="15.6">
      <c r="A179" s="26" t="str">
        <v>Q196</v>
      </c>
      <c r="B179" s="27" t="str">
        <v>NY</v>
      </c>
      <c r="C179" s="27" t="s">
        <v>477</v>
      </c>
      <c r="D179" s="75"/>
      <c r="E179" s="14"/>
      <c r="F179" s="14"/>
      <c r="G179" s="77"/>
      <c r="H179" s="78"/>
      <c r="I179" s="78"/>
      <c r="J179" s="77"/>
      <c r="K179" s="38"/>
      <c r="L179" s="17"/>
    </row>
    <row r="180" spans="1:12" ht="15.6">
      <c r="A180" s="24" t="str">
        <v>Q220</v>
      </c>
      <c r="B180" s="25" t="str">
        <v>NY</v>
      </c>
      <c r="C180" s="25" t="str">
        <f>Sites[[#This Row],[SOL'#]]</f>
        <v>SOL-10873</v>
      </c>
      <c r="D180" s="60"/>
      <c r="E180" s="10"/>
      <c r="F180" s="10" t="str">
        <f t="shared" ref="F180" si="52">IF(AND(ISNUMBER(D180),ISNUMBER(E180)), D180-E180, "")</f>
        <v/>
      </c>
      <c r="G180" s="61" t="str">
        <f t="shared" ref="G180" si="53">IFERROR(F180/E180, "")</f>
        <v/>
      </c>
      <c r="H180" s="76"/>
      <c r="I180" s="76" t="str">
        <f t="shared" ref="I180" si="54">IF(AND(ISNUMBER(D180),ISNUMBER(H180)), D180-H180, "")</f>
        <v/>
      </c>
      <c r="J180" s="73" t="str">
        <f t="shared" ref="J180" si="55">IFERROR(I180/H180, "")</f>
        <v/>
      </c>
      <c r="K180" s="63"/>
      <c r="L180" s="37"/>
    </row>
    <row r="181" spans="1:12" ht="15.6">
      <c r="A181" s="26" t="str">
        <v>Q205</v>
      </c>
      <c r="B181" s="27" t="str">
        <v>NY</v>
      </c>
      <c r="C181" s="27" t="s">
        <v>478</v>
      </c>
      <c r="D181" s="75"/>
      <c r="E181" s="14"/>
      <c r="F181" s="14"/>
      <c r="G181" s="77"/>
      <c r="H181" s="78"/>
      <c r="I181" s="78"/>
      <c r="J181" s="77"/>
      <c r="K181" s="38"/>
      <c r="L181" s="17"/>
    </row>
    <row r="182" spans="1:12" ht="15.6">
      <c r="A182" s="24" t="str">
        <v>Q400</v>
      </c>
      <c r="B182" s="25" t="str">
        <v>NY</v>
      </c>
      <c r="C182" s="25" t="str">
        <f>Sites[[#This Row],[SOL'#]]</f>
        <v>SOL-10871</v>
      </c>
      <c r="D182" s="60"/>
      <c r="E182" s="10"/>
      <c r="F182" s="10" t="str">
        <f t="shared" ref="F182" si="56">IF(AND(ISNUMBER(D182),ISNUMBER(E182)), D182-E182, "")</f>
        <v/>
      </c>
      <c r="G182" s="61" t="str">
        <f t="shared" ref="G182" si="57">IFERROR(F182/E182, "")</f>
        <v/>
      </c>
      <c r="H182" s="76"/>
      <c r="I182" s="76" t="str">
        <f t="shared" ref="I182" si="58">IF(AND(ISNUMBER(D182),ISNUMBER(H182)), D182-H182, "")</f>
        <v/>
      </c>
      <c r="J182" s="73" t="str">
        <f t="shared" ref="J182" si="59">IFERROR(I182/H182, "")</f>
        <v/>
      </c>
      <c r="K182" s="63"/>
      <c r="L182" s="37"/>
    </row>
    <row r="183" spans="1:12" ht="15.6">
      <c r="A183" s="26" t="str">
        <v>R003</v>
      </c>
      <c r="B183" s="27" t="str">
        <v>NY</v>
      </c>
      <c r="C183" s="27" t="s">
        <v>479</v>
      </c>
      <c r="D183" s="75"/>
      <c r="E183" s="14"/>
      <c r="F183" s="14"/>
      <c r="G183" s="77"/>
      <c r="H183" s="78"/>
      <c r="I183" s="78"/>
      <c r="J183" s="77"/>
      <c r="K183" s="38"/>
      <c r="L183" s="17"/>
    </row>
    <row r="184" spans="1:12" ht="15.6">
      <c r="A184" s="24" t="str">
        <v>R007</v>
      </c>
      <c r="B184" s="25" t="str">
        <v>NY</v>
      </c>
      <c r="C184" s="25" t="str">
        <f>Sites[[#This Row],[SOL'#]]</f>
        <v>SOL-10417</v>
      </c>
      <c r="D184" s="60"/>
      <c r="E184" s="10"/>
      <c r="F184" s="10" t="str">
        <f t="shared" ref="F184" si="60">IF(AND(ISNUMBER(D184),ISNUMBER(E184)), D184-E184, "")</f>
        <v/>
      </c>
      <c r="G184" s="61" t="str">
        <f t="shared" ref="G184" si="61">IFERROR(F184/E184, "")</f>
        <v/>
      </c>
      <c r="H184" s="76"/>
      <c r="I184" s="76" t="str">
        <f t="shared" ref="I184" si="62">IF(AND(ISNUMBER(D184),ISNUMBER(H184)), D184-H184, "")</f>
        <v/>
      </c>
      <c r="J184" s="73" t="str">
        <f t="shared" ref="J184" si="63">IFERROR(I184/H184, "")</f>
        <v/>
      </c>
      <c r="K184" s="63"/>
      <c r="L184" s="37"/>
    </row>
    <row r="185" spans="1:12" ht="15.6">
      <c r="A185" s="26" t="str">
        <v>BK16</v>
      </c>
      <c r="B185" s="27" t="str">
        <v>NY</v>
      </c>
      <c r="C185" s="27" t="s">
        <v>480</v>
      </c>
      <c r="D185" s="75"/>
      <c r="E185" s="14"/>
      <c r="F185" s="14"/>
      <c r="G185" s="77"/>
      <c r="H185" s="78"/>
      <c r="I185" s="78"/>
      <c r="J185" s="77"/>
      <c r="K185" s="38"/>
      <c r="L185" s="1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40" priority="15" stopIfTrue="1" operator="lessThanOrEqual">
      <formula>-0.1</formula>
    </cfRule>
    <cfRule type="expression" dxfId="39" priority="16">
      <formula>AND(ISNUMBER(G2), G2&gt;=0.1)</formula>
    </cfRule>
  </conditionalFormatting>
  <conditionalFormatting sqref="G4:G83 G90:G185">
    <cfRule type="cellIs" dxfId="38" priority="3" stopIfTrue="1" operator="lessThanOrEqual">
      <formula>-0.1</formula>
    </cfRule>
    <cfRule type="expression" dxfId="37" priority="4">
      <formula>AND(ISNUMBER(G4), G4&gt;=0.1)</formula>
    </cfRule>
  </conditionalFormatting>
  <conditionalFormatting sqref="J4:J185">
    <cfRule type="cellIs" dxfId="36" priority="1" stopIfTrue="1" operator="lessThanOrEqual">
      <formula>-0.1</formula>
    </cfRule>
    <cfRule type="expression" dxfId="35" priority="2">
      <formula>AND(ISNUMBER(J4), J4&gt;=0.1)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200"/>
  <sheetViews>
    <sheetView zoomScale="70" zoomScaleNormal="70" workbookViewId="0">
      <pane xSplit="2" ySplit="3" topLeftCell="C176" activePane="bottomRight" state="frozen"/>
      <selection pane="bottomRight" activeCell="I206" sqref="I20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0.5703125" bestFit="1" customWidth="1"/>
  </cols>
  <sheetData>
    <row r="1" spans="1:12" ht="19.5" customHeight="1">
      <c r="A1" s="149" t="str" cm="1">
        <f t="array" ref="A1">portfolio</f>
        <v>Generate Capital</v>
      </c>
      <c r="B1" s="149"/>
      <c r="C1" s="149"/>
      <c r="D1" s="149"/>
      <c r="E1" s="150" t="s">
        <v>485</v>
      </c>
      <c r="F1" s="150"/>
      <c r="G1" s="150"/>
      <c r="H1" s="148" t="s">
        <v>486</v>
      </c>
      <c r="I1" s="148"/>
      <c r="J1" s="148"/>
      <c r="K1" s="4"/>
      <c r="L1" s="4"/>
    </row>
    <row r="2" spans="1:12" ht="19.5" customHeight="1">
      <c r="A2" s="151" t="s">
        <v>2</v>
      </c>
      <c r="B2" s="151"/>
      <c r="C2" s="65"/>
      <c r="D2" s="5">
        <f>SUM(D4:D200)</f>
        <v>0</v>
      </c>
      <c r="E2" s="5">
        <f>SUM(E4:E200)</f>
        <v>0</v>
      </c>
      <c r="F2" s="5">
        <f>D2-E2</f>
        <v>0</v>
      </c>
      <c r="G2" s="6">
        <f>IFERROR(F2/E2, 0)</f>
        <v>0</v>
      </c>
      <c r="H2" s="5">
        <f>SUM(H4:H200)</f>
        <v>0</v>
      </c>
      <c r="I2" s="7">
        <f>D2-H2</f>
        <v>0</v>
      </c>
      <c r="J2" s="6">
        <f>IFERROR(I2/H2, 0)</f>
        <v>0</v>
      </c>
      <c r="K2" s="22" t="str">
        <f ca="1">IF(AND(TODAY()&gt;DATE(2024, 6,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7"/>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7"/>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7"/>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7"/>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7"/>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42.75" customHeight="1">
      <c r="A18" s="24" t="str">
        <v>Sequoia Charter School</v>
      </c>
      <c r="B18" s="25" t="str">
        <v>AZ</v>
      </c>
      <c r="C18" s="25" t="str">
        <f>Sites[[#This Row],[SOL'#]]</f>
        <v>SOL-10759</v>
      </c>
      <c r="D18" s="20"/>
      <c r="E18" s="10"/>
      <c r="F18" s="10" t="str">
        <f t="shared" si="0"/>
        <v/>
      </c>
      <c r="G18" s="11" t="str">
        <f t="shared" si="3"/>
        <v/>
      </c>
      <c r="H18" s="12"/>
      <c r="I18" s="12" t="str">
        <f t="shared" ref="I18:I81" si="4">IF(AND(ISNUMBER(D18),ISNUMBER(H18)), D18-H18, "")</f>
        <v/>
      </c>
      <c r="J18" s="13" t="str">
        <f t="shared" ref="J18:J81" si="5">IFERROR(I18/H18, "")</f>
        <v/>
      </c>
      <c r="K18" s="59"/>
      <c r="L18" s="59"/>
    </row>
    <row r="19" spans="1:12" ht="15.6">
      <c r="A19" s="26" t="str">
        <v>RCAB</v>
      </c>
      <c r="B19" s="27" t="str">
        <v>MA</v>
      </c>
      <c r="C19" s="27" t="str">
        <f>Sites[[#This Row],[SOL'#]]</f>
        <v>SOL-10838</v>
      </c>
      <c r="D19" s="9"/>
      <c r="E19" s="14"/>
      <c r="F19" s="14" t="str">
        <f t="shared" si="0"/>
        <v/>
      </c>
      <c r="G19" s="15" t="str">
        <f t="shared" si="3"/>
        <v/>
      </c>
      <c r="H19" s="16"/>
      <c r="I19" s="16" t="str">
        <f t="shared" si="4"/>
        <v/>
      </c>
      <c r="J19" s="15" t="str">
        <f t="shared" si="5"/>
        <v/>
      </c>
      <c r="K19" s="57"/>
      <c r="L19" s="58"/>
    </row>
    <row r="20" spans="1:12" ht="15.6">
      <c r="A20" s="24"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24" customHeight="1">
      <c r="A21" s="26" t="str">
        <v>K026</v>
      </c>
      <c r="B21" s="27" t="str">
        <v>NY</v>
      </c>
      <c r="C21" s="27" t="str">
        <f>Sites[[#This Row],[SOL'#]]</f>
        <v>SOL-10356</v>
      </c>
      <c r="D21" s="9"/>
      <c r="E21" s="14"/>
      <c r="F21" s="14" t="str">
        <f t="shared" si="0"/>
        <v/>
      </c>
      <c r="G21" s="15" t="str">
        <f t="shared" si="3"/>
        <v/>
      </c>
      <c r="H21" s="16"/>
      <c r="I21" s="16" t="str">
        <f t="shared" si="4"/>
        <v/>
      </c>
      <c r="J21" s="15" t="str">
        <f t="shared" si="5"/>
        <v/>
      </c>
      <c r="K21" s="57"/>
      <c r="L21" s="57"/>
    </row>
    <row r="22" spans="1:12" ht="15.6">
      <c r="A22" s="24"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7" t="str">
        <f>Sites[[#This Row],[SOL'#]]</f>
        <v>SOL-10358</v>
      </c>
      <c r="D23" s="9"/>
      <c r="E23" s="14"/>
      <c r="F23" s="14" t="str">
        <f t="shared" si="0"/>
        <v/>
      </c>
      <c r="G23" s="15" t="str">
        <f t="shared" si="3"/>
        <v/>
      </c>
      <c r="H23" s="16"/>
      <c r="I23" s="16" t="str">
        <f t="shared" si="4"/>
        <v/>
      </c>
      <c r="J23" s="15" t="str">
        <f t="shared" si="5"/>
        <v/>
      </c>
      <c r="K23" s="57"/>
      <c r="L23" s="57"/>
    </row>
    <row r="24" spans="1:12" ht="15.6">
      <c r="A24" s="24"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7" t="str">
        <f>Sites[[#This Row],[SOL'#]]</f>
        <v>SOL-10361</v>
      </c>
      <c r="D25" s="9"/>
      <c r="E25" s="14"/>
      <c r="F25" s="14" t="str">
        <f t="shared" si="0"/>
        <v/>
      </c>
      <c r="G25" s="15" t="str">
        <f t="shared" si="3"/>
        <v/>
      </c>
      <c r="H25" s="16"/>
      <c r="I25" s="16" t="str">
        <f t="shared" si="4"/>
        <v/>
      </c>
      <c r="J25" s="15" t="str">
        <f t="shared" si="5"/>
        <v/>
      </c>
      <c r="K25" s="69"/>
      <c r="L25" s="69"/>
    </row>
    <row r="26" spans="1:12" ht="15.6">
      <c r="A26" s="24"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7" t="str">
        <f>Sites[[#This Row],[SOL'#]]</f>
        <v>SOL-10363</v>
      </c>
      <c r="D27" s="9"/>
      <c r="E27" s="14"/>
      <c r="F27" s="14" t="str">
        <f t="shared" si="0"/>
        <v/>
      </c>
      <c r="G27" s="15" t="str">
        <f t="shared" si="3"/>
        <v/>
      </c>
      <c r="H27" s="16"/>
      <c r="I27" s="16" t="str">
        <f t="shared" si="4"/>
        <v/>
      </c>
      <c r="J27" s="15" t="str">
        <f t="shared" si="5"/>
        <v/>
      </c>
      <c r="K27" s="57"/>
      <c r="L27" s="58"/>
    </row>
    <row r="28" spans="1:12" ht="15.6">
      <c r="A28" s="24"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7" t="str">
        <f>Sites[[#This Row],[SOL'#]]</f>
        <v>SOL-10365</v>
      </c>
      <c r="D29" s="9"/>
      <c r="E29" s="14"/>
      <c r="F29" s="14" t="str">
        <f t="shared" si="0"/>
        <v/>
      </c>
      <c r="G29" s="15" t="str">
        <f t="shared" si="3"/>
        <v/>
      </c>
      <c r="H29" s="16"/>
      <c r="I29" s="16" t="str">
        <f t="shared" si="4"/>
        <v/>
      </c>
      <c r="J29" s="15" t="str">
        <f t="shared" si="5"/>
        <v/>
      </c>
      <c r="K29" s="57"/>
      <c r="L29" s="57"/>
    </row>
    <row r="30" spans="1:12" ht="46.5" customHeight="1">
      <c r="A30" s="24"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7" t="str">
        <f>Sites[[#This Row],[SOL'#]]</f>
        <v>SOL-10367</v>
      </c>
      <c r="D31" s="9"/>
      <c r="E31" s="14"/>
      <c r="F31" s="14" t="str">
        <f t="shared" si="0"/>
        <v/>
      </c>
      <c r="G31" s="15" t="str">
        <f t="shared" si="3"/>
        <v/>
      </c>
      <c r="H31" s="16"/>
      <c r="I31" s="16" t="str">
        <f t="shared" si="4"/>
        <v/>
      </c>
      <c r="J31" s="15" t="str">
        <f t="shared" si="5"/>
        <v/>
      </c>
      <c r="K31" s="57"/>
      <c r="L31" s="57"/>
    </row>
    <row r="32" spans="1:12" ht="15.6">
      <c r="A32" s="24"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7" t="str">
        <f>Sites[[#This Row],[SOL'#]]</f>
        <v>SOL-10368</v>
      </c>
      <c r="D33" s="9"/>
      <c r="E33" s="14"/>
      <c r="F33" s="14" t="str">
        <f t="shared" si="0"/>
        <v/>
      </c>
      <c r="G33" s="15" t="str">
        <f t="shared" si="3"/>
        <v/>
      </c>
      <c r="H33" s="16"/>
      <c r="I33" s="16" t="str">
        <f t="shared" si="4"/>
        <v/>
      </c>
      <c r="J33" s="15" t="str">
        <f t="shared" si="5"/>
        <v/>
      </c>
      <c r="K33" s="57"/>
      <c r="L33" s="58"/>
    </row>
    <row r="34" spans="1:12" ht="15.6">
      <c r="A34" s="24" t="str">
        <v>K335</v>
      </c>
      <c r="B34" s="25" t="str">
        <v>NY</v>
      </c>
      <c r="C34" s="25" t="str">
        <f>Sites[[#This Row],[SOL'#]]</f>
        <v>SOL-10370</v>
      </c>
      <c r="D34" s="20"/>
      <c r="E34" s="10"/>
      <c r="F34" s="10" t="str">
        <f t="shared" si="0"/>
        <v/>
      </c>
      <c r="G34" s="11" t="str">
        <f t="shared" si="3"/>
        <v/>
      </c>
      <c r="H34" s="12"/>
      <c r="I34" s="12" t="str">
        <f t="shared" si="4"/>
        <v/>
      </c>
      <c r="J34" s="13" t="str">
        <f t="shared" si="5"/>
        <v/>
      </c>
      <c r="K34" s="59"/>
      <c r="L34" s="59"/>
    </row>
    <row r="35" spans="1:12" ht="15.6">
      <c r="A35" s="26" t="str">
        <v>K345</v>
      </c>
      <c r="B35" s="27" t="str">
        <v>NY</v>
      </c>
      <c r="C35" s="27" t="str">
        <f>Sites[[#This Row],[SOL'#]]</f>
        <v>SOL-10920</v>
      </c>
      <c r="D35" s="9"/>
      <c r="E35" s="14"/>
      <c r="F35" s="14" t="str">
        <f t="shared" si="0"/>
        <v/>
      </c>
      <c r="G35" s="15" t="str">
        <f t="shared" si="3"/>
        <v/>
      </c>
      <c r="H35" s="16"/>
      <c r="I35" s="16" t="str">
        <f t="shared" si="4"/>
        <v/>
      </c>
      <c r="J35" s="15" t="str">
        <f t="shared" si="5"/>
        <v/>
      </c>
      <c r="K35" s="57"/>
      <c r="L35" s="58"/>
    </row>
    <row r="36" spans="1:12" ht="15.6">
      <c r="A36" s="24"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7" t="str">
        <f>Sites[[#This Row],[SOL'#]]</f>
        <v>SOL-10374</v>
      </c>
      <c r="D37" s="9"/>
      <c r="E37" s="14"/>
      <c r="F37" s="14" t="str">
        <f t="shared" si="0"/>
        <v/>
      </c>
      <c r="G37" s="15" t="str">
        <f t="shared" si="3"/>
        <v/>
      </c>
      <c r="H37" s="16"/>
      <c r="I37" s="16" t="str">
        <f t="shared" si="4"/>
        <v/>
      </c>
      <c r="J37" s="15" t="str">
        <f t="shared" si="5"/>
        <v/>
      </c>
      <c r="K37" s="57"/>
      <c r="L37" s="58"/>
    </row>
    <row r="38" spans="1:12" ht="15.6">
      <c r="A38" s="24"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7" t="str">
        <f>Sites[[#This Row],[SOL'#]]</f>
        <v>SOL-10383</v>
      </c>
      <c r="D39" s="9"/>
      <c r="E39" s="14"/>
      <c r="F39" s="14" t="str">
        <f t="shared" si="0"/>
        <v/>
      </c>
      <c r="G39" s="15" t="str">
        <f t="shared" si="3"/>
        <v/>
      </c>
      <c r="H39" s="16"/>
      <c r="I39" s="16" t="str">
        <f t="shared" si="4"/>
        <v/>
      </c>
      <c r="J39" s="15" t="str">
        <f t="shared" si="5"/>
        <v/>
      </c>
      <c r="K39" s="57"/>
      <c r="L39" s="58"/>
    </row>
    <row r="40" spans="1:12" ht="15.6">
      <c r="A40" s="24"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7" t="str">
        <f>Sites[[#This Row],[SOL'#]]</f>
        <v>SOL-10385</v>
      </c>
      <c r="D41" s="9"/>
      <c r="E41" s="14"/>
      <c r="F41" s="14" t="str">
        <f t="shared" si="0"/>
        <v/>
      </c>
      <c r="G41" s="15" t="str">
        <f t="shared" si="3"/>
        <v/>
      </c>
      <c r="H41" s="16"/>
      <c r="I41" s="16" t="str">
        <f t="shared" si="4"/>
        <v/>
      </c>
      <c r="J41" s="15" t="str">
        <f t="shared" si="5"/>
        <v/>
      </c>
      <c r="K41" s="57"/>
      <c r="L41" s="57"/>
    </row>
    <row r="42" spans="1:12" ht="15.6">
      <c r="A42" s="24"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7" t="str">
        <f>Sites[[#This Row],[SOL'#]]</f>
        <v>SOL-10387</v>
      </c>
      <c r="D43" s="9"/>
      <c r="E43" s="14"/>
      <c r="F43" s="14" t="str">
        <f t="shared" si="0"/>
        <v/>
      </c>
      <c r="G43" s="15" t="str">
        <f t="shared" si="3"/>
        <v/>
      </c>
      <c r="H43" s="16"/>
      <c r="I43" s="16" t="str">
        <f t="shared" si="4"/>
        <v/>
      </c>
      <c r="J43" s="15" t="str">
        <f t="shared" si="5"/>
        <v/>
      </c>
      <c r="K43" s="57"/>
      <c r="L43" s="58"/>
    </row>
    <row r="44" spans="1:12" ht="15.6">
      <c r="A44" s="24"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7" t="str">
        <f>Sites[[#This Row],[SOL'#]]</f>
        <v>SOL-10397</v>
      </c>
      <c r="D45" s="9"/>
      <c r="E45" s="14"/>
      <c r="F45" s="14" t="str">
        <f t="shared" si="0"/>
        <v/>
      </c>
      <c r="G45" s="15" t="str">
        <f t="shared" si="3"/>
        <v/>
      </c>
      <c r="H45" s="16"/>
      <c r="I45" s="16" t="str">
        <f t="shared" si="4"/>
        <v/>
      </c>
      <c r="J45" s="15" t="str">
        <f t="shared" si="5"/>
        <v/>
      </c>
      <c r="K45" s="57"/>
      <c r="L45" s="58"/>
    </row>
    <row r="46" spans="1:12" ht="15.6">
      <c r="A46" s="24"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7" t="str">
        <f>Sites[[#This Row],[SOL'#]]</f>
        <v>SOL-10399</v>
      </c>
      <c r="D47" s="9"/>
      <c r="E47" s="14"/>
      <c r="F47" s="14" t="str">
        <f t="shared" si="0"/>
        <v/>
      </c>
      <c r="G47" s="15" t="str">
        <f t="shared" si="3"/>
        <v/>
      </c>
      <c r="H47" s="16"/>
      <c r="I47" s="16" t="str">
        <f t="shared" si="4"/>
        <v/>
      </c>
      <c r="J47" s="15" t="str">
        <f t="shared" si="5"/>
        <v/>
      </c>
      <c r="K47" s="57"/>
      <c r="L47" s="58"/>
    </row>
    <row r="48" spans="1:12" ht="15.6">
      <c r="A48" s="24"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7" t="str">
        <f>Sites[[#This Row],[SOL'#]]</f>
        <v>SOL-10402</v>
      </c>
      <c r="D49" s="9"/>
      <c r="E49" s="14"/>
      <c r="F49" s="14" t="str">
        <f t="shared" si="0"/>
        <v/>
      </c>
      <c r="G49" s="15" t="str">
        <f t="shared" si="3"/>
        <v/>
      </c>
      <c r="H49" s="16"/>
      <c r="I49" s="16" t="str">
        <f t="shared" si="4"/>
        <v/>
      </c>
      <c r="J49" s="15" t="str">
        <f t="shared" si="5"/>
        <v/>
      </c>
      <c r="K49" s="57"/>
      <c r="L49" s="58"/>
    </row>
    <row r="50" spans="1:12" ht="15.6">
      <c r="A50" s="24"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7" t="str">
        <f>Sites[[#This Row],[SOL'#]]</f>
        <v>SOL-10403</v>
      </c>
      <c r="D51" s="9"/>
      <c r="E51" s="14"/>
      <c r="F51" s="14" t="str">
        <f t="shared" si="0"/>
        <v/>
      </c>
      <c r="G51" s="15" t="str">
        <f t="shared" si="3"/>
        <v/>
      </c>
      <c r="H51" s="16"/>
      <c r="I51" s="16" t="str">
        <f t="shared" si="4"/>
        <v/>
      </c>
      <c r="J51" s="15" t="str">
        <f t="shared" si="5"/>
        <v/>
      </c>
      <c r="K51" s="57"/>
      <c r="L51" s="58"/>
    </row>
    <row r="52" spans="1:12" ht="15.6">
      <c r="A52" s="24"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7" t="str">
        <f>Sites[[#This Row],[SOL'#]]</f>
        <v>SOL-10406</v>
      </c>
      <c r="D53" s="9"/>
      <c r="E53" s="14"/>
      <c r="F53" s="14" t="str">
        <f t="shared" si="0"/>
        <v/>
      </c>
      <c r="G53" s="15" t="str">
        <f t="shared" si="3"/>
        <v/>
      </c>
      <c r="H53" s="16"/>
      <c r="I53" s="16" t="str">
        <f t="shared" si="4"/>
        <v/>
      </c>
      <c r="J53" s="15" t="str">
        <f t="shared" si="5"/>
        <v/>
      </c>
      <c r="K53" s="57"/>
      <c r="L53" s="57"/>
    </row>
    <row r="54" spans="1:12" ht="15.6">
      <c r="A54" s="24"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7" t="str">
        <f>Sites[[#This Row],[SOL'#]]</f>
        <v>SOL-10408</v>
      </c>
      <c r="D55" s="9"/>
      <c r="E55" s="14"/>
      <c r="F55" s="14" t="str">
        <f t="shared" si="0"/>
        <v/>
      </c>
      <c r="G55" s="15" t="str">
        <f t="shared" si="3"/>
        <v/>
      </c>
      <c r="H55" s="16"/>
      <c r="I55" s="16" t="str">
        <f t="shared" si="4"/>
        <v/>
      </c>
      <c r="J55" s="15" t="str">
        <f t="shared" si="5"/>
        <v/>
      </c>
      <c r="K55" s="57"/>
      <c r="L55" s="57"/>
    </row>
    <row r="56" spans="1:12" ht="15.6">
      <c r="A56" s="24"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7" t="str">
        <f>Sites[[#This Row],[SOL'#]]</f>
        <v>SOL-10409</v>
      </c>
      <c r="D57" s="9"/>
      <c r="E57" s="14"/>
      <c r="F57" s="14" t="str">
        <f t="shared" si="0"/>
        <v/>
      </c>
      <c r="G57" s="15" t="str">
        <f t="shared" si="3"/>
        <v/>
      </c>
      <c r="H57" s="16"/>
      <c r="I57" s="16" t="str">
        <f t="shared" si="4"/>
        <v/>
      </c>
      <c r="J57" s="15" t="str">
        <f t="shared" si="5"/>
        <v/>
      </c>
      <c r="K57" s="57"/>
      <c r="L57" s="58"/>
    </row>
    <row r="58" spans="1:12" ht="48" customHeight="1">
      <c r="A58" s="24"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63" customHeight="1">
      <c r="A59" s="26" t="str">
        <v>Q485</v>
      </c>
      <c r="B59" s="27" t="str">
        <v>NY</v>
      </c>
      <c r="C59" s="27" t="str">
        <f>Sites[[#This Row],[SOL'#]]</f>
        <v>SOL-10869</v>
      </c>
      <c r="D59" s="9"/>
      <c r="E59" s="14"/>
      <c r="F59" s="14" t="str">
        <f t="shared" si="0"/>
        <v/>
      </c>
      <c r="G59" s="15" t="str">
        <f t="shared" si="3"/>
        <v/>
      </c>
      <c r="H59" s="16"/>
      <c r="I59" s="16" t="str">
        <f t="shared" si="4"/>
        <v/>
      </c>
      <c r="J59" s="15" t="str">
        <f t="shared" si="5"/>
        <v/>
      </c>
      <c r="K59" s="57"/>
      <c r="L59" s="58"/>
    </row>
    <row r="60" spans="1:12" ht="15.6">
      <c r="A60" s="24"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7" t="str">
        <f>Sites[[#This Row],[SOL'#]]</f>
        <v>SOL-10867</v>
      </c>
      <c r="D61" s="9"/>
      <c r="E61" s="14"/>
      <c r="F61" s="14" t="str">
        <f t="shared" si="0"/>
        <v/>
      </c>
      <c r="G61" s="15" t="str">
        <f t="shared" si="3"/>
        <v/>
      </c>
      <c r="H61" s="16"/>
      <c r="I61" s="16" t="str">
        <f t="shared" si="4"/>
        <v/>
      </c>
      <c r="J61" s="15" t="str">
        <f t="shared" si="5"/>
        <v/>
      </c>
      <c r="K61" s="57"/>
      <c r="L61" s="58"/>
    </row>
    <row r="62" spans="1:12" ht="15.6">
      <c r="A62" s="24" t="str">
        <v>QMOA</v>
      </c>
      <c r="B62" s="25" t="str">
        <v>NY</v>
      </c>
      <c r="C62" s="25" t="str">
        <f>Sites[[#This Row],[SOL'#]]</f>
        <v>SOL-10415</v>
      </c>
      <c r="D62" s="20"/>
      <c r="E62" s="10"/>
      <c r="F62" s="10" t="str">
        <f t="shared" si="0"/>
        <v/>
      </c>
      <c r="G62" s="11" t="str">
        <f t="shared" si="3"/>
        <v/>
      </c>
      <c r="H62" s="12"/>
      <c r="I62" s="12" t="str">
        <f t="shared" si="4"/>
        <v/>
      </c>
      <c r="J62" s="13" t="str">
        <f t="shared" si="5"/>
        <v/>
      </c>
      <c r="K62" s="59"/>
      <c r="L62" s="59"/>
    </row>
    <row r="63" spans="1:12" ht="15.6">
      <c r="A63" s="26" t="str">
        <v>X024</v>
      </c>
      <c r="B63" s="27" t="str">
        <v>NY</v>
      </c>
      <c r="C63" s="27" t="str">
        <f>Sites[[#This Row],[SOL'#]]</f>
        <v>SOL-10419</v>
      </c>
      <c r="D63" s="9"/>
      <c r="E63" s="14"/>
      <c r="F63" s="14" t="str">
        <f t="shared" si="0"/>
        <v/>
      </c>
      <c r="G63" s="15" t="str">
        <f t="shared" si="3"/>
        <v/>
      </c>
      <c r="H63" s="16"/>
      <c r="I63" s="16" t="str">
        <f t="shared" si="4"/>
        <v/>
      </c>
      <c r="J63" s="15" t="str">
        <f t="shared" si="5"/>
        <v/>
      </c>
      <c r="K63" s="57"/>
      <c r="L63" s="58"/>
    </row>
    <row r="64" spans="1:12" ht="15.6">
      <c r="A64" s="24"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7" t="str">
        <f>Sites[[#This Row],[SOL'#]]</f>
        <v>SOL-10925</v>
      </c>
      <c r="D65" s="9"/>
      <c r="E65" s="14"/>
      <c r="F65" s="14" t="str">
        <f t="shared" si="0"/>
        <v/>
      </c>
      <c r="G65" s="15" t="str">
        <f t="shared" si="3"/>
        <v/>
      </c>
      <c r="H65" s="16"/>
      <c r="I65" s="16" t="str">
        <f t="shared" si="4"/>
        <v/>
      </c>
      <c r="J65" s="15" t="str">
        <f t="shared" si="5"/>
        <v/>
      </c>
      <c r="K65" s="57"/>
      <c r="L65" s="57"/>
    </row>
    <row r="66" spans="1:12" ht="15.6">
      <c r="A66" s="24"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60" customHeight="1">
      <c r="A67" s="26" t="str">
        <v>X125</v>
      </c>
      <c r="B67" s="27" t="str">
        <v>NY</v>
      </c>
      <c r="C67" s="27" t="str">
        <f>Sites[[#This Row],[SOL'#]]</f>
        <v>SOL-10423</v>
      </c>
      <c r="D67" s="9"/>
      <c r="E67" s="14"/>
      <c r="F67" s="14" t="str">
        <f t="shared" si="0"/>
        <v/>
      </c>
      <c r="G67" s="15" t="str">
        <f t="shared" si="3"/>
        <v/>
      </c>
      <c r="H67" s="16"/>
      <c r="I67" s="16" t="str">
        <f t="shared" si="4"/>
        <v/>
      </c>
      <c r="J67" s="15" t="str">
        <f t="shared" si="5"/>
        <v/>
      </c>
      <c r="K67" s="57"/>
      <c r="L67" s="57"/>
    </row>
    <row r="68" spans="1:12" ht="15.6">
      <c r="A68" s="24"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7" t="str">
        <f>Sites[[#This Row],[SOL'#]]</f>
        <v>SOL-10425</v>
      </c>
      <c r="D69" s="9"/>
      <c r="E69" s="14"/>
      <c r="F69" s="14" t="str">
        <f t="shared" ref="F69:F132" si="6">IF(AND(ISNUMBER(D69),ISNUMBER(E69)), D69-E69, "")</f>
        <v/>
      </c>
      <c r="G69" s="15" t="str">
        <f t="shared" si="3"/>
        <v/>
      </c>
      <c r="H69" s="16"/>
      <c r="I69" s="16" t="str">
        <f t="shared" si="4"/>
        <v/>
      </c>
      <c r="J69" s="15" t="str">
        <f t="shared" si="5"/>
        <v/>
      </c>
      <c r="K69" s="57"/>
      <c r="L69" s="58"/>
    </row>
    <row r="70" spans="1:12" ht="15.6">
      <c r="A70" s="24" t="str">
        <v>X139 JHS 222</v>
      </c>
      <c r="B70" s="25" t="str">
        <v>NY</v>
      </c>
      <c r="C70" s="25" t="str">
        <f>Sites[[#This Row],[SOL'#]]</f>
        <v>SOL-10426</v>
      </c>
      <c r="D70" s="20"/>
      <c r="E70" s="10"/>
      <c r="F70" s="10" t="str">
        <f t="shared" si="6"/>
        <v/>
      </c>
      <c r="G70" s="11" t="str">
        <f t="shared" ref="G70:G133" si="7">IFERROR(F70/E70, "")</f>
        <v/>
      </c>
      <c r="H70" s="12"/>
      <c r="I70" s="12" t="str">
        <f t="shared" si="4"/>
        <v/>
      </c>
      <c r="J70" s="13" t="str">
        <f t="shared" si="5"/>
        <v/>
      </c>
      <c r="K70" s="59"/>
      <c r="L70" s="59"/>
    </row>
    <row r="71" spans="1:12" ht="15.6">
      <c r="A71" s="26" t="str">
        <v>X140</v>
      </c>
      <c r="B71" s="27" t="str">
        <v>NY</v>
      </c>
      <c r="C71" s="27" t="str">
        <f>Sites[[#This Row],[SOL'#]]</f>
        <v>SOL-10926</v>
      </c>
      <c r="D71" s="9"/>
      <c r="E71" s="14"/>
      <c r="F71" s="14" t="str">
        <f t="shared" si="6"/>
        <v/>
      </c>
      <c r="G71" s="15" t="str">
        <f t="shared" si="7"/>
        <v/>
      </c>
      <c r="H71" s="16"/>
      <c r="I71" s="16" t="str">
        <f t="shared" si="4"/>
        <v/>
      </c>
      <c r="J71" s="15" t="str">
        <f t="shared" si="5"/>
        <v/>
      </c>
      <c r="K71" s="57"/>
      <c r="L71" s="58"/>
    </row>
    <row r="72" spans="1:12" ht="15.6">
      <c r="A72" s="24" t="str">
        <v>X166</v>
      </c>
      <c r="B72" s="25" t="str">
        <v>NY</v>
      </c>
      <c r="C72" s="25" t="str">
        <f>Sites[[#This Row],[SOL'#]]</f>
        <v>SOL-10427</v>
      </c>
      <c r="D72" s="20"/>
      <c r="E72" s="10"/>
      <c r="F72" s="10" t="str">
        <f t="shared" si="6"/>
        <v/>
      </c>
      <c r="G72" s="11" t="str">
        <f t="shared" si="7"/>
        <v/>
      </c>
      <c r="H72" s="12"/>
      <c r="I72" s="12" t="str">
        <f t="shared" si="4"/>
        <v/>
      </c>
      <c r="J72" s="13" t="str">
        <f t="shared" si="5"/>
        <v/>
      </c>
      <c r="K72" s="82"/>
      <c r="L72" s="59"/>
    </row>
    <row r="73" spans="1:12" ht="15.6">
      <c r="A73" s="26" t="str">
        <v>Murphy</v>
      </c>
      <c r="B73" s="27" t="str">
        <v>MN</v>
      </c>
      <c r="C73" s="27" t="str">
        <f>Sites[[#This Row],[SOL'#]]</f>
        <v>SOL-10094</v>
      </c>
      <c r="D73" s="9"/>
      <c r="E73" s="14"/>
      <c r="F73" s="14" t="str">
        <f t="shared" si="6"/>
        <v/>
      </c>
      <c r="G73" s="15" t="str">
        <f t="shared" si="7"/>
        <v/>
      </c>
      <c r="H73" s="16"/>
      <c r="I73" s="16" t="str">
        <f t="shared" si="4"/>
        <v/>
      </c>
      <c r="J73" s="15" t="str">
        <f t="shared" si="5"/>
        <v/>
      </c>
      <c r="K73" s="57"/>
      <c r="L73" s="57"/>
    </row>
    <row r="74" spans="1:12" ht="15.6">
      <c r="A74" s="24"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7" t="str">
        <f>Sites[[#This Row],[SOL'#]]</f>
        <v>SOL-10908</v>
      </c>
      <c r="D75" s="9"/>
      <c r="E75" s="14"/>
      <c r="F75" s="14" t="str">
        <f t="shared" si="6"/>
        <v/>
      </c>
      <c r="G75" s="15" t="str">
        <f t="shared" si="7"/>
        <v/>
      </c>
      <c r="H75" s="16"/>
      <c r="I75" s="16" t="str">
        <f t="shared" si="4"/>
        <v/>
      </c>
      <c r="J75" s="15" t="str">
        <f t="shared" si="5"/>
        <v/>
      </c>
      <c r="K75" s="57"/>
      <c r="L75" s="57"/>
    </row>
    <row r="76" spans="1:12" ht="15.6">
      <c r="A76" s="24" t="str">
        <v>Kelly Bridge Farm</v>
      </c>
      <c r="B76" s="25" t="str">
        <v>NY</v>
      </c>
      <c r="C76" s="25" t="str">
        <f>Sites[[#This Row],[SOL'#]]</f>
        <v>SOL-10911</v>
      </c>
      <c r="D76" s="20"/>
      <c r="E76" s="10"/>
      <c r="F76" s="10" t="str">
        <f t="shared" si="6"/>
        <v/>
      </c>
      <c r="G76" s="11" t="str">
        <f t="shared" si="7"/>
        <v/>
      </c>
      <c r="H76" s="12"/>
      <c r="I76" s="12" t="str">
        <f t="shared" si="4"/>
        <v/>
      </c>
      <c r="J76" s="13" t="str">
        <f t="shared" si="5"/>
        <v/>
      </c>
      <c r="K76" s="59"/>
      <c r="L76" s="59"/>
    </row>
    <row r="77" spans="1:12" ht="15.6">
      <c r="A77" s="26" t="str">
        <v>Pool Brook Road</v>
      </c>
      <c r="B77" s="27" t="str">
        <v>NY</v>
      </c>
      <c r="C77" s="27" t="str">
        <f>Sites[[#This Row],[SOL'#]]</f>
        <v>SOL-10909</v>
      </c>
      <c r="D77" s="9"/>
      <c r="E77" s="14"/>
      <c r="F77" s="14" t="str">
        <f t="shared" si="6"/>
        <v/>
      </c>
      <c r="G77" s="15" t="str">
        <f t="shared" si="7"/>
        <v/>
      </c>
      <c r="H77" s="16"/>
      <c r="I77" s="16" t="str">
        <f t="shared" si="4"/>
        <v/>
      </c>
      <c r="J77" s="15" t="str">
        <f t="shared" si="5"/>
        <v/>
      </c>
      <c r="K77" s="57"/>
      <c r="L77" s="57"/>
    </row>
    <row r="78" spans="1:12" ht="15.6">
      <c r="A78" s="24" t="str">
        <v>Sackett Lake</v>
      </c>
      <c r="B78" s="25" t="str">
        <v>NY</v>
      </c>
      <c r="C78" s="25" t="str">
        <f>Sites[[#This Row],[SOL'#]]</f>
        <v>SOL-10910</v>
      </c>
      <c r="D78" s="20"/>
      <c r="E78" s="10"/>
      <c r="F78" s="10" t="str">
        <f t="shared" si="6"/>
        <v/>
      </c>
      <c r="G78" s="11" t="str">
        <f t="shared" si="7"/>
        <v/>
      </c>
      <c r="H78" s="12"/>
      <c r="I78" s="12" t="str">
        <f t="shared" si="4"/>
        <v/>
      </c>
      <c r="J78" s="13" t="str">
        <f t="shared" si="5"/>
        <v/>
      </c>
      <c r="K78" s="59"/>
      <c r="L78" s="59"/>
    </row>
    <row r="79" spans="1:12" ht="15.6">
      <c r="A79" s="26" t="str">
        <v>Burritt Road</v>
      </c>
      <c r="B79" s="27" t="str">
        <v>NY</v>
      </c>
      <c r="C79" s="27" t="str">
        <f>Sites[[#This Row],[SOL'#]]</f>
        <v>SOL-10913</v>
      </c>
      <c r="D79" s="9"/>
      <c r="E79" s="14"/>
      <c r="F79" s="14" t="str">
        <f t="shared" si="6"/>
        <v/>
      </c>
      <c r="G79" s="15" t="str">
        <f t="shared" si="7"/>
        <v/>
      </c>
      <c r="H79" s="16"/>
      <c r="I79" s="16" t="str">
        <f t="shared" si="4"/>
        <v/>
      </c>
      <c r="J79" s="15" t="str">
        <f t="shared" si="5"/>
        <v/>
      </c>
      <c r="K79" s="57"/>
      <c r="L79" s="57"/>
    </row>
    <row r="80" spans="1:12" ht="15.6">
      <c r="A80" s="24" t="str">
        <v>Villa Roma 1</v>
      </c>
      <c r="B80" s="25" t="str">
        <v>NY</v>
      </c>
      <c r="C80" s="25" t="str">
        <f>Sites[[#This Row],[SOL'#]]</f>
        <v>SOL-10914</v>
      </c>
      <c r="D80" s="20"/>
      <c r="E80" s="10"/>
      <c r="F80" s="10" t="str">
        <f t="shared" si="6"/>
        <v/>
      </c>
      <c r="G80" s="11" t="str">
        <f t="shared" si="7"/>
        <v/>
      </c>
      <c r="H80" s="12"/>
      <c r="I80" s="12" t="str">
        <f t="shared" si="4"/>
        <v/>
      </c>
      <c r="J80" s="13" t="str">
        <f t="shared" si="5"/>
        <v/>
      </c>
      <c r="K80" s="59"/>
      <c r="L80" s="59"/>
    </row>
    <row r="81" spans="1:12" ht="15.6">
      <c r="A81" s="26" t="str">
        <v>Villa Roma 2</v>
      </c>
      <c r="B81" s="27" t="str">
        <v>NY</v>
      </c>
      <c r="C81" s="27" t="str">
        <f>Sites[[#This Row],[SOL'#]]</f>
        <v>SOL-10915</v>
      </c>
      <c r="D81" s="9"/>
      <c r="E81" s="14"/>
      <c r="F81" s="14" t="str">
        <f t="shared" si="6"/>
        <v/>
      </c>
      <c r="G81" s="15" t="str">
        <f t="shared" si="7"/>
        <v/>
      </c>
      <c r="H81" s="16"/>
      <c r="I81" s="16" t="str">
        <f t="shared" si="4"/>
        <v/>
      </c>
      <c r="J81" s="15" t="str">
        <f t="shared" si="5"/>
        <v/>
      </c>
      <c r="K81" s="57"/>
      <c r="L81" s="57"/>
    </row>
    <row r="82" spans="1:12" ht="15.6">
      <c r="A82" s="24" t="str">
        <v>Washington 1</v>
      </c>
      <c r="B82" s="25" t="str">
        <v>NY</v>
      </c>
      <c r="C82" s="25" t="str">
        <f>Sites[[#This Row],[SOL'#]]</f>
        <v>SOL-10912</v>
      </c>
      <c r="D82" s="20"/>
      <c r="E82" s="10"/>
      <c r="F82" s="10" t="str">
        <f t="shared" si="6"/>
        <v/>
      </c>
      <c r="G82" s="11" t="str">
        <f t="shared" si="7"/>
        <v/>
      </c>
      <c r="H82" s="12"/>
      <c r="I82" s="12" t="str">
        <f t="shared" ref="I82:I145" si="8">IF(AND(ISNUMBER(D82),ISNUMBER(H82)), D82-H82, "")</f>
        <v/>
      </c>
      <c r="J82" s="13" t="str">
        <f t="shared" ref="J82:J145" si="9">IFERROR(I82/H82, "")</f>
        <v/>
      </c>
      <c r="K82" s="59"/>
      <c r="L82" s="59"/>
    </row>
    <row r="83" spans="1:12" ht="15.6">
      <c r="A83" s="26" t="str">
        <v>Washington 3</v>
      </c>
      <c r="B83" s="27" t="str">
        <v>NY</v>
      </c>
      <c r="C83" s="27" t="str">
        <f>Sites[[#This Row],[SOL'#]]</f>
        <v>SOL-10828</v>
      </c>
      <c r="D83" s="9"/>
      <c r="E83" s="14"/>
      <c r="F83" s="14" t="str">
        <f t="shared" si="6"/>
        <v/>
      </c>
      <c r="G83" s="15" t="str">
        <f t="shared" si="7"/>
        <v/>
      </c>
      <c r="H83" s="16"/>
      <c r="I83" s="16" t="str">
        <f t="shared" si="8"/>
        <v/>
      </c>
      <c r="J83" s="15" t="str">
        <f t="shared" si="9"/>
        <v/>
      </c>
      <c r="K83" s="57"/>
      <c r="L83" s="57"/>
    </row>
    <row r="84" spans="1:12" ht="15.6">
      <c r="A84" s="24" t="str">
        <v>Washington 4</v>
      </c>
      <c r="B84" s="25" t="str">
        <v>NY</v>
      </c>
      <c r="C84" s="25" t="str">
        <f>Sites[[#This Row],[SOL'#]]</f>
        <v>SOL-10829</v>
      </c>
      <c r="D84" s="20"/>
      <c r="E84" s="10"/>
      <c r="F84" s="10" t="str">
        <f t="shared" si="6"/>
        <v/>
      </c>
      <c r="G84" s="11" t="str">
        <f t="shared" si="7"/>
        <v/>
      </c>
      <c r="H84" s="12"/>
      <c r="I84" s="12" t="str">
        <f t="shared" si="8"/>
        <v/>
      </c>
      <c r="J84" s="13" t="str">
        <f t="shared" si="9"/>
        <v/>
      </c>
      <c r="K84" s="59"/>
      <c r="L84" s="59"/>
    </row>
    <row r="85" spans="1:12" ht="15.6">
      <c r="A85" s="26" t="str">
        <v>Big Tree</v>
      </c>
      <c r="B85" s="27" t="str">
        <v>NY</v>
      </c>
      <c r="C85" s="27" t="str">
        <f>Sites[[#This Row],[SOL'#]]</f>
        <v>SOL-10966</v>
      </c>
      <c r="D85" s="9"/>
      <c r="E85" s="14"/>
      <c r="F85" s="14" t="str">
        <f t="shared" si="6"/>
        <v/>
      </c>
      <c r="G85" s="15" t="str">
        <f t="shared" si="7"/>
        <v/>
      </c>
      <c r="H85" s="16"/>
      <c r="I85" s="16" t="str">
        <f t="shared" si="8"/>
        <v/>
      </c>
      <c r="J85" s="15" t="str">
        <f t="shared" si="9"/>
        <v/>
      </c>
      <c r="K85" s="57"/>
      <c r="L85" s="57"/>
    </row>
    <row r="86" spans="1:12" ht="15.6">
      <c r="A86" s="24" t="str">
        <v>Canoga</v>
      </c>
      <c r="B86" s="25" t="str">
        <v>NY</v>
      </c>
      <c r="C86" s="25" t="str">
        <f>Sites[[#This Row],[SOL'#]]</f>
        <v>SOL-10965</v>
      </c>
      <c r="D86" s="20"/>
      <c r="E86" s="10"/>
      <c r="F86" s="10" t="str">
        <f t="shared" si="6"/>
        <v/>
      </c>
      <c r="G86" s="11" t="str">
        <f t="shared" si="7"/>
        <v/>
      </c>
      <c r="H86" s="12"/>
      <c r="I86" s="12" t="str">
        <f t="shared" si="8"/>
        <v/>
      </c>
      <c r="J86" s="13" t="str">
        <f t="shared" si="9"/>
        <v/>
      </c>
      <c r="K86" s="59"/>
      <c r="L86" s="59"/>
    </row>
    <row r="87" spans="1:12" ht="172.5" customHeight="1">
      <c r="A87" s="26" t="str">
        <v>County Route 84</v>
      </c>
      <c r="B87" s="27" t="str">
        <v>NY</v>
      </c>
      <c r="C87" s="27" t="str">
        <f>Sites[[#This Row],[SOL'#]]</f>
        <v>SOL-10967</v>
      </c>
      <c r="D87" s="9"/>
      <c r="E87" s="14"/>
      <c r="F87" s="14" t="str">
        <f t="shared" si="6"/>
        <v/>
      </c>
      <c r="G87" s="15" t="str">
        <f t="shared" si="7"/>
        <v/>
      </c>
      <c r="H87" s="16"/>
      <c r="I87" s="16" t="str">
        <f t="shared" si="8"/>
        <v/>
      </c>
      <c r="J87" s="15" t="str">
        <f t="shared" si="9"/>
        <v/>
      </c>
      <c r="K87" s="57"/>
      <c r="L87" s="57"/>
    </row>
    <row r="88" spans="1:12" ht="15.6">
      <c r="A88" s="24" t="str">
        <v>Donati</v>
      </c>
      <c r="B88" s="25" t="str">
        <v>NY</v>
      </c>
      <c r="C88" s="25" t="str">
        <f>Sites[[#This Row],[SOL'#]]</f>
        <v>SOL-10968</v>
      </c>
      <c r="D88" s="20"/>
      <c r="E88" s="10"/>
      <c r="F88" s="10" t="str">
        <f t="shared" si="6"/>
        <v/>
      </c>
      <c r="G88" s="11" t="str">
        <f t="shared" si="7"/>
        <v/>
      </c>
      <c r="H88" s="12"/>
      <c r="I88" s="12" t="str">
        <f t="shared" si="8"/>
        <v/>
      </c>
      <c r="J88" s="13" t="str">
        <f t="shared" si="9"/>
        <v/>
      </c>
      <c r="K88" s="59"/>
      <c r="L88" s="59"/>
    </row>
    <row r="89" spans="1:12" ht="15.6">
      <c r="A89" s="26" t="str">
        <v>Henrietta</v>
      </c>
      <c r="B89" s="27" t="str">
        <v>NY</v>
      </c>
      <c r="C89" s="27" t="str">
        <f>Sites[[#This Row],[SOL'#]]</f>
        <v>SOL-10972</v>
      </c>
      <c r="D89" s="9"/>
      <c r="E89" s="14"/>
      <c r="F89" s="14" t="str">
        <f t="shared" si="6"/>
        <v/>
      </c>
      <c r="G89" s="15" t="str">
        <f t="shared" si="7"/>
        <v/>
      </c>
      <c r="H89" s="16"/>
      <c r="I89" s="16" t="str">
        <f t="shared" si="8"/>
        <v/>
      </c>
      <c r="J89" s="15" t="str">
        <f t="shared" si="9"/>
        <v/>
      </c>
      <c r="K89" s="57"/>
      <c r="L89" s="57"/>
    </row>
    <row r="90" spans="1:12" ht="119.25" customHeight="1">
      <c r="A90" s="24" t="str">
        <v>NY 70</v>
      </c>
      <c r="B90" s="25" t="str">
        <v>NY</v>
      </c>
      <c r="C90" s="25" t="str">
        <f>Sites[[#This Row],[SOL'#]]</f>
        <v>SOL-10970</v>
      </c>
      <c r="D90" s="20"/>
      <c r="E90" s="10"/>
      <c r="F90" s="10" t="str">
        <f t="shared" si="6"/>
        <v/>
      </c>
      <c r="G90" s="11" t="str">
        <f t="shared" si="7"/>
        <v/>
      </c>
      <c r="H90" s="12"/>
      <c r="I90" s="12" t="str">
        <f t="shared" si="8"/>
        <v/>
      </c>
      <c r="J90" s="13" t="str">
        <f t="shared" si="9"/>
        <v/>
      </c>
      <c r="K90" s="59"/>
      <c r="L90" s="59"/>
    </row>
    <row r="91" spans="1:12" ht="156" customHeight="1">
      <c r="A91" s="26" t="str">
        <v>Reid</v>
      </c>
      <c r="B91" s="27" t="str">
        <v>NY</v>
      </c>
      <c r="C91" s="27" t="str">
        <f>Sites[[#This Row],[SOL'#]]</f>
        <v>SOL-10991</v>
      </c>
      <c r="D91" s="9"/>
      <c r="E91" s="14"/>
      <c r="F91" s="14" t="str">
        <f t="shared" si="6"/>
        <v/>
      </c>
      <c r="G91" s="15" t="str">
        <f t="shared" si="7"/>
        <v/>
      </c>
      <c r="H91" s="16"/>
      <c r="I91" s="16" t="str">
        <f t="shared" si="8"/>
        <v/>
      </c>
      <c r="J91" s="15" t="str">
        <f t="shared" si="9"/>
        <v/>
      </c>
      <c r="K91" s="57"/>
      <c r="L91" s="57"/>
    </row>
    <row r="92" spans="1:12" ht="15.6">
      <c r="A92" s="24" t="str">
        <v>Sangolqui</v>
      </c>
      <c r="B92" s="25" t="str">
        <v>NY</v>
      </c>
      <c r="C92" s="25" t="str">
        <f>Sites[[#This Row],[SOL'#]]</f>
        <v>SOL-10975</v>
      </c>
      <c r="D92" s="20"/>
      <c r="E92" s="10"/>
      <c r="F92" s="10" t="str">
        <f t="shared" si="6"/>
        <v/>
      </c>
      <c r="G92" s="11" t="str">
        <f t="shared" si="7"/>
        <v/>
      </c>
      <c r="H92" s="12"/>
      <c r="I92" s="12" t="str">
        <f t="shared" si="8"/>
        <v/>
      </c>
      <c r="J92" s="13" t="str">
        <f t="shared" si="9"/>
        <v/>
      </c>
      <c r="K92" s="59"/>
      <c r="L92" s="59"/>
    </row>
    <row r="93" spans="1:12" ht="15.6">
      <c r="A93" s="26" t="str">
        <v>State Highway 17B</v>
      </c>
      <c r="B93" s="27" t="str">
        <v>NY</v>
      </c>
      <c r="C93" s="27" t="str">
        <f>Sites[[#This Row],[SOL'#]]</f>
        <v>SOL-10988</v>
      </c>
      <c r="D93" s="9"/>
      <c r="E93" s="14"/>
      <c r="F93" s="14" t="str">
        <f t="shared" si="6"/>
        <v/>
      </c>
      <c r="G93" s="15" t="str">
        <f t="shared" si="7"/>
        <v/>
      </c>
      <c r="H93" s="16"/>
      <c r="I93" s="16" t="str">
        <f t="shared" si="8"/>
        <v/>
      </c>
      <c r="J93" s="15" t="str">
        <f t="shared" si="9"/>
        <v/>
      </c>
      <c r="K93" s="57"/>
      <c r="L93" s="57"/>
    </row>
    <row r="94" spans="1:12" ht="31.5" customHeight="1">
      <c r="A94" s="24" t="str">
        <v>State Route 14A</v>
      </c>
      <c r="B94" s="25" t="str">
        <v>NY</v>
      </c>
      <c r="C94" s="25" t="str">
        <f>Sites[[#This Row],[SOL'#]]</f>
        <v>SOL-10997</v>
      </c>
      <c r="D94" s="20"/>
      <c r="E94" s="10"/>
      <c r="F94" s="10" t="str">
        <f t="shared" si="6"/>
        <v/>
      </c>
      <c r="G94" s="11" t="str">
        <f t="shared" si="7"/>
        <v/>
      </c>
      <c r="H94" s="12"/>
      <c r="I94" s="12" t="str">
        <f t="shared" si="8"/>
        <v/>
      </c>
      <c r="J94" s="13" t="str">
        <f t="shared" si="9"/>
        <v/>
      </c>
      <c r="K94" s="59"/>
      <c r="L94" s="59"/>
    </row>
    <row r="95" spans="1:12" ht="30" customHeight="1">
      <c r="A95" s="26" t="str">
        <v>West Creek</v>
      </c>
      <c r="B95" s="27" t="str">
        <v>NY</v>
      </c>
      <c r="C95" s="27" t="str">
        <f>Sites[[#This Row],[SOL'#]]</f>
        <v>SOL-10995</v>
      </c>
      <c r="D95" s="9"/>
      <c r="E95" s="14"/>
      <c r="F95" s="14" t="str">
        <f t="shared" si="6"/>
        <v/>
      </c>
      <c r="G95" s="15" t="str">
        <f t="shared" si="7"/>
        <v/>
      </c>
      <c r="H95" s="16"/>
      <c r="I95" s="16" t="str">
        <f t="shared" si="8"/>
        <v/>
      </c>
      <c r="J95" s="15" t="str">
        <f t="shared" si="9"/>
        <v/>
      </c>
      <c r="K95" s="57"/>
      <c r="L95" s="57"/>
    </row>
    <row r="96" spans="1:12" ht="15.6">
      <c r="A96" s="24" t="str">
        <v>Wildflower</v>
      </c>
      <c r="B96" s="25" t="str">
        <v>NY</v>
      </c>
      <c r="C96" s="25" t="str">
        <f>Sites[[#This Row],[SOL'#]]</f>
        <v>SOL-10982</v>
      </c>
      <c r="D96" s="20"/>
      <c r="E96" s="10"/>
      <c r="F96" s="10" t="str">
        <f t="shared" si="6"/>
        <v/>
      </c>
      <c r="G96" s="11" t="str">
        <f t="shared" si="7"/>
        <v/>
      </c>
      <c r="H96" s="12"/>
      <c r="I96" s="12" t="str">
        <f t="shared" si="8"/>
        <v/>
      </c>
      <c r="J96" s="13" t="str">
        <f t="shared" si="9"/>
        <v/>
      </c>
      <c r="K96" s="59"/>
      <c r="L96" s="59"/>
    </row>
    <row r="97" spans="1:12" ht="33.6" customHeight="1">
      <c r="A97" s="26" t="str">
        <v>Glen Mary 1</v>
      </c>
      <c r="B97" s="27" t="str">
        <v>NY</v>
      </c>
      <c r="C97" s="27" t="str">
        <f>Sites[[#This Row],[SOL'#]]</f>
        <v>SOL-10993</v>
      </c>
      <c r="D97" s="9"/>
      <c r="E97" s="14"/>
      <c r="F97" s="14" t="str">
        <f t="shared" si="6"/>
        <v/>
      </c>
      <c r="G97" s="15" t="str">
        <f t="shared" si="7"/>
        <v/>
      </c>
      <c r="H97" s="16"/>
      <c r="I97" s="16" t="str">
        <f t="shared" si="8"/>
        <v/>
      </c>
      <c r="J97" s="15" t="str">
        <f t="shared" si="9"/>
        <v/>
      </c>
      <c r="K97" s="57"/>
      <c r="L97" s="57"/>
    </row>
    <row r="98" spans="1:12" ht="15.6">
      <c r="A98" s="24" t="str">
        <v>Glen Mary 2</v>
      </c>
      <c r="B98" s="25" t="str">
        <v>NY</v>
      </c>
      <c r="C98" s="25" t="str">
        <f>Sites[[#This Row],[SOL'#]]</f>
        <v>SOL-10994</v>
      </c>
      <c r="D98" s="20"/>
      <c r="E98" s="10"/>
      <c r="F98" s="10" t="str">
        <f t="shared" si="6"/>
        <v/>
      </c>
      <c r="G98" s="11" t="str">
        <f t="shared" si="7"/>
        <v/>
      </c>
      <c r="H98" s="12"/>
      <c r="I98" s="12" t="str">
        <f t="shared" si="8"/>
        <v/>
      </c>
      <c r="J98" s="13" t="str">
        <f t="shared" si="9"/>
        <v/>
      </c>
      <c r="K98" s="59"/>
      <c r="L98" s="59"/>
    </row>
    <row r="99" spans="1:12" ht="15.6">
      <c r="A99" s="26" t="str">
        <v>Telegraph 1</v>
      </c>
      <c r="B99" s="27" t="str">
        <v>NY</v>
      </c>
      <c r="C99" s="27" t="str">
        <f>Sites[[#This Row],[SOL'#]]</f>
        <v>SOL-11003</v>
      </c>
      <c r="D99" s="9"/>
      <c r="E99" s="14"/>
      <c r="F99" s="14" t="str">
        <f t="shared" si="6"/>
        <v/>
      </c>
      <c r="G99" s="15" t="str">
        <f t="shared" si="7"/>
        <v/>
      </c>
      <c r="H99" s="16"/>
      <c r="I99" s="16" t="str">
        <f t="shared" si="8"/>
        <v/>
      </c>
      <c r="J99" s="15" t="str">
        <f t="shared" si="9"/>
        <v/>
      </c>
      <c r="K99" s="57"/>
      <c r="L99" s="57"/>
    </row>
    <row r="100" spans="1:12" ht="15.6">
      <c r="A100" s="24" t="str">
        <v>Telegraph 2</v>
      </c>
      <c r="B100" s="25" t="str">
        <v>NY</v>
      </c>
      <c r="C100" s="25" t="str">
        <f>Sites[[#This Row],[SOL'#]]</f>
        <v>SOL-11004</v>
      </c>
      <c r="D100" s="20"/>
      <c r="E100" s="10"/>
      <c r="F100" s="10" t="str">
        <f t="shared" si="6"/>
        <v/>
      </c>
      <c r="G100" s="11" t="str">
        <f t="shared" si="7"/>
        <v/>
      </c>
      <c r="H100" s="12"/>
      <c r="I100" s="12" t="str">
        <f t="shared" si="8"/>
        <v/>
      </c>
      <c r="J100" s="13" t="str">
        <f t="shared" si="9"/>
        <v/>
      </c>
      <c r="K100" s="59"/>
      <c r="L100" s="59"/>
    </row>
    <row r="101" spans="1:12" ht="15.6">
      <c r="A101" s="26" t="str">
        <v>Cafferty Hill</v>
      </c>
      <c r="B101" s="27" t="str">
        <v>NY</v>
      </c>
      <c r="C101" s="27" t="str">
        <f>Sites[[#This Row],[SOL'#]]</f>
        <v>SOL-10996</v>
      </c>
      <c r="D101" s="9"/>
      <c r="E101" s="14"/>
      <c r="F101" s="14" t="str">
        <f t="shared" si="6"/>
        <v/>
      </c>
      <c r="G101" s="15" t="str">
        <f t="shared" si="7"/>
        <v/>
      </c>
      <c r="H101" s="16"/>
      <c r="I101" s="16" t="str">
        <f t="shared" si="8"/>
        <v/>
      </c>
      <c r="J101" s="15" t="str">
        <f t="shared" si="9"/>
        <v/>
      </c>
      <c r="K101" s="57"/>
      <c r="L101" s="57"/>
    </row>
    <row r="102" spans="1:12" ht="15.6">
      <c r="A102" s="24" t="str">
        <v>Dunkleman</v>
      </c>
      <c r="B102" s="25" t="str">
        <v>NY</v>
      </c>
      <c r="C102" s="25" t="str">
        <f>Sites[[#This Row],[SOL'#]]</f>
        <v>SOL-11008</v>
      </c>
      <c r="D102" s="20"/>
      <c r="E102" s="10"/>
      <c r="F102" s="10" t="str">
        <f t="shared" si="6"/>
        <v/>
      </c>
      <c r="G102" s="11" t="str">
        <f t="shared" si="7"/>
        <v/>
      </c>
      <c r="H102" s="12"/>
      <c r="I102" s="12" t="str">
        <f t="shared" si="8"/>
        <v/>
      </c>
      <c r="J102" s="13" t="str">
        <f t="shared" si="9"/>
        <v/>
      </c>
      <c r="K102" s="59"/>
      <c r="L102" s="59"/>
    </row>
    <row r="103" spans="1:12" ht="15.6">
      <c r="A103" s="26" t="str">
        <v>Route 19 1</v>
      </c>
      <c r="B103" s="27" t="str">
        <v>NY</v>
      </c>
      <c r="C103" s="27" t="str">
        <f>Sites[[#This Row],[SOL'#]]</f>
        <v>SOL-11001</v>
      </c>
      <c r="D103" s="9"/>
      <c r="E103" s="14"/>
      <c r="F103" s="14" t="str">
        <f t="shared" si="6"/>
        <v/>
      </c>
      <c r="G103" s="15" t="str">
        <f t="shared" si="7"/>
        <v/>
      </c>
      <c r="H103" s="16"/>
      <c r="I103" s="16" t="str">
        <f t="shared" si="8"/>
        <v/>
      </c>
      <c r="J103" s="15" t="str">
        <f t="shared" si="9"/>
        <v/>
      </c>
      <c r="K103" s="57"/>
      <c r="L103" s="58"/>
    </row>
    <row r="104" spans="1:12" ht="15.6">
      <c r="A104" s="24" t="str">
        <v>Route 19 2</v>
      </c>
      <c r="B104" s="25" t="str">
        <v>NY</v>
      </c>
      <c r="C104" s="25" t="str">
        <f>Sites[[#This Row],[SOL'#]]</f>
        <v>SOL-11002</v>
      </c>
      <c r="D104" s="20"/>
      <c r="E104" s="10"/>
      <c r="F104" s="10" t="str">
        <f t="shared" si="6"/>
        <v/>
      </c>
      <c r="G104" s="11" t="str">
        <f t="shared" si="7"/>
        <v/>
      </c>
      <c r="H104" s="12"/>
      <c r="I104" s="12" t="str">
        <f t="shared" si="8"/>
        <v/>
      </c>
      <c r="J104" s="13" t="str">
        <f t="shared" si="9"/>
        <v/>
      </c>
      <c r="K104" s="59"/>
      <c r="L104" s="59"/>
    </row>
    <row r="105" spans="1:12" ht="15.6">
      <c r="A105" s="26" t="str">
        <v>Yellow Mills 1</v>
      </c>
      <c r="B105" s="27" t="str">
        <v>NY</v>
      </c>
      <c r="C105" s="27" t="str">
        <f>Sites[[#This Row],[SOL'#]]</f>
        <v>SOL-11006</v>
      </c>
      <c r="D105" s="9"/>
      <c r="E105" s="14"/>
      <c r="F105" s="14" t="str">
        <f t="shared" si="6"/>
        <v/>
      </c>
      <c r="G105" s="15" t="str">
        <f t="shared" si="7"/>
        <v/>
      </c>
      <c r="H105" s="16"/>
      <c r="I105" s="16" t="str">
        <f t="shared" si="8"/>
        <v/>
      </c>
      <c r="J105" s="15" t="str">
        <f t="shared" si="9"/>
        <v/>
      </c>
      <c r="K105" s="57"/>
      <c r="L105" s="57"/>
    </row>
    <row r="106" spans="1:12" ht="15.6">
      <c r="A106" s="24" t="str">
        <v>Yellow Mills 2</v>
      </c>
      <c r="B106" s="25" t="str">
        <v>NY</v>
      </c>
      <c r="C106" s="25" t="str">
        <f>Sites[[#This Row],[SOL'#]]</f>
        <v>SOL-11005</v>
      </c>
      <c r="D106" s="20"/>
      <c r="E106" s="10"/>
      <c r="F106" s="10" t="str">
        <f t="shared" si="6"/>
        <v/>
      </c>
      <c r="G106" s="11" t="str">
        <f t="shared" si="7"/>
        <v/>
      </c>
      <c r="H106" s="12"/>
      <c r="I106" s="12" t="str">
        <f t="shared" si="8"/>
        <v/>
      </c>
      <c r="J106" s="13" t="str">
        <f t="shared" si="9"/>
        <v/>
      </c>
      <c r="K106" s="59"/>
      <c r="L106" s="59"/>
    </row>
    <row r="107" spans="1:12" ht="15.6">
      <c r="A107" s="26" t="str">
        <v>Yellow Mills 3</v>
      </c>
      <c r="B107" s="27" t="str">
        <v>NY</v>
      </c>
      <c r="C107" s="27" t="str">
        <f>Sites[[#This Row],[SOL'#]]</f>
        <v>SOL-11007</v>
      </c>
      <c r="D107" s="9"/>
      <c r="E107" s="14"/>
      <c r="F107" s="14" t="str">
        <f t="shared" si="6"/>
        <v/>
      </c>
      <c r="G107" s="15" t="str">
        <f t="shared" si="7"/>
        <v/>
      </c>
      <c r="H107" s="16"/>
      <c r="I107" s="16" t="str">
        <f t="shared" si="8"/>
        <v/>
      </c>
      <c r="J107" s="15" t="str">
        <f t="shared" si="9"/>
        <v/>
      </c>
      <c r="K107" s="57"/>
      <c r="L107" s="57"/>
    </row>
    <row r="108" spans="1:12" ht="15.6">
      <c r="A108" s="24" t="str">
        <v>Catskill</v>
      </c>
      <c r="B108" s="25" t="str">
        <v>NY</v>
      </c>
      <c r="C108" s="25" t="str">
        <f>Sites[[#This Row],[SOL'#]]</f>
        <v>SOL-11021</v>
      </c>
      <c r="D108" s="20"/>
      <c r="E108" s="10"/>
      <c r="F108" s="10" t="str">
        <f t="shared" si="6"/>
        <v/>
      </c>
      <c r="G108" s="11" t="str">
        <f t="shared" si="7"/>
        <v/>
      </c>
      <c r="H108" s="12"/>
      <c r="I108" s="12" t="str">
        <f t="shared" si="8"/>
        <v/>
      </c>
      <c r="J108" s="13" t="str">
        <f t="shared" si="9"/>
        <v/>
      </c>
      <c r="K108" s="59"/>
      <c r="L108" s="59"/>
    </row>
    <row r="109" spans="1:12" ht="15.6">
      <c r="A109" s="26" t="str">
        <v>Eddy Ridge</v>
      </c>
      <c r="B109" s="27" t="str">
        <v>NY</v>
      </c>
      <c r="C109" s="27" t="str">
        <f>Sites[[#This Row],[SOL'#]]</f>
        <v>SOL-11054</v>
      </c>
      <c r="D109" s="9"/>
      <c r="E109" s="14"/>
      <c r="F109" s="14" t="str">
        <f t="shared" si="6"/>
        <v/>
      </c>
      <c r="G109" s="15" t="str">
        <f t="shared" si="7"/>
        <v/>
      </c>
      <c r="H109" s="16"/>
      <c r="I109" s="16" t="str">
        <f t="shared" si="8"/>
        <v/>
      </c>
      <c r="J109" s="15" t="str">
        <f t="shared" si="9"/>
        <v/>
      </c>
      <c r="K109" s="57"/>
      <c r="L109" s="57"/>
    </row>
    <row r="110" spans="1:12" ht="15.6">
      <c r="A110" s="24" t="str">
        <v>Ridgeway #1</v>
      </c>
      <c r="B110" s="25" t="str">
        <v>NY</v>
      </c>
      <c r="C110" s="25" t="str">
        <f>Sites[[#This Row],[SOL'#]]</f>
        <v>SOL-11018</v>
      </c>
      <c r="D110" s="20"/>
      <c r="E110" s="10"/>
      <c r="F110" s="10" t="str">
        <f t="shared" si="6"/>
        <v/>
      </c>
      <c r="G110" s="11" t="str">
        <f t="shared" si="7"/>
        <v/>
      </c>
      <c r="H110" s="12"/>
      <c r="I110" s="12" t="str">
        <f t="shared" si="8"/>
        <v/>
      </c>
      <c r="J110" s="13" t="str">
        <f t="shared" si="9"/>
        <v/>
      </c>
      <c r="K110" s="59"/>
      <c r="L110" s="59"/>
    </row>
    <row r="111" spans="1:12" ht="67.5" customHeight="1">
      <c r="A111" s="26" t="str">
        <v>Rivard 1</v>
      </c>
      <c r="B111" s="27" t="str">
        <v>NY</v>
      </c>
      <c r="C111" s="27" t="str">
        <f>Sites[[#This Row],[SOL'#]]</f>
        <v>SOL-11011</v>
      </c>
      <c r="D111" s="9"/>
      <c r="E111" s="14"/>
      <c r="F111" s="14" t="str">
        <f t="shared" si="6"/>
        <v/>
      </c>
      <c r="G111" s="15" t="str">
        <f t="shared" si="7"/>
        <v/>
      </c>
      <c r="H111" s="16"/>
      <c r="I111" s="16" t="str">
        <f t="shared" si="8"/>
        <v/>
      </c>
      <c r="J111" s="15" t="str">
        <f t="shared" si="9"/>
        <v/>
      </c>
      <c r="K111" s="57"/>
      <c r="L111" s="57"/>
    </row>
    <row r="112" spans="1:12" ht="15.6">
      <c r="A112" s="24" t="str">
        <v>Rivard 2</v>
      </c>
      <c r="B112" s="25" t="str">
        <v>NY</v>
      </c>
      <c r="C112" s="25" t="str">
        <f>Sites[[#This Row],[SOL'#]]</f>
        <v>SOL-11012</v>
      </c>
      <c r="D112" s="20"/>
      <c r="E112" s="10"/>
      <c r="F112" s="10" t="str">
        <f t="shared" si="6"/>
        <v/>
      </c>
      <c r="G112" s="11" t="str">
        <f t="shared" si="7"/>
        <v/>
      </c>
      <c r="H112" s="12"/>
      <c r="I112" s="12" t="str">
        <f t="shared" si="8"/>
        <v/>
      </c>
      <c r="J112" s="13" t="str">
        <f t="shared" si="9"/>
        <v/>
      </c>
      <c r="K112" s="59"/>
      <c r="L112" s="59"/>
    </row>
    <row r="113" spans="1:12" ht="15.6">
      <c r="A113" s="26" t="str">
        <v>Essex</v>
      </c>
      <c r="B113" s="27" t="str">
        <v>DC</v>
      </c>
      <c r="C113" s="27" t="str">
        <f>Sites[[#This Row],[SOL'#]]</f>
        <v>SOL-10036</v>
      </c>
      <c r="D113" s="9"/>
      <c r="E113" s="14"/>
      <c r="F113" s="14" t="str">
        <f t="shared" si="6"/>
        <v/>
      </c>
      <c r="G113" s="15" t="str">
        <f t="shared" si="7"/>
        <v/>
      </c>
      <c r="H113" s="16"/>
      <c r="I113" s="16" t="str">
        <f t="shared" si="8"/>
        <v/>
      </c>
      <c r="J113" s="15" t="str">
        <f t="shared" si="9"/>
        <v/>
      </c>
      <c r="K113" s="57"/>
      <c r="L113" s="57"/>
    </row>
    <row r="114" spans="1:12" ht="15.6">
      <c r="A114" s="24" t="str">
        <v>Temple Sinai</v>
      </c>
      <c r="B114" s="25" t="str">
        <v>DC</v>
      </c>
      <c r="C114" s="25" t="str">
        <f>Sites[[#This Row],[SOL'#]]</f>
        <v>SOL-10028</v>
      </c>
      <c r="D114" s="20"/>
      <c r="E114" s="10"/>
      <c r="F114" s="10" t="str">
        <f t="shared" si="6"/>
        <v/>
      </c>
      <c r="G114" s="11" t="str">
        <f t="shared" si="7"/>
        <v/>
      </c>
      <c r="H114" s="12"/>
      <c r="I114" s="12" t="str">
        <f t="shared" si="8"/>
        <v/>
      </c>
      <c r="J114" s="13" t="str">
        <f t="shared" si="9"/>
        <v/>
      </c>
      <c r="K114" s="59"/>
      <c r="L114" s="59"/>
    </row>
    <row r="115" spans="1:12" ht="15.6">
      <c r="A115" s="26" t="str">
        <v>Weinberg 1</v>
      </c>
      <c r="B115" s="27" t="str">
        <v>DC</v>
      </c>
      <c r="C115" s="27" t="str">
        <f>Sites[[#This Row],[SOL'#]]</f>
        <v>SOL-10039</v>
      </c>
      <c r="D115" s="9"/>
      <c r="E115" s="14"/>
      <c r="F115" s="14" t="str">
        <f t="shared" si="6"/>
        <v/>
      </c>
      <c r="G115" s="15" t="str">
        <f t="shared" si="7"/>
        <v/>
      </c>
      <c r="H115" s="16"/>
      <c r="I115" s="16" t="str">
        <f t="shared" si="8"/>
        <v/>
      </c>
      <c r="J115" s="15" t="str">
        <f t="shared" si="9"/>
        <v/>
      </c>
      <c r="K115" s="57"/>
      <c r="L115" s="58"/>
    </row>
    <row r="116" spans="1:12" ht="15.6">
      <c r="A116" s="24" t="str">
        <v>Weinberg 2</v>
      </c>
      <c r="B116" s="25" t="str">
        <v>DC</v>
      </c>
      <c r="C116" s="25" t="str">
        <f>Sites[[#This Row],[SOL'#]]</f>
        <v>SOL-10045</v>
      </c>
      <c r="D116" s="20"/>
      <c r="E116" s="10"/>
      <c r="F116" s="10" t="str">
        <f t="shared" si="6"/>
        <v/>
      </c>
      <c r="G116" s="11" t="str">
        <f t="shared" si="7"/>
        <v/>
      </c>
      <c r="H116" s="12"/>
      <c r="I116" s="12" t="str">
        <f t="shared" si="8"/>
        <v/>
      </c>
      <c r="J116" s="13" t="str">
        <f t="shared" si="9"/>
        <v/>
      </c>
      <c r="K116" s="59"/>
      <c r="L116" s="59"/>
    </row>
    <row r="117" spans="1:12" ht="15.6">
      <c r="A117" s="26" t="str">
        <v>Weinberg 3</v>
      </c>
      <c r="B117" s="27" t="str">
        <v>DC</v>
      </c>
      <c r="C117" s="27" t="str">
        <f>Sites[[#This Row],[SOL'#]]</f>
        <v>SOL-10042</v>
      </c>
      <c r="D117" s="9"/>
      <c r="E117" s="14"/>
      <c r="F117" s="14" t="str">
        <f t="shared" si="6"/>
        <v/>
      </c>
      <c r="G117" s="15" t="str">
        <f t="shared" si="7"/>
        <v/>
      </c>
      <c r="H117" s="16"/>
      <c r="I117" s="16" t="str">
        <f t="shared" si="8"/>
        <v/>
      </c>
      <c r="J117" s="15" t="str">
        <f t="shared" si="9"/>
        <v/>
      </c>
      <c r="K117" s="57"/>
      <c r="L117" s="58"/>
    </row>
    <row r="118" spans="1:12" ht="15.6">
      <c r="A118" s="24" t="str">
        <v>Clayton Hall</v>
      </c>
      <c r="B118" s="25" t="str">
        <v>DE</v>
      </c>
      <c r="C118" s="25" t="str">
        <f>Sites[[#This Row],[SOL'#]]</f>
        <v>SOL-10820</v>
      </c>
      <c r="D118" s="20"/>
      <c r="E118" s="10"/>
      <c r="F118" s="10" t="str">
        <f t="shared" si="6"/>
        <v/>
      </c>
      <c r="G118" s="11" t="str">
        <f t="shared" si="7"/>
        <v/>
      </c>
      <c r="H118" s="12"/>
      <c r="I118" s="12" t="str">
        <f t="shared" si="8"/>
        <v/>
      </c>
      <c r="J118" s="13" t="str">
        <f t="shared" si="9"/>
        <v/>
      </c>
      <c r="K118" s="59"/>
      <c r="L118" s="59"/>
    </row>
    <row r="119" spans="1:12" ht="15.6">
      <c r="A119" s="26" t="str">
        <v>Field House</v>
      </c>
      <c r="B119" s="27" t="str">
        <v>DE</v>
      </c>
      <c r="C119" s="27" t="str">
        <f>Sites[[#This Row],[SOL'#]]</f>
        <v>SOL-10821</v>
      </c>
      <c r="D119" s="9"/>
      <c r="E119" s="14"/>
      <c r="F119" s="14" t="str">
        <f t="shared" si="6"/>
        <v/>
      </c>
      <c r="G119" s="15" t="str">
        <f t="shared" si="7"/>
        <v/>
      </c>
      <c r="H119" s="16"/>
      <c r="I119" s="16" t="str">
        <f t="shared" si="8"/>
        <v/>
      </c>
      <c r="J119" s="15" t="str">
        <f t="shared" si="9"/>
        <v/>
      </c>
      <c r="K119" s="57"/>
      <c r="L119" s="58"/>
    </row>
    <row r="120" spans="1:12" ht="15.6">
      <c r="A120" s="24" t="str">
        <v>Wyoming Road</v>
      </c>
      <c r="B120" s="25" t="str">
        <v>DE</v>
      </c>
      <c r="C120" s="25" t="str">
        <f>Sites[[#This Row],[SOL'#]]</f>
        <v>SOL-10819</v>
      </c>
      <c r="D120" s="20"/>
      <c r="E120" s="10"/>
      <c r="F120" s="10" t="str">
        <f t="shared" si="6"/>
        <v/>
      </c>
      <c r="G120" s="11" t="str">
        <f t="shared" si="7"/>
        <v/>
      </c>
      <c r="H120" s="12"/>
      <c r="I120" s="12" t="str">
        <f t="shared" si="8"/>
        <v/>
      </c>
      <c r="J120" s="13" t="str">
        <f t="shared" si="9"/>
        <v/>
      </c>
      <c r="K120" s="59"/>
      <c r="L120" s="59"/>
    </row>
    <row r="121" spans="1:12" ht="15.6">
      <c r="A121" s="26" t="str">
        <v>Leoku</v>
      </c>
      <c r="B121" s="27" t="str">
        <v>HI</v>
      </c>
      <c r="C121" s="27" t="str">
        <f>Sites[[#This Row],[SOL'#]]</f>
        <v>SOL-10071</v>
      </c>
      <c r="D121" s="9"/>
      <c r="E121" s="14"/>
      <c r="F121" s="14" t="str">
        <f t="shared" si="6"/>
        <v/>
      </c>
      <c r="G121" s="15" t="str">
        <f t="shared" si="7"/>
        <v/>
      </c>
      <c r="H121" s="16"/>
      <c r="I121" s="16" t="str">
        <f t="shared" si="8"/>
        <v/>
      </c>
      <c r="J121" s="15" t="str">
        <f t="shared" si="9"/>
        <v/>
      </c>
      <c r="K121" s="57"/>
      <c r="L121" s="58"/>
    </row>
    <row r="122" spans="1:12" ht="15.6">
      <c r="A122" s="24" t="str">
        <v>Waipahu</v>
      </c>
      <c r="B122" s="25" t="str">
        <v>HI</v>
      </c>
      <c r="C122" s="25" t="str">
        <f>Sites[[#This Row],[SOL'#]]</f>
        <v>SOL-10068</v>
      </c>
      <c r="D122" s="20"/>
      <c r="E122" s="10"/>
      <c r="F122" s="10" t="str">
        <f t="shared" si="6"/>
        <v/>
      </c>
      <c r="G122" s="11" t="str">
        <f t="shared" si="7"/>
        <v/>
      </c>
      <c r="H122" s="12"/>
      <c r="I122" s="12" t="str">
        <f t="shared" si="8"/>
        <v/>
      </c>
      <c r="J122" s="13" t="str">
        <f t="shared" si="9"/>
        <v/>
      </c>
      <c r="K122" s="59"/>
      <c r="L122" s="59"/>
    </row>
    <row r="123" spans="1:12" ht="15.6">
      <c r="A123" s="26" t="str">
        <v>Bird in Hand</v>
      </c>
      <c r="B123" s="27" t="str">
        <v>MD</v>
      </c>
      <c r="C123" s="27" t="str">
        <f>Sites[[#This Row],[SOL'#]]</f>
        <v>SOL-10092</v>
      </c>
      <c r="D123" s="9"/>
      <c r="E123" s="14"/>
      <c r="F123" s="14" t="str">
        <f t="shared" si="6"/>
        <v/>
      </c>
      <c r="G123" s="15" t="str">
        <f t="shared" si="7"/>
        <v/>
      </c>
      <c r="H123" s="16"/>
      <c r="I123" s="16" t="str">
        <f t="shared" si="8"/>
        <v/>
      </c>
      <c r="J123" s="15" t="str">
        <f t="shared" si="9"/>
        <v/>
      </c>
      <c r="K123" s="57"/>
      <c r="L123" s="57"/>
    </row>
    <row r="124" spans="1:12" ht="15.6">
      <c r="A124" s="24" t="str">
        <v>Shortal</v>
      </c>
      <c r="B124" s="25" t="str">
        <v>MD</v>
      </c>
      <c r="C124" s="25" t="str">
        <f>Sites[[#This Row],[SOL'#]]</f>
        <v>SOL-10091</v>
      </c>
      <c r="D124" s="20"/>
      <c r="E124" s="10"/>
      <c r="F124" s="10" t="str">
        <f t="shared" si="6"/>
        <v/>
      </c>
      <c r="G124" s="11" t="str">
        <f t="shared" si="7"/>
        <v/>
      </c>
      <c r="H124" s="12"/>
      <c r="I124" s="12" t="str">
        <f t="shared" si="8"/>
        <v/>
      </c>
      <c r="J124" s="13" t="str">
        <f t="shared" si="9"/>
        <v/>
      </c>
      <c r="K124" s="59"/>
      <c r="L124" s="59"/>
    </row>
    <row r="125" spans="1:12" ht="15.6">
      <c r="A125" s="26" t="str">
        <v>Aguadilla</v>
      </c>
      <c r="B125" s="27" t="str">
        <v>PR</v>
      </c>
      <c r="C125" s="27" t="str">
        <f>Sites[[#This Row],[SOL'#]]</f>
        <v>SOL-10072</v>
      </c>
      <c r="D125" s="9"/>
      <c r="E125" s="14"/>
      <c r="F125" s="14" t="str">
        <f t="shared" si="6"/>
        <v/>
      </c>
      <c r="G125" s="15" t="str">
        <f t="shared" si="7"/>
        <v/>
      </c>
      <c r="H125" s="16"/>
      <c r="I125" s="16" t="str">
        <f t="shared" si="8"/>
        <v/>
      </c>
      <c r="J125" s="15" t="str">
        <f t="shared" si="9"/>
        <v/>
      </c>
      <c r="K125" s="57"/>
      <c r="L125" s="57"/>
    </row>
    <row r="126" spans="1:12" ht="15.6">
      <c r="A126" s="24" t="str">
        <v>Bayamon</v>
      </c>
      <c r="B126" s="25" t="str">
        <v>PR</v>
      </c>
      <c r="C126" s="25" t="str">
        <f>Sites[[#This Row],[SOL'#]]</f>
        <v>SOL-10073</v>
      </c>
      <c r="D126" s="20"/>
      <c r="E126" s="10"/>
      <c r="F126" s="10" t="str">
        <f t="shared" si="6"/>
        <v/>
      </c>
      <c r="G126" s="11" t="str">
        <f t="shared" si="7"/>
        <v/>
      </c>
      <c r="H126" s="12"/>
      <c r="I126" s="12" t="str">
        <f t="shared" si="8"/>
        <v/>
      </c>
      <c r="J126" s="13" t="str">
        <f t="shared" si="9"/>
        <v/>
      </c>
      <c r="K126" s="59"/>
      <c r="L126" s="59"/>
    </row>
    <row r="127" spans="1:12" ht="15.6">
      <c r="A127" s="26" t="str">
        <v>St Francis</v>
      </c>
      <c r="B127" s="27" t="str">
        <v>PR</v>
      </c>
      <c r="C127" s="27" t="str">
        <f>Sites[[#This Row],[SOL'#]]</f>
        <v>SOL-10034</v>
      </c>
      <c r="D127" s="9"/>
      <c r="E127" s="14"/>
      <c r="F127" s="14" t="str">
        <f t="shared" si="6"/>
        <v/>
      </c>
      <c r="G127" s="15" t="str">
        <f t="shared" si="7"/>
        <v/>
      </c>
      <c r="H127" s="16"/>
      <c r="I127" s="16" t="str">
        <f t="shared" si="8"/>
        <v/>
      </c>
      <c r="J127" s="15" t="str">
        <f t="shared" si="9"/>
        <v/>
      </c>
      <c r="K127" s="57"/>
      <c r="L127" s="57"/>
    </row>
    <row r="128" spans="1:12" ht="15.6">
      <c r="A128" s="24" t="str">
        <v>Seaport</v>
      </c>
      <c r="B128" s="25" t="str">
        <v>MA</v>
      </c>
      <c r="C128" s="25" t="str">
        <f>Sites[[#This Row],[SOL'#]]</f>
        <v>SOL-10772</v>
      </c>
      <c r="D128" s="20"/>
      <c r="E128" s="10"/>
      <c r="F128" s="10" t="str">
        <f t="shared" si="6"/>
        <v/>
      </c>
      <c r="G128" s="11" t="str">
        <f t="shared" si="7"/>
        <v/>
      </c>
      <c r="H128" s="12"/>
      <c r="I128" s="12" t="str">
        <f t="shared" si="8"/>
        <v/>
      </c>
      <c r="J128" s="13" t="str">
        <f t="shared" si="9"/>
        <v/>
      </c>
      <c r="K128" s="59"/>
      <c r="L128" s="59"/>
    </row>
    <row r="129" spans="1:12" ht="15.6">
      <c r="A129" s="26" t="str">
        <v>Sprague St</v>
      </c>
      <c r="B129" s="27" t="str">
        <v>MA</v>
      </c>
      <c r="C129" s="27" t="str">
        <f>Sites[[#This Row],[SOL'#]]</f>
        <v>SOL-10773</v>
      </c>
      <c r="D129" s="9"/>
      <c r="E129" s="14"/>
      <c r="F129" s="14" t="str">
        <f t="shared" si="6"/>
        <v/>
      </c>
      <c r="G129" s="15" t="str">
        <f t="shared" si="7"/>
        <v/>
      </c>
      <c r="H129" s="16"/>
      <c r="I129" s="16" t="str">
        <f t="shared" si="8"/>
        <v/>
      </c>
      <c r="J129" s="15" t="str">
        <f t="shared" si="9"/>
        <v/>
      </c>
      <c r="K129" s="57"/>
      <c r="L129" s="58"/>
    </row>
    <row r="130" spans="1:12" ht="72" customHeight="1">
      <c r="A130" s="24" t="str">
        <v>Summer St</v>
      </c>
      <c r="B130" s="25" t="str">
        <v>MA</v>
      </c>
      <c r="C130" s="25" t="str">
        <f>Sites[[#This Row],[SOL'#]]</f>
        <v>SOL-10764</v>
      </c>
      <c r="D130" s="20"/>
      <c r="E130" s="10"/>
      <c r="F130" s="10" t="str">
        <f t="shared" si="6"/>
        <v/>
      </c>
      <c r="G130" s="11" t="str">
        <f t="shared" si="7"/>
        <v/>
      </c>
      <c r="H130" s="12"/>
      <c r="I130" s="12" t="str">
        <f t="shared" si="8"/>
        <v/>
      </c>
      <c r="J130" s="13" t="str">
        <f t="shared" si="9"/>
        <v/>
      </c>
      <c r="K130" s="59"/>
      <c r="L130" s="59"/>
    </row>
    <row r="131" spans="1:12" ht="15.6">
      <c r="A131" s="26" t="str">
        <v>Brock St Vocational</v>
      </c>
      <c r="B131" s="27" t="str">
        <v>NH</v>
      </c>
      <c r="C131" s="27" t="str">
        <f>Sites[[#This Row],[SOL'#]]</f>
        <v>SOL-10768</v>
      </c>
      <c r="D131" s="9"/>
      <c r="E131" s="14"/>
      <c r="F131" s="14" t="str">
        <f t="shared" si="6"/>
        <v/>
      </c>
      <c r="G131" s="15" t="str">
        <f t="shared" si="7"/>
        <v/>
      </c>
      <c r="H131" s="16"/>
      <c r="I131" s="16" t="str">
        <f t="shared" si="8"/>
        <v/>
      </c>
      <c r="J131" s="15" t="str">
        <f t="shared" si="9"/>
        <v/>
      </c>
      <c r="K131" s="57"/>
      <c r="L131" s="58"/>
    </row>
    <row r="132" spans="1:12" ht="15.6">
      <c r="A132" s="24" t="str">
        <v>McClelland ES</v>
      </c>
      <c r="B132" s="25" t="str">
        <v>NH</v>
      </c>
      <c r="C132" s="25" t="str">
        <f>Sites[[#This Row],[SOL'#]]</f>
        <v>SOL-10766</v>
      </c>
      <c r="D132" s="20"/>
      <c r="E132" s="10"/>
      <c r="F132" s="10" t="str">
        <f t="shared" si="6"/>
        <v/>
      </c>
      <c r="G132" s="11" t="str">
        <f t="shared" si="7"/>
        <v/>
      </c>
      <c r="H132" s="12"/>
      <c r="I132" s="12" t="str">
        <f t="shared" si="8"/>
        <v/>
      </c>
      <c r="J132" s="13" t="str">
        <f t="shared" si="9"/>
        <v/>
      </c>
      <c r="K132" s="59"/>
      <c r="L132" s="59"/>
    </row>
    <row r="133" spans="1:12" ht="15.6">
      <c r="A133" s="26" t="str">
        <v>Portland St</v>
      </c>
      <c r="B133" s="27" t="str">
        <v>NH</v>
      </c>
      <c r="C133" s="27" t="str">
        <f>Sites[[#This Row],[SOL'#]]</f>
        <v>SOL-10771</v>
      </c>
      <c r="D133" s="9"/>
      <c r="E133" s="14"/>
      <c r="F133" s="14" t="str">
        <f t="shared" ref="F133:F160" si="10">IF(AND(ISNUMBER(D133),ISNUMBER(E133)), D133-E133, "")</f>
        <v/>
      </c>
      <c r="G133" s="15" t="str">
        <f t="shared" si="7"/>
        <v/>
      </c>
      <c r="H133" s="16"/>
      <c r="I133" s="16" t="str">
        <f t="shared" si="8"/>
        <v/>
      </c>
      <c r="J133" s="15" t="str">
        <f t="shared" si="9"/>
        <v/>
      </c>
      <c r="K133" s="57"/>
      <c r="L133" s="58"/>
    </row>
    <row r="134" spans="1:12" ht="15.6">
      <c r="A134" s="24" t="str">
        <v>Portsmouth HS</v>
      </c>
      <c r="B134" s="25" t="str">
        <v>NH</v>
      </c>
      <c r="C134" s="25" t="str">
        <f>Sites[[#This Row],[SOL'#]]</f>
        <v>SOL-10769</v>
      </c>
      <c r="D134" s="20"/>
      <c r="E134" s="10"/>
      <c r="F134" s="10" t="str">
        <f t="shared" si="10"/>
        <v/>
      </c>
      <c r="G134" s="11" t="str">
        <f t="shared" ref="G134:G160" si="11">IFERROR(F134/E134, "")</f>
        <v/>
      </c>
      <c r="H134" s="12"/>
      <c r="I134" s="12" t="str">
        <f t="shared" si="8"/>
        <v/>
      </c>
      <c r="J134" s="13" t="str">
        <f t="shared" si="9"/>
        <v/>
      </c>
      <c r="K134" s="59"/>
      <c r="L134" s="59"/>
    </row>
    <row r="135" spans="1:12" ht="15.6">
      <c r="A135" s="26" t="str">
        <v>Portsmouth WTP</v>
      </c>
      <c r="B135" s="27" t="str">
        <v>NH</v>
      </c>
      <c r="C135" s="27" t="str">
        <f>Sites[[#This Row],[SOL'#]]</f>
        <v>SOL-10770</v>
      </c>
      <c r="D135" s="9"/>
      <c r="E135" s="14"/>
      <c r="F135" s="14" t="str">
        <f t="shared" si="10"/>
        <v/>
      </c>
      <c r="G135" s="15" t="str">
        <f t="shared" si="11"/>
        <v/>
      </c>
      <c r="H135" s="16"/>
      <c r="I135" s="16" t="str">
        <f t="shared" si="8"/>
        <v/>
      </c>
      <c r="J135" s="15" t="str">
        <f t="shared" si="9"/>
        <v/>
      </c>
      <c r="K135" s="57"/>
      <c r="L135" s="57"/>
    </row>
    <row r="136" spans="1:12" ht="15.6">
      <c r="A136" s="24" t="str">
        <v>Rochester St</v>
      </c>
      <c r="B136" s="25" t="str">
        <v>NH</v>
      </c>
      <c r="C136" s="25" t="str">
        <f>Sites[[#This Row],[SOL'#]]</f>
        <v>SOL-10765</v>
      </c>
      <c r="D136" s="20"/>
      <c r="E136" s="10"/>
      <c r="F136" s="10" t="str">
        <f t="shared" si="10"/>
        <v/>
      </c>
      <c r="G136" s="11" t="str">
        <f t="shared" si="11"/>
        <v/>
      </c>
      <c r="H136" s="12"/>
      <c r="I136" s="12" t="str">
        <f t="shared" si="8"/>
        <v/>
      </c>
      <c r="J136" s="13" t="str">
        <f t="shared" si="9"/>
        <v/>
      </c>
      <c r="K136" s="59"/>
      <c r="L136" s="59"/>
    </row>
    <row r="137" spans="1:12" ht="15.6">
      <c r="A137" s="26" t="str">
        <v>Spaulding HS</v>
      </c>
      <c r="B137" s="27" t="str">
        <v>NH</v>
      </c>
      <c r="C137" s="27" t="str">
        <f>Sites[[#This Row],[SOL'#]]</f>
        <v>SOL-10767</v>
      </c>
      <c r="D137" s="9"/>
      <c r="E137" s="14"/>
      <c r="F137" s="14" t="str">
        <f t="shared" si="10"/>
        <v/>
      </c>
      <c r="G137" s="15" t="str">
        <f t="shared" si="11"/>
        <v/>
      </c>
      <c r="H137" s="16"/>
      <c r="I137" s="16" t="str">
        <f t="shared" si="8"/>
        <v/>
      </c>
      <c r="J137" s="15" t="str">
        <f t="shared" si="9"/>
        <v/>
      </c>
      <c r="K137" s="57"/>
      <c r="L137" s="5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59"/>
      <c r="L138" s="59"/>
    </row>
    <row r="139" spans="1:12" ht="15.6">
      <c r="A139" s="26" t="str">
        <v>Spencer</v>
      </c>
      <c r="B139" s="27" t="str">
        <v>NY</v>
      </c>
      <c r="C139" s="27" t="str">
        <f>Sites[[#This Row],[SOL'#]]</f>
        <v>SOL-11017</v>
      </c>
      <c r="D139" s="75"/>
      <c r="E139" s="14"/>
      <c r="F139" s="14" t="str">
        <f t="shared" si="10"/>
        <v/>
      </c>
      <c r="G139" s="77" t="str">
        <f t="shared" si="11"/>
        <v/>
      </c>
      <c r="H139" s="78"/>
      <c r="I139" s="78" t="str">
        <f t="shared" si="8"/>
        <v/>
      </c>
      <c r="J139" s="77" t="str">
        <f t="shared" si="9"/>
        <v/>
      </c>
      <c r="K139" s="57"/>
      <c r="L139" s="84"/>
    </row>
    <row r="140" spans="1:12" ht="15.6">
      <c r="A140" s="28" t="str">
        <v>Reisender</v>
      </c>
      <c r="B140" s="25" t="str">
        <v>NY</v>
      </c>
      <c r="C140" s="25" t="str">
        <f>Sites[[#This Row],[SOL'#]]</f>
        <v>SOL-10886</v>
      </c>
      <c r="D140" s="60"/>
      <c r="E140" s="10"/>
      <c r="F140" s="10" t="str">
        <f t="shared" si="10"/>
        <v/>
      </c>
      <c r="G140" s="61" t="str">
        <f t="shared" si="11"/>
        <v/>
      </c>
      <c r="H140" s="76"/>
      <c r="I140" s="76" t="str">
        <f t="shared" si="8"/>
        <v/>
      </c>
      <c r="J140" s="73" t="str">
        <f t="shared" si="9"/>
        <v/>
      </c>
      <c r="K140" s="82"/>
      <c r="L140" s="59"/>
    </row>
    <row r="141" spans="1:12" ht="15.6">
      <c r="A141" s="26" t="str">
        <v>Finney</v>
      </c>
      <c r="B141" s="27" t="str">
        <v>NY</v>
      </c>
      <c r="C141" s="27" t="str">
        <f>Sites[[#This Row],[SOL'#]]</f>
        <v>SOL-10999</v>
      </c>
      <c r="D141" s="75"/>
      <c r="E141" s="14"/>
      <c r="F141" s="14" t="str">
        <f t="shared" si="10"/>
        <v/>
      </c>
      <c r="G141" s="77" t="str">
        <f t="shared" si="11"/>
        <v/>
      </c>
      <c r="H141" s="78"/>
      <c r="I141" s="78" t="str">
        <f t="shared" si="8"/>
        <v/>
      </c>
      <c r="J141" s="77" t="str">
        <f t="shared" si="9"/>
        <v/>
      </c>
      <c r="K141" s="57"/>
      <c r="L141" s="84"/>
    </row>
    <row r="142" spans="1:12" ht="99.75" customHeight="1">
      <c r="A142" s="24" t="str">
        <v>Davis Solar</v>
      </c>
      <c r="B142" s="25" t="str">
        <v>NY</v>
      </c>
      <c r="C142" s="25" t="str">
        <f>Sites[[#This Row],[SOL'#]]</f>
        <v>SOL-10958</v>
      </c>
      <c r="D142" s="60"/>
      <c r="E142" s="10"/>
      <c r="F142" s="10" t="str">
        <f t="shared" si="10"/>
        <v/>
      </c>
      <c r="G142" s="61" t="str">
        <f t="shared" si="11"/>
        <v/>
      </c>
      <c r="H142" s="76"/>
      <c r="I142" s="76" t="str">
        <f t="shared" si="8"/>
        <v/>
      </c>
      <c r="J142" s="73" t="str">
        <f t="shared" si="9"/>
        <v/>
      </c>
      <c r="K142" s="82"/>
      <c r="L142" s="59"/>
    </row>
    <row r="143" spans="1:12" ht="15.6">
      <c r="A143" s="26" t="str">
        <v>Genesee</v>
      </c>
      <c r="B143" s="27" t="str">
        <v>NY</v>
      </c>
      <c r="C143" s="27" t="str">
        <f>Sites[[#This Row],[SOL'#]]</f>
        <v>SOL-10951</v>
      </c>
      <c r="D143" s="75"/>
      <c r="E143" s="14"/>
      <c r="F143" s="14" t="str">
        <f t="shared" si="10"/>
        <v/>
      </c>
      <c r="G143" s="77" t="str">
        <f t="shared" si="11"/>
        <v/>
      </c>
      <c r="H143" s="78"/>
      <c r="I143" s="78" t="str">
        <f t="shared" si="8"/>
        <v/>
      </c>
      <c r="J143" s="77" t="str">
        <f t="shared" si="9"/>
        <v/>
      </c>
      <c r="K143" s="57"/>
      <c r="L143" s="84"/>
    </row>
    <row r="144" spans="1:12" ht="15.6">
      <c r="A144" s="24" t="str">
        <v>Landau I</v>
      </c>
      <c r="B144" s="25" t="str">
        <v>NY</v>
      </c>
      <c r="C144" s="25" t="str">
        <f>Sites[[#This Row],[SOL'#]]</f>
        <v>SOL-10891</v>
      </c>
      <c r="D144" s="60"/>
      <c r="E144" s="10"/>
      <c r="F144" s="10" t="str">
        <f t="shared" si="10"/>
        <v/>
      </c>
      <c r="G144" s="61" t="str">
        <f t="shared" si="11"/>
        <v/>
      </c>
      <c r="H144" s="76"/>
      <c r="I144" s="76" t="str">
        <f t="shared" si="8"/>
        <v/>
      </c>
      <c r="J144" s="73" t="str">
        <f t="shared" si="9"/>
        <v/>
      </c>
      <c r="K144" s="82"/>
      <c r="L144" s="59"/>
    </row>
    <row r="145" spans="1:12" ht="15.6">
      <c r="A145" s="26" t="str">
        <v>Landau II</v>
      </c>
      <c r="B145" s="27" t="str">
        <v>NY</v>
      </c>
      <c r="C145" s="27" t="str">
        <f>Sites[[#This Row],[SOL'#]]</f>
        <v>SOL-10895</v>
      </c>
      <c r="D145" s="75"/>
      <c r="E145" s="14"/>
      <c r="F145" s="14" t="str">
        <f t="shared" si="10"/>
        <v/>
      </c>
      <c r="G145" s="77" t="str">
        <f t="shared" si="11"/>
        <v/>
      </c>
      <c r="H145" s="78"/>
      <c r="I145" s="78" t="str">
        <f t="shared" si="8"/>
        <v/>
      </c>
      <c r="J145" s="77" t="str">
        <f t="shared" si="9"/>
        <v/>
      </c>
      <c r="K145" s="57"/>
      <c r="L145" s="84"/>
    </row>
    <row r="146" spans="1:12" ht="39.75" customHeight="1">
      <c r="A146" s="24" t="str">
        <v>New Beginnings</v>
      </c>
      <c r="B146" s="25" t="str">
        <v>NY</v>
      </c>
      <c r="C146" s="25" t="str">
        <f>Sites[[#This Row],[SOL'#]]</f>
        <v>SOL-10890</v>
      </c>
      <c r="D146" s="60"/>
      <c r="E146" s="10"/>
      <c r="F146" s="10" t="str">
        <f t="shared" si="10"/>
        <v/>
      </c>
      <c r="G146" s="61" t="str">
        <f t="shared" si="11"/>
        <v/>
      </c>
      <c r="H146" s="76"/>
      <c r="I146" s="76" t="str">
        <f t="shared" ref="I146:I160" si="12">IF(AND(ISNUMBER(D146),ISNUMBER(H146)), D146-H146, "")</f>
        <v/>
      </c>
      <c r="J146" s="73" t="str">
        <f t="shared" ref="J146:J160" si="13">IFERROR(I146/H146, "")</f>
        <v/>
      </c>
      <c r="K146" s="82"/>
      <c r="L146" s="59"/>
    </row>
    <row r="147" spans="1:12" ht="15.6">
      <c r="A147" s="26" t="str">
        <v>Guilin Farm Solar</v>
      </c>
      <c r="B147" s="27" t="str">
        <v>NY</v>
      </c>
      <c r="C147" s="27" t="str">
        <f>Sites[[#This Row],[SOL'#]]</f>
        <v>SOL-10998</v>
      </c>
      <c r="D147" s="75"/>
      <c r="E147" s="14"/>
      <c r="F147" s="14" t="str">
        <f t="shared" si="10"/>
        <v/>
      </c>
      <c r="G147" s="77" t="str">
        <f t="shared" si="11"/>
        <v/>
      </c>
      <c r="H147" s="78"/>
      <c r="I147" s="78" t="str">
        <f t="shared" si="12"/>
        <v/>
      </c>
      <c r="J147" s="77" t="str">
        <f t="shared" si="13"/>
        <v/>
      </c>
      <c r="K147" s="57"/>
      <c r="L147" s="84"/>
    </row>
    <row r="148" spans="1:12" ht="15.6">
      <c r="A148" s="24" t="str">
        <v>Brodhead Solar</v>
      </c>
      <c r="B148" s="25" t="str">
        <v>NY</v>
      </c>
      <c r="C148" s="25" t="str">
        <f>Sites[[#This Row],[SOL'#]]</f>
        <v>SOL-10899</v>
      </c>
      <c r="D148" s="60"/>
      <c r="E148" s="10"/>
      <c r="F148" s="10" t="str">
        <f t="shared" si="10"/>
        <v/>
      </c>
      <c r="G148" s="61" t="str">
        <f t="shared" si="11"/>
        <v/>
      </c>
      <c r="H148" s="76"/>
      <c r="I148" s="76" t="str">
        <f t="shared" si="12"/>
        <v/>
      </c>
      <c r="J148" s="73" t="str">
        <f t="shared" si="13"/>
        <v/>
      </c>
      <c r="K148" s="82"/>
      <c r="L148" s="59"/>
    </row>
    <row r="149" spans="1:12" ht="15.6">
      <c r="A149" s="26" t="str">
        <v>Svenski</v>
      </c>
      <c r="B149" s="27" t="str">
        <v>NY</v>
      </c>
      <c r="C149" s="27" t="str">
        <f>Sites[[#This Row],[SOL'#]]</f>
        <v>SOL-10894</v>
      </c>
      <c r="D149" s="75"/>
      <c r="E149" s="14"/>
      <c r="F149" s="14" t="str">
        <f t="shared" si="10"/>
        <v/>
      </c>
      <c r="G149" s="77" t="str">
        <f t="shared" si="11"/>
        <v/>
      </c>
      <c r="H149" s="78"/>
      <c r="I149" s="78" t="str">
        <f t="shared" si="12"/>
        <v/>
      </c>
      <c r="J149" s="77" t="str">
        <f t="shared" si="13"/>
        <v/>
      </c>
      <c r="K149" s="57"/>
      <c r="L149" s="84"/>
    </row>
    <row r="150" spans="1:12" ht="15.6">
      <c r="A150" s="24" t="str">
        <v>Bantam</v>
      </c>
      <c r="B150" s="25" t="str">
        <v>NY</v>
      </c>
      <c r="C150" s="25" t="str">
        <f>Sites[[#This Row],[SOL'#]]</f>
        <v>SOL-10986</v>
      </c>
      <c r="D150" s="60"/>
      <c r="E150" s="10"/>
      <c r="F150" s="10" t="str">
        <f t="shared" si="10"/>
        <v/>
      </c>
      <c r="G150" s="61" t="str">
        <f t="shared" si="11"/>
        <v/>
      </c>
      <c r="H150" s="76"/>
      <c r="I150" s="76" t="str">
        <f t="shared" si="12"/>
        <v/>
      </c>
      <c r="J150" s="73" t="str">
        <f t="shared" si="13"/>
        <v/>
      </c>
      <c r="K150" s="82"/>
      <c r="L150" s="59"/>
    </row>
    <row r="151" spans="1:12" ht="15.6">
      <c r="A151" s="26" t="str">
        <v>Bogart</v>
      </c>
      <c r="B151" s="27" t="str">
        <v>NY</v>
      </c>
      <c r="C151" s="27" t="str">
        <f>Sites[[#This Row],[SOL'#]]</f>
        <v>SOL-10887</v>
      </c>
      <c r="D151" s="75"/>
      <c r="E151" s="14"/>
      <c r="F151" s="14" t="str">
        <f t="shared" si="10"/>
        <v/>
      </c>
      <c r="G151" s="77" t="str">
        <f t="shared" si="11"/>
        <v/>
      </c>
      <c r="H151" s="78"/>
      <c r="I151" s="78" t="str">
        <f t="shared" si="12"/>
        <v/>
      </c>
      <c r="J151" s="77" t="str">
        <f t="shared" si="13"/>
        <v/>
      </c>
      <c r="K151" s="57"/>
      <c r="L151" s="84"/>
    </row>
    <row r="152" spans="1:12" ht="15.6">
      <c r="A152" s="24" t="str">
        <v>Dubois</v>
      </c>
      <c r="B152" s="25" t="str">
        <v>NY</v>
      </c>
      <c r="C152" s="25" t="str">
        <f>Sites[[#This Row],[SOL'#]]</f>
        <v>SOL-10892</v>
      </c>
      <c r="D152" s="60"/>
      <c r="E152" s="10"/>
      <c r="F152" s="10" t="str">
        <f t="shared" si="10"/>
        <v/>
      </c>
      <c r="G152" s="61" t="str">
        <f t="shared" si="11"/>
        <v/>
      </c>
      <c r="H152" s="76"/>
      <c r="I152" s="76" t="str">
        <f t="shared" si="12"/>
        <v/>
      </c>
      <c r="J152" s="73" t="str">
        <f t="shared" si="13"/>
        <v/>
      </c>
      <c r="K152" s="82"/>
      <c r="L152" s="59"/>
    </row>
    <row r="153" spans="1:12" ht="15.6">
      <c r="A153" s="26" t="str">
        <v>Salt Point</v>
      </c>
      <c r="B153" s="27" t="str">
        <v>NY</v>
      </c>
      <c r="C153" s="27" t="str">
        <f>Sites[[#This Row],[SOL'#]]</f>
        <v>SOL-10888</v>
      </c>
      <c r="D153" s="75"/>
      <c r="E153" s="14"/>
      <c r="F153" s="14" t="str">
        <f t="shared" si="10"/>
        <v/>
      </c>
      <c r="G153" s="77" t="str">
        <f t="shared" si="11"/>
        <v/>
      </c>
      <c r="H153" s="78"/>
      <c r="I153" s="78" t="str">
        <f t="shared" si="12"/>
        <v/>
      </c>
      <c r="J153" s="77" t="str">
        <f t="shared" si="13"/>
        <v/>
      </c>
      <c r="K153" s="126"/>
      <c r="L153" s="86"/>
    </row>
    <row r="154" spans="1:12" ht="15.6">
      <c r="A154" s="24" t="str">
        <v>Wheatland 2A</v>
      </c>
      <c r="B154" s="25" t="str">
        <v>NY</v>
      </c>
      <c r="C154" s="25" t="str">
        <f>Sites[[#This Row],[SOL'#]]</f>
        <v>SOL-10971</v>
      </c>
      <c r="D154" s="60"/>
      <c r="E154" s="10"/>
      <c r="F154" s="10" t="str">
        <f t="shared" si="10"/>
        <v/>
      </c>
      <c r="G154" s="61" t="str">
        <f t="shared" si="11"/>
        <v/>
      </c>
      <c r="H154" s="76"/>
      <c r="I154" s="76" t="str">
        <f t="shared" si="12"/>
        <v/>
      </c>
      <c r="J154" s="73" t="str">
        <f t="shared" si="13"/>
        <v/>
      </c>
      <c r="K154" s="82"/>
      <c r="L154" s="59"/>
    </row>
    <row r="155" spans="1:12" ht="15.6">
      <c r="A155" s="26" t="str">
        <v>Wheatland 2B</v>
      </c>
      <c r="B155" s="27" t="str">
        <v>NY</v>
      </c>
      <c r="C155" s="27" t="str">
        <f>Sites[[#This Row],[SOL'#]]</f>
        <v>SOL-10961</v>
      </c>
      <c r="D155" s="75"/>
      <c r="E155" s="14"/>
      <c r="F155" s="14" t="str">
        <f t="shared" si="10"/>
        <v/>
      </c>
      <c r="G155" s="77" t="str">
        <f t="shared" si="11"/>
        <v/>
      </c>
      <c r="H155" s="78"/>
      <c r="I155" s="78" t="str">
        <f t="shared" si="12"/>
        <v/>
      </c>
      <c r="J155" s="77" t="str">
        <f t="shared" si="13"/>
        <v/>
      </c>
      <c r="K155" s="57"/>
      <c r="L155" s="86"/>
    </row>
    <row r="156" spans="1:12" ht="15.6">
      <c r="A156" s="24" t="str">
        <v>Brickchurch</v>
      </c>
      <c r="B156" s="25" t="str">
        <v>NY</v>
      </c>
      <c r="C156" s="25" t="str">
        <f>Sites[[#This Row],[SOL'#]]</f>
        <v>SOL-10889</v>
      </c>
      <c r="D156" s="60"/>
      <c r="E156" s="10"/>
      <c r="F156" s="10" t="str">
        <f t="shared" si="10"/>
        <v/>
      </c>
      <c r="G156" s="61" t="str">
        <f t="shared" si="11"/>
        <v/>
      </c>
      <c r="H156" s="76"/>
      <c r="I156" s="76" t="str">
        <f t="shared" si="12"/>
        <v/>
      </c>
      <c r="J156" s="73" t="str">
        <f t="shared" si="13"/>
        <v/>
      </c>
      <c r="K156" s="82"/>
      <c r="L156" s="59"/>
    </row>
    <row r="157" spans="1:12" ht="15.6">
      <c r="A157" s="26" t="str">
        <v>McCarthy Solar</v>
      </c>
      <c r="B157" s="27" t="str">
        <v>NY</v>
      </c>
      <c r="C157" s="27" t="str">
        <f>Sites[[#This Row],[SOL'#]]</f>
        <v>SOL-10992</v>
      </c>
      <c r="D157" s="75"/>
      <c r="E157" s="14"/>
      <c r="F157" s="14" t="str">
        <f t="shared" si="10"/>
        <v/>
      </c>
      <c r="G157" s="77" t="str">
        <f t="shared" si="11"/>
        <v/>
      </c>
      <c r="H157" s="78"/>
      <c r="I157" s="78" t="str">
        <f t="shared" si="12"/>
        <v/>
      </c>
      <c r="J157" s="77" t="str">
        <f t="shared" si="13"/>
        <v/>
      </c>
      <c r="K157" s="57"/>
      <c r="L157" s="84"/>
    </row>
    <row r="158" spans="1:12" ht="15.6">
      <c r="A158" s="24" t="str">
        <v>Costanza</v>
      </c>
      <c r="B158" s="25" t="str">
        <v>NY</v>
      </c>
      <c r="C158" s="25" t="str">
        <f>Sites[[#This Row],[SOL'#]]</f>
        <v>SOL-10907</v>
      </c>
      <c r="D158" s="60"/>
      <c r="E158" s="10"/>
      <c r="F158" s="10" t="str">
        <f t="shared" si="10"/>
        <v/>
      </c>
      <c r="G158" s="61" t="str">
        <f t="shared" si="11"/>
        <v/>
      </c>
      <c r="H158" s="76"/>
      <c r="I158" s="76" t="str">
        <f t="shared" si="12"/>
        <v/>
      </c>
      <c r="J158" s="73" t="str">
        <f t="shared" si="13"/>
        <v/>
      </c>
      <c r="K158" s="82"/>
      <c r="L158" s="59"/>
    </row>
    <row r="159" spans="1:12" ht="15.6">
      <c r="A159" s="26" t="str">
        <v>Lockenhurst Pond</v>
      </c>
      <c r="B159" s="27" t="str">
        <v>NY</v>
      </c>
      <c r="C159" s="27" t="str">
        <f>Sites[[#This Row],[SOL'#]]</f>
        <v>SOL-11000</v>
      </c>
      <c r="D159" s="75"/>
      <c r="E159" s="14"/>
      <c r="F159" s="14" t="str">
        <f t="shared" si="10"/>
        <v/>
      </c>
      <c r="G159" s="77" t="str">
        <f t="shared" si="11"/>
        <v/>
      </c>
      <c r="H159" s="78"/>
      <c r="I159" s="78" t="str">
        <f t="shared" si="12"/>
        <v/>
      </c>
      <c r="J159" s="77" t="str">
        <f t="shared" si="13"/>
        <v/>
      </c>
      <c r="K159" s="57"/>
      <c r="L159" s="84"/>
    </row>
    <row r="160" spans="1:12" ht="15.6">
      <c r="A160" s="24" t="str">
        <v>Drinkwater</v>
      </c>
      <c r="B160" s="25" t="str">
        <v>NY</v>
      </c>
      <c r="C160" s="25" t="str">
        <f>Sites[[#This Row],[SOL'#]]</f>
        <v>SOL-10896</v>
      </c>
      <c r="D160" s="60"/>
      <c r="E160" s="10"/>
      <c r="F160" s="10" t="str">
        <f t="shared" si="10"/>
        <v/>
      </c>
      <c r="G160" s="61" t="str">
        <f t="shared" si="11"/>
        <v/>
      </c>
      <c r="H160" s="76"/>
      <c r="I160" s="76" t="str">
        <f t="shared" si="12"/>
        <v/>
      </c>
      <c r="J160" s="73" t="str">
        <f t="shared" si="13"/>
        <v/>
      </c>
      <c r="K160" s="82"/>
      <c r="L160" s="59"/>
    </row>
    <row r="161" spans="1:12" ht="15.6">
      <c r="A161" s="26" t="str">
        <v>Altamont</v>
      </c>
      <c r="B161" s="27" t="str">
        <v>NY</v>
      </c>
      <c r="C161" s="27" t="s">
        <v>228</v>
      </c>
      <c r="D161" s="75"/>
      <c r="E161" s="14"/>
      <c r="F161" s="14"/>
      <c r="G161" s="77"/>
      <c r="H161" s="78"/>
      <c r="I161" s="78"/>
      <c r="J161" s="77"/>
      <c r="K161" s="57"/>
      <c r="L161" s="84"/>
    </row>
    <row r="162" spans="1:12" ht="15.6">
      <c r="A162" s="24" t="str">
        <v>Krumkill North</v>
      </c>
      <c r="B162" s="25" t="str">
        <v>NY</v>
      </c>
      <c r="C162" s="25" t="str">
        <f>Sites[[#This Row],[SOL'#]]</f>
        <v>SOL-11086</v>
      </c>
      <c r="D162" s="60"/>
      <c r="E162" s="10"/>
      <c r="F162" s="10" t="str">
        <f t="shared" ref="F162" si="14">IF(AND(ISNUMBER(D162),ISNUMBER(E162)), D162-E162, "")</f>
        <v/>
      </c>
      <c r="G162" s="61" t="str">
        <f t="shared" ref="G162" si="15">IFERROR(F162/E162, "")</f>
        <v/>
      </c>
      <c r="H162" s="76"/>
      <c r="I162" s="76" t="str">
        <f t="shared" ref="I162" si="16">IF(AND(ISNUMBER(D162),ISNUMBER(H162)), D162-H162, "")</f>
        <v/>
      </c>
      <c r="J162" s="73" t="str">
        <f t="shared" ref="J162" si="17">IFERROR(I162/H162, "")</f>
        <v/>
      </c>
      <c r="K162" s="82"/>
      <c r="L162" s="59"/>
    </row>
    <row r="163" spans="1:12" ht="15.6">
      <c r="A163" s="26" t="str">
        <v>Krumkill South</v>
      </c>
      <c r="B163" s="27" t="str">
        <v>NY</v>
      </c>
      <c r="C163" s="27" t="s">
        <v>469</v>
      </c>
      <c r="D163" s="75"/>
      <c r="E163" s="14"/>
      <c r="F163" s="14"/>
      <c r="G163" s="77"/>
      <c r="H163" s="78"/>
      <c r="I163" s="78"/>
      <c r="J163" s="77"/>
      <c r="K163" s="57"/>
      <c r="L163" s="84"/>
    </row>
    <row r="164" spans="1:12" ht="15.6">
      <c r="A164" s="24" t="str">
        <v>X092</v>
      </c>
      <c r="B164" s="25" t="str">
        <v>NY</v>
      </c>
      <c r="C164" s="25" t="str">
        <f>Sites[[#This Row],[SOL'#]]</f>
        <v>SOL-11189</v>
      </c>
      <c r="D164" s="60"/>
      <c r="E164" s="10"/>
      <c r="F164" s="10" t="str">
        <f t="shared" ref="F164" si="18">IF(AND(ISNUMBER(D164),ISNUMBER(E164)), D164-E164, "")</f>
        <v/>
      </c>
      <c r="G164" s="61" t="str">
        <f t="shared" ref="G164" si="19">IFERROR(F164/E164, "")</f>
        <v/>
      </c>
      <c r="H164" s="76"/>
      <c r="I164" s="76" t="str">
        <f t="shared" ref="I164" si="20">IF(AND(ISNUMBER(D164),ISNUMBER(H164)), D164-H164, "")</f>
        <v/>
      </c>
      <c r="J164" s="73" t="str">
        <f t="shared" ref="J164" si="21">IFERROR(I164/H164, "")</f>
        <v/>
      </c>
      <c r="K164" s="82"/>
      <c r="L164" s="59"/>
    </row>
    <row r="165" spans="1:12" ht="15.6">
      <c r="A165" s="26" t="str">
        <v>X093</v>
      </c>
      <c r="B165" s="27" t="str">
        <v>NY</v>
      </c>
      <c r="C165" s="27" t="s">
        <v>470</v>
      </c>
      <c r="D165" s="75"/>
      <c r="E165" s="14"/>
      <c r="F165" s="14"/>
      <c r="G165" s="77"/>
      <c r="H165" s="78"/>
      <c r="I165" s="78"/>
      <c r="J165" s="77"/>
      <c r="K165" s="57"/>
      <c r="L165" s="84"/>
    </row>
    <row r="166" spans="1:12" ht="15.6">
      <c r="A166" s="24" t="str">
        <v>X095</v>
      </c>
      <c r="B166" s="25" t="str">
        <v>NY</v>
      </c>
      <c r="C166" s="25" t="str">
        <f>Sites[[#This Row],[SOL'#]]</f>
        <v>SOL-10929</v>
      </c>
      <c r="D166" s="60"/>
      <c r="E166" s="10"/>
      <c r="F166" s="10" t="str">
        <f t="shared" ref="F166" si="22">IF(AND(ISNUMBER(D166),ISNUMBER(E166)), D166-E166, "")</f>
        <v/>
      </c>
      <c r="G166" s="61" t="str">
        <f t="shared" ref="G166" si="23">IFERROR(F166/E166, "")</f>
        <v/>
      </c>
      <c r="H166" s="76"/>
      <c r="I166" s="76" t="str">
        <f t="shared" ref="I166" si="24">IF(AND(ISNUMBER(D166),ISNUMBER(H166)), D166-H166, "")</f>
        <v/>
      </c>
      <c r="J166" s="73" t="str">
        <f t="shared" ref="J166" si="25">IFERROR(I166/H166, "")</f>
        <v/>
      </c>
      <c r="K166" s="82"/>
      <c r="L166" s="59"/>
    </row>
    <row r="167" spans="1:12" ht="15.6">
      <c r="A167" s="26" t="str">
        <v>X181</v>
      </c>
      <c r="B167" s="27" t="str">
        <v>NY</v>
      </c>
      <c r="C167" s="27" t="s">
        <v>471</v>
      </c>
      <c r="D167" s="75"/>
      <c r="E167" s="14"/>
      <c r="F167" s="14"/>
      <c r="G167" s="77"/>
      <c r="H167" s="78"/>
      <c r="I167" s="78"/>
      <c r="J167" s="77"/>
      <c r="K167" s="57"/>
      <c r="L167" s="84"/>
    </row>
    <row r="168" spans="1:12" ht="15.6">
      <c r="A168" s="24" t="str">
        <v>X415</v>
      </c>
      <c r="B168" s="25" t="str">
        <v>NY</v>
      </c>
      <c r="C168" s="25" t="str">
        <f>Sites[[#This Row],[SOL'#]]</f>
        <v>SOL-10429</v>
      </c>
      <c r="D168" s="60"/>
      <c r="E168" s="10"/>
      <c r="F168" s="10" t="str">
        <f t="shared" ref="F168" si="26">IF(AND(ISNUMBER(D168),ISNUMBER(E168)), D168-E168, "")</f>
        <v/>
      </c>
      <c r="G168" s="61" t="str">
        <f t="shared" ref="G168" si="27">IFERROR(F168/E168, "")</f>
        <v/>
      </c>
      <c r="H168" s="76"/>
      <c r="I168" s="76" t="str">
        <f t="shared" ref="I168" si="28">IF(AND(ISNUMBER(D168),ISNUMBER(H168)), D168-H168, "")</f>
        <v/>
      </c>
      <c r="J168" s="73" t="str">
        <f t="shared" ref="J168" si="29">IFERROR(I168/H168, "")</f>
        <v/>
      </c>
      <c r="K168" s="82"/>
      <c r="L168" s="59"/>
    </row>
    <row r="169" spans="1:12" ht="15.6">
      <c r="A169" s="26" t="str">
        <v>K198</v>
      </c>
      <c r="B169" s="27" t="str">
        <v>NY</v>
      </c>
      <c r="C169" s="27" t="s">
        <v>472</v>
      </c>
      <c r="D169" s="75"/>
      <c r="E169" s="14"/>
      <c r="F169" s="14"/>
      <c r="G169" s="77"/>
      <c r="H169" s="78"/>
      <c r="I169" s="78"/>
      <c r="J169" s="77"/>
      <c r="K169" s="57"/>
      <c r="L169" s="84"/>
    </row>
    <row r="170" spans="1:12" ht="15.6">
      <c r="A170" s="24" t="str">
        <v>K203</v>
      </c>
      <c r="B170" s="25" t="str">
        <v>NY</v>
      </c>
      <c r="C170" s="25" t="str">
        <f>Sites[[#This Row],[SOL'#]]</f>
        <v>SOL-11190</v>
      </c>
      <c r="D170" s="60"/>
      <c r="E170" s="10"/>
      <c r="F170" s="10" t="str">
        <f t="shared" ref="F170" si="30">IF(AND(ISNUMBER(D170),ISNUMBER(E170)), D170-E170, "")</f>
        <v/>
      </c>
      <c r="G170" s="61" t="str">
        <f t="shared" ref="G170" si="31">IFERROR(F170/E170, "")</f>
        <v/>
      </c>
      <c r="H170" s="76"/>
      <c r="I170" s="76" t="str">
        <f t="shared" ref="I170" si="32">IF(AND(ISNUMBER(D170),ISNUMBER(H170)), D170-H170, "")</f>
        <v/>
      </c>
      <c r="J170" s="73" t="str">
        <f t="shared" ref="J170" si="33">IFERROR(I170/H170, "")</f>
        <v/>
      </c>
      <c r="K170" s="82"/>
      <c r="L170" s="59"/>
    </row>
    <row r="171" spans="1:12" ht="15.6">
      <c r="A171" s="26" t="str">
        <v>K213</v>
      </c>
      <c r="B171" s="27" t="str">
        <v>NY</v>
      </c>
      <c r="C171" s="27" t="s">
        <v>473</v>
      </c>
      <c r="D171" s="75"/>
      <c r="E171" s="14"/>
      <c r="F171" s="14"/>
      <c r="G171" s="77"/>
      <c r="H171" s="78"/>
      <c r="I171" s="78"/>
      <c r="J171" s="77"/>
      <c r="K171" s="57"/>
      <c r="L171" s="84"/>
    </row>
    <row r="172" spans="1:12" ht="15.6">
      <c r="A172" s="24" t="str">
        <v>K217</v>
      </c>
      <c r="B172" s="25" t="str">
        <v>NY</v>
      </c>
      <c r="C172" s="25" t="str">
        <f>Sites[[#This Row],[SOL'#]]</f>
        <v>SOL-10933</v>
      </c>
      <c r="D172" s="60"/>
      <c r="E172" s="10"/>
      <c r="F172" s="10" t="str">
        <f t="shared" ref="F172" si="34">IF(AND(ISNUMBER(D172),ISNUMBER(E172)), D172-E172, "")</f>
        <v/>
      </c>
      <c r="G172" s="61" t="str">
        <f t="shared" ref="G172" si="35">IFERROR(F172/E172, "")</f>
        <v/>
      </c>
      <c r="H172" s="76"/>
      <c r="I172" s="76" t="str">
        <f t="shared" ref="I172" si="36">IF(AND(ISNUMBER(D172),ISNUMBER(H172)), D172-H172, "")</f>
        <v/>
      </c>
      <c r="J172" s="73" t="str">
        <f t="shared" ref="J172" si="37">IFERROR(I172/H172, "")</f>
        <v/>
      </c>
      <c r="K172" s="82"/>
      <c r="L172" s="59"/>
    </row>
    <row r="173" spans="1:12" ht="15.6">
      <c r="A173" s="26" t="str">
        <v>K307</v>
      </c>
      <c r="B173" s="27" t="str">
        <v>NY</v>
      </c>
      <c r="C173" s="27" t="s">
        <v>474</v>
      </c>
      <c r="D173" s="75"/>
      <c r="E173" s="14"/>
      <c r="F173" s="14"/>
      <c r="G173" s="77"/>
      <c r="H173" s="78"/>
      <c r="I173" s="78"/>
      <c r="J173" s="77"/>
      <c r="K173" s="57"/>
      <c r="L173" s="84"/>
    </row>
    <row r="174" spans="1:12" ht="15.6">
      <c r="A174" s="24" t="str">
        <v>K610</v>
      </c>
      <c r="B174" s="25" t="str">
        <v>NY</v>
      </c>
      <c r="C174" s="25" t="str">
        <f>Sites[[#This Row],[SOL'#]]</f>
        <v>SOL-11158</v>
      </c>
      <c r="D174" s="60"/>
      <c r="E174" s="10"/>
      <c r="F174" s="10" t="str">
        <f t="shared" ref="F174" si="38">IF(AND(ISNUMBER(D174),ISNUMBER(E174)), D174-E174, "")</f>
        <v/>
      </c>
      <c r="G174" s="61" t="str">
        <f t="shared" ref="G174" si="39">IFERROR(F174/E174, "")</f>
        <v/>
      </c>
      <c r="H174" s="76"/>
      <c r="I174" s="76" t="str">
        <f t="shared" ref="I174" si="40">IF(AND(ISNUMBER(D174),ISNUMBER(H174)), D174-H174, "")</f>
        <v/>
      </c>
      <c r="J174" s="73" t="str">
        <f t="shared" ref="J174" si="41">IFERROR(I174/H174, "")</f>
        <v/>
      </c>
      <c r="K174" s="82"/>
      <c r="L174" s="59"/>
    </row>
    <row r="175" spans="1:12" ht="15.6">
      <c r="A175" s="26" t="str">
        <v>M025</v>
      </c>
      <c r="B175" s="27" t="str">
        <v>NY</v>
      </c>
      <c r="C175" s="27" t="s">
        <v>475</v>
      </c>
      <c r="D175" s="75"/>
      <c r="E175" s="14"/>
      <c r="F175" s="14"/>
      <c r="G175" s="77"/>
      <c r="H175" s="78"/>
      <c r="I175" s="78"/>
      <c r="J175" s="77"/>
      <c r="K175" s="57"/>
      <c r="L175" s="84"/>
    </row>
    <row r="176" spans="1:12" ht="15.6">
      <c r="A176" s="24" t="str">
        <v>M028</v>
      </c>
      <c r="B176" s="25" t="str">
        <v>NY</v>
      </c>
      <c r="C176" s="25" t="str">
        <f>Sites[[#This Row],[SOL'#]]</f>
        <v>SOL-10381</v>
      </c>
      <c r="D176" s="60"/>
      <c r="E176" s="10"/>
      <c r="F176" s="10" t="str">
        <f t="shared" ref="F176" si="42">IF(AND(ISNUMBER(D176),ISNUMBER(E176)), D176-E176, "")</f>
        <v/>
      </c>
      <c r="G176" s="61" t="str">
        <f t="shared" ref="G176" si="43">IFERROR(F176/E176, "")</f>
        <v/>
      </c>
      <c r="H176" s="76"/>
      <c r="I176" s="76" t="str">
        <f t="shared" ref="I176" si="44">IF(AND(ISNUMBER(D176),ISNUMBER(H176)), D176-H176, "")</f>
        <v/>
      </c>
      <c r="J176" s="73" t="str">
        <f t="shared" ref="J176" si="45">IFERROR(I176/H176, "")</f>
        <v/>
      </c>
      <c r="K176" s="82"/>
      <c r="L176" s="59"/>
    </row>
    <row r="177" spans="1:12" ht="15.6">
      <c r="A177" s="26" t="str">
        <v>Q030</v>
      </c>
      <c r="B177" s="27" t="str">
        <v>NY</v>
      </c>
      <c r="C177" s="27" t="s">
        <v>476</v>
      </c>
      <c r="D177" s="75"/>
      <c r="E177" s="14"/>
      <c r="F177" s="14"/>
      <c r="G177" s="77"/>
      <c r="H177" s="78"/>
      <c r="I177" s="78"/>
      <c r="J177" s="77"/>
      <c r="K177" s="57"/>
      <c r="L177" s="84"/>
    </row>
    <row r="178" spans="1:12" ht="15.6">
      <c r="A178" s="24" t="str">
        <v>Q130</v>
      </c>
      <c r="B178" s="25" t="str">
        <v>NY</v>
      </c>
      <c r="C178" s="25" t="str">
        <f>Sites[[#This Row],[SOL'#]]</f>
        <v>SOL-10877</v>
      </c>
      <c r="D178" s="60"/>
      <c r="E178" s="10"/>
      <c r="F178" s="10" t="str">
        <f t="shared" ref="F178" si="46">IF(AND(ISNUMBER(D178),ISNUMBER(E178)), D178-E178, "")</f>
        <v/>
      </c>
      <c r="G178" s="61" t="str">
        <f t="shared" ref="G178" si="47">IFERROR(F178/E178, "")</f>
        <v/>
      </c>
      <c r="H178" s="76"/>
      <c r="I178" s="76" t="str">
        <f t="shared" ref="I178" si="48">IF(AND(ISNUMBER(D178),ISNUMBER(H178)), D178-H178, "")</f>
        <v/>
      </c>
      <c r="J178" s="73" t="str">
        <f t="shared" ref="J178" si="49">IFERROR(I178/H178, "")</f>
        <v/>
      </c>
      <c r="K178" s="82"/>
      <c r="L178" s="59"/>
    </row>
    <row r="179" spans="1:12" ht="15.6">
      <c r="A179" s="26" t="str">
        <v>Q196</v>
      </c>
      <c r="B179" s="27" t="str">
        <v>NY</v>
      </c>
      <c r="C179" s="27" t="s">
        <v>477</v>
      </c>
      <c r="D179" s="75"/>
      <c r="E179" s="14"/>
      <c r="F179" s="14"/>
      <c r="G179" s="77"/>
      <c r="H179" s="78"/>
      <c r="I179" s="78"/>
      <c r="J179" s="77"/>
      <c r="K179" s="57"/>
      <c r="L179" s="84"/>
    </row>
    <row r="180" spans="1:12" ht="15.6">
      <c r="A180" s="24" t="str">
        <v>Q220</v>
      </c>
      <c r="B180" s="25" t="str">
        <v>NY</v>
      </c>
      <c r="C180" s="25" t="str">
        <f>Sites[[#This Row],[SOL'#]]</f>
        <v>SOL-10873</v>
      </c>
      <c r="D180" s="60"/>
      <c r="E180" s="10"/>
      <c r="F180" s="10" t="str">
        <f t="shared" ref="F180" si="50">IF(AND(ISNUMBER(D180),ISNUMBER(E180)), D180-E180, "")</f>
        <v/>
      </c>
      <c r="G180" s="61" t="str">
        <f t="shared" ref="G180" si="51">IFERROR(F180/E180, "")</f>
        <v/>
      </c>
      <c r="H180" s="76"/>
      <c r="I180" s="76" t="str">
        <f t="shared" ref="I180" si="52">IF(AND(ISNUMBER(D180),ISNUMBER(H180)), D180-H180, "")</f>
        <v/>
      </c>
      <c r="J180" s="73" t="str">
        <f t="shared" ref="J180" si="53">IFERROR(I180/H180, "")</f>
        <v/>
      </c>
      <c r="K180" s="82"/>
      <c r="L180" s="59"/>
    </row>
    <row r="181" spans="1:12" ht="15.6">
      <c r="A181" s="26" t="str">
        <v>Q205</v>
      </c>
      <c r="B181" s="27" t="str">
        <v>NY</v>
      </c>
      <c r="C181" s="27" t="s">
        <v>478</v>
      </c>
      <c r="D181" s="75"/>
      <c r="E181" s="14"/>
      <c r="F181" s="14"/>
      <c r="G181" s="77"/>
      <c r="H181" s="78"/>
      <c r="I181" s="78"/>
      <c r="J181" s="77"/>
      <c r="K181" s="57"/>
      <c r="L181" s="84"/>
    </row>
    <row r="182" spans="1:12" ht="15.6">
      <c r="A182" s="24" t="str">
        <v>Q400</v>
      </c>
      <c r="B182" s="25" t="str">
        <v>NY</v>
      </c>
      <c r="C182" s="25" t="str">
        <f>Sites[[#This Row],[SOL'#]]</f>
        <v>SOL-10871</v>
      </c>
      <c r="D182" s="60"/>
      <c r="E182" s="10"/>
      <c r="F182" s="10" t="str">
        <f t="shared" ref="F182" si="54">IF(AND(ISNUMBER(D182),ISNUMBER(E182)), D182-E182, "")</f>
        <v/>
      </c>
      <c r="G182" s="61" t="str">
        <f t="shared" ref="G182" si="55">IFERROR(F182/E182, "")</f>
        <v/>
      </c>
      <c r="H182" s="76"/>
      <c r="I182" s="76" t="str">
        <f t="shared" ref="I182" si="56">IF(AND(ISNUMBER(D182),ISNUMBER(H182)), D182-H182, "")</f>
        <v/>
      </c>
      <c r="J182" s="73" t="str">
        <f t="shared" ref="J182" si="57">IFERROR(I182/H182, "")</f>
        <v/>
      </c>
      <c r="K182" s="82"/>
      <c r="L182" s="59"/>
    </row>
    <row r="183" spans="1:12" ht="15.6">
      <c r="A183" s="26" t="str">
        <v>R003</v>
      </c>
      <c r="B183" s="27" t="str">
        <v>NY</v>
      </c>
      <c r="C183" s="27" t="s">
        <v>479</v>
      </c>
      <c r="D183" s="75"/>
      <c r="E183" s="14"/>
      <c r="F183" s="14"/>
      <c r="G183" s="77"/>
      <c r="H183" s="78"/>
      <c r="I183" s="78"/>
      <c r="J183" s="77"/>
      <c r="K183" s="57"/>
      <c r="L183" s="84"/>
    </row>
    <row r="184" spans="1:12" ht="15.6">
      <c r="A184" s="24" t="str">
        <v>R007</v>
      </c>
      <c r="B184" s="25" t="str">
        <v>NY</v>
      </c>
      <c r="C184" s="25" t="str">
        <f>Sites[[#This Row],[SOL'#]]</f>
        <v>SOL-10417</v>
      </c>
      <c r="D184" s="60"/>
      <c r="E184" s="10"/>
      <c r="F184" s="10" t="str">
        <f t="shared" ref="F184" si="58">IF(AND(ISNUMBER(D184),ISNUMBER(E184)), D184-E184, "")</f>
        <v/>
      </c>
      <c r="G184" s="61" t="str">
        <f t="shared" ref="G184" si="59">IFERROR(F184/E184, "")</f>
        <v/>
      </c>
      <c r="H184" s="76"/>
      <c r="I184" s="76" t="str">
        <f t="shared" ref="I184" si="60">IF(AND(ISNUMBER(D184),ISNUMBER(H184)), D184-H184, "")</f>
        <v/>
      </c>
      <c r="J184" s="73" t="str">
        <f t="shared" ref="J184" si="61">IFERROR(I184/H184, "")</f>
        <v/>
      </c>
      <c r="K184" s="82"/>
      <c r="L184" s="59"/>
    </row>
    <row r="185" spans="1:12" ht="15.6">
      <c r="A185" s="26" t="str">
        <v>BK16</v>
      </c>
      <c r="B185" s="27" t="str">
        <v>NY</v>
      </c>
      <c r="C185" s="27" t="s">
        <v>480</v>
      </c>
      <c r="D185" s="75"/>
      <c r="E185" s="14"/>
      <c r="F185" s="14"/>
      <c r="G185" s="77"/>
      <c r="H185" s="78"/>
      <c r="I185" s="78"/>
      <c r="J185" s="77"/>
      <c r="K185" s="57"/>
      <c r="L185" s="84"/>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34" priority="11" stopIfTrue="1" operator="lessThanOrEqual">
      <formula>-0.1</formula>
    </cfRule>
    <cfRule type="expression" dxfId="33" priority="12">
      <formula>AND(ISNUMBER(G2), G2&gt;=0.1)</formula>
    </cfRule>
  </conditionalFormatting>
  <conditionalFormatting sqref="G4:G185 J4:J185">
    <cfRule type="cellIs" dxfId="32" priority="1" stopIfTrue="1" operator="lessThanOrEqual">
      <formula>-0.1</formula>
    </cfRule>
    <cfRule type="expression" dxfId="31" priority="2">
      <formula>AND(ISNUMBER(G4), G4&gt;=0.1)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200"/>
  <sheetViews>
    <sheetView zoomScale="70" zoomScaleNormal="70" workbookViewId="0">
      <pane xSplit="2" ySplit="3" topLeftCell="C173" activePane="bottomRight" state="frozen"/>
      <selection pane="bottomRight" activeCell="A127" sqref="A127:XFD12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7.710937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49" t="str" cm="1">
        <f t="array" ref="A1">portfolio</f>
        <v>Generate Capital</v>
      </c>
      <c r="B1" s="149"/>
      <c r="C1" s="149"/>
      <c r="D1" s="149"/>
      <c r="E1" s="150" t="s">
        <v>487</v>
      </c>
      <c r="F1" s="150"/>
      <c r="G1" s="150"/>
      <c r="H1" s="148" t="s">
        <v>488</v>
      </c>
      <c r="I1" s="148"/>
      <c r="J1" s="148"/>
      <c r="K1" s="4"/>
      <c r="L1" s="4"/>
    </row>
    <row r="2" spans="1:12" ht="19.5" customHeight="1">
      <c r="A2" s="151" t="s">
        <v>2</v>
      </c>
      <c r="B2" s="151"/>
      <c r="C2" s="65"/>
      <c r="D2" s="5">
        <f>SUM(D4:D201)</f>
        <v>0</v>
      </c>
      <c r="E2" s="5">
        <f>SUM(E4:E101)</f>
        <v>0</v>
      </c>
      <c r="F2" s="5">
        <f>D2-E2</f>
        <v>0</v>
      </c>
      <c r="G2" s="6">
        <f>IFERROR(F2/E2, 0)</f>
        <v>0</v>
      </c>
      <c r="H2" s="5">
        <f>SUM(H4:H201)</f>
        <v>0</v>
      </c>
      <c r="I2" s="7">
        <f>D2-H2</f>
        <v>0</v>
      </c>
      <c r="J2" s="6">
        <f>IFERROR(I2/H2, 0)</f>
        <v>0</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69" si="0">IF(AND(ISNUMBER(D5),ISNUMBER(E5)), D5-E5, "")</f>
        <v/>
      </c>
      <c r="G5" s="15" t="str">
        <f>IFERROR(F5/E5, "")</f>
        <v/>
      </c>
      <c r="H5" s="16"/>
      <c r="I5" s="16" t="str">
        <f t="shared" ref="I5:I17" si="1">IF(AND(ISNUMBER(D5),ISNUMBER(H5)), D5-H5, "")</f>
        <v/>
      </c>
      <c r="J5" s="15" t="str">
        <f t="shared" ref="J5:J17" si="2">IFERROR(I5/H5, "")</f>
        <v/>
      </c>
      <c r="K5" s="57"/>
      <c r="L5" s="57"/>
    </row>
    <row r="6" spans="1:12" ht="15.6">
      <c r="A6" s="28" t="str">
        <v>JFK Elementary</v>
      </c>
      <c r="B6" s="25" t="str">
        <v>AZ</v>
      </c>
      <c r="C6" s="25" t="str">
        <f>Sites[[#This Row],[SOL'#]]</f>
        <v>SOL-10758</v>
      </c>
      <c r="D6" s="20"/>
      <c r="E6" s="10"/>
      <c r="F6" s="10" t="str">
        <f t="shared" si="0"/>
        <v/>
      </c>
      <c r="G6" s="11" t="str">
        <f t="shared" ref="G6:G70"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7"/>
    </row>
    <row r="8" spans="1:12" ht="15.6">
      <c r="A8" s="28"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7"/>
    </row>
    <row r="10" spans="1:12" ht="15.6">
      <c r="A10" s="28"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7"/>
    </row>
    <row r="12" spans="1:12" ht="15.6">
      <c r="A12" s="28"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7"/>
    </row>
    <row r="14" spans="1:12" ht="15.6">
      <c r="A14" s="28"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7"/>
    </row>
    <row r="16" spans="1:12" ht="15.6">
      <c r="A16" s="28"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12.75" customHeight="1">
      <c r="A18" s="28" t="str">
        <v>Sequoia Charter School</v>
      </c>
      <c r="B18" s="25" t="str">
        <v>AZ</v>
      </c>
      <c r="C18" s="25" t="str">
        <f>Sites[[#This Row],[SOL'#]]</f>
        <v>SOL-10759</v>
      </c>
      <c r="D18" s="20"/>
      <c r="E18" s="10"/>
      <c r="F18" s="10" t="str">
        <f t="shared" si="0"/>
        <v/>
      </c>
      <c r="G18" s="11" t="str">
        <f t="shared" si="3"/>
        <v/>
      </c>
      <c r="H18" s="12"/>
      <c r="I18" s="12" t="str">
        <f t="shared" ref="I18:I74" si="4">IF(AND(ISNUMBER(D18),ISNUMBER(H18)), D18-H18, "")</f>
        <v/>
      </c>
      <c r="J18" s="13" t="str">
        <f t="shared" ref="J18:J81" si="5">IFERROR(I18/H18, "")</f>
        <v/>
      </c>
      <c r="K18" s="59"/>
      <c r="L18" s="59"/>
    </row>
    <row r="19" spans="1:12" ht="15.6">
      <c r="A19" s="26" t="str">
        <v>RCAB</v>
      </c>
      <c r="B19" s="27" t="str">
        <v>MA</v>
      </c>
      <c r="C19" s="27" t="str">
        <f>Sites[[#This Row],[SOL'#]]</f>
        <v>SOL-10838</v>
      </c>
      <c r="D19" s="9"/>
      <c r="E19" s="14"/>
      <c r="F19" s="14" t="str">
        <f t="shared" si="0"/>
        <v/>
      </c>
      <c r="G19" s="15" t="str">
        <f t="shared" si="3"/>
        <v/>
      </c>
      <c r="H19" s="16"/>
      <c r="I19" s="16" t="str">
        <f t="shared" si="4"/>
        <v/>
      </c>
      <c r="J19" s="15" t="str">
        <f t="shared" si="5"/>
        <v/>
      </c>
      <c r="K19" s="57"/>
      <c r="L19" s="57"/>
    </row>
    <row r="20" spans="1:12" ht="15.6">
      <c r="A20" s="28"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15.6">
      <c r="A21" s="26" t="str">
        <v>K026</v>
      </c>
      <c r="B21" s="27" t="str">
        <v>NY</v>
      </c>
      <c r="C21" s="27" t="str">
        <f>Sites[[#This Row],[SOL'#]]</f>
        <v>SOL-10356</v>
      </c>
      <c r="D21" s="9"/>
      <c r="E21" s="14"/>
      <c r="F21" s="14" t="str">
        <f t="shared" si="0"/>
        <v/>
      </c>
      <c r="G21" s="15" t="str">
        <f t="shared" si="3"/>
        <v/>
      </c>
      <c r="H21" s="16"/>
      <c r="I21" s="16" t="str">
        <f t="shared" si="4"/>
        <v/>
      </c>
      <c r="J21" s="15" t="str">
        <f t="shared" si="5"/>
        <v/>
      </c>
      <c r="K21" s="57"/>
      <c r="L21" s="57"/>
    </row>
    <row r="22" spans="1:12" ht="15.6">
      <c r="A22" s="28"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7" t="str">
        <f>Sites[[#This Row],[SOL'#]]</f>
        <v>SOL-10358</v>
      </c>
      <c r="D23" s="9"/>
      <c r="E23" s="14"/>
      <c r="F23" s="14" t="str">
        <f t="shared" si="0"/>
        <v/>
      </c>
      <c r="G23" s="15" t="str">
        <f t="shared" si="3"/>
        <v/>
      </c>
      <c r="H23" s="16"/>
      <c r="I23" s="16" t="str">
        <f t="shared" si="4"/>
        <v/>
      </c>
      <c r="J23" s="15" t="str">
        <f t="shared" si="5"/>
        <v/>
      </c>
      <c r="K23" s="57"/>
      <c r="L23" s="57"/>
    </row>
    <row r="24" spans="1:12" ht="15.6">
      <c r="A24" s="28"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7" t="str">
        <f>Sites[[#This Row],[SOL'#]]</f>
        <v>SOL-10361</v>
      </c>
      <c r="D25" s="9"/>
      <c r="E25" s="14"/>
      <c r="F25" s="14" t="str">
        <f t="shared" si="0"/>
        <v/>
      </c>
      <c r="G25" s="15" t="str">
        <f t="shared" si="3"/>
        <v/>
      </c>
      <c r="H25" s="16"/>
      <c r="I25" s="16" t="str">
        <f t="shared" si="4"/>
        <v/>
      </c>
      <c r="J25" s="15" t="str">
        <f t="shared" si="5"/>
        <v/>
      </c>
      <c r="K25" s="57"/>
      <c r="L25" s="57"/>
    </row>
    <row r="26" spans="1:12" ht="15.6">
      <c r="A26" s="28"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7" t="str">
        <f>Sites[[#This Row],[SOL'#]]</f>
        <v>SOL-10363</v>
      </c>
      <c r="D27" s="9"/>
      <c r="E27" s="14"/>
      <c r="F27" s="14" t="str">
        <f t="shared" si="0"/>
        <v/>
      </c>
      <c r="G27" s="15" t="str">
        <f t="shared" si="3"/>
        <v/>
      </c>
      <c r="H27" s="16"/>
      <c r="I27" s="16" t="str">
        <f t="shared" si="4"/>
        <v/>
      </c>
      <c r="J27" s="15" t="str">
        <f t="shared" si="5"/>
        <v/>
      </c>
      <c r="K27" s="57"/>
      <c r="L27" s="57"/>
    </row>
    <row r="28" spans="1:12" ht="15.6">
      <c r="A28" s="28"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7" t="str">
        <f>Sites[[#This Row],[SOL'#]]</f>
        <v>SOL-10365</v>
      </c>
      <c r="D29" s="9"/>
      <c r="E29" s="14"/>
      <c r="F29" s="14" t="str">
        <f t="shared" si="0"/>
        <v/>
      </c>
      <c r="G29" s="15" t="str">
        <f t="shared" si="3"/>
        <v/>
      </c>
      <c r="H29" s="16"/>
      <c r="I29" s="16" t="str">
        <f t="shared" si="4"/>
        <v/>
      </c>
      <c r="J29" s="15" t="str">
        <f t="shared" si="5"/>
        <v/>
      </c>
      <c r="K29" s="57"/>
      <c r="L29" s="57"/>
    </row>
    <row r="30" spans="1:12" ht="15.6">
      <c r="A30" s="28"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7" t="str">
        <f>Sites[[#This Row],[SOL'#]]</f>
        <v>SOL-10367</v>
      </c>
      <c r="D31" s="9"/>
      <c r="E31" s="14"/>
      <c r="F31" s="14" t="str">
        <f t="shared" si="0"/>
        <v/>
      </c>
      <c r="G31" s="15" t="str">
        <f t="shared" si="3"/>
        <v/>
      </c>
      <c r="H31" s="16"/>
      <c r="I31" s="16" t="str">
        <f t="shared" si="4"/>
        <v/>
      </c>
      <c r="J31" s="15" t="str">
        <f t="shared" si="5"/>
        <v/>
      </c>
      <c r="K31" s="57"/>
      <c r="L31" s="57"/>
    </row>
    <row r="32" spans="1:12" ht="15.6">
      <c r="A32" s="28"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7" t="str">
        <f>Sites[[#This Row],[SOL'#]]</f>
        <v>SOL-10368</v>
      </c>
      <c r="D33" s="9"/>
      <c r="E33" s="14"/>
      <c r="F33" s="14" t="str">
        <f t="shared" si="0"/>
        <v/>
      </c>
      <c r="G33" s="15" t="str">
        <f t="shared" si="3"/>
        <v/>
      </c>
      <c r="H33" s="16"/>
      <c r="I33" s="16" t="str">
        <f t="shared" si="4"/>
        <v/>
      </c>
      <c r="J33" s="15" t="str">
        <f t="shared" si="5"/>
        <v/>
      </c>
      <c r="K33" s="57"/>
      <c r="L33" s="57"/>
    </row>
    <row r="34" spans="1:12" ht="15.6">
      <c r="A34" s="28" t="str">
        <v>K335</v>
      </c>
      <c r="B34" s="25" t="str">
        <v>NY</v>
      </c>
      <c r="C34" s="25"/>
      <c r="D34" s="20"/>
      <c r="E34" s="10"/>
      <c r="F34" s="10"/>
      <c r="G34" s="10" t="str">
        <f t="shared" si="3"/>
        <v/>
      </c>
      <c r="H34" s="12"/>
      <c r="I34" s="12"/>
      <c r="J34" s="13"/>
      <c r="K34" s="59"/>
      <c r="L34" s="59"/>
    </row>
    <row r="35" spans="1:12" ht="15.6">
      <c r="A35" s="26" t="str">
        <v>K345</v>
      </c>
      <c r="B35" s="27" t="str">
        <v>NY</v>
      </c>
      <c r="C35" s="27" t="str">
        <f>Sites[[#This Row],[SOL'#]]</f>
        <v>SOL-10920</v>
      </c>
      <c r="D35" s="9"/>
      <c r="E35" s="14"/>
      <c r="F35" s="14" t="str">
        <f t="shared" si="0"/>
        <v/>
      </c>
      <c r="G35" s="15" t="str">
        <f t="shared" si="3"/>
        <v/>
      </c>
      <c r="H35" s="16"/>
      <c r="I35" s="16" t="str">
        <f t="shared" si="4"/>
        <v/>
      </c>
      <c r="J35" s="15" t="str">
        <f t="shared" si="5"/>
        <v/>
      </c>
      <c r="K35" s="57"/>
      <c r="L35" s="57"/>
    </row>
    <row r="36" spans="1:12" ht="15.6">
      <c r="A36" s="28"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7" t="str">
        <f>Sites[[#This Row],[SOL'#]]</f>
        <v>SOL-10374</v>
      </c>
      <c r="D37" s="9"/>
      <c r="E37" s="14"/>
      <c r="F37" s="14" t="str">
        <f t="shared" si="0"/>
        <v/>
      </c>
      <c r="G37" s="15" t="str">
        <f t="shared" si="3"/>
        <v/>
      </c>
      <c r="H37" s="16"/>
      <c r="I37" s="16" t="str">
        <f t="shared" si="4"/>
        <v/>
      </c>
      <c r="J37" s="15" t="str">
        <f t="shared" si="5"/>
        <v/>
      </c>
      <c r="K37" s="57"/>
      <c r="L37" s="57"/>
    </row>
    <row r="38" spans="1:12" ht="15.6">
      <c r="A38" s="28"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7" t="str">
        <f>Sites[[#This Row],[SOL'#]]</f>
        <v>SOL-10383</v>
      </c>
      <c r="D39" s="9"/>
      <c r="E39" s="14"/>
      <c r="F39" s="14" t="str">
        <f t="shared" si="0"/>
        <v/>
      </c>
      <c r="G39" s="15" t="str">
        <f t="shared" si="3"/>
        <v/>
      </c>
      <c r="H39" s="16"/>
      <c r="I39" s="16" t="str">
        <f t="shared" si="4"/>
        <v/>
      </c>
      <c r="J39" s="15" t="str">
        <f t="shared" si="5"/>
        <v/>
      </c>
      <c r="K39" s="57"/>
      <c r="L39" s="57"/>
    </row>
    <row r="40" spans="1:12" ht="15.6">
      <c r="A40" s="28"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7" t="str">
        <f>Sites[[#This Row],[SOL'#]]</f>
        <v>SOL-10385</v>
      </c>
      <c r="D41" s="9"/>
      <c r="E41" s="14"/>
      <c r="F41" s="14" t="str">
        <f t="shared" si="0"/>
        <v/>
      </c>
      <c r="G41" s="15" t="str">
        <f t="shared" si="3"/>
        <v/>
      </c>
      <c r="H41" s="16"/>
      <c r="I41" s="16" t="str">
        <f t="shared" si="4"/>
        <v/>
      </c>
      <c r="J41" s="15" t="str">
        <f t="shared" si="5"/>
        <v/>
      </c>
      <c r="K41" s="57"/>
      <c r="L41" s="57"/>
    </row>
    <row r="42" spans="1:12" ht="15.6">
      <c r="A42" s="28"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7" t="str">
        <f>Sites[[#This Row],[SOL'#]]</f>
        <v>SOL-10387</v>
      </c>
      <c r="D43" s="9"/>
      <c r="E43" s="14"/>
      <c r="F43" s="14" t="str">
        <f t="shared" si="0"/>
        <v/>
      </c>
      <c r="G43" s="15" t="str">
        <f t="shared" si="3"/>
        <v/>
      </c>
      <c r="H43" s="16"/>
      <c r="I43" s="16" t="str">
        <f t="shared" si="4"/>
        <v/>
      </c>
      <c r="J43" s="15" t="str">
        <f t="shared" si="5"/>
        <v/>
      </c>
      <c r="K43" s="57"/>
      <c r="L43" s="57"/>
    </row>
    <row r="44" spans="1:12" ht="15.6">
      <c r="A44" s="28"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7" t="str">
        <f>Sites[[#This Row],[SOL'#]]</f>
        <v>SOL-10397</v>
      </c>
      <c r="D45" s="9"/>
      <c r="E45" s="14"/>
      <c r="F45" s="14" t="str">
        <f t="shared" si="0"/>
        <v/>
      </c>
      <c r="G45" s="15" t="str">
        <f t="shared" si="3"/>
        <v/>
      </c>
      <c r="H45" s="16"/>
      <c r="I45" s="16" t="str">
        <f t="shared" si="4"/>
        <v/>
      </c>
      <c r="J45" s="15" t="str">
        <f t="shared" si="5"/>
        <v/>
      </c>
      <c r="K45" s="57"/>
      <c r="L45" s="57"/>
    </row>
    <row r="46" spans="1:12" ht="15.6">
      <c r="A46" s="28"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7" t="str">
        <f>Sites[[#This Row],[SOL'#]]</f>
        <v>SOL-10399</v>
      </c>
      <c r="D47" s="9"/>
      <c r="E47" s="14"/>
      <c r="F47" s="14" t="str">
        <f t="shared" si="0"/>
        <v/>
      </c>
      <c r="G47" s="15" t="str">
        <f t="shared" si="3"/>
        <v/>
      </c>
      <c r="H47" s="16"/>
      <c r="I47" s="16" t="str">
        <f t="shared" si="4"/>
        <v/>
      </c>
      <c r="J47" s="15" t="str">
        <f t="shared" si="5"/>
        <v/>
      </c>
      <c r="K47" s="57"/>
      <c r="L47" s="57"/>
    </row>
    <row r="48" spans="1:12" ht="15.6">
      <c r="A48" s="28"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7" t="str">
        <f>Sites[[#This Row],[SOL'#]]</f>
        <v>SOL-10402</v>
      </c>
      <c r="D49" s="9"/>
      <c r="E49" s="14"/>
      <c r="F49" s="14" t="str">
        <f t="shared" si="0"/>
        <v/>
      </c>
      <c r="G49" s="15" t="str">
        <f t="shared" si="3"/>
        <v/>
      </c>
      <c r="H49" s="16"/>
      <c r="I49" s="16" t="str">
        <f t="shared" si="4"/>
        <v/>
      </c>
      <c r="J49" s="15" t="str">
        <f t="shared" si="5"/>
        <v/>
      </c>
      <c r="K49" s="57"/>
      <c r="L49" s="57"/>
    </row>
    <row r="50" spans="1:12" ht="15.6">
      <c r="A50" s="28"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7" t="str">
        <f>Sites[[#This Row],[SOL'#]]</f>
        <v>SOL-10403</v>
      </c>
      <c r="D51" s="9"/>
      <c r="E51" s="14"/>
      <c r="F51" s="14" t="str">
        <f t="shared" si="0"/>
        <v/>
      </c>
      <c r="G51" s="15" t="str">
        <f t="shared" si="3"/>
        <v/>
      </c>
      <c r="H51" s="16"/>
      <c r="I51" s="16" t="str">
        <f t="shared" si="4"/>
        <v/>
      </c>
      <c r="J51" s="15" t="str">
        <f t="shared" si="5"/>
        <v/>
      </c>
      <c r="K51" s="57"/>
      <c r="L51" s="57"/>
    </row>
    <row r="52" spans="1:12" ht="15.6">
      <c r="A52" s="28"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7" t="str">
        <f>Sites[[#This Row],[SOL'#]]</f>
        <v>SOL-10406</v>
      </c>
      <c r="D53" s="9"/>
      <c r="E53" s="14"/>
      <c r="F53" s="14" t="str">
        <f t="shared" si="0"/>
        <v/>
      </c>
      <c r="G53" s="15" t="str">
        <f t="shared" si="3"/>
        <v/>
      </c>
      <c r="H53" s="16"/>
      <c r="I53" s="16" t="str">
        <f t="shared" si="4"/>
        <v/>
      </c>
      <c r="J53" s="15" t="str">
        <f t="shared" si="5"/>
        <v/>
      </c>
      <c r="K53" s="57"/>
      <c r="L53" s="57"/>
    </row>
    <row r="54" spans="1:12" ht="15.6">
      <c r="A54" s="28"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7" t="str">
        <f>Sites[[#This Row],[SOL'#]]</f>
        <v>SOL-10408</v>
      </c>
      <c r="D55" s="9"/>
      <c r="E55" s="14"/>
      <c r="F55" s="14" t="str">
        <f t="shared" si="0"/>
        <v/>
      </c>
      <c r="G55" s="15" t="str">
        <f t="shared" si="3"/>
        <v/>
      </c>
      <c r="H55" s="16"/>
      <c r="I55" s="16" t="str">
        <f t="shared" si="4"/>
        <v/>
      </c>
      <c r="J55" s="15" t="str">
        <f t="shared" si="5"/>
        <v/>
      </c>
      <c r="K55" s="57"/>
      <c r="L55" s="57"/>
    </row>
    <row r="56" spans="1:12" ht="15.6">
      <c r="A56" s="28"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7" t="str">
        <f>Sites[[#This Row],[SOL'#]]</f>
        <v>SOL-10409</v>
      </c>
      <c r="D57" s="9"/>
      <c r="E57" s="14"/>
      <c r="F57" s="14" t="str">
        <f t="shared" si="0"/>
        <v/>
      </c>
      <c r="G57" s="15" t="str">
        <f t="shared" si="3"/>
        <v/>
      </c>
      <c r="H57" s="16"/>
      <c r="I57" s="16" t="str">
        <f t="shared" si="4"/>
        <v/>
      </c>
      <c r="J57" s="15" t="str">
        <f t="shared" si="5"/>
        <v/>
      </c>
      <c r="K57" s="57"/>
      <c r="L57" s="57"/>
    </row>
    <row r="58" spans="1:12" ht="15.6">
      <c r="A58" s="28"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15.6">
      <c r="A59" s="26" t="str">
        <v>Q485</v>
      </c>
      <c r="B59" s="27" t="str">
        <v>NY</v>
      </c>
      <c r="C59" s="27" t="str">
        <f>Sites[[#This Row],[SOL'#]]</f>
        <v>SOL-10869</v>
      </c>
      <c r="D59" s="9"/>
      <c r="E59" s="14"/>
      <c r="F59" s="14" t="str">
        <f t="shared" si="0"/>
        <v/>
      </c>
      <c r="G59" s="15" t="str">
        <f t="shared" si="3"/>
        <v/>
      </c>
      <c r="H59" s="16"/>
      <c r="I59" s="16" t="str">
        <f t="shared" si="4"/>
        <v/>
      </c>
      <c r="J59" s="15" t="str">
        <f t="shared" si="5"/>
        <v/>
      </c>
      <c r="K59" s="57"/>
      <c r="L59" s="57"/>
    </row>
    <row r="60" spans="1:12" ht="15.6">
      <c r="A60" s="28"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7" t="str">
        <f>Sites[[#This Row],[SOL'#]]</f>
        <v>SOL-10867</v>
      </c>
      <c r="D61" s="9"/>
      <c r="E61" s="14"/>
      <c r="F61" s="14" t="str">
        <f t="shared" si="0"/>
        <v/>
      </c>
      <c r="G61" s="15" t="str">
        <f t="shared" si="3"/>
        <v/>
      </c>
      <c r="H61" s="16"/>
      <c r="I61" s="16" t="str">
        <f t="shared" si="4"/>
        <v/>
      </c>
      <c r="J61" s="15" t="str">
        <f t="shared" si="5"/>
        <v/>
      </c>
      <c r="K61" s="57"/>
      <c r="L61" s="57"/>
    </row>
    <row r="62" spans="1:12" ht="15.6">
      <c r="A62" s="28" t="str">
        <v>QMOA</v>
      </c>
      <c r="B62" s="25" t="str">
        <v>NY</v>
      </c>
      <c r="C62" s="25" t="str">
        <f>Sites[[#This Row],[SOL'#]]</f>
        <v>SOL-10415</v>
      </c>
      <c r="D62" s="20"/>
      <c r="E62" s="10"/>
      <c r="F62" s="10" t="str">
        <f t="shared" si="0"/>
        <v/>
      </c>
      <c r="G62" s="11" t="str">
        <f t="shared" si="3"/>
        <v/>
      </c>
      <c r="H62" s="12"/>
      <c r="I62" s="12" t="str">
        <f>IF(AND(ISNUMBER(D62),ISNUMBER(H62)), D62-H62, "")</f>
        <v/>
      </c>
      <c r="J62" s="13" t="str">
        <f t="shared" si="5"/>
        <v/>
      </c>
      <c r="K62" s="59"/>
      <c r="L62" s="59"/>
    </row>
    <row r="63" spans="1:12" ht="15.6">
      <c r="A63" s="26" t="str">
        <v>X024</v>
      </c>
      <c r="B63" s="27" t="str">
        <v>NY</v>
      </c>
      <c r="C63" s="27" t="str">
        <f>Sites[[#This Row],[SOL'#]]</f>
        <v>SOL-10419</v>
      </c>
      <c r="D63" s="9"/>
      <c r="E63" s="14"/>
      <c r="F63" s="14" t="str">
        <f t="shared" si="0"/>
        <v/>
      </c>
      <c r="G63" s="15" t="str">
        <f t="shared" si="3"/>
        <v/>
      </c>
      <c r="H63" s="16"/>
      <c r="I63" s="16" t="str">
        <f>IF(AND(ISNUMBER(D63),ISNUMBER(H63)), D63-H63, "")</f>
        <v/>
      </c>
      <c r="J63" s="15" t="str">
        <f t="shared" si="5"/>
        <v/>
      </c>
      <c r="K63" s="57"/>
      <c r="L63" s="57"/>
    </row>
    <row r="64" spans="1:12" ht="15.6">
      <c r="A64" s="28"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7" t="str">
        <f>Sites[[#This Row],[SOL'#]]</f>
        <v>SOL-10925</v>
      </c>
      <c r="D65" s="9"/>
      <c r="E65" s="14"/>
      <c r="F65" s="14" t="str">
        <f t="shared" si="0"/>
        <v/>
      </c>
      <c r="G65" s="15" t="str">
        <f t="shared" si="3"/>
        <v/>
      </c>
      <c r="H65" s="16"/>
      <c r="I65" s="16" t="str">
        <f t="shared" si="4"/>
        <v/>
      </c>
      <c r="J65" s="15" t="str">
        <f t="shared" si="5"/>
        <v/>
      </c>
      <c r="K65" s="57"/>
      <c r="L65" s="57"/>
    </row>
    <row r="66" spans="1:12" ht="15.6">
      <c r="A66" s="28"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15.6">
      <c r="A67" s="26" t="str">
        <v>X125</v>
      </c>
      <c r="B67" s="27" t="str">
        <v>NY</v>
      </c>
      <c r="C67" s="27" t="str">
        <f>Sites[[#This Row],[SOL'#]]</f>
        <v>SOL-10423</v>
      </c>
      <c r="D67" s="9"/>
      <c r="E67" s="14"/>
      <c r="F67" s="14" t="str">
        <f t="shared" si="0"/>
        <v/>
      </c>
      <c r="G67" s="15" t="str">
        <f t="shared" si="3"/>
        <v/>
      </c>
      <c r="H67" s="16"/>
      <c r="I67" s="16" t="str">
        <f t="shared" si="4"/>
        <v/>
      </c>
      <c r="J67" s="15" t="str">
        <f t="shared" si="5"/>
        <v/>
      </c>
      <c r="K67" s="57"/>
      <c r="L67" s="57"/>
    </row>
    <row r="68" spans="1:12" ht="15.6">
      <c r="A68" s="28"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7" t="str">
        <f>Sites[[#This Row],[SOL'#]]</f>
        <v>SOL-10425</v>
      </c>
      <c r="D69" s="9"/>
      <c r="E69" s="14"/>
      <c r="F69" s="14" t="str">
        <f t="shared" si="0"/>
        <v/>
      </c>
      <c r="G69" s="15" t="str">
        <f t="shared" si="3"/>
        <v/>
      </c>
      <c r="H69" s="16"/>
      <c r="I69" s="16" t="str">
        <f t="shared" si="4"/>
        <v/>
      </c>
      <c r="J69" s="15" t="str">
        <f t="shared" si="5"/>
        <v/>
      </c>
      <c r="K69" s="57"/>
      <c r="L69" s="57"/>
    </row>
    <row r="70" spans="1:12" ht="15.6">
      <c r="A70" s="28" t="str">
        <v>X139 JHS 222</v>
      </c>
      <c r="B70" s="25" t="str">
        <v>NY</v>
      </c>
      <c r="C70" s="25" t="str">
        <f>Sites[[#This Row],[SOL'#]]</f>
        <v>SOL-10426</v>
      </c>
      <c r="D70" s="20"/>
      <c r="E70" s="10"/>
      <c r="F70" s="10" t="str">
        <f t="shared" ref="F70:F109" si="6">IF(AND(ISNUMBER(D70),ISNUMBER(E70)), D70-E70, "")</f>
        <v/>
      </c>
      <c r="G70" s="11" t="str">
        <f t="shared" si="3"/>
        <v/>
      </c>
      <c r="H70" s="12"/>
      <c r="I70" s="12" t="str">
        <f t="shared" si="4"/>
        <v/>
      </c>
      <c r="J70" s="13" t="str">
        <f t="shared" si="5"/>
        <v/>
      </c>
      <c r="K70" s="59"/>
      <c r="L70" s="59"/>
    </row>
    <row r="71" spans="1:12" ht="15.6">
      <c r="A71" s="26" t="str">
        <v>X140</v>
      </c>
      <c r="B71" s="27" t="str">
        <v>NY</v>
      </c>
      <c r="C71" s="27" t="str">
        <f>Sites[[#This Row],[SOL'#]]</f>
        <v>SOL-10926</v>
      </c>
      <c r="D71" s="9"/>
      <c r="E71" s="14"/>
      <c r="F71" s="14" t="str">
        <f t="shared" si="6"/>
        <v/>
      </c>
      <c r="G71" s="15" t="str">
        <f t="shared" ref="G71:G110" si="7">IFERROR(F71/E71, "")</f>
        <v/>
      </c>
      <c r="H71" s="16"/>
      <c r="I71" s="16" t="str">
        <f t="shared" si="4"/>
        <v/>
      </c>
      <c r="J71" s="15" t="str">
        <f t="shared" si="5"/>
        <v/>
      </c>
      <c r="K71" s="57"/>
      <c r="L71" s="57"/>
    </row>
    <row r="72" spans="1:12" ht="15.6">
      <c r="A72" s="28" t="str">
        <v>X166</v>
      </c>
      <c r="B72" s="25" t="str">
        <v>NY</v>
      </c>
      <c r="C72" s="25" t="str">
        <f>Sites[[#This Row],[SOL'#]]</f>
        <v>SOL-10427</v>
      </c>
      <c r="D72" s="20"/>
      <c r="E72" s="10"/>
      <c r="F72" s="10" t="str">
        <f t="shared" si="6"/>
        <v/>
      </c>
      <c r="G72" s="11" t="str">
        <f t="shared" si="7"/>
        <v/>
      </c>
      <c r="H72" s="12"/>
      <c r="I72" s="12" t="str">
        <f t="shared" si="4"/>
        <v/>
      </c>
      <c r="J72" s="13" t="str">
        <f t="shared" si="5"/>
        <v/>
      </c>
      <c r="K72" s="59"/>
      <c r="L72" s="59"/>
    </row>
    <row r="73" spans="1:12" ht="15.6">
      <c r="A73" s="26" t="str">
        <v>Murphy</v>
      </c>
      <c r="B73" s="27" t="str">
        <v>MN</v>
      </c>
      <c r="C73" s="27" t="str">
        <f>Sites[[#This Row],[SOL'#]]</f>
        <v>SOL-10094</v>
      </c>
      <c r="D73" s="9"/>
      <c r="E73" s="14"/>
      <c r="F73" s="14" t="str">
        <f t="shared" si="6"/>
        <v/>
      </c>
      <c r="G73" s="15" t="str">
        <f t="shared" si="7"/>
        <v/>
      </c>
      <c r="H73" s="16"/>
      <c r="I73" s="16" t="str">
        <f t="shared" si="4"/>
        <v/>
      </c>
      <c r="J73" s="15" t="str">
        <f t="shared" si="5"/>
        <v/>
      </c>
      <c r="K73" s="57"/>
      <c r="L73" s="57"/>
    </row>
    <row r="74" spans="1:12" ht="15.6">
      <c r="A74" s="28"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7" t="str">
        <f>Sites[[#This Row],[SOL'#]]</f>
        <v>SOL-10908</v>
      </c>
      <c r="D75" s="9"/>
      <c r="E75" s="14"/>
      <c r="F75" s="14"/>
      <c r="G75" s="14" t="str">
        <f t="shared" si="7"/>
        <v/>
      </c>
      <c r="H75" s="16"/>
      <c r="I75" s="16"/>
      <c r="J75" s="15" t="str">
        <f t="shared" si="5"/>
        <v/>
      </c>
      <c r="K75" s="57"/>
      <c r="L75" s="57"/>
    </row>
    <row r="76" spans="1:12" ht="15.6">
      <c r="A76" s="28" t="str">
        <v>Kelly Bridge Farm</v>
      </c>
      <c r="B76" s="25" t="str">
        <v>NY</v>
      </c>
      <c r="C76" s="25" t="str">
        <f>Sites[[#This Row],[SOL'#]]</f>
        <v>SOL-10911</v>
      </c>
      <c r="D76" s="20"/>
      <c r="E76" s="10"/>
      <c r="F76" s="10"/>
      <c r="G76" s="11" t="str">
        <f t="shared" si="7"/>
        <v/>
      </c>
      <c r="H76" s="12"/>
      <c r="I76" s="12"/>
      <c r="J76" s="13" t="str">
        <f t="shared" si="5"/>
        <v/>
      </c>
      <c r="K76" s="59"/>
      <c r="L76" s="59"/>
    </row>
    <row r="77" spans="1:12" ht="15.6">
      <c r="A77" s="26" t="str">
        <v>Pool Brook Road</v>
      </c>
      <c r="B77" s="27" t="str">
        <v>NY</v>
      </c>
      <c r="C77" s="27" t="str">
        <f>Sites[[#This Row],[SOL'#]]</f>
        <v>SOL-10909</v>
      </c>
      <c r="D77" s="9"/>
      <c r="E77" s="14"/>
      <c r="F77" s="14"/>
      <c r="G77" s="15" t="str">
        <f t="shared" si="7"/>
        <v/>
      </c>
      <c r="H77" s="16"/>
      <c r="I77" s="16"/>
      <c r="J77" s="15" t="str">
        <f t="shared" si="5"/>
        <v/>
      </c>
      <c r="K77" s="57"/>
      <c r="L77" s="57"/>
    </row>
    <row r="78" spans="1:12" ht="15.6">
      <c r="A78" s="28" t="str">
        <v>Sackett Lake</v>
      </c>
      <c r="B78" s="25" t="str">
        <v>NY</v>
      </c>
      <c r="C78" s="25" t="str">
        <f>Sites[[#This Row],[SOL'#]]</f>
        <v>SOL-10910</v>
      </c>
      <c r="D78" s="20"/>
      <c r="E78" s="10"/>
      <c r="F78" s="10"/>
      <c r="G78" s="11" t="str">
        <f t="shared" si="7"/>
        <v/>
      </c>
      <c r="H78" s="12"/>
      <c r="I78" s="12"/>
      <c r="J78" s="13" t="str">
        <f t="shared" si="5"/>
        <v/>
      </c>
      <c r="K78" s="59"/>
      <c r="L78" s="59"/>
    </row>
    <row r="79" spans="1:12" ht="15.6">
      <c r="A79" s="26" t="str">
        <v>Burritt Road</v>
      </c>
      <c r="B79" s="27" t="str">
        <v>NY</v>
      </c>
      <c r="C79" s="27" t="str">
        <f>Sites[[#This Row],[SOL'#]]</f>
        <v>SOL-10913</v>
      </c>
      <c r="D79" s="9"/>
      <c r="E79" s="14"/>
      <c r="F79" s="14"/>
      <c r="G79" s="15" t="str">
        <f t="shared" si="7"/>
        <v/>
      </c>
      <c r="H79" s="16"/>
      <c r="I79" s="16"/>
      <c r="J79" s="15" t="str">
        <f t="shared" si="5"/>
        <v/>
      </c>
      <c r="K79" s="57"/>
      <c r="L79" s="57"/>
    </row>
    <row r="80" spans="1:12" ht="15.6">
      <c r="A80" s="28" t="str">
        <v>Villa Roma 1</v>
      </c>
      <c r="B80" s="25" t="str">
        <v>NY</v>
      </c>
      <c r="C80" s="25" t="str">
        <f>Sites[[#This Row],[SOL'#]]</f>
        <v>SOL-10914</v>
      </c>
      <c r="D80" s="20"/>
      <c r="E80" s="10"/>
      <c r="F80" s="10"/>
      <c r="G80" s="11" t="str">
        <f t="shared" si="7"/>
        <v/>
      </c>
      <c r="H80" s="12"/>
      <c r="I80" s="12"/>
      <c r="J80" s="13" t="str">
        <f t="shared" si="5"/>
        <v/>
      </c>
      <c r="K80" s="59"/>
      <c r="L80" s="59"/>
    </row>
    <row r="81" spans="1:12" ht="15.6">
      <c r="A81" s="26" t="str">
        <v>Villa Roma 2</v>
      </c>
      <c r="B81" s="27" t="str">
        <v>NY</v>
      </c>
      <c r="C81" s="27" t="str">
        <f>Sites[[#This Row],[SOL'#]]</f>
        <v>SOL-10915</v>
      </c>
      <c r="D81" s="9"/>
      <c r="E81" s="14"/>
      <c r="F81" s="14"/>
      <c r="G81" s="15" t="str">
        <f t="shared" si="7"/>
        <v/>
      </c>
      <c r="H81" s="16"/>
      <c r="I81" s="16"/>
      <c r="J81" s="15" t="str">
        <f t="shared" si="5"/>
        <v/>
      </c>
      <c r="K81" s="57"/>
      <c r="L81" s="57"/>
    </row>
    <row r="82" spans="1:12" ht="15.6">
      <c r="A82" s="28" t="str">
        <v>Washington 1</v>
      </c>
      <c r="B82" s="25" t="str">
        <v>NY</v>
      </c>
      <c r="C82" s="25" t="str">
        <f>Sites[[#This Row],[SOL'#]]</f>
        <v>SOL-10912</v>
      </c>
      <c r="D82" s="20"/>
      <c r="E82" s="10"/>
      <c r="F82" s="10"/>
      <c r="G82" s="11" t="str">
        <f t="shared" si="7"/>
        <v/>
      </c>
      <c r="H82" s="12"/>
      <c r="I82" s="12"/>
      <c r="J82" s="13" t="str">
        <f t="shared" ref="J82:J86" si="8">IFERROR(I82/H82, "")</f>
        <v/>
      </c>
      <c r="K82" s="59"/>
      <c r="L82" s="59"/>
    </row>
    <row r="83" spans="1:12" ht="15.6">
      <c r="A83" s="26" t="str">
        <v>Washington 3</v>
      </c>
      <c r="B83" s="27" t="str">
        <v>NY</v>
      </c>
      <c r="C83" s="27" t="str">
        <f>Sites[[#This Row],[SOL'#]]</f>
        <v>SOL-10828</v>
      </c>
      <c r="D83" s="9"/>
      <c r="E83" s="14"/>
      <c r="F83" s="14"/>
      <c r="G83" s="15" t="str">
        <f t="shared" si="7"/>
        <v/>
      </c>
      <c r="H83" s="16"/>
      <c r="I83" s="16"/>
      <c r="J83" s="15" t="str">
        <f t="shared" si="8"/>
        <v/>
      </c>
      <c r="K83" s="57"/>
      <c r="L83" s="57"/>
    </row>
    <row r="84" spans="1:12" ht="15.6">
      <c r="A84" s="28" t="str">
        <v>Washington 4</v>
      </c>
      <c r="B84" s="25" t="str">
        <v>NY</v>
      </c>
      <c r="C84" s="25" t="str">
        <f>Sites[[#This Row],[SOL'#]]</f>
        <v>SOL-10829</v>
      </c>
      <c r="D84" s="20"/>
      <c r="E84" s="10"/>
      <c r="F84" s="10"/>
      <c r="G84" s="11" t="str">
        <f t="shared" si="7"/>
        <v/>
      </c>
      <c r="H84" s="12"/>
      <c r="I84" s="12"/>
      <c r="J84" s="13" t="str">
        <f t="shared" si="8"/>
        <v/>
      </c>
      <c r="K84" s="59"/>
      <c r="L84" s="59"/>
    </row>
    <row r="85" spans="1:12" ht="15.6">
      <c r="A85" s="26" t="str">
        <v>Big Tree</v>
      </c>
      <c r="B85" s="27" t="str">
        <v>NY</v>
      </c>
      <c r="C85" s="27" t="str">
        <f>Sites[[#This Row],[SOL'#]]</f>
        <v>SOL-10966</v>
      </c>
      <c r="D85" s="9"/>
      <c r="E85" s="14"/>
      <c r="F85" s="14" t="str">
        <f t="shared" si="6"/>
        <v/>
      </c>
      <c r="G85" s="15" t="str">
        <f t="shared" si="7"/>
        <v/>
      </c>
      <c r="H85" s="16"/>
      <c r="I85" s="16" t="str">
        <f t="shared" ref="I85:I110" si="9">IF(AND(ISNUMBER(D85),ISNUMBER(H85)), D85-H85, "")</f>
        <v/>
      </c>
      <c r="J85" s="15" t="str">
        <f t="shared" si="8"/>
        <v/>
      </c>
      <c r="K85" s="87"/>
      <c r="L85" s="57"/>
    </row>
    <row r="86" spans="1:12" ht="15.6">
      <c r="A86" s="28" t="str">
        <v>Canoga</v>
      </c>
      <c r="B86" s="25" t="str">
        <v>NY</v>
      </c>
      <c r="C86" s="25" t="str">
        <f>Sites[[#This Row],[SOL'#]]</f>
        <v>SOL-10965</v>
      </c>
      <c r="D86" s="20"/>
      <c r="E86" s="10"/>
      <c r="F86" s="10" t="str">
        <f t="shared" si="6"/>
        <v/>
      </c>
      <c r="G86" s="11" t="str">
        <f t="shared" si="7"/>
        <v/>
      </c>
      <c r="H86" s="12"/>
      <c r="I86" s="12" t="str">
        <f t="shared" si="9"/>
        <v/>
      </c>
      <c r="J86" s="13" t="str">
        <f t="shared" si="8"/>
        <v/>
      </c>
      <c r="K86" s="59"/>
      <c r="L86" s="59"/>
    </row>
    <row r="87" spans="1:12" ht="15.6">
      <c r="A87" s="26" t="str">
        <v>County Route 84</v>
      </c>
      <c r="B87" s="27" t="str">
        <v>NY</v>
      </c>
      <c r="C87" s="27" t="str">
        <f>Sites[[#This Row],[SOL'#]]</f>
        <v>SOL-10967</v>
      </c>
      <c r="D87" s="9"/>
      <c r="E87" s="14"/>
      <c r="F87" s="14" t="str">
        <f t="shared" si="6"/>
        <v/>
      </c>
      <c r="G87" s="15" t="str">
        <f t="shared" si="7"/>
        <v/>
      </c>
      <c r="H87" s="16"/>
      <c r="I87" s="16" t="str">
        <f t="shared" si="9"/>
        <v/>
      </c>
      <c r="J87" s="15" t="str">
        <f t="shared" ref="J87:J110" si="10">IFERROR(I87/H87, "")</f>
        <v/>
      </c>
      <c r="K87" s="57"/>
      <c r="L87" s="57"/>
    </row>
    <row r="88" spans="1:12" ht="15.6">
      <c r="A88" s="28" t="str">
        <v>Donati</v>
      </c>
      <c r="B88" s="25" t="str">
        <v>NY</v>
      </c>
      <c r="C88" s="25" t="str">
        <f>Sites[[#This Row],[SOL'#]]</f>
        <v>SOL-10968</v>
      </c>
      <c r="D88" s="20"/>
      <c r="E88" s="10"/>
      <c r="F88" s="10" t="str">
        <f t="shared" si="6"/>
        <v/>
      </c>
      <c r="G88" s="11" t="str">
        <f t="shared" si="7"/>
        <v/>
      </c>
      <c r="H88" s="12"/>
      <c r="I88" s="12" t="str">
        <f t="shared" si="9"/>
        <v/>
      </c>
      <c r="J88" s="13" t="str">
        <f t="shared" si="10"/>
        <v/>
      </c>
      <c r="K88" s="59"/>
      <c r="L88" s="59"/>
    </row>
    <row r="89" spans="1:12" ht="15.6">
      <c r="A89" s="26" t="str">
        <v>Henrietta</v>
      </c>
      <c r="B89" s="27" t="str">
        <v>NY</v>
      </c>
      <c r="C89" s="27" t="str">
        <f>Sites[[#This Row],[SOL'#]]</f>
        <v>SOL-10972</v>
      </c>
      <c r="D89" s="9"/>
      <c r="E89" s="14"/>
      <c r="F89" s="14" t="str">
        <f t="shared" si="6"/>
        <v/>
      </c>
      <c r="G89" s="15" t="str">
        <f t="shared" si="7"/>
        <v/>
      </c>
      <c r="H89" s="16"/>
      <c r="I89" s="16" t="str">
        <f t="shared" si="9"/>
        <v/>
      </c>
      <c r="J89" s="15" t="str">
        <f t="shared" si="10"/>
        <v/>
      </c>
      <c r="K89" s="57"/>
      <c r="L89" s="57"/>
    </row>
    <row r="90" spans="1:12" ht="79.5" customHeight="1">
      <c r="A90" s="28" t="str">
        <v>NY 70</v>
      </c>
      <c r="B90" s="25" t="str">
        <v>NY</v>
      </c>
      <c r="C90" s="25" t="str">
        <f>Sites[[#This Row],[SOL'#]]</f>
        <v>SOL-10970</v>
      </c>
      <c r="D90" s="20"/>
      <c r="E90" s="10"/>
      <c r="F90" s="10" t="str">
        <f t="shared" si="6"/>
        <v/>
      </c>
      <c r="G90" s="11" t="str">
        <f t="shared" si="7"/>
        <v/>
      </c>
      <c r="H90" s="12"/>
      <c r="I90" s="12" t="str">
        <f t="shared" si="9"/>
        <v/>
      </c>
      <c r="J90" s="13" t="str">
        <f t="shared" si="10"/>
        <v/>
      </c>
      <c r="K90" s="59"/>
      <c r="L90" s="59"/>
    </row>
    <row r="91" spans="1:12" ht="15.6">
      <c r="A91" s="26" t="str">
        <v>Reid</v>
      </c>
      <c r="B91" s="27" t="str">
        <v>NY</v>
      </c>
      <c r="C91" s="27" t="str">
        <f>Sites[[#This Row],[SOL'#]]</f>
        <v>SOL-10991</v>
      </c>
      <c r="D91" s="9"/>
      <c r="E91" s="14"/>
      <c r="F91" s="14" t="str">
        <f>IF(AND(ISNUMBER(D91),ISNUMBER(E91)), D91-E91, "")</f>
        <v/>
      </c>
      <c r="G91" s="15" t="str">
        <f t="shared" si="7"/>
        <v/>
      </c>
      <c r="H91" s="16"/>
      <c r="I91" s="78" t="str">
        <f>IF(AND(ISNUMBER(D91),ISNUMBER(H91)), D91-H91, "")</f>
        <v/>
      </c>
      <c r="J91" s="15"/>
      <c r="K91" s="57"/>
      <c r="L91" s="57"/>
    </row>
    <row r="92" spans="1:12" ht="15.6">
      <c r="A92" s="28" t="str">
        <v>Sangolqui</v>
      </c>
      <c r="B92" s="25" t="str">
        <v>NY</v>
      </c>
      <c r="C92" s="25" t="str">
        <f>Sites[[#This Row],[SOL'#]]</f>
        <v>SOL-10975</v>
      </c>
      <c r="D92" s="20"/>
      <c r="E92" s="10"/>
      <c r="F92" s="10" t="str">
        <f t="shared" si="6"/>
        <v/>
      </c>
      <c r="G92" s="11" t="str">
        <f t="shared" si="7"/>
        <v/>
      </c>
      <c r="H92" s="12"/>
      <c r="I92" s="12" t="str">
        <f t="shared" si="9"/>
        <v/>
      </c>
      <c r="J92" s="13" t="str">
        <f t="shared" si="10"/>
        <v/>
      </c>
      <c r="K92" s="59"/>
      <c r="L92" s="59"/>
    </row>
    <row r="93" spans="1:12" ht="15.6">
      <c r="A93" s="26" t="str">
        <v>State Highway 17B</v>
      </c>
      <c r="B93" s="27" t="str">
        <v>NY</v>
      </c>
      <c r="C93" s="27" t="str">
        <f>Sites[[#This Row],[SOL'#]]</f>
        <v>SOL-10988</v>
      </c>
      <c r="D93" s="9"/>
      <c r="E93" s="14"/>
      <c r="F93" s="14" t="str">
        <f t="shared" si="6"/>
        <v/>
      </c>
      <c r="G93" s="15" t="str">
        <f t="shared" si="7"/>
        <v/>
      </c>
      <c r="H93" s="16"/>
      <c r="I93" s="16" t="str">
        <f t="shared" si="9"/>
        <v/>
      </c>
      <c r="J93" s="15" t="str">
        <f t="shared" si="10"/>
        <v/>
      </c>
      <c r="K93" s="57"/>
      <c r="L93" s="57"/>
    </row>
    <row r="94" spans="1:12" ht="15.6">
      <c r="A94" s="28" t="str">
        <v>State Route 14A</v>
      </c>
      <c r="B94" s="25" t="str">
        <v>NY</v>
      </c>
      <c r="C94" s="25" t="str">
        <f>Sites[[#This Row],[SOL'#]]</f>
        <v>SOL-10997</v>
      </c>
      <c r="D94" s="20"/>
      <c r="E94" s="10"/>
      <c r="F94" s="10" t="str">
        <f t="shared" si="6"/>
        <v/>
      </c>
      <c r="G94" s="11" t="str">
        <f t="shared" si="7"/>
        <v/>
      </c>
      <c r="H94" s="12"/>
      <c r="I94" s="12" t="str">
        <f t="shared" si="9"/>
        <v/>
      </c>
      <c r="J94" s="13" t="str">
        <f t="shared" si="10"/>
        <v/>
      </c>
      <c r="K94" s="59"/>
      <c r="L94" s="59"/>
    </row>
    <row r="95" spans="1:12" ht="15.6">
      <c r="A95" s="26" t="str">
        <v>West Creek</v>
      </c>
      <c r="B95" s="27" t="str">
        <v>NY</v>
      </c>
      <c r="C95" s="27" t="str">
        <f>Sites[[#This Row],[SOL'#]]</f>
        <v>SOL-10995</v>
      </c>
      <c r="D95" s="9"/>
      <c r="E95" s="14"/>
      <c r="F95" s="14" t="str">
        <f t="shared" si="6"/>
        <v/>
      </c>
      <c r="G95" s="15" t="str">
        <f t="shared" si="7"/>
        <v/>
      </c>
      <c r="H95" s="16"/>
      <c r="I95" s="16" t="str">
        <f t="shared" si="9"/>
        <v/>
      </c>
      <c r="J95" s="15" t="str">
        <f t="shared" si="10"/>
        <v/>
      </c>
      <c r="K95" s="57"/>
      <c r="L95" s="57"/>
    </row>
    <row r="96" spans="1:12" ht="15.6">
      <c r="A96" s="28" t="str">
        <v>Wildflower</v>
      </c>
      <c r="B96" s="25" t="str">
        <v>NY</v>
      </c>
      <c r="C96" s="25" t="str">
        <f>Sites[[#This Row],[SOL'#]]</f>
        <v>SOL-10982</v>
      </c>
      <c r="D96" s="20"/>
      <c r="E96" s="10"/>
      <c r="F96" s="10" t="str">
        <f t="shared" si="6"/>
        <v/>
      </c>
      <c r="G96" s="11" t="str">
        <f t="shared" si="7"/>
        <v/>
      </c>
      <c r="H96" s="12"/>
      <c r="I96" s="12" t="str">
        <f t="shared" si="9"/>
        <v/>
      </c>
      <c r="J96" s="13" t="str">
        <f t="shared" si="10"/>
        <v/>
      </c>
      <c r="K96" s="59"/>
      <c r="L96" s="59"/>
    </row>
    <row r="97" spans="1:12" ht="15.6">
      <c r="A97" s="26" t="str">
        <v>Glen Mary 1</v>
      </c>
      <c r="B97" s="27" t="str">
        <v>NY</v>
      </c>
      <c r="C97" s="27" t="str">
        <f>Sites[[#This Row],[SOL'#]]</f>
        <v>SOL-10993</v>
      </c>
      <c r="D97" s="9"/>
      <c r="E97" s="14"/>
      <c r="F97" s="14" t="str">
        <f t="shared" si="6"/>
        <v/>
      </c>
      <c r="G97" s="15" t="str">
        <f t="shared" si="7"/>
        <v/>
      </c>
      <c r="H97" s="16"/>
      <c r="I97" s="16" t="str">
        <f t="shared" si="9"/>
        <v/>
      </c>
      <c r="J97" s="15" t="str">
        <f t="shared" si="10"/>
        <v/>
      </c>
      <c r="K97" s="57"/>
      <c r="L97" s="57"/>
    </row>
    <row r="98" spans="1:12" ht="15.6">
      <c r="A98" s="28" t="str">
        <v>Glen Mary 2</v>
      </c>
      <c r="B98" s="25" t="str">
        <v>NY</v>
      </c>
      <c r="C98" s="25" t="str">
        <f>Sites[[#This Row],[SOL'#]]</f>
        <v>SOL-10994</v>
      </c>
      <c r="D98" s="20"/>
      <c r="E98" s="10"/>
      <c r="F98" s="10" t="str">
        <f t="shared" si="6"/>
        <v/>
      </c>
      <c r="G98" s="11" t="str">
        <f t="shared" si="7"/>
        <v/>
      </c>
      <c r="H98" s="12"/>
      <c r="I98" s="12" t="str">
        <f t="shared" si="9"/>
        <v/>
      </c>
      <c r="J98" s="13" t="str">
        <f t="shared" si="10"/>
        <v/>
      </c>
      <c r="K98" s="59"/>
      <c r="L98" s="59"/>
    </row>
    <row r="99" spans="1:12" ht="15.6">
      <c r="A99" s="26" t="str">
        <v>Telegraph 1</v>
      </c>
      <c r="B99" s="27" t="str">
        <v>NY</v>
      </c>
      <c r="C99" s="27" t="str">
        <f>Sites[[#This Row],[SOL'#]]</f>
        <v>SOL-11003</v>
      </c>
      <c r="D99" s="9"/>
      <c r="E99" s="14"/>
      <c r="F99" s="14" t="str">
        <f t="shared" si="6"/>
        <v/>
      </c>
      <c r="G99" s="15" t="str">
        <f t="shared" si="7"/>
        <v/>
      </c>
      <c r="H99" s="16"/>
      <c r="I99" s="16" t="str">
        <f t="shared" si="9"/>
        <v/>
      </c>
      <c r="J99" s="15" t="str">
        <f t="shared" si="10"/>
        <v/>
      </c>
      <c r="K99" s="79"/>
      <c r="L99" s="57"/>
    </row>
    <row r="100" spans="1:12" ht="15.6">
      <c r="A100" s="28" t="str">
        <v>Telegraph 2</v>
      </c>
      <c r="B100" s="25" t="str">
        <v>NY</v>
      </c>
      <c r="C100" s="25" t="str">
        <f>Sites[[#This Row],[SOL'#]]</f>
        <v>SOL-11004</v>
      </c>
      <c r="D100" s="20"/>
      <c r="E100" s="10"/>
      <c r="F100" s="10" t="str">
        <f t="shared" si="6"/>
        <v/>
      </c>
      <c r="G100" s="11" t="str">
        <f t="shared" si="7"/>
        <v/>
      </c>
      <c r="H100" s="12"/>
      <c r="I100" s="12" t="str">
        <f t="shared" si="9"/>
        <v/>
      </c>
      <c r="J100" s="13" t="str">
        <f t="shared" si="10"/>
        <v/>
      </c>
      <c r="K100" s="59"/>
      <c r="L100" s="59"/>
    </row>
    <row r="101" spans="1:12" ht="15.6">
      <c r="A101" s="26" t="str">
        <v>Cafferty Hill</v>
      </c>
      <c r="B101" s="27" t="str">
        <v>NY</v>
      </c>
      <c r="C101" s="27" t="str">
        <f>Sites[[#This Row],[SOL'#]]</f>
        <v>SOL-10996</v>
      </c>
      <c r="D101" s="9"/>
      <c r="E101" s="14"/>
      <c r="F101" s="14" t="str">
        <f t="shared" si="6"/>
        <v/>
      </c>
      <c r="G101" s="15" t="str">
        <f t="shared" si="7"/>
        <v/>
      </c>
      <c r="H101" s="16"/>
      <c r="I101" s="16" t="str">
        <f t="shared" si="9"/>
        <v/>
      </c>
      <c r="J101" s="15" t="str">
        <f t="shared" si="10"/>
        <v/>
      </c>
      <c r="K101" s="57"/>
      <c r="L101" s="57"/>
    </row>
    <row r="102" spans="1:12" ht="15.6">
      <c r="A102" s="28" t="str">
        <v>Dunkleman</v>
      </c>
      <c r="B102" s="25" t="str">
        <v>NY</v>
      </c>
      <c r="C102" s="25" t="str">
        <f>Sites[[#This Row],[SOL'#]]</f>
        <v>SOL-11008</v>
      </c>
      <c r="D102" s="20"/>
      <c r="E102" s="10"/>
      <c r="F102" s="10" t="str">
        <f t="shared" si="6"/>
        <v/>
      </c>
      <c r="G102" s="11" t="str">
        <f t="shared" si="7"/>
        <v/>
      </c>
      <c r="H102" s="12"/>
      <c r="I102" s="12" t="str">
        <f t="shared" si="9"/>
        <v/>
      </c>
      <c r="J102" s="13" t="str">
        <f t="shared" si="10"/>
        <v/>
      </c>
      <c r="K102" s="59"/>
      <c r="L102" s="59"/>
    </row>
    <row r="103" spans="1:12" ht="15.6">
      <c r="A103" s="26" t="str">
        <v>Route 19 1</v>
      </c>
      <c r="B103" s="27" t="str">
        <v>NY</v>
      </c>
      <c r="C103" s="27" t="str">
        <f>Sites[[#This Row],[SOL'#]]</f>
        <v>SOL-11001</v>
      </c>
      <c r="D103" s="9"/>
      <c r="E103" s="14"/>
      <c r="F103" s="14" t="str">
        <f t="shared" si="6"/>
        <v/>
      </c>
      <c r="G103" s="15" t="str">
        <f t="shared" si="7"/>
        <v/>
      </c>
      <c r="H103" s="16"/>
      <c r="I103" s="16" t="str">
        <f t="shared" si="9"/>
        <v/>
      </c>
      <c r="J103" s="15" t="str">
        <f t="shared" si="10"/>
        <v/>
      </c>
      <c r="K103" s="121"/>
      <c r="L103" s="57"/>
    </row>
    <row r="104" spans="1:12" ht="15.6">
      <c r="A104" s="28" t="str">
        <v>Route 19 2</v>
      </c>
      <c r="B104" s="25" t="str">
        <v>NY</v>
      </c>
      <c r="C104" s="25" t="str">
        <f>Sites[[#This Row],[SOL'#]]</f>
        <v>SOL-11002</v>
      </c>
      <c r="D104" s="20"/>
      <c r="E104" s="10"/>
      <c r="F104" s="10" t="str">
        <f t="shared" si="6"/>
        <v/>
      </c>
      <c r="G104" s="11" t="str">
        <f t="shared" si="7"/>
        <v/>
      </c>
      <c r="H104" s="12"/>
      <c r="I104" s="12" t="str">
        <f t="shared" si="9"/>
        <v/>
      </c>
      <c r="J104" s="13" t="str">
        <f t="shared" si="10"/>
        <v/>
      </c>
      <c r="K104" s="59"/>
      <c r="L104" s="59"/>
    </row>
    <row r="105" spans="1:12" ht="15.6">
      <c r="A105" s="26" t="str">
        <v>Yellow Mills 1</v>
      </c>
      <c r="B105" s="27" t="str">
        <v>NY</v>
      </c>
      <c r="C105" s="27" t="str">
        <f>Sites[[#This Row],[SOL'#]]</f>
        <v>SOL-11006</v>
      </c>
      <c r="D105" s="9"/>
      <c r="E105" s="14"/>
      <c r="F105" s="14" t="str">
        <f t="shared" si="6"/>
        <v/>
      </c>
      <c r="G105" s="15" t="str">
        <f t="shared" si="7"/>
        <v/>
      </c>
      <c r="H105" s="16"/>
      <c r="I105" s="16" t="str">
        <f t="shared" si="9"/>
        <v/>
      </c>
      <c r="J105" s="15" t="str">
        <f t="shared" si="10"/>
        <v/>
      </c>
      <c r="K105" s="57"/>
      <c r="L105" s="57"/>
    </row>
    <row r="106" spans="1:12" ht="15.6">
      <c r="A106" s="28" t="str">
        <v>Yellow Mills 2</v>
      </c>
      <c r="B106" s="25" t="str">
        <v>NY</v>
      </c>
      <c r="C106" s="25" t="str">
        <f>Sites[[#This Row],[SOL'#]]</f>
        <v>SOL-11005</v>
      </c>
      <c r="D106" s="20"/>
      <c r="E106" s="10"/>
      <c r="F106" s="10" t="str">
        <f t="shared" si="6"/>
        <v/>
      </c>
      <c r="G106" s="11" t="str">
        <f t="shared" si="7"/>
        <v/>
      </c>
      <c r="H106" s="12"/>
      <c r="I106" s="12" t="str">
        <f t="shared" si="9"/>
        <v/>
      </c>
      <c r="J106" s="13" t="str">
        <f t="shared" si="10"/>
        <v/>
      </c>
      <c r="K106" s="59"/>
      <c r="L106" s="59"/>
    </row>
    <row r="107" spans="1:12" ht="15.6">
      <c r="A107" s="26" t="str">
        <v>Yellow Mills 3</v>
      </c>
      <c r="B107" s="27" t="str">
        <v>NY</v>
      </c>
      <c r="C107" s="27" t="str">
        <f>Sites[[#This Row],[SOL'#]]</f>
        <v>SOL-11007</v>
      </c>
      <c r="D107" s="9"/>
      <c r="E107" s="14"/>
      <c r="F107" s="14" t="str">
        <f t="shared" si="6"/>
        <v/>
      </c>
      <c r="G107" s="15" t="str">
        <f t="shared" si="7"/>
        <v/>
      </c>
      <c r="H107" s="16"/>
      <c r="I107" s="16" t="str">
        <f t="shared" si="9"/>
        <v/>
      </c>
      <c r="J107" s="15" t="str">
        <f t="shared" si="10"/>
        <v/>
      </c>
      <c r="K107" s="57"/>
      <c r="L107" s="57"/>
    </row>
    <row r="108" spans="1:12" ht="15.6">
      <c r="A108" s="28" t="str">
        <v>Catskill</v>
      </c>
      <c r="B108" s="25" t="str">
        <v>NY</v>
      </c>
      <c r="C108" s="25" t="str">
        <f>Sites[[#This Row],[SOL'#]]</f>
        <v>SOL-11021</v>
      </c>
      <c r="D108" s="20"/>
      <c r="E108" s="10"/>
      <c r="F108" s="10" t="str">
        <f t="shared" si="6"/>
        <v/>
      </c>
      <c r="G108" s="11" t="str">
        <f t="shared" si="7"/>
        <v/>
      </c>
      <c r="H108" s="12"/>
      <c r="I108" s="12" t="str">
        <f t="shared" si="9"/>
        <v/>
      </c>
      <c r="J108" s="13" t="str">
        <f t="shared" si="10"/>
        <v/>
      </c>
      <c r="K108" s="59"/>
      <c r="L108" s="59"/>
    </row>
    <row r="109" spans="1:12" ht="15.6">
      <c r="A109" s="26" t="str">
        <v>Eddy Ridge</v>
      </c>
      <c r="B109" s="27" t="str">
        <v>NY</v>
      </c>
      <c r="C109" s="27" t="str">
        <f>Sites[[#This Row],[SOL'#]]</f>
        <v>SOL-11054</v>
      </c>
      <c r="D109" s="9"/>
      <c r="E109" s="14"/>
      <c r="F109" s="14" t="str">
        <f t="shared" si="6"/>
        <v/>
      </c>
      <c r="G109" s="15" t="str">
        <f t="shared" si="7"/>
        <v/>
      </c>
      <c r="H109" s="16"/>
      <c r="I109" s="16" t="str">
        <f t="shared" si="9"/>
        <v/>
      </c>
      <c r="J109" s="15" t="str">
        <f t="shared" si="10"/>
        <v/>
      </c>
      <c r="K109" s="57"/>
      <c r="L109" s="57"/>
    </row>
    <row r="110" spans="1:12" ht="15.6">
      <c r="A110" s="28" t="str">
        <v>Ridgeway #1</v>
      </c>
      <c r="B110" s="25" t="str">
        <v>NY</v>
      </c>
      <c r="C110" s="25" t="str">
        <f>Sites[[#This Row],[SOL'#]]</f>
        <v>SOL-11018</v>
      </c>
      <c r="D110" s="20"/>
      <c r="E110" s="10"/>
      <c r="F110" s="10" t="str">
        <f t="shared" ref="F110:F138" si="11">IF(AND(ISNUMBER(D110),ISNUMBER(E110)), D110-E110, "")</f>
        <v/>
      </c>
      <c r="G110" s="11" t="str">
        <f t="shared" si="7"/>
        <v/>
      </c>
      <c r="H110" s="12"/>
      <c r="I110" s="12" t="str">
        <f t="shared" si="9"/>
        <v/>
      </c>
      <c r="J110" s="13" t="str">
        <f t="shared" si="10"/>
        <v/>
      </c>
      <c r="K110" s="59"/>
      <c r="L110" s="59"/>
    </row>
    <row r="111" spans="1:12" ht="15.6">
      <c r="A111" s="26" t="str">
        <v>Rivard 1</v>
      </c>
      <c r="B111" s="27" t="str">
        <v>NY</v>
      </c>
      <c r="C111" s="27" t="str">
        <f>Sites[[#This Row],[SOL'#]]</f>
        <v>SOL-11011</v>
      </c>
      <c r="D111" s="9"/>
      <c r="E111" s="14"/>
      <c r="F111" s="14" t="str">
        <f t="shared" si="11"/>
        <v/>
      </c>
      <c r="G111" s="15" t="str">
        <f t="shared" ref="G111:G138" si="12">IFERROR(F111/E111, "")</f>
        <v/>
      </c>
      <c r="H111" s="16"/>
      <c r="I111" s="16" t="str">
        <f t="shared" ref="I111:I144" si="13">IF(AND(ISNUMBER(D111),ISNUMBER(H111)), D111-H111, "")</f>
        <v/>
      </c>
      <c r="J111" s="15" t="str">
        <f t="shared" ref="J111:J144" si="14">IFERROR(I111/H111, "")</f>
        <v/>
      </c>
      <c r="K111" s="57"/>
      <c r="L111" s="57"/>
    </row>
    <row r="112" spans="1:12" ht="15.6">
      <c r="A112" s="28" t="str">
        <v>Rivard 2</v>
      </c>
      <c r="B112" s="25" t="str">
        <v>NY</v>
      </c>
      <c r="C112" s="25" t="str">
        <f>Sites[[#This Row],[SOL'#]]</f>
        <v>SOL-11012</v>
      </c>
      <c r="D112" s="20"/>
      <c r="E112" s="10"/>
      <c r="F112" s="10" t="str">
        <f t="shared" si="11"/>
        <v/>
      </c>
      <c r="G112" s="11" t="str">
        <f t="shared" si="12"/>
        <v/>
      </c>
      <c r="H112" s="12"/>
      <c r="I112" s="12" t="str">
        <f t="shared" si="13"/>
        <v/>
      </c>
      <c r="J112" s="13" t="str">
        <f t="shared" si="14"/>
        <v/>
      </c>
      <c r="K112" s="59"/>
      <c r="L112" s="59"/>
    </row>
    <row r="113" spans="1:12" ht="15.6">
      <c r="A113" s="26" t="str">
        <v>Essex</v>
      </c>
      <c r="B113" s="27" t="str">
        <v>DC</v>
      </c>
      <c r="C113" s="27" t="str">
        <f>Sites[[#This Row],[SOL'#]]</f>
        <v>SOL-10036</v>
      </c>
      <c r="D113" s="9"/>
      <c r="E113" s="14"/>
      <c r="F113" s="14" t="str">
        <f t="shared" si="11"/>
        <v/>
      </c>
      <c r="G113" s="15" t="str">
        <f t="shared" si="12"/>
        <v/>
      </c>
      <c r="H113" s="16"/>
      <c r="I113" s="16" t="str">
        <f t="shared" si="13"/>
        <v/>
      </c>
      <c r="J113" s="15" t="str">
        <f t="shared" si="14"/>
        <v/>
      </c>
      <c r="K113" s="57"/>
      <c r="L113" s="57"/>
    </row>
    <row r="114" spans="1:12" ht="15.6">
      <c r="A114" s="28" t="str">
        <v>Temple Sinai</v>
      </c>
      <c r="B114" s="25" t="str">
        <v>DC</v>
      </c>
      <c r="C114" s="25" t="str">
        <f>Sites[[#This Row],[SOL'#]]</f>
        <v>SOL-10028</v>
      </c>
      <c r="D114" s="20"/>
      <c r="E114" s="10"/>
      <c r="F114" s="10" t="str">
        <f t="shared" si="11"/>
        <v/>
      </c>
      <c r="G114" s="11" t="str">
        <f t="shared" si="12"/>
        <v/>
      </c>
      <c r="H114" s="12"/>
      <c r="I114" s="12" t="str">
        <f t="shared" si="13"/>
        <v/>
      </c>
      <c r="J114" s="13" t="str">
        <f t="shared" si="14"/>
        <v/>
      </c>
      <c r="K114" s="59"/>
      <c r="L114" s="59"/>
    </row>
    <row r="115" spans="1:12" ht="15.6">
      <c r="A115" s="26" t="str">
        <v>Weinberg 1</v>
      </c>
      <c r="B115" s="27" t="str">
        <v>DC</v>
      </c>
      <c r="C115" s="27" t="str">
        <f>Sites[[#This Row],[SOL'#]]</f>
        <v>SOL-10039</v>
      </c>
      <c r="D115" s="9"/>
      <c r="E115" s="14"/>
      <c r="F115" s="14" t="str">
        <f t="shared" si="11"/>
        <v/>
      </c>
      <c r="G115" s="15" t="str">
        <f t="shared" si="12"/>
        <v/>
      </c>
      <c r="H115" s="16"/>
      <c r="I115" s="16" t="str">
        <f t="shared" si="13"/>
        <v/>
      </c>
      <c r="J115" s="15" t="str">
        <f t="shared" si="14"/>
        <v/>
      </c>
      <c r="K115" s="57"/>
      <c r="L115" s="57"/>
    </row>
    <row r="116" spans="1:12" ht="15.6">
      <c r="A116" s="28" t="str">
        <v>Weinberg 2</v>
      </c>
      <c r="B116" s="25" t="str">
        <v>DC</v>
      </c>
      <c r="C116" s="25" t="str">
        <f>Sites[[#This Row],[SOL'#]]</f>
        <v>SOL-10045</v>
      </c>
      <c r="D116" s="20"/>
      <c r="E116" s="10"/>
      <c r="F116" s="10" t="str">
        <f t="shared" si="11"/>
        <v/>
      </c>
      <c r="G116" s="11" t="str">
        <f t="shared" si="12"/>
        <v/>
      </c>
      <c r="H116" s="12"/>
      <c r="I116" s="12" t="str">
        <f t="shared" si="13"/>
        <v/>
      </c>
      <c r="J116" s="13" t="str">
        <f t="shared" si="14"/>
        <v/>
      </c>
      <c r="K116" s="59"/>
      <c r="L116" s="59"/>
    </row>
    <row r="117" spans="1:12" ht="15.6">
      <c r="A117" s="26" t="str">
        <v>Weinberg 3</v>
      </c>
      <c r="B117" s="27" t="str">
        <v>DC</v>
      </c>
      <c r="C117" s="27" t="str">
        <f>Sites[[#This Row],[SOL'#]]</f>
        <v>SOL-10042</v>
      </c>
      <c r="D117" s="9"/>
      <c r="E117" s="14"/>
      <c r="F117" s="14" t="str">
        <f t="shared" si="11"/>
        <v/>
      </c>
      <c r="G117" s="15" t="str">
        <f t="shared" si="12"/>
        <v/>
      </c>
      <c r="H117" s="16"/>
      <c r="I117" s="16" t="str">
        <f t="shared" si="13"/>
        <v/>
      </c>
      <c r="J117" s="15" t="str">
        <f t="shared" si="14"/>
        <v/>
      </c>
      <c r="K117" s="57"/>
      <c r="L117" s="57"/>
    </row>
    <row r="118" spans="1:12" ht="15.6">
      <c r="A118" s="28" t="str">
        <v>Clayton Hall</v>
      </c>
      <c r="B118" s="25" t="str">
        <v>DE</v>
      </c>
      <c r="C118" s="25" t="str">
        <f>Sites[[#This Row],[SOL'#]]</f>
        <v>SOL-10820</v>
      </c>
      <c r="D118" s="20"/>
      <c r="E118" s="10"/>
      <c r="F118" s="10" t="str">
        <f t="shared" si="11"/>
        <v/>
      </c>
      <c r="G118" s="11" t="str">
        <f t="shared" si="12"/>
        <v/>
      </c>
      <c r="H118" s="12"/>
      <c r="I118" s="12" t="str">
        <f t="shared" si="13"/>
        <v/>
      </c>
      <c r="J118" s="13" t="str">
        <f t="shared" si="14"/>
        <v/>
      </c>
      <c r="K118" s="59"/>
      <c r="L118" s="59"/>
    </row>
    <row r="119" spans="1:12" ht="15.6">
      <c r="A119" s="26" t="str">
        <v>Field House</v>
      </c>
      <c r="B119" s="27" t="str">
        <v>DE</v>
      </c>
      <c r="C119" s="27" t="str">
        <f>Sites[[#This Row],[SOL'#]]</f>
        <v>SOL-10821</v>
      </c>
      <c r="D119" s="9"/>
      <c r="E119" s="14"/>
      <c r="F119" s="14" t="str">
        <f t="shared" si="11"/>
        <v/>
      </c>
      <c r="G119" s="15" t="str">
        <f t="shared" si="12"/>
        <v/>
      </c>
      <c r="H119" s="16"/>
      <c r="I119" s="16" t="str">
        <f t="shared" si="13"/>
        <v/>
      </c>
      <c r="J119" s="15" t="str">
        <f t="shared" si="14"/>
        <v/>
      </c>
      <c r="K119" s="57"/>
      <c r="L119" s="57"/>
    </row>
    <row r="120" spans="1:12" ht="15.6">
      <c r="A120" s="28" t="str">
        <v>Wyoming Road</v>
      </c>
      <c r="B120" s="25" t="str">
        <v>DE</v>
      </c>
      <c r="C120" s="25" t="str">
        <f>Sites[[#This Row],[SOL'#]]</f>
        <v>SOL-10819</v>
      </c>
      <c r="D120" s="20"/>
      <c r="E120" s="10"/>
      <c r="F120" s="10" t="str">
        <f t="shared" si="11"/>
        <v/>
      </c>
      <c r="G120" s="11" t="str">
        <f t="shared" si="12"/>
        <v/>
      </c>
      <c r="H120" s="12"/>
      <c r="I120" s="12" t="str">
        <f t="shared" si="13"/>
        <v/>
      </c>
      <c r="J120" s="13" t="str">
        <f t="shared" si="14"/>
        <v/>
      </c>
      <c r="K120" s="59"/>
      <c r="L120" s="59"/>
    </row>
    <row r="121" spans="1:12" ht="15.6">
      <c r="A121" s="26" t="str">
        <v>Leoku</v>
      </c>
      <c r="B121" s="27" t="str">
        <v>HI</v>
      </c>
      <c r="C121" s="27" t="str">
        <f>Sites[[#This Row],[SOL'#]]</f>
        <v>SOL-10071</v>
      </c>
      <c r="D121" s="9"/>
      <c r="E121" s="14"/>
      <c r="F121" s="14" t="str">
        <f t="shared" si="11"/>
        <v/>
      </c>
      <c r="G121" s="15" t="str">
        <f t="shared" si="12"/>
        <v/>
      </c>
      <c r="H121" s="16"/>
      <c r="I121" s="16" t="str">
        <f t="shared" si="13"/>
        <v/>
      </c>
      <c r="J121" s="15" t="str">
        <f t="shared" si="14"/>
        <v/>
      </c>
      <c r="K121" s="57"/>
      <c r="L121" s="57"/>
    </row>
    <row r="122" spans="1:12" ht="15.6">
      <c r="A122" s="28" t="str">
        <v>Waipahu</v>
      </c>
      <c r="B122" s="25" t="str">
        <v>HI</v>
      </c>
      <c r="C122" s="25" t="str">
        <f>Sites[[#This Row],[SOL'#]]</f>
        <v>SOL-10068</v>
      </c>
      <c r="D122" s="20"/>
      <c r="E122" s="10"/>
      <c r="F122" s="10" t="str">
        <f t="shared" si="11"/>
        <v/>
      </c>
      <c r="G122" s="11" t="str">
        <f t="shared" si="12"/>
        <v/>
      </c>
      <c r="H122" s="12"/>
      <c r="I122" s="12" t="str">
        <f t="shared" si="13"/>
        <v/>
      </c>
      <c r="J122" s="13" t="str">
        <f t="shared" si="14"/>
        <v/>
      </c>
      <c r="K122" s="59"/>
      <c r="L122" s="59"/>
    </row>
    <row r="123" spans="1:12" ht="15.6">
      <c r="A123" s="26" t="str">
        <v>Bird in Hand</v>
      </c>
      <c r="B123" s="27" t="str">
        <v>MD</v>
      </c>
      <c r="C123" s="27" t="str">
        <f>Sites[[#This Row],[SOL'#]]</f>
        <v>SOL-10092</v>
      </c>
      <c r="D123" s="9"/>
      <c r="E123" s="14"/>
      <c r="F123" s="14" t="str">
        <f t="shared" si="11"/>
        <v/>
      </c>
      <c r="G123" s="15" t="str">
        <f t="shared" si="12"/>
        <v/>
      </c>
      <c r="H123" s="16"/>
      <c r="I123" s="16" t="str">
        <f t="shared" si="13"/>
        <v/>
      </c>
      <c r="J123" s="15" t="str">
        <f t="shared" si="14"/>
        <v/>
      </c>
      <c r="K123" s="57"/>
      <c r="L123" s="57"/>
    </row>
    <row r="124" spans="1:12" ht="15.6">
      <c r="A124" s="28" t="str">
        <v>Shortal</v>
      </c>
      <c r="B124" s="25" t="str">
        <v>MD</v>
      </c>
      <c r="C124" s="25" t="str">
        <f>Sites[[#This Row],[SOL'#]]</f>
        <v>SOL-10091</v>
      </c>
      <c r="D124" s="20"/>
      <c r="E124" s="10"/>
      <c r="F124" s="10" t="str">
        <f t="shared" si="11"/>
        <v/>
      </c>
      <c r="G124" s="11" t="str">
        <f t="shared" si="12"/>
        <v/>
      </c>
      <c r="H124" s="12"/>
      <c r="I124" s="12" t="str">
        <f t="shared" si="13"/>
        <v/>
      </c>
      <c r="J124" s="13" t="str">
        <f t="shared" si="14"/>
        <v/>
      </c>
      <c r="K124" s="59"/>
      <c r="L124" s="59"/>
    </row>
    <row r="125" spans="1:12" ht="15.6">
      <c r="A125" s="26" t="str">
        <v>Aguadilla</v>
      </c>
      <c r="B125" s="27" t="str">
        <v>PR</v>
      </c>
      <c r="C125" s="27" t="str">
        <f>Sites[[#This Row],[SOL'#]]</f>
        <v>SOL-10072</v>
      </c>
      <c r="D125" s="9"/>
      <c r="E125" s="14"/>
      <c r="F125" s="14" t="str">
        <f t="shared" si="11"/>
        <v/>
      </c>
      <c r="G125" s="15" t="str">
        <f t="shared" si="12"/>
        <v/>
      </c>
      <c r="H125" s="16"/>
      <c r="I125" s="16" t="str">
        <f t="shared" si="13"/>
        <v/>
      </c>
      <c r="J125" s="15" t="str">
        <f t="shared" si="14"/>
        <v/>
      </c>
      <c r="K125" s="57"/>
      <c r="L125" s="57"/>
    </row>
    <row r="126" spans="1:12" ht="15.6">
      <c r="A126" s="28" t="str">
        <v>Bayamon</v>
      </c>
      <c r="B126" s="25" t="str">
        <v>PR</v>
      </c>
      <c r="C126" s="25" t="str">
        <f>Sites[[#This Row],[SOL'#]]</f>
        <v>SOL-10073</v>
      </c>
      <c r="D126" s="20"/>
      <c r="E126" s="10"/>
      <c r="F126" s="10" t="str">
        <f t="shared" si="11"/>
        <v/>
      </c>
      <c r="G126" s="11" t="str">
        <f t="shared" si="12"/>
        <v/>
      </c>
      <c r="H126" s="12"/>
      <c r="I126" s="12" t="str">
        <f t="shared" si="13"/>
        <v/>
      </c>
      <c r="J126" s="13" t="str">
        <f t="shared" si="14"/>
        <v/>
      </c>
      <c r="K126" s="59"/>
      <c r="L126" s="59"/>
    </row>
    <row r="127" spans="1:12" ht="15.6">
      <c r="A127" s="26" t="str">
        <v>St Francis</v>
      </c>
      <c r="B127" s="27" t="str">
        <v>PR</v>
      </c>
      <c r="C127" s="27" t="str">
        <f>Sites[[#This Row],[SOL'#]]</f>
        <v>SOL-10034</v>
      </c>
      <c r="D127" s="9"/>
      <c r="E127" s="14"/>
      <c r="F127" s="14" t="str">
        <f t="shared" si="11"/>
        <v/>
      </c>
      <c r="G127" s="15" t="str">
        <f t="shared" si="12"/>
        <v/>
      </c>
      <c r="H127" s="16"/>
      <c r="I127" s="16" t="str">
        <f t="shared" si="13"/>
        <v/>
      </c>
      <c r="J127" s="15" t="str">
        <f t="shared" si="14"/>
        <v/>
      </c>
      <c r="K127" s="57"/>
      <c r="L127" s="57"/>
    </row>
    <row r="128" spans="1:12" ht="15.6">
      <c r="A128" s="28" t="str">
        <v>Seaport</v>
      </c>
      <c r="B128" s="25" t="str">
        <v>MA</v>
      </c>
      <c r="C128" s="25" t="str">
        <f>Sites[[#This Row],[SOL'#]]</f>
        <v>SOL-10772</v>
      </c>
      <c r="D128" s="20"/>
      <c r="E128" s="10"/>
      <c r="F128" s="10" t="str">
        <f t="shared" si="11"/>
        <v/>
      </c>
      <c r="G128" s="11" t="str">
        <f t="shared" si="12"/>
        <v/>
      </c>
      <c r="H128" s="12"/>
      <c r="I128" s="12" t="str">
        <f t="shared" si="13"/>
        <v/>
      </c>
      <c r="J128" s="13" t="str">
        <f t="shared" si="14"/>
        <v/>
      </c>
      <c r="K128" s="59"/>
      <c r="L128" s="59"/>
    </row>
    <row r="129" spans="1:12" ht="15.6">
      <c r="A129" s="26" t="str">
        <v>Sprague St</v>
      </c>
      <c r="B129" s="27" t="str">
        <v>MA</v>
      </c>
      <c r="C129" s="27" t="str">
        <f>Sites[[#This Row],[SOL'#]]</f>
        <v>SOL-10773</v>
      </c>
      <c r="D129" s="9"/>
      <c r="E129" s="14"/>
      <c r="F129" s="14" t="str">
        <f t="shared" si="11"/>
        <v/>
      </c>
      <c r="G129" s="15" t="str">
        <f t="shared" si="12"/>
        <v/>
      </c>
      <c r="H129" s="16"/>
      <c r="I129" s="16" t="str">
        <f t="shared" si="13"/>
        <v/>
      </c>
      <c r="J129" s="15" t="str">
        <f t="shared" si="14"/>
        <v/>
      </c>
      <c r="K129" s="57"/>
      <c r="L129" s="57"/>
    </row>
    <row r="130" spans="1:12" ht="15.6">
      <c r="A130" s="28" t="str">
        <v>Summer St</v>
      </c>
      <c r="B130" s="25" t="str">
        <v>MA</v>
      </c>
      <c r="C130" s="25" t="str">
        <f>Sites[[#This Row],[SOL'#]]</f>
        <v>SOL-10764</v>
      </c>
      <c r="D130" s="20"/>
      <c r="E130" s="10"/>
      <c r="F130" s="10" t="str">
        <f t="shared" si="11"/>
        <v/>
      </c>
      <c r="G130" s="11" t="str">
        <f t="shared" si="12"/>
        <v/>
      </c>
      <c r="H130" s="12"/>
      <c r="I130" s="12" t="str">
        <f t="shared" si="13"/>
        <v/>
      </c>
      <c r="J130" s="13" t="str">
        <f t="shared" si="14"/>
        <v/>
      </c>
      <c r="K130" s="59"/>
      <c r="L130" s="59"/>
    </row>
    <row r="131" spans="1:12" ht="15.6">
      <c r="A131" s="26" t="str">
        <v>Brock St Vocational</v>
      </c>
      <c r="B131" s="27" t="str">
        <v>NH</v>
      </c>
      <c r="C131" s="27" t="str">
        <f>Sites[[#This Row],[SOL'#]]</f>
        <v>SOL-10768</v>
      </c>
      <c r="D131" s="9"/>
      <c r="E131" s="14"/>
      <c r="F131" s="14" t="str">
        <f t="shared" si="11"/>
        <v/>
      </c>
      <c r="G131" s="15" t="str">
        <f t="shared" si="12"/>
        <v/>
      </c>
      <c r="H131" s="16"/>
      <c r="I131" s="16" t="str">
        <f t="shared" si="13"/>
        <v/>
      </c>
      <c r="J131" s="15" t="str">
        <f t="shared" si="14"/>
        <v/>
      </c>
      <c r="L131" s="57"/>
    </row>
    <row r="132" spans="1:12" ht="15.6">
      <c r="A132" s="28" t="str">
        <v>McClelland ES</v>
      </c>
      <c r="B132" s="25" t="str">
        <v>NH</v>
      </c>
      <c r="C132" s="25" t="str">
        <f>Sites[[#This Row],[SOL'#]]</f>
        <v>SOL-10766</v>
      </c>
      <c r="D132" s="20"/>
      <c r="E132" s="10"/>
      <c r="F132" s="10" t="str">
        <f t="shared" si="11"/>
        <v/>
      </c>
      <c r="G132" s="11" t="str">
        <f t="shared" si="12"/>
        <v/>
      </c>
      <c r="H132" s="12"/>
      <c r="I132" s="12" t="str">
        <f t="shared" si="13"/>
        <v/>
      </c>
      <c r="J132" s="13" t="str">
        <f t="shared" si="14"/>
        <v/>
      </c>
      <c r="K132" s="82"/>
      <c r="L132" s="59"/>
    </row>
    <row r="133" spans="1:12" ht="15.6">
      <c r="A133" s="26" t="str">
        <v>Portland St</v>
      </c>
      <c r="B133" s="27" t="str">
        <v>NH</v>
      </c>
      <c r="C133" s="27" t="str">
        <f>Sites[[#This Row],[SOL'#]]</f>
        <v>SOL-10771</v>
      </c>
      <c r="D133" s="9"/>
      <c r="E133" s="14"/>
      <c r="F133" s="14" t="str">
        <f t="shared" si="11"/>
        <v/>
      </c>
      <c r="G133" s="15" t="str">
        <f t="shared" si="12"/>
        <v/>
      </c>
      <c r="H133" s="16"/>
      <c r="I133" s="16" t="str">
        <f t="shared" si="13"/>
        <v/>
      </c>
      <c r="J133" s="15" t="str">
        <f t="shared" si="14"/>
        <v/>
      </c>
      <c r="K133" s="57"/>
      <c r="L133" s="57"/>
    </row>
    <row r="134" spans="1:12" ht="15.6">
      <c r="A134" s="28" t="str">
        <v>Portsmouth HS</v>
      </c>
      <c r="B134" s="25" t="str">
        <v>NH</v>
      </c>
      <c r="C134" s="25" t="str">
        <f>Sites[[#This Row],[SOL'#]]</f>
        <v>SOL-10769</v>
      </c>
      <c r="D134" s="20"/>
      <c r="E134" s="10"/>
      <c r="F134" s="10" t="str">
        <f t="shared" si="11"/>
        <v/>
      </c>
      <c r="G134" s="11" t="str">
        <f t="shared" si="12"/>
        <v/>
      </c>
      <c r="H134" s="12"/>
      <c r="I134" s="12" t="str">
        <f t="shared" si="13"/>
        <v/>
      </c>
      <c r="J134" s="13" t="str">
        <f t="shared" si="14"/>
        <v/>
      </c>
      <c r="K134" s="59"/>
      <c r="L134" s="59"/>
    </row>
    <row r="135" spans="1:12" ht="15.6">
      <c r="A135" s="26" t="str">
        <v>Portsmouth WTP</v>
      </c>
      <c r="B135" s="27" t="str">
        <v>NH</v>
      </c>
      <c r="C135" s="27" t="str">
        <f>Sites[[#This Row],[SOL'#]]</f>
        <v>SOL-10770</v>
      </c>
      <c r="D135" s="9"/>
      <c r="E135" s="14"/>
      <c r="F135" s="14" t="str">
        <f t="shared" si="11"/>
        <v/>
      </c>
      <c r="G135" s="15" t="str">
        <f t="shared" si="12"/>
        <v/>
      </c>
      <c r="H135" s="16"/>
      <c r="I135" s="16" t="str">
        <f t="shared" si="13"/>
        <v/>
      </c>
      <c r="J135" s="77" t="str">
        <f t="shared" si="14"/>
        <v/>
      </c>
      <c r="K135" s="57"/>
      <c r="L135" s="57"/>
    </row>
    <row r="136" spans="1:12" ht="15.6">
      <c r="A136" s="28" t="str">
        <v>Rochester St</v>
      </c>
      <c r="B136" s="25" t="str">
        <v>NH</v>
      </c>
      <c r="C136" s="25" t="str">
        <f>Sites[[#This Row],[SOL'#]]</f>
        <v>SOL-10765</v>
      </c>
      <c r="D136" s="20"/>
      <c r="E136" s="10"/>
      <c r="F136" s="10" t="str">
        <f t="shared" si="11"/>
        <v/>
      </c>
      <c r="G136" s="11" t="str">
        <f t="shared" si="12"/>
        <v/>
      </c>
      <c r="H136" s="12"/>
      <c r="I136" s="12" t="str">
        <f t="shared" si="13"/>
        <v/>
      </c>
      <c r="J136" s="13" t="str">
        <f t="shared" si="14"/>
        <v/>
      </c>
      <c r="K136" s="59"/>
      <c r="L136" s="59"/>
    </row>
    <row r="137" spans="1:12" ht="15.6">
      <c r="A137" s="26" t="str">
        <v>Spaulding HS</v>
      </c>
      <c r="B137" s="27" t="str">
        <v>NH</v>
      </c>
      <c r="C137" s="27" t="str">
        <f>Sites[[#This Row],[SOL'#]]</f>
        <v>SOL-10767</v>
      </c>
      <c r="D137" s="9"/>
      <c r="E137" s="14"/>
      <c r="F137" s="14" t="str">
        <f t="shared" si="11"/>
        <v/>
      </c>
      <c r="G137" s="15" t="str">
        <f t="shared" si="12"/>
        <v/>
      </c>
      <c r="H137" s="16"/>
      <c r="I137" s="16" t="str">
        <f t="shared" si="13"/>
        <v/>
      </c>
      <c r="J137" s="15" t="str">
        <f t="shared" si="14"/>
        <v/>
      </c>
      <c r="K137" s="57"/>
      <c r="L137" s="57"/>
    </row>
    <row r="138" spans="1:12" ht="15.6">
      <c r="A138" s="28" t="str">
        <v>Ridgeway #2</v>
      </c>
      <c r="B138" s="25" t="str">
        <v>NY</v>
      </c>
      <c r="C138" s="25" t="str">
        <f>Sites[[#This Row],[SOL'#]]</f>
        <v>SOL-11027</v>
      </c>
      <c r="D138" s="20"/>
      <c r="E138" s="10"/>
      <c r="F138" s="10" t="str">
        <f t="shared" si="11"/>
        <v/>
      </c>
      <c r="G138" s="11" t="str">
        <f t="shared" si="12"/>
        <v/>
      </c>
      <c r="H138" s="12"/>
      <c r="I138" s="12" t="str">
        <f t="shared" si="13"/>
        <v/>
      </c>
      <c r="J138" s="13" t="str">
        <f t="shared" si="14"/>
        <v/>
      </c>
      <c r="K138" s="59"/>
      <c r="L138" s="59"/>
    </row>
    <row r="139" spans="1:12" ht="15.6">
      <c r="A139" s="26" t="str">
        <v>Spencer</v>
      </c>
      <c r="B139" s="27" t="str">
        <v>NY</v>
      </c>
      <c r="C139" s="27" t="str">
        <f>Sites[[#This Row],[SOL'#]]</f>
        <v>SOL-11017</v>
      </c>
      <c r="D139" s="9"/>
      <c r="E139" s="14"/>
      <c r="F139" s="14" t="str">
        <f t="shared" ref="F139:F159" si="15">IF(AND(ISNUMBER(D139),ISNUMBER(E139)), D139-E139, "")</f>
        <v/>
      </c>
      <c r="G139" s="15" t="str">
        <f t="shared" ref="G139:G159" si="16">IFERROR(F139/E139, "")</f>
        <v/>
      </c>
      <c r="H139" s="16"/>
      <c r="I139" s="16" t="str">
        <f t="shared" si="13"/>
        <v/>
      </c>
      <c r="J139" s="15" t="str">
        <f t="shared" si="14"/>
        <v/>
      </c>
      <c r="K139" s="57"/>
      <c r="L139" s="57"/>
    </row>
    <row r="140" spans="1:12" ht="15.6">
      <c r="A140" s="28" t="str">
        <v>Reisender</v>
      </c>
      <c r="B140" s="25" t="str">
        <v>NY</v>
      </c>
      <c r="C140" s="25" t="str">
        <f>Sites[[#This Row],[SOL'#]]</f>
        <v>SOL-10886</v>
      </c>
      <c r="D140" s="20"/>
      <c r="E140" s="10"/>
      <c r="F140" s="10" t="str">
        <f t="shared" si="15"/>
        <v/>
      </c>
      <c r="G140" s="11" t="str">
        <f t="shared" si="16"/>
        <v/>
      </c>
      <c r="H140" s="12"/>
      <c r="I140" s="12" t="str">
        <f t="shared" si="13"/>
        <v/>
      </c>
      <c r="J140" s="13" t="str">
        <f t="shared" si="14"/>
        <v/>
      </c>
      <c r="K140" s="59"/>
      <c r="L140" s="59"/>
    </row>
    <row r="141" spans="1:12" ht="15.6">
      <c r="A141" s="26" t="str">
        <v>Finney</v>
      </c>
      <c r="B141" s="27" t="str">
        <v>NY</v>
      </c>
      <c r="C141" s="27" t="str">
        <f>Sites[[#This Row],[SOL'#]]</f>
        <v>SOL-10999</v>
      </c>
      <c r="D141" s="9"/>
      <c r="E141" s="14"/>
      <c r="F141" s="14" t="str">
        <f t="shared" si="15"/>
        <v/>
      </c>
      <c r="G141" s="15" t="str">
        <f t="shared" si="16"/>
        <v/>
      </c>
      <c r="H141" s="16"/>
      <c r="I141" s="16" t="str">
        <f t="shared" si="13"/>
        <v/>
      </c>
      <c r="J141" s="15" t="str">
        <f t="shared" si="14"/>
        <v/>
      </c>
      <c r="K141" s="57"/>
      <c r="L141" s="57"/>
    </row>
    <row r="142" spans="1:12" ht="15.6">
      <c r="A142" s="28" t="str">
        <v>Davis Solar</v>
      </c>
      <c r="B142" s="25" t="str">
        <v>NY</v>
      </c>
      <c r="C142" s="25" t="str">
        <f>Sites[[#This Row],[SOL'#]]</f>
        <v>SOL-10958</v>
      </c>
      <c r="D142" s="20"/>
      <c r="E142" s="10"/>
      <c r="F142" s="10" t="str">
        <f t="shared" si="15"/>
        <v/>
      </c>
      <c r="G142" s="11" t="str">
        <f t="shared" si="16"/>
        <v/>
      </c>
      <c r="H142" s="12"/>
      <c r="I142" s="12" t="str">
        <f t="shared" si="13"/>
        <v/>
      </c>
      <c r="J142" s="13" t="str">
        <f t="shared" si="14"/>
        <v/>
      </c>
      <c r="K142" s="82"/>
      <c r="L142" s="59"/>
    </row>
    <row r="143" spans="1:12" ht="15.6">
      <c r="A143" s="26" t="str">
        <v>Genesee</v>
      </c>
      <c r="B143" s="27" t="str">
        <v>NY</v>
      </c>
      <c r="C143" s="27" t="str">
        <f>Sites[[#This Row],[SOL'#]]</f>
        <v>SOL-10951</v>
      </c>
      <c r="D143" s="9"/>
      <c r="E143" s="14"/>
      <c r="F143" s="14" t="str">
        <f t="shared" si="15"/>
        <v/>
      </c>
      <c r="G143" s="15" t="str">
        <f t="shared" si="16"/>
        <v/>
      </c>
      <c r="H143" s="16"/>
      <c r="I143" s="16" t="str">
        <f t="shared" si="13"/>
        <v/>
      </c>
      <c r="J143" s="15" t="str">
        <f t="shared" si="14"/>
        <v/>
      </c>
      <c r="K143" s="57"/>
      <c r="L143" s="57"/>
    </row>
    <row r="144" spans="1:12" ht="15.6">
      <c r="A144" s="28" t="str">
        <v>Landau I</v>
      </c>
      <c r="B144" s="25" t="str">
        <v>NY</v>
      </c>
      <c r="C144" s="25" t="str">
        <f>Sites[[#This Row],[SOL'#]]</f>
        <v>SOL-10891</v>
      </c>
      <c r="D144" s="20"/>
      <c r="E144" s="10"/>
      <c r="F144" s="10" t="str">
        <f t="shared" si="15"/>
        <v/>
      </c>
      <c r="G144" s="11" t="str">
        <f t="shared" si="16"/>
        <v/>
      </c>
      <c r="H144" s="12"/>
      <c r="I144" s="12" t="str">
        <f t="shared" si="13"/>
        <v/>
      </c>
      <c r="J144" s="13" t="str">
        <f t="shared" si="14"/>
        <v/>
      </c>
      <c r="K144" s="59"/>
      <c r="L144" s="59"/>
    </row>
    <row r="145" spans="1:12" ht="15.6">
      <c r="A145" s="26" t="str">
        <v>Landau II</v>
      </c>
      <c r="B145" s="27" t="str">
        <v>NY</v>
      </c>
      <c r="C145" s="27" t="str">
        <f>Sites[[#This Row],[SOL'#]]</f>
        <v>SOL-10895</v>
      </c>
      <c r="D145" s="9"/>
      <c r="E145" s="14"/>
      <c r="F145" s="14"/>
      <c r="G145" s="15"/>
      <c r="H145" s="16"/>
      <c r="I145" s="16" t="str">
        <f>IF(AND(ISNUMBER(D145),ISNUMBER(H145)), D145-H145, "")</f>
        <v/>
      </c>
      <c r="J145" s="15" t="str">
        <f>IFERROR(I145/H145, "")</f>
        <v/>
      </c>
      <c r="K145" s="57"/>
      <c r="L145" s="57"/>
    </row>
    <row r="146" spans="1:12" ht="15.6">
      <c r="A146" s="28" t="str">
        <v>New Beginnings</v>
      </c>
      <c r="B146" s="25" t="str">
        <v>NY</v>
      </c>
      <c r="C146" s="25" t="str">
        <f>Sites[[#This Row],[SOL'#]]</f>
        <v>SOL-10890</v>
      </c>
      <c r="D146" s="20"/>
      <c r="E146" s="10"/>
      <c r="F146" s="10"/>
      <c r="G146" s="11"/>
      <c r="H146" s="12"/>
      <c r="I146" s="12"/>
      <c r="J146" s="13"/>
      <c r="K146" s="59"/>
      <c r="L146" s="59"/>
    </row>
    <row r="147" spans="1:12" ht="15.6">
      <c r="A147" s="26" t="str">
        <v>Guilin Farm Solar</v>
      </c>
      <c r="B147" s="27" t="str">
        <v>NY</v>
      </c>
      <c r="C147" s="27" t="str">
        <f>Sites[[#This Row],[SOL'#]]</f>
        <v>SOL-10998</v>
      </c>
      <c r="D147" s="9"/>
      <c r="E147" s="14"/>
      <c r="F147" s="14" t="str">
        <f t="shared" si="15"/>
        <v/>
      </c>
      <c r="G147" s="15" t="str">
        <f t="shared" si="16"/>
        <v/>
      </c>
      <c r="H147" s="16"/>
      <c r="I147" s="16" t="str">
        <f t="shared" ref="I147:I159" si="17">IF(AND(ISNUMBER(D147),ISNUMBER(H147)), D147-H147, "")</f>
        <v/>
      </c>
      <c r="J147" s="15" t="str">
        <f t="shared" ref="J147:J158" si="18">IFERROR(I147/H147, "")</f>
        <v/>
      </c>
      <c r="K147" s="57"/>
      <c r="L147" s="57"/>
    </row>
    <row r="148" spans="1:12" ht="15.6">
      <c r="A148" s="28" t="str">
        <v>Brodhead Solar</v>
      </c>
      <c r="B148" s="25" t="str">
        <v>NY</v>
      </c>
      <c r="C148" s="25" t="str">
        <f>Sites[[#This Row],[SOL'#]]</f>
        <v>SOL-10899</v>
      </c>
      <c r="D148" s="20"/>
      <c r="E148" s="10"/>
      <c r="F148" s="10" t="str">
        <f t="shared" si="15"/>
        <v/>
      </c>
      <c r="G148" s="11" t="str">
        <f t="shared" si="16"/>
        <v/>
      </c>
      <c r="H148" s="12"/>
      <c r="I148" s="12" t="str">
        <f t="shared" si="17"/>
        <v/>
      </c>
      <c r="J148" s="13" t="str">
        <f t="shared" si="18"/>
        <v/>
      </c>
      <c r="K148" s="59"/>
      <c r="L148" s="59"/>
    </row>
    <row r="149" spans="1:12" ht="15.6">
      <c r="A149" s="26" t="str">
        <v>Svenski</v>
      </c>
      <c r="B149" s="27" t="str">
        <v>NY</v>
      </c>
      <c r="C149" s="27" t="str">
        <f>Sites[[#This Row],[SOL'#]]</f>
        <v>SOL-10894</v>
      </c>
      <c r="D149" s="9"/>
      <c r="E149" s="14"/>
      <c r="F149" s="14" t="str">
        <f t="shared" si="15"/>
        <v/>
      </c>
      <c r="G149" s="15" t="str">
        <f t="shared" si="16"/>
        <v/>
      </c>
      <c r="H149" s="16"/>
      <c r="I149" s="16" t="str">
        <f t="shared" si="17"/>
        <v/>
      </c>
      <c r="J149" s="15" t="str">
        <f t="shared" si="18"/>
        <v/>
      </c>
      <c r="K149" s="57"/>
      <c r="L149" s="57"/>
    </row>
    <row r="150" spans="1:12" ht="15.6">
      <c r="A150" s="28" t="str">
        <v>Bantam</v>
      </c>
      <c r="B150" s="25" t="str">
        <v>NY</v>
      </c>
      <c r="C150" s="25" t="str">
        <f>Sites[[#This Row],[SOL'#]]</f>
        <v>SOL-10986</v>
      </c>
      <c r="D150" s="20"/>
      <c r="E150" s="10"/>
      <c r="F150" s="10" t="str">
        <f t="shared" si="15"/>
        <v/>
      </c>
      <c r="G150" s="11" t="str">
        <f t="shared" si="16"/>
        <v/>
      </c>
      <c r="H150" s="12"/>
      <c r="I150" s="12" t="str">
        <f t="shared" si="17"/>
        <v/>
      </c>
      <c r="J150" s="13" t="str">
        <f t="shared" si="18"/>
        <v/>
      </c>
      <c r="K150" s="59"/>
      <c r="L150" s="59"/>
    </row>
    <row r="151" spans="1:12" ht="15.6">
      <c r="A151" s="26" t="str">
        <v>Bogart</v>
      </c>
      <c r="B151" s="27" t="str">
        <v>NY</v>
      </c>
      <c r="C151" s="27" t="str">
        <f>Sites[[#This Row],[SOL'#]]</f>
        <v>SOL-10887</v>
      </c>
      <c r="D151" s="9"/>
      <c r="E151" s="14"/>
      <c r="F151" s="14" t="str">
        <f t="shared" si="15"/>
        <v/>
      </c>
      <c r="G151" s="15" t="str">
        <f t="shared" si="16"/>
        <v/>
      </c>
      <c r="H151" s="16"/>
      <c r="I151" s="16" t="str">
        <f t="shared" si="17"/>
        <v/>
      </c>
      <c r="J151" s="15" t="str">
        <f t="shared" si="18"/>
        <v/>
      </c>
      <c r="K151" s="57"/>
      <c r="L151" s="57"/>
    </row>
    <row r="152" spans="1:12" ht="15.6">
      <c r="A152" s="28" t="str">
        <v>Dubois</v>
      </c>
      <c r="B152" s="25" t="str">
        <v>NY</v>
      </c>
      <c r="C152" s="25" t="str">
        <f>Sites[[#This Row],[SOL'#]]</f>
        <v>SOL-10892</v>
      </c>
      <c r="D152" s="20"/>
      <c r="E152" s="10"/>
      <c r="F152" s="10" t="str">
        <f t="shared" si="15"/>
        <v/>
      </c>
      <c r="G152" s="11" t="str">
        <f t="shared" si="16"/>
        <v/>
      </c>
      <c r="H152" s="12"/>
      <c r="I152" s="12" t="str">
        <f t="shared" si="17"/>
        <v/>
      </c>
      <c r="J152" s="13" t="str">
        <f t="shared" si="18"/>
        <v/>
      </c>
      <c r="K152" s="59"/>
      <c r="L152" s="59"/>
    </row>
    <row r="153" spans="1:12" ht="15.6">
      <c r="A153" s="26" t="str">
        <v>Salt Point</v>
      </c>
      <c r="B153" s="27" t="str">
        <v>NY</v>
      </c>
      <c r="C153" s="27" t="str">
        <f>Sites[[#This Row],[SOL'#]]</f>
        <v>SOL-10888</v>
      </c>
      <c r="D153" s="9"/>
      <c r="E153" s="14"/>
      <c r="F153" s="14" t="str">
        <f t="shared" si="15"/>
        <v/>
      </c>
      <c r="G153" s="15" t="str">
        <f t="shared" si="16"/>
        <v/>
      </c>
      <c r="H153" s="16"/>
      <c r="I153" s="16" t="str">
        <f t="shared" si="17"/>
        <v/>
      </c>
      <c r="J153" s="15" t="str">
        <f t="shared" si="18"/>
        <v/>
      </c>
      <c r="K153" s="57"/>
      <c r="L153" s="57"/>
    </row>
    <row r="154" spans="1:12" ht="15.6">
      <c r="A154" s="28" t="str">
        <v>Wheatland 2A</v>
      </c>
      <c r="B154" s="25" t="str">
        <v>NY</v>
      </c>
      <c r="C154" s="25" t="str">
        <f>Sites[[#This Row],[SOL'#]]</f>
        <v>SOL-10971</v>
      </c>
      <c r="D154" s="20"/>
      <c r="E154" s="10"/>
      <c r="F154" s="10" t="str">
        <f t="shared" si="15"/>
        <v/>
      </c>
      <c r="G154" s="11" t="str">
        <f t="shared" si="16"/>
        <v/>
      </c>
      <c r="H154" s="12"/>
      <c r="I154" s="12" t="str">
        <f t="shared" si="17"/>
        <v/>
      </c>
      <c r="J154" s="13" t="str">
        <f t="shared" si="18"/>
        <v/>
      </c>
      <c r="K154" s="59"/>
      <c r="L154" s="59"/>
    </row>
    <row r="155" spans="1:12" ht="15.6">
      <c r="A155" s="26" t="str">
        <v>Wheatland 2B</v>
      </c>
      <c r="B155" s="27" t="str">
        <v>NY</v>
      </c>
      <c r="C155" s="27" t="str">
        <f>Sites[[#This Row],[SOL'#]]</f>
        <v>SOL-10961</v>
      </c>
      <c r="D155" s="9"/>
      <c r="E155" s="14"/>
      <c r="F155" s="14" t="str">
        <f t="shared" si="15"/>
        <v/>
      </c>
      <c r="G155" s="15" t="str">
        <f t="shared" si="16"/>
        <v/>
      </c>
      <c r="H155" s="16"/>
      <c r="I155" s="16" t="str">
        <f t="shared" si="17"/>
        <v/>
      </c>
      <c r="J155" s="15" t="str">
        <f t="shared" si="18"/>
        <v/>
      </c>
      <c r="K155" s="57"/>
      <c r="L155" s="57"/>
    </row>
    <row r="156" spans="1:12" ht="15.6">
      <c r="A156" s="28" t="str">
        <v>Brickchurch</v>
      </c>
      <c r="B156" s="25" t="str">
        <v>NY</v>
      </c>
      <c r="C156" s="25" t="str">
        <f>Sites[[#This Row],[SOL'#]]</f>
        <v>SOL-10889</v>
      </c>
      <c r="D156" s="20"/>
      <c r="E156" s="10"/>
      <c r="F156" s="10" t="str">
        <f t="shared" si="15"/>
        <v/>
      </c>
      <c r="G156" s="11" t="str">
        <f t="shared" si="16"/>
        <v/>
      </c>
      <c r="H156" s="12"/>
      <c r="I156" s="12" t="str">
        <f t="shared" si="17"/>
        <v/>
      </c>
      <c r="J156" s="13" t="str">
        <f t="shared" si="18"/>
        <v/>
      </c>
      <c r="K156" s="59"/>
      <c r="L156" s="59"/>
    </row>
    <row r="157" spans="1:12" ht="15.6">
      <c r="A157" s="26" t="str">
        <v>McCarthy Solar</v>
      </c>
      <c r="B157" s="27" t="str">
        <v>NY</v>
      </c>
      <c r="C157" s="27" t="str">
        <f>Sites[[#This Row],[SOL'#]]</f>
        <v>SOL-10992</v>
      </c>
      <c r="D157" s="9"/>
      <c r="E157" s="14"/>
      <c r="F157" s="14" t="str">
        <f t="shared" si="15"/>
        <v/>
      </c>
      <c r="G157" s="15" t="str">
        <f t="shared" si="16"/>
        <v/>
      </c>
      <c r="H157" s="16"/>
      <c r="I157" s="16" t="str">
        <f t="shared" si="17"/>
        <v/>
      </c>
      <c r="J157" s="15" t="str">
        <f t="shared" si="18"/>
        <v/>
      </c>
      <c r="K157" s="57"/>
      <c r="L157" s="57"/>
    </row>
    <row r="158" spans="1:12" ht="15.6">
      <c r="A158" s="28" t="str">
        <v>Costanza</v>
      </c>
      <c r="B158" s="25" t="str">
        <v>NY</v>
      </c>
      <c r="C158" s="25" t="str">
        <f>Sites[[#This Row],[SOL'#]]</f>
        <v>SOL-10907</v>
      </c>
      <c r="D158" s="20"/>
      <c r="E158" s="10"/>
      <c r="F158" s="10" t="str">
        <f t="shared" si="15"/>
        <v/>
      </c>
      <c r="G158" s="11" t="str">
        <f t="shared" si="16"/>
        <v/>
      </c>
      <c r="H158" s="12"/>
      <c r="I158" s="12" t="str">
        <f t="shared" si="17"/>
        <v/>
      </c>
      <c r="J158" s="13" t="str">
        <f t="shared" si="18"/>
        <v/>
      </c>
      <c r="K158" s="59"/>
      <c r="L158" s="59"/>
    </row>
    <row r="159" spans="1:12" ht="15.6">
      <c r="A159" s="26" t="str">
        <v>Lockenhurst Pond</v>
      </c>
      <c r="B159" s="27" t="str">
        <v>NY</v>
      </c>
      <c r="C159" s="27" t="str">
        <f>Sites[[#This Row],[SOL'#]]</f>
        <v>SOL-11000</v>
      </c>
      <c r="D159" s="9"/>
      <c r="E159" s="14"/>
      <c r="F159" s="14" t="str">
        <f t="shared" si="15"/>
        <v/>
      </c>
      <c r="G159" s="15" t="str">
        <f t="shared" si="16"/>
        <v/>
      </c>
      <c r="H159" s="16"/>
      <c r="I159" s="16" t="str">
        <f t="shared" si="17"/>
        <v/>
      </c>
      <c r="J159" s="77" t="str">
        <f>IFERROR(I159/H159, "")</f>
        <v/>
      </c>
      <c r="K159" s="57"/>
      <c r="L159" s="57"/>
    </row>
    <row r="160" spans="1:12" ht="15.6">
      <c r="A160" s="28" t="str">
        <v>Drinkwater</v>
      </c>
      <c r="B160" s="25" t="str">
        <v>NY</v>
      </c>
      <c r="C160" s="25" t="str">
        <f>Sites[[#This Row],[SOL'#]]</f>
        <v>SOL-10896</v>
      </c>
      <c r="D160" s="20"/>
      <c r="E160" s="10"/>
      <c r="F160" s="10"/>
      <c r="G160" s="11"/>
      <c r="H160" s="12"/>
      <c r="I160" s="76" t="str">
        <f>IF(AND(ISNUMBER(D160),ISNUMBER(H160)), D160-H160, "")</f>
        <v/>
      </c>
      <c r="J160" s="73" t="str">
        <f>IFERROR(I160/H160, "")</f>
        <v/>
      </c>
      <c r="K160" s="59"/>
      <c r="L160" s="59"/>
    </row>
    <row r="161" spans="1:12" ht="15.6">
      <c r="A161" s="26" t="str">
        <v>Altamont</v>
      </c>
      <c r="B161" s="27" t="str">
        <v>NY</v>
      </c>
      <c r="C161" s="27" t="s">
        <v>228</v>
      </c>
      <c r="D161" s="9"/>
      <c r="E161" s="14"/>
      <c r="F161" s="14"/>
      <c r="G161" s="15"/>
      <c r="H161" s="16"/>
      <c r="I161" s="16"/>
      <c r="J161" s="77"/>
      <c r="K161" s="57"/>
      <c r="L161" s="57"/>
    </row>
    <row r="162" spans="1:12" ht="15.6">
      <c r="A162" s="28" t="str">
        <v>Krumkill North</v>
      </c>
      <c r="B162" s="25" t="str">
        <v>NY</v>
      </c>
      <c r="C162" s="25" t="str">
        <f>Sites[[#This Row],[SOL'#]]</f>
        <v>SOL-11086</v>
      </c>
      <c r="D162" s="20"/>
      <c r="E162" s="10"/>
      <c r="F162" s="10"/>
      <c r="G162" s="11"/>
      <c r="H162" s="12"/>
      <c r="I162" s="76" t="str">
        <f t="shared" ref="I162" si="19">IF(AND(ISNUMBER(D162),ISNUMBER(H162)), D162-H162, "")</f>
        <v/>
      </c>
      <c r="J162" s="73" t="str">
        <f t="shared" ref="J162" si="20">IFERROR(I162/H162, "")</f>
        <v/>
      </c>
      <c r="K162" s="59"/>
      <c r="L162" s="59"/>
    </row>
    <row r="163" spans="1:12" ht="15.6">
      <c r="A163" s="26" t="str">
        <v>Krumkill South</v>
      </c>
      <c r="B163" s="27" t="str">
        <v>NY</v>
      </c>
      <c r="C163" s="27" t="s">
        <v>469</v>
      </c>
      <c r="D163" s="9"/>
      <c r="E163" s="14"/>
      <c r="F163" s="14"/>
      <c r="G163" s="15"/>
      <c r="H163" s="16"/>
      <c r="I163" s="16"/>
      <c r="J163" s="77"/>
      <c r="K163" s="57"/>
      <c r="L163" s="57"/>
    </row>
    <row r="164" spans="1:12" ht="15.6">
      <c r="A164" s="28" t="str">
        <v>X092</v>
      </c>
      <c r="B164" s="25" t="str">
        <v>NY</v>
      </c>
      <c r="C164" s="25" t="str">
        <f>Sites[[#This Row],[SOL'#]]</f>
        <v>SOL-11189</v>
      </c>
      <c r="D164" s="20"/>
      <c r="E164" s="10"/>
      <c r="F164" s="10"/>
      <c r="G164" s="11"/>
      <c r="H164" s="12"/>
      <c r="I164" s="76" t="str">
        <f t="shared" ref="I164" si="21">IF(AND(ISNUMBER(D164),ISNUMBER(H164)), D164-H164, "")</f>
        <v/>
      </c>
      <c r="J164" s="73" t="str">
        <f t="shared" ref="J164" si="22">IFERROR(I164/H164, "")</f>
        <v/>
      </c>
      <c r="K164" s="59"/>
      <c r="L164" s="59"/>
    </row>
    <row r="165" spans="1:12" ht="15.6">
      <c r="A165" s="26" t="str">
        <v>X093</v>
      </c>
      <c r="B165" s="27" t="str">
        <v>NY</v>
      </c>
      <c r="C165" s="27" t="s">
        <v>470</v>
      </c>
      <c r="D165" s="9"/>
      <c r="E165" s="14"/>
      <c r="F165" s="14"/>
      <c r="G165" s="15"/>
      <c r="H165" s="16"/>
      <c r="I165" s="16"/>
      <c r="J165" s="77"/>
      <c r="K165" s="57"/>
      <c r="L165" s="57"/>
    </row>
    <row r="166" spans="1:12" ht="15.6">
      <c r="A166" s="28" t="str">
        <v>X095</v>
      </c>
      <c r="B166" s="25" t="str">
        <v>NY</v>
      </c>
      <c r="C166" s="25" t="str">
        <f>Sites[[#This Row],[SOL'#]]</f>
        <v>SOL-10929</v>
      </c>
      <c r="D166" s="20"/>
      <c r="E166" s="10"/>
      <c r="F166" s="10"/>
      <c r="G166" s="11"/>
      <c r="H166" s="12"/>
      <c r="I166" s="76" t="str">
        <f t="shared" ref="I166" si="23">IF(AND(ISNUMBER(D166),ISNUMBER(H166)), D166-H166, "")</f>
        <v/>
      </c>
      <c r="J166" s="73" t="str">
        <f t="shared" ref="J166" si="24">IFERROR(I166/H166, "")</f>
        <v/>
      </c>
      <c r="K166" s="59"/>
      <c r="L166" s="59"/>
    </row>
    <row r="167" spans="1:12" ht="15.6">
      <c r="A167" s="26" t="str">
        <v>X181</v>
      </c>
      <c r="B167" s="27" t="str">
        <v>NY</v>
      </c>
      <c r="C167" s="27" t="s">
        <v>471</v>
      </c>
      <c r="D167" s="9"/>
      <c r="E167" s="14"/>
      <c r="F167" s="14"/>
      <c r="G167" s="15"/>
      <c r="H167" s="16"/>
      <c r="I167" s="16"/>
      <c r="J167" s="77"/>
      <c r="K167" s="57"/>
      <c r="L167" s="57"/>
    </row>
    <row r="168" spans="1:12" ht="15.6">
      <c r="A168" s="28" t="str">
        <v>X415</v>
      </c>
      <c r="B168" s="25" t="str">
        <v>NY</v>
      </c>
      <c r="C168" s="25" t="str">
        <f>Sites[[#This Row],[SOL'#]]</f>
        <v>SOL-10429</v>
      </c>
      <c r="D168" s="20"/>
      <c r="E168" s="10"/>
      <c r="F168" s="10"/>
      <c r="G168" s="11"/>
      <c r="H168" s="12"/>
      <c r="I168" s="76" t="str">
        <f t="shared" ref="I168" si="25">IF(AND(ISNUMBER(D168),ISNUMBER(H168)), D168-H168, "")</f>
        <v/>
      </c>
      <c r="J168" s="73" t="str">
        <f t="shared" ref="J168" si="26">IFERROR(I168/H168, "")</f>
        <v/>
      </c>
      <c r="K168" s="59"/>
      <c r="L168" s="59"/>
    </row>
    <row r="169" spans="1:12" ht="15.6">
      <c r="A169" s="26" t="str">
        <v>K198</v>
      </c>
      <c r="B169" s="27" t="str">
        <v>NY</v>
      </c>
      <c r="C169" s="27" t="s">
        <v>472</v>
      </c>
      <c r="D169" s="9"/>
      <c r="E169" s="14"/>
      <c r="F169" s="14"/>
      <c r="G169" s="15"/>
      <c r="H169" s="16"/>
      <c r="I169" s="16"/>
      <c r="J169" s="77"/>
      <c r="K169" s="57"/>
      <c r="L169" s="57"/>
    </row>
    <row r="170" spans="1:12" ht="15.6">
      <c r="A170" s="28" t="str">
        <v>K203</v>
      </c>
      <c r="B170" s="25" t="str">
        <v>NY</v>
      </c>
      <c r="C170" s="25" t="str">
        <f>Sites[[#This Row],[SOL'#]]</f>
        <v>SOL-11190</v>
      </c>
      <c r="D170" s="20"/>
      <c r="E170" s="10"/>
      <c r="F170" s="10"/>
      <c r="G170" s="11"/>
      <c r="H170" s="12"/>
      <c r="I170" s="76" t="str">
        <f t="shared" ref="I170" si="27">IF(AND(ISNUMBER(D170),ISNUMBER(H170)), D170-H170, "")</f>
        <v/>
      </c>
      <c r="J170" s="73" t="str">
        <f t="shared" ref="J170" si="28">IFERROR(I170/H170, "")</f>
        <v/>
      </c>
      <c r="K170" s="59"/>
      <c r="L170" s="59"/>
    </row>
    <row r="171" spans="1:12" ht="15.6">
      <c r="A171" s="26" t="str">
        <v>K213</v>
      </c>
      <c r="B171" s="27" t="str">
        <v>NY</v>
      </c>
      <c r="C171" s="27" t="s">
        <v>473</v>
      </c>
      <c r="D171" s="9"/>
      <c r="E171" s="14"/>
      <c r="F171" s="14"/>
      <c r="G171" s="15"/>
      <c r="H171" s="16"/>
      <c r="I171" s="16"/>
      <c r="J171" s="77"/>
      <c r="K171" s="57"/>
      <c r="L171" s="57"/>
    </row>
    <row r="172" spans="1:12" ht="15.6">
      <c r="A172" s="28" t="str">
        <v>K217</v>
      </c>
      <c r="B172" s="25" t="str">
        <v>NY</v>
      </c>
      <c r="C172" s="25" t="str">
        <f>Sites[[#This Row],[SOL'#]]</f>
        <v>SOL-10933</v>
      </c>
      <c r="D172" s="20"/>
      <c r="E172" s="10"/>
      <c r="F172" s="10"/>
      <c r="G172" s="11"/>
      <c r="H172" s="12"/>
      <c r="I172" s="76" t="str">
        <f t="shared" ref="I172" si="29">IF(AND(ISNUMBER(D172),ISNUMBER(H172)), D172-H172, "")</f>
        <v/>
      </c>
      <c r="J172" s="73" t="str">
        <f t="shared" ref="J172" si="30">IFERROR(I172/H172, "")</f>
        <v/>
      </c>
      <c r="K172" s="59"/>
      <c r="L172" s="59"/>
    </row>
    <row r="173" spans="1:12" ht="15.6">
      <c r="A173" s="26" t="str">
        <v>K307</v>
      </c>
      <c r="B173" s="27" t="str">
        <v>NY</v>
      </c>
      <c r="C173" s="27" t="s">
        <v>474</v>
      </c>
      <c r="D173" s="9"/>
      <c r="E173" s="14"/>
      <c r="F173" s="14"/>
      <c r="G173" s="15"/>
      <c r="H173" s="16"/>
      <c r="I173" s="16"/>
      <c r="J173" s="77"/>
      <c r="K173" s="57"/>
      <c r="L173" s="57"/>
    </row>
    <row r="174" spans="1:12" ht="15.6">
      <c r="A174" s="28" t="str">
        <v>K610</v>
      </c>
      <c r="B174" s="25" t="str">
        <v>NY</v>
      </c>
      <c r="C174" s="25" t="str">
        <f>Sites[[#This Row],[SOL'#]]</f>
        <v>SOL-11158</v>
      </c>
      <c r="D174" s="20"/>
      <c r="E174" s="10"/>
      <c r="F174" s="10"/>
      <c r="G174" s="11"/>
      <c r="H174" s="12"/>
      <c r="I174" s="76" t="str">
        <f t="shared" ref="I174" si="31">IF(AND(ISNUMBER(D174),ISNUMBER(H174)), D174-H174, "")</f>
        <v/>
      </c>
      <c r="J174" s="73" t="str">
        <f t="shared" ref="J174" si="32">IFERROR(I174/H174, "")</f>
        <v/>
      </c>
      <c r="K174" s="59"/>
      <c r="L174" s="59"/>
    </row>
    <row r="175" spans="1:12" ht="15.6">
      <c r="A175" s="26" t="str">
        <v>M025</v>
      </c>
      <c r="B175" s="27" t="str">
        <v>NY</v>
      </c>
      <c r="C175" s="27" t="s">
        <v>475</v>
      </c>
      <c r="D175" s="9"/>
      <c r="E175" s="14"/>
      <c r="F175" s="14"/>
      <c r="G175" s="15"/>
      <c r="H175" s="16"/>
      <c r="I175" s="16"/>
      <c r="J175" s="77"/>
      <c r="K175" s="57"/>
      <c r="L175" s="57"/>
    </row>
    <row r="176" spans="1:12" ht="15.6">
      <c r="A176" s="28" t="str">
        <v>M028</v>
      </c>
      <c r="B176" s="25" t="str">
        <v>NY</v>
      </c>
      <c r="C176" s="25" t="str">
        <f>Sites[[#This Row],[SOL'#]]</f>
        <v>SOL-10381</v>
      </c>
      <c r="D176" s="20"/>
      <c r="E176" s="10"/>
      <c r="F176" s="10"/>
      <c r="G176" s="11"/>
      <c r="H176" s="12"/>
      <c r="I176" s="76" t="str">
        <f t="shared" ref="I176" si="33">IF(AND(ISNUMBER(D176),ISNUMBER(H176)), D176-H176, "")</f>
        <v/>
      </c>
      <c r="J176" s="73" t="str">
        <f t="shared" ref="J176" si="34">IFERROR(I176/H176, "")</f>
        <v/>
      </c>
      <c r="K176" s="59"/>
      <c r="L176" s="59"/>
    </row>
    <row r="177" spans="1:12" ht="15.6">
      <c r="A177" s="26" t="str">
        <v>Q030</v>
      </c>
      <c r="B177" s="27" t="str">
        <v>NY</v>
      </c>
      <c r="C177" s="27" t="s">
        <v>476</v>
      </c>
      <c r="D177" s="9"/>
      <c r="E177" s="14"/>
      <c r="F177" s="14"/>
      <c r="G177" s="15"/>
      <c r="H177" s="16"/>
      <c r="I177" s="16"/>
      <c r="J177" s="77"/>
      <c r="K177" s="57"/>
      <c r="L177" s="57"/>
    </row>
    <row r="178" spans="1:12" ht="15.6">
      <c r="A178" s="28" t="str">
        <v>Q130</v>
      </c>
      <c r="B178" s="25" t="str">
        <v>NY</v>
      </c>
      <c r="C178" s="25" t="str">
        <f>Sites[[#This Row],[SOL'#]]</f>
        <v>SOL-10877</v>
      </c>
      <c r="D178" s="20"/>
      <c r="E178" s="10"/>
      <c r="F178" s="10"/>
      <c r="G178" s="11"/>
      <c r="H178" s="12"/>
      <c r="I178" s="76" t="str">
        <f t="shared" ref="I178" si="35">IF(AND(ISNUMBER(D178),ISNUMBER(H178)), D178-H178, "")</f>
        <v/>
      </c>
      <c r="J178" s="73" t="str">
        <f t="shared" ref="J178" si="36">IFERROR(I178/H178, "")</f>
        <v/>
      </c>
      <c r="K178" s="59"/>
      <c r="L178" s="59"/>
    </row>
    <row r="179" spans="1:12" ht="15.6">
      <c r="A179" s="26" t="str">
        <v>Q196</v>
      </c>
      <c r="B179" s="27" t="str">
        <v>NY</v>
      </c>
      <c r="C179" s="27" t="s">
        <v>477</v>
      </c>
      <c r="D179" s="9"/>
      <c r="E179" s="14"/>
      <c r="F179" s="14"/>
      <c r="G179" s="15"/>
      <c r="H179" s="16"/>
      <c r="I179" s="16"/>
      <c r="J179" s="77"/>
      <c r="K179" s="57"/>
      <c r="L179" s="57"/>
    </row>
    <row r="180" spans="1:12" ht="15.6">
      <c r="A180" s="28" t="str">
        <v>Q220</v>
      </c>
      <c r="B180" s="25" t="str">
        <v>NY</v>
      </c>
      <c r="C180" s="25" t="str">
        <f>Sites[[#This Row],[SOL'#]]</f>
        <v>SOL-10873</v>
      </c>
      <c r="D180" s="20"/>
      <c r="E180" s="10"/>
      <c r="F180" s="10"/>
      <c r="G180" s="11"/>
      <c r="H180" s="12"/>
      <c r="I180" s="76" t="str">
        <f t="shared" ref="I180" si="37">IF(AND(ISNUMBER(D180),ISNUMBER(H180)), D180-H180, "")</f>
        <v/>
      </c>
      <c r="J180" s="73" t="str">
        <f t="shared" ref="J180" si="38">IFERROR(I180/H180, "")</f>
        <v/>
      </c>
      <c r="K180" s="59"/>
      <c r="L180" s="59"/>
    </row>
    <row r="181" spans="1:12" ht="15.6">
      <c r="A181" s="26" t="str">
        <v>Q205</v>
      </c>
      <c r="B181" s="27" t="str">
        <v>NY</v>
      </c>
      <c r="C181" s="27" t="s">
        <v>478</v>
      </c>
      <c r="D181" s="9"/>
      <c r="E181" s="14"/>
      <c r="F181" s="14"/>
      <c r="G181" s="15"/>
      <c r="H181" s="16"/>
      <c r="I181" s="16"/>
      <c r="J181" s="77"/>
      <c r="K181" s="57"/>
      <c r="L181" s="57"/>
    </row>
    <row r="182" spans="1:12" ht="15.6">
      <c r="A182" s="28" t="str">
        <v>Q400</v>
      </c>
      <c r="B182" s="25" t="str">
        <v>NY</v>
      </c>
      <c r="C182" s="25" t="str">
        <f>Sites[[#This Row],[SOL'#]]</f>
        <v>SOL-10871</v>
      </c>
      <c r="D182" s="20"/>
      <c r="E182" s="10"/>
      <c r="F182" s="10"/>
      <c r="G182" s="11"/>
      <c r="H182" s="12"/>
      <c r="I182" s="76" t="str">
        <f t="shared" ref="I182" si="39">IF(AND(ISNUMBER(D182),ISNUMBER(H182)), D182-H182, "")</f>
        <v/>
      </c>
      <c r="J182" s="73" t="str">
        <f t="shared" ref="J182" si="40">IFERROR(I182/H182, "")</f>
        <v/>
      </c>
      <c r="K182" s="59"/>
      <c r="L182" s="59"/>
    </row>
    <row r="183" spans="1:12" ht="15.6">
      <c r="A183" s="26" t="str">
        <v>R003</v>
      </c>
      <c r="B183" s="27" t="str">
        <v>NY</v>
      </c>
      <c r="C183" s="27" t="s">
        <v>479</v>
      </c>
      <c r="D183" s="9"/>
      <c r="E183" s="14"/>
      <c r="F183" s="14"/>
      <c r="G183" s="15"/>
      <c r="H183" s="16"/>
      <c r="I183" s="16"/>
      <c r="J183" s="77"/>
      <c r="K183" s="57"/>
      <c r="L183" s="57"/>
    </row>
    <row r="184" spans="1:12" ht="15.6">
      <c r="A184" s="28" t="str">
        <v>R007</v>
      </c>
      <c r="B184" s="25" t="str">
        <v>NY</v>
      </c>
      <c r="C184" s="25" t="str">
        <f>Sites[[#This Row],[SOL'#]]</f>
        <v>SOL-10417</v>
      </c>
      <c r="D184" s="20"/>
      <c r="E184" s="10"/>
      <c r="F184" s="10"/>
      <c r="G184" s="11"/>
      <c r="H184" s="12"/>
      <c r="I184" s="76" t="str">
        <f t="shared" ref="I184" si="41">IF(AND(ISNUMBER(D184),ISNUMBER(H184)), D184-H184, "")</f>
        <v/>
      </c>
      <c r="J184" s="73" t="str">
        <f t="shared" ref="J184" si="42">IFERROR(I184/H184, "")</f>
        <v/>
      </c>
      <c r="K184" s="59"/>
      <c r="L184" s="59"/>
    </row>
    <row r="185" spans="1:12" ht="15.6">
      <c r="A185" s="26" t="str">
        <v>BK16</v>
      </c>
      <c r="B185" s="27" t="str">
        <v>NY</v>
      </c>
      <c r="C185" s="27" t="s">
        <v>480</v>
      </c>
      <c r="D185" s="9"/>
      <c r="E185" s="14"/>
      <c r="F185" s="14"/>
      <c r="G185" s="15"/>
      <c r="H185" s="16"/>
      <c r="I185" s="16"/>
      <c r="J185" s="77"/>
      <c r="K185" s="57"/>
      <c r="L185" s="57"/>
    </row>
    <row r="186" spans="1:12" ht="14.45">
      <c r="A186" s="17" t="str">
        <v>Trenton - Trenton East</v>
      </c>
      <c r="B186" s="29" t="str">
        <v>IL</v>
      </c>
      <c r="C186" s="29"/>
      <c r="D186" s="17"/>
      <c r="E186" s="17"/>
      <c r="G186"/>
      <c r="J186"/>
    </row>
    <row r="187" spans="1:12" ht="14.45">
      <c r="A187" s="17" t="str">
        <v>Trenton - Trenton West</v>
      </c>
      <c r="B187" s="29" t="str">
        <v>IL</v>
      </c>
      <c r="C187" s="29"/>
      <c r="D187" s="17"/>
      <c r="E187" s="17"/>
      <c r="G187"/>
      <c r="J187"/>
    </row>
    <row r="188" spans="1:12" ht="14.45">
      <c r="A188" s="17" t="str">
        <v>Dakota - Dakota Solar 1</v>
      </c>
      <c r="B188" s="29" t="str">
        <v>IL</v>
      </c>
      <c r="C188" s="29"/>
      <c r="D188" s="17"/>
      <c r="E188" s="17"/>
      <c r="G188"/>
      <c r="J188"/>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sortState xmlns:xlrd2="http://schemas.microsoft.com/office/spreadsheetml/2017/richdata2" ref="A3:L15">
    <sortCondition ref="A3:A15"/>
  </sortState>
  <mergeCells count="4">
    <mergeCell ref="H1:J1"/>
    <mergeCell ref="A1:D1"/>
    <mergeCell ref="E1:G1"/>
    <mergeCell ref="A2:B2"/>
  </mergeCells>
  <phoneticPr fontId="40"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33 G35:G74 G76:G185">
    <cfRule type="cellIs" dxfId="28" priority="11" stopIfTrue="1" operator="lessThanOrEqual">
      <formula>-0.1</formula>
    </cfRule>
    <cfRule type="expression" dxfId="27" priority="12">
      <formula>AND(ISNUMBER(G4), G4&gt;=0.1)</formula>
    </cfRule>
  </conditionalFormatting>
  <conditionalFormatting sqref="J4:J185">
    <cfRule type="cellIs" dxfId="26" priority="1" stopIfTrue="1" operator="lessThanOrEqual">
      <formula>-0.1</formula>
    </cfRule>
    <cfRule type="expression" dxfId="25"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200"/>
  <sheetViews>
    <sheetView zoomScale="70" zoomScaleNormal="70" workbookViewId="0">
      <pane xSplit="2" ySplit="3" topLeftCell="C169" activePane="bottomRight" state="frozen"/>
      <selection pane="bottomRight" activeCell="M146" sqref="M14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49" t="str" cm="1">
        <f t="array" ref="A1">portfolio</f>
        <v>Generate Capital</v>
      </c>
      <c r="B1" s="149"/>
      <c r="C1" s="149"/>
      <c r="D1" s="149"/>
      <c r="E1" s="150" t="s">
        <v>489</v>
      </c>
      <c r="F1" s="150"/>
      <c r="G1" s="150"/>
      <c r="H1" s="148" t="s">
        <v>490</v>
      </c>
      <c r="I1" s="148"/>
      <c r="J1" s="148"/>
      <c r="K1" s="4"/>
      <c r="L1" s="4"/>
    </row>
    <row r="2" spans="1:12" ht="19.5" customHeight="1">
      <c r="A2" s="151" t="s">
        <v>2</v>
      </c>
      <c r="B2" s="151"/>
      <c r="C2" s="65"/>
      <c r="D2" s="5">
        <f>SUM(D4:D200)</f>
        <v>0</v>
      </c>
      <c r="E2" s="5">
        <f>SUM(E4:E100)</f>
        <v>0</v>
      </c>
      <c r="F2" s="5">
        <f>D2-E2</f>
        <v>0</v>
      </c>
      <c r="G2" s="6">
        <f>IFERROR(F2/E2, 0)</f>
        <v>0</v>
      </c>
      <c r="H2" s="5">
        <f>SUM(H4:H200)</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88"/>
      <c r="E4" s="89"/>
      <c r="F4" s="10" t="str">
        <f>IF(AND(ISNUMBER(D4),ISNUMBER(E4)), D4-E4, "")</f>
        <v/>
      </c>
      <c r="G4" s="11" t="str">
        <f>IFERROR(F4/E4, "")</f>
        <v/>
      </c>
      <c r="H4" s="76"/>
      <c r="I4" s="12" t="str">
        <f>IF(AND(ISNUMBER(D4),ISNUMBER(H4)), D4-H4, "")</f>
        <v/>
      </c>
      <c r="J4" s="13" t="str">
        <f>IFERROR(I4/H4, "")</f>
        <v/>
      </c>
      <c r="K4" s="59"/>
      <c r="L4" s="59"/>
    </row>
    <row r="5" spans="1:12" ht="15.6">
      <c r="A5" s="26" t="str">
        <v>Fulton</v>
      </c>
      <c r="B5" s="27" t="str">
        <v>AZ</v>
      </c>
      <c r="C5" s="27" t="str">
        <f>Sites[[#This Row],[SOL'#]]</f>
        <v>SOL-10749</v>
      </c>
      <c r="D5" s="81"/>
      <c r="E5" s="90"/>
      <c r="F5" s="14" t="str">
        <f t="shared" ref="F5:F17" si="0">IF(AND(ISNUMBER(D5),ISNUMBER(E5)), D5-E5, "")</f>
        <v/>
      </c>
      <c r="G5" s="15" t="str">
        <f>IFERROR(F5/E5, "")</f>
        <v/>
      </c>
      <c r="H5" s="78"/>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88"/>
      <c r="E6" s="89"/>
      <c r="F6" s="10" t="str">
        <f t="shared" si="0"/>
        <v/>
      </c>
      <c r="G6" s="11" t="str">
        <f t="shared" ref="G6:G17" si="3">IFERROR(F6/E6, "")</f>
        <v/>
      </c>
      <c r="H6" s="76"/>
      <c r="I6" s="12" t="str">
        <f t="shared" si="1"/>
        <v/>
      </c>
      <c r="J6" s="13" t="str">
        <f t="shared" si="2"/>
        <v/>
      </c>
      <c r="K6" s="59"/>
      <c r="L6" s="59"/>
    </row>
    <row r="7" spans="1:12" ht="15.6">
      <c r="A7" s="26" t="str">
        <v>Noble</v>
      </c>
      <c r="B7" s="27" t="str">
        <v>AZ</v>
      </c>
      <c r="C7" s="27" t="str">
        <f>Sites[[#This Row],[SOL'#]]</f>
        <v>SOL-10750</v>
      </c>
      <c r="D7" s="81"/>
      <c r="E7" s="90"/>
      <c r="F7" s="14" t="str">
        <f t="shared" si="0"/>
        <v/>
      </c>
      <c r="G7" s="15" t="str">
        <f t="shared" si="3"/>
        <v/>
      </c>
      <c r="H7" s="78"/>
      <c r="I7" s="16" t="str">
        <f t="shared" si="1"/>
        <v/>
      </c>
      <c r="J7" s="15" t="str">
        <f t="shared" si="2"/>
        <v/>
      </c>
      <c r="K7" s="57"/>
      <c r="L7" s="57"/>
    </row>
    <row r="8" spans="1:12" ht="15.6">
      <c r="A8" s="24" t="str">
        <v>Parking 3</v>
      </c>
      <c r="B8" s="25" t="str">
        <v>AZ</v>
      </c>
      <c r="C8" s="25" t="str">
        <f>Sites[[#This Row],[SOL'#]]</f>
        <v>SOL-10751</v>
      </c>
      <c r="D8" s="88"/>
      <c r="E8" s="89"/>
      <c r="F8" s="10" t="str">
        <f t="shared" si="0"/>
        <v/>
      </c>
      <c r="G8" s="11" t="str">
        <f t="shared" si="3"/>
        <v/>
      </c>
      <c r="H8" s="76"/>
      <c r="I8" s="12" t="str">
        <f t="shared" si="1"/>
        <v/>
      </c>
      <c r="J8" s="13" t="str">
        <f t="shared" si="2"/>
        <v/>
      </c>
      <c r="K8" s="59"/>
      <c r="L8" s="59"/>
    </row>
    <row r="9" spans="1:12" ht="15.6">
      <c r="A9" s="26" t="str">
        <v>PE East</v>
      </c>
      <c r="B9" s="27" t="str">
        <v>AZ</v>
      </c>
      <c r="C9" s="27" t="str">
        <f>Sites[[#This Row],[SOL'#]]</f>
        <v>SOL-10752</v>
      </c>
      <c r="D9" s="81"/>
      <c r="E9" s="90"/>
      <c r="F9" s="14" t="str">
        <f t="shared" si="0"/>
        <v/>
      </c>
      <c r="G9" s="15" t="str">
        <f t="shared" si="3"/>
        <v/>
      </c>
      <c r="H9" s="78"/>
      <c r="I9" s="16" t="str">
        <f t="shared" si="1"/>
        <v/>
      </c>
      <c r="J9" s="15" t="str">
        <f t="shared" si="2"/>
        <v/>
      </c>
      <c r="K9" s="57"/>
      <c r="L9" s="57"/>
    </row>
    <row r="10" spans="1:12" ht="15.6">
      <c r="A10" s="24" t="str">
        <v>Schwada</v>
      </c>
      <c r="B10" s="25" t="str">
        <v>AZ</v>
      </c>
      <c r="C10" s="25" t="str">
        <f>Sites[[#This Row],[SOL'#]]</f>
        <v>SOL-10753</v>
      </c>
      <c r="D10" s="88"/>
      <c r="E10" s="89"/>
      <c r="F10" s="10" t="str">
        <f t="shared" si="0"/>
        <v/>
      </c>
      <c r="G10" s="11" t="str">
        <f t="shared" si="3"/>
        <v/>
      </c>
      <c r="H10" s="76"/>
      <c r="I10" s="12" t="str">
        <f t="shared" si="1"/>
        <v/>
      </c>
      <c r="J10" s="13" t="str">
        <f t="shared" si="2"/>
        <v/>
      </c>
      <c r="K10" s="59"/>
      <c r="L10" s="59"/>
    </row>
    <row r="11" spans="1:12" ht="15.6">
      <c r="A11" s="26" t="str">
        <v>Starshine</v>
      </c>
      <c r="B11" s="27" t="str">
        <v>AZ</v>
      </c>
      <c r="C11" s="27" t="str">
        <f>Sites[[#This Row],[SOL'#]]</f>
        <v>SOL-10757</v>
      </c>
      <c r="D11" s="81"/>
      <c r="E11" s="90"/>
      <c r="F11" s="14" t="str">
        <f t="shared" si="0"/>
        <v/>
      </c>
      <c r="G11" s="15" t="str">
        <f t="shared" si="3"/>
        <v/>
      </c>
      <c r="H11" s="78"/>
      <c r="I11" s="16" t="str">
        <f t="shared" si="1"/>
        <v/>
      </c>
      <c r="J11" s="15" t="str">
        <f t="shared" si="2"/>
        <v/>
      </c>
      <c r="K11" s="57"/>
      <c r="L11" s="57"/>
    </row>
    <row r="12" spans="1:12" ht="15.6">
      <c r="A12" s="24" t="str">
        <v>Yuma Airport</v>
      </c>
      <c r="B12" s="25" t="str">
        <v>AZ</v>
      </c>
      <c r="C12" s="25" t="str">
        <f>Sites[[#This Row],[SOL'#]]</f>
        <v>SOL-10754</v>
      </c>
      <c r="D12" s="88"/>
      <c r="E12" s="89"/>
      <c r="F12" s="10" t="str">
        <f t="shared" si="0"/>
        <v/>
      </c>
      <c r="G12" s="11" t="str">
        <f t="shared" si="3"/>
        <v/>
      </c>
      <c r="H12" s="76"/>
      <c r="I12" s="12" t="str">
        <f t="shared" si="1"/>
        <v/>
      </c>
      <c r="J12" s="13" t="str">
        <f t="shared" si="2"/>
        <v/>
      </c>
      <c r="K12" s="59"/>
      <c r="L12" s="59"/>
    </row>
    <row r="13" spans="1:12" ht="15.6">
      <c r="A13" s="26" t="str">
        <v>Kinsman</v>
      </c>
      <c r="B13" s="27" t="str">
        <v>OH</v>
      </c>
      <c r="C13" s="27" t="str">
        <f>Sites[[#This Row],[SOL'#]]</f>
        <v>SOL-10762</v>
      </c>
      <c r="D13" s="81"/>
      <c r="E13" s="90"/>
      <c r="F13" s="14" t="str">
        <f t="shared" si="0"/>
        <v/>
      </c>
      <c r="G13" s="15" t="str">
        <f t="shared" si="3"/>
        <v/>
      </c>
      <c r="H13" s="78"/>
      <c r="I13" s="16" t="str">
        <f t="shared" si="1"/>
        <v/>
      </c>
      <c r="J13" s="15" t="str">
        <f t="shared" si="2"/>
        <v/>
      </c>
      <c r="K13" s="57"/>
      <c r="L13" s="57"/>
    </row>
    <row r="14" spans="1:12" ht="15.6">
      <c r="A14" s="24" t="str">
        <v>Wooster</v>
      </c>
      <c r="B14" s="25" t="str">
        <v>OH</v>
      </c>
      <c r="C14" s="25" t="str">
        <f>Sites[[#This Row],[SOL'#]]</f>
        <v>SOL-10763</v>
      </c>
      <c r="D14" s="88"/>
      <c r="E14" s="89"/>
      <c r="F14" s="10" t="str">
        <f t="shared" si="0"/>
        <v/>
      </c>
      <c r="G14" s="11" t="str">
        <f t="shared" si="3"/>
        <v/>
      </c>
      <c r="H14" s="76"/>
      <c r="I14" s="12" t="str">
        <f t="shared" si="1"/>
        <v/>
      </c>
      <c r="J14" s="13" t="str">
        <f t="shared" si="2"/>
        <v/>
      </c>
      <c r="K14" s="59"/>
      <c r="L14" s="59"/>
    </row>
    <row r="15" spans="1:12" ht="15.6">
      <c r="A15" s="26" t="str">
        <v>Globe Gila CC</v>
      </c>
      <c r="B15" s="27" t="str">
        <v>AZ</v>
      </c>
      <c r="C15" s="27" t="str">
        <f>Sites[[#This Row],[SOL'#]]</f>
        <v>SOL-10755</v>
      </c>
      <c r="D15" s="81"/>
      <c r="E15" s="90"/>
      <c r="F15" s="14" t="str">
        <f t="shared" si="0"/>
        <v/>
      </c>
      <c r="G15" s="15" t="str">
        <f t="shared" si="3"/>
        <v/>
      </c>
      <c r="H15" s="78"/>
      <c r="I15" s="16" t="str">
        <f t="shared" si="1"/>
        <v/>
      </c>
      <c r="J15" s="15" t="str">
        <f t="shared" si="2"/>
        <v/>
      </c>
      <c r="K15" s="57"/>
      <c r="L15" s="57"/>
    </row>
    <row r="16" spans="1:12" ht="15.6">
      <c r="A16" s="24" t="str">
        <v>Payson Gila CC</v>
      </c>
      <c r="B16" s="25" t="str">
        <v>AZ</v>
      </c>
      <c r="C16" s="25" t="str">
        <f>Sites[[#This Row],[SOL'#]]</f>
        <v>SOL-10756</v>
      </c>
      <c r="D16" s="88"/>
      <c r="E16" s="89"/>
      <c r="F16" s="10" t="str">
        <f t="shared" si="0"/>
        <v/>
      </c>
      <c r="G16" s="11" t="str">
        <f t="shared" si="3"/>
        <v/>
      </c>
      <c r="H16" s="76"/>
      <c r="I16" s="12" t="str">
        <f t="shared" si="1"/>
        <v/>
      </c>
      <c r="J16" s="13" t="str">
        <f t="shared" si="2"/>
        <v/>
      </c>
      <c r="K16" s="59"/>
      <c r="L16" s="59"/>
    </row>
    <row r="17" spans="1:12" ht="15.6">
      <c r="A17" s="26" t="str">
        <v>SCNM</v>
      </c>
      <c r="B17" s="27" t="str">
        <v>AZ</v>
      </c>
      <c r="C17" s="27" t="str">
        <f>Sites[[#This Row],[SOL'#]]</f>
        <v>SOL-10760</v>
      </c>
      <c r="D17" s="81"/>
      <c r="E17" s="90"/>
      <c r="F17" s="14" t="str">
        <f t="shared" si="0"/>
        <v/>
      </c>
      <c r="G17" s="15" t="str">
        <f t="shared" si="3"/>
        <v/>
      </c>
      <c r="H17" s="78"/>
      <c r="I17" s="16" t="str">
        <f t="shared" si="1"/>
        <v/>
      </c>
      <c r="J17" s="15" t="str">
        <f t="shared" si="2"/>
        <v/>
      </c>
      <c r="K17" s="57"/>
      <c r="L17" s="57"/>
    </row>
    <row r="18" spans="1:12" ht="70.150000000000006" customHeight="1">
      <c r="A18" s="24" t="str">
        <v>Sequoia Charter School</v>
      </c>
      <c r="B18" s="25" t="str">
        <v>AZ</v>
      </c>
      <c r="C18" s="25" t="str">
        <f>Sites[[#This Row],[SOL'#]]</f>
        <v>SOL-10759</v>
      </c>
      <c r="D18" s="88"/>
      <c r="E18" s="89"/>
      <c r="F18" s="10" t="str">
        <f t="shared" ref="F18:F81" si="4">IF(AND(ISNUMBER(D18),ISNUMBER(E18)), D18-E18, "")</f>
        <v/>
      </c>
      <c r="G18" s="10" t="str">
        <f>IFERROR(F18/E18, "")</f>
        <v/>
      </c>
      <c r="H18" s="76"/>
      <c r="I18" s="12" t="str">
        <f t="shared" ref="I18:I81" si="5">IF(AND(ISNUMBER(D18),ISNUMBER(H18)), D18-H18, "")</f>
        <v/>
      </c>
      <c r="J18" s="13" t="str">
        <f t="shared" ref="J18:J81" si="6">IFERROR(I18/H18, "")</f>
        <v/>
      </c>
      <c r="K18" s="59"/>
      <c r="L18" s="59"/>
    </row>
    <row r="19" spans="1:12" ht="15.6">
      <c r="A19" s="26" t="str">
        <v>RCAB</v>
      </c>
      <c r="B19" s="27" t="str">
        <v>MA</v>
      </c>
      <c r="C19" s="27" t="str">
        <f>Sites[[#This Row],[SOL'#]]</f>
        <v>SOL-10838</v>
      </c>
      <c r="D19" s="81"/>
      <c r="E19" s="90"/>
      <c r="F19" s="14" t="str">
        <f t="shared" si="4"/>
        <v/>
      </c>
      <c r="G19" s="15" t="str">
        <f t="shared" ref="G19:G81" si="7">IFERROR(F19/E19, "")</f>
        <v/>
      </c>
      <c r="H19" s="78"/>
      <c r="I19" s="16" t="str">
        <f t="shared" si="5"/>
        <v/>
      </c>
      <c r="J19" s="15" t="str">
        <f t="shared" si="6"/>
        <v/>
      </c>
      <c r="K19" s="57"/>
      <c r="L19" s="57"/>
    </row>
    <row r="20" spans="1:12" ht="15.6">
      <c r="A20" s="24" t="str">
        <v>Spectro Coatings</v>
      </c>
      <c r="B20" s="25" t="str">
        <v>MA</v>
      </c>
      <c r="C20" s="25" t="str">
        <f>Sites[[#This Row],[SOL'#]]</f>
        <v>SOL-10074</v>
      </c>
      <c r="D20" s="88"/>
      <c r="E20" s="89"/>
      <c r="F20" s="10" t="str">
        <f t="shared" si="4"/>
        <v/>
      </c>
      <c r="G20" s="11" t="str">
        <f t="shared" si="7"/>
        <v/>
      </c>
      <c r="H20" s="76"/>
      <c r="I20" s="12" t="str">
        <f t="shared" si="5"/>
        <v/>
      </c>
      <c r="J20" s="13" t="str">
        <f t="shared" si="6"/>
        <v/>
      </c>
      <c r="K20" s="59"/>
      <c r="L20" s="59"/>
    </row>
    <row r="21" spans="1:12" ht="15.6">
      <c r="A21" s="26" t="str">
        <v>K026</v>
      </c>
      <c r="B21" s="27" t="str">
        <v>NY</v>
      </c>
      <c r="C21" s="27" t="str">
        <f>Sites[[#This Row],[SOL'#]]</f>
        <v>SOL-10356</v>
      </c>
      <c r="D21" s="81"/>
      <c r="E21" s="90"/>
      <c r="F21" s="14" t="str">
        <f t="shared" si="4"/>
        <v/>
      </c>
      <c r="G21" s="15" t="str">
        <f t="shared" si="7"/>
        <v/>
      </c>
      <c r="H21" s="78"/>
      <c r="I21" s="16" t="str">
        <f t="shared" si="5"/>
        <v/>
      </c>
      <c r="J21" s="15" t="str">
        <f t="shared" si="6"/>
        <v/>
      </c>
      <c r="K21" s="57"/>
      <c r="L21" s="57"/>
    </row>
    <row r="22" spans="1:12" ht="15.6">
      <c r="A22" s="24" t="str">
        <v>K041</v>
      </c>
      <c r="B22" s="25" t="str">
        <v>NY</v>
      </c>
      <c r="C22" s="25" t="str">
        <f>Sites[[#This Row],[SOL'#]]</f>
        <v>SOL-10357</v>
      </c>
      <c r="D22" s="88"/>
      <c r="E22" s="89"/>
      <c r="F22" s="10" t="str">
        <f t="shared" si="4"/>
        <v/>
      </c>
      <c r="G22" s="11" t="str">
        <f t="shared" si="7"/>
        <v/>
      </c>
      <c r="H22" s="76"/>
      <c r="I22" s="12" t="str">
        <f t="shared" si="5"/>
        <v/>
      </c>
      <c r="J22" s="13" t="str">
        <f t="shared" si="6"/>
        <v/>
      </c>
      <c r="K22" s="59"/>
      <c r="L22" s="59"/>
    </row>
    <row r="23" spans="1:12" ht="15.6">
      <c r="A23" s="26" t="str">
        <v>K043</v>
      </c>
      <c r="B23" s="27" t="str">
        <v>NY</v>
      </c>
      <c r="C23" s="27" t="str">
        <f>Sites[[#This Row],[SOL'#]]</f>
        <v>SOL-10358</v>
      </c>
      <c r="D23" s="81"/>
      <c r="E23" s="90"/>
      <c r="F23" s="14" t="str">
        <f t="shared" si="4"/>
        <v/>
      </c>
      <c r="G23" s="15" t="str">
        <f t="shared" si="7"/>
        <v/>
      </c>
      <c r="H23" s="78"/>
      <c r="I23" s="16" t="str">
        <f t="shared" si="5"/>
        <v/>
      </c>
      <c r="J23" s="15" t="str">
        <f t="shared" si="6"/>
        <v/>
      </c>
      <c r="K23" s="57"/>
      <c r="L23" s="57"/>
    </row>
    <row r="24" spans="1:12" ht="15.6">
      <c r="A24" s="24" t="str">
        <v>K058</v>
      </c>
      <c r="B24" s="25" t="str">
        <v>NY</v>
      </c>
      <c r="C24" s="25" t="str">
        <f>Sites[[#This Row],[SOL'#]]</f>
        <v>SOL-10360</v>
      </c>
      <c r="D24" s="88"/>
      <c r="E24" s="89"/>
      <c r="F24" s="10" t="str">
        <f t="shared" si="4"/>
        <v/>
      </c>
      <c r="G24" s="11" t="str">
        <f t="shared" si="7"/>
        <v/>
      </c>
      <c r="H24" s="76"/>
      <c r="I24" s="12" t="str">
        <f t="shared" si="5"/>
        <v/>
      </c>
      <c r="J24" s="13" t="str">
        <f t="shared" si="6"/>
        <v/>
      </c>
      <c r="K24" s="59"/>
      <c r="L24" s="59"/>
    </row>
    <row r="25" spans="1:12" ht="15.6">
      <c r="A25" s="26" t="str">
        <v>K115</v>
      </c>
      <c r="B25" s="27" t="str">
        <v>NY</v>
      </c>
      <c r="C25" s="27" t="str">
        <f>Sites[[#This Row],[SOL'#]]</f>
        <v>SOL-10361</v>
      </c>
      <c r="D25" s="81"/>
      <c r="E25" s="90"/>
      <c r="F25" s="14" t="str">
        <f t="shared" si="4"/>
        <v/>
      </c>
      <c r="G25" s="15" t="str">
        <f t="shared" si="7"/>
        <v/>
      </c>
      <c r="H25" s="78"/>
      <c r="I25" s="16" t="str">
        <f t="shared" si="5"/>
        <v/>
      </c>
      <c r="J25" s="15" t="str">
        <f t="shared" si="6"/>
        <v/>
      </c>
      <c r="K25" s="57"/>
      <c r="L25" s="57"/>
    </row>
    <row r="26" spans="1:12" ht="15.6">
      <c r="A26" s="24" t="str">
        <v>K152</v>
      </c>
      <c r="B26" s="25" t="str">
        <v>NY</v>
      </c>
      <c r="C26" s="25" t="str">
        <f>Sites[[#This Row],[SOL'#]]</f>
        <v>SOL-10362</v>
      </c>
      <c r="D26" s="88"/>
      <c r="E26" s="89"/>
      <c r="F26" s="10" t="str">
        <f t="shared" si="4"/>
        <v/>
      </c>
      <c r="G26" s="11" t="str">
        <f t="shared" si="7"/>
        <v/>
      </c>
      <c r="H26" s="76"/>
      <c r="I26" s="12" t="str">
        <f t="shared" si="5"/>
        <v/>
      </c>
      <c r="J26" s="13" t="str">
        <f t="shared" si="6"/>
        <v/>
      </c>
      <c r="K26" s="59"/>
      <c r="L26" s="59"/>
    </row>
    <row r="27" spans="1:12" ht="15.6">
      <c r="A27" s="26" t="str">
        <v>K166</v>
      </c>
      <c r="B27" s="27" t="str">
        <v>NY</v>
      </c>
      <c r="C27" s="27" t="str">
        <f>Sites[[#This Row],[SOL'#]]</f>
        <v>SOL-10363</v>
      </c>
      <c r="D27" s="81"/>
      <c r="E27" s="90"/>
      <c r="F27" s="14" t="str">
        <f t="shared" si="4"/>
        <v/>
      </c>
      <c r="G27" s="15" t="str">
        <f t="shared" si="7"/>
        <v/>
      </c>
      <c r="H27" s="78"/>
      <c r="I27" s="16" t="str">
        <f t="shared" si="5"/>
        <v/>
      </c>
      <c r="J27" s="15" t="str">
        <f t="shared" si="6"/>
        <v/>
      </c>
      <c r="K27" s="57"/>
      <c r="L27" s="57"/>
    </row>
    <row r="28" spans="1:12" ht="15.6">
      <c r="A28" s="24" t="str">
        <v>K206</v>
      </c>
      <c r="B28" s="25" t="str">
        <v>NY</v>
      </c>
      <c r="C28" s="25" t="str">
        <f>Sites[[#This Row],[SOL'#]]</f>
        <v>SOL-10927</v>
      </c>
      <c r="D28" s="88"/>
      <c r="E28" s="89"/>
      <c r="F28" s="10" t="str">
        <f t="shared" si="4"/>
        <v/>
      </c>
      <c r="G28" s="11" t="str">
        <f t="shared" si="7"/>
        <v/>
      </c>
      <c r="H28" s="76"/>
      <c r="I28" s="12" t="str">
        <f t="shared" si="5"/>
        <v/>
      </c>
      <c r="J28" s="13" t="str">
        <f t="shared" si="6"/>
        <v/>
      </c>
      <c r="K28" s="59"/>
      <c r="L28" s="59"/>
    </row>
    <row r="29" spans="1:12" ht="15.6">
      <c r="A29" s="26" t="str">
        <v>K251</v>
      </c>
      <c r="B29" s="27" t="str">
        <v>NY</v>
      </c>
      <c r="C29" s="27" t="str">
        <f>Sites[[#This Row],[SOL'#]]</f>
        <v>SOL-10365</v>
      </c>
      <c r="D29" s="81"/>
      <c r="E29" s="90"/>
      <c r="F29" s="14" t="str">
        <f t="shared" si="4"/>
        <v/>
      </c>
      <c r="G29" s="15" t="str">
        <f t="shared" si="7"/>
        <v/>
      </c>
      <c r="H29" s="78"/>
      <c r="I29" s="16" t="str">
        <f t="shared" si="5"/>
        <v/>
      </c>
      <c r="J29" s="15" t="str">
        <f t="shared" si="6"/>
        <v/>
      </c>
      <c r="K29" s="57"/>
      <c r="L29" s="57"/>
    </row>
    <row r="30" spans="1:12" ht="15.6">
      <c r="A30" s="24" t="str">
        <v>K269</v>
      </c>
      <c r="B30" s="25" t="str">
        <v>NY</v>
      </c>
      <c r="C30" s="25" t="str">
        <f>Sites[[#This Row],[SOL'#]]</f>
        <v>SOL-10366</v>
      </c>
      <c r="D30" s="88"/>
      <c r="E30" s="89"/>
      <c r="F30" s="10" t="str">
        <f t="shared" si="4"/>
        <v/>
      </c>
      <c r="G30" s="11" t="str">
        <f t="shared" si="7"/>
        <v/>
      </c>
      <c r="H30" s="76"/>
      <c r="I30" s="12" t="str">
        <f t="shared" si="5"/>
        <v/>
      </c>
      <c r="J30" s="13" t="str">
        <f t="shared" si="6"/>
        <v/>
      </c>
      <c r="K30" s="59"/>
      <c r="L30" s="59"/>
    </row>
    <row r="31" spans="1:12" ht="15.6">
      <c r="A31" s="26" t="str">
        <v>K273</v>
      </c>
      <c r="B31" s="27" t="str">
        <v>NY</v>
      </c>
      <c r="C31" s="27" t="str">
        <f>Sites[[#This Row],[SOL'#]]</f>
        <v>SOL-10367</v>
      </c>
      <c r="D31" s="81"/>
      <c r="E31" s="90"/>
      <c r="F31" s="14" t="str">
        <f t="shared" si="4"/>
        <v/>
      </c>
      <c r="G31" s="15" t="str">
        <f t="shared" si="7"/>
        <v/>
      </c>
      <c r="H31" s="78"/>
      <c r="I31" s="16" t="str">
        <f t="shared" si="5"/>
        <v/>
      </c>
      <c r="J31" s="15" t="str">
        <f t="shared" si="6"/>
        <v/>
      </c>
      <c r="K31" s="57"/>
      <c r="L31" s="57"/>
    </row>
    <row r="32" spans="1:12" ht="15.6">
      <c r="A32" s="24" t="str">
        <v>K287</v>
      </c>
      <c r="B32" s="25" t="str">
        <v>NY</v>
      </c>
      <c r="C32" s="25" t="str">
        <f>Sites[[#This Row],[SOL'#]]</f>
        <v>SOL-10919</v>
      </c>
      <c r="D32" s="88"/>
      <c r="E32" s="89"/>
      <c r="F32" s="10" t="str">
        <f t="shared" si="4"/>
        <v/>
      </c>
      <c r="G32" s="11" t="str">
        <f t="shared" si="7"/>
        <v/>
      </c>
      <c r="H32" s="76"/>
      <c r="I32" s="12" t="str">
        <f t="shared" si="5"/>
        <v/>
      </c>
      <c r="J32" s="13" t="str">
        <f t="shared" si="6"/>
        <v/>
      </c>
      <c r="K32" s="59"/>
      <c r="L32" s="59"/>
    </row>
    <row r="33" spans="1:12" ht="15.6">
      <c r="A33" s="26" t="str">
        <v>K298</v>
      </c>
      <c r="B33" s="27" t="str">
        <v>NY</v>
      </c>
      <c r="C33" s="27" t="str">
        <f>Sites[[#This Row],[SOL'#]]</f>
        <v>SOL-10368</v>
      </c>
      <c r="D33" s="81"/>
      <c r="E33" s="90"/>
      <c r="F33" s="14" t="str">
        <f t="shared" si="4"/>
        <v/>
      </c>
      <c r="G33" s="15" t="str">
        <f t="shared" si="7"/>
        <v/>
      </c>
      <c r="H33" s="78"/>
      <c r="I33" s="16" t="str">
        <f t="shared" si="5"/>
        <v/>
      </c>
      <c r="J33" s="15" t="str">
        <f t="shared" si="6"/>
        <v/>
      </c>
      <c r="K33" s="57"/>
      <c r="L33" s="57"/>
    </row>
    <row r="34" spans="1:12" ht="15.6">
      <c r="A34" s="24" t="str">
        <v>K335</v>
      </c>
      <c r="B34" s="25" t="str">
        <v>NY</v>
      </c>
      <c r="C34" s="25" t="str">
        <f>Sites[[#This Row],[SOL'#]]</f>
        <v>SOL-10370</v>
      </c>
      <c r="D34" s="88"/>
      <c r="E34" s="89"/>
      <c r="F34" s="10" t="str">
        <f t="shared" si="4"/>
        <v/>
      </c>
      <c r="G34" s="11" t="str">
        <f t="shared" si="7"/>
        <v/>
      </c>
      <c r="H34" s="76"/>
      <c r="I34" s="12" t="str">
        <f t="shared" si="5"/>
        <v/>
      </c>
      <c r="J34" s="13" t="str">
        <f t="shared" si="6"/>
        <v/>
      </c>
      <c r="K34" s="59"/>
      <c r="L34" s="59"/>
    </row>
    <row r="35" spans="1:12" ht="15.6">
      <c r="A35" s="26" t="str">
        <v>K345</v>
      </c>
      <c r="B35" s="27" t="str">
        <v>NY</v>
      </c>
      <c r="C35" s="27" t="str">
        <f>Sites[[#This Row],[SOL'#]]</f>
        <v>SOL-10920</v>
      </c>
      <c r="D35" s="81"/>
      <c r="E35" s="90"/>
      <c r="F35" s="14" t="str">
        <f t="shared" si="4"/>
        <v/>
      </c>
      <c r="G35" s="15" t="str">
        <f t="shared" si="7"/>
        <v/>
      </c>
      <c r="H35" s="78"/>
      <c r="I35" s="16" t="str">
        <f t="shared" si="5"/>
        <v/>
      </c>
      <c r="J35" s="15" t="str">
        <f t="shared" si="6"/>
        <v/>
      </c>
      <c r="K35" s="57"/>
      <c r="L35" s="57"/>
    </row>
    <row r="36" spans="1:12" ht="15.6">
      <c r="A36" s="24" t="str">
        <v>K445</v>
      </c>
      <c r="B36" s="25" t="str">
        <v>NY</v>
      </c>
      <c r="C36" s="25" t="str">
        <f>Sites[[#This Row],[SOL'#]]</f>
        <v>SOL-10373</v>
      </c>
      <c r="D36" s="88"/>
      <c r="E36" s="89"/>
      <c r="F36" s="10" t="str">
        <f t="shared" si="4"/>
        <v/>
      </c>
      <c r="G36" s="11" t="str">
        <f t="shared" si="7"/>
        <v/>
      </c>
      <c r="H36" s="76"/>
      <c r="I36" s="12" t="str">
        <f t="shared" si="5"/>
        <v/>
      </c>
      <c r="J36" s="13" t="str">
        <f t="shared" si="6"/>
        <v/>
      </c>
      <c r="K36" s="59"/>
      <c r="L36" s="59"/>
    </row>
    <row r="37" spans="1:12" ht="153.75" customHeight="1">
      <c r="A37" s="26" t="str">
        <v>K495</v>
      </c>
      <c r="B37" s="27" t="str">
        <v>NY</v>
      </c>
      <c r="C37" s="27" t="str">
        <f>Sites[[#This Row],[SOL'#]]</f>
        <v>SOL-10374</v>
      </c>
      <c r="D37" s="81"/>
      <c r="E37" s="90"/>
      <c r="F37" s="14" t="str">
        <f t="shared" si="4"/>
        <v/>
      </c>
      <c r="G37" s="15" t="str">
        <f t="shared" si="7"/>
        <v/>
      </c>
      <c r="H37" s="78"/>
      <c r="I37" s="16" t="str">
        <f t="shared" si="5"/>
        <v/>
      </c>
      <c r="J37" s="15" t="str">
        <f t="shared" si="6"/>
        <v/>
      </c>
      <c r="K37" s="57"/>
      <c r="L37" s="57"/>
    </row>
    <row r="38" spans="1:12" ht="15.6">
      <c r="A38" s="24" t="str">
        <v>M020</v>
      </c>
      <c r="B38" s="25" t="str">
        <v>NY</v>
      </c>
      <c r="C38" s="25" t="str">
        <f>Sites[[#This Row],[SOL'#]]</f>
        <v>SOL-10380</v>
      </c>
      <c r="D38" s="88"/>
      <c r="E38" s="89"/>
      <c r="F38" s="10" t="str">
        <f t="shared" si="4"/>
        <v/>
      </c>
      <c r="G38" s="11" t="str">
        <f t="shared" si="7"/>
        <v/>
      </c>
      <c r="H38" s="76"/>
      <c r="I38" s="12" t="str">
        <f t="shared" si="5"/>
        <v/>
      </c>
      <c r="J38" s="13" t="str">
        <f t="shared" si="6"/>
        <v/>
      </c>
      <c r="K38" s="59"/>
      <c r="L38" s="59"/>
    </row>
    <row r="39" spans="1:12" ht="15.6">
      <c r="A39" s="26" t="str">
        <v>M092</v>
      </c>
      <c r="B39" s="27" t="str">
        <v>NY</v>
      </c>
      <c r="C39" s="27" t="str">
        <f>Sites[[#This Row],[SOL'#]]</f>
        <v>SOL-10383</v>
      </c>
      <c r="D39" s="81"/>
      <c r="E39" s="90"/>
      <c r="F39" s="14" t="str">
        <f t="shared" si="4"/>
        <v/>
      </c>
      <c r="G39" s="15" t="str">
        <f t="shared" si="7"/>
        <v/>
      </c>
      <c r="H39" s="78"/>
      <c r="I39" s="16" t="str">
        <f t="shared" si="5"/>
        <v/>
      </c>
      <c r="J39" s="15" t="str">
        <f t="shared" si="6"/>
        <v/>
      </c>
      <c r="K39" s="57"/>
      <c r="L39" s="57"/>
    </row>
    <row r="40" spans="1:12" ht="15.6">
      <c r="A40" s="24" t="str">
        <v>M143</v>
      </c>
      <c r="B40" s="25" t="str">
        <v>NY</v>
      </c>
      <c r="C40" s="25" t="str">
        <f>Sites[[#This Row],[SOL'#]]</f>
        <v>SOL-10384</v>
      </c>
      <c r="D40" s="88"/>
      <c r="E40" s="89"/>
      <c r="F40" s="10" t="str">
        <f t="shared" si="4"/>
        <v/>
      </c>
      <c r="G40" s="11" t="str">
        <f t="shared" si="7"/>
        <v/>
      </c>
      <c r="H40" s="76"/>
      <c r="I40" s="12" t="str">
        <f t="shared" si="5"/>
        <v/>
      </c>
      <c r="J40" s="13" t="str">
        <f t="shared" si="6"/>
        <v/>
      </c>
      <c r="K40" s="59"/>
      <c r="L40" s="59"/>
    </row>
    <row r="41" spans="1:12" ht="15.6">
      <c r="A41" s="26" t="str">
        <v>M144</v>
      </c>
      <c r="B41" s="27" t="str">
        <v>NY</v>
      </c>
      <c r="C41" s="27" t="str">
        <f>Sites[[#This Row],[SOL'#]]</f>
        <v>SOL-10385</v>
      </c>
      <c r="D41" s="81"/>
      <c r="E41" s="90"/>
      <c r="F41" s="14" t="str">
        <f t="shared" si="4"/>
        <v/>
      </c>
      <c r="G41" s="15" t="str">
        <f t="shared" si="7"/>
        <v/>
      </c>
      <c r="H41" s="78"/>
      <c r="I41" s="16" t="str">
        <f t="shared" si="5"/>
        <v/>
      </c>
      <c r="J41" s="15" t="str">
        <f t="shared" si="6"/>
        <v/>
      </c>
      <c r="K41" s="57"/>
      <c r="L41" s="57"/>
    </row>
    <row r="42" spans="1:12" ht="15.6">
      <c r="A42" s="24" t="str">
        <v>M167</v>
      </c>
      <c r="B42" s="25" t="str">
        <v>NY</v>
      </c>
      <c r="C42" s="25" t="str">
        <f>Sites[[#This Row],[SOL'#]]</f>
        <v>SOL-10386</v>
      </c>
      <c r="D42" s="88"/>
      <c r="E42" s="89"/>
      <c r="F42" s="10" t="str">
        <f t="shared" si="4"/>
        <v/>
      </c>
      <c r="G42" s="11" t="str">
        <f t="shared" si="7"/>
        <v/>
      </c>
      <c r="H42" s="76"/>
      <c r="I42" s="12" t="str">
        <f t="shared" si="5"/>
        <v/>
      </c>
      <c r="J42" s="13" t="str">
        <f t="shared" si="6"/>
        <v/>
      </c>
      <c r="K42" s="59"/>
      <c r="L42" s="59"/>
    </row>
    <row r="43" spans="1:12" ht="15.6">
      <c r="A43" s="26" t="str">
        <v>M188</v>
      </c>
      <c r="B43" s="27" t="str">
        <v>NY</v>
      </c>
      <c r="C43" s="27" t="str">
        <f>Sites[[#This Row],[SOL'#]]</f>
        <v>SOL-10387</v>
      </c>
      <c r="D43" s="81"/>
      <c r="E43" s="90"/>
      <c r="F43" s="14" t="str">
        <f t="shared" si="4"/>
        <v/>
      </c>
      <c r="G43" s="15" t="str">
        <f t="shared" si="7"/>
        <v/>
      </c>
      <c r="H43" s="78"/>
      <c r="I43" s="16" t="str">
        <f t="shared" si="5"/>
        <v/>
      </c>
      <c r="J43" s="15" t="str">
        <f t="shared" si="6"/>
        <v/>
      </c>
      <c r="K43" s="57"/>
      <c r="L43" s="57"/>
    </row>
    <row r="44" spans="1:12" ht="15.6">
      <c r="A44" s="24" t="str">
        <v>EMHC</v>
      </c>
      <c r="B44" s="25" t="str">
        <v>NY</v>
      </c>
      <c r="C44" s="25" t="str">
        <f>Sites[[#This Row],[SOL'#]]</f>
        <v>SOL-10351</v>
      </c>
      <c r="D44" s="88"/>
      <c r="E44" s="89"/>
      <c r="F44" s="10" t="str">
        <f t="shared" si="4"/>
        <v/>
      </c>
      <c r="G44" s="11" t="str">
        <f t="shared" si="7"/>
        <v/>
      </c>
      <c r="H44" s="76"/>
      <c r="I44" s="12" t="str">
        <f t="shared" si="5"/>
        <v/>
      </c>
      <c r="J44" s="13" t="str">
        <f t="shared" si="6"/>
        <v/>
      </c>
      <c r="K44" s="59"/>
      <c r="L44" s="59"/>
    </row>
    <row r="45" spans="1:12" ht="15.6">
      <c r="A45" s="26" t="str">
        <v>Q008</v>
      </c>
      <c r="B45" s="27" t="str">
        <v>NY</v>
      </c>
      <c r="C45" s="27" t="str">
        <f>Sites[[#This Row],[SOL'#]]</f>
        <v>SOL-10397</v>
      </c>
      <c r="D45" s="81"/>
      <c r="E45" s="90"/>
      <c r="F45" s="14" t="str">
        <f t="shared" si="4"/>
        <v/>
      </c>
      <c r="G45" s="15" t="str">
        <f t="shared" si="7"/>
        <v/>
      </c>
      <c r="H45" s="78"/>
      <c r="I45" s="16" t="str">
        <f t="shared" si="5"/>
        <v/>
      </c>
      <c r="J45" s="15" t="str">
        <f t="shared" si="6"/>
        <v/>
      </c>
      <c r="K45" s="57"/>
      <c r="L45" s="57"/>
    </row>
    <row r="46" spans="1:12" ht="15.6">
      <c r="A46" s="24" t="str">
        <v>Q018</v>
      </c>
      <c r="B46" s="25" t="str">
        <v>NY</v>
      </c>
      <c r="C46" s="25" t="str">
        <f>Sites[[#This Row],[SOL'#]]</f>
        <v>SOL-10398</v>
      </c>
      <c r="D46" s="88"/>
      <c r="E46" s="89"/>
      <c r="F46" s="10" t="str">
        <f t="shared" si="4"/>
        <v/>
      </c>
      <c r="G46" s="11" t="str">
        <f t="shared" si="7"/>
        <v/>
      </c>
      <c r="H46" s="76"/>
      <c r="I46" s="12" t="str">
        <f t="shared" si="5"/>
        <v/>
      </c>
      <c r="J46" s="13" t="str">
        <f t="shared" si="6"/>
        <v/>
      </c>
      <c r="K46" s="59"/>
      <c r="L46" s="59"/>
    </row>
    <row r="47" spans="1:12" ht="15.6">
      <c r="A47" s="26" t="str">
        <v>Q021</v>
      </c>
      <c r="B47" s="27" t="str">
        <v>NY</v>
      </c>
      <c r="C47" s="27" t="str">
        <f>Sites[[#This Row],[SOL'#]]</f>
        <v>SOL-10399</v>
      </c>
      <c r="D47" s="81"/>
      <c r="E47" s="90"/>
      <c r="F47" s="14" t="str">
        <f t="shared" si="4"/>
        <v/>
      </c>
      <c r="G47" s="15" t="str">
        <f t="shared" si="7"/>
        <v/>
      </c>
      <c r="H47" s="78"/>
      <c r="I47" s="16" t="str">
        <f t="shared" si="5"/>
        <v/>
      </c>
      <c r="J47" s="15" t="str">
        <f t="shared" si="6"/>
        <v/>
      </c>
      <c r="K47" s="57"/>
      <c r="L47" s="57"/>
    </row>
    <row r="48" spans="1:12" ht="15.6">
      <c r="A48" s="24" t="str">
        <v>Q025</v>
      </c>
      <c r="B48" s="25" t="str">
        <v>NY</v>
      </c>
      <c r="C48" s="25" t="str">
        <f>Sites[[#This Row],[SOL'#]]</f>
        <v>SOL-10400</v>
      </c>
      <c r="D48" s="88"/>
      <c r="E48" s="89"/>
      <c r="F48" s="10" t="str">
        <f t="shared" si="4"/>
        <v/>
      </c>
      <c r="G48" s="11" t="str">
        <f t="shared" si="7"/>
        <v/>
      </c>
      <c r="H48" s="76"/>
      <c r="I48" s="12" t="str">
        <f t="shared" si="5"/>
        <v/>
      </c>
      <c r="J48" s="13" t="str">
        <f t="shared" si="6"/>
        <v/>
      </c>
      <c r="K48" s="59"/>
      <c r="L48" s="59"/>
    </row>
    <row r="49" spans="1:12" ht="15.6">
      <c r="A49" s="26" t="str">
        <v>Q074</v>
      </c>
      <c r="B49" s="27" t="str">
        <v>NY</v>
      </c>
      <c r="C49" s="27" t="str">
        <f>Sites[[#This Row],[SOL'#]]</f>
        <v>SOL-10402</v>
      </c>
      <c r="D49" s="81"/>
      <c r="E49" s="90"/>
      <c r="F49" s="14" t="str">
        <f t="shared" si="4"/>
        <v/>
      </c>
      <c r="G49" s="15" t="str">
        <f t="shared" si="7"/>
        <v/>
      </c>
      <c r="H49" s="78"/>
      <c r="I49" s="16" t="str">
        <f t="shared" si="5"/>
        <v/>
      </c>
      <c r="J49" s="15" t="str">
        <f t="shared" si="6"/>
        <v/>
      </c>
      <c r="K49" s="57"/>
      <c r="L49" s="57"/>
    </row>
    <row r="50" spans="1:12" ht="15.6">
      <c r="A50" s="24" t="str">
        <v>Q115</v>
      </c>
      <c r="B50" s="25" t="str">
        <v>NY</v>
      </c>
      <c r="C50" s="25" t="str">
        <f>Sites[[#This Row],[SOL'#]]</f>
        <v>SOL-10872</v>
      </c>
      <c r="D50" s="88"/>
      <c r="E50" s="89"/>
      <c r="F50" s="10" t="str">
        <f t="shared" si="4"/>
        <v/>
      </c>
      <c r="G50" s="11" t="str">
        <f t="shared" si="7"/>
        <v/>
      </c>
      <c r="H50" s="76"/>
      <c r="I50" s="12" t="str">
        <f t="shared" si="5"/>
        <v/>
      </c>
      <c r="J50" s="13" t="str">
        <f t="shared" si="6"/>
        <v/>
      </c>
      <c r="K50" s="59"/>
      <c r="L50" s="59"/>
    </row>
    <row r="51" spans="1:12" ht="15.6">
      <c r="A51" s="26" t="str">
        <v>Q139</v>
      </c>
      <c r="B51" s="27" t="str">
        <v>NY</v>
      </c>
      <c r="C51" s="27" t="str">
        <f>Sites[[#This Row],[SOL'#]]</f>
        <v>SOL-10403</v>
      </c>
      <c r="D51" s="81"/>
      <c r="E51" s="90"/>
      <c r="F51" s="14" t="str">
        <f t="shared" si="4"/>
        <v/>
      </c>
      <c r="G51" s="15" t="str">
        <f t="shared" si="7"/>
        <v/>
      </c>
      <c r="H51" s="78"/>
      <c r="I51" s="16" t="str">
        <f t="shared" si="5"/>
        <v/>
      </c>
      <c r="J51" s="15" t="str">
        <f t="shared" si="6"/>
        <v/>
      </c>
      <c r="K51" s="57"/>
      <c r="L51" s="57"/>
    </row>
    <row r="52" spans="1:12" ht="15.6">
      <c r="A52" s="24" t="str">
        <v>Q157</v>
      </c>
      <c r="B52" s="25" t="str">
        <v>NY</v>
      </c>
      <c r="C52" s="25" t="str">
        <f>Sites[[#This Row],[SOL'#]]</f>
        <v>SOL-10404</v>
      </c>
      <c r="D52" s="88"/>
      <c r="E52" s="89"/>
      <c r="F52" s="10" t="str">
        <f t="shared" si="4"/>
        <v/>
      </c>
      <c r="G52" s="11" t="str">
        <f t="shared" si="7"/>
        <v/>
      </c>
      <c r="H52" s="76"/>
      <c r="I52" s="12" t="str">
        <f t="shared" si="5"/>
        <v/>
      </c>
      <c r="J52" s="13" t="str">
        <f t="shared" si="6"/>
        <v/>
      </c>
      <c r="K52" s="59"/>
      <c r="L52" s="59"/>
    </row>
    <row r="53" spans="1:12" ht="15.6">
      <c r="A53" s="26" t="str">
        <v>Q192</v>
      </c>
      <c r="B53" s="27" t="str">
        <v>NY</v>
      </c>
      <c r="C53" s="27" t="str">
        <f>Sites[[#This Row],[SOL'#]]</f>
        <v>SOL-10406</v>
      </c>
      <c r="D53" s="81"/>
      <c r="E53" s="90"/>
      <c r="F53" s="14" t="str">
        <f t="shared" si="4"/>
        <v/>
      </c>
      <c r="G53" s="15" t="str">
        <f t="shared" si="7"/>
        <v/>
      </c>
      <c r="H53" s="78"/>
      <c r="I53" s="16" t="str">
        <f t="shared" si="5"/>
        <v/>
      </c>
      <c r="J53" s="15" t="str">
        <f t="shared" si="6"/>
        <v/>
      </c>
      <c r="K53" s="57"/>
      <c r="L53" s="57"/>
    </row>
    <row r="54" spans="1:12" ht="15.6">
      <c r="A54" s="24" t="str">
        <v>Q210</v>
      </c>
      <c r="B54" s="25" t="str">
        <v>NY</v>
      </c>
      <c r="C54" s="25" t="str">
        <f>Sites[[#This Row],[SOL'#]]</f>
        <v>SOL-10407</v>
      </c>
      <c r="D54" s="88"/>
      <c r="E54" s="89"/>
      <c r="F54" s="10" t="str">
        <f t="shared" si="4"/>
        <v/>
      </c>
      <c r="G54" s="11" t="str">
        <f t="shared" si="7"/>
        <v/>
      </c>
      <c r="H54" s="76"/>
      <c r="I54" s="12" t="str">
        <f t="shared" si="5"/>
        <v/>
      </c>
      <c r="J54" s="13" t="str">
        <f t="shared" si="6"/>
        <v/>
      </c>
      <c r="K54" s="59"/>
      <c r="L54" s="59"/>
    </row>
    <row r="55" spans="1:12" ht="86.25" customHeight="1">
      <c r="A55" s="26" t="str">
        <v>Q229</v>
      </c>
      <c r="B55" s="27" t="str">
        <v>NY</v>
      </c>
      <c r="C55" s="27" t="str">
        <f>Sites[[#This Row],[SOL'#]]</f>
        <v>SOL-10408</v>
      </c>
      <c r="D55" s="81"/>
      <c r="E55" s="90"/>
      <c r="F55" s="14" t="str">
        <f t="shared" si="4"/>
        <v/>
      </c>
      <c r="G55" s="15" t="str">
        <f t="shared" si="7"/>
        <v/>
      </c>
      <c r="H55" s="78"/>
      <c r="I55" s="16" t="str">
        <f t="shared" si="5"/>
        <v/>
      </c>
      <c r="J55" s="15" t="str">
        <f t="shared" si="6"/>
        <v/>
      </c>
      <c r="K55" s="57"/>
      <c r="L55" s="57"/>
    </row>
    <row r="56" spans="1:12" ht="15.6">
      <c r="A56" s="24" t="str">
        <v>Q231</v>
      </c>
      <c r="B56" s="25" t="str">
        <v>NY</v>
      </c>
      <c r="C56" s="25" t="str">
        <f>Sites[[#This Row],[SOL'#]]</f>
        <v>SOL-10870</v>
      </c>
      <c r="D56" s="88"/>
      <c r="E56" s="89"/>
      <c r="F56" s="10" t="str">
        <f t="shared" si="4"/>
        <v/>
      </c>
      <c r="G56" s="11" t="str">
        <f t="shared" si="7"/>
        <v/>
      </c>
      <c r="H56" s="76"/>
      <c r="I56" s="12" t="str">
        <f t="shared" si="5"/>
        <v/>
      </c>
      <c r="J56" s="13" t="str">
        <f t="shared" si="6"/>
        <v/>
      </c>
      <c r="K56" s="59"/>
      <c r="L56" s="59"/>
    </row>
    <row r="57" spans="1:12" ht="15.6">
      <c r="A57" s="26" t="str">
        <v>Q405</v>
      </c>
      <c r="B57" s="27" t="str">
        <v>NY</v>
      </c>
      <c r="C57" s="27" t="str">
        <f>Sites[[#This Row],[SOL'#]]</f>
        <v>SOL-10409</v>
      </c>
      <c r="D57" s="81"/>
      <c r="E57" s="90"/>
      <c r="F57" s="14" t="str">
        <f t="shared" si="4"/>
        <v/>
      </c>
      <c r="G57" s="15" t="str">
        <f t="shared" si="7"/>
        <v/>
      </c>
      <c r="H57" s="78"/>
      <c r="I57" s="16" t="str">
        <f t="shared" si="5"/>
        <v/>
      </c>
      <c r="J57" s="15" t="str">
        <f t="shared" si="6"/>
        <v/>
      </c>
      <c r="K57" s="57"/>
      <c r="L57" s="57"/>
    </row>
    <row r="58" spans="1:12" ht="15.6">
      <c r="A58" s="24" t="str">
        <v>Q435</v>
      </c>
      <c r="B58" s="25" t="str">
        <v>NY</v>
      </c>
      <c r="C58" s="25" t="str">
        <f>Sites[[#This Row],[SOL'#]]</f>
        <v>SOL-10923</v>
      </c>
      <c r="D58" s="88"/>
      <c r="E58" s="89"/>
      <c r="F58" s="10" t="str">
        <f t="shared" si="4"/>
        <v/>
      </c>
      <c r="G58" s="11" t="str">
        <f t="shared" si="7"/>
        <v/>
      </c>
      <c r="H58" s="76"/>
      <c r="I58" s="12" t="str">
        <f t="shared" si="5"/>
        <v/>
      </c>
      <c r="J58" s="13" t="str">
        <f t="shared" si="6"/>
        <v/>
      </c>
      <c r="K58" s="59"/>
      <c r="L58" s="59"/>
    </row>
    <row r="59" spans="1:12" ht="15.6">
      <c r="A59" s="26" t="str">
        <v>Q485</v>
      </c>
      <c r="B59" s="27" t="str">
        <v>NY</v>
      </c>
      <c r="C59" s="27" t="str">
        <f>Sites[[#This Row],[SOL'#]]</f>
        <v>SOL-10869</v>
      </c>
      <c r="D59" s="81"/>
      <c r="E59" s="90"/>
      <c r="F59" s="14" t="str">
        <f t="shared" si="4"/>
        <v/>
      </c>
      <c r="G59" s="15" t="str">
        <f t="shared" si="7"/>
        <v/>
      </c>
      <c r="H59" s="78"/>
      <c r="I59" s="16" t="str">
        <f t="shared" si="5"/>
        <v/>
      </c>
      <c r="J59" s="15" t="str">
        <f t="shared" si="6"/>
        <v/>
      </c>
      <c r="K59" s="57"/>
      <c r="L59" s="57"/>
    </row>
    <row r="60" spans="1:12" ht="15.6">
      <c r="A60" s="24" t="str">
        <v>Q490</v>
      </c>
      <c r="B60" s="25" t="str">
        <v>NY</v>
      </c>
      <c r="C60" s="25" t="str">
        <f>Sites[[#This Row],[SOL'#]]</f>
        <v>SOL-10411</v>
      </c>
      <c r="D60" s="88"/>
      <c r="E60" s="89"/>
      <c r="F60" s="10" t="str">
        <f t="shared" si="4"/>
        <v/>
      </c>
      <c r="G60" s="11" t="str">
        <f t="shared" si="7"/>
        <v/>
      </c>
      <c r="H60" s="76"/>
      <c r="I60" s="12" t="str">
        <f t="shared" si="5"/>
        <v/>
      </c>
      <c r="J60" s="13" t="str">
        <f t="shared" si="6"/>
        <v/>
      </c>
      <c r="K60" s="59"/>
      <c r="L60" s="59"/>
    </row>
    <row r="61" spans="1:12" ht="15.6">
      <c r="A61" s="26" t="str">
        <v>Q620</v>
      </c>
      <c r="B61" s="27" t="str">
        <v>NY</v>
      </c>
      <c r="C61" s="27" t="str">
        <f>Sites[[#This Row],[SOL'#]]</f>
        <v>SOL-10867</v>
      </c>
      <c r="D61" s="81"/>
      <c r="E61" s="90"/>
      <c r="F61" s="14" t="str">
        <f t="shared" si="4"/>
        <v/>
      </c>
      <c r="G61" s="15" t="str">
        <f t="shared" si="7"/>
        <v/>
      </c>
      <c r="H61" s="78"/>
      <c r="I61" s="16" t="str">
        <f t="shared" si="5"/>
        <v/>
      </c>
      <c r="J61" s="15" t="str">
        <f t="shared" si="6"/>
        <v/>
      </c>
      <c r="K61" s="57"/>
      <c r="L61" s="57"/>
    </row>
    <row r="62" spans="1:12" ht="15.6">
      <c r="A62" s="24" t="str">
        <v>QMOA</v>
      </c>
      <c r="B62" s="25" t="str">
        <v>NY</v>
      </c>
      <c r="C62" s="25" t="str">
        <f>Sites[[#This Row],[SOL'#]]</f>
        <v>SOL-10415</v>
      </c>
      <c r="D62" s="88"/>
      <c r="E62" s="89"/>
      <c r="F62" s="10" t="str">
        <f t="shared" si="4"/>
        <v/>
      </c>
      <c r="G62" s="11" t="str">
        <f t="shared" si="7"/>
        <v/>
      </c>
      <c r="H62" s="76"/>
      <c r="I62" s="12" t="str">
        <f t="shared" si="5"/>
        <v/>
      </c>
      <c r="J62" s="13" t="str">
        <f t="shared" si="6"/>
        <v/>
      </c>
      <c r="K62" s="59"/>
      <c r="L62" s="59"/>
    </row>
    <row r="63" spans="1:12" ht="15.6">
      <c r="A63" s="26" t="str">
        <v>X024</v>
      </c>
      <c r="B63" s="27" t="str">
        <v>NY</v>
      </c>
      <c r="C63" s="27" t="str">
        <f>Sites[[#This Row],[SOL'#]]</f>
        <v>SOL-10419</v>
      </c>
      <c r="D63" s="81"/>
      <c r="E63" s="90"/>
      <c r="F63" s="14" t="str">
        <f t="shared" si="4"/>
        <v/>
      </c>
      <c r="G63" s="15" t="str">
        <f t="shared" si="7"/>
        <v/>
      </c>
      <c r="H63" s="78"/>
      <c r="I63" s="16" t="str">
        <f t="shared" si="5"/>
        <v/>
      </c>
      <c r="J63" s="15" t="str">
        <f t="shared" si="6"/>
        <v/>
      </c>
      <c r="K63" s="57"/>
      <c r="L63" s="57"/>
    </row>
    <row r="64" spans="1:12" ht="15.6">
      <c r="A64" s="24" t="str">
        <v>X026</v>
      </c>
      <c r="B64" s="25" t="str">
        <v>NY</v>
      </c>
      <c r="C64" s="25" t="str">
        <f>Sites[[#This Row],[SOL'#]]</f>
        <v>SOL-10420</v>
      </c>
      <c r="D64" s="88"/>
      <c r="E64" s="89"/>
      <c r="F64" s="10" t="str">
        <f t="shared" si="4"/>
        <v/>
      </c>
      <c r="G64" s="11" t="str">
        <f t="shared" si="7"/>
        <v/>
      </c>
      <c r="H64" s="76"/>
      <c r="I64" s="12" t="str">
        <f t="shared" si="5"/>
        <v/>
      </c>
      <c r="J64" s="13" t="str">
        <f t="shared" si="6"/>
        <v/>
      </c>
      <c r="K64" s="59"/>
      <c r="L64" s="59"/>
    </row>
    <row r="65" spans="1:12" ht="15.6">
      <c r="A65" s="26" t="str">
        <v>X090</v>
      </c>
      <c r="B65" s="27" t="str">
        <v>NY</v>
      </c>
      <c r="C65" s="27" t="str">
        <f>Sites[[#This Row],[SOL'#]]</f>
        <v>SOL-10925</v>
      </c>
      <c r="D65" s="81"/>
      <c r="E65" s="90"/>
      <c r="F65" s="14" t="str">
        <f t="shared" si="4"/>
        <v/>
      </c>
      <c r="G65" s="15" t="str">
        <f t="shared" si="7"/>
        <v/>
      </c>
      <c r="H65" s="78"/>
      <c r="I65" s="16" t="str">
        <f t="shared" si="5"/>
        <v/>
      </c>
      <c r="J65" s="15" t="str">
        <f t="shared" si="6"/>
        <v/>
      </c>
      <c r="K65" s="57"/>
      <c r="L65" s="57"/>
    </row>
    <row r="66" spans="1:12" ht="15.6">
      <c r="A66" s="24" t="str">
        <v>X117</v>
      </c>
      <c r="B66" s="25" t="str">
        <v>NY</v>
      </c>
      <c r="C66" s="25" t="str">
        <f>Sites[[#This Row],[SOL'#]]</f>
        <v>SOL-10422</v>
      </c>
      <c r="D66" s="88"/>
      <c r="E66" s="89"/>
      <c r="F66" s="10" t="str">
        <f t="shared" si="4"/>
        <v/>
      </c>
      <c r="G66" s="11" t="str">
        <f t="shared" si="7"/>
        <v/>
      </c>
      <c r="H66" s="76"/>
      <c r="I66" s="12" t="str">
        <f t="shared" si="5"/>
        <v/>
      </c>
      <c r="J66" s="13" t="str">
        <f t="shared" si="6"/>
        <v/>
      </c>
      <c r="K66" s="59"/>
      <c r="L66" s="59"/>
    </row>
    <row r="67" spans="1:12" ht="15.6">
      <c r="A67" s="26" t="str">
        <v>X125</v>
      </c>
      <c r="B67" s="27" t="str">
        <v>NY</v>
      </c>
      <c r="C67" s="27" t="str">
        <f>Sites[[#This Row],[SOL'#]]</f>
        <v>SOL-10423</v>
      </c>
      <c r="D67" s="81"/>
      <c r="E67" s="90"/>
      <c r="F67" s="14" t="str">
        <f t="shared" si="4"/>
        <v/>
      </c>
      <c r="G67" s="15" t="str">
        <f t="shared" si="7"/>
        <v/>
      </c>
      <c r="H67" s="78"/>
      <c r="I67" s="16" t="str">
        <f t="shared" si="5"/>
        <v/>
      </c>
      <c r="J67" s="15" t="str">
        <f t="shared" si="6"/>
        <v/>
      </c>
      <c r="K67" s="57"/>
      <c r="L67" s="57"/>
    </row>
    <row r="68" spans="1:12" ht="15.6">
      <c r="A68" s="24" t="str">
        <v>X134</v>
      </c>
      <c r="B68" s="25" t="str">
        <v>NY</v>
      </c>
      <c r="C68" s="25" t="str">
        <f>Sites[[#This Row],[SOL'#]]</f>
        <v>SOL-10424</v>
      </c>
      <c r="D68" s="88"/>
      <c r="E68" s="89"/>
      <c r="F68" s="10" t="str">
        <f t="shared" si="4"/>
        <v/>
      </c>
      <c r="G68" s="11" t="str">
        <f t="shared" si="7"/>
        <v/>
      </c>
      <c r="H68" s="76"/>
      <c r="I68" s="12" t="str">
        <f t="shared" si="5"/>
        <v/>
      </c>
      <c r="J68" s="13" t="str">
        <f t="shared" si="6"/>
        <v/>
      </c>
      <c r="K68" s="59"/>
      <c r="L68" s="59"/>
    </row>
    <row r="69" spans="1:12" ht="15.6">
      <c r="A69" s="26" t="str">
        <v>X135</v>
      </c>
      <c r="B69" s="27" t="str">
        <v>NY</v>
      </c>
      <c r="C69" s="27" t="str">
        <f>Sites[[#This Row],[SOL'#]]</f>
        <v>SOL-10425</v>
      </c>
      <c r="D69" s="81"/>
      <c r="E69" s="90"/>
      <c r="F69" s="14" t="str">
        <f t="shared" si="4"/>
        <v/>
      </c>
      <c r="G69" s="15" t="str">
        <f t="shared" si="7"/>
        <v/>
      </c>
      <c r="H69" s="78"/>
      <c r="I69" s="16" t="str">
        <f t="shared" si="5"/>
        <v/>
      </c>
      <c r="J69" s="15" t="str">
        <f t="shared" si="6"/>
        <v/>
      </c>
      <c r="K69" s="57"/>
      <c r="L69" s="57"/>
    </row>
    <row r="70" spans="1:12" ht="15.6">
      <c r="A70" s="24" t="str">
        <v>X139 JHS 222</v>
      </c>
      <c r="B70" s="25" t="str">
        <v>NY</v>
      </c>
      <c r="C70" s="25" t="str">
        <f>Sites[[#This Row],[SOL'#]]</f>
        <v>SOL-10426</v>
      </c>
      <c r="D70" s="88"/>
      <c r="E70" s="89"/>
      <c r="F70" s="10" t="str">
        <f t="shared" si="4"/>
        <v/>
      </c>
      <c r="G70" s="11" t="str">
        <f t="shared" si="7"/>
        <v/>
      </c>
      <c r="H70" s="76"/>
      <c r="I70" s="12" t="str">
        <f t="shared" si="5"/>
        <v/>
      </c>
      <c r="J70" s="13" t="str">
        <f t="shared" si="6"/>
        <v/>
      </c>
      <c r="K70" s="59"/>
      <c r="L70" s="59"/>
    </row>
    <row r="71" spans="1:12" ht="15.6">
      <c r="A71" s="26" t="str">
        <v>X140</v>
      </c>
      <c r="B71" s="27" t="str">
        <v>NY</v>
      </c>
      <c r="C71" s="27" t="str">
        <f>Sites[[#This Row],[SOL'#]]</f>
        <v>SOL-10926</v>
      </c>
      <c r="D71" s="81"/>
      <c r="E71" s="90"/>
      <c r="F71" s="14" t="str">
        <f t="shared" si="4"/>
        <v/>
      </c>
      <c r="G71" s="15" t="str">
        <f t="shared" si="7"/>
        <v/>
      </c>
      <c r="H71" s="78"/>
      <c r="I71" s="16" t="str">
        <f t="shared" si="5"/>
        <v/>
      </c>
      <c r="J71" s="15" t="str">
        <f t="shared" si="6"/>
        <v/>
      </c>
      <c r="K71" s="57"/>
      <c r="L71" s="57"/>
    </row>
    <row r="72" spans="1:12" ht="15.6">
      <c r="A72" s="24" t="str">
        <v>X166</v>
      </c>
      <c r="B72" s="25" t="str">
        <v>NY</v>
      </c>
      <c r="C72" s="25" t="str">
        <f>Sites[[#This Row],[SOL'#]]</f>
        <v>SOL-10427</v>
      </c>
      <c r="D72" s="88"/>
      <c r="E72" s="89"/>
      <c r="F72" s="10" t="str">
        <f t="shared" si="4"/>
        <v/>
      </c>
      <c r="G72" s="11" t="str">
        <f t="shared" si="7"/>
        <v/>
      </c>
      <c r="H72" s="76"/>
      <c r="I72" s="12" t="str">
        <f t="shared" si="5"/>
        <v/>
      </c>
      <c r="J72" s="13" t="str">
        <f t="shared" si="6"/>
        <v/>
      </c>
      <c r="K72" s="59"/>
      <c r="L72" s="59"/>
    </row>
    <row r="73" spans="1:12" ht="15.6">
      <c r="A73" s="26" t="str">
        <v>Murphy</v>
      </c>
      <c r="B73" s="27" t="str">
        <v>MN</v>
      </c>
      <c r="C73" s="27" t="str">
        <f>Sites[[#This Row],[SOL'#]]</f>
        <v>SOL-10094</v>
      </c>
      <c r="D73" s="81"/>
      <c r="E73" s="90"/>
      <c r="F73" s="14" t="str">
        <f t="shared" si="4"/>
        <v/>
      </c>
      <c r="G73" s="15" t="str">
        <f t="shared" si="7"/>
        <v/>
      </c>
      <c r="H73" s="78"/>
      <c r="I73" s="16" t="str">
        <f t="shared" si="5"/>
        <v/>
      </c>
      <c r="J73" s="15" t="str">
        <f t="shared" si="6"/>
        <v/>
      </c>
      <c r="K73" s="57"/>
      <c r="L73" s="57"/>
    </row>
    <row r="74" spans="1:12" ht="15.6">
      <c r="A74" s="24" t="str">
        <v>Terning</v>
      </c>
      <c r="B74" s="25" t="str">
        <v>MN</v>
      </c>
      <c r="C74" s="25" t="str">
        <f>Sites[[#This Row],[SOL'#]]</f>
        <v>SOL-10093</v>
      </c>
      <c r="D74" s="88"/>
      <c r="E74" s="89"/>
      <c r="F74" s="10" t="str">
        <f t="shared" si="4"/>
        <v/>
      </c>
      <c r="G74" s="11" t="str">
        <f t="shared" si="7"/>
        <v/>
      </c>
      <c r="H74" s="76"/>
      <c r="I74" s="12" t="str">
        <f t="shared" si="5"/>
        <v/>
      </c>
      <c r="J74" s="13" t="str">
        <f t="shared" si="6"/>
        <v/>
      </c>
      <c r="K74" s="59"/>
      <c r="L74" s="59"/>
    </row>
    <row r="75" spans="1:12" ht="24.75" customHeight="1">
      <c r="A75" s="26" t="str">
        <v>Boas Road 04</v>
      </c>
      <c r="B75" s="27" t="str">
        <v>NY</v>
      </c>
      <c r="C75" s="27" t="str">
        <f>Sites[[#This Row],[SOL'#]]</f>
        <v>SOL-10908</v>
      </c>
      <c r="D75" s="81"/>
      <c r="E75" s="90"/>
      <c r="F75" s="14" t="str">
        <f t="shared" si="4"/>
        <v/>
      </c>
      <c r="G75" s="15" t="str">
        <f t="shared" si="7"/>
        <v/>
      </c>
      <c r="H75" s="78"/>
      <c r="I75" s="16" t="str">
        <f t="shared" si="5"/>
        <v/>
      </c>
      <c r="J75" s="15" t="str">
        <f t="shared" si="6"/>
        <v/>
      </c>
      <c r="K75" s="57"/>
      <c r="L75" s="57"/>
    </row>
    <row r="76" spans="1:12" ht="15.6">
      <c r="A76" s="24" t="str">
        <v>Kelly Bridge Farm</v>
      </c>
      <c r="B76" s="25" t="str">
        <v>NY</v>
      </c>
      <c r="C76" s="25" t="str">
        <f>Sites[[#This Row],[SOL'#]]</f>
        <v>SOL-10911</v>
      </c>
      <c r="D76" s="88"/>
      <c r="E76" s="89"/>
      <c r="F76" s="10" t="str">
        <f t="shared" si="4"/>
        <v/>
      </c>
      <c r="G76" s="11" t="str">
        <f t="shared" si="7"/>
        <v/>
      </c>
      <c r="H76" s="76"/>
      <c r="I76" s="12" t="str">
        <f t="shared" si="5"/>
        <v/>
      </c>
      <c r="J76" s="13" t="str">
        <f t="shared" si="6"/>
        <v/>
      </c>
      <c r="K76" s="59"/>
      <c r="L76" s="59"/>
    </row>
    <row r="77" spans="1:12" ht="15.6">
      <c r="A77" s="26" t="str">
        <v>Pool Brook Road</v>
      </c>
      <c r="B77" s="27" t="str">
        <v>NY</v>
      </c>
      <c r="C77" s="27" t="str">
        <f>Sites[[#This Row],[SOL'#]]</f>
        <v>SOL-10909</v>
      </c>
      <c r="D77" s="81"/>
      <c r="E77" s="90"/>
      <c r="F77" s="14" t="str">
        <f t="shared" si="4"/>
        <v/>
      </c>
      <c r="G77" s="15" t="str">
        <f t="shared" si="7"/>
        <v/>
      </c>
      <c r="H77" s="78"/>
      <c r="I77" s="16" t="str">
        <f t="shared" si="5"/>
        <v/>
      </c>
      <c r="J77" s="15" t="str">
        <f t="shared" si="6"/>
        <v/>
      </c>
      <c r="K77" s="57"/>
      <c r="L77" s="57"/>
    </row>
    <row r="78" spans="1:12" ht="15.6">
      <c r="A78" s="24" t="str">
        <v>Sackett Lake</v>
      </c>
      <c r="B78" s="25" t="str">
        <v>NY</v>
      </c>
      <c r="C78" s="25" t="str">
        <f>Sites[[#This Row],[SOL'#]]</f>
        <v>SOL-10910</v>
      </c>
      <c r="D78" s="88"/>
      <c r="E78" s="89"/>
      <c r="F78" s="10" t="str">
        <f t="shared" si="4"/>
        <v/>
      </c>
      <c r="G78" s="11" t="str">
        <f t="shared" si="7"/>
        <v/>
      </c>
      <c r="H78" s="76"/>
      <c r="I78" s="12" t="str">
        <f t="shared" si="5"/>
        <v/>
      </c>
      <c r="J78" s="13" t="str">
        <f t="shared" si="6"/>
        <v/>
      </c>
      <c r="K78" s="59"/>
      <c r="L78" s="59"/>
    </row>
    <row r="79" spans="1:12" ht="79.5" customHeight="1">
      <c r="A79" s="26" t="str">
        <v>Burritt Road</v>
      </c>
      <c r="B79" s="27" t="str">
        <v>NY</v>
      </c>
      <c r="C79" s="27" t="str">
        <f>Sites[[#This Row],[SOL'#]]</f>
        <v>SOL-10913</v>
      </c>
      <c r="D79" s="81"/>
      <c r="E79" s="90"/>
      <c r="F79" s="14" t="str">
        <f t="shared" si="4"/>
        <v/>
      </c>
      <c r="G79" s="15" t="str">
        <f t="shared" si="7"/>
        <v/>
      </c>
      <c r="H79" s="78"/>
      <c r="I79" s="16" t="str">
        <f t="shared" si="5"/>
        <v/>
      </c>
      <c r="J79" s="15" t="str">
        <f t="shared" si="6"/>
        <v/>
      </c>
      <c r="K79" s="57"/>
      <c r="L79" s="57"/>
    </row>
    <row r="80" spans="1:12" ht="15.6">
      <c r="A80" s="24" t="str">
        <v>Villa Roma 1</v>
      </c>
      <c r="B80" s="25" t="str">
        <v>NY</v>
      </c>
      <c r="C80" s="25" t="str">
        <f>Sites[[#This Row],[SOL'#]]</f>
        <v>SOL-10914</v>
      </c>
      <c r="D80" s="88"/>
      <c r="E80" s="89"/>
      <c r="F80" s="10" t="str">
        <f t="shared" si="4"/>
        <v/>
      </c>
      <c r="G80" s="11" t="str">
        <f t="shared" si="7"/>
        <v/>
      </c>
      <c r="H80" s="76"/>
      <c r="I80" s="12" t="str">
        <f t="shared" si="5"/>
        <v/>
      </c>
      <c r="J80" s="13" t="str">
        <f t="shared" si="6"/>
        <v/>
      </c>
      <c r="K80" s="59"/>
      <c r="L80" s="59"/>
    </row>
    <row r="81" spans="1:12" ht="15.6">
      <c r="A81" s="26" t="str">
        <v>Villa Roma 2</v>
      </c>
      <c r="B81" s="27" t="str">
        <v>NY</v>
      </c>
      <c r="C81" s="27" t="str">
        <f>Sites[[#This Row],[SOL'#]]</f>
        <v>SOL-10915</v>
      </c>
      <c r="D81" s="81"/>
      <c r="E81" s="90"/>
      <c r="F81" s="14" t="str">
        <f t="shared" si="4"/>
        <v/>
      </c>
      <c r="G81" s="15" t="str">
        <f t="shared" si="7"/>
        <v/>
      </c>
      <c r="H81" s="78"/>
      <c r="I81" s="16" t="str">
        <f t="shared" si="5"/>
        <v/>
      </c>
      <c r="J81" s="15" t="str">
        <f t="shared" si="6"/>
        <v/>
      </c>
      <c r="K81" s="57"/>
      <c r="L81" s="57"/>
    </row>
    <row r="82" spans="1:12" ht="15.6">
      <c r="A82" s="24" t="str">
        <v>Washington 1</v>
      </c>
      <c r="B82" s="25" t="str">
        <v>NY</v>
      </c>
      <c r="C82" s="25" t="str">
        <f>Sites[[#This Row],[SOL'#]]</f>
        <v>SOL-10912</v>
      </c>
      <c r="D82" s="88"/>
      <c r="E82" s="89"/>
      <c r="F82" s="10" t="str">
        <f t="shared" ref="F82:F145" si="8">IF(AND(ISNUMBER(D82),ISNUMBER(E82)), D82-E82, "")</f>
        <v/>
      </c>
      <c r="G82" s="11" t="str">
        <f t="shared" ref="G82:G145" si="9">IFERROR(F82/E82, "")</f>
        <v/>
      </c>
      <c r="H82" s="76"/>
      <c r="I82" s="12" t="str">
        <f t="shared" ref="I82:I145" si="10">IF(AND(ISNUMBER(D82),ISNUMBER(H82)), D82-H82, "")</f>
        <v/>
      </c>
      <c r="J82" s="13" t="str">
        <f t="shared" ref="J82:J145" si="11">IFERROR(I82/H82, "")</f>
        <v/>
      </c>
      <c r="K82" s="59"/>
      <c r="L82" s="59"/>
    </row>
    <row r="83" spans="1:12" ht="59.45" customHeight="1">
      <c r="A83" s="26" t="str">
        <v>Washington 3</v>
      </c>
      <c r="B83" s="27" t="str">
        <v>NY</v>
      </c>
      <c r="C83" s="27" t="str">
        <f>Sites[[#This Row],[SOL'#]]</f>
        <v>SOL-10828</v>
      </c>
      <c r="D83" s="81"/>
      <c r="E83" s="90"/>
      <c r="F83" s="14" t="str">
        <f t="shared" si="8"/>
        <v/>
      </c>
      <c r="G83" s="15" t="str">
        <f t="shared" si="9"/>
        <v/>
      </c>
      <c r="H83" s="78"/>
      <c r="I83" s="16" t="str">
        <f t="shared" si="10"/>
        <v/>
      </c>
      <c r="J83" s="15" t="str">
        <f t="shared" si="11"/>
        <v/>
      </c>
      <c r="K83" s="57"/>
      <c r="L83" s="57"/>
    </row>
    <row r="84" spans="1:12" ht="15.6">
      <c r="A84" s="24" t="str">
        <v>Washington 4</v>
      </c>
      <c r="B84" s="25" t="str">
        <v>NY</v>
      </c>
      <c r="C84" s="25" t="str">
        <f>Sites[[#This Row],[SOL'#]]</f>
        <v>SOL-10829</v>
      </c>
      <c r="D84" s="88"/>
      <c r="E84" s="89"/>
      <c r="F84" s="10" t="str">
        <f t="shared" si="8"/>
        <v/>
      </c>
      <c r="G84" s="11" t="str">
        <f t="shared" si="9"/>
        <v/>
      </c>
      <c r="H84" s="76"/>
      <c r="I84" s="12" t="str">
        <f t="shared" si="10"/>
        <v/>
      </c>
      <c r="J84" s="13" t="str">
        <f t="shared" si="11"/>
        <v/>
      </c>
      <c r="K84" s="59"/>
      <c r="L84" s="59"/>
    </row>
    <row r="85" spans="1:12" ht="15.6">
      <c r="A85" s="26" t="str">
        <v>Big Tree</v>
      </c>
      <c r="B85" s="27" t="str">
        <v>NY</v>
      </c>
      <c r="C85" s="27" t="str">
        <f>Sites[[#This Row],[SOL'#]]</f>
        <v>SOL-10966</v>
      </c>
      <c r="D85" s="81"/>
      <c r="E85" s="90"/>
      <c r="F85" s="14" t="str">
        <f t="shared" si="8"/>
        <v/>
      </c>
      <c r="G85" s="15" t="str">
        <f t="shared" si="9"/>
        <v/>
      </c>
      <c r="H85" s="78"/>
      <c r="I85" s="16" t="str">
        <f t="shared" si="10"/>
        <v/>
      </c>
      <c r="J85" s="15" t="str">
        <f t="shared" si="11"/>
        <v/>
      </c>
      <c r="K85" s="57"/>
      <c r="L85" s="57"/>
    </row>
    <row r="86" spans="1:12" ht="15.6">
      <c r="A86" s="24" t="str">
        <v>Canoga</v>
      </c>
      <c r="B86" s="25" t="str">
        <v>NY</v>
      </c>
      <c r="C86" s="25" t="str">
        <f>Sites[[#This Row],[SOL'#]]</f>
        <v>SOL-10965</v>
      </c>
      <c r="D86" s="88"/>
      <c r="E86" s="89"/>
      <c r="F86" s="10" t="str">
        <f t="shared" si="8"/>
        <v/>
      </c>
      <c r="G86" s="11" t="str">
        <f t="shared" si="9"/>
        <v/>
      </c>
      <c r="H86" s="76"/>
      <c r="I86" s="12" t="str">
        <f t="shared" si="10"/>
        <v/>
      </c>
      <c r="J86" s="13" t="str">
        <f t="shared" si="11"/>
        <v/>
      </c>
      <c r="K86" s="59"/>
      <c r="L86" s="59"/>
    </row>
    <row r="87" spans="1:12" ht="15.6">
      <c r="A87" s="26" t="str">
        <v>County Route 84</v>
      </c>
      <c r="B87" s="27" t="str">
        <v>NY</v>
      </c>
      <c r="C87" s="27" t="str">
        <f>Sites[[#This Row],[SOL'#]]</f>
        <v>SOL-10967</v>
      </c>
      <c r="D87" s="81"/>
      <c r="E87" s="90"/>
      <c r="F87" s="14" t="str">
        <f t="shared" si="8"/>
        <v/>
      </c>
      <c r="G87" s="15" t="str">
        <f t="shared" si="9"/>
        <v/>
      </c>
      <c r="H87" s="78"/>
      <c r="I87" s="16" t="str">
        <f t="shared" si="10"/>
        <v/>
      </c>
      <c r="J87" s="15" t="str">
        <f t="shared" si="11"/>
        <v/>
      </c>
      <c r="K87" s="57"/>
      <c r="L87" s="57"/>
    </row>
    <row r="88" spans="1:12" ht="15.6">
      <c r="A88" s="24" t="str">
        <v>Donati</v>
      </c>
      <c r="B88" s="25" t="str">
        <v>NY</v>
      </c>
      <c r="C88" s="25" t="str">
        <f>Sites[[#This Row],[SOL'#]]</f>
        <v>SOL-10968</v>
      </c>
      <c r="D88" s="88"/>
      <c r="E88" s="89"/>
      <c r="F88" s="10" t="str">
        <f t="shared" si="8"/>
        <v/>
      </c>
      <c r="G88" s="11" t="str">
        <f t="shared" si="9"/>
        <v/>
      </c>
      <c r="H88" s="76"/>
      <c r="I88" s="12" t="str">
        <f t="shared" si="10"/>
        <v/>
      </c>
      <c r="J88" s="13" t="str">
        <f t="shared" si="11"/>
        <v/>
      </c>
      <c r="K88" s="59"/>
      <c r="L88" s="59"/>
    </row>
    <row r="89" spans="1:12" ht="15.6">
      <c r="A89" s="26" t="str">
        <v>Henrietta</v>
      </c>
      <c r="B89" s="27" t="str">
        <v>NY</v>
      </c>
      <c r="C89" s="27" t="str">
        <f>Sites[[#This Row],[SOL'#]]</f>
        <v>SOL-10972</v>
      </c>
      <c r="D89" s="81"/>
      <c r="E89" s="90"/>
      <c r="F89" s="14" t="str">
        <f t="shared" si="8"/>
        <v/>
      </c>
      <c r="G89" s="15" t="str">
        <f t="shared" si="9"/>
        <v/>
      </c>
      <c r="H89" s="78"/>
      <c r="I89" s="16" t="str">
        <f t="shared" si="10"/>
        <v/>
      </c>
      <c r="J89" s="15" t="str">
        <f t="shared" si="11"/>
        <v/>
      </c>
      <c r="K89" s="57"/>
      <c r="L89" s="57"/>
    </row>
    <row r="90" spans="1:12" ht="15.6">
      <c r="A90" s="24" t="str">
        <v>NY 70</v>
      </c>
      <c r="B90" s="25" t="str">
        <v>NY</v>
      </c>
      <c r="C90" s="25" t="str">
        <f>Sites[[#This Row],[SOL'#]]</f>
        <v>SOL-10970</v>
      </c>
      <c r="D90" s="88"/>
      <c r="E90" s="89"/>
      <c r="F90" s="10" t="str">
        <f t="shared" si="8"/>
        <v/>
      </c>
      <c r="G90" s="11" t="str">
        <f t="shared" si="9"/>
        <v/>
      </c>
      <c r="H90" s="76"/>
      <c r="I90" s="12" t="str">
        <f t="shared" si="10"/>
        <v/>
      </c>
      <c r="J90" s="13" t="str">
        <f t="shared" si="11"/>
        <v/>
      </c>
      <c r="K90" s="59"/>
      <c r="L90" s="59"/>
    </row>
    <row r="91" spans="1:12" ht="15.6">
      <c r="A91" s="26" t="str">
        <v>Reid</v>
      </c>
      <c r="B91" s="27" t="str">
        <v>NY</v>
      </c>
      <c r="C91" s="27" t="str">
        <f>Sites[[#This Row],[SOL'#]]</f>
        <v>SOL-10991</v>
      </c>
      <c r="D91" s="81"/>
      <c r="E91" s="90"/>
      <c r="F91" s="14" t="str">
        <f t="shared" si="8"/>
        <v/>
      </c>
      <c r="G91" s="15" t="str">
        <f t="shared" si="9"/>
        <v/>
      </c>
      <c r="H91" s="78"/>
      <c r="I91" s="16" t="str">
        <f t="shared" si="10"/>
        <v/>
      </c>
      <c r="J91" s="15" t="str">
        <f t="shared" si="11"/>
        <v/>
      </c>
      <c r="K91" s="57"/>
      <c r="L91" s="57"/>
    </row>
    <row r="92" spans="1:12" ht="15.6">
      <c r="A92" s="24" t="str">
        <v>Sangolqui</v>
      </c>
      <c r="B92" s="25" t="str">
        <v>NY</v>
      </c>
      <c r="C92" s="25" t="str">
        <f>Sites[[#This Row],[SOL'#]]</f>
        <v>SOL-10975</v>
      </c>
      <c r="D92" s="88"/>
      <c r="E92" s="89"/>
      <c r="F92" s="10" t="str">
        <f t="shared" si="8"/>
        <v/>
      </c>
      <c r="G92" s="11" t="str">
        <f t="shared" si="9"/>
        <v/>
      </c>
      <c r="H92" s="76"/>
      <c r="I92" s="12" t="str">
        <f t="shared" si="10"/>
        <v/>
      </c>
      <c r="J92" s="13" t="str">
        <f t="shared" si="11"/>
        <v/>
      </c>
      <c r="K92" s="59"/>
      <c r="L92" s="59"/>
    </row>
    <row r="93" spans="1:12" ht="15.6">
      <c r="A93" s="26" t="str">
        <v>State Highway 17B</v>
      </c>
      <c r="B93" s="27" t="str">
        <v>NY</v>
      </c>
      <c r="C93" s="27" t="str">
        <f>Sites[[#This Row],[SOL'#]]</f>
        <v>SOL-10988</v>
      </c>
      <c r="D93" s="81"/>
      <c r="E93" s="90"/>
      <c r="F93" s="14" t="str">
        <f t="shared" si="8"/>
        <v/>
      </c>
      <c r="G93" s="15" t="str">
        <f t="shared" si="9"/>
        <v/>
      </c>
      <c r="H93" s="78"/>
      <c r="I93" s="16" t="str">
        <f t="shared" si="10"/>
        <v/>
      </c>
      <c r="J93" s="15" t="str">
        <f t="shared" si="11"/>
        <v/>
      </c>
      <c r="K93" s="57"/>
      <c r="L93" s="57"/>
    </row>
    <row r="94" spans="1:12" ht="15.6">
      <c r="A94" s="24" t="str">
        <v>State Route 14A</v>
      </c>
      <c r="B94" s="25" t="str">
        <v>NY</v>
      </c>
      <c r="C94" s="25" t="str">
        <f>Sites[[#This Row],[SOL'#]]</f>
        <v>SOL-10997</v>
      </c>
      <c r="D94" s="88"/>
      <c r="E94" s="89"/>
      <c r="F94" s="10" t="str">
        <f t="shared" si="8"/>
        <v/>
      </c>
      <c r="G94" s="11" t="str">
        <f t="shared" si="9"/>
        <v/>
      </c>
      <c r="H94" s="76"/>
      <c r="I94" s="12" t="str">
        <f t="shared" si="10"/>
        <v/>
      </c>
      <c r="J94" s="13" t="str">
        <f t="shared" si="11"/>
        <v/>
      </c>
      <c r="K94" s="59"/>
      <c r="L94" s="59"/>
    </row>
    <row r="95" spans="1:12" ht="15.6">
      <c r="A95" s="26" t="str">
        <v>West Creek</v>
      </c>
      <c r="B95" s="27" t="str">
        <v>NY</v>
      </c>
      <c r="C95" s="27" t="str">
        <f>Sites[[#This Row],[SOL'#]]</f>
        <v>SOL-10995</v>
      </c>
      <c r="D95" s="81"/>
      <c r="E95" s="90"/>
      <c r="F95" s="14" t="str">
        <f t="shared" si="8"/>
        <v/>
      </c>
      <c r="G95" s="15" t="str">
        <f t="shared" si="9"/>
        <v/>
      </c>
      <c r="H95" s="78"/>
      <c r="I95" s="16" t="str">
        <f t="shared" si="10"/>
        <v/>
      </c>
      <c r="J95" s="15" t="str">
        <f t="shared" si="11"/>
        <v/>
      </c>
      <c r="K95" s="57"/>
      <c r="L95" s="57"/>
    </row>
    <row r="96" spans="1:12" ht="15.6">
      <c r="A96" s="24" t="str">
        <v>Wildflower</v>
      </c>
      <c r="B96" s="25" t="str">
        <v>NY</v>
      </c>
      <c r="C96" s="25" t="str">
        <f>Sites[[#This Row],[SOL'#]]</f>
        <v>SOL-10982</v>
      </c>
      <c r="D96" s="88"/>
      <c r="E96" s="89"/>
      <c r="F96" s="10" t="str">
        <f t="shared" si="8"/>
        <v/>
      </c>
      <c r="G96" s="11" t="str">
        <f t="shared" si="9"/>
        <v/>
      </c>
      <c r="H96" s="76"/>
      <c r="I96" s="12" t="str">
        <f t="shared" si="10"/>
        <v/>
      </c>
      <c r="J96" s="13" t="str">
        <f t="shared" si="11"/>
        <v/>
      </c>
      <c r="K96" s="59"/>
      <c r="L96" s="59"/>
    </row>
    <row r="97" spans="1:12" ht="15.6">
      <c r="A97" s="26" t="str">
        <v>Glen Mary 1</v>
      </c>
      <c r="B97" s="27" t="str">
        <v>NY</v>
      </c>
      <c r="C97" s="27" t="str">
        <f>Sites[[#This Row],[SOL'#]]</f>
        <v>SOL-10993</v>
      </c>
      <c r="D97" s="81"/>
      <c r="E97" s="90"/>
      <c r="F97" s="14" t="str">
        <f t="shared" si="8"/>
        <v/>
      </c>
      <c r="G97" s="15" t="str">
        <f t="shared" si="9"/>
        <v/>
      </c>
      <c r="H97" s="78"/>
      <c r="I97" s="16" t="str">
        <f t="shared" si="10"/>
        <v/>
      </c>
      <c r="J97" s="15" t="str">
        <f t="shared" si="11"/>
        <v/>
      </c>
      <c r="K97" s="57"/>
      <c r="L97" s="57"/>
    </row>
    <row r="98" spans="1:12" ht="15.6">
      <c r="A98" s="24" t="str">
        <v>Glen Mary 2</v>
      </c>
      <c r="B98" s="25" t="str">
        <v>NY</v>
      </c>
      <c r="C98" s="25" t="str">
        <f>Sites[[#This Row],[SOL'#]]</f>
        <v>SOL-10994</v>
      </c>
      <c r="D98" s="88"/>
      <c r="E98" s="89"/>
      <c r="F98" s="10" t="str">
        <f t="shared" si="8"/>
        <v/>
      </c>
      <c r="G98" s="11" t="str">
        <f t="shared" si="9"/>
        <v/>
      </c>
      <c r="H98" s="76"/>
      <c r="I98" s="12" t="str">
        <f t="shared" si="10"/>
        <v/>
      </c>
      <c r="J98" s="13" t="str">
        <f t="shared" si="11"/>
        <v/>
      </c>
      <c r="K98" s="59"/>
      <c r="L98" s="59"/>
    </row>
    <row r="99" spans="1:12" ht="15.6">
      <c r="A99" s="26" t="str">
        <v>Telegraph 1</v>
      </c>
      <c r="B99" s="27" t="str">
        <v>NY</v>
      </c>
      <c r="C99" s="27" t="str">
        <f>Sites[[#This Row],[SOL'#]]</f>
        <v>SOL-11003</v>
      </c>
      <c r="D99" s="81"/>
      <c r="E99" s="90"/>
      <c r="F99" s="14" t="str">
        <f t="shared" si="8"/>
        <v/>
      </c>
      <c r="G99" s="15" t="str">
        <f t="shared" si="9"/>
        <v/>
      </c>
      <c r="H99" s="78"/>
      <c r="I99" s="16" t="str">
        <f t="shared" si="10"/>
        <v/>
      </c>
      <c r="J99" s="15" t="str">
        <f t="shared" si="11"/>
        <v/>
      </c>
      <c r="K99" s="57"/>
      <c r="L99" s="57"/>
    </row>
    <row r="100" spans="1:12" ht="15.6">
      <c r="A100" s="24" t="str">
        <v>Telegraph 2</v>
      </c>
      <c r="B100" s="25" t="str">
        <v>NY</v>
      </c>
      <c r="C100" s="25" t="str">
        <f>Sites[[#This Row],[SOL'#]]</f>
        <v>SOL-11004</v>
      </c>
      <c r="D100" s="88"/>
      <c r="E100" s="89"/>
      <c r="F100" s="10" t="str">
        <f t="shared" si="8"/>
        <v/>
      </c>
      <c r="G100" s="11" t="str">
        <f t="shared" si="9"/>
        <v/>
      </c>
      <c r="H100" s="76"/>
      <c r="I100" s="12" t="str">
        <f t="shared" si="10"/>
        <v/>
      </c>
      <c r="J100" s="13" t="str">
        <f t="shared" si="11"/>
        <v/>
      </c>
      <c r="K100" s="59"/>
      <c r="L100" s="59"/>
    </row>
    <row r="101" spans="1:12" ht="15.6">
      <c r="A101" s="26" t="str">
        <v>Cafferty Hill</v>
      </c>
      <c r="B101" s="27" t="str">
        <v>NY</v>
      </c>
      <c r="C101" s="27" t="str">
        <f>Sites[[#This Row],[SOL'#]]</f>
        <v>SOL-10996</v>
      </c>
      <c r="D101" s="81"/>
      <c r="E101" s="90"/>
      <c r="F101" s="14" t="str">
        <f t="shared" si="8"/>
        <v/>
      </c>
      <c r="G101" s="15" t="str">
        <f t="shared" si="9"/>
        <v/>
      </c>
      <c r="H101" s="78"/>
      <c r="I101" s="16" t="str">
        <f t="shared" si="10"/>
        <v/>
      </c>
      <c r="J101" s="15" t="str">
        <f t="shared" si="11"/>
        <v/>
      </c>
      <c r="K101" s="57"/>
      <c r="L101" s="57"/>
    </row>
    <row r="102" spans="1:12" ht="15.6">
      <c r="A102" s="24" t="str">
        <v>Dunkleman</v>
      </c>
      <c r="B102" s="25" t="str">
        <v>NY</v>
      </c>
      <c r="C102" s="25" t="str">
        <f>Sites[[#This Row],[SOL'#]]</f>
        <v>SOL-11008</v>
      </c>
      <c r="D102" s="88"/>
      <c r="E102" s="89"/>
      <c r="F102" s="10" t="str">
        <f t="shared" si="8"/>
        <v/>
      </c>
      <c r="G102" s="11" t="str">
        <f t="shared" si="9"/>
        <v/>
      </c>
      <c r="H102" s="76"/>
      <c r="I102" s="12" t="str">
        <f t="shared" si="10"/>
        <v/>
      </c>
      <c r="J102" s="13" t="str">
        <f t="shared" si="11"/>
        <v/>
      </c>
      <c r="K102" s="59"/>
      <c r="L102" s="59"/>
    </row>
    <row r="103" spans="1:12" ht="15.6">
      <c r="A103" s="26" t="str">
        <v>Route 19 1</v>
      </c>
      <c r="B103" s="27" t="str">
        <v>NY</v>
      </c>
      <c r="C103" s="27" t="str">
        <f>Sites[[#This Row],[SOL'#]]</f>
        <v>SOL-11001</v>
      </c>
      <c r="D103" s="81"/>
      <c r="E103" s="90"/>
      <c r="F103" s="14" t="str">
        <f t="shared" si="8"/>
        <v/>
      </c>
      <c r="G103" s="15" t="str">
        <f t="shared" si="9"/>
        <v/>
      </c>
      <c r="H103" s="78"/>
      <c r="I103" s="16" t="str">
        <f t="shared" si="10"/>
        <v/>
      </c>
      <c r="J103" s="15" t="str">
        <f t="shared" si="11"/>
        <v/>
      </c>
      <c r="K103" s="57"/>
      <c r="L103" s="57"/>
    </row>
    <row r="104" spans="1:12" ht="15.6">
      <c r="A104" s="24" t="str">
        <v>Route 19 2</v>
      </c>
      <c r="B104" s="25" t="str">
        <v>NY</v>
      </c>
      <c r="C104" s="25" t="str">
        <f>Sites[[#This Row],[SOL'#]]</f>
        <v>SOL-11002</v>
      </c>
      <c r="D104" s="88"/>
      <c r="E104" s="89"/>
      <c r="F104" s="10" t="str">
        <f t="shared" si="8"/>
        <v/>
      </c>
      <c r="G104" s="11" t="str">
        <f t="shared" si="9"/>
        <v/>
      </c>
      <c r="H104" s="76"/>
      <c r="I104" s="12" t="str">
        <f t="shared" si="10"/>
        <v/>
      </c>
      <c r="J104" s="13" t="str">
        <f t="shared" si="11"/>
        <v/>
      </c>
      <c r="K104" s="59"/>
      <c r="L104" s="59"/>
    </row>
    <row r="105" spans="1:12" ht="15.6">
      <c r="A105" s="26" t="str">
        <v>Yellow Mills 1</v>
      </c>
      <c r="B105" s="27" t="str">
        <v>NY</v>
      </c>
      <c r="C105" s="27" t="str">
        <f>Sites[[#This Row],[SOL'#]]</f>
        <v>SOL-11006</v>
      </c>
      <c r="D105" s="81"/>
      <c r="E105" s="90"/>
      <c r="F105" s="14" t="str">
        <f t="shared" si="8"/>
        <v/>
      </c>
      <c r="G105" s="15" t="str">
        <f t="shared" si="9"/>
        <v/>
      </c>
      <c r="H105" s="78"/>
      <c r="I105" s="16" t="str">
        <f t="shared" si="10"/>
        <v/>
      </c>
      <c r="J105" s="15" t="str">
        <f t="shared" si="11"/>
        <v/>
      </c>
      <c r="K105" s="57"/>
      <c r="L105" s="57"/>
    </row>
    <row r="106" spans="1:12" ht="15.6">
      <c r="A106" s="24" t="str">
        <v>Yellow Mills 2</v>
      </c>
      <c r="B106" s="25" t="str">
        <v>NY</v>
      </c>
      <c r="C106" s="25" t="str">
        <f>Sites[[#This Row],[SOL'#]]</f>
        <v>SOL-11005</v>
      </c>
      <c r="D106" s="88"/>
      <c r="E106" s="89"/>
      <c r="F106" s="10" t="str">
        <f t="shared" si="8"/>
        <v/>
      </c>
      <c r="G106" s="11" t="str">
        <f t="shared" si="9"/>
        <v/>
      </c>
      <c r="H106" s="76"/>
      <c r="I106" s="12" t="str">
        <f t="shared" si="10"/>
        <v/>
      </c>
      <c r="J106" s="13" t="str">
        <f t="shared" si="11"/>
        <v/>
      </c>
      <c r="K106" s="59"/>
      <c r="L106" s="59"/>
    </row>
    <row r="107" spans="1:12" ht="15.6">
      <c r="A107" s="26" t="str">
        <v>Yellow Mills 3</v>
      </c>
      <c r="B107" s="27" t="str">
        <v>NY</v>
      </c>
      <c r="C107" s="27" t="str">
        <f>Sites[[#This Row],[SOL'#]]</f>
        <v>SOL-11007</v>
      </c>
      <c r="D107" s="81"/>
      <c r="E107" s="90"/>
      <c r="F107" s="14" t="str">
        <f t="shared" si="8"/>
        <v/>
      </c>
      <c r="G107" s="15" t="str">
        <f t="shared" si="9"/>
        <v/>
      </c>
      <c r="H107" s="78"/>
      <c r="I107" s="16" t="str">
        <f t="shared" si="10"/>
        <v/>
      </c>
      <c r="J107" s="15" t="str">
        <f t="shared" si="11"/>
        <v/>
      </c>
      <c r="K107" s="57"/>
      <c r="L107" s="57"/>
    </row>
    <row r="108" spans="1:12" ht="15.6">
      <c r="A108" s="24" t="str">
        <v>Catskill</v>
      </c>
      <c r="B108" s="25" t="str">
        <v>NY</v>
      </c>
      <c r="C108" s="25" t="str">
        <f>Sites[[#This Row],[SOL'#]]</f>
        <v>SOL-11021</v>
      </c>
      <c r="D108" s="88"/>
      <c r="E108" s="89"/>
      <c r="F108" s="10" t="str">
        <f t="shared" si="8"/>
        <v/>
      </c>
      <c r="G108" s="11" t="str">
        <f t="shared" si="9"/>
        <v/>
      </c>
      <c r="H108" s="76"/>
      <c r="I108" s="12" t="str">
        <f t="shared" si="10"/>
        <v/>
      </c>
      <c r="J108" s="13" t="str">
        <f t="shared" si="11"/>
        <v/>
      </c>
      <c r="K108" s="59"/>
      <c r="L108" s="59"/>
    </row>
    <row r="109" spans="1:12" ht="15.6">
      <c r="A109" s="26" t="str">
        <v>Eddy Ridge</v>
      </c>
      <c r="B109" s="27" t="str">
        <v>NY</v>
      </c>
      <c r="C109" s="27" t="str">
        <f>Sites[[#This Row],[SOL'#]]</f>
        <v>SOL-11054</v>
      </c>
      <c r="D109" s="81"/>
      <c r="E109" s="90"/>
      <c r="F109" s="14" t="str">
        <f t="shared" si="8"/>
        <v/>
      </c>
      <c r="G109" s="15" t="str">
        <f t="shared" si="9"/>
        <v/>
      </c>
      <c r="H109" s="78"/>
      <c r="I109" s="16" t="str">
        <f t="shared" si="10"/>
        <v/>
      </c>
      <c r="J109" s="15" t="str">
        <f t="shared" si="11"/>
        <v/>
      </c>
      <c r="K109" s="57"/>
      <c r="L109" s="57"/>
    </row>
    <row r="110" spans="1:12" ht="15.6">
      <c r="A110" s="26" t="str">
        <v>Ridgeway #1</v>
      </c>
      <c r="B110" s="25" t="str">
        <v>NY</v>
      </c>
      <c r="C110" s="25" t="str">
        <f>Sites[[#This Row],[SOL'#]]</f>
        <v>SOL-11018</v>
      </c>
      <c r="D110" s="88"/>
      <c r="E110" s="89"/>
      <c r="F110" s="10" t="str">
        <f t="shared" si="8"/>
        <v/>
      </c>
      <c r="G110" s="11" t="str">
        <f t="shared" si="9"/>
        <v/>
      </c>
      <c r="H110" s="76"/>
      <c r="I110" s="12" t="str">
        <f t="shared" si="10"/>
        <v/>
      </c>
      <c r="J110" s="13" t="str">
        <f t="shared" si="11"/>
        <v/>
      </c>
      <c r="K110" s="59"/>
      <c r="L110" s="59"/>
    </row>
    <row r="111" spans="1:12" ht="64.5" customHeight="1">
      <c r="A111" s="26" t="str">
        <v>Rivard 1</v>
      </c>
      <c r="B111" s="27" t="str">
        <v>NY</v>
      </c>
      <c r="C111" s="27" t="str">
        <f>Sites[[#This Row],[SOL'#]]</f>
        <v>SOL-11011</v>
      </c>
      <c r="D111" s="81"/>
      <c r="E111" s="90"/>
      <c r="F111" s="14" t="str">
        <f t="shared" si="8"/>
        <v/>
      </c>
      <c r="G111" s="15" t="str">
        <f t="shared" si="9"/>
        <v/>
      </c>
      <c r="H111" s="78"/>
      <c r="I111" s="16" t="str">
        <f t="shared" si="10"/>
        <v/>
      </c>
      <c r="J111" s="15" t="str">
        <f t="shared" si="11"/>
        <v/>
      </c>
      <c r="K111" s="57"/>
      <c r="L111" s="57"/>
    </row>
    <row r="112" spans="1:12" ht="15.6">
      <c r="A112" s="24" t="str">
        <v>Rivard 2</v>
      </c>
      <c r="B112" s="25" t="str">
        <v>NY</v>
      </c>
      <c r="C112" s="25" t="str">
        <f>Sites[[#This Row],[SOL'#]]</f>
        <v>SOL-11012</v>
      </c>
      <c r="D112" s="88"/>
      <c r="E112" s="89"/>
      <c r="F112" s="10" t="str">
        <f t="shared" si="8"/>
        <v/>
      </c>
      <c r="G112" s="11" t="str">
        <f t="shared" si="9"/>
        <v/>
      </c>
      <c r="H112" s="76"/>
      <c r="I112" s="12" t="str">
        <f t="shared" si="10"/>
        <v/>
      </c>
      <c r="J112" s="13" t="str">
        <f t="shared" si="11"/>
        <v/>
      </c>
      <c r="K112" s="59"/>
      <c r="L112" s="59"/>
    </row>
    <row r="113" spans="1:12" ht="15.6">
      <c r="A113" s="26" t="str">
        <v>Essex</v>
      </c>
      <c r="B113" s="27" t="str">
        <v>DC</v>
      </c>
      <c r="C113" s="27" t="str">
        <f>Sites[[#This Row],[SOL'#]]</f>
        <v>SOL-10036</v>
      </c>
      <c r="D113" s="81"/>
      <c r="E113" s="90"/>
      <c r="F113" s="14" t="str">
        <f t="shared" si="8"/>
        <v/>
      </c>
      <c r="G113" s="15" t="str">
        <f t="shared" si="9"/>
        <v/>
      </c>
      <c r="H113" s="78"/>
      <c r="I113" s="16" t="str">
        <f t="shared" si="10"/>
        <v/>
      </c>
      <c r="J113" s="15" t="str">
        <f t="shared" si="11"/>
        <v/>
      </c>
      <c r="K113" s="57"/>
      <c r="L113" s="57"/>
    </row>
    <row r="114" spans="1:12" ht="15.6">
      <c r="A114" s="24" t="str">
        <v>Temple Sinai</v>
      </c>
      <c r="B114" s="25" t="str">
        <v>DC</v>
      </c>
      <c r="C114" s="25" t="str">
        <f>Sites[[#This Row],[SOL'#]]</f>
        <v>SOL-10028</v>
      </c>
      <c r="D114" s="88"/>
      <c r="E114" s="89"/>
      <c r="F114" s="10" t="str">
        <f t="shared" si="8"/>
        <v/>
      </c>
      <c r="G114" s="11" t="str">
        <f t="shared" si="9"/>
        <v/>
      </c>
      <c r="H114" s="76"/>
      <c r="I114" s="12" t="str">
        <f t="shared" si="10"/>
        <v/>
      </c>
      <c r="J114" s="13" t="str">
        <f t="shared" si="11"/>
        <v/>
      </c>
      <c r="K114" s="59"/>
      <c r="L114" s="59"/>
    </row>
    <row r="115" spans="1:12" ht="15.6">
      <c r="A115" s="26" t="str">
        <v>Weinberg 1</v>
      </c>
      <c r="B115" s="27" t="str">
        <v>DC</v>
      </c>
      <c r="C115" s="27" t="str">
        <f>Sites[[#This Row],[SOL'#]]</f>
        <v>SOL-10039</v>
      </c>
      <c r="D115" s="81"/>
      <c r="E115" s="90"/>
      <c r="F115" s="14" t="str">
        <f t="shared" si="8"/>
        <v/>
      </c>
      <c r="G115" s="15" t="str">
        <f t="shared" si="9"/>
        <v/>
      </c>
      <c r="H115" s="78"/>
      <c r="I115" s="16" t="str">
        <f t="shared" si="10"/>
        <v/>
      </c>
      <c r="J115" s="15" t="str">
        <f t="shared" si="11"/>
        <v/>
      </c>
      <c r="K115" s="57"/>
      <c r="L115" s="57"/>
    </row>
    <row r="116" spans="1:12" ht="15.6">
      <c r="A116" s="24" t="str">
        <v>Weinberg 2</v>
      </c>
      <c r="B116" s="25" t="str">
        <v>DC</v>
      </c>
      <c r="C116" s="25" t="str">
        <f>Sites[[#This Row],[SOL'#]]</f>
        <v>SOL-10045</v>
      </c>
      <c r="D116" s="88"/>
      <c r="E116" s="89"/>
      <c r="F116" s="10" t="str">
        <f t="shared" si="8"/>
        <v/>
      </c>
      <c r="G116" s="11" t="str">
        <f t="shared" si="9"/>
        <v/>
      </c>
      <c r="H116" s="76"/>
      <c r="I116" s="12" t="str">
        <f t="shared" si="10"/>
        <v/>
      </c>
      <c r="J116" s="13" t="str">
        <f t="shared" si="11"/>
        <v/>
      </c>
      <c r="K116" s="59"/>
      <c r="L116" s="59"/>
    </row>
    <row r="117" spans="1:12" ht="15.6">
      <c r="A117" s="26" t="str">
        <v>Weinberg 3</v>
      </c>
      <c r="B117" s="27" t="str">
        <v>DC</v>
      </c>
      <c r="C117" s="27" t="str">
        <f>Sites[[#This Row],[SOL'#]]</f>
        <v>SOL-10042</v>
      </c>
      <c r="D117" s="81"/>
      <c r="E117" s="90"/>
      <c r="F117" s="14" t="str">
        <f t="shared" si="8"/>
        <v/>
      </c>
      <c r="G117" s="15" t="str">
        <f t="shared" si="9"/>
        <v/>
      </c>
      <c r="H117" s="78"/>
      <c r="I117" s="16" t="str">
        <f t="shared" si="10"/>
        <v/>
      </c>
      <c r="J117" s="15" t="str">
        <f t="shared" si="11"/>
        <v/>
      </c>
      <c r="K117" s="57"/>
      <c r="L117" s="57"/>
    </row>
    <row r="118" spans="1:12" ht="15.6">
      <c r="A118" s="24" t="str">
        <v>Clayton Hall</v>
      </c>
      <c r="B118" s="25" t="str">
        <v>DE</v>
      </c>
      <c r="C118" s="25" t="str">
        <f>Sites[[#This Row],[SOL'#]]</f>
        <v>SOL-10820</v>
      </c>
      <c r="D118" s="88"/>
      <c r="E118" s="89"/>
      <c r="F118" s="10" t="str">
        <f t="shared" si="8"/>
        <v/>
      </c>
      <c r="G118" s="11" t="str">
        <f t="shared" si="9"/>
        <v/>
      </c>
      <c r="H118" s="76"/>
      <c r="I118" s="12" t="str">
        <f t="shared" si="10"/>
        <v/>
      </c>
      <c r="J118" s="13" t="str">
        <f t="shared" si="11"/>
        <v/>
      </c>
      <c r="K118" s="59"/>
      <c r="L118" s="59"/>
    </row>
    <row r="119" spans="1:12" ht="15.6">
      <c r="A119" s="26" t="str">
        <v>Field House</v>
      </c>
      <c r="B119" s="27" t="str">
        <v>DE</v>
      </c>
      <c r="C119" s="27" t="str">
        <f>Sites[[#This Row],[SOL'#]]</f>
        <v>SOL-10821</v>
      </c>
      <c r="D119" s="81"/>
      <c r="E119" s="90"/>
      <c r="F119" s="14" t="str">
        <f t="shared" si="8"/>
        <v/>
      </c>
      <c r="G119" s="15" t="str">
        <f t="shared" si="9"/>
        <v/>
      </c>
      <c r="H119" s="78"/>
      <c r="I119" s="16" t="str">
        <f t="shared" si="10"/>
        <v/>
      </c>
      <c r="J119" s="15" t="str">
        <f t="shared" si="11"/>
        <v/>
      </c>
      <c r="K119" s="57"/>
      <c r="L119" s="57"/>
    </row>
    <row r="120" spans="1:12" ht="15.6">
      <c r="A120" s="24" t="str">
        <v>Wyoming Road</v>
      </c>
      <c r="B120" s="25" t="str">
        <v>DE</v>
      </c>
      <c r="C120" s="25" t="str">
        <f>Sites[[#This Row],[SOL'#]]</f>
        <v>SOL-10819</v>
      </c>
      <c r="D120" s="88"/>
      <c r="E120" s="89"/>
      <c r="F120" s="10" t="str">
        <f t="shared" si="8"/>
        <v/>
      </c>
      <c r="G120" s="11" t="str">
        <f t="shared" si="9"/>
        <v/>
      </c>
      <c r="H120" s="76"/>
      <c r="I120" s="12" t="str">
        <f t="shared" si="10"/>
        <v/>
      </c>
      <c r="J120" s="13" t="str">
        <f t="shared" si="11"/>
        <v/>
      </c>
      <c r="K120" s="59"/>
      <c r="L120" s="59"/>
    </row>
    <row r="121" spans="1:12" ht="15.6">
      <c r="A121" s="26" t="str">
        <v>Leoku</v>
      </c>
      <c r="B121" s="27" t="str">
        <v>HI</v>
      </c>
      <c r="C121" s="27" t="str">
        <f>Sites[[#This Row],[SOL'#]]</f>
        <v>SOL-10071</v>
      </c>
      <c r="D121" s="81"/>
      <c r="E121" s="90"/>
      <c r="F121" s="14" t="str">
        <f t="shared" si="8"/>
        <v/>
      </c>
      <c r="G121" s="15" t="str">
        <f t="shared" si="9"/>
        <v/>
      </c>
      <c r="H121" s="78"/>
      <c r="I121" s="16" t="str">
        <f t="shared" si="10"/>
        <v/>
      </c>
      <c r="J121" s="15" t="str">
        <f t="shared" si="11"/>
        <v/>
      </c>
      <c r="K121" s="57"/>
      <c r="L121" s="57"/>
    </row>
    <row r="122" spans="1:12" ht="15.6">
      <c r="A122" s="24" t="str">
        <v>Waipahu</v>
      </c>
      <c r="B122" s="25" t="str">
        <v>HI</v>
      </c>
      <c r="C122" s="25" t="str">
        <f>Sites[[#This Row],[SOL'#]]</f>
        <v>SOL-10068</v>
      </c>
      <c r="D122" s="88"/>
      <c r="E122" s="89"/>
      <c r="F122" s="10" t="str">
        <f t="shared" si="8"/>
        <v/>
      </c>
      <c r="G122" s="11" t="str">
        <f t="shared" si="9"/>
        <v/>
      </c>
      <c r="H122" s="76"/>
      <c r="I122" s="12" t="str">
        <f t="shared" si="10"/>
        <v/>
      </c>
      <c r="J122" s="13" t="str">
        <f t="shared" si="11"/>
        <v/>
      </c>
      <c r="K122" s="59"/>
      <c r="L122" s="59"/>
    </row>
    <row r="123" spans="1:12" ht="15.6">
      <c r="A123" s="26" t="str">
        <v>Bird in Hand</v>
      </c>
      <c r="B123" s="27" t="str">
        <v>MD</v>
      </c>
      <c r="C123" s="27" t="str">
        <f>Sites[[#This Row],[SOL'#]]</f>
        <v>SOL-10092</v>
      </c>
      <c r="D123" s="81"/>
      <c r="E123" s="90"/>
      <c r="F123" s="14" t="str">
        <f t="shared" si="8"/>
        <v/>
      </c>
      <c r="G123" s="15" t="str">
        <f t="shared" si="9"/>
        <v/>
      </c>
      <c r="H123" s="78"/>
      <c r="I123" s="16" t="str">
        <f t="shared" si="10"/>
        <v/>
      </c>
      <c r="J123" s="15" t="str">
        <f t="shared" si="11"/>
        <v/>
      </c>
      <c r="K123" s="57"/>
      <c r="L123" s="57"/>
    </row>
    <row r="124" spans="1:12" ht="15.6">
      <c r="A124" s="24" t="str">
        <v>Shortal</v>
      </c>
      <c r="B124" s="25" t="str">
        <v>MD</v>
      </c>
      <c r="C124" s="25" t="str">
        <f>Sites[[#This Row],[SOL'#]]</f>
        <v>SOL-10091</v>
      </c>
      <c r="D124" s="88"/>
      <c r="E124" s="89"/>
      <c r="F124" s="10" t="str">
        <f t="shared" si="8"/>
        <v/>
      </c>
      <c r="G124" s="11" t="str">
        <f t="shared" si="9"/>
        <v/>
      </c>
      <c r="H124" s="76"/>
      <c r="I124" s="12" t="str">
        <f t="shared" si="10"/>
        <v/>
      </c>
      <c r="J124" s="13" t="str">
        <f t="shared" si="11"/>
        <v/>
      </c>
      <c r="K124" s="59"/>
      <c r="L124" s="59"/>
    </row>
    <row r="125" spans="1:12" ht="15.6">
      <c r="A125" s="26" t="str">
        <v>Aguadilla</v>
      </c>
      <c r="B125" s="27" t="str">
        <v>PR</v>
      </c>
      <c r="C125" s="27" t="str">
        <f>Sites[[#This Row],[SOL'#]]</f>
        <v>SOL-10072</v>
      </c>
      <c r="D125" s="81"/>
      <c r="E125" s="90"/>
      <c r="F125" s="14" t="str">
        <f>IF(AND(ISNUMBER(D125),ISNUMBER(E125)), D125-E125, "")</f>
        <v/>
      </c>
      <c r="G125" s="15" t="str">
        <f t="shared" si="9"/>
        <v/>
      </c>
      <c r="H125" s="78"/>
      <c r="I125" s="16" t="str">
        <f>IF(AND(ISNUMBER(D125),ISNUMBER(H125)), D125-H125, "")</f>
        <v/>
      </c>
      <c r="J125" s="15" t="str">
        <f t="shared" si="11"/>
        <v/>
      </c>
      <c r="K125" s="57"/>
      <c r="L125" s="57"/>
    </row>
    <row r="126" spans="1:12" ht="129" customHeight="1">
      <c r="A126" s="24" t="str">
        <v>Bayamon</v>
      </c>
      <c r="B126" s="25" t="str">
        <v>PR</v>
      </c>
      <c r="C126" s="25" t="str">
        <f>Sites[[#This Row],[SOL'#]]</f>
        <v>SOL-10073</v>
      </c>
      <c r="D126" s="88"/>
      <c r="E126" s="89"/>
      <c r="F126" s="10" t="str">
        <f t="shared" si="8"/>
        <v/>
      </c>
      <c r="G126" s="11" t="str">
        <f t="shared" si="9"/>
        <v/>
      </c>
      <c r="H126" s="76"/>
      <c r="I126" s="12" t="str">
        <f t="shared" si="10"/>
        <v/>
      </c>
      <c r="J126" s="13" t="str">
        <f t="shared" si="11"/>
        <v/>
      </c>
      <c r="K126" s="59"/>
      <c r="L126" s="59"/>
    </row>
    <row r="127" spans="1:12" ht="15.6">
      <c r="A127" s="26" t="str">
        <v>St Francis</v>
      </c>
      <c r="B127" s="27" t="str">
        <v>PR</v>
      </c>
      <c r="C127" s="27" t="str">
        <f>Sites[[#This Row],[SOL'#]]</f>
        <v>SOL-10034</v>
      </c>
      <c r="D127" s="81"/>
      <c r="E127" s="90"/>
      <c r="F127" s="14" t="str">
        <f t="shared" si="8"/>
        <v/>
      </c>
      <c r="G127" s="15" t="str">
        <f t="shared" si="9"/>
        <v/>
      </c>
      <c r="H127" s="78"/>
      <c r="I127" s="16" t="str">
        <f t="shared" si="10"/>
        <v/>
      </c>
      <c r="J127" s="15" t="str">
        <f t="shared" si="11"/>
        <v/>
      </c>
      <c r="K127" s="57"/>
      <c r="L127" s="57"/>
    </row>
    <row r="128" spans="1:12" ht="15.6">
      <c r="A128" s="24" t="str">
        <v>Seaport</v>
      </c>
      <c r="B128" s="25" t="str">
        <v>MA</v>
      </c>
      <c r="C128" s="25" t="str">
        <f>Sites[[#This Row],[SOL'#]]</f>
        <v>SOL-10772</v>
      </c>
      <c r="D128" s="88"/>
      <c r="E128" s="89"/>
      <c r="F128" s="10" t="str">
        <f t="shared" si="8"/>
        <v/>
      </c>
      <c r="G128" s="11" t="str">
        <f t="shared" si="9"/>
        <v/>
      </c>
      <c r="H128" s="76"/>
      <c r="I128" s="12" t="str">
        <f t="shared" si="10"/>
        <v/>
      </c>
      <c r="J128" s="13" t="str">
        <f t="shared" si="11"/>
        <v/>
      </c>
      <c r="K128" s="59"/>
      <c r="L128" s="59"/>
    </row>
    <row r="129" spans="1:12" ht="15.6">
      <c r="A129" s="26" t="str">
        <v>Sprague St</v>
      </c>
      <c r="B129" s="27" t="str">
        <v>MA</v>
      </c>
      <c r="C129" s="27" t="str">
        <f>Sites[[#This Row],[SOL'#]]</f>
        <v>SOL-10773</v>
      </c>
      <c r="D129" s="81"/>
      <c r="E129" s="90"/>
      <c r="F129" s="14" t="str">
        <f t="shared" si="8"/>
        <v/>
      </c>
      <c r="G129" s="15" t="str">
        <f t="shared" si="9"/>
        <v/>
      </c>
      <c r="H129" s="78"/>
      <c r="I129" s="16" t="str">
        <f t="shared" si="10"/>
        <v/>
      </c>
      <c r="J129" s="15" t="str">
        <f t="shared" si="11"/>
        <v/>
      </c>
      <c r="K129" s="57"/>
      <c r="L129" s="57"/>
    </row>
    <row r="130" spans="1:12" ht="15.6">
      <c r="A130" s="24" t="str">
        <v>Summer St</v>
      </c>
      <c r="B130" s="25" t="str">
        <v>MA</v>
      </c>
      <c r="C130" s="25" t="str">
        <f>Sites[[#This Row],[SOL'#]]</f>
        <v>SOL-10764</v>
      </c>
      <c r="D130" s="88"/>
      <c r="E130" s="89"/>
      <c r="F130" s="10" t="str">
        <f t="shared" si="8"/>
        <v/>
      </c>
      <c r="G130" s="11" t="str">
        <f t="shared" si="9"/>
        <v/>
      </c>
      <c r="H130" s="76"/>
      <c r="I130" s="12" t="str">
        <f t="shared" si="10"/>
        <v/>
      </c>
      <c r="J130" s="13" t="str">
        <f t="shared" si="11"/>
        <v/>
      </c>
      <c r="K130" s="59"/>
      <c r="L130" s="59"/>
    </row>
    <row r="131" spans="1:12" ht="15.6">
      <c r="A131" s="26" t="str">
        <v>Brock St Vocational</v>
      </c>
      <c r="B131" s="27" t="str">
        <v>NH</v>
      </c>
      <c r="C131" s="27" t="str">
        <f>Sites[[#This Row],[SOL'#]]</f>
        <v>SOL-10768</v>
      </c>
      <c r="D131" s="81"/>
      <c r="E131" s="90"/>
      <c r="F131" s="14" t="str">
        <f t="shared" si="8"/>
        <v/>
      </c>
      <c r="G131" s="15" t="str">
        <f t="shared" si="9"/>
        <v/>
      </c>
      <c r="H131" s="78"/>
      <c r="I131" s="16" t="str">
        <f t="shared" si="10"/>
        <v/>
      </c>
      <c r="J131" s="15" t="str">
        <f t="shared" si="11"/>
        <v/>
      </c>
      <c r="K131" s="57"/>
      <c r="L131" s="57"/>
    </row>
    <row r="132" spans="1:12" ht="15.6">
      <c r="A132" s="24" t="str">
        <v>McClelland ES</v>
      </c>
      <c r="B132" s="25" t="str">
        <v>NH</v>
      </c>
      <c r="C132" s="25" t="str">
        <f>Sites[[#This Row],[SOL'#]]</f>
        <v>SOL-10766</v>
      </c>
      <c r="D132" s="88"/>
      <c r="E132" s="89"/>
      <c r="F132" s="10" t="str">
        <f t="shared" si="8"/>
        <v/>
      </c>
      <c r="G132" s="11" t="str">
        <f t="shared" si="9"/>
        <v/>
      </c>
      <c r="H132" s="76"/>
      <c r="I132" s="12" t="str">
        <f t="shared" si="10"/>
        <v/>
      </c>
      <c r="J132" s="13" t="str">
        <f t="shared" si="11"/>
        <v/>
      </c>
      <c r="K132" s="59"/>
      <c r="L132" s="59"/>
    </row>
    <row r="133" spans="1:12" ht="15.6">
      <c r="A133" s="26" t="str">
        <v>Portland St</v>
      </c>
      <c r="B133" s="27" t="str">
        <v>NH</v>
      </c>
      <c r="C133" s="27" t="str">
        <f>Sites[[#This Row],[SOL'#]]</f>
        <v>SOL-10771</v>
      </c>
      <c r="D133" s="81"/>
      <c r="E133" s="90"/>
      <c r="F133" s="14" t="str">
        <f t="shared" si="8"/>
        <v/>
      </c>
      <c r="G133" s="15" t="str">
        <f t="shared" si="9"/>
        <v/>
      </c>
      <c r="H133" s="78"/>
      <c r="I133" s="16" t="str">
        <f t="shared" si="10"/>
        <v/>
      </c>
      <c r="J133" s="15" t="str">
        <f t="shared" si="11"/>
        <v/>
      </c>
      <c r="K133" s="57"/>
      <c r="L133" s="57"/>
    </row>
    <row r="134" spans="1:12" ht="15.6">
      <c r="A134" s="24" t="str">
        <v>Portsmouth HS</v>
      </c>
      <c r="B134" s="25" t="str">
        <v>NH</v>
      </c>
      <c r="C134" s="25" t="str">
        <f>Sites[[#This Row],[SOL'#]]</f>
        <v>SOL-10769</v>
      </c>
      <c r="D134" s="88"/>
      <c r="E134" s="89"/>
      <c r="F134" s="10" t="str">
        <f t="shared" si="8"/>
        <v/>
      </c>
      <c r="G134" s="11" t="str">
        <f t="shared" si="9"/>
        <v/>
      </c>
      <c r="H134" s="76"/>
      <c r="I134" s="12" t="str">
        <f t="shared" si="10"/>
        <v/>
      </c>
      <c r="J134" s="13" t="str">
        <f t="shared" si="11"/>
        <v/>
      </c>
      <c r="K134" s="59"/>
      <c r="L134" s="59"/>
    </row>
    <row r="135" spans="1:12" ht="15.6">
      <c r="A135" s="26" t="str">
        <v>Portsmouth WTP</v>
      </c>
      <c r="B135" s="27" t="str">
        <v>NH</v>
      </c>
      <c r="C135" s="27" t="str">
        <f>Sites[[#This Row],[SOL'#]]</f>
        <v>SOL-10770</v>
      </c>
      <c r="D135" s="81"/>
      <c r="E135" s="90"/>
      <c r="F135" s="14" t="str">
        <f t="shared" si="8"/>
        <v/>
      </c>
      <c r="G135" s="15" t="str">
        <f t="shared" si="9"/>
        <v/>
      </c>
      <c r="H135" s="78"/>
      <c r="I135" s="16" t="str">
        <f t="shared" si="10"/>
        <v/>
      </c>
      <c r="J135" s="15" t="str">
        <f t="shared" si="11"/>
        <v/>
      </c>
      <c r="K135" s="57"/>
      <c r="L135" s="57"/>
    </row>
    <row r="136" spans="1:12" ht="15.6">
      <c r="A136" s="24" t="str">
        <v>Rochester St</v>
      </c>
      <c r="B136" s="25" t="str">
        <v>NH</v>
      </c>
      <c r="C136" s="25" t="str">
        <f>Sites[[#This Row],[SOL'#]]</f>
        <v>SOL-10765</v>
      </c>
      <c r="D136" s="88"/>
      <c r="E136" s="89"/>
      <c r="F136" s="10" t="str">
        <f t="shared" si="8"/>
        <v/>
      </c>
      <c r="G136" s="11" t="str">
        <f t="shared" si="9"/>
        <v/>
      </c>
      <c r="H136" s="76"/>
      <c r="I136" s="12" t="str">
        <f t="shared" si="10"/>
        <v/>
      </c>
      <c r="J136" s="13" t="str">
        <f t="shared" si="11"/>
        <v/>
      </c>
      <c r="K136" s="59"/>
      <c r="L136" s="59"/>
    </row>
    <row r="137" spans="1:12" ht="15.6">
      <c r="A137" s="26" t="str">
        <v>Spaulding HS</v>
      </c>
      <c r="B137" s="27" t="str">
        <v>NH</v>
      </c>
      <c r="C137" s="27" t="str">
        <f>Sites[[#This Row],[SOL'#]]</f>
        <v>SOL-10767</v>
      </c>
      <c r="D137" s="81"/>
      <c r="E137" s="90"/>
      <c r="F137" s="14" t="str">
        <f t="shared" si="8"/>
        <v/>
      </c>
      <c r="G137" s="15" t="str">
        <f t="shared" si="9"/>
        <v/>
      </c>
      <c r="H137" s="78"/>
      <c r="I137" s="16" t="str">
        <f t="shared" si="10"/>
        <v/>
      </c>
      <c r="J137" s="15" t="str">
        <f t="shared" si="11"/>
        <v/>
      </c>
      <c r="K137" s="57"/>
      <c r="L137" s="57"/>
    </row>
    <row r="138" spans="1:12" ht="15.6">
      <c r="A138" s="24" t="str">
        <v>Ridgeway #2</v>
      </c>
      <c r="B138" s="25" t="str">
        <v>NY</v>
      </c>
      <c r="C138" s="25" t="str">
        <f>Sites[[#This Row],[SOL'#]]</f>
        <v>SOL-11027</v>
      </c>
      <c r="D138" s="88"/>
      <c r="E138" s="89"/>
      <c r="F138" s="10" t="str">
        <f t="shared" si="8"/>
        <v/>
      </c>
      <c r="G138" s="11" t="str">
        <f t="shared" si="9"/>
        <v/>
      </c>
      <c r="H138" s="76"/>
      <c r="I138" s="12" t="str">
        <f t="shared" si="10"/>
        <v/>
      </c>
      <c r="J138" s="13" t="str">
        <f t="shared" si="11"/>
        <v/>
      </c>
      <c r="K138" s="59"/>
      <c r="L138" s="59"/>
    </row>
    <row r="139" spans="1:12" ht="15.6">
      <c r="A139" s="26" t="str">
        <v>Spencer</v>
      </c>
      <c r="B139" s="27" t="str">
        <v>NY</v>
      </c>
      <c r="C139" s="27" t="str">
        <f>Sites[[#This Row],[SOL'#]]</f>
        <v>SOL-11017</v>
      </c>
      <c r="D139" s="81"/>
      <c r="E139" s="90"/>
      <c r="F139" s="14" t="str">
        <f t="shared" si="8"/>
        <v/>
      </c>
      <c r="G139" s="15" t="str">
        <f t="shared" si="9"/>
        <v/>
      </c>
      <c r="H139" s="78"/>
      <c r="I139" s="16" t="str">
        <f t="shared" si="10"/>
        <v/>
      </c>
      <c r="J139" s="15" t="str">
        <f t="shared" si="11"/>
        <v/>
      </c>
      <c r="K139" s="57"/>
      <c r="L139" s="57"/>
    </row>
    <row r="140" spans="1:12" ht="15.6">
      <c r="A140" s="28" t="str">
        <v>Reisender</v>
      </c>
      <c r="B140" s="25" t="str">
        <v>NY</v>
      </c>
      <c r="C140" s="25" t="str">
        <f>Sites[[#This Row],[SOL'#]]</f>
        <v>SOL-10886</v>
      </c>
      <c r="D140" s="88"/>
      <c r="E140" s="89"/>
      <c r="F140" s="10" t="str">
        <f t="shared" si="8"/>
        <v/>
      </c>
      <c r="G140" s="11" t="str">
        <f t="shared" si="9"/>
        <v/>
      </c>
      <c r="H140" s="76"/>
      <c r="I140" s="12" t="str">
        <f t="shared" si="10"/>
        <v/>
      </c>
      <c r="J140" s="13" t="str">
        <f t="shared" si="11"/>
        <v/>
      </c>
      <c r="K140" s="59"/>
      <c r="L140" s="59"/>
    </row>
    <row r="141" spans="1:12" ht="15.6">
      <c r="A141" s="26" t="str">
        <v>Finney</v>
      </c>
      <c r="B141" s="27" t="str">
        <v>NY</v>
      </c>
      <c r="C141" s="27" t="str">
        <f>Sites[[#This Row],[SOL'#]]</f>
        <v>SOL-10999</v>
      </c>
      <c r="D141" s="81"/>
      <c r="E141" s="90"/>
      <c r="F141" s="14" t="str">
        <f t="shared" si="8"/>
        <v/>
      </c>
      <c r="G141" s="15" t="str">
        <f t="shared" si="9"/>
        <v/>
      </c>
      <c r="H141" s="78"/>
      <c r="I141" s="16" t="str">
        <f t="shared" si="10"/>
        <v/>
      </c>
      <c r="J141" s="15" t="str">
        <f t="shared" si="11"/>
        <v/>
      </c>
      <c r="K141" s="57"/>
      <c r="L141" s="57"/>
    </row>
    <row r="142" spans="1:12" ht="15.6">
      <c r="A142" s="28" t="str">
        <v>Davis Solar</v>
      </c>
      <c r="B142" s="25" t="str">
        <v>NY</v>
      </c>
      <c r="C142" s="25" t="str">
        <f>Sites[[#This Row],[SOL'#]]</f>
        <v>SOL-10958</v>
      </c>
      <c r="D142" s="88"/>
      <c r="E142" s="89"/>
      <c r="F142" s="10" t="str">
        <f t="shared" si="8"/>
        <v/>
      </c>
      <c r="G142" s="11" t="str">
        <f t="shared" si="9"/>
        <v/>
      </c>
      <c r="H142" s="76"/>
      <c r="I142" s="12" t="str">
        <f t="shared" si="10"/>
        <v/>
      </c>
      <c r="J142" s="13" t="str">
        <f t="shared" si="11"/>
        <v/>
      </c>
      <c r="K142" s="59"/>
      <c r="L142" s="59"/>
    </row>
    <row r="143" spans="1:12" ht="15.6">
      <c r="A143" s="26" t="str">
        <v>Genesee</v>
      </c>
      <c r="B143" s="27" t="str">
        <v>NY</v>
      </c>
      <c r="C143" s="27" t="str">
        <f>Sites[[#This Row],[SOL'#]]</f>
        <v>SOL-10951</v>
      </c>
      <c r="D143" s="81"/>
      <c r="E143" s="90"/>
      <c r="F143" s="14" t="str">
        <f t="shared" si="8"/>
        <v/>
      </c>
      <c r="G143" s="15" t="str">
        <f t="shared" si="9"/>
        <v/>
      </c>
      <c r="H143" s="78"/>
      <c r="I143" s="16" t="str">
        <f t="shared" si="10"/>
        <v/>
      </c>
      <c r="J143" s="15" t="str">
        <f t="shared" si="11"/>
        <v/>
      </c>
      <c r="K143" s="57"/>
      <c r="L143" s="57"/>
    </row>
    <row r="144" spans="1:12" ht="15.6">
      <c r="A144" s="24" t="str">
        <v>Landau I</v>
      </c>
      <c r="B144" s="25" t="str">
        <v>NY</v>
      </c>
      <c r="C144" s="25" t="str">
        <f>Sites[[#This Row],[SOL'#]]</f>
        <v>SOL-10891</v>
      </c>
      <c r="D144" s="88"/>
      <c r="E144" s="89"/>
      <c r="F144" s="10" t="str">
        <f t="shared" si="8"/>
        <v/>
      </c>
      <c r="G144" s="11" t="str">
        <f t="shared" si="9"/>
        <v/>
      </c>
      <c r="H144" s="76"/>
      <c r="I144" s="12" t="str">
        <f t="shared" si="10"/>
        <v/>
      </c>
      <c r="J144" s="13" t="str">
        <f t="shared" si="11"/>
        <v/>
      </c>
      <c r="K144" s="59"/>
      <c r="L144" s="59"/>
    </row>
    <row r="145" spans="1:12" ht="15.6">
      <c r="A145" s="26" t="str">
        <v>Landau II</v>
      </c>
      <c r="B145" s="27" t="str">
        <v>NY</v>
      </c>
      <c r="C145" s="27" t="str">
        <f>Sites[[#This Row],[SOL'#]]</f>
        <v>SOL-10895</v>
      </c>
      <c r="D145" s="81"/>
      <c r="E145" s="90"/>
      <c r="F145" s="14" t="str">
        <f t="shared" si="8"/>
        <v/>
      </c>
      <c r="G145" s="15" t="str">
        <f t="shared" si="9"/>
        <v/>
      </c>
      <c r="H145" s="78"/>
      <c r="I145" s="16" t="str">
        <f t="shared" si="10"/>
        <v/>
      </c>
      <c r="J145" s="15" t="str">
        <f t="shared" si="11"/>
        <v/>
      </c>
      <c r="K145" s="57"/>
      <c r="L145" s="57"/>
    </row>
    <row r="146" spans="1:12" ht="15.6">
      <c r="A146" s="24" t="str">
        <v>New Beginnings</v>
      </c>
      <c r="B146" s="25" t="str">
        <v>NY</v>
      </c>
      <c r="C146" s="25" t="str">
        <f>Sites[[#This Row],[SOL'#]]</f>
        <v>SOL-10890</v>
      </c>
      <c r="D146" s="88"/>
      <c r="E146" s="89"/>
      <c r="F146" s="10" t="str">
        <f t="shared" ref="F146:F161" si="12">IF(AND(ISNUMBER(D146),ISNUMBER(E146)), D146-E146, "")</f>
        <v/>
      </c>
      <c r="G146" s="11" t="str">
        <f t="shared" ref="G146:G161" si="13">IFERROR(F146/E146, "")</f>
        <v/>
      </c>
      <c r="H146" s="76"/>
      <c r="I146" s="12" t="str">
        <f t="shared" ref="I146:I161" si="14">IF(AND(ISNUMBER(D146),ISNUMBER(H146)), D146-H146, "")</f>
        <v/>
      </c>
      <c r="J146" s="13" t="str">
        <f t="shared" ref="J146:J161" si="15">IFERROR(I146/H146, "")</f>
        <v/>
      </c>
      <c r="K146" s="59"/>
      <c r="L146" s="59"/>
    </row>
    <row r="147" spans="1:12" ht="15.6">
      <c r="A147" s="26" t="str">
        <v>Guilin Farm Solar</v>
      </c>
      <c r="B147" s="27" t="str">
        <v>NY</v>
      </c>
      <c r="C147" s="27" t="str">
        <f>Sites[[#This Row],[SOL'#]]</f>
        <v>SOL-10998</v>
      </c>
      <c r="D147" s="92"/>
      <c r="E147" s="90"/>
      <c r="F147" s="14" t="str">
        <f t="shared" si="12"/>
        <v/>
      </c>
      <c r="G147" s="15" t="str">
        <f t="shared" si="13"/>
        <v/>
      </c>
      <c r="H147" s="78"/>
      <c r="I147" s="16" t="str">
        <f t="shared" si="14"/>
        <v/>
      </c>
      <c r="J147" s="15" t="str">
        <f t="shared" si="15"/>
        <v/>
      </c>
      <c r="K147" s="57"/>
      <c r="L147" s="57"/>
    </row>
    <row r="148" spans="1:12" ht="15.6">
      <c r="A148" s="24" t="str">
        <v>Brodhead Solar</v>
      </c>
      <c r="B148" s="25" t="str">
        <v>NY</v>
      </c>
      <c r="C148" s="25" t="str">
        <f>Sites[[#This Row],[SOL'#]]</f>
        <v>SOL-10899</v>
      </c>
      <c r="D148" s="88"/>
      <c r="E148" s="89"/>
      <c r="F148" s="10" t="str">
        <f t="shared" si="12"/>
        <v/>
      </c>
      <c r="G148" s="11" t="str">
        <f t="shared" si="13"/>
        <v/>
      </c>
      <c r="H148" s="76"/>
      <c r="I148" s="12" t="str">
        <f t="shared" si="14"/>
        <v/>
      </c>
      <c r="J148" s="13" t="str">
        <f t="shared" si="15"/>
        <v/>
      </c>
      <c r="K148" s="59"/>
      <c r="L148" s="59"/>
    </row>
    <row r="149" spans="1:12" ht="15.6">
      <c r="A149" s="26" t="str">
        <v>Svenski</v>
      </c>
      <c r="B149" s="27" t="str">
        <v>NY</v>
      </c>
      <c r="C149" s="27" t="str">
        <f>Sites[[#This Row],[SOL'#]]</f>
        <v>SOL-10894</v>
      </c>
      <c r="D149" s="81"/>
      <c r="E149" s="90"/>
      <c r="F149" s="14" t="str">
        <f t="shared" si="12"/>
        <v/>
      </c>
      <c r="G149" s="15" t="str">
        <f t="shared" si="13"/>
        <v/>
      </c>
      <c r="H149" s="78"/>
      <c r="I149" s="16" t="str">
        <f t="shared" si="14"/>
        <v/>
      </c>
      <c r="J149" s="15" t="str">
        <f t="shared" si="15"/>
        <v/>
      </c>
      <c r="K149" s="57"/>
      <c r="L149" s="57"/>
    </row>
    <row r="150" spans="1:12" ht="15.6">
      <c r="A150" s="24" t="str">
        <v>Bantam</v>
      </c>
      <c r="B150" s="25" t="str">
        <v>NY</v>
      </c>
      <c r="C150" s="25" t="str">
        <f>Sites[[#This Row],[SOL'#]]</f>
        <v>SOL-10986</v>
      </c>
      <c r="D150" s="88"/>
      <c r="E150" s="89"/>
      <c r="F150" s="10" t="str">
        <f t="shared" si="12"/>
        <v/>
      </c>
      <c r="G150" s="11" t="str">
        <f t="shared" si="13"/>
        <v/>
      </c>
      <c r="H150" s="76"/>
      <c r="I150" s="12" t="str">
        <f t="shared" si="14"/>
        <v/>
      </c>
      <c r="J150" s="13" t="str">
        <f t="shared" si="15"/>
        <v/>
      </c>
      <c r="K150" s="59"/>
      <c r="L150" s="59"/>
    </row>
    <row r="151" spans="1:12" ht="63" customHeight="1">
      <c r="A151" s="26" t="str">
        <v>Bogart</v>
      </c>
      <c r="B151" s="27" t="str">
        <v>NY</v>
      </c>
      <c r="C151" s="27" t="str">
        <f>Sites[[#This Row],[SOL'#]]</f>
        <v>SOL-10887</v>
      </c>
      <c r="D151" s="81"/>
      <c r="E151" s="90"/>
      <c r="F151" s="14" t="str">
        <f t="shared" si="12"/>
        <v/>
      </c>
      <c r="G151" s="15" t="str">
        <f t="shared" si="13"/>
        <v/>
      </c>
      <c r="H151" s="78"/>
      <c r="I151" s="16" t="str">
        <f t="shared" si="14"/>
        <v/>
      </c>
      <c r="J151" s="15" t="str">
        <f t="shared" si="15"/>
        <v/>
      </c>
      <c r="K151" s="57"/>
      <c r="L151" s="57"/>
    </row>
    <row r="152" spans="1:12" ht="15.6">
      <c r="A152" s="24" t="str">
        <v>Dubois</v>
      </c>
      <c r="B152" s="25" t="str">
        <v>NY</v>
      </c>
      <c r="C152" s="25" t="str">
        <f>Sites[[#This Row],[SOL'#]]</f>
        <v>SOL-10892</v>
      </c>
      <c r="D152" s="88"/>
      <c r="E152" s="89"/>
      <c r="F152" s="10" t="str">
        <f t="shared" si="12"/>
        <v/>
      </c>
      <c r="G152" s="11" t="str">
        <f t="shared" si="13"/>
        <v/>
      </c>
      <c r="H152" s="76"/>
      <c r="I152" s="12" t="str">
        <f t="shared" si="14"/>
        <v/>
      </c>
      <c r="J152" s="13" t="str">
        <f t="shared" si="15"/>
        <v/>
      </c>
      <c r="K152" s="59"/>
      <c r="L152" s="59"/>
    </row>
    <row r="153" spans="1:12" ht="15.6">
      <c r="A153" s="26" t="str">
        <v>Salt Point</v>
      </c>
      <c r="B153" s="27" t="str">
        <v>NY</v>
      </c>
      <c r="C153" s="27" t="str">
        <f>Sites[[#This Row],[SOL'#]]</f>
        <v>SOL-10888</v>
      </c>
      <c r="D153" s="81"/>
      <c r="E153" s="90"/>
      <c r="F153" s="14" t="str">
        <f t="shared" si="12"/>
        <v/>
      </c>
      <c r="G153" s="15" t="str">
        <f t="shared" si="13"/>
        <v/>
      </c>
      <c r="H153" s="78"/>
      <c r="I153" s="16" t="str">
        <f t="shared" si="14"/>
        <v/>
      </c>
      <c r="J153" s="15" t="str">
        <f t="shared" si="15"/>
        <v/>
      </c>
      <c r="K153" s="57"/>
      <c r="L153" s="57"/>
    </row>
    <row r="154" spans="1:12" ht="15.6">
      <c r="A154" s="24" t="str">
        <v>Wheatland 2A</v>
      </c>
      <c r="B154" s="25" t="str">
        <v>NY</v>
      </c>
      <c r="C154" s="25" t="str">
        <f>Sites[[#This Row],[SOL'#]]</f>
        <v>SOL-10971</v>
      </c>
      <c r="D154" s="88"/>
      <c r="E154" s="89"/>
      <c r="F154" s="10" t="str">
        <f t="shared" si="12"/>
        <v/>
      </c>
      <c r="G154" s="11" t="str">
        <f t="shared" si="13"/>
        <v/>
      </c>
      <c r="H154" s="76"/>
      <c r="I154" s="12" t="str">
        <f t="shared" si="14"/>
        <v/>
      </c>
      <c r="J154" s="13" t="str">
        <f t="shared" si="15"/>
        <v/>
      </c>
      <c r="K154" s="59"/>
      <c r="L154" s="59"/>
    </row>
    <row r="155" spans="1:12" ht="15.6">
      <c r="A155" s="26" t="str">
        <v>Wheatland 2B</v>
      </c>
      <c r="B155" s="27" t="str">
        <v>NY</v>
      </c>
      <c r="C155" s="27" t="str">
        <f>Sites[[#This Row],[SOL'#]]</f>
        <v>SOL-10961</v>
      </c>
      <c r="D155" s="81"/>
      <c r="E155" s="90"/>
      <c r="F155" s="14" t="str">
        <f t="shared" si="12"/>
        <v/>
      </c>
      <c r="G155" s="15" t="str">
        <f t="shared" si="13"/>
        <v/>
      </c>
      <c r="H155" s="78"/>
      <c r="I155" s="16" t="str">
        <f t="shared" si="14"/>
        <v/>
      </c>
      <c r="J155" s="15" t="str">
        <f t="shared" si="15"/>
        <v/>
      </c>
      <c r="K155" s="57"/>
      <c r="L155" s="57"/>
    </row>
    <row r="156" spans="1:12" ht="15.6">
      <c r="A156" s="24" t="str">
        <v>Brickchurch</v>
      </c>
      <c r="B156" s="25" t="str">
        <v>NY</v>
      </c>
      <c r="C156" s="25" t="str">
        <f>Sites[[#This Row],[SOL'#]]</f>
        <v>SOL-10889</v>
      </c>
      <c r="D156" s="88"/>
      <c r="E156" s="89"/>
      <c r="F156" s="10" t="str">
        <f t="shared" si="12"/>
        <v/>
      </c>
      <c r="G156" s="11" t="str">
        <f t="shared" si="13"/>
        <v/>
      </c>
      <c r="H156" s="76"/>
      <c r="I156" s="12" t="str">
        <f t="shared" si="14"/>
        <v/>
      </c>
      <c r="J156" s="13" t="str">
        <f t="shared" si="15"/>
        <v/>
      </c>
      <c r="K156" s="59"/>
      <c r="L156" s="59"/>
    </row>
    <row r="157" spans="1:12" ht="15.6">
      <c r="A157" s="26" t="str">
        <v>McCarthy Solar</v>
      </c>
      <c r="B157" s="27" t="str">
        <v>NY</v>
      </c>
      <c r="C157" s="27" t="str">
        <f>Sites[[#This Row],[SOL'#]]</f>
        <v>SOL-10992</v>
      </c>
      <c r="D157" s="81"/>
      <c r="E157" s="90"/>
      <c r="F157" s="14" t="str">
        <f t="shared" si="12"/>
        <v/>
      </c>
      <c r="G157" s="15" t="str">
        <f t="shared" si="13"/>
        <v/>
      </c>
      <c r="H157" s="78"/>
      <c r="I157" s="16" t="str">
        <f t="shared" si="14"/>
        <v/>
      </c>
      <c r="J157" s="15" t="str">
        <f t="shared" si="15"/>
        <v/>
      </c>
      <c r="K157" s="57"/>
      <c r="L157" s="57"/>
    </row>
    <row r="158" spans="1:12" ht="15.6">
      <c r="A158" s="24" t="str">
        <v>Costanza</v>
      </c>
      <c r="B158" s="25" t="str">
        <v>NY</v>
      </c>
      <c r="C158" s="25" t="str">
        <f>Sites[[#This Row],[SOL'#]]</f>
        <v>SOL-10907</v>
      </c>
      <c r="D158" s="88"/>
      <c r="E158" s="89"/>
      <c r="F158" s="10" t="str">
        <f t="shared" si="12"/>
        <v/>
      </c>
      <c r="G158" s="11" t="str">
        <f t="shared" si="13"/>
        <v/>
      </c>
      <c r="H158" s="76"/>
      <c r="I158" s="12" t="str">
        <f t="shared" si="14"/>
        <v/>
      </c>
      <c r="J158" s="13" t="str">
        <f t="shared" si="15"/>
        <v/>
      </c>
      <c r="K158" s="59"/>
      <c r="L158" s="59"/>
    </row>
    <row r="159" spans="1:12" ht="15.6">
      <c r="A159" s="26" t="str">
        <v>Lockenhurst Pond</v>
      </c>
      <c r="B159" s="27" t="str">
        <v>NY</v>
      </c>
      <c r="C159" s="27" t="str">
        <f>Sites[[#This Row],[SOL'#]]</f>
        <v>SOL-11000</v>
      </c>
      <c r="D159" s="81"/>
      <c r="E159" s="90"/>
      <c r="F159" s="14" t="str">
        <f t="shared" si="12"/>
        <v/>
      </c>
      <c r="G159" s="15" t="str">
        <f t="shared" si="13"/>
        <v/>
      </c>
      <c r="H159" s="78"/>
      <c r="I159" s="16" t="str">
        <f t="shared" si="14"/>
        <v/>
      </c>
      <c r="J159" s="15" t="str">
        <f t="shared" si="15"/>
        <v/>
      </c>
      <c r="K159" s="57"/>
      <c r="L159" s="57"/>
    </row>
    <row r="160" spans="1:12" ht="15.6">
      <c r="A160" s="24" t="str">
        <v>Drinkwater</v>
      </c>
      <c r="B160" s="25" t="str">
        <v>NY</v>
      </c>
      <c r="C160" s="25" t="str">
        <f>Sites[[#This Row],[SOL'#]]</f>
        <v>SOL-10896</v>
      </c>
      <c r="D160" s="88"/>
      <c r="E160" s="89"/>
      <c r="F160" s="10" t="str">
        <f t="shared" si="12"/>
        <v/>
      </c>
      <c r="G160" s="11" t="str">
        <f t="shared" si="13"/>
        <v/>
      </c>
      <c r="H160" s="76"/>
      <c r="I160" s="12" t="str">
        <f t="shared" si="14"/>
        <v/>
      </c>
      <c r="J160" s="13" t="str">
        <f t="shared" si="15"/>
        <v/>
      </c>
      <c r="K160" s="59"/>
      <c r="L160" s="59"/>
    </row>
    <row r="161" spans="1:12" ht="15.6">
      <c r="A161" s="26" t="str">
        <v>Altamont</v>
      </c>
      <c r="B161" s="27" t="str">
        <v>NY</v>
      </c>
      <c r="C161" s="27" t="s">
        <v>228</v>
      </c>
      <c r="D161" s="81"/>
      <c r="E161" s="90"/>
      <c r="F161" s="14" t="str">
        <f t="shared" si="12"/>
        <v/>
      </c>
      <c r="G161" s="15" t="str">
        <f t="shared" si="13"/>
        <v/>
      </c>
      <c r="H161" s="78"/>
      <c r="I161" s="16" t="str">
        <f t="shared" si="14"/>
        <v/>
      </c>
      <c r="J161" s="15" t="str">
        <f t="shared" si="15"/>
        <v/>
      </c>
      <c r="K161" s="57"/>
      <c r="L161" s="57"/>
    </row>
    <row r="162" spans="1:12" ht="15.6">
      <c r="A162" s="24" t="str">
        <v>Krumkill North</v>
      </c>
      <c r="B162" s="25" t="str">
        <v>NY</v>
      </c>
      <c r="C162" s="25" t="str">
        <f>Sites[[#This Row],[SOL'#]]</f>
        <v>SOL-11086</v>
      </c>
      <c r="D162" s="88"/>
      <c r="E162" s="89"/>
      <c r="F162" s="10" t="str">
        <f t="shared" ref="F162:F185" si="16">IF(AND(ISNUMBER(D162),ISNUMBER(E162)), D162-E162, "")</f>
        <v/>
      </c>
      <c r="G162" s="11" t="str">
        <f t="shared" ref="G162:G185" si="17">IFERROR(F162/E162, "")</f>
        <v/>
      </c>
      <c r="H162" s="76"/>
      <c r="I162" s="12" t="str">
        <f t="shared" ref="I162:I185" si="18">IF(AND(ISNUMBER(D162),ISNUMBER(H162)), D162-H162, "")</f>
        <v/>
      </c>
      <c r="J162" s="13" t="str">
        <f t="shared" ref="J162:J185" si="19">IFERROR(I162/H162, "")</f>
        <v/>
      </c>
      <c r="K162" s="59"/>
      <c r="L162" s="59"/>
    </row>
    <row r="163" spans="1:12" ht="15.6">
      <c r="A163" s="26" t="str">
        <v>Krumkill South</v>
      </c>
      <c r="B163" s="27" t="str">
        <v>NY</v>
      </c>
      <c r="C163" s="27" t="s">
        <v>469</v>
      </c>
      <c r="D163" s="81"/>
      <c r="E163" s="90"/>
      <c r="F163" s="14" t="str">
        <f t="shared" si="16"/>
        <v/>
      </c>
      <c r="G163" s="15" t="str">
        <f t="shared" si="17"/>
        <v/>
      </c>
      <c r="H163" s="78"/>
      <c r="I163" s="16" t="str">
        <f t="shared" si="18"/>
        <v/>
      </c>
      <c r="J163" s="15" t="str">
        <f t="shared" si="19"/>
        <v/>
      </c>
      <c r="K163" s="57"/>
      <c r="L163" s="57"/>
    </row>
    <row r="164" spans="1:12" ht="15.6">
      <c r="A164" s="24" t="str">
        <v>X092</v>
      </c>
      <c r="B164" s="25" t="str">
        <v>NY</v>
      </c>
      <c r="C164" s="25" t="str">
        <f>Sites[[#This Row],[SOL'#]]</f>
        <v>SOL-11189</v>
      </c>
      <c r="D164" s="88"/>
      <c r="E164" s="89"/>
      <c r="F164" s="10" t="str">
        <f t="shared" si="16"/>
        <v/>
      </c>
      <c r="G164" s="11" t="str">
        <f t="shared" si="17"/>
        <v/>
      </c>
      <c r="H164" s="76"/>
      <c r="I164" s="12" t="str">
        <f t="shared" si="18"/>
        <v/>
      </c>
      <c r="J164" s="13" t="str">
        <f t="shared" si="19"/>
        <v/>
      </c>
      <c r="K164" s="59"/>
      <c r="L164" s="59"/>
    </row>
    <row r="165" spans="1:12" ht="15.6">
      <c r="A165" s="26" t="str">
        <v>X093</v>
      </c>
      <c r="B165" s="27" t="str">
        <v>NY</v>
      </c>
      <c r="C165" s="27" t="s">
        <v>470</v>
      </c>
      <c r="D165" s="81"/>
      <c r="E165" s="90"/>
      <c r="F165" s="14" t="str">
        <f t="shared" si="16"/>
        <v/>
      </c>
      <c r="G165" s="15" t="str">
        <f t="shared" si="17"/>
        <v/>
      </c>
      <c r="H165" s="78"/>
      <c r="I165" s="16" t="str">
        <f t="shared" si="18"/>
        <v/>
      </c>
      <c r="J165" s="15" t="str">
        <f t="shared" si="19"/>
        <v/>
      </c>
      <c r="K165" s="57"/>
      <c r="L165" s="57"/>
    </row>
    <row r="166" spans="1:12" ht="15.6">
      <c r="A166" s="24" t="str">
        <v>X095</v>
      </c>
      <c r="B166" s="25" t="str">
        <v>NY</v>
      </c>
      <c r="C166" s="25" t="str">
        <f>Sites[[#This Row],[SOL'#]]</f>
        <v>SOL-10929</v>
      </c>
      <c r="D166" s="88"/>
      <c r="E166" s="89"/>
      <c r="F166" s="10" t="str">
        <f t="shared" si="16"/>
        <v/>
      </c>
      <c r="G166" s="11" t="str">
        <f t="shared" si="17"/>
        <v/>
      </c>
      <c r="H166" s="76"/>
      <c r="I166" s="12" t="str">
        <f t="shared" si="18"/>
        <v/>
      </c>
      <c r="J166" s="13" t="str">
        <f t="shared" si="19"/>
        <v/>
      </c>
      <c r="K166" s="59"/>
      <c r="L166" s="59"/>
    </row>
    <row r="167" spans="1:12" ht="15.6">
      <c r="A167" s="26" t="str">
        <v>X181</v>
      </c>
      <c r="B167" s="27" t="str">
        <v>NY</v>
      </c>
      <c r="C167" s="27" t="s">
        <v>471</v>
      </c>
      <c r="D167" s="81"/>
      <c r="E167" s="90"/>
      <c r="F167" s="14" t="str">
        <f t="shared" si="16"/>
        <v/>
      </c>
      <c r="G167" s="15" t="str">
        <f t="shared" si="17"/>
        <v/>
      </c>
      <c r="H167" s="78"/>
      <c r="I167" s="16" t="str">
        <f t="shared" si="18"/>
        <v/>
      </c>
      <c r="J167" s="15" t="str">
        <f t="shared" si="19"/>
        <v/>
      </c>
      <c r="K167" s="57"/>
      <c r="L167" s="57"/>
    </row>
    <row r="168" spans="1:12" ht="15.6">
      <c r="A168" s="24" t="str">
        <v>X415</v>
      </c>
      <c r="B168" s="25" t="str">
        <v>NY</v>
      </c>
      <c r="C168" s="25" t="str">
        <f>Sites[[#This Row],[SOL'#]]</f>
        <v>SOL-10429</v>
      </c>
      <c r="D168" s="88"/>
      <c r="E168" s="89"/>
      <c r="F168" s="10" t="str">
        <f t="shared" si="16"/>
        <v/>
      </c>
      <c r="G168" s="11" t="str">
        <f t="shared" si="17"/>
        <v/>
      </c>
      <c r="H168" s="76"/>
      <c r="I168" s="12" t="str">
        <f t="shared" si="18"/>
        <v/>
      </c>
      <c r="J168" s="13" t="str">
        <f t="shared" si="19"/>
        <v/>
      </c>
      <c r="K168" s="59"/>
      <c r="L168" s="59"/>
    </row>
    <row r="169" spans="1:12" ht="15.6">
      <c r="A169" s="26" t="str">
        <v>K198</v>
      </c>
      <c r="B169" s="27" t="str">
        <v>NY</v>
      </c>
      <c r="C169" s="27" t="s">
        <v>472</v>
      </c>
      <c r="D169" s="81"/>
      <c r="E169" s="90"/>
      <c r="F169" s="14" t="str">
        <f t="shared" si="16"/>
        <v/>
      </c>
      <c r="G169" s="15" t="str">
        <f t="shared" si="17"/>
        <v/>
      </c>
      <c r="H169" s="78"/>
      <c r="I169" s="16" t="str">
        <f t="shared" si="18"/>
        <v/>
      </c>
      <c r="J169" s="15" t="str">
        <f t="shared" si="19"/>
        <v/>
      </c>
      <c r="K169" s="57"/>
      <c r="L169" s="57"/>
    </row>
    <row r="170" spans="1:12" ht="15.6">
      <c r="A170" s="24" t="str">
        <v>K203</v>
      </c>
      <c r="B170" s="25" t="str">
        <v>NY</v>
      </c>
      <c r="C170" s="25" t="str">
        <f>Sites[[#This Row],[SOL'#]]</f>
        <v>SOL-11190</v>
      </c>
      <c r="D170" s="88"/>
      <c r="E170" s="89"/>
      <c r="F170" s="10" t="str">
        <f t="shared" si="16"/>
        <v/>
      </c>
      <c r="G170" s="11" t="str">
        <f t="shared" si="17"/>
        <v/>
      </c>
      <c r="H170" s="76"/>
      <c r="I170" s="12" t="str">
        <f t="shared" si="18"/>
        <v/>
      </c>
      <c r="J170" s="13" t="str">
        <f t="shared" si="19"/>
        <v/>
      </c>
      <c r="K170" s="59"/>
      <c r="L170" s="59"/>
    </row>
    <row r="171" spans="1:12" ht="15.6">
      <c r="A171" s="26" t="str">
        <v>K213</v>
      </c>
      <c r="B171" s="27" t="str">
        <v>NY</v>
      </c>
      <c r="C171" s="27" t="s">
        <v>473</v>
      </c>
      <c r="D171" s="81"/>
      <c r="E171" s="90"/>
      <c r="F171" s="14" t="str">
        <f t="shared" si="16"/>
        <v/>
      </c>
      <c r="G171" s="15" t="str">
        <f t="shared" si="17"/>
        <v/>
      </c>
      <c r="H171" s="78"/>
      <c r="I171" s="16" t="str">
        <f t="shared" si="18"/>
        <v/>
      </c>
      <c r="J171" s="15" t="str">
        <f t="shared" si="19"/>
        <v/>
      </c>
      <c r="K171" s="57"/>
      <c r="L171" s="57"/>
    </row>
    <row r="172" spans="1:12" ht="15.6">
      <c r="A172" s="24" t="str">
        <v>K217</v>
      </c>
      <c r="B172" s="25" t="str">
        <v>NY</v>
      </c>
      <c r="C172" s="25" t="str">
        <f>Sites[[#This Row],[SOL'#]]</f>
        <v>SOL-10933</v>
      </c>
      <c r="D172" s="88"/>
      <c r="E172" s="89"/>
      <c r="F172" s="10" t="str">
        <f t="shared" si="16"/>
        <v/>
      </c>
      <c r="G172" s="11" t="str">
        <f t="shared" si="17"/>
        <v/>
      </c>
      <c r="H172" s="76"/>
      <c r="I172" s="12" t="str">
        <f t="shared" si="18"/>
        <v/>
      </c>
      <c r="J172" s="13" t="str">
        <f t="shared" si="19"/>
        <v/>
      </c>
      <c r="K172" s="59"/>
      <c r="L172" s="59"/>
    </row>
    <row r="173" spans="1:12" ht="15.6">
      <c r="A173" s="26" t="str">
        <v>K307</v>
      </c>
      <c r="B173" s="27" t="str">
        <v>NY</v>
      </c>
      <c r="C173" s="27" t="s">
        <v>474</v>
      </c>
      <c r="D173" s="81"/>
      <c r="E173" s="90"/>
      <c r="F173" s="14" t="str">
        <f t="shared" si="16"/>
        <v/>
      </c>
      <c r="G173" s="15" t="str">
        <f t="shared" si="17"/>
        <v/>
      </c>
      <c r="H173" s="78"/>
      <c r="I173" s="16" t="str">
        <f t="shared" si="18"/>
        <v/>
      </c>
      <c r="J173" s="15" t="str">
        <f t="shared" si="19"/>
        <v/>
      </c>
      <c r="K173" s="57"/>
      <c r="L173" s="57"/>
    </row>
    <row r="174" spans="1:12" ht="15.6">
      <c r="A174" s="24" t="str">
        <v>K610</v>
      </c>
      <c r="B174" s="25" t="str">
        <v>NY</v>
      </c>
      <c r="C174" s="25" t="str">
        <f>Sites[[#This Row],[SOL'#]]</f>
        <v>SOL-11158</v>
      </c>
      <c r="D174" s="88"/>
      <c r="E174" s="89"/>
      <c r="F174" s="10" t="str">
        <f t="shared" si="16"/>
        <v/>
      </c>
      <c r="G174" s="11" t="str">
        <f t="shared" si="17"/>
        <v/>
      </c>
      <c r="H174" s="76"/>
      <c r="I174" s="12" t="str">
        <f t="shared" si="18"/>
        <v/>
      </c>
      <c r="J174" s="13" t="str">
        <f t="shared" si="19"/>
        <v/>
      </c>
      <c r="K174" s="59"/>
      <c r="L174" s="59"/>
    </row>
    <row r="175" spans="1:12" ht="15.6">
      <c r="A175" s="26" t="str">
        <v>M025</v>
      </c>
      <c r="B175" s="27" t="str">
        <v>NY</v>
      </c>
      <c r="C175" s="27" t="s">
        <v>475</v>
      </c>
      <c r="D175" s="81"/>
      <c r="E175" s="90"/>
      <c r="F175" s="14" t="str">
        <f t="shared" si="16"/>
        <v/>
      </c>
      <c r="G175" s="15" t="str">
        <f t="shared" si="17"/>
        <v/>
      </c>
      <c r="H175" s="78"/>
      <c r="I175" s="16" t="str">
        <f t="shared" si="18"/>
        <v/>
      </c>
      <c r="J175" s="15" t="str">
        <f t="shared" si="19"/>
        <v/>
      </c>
      <c r="K175" s="57"/>
      <c r="L175" s="57"/>
    </row>
    <row r="176" spans="1:12" ht="15.6">
      <c r="A176" s="24" t="str">
        <v>M028</v>
      </c>
      <c r="B176" s="25" t="str">
        <v>NY</v>
      </c>
      <c r="C176" s="25" t="str">
        <f>Sites[[#This Row],[SOL'#]]</f>
        <v>SOL-10381</v>
      </c>
      <c r="D176" s="88"/>
      <c r="E176" s="89"/>
      <c r="F176" s="10" t="str">
        <f t="shared" si="16"/>
        <v/>
      </c>
      <c r="G176" s="11" t="str">
        <f t="shared" si="17"/>
        <v/>
      </c>
      <c r="H176" s="76"/>
      <c r="I176" s="12" t="str">
        <f t="shared" si="18"/>
        <v/>
      </c>
      <c r="J176" s="13" t="str">
        <f t="shared" si="19"/>
        <v/>
      </c>
      <c r="K176" s="59"/>
      <c r="L176" s="59"/>
    </row>
    <row r="177" spans="1:12" ht="15.6">
      <c r="A177" s="26" t="str">
        <v>Q030</v>
      </c>
      <c r="B177" s="27" t="str">
        <v>NY</v>
      </c>
      <c r="C177" s="27" t="s">
        <v>476</v>
      </c>
      <c r="D177" s="81"/>
      <c r="E177" s="90"/>
      <c r="F177" s="14" t="str">
        <f t="shared" si="16"/>
        <v/>
      </c>
      <c r="G177" s="15" t="str">
        <f t="shared" si="17"/>
        <v/>
      </c>
      <c r="H177" s="78"/>
      <c r="I177" s="16" t="str">
        <f t="shared" si="18"/>
        <v/>
      </c>
      <c r="J177" s="15" t="str">
        <f t="shared" si="19"/>
        <v/>
      </c>
      <c r="K177" s="57"/>
      <c r="L177" s="57"/>
    </row>
    <row r="178" spans="1:12" ht="15.6">
      <c r="A178" s="24" t="str">
        <v>Q130</v>
      </c>
      <c r="B178" s="25" t="str">
        <v>NY</v>
      </c>
      <c r="C178" s="25" t="str">
        <f>Sites[[#This Row],[SOL'#]]</f>
        <v>SOL-10877</v>
      </c>
      <c r="D178" s="88"/>
      <c r="E178" s="89"/>
      <c r="F178" s="10" t="str">
        <f t="shared" si="16"/>
        <v/>
      </c>
      <c r="G178" s="11" t="str">
        <f t="shared" si="17"/>
        <v/>
      </c>
      <c r="H178" s="76"/>
      <c r="I178" s="12" t="str">
        <f t="shared" si="18"/>
        <v/>
      </c>
      <c r="J178" s="13" t="str">
        <f t="shared" si="19"/>
        <v/>
      </c>
      <c r="K178" s="59"/>
      <c r="L178" s="59"/>
    </row>
    <row r="179" spans="1:12" ht="15.6">
      <c r="A179" s="26" t="str">
        <v>Q196</v>
      </c>
      <c r="B179" s="27" t="str">
        <v>NY</v>
      </c>
      <c r="C179" s="27" t="s">
        <v>477</v>
      </c>
      <c r="D179" s="81"/>
      <c r="E179" s="90"/>
      <c r="F179" s="14" t="str">
        <f t="shared" si="16"/>
        <v/>
      </c>
      <c r="G179" s="15" t="str">
        <f t="shared" si="17"/>
        <v/>
      </c>
      <c r="H179" s="78"/>
      <c r="I179" s="16" t="str">
        <f t="shared" si="18"/>
        <v/>
      </c>
      <c r="J179" s="15" t="str">
        <f t="shared" si="19"/>
        <v/>
      </c>
      <c r="K179" s="57"/>
      <c r="L179" s="57"/>
    </row>
    <row r="180" spans="1:12" ht="15.6">
      <c r="A180" s="24" t="str">
        <v>Q220</v>
      </c>
      <c r="B180" s="25" t="str">
        <v>NY</v>
      </c>
      <c r="C180" s="25" t="str">
        <f>Sites[[#This Row],[SOL'#]]</f>
        <v>SOL-10873</v>
      </c>
      <c r="D180" s="88"/>
      <c r="E180" s="89"/>
      <c r="F180" s="10" t="str">
        <f t="shared" si="16"/>
        <v/>
      </c>
      <c r="G180" s="11" t="str">
        <f t="shared" si="17"/>
        <v/>
      </c>
      <c r="H180" s="76"/>
      <c r="I180" s="12" t="str">
        <f t="shared" si="18"/>
        <v/>
      </c>
      <c r="J180" s="13" t="str">
        <f t="shared" si="19"/>
        <v/>
      </c>
      <c r="K180" s="59"/>
      <c r="L180" s="59"/>
    </row>
    <row r="181" spans="1:12" ht="15.6">
      <c r="A181" s="26" t="str">
        <v>Q205</v>
      </c>
      <c r="B181" s="27" t="str">
        <v>NY</v>
      </c>
      <c r="C181" s="27" t="s">
        <v>478</v>
      </c>
      <c r="D181" s="81"/>
      <c r="E181" s="90"/>
      <c r="F181" s="14" t="str">
        <f t="shared" si="16"/>
        <v/>
      </c>
      <c r="G181" s="15" t="str">
        <f t="shared" si="17"/>
        <v/>
      </c>
      <c r="H181" s="78"/>
      <c r="I181" s="16" t="str">
        <f t="shared" si="18"/>
        <v/>
      </c>
      <c r="J181" s="15" t="str">
        <f t="shared" si="19"/>
        <v/>
      </c>
      <c r="K181" s="57"/>
      <c r="L181" s="57"/>
    </row>
    <row r="182" spans="1:12" ht="15.6">
      <c r="A182" s="24" t="str">
        <v>Q400</v>
      </c>
      <c r="B182" s="25" t="str">
        <v>NY</v>
      </c>
      <c r="C182" s="25" t="str">
        <f>Sites[[#This Row],[SOL'#]]</f>
        <v>SOL-10871</v>
      </c>
      <c r="D182" s="88"/>
      <c r="E182" s="89"/>
      <c r="F182" s="10" t="str">
        <f t="shared" si="16"/>
        <v/>
      </c>
      <c r="G182" s="11" t="str">
        <f t="shared" si="17"/>
        <v/>
      </c>
      <c r="H182" s="76"/>
      <c r="I182" s="12" t="str">
        <f t="shared" si="18"/>
        <v/>
      </c>
      <c r="J182" s="13" t="str">
        <f t="shared" si="19"/>
        <v/>
      </c>
      <c r="K182" s="59"/>
      <c r="L182" s="59"/>
    </row>
    <row r="183" spans="1:12" ht="15.6">
      <c r="A183" s="26" t="str">
        <v>R003</v>
      </c>
      <c r="B183" s="27" t="str">
        <v>NY</v>
      </c>
      <c r="C183" s="27" t="s">
        <v>479</v>
      </c>
      <c r="D183" s="81"/>
      <c r="E183" s="90"/>
      <c r="F183" s="14" t="str">
        <f t="shared" si="16"/>
        <v/>
      </c>
      <c r="G183" s="15" t="str">
        <f t="shared" si="17"/>
        <v/>
      </c>
      <c r="H183" s="78"/>
      <c r="I183" s="16" t="str">
        <f t="shared" si="18"/>
        <v/>
      </c>
      <c r="J183" s="15" t="str">
        <f t="shared" si="19"/>
        <v/>
      </c>
      <c r="K183" s="57"/>
      <c r="L183" s="57"/>
    </row>
    <row r="184" spans="1:12" ht="15.6">
      <c r="A184" s="24" t="str">
        <v>R007</v>
      </c>
      <c r="B184" s="25" t="str">
        <v>NY</v>
      </c>
      <c r="C184" s="25" t="str">
        <f>Sites[[#This Row],[SOL'#]]</f>
        <v>SOL-10417</v>
      </c>
      <c r="D184" s="88"/>
      <c r="E184" s="89"/>
      <c r="F184" s="10" t="str">
        <f t="shared" si="16"/>
        <v/>
      </c>
      <c r="G184" s="11" t="str">
        <f t="shared" si="17"/>
        <v/>
      </c>
      <c r="H184" s="76"/>
      <c r="I184" s="12" t="str">
        <f t="shared" si="18"/>
        <v/>
      </c>
      <c r="J184" s="13" t="str">
        <f t="shared" si="19"/>
        <v/>
      </c>
      <c r="K184" s="59"/>
      <c r="L184" s="59"/>
    </row>
    <row r="185" spans="1:12" ht="15.6">
      <c r="A185" s="26" t="str">
        <v>BK16</v>
      </c>
      <c r="B185" s="27" t="str">
        <v>NY</v>
      </c>
      <c r="C185" s="27" t="s">
        <v>480</v>
      </c>
      <c r="D185" s="81"/>
      <c r="E185" s="90"/>
      <c r="F185" s="14" t="str">
        <f t="shared" si="16"/>
        <v/>
      </c>
      <c r="G185" s="15" t="str">
        <f t="shared" si="17"/>
        <v/>
      </c>
      <c r="H185" s="78"/>
      <c r="I185" s="16" t="str">
        <f t="shared" si="18"/>
        <v/>
      </c>
      <c r="J185" s="15" t="str">
        <f t="shared" si="19"/>
        <v/>
      </c>
      <c r="K185" s="57"/>
      <c r="L185" s="5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24" priority="15" stopIfTrue="1" operator="lessThanOrEqual">
      <formula>-0.1</formula>
    </cfRule>
    <cfRule type="expression" dxfId="23" priority="16">
      <formula>AND(ISNUMBER(G2), G2&gt;=0.1)</formula>
    </cfRule>
  </conditionalFormatting>
  <conditionalFormatting sqref="G4:G17 G19:G185">
    <cfRule type="cellIs" dxfId="22" priority="3" stopIfTrue="1" operator="lessThanOrEqual">
      <formula>-0.1</formula>
    </cfRule>
    <cfRule type="expression" dxfId="21" priority="4">
      <formula>AND(ISNUMBER(G4), G4&gt;=0.1)</formula>
    </cfRule>
  </conditionalFormatting>
  <conditionalFormatting sqref="J4:J185">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200"/>
  <sheetViews>
    <sheetView zoomScale="70" zoomScaleNormal="70" workbookViewId="0">
      <pane xSplit="2" ySplit="3" topLeftCell="C101" activePane="bottomRight" state="frozen"/>
      <selection pane="bottomRight" activeCell="N116" sqref="N11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49" t="str" cm="1">
        <f t="array" ref="A1">portfolio</f>
        <v>Generate Capital</v>
      </c>
      <c r="B1" s="149"/>
      <c r="C1" s="149"/>
      <c r="D1" s="149"/>
      <c r="E1" s="150" t="s">
        <v>491</v>
      </c>
      <c r="F1" s="150"/>
      <c r="G1" s="150"/>
      <c r="H1" s="148" t="s">
        <v>492</v>
      </c>
      <c r="I1" s="148"/>
      <c r="J1" s="148"/>
      <c r="K1" s="4"/>
      <c r="L1" s="4"/>
    </row>
    <row r="2" spans="1:12" ht="19.5" customHeight="1">
      <c r="A2" s="151" t="s">
        <v>2</v>
      </c>
      <c r="B2" s="151"/>
      <c r="C2" s="65"/>
      <c r="D2" s="5">
        <f>SUM(D4:D200)</f>
        <v>0</v>
      </c>
      <c r="E2" s="5">
        <f>SUM(E4:E100)</f>
        <v>0</v>
      </c>
      <c r="F2" s="5">
        <f>D2-E2</f>
        <v>0</v>
      </c>
      <c r="G2" s="6">
        <f>IFERROR(F2/E2, 0)</f>
        <v>0</v>
      </c>
      <c r="H2" s="5">
        <f>SUM(H4:H200)</f>
        <v>0</v>
      </c>
      <c r="I2" s="7">
        <f>D2-H2</f>
        <v>0</v>
      </c>
      <c r="J2" s="6">
        <f>IFERROR(I2/H2, 0)</f>
        <v>0</v>
      </c>
      <c r="K2" s="22"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39"/>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ref="G18:G49" si="4">IFERROR(F18/E18, "")</f>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4"/>
        <v/>
      </c>
      <c r="H19" s="16"/>
      <c r="I19" s="16" t="str">
        <f t="shared" si="1"/>
        <v/>
      </c>
      <c r="J19" s="15" t="str">
        <f t="shared" si="2"/>
        <v/>
      </c>
      <c r="K19" s="38"/>
      <c r="L19" s="39"/>
    </row>
    <row r="20" spans="1:12" ht="15.6">
      <c r="A20" s="24" t="str">
        <v>Spectro Coatings</v>
      </c>
      <c r="B20" s="25" t="str">
        <v>MA</v>
      </c>
      <c r="C20" s="25" t="str">
        <f>Sites[[#This Row],[SOL'#]]</f>
        <v>SOL-10074</v>
      </c>
      <c r="D20" s="20"/>
      <c r="E20" s="10"/>
      <c r="F20" s="10" t="str">
        <f t="shared" si="0"/>
        <v/>
      </c>
      <c r="G20" s="11" t="str">
        <f t="shared" si="4"/>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4"/>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4"/>
        <v/>
      </c>
      <c r="H22" s="12"/>
      <c r="I22" s="12" t="str">
        <f t="shared" si="1"/>
        <v/>
      </c>
      <c r="J22" s="13" t="str">
        <f t="shared" si="2"/>
        <v/>
      </c>
      <c r="K22" s="37"/>
      <c r="L22" s="37"/>
    </row>
    <row r="23" spans="1:12" ht="15.6">
      <c r="A23" s="26" t="str">
        <v>K043</v>
      </c>
      <c r="B23" s="27" t="str">
        <v>NY</v>
      </c>
      <c r="C23" s="27" t="str">
        <f>Sites[[#This Row],[SOL'#]]</f>
        <v>SOL-10358</v>
      </c>
      <c r="D23" s="9"/>
      <c r="E23" s="14"/>
      <c r="F23" s="14" t="str">
        <f t="shared" si="0"/>
        <v/>
      </c>
      <c r="G23" s="15" t="str">
        <f t="shared" si="4"/>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4"/>
        <v/>
      </c>
      <c r="H24" s="12"/>
      <c r="I24" s="12" t="str">
        <f t="shared" si="1"/>
        <v/>
      </c>
      <c r="J24" s="13" t="str">
        <f t="shared" si="2"/>
        <v/>
      </c>
      <c r="K24" s="37"/>
      <c r="L24" s="37"/>
    </row>
    <row r="25" spans="1:12" ht="35.25" customHeight="1">
      <c r="A25" s="26" t="str">
        <v>K115</v>
      </c>
      <c r="B25" s="27" t="str">
        <v>NY</v>
      </c>
      <c r="C25" s="27" t="str">
        <f>Sites[[#This Row],[SOL'#]]</f>
        <v>SOL-10361</v>
      </c>
      <c r="D25" s="9"/>
      <c r="E25" s="14"/>
      <c r="F25" s="14" t="str">
        <f t="shared" si="0"/>
        <v/>
      </c>
      <c r="G25" s="15" t="str">
        <f t="shared" si="4"/>
        <v/>
      </c>
      <c r="H25" s="16"/>
      <c r="I25" s="16" t="str">
        <f t="shared" si="1"/>
        <v/>
      </c>
      <c r="J25" s="15" t="str">
        <f t="shared" si="2"/>
        <v/>
      </c>
      <c r="K25" s="38"/>
      <c r="L25" s="57"/>
    </row>
    <row r="26" spans="1:12" ht="15.6">
      <c r="A26" s="24" t="str">
        <v>K152</v>
      </c>
      <c r="B26" s="25" t="str">
        <v>NY</v>
      </c>
      <c r="C26" s="25" t="str">
        <f>Sites[[#This Row],[SOL'#]]</f>
        <v>SOL-10362</v>
      </c>
      <c r="D26" s="20"/>
      <c r="E26" s="10"/>
      <c r="F26" s="10" t="str">
        <f t="shared" si="0"/>
        <v/>
      </c>
      <c r="G26" s="11" t="str">
        <f t="shared" si="4"/>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4"/>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4"/>
        <v/>
      </c>
      <c r="H28" s="12"/>
      <c r="I28" s="12" t="str">
        <f t="shared" si="1"/>
        <v/>
      </c>
      <c r="J28" s="13" t="str">
        <f t="shared" si="2"/>
        <v/>
      </c>
      <c r="K28" s="37"/>
      <c r="L28" s="37"/>
    </row>
    <row r="29" spans="1:12" ht="15.6">
      <c r="A29" s="26" t="str">
        <v>K251</v>
      </c>
      <c r="B29" s="27" t="str">
        <v>NY</v>
      </c>
      <c r="C29" s="27" t="str">
        <f>Sites[[#This Row],[SOL'#]]</f>
        <v>SOL-10365</v>
      </c>
      <c r="D29" s="9"/>
      <c r="E29" s="14"/>
      <c r="F29" s="14" t="str">
        <f t="shared" si="0"/>
        <v/>
      </c>
      <c r="G29" s="15" t="str">
        <f t="shared" si="4"/>
        <v/>
      </c>
      <c r="H29" s="16"/>
      <c r="I29" s="16" t="str">
        <f t="shared" si="1"/>
        <v/>
      </c>
      <c r="J29" s="15" t="str">
        <f t="shared" si="2"/>
        <v/>
      </c>
      <c r="K29" s="38"/>
      <c r="L29" s="38"/>
    </row>
    <row r="30" spans="1:12" ht="15.6">
      <c r="A30" s="24" t="str">
        <v>K269</v>
      </c>
      <c r="B30" s="25" t="str">
        <v>NY</v>
      </c>
      <c r="C30" s="25" t="str">
        <f>Sites[[#This Row],[SOL'#]]</f>
        <v>SOL-10366</v>
      </c>
      <c r="D30" s="20"/>
      <c r="E30" s="10"/>
      <c r="F30" s="10" t="str">
        <f t="shared" si="0"/>
        <v/>
      </c>
      <c r="G30" s="11" t="str">
        <f t="shared" si="4"/>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4"/>
        <v/>
      </c>
      <c r="H31" s="16"/>
      <c r="I31" s="16" t="str">
        <f t="shared" si="1"/>
        <v/>
      </c>
      <c r="J31" s="15" t="str">
        <f t="shared" si="2"/>
        <v/>
      </c>
      <c r="K31" s="38"/>
      <c r="L31" s="39"/>
    </row>
    <row r="32" spans="1:12" ht="15.6">
      <c r="A32" s="24" t="str">
        <v>K287</v>
      </c>
      <c r="B32" s="25" t="str">
        <v>NY</v>
      </c>
      <c r="C32" s="25" t="str">
        <f>Sites[[#This Row],[SOL'#]]</f>
        <v>SOL-10919</v>
      </c>
      <c r="D32" s="20"/>
      <c r="E32" s="10"/>
      <c r="F32" s="10" t="str">
        <f t="shared" si="0"/>
        <v/>
      </c>
      <c r="G32" s="11" t="str">
        <f t="shared" si="4"/>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4"/>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4"/>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4"/>
        <v/>
      </c>
      <c r="H35" s="16"/>
      <c r="I35" s="16" t="str">
        <f t="shared" si="1"/>
        <v/>
      </c>
      <c r="J35" s="15" t="str">
        <f t="shared" si="2"/>
        <v/>
      </c>
      <c r="K35" s="38"/>
      <c r="L35" s="39"/>
    </row>
    <row r="36" spans="1:12" ht="15.6">
      <c r="A36" s="24" t="str">
        <v>K445</v>
      </c>
      <c r="B36" s="25" t="str">
        <v>NY</v>
      </c>
      <c r="C36" s="25" t="str">
        <f>Sites[[#This Row],[SOL'#]]</f>
        <v>SOL-10373</v>
      </c>
      <c r="D36" s="60"/>
      <c r="E36" s="10"/>
      <c r="F36" s="10" t="str">
        <f t="shared" si="0"/>
        <v/>
      </c>
      <c r="G36" s="61" t="str">
        <f t="shared" si="4"/>
        <v/>
      </c>
      <c r="H36" s="76"/>
      <c r="I36" s="76" t="str">
        <f t="shared" si="1"/>
        <v/>
      </c>
      <c r="J36" s="73" t="str">
        <f t="shared" si="2"/>
        <v/>
      </c>
      <c r="K36" s="63"/>
      <c r="L36" s="63"/>
    </row>
    <row r="37" spans="1:12" ht="178.5" customHeight="1">
      <c r="A37" s="26" t="str">
        <v>K495</v>
      </c>
      <c r="B37" s="27" t="str">
        <v>NY</v>
      </c>
      <c r="C37" s="27" t="str">
        <f>Sites[[#This Row],[SOL'#]]</f>
        <v>SOL-10374</v>
      </c>
      <c r="D37" s="9"/>
      <c r="E37" s="14"/>
      <c r="F37" s="14" t="str">
        <f t="shared" si="0"/>
        <v/>
      </c>
      <c r="G37" s="15" t="str">
        <f t="shared" si="4"/>
        <v/>
      </c>
      <c r="H37" s="16"/>
      <c r="I37" s="16" t="str">
        <f t="shared" si="1"/>
        <v/>
      </c>
      <c r="J37" s="15" t="str">
        <f t="shared" si="2"/>
        <v/>
      </c>
      <c r="K37" s="38"/>
      <c r="L37" s="56"/>
    </row>
    <row r="38" spans="1:12" ht="15.6">
      <c r="A38" s="24" t="str">
        <v>M020</v>
      </c>
      <c r="B38" s="25" t="str">
        <v>NY</v>
      </c>
      <c r="C38" s="25" t="str">
        <f>Sites[[#This Row],[SOL'#]]</f>
        <v>SOL-10380</v>
      </c>
      <c r="D38" s="60"/>
      <c r="E38" s="10"/>
      <c r="F38" s="10" t="str">
        <f t="shared" si="0"/>
        <v/>
      </c>
      <c r="G38" s="61" t="str">
        <f t="shared" si="4"/>
        <v/>
      </c>
      <c r="H38" s="76"/>
      <c r="I38" s="76" t="str">
        <f t="shared" si="1"/>
        <v/>
      </c>
      <c r="J38" s="73" t="str">
        <f t="shared" si="2"/>
        <v/>
      </c>
      <c r="K38" s="63"/>
      <c r="L38" s="63"/>
    </row>
    <row r="39" spans="1:12" ht="15.6">
      <c r="A39" s="26" t="str">
        <v>M092</v>
      </c>
      <c r="B39" s="27" t="str">
        <v>NY</v>
      </c>
      <c r="C39" s="27" t="str">
        <f>Sites[[#This Row],[SOL'#]]</f>
        <v>SOL-10383</v>
      </c>
      <c r="D39" s="9"/>
      <c r="E39" s="14"/>
      <c r="F39" s="14" t="str">
        <f t="shared" si="0"/>
        <v/>
      </c>
      <c r="G39" s="15" t="str">
        <f t="shared" si="4"/>
        <v/>
      </c>
      <c r="H39" s="16"/>
      <c r="I39" s="16" t="str">
        <f t="shared" si="1"/>
        <v/>
      </c>
      <c r="J39" s="15" t="str">
        <f t="shared" si="2"/>
        <v/>
      </c>
      <c r="K39" s="38"/>
      <c r="L39" s="39"/>
    </row>
    <row r="40" spans="1:12" ht="15.6">
      <c r="A40" s="24" t="str">
        <v>M143</v>
      </c>
      <c r="B40" s="25" t="str">
        <v>NY</v>
      </c>
      <c r="C40" s="25" t="str">
        <f>Sites[[#This Row],[SOL'#]]</f>
        <v>SOL-10384</v>
      </c>
      <c r="D40" s="60"/>
      <c r="E40" s="10"/>
      <c r="F40" s="10" t="str">
        <f t="shared" si="0"/>
        <v/>
      </c>
      <c r="G40" s="61" t="str">
        <f t="shared" si="4"/>
        <v/>
      </c>
      <c r="H40" s="76"/>
      <c r="I40" s="76" t="str">
        <f t="shared" si="1"/>
        <v/>
      </c>
      <c r="J40" s="73" t="str">
        <f t="shared" si="2"/>
        <v/>
      </c>
      <c r="K40" s="63"/>
      <c r="L40" s="63"/>
    </row>
    <row r="41" spans="1:12" ht="15.6">
      <c r="A41" s="26" t="str">
        <v>M144</v>
      </c>
      <c r="B41" s="27" t="str">
        <v>NY</v>
      </c>
      <c r="C41" s="27" t="str">
        <f>Sites[[#This Row],[SOL'#]]</f>
        <v>SOL-10385</v>
      </c>
      <c r="D41" s="9"/>
      <c r="E41" s="14"/>
      <c r="F41" s="14" t="str">
        <f t="shared" si="0"/>
        <v/>
      </c>
      <c r="G41" s="15" t="str">
        <f t="shared" si="4"/>
        <v/>
      </c>
      <c r="H41" s="16"/>
      <c r="I41" s="16" t="str">
        <f t="shared" si="1"/>
        <v/>
      </c>
      <c r="J41" s="15" t="str">
        <f t="shared" si="2"/>
        <v/>
      </c>
      <c r="K41" s="38"/>
      <c r="L41" s="38"/>
    </row>
    <row r="42" spans="1:12" ht="15.6">
      <c r="A42" s="24" t="str">
        <v>M167</v>
      </c>
      <c r="B42" s="25" t="str">
        <v>NY</v>
      </c>
      <c r="C42" s="25" t="str">
        <f>Sites[[#This Row],[SOL'#]]</f>
        <v>SOL-10386</v>
      </c>
      <c r="D42" s="60"/>
      <c r="E42" s="10"/>
      <c r="F42" s="10" t="str">
        <f t="shared" si="0"/>
        <v/>
      </c>
      <c r="G42" s="61" t="str">
        <f t="shared" si="4"/>
        <v/>
      </c>
      <c r="H42" s="76"/>
      <c r="I42" s="76" t="str">
        <f t="shared" si="1"/>
        <v/>
      </c>
      <c r="J42" s="73" t="str">
        <f t="shared" si="2"/>
        <v/>
      </c>
      <c r="K42" s="63"/>
      <c r="L42" s="63"/>
    </row>
    <row r="43" spans="1:12" ht="15.6">
      <c r="A43" s="26" t="str">
        <v>M188</v>
      </c>
      <c r="B43" s="27" t="str">
        <v>NY</v>
      </c>
      <c r="C43" s="27" t="str">
        <f>Sites[[#This Row],[SOL'#]]</f>
        <v>SOL-10387</v>
      </c>
      <c r="D43" s="9"/>
      <c r="E43" s="14"/>
      <c r="F43" s="14" t="str">
        <f t="shared" si="0"/>
        <v/>
      </c>
      <c r="G43" s="15" t="str">
        <f t="shared" si="4"/>
        <v/>
      </c>
      <c r="H43" s="16"/>
      <c r="I43" s="16" t="str">
        <f t="shared" si="1"/>
        <v/>
      </c>
      <c r="J43" s="15" t="str">
        <f t="shared" si="2"/>
        <v/>
      </c>
      <c r="K43" s="38"/>
      <c r="L43" s="39"/>
    </row>
    <row r="44" spans="1:12" ht="15.6">
      <c r="A44" s="24" t="str">
        <v>EMHC</v>
      </c>
      <c r="B44" s="25" t="str">
        <v>NY</v>
      </c>
      <c r="C44" s="25" t="str">
        <f>Sites[[#This Row],[SOL'#]]</f>
        <v>SOL-10351</v>
      </c>
      <c r="D44" s="60"/>
      <c r="E44" s="10"/>
      <c r="F44" s="10" t="str">
        <f t="shared" si="0"/>
        <v/>
      </c>
      <c r="G44" s="61" t="str">
        <f t="shared" si="4"/>
        <v/>
      </c>
      <c r="H44" s="76"/>
      <c r="I44" s="76" t="str">
        <f t="shared" si="1"/>
        <v/>
      </c>
      <c r="J44" s="73" t="str">
        <f t="shared" si="2"/>
        <v/>
      </c>
      <c r="K44" s="63"/>
      <c r="L44" s="63"/>
    </row>
    <row r="45" spans="1:12" ht="15.6">
      <c r="A45" s="26" t="str">
        <v>Q008</v>
      </c>
      <c r="B45" s="27" t="str">
        <v>NY</v>
      </c>
      <c r="C45" s="27" t="str">
        <f>Sites[[#This Row],[SOL'#]]</f>
        <v>SOL-10397</v>
      </c>
      <c r="D45" s="9"/>
      <c r="E45" s="14"/>
      <c r="F45" s="14" t="str">
        <f t="shared" si="0"/>
        <v/>
      </c>
      <c r="G45" s="15" t="str">
        <f t="shared" si="4"/>
        <v/>
      </c>
      <c r="H45" s="16"/>
      <c r="I45" s="16" t="str">
        <f t="shared" si="1"/>
        <v/>
      </c>
      <c r="J45" s="15" t="str">
        <f t="shared" si="2"/>
        <v/>
      </c>
      <c r="K45" s="38"/>
      <c r="L45" s="39"/>
    </row>
    <row r="46" spans="1:12" ht="15.6">
      <c r="A46" s="24" t="str">
        <v>Q018</v>
      </c>
      <c r="B46" s="25" t="str">
        <v>NY</v>
      </c>
      <c r="C46" s="25" t="str">
        <f>Sites[[#This Row],[SOL'#]]</f>
        <v>SOL-10398</v>
      </c>
      <c r="D46" s="60"/>
      <c r="E46" s="10"/>
      <c r="F46" s="10" t="str">
        <f t="shared" si="0"/>
        <v/>
      </c>
      <c r="G46" s="61" t="str">
        <f t="shared" si="4"/>
        <v/>
      </c>
      <c r="H46" s="76"/>
      <c r="I46" s="76" t="str">
        <f t="shared" si="1"/>
        <v/>
      </c>
      <c r="J46" s="73" t="str">
        <f t="shared" si="2"/>
        <v/>
      </c>
      <c r="K46" s="63"/>
      <c r="L46" s="63"/>
    </row>
    <row r="47" spans="1:12" ht="15.6">
      <c r="A47" s="26" t="str">
        <v>Q021</v>
      </c>
      <c r="B47" s="27" t="str">
        <v>NY</v>
      </c>
      <c r="C47" s="27" t="str">
        <f>Sites[[#This Row],[SOL'#]]</f>
        <v>SOL-10399</v>
      </c>
      <c r="D47" s="9"/>
      <c r="E47" s="14"/>
      <c r="F47" s="14" t="str">
        <f t="shared" si="0"/>
        <v/>
      </c>
      <c r="G47" s="15" t="str">
        <f t="shared" si="4"/>
        <v/>
      </c>
      <c r="H47" s="16"/>
      <c r="I47" s="16" t="str">
        <f t="shared" si="1"/>
        <v/>
      </c>
      <c r="J47" s="15" t="str">
        <f t="shared" si="2"/>
        <v/>
      </c>
      <c r="K47" s="38"/>
      <c r="L47" s="39"/>
    </row>
    <row r="48" spans="1:12" ht="15.6">
      <c r="A48" s="24" t="str">
        <v>Q025</v>
      </c>
      <c r="B48" s="25" t="str">
        <v>NY</v>
      </c>
      <c r="C48" s="25" t="str">
        <f>Sites[[#This Row],[SOL'#]]</f>
        <v>SOL-10400</v>
      </c>
      <c r="D48" s="60"/>
      <c r="E48" s="10"/>
      <c r="F48" s="10" t="str">
        <f t="shared" si="0"/>
        <v/>
      </c>
      <c r="G48" s="61" t="str">
        <f t="shared" si="4"/>
        <v/>
      </c>
      <c r="H48" s="76"/>
      <c r="I48" s="76" t="str">
        <f t="shared" si="1"/>
        <v/>
      </c>
      <c r="J48" s="73" t="str">
        <f t="shared" si="2"/>
        <v/>
      </c>
      <c r="K48" s="63"/>
      <c r="L48" s="63"/>
    </row>
    <row r="49" spans="1:12" ht="15.6">
      <c r="A49" s="26" t="str">
        <v>Q074</v>
      </c>
      <c r="B49" s="27" t="str">
        <v>NY</v>
      </c>
      <c r="C49" s="27" t="str">
        <f>Sites[[#This Row],[SOL'#]]</f>
        <v>SOL-10402</v>
      </c>
      <c r="D49" s="9"/>
      <c r="E49" s="14"/>
      <c r="F49" s="14" t="str">
        <f t="shared" si="0"/>
        <v/>
      </c>
      <c r="G49" s="15" t="str">
        <f t="shared" si="4"/>
        <v/>
      </c>
      <c r="H49" s="16"/>
      <c r="I49" s="16" t="str">
        <f t="shared" si="1"/>
        <v/>
      </c>
      <c r="J49" s="15" t="str">
        <f t="shared" si="2"/>
        <v/>
      </c>
      <c r="K49" s="38"/>
      <c r="L49" s="39"/>
    </row>
    <row r="50" spans="1:12" ht="15.6">
      <c r="A50" s="24" t="str">
        <v>Q115</v>
      </c>
      <c r="B50" s="25" t="str">
        <v>NY</v>
      </c>
      <c r="C50" s="25" t="str">
        <f>Sites[[#This Row],[SOL'#]]</f>
        <v>SOL-10872</v>
      </c>
      <c r="D50" s="60"/>
      <c r="E50" s="10"/>
      <c r="F50" s="10" t="str">
        <f t="shared" si="0"/>
        <v/>
      </c>
      <c r="G50" s="61" t="str">
        <f t="shared" ref="G50:G81" si="5">IFERROR(F50/E50, "")</f>
        <v/>
      </c>
      <c r="H50" s="76"/>
      <c r="I50" s="76" t="str">
        <f t="shared" si="1"/>
        <v/>
      </c>
      <c r="J50" s="73" t="str">
        <f t="shared" si="2"/>
        <v/>
      </c>
      <c r="K50" s="63"/>
      <c r="L50" s="63"/>
    </row>
    <row r="51" spans="1:12" ht="15.6">
      <c r="A51" s="26" t="str">
        <v>Q139</v>
      </c>
      <c r="B51" s="27" t="str">
        <v>NY</v>
      </c>
      <c r="C51" s="27" t="str">
        <f>Sites[[#This Row],[SOL'#]]</f>
        <v>SOL-10403</v>
      </c>
      <c r="D51" s="9"/>
      <c r="E51" s="14"/>
      <c r="F51" s="14" t="str">
        <f t="shared" si="0"/>
        <v/>
      </c>
      <c r="G51" s="15" t="str">
        <f t="shared" si="5"/>
        <v/>
      </c>
      <c r="H51" s="16"/>
      <c r="I51" s="16" t="str">
        <f t="shared" si="1"/>
        <v/>
      </c>
      <c r="J51" s="15" t="str">
        <f t="shared" si="2"/>
        <v/>
      </c>
      <c r="K51" s="38"/>
      <c r="L51" s="39"/>
    </row>
    <row r="52" spans="1:12" ht="15.6">
      <c r="A52" s="24" t="str">
        <v>Q157</v>
      </c>
      <c r="B52" s="25" t="str">
        <v>NY</v>
      </c>
      <c r="C52" s="25" t="str">
        <f>Sites[[#This Row],[SOL'#]]</f>
        <v>SOL-10404</v>
      </c>
      <c r="D52" s="60"/>
      <c r="E52" s="10"/>
      <c r="F52" s="10" t="str">
        <f t="shared" si="0"/>
        <v/>
      </c>
      <c r="G52" s="61" t="str">
        <f t="shared" si="5"/>
        <v/>
      </c>
      <c r="H52" s="76"/>
      <c r="I52" s="76" t="str">
        <f t="shared" si="1"/>
        <v/>
      </c>
      <c r="J52" s="73" t="str">
        <f t="shared" si="2"/>
        <v/>
      </c>
      <c r="K52" s="63"/>
      <c r="L52" s="63"/>
    </row>
    <row r="53" spans="1:12" ht="15.6">
      <c r="A53" s="26" t="str">
        <v>Q192</v>
      </c>
      <c r="B53" s="27" t="str">
        <v>NY</v>
      </c>
      <c r="C53" s="27" t="str">
        <f>Sites[[#This Row],[SOL'#]]</f>
        <v>SOL-10406</v>
      </c>
      <c r="D53" s="9"/>
      <c r="E53" s="14"/>
      <c r="F53" s="14" t="str">
        <f t="shared" si="0"/>
        <v/>
      </c>
      <c r="G53" s="15" t="str">
        <f t="shared" si="5"/>
        <v/>
      </c>
      <c r="H53" s="16"/>
      <c r="I53" s="16" t="str">
        <f t="shared" si="1"/>
        <v/>
      </c>
      <c r="J53" s="15" t="str">
        <f t="shared" si="2"/>
        <v/>
      </c>
      <c r="K53" s="38"/>
      <c r="L53" s="38"/>
    </row>
    <row r="54" spans="1:12" ht="15.6">
      <c r="A54" s="24" t="str">
        <v>Q210</v>
      </c>
      <c r="B54" s="25" t="str">
        <v>NY</v>
      </c>
      <c r="C54" s="25" t="str">
        <f>Sites[[#This Row],[SOL'#]]</f>
        <v>SOL-10407</v>
      </c>
      <c r="D54" s="60"/>
      <c r="E54" s="10"/>
      <c r="F54" s="10" t="str">
        <f t="shared" si="0"/>
        <v/>
      </c>
      <c r="G54" s="61" t="str">
        <f t="shared" si="5"/>
        <v/>
      </c>
      <c r="H54" s="76"/>
      <c r="I54" s="76" t="str">
        <f t="shared" si="1"/>
        <v/>
      </c>
      <c r="J54" s="73" t="str">
        <f t="shared" si="2"/>
        <v/>
      </c>
      <c r="K54" s="63"/>
      <c r="L54" s="63"/>
    </row>
    <row r="55" spans="1:12" ht="15.6">
      <c r="A55" s="26" t="str">
        <v>Q229</v>
      </c>
      <c r="B55" s="27" t="str">
        <v>NY</v>
      </c>
      <c r="C55" s="27" t="str">
        <f>Sites[[#This Row],[SOL'#]]</f>
        <v>SOL-10408</v>
      </c>
      <c r="D55" s="9"/>
      <c r="E55" s="14"/>
      <c r="F55" s="14" t="str">
        <f t="shared" si="0"/>
        <v/>
      </c>
      <c r="G55" s="15" t="str">
        <f t="shared" si="5"/>
        <v/>
      </c>
      <c r="H55" s="16"/>
      <c r="I55" s="16" t="str">
        <f t="shared" si="1"/>
        <v/>
      </c>
      <c r="J55" s="15" t="str">
        <f t="shared" si="2"/>
        <v/>
      </c>
      <c r="K55" s="38"/>
      <c r="L55" s="96"/>
    </row>
    <row r="56" spans="1:12" ht="15.6">
      <c r="A56" s="24" t="str">
        <v>Q231</v>
      </c>
      <c r="B56" s="25" t="str">
        <v>NY</v>
      </c>
      <c r="C56" s="25" t="str">
        <f>Sites[[#This Row],[SOL'#]]</f>
        <v>SOL-10870</v>
      </c>
      <c r="D56" s="60"/>
      <c r="E56" s="10"/>
      <c r="F56" s="10" t="str">
        <f t="shared" si="0"/>
        <v/>
      </c>
      <c r="G56" s="61" t="str">
        <f t="shared" si="5"/>
        <v/>
      </c>
      <c r="H56" s="76"/>
      <c r="I56" s="76" t="str">
        <f t="shared" si="1"/>
        <v/>
      </c>
      <c r="J56" s="73" t="str">
        <f t="shared" si="2"/>
        <v/>
      </c>
      <c r="K56" s="63"/>
      <c r="L56" s="63"/>
    </row>
    <row r="57" spans="1:12" ht="15.6">
      <c r="A57" s="26" t="str">
        <v>Q405</v>
      </c>
      <c r="B57" s="27" t="str">
        <v>NY</v>
      </c>
      <c r="C57" s="27" t="str">
        <f>Sites[[#This Row],[SOL'#]]</f>
        <v>SOL-10409</v>
      </c>
      <c r="D57" s="9"/>
      <c r="E57" s="14"/>
      <c r="F57" s="14" t="str">
        <f t="shared" si="0"/>
        <v/>
      </c>
      <c r="G57" s="15" t="str">
        <f t="shared" si="5"/>
        <v/>
      </c>
      <c r="H57" s="16"/>
      <c r="I57" s="16" t="str">
        <f t="shared" si="1"/>
        <v/>
      </c>
      <c r="J57" s="15" t="str">
        <f t="shared" si="2"/>
        <v/>
      </c>
      <c r="K57" s="38"/>
      <c r="L57" s="39"/>
    </row>
    <row r="58" spans="1:12" ht="15.6">
      <c r="A58" s="24" t="str">
        <v>Q435</v>
      </c>
      <c r="B58" s="25" t="str">
        <v>NY</v>
      </c>
      <c r="C58" s="25" t="str">
        <f>Sites[[#This Row],[SOL'#]]</f>
        <v>SOL-10923</v>
      </c>
      <c r="D58" s="60"/>
      <c r="E58" s="10"/>
      <c r="F58" s="10" t="str">
        <f t="shared" si="0"/>
        <v/>
      </c>
      <c r="G58" s="61" t="str">
        <f t="shared" si="5"/>
        <v/>
      </c>
      <c r="H58" s="76"/>
      <c r="I58" s="76" t="str">
        <f t="shared" si="1"/>
        <v/>
      </c>
      <c r="J58" s="73" t="str">
        <f t="shared" si="2"/>
        <v/>
      </c>
      <c r="K58" s="63"/>
      <c r="L58" s="63"/>
    </row>
    <row r="59" spans="1:12" ht="15.6">
      <c r="A59" s="26" t="str">
        <v>Q485</v>
      </c>
      <c r="B59" s="27" t="str">
        <v>NY</v>
      </c>
      <c r="C59" s="27" t="str">
        <f>Sites[[#This Row],[SOL'#]]</f>
        <v>SOL-10869</v>
      </c>
      <c r="D59" s="9"/>
      <c r="E59" s="14"/>
      <c r="F59" s="14" t="str">
        <f t="shared" si="0"/>
        <v/>
      </c>
      <c r="G59" s="15" t="str">
        <f t="shared" si="5"/>
        <v/>
      </c>
      <c r="H59" s="16"/>
      <c r="I59" s="16" t="str">
        <f t="shared" si="1"/>
        <v/>
      </c>
      <c r="J59" s="15" t="str">
        <f t="shared" si="2"/>
        <v/>
      </c>
      <c r="K59" s="38"/>
      <c r="L59" s="39"/>
    </row>
    <row r="60" spans="1:12" ht="15.6">
      <c r="A60" s="24" t="str">
        <v>Q490</v>
      </c>
      <c r="B60" s="25" t="str">
        <v>NY</v>
      </c>
      <c r="C60" s="25" t="str">
        <f>Sites[[#This Row],[SOL'#]]</f>
        <v>SOL-10411</v>
      </c>
      <c r="D60" s="60"/>
      <c r="E60" s="10"/>
      <c r="F60" s="10" t="str">
        <f>IF(AND(ISNUMBER(D60),ISNUMBER(E60)), D60-E60, "")</f>
        <v/>
      </c>
      <c r="G60" s="61" t="str">
        <f t="shared" si="5"/>
        <v/>
      </c>
      <c r="H60" s="76"/>
      <c r="I60" s="76" t="str">
        <f t="shared" si="1"/>
        <v/>
      </c>
      <c r="J60" s="73" t="str">
        <f t="shared" si="2"/>
        <v/>
      </c>
      <c r="K60" s="63"/>
      <c r="L60" s="63"/>
    </row>
    <row r="61" spans="1:12" ht="15.6">
      <c r="A61" s="26" t="str">
        <v>Q620</v>
      </c>
      <c r="B61" s="27" t="str">
        <v>NY</v>
      </c>
      <c r="C61" s="27" t="str">
        <f>Sites[[#This Row],[SOL'#]]</f>
        <v>SOL-10867</v>
      </c>
      <c r="D61" s="9"/>
      <c r="E61" s="14"/>
      <c r="F61" s="14" t="str">
        <f t="shared" si="0"/>
        <v/>
      </c>
      <c r="G61" s="15" t="str">
        <f t="shared" si="5"/>
        <v/>
      </c>
      <c r="H61" s="16"/>
      <c r="I61" s="16" t="str">
        <f t="shared" si="1"/>
        <v/>
      </c>
      <c r="J61" s="15" t="str">
        <f t="shared" si="2"/>
        <v/>
      </c>
      <c r="K61" s="38"/>
      <c r="L61" s="39"/>
    </row>
    <row r="62" spans="1:12" ht="15.6">
      <c r="A62" s="24" t="str">
        <v>QMOA</v>
      </c>
      <c r="B62" s="25" t="str">
        <v>NY</v>
      </c>
      <c r="C62" s="25" t="str">
        <f>Sites[[#This Row],[SOL'#]]</f>
        <v>SOL-10415</v>
      </c>
      <c r="D62" s="60"/>
      <c r="E62" s="10"/>
      <c r="F62" s="10" t="str">
        <f t="shared" si="0"/>
        <v/>
      </c>
      <c r="G62" s="61" t="str">
        <f t="shared" si="5"/>
        <v/>
      </c>
      <c r="H62" s="76"/>
      <c r="I62" s="76" t="str">
        <f t="shared" si="1"/>
        <v/>
      </c>
      <c r="J62" s="73" t="str">
        <f t="shared" si="2"/>
        <v/>
      </c>
      <c r="K62" s="63"/>
      <c r="L62" s="63"/>
    </row>
    <row r="63" spans="1:12" ht="15.6">
      <c r="A63" s="26" t="str">
        <v>X024</v>
      </c>
      <c r="B63" s="27" t="str">
        <v>NY</v>
      </c>
      <c r="C63" s="27" t="str">
        <f>Sites[[#This Row],[SOL'#]]</f>
        <v>SOL-10419</v>
      </c>
      <c r="D63" s="75"/>
      <c r="E63" s="14"/>
      <c r="F63" s="14" t="str">
        <f t="shared" si="0"/>
        <v/>
      </c>
      <c r="G63" s="77" t="str">
        <f t="shared" si="5"/>
        <v/>
      </c>
      <c r="H63" s="78"/>
      <c r="I63" s="78" t="str">
        <f t="shared" si="1"/>
        <v/>
      </c>
      <c r="J63" s="77" t="str">
        <f t="shared" si="2"/>
        <v/>
      </c>
      <c r="K63" s="38"/>
      <c r="L63" s="39"/>
    </row>
    <row r="64" spans="1:12" ht="15.6">
      <c r="A64" s="24" t="str">
        <v>X026</v>
      </c>
      <c r="B64" s="25" t="str">
        <v>NY</v>
      </c>
      <c r="C64" s="25" t="str">
        <f>Sites[[#This Row],[SOL'#]]</f>
        <v>SOL-10420</v>
      </c>
      <c r="D64" s="60"/>
      <c r="E64" s="10"/>
      <c r="F64" s="10" t="str">
        <f t="shared" si="0"/>
        <v/>
      </c>
      <c r="G64" s="61" t="str">
        <f t="shared" si="5"/>
        <v/>
      </c>
      <c r="H64" s="76"/>
      <c r="I64" s="76" t="str">
        <f t="shared" si="1"/>
        <v/>
      </c>
      <c r="J64" s="73" t="str">
        <f t="shared" si="2"/>
        <v/>
      </c>
      <c r="K64" s="63"/>
      <c r="L64" s="63"/>
    </row>
    <row r="65" spans="1:12" ht="15.6">
      <c r="A65" s="26" t="str">
        <v>X090</v>
      </c>
      <c r="B65" s="27" t="str">
        <v>NY</v>
      </c>
      <c r="C65" s="27" t="str">
        <f>Sites[[#This Row],[SOL'#]]</f>
        <v>SOL-10925</v>
      </c>
      <c r="D65" s="9"/>
      <c r="E65" s="14"/>
      <c r="F65" s="14" t="str">
        <f t="shared" si="0"/>
        <v/>
      </c>
      <c r="G65" s="15" t="str">
        <f t="shared" si="5"/>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61" t="str">
        <f t="shared" si="5"/>
        <v/>
      </c>
      <c r="H66" s="12"/>
      <c r="I66" s="76" t="str">
        <f t="shared" si="1"/>
        <v/>
      </c>
      <c r="J66" s="73" t="str">
        <f t="shared" si="2"/>
        <v/>
      </c>
      <c r="K66" s="37"/>
      <c r="L66" s="37"/>
    </row>
    <row r="67" spans="1:12" ht="15.6">
      <c r="A67" s="26" t="str">
        <v>X125</v>
      </c>
      <c r="B67" s="27" t="str">
        <v>NY</v>
      </c>
      <c r="C67" s="27" t="str">
        <f>Sites[[#This Row],[SOL'#]]</f>
        <v>SOL-10423</v>
      </c>
      <c r="D67" s="9"/>
      <c r="E67" s="14"/>
      <c r="F67" s="14" t="str">
        <f t="shared" si="0"/>
        <v/>
      </c>
      <c r="G67" s="15" t="str">
        <f t="shared" si="5"/>
        <v/>
      </c>
      <c r="H67" s="16"/>
      <c r="I67" s="16" t="str">
        <f t="shared" si="1"/>
        <v/>
      </c>
      <c r="J67" s="15" t="str">
        <f t="shared" si="2"/>
        <v/>
      </c>
      <c r="K67" s="38"/>
      <c r="L67" s="39"/>
    </row>
    <row r="68" spans="1:12" ht="15.6">
      <c r="A68" s="24" t="str">
        <v>X134</v>
      </c>
      <c r="B68" s="25" t="str">
        <v>NY</v>
      </c>
      <c r="C68" s="25" t="str">
        <f>Sites[[#This Row],[SOL'#]]</f>
        <v>SOL-10424</v>
      </c>
      <c r="D68" s="20"/>
      <c r="E68" s="10"/>
      <c r="F68" s="10" t="str">
        <f t="shared" si="0"/>
        <v/>
      </c>
      <c r="G68" s="61" t="str">
        <f t="shared" si="5"/>
        <v/>
      </c>
      <c r="H68" s="12"/>
      <c r="I68" s="76" t="str">
        <f t="shared" si="1"/>
        <v/>
      </c>
      <c r="J68" s="73" t="str">
        <f t="shared" si="2"/>
        <v/>
      </c>
      <c r="K68" s="37"/>
      <c r="L68" s="37"/>
    </row>
    <row r="69" spans="1:12" ht="15.6">
      <c r="A69" s="26" t="str">
        <v>X135</v>
      </c>
      <c r="B69" s="27" t="str">
        <v>NY</v>
      </c>
      <c r="C69" s="27" t="str">
        <f>Sites[[#This Row],[SOL'#]]</f>
        <v>SOL-10425</v>
      </c>
      <c r="D69" s="9"/>
      <c r="E69" s="14"/>
      <c r="F69" s="14" t="str">
        <f t="shared" ref="F69:F132" si="6">IF(AND(ISNUMBER(D69),ISNUMBER(E69)), D69-E69, "")</f>
        <v/>
      </c>
      <c r="G69" s="15" t="str">
        <f t="shared" si="5"/>
        <v/>
      </c>
      <c r="H69" s="16"/>
      <c r="I69" s="16" t="str">
        <f t="shared" ref="I69:I132" si="7">IF(AND(ISNUMBER(D69),ISNUMBER(H69)), D69-H69, "")</f>
        <v/>
      </c>
      <c r="J69" s="15" t="str">
        <f t="shared" ref="J69:J132" si="8">IFERROR(I69/H69, "")</f>
        <v/>
      </c>
      <c r="K69" s="38"/>
      <c r="L69" s="38"/>
    </row>
    <row r="70" spans="1:12" ht="15.6">
      <c r="A70" s="24" t="str">
        <v>X139 JHS 222</v>
      </c>
      <c r="B70" s="25" t="str">
        <v>NY</v>
      </c>
      <c r="C70" s="25" t="str">
        <f>Sites[[#This Row],[SOL'#]]</f>
        <v>SOL-10426</v>
      </c>
      <c r="D70" s="20"/>
      <c r="E70" s="10"/>
      <c r="F70" s="10" t="str">
        <f t="shared" si="6"/>
        <v/>
      </c>
      <c r="G70" s="61" t="str">
        <f t="shared" si="5"/>
        <v/>
      </c>
      <c r="H70" s="12"/>
      <c r="I70" s="76" t="str">
        <f t="shared" si="7"/>
        <v/>
      </c>
      <c r="J70" s="73" t="str">
        <f t="shared" si="8"/>
        <v/>
      </c>
      <c r="K70" s="37"/>
      <c r="L70" s="37"/>
    </row>
    <row r="71" spans="1:12" ht="15.6">
      <c r="A71" s="26" t="str">
        <v>X140</v>
      </c>
      <c r="B71" s="27" t="str">
        <v>NY</v>
      </c>
      <c r="C71" s="27" t="str">
        <f>Sites[[#This Row],[SOL'#]]</f>
        <v>SOL-10926</v>
      </c>
      <c r="D71" s="9"/>
      <c r="E71" s="14"/>
      <c r="F71" s="14" t="str">
        <f t="shared" si="6"/>
        <v/>
      </c>
      <c r="G71" s="15" t="str">
        <f t="shared" si="5"/>
        <v/>
      </c>
      <c r="H71" s="16"/>
      <c r="I71" s="16" t="str">
        <f t="shared" si="7"/>
        <v/>
      </c>
      <c r="J71" s="15" t="str">
        <f t="shared" si="8"/>
        <v/>
      </c>
      <c r="K71" s="38"/>
      <c r="L71" s="39"/>
    </row>
    <row r="72" spans="1:12" ht="15.6">
      <c r="A72" s="24" t="str">
        <v>X166</v>
      </c>
      <c r="B72" s="25" t="str">
        <v>NY</v>
      </c>
      <c r="C72" s="25" t="str">
        <f>Sites[[#This Row],[SOL'#]]</f>
        <v>SOL-10427</v>
      </c>
      <c r="D72" s="20"/>
      <c r="E72" s="10"/>
      <c r="F72" s="10" t="str">
        <f t="shared" si="6"/>
        <v/>
      </c>
      <c r="G72" s="61" t="str">
        <f t="shared" si="5"/>
        <v/>
      </c>
      <c r="H72" s="12"/>
      <c r="I72" s="76" t="str">
        <f t="shared" si="7"/>
        <v/>
      </c>
      <c r="J72" s="73" t="str">
        <f t="shared" si="8"/>
        <v/>
      </c>
      <c r="K72" s="37"/>
      <c r="L72" s="37"/>
    </row>
    <row r="73" spans="1:12" ht="15.6">
      <c r="A73" s="26" t="str">
        <v>Murphy</v>
      </c>
      <c r="B73" s="27" t="str">
        <v>MN</v>
      </c>
      <c r="C73" s="27" t="str">
        <f>Sites[[#This Row],[SOL'#]]</f>
        <v>SOL-10094</v>
      </c>
      <c r="D73" s="9"/>
      <c r="E73" s="14"/>
      <c r="F73" s="14" t="str">
        <f t="shared" si="6"/>
        <v/>
      </c>
      <c r="G73" s="15" t="str">
        <f t="shared" si="5"/>
        <v/>
      </c>
      <c r="H73" s="16"/>
      <c r="I73" s="16" t="str">
        <f t="shared" si="7"/>
        <v/>
      </c>
      <c r="J73" s="15" t="str">
        <f t="shared" si="8"/>
        <v/>
      </c>
      <c r="K73" s="38"/>
      <c r="L73" s="38"/>
    </row>
    <row r="74" spans="1:12" ht="15.6">
      <c r="A74" s="24" t="str">
        <v>Terning</v>
      </c>
      <c r="B74" s="25" t="str">
        <v>MN</v>
      </c>
      <c r="C74" s="25" t="str">
        <f>Sites[[#This Row],[SOL'#]]</f>
        <v>SOL-10093</v>
      </c>
      <c r="D74" s="20"/>
      <c r="E74" s="10"/>
      <c r="F74" s="10" t="str">
        <f t="shared" si="6"/>
        <v/>
      </c>
      <c r="G74" s="61" t="str">
        <f t="shared" si="5"/>
        <v/>
      </c>
      <c r="H74" s="12"/>
      <c r="I74" s="76" t="str">
        <f t="shared" si="7"/>
        <v/>
      </c>
      <c r="J74" s="73" t="str">
        <f t="shared" si="8"/>
        <v/>
      </c>
      <c r="K74" s="37"/>
      <c r="L74" s="37"/>
    </row>
    <row r="75" spans="1:12" ht="15.6">
      <c r="A75" s="26" t="str">
        <v>Boas Road 04</v>
      </c>
      <c r="B75" s="27" t="str">
        <v>NY</v>
      </c>
      <c r="C75" s="27" t="str">
        <f>Sites[[#This Row],[SOL'#]]</f>
        <v>SOL-10908</v>
      </c>
      <c r="D75" s="9"/>
      <c r="E75" s="14"/>
      <c r="F75" s="14" t="str">
        <f t="shared" si="6"/>
        <v/>
      </c>
      <c r="G75" s="15" t="str">
        <f t="shared" si="5"/>
        <v/>
      </c>
      <c r="H75" s="16"/>
      <c r="I75" s="16" t="str">
        <f t="shared" si="7"/>
        <v/>
      </c>
      <c r="J75" s="15" t="str">
        <f t="shared" si="8"/>
        <v/>
      </c>
      <c r="K75" s="38"/>
      <c r="L75" s="39"/>
    </row>
    <row r="76" spans="1:12" ht="15.6">
      <c r="A76" s="24" t="str">
        <v>Kelly Bridge Farm</v>
      </c>
      <c r="B76" s="25" t="str">
        <v>NY</v>
      </c>
      <c r="C76" s="25" t="str">
        <f>Sites[[#This Row],[SOL'#]]</f>
        <v>SOL-10911</v>
      </c>
      <c r="D76" s="20"/>
      <c r="E76" s="10"/>
      <c r="F76" s="10" t="str">
        <f t="shared" si="6"/>
        <v/>
      </c>
      <c r="G76" s="61" t="str">
        <f t="shared" si="5"/>
        <v/>
      </c>
      <c r="H76" s="12"/>
      <c r="I76" s="76" t="str">
        <f t="shared" si="7"/>
        <v/>
      </c>
      <c r="J76" s="73" t="str">
        <f t="shared" si="8"/>
        <v/>
      </c>
      <c r="K76" s="37"/>
      <c r="L76" s="37"/>
    </row>
    <row r="77" spans="1:12" ht="15.6">
      <c r="A77" s="26" t="str">
        <v>Pool Brook Road</v>
      </c>
      <c r="B77" s="27" t="str">
        <v>NY</v>
      </c>
      <c r="C77" s="27" t="str">
        <f>Sites[[#This Row],[SOL'#]]</f>
        <v>SOL-10909</v>
      </c>
      <c r="D77" s="9"/>
      <c r="E77" s="14"/>
      <c r="F77" s="14" t="str">
        <f t="shared" si="6"/>
        <v/>
      </c>
      <c r="G77" s="15" t="str">
        <f t="shared" si="5"/>
        <v/>
      </c>
      <c r="H77" s="16"/>
      <c r="I77" s="16" t="str">
        <f t="shared" si="7"/>
        <v/>
      </c>
      <c r="J77" s="15" t="str">
        <f t="shared" si="8"/>
        <v/>
      </c>
      <c r="K77" s="38"/>
      <c r="L77" s="38"/>
    </row>
    <row r="78" spans="1:12" ht="15.6">
      <c r="A78" s="24" t="str">
        <v>Sackett Lake</v>
      </c>
      <c r="B78" s="25" t="str">
        <v>NY</v>
      </c>
      <c r="C78" s="25" t="str">
        <f>Sites[[#This Row],[SOL'#]]</f>
        <v>SOL-10910</v>
      </c>
      <c r="D78" s="20"/>
      <c r="E78" s="10"/>
      <c r="F78" s="10" t="str">
        <f t="shared" si="6"/>
        <v/>
      </c>
      <c r="G78" s="61" t="str">
        <f t="shared" si="5"/>
        <v/>
      </c>
      <c r="H78" s="12"/>
      <c r="I78" s="76" t="str">
        <f t="shared" si="7"/>
        <v/>
      </c>
      <c r="J78" s="73" t="str">
        <f t="shared" si="8"/>
        <v/>
      </c>
      <c r="K78" s="37"/>
      <c r="L78" s="37"/>
    </row>
    <row r="79" spans="1:12" ht="15.6">
      <c r="A79" s="26" t="str">
        <v>Burritt Road</v>
      </c>
      <c r="B79" s="27" t="str">
        <v>NY</v>
      </c>
      <c r="C79" s="27" t="str">
        <f>Sites[[#This Row],[SOL'#]]</f>
        <v>SOL-10913</v>
      </c>
      <c r="D79" s="9"/>
      <c r="E79" s="14"/>
      <c r="F79" s="14" t="str">
        <f t="shared" si="6"/>
        <v/>
      </c>
      <c r="G79" s="15" t="str">
        <f t="shared" si="5"/>
        <v/>
      </c>
      <c r="H79" s="16"/>
      <c r="I79" s="16" t="str">
        <f t="shared" si="7"/>
        <v/>
      </c>
      <c r="J79" s="15" t="str">
        <f t="shared" si="8"/>
        <v/>
      </c>
      <c r="K79" s="38"/>
      <c r="L79" s="39"/>
    </row>
    <row r="80" spans="1:12" ht="44.25" customHeight="1">
      <c r="A80" s="24" t="str">
        <v>Villa Roma 1</v>
      </c>
      <c r="B80" s="25" t="str">
        <v>NY</v>
      </c>
      <c r="C80" s="25" t="str">
        <f>Sites[[#This Row],[SOL'#]]</f>
        <v>SOL-10914</v>
      </c>
      <c r="D80" s="20"/>
      <c r="E80" s="10"/>
      <c r="F80" s="10" t="str">
        <f t="shared" si="6"/>
        <v/>
      </c>
      <c r="G80" s="61" t="str">
        <f t="shared" si="5"/>
        <v/>
      </c>
      <c r="H80" s="12"/>
      <c r="I80" s="76" t="str">
        <f t="shared" si="7"/>
        <v/>
      </c>
      <c r="J80" s="73" t="str">
        <f t="shared" si="8"/>
        <v/>
      </c>
      <c r="K80" s="37"/>
      <c r="L80" s="37"/>
    </row>
    <row r="81" spans="1:12" ht="47.25" customHeight="1">
      <c r="A81" s="26" t="str">
        <v>Villa Roma 2</v>
      </c>
      <c r="B81" s="27" t="str">
        <v>NY</v>
      </c>
      <c r="C81" s="27" t="str">
        <f>Sites[[#This Row],[SOL'#]]</f>
        <v>SOL-10915</v>
      </c>
      <c r="D81" s="9"/>
      <c r="E81" s="14"/>
      <c r="F81" s="14" t="str">
        <f t="shared" si="6"/>
        <v/>
      </c>
      <c r="G81" s="15" t="str">
        <f t="shared" si="5"/>
        <v/>
      </c>
      <c r="H81" s="16"/>
      <c r="I81" s="16" t="str">
        <f t="shared" si="7"/>
        <v/>
      </c>
      <c r="J81" s="15" t="str">
        <f t="shared" si="8"/>
        <v/>
      </c>
      <c r="K81" s="38"/>
      <c r="L81" s="97"/>
    </row>
    <row r="82" spans="1:12" ht="15.6">
      <c r="A82" s="24" t="str">
        <v>Washington 1</v>
      </c>
      <c r="B82" s="25" t="str">
        <v>NY</v>
      </c>
      <c r="C82" s="25" t="str">
        <f>Sites[[#This Row],[SOL'#]]</f>
        <v>SOL-10912</v>
      </c>
      <c r="D82" s="60"/>
      <c r="E82" s="10"/>
      <c r="F82" s="10" t="str">
        <f t="shared" si="6"/>
        <v/>
      </c>
      <c r="G82" s="61" t="str">
        <f t="shared" ref="G82:G113" si="9">IFERROR(F82/E82, "")</f>
        <v/>
      </c>
      <c r="H82" s="76"/>
      <c r="I82" s="76" t="str">
        <f t="shared" si="7"/>
        <v/>
      </c>
      <c r="J82" s="73" t="str">
        <f t="shared" si="8"/>
        <v/>
      </c>
      <c r="K82" s="63"/>
      <c r="L82" s="63"/>
    </row>
    <row r="83" spans="1:12" ht="60.75" customHeight="1">
      <c r="A83" s="26" t="str">
        <v>Washington 3</v>
      </c>
      <c r="B83" s="27" t="str">
        <v>NY</v>
      </c>
      <c r="C83" s="27" t="str">
        <f>Sites[[#This Row],[SOL'#]]</f>
        <v>SOL-10828</v>
      </c>
      <c r="D83" s="9"/>
      <c r="E83" s="14"/>
      <c r="F83" s="14" t="str">
        <f t="shared" si="6"/>
        <v/>
      </c>
      <c r="G83" s="15" t="str">
        <f t="shared" si="9"/>
        <v/>
      </c>
      <c r="H83" s="16"/>
      <c r="I83" s="16" t="str">
        <f t="shared" si="7"/>
        <v/>
      </c>
      <c r="J83" s="15" t="str">
        <f t="shared" si="8"/>
        <v/>
      </c>
      <c r="K83" s="56"/>
      <c r="L83" s="97"/>
    </row>
    <row r="84" spans="1:12" ht="15.6">
      <c r="A84" s="24" t="str">
        <v>Washington 4</v>
      </c>
      <c r="B84" s="25" t="str">
        <v>NY</v>
      </c>
      <c r="C84" s="25" t="str">
        <f>Sites[[#This Row],[SOL'#]]</f>
        <v>SOL-10829</v>
      </c>
      <c r="D84" s="60"/>
      <c r="E84" s="10"/>
      <c r="F84" s="10" t="str">
        <f t="shared" si="6"/>
        <v/>
      </c>
      <c r="G84" s="61" t="str">
        <f t="shared" si="9"/>
        <v/>
      </c>
      <c r="H84" s="76"/>
      <c r="I84" s="76" t="str">
        <f t="shared" si="7"/>
        <v/>
      </c>
      <c r="J84" s="73" t="str">
        <f t="shared" si="8"/>
        <v/>
      </c>
      <c r="K84" s="63"/>
      <c r="L84" s="63"/>
    </row>
    <row r="85" spans="1:12" ht="15.6">
      <c r="A85" s="26" t="str">
        <v>Big Tree</v>
      </c>
      <c r="B85" s="27" t="str">
        <v>NY</v>
      </c>
      <c r="C85" s="27" t="str">
        <f>Sites[[#This Row],[SOL'#]]</f>
        <v>SOL-10966</v>
      </c>
      <c r="D85" s="9"/>
      <c r="E85" s="14"/>
      <c r="F85" s="14" t="str">
        <f t="shared" si="6"/>
        <v/>
      </c>
      <c r="G85" s="15" t="str">
        <f t="shared" si="9"/>
        <v/>
      </c>
      <c r="H85" s="16"/>
      <c r="I85" s="16" t="str">
        <f t="shared" si="7"/>
        <v/>
      </c>
      <c r="J85" s="15" t="str">
        <f t="shared" si="8"/>
        <v/>
      </c>
      <c r="K85" s="38"/>
      <c r="L85" s="39"/>
    </row>
    <row r="86" spans="1:12" ht="15.6">
      <c r="A86" s="24" t="str">
        <v>Canoga</v>
      </c>
      <c r="B86" s="25" t="str">
        <v>NY</v>
      </c>
      <c r="C86" s="25" t="str">
        <f>Sites[[#This Row],[SOL'#]]</f>
        <v>SOL-10965</v>
      </c>
      <c r="D86" s="60"/>
      <c r="E86" s="10"/>
      <c r="F86" s="10" t="str">
        <f t="shared" si="6"/>
        <v/>
      </c>
      <c r="G86" s="61" t="str">
        <f t="shared" si="9"/>
        <v/>
      </c>
      <c r="H86" s="76"/>
      <c r="I86" s="76" t="str">
        <f t="shared" si="7"/>
        <v/>
      </c>
      <c r="J86" s="73" t="str">
        <f t="shared" si="8"/>
        <v/>
      </c>
      <c r="K86" s="63"/>
      <c r="L86" s="63"/>
    </row>
    <row r="87" spans="1:12" ht="39" customHeight="1">
      <c r="A87" s="26" t="str">
        <v>County Route 84</v>
      </c>
      <c r="B87" s="27" t="str">
        <v>NY</v>
      </c>
      <c r="C87" s="27" t="str">
        <f>Sites[[#This Row],[SOL'#]]</f>
        <v>SOL-10967</v>
      </c>
      <c r="D87" s="9"/>
      <c r="E87" s="14"/>
      <c r="F87" s="14" t="str">
        <f t="shared" si="6"/>
        <v/>
      </c>
      <c r="G87" s="15" t="str">
        <f t="shared" si="9"/>
        <v/>
      </c>
      <c r="H87" s="16"/>
      <c r="I87" s="16" t="str">
        <f t="shared" si="7"/>
        <v/>
      </c>
      <c r="J87" s="15" t="str">
        <f t="shared" si="8"/>
        <v/>
      </c>
      <c r="K87" s="38"/>
      <c r="L87" s="96"/>
    </row>
    <row r="88" spans="1:12" ht="15.6">
      <c r="A88" s="24" t="str">
        <v>Donati</v>
      </c>
      <c r="B88" s="25" t="str">
        <v>NY</v>
      </c>
      <c r="C88" s="25" t="str">
        <f>Sites[[#This Row],[SOL'#]]</f>
        <v>SOL-10968</v>
      </c>
      <c r="D88" s="20"/>
      <c r="E88" s="10"/>
      <c r="F88" s="10" t="str">
        <f t="shared" si="6"/>
        <v/>
      </c>
      <c r="G88" s="61" t="str">
        <f t="shared" si="9"/>
        <v/>
      </c>
      <c r="H88" s="12"/>
      <c r="I88" s="76" t="str">
        <f t="shared" si="7"/>
        <v/>
      </c>
      <c r="J88" s="73" t="str">
        <f t="shared" si="8"/>
        <v/>
      </c>
      <c r="K88" s="37"/>
      <c r="L88" s="37"/>
    </row>
    <row r="89" spans="1:12" ht="15.6">
      <c r="A89" s="26" t="str">
        <v>Henrietta</v>
      </c>
      <c r="B89" s="27" t="str">
        <v>NY</v>
      </c>
      <c r="C89" s="27" t="str">
        <f>Sites[[#This Row],[SOL'#]]</f>
        <v>SOL-10972</v>
      </c>
      <c r="D89" s="9"/>
      <c r="E89" s="14"/>
      <c r="F89" s="14" t="str">
        <f t="shared" si="6"/>
        <v/>
      </c>
      <c r="G89" s="15" t="str">
        <f t="shared" si="9"/>
        <v/>
      </c>
      <c r="H89" s="16"/>
      <c r="I89" s="16" t="str">
        <f t="shared" si="7"/>
        <v/>
      </c>
      <c r="J89" s="15" t="str">
        <f t="shared" si="8"/>
        <v/>
      </c>
      <c r="K89" s="38"/>
      <c r="L89" s="38"/>
    </row>
    <row r="90" spans="1:12" ht="15.6">
      <c r="A90" s="24" t="str">
        <v>NY 70</v>
      </c>
      <c r="B90" s="25" t="str">
        <v>NY</v>
      </c>
      <c r="C90" s="25" t="str">
        <f>Sites[[#This Row],[SOL'#]]</f>
        <v>SOL-10970</v>
      </c>
      <c r="D90" s="60"/>
      <c r="E90" s="10"/>
      <c r="F90" s="10" t="str">
        <f t="shared" si="6"/>
        <v/>
      </c>
      <c r="G90" s="61" t="str">
        <f t="shared" si="9"/>
        <v/>
      </c>
      <c r="H90" s="76"/>
      <c r="I90" s="76" t="str">
        <f t="shared" si="7"/>
        <v/>
      </c>
      <c r="J90" s="73" t="str">
        <f t="shared" si="8"/>
        <v/>
      </c>
      <c r="K90" s="63"/>
      <c r="L90" s="63"/>
    </row>
    <row r="91" spans="1:12" ht="15.6">
      <c r="A91" s="26" t="str">
        <v>Reid</v>
      </c>
      <c r="B91" s="27" t="str">
        <v>NY</v>
      </c>
      <c r="C91" s="27" t="str">
        <f>Sites[[#This Row],[SOL'#]]</f>
        <v>SOL-10991</v>
      </c>
      <c r="D91" s="9"/>
      <c r="E91" s="14"/>
      <c r="F91" s="14" t="str">
        <f t="shared" si="6"/>
        <v/>
      </c>
      <c r="G91" s="15" t="str">
        <f t="shared" si="9"/>
        <v/>
      </c>
      <c r="H91" s="16"/>
      <c r="I91" s="16" t="str">
        <f t="shared" si="7"/>
        <v/>
      </c>
      <c r="J91" s="15" t="str">
        <f t="shared" si="8"/>
        <v/>
      </c>
      <c r="K91" s="38"/>
      <c r="L91" s="38"/>
    </row>
    <row r="92" spans="1:12" ht="15.6">
      <c r="A92" s="24" t="str">
        <v>Sangolqui</v>
      </c>
      <c r="B92" s="25" t="str">
        <v>NY</v>
      </c>
      <c r="C92" s="25" t="str">
        <f>Sites[[#This Row],[SOL'#]]</f>
        <v>SOL-10975</v>
      </c>
      <c r="D92" s="20"/>
      <c r="E92" s="10"/>
      <c r="F92" s="10" t="str">
        <f t="shared" si="6"/>
        <v/>
      </c>
      <c r="G92" s="61" t="str">
        <f t="shared" si="9"/>
        <v/>
      </c>
      <c r="H92" s="12"/>
      <c r="I92" s="76" t="str">
        <f t="shared" si="7"/>
        <v/>
      </c>
      <c r="J92" s="73" t="str">
        <f t="shared" si="8"/>
        <v/>
      </c>
      <c r="K92" s="37"/>
      <c r="L92" s="37"/>
    </row>
    <row r="93" spans="1:12" ht="45" customHeight="1">
      <c r="A93" s="26" t="str">
        <v>State Highway 17B</v>
      </c>
      <c r="B93" s="27" t="str">
        <v>NY</v>
      </c>
      <c r="C93" s="27" t="str">
        <f>Sites[[#This Row],[SOL'#]]</f>
        <v>SOL-10988</v>
      </c>
      <c r="D93" s="9"/>
      <c r="E93" s="14"/>
      <c r="F93" s="14" t="str">
        <f t="shared" si="6"/>
        <v/>
      </c>
      <c r="G93" s="15" t="str">
        <f t="shared" si="9"/>
        <v/>
      </c>
      <c r="H93" s="16"/>
      <c r="I93" s="16" t="str">
        <f t="shared" si="7"/>
        <v/>
      </c>
      <c r="J93" s="15" t="str">
        <f t="shared" si="8"/>
        <v/>
      </c>
      <c r="K93" s="56"/>
      <c r="L93" s="97"/>
    </row>
    <row r="94" spans="1:12" ht="15.6">
      <c r="A94" s="24" t="str">
        <v>State Route 14A</v>
      </c>
      <c r="B94" s="25" t="str">
        <v>NY</v>
      </c>
      <c r="C94" s="25" t="str">
        <f>Sites[[#This Row],[SOL'#]]</f>
        <v>SOL-10997</v>
      </c>
      <c r="D94" s="20"/>
      <c r="E94" s="10"/>
      <c r="F94" s="10" t="str">
        <f t="shared" si="6"/>
        <v/>
      </c>
      <c r="G94" s="61" t="str">
        <f t="shared" si="9"/>
        <v/>
      </c>
      <c r="H94" s="12"/>
      <c r="I94" s="76" t="str">
        <f t="shared" si="7"/>
        <v/>
      </c>
      <c r="J94" s="73" t="str">
        <f t="shared" si="8"/>
        <v/>
      </c>
      <c r="K94" s="37"/>
      <c r="L94" s="37"/>
    </row>
    <row r="95" spans="1:12" ht="15.6">
      <c r="A95" s="26" t="str">
        <v>West Creek</v>
      </c>
      <c r="B95" s="27" t="str">
        <v>NY</v>
      </c>
      <c r="C95" s="27" t="str">
        <f>Sites[[#This Row],[SOL'#]]</f>
        <v>SOL-10995</v>
      </c>
      <c r="D95" s="9"/>
      <c r="E95" s="14"/>
      <c r="F95" s="14" t="str">
        <f t="shared" si="6"/>
        <v/>
      </c>
      <c r="G95" s="15" t="str">
        <f t="shared" si="9"/>
        <v/>
      </c>
      <c r="H95" s="16"/>
      <c r="I95" s="16" t="str">
        <f t="shared" si="7"/>
        <v/>
      </c>
      <c r="J95" s="15" t="str">
        <f t="shared" si="8"/>
        <v/>
      </c>
      <c r="K95" s="38"/>
      <c r="L95" s="39"/>
    </row>
    <row r="96" spans="1:12" ht="15.6">
      <c r="A96" s="24" t="str">
        <v>Wildflower</v>
      </c>
      <c r="B96" s="25" t="str">
        <v>NY</v>
      </c>
      <c r="C96" s="25" t="str">
        <f>Sites[[#This Row],[SOL'#]]</f>
        <v>SOL-10982</v>
      </c>
      <c r="D96" s="20"/>
      <c r="E96" s="10"/>
      <c r="F96" s="10" t="str">
        <f t="shared" si="6"/>
        <v/>
      </c>
      <c r="G96" s="61" t="str">
        <f t="shared" si="9"/>
        <v/>
      </c>
      <c r="H96" s="12"/>
      <c r="I96" s="76" t="str">
        <f t="shared" si="7"/>
        <v/>
      </c>
      <c r="J96" s="73" t="str">
        <f t="shared" si="8"/>
        <v/>
      </c>
      <c r="K96" s="37"/>
      <c r="L96" s="37"/>
    </row>
    <row r="97" spans="1:12" ht="15.6">
      <c r="A97" s="26" t="str">
        <v>Glen Mary 1</v>
      </c>
      <c r="B97" s="27" t="str">
        <v>NY</v>
      </c>
      <c r="C97" s="27" t="str">
        <f>Sites[[#This Row],[SOL'#]]</f>
        <v>SOL-10993</v>
      </c>
      <c r="D97" s="9"/>
      <c r="E97" s="14"/>
      <c r="F97" s="14" t="str">
        <f t="shared" si="6"/>
        <v/>
      </c>
      <c r="G97" s="15" t="str">
        <f t="shared" si="9"/>
        <v/>
      </c>
      <c r="H97" s="16"/>
      <c r="I97" s="16" t="str">
        <f t="shared" si="7"/>
        <v/>
      </c>
      <c r="J97" s="15" t="str">
        <f t="shared" si="8"/>
        <v/>
      </c>
      <c r="K97" s="38"/>
      <c r="L97" s="97"/>
    </row>
    <row r="98" spans="1:12" ht="15.6">
      <c r="A98" s="24" t="str">
        <v>Glen Mary 2</v>
      </c>
      <c r="B98" s="25" t="str">
        <v>NY</v>
      </c>
      <c r="C98" s="25" t="str">
        <f>Sites[[#This Row],[SOL'#]]</f>
        <v>SOL-10994</v>
      </c>
      <c r="D98" s="20"/>
      <c r="E98" s="10"/>
      <c r="F98" s="10" t="str">
        <f t="shared" si="6"/>
        <v/>
      </c>
      <c r="G98" s="61" t="str">
        <f t="shared" si="9"/>
        <v/>
      </c>
      <c r="H98" s="12"/>
      <c r="I98" s="76" t="str">
        <f t="shared" si="7"/>
        <v/>
      </c>
      <c r="J98" s="73" t="str">
        <f t="shared" si="8"/>
        <v/>
      </c>
      <c r="K98" s="37"/>
      <c r="L98" s="37"/>
    </row>
    <row r="99" spans="1:12" ht="15.6">
      <c r="A99" s="26" t="str">
        <v>Telegraph 1</v>
      </c>
      <c r="B99" s="27" t="str">
        <v>NY</v>
      </c>
      <c r="C99" s="27" t="str">
        <f>Sites[[#This Row],[SOL'#]]</f>
        <v>SOL-11003</v>
      </c>
      <c r="D99" s="9"/>
      <c r="E99" s="14"/>
      <c r="F99" s="14" t="str">
        <f t="shared" si="6"/>
        <v/>
      </c>
      <c r="G99" s="15" t="str">
        <f t="shared" si="9"/>
        <v/>
      </c>
      <c r="H99" s="16"/>
      <c r="I99" s="16" t="str">
        <f t="shared" si="7"/>
        <v/>
      </c>
      <c r="J99" s="15" t="str">
        <f t="shared" si="8"/>
        <v/>
      </c>
      <c r="K99" s="38"/>
      <c r="L99" s="39"/>
    </row>
    <row r="100" spans="1:12" ht="15.6">
      <c r="A100" s="24" t="str">
        <v>Telegraph 2</v>
      </c>
      <c r="B100" s="25" t="str">
        <v>NY</v>
      </c>
      <c r="C100" s="25" t="str">
        <f>Sites[[#This Row],[SOL'#]]</f>
        <v>SOL-11004</v>
      </c>
      <c r="D100" s="20"/>
      <c r="E100" s="10"/>
      <c r="F100" s="10" t="str">
        <f t="shared" si="6"/>
        <v/>
      </c>
      <c r="G100" s="61" t="str">
        <f t="shared" si="9"/>
        <v/>
      </c>
      <c r="H100" s="12"/>
      <c r="I100" s="76" t="str">
        <f t="shared" si="7"/>
        <v/>
      </c>
      <c r="J100" s="73" t="str">
        <f t="shared" si="8"/>
        <v/>
      </c>
      <c r="K100" s="37"/>
      <c r="L100" s="37"/>
    </row>
    <row r="101" spans="1:12" ht="15.6">
      <c r="A101" s="26" t="str">
        <v>Cafferty Hill</v>
      </c>
      <c r="B101" s="27" t="str">
        <v>NY</v>
      </c>
      <c r="C101" s="27" t="str">
        <f>Sites[[#This Row],[SOL'#]]</f>
        <v>SOL-10996</v>
      </c>
      <c r="D101" s="9"/>
      <c r="E101" s="14"/>
      <c r="F101" s="14" t="str">
        <f t="shared" si="6"/>
        <v/>
      </c>
      <c r="G101" s="15" t="str">
        <f t="shared" si="9"/>
        <v/>
      </c>
      <c r="H101" s="16"/>
      <c r="I101" s="16" t="str">
        <f t="shared" si="7"/>
        <v/>
      </c>
      <c r="J101" s="15" t="str">
        <f t="shared" si="8"/>
        <v/>
      </c>
      <c r="K101" s="38"/>
      <c r="L101" s="38"/>
    </row>
    <row r="102" spans="1:12" ht="15.6">
      <c r="A102" s="24" t="str">
        <v>Dunkleman</v>
      </c>
      <c r="B102" s="25" t="str">
        <v>NY</v>
      </c>
      <c r="C102" s="25" t="str">
        <f>Sites[[#This Row],[SOL'#]]</f>
        <v>SOL-11008</v>
      </c>
      <c r="D102" s="20"/>
      <c r="E102" s="10"/>
      <c r="F102" s="10" t="str">
        <f t="shared" si="6"/>
        <v/>
      </c>
      <c r="G102" s="61" t="str">
        <f t="shared" si="9"/>
        <v/>
      </c>
      <c r="H102" s="12"/>
      <c r="I102" s="76" t="str">
        <f t="shared" si="7"/>
        <v/>
      </c>
      <c r="J102" s="73" t="str">
        <f t="shared" si="8"/>
        <v/>
      </c>
      <c r="K102" s="37"/>
      <c r="L102" s="37"/>
    </row>
    <row r="103" spans="1:12" ht="15.6">
      <c r="A103" s="26" t="str">
        <v>Route 19 1</v>
      </c>
      <c r="B103" s="27" t="str">
        <v>NY</v>
      </c>
      <c r="C103" s="27" t="str">
        <f>Sites[[#This Row],[SOL'#]]</f>
        <v>SOL-11001</v>
      </c>
      <c r="D103" s="9"/>
      <c r="E103" s="14"/>
      <c r="F103" s="14" t="str">
        <f t="shared" si="6"/>
        <v/>
      </c>
      <c r="G103" s="15" t="str">
        <f t="shared" si="9"/>
        <v/>
      </c>
      <c r="H103" s="16"/>
      <c r="I103" s="16" t="str">
        <f t="shared" si="7"/>
        <v/>
      </c>
      <c r="J103" s="15" t="str">
        <f t="shared" si="8"/>
        <v/>
      </c>
      <c r="K103" s="38"/>
      <c r="L103" s="39"/>
    </row>
    <row r="104" spans="1:12" ht="40.5" customHeight="1">
      <c r="A104" s="24" t="str">
        <v>Route 19 2</v>
      </c>
      <c r="B104" s="25" t="str">
        <v>NY</v>
      </c>
      <c r="C104" s="25" t="str">
        <f>Sites[[#This Row],[SOL'#]]</f>
        <v>SOL-11002</v>
      </c>
      <c r="D104" s="20"/>
      <c r="E104" s="10"/>
      <c r="F104" s="10" t="str">
        <f t="shared" si="6"/>
        <v/>
      </c>
      <c r="G104" s="61" t="str">
        <f t="shared" si="9"/>
        <v/>
      </c>
      <c r="H104" s="12"/>
      <c r="I104" s="76" t="str">
        <f t="shared" si="7"/>
        <v/>
      </c>
      <c r="J104" s="73" t="str">
        <f t="shared" si="8"/>
        <v/>
      </c>
      <c r="K104" s="37"/>
      <c r="L104" s="37"/>
    </row>
    <row r="105" spans="1:12" ht="15.6">
      <c r="A105" s="26" t="str">
        <v>Yellow Mills 1</v>
      </c>
      <c r="B105" s="27" t="str">
        <v>NY</v>
      </c>
      <c r="C105" s="27" t="str">
        <f>Sites[[#This Row],[SOL'#]]</f>
        <v>SOL-11006</v>
      </c>
      <c r="D105" s="9"/>
      <c r="E105" s="14"/>
      <c r="F105" s="14" t="str">
        <f t="shared" si="6"/>
        <v/>
      </c>
      <c r="G105" s="15" t="str">
        <f t="shared" si="9"/>
        <v/>
      </c>
      <c r="H105" s="16"/>
      <c r="I105" s="16" t="str">
        <f t="shared" si="7"/>
        <v/>
      </c>
      <c r="J105" s="15" t="str">
        <f t="shared" si="8"/>
        <v/>
      </c>
      <c r="K105" s="38"/>
      <c r="L105" s="39"/>
    </row>
    <row r="106" spans="1:12" ht="15.6">
      <c r="A106" s="24" t="str">
        <v>Yellow Mills 2</v>
      </c>
      <c r="B106" s="25" t="str">
        <v>NY</v>
      </c>
      <c r="C106" s="25" t="str">
        <f>Sites[[#This Row],[SOL'#]]</f>
        <v>SOL-11005</v>
      </c>
      <c r="D106" s="20"/>
      <c r="E106" s="10"/>
      <c r="F106" s="10" t="str">
        <f t="shared" si="6"/>
        <v/>
      </c>
      <c r="G106" s="61" t="str">
        <f t="shared" si="9"/>
        <v/>
      </c>
      <c r="H106" s="12"/>
      <c r="I106" s="76" t="str">
        <f t="shared" si="7"/>
        <v/>
      </c>
      <c r="J106" s="73" t="str">
        <f t="shared" si="8"/>
        <v/>
      </c>
      <c r="K106" s="37"/>
      <c r="L106" s="37"/>
    </row>
    <row r="107" spans="1:12" ht="15.6">
      <c r="A107" s="26" t="str">
        <v>Yellow Mills 3</v>
      </c>
      <c r="B107" s="27" t="str">
        <v>NY</v>
      </c>
      <c r="C107" s="27" t="str">
        <f>Sites[[#This Row],[SOL'#]]</f>
        <v>SOL-11007</v>
      </c>
      <c r="D107" s="9"/>
      <c r="E107" s="14"/>
      <c r="F107" s="14" t="str">
        <f t="shared" si="6"/>
        <v/>
      </c>
      <c r="G107" s="15" t="str">
        <f t="shared" si="9"/>
        <v/>
      </c>
      <c r="H107" s="16"/>
      <c r="I107" s="16" t="str">
        <f t="shared" si="7"/>
        <v/>
      </c>
      <c r="J107" s="15" t="str">
        <f t="shared" si="8"/>
        <v/>
      </c>
      <c r="K107" s="38"/>
      <c r="L107" s="96"/>
    </row>
    <row r="108" spans="1:12" ht="15.6">
      <c r="A108" s="24" t="str">
        <v>Catskill</v>
      </c>
      <c r="B108" s="25" t="str">
        <v>NY</v>
      </c>
      <c r="C108" s="25" t="str">
        <f>Sites[[#This Row],[SOL'#]]</f>
        <v>SOL-11021</v>
      </c>
      <c r="D108" s="20"/>
      <c r="E108" s="10"/>
      <c r="F108" s="10" t="str">
        <f t="shared" si="6"/>
        <v/>
      </c>
      <c r="G108" s="61" t="str">
        <f t="shared" si="9"/>
        <v/>
      </c>
      <c r="H108" s="12"/>
      <c r="I108" s="76" t="str">
        <f t="shared" si="7"/>
        <v/>
      </c>
      <c r="J108" s="73" t="str">
        <f t="shared" si="8"/>
        <v/>
      </c>
      <c r="K108" s="37"/>
      <c r="L108" s="37"/>
    </row>
    <row r="109" spans="1:12" ht="15.6">
      <c r="A109" s="26" t="str">
        <v>Eddy Ridge</v>
      </c>
      <c r="B109" s="27" t="str">
        <v>NY</v>
      </c>
      <c r="C109" s="27" t="str">
        <f>Sites[[#This Row],[SOL'#]]</f>
        <v>SOL-11054</v>
      </c>
      <c r="D109" s="9"/>
      <c r="E109" s="14"/>
      <c r="F109" s="14" t="str">
        <f t="shared" si="6"/>
        <v/>
      </c>
      <c r="G109" s="15" t="str">
        <f t="shared" si="9"/>
        <v/>
      </c>
      <c r="H109" s="16"/>
      <c r="I109" s="16" t="str">
        <f t="shared" si="7"/>
        <v/>
      </c>
      <c r="J109" s="15" t="str">
        <f t="shared" si="8"/>
        <v/>
      </c>
      <c r="K109" s="38"/>
      <c r="L109" s="96"/>
    </row>
    <row r="110" spans="1:12" ht="15.6">
      <c r="A110" s="24" t="str">
        <v>Ridgeway #1</v>
      </c>
      <c r="B110" s="25" t="str">
        <v>NY</v>
      </c>
      <c r="C110" s="25" t="str">
        <f>Sites[[#This Row],[SOL'#]]</f>
        <v>SOL-11018</v>
      </c>
      <c r="D110" s="20"/>
      <c r="E110" s="10"/>
      <c r="F110" s="10" t="str">
        <f t="shared" si="6"/>
        <v/>
      </c>
      <c r="G110" s="61" t="str">
        <f t="shared" si="9"/>
        <v/>
      </c>
      <c r="H110" s="12"/>
      <c r="I110" s="76" t="str">
        <f t="shared" si="7"/>
        <v/>
      </c>
      <c r="J110" s="73" t="str">
        <f t="shared" si="8"/>
        <v/>
      </c>
      <c r="K110" s="37"/>
      <c r="L110" s="37"/>
    </row>
    <row r="111" spans="1:12" ht="15.6">
      <c r="A111" s="26" t="str">
        <v>Rivard 1</v>
      </c>
      <c r="B111" s="27" t="str">
        <v>NY</v>
      </c>
      <c r="C111" s="27" t="str">
        <f>Sites[[#This Row],[SOL'#]]</f>
        <v>SOL-11011</v>
      </c>
      <c r="D111" s="9"/>
      <c r="E111" s="14"/>
      <c r="F111" s="14" t="str">
        <f t="shared" si="6"/>
        <v/>
      </c>
      <c r="G111" s="15" t="str">
        <f t="shared" si="9"/>
        <v/>
      </c>
      <c r="H111" s="16"/>
      <c r="I111" s="16" t="str">
        <f t="shared" si="7"/>
        <v/>
      </c>
      <c r="J111" s="15" t="str">
        <f t="shared" si="8"/>
        <v/>
      </c>
      <c r="K111" s="38"/>
      <c r="L111" s="96"/>
    </row>
    <row r="112" spans="1:12" ht="15.6">
      <c r="A112" s="24" t="str">
        <v>Rivard 2</v>
      </c>
      <c r="B112" s="25" t="str">
        <v>NY</v>
      </c>
      <c r="C112" s="25" t="str">
        <f>Sites[[#This Row],[SOL'#]]</f>
        <v>SOL-11012</v>
      </c>
      <c r="D112" s="20"/>
      <c r="E112" s="10"/>
      <c r="F112" s="10" t="str">
        <f t="shared" si="6"/>
        <v/>
      </c>
      <c r="G112" s="61" t="str">
        <f t="shared" si="9"/>
        <v/>
      </c>
      <c r="H112" s="12"/>
      <c r="I112" s="76" t="str">
        <f t="shared" si="7"/>
        <v/>
      </c>
      <c r="J112" s="73" t="str">
        <f t="shared" si="8"/>
        <v/>
      </c>
      <c r="K112" s="37"/>
      <c r="L112" s="37"/>
    </row>
    <row r="113" spans="1:12" ht="15.6">
      <c r="A113" s="26" t="str">
        <v>Essex</v>
      </c>
      <c r="B113" s="27" t="str">
        <v>DC</v>
      </c>
      <c r="C113" s="27" t="str">
        <f>Sites[[#This Row],[SOL'#]]</f>
        <v>SOL-10036</v>
      </c>
      <c r="D113" s="9"/>
      <c r="E113" s="14"/>
      <c r="F113" s="14" t="str">
        <f t="shared" si="6"/>
        <v/>
      </c>
      <c r="G113" s="15" t="str">
        <f t="shared" si="9"/>
        <v/>
      </c>
      <c r="H113" s="16"/>
      <c r="I113" s="16" t="str">
        <f t="shared" si="7"/>
        <v/>
      </c>
      <c r="J113" s="15" t="str">
        <f t="shared" si="8"/>
        <v/>
      </c>
      <c r="K113" s="38"/>
      <c r="L113" s="38"/>
    </row>
    <row r="114" spans="1:12" ht="15.6">
      <c r="A114" s="24" t="str">
        <v>Temple Sinai</v>
      </c>
      <c r="B114" s="25" t="str">
        <v>DC</v>
      </c>
      <c r="C114" s="25" t="str">
        <f>Sites[[#This Row],[SOL'#]]</f>
        <v>SOL-10028</v>
      </c>
      <c r="D114" s="20"/>
      <c r="E114" s="10"/>
      <c r="F114" s="10" t="str">
        <f t="shared" si="6"/>
        <v/>
      </c>
      <c r="G114" s="61" t="str">
        <f t="shared" ref="G114:G145" si="10">IFERROR(F114/E114, "")</f>
        <v/>
      </c>
      <c r="H114" s="12"/>
      <c r="I114" s="76" t="str">
        <f t="shared" si="7"/>
        <v/>
      </c>
      <c r="J114" s="73" t="str">
        <f t="shared" si="8"/>
        <v/>
      </c>
      <c r="K114" s="37"/>
      <c r="L114" s="37"/>
    </row>
    <row r="115" spans="1:12" ht="15.6">
      <c r="A115" s="26" t="str">
        <v>Weinberg 1</v>
      </c>
      <c r="B115" s="27" t="str">
        <v>DC</v>
      </c>
      <c r="C115" s="27" t="str">
        <f>Sites[[#This Row],[SOL'#]]</f>
        <v>SOL-10039</v>
      </c>
      <c r="D115" s="9"/>
      <c r="E115" s="14"/>
      <c r="F115" s="14" t="str">
        <f t="shared" si="6"/>
        <v/>
      </c>
      <c r="G115" s="15" t="str">
        <f t="shared" si="10"/>
        <v/>
      </c>
      <c r="H115" s="16"/>
      <c r="I115" s="16" t="str">
        <f t="shared" si="7"/>
        <v/>
      </c>
      <c r="J115" s="15" t="str">
        <f t="shared" si="8"/>
        <v/>
      </c>
      <c r="K115" s="38"/>
      <c r="L115" s="39"/>
    </row>
    <row r="116" spans="1:12" ht="15.6">
      <c r="A116" s="24" t="str">
        <v>Weinberg 2</v>
      </c>
      <c r="B116" s="25" t="str">
        <v>DC</v>
      </c>
      <c r="C116" s="25" t="str">
        <f>Sites[[#This Row],[SOL'#]]</f>
        <v>SOL-10045</v>
      </c>
      <c r="D116" s="20"/>
      <c r="E116" s="10"/>
      <c r="F116" s="10" t="str">
        <f t="shared" si="6"/>
        <v/>
      </c>
      <c r="G116" s="61" t="str">
        <f t="shared" si="10"/>
        <v/>
      </c>
      <c r="H116" s="12"/>
      <c r="I116" s="76" t="str">
        <f t="shared" si="7"/>
        <v/>
      </c>
      <c r="J116" s="73" t="str">
        <f t="shared" si="8"/>
        <v/>
      </c>
      <c r="K116" s="37"/>
      <c r="L116" s="37"/>
    </row>
    <row r="117" spans="1:12" ht="15.6">
      <c r="A117" s="26" t="str">
        <v>Weinberg 3</v>
      </c>
      <c r="B117" s="27" t="str">
        <v>DC</v>
      </c>
      <c r="C117" s="27" t="str">
        <f>Sites[[#This Row],[SOL'#]]</f>
        <v>SOL-10042</v>
      </c>
      <c r="D117" s="9"/>
      <c r="E117" s="14"/>
      <c r="F117" s="14" t="str">
        <f t="shared" si="6"/>
        <v/>
      </c>
      <c r="G117" s="15" t="str">
        <f t="shared" si="10"/>
        <v/>
      </c>
      <c r="H117" s="16"/>
      <c r="I117" s="16" t="str">
        <f t="shared" si="7"/>
        <v/>
      </c>
      <c r="J117" s="15" t="str">
        <f t="shared" si="8"/>
        <v/>
      </c>
      <c r="K117" s="38"/>
      <c r="L117" s="39"/>
    </row>
    <row r="118" spans="1:12" ht="15.6">
      <c r="A118" s="24" t="str">
        <v>Clayton Hall</v>
      </c>
      <c r="B118" s="25" t="str">
        <v>DE</v>
      </c>
      <c r="C118" s="25" t="str">
        <f>Sites[[#This Row],[SOL'#]]</f>
        <v>SOL-10820</v>
      </c>
      <c r="D118" s="20"/>
      <c r="E118" s="10"/>
      <c r="F118" s="10" t="str">
        <f t="shared" si="6"/>
        <v/>
      </c>
      <c r="G118" s="61" t="str">
        <f t="shared" si="10"/>
        <v/>
      </c>
      <c r="H118" s="12"/>
      <c r="I118" s="76" t="str">
        <f t="shared" si="7"/>
        <v/>
      </c>
      <c r="J118" s="73" t="str">
        <f t="shared" si="8"/>
        <v/>
      </c>
      <c r="K118" s="37"/>
      <c r="L118" s="37"/>
    </row>
    <row r="119" spans="1:12" ht="15.6">
      <c r="A119" s="26" t="str">
        <v>Field House</v>
      </c>
      <c r="B119" s="27" t="str">
        <v>DE</v>
      </c>
      <c r="C119" s="27" t="str">
        <f>Sites[[#This Row],[SOL'#]]</f>
        <v>SOL-10821</v>
      </c>
      <c r="D119" s="9"/>
      <c r="E119" s="14"/>
      <c r="F119" s="14" t="str">
        <f t="shared" si="6"/>
        <v/>
      </c>
      <c r="G119" s="15" t="str">
        <f t="shared" si="10"/>
        <v/>
      </c>
      <c r="H119" s="16"/>
      <c r="I119" s="16" t="str">
        <f t="shared" si="7"/>
        <v/>
      </c>
      <c r="J119" s="15" t="str">
        <f t="shared" si="8"/>
        <v/>
      </c>
      <c r="K119" s="38"/>
      <c r="L119" s="97"/>
    </row>
    <row r="120" spans="1:12" ht="15.6">
      <c r="A120" s="24" t="str">
        <v>Wyoming Road</v>
      </c>
      <c r="B120" s="25" t="str">
        <v>DE</v>
      </c>
      <c r="C120" s="25" t="str">
        <f>Sites[[#This Row],[SOL'#]]</f>
        <v>SOL-10819</v>
      </c>
      <c r="D120" s="20"/>
      <c r="E120" s="10"/>
      <c r="F120" s="10" t="str">
        <f t="shared" si="6"/>
        <v/>
      </c>
      <c r="G120" s="61" t="str">
        <f t="shared" si="10"/>
        <v/>
      </c>
      <c r="H120" s="12"/>
      <c r="I120" s="76" t="str">
        <f t="shared" si="7"/>
        <v/>
      </c>
      <c r="J120" s="73" t="str">
        <f t="shared" si="8"/>
        <v/>
      </c>
      <c r="K120" s="37"/>
      <c r="L120" s="37"/>
    </row>
    <row r="121" spans="1:12" ht="15.6">
      <c r="A121" s="26" t="str">
        <v>Leoku</v>
      </c>
      <c r="B121" s="27" t="str">
        <v>HI</v>
      </c>
      <c r="C121" s="27" t="str">
        <f>Sites[[#This Row],[SOL'#]]</f>
        <v>SOL-10071</v>
      </c>
      <c r="D121" s="9"/>
      <c r="E121" s="14"/>
      <c r="F121" s="14" t="str">
        <f t="shared" si="6"/>
        <v/>
      </c>
      <c r="G121" s="15" t="str">
        <f t="shared" si="10"/>
        <v/>
      </c>
      <c r="H121" s="16"/>
      <c r="I121" s="16" t="str">
        <f t="shared" si="7"/>
        <v/>
      </c>
      <c r="J121" s="15" t="str">
        <f t="shared" si="8"/>
        <v/>
      </c>
      <c r="K121" s="38"/>
      <c r="L121" s="39"/>
    </row>
    <row r="122" spans="1:12" ht="15.6">
      <c r="A122" s="24" t="str">
        <v>Waipahu</v>
      </c>
      <c r="B122" s="25" t="str">
        <v>HI</v>
      </c>
      <c r="C122" s="25" t="str">
        <f>Sites[[#This Row],[SOL'#]]</f>
        <v>SOL-10068</v>
      </c>
      <c r="D122" s="20"/>
      <c r="E122" s="10"/>
      <c r="F122" s="10" t="str">
        <f t="shared" si="6"/>
        <v/>
      </c>
      <c r="G122" s="61" t="str">
        <f t="shared" si="10"/>
        <v/>
      </c>
      <c r="H122" s="12"/>
      <c r="I122" s="76" t="str">
        <f t="shared" si="7"/>
        <v/>
      </c>
      <c r="J122" s="73" t="str">
        <f t="shared" si="8"/>
        <v/>
      </c>
      <c r="K122" s="37"/>
      <c r="L122" s="37"/>
    </row>
    <row r="123" spans="1:12" ht="15.6">
      <c r="A123" s="26" t="str">
        <v>Bird in Hand</v>
      </c>
      <c r="B123" s="27" t="str">
        <v>MD</v>
      </c>
      <c r="C123" s="27" t="str">
        <f>Sites[[#This Row],[SOL'#]]</f>
        <v>SOL-10092</v>
      </c>
      <c r="D123" s="9"/>
      <c r="E123" s="14"/>
      <c r="F123" s="14" t="str">
        <f t="shared" si="6"/>
        <v/>
      </c>
      <c r="G123" s="15" t="str">
        <f t="shared" si="10"/>
        <v/>
      </c>
      <c r="H123" s="16"/>
      <c r="I123" s="16" t="str">
        <f t="shared" si="7"/>
        <v/>
      </c>
      <c r="J123" s="15" t="str">
        <f t="shared" si="8"/>
        <v/>
      </c>
      <c r="K123" s="38"/>
      <c r="L123" s="39"/>
    </row>
    <row r="124" spans="1:12" ht="15.6">
      <c r="A124" s="24" t="str">
        <v>Shortal</v>
      </c>
      <c r="B124" s="25" t="str">
        <v>MD</v>
      </c>
      <c r="C124" s="25" t="str">
        <f>Sites[[#This Row],[SOL'#]]</f>
        <v>SOL-10091</v>
      </c>
      <c r="D124" s="60"/>
      <c r="E124" s="10"/>
      <c r="F124" s="10" t="str">
        <f t="shared" si="6"/>
        <v/>
      </c>
      <c r="G124" s="61" t="str">
        <f t="shared" si="10"/>
        <v/>
      </c>
      <c r="H124" s="76"/>
      <c r="I124" s="76" t="str">
        <f t="shared" si="7"/>
        <v/>
      </c>
      <c r="J124" s="73" t="str">
        <f t="shared" si="8"/>
        <v/>
      </c>
      <c r="K124" s="63"/>
      <c r="L124" s="63"/>
    </row>
    <row r="125" spans="1:12" ht="15.6">
      <c r="A125" s="26" t="str">
        <v>Aguadilla</v>
      </c>
      <c r="B125" s="27" t="str">
        <v>PR</v>
      </c>
      <c r="C125" s="27" t="str">
        <f>Sites[[#This Row],[SOL'#]]</f>
        <v>SOL-10072</v>
      </c>
      <c r="D125" s="9"/>
      <c r="E125" s="14"/>
      <c r="F125" s="14" t="str">
        <f t="shared" si="6"/>
        <v/>
      </c>
      <c r="G125" s="15" t="str">
        <f t="shared" si="10"/>
        <v/>
      </c>
      <c r="H125" s="16"/>
      <c r="I125" s="16" t="str">
        <f t="shared" si="7"/>
        <v/>
      </c>
      <c r="J125" s="15" t="str">
        <f t="shared" si="8"/>
        <v/>
      </c>
      <c r="K125" s="38"/>
      <c r="L125" s="38"/>
    </row>
    <row r="126" spans="1:12" ht="15.6">
      <c r="A126" s="24" t="str">
        <v>Bayamon</v>
      </c>
      <c r="B126" s="25" t="str">
        <v>PR</v>
      </c>
      <c r="C126" s="25" t="str">
        <f>Sites[[#This Row],[SOL'#]]</f>
        <v>SOL-10073</v>
      </c>
      <c r="D126" s="20"/>
      <c r="E126" s="10"/>
      <c r="F126" s="10" t="str">
        <f t="shared" si="6"/>
        <v/>
      </c>
      <c r="G126" s="61" t="str">
        <f t="shared" si="10"/>
        <v/>
      </c>
      <c r="H126" s="12"/>
      <c r="I126" s="76" t="str">
        <f t="shared" si="7"/>
        <v/>
      </c>
      <c r="J126" s="73" t="str">
        <f t="shared" si="8"/>
        <v/>
      </c>
      <c r="K126" s="37"/>
      <c r="L126" s="37"/>
    </row>
    <row r="127" spans="1:12" ht="75" customHeight="1">
      <c r="A127" s="26" t="str">
        <v>St Francis</v>
      </c>
      <c r="B127" s="27" t="str">
        <v>PR</v>
      </c>
      <c r="C127" s="27" t="str">
        <f>Sites[[#This Row],[SOL'#]]</f>
        <v>SOL-10034</v>
      </c>
      <c r="D127" s="9"/>
      <c r="E127" s="14"/>
      <c r="F127" s="14" t="str">
        <f t="shared" si="6"/>
        <v/>
      </c>
      <c r="G127" s="15" t="str">
        <f t="shared" si="10"/>
        <v/>
      </c>
      <c r="H127" s="16"/>
      <c r="I127" s="16" t="str">
        <f t="shared" si="7"/>
        <v/>
      </c>
      <c r="J127" s="15" t="str">
        <f t="shared" si="8"/>
        <v/>
      </c>
      <c r="K127" s="56"/>
      <c r="L127" s="97"/>
    </row>
    <row r="128" spans="1:12" ht="15.6">
      <c r="A128" s="24" t="str">
        <v>Seaport</v>
      </c>
      <c r="B128" s="25" t="str">
        <v>MA</v>
      </c>
      <c r="C128" s="25" t="str">
        <f>Sites[[#This Row],[SOL'#]]</f>
        <v>SOL-10772</v>
      </c>
      <c r="D128" s="20"/>
      <c r="E128" s="10"/>
      <c r="F128" s="10" t="str">
        <f t="shared" si="6"/>
        <v/>
      </c>
      <c r="G128" s="61" t="str">
        <f t="shared" si="10"/>
        <v/>
      </c>
      <c r="H128" s="12"/>
      <c r="I128" s="76" t="str">
        <f t="shared" si="7"/>
        <v/>
      </c>
      <c r="J128" s="73" t="str">
        <f t="shared" si="8"/>
        <v/>
      </c>
      <c r="K128" s="37"/>
      <c r="L128" s="37"/>
    </row>
    <row r="129" spans="1:12" ht="15.6">
      <c r="A129" s="26" t="str">
        <v>Sprague St</v>
      </c>
      <c r="B129" s="27" t="str">
        <v>MA</v>
      </c>
      <c r="C129" s="27" t="str">
        <f>Sites[[#This Row],[SOL'#]]</f>
        <v>SOL-10773</v>
      </c>
      <c r="D129" s="9"/>
      <c r="E129" s="14"/>
      <c r="F129" s="14" t="str">
        <f t="shared" si="6"/>
        <v/>
      </c>
      <c r="G129" s="15" t="str">
        <f t="shared" si="10"/>
        <v/>
      </c>
      <c r="H129" s="16"/>
      <c r="I129" s="16" t="str">
        <f t="shared" si="7"/>
        <v/>
      </c>
      <c r="J129" s="15" t="str">
        <f t="shared" si="8"/>
        <v/>
      </c>
      <c r="K129" s="38"/>
      <c r="L129" s="39"/>
    </row>
    <row r="130" spans="1:12" ht="15.6">
      <c r="A130" s="24" t="str">
        <v>Summer St</v>
      </c>
      <c r="B130" s="25" t="str">
        <v>MA</v>
      </c>
      <c r="C130" s="25" t="str">
        <f>Sites[[#This Row],[SOL'#]]</f>
        <v>SOL-10764</v>
      </c>
      <c r="D130" s="20"/>
      <c r="E130" s="10"/>
      <c r="F130" s="10" t="str">
        <f t="shared" si="6"/>
        <v/>
      </c>
      <c r="G130" s="61" t="str">
        <f t="shared" si="10"/>
        <v/>
      </c>
      <c r="H130" s="12"/>
      <c r="I130" s="76" t="str">
        <f t="shared" si="7"/>
        <v/>
      </c>
      <c r="J130" s="73" t="str">
        <f t="shared" si="8"/>
        <v/>
      </c>
      <c r="K130" s="37"/>
      <c r="L130" s="37"/>
    </row>
    <row r="131" spans="1:12" ht="15.6">
      <c r="A131" s="26" t="str">
        <v>Brock St Vocational</v>
      </c>
      <c r="B131" s="27" t="str">
        <v>NH</v>
      </c>
      <c r="C131" s="27" t="str">
        <f>Sites[[#This Row],[SOL'#]]</f>
        <v>SOL-10768</v>
      </c>
      <c r="D131" s="9"/>
      <c r="E131" s="14"/>
      <c r="F131" s="14" t="str">
        <f t="shared" si="6"/>
        <v/>
      </c>
      <c r="G131" s="15" t="str">
        <f t="shared" si="10"/>
        <v/>
      </c>
      <c r="H131" s="16"/>
      <c r="I131" s="16" t="str">
        <f t="shared" si="7"/>
        <v/>
      </c>
      <c r="J131" s="15" t="str">
        <f t="shared" si="8"/>
        <v/>
      </c>
      <c r="K131" s="38"/>
      <c r="L131" s="39"/>
    </row>
    <row r="132" spans="1:12" ht="15.6">
      <c r="A132" s="24" t="str">
        <v>McClelland ES</v>
      </c>
      <c r="B132" s="25" t="str">
        <v>NH</v>
      </c>
      <c r="C132" s="25" t="str">
        <f>Sites[[#This Row],[SOL'#]]</f>
        <v>SOL-10766</v>
      </c>
      <c r="D132" s="20"/>
      <c r="E132" s="10"/>
      <c r="F132" s="10" t="str">
        <f t="shared" si="6"/>
        <v/>
      </c>
      <c r="G132" s="61" t="str">
        <f t="shared" si="10"/>
        <v/>
      </c>
      <c r="H132" s="12"/>
      <c r="I132" s="76" t="str">
        <f t="shared" si="7"/>
        <v/>
      </c>
      <c r="J132" s="73" t="str">
        <f t="shared" si="8"/>
        <v/>
      </c>
      <c r="K132" s="37"/>
      <c r="L132" s="37"/>
    </row>
    <row r="133" spans="1:12" ht="15.6">
      <c r="A133" s="26" t="str">
        <v>Portland St</v>
      </c>
      <c r="B133" s="27" t="str">
        <v>NH</v>
      </c>
      <c r="C133" s="27" t="str">
        <f>Sites[[#This Row],[SOL'#]]</f>
        <v>SOL-10771</v>
      </c>
      <c r="D133" s="9"/>
      <c r="E133" s="14"/>
      <c r="F133" s="14" t="str">
        <f t="shared" ref="F133:F161" si="11">IF(AND(ISNUMBER(D133),ISNUMBER(E133)), D133-E133, "")</f>
        <v/>
      </c>
      <c r="G133" s="15" t="str">
        <f t="shared" si="10"/>
        <v/>
      </c>
      <c r="H133" s="16"/>
      <c r="I133" s="16"/>
      <c r="J133" s="15" t="str">
        <f t="shared" ref="J133:J161" si="12">IFERROR(I133/H133, "")</f>
        <v/>
      </c>
      <c r="K133" s="38"/>
      <c r="L133" s="39"/>
    </row>
    <row r="134" spans="1:12" ht="15.6">
      <c r="A134" s="24" t="str">
        <v>Portsmouth HS</v>
      </c>
      <c r="B134" s="25" t="str">
        <v>NH</v>
      </c>
      <c r="C134" s="25" t="str">
        <f>Sites[[#This Row],[SOL'#]]</f>
        <v>SOL-10769</v>
      </c>
      <c r="D134" s="20"/>
      <c r="E134" s="10"/>
      <c r="F134" s="10" t="str">
        <f t="shared" si="11"/>
        <v/>
      </c>
      <c r="G134" s="61" t="str">
        <f t="shared" si="10"/>
        <v/>
      </c>
      <c r="H134" s="12"/>
      <c r="I134" s="76" t="str">
        <f t="shared" ref="I134:I161" si="13">IF(AND(ISNUMBER(D134),ISNUMBER(H134)), D134-H134, "")</f>
        <v/>
      </c>
      <c r="J134" s="73" t="str">
        <f t="shared" si="12"/>
        <v/>
      </c>
      <c r="K134" s="37"/>
      <c r="L134" s="37"/>
    </row>
    <row r="135" spans="1:12" ht="15.6">
      <c r="A135" s="26" t="str">
        <v>Portsmouth WTP</v>
      </c>
      <c r="B135" s="27" t="str">
        <v>NH</v>
      </c>
      <c r="C135" s="27" t="str">
        <f>Sites[[#This Row],[SOL'#]]</f>
        <v>SOL-10770</v>
      </c>
      <c r="D135" s="9"/>
      <c r="E135" s="14"/>
      <c r="F135" s="14" t="str">
        <f t="shared" si="11"/>
        <v/>
      </c>
      <c r="G135" s="15" t="str">
        <f t="shared" si="10"/>
        <v/>
      </c>
      <c r="H135" s="16"/>
      <c r="I135" s="16" t="str">
        <f t="shared" si="13"/>
        <v/>
      </c>
      <c r="J135" s="15" t="str">
        <f t="shared" si="12"/>
        <v/>
      </c>
      <c r="K135" s="38"/>
      <c r="L135" s="39"/>
    </row>
    <row r="136" spans="1:12" ht="15.6">
      <c r="A136" s="24" t="str">
        <v>Rochester St</v>
      </c>
      <c r="B136" s="25" t="str">
        <v>NH</v>
      </c>
      <c r="C136" s="25" t="str">
        <f>Sites[[#This Row],[SOL'#]]</f>
        <v>SOL-10765</v>
      </c>
      <c r="D136" s="20"/>
      <c r="E136" s="10"/>
      <c r="F136" s="10" t="str">
        <f>IF(AND(ISNUMBER(D136),ISNUMBER(E136)), D136-E136, "")</f>
        <v/>
      </c>
      <c r="G136" s="61" t="str">
        <f t="shared" si="10"/>
        <v/>
      </c>
      <c r="H136" s="12"/>
      <c r="I136" s="76" t="str">
        <f>IF(AND(ISNUMBER(D136),ISNUMBER(H136)), D136-H136, "")</f>
        <v/>
      </c>
      <c r="J136" s="73" t="str">
        <f t="shared" si="12"/>
        <v/>
      </c>
      <c r="K136" s="37"/>
      <c r="L136" s="37"/>
    </row>
    <row r="137" spans="1:12" ht="15.6">
      <c r="A137" s="26" t="str">
        <v>Spaulding HS</v>
      </c>
      <c r="B137" s="27" t="str">
        <v>NH</v>
      </c>
      <c r="C137" s="27" t="str">
        <f>Sites[[#This Row],[SOL'#]]</f>
        <v>SOL-10767</v>
      </c>
      <c r="D137" s="9"/>
      <c r="E137" s="14"/>
      <c r="F137" s="14" t="str">
        <f t="shared" si="11"/>
        <v/>
      </c>
      <c r="G137" s="15" t="str">
        <f t="shared" si="10"/>
        <v/>
      </c>
      <c r="H137" s="16"/>
      <c r="I137" s="16" t="str">
        <f t="shared" si="13"/>
        <v/>
      </c>
      <c r="J137" s="15" t="str">
        <f t="shared" si="12"/>
        <v/>
      </c>
      <c r="K137" s="38"/>
      <c r="L137" s="39"/>
    </row>
    <row r="138" spans="1:12" ht="15.6">
      <c r="A138" s="24" t="str">
        <v>Ridgeway #2</v>
      </c>
      <c r="B138" s="25" t="str">
        <v>NY</v>
      </c>
      <c r="C138" s="25" t="str">
        <f>Sites[[#This Row],[SOL'#]]</f>
        <v>SOL-11027</v>
      </c>
      <c r="D138" s="20"/>
      <c r="E138" s="10"/>
      <c r="F138" s="10" t="str">
        <f t="shared" si="11"/>
        <v/>
      </c>
      <c r="G138" s="61" t="str">
        <f t="shared" si="10"/>
        <v/>
      </c>
      <c r="H138" s="12"/>
      <c r="I138" s="76" t="str">
        <f t="shared" si="13"/>
        <v/>
      </c>
      <c r="J138" s="73" t="str">
        <f t="shared" si="12"/>
        <v/>
      </c>
      <c r="K138" s="37"/>
      <c r="L138" s="37"/>
    </row>
    <row r="139" spans="1:12" ht="15.6">
      <c r="A139" s="26" t="str">
        <v>Spencer</v>
      </c>
      <c r="B139" s="27" t="str">
        <v>NY</v>
      </c>
      <c r="C139" s="27" t="str">
        <f>Sites[[#This Row],[SOL'#]]</f>
        <v>SOL-11017</v>
      </c>
      <c r="D139" s="9"/>
      <c r="E139" s="14"/>
      <c r="F139" s="14" t="str">
        <f t="shared" si="11"/>
        <v/>
      </c>
      <c r="G139" s="15" t="str">
        <f t="shared" si="10"/>
        <v/>
      </c>
      <c r="H139" s="16"/>
      <c r="I139" s="16" t="str">
        <f t="shared" si="13"/>
        <v/>
      </c>
      <c r="J139" s="15" t="str">
        <f t="shared" si="12"/>
        <v/>
      </c>
      <c r="K139" s="91"/>
      <c r="L139" s="98"/>
    </row>
    <row r="140" spans="1:12" ht="15.6">
      <c r="A140" s="24" t="str">
        <v>Reisender</v>
      </c>
      <c r="B140" s="25" t="str">
        <v>NY</v>
      </c>
      <c r="C140" s="25" t="str">
        <f>Sites[[#This Row],[SOL'#]]</f>
        <v>SOL-10886</v>
      </c>
      <c r="D140" s="60"/>
      <c r="E140" s="10"/>
      <c r="F140" s="10" t="str">
        <f t="shared" si="11"/>
        <v/>
      </c>
      <c r="G140" s="61" t="str">
        <f t="shared" si="10"/>
        <v/>
      </c>
      <c r="H140" s="76"/>
      <c r="I140" s="76" t="str">
        <f t="shared" si="13"/>
        <v/>
      </c>
      <c r="J140" s="73" t="str">
        <f t="shared" si="12"/>
        <v/>
      </c>
      <c r="K140" s="63"/>
      <c r="L140" s="37"/>
    </row>
    <row r="141" spans="1:12" ht="15.6">
      <c r="A141" s="26" t="str">
        <v>Finney</v>
      </c>
      <c r="B141" s="27" t="str">
        <v>NY</v>
      </c>
      <c r="C141" s="27" t="str">
        <f>Sites[[#This Row],[SOL'#]]</f>
        <v>SOL-10999</v>
      </c>
      <c r="D141" s="75"/>
      <c r="E141" s="14"/>
      <c r="F141" s="14" t="str">
        <f t="shared" si="11"/>
        <v/>
      </c>
      <c r="G141" s="77" t="str">
        <f t="shared" si="10"/>
        <v/>
      </c>
      <c r="H141" s="78"/>
      <c r="I141" s="16" t="str">
        <f t="shared" si="13"/>
        <v/>
      </c>
      <c r="J141" s="15" t="str">
        <f t="shared" si="12"/>
        <v/>
      </c>
      <c r="K141" s="38"/>
      <c r="L141" s="17"/>
    </row>
    <row r="142" spans="1:12" ht="15.6">
      <c r="A142" s="24" t="str">
        <v>Davis Solar</v>
      </c>
      <c r="B142" s="25" t="str">
        <v>NY</v>
      </c>
      <c r="C142" s="25" t="str">
        <f>Sites[[#This Row],[SOL'#]]</f>
        <v>SOL-10958</v>
      </c>
      <c r="D142" s="60"/>
      <c r="E142" s="10"/>
      <c r="F142" s="10" t="str">
        <f t="shared" si="11"/>
        <v/>
      </c>
      <c r="G142" s="61" t="str">
        <f t="shared" si="10"/>
        <v/>
      </c>
      <c r="H142" s="76"/>
      <c r="I142" s="76" t="str">
        <f t="shared" si="13"/>
        <v/>
      </c>
      <c r="J142" s="73" t="str">
        <f t="shared" si="12"/>
        <v/>
      </c>
      <c r="K142" s="63"/>
      <c r="L142" s="37"/>
    </row>
    <row r="143" spans="1:12" ht="15.6">
      <c r="A143" s="26" t="str">
        <v>Genesee</v>
      </c>
      <c r="B143" s="27" t="str">
        <v>NY</v>
      </c>
      <c r="C143" s="27" t="str">
        <f>Sites[[#This Row],[SOL'#]]</f>
        <v>SOL-10951</v>
      </c>
      <c r="D143" s="75"/>
      <c r="E143" s="14"/>
      <c r="F143" s="14" t="str">
        <f t="shared" si="11"/>
        <v/>
      </c>
      <c r="G143" s="77" t="str">
        <f t="shared" si="10"/>
        <v/>
      </c>
      <c r="H143" s="78"/>
      <c r="I143" s="16" t="str">
        <f t="shared" si="13"/>
        <v/>
      </c>
      <c r="J143" s="15" t="str">
        <f t="shared" si="12"/>
        <v/>
      </c>
      <c r="K143" s="38"/>
      <c r="L143" s="17"/>
    </row>
    <row r="144" spans="1:12" ht="15.6">
      <c r="A144" s="24" t="str">
        <v>Landau I</v>
      </c>
      <c r="B144" s="25" t="str">
        <v>NY</v>
      </c>
      <c r="C144" s="25" t="str">
        <f>Sites[[#This Row],[SOL'#]]</f>
        <v>SOL-10891</v>
      </c>
      <c r="D144" s="60"/>
      <c r="E144" s="10"/>
      <c r="F144" s="10" t="str">
        <f t="shared" si="11"/>
        <v/>
      </c>
      <c r="G144" s="61" t="str">
        <f t="shared" si="10"/>
        <v/>
      </c>
      <c r="H144" s="76"/>
      <c r="I144" s="76" t="str">
        <f t="shared" si="13"/>
        <v/>
      </c>
      <c r="J144" s="73" t="str">
        <f t="shared" si="12"/>
        <v/>
      </c>
      <c r="K144" s="63"/>
      <c r="L144" s="37"/>
    </row>
    <row r="145" spans="1:12" ht="15.6">
      <c r="A145" s="26" t="str">
        <v>Landau II</v>
      </c>
      <c r="B145" s="27" t="str">
        <v>NY</v>
      </c>
      <c r="C145" s="27" t="str">
        <f>Sites[[#This Row],[SOL'#]]</f>
        <v>SOL-10895</v>
      </c>
      <c r="D145" s="75"/>
      <c r="E145" s="14"/>
      <c r="F145" s="14" t="str">
        <f t="shared" si="11"/>
        <v/>
      </c>
      <c r="G145" s="77" t="str">
        <f t="shared" si="10"/>
        <v/>
      </c>
      <c r="H145" s="78"/>
      <c r="I145" s="16" t="str">
        <f t="shared" si="13"/>
        <v/>
      </c>
      <c r="J145" s="15" t="str">
        <f t="shared" si="12"/>
        <v/>
      </c>
      <c r="K145" s="56"/>
      <c r="L145" s="95"/>
    </row>
    <row r="146" spans="1:12" ht="15.6">
      <c r="A146" s="24" t="str">
        <v>New Beginnings</v>
      </c>
      <c r="B146" s="25" t="str">
        <v>NY</v>
      </c>
      <c r="C146" s="25" t="str">
        <f>Sites[[#This Row],[SOL'#]]</f>
        <v>SOL-10890</v>
      </c>
      <c r="D146" s="60"/>
      <c r="E146" s="10"/>
      <c r="F146" s="10" t="str">
        <f t="shared" si="11"/>
        <v/>
      </c>
      <c r="G146" s="61" t="str">
        <f t="shared" ref="G146:G161" si="14">IFERROR(F146/E146, "")</f>
        <v/>
      </c>
      <c r="H146" s="76"/>
      <c r="I146" s="76" t="str">
        <f t="shared" si="13"/>
        <v/>
      </c>
      <c r="J146" s="73" t="str">
        <f t="shared" si="12"/>
        <v/>
      </c>
      <c r="K146" s="63"/>
      <c r="L146" s="37"/>
    </row>
    <row r="147" spans="1:12" ht="15.6">
      <c r="A147" s="26" t="str">
        <v>Guilin Farm Solar</v>
      </c>
      <c r="B147" s="27" t="str">
        <v>NY</v>
      </c>
      <c r="C147" s="27" t="str">
        <f>Sites[[#This Row],[SOL'#]]</f>
        <v>SOL-10998</v>
      </c>
      <c r="D147" s="75"/>
      <c r="E147" s="14"/>
      <c r="F147" s="14" t="str">
        <f t="shared" si="11"/>
        <v/>
      </c>
      <c r="G147" s="77" t="str">
        <f t="shared" si="14"/>
        <v/>
      </c>
      <c r="H147" s="78"/>
      <c r="I147" s="16" t="str">
        <f t="shared" si="13"/>
        <v/>
      </c>
      <c r="J147" s="15" t="str">
        <f t="shared" si="12"/>
        <v/>
      </c>
      <c r="K147" s="38"/>
      <c r="L147" s="17"/>
    </row>
    <row r="148" spans="1:12" ht="15.6">
      <c r="A148" s="24" t="str">
        <v>Brodhead Solar</v>
      </c>
      <c r="B148" s="25" t="str">
        <v>NY</v>
      </c>
      <c r="C148" s="25" t="str">
        <f>Sites[[#This Row],[SOL'#]]</f>
        <v>SOL-10899</v>
      </c>
      <c r="D148" s="60"/>
      <c r="E148" s="10"/>
      <c r="F148" s="10" t="str">
        <f t="shared" si="11"/>
        <v/>
      </c>
      <c r="G148" s="61" t="str">
        <f t="shared" si="14"/>
        <v/>
      </c>
      <c r="H148" s="76"/>
      <c r="I148" s="76" t="str">
        <f t="shared" si="13"/>
        <v/>
      </c>
      <c r="J148" s="73" t="str">
        <f t="shared" si="12"/>
        <v/>
      </c>
      <c r="K148" s="63"/>
      <c r="L148" s="37"/>
    </row>
    <row r="149" spans="1:12" ht="15.6">
      <c r="A149" s="26" t="str">
        <v>Svenski</v>
      </c>
      <c r="B149" s="27" t="str">
        <v>NY</v>
      </c>
      <c r="C149" s="27" t="str">
        <f>Sites[[#This Row],[SOL'#]]</f>
        <v>SOL-10894</v>
      </c>
      <c r="D149" s="75"/>
      <c r="E149" s="14"/>
      <c r="F149" s="14" t="str">
        <f t="shared" si="11"/>
        <v/>
      </c>
      <c r="G149" s="77" t="str">
        <f t="shared" si="14"/>
        <v/>
      </c>
      <c r="H149" s="78"/>
      <c r="I149" s="16" t="str">
        <f t="shared" si="13"/>
        <v/>
      </c>
      <c r="J149" s="15" t="str">
        <f t="shared" si="12"/>
        <v/>
      </c>
      <c r="K149" s="38"/>
      <c r="L149" s="94"/>
    </row>
    <row r="150" spans="1:12" ht="15.6">
      <c r="A150" s="24" t="str">
        <v>Bantam</v>
      </c>
      <c r="B150" s="25" t="str">
        <v>NY</v>
      </c>
      <c r="C150" s="25" t="str">
        <f>Sites[[#This Row],[SOL'#]]</f>
        <v>SOL-10986</v>
      </c>
      <c r="D150" s="60"/>
      <c r="E150" s="10"/>
      <c r="F150" s="10" t="str">
        <f t="shared" si="11"/>
        <v/>
      </c>
      <c r="G150" s="61" t="str">
        <f t="shared" si="14"/>
        <v/>
      </c>
      <c r="H150" s="76"/>
      <c r="I150" s="76" t="str">
        <f t="shared" si="13"/>
        <v/>
      </c>
      <c r="J150" s="73" t="str">
        <f t="shared" si="12"/>
        <v/>
      </c>
      <c r="K150" s="63"/>
      <c r="L150" s="37"/>
    </row>
    <row r="151" spans="1:12" ht="15.6">
      <c r="A151" s="26" t="str">
        <v>Bogart</v>
      </c>
      <c r="B151" s="27" t="str">
        <v>NY</v>
      </c>
      <c r="C151" s="27" t="str">
        <f>Sites[[#This Row],[SOL'#]]</f>
        <v>SOL-10887</v>
      </c>
      <c r="D151" s="75"/>
      <c r="E151" s="14"/>
      <c r="F151" s="14" t="str">
        <f t="shared" si="11"/>
        <v/>
      </c>
      <c r="G151" s="77" t="str">
        <f t="shared" si="14"/>
        <v/>
      </c>
      <c r="H151" s="78"/>
      <c r="I151" s="16" t="str">
        <f t="shared" si="13"/>
        <v/>
      </c>
      <c r="J151" s="15" t="str">
        <f t="shared" si="12"/>
        <v/>
      </c>
      <c r="K151" s="38"/>
      <c r="L151" s="17"/>
    </row>
    <row r="152" spans="1:12" ht="15.6">
      <c r="A152" s="24" t="str">
        <v>Dubois</v>
      </c>
      <c r="B152" s="25" t="str">
        <v>NY</v>
      </c>
      <c r="C152" s="25" t="str">
        <f>Sites[[#This Row],[SOL'#]]</f>
        <v>SOL-10892</v>
      </c>
      <c r="D152" s="60"/>
      <c r="E152" s="10"/>
      <c r="F152" s="10" t="str">
        <f t="shared" si="11"/>
        <v/>
      </c>
      <c r="G152" s="61" t="str">
        <f t="shared" si="14"/>
        <v/>
      </c>
      <c r="H152" s="76"/>
      <c r="I152" s="76" t="str">
        <f t="shared" si="13"/>
        <v/>
      </c>
      <c r="J152" s="73" t="str">
        <f t="shared" si="12"/>
        <v/>
      </c>
      <c r="K152" s="63"/>
      <c r="L152" s="63"/>
    </row>
    <row r="153" spans="1:12" ht="15.6">
      <c r="A153" s="26" t="str">
        <v>Salt Point</v>
      </c>
      <c r="B153" s="27" t="str">
        <v>NY</v>
      </c>
      <c r="C153" s="27" t="str">
        <f>Sites[[#This Row],[SOL'#]]</f>
        <v>SOL-10888</v>
      </c>
      <c r="D153" s="75"/>
      <c r="E153" s="14"/>
      <c r="F153" s="14" t="str">
        <f t="shared" si="11"/>
        <v/>
      </c>
      <c r="G153" s="77" t="str">
        <f t="shared" si="14"/>
        <v/>
      </c>
      <c r="H153" s="78"/>
      <c r="I153" s="16" t="str">
        <f t="shared" si="13"/>
        <v/>
      </c>
      <c r="J153" s="15" t="str">
        <f t="shared" si="12"/>
        <v/>
      </c>
      <c r="K153" s="126"/>
      <c r="L153" s="93"/>
    </row>
    <row r="154" spans="1:12" ht="15.6">
      <c r="A154" s="24" t="str">
        <v>Wheatland 2A</v>
      </c>
      <c r="B154" s="25" t="str">
        <v>NY</v>
      </c>
      <c r="C154" s="25" t="str">
        <f>Sites[[#This Row],[SOL'#]]</f>
        <v>SOL-10971</v>
      </c>
      <c r="D154" s="60"/>
      <c r="E154" s="10"/>
      <c r="F154" s="10" t="str">
        <f t="shared" si="11"/>
        <v/>
      </c>
      <c r="G154" s="61" t="str">
        <f t="shared" si="14"/>
        <v/>
      </c>
      <c r="H154" s="76"/>
      <c r="I154" s="76" t="str">
        <f t="shared" si="13"/>
        <v/>
      </c>
      <c r="J154" s="73" t="str">
        <f t="shared" si="12"/>
        <v/>
      </c>
      <c r="K154" s="63"/>
      <c r="L154" s="59"/>
    </row>
    <row r="155" spans="1:12" ht="15.6">
      <c r="A155" s="26" t="str">
        <v>Wheatland 2B</v>
      </c>
      <c r="B155" s="27" t="str">
        <v>NY</v>
      </c>
      <c r="C155" s="27" t="str">
        <f>Sites[[#This Row],[SOL'#]]</f>
        <v>SOL-10961</v>
      </c>
      <c r="D155" s="75"/>
      <c r="E155" s="14"/>
      <c r="F155" s="14" t="str">
        <f t="shared" si="11"/>
        <v/>
      </c>
      <c r="G155" s="77" t="str">
        <f t="shared" si="14"/>
        <v/>
      </c>
      <c r="H155" s="78"/>
      <c r="I155" s="16" t="str">
        <f t="shared" si="13"/>
        <v/>
      </c>
      <c r="J155" s="15" t="str">
        <f t="shared" si="12"/>
        <v/>
      </c>
      <c r="K155" s="38"/>
      <c r="L155" s="17"/>
    </row>
    <row r="156" spans="1:12" ht="15.6">
      <c r="A156" s="24" t="str">
        <v>Brickchurch</v>
      </c>
      <c r="B156" s="25" t="str">
        <v>NY</v>
      </c>
      <c r="C156" s="25" t="str">
        <f>Sites[[#This Row],[SOL'#]]</f>
        <v>SOL-10889</v>
      </c>
      <c r="D156" s="60"/>
      <c r="E156" s="10"/>
      <c r="F156" s="10" t="str">
        <f t="shared" si="11"/>
        <v/>
      </c>
      <c r="G156" s="61" t="str">
        <f t="shared" si="14"/>
        <v/>
      </c>
      <c r="H156" s="76"/>
      <c r="I156" s="76" t="str">
        <f t="shared" si="13"/>
        <v/>
      </c>
      <c r="J156" s="73" t="str">
        <f t="shared" si="12"/>
        <v/>
      </c>
      <c r="K156" s="63"/>
      <c r="L156" s="37"/>
    </row>
    <row r="157" spans="1:12" ht="15.6">
      <c r="A157" s="26" t="str">
        <v>McCarthy Solar</v>
      </c>
      <c r="B157" s="27" t="str">
        <v>NY</v>
      </c>
      <c r="C157" s="27" t="str">
        <f>Sites[[#This Row],[SOL'#]]</f>
        <v>SOL-10992</v>
      </c>
      <c r="D157" s="75"/>
      <c r="E157" s="14"/>
      <c r="F157" s="14" t="str">
        <f t="shared" si="11"/>
        <v/>
      </c>
      <c r="G157" s="77" t="str">
        <f t="shared" si="14"/>
        <v/>
      </c>
      <c r="H157" s="78"/>
      <c r="I157" s="16" t="str">
        <f t="shared" si="13"/>
        <v/>
      </c>
      <c r="J157" s="15" t="str">
        <f t="shared" si="12"/>
        <v/>
      </c>
      <c r="L157" s="17"/>
    </row>
    <row r="158" spans="1:12" ht="15.6">
      <c r="A158" s="24" t="str">
        <v>Costanza</v>
      </c>
      <c r="B158" s="25" t="str">
        <v>NY</v>
      </c>
      <c r="C158" s="25" t="str">
        <f>Sites[[#This Row],[SOL'#]]</f>
        <v>SOL-10907</v>
      </c>
      <c r="D158" s="60"/>
      <c r="E158" s="10"/>
      <c r="F158" s="10" t="str">
        <f t="shared" si="11"/>
        <v/>
      </c>
      <c r="G158" s="61" t="str">
        <f t="shared" si="14"/>
        <v/>
      </c>
      <c r="H158" s="76"/>
      <c r="I158" s="76" t="str">
        <f t="shared" si="13"/>
        <v/>
      </c>
      <c r="J158" s="73" t="str">
        <f t="shared" si="12"/>
        <v/>
      </c>
      <c r="K158" s="63"/>
      <c r="L158" s="37"/>
    </row>
    <row r="159" spans="1:12" ht="15.6">
      <c r="A159" s="26" t="str">
        <v>Lockenhurst Pond</v>
      </c>
      <c r="B159" s="27" t="str">
        <v>NY</v>
      </c>
      <c r="C159" s="27" t="str">
        <f>Sites[[#This Row],[SOL'#]]</f>
        <v>SOL-11000</v>
      </c>
      <c r="D159" s="75"/>
      <c r="E159" s="14"/>
      <c r="F159" s="14" t="str">
        <f t="shared" si="11"/>
        <v/>
      </c>
      <c r="G159" s="77" t="str">
        <f t="shared" si="14"/>
        <v/>
      </c>
      <c r="H159" s="78"/>
      <c r="I159" s="16" t="str">
        <f t="shared" si="13"/>
        <v/>
      </c>
      <c r="J159" s="15" t="str">
        <f t="shared" si="12"/>
        <v/>
      </c>
      <c r="K159" s="38"/>
      <c r="L159" s="17"/>
    </row>
    <row r="160" spans="1:12" ht="15.6">
      <c r="A160" s="24" t="str">
        <v>Drinkwater</v>
      </c>
      <c r="B160" s="25" t="str">
        <v>NY</v>
      </c>
      <c r="C160" s="25" t="str">
        <f>Sites[[#This Row],[SOL'#]]</f>
        <v>SOL-10896</v>
      </c>
      <c r="D160" s="60"/>
      <c r="E160" s="10"/>
      <c r="F160" s="10" t="str">
        <f t="shared" si="11"/>
        <v/>
      </c>
      <c r="G160" s="61" t="str">
        <f t="shared" si="14"/>
        <v/>
      </c>
      <c r="H160" s="76"/>
      <c r="I160" s="76" t="str">
        <f t="shared" si="13"/>
        <v/>
      </c>
      <c r="J160" s="73" t="str">
        <f t="shared" si="12"/>
        <v/>
      </c>
      <c r="K160" s="63"/>
      <c r="L160" s="37"/>
    </row>
    <row r="161" spans="1:12" ht="15.6">
      <c r="A161" s="26" t="str">
        <v>Altamont</v>
      </c>
      <c r="B161" s="27" t="str">
        <v>NY</v>
      </c>
      <c r="C161" s="27" t="s">
        <v>228</v>
      </c>
      <c r="D161" s="75"/>
      <c r="E161" s="14"/>
      <c r="F161" s="14" t="str">
        <f t="shared" si="11"/>
        <v/>
      </c>
      <c r="G161" s="77" t="str">
        <f t="shared" si="14"/>
        <v/>
      </c>
      <c r="H161" s="78"/>
      <c r="I161" s="16" t="str">
        <f t="shared" si="13"/>
        <v/>
      </c>
      <c r="J161" s="15" t="str">
        <f t="shared" si="12"/>
        <v/>
      </c>
      <c r="K161" s="38"/>
      <c r="L161" s="85"/>
    </row>
    <row r="162" spans="1:12" ht="15.6">
      <c r="A162" s="24" t="str">
        <v>Krumkill North</v>
      </c>
      <c r="B162" s="25" t="str">
        <v>NY</v>
      </c>
      <c r="C162" s="25" t="str">
        <f>Sites[[#This Row],[SOL'#]]</f>
        <v>SOL-11086</v>
      </c>
      <c r="D162" s="60"/>
      <c r="E162" s="10"/>
      <c r="F162" s="10" t="str">
        <f t="shared" ref="F162:F185" si="15">IF(AND(ISNUMBER(D162),ISNUMBER(E162)), D162-E162, "")</f>
        <v/>
      </c>
      <c r="G162" s="61" t="str">
        <f t="shared" ref="G162:G185" si="16">IFERROR(F162/E162, "")</f>
        <v/>
      </c>
      <c r="H162" s="76"/>
      <c r="I162" s="76" t="str">
        <f t="shared" ref="I162:I185" si="17">IF(AND(ISNUMBER(D162),ISNUMBER(H162)), D162-H162, "")</f>
        <v/>
      </c>
      <c r="J162" s="73" t="str">
        <f t="shared" ref="J162:J185" si="18">IFERROR(I162/H162, "")</f>
        <v/>
      </c>
      <c r="K162" s="63"/>
      <c r="L162" s="37"/>
    </row>
    <row r="163" spans="1:12" ht="15.6">
      <c r="A163" s="26" t="str">
        <v>Krumkill South</v>
      </c>
      <c r="B163" s="27" t="str">
        <v>NY</v>
      </c>
      <c r="C163" s="27" t="s">
        <v>469</v>
      </c>
      <c r="D163" s="75"/>
      <c r="E163" s="14"/>
      <c r="F163" s="14" t="str">
        <f t="shared" si="15"/>
        <v/>
      </c>
      <c r="G163" s="77" t="str">
        <f t="shared" si="16"/>
        <v/>
      </c>
      <c r="H163" s="78"/>
      <c r="I163" s="16" t="str">
        <f t="shared" si="17"/>
        <v/>
      </c>
      <c r="J163" s="15" t="str">
        <f t="shared" si="18"/>
        <v/>
      </c>
      <c r="K163" s="38"/>
      <c r="L163" s="85"/>
    </row>
    <row r="164" spans="1:12" ht="15.6">
      <c r="A164" s="24" t="str">
        <v>X092</v>
      </c>
      <c r="B164" s="25" t="str">
        <v>NY</v>
      </c>
      <c r="C164" s="25" t="str">
        <f>Sites[[#This Row],[SOL'#]]</f>
        <v>SOL-11189</v>
      </c>
      <c r="D164" s="60"/>
      <c r="E164" s="10"/>
      <c r="F164" s="10" t="str">
        <f t="shared" si="15"/>
        <v/>
      </c>
      <c r="G164" s="61" t="str">
        <f t="shared" si="16"/>
        <v/>
      </c>
      <c r="H164" s="76"/>
      <c r="I164" s="76" t="str">
        <f t="shared" si="17"/>
        <v/>
      </c>
      <c r="J164" s="73" t="str">
        <f t="shared" si="18"/>
        <v/>
      </c>
      <c r="K164" s="63"/>
      <c r="L164" s="37"/>
    </row>
    <row r="165" spans="1:12" ht="15.6">
      <c r="A165" s="26" t="str">
        <v>X093</v>
      </c>
      <c r="B165" s="27" t="str">
        <v>NY</v>
      </c>
      <c r="C165" s="27" t="s">
        <v>470</v>
      </c>
      <c r="D165" s="75"/>
      <c r="E165" s="14"/>
      <c r="F165" s="14" t="str">
        <f t="shared" si="15"/>
        <v/>
      </c>
      <c r="G165" s="77" t="str">
        <f t="shared" si="16"/>
        <v/>
      </c>
      <c r="H165" s="78"/>
      <c r="I165" s="16" t="str">
        <f t="shared" si="17"/>
        <v/>
      </c>
      <c r="J165" s="15" t="str">
        <f t="shared" si="18"/>
        <v/>
      </c>
      <c r="K165" s="38"/>
      <c r="L165" s="85"/>
    </row>
    <row r="166" spans="1:12" ht="15.6">
      <c r="A166" s="24" t="str">
        <v>X095</v>
      </c>
      <c r="B166" s="25" t="str">
        <v>NY</v>
      </c>
      <c r="C166" s="25" t="str">
        <f>Sites[[#This Row],[SOL'#]]</f>
        <v>SOL-10929</v>
      </c>
      <c r="D166" s="60"/>
      <c r="E166" s="10"/>
      <c r="F166" s="10" t="str">
        <f t="shared" si="15"/>
        <v/>
      </c>
      <c r="G166" s="61" t="str">
        <f t="shared" si="16"/>
        <v/>
      </c>
      <c r="H166" s="76"/>
      <c r="I166" s="76" t="str">
        <f t="shared" si="17"/>
        <v/>
      </c>
      <c r="J166" s="73" t="str">
        <f t="shared" si="18"/>
        <v/>
      </c>
      <c r="K166" s="63"/>
      <c r="L166" s="37"/>
    </row>
    <row r="167" spans="1:12" ht="15.6">
      <c r="A167" s="26" t="str">
        <v>X181</v>
      </c>
      <c r="B167" s="27" t="str">
        <v>NY</v>
      </c>
      <c r="C167" s="27" t="s">
        <v>471</v>
      </c>
      <c r="D167" s="75"/>
      <c r="E167" s="14"/>
      <c r="F167" s="14" t="str">
        <f t="shared" si="15"/>
        <v/>
      </c>
      <c r="G167" s="77" t="str">
        <f t="shared" si="16"/>
        <v/>
      </c>
      <c r="H167" s="78"/>
      <c r="I167" s="16" t="str">
        <f t="shared" si="17"/>
        <v/>
      </c>
      <c r="J167" s="15" t="str">
        <f t="shared" si="18"/>
        <v/>
      </c>
      <c r="K167" s="38"/>
      <c r="L167" s="85"/>
    </row>
    <row r="168" spans="1:12" ht="15.6">
      <c r="A168" s="24" t="str">
        <v>X415</v>
      </c>
      <c r="B168" s="25" t="str">
        <v>NY</v>
      </c>
      <c r="C168" s="25" t="str">
        <f>Sites[[#This Row],[SOL'#]]</f>
        <v>SOL-10429</v>
      </c>
      <c r="D168" s="60"/>
      <c r="E168" s="10"/>
      <c r="F168" s="10" t="str">
        <f t="shared" si="15"/>
        <v/>
      </c>
      <c r="G168" s="61" t="str">
        <f t="shared" si="16"/>
        <v/>
      </c>
      <c r="H168" s="76"/>
      <c r="I168" s="76" t="str">
        <f t="shared" si="17"/>
        <v/>
      </c>
      <c r="J168" s="73" t="str">
        <f t="shared" si="18"/>
        <v/>
      </c>
      <c r="K168" s="63"/>
      <c r="L168" s="37"/>
    </row>
    <row r="169" spans="1:12" ht="15.6">
      <c r="A169" s="26" t="str">
        <v>K198</v>
      </c>
      <c r="B169" s="27" t="str">
        <v>NY</v>
      </c>
      <c r="C169" s="27" t="s">
        <v>472</v>
      </c>
      <c r="D169" s="75"/>
      <c r="E169" s="14"/>
      <c r="F169" s="14" t="str">
        <f t="shared" si="15"/>
        <v/>
      </c>
      <c r="G169" s="77" t="str">
        <f t="shared" si="16"/>
        <v/>
      </c>
      <c r="H169" s="78"/>
      <c r="I169" s="16" t="str">
        <f t="shared" si="17"/>
        <v/>
      </c>
      <c r="J169" s="15" t="str">
        <f t="shared" si="18"/>
        <v/>
      </c>
      <c r="K169" s="38"/>
      <c r="L169" s="85"/>
    </row>
    <row r="170" spans="1:12" ht="15.6">
      <c r="A170" s="24" t="str">
        <v>K203</v>
      </c>
      <c r="B170" s="25" t="str">
        <v>NY</v>
      </c>
      <c r="C170" s="25" t="str">
        <f>Sites[[#This Row],[SOL'#]]</f>
        <v>SOL-11190</v>
      </c>
      <c r="D170" s="60"/>
      <c r="E170" s="10"/>
      <c r="F170" s="10" t="str">
        <f t="shared" si="15"/>
        <v/>
      </c>
      <c r="G170" s="61" t="str">
        <f t="shared" si="16"/>
        <v/>
      </c>
      <c r="H170" s="76"/>
      <c r="I170" s="76" t="str">
        <f t="shared" si="17"/>
        <v/>
      </c>
      <c r="J170" s="73" t="str">
        <f t="shared" si="18"/>
        <v/>
      </c>
      <c r="K170" s="63"/>
      <c r="L170" s="37"/>
    </row>
    <row r="171" spans="1:12" ht="15.6">
      <c r="A171" s="26" t="str">
        <v>K213</v>
      </c>
      <c r="B171" s="27" t="str">
        <v>NY</v>
      </c>
      <c r="C171" s="27" t="s">
        <v>473</v>
      </c>
      <c r="D171" s="75"/>
      <c r="E171" s="14"/>
      <c r="F171" s="14" t="str">
        <f t="shared" si="15"/>
        <v/>
      </c>
      <c r="G171" s="77" t="str">
        <f t="shared" si="16"/>
        <v/>
      </c>
      <c r="H171" s="78"/>
      <c r="I171" s="16" t="str">
        <f t="shared" si="17"/>
        <v/>
      </c>
      <c r="J171" s="15" t="str">
        <f t="shared" si="18"/>
        <v/>
      </c>
      <c r="K171" s="38"/>
      <c r="L171" s="85"/>
    </row>
    <row r="172" spans="1:12" ht="15.6">
      <c r="A172" s="24" t="str">
        <v>K217</v>
      </c>
      <c r="B172" s="25" t="str">
        <v>NY</v>
      </c>
      <c r="C172" s="25" t="str">
        <f>Sites[[#This Row],[SOL'#]]</f>
        <v>SOL-10933</v>
      </c>
      <c r="D172" s="60"/>
      <c r="E172" s="10"/>
      <c r="F172" s="10" t="str">
        <f t="shared" si="15"/>
        <v/>
      </c>
      <c r="G172" s="61" t="str">
        <f t="shared" si="16"/>
        <v/>
      </c>
      <c r="H172" s="76"/>
      <c r="I172" s="76" t="str">
        <f t="shared" si="17"/>
        <v/>
      </c>
      <c r="J172" s="73" t="str">
        <f t="shared" si="18"/>
        <v/>
      </c>
      <c r="K172" s="63"/>
      <c r="L172" s="37"/>
    </row>
    <row r="173" spans="1:12" ht="15.6">
      <c r="A173" s="26" t="str">
        <v>K307</v>
      </c>
      <c r="B173" s="27" t="str">
        <v>NY</v>
      </c>
      <c r="C173" s="27" t="s">
        <v>474</v>
      </c>
      <c r="D173" s="75"/>
      <c r="E173" s="14"/>
      <c r="F173" s="14" t="str">
        <f t="shared" si="15"/>
        <v/>
      </c>
      <c r="G173" s="77" t="str">
        <f t="shared" si="16"/>
        <v/>
      </c>
      <c r="H173" s="78"/>
      <c r="I173" s="16" t="str">
        <f t="shared" si="17"/>
        <v/>
      </c>
      <c r="J173" s="15" t="str">
        <f t="shared" si="18"/>
        <v/>
      </c>
      <c r="K173" s="38"/>
      <c r="L173" s="85"/>
    </row>
    <row r="174" spans="1:12" ht="15.6">
      <c r="A174" s="24" t="str">
        <v>K610</v>
      </c>
      <c r="B174" s="25" t="str">
        <v>NY</v>
      </c>
      <c r="C174" s="25" t="str">
        <f>Sites[[#This Row],[SOL'#]]</f>
        <v>SOL-11158</v>
      </c>
      <c r="D174" s="60"/>
      <c r="E174" s="10"/>
      <c r="F174" s="10" t="str">
        <f t="shared" si="15"/>
        <v/>
      </c>
      <c r="G174" s="61" t="str">
        <f t="shared" si="16"/>
        <v/>
      </c>
      <c r="H174" s="76"/>
      <c r="I174" s="76" t="str">
        <f t="shared" si="17"/>
        <v/>
      </c>
      <c r="J174" s="73" t="str">
        <f t="shared" si="18"/>
        <v/>
      </c>
      <c r="K174" s="63"/>
      <c r="L174" s="37"/>
    </row>
    <row r="175" spans="1:12" ht="15.6">
      <c r="A175" s="26" t="str">
        <v>M025</v>
      </c>
      <c r="B175" s="27" t="str">
        <v>NY</v>
      </c>
      <c r="C175" s="27" t="s">
        <v>475</v>
      </c>
      <c r="D175" s="75"/>
      <c r="E175" s="14"/>
      <c r="F175" s="14" t="str">
        <f t="shared" si="15"/>
        <v/>
      </c>
      <c r="G175" s="77" t="str">
        <f t="shared" si="16"/>
        <v/>
      </c>
      <c r="H175" s="78"/>
      <c r="I175" s="16" t="str">
        <f t="shared" si="17"/>
        <v/>
      </c>
      <c r="J175" s="15" t="str">
        <f t="shared" si="18"/>
        <v/>
      </c>
      <c r="K175" s="38"/>
      <c r="L175" s="85"/>
    </row>
    <row r="176" spans="1:12" ht="15.6">
      <c r="A176" s="24" t="str">
        <v>M028</v>
      </c>
      <c r="B176" s="25" t="str">
        <v>NY</v>
      </c>
      <c r="C176" s="25" t="str">
        <f>Sites[[#This Row],[SOL'#]]</f>
        <v>SOL-10381</v>
      </c>
      <c r="D176" s="60"/>
      <c r="E176" s="10"/>
      <c r="F176" s="10" t="str">
        <f t="shared" si="15"/>
        <v/>
      </c>
      <c r="G176" s="61" t="str">
        <f t="shared" si="16"/>
        <v/>
      </c>
      <c r="H176" s="76"/>
      <c r="I176" s="76" t="str">
        <f t="shared" si="17"/>
        <v/>
      </c>
      <c r="J176" s="73" t="str">
        <f t="shared" si="18"/>
        <v/>
      </c>
      <c r="K176" s="63"/>
      <c r="L176" s="37"/>
    </row>
    <row r="177" spans="1:12" ht="15.6">
      <c r="A177" s="26" t="str">
        <v>Q030</v>
      </c>
      <c r="B177" s="27" t="str">
        <v>NY</v>
      </c>
      <c r="C177" s="27" t="s">
        <v>476</v>
      </c>
      <c r="D177" s="75"/>
      <c r="E177" s="14"/>
      <c r="F177" s="14" t="str">
        <f t="shared" si="15"/>
        <v/>
      </c>
      <c r="G177" s="77" t="str">
        <f t="shared" si="16"/>
        <v/>
      </c>
      <c r="H177" s="78"/>
      <c r="I177" s="16" t="str">
        <f t="shared" si="17"/>
        <v/>
      </c>
      <c r="J177" s="15" t="str">
        <f t="shared" si="18"/>
        <v/>
      </c>
      <c r="K177" s="38"/>
      <c r="L177" s="85"/>
    </row>
    <row r="178" spans="1:12" ht="15.6">
      <c r="A178" s="24" t="str">
        <v>Q130</v>
      </c>
      <c r="B178" s="25" t="str">
        <v>NY</v>
      </c>
      <c r="C178" s="25" t="str">
        <f>Sites[[#This Row],[SOL'#]]</f>
        <v>SOL-10877</v>
      </c>
      <c r="D178" s="60"/>
      <c r="E178" s="10"/>
      <c r="F178" s="10" t="str">
        <f t="shared" si="15"/>
        <v/>
      </c>
      <c r="G178" s="61" t="str">
        <f t="shared" si="16"/>
        <v/>
      </c>
      <c r="H178" s="76"/>
      <c r="I178" s="76" t="str">
        <f t="shared" si="17"/>
        <v/>
      </c>
      <c r="J178" s="73" t="str">
        <f t="shared" si="18"/>
        <v/>
      </c>
      <c r="K178" s="63"/>
      <c r="L178" s="37"/>
    </row>
    <row r="179" spans="1:12" ht="15.6">
      <c r="A179" s="26" t="str">
        <v>Q196</v>
      </c>
      <c r="B179" s="27" t="str">
        <v>NY</v>
      </c>
      <c r="C179" s="27" t="s">
        <v>477</v>
      </c>
      <c r="D179" s="75"/>
      <c r="E179" s="14"/>
      <c r="F179" s="14" t="str">
        <f t="shared" si="15"/>
        <v/>
      </c>
      <c r="G179" s="77" t="str">
        <f t="shared" si="16"/>
        <v/>
      </c>
      <c r="H179" s="78"/>
      <c r="I179" s="16" t="str">
        <f t="shared" si="17"/>
        <v/>
      </c>
      <c r="J179" s="15" t="str">
        <f t="shared" si="18"/>
        <v/>
      </c>
      <c r="K179" s="38"/>
      <c r="L179" s="85"/>
    </row>
    <row r="180" spans="1:12" ht="15.6">
      <c r="A180" s="24" t="str">
        <v>Q220</v>
      </c>
      <c r="B180" s="25" t="str">
        <v>NY</v>
      </c>
      <c r="C180" s="25" t="str">
        <f>Sites[[#This Row],[SOL'#]]</f>
        <v>SOL-10873</v>
      </c>
      <c r="D180" s="60"/>
      <c r="E180" s="10"/>
      <c r="F180" s="10" t="str">
        <f t="shared" si="15"/>
        <v/>
      </c>
      <c r="G180" s="61" t="str">
        <f t="shared" si="16"/>
        <v/>
      </c>
      <c r="H180" s="76"/>
      <c r="I180" s="76" t="str">
        <f t="shared" si="17"/>
        <v/>
      </c>
      <c r="J180" s="73" t="str">
        <f t="shared" si="18"/>
        <v/>
      </c>
      <c r="K180" s="63"/>
      <c r="L180" s="37"/>
    </row>
    <row r="181" spans="1:12" ht="15.6">
      <c r="A181" s="26" t="str">
        <v>Q205</v>
      </c>
      <c r="B181" s="27" t="str">
        <v>NY</v>
      </c>
      <c r="C181" s="27" t="s">
        <v>478</v>
      </c>
      <c r="D181" s="75"/>
      <c r="E181" s="14"/>
      <c r="F181" s="14" t="str">
        <f t="shared" si="15"/>
        <v/>
      </c>
      <c r="G181" s="77" t="str">
        <f t="shared" si="16"/>
        <v/>
      </c>
      <c r="H181" s="78"/>
      <c r="I181" s="16" t="str">
        <f t="shared" si="17"/>
        <v/>
      </c>
      <c r="J181" s="15" t="str">
        <f t="shared" si="18"/>
        <v/>
      </c>
      <c r="K181" s="38"/>
      <c r="L181" s="85"/>
    </row>
    <row r="182" spans="1:12" ht="15.6">
      <c r="A182" s="24" t="str">
        <v>Q400</v>
      </c>
      <c r="B182" s="25" t="str">
        <v>NY</v>
      </c>
      <c r="C182" s="25" t="str">
        <f>Sites[[#This Row],[SOL'#]]</f>
        <v>SOL-10871</v>
      </c>
      <c r="D182" s="60"/>
      <c r="E182" s="10"/>
      <c r="F182" s="10" t="str">
        <f t="shared" si="15"/>
        <v/>
      </c>
      <c r="G182" s="61" t="str">
        <f t="shared" si="16"/>
        <v/>
      </c>
      <c r="H182" s="76"/>
      <c r="I182" s="76" t="str">
        <f t="shared" si="17"/>
        <v/>
      </c>
      <c r="J182" s="73" t="str">
        <f t="shared" si="18"/>
        <v/>
      </c>
      <c r="K182" s="63"/>
      <c r="L182" s="37"/>
    </row>
    <row r="183" spans="1:12" ht="15.6">
      <c r="A183" s="26" t="str">
        <v>R003</v>
      </c>
      <c r="B183" s="27" t="str">
        <v>NY</v>
      </c>
      <c r="C183" s="27" t="s">
        <v>479</v>
      </c>
      <c r="D183" s="75"/>
      <c r="E183" s="14"/>
      <c r="F183" s="14" t="str">
        <f t="shared" si="15"/>
        <v/>
      </c>
      <c r="G183" s="77" t="str">
        <f t="shared" si="16"/>
        <v/>
      </c>
      <c r="H183" s="78"/>
      <c r="I183" s="16" t="str">
        <f t="shared" si="17"/>
        <v/>
      </c>
      <c r="J183" s="15" t="str">
        <f t="shared" si="18"/>
        <v/>
      </c>
      <c r="K183" s="38"/>
      <c r="L183" s="85"/>
    </row>
    <row r="184" spans="1:12" ht="15.6">
      <c r="A184" s="24" t="str">
        <v>R007</v>
      </c>
      <c r="B184" s="25" t="str">
        <v>NY</v>
      </c>
      <c r="C184" s="25" t="str">
        <f>Sites[[#This Row],[SOL'#]]</f>
        <v>SOL-10417</v>
      </c>
      <c r="D184" s="60"/>
      <c r="E184" s="10"/>
      <c r="F184" s="10" t="str">
        <f t="shared" si="15"/>
        <v/>
      </c>
      <c r="G184" s="61" t="str">
        <f t="shared" si="16"/>
        <v/>
      </c>
      <c r="H184" s="76"/>
      <c r="I184" s="76" t="str">
        <f t="shared" si="17"/>
        <v/>
      </c>
      <c r="J184" s="73" t="str">
        <f t="shared" si="18"/>
        <v/>
      </c>
      <c r="K184" s="63"/>
      <c r="L184" s="37"/>
    </row>
    <row r="185" spans="1:12" ht="15.6">
      <c r="A185" s="26" t="str">
        <v>BK16</v>
      </c>
      <c r="B185" s="27" t="str">
        <v>NY</v>
      </c>
      <c r="C185" s="27" t="s">
        <v>480</v>
      </c>
      <c r="D185" s="75"/>
      <c r="E185" s="14"/>
      <c r="F185" s="14" t="str">
        <f t="shared" si="15"/>
        <v/>
      </c>
      <c r="G185" s="77" t="str">
        <f t="shared" si="16"/>
        <v/>
      </c>
      <c r="H185" s="78"/>
      <c r="I185" s="16" t="str">
        <f t="shared" si="17"/>
        <v/>
      </c>
      <c r="J185" s="15" t="str">
        <f t="shared" si="18"/>
        <v/>
      </c>
      <c r="K185" s="38"/>
      <c r="L185" s="85"/>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85 J4:J185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200"/>
  <sheetViews>
    <sheetView zoomScale="60" zoomScaleNormal="60" workbookViewId="0">
      <pane xSplit="2" ySplit="3" topLeftCell="C4" activePane="bottomRight" state="frozen"/>
      <selection pane="bottomRight" activeCell="J191" sqref="J191"/>
      <selection pane="bottomLeft" activeCell="K164" sqref="K164"/>
      <selection pane="topRight" activeCell="K164" sqref="K164"/>
    </sheetView>
  </sheetViews>
  <sheetFormatPr defaultRowHeight="13.9"/>
  <cols>
    <col min="1" max="1" width="35.85546875" bestFit="1" customWidth="1"/>
    <col min="2" max="2" width="16"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49" t="str" cm="1">
        <f t="array" ref="A1">portfolio</f>
        <v>Generate Capital</v>
      </c>
      <c r="B1" s="149"/>
      <c r="C1" s="149"/>
      <c r="D1" s="149"/>
      <c r="E1" s="150" t="s">
        <v>493</v>
      </c>
      <c r="F1" s="150"/>
      <c r="G1" s="150"/>
      <c r="H1" s="148" t="s">
        <v>494</v>
      </c>
      <c r="I1" s="148"/>
      <c r="J1" s="148"/>
      <c r="K1" s="4"/>
      <c r="L1" s="4"/>
    </row>
    <row r="2" spans="1:12" ht="19.5" customHeight="1">
      <c r="A2" s="151" t="s">
        <v>2</v>
      </c>
      <c r="B2" s="151"/>
      <c r="C2" s="65"/>
      <c r="D2" s="5">
        <f>SUM(D4:D200)</f>
        <v>0</v>
      </c>
      <c r="E2" s="5">
        <f>SUM(E4:E100)</f>
        <v>0</v>
      </c>
      <c r="F2" s="5">
        <f>D2-E2</f>
        <v>0</v>
      </c>
      <c r="G2" s="6">
        <f>IFERROR(F2/E2, 0)</f>
        <v>0</v>
      </c>
      <c r="H2" s="5">
        <f>SUM(H4:H200)</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3"/>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57"/>
      <c r="L5" s="126"/>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3"/>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126"/>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3"/>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9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3"/>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100"/>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3"/>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126"/>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3"/>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126"/>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3"/>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126"/>
    </row>
    <row r="18" spans="1:12" ht="24" customHeight="1">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9"/>
      <c r="L18" s="53"/>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7"/>
        <v/>
      </c>
      <c r="K19" s="57"/>
      <c r="L19" s="99"/>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7"/>
        <v/>
      </c>
      <c r="K20" s="59"/>
      <c r="L20" s="53"/>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7"/>
        <v/>
      </c>
      <c r="K21" s="57"/>
      <c r="L21" s="99"/>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7"/>
        <v/>
      </c>
      <c r="K22" s="59"/>
      <c r="L22" s="53"/>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7"/>
        <v/>
      </c>
      <c r="K23" s="57"/>
      <c r="L23" s="99"/>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7"/>
        <v/>
      </c>
      <c r="K24" s="59"/>
      <c r="L24" s="53"/>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7"/>
        <v/>
      </c>
      <c r="K25" s="57"/>
      <c r="L25" s="99"/>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7"/>
        <v/>
      </c>
      <c r="K26" s="59"/>
      <c r="L26" s="53"/>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7"/>
        <v/>
      </c>
      <c r="K27" s="57"/>
      <c r="L27" s="99"/>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7"/>
        <v/>
      </c>
      <c r="K28" s="59"/>
      <c r="L28" s="53"/>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7"/>
        <v/>
      </c>
      <c r="K29" s="57"/>
      <c r="L29" s="126"/>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7"/>
        <v/>
      </c>
      <c r="K30" s="59"/>
      <c r="L30" s="53"/>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7"/>
        <v/>
      </c>
      <c r="K31" s="57"/>
      <c r="L31" s="126"/>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7"/>
        <v/>
      </c>
      <c r="K32" s="59"/>
      <c r="L32" s="53"/>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7"/>
        <v/>
      </c>
      <c r="K33" s="57"/>
      <c r="L33" s="99"/>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7"/>
        <v/>
      </c>
      <c r="K34" s="59"/>
      <c r="L34" s="53"/>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7"/>
        <v/>
      </c>
      <c r="K35" s="57"/>
      <c r="L35" s="99"/>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7"/>
        <v/>
      </c>
      <c r="K36" s="59"/>
      <c r="L36" s="53"/>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7"/>
        <v/>
      </c>
      <c r="K37" s="57"/>
      <c r="L37" s="126"/>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7"/>
        <v/>
      </c>
      <c r="K38" s="59"/>
      <c r="L38" s="53"/>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7"/>
        <v/>
      </c>
      <c r="K39" s="57"/>
      <c r="L39" s="99"/>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7"/>
        <v/>
      </c>
      <c r="K40" s="59"/>
      <c r="L40" s="53"/>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7"/>
        <v/>
      </c>
      <c r="K41" s="57"/>
      <c r="L41" s="126"/>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7"/>
        <v/>
      </c>
      <c r="K42" s="59"/>
      <c r="L42" s="53"/>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7"/>
        <v/>
      </c>
      <c r="K43" s="57"/>
      <c r="L43" s="99"/>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7"/>
        <v/>
      </c>
      <c r="K44" s="59"/>
      <c r="L44" s="53"/>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7"/>
        <v/>
      </c>
      <c r="K45" s="57"/>
      <c r="L45" s="99"/>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7"/>
        <v/>
      </c>
      <c r="K46" s="59"/>
      <c r="L46" s="53"/>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7"/>
        <v/>
      </c>
      <c r="K47" s="57"/>
      <c r="L47" s="126"/>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7"/>
        <v/>
      </c>
      <c r="K48" s="59"/>
      <c r="L48" s="53"/>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7"/>
        <v/>
      </c>
      <c r="K49" s="57"/>
      <c r="L49" s="99"/>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7"/>
        <v/>
      </c>
      <c r="K50" s="59"/>
      <c r="L50" s="53"/>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7"/>
        <v/>
      </c>
      <c r="K51" s="57"/>
      <c r="L51" s="126"/>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7"/>
        <v/>
      </c>
      <c r="K52" s="82"/>
      <c r="L52" s="122"/>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7"/>
        <v/>
      </c>
      <c r="K53" s="57"/>
      <c r="L53" s="126"/>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7"/>
        <v/>
      </c>
      <c r="K54" s="59"/>
      <c r="L54" s="53"/>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7"/>
        <v/>
      </c>
      <c r="K55" s="57"/>
      <c r="L55" s="99"/>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7"/>
        <v/>
      </c>
      <c r="K56" s="59"/>
      <c r="L56" s="53"/>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7"/>
        <v/>
      </c>
      <c r="K57" s="57"/>
      <c r="L57" s="99"/>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7"/>
        <v/>
      </c>
      <c r="K58" s="59"/>
      <c r="L58" s="53"/>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7"/>
        <v/>
      </c>
      <c r="K59" s="57"/>
      <c r="L59" s="99"/>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7"/>
        <v/>
      </c>
      <c r="K60" s="59"/>
      <c r="L60" s="53"/>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si="7"/>
        <v/>
      </c>
      <c r="K61" s="57"/>
      <c r="L61" s="99"/>
    </row>
    <row r="62" spans="1:12" ht="15.6">
      <c r="A62" s="24" t="str">
        <v>QMOA</v>
      </c>
      <c r="B62" s="25" t="str">
        <v>NY</v>
      </c>
      <c r="C62" s="25" t="str">
        <f>Sites[[#This Row],[SOL'#]]</f>
        <v>SOL-10415</v>
      </c>
      <c r="D62" s="20"/>
      <c r="E62" s="10"/>
      <c r="F62" s="10" t="str">
        <f t="shared" si="4"/>
        <v/>
      </c>
      <c r="G62" s="11" t="str">
        <f t="shared" si="5"/>
        <v/>
      </c>
      <c r="H62" s="12"/>
      <c r="I62" s="12" t="str">
        <f t="shared" si="6"/>
        <v/>
      </c>
      <c r="J62" s="13" t="str">
        <f t="shared" si="7"/>
        <v/>
      </c>
      <c r="K62" s="59"/>
      <c r="L62" s="53"/>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57"/>
      <c r="L63" s="101"/>
    </row>
    <row r="64" spans="1:12" ht="15.6">
      <c r="A64" s="24" t="str">
        <v>X026</v>
      </c>
      <c r="B64" s="25" t="str">
        <v>NY</v>
      </c>
      <c r="C64" s="25" t="str">
        <f>Sites[[#This Row],[SOL'#]]</f>
        <v>SOL-10420</v>
      </c>
      <c r="D64" s="20"/>
      <c r="E64" s="10"/>
      <c r="F64" s="10" t="str">
        <f t="shared" si="4"/>
        <v/>
      </c>
      <c r="G64" s="11" t="str">
        <f t="shared" si="5"/>
        <v/>
      </c>
      <c r="H64" s="12"/>
      <c r="I64" s="12" t="str">
        <f t="shared" si="6"/>
        <v/>
      </c>
      <c r="J64" s="13" t="str">
        <f t="shared" si="7"/>
        <v/>
      </c>
      <c r="K64" s="59"/>
      <c r="L64" s="53"/>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57"/>
      <c r="L65" s="126"/>
    </row>
    <row r="66" spans="1:12" ht="15.6">
      <c r="A66" s="24" t="str">
        <v>X117</v>
      </c>
      <c r="B66" s="25" t="str">
        <v>NY</v>
      </c>
      <c r="C66" s="25" t="str">
        <f>Sites[[#This Row],[SOL'#]]</f>
        <v>SOL-10422</v>
      </c>
      <c r="D66" s="20"/>
      <c r="E66" s="10"/>
      <c r="F66" s="10" t="str">
        <f t="shared" si="4"/>
        <v/>
      </c>
      <c r="G66" s="11" t="str">
        <f t="shared" si="5"/>
        <v/>
      </c>
      <c r="H66" s="12"/>
      <c r="I66" s="12" t="str">
        <f t="shared" si="6"/>
        <v/>
      </c>
      <c r="J66" s="13" t="str">
        <f t="shared" si="7"/>
        <v/>
      </c>
      <c r="K66" s="59"/>
      <c r="L66" s="53"/>
    </row>
    <row r="67" spans="1:12" ht="15.6">
      <c r="A67" s="26" t="str">
        <v>X125</v>
      </c>
      <c r="B67" s="27" t="str">
        <v>NY</v>
      </c>
      <c r="C67" s="27" t="str">
        <f>Sites[[#This Row],[SOL'#]]</f>
        <v>SOL-10423</v>
      </c>
      <c r="D67" s="9"/>
      <c r="E67" s="14"/>
      <c r="F67" s="14" t="str">
        <f t="shared" si="4"/>
        <v/>
      </c>
      <c r="G67" s="15" t="str">
        <f t="shared" si="5"/>
        <v/>
      </c>
      <c r="H67" s="16"/>
      <c r="I67" s="16" t="str">
        <f t="shared" si="6"/>
        <v/>
      </c>
      <c r="J67" s="15" t="str">
        <f t="shared" si="7"/>
        <v/>
      </c>
      <c r="K67" s="57"/>
      <c r="L67" s="99"/>
    </row>
    <row r="68" spans="1:12" ht="15.6">
      <c r="A68" s="24" t="str">
        <v>X134</v>
      </c>
      <c r="B68" s="25" t="str">
        <v>NY</v>
      </c>
      <c r="C68" s="25" t="str">
        <f>Sites[[#This Row],[SOL'#]]</f>
        <v>SOL-10424</v>
      </c>
      <c r="D68" s="20"/>
      <c r="E68" s="10"/>
      <c r="F68" s="10" t="str">
        <f t="shared" si="4"/>
        <v/>
      </c>
      <c r="G68" s="11" t="str">
        <f t="shared" si="5"/>
        <v/>
      </c>
      <c r="H68" s="12"/>
      <c r="I68" s="12" t="str">
        <f t="shared" si="6"/>
        <v/>
      </c>
      <c r="J68" s="13" t="str">
        <f t="shared" si="7"/>
        <v/>
      </c>
      <c r="K68" s="59"/>
      <c r="L68" s="53"/>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57"/>
      <c r="L69" s="126"/>
    </row>
    <row r="70" spans="1:12" ht="15.6">
      <c r="A70" s="24" t="str">
        <v>X139 JHS 222</v>
      </c>
      <c r="B70" s="25" t="str">
        <v>NY</v>
      </c>
      <c r="C70" s="25" t="str">
        <f>Sites[[#This Row],[SOL'#]]</f>
        <v>SOL-10426</v>
      </c>
      <c r="D70" s="20"/>
      <c r="E70" s="10"/>
      <c r="F70" s="10" t="str">
        <f t="shared" si="4"/>
        <v/>
      </c>
      <c r="G70" s="11" t="str">
        <f t="shared" si="5"/>
        <v/>
      </c>
      <c r="H70" s="12"/>
      <c r="I70" s="12" t="str">
        <f t="shared" si="6"/>
        <v/>
      </c>
      <c r="J70" s="13" t="str">
        <f t="shared" si="7"/>
        <v/>
      </c>
      <c r="K70" s="59"/>
      <c r="L70" s="53"/>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57"/>
      <c r="L71" s="99"/>
    </row>
    <row r="72" spans="1:12" ht="15.6">
      <c r="A72" s="24" t="str">
        <v>X166</v>
      </c>
      <c r="B72" s="25" t="str">
        <v>NY</v>
      </c>
      <c r="C72" s="25" t="str">
        <f>Sites[[#This Row],[SOL'#]]</f>
        <v>SOL-10427</v>
      </c>
      <c r="D72" s="20"/>
      <c r="E72" s="10"/>
      <c r="F72" s="10" t="str">
        <f t="shared" si="4"/>
        <v/>
      </c>
      <c r="G72" s="11" t="str">
        <f t="shared" si="5"/>
        <v/>
      </c>
      <c r="H72" s="12"/>
      <c r="I72" s="12" t="str">
        <f t="shared" si="6"/>
        <v/>
      </c>
      <c r="J72" s="13" t="str">
        <f t="shared" si="7"/>
        <v/>
      </c>
      <c r="K72" s="59"/>
      <c r="L72" s="53"/>
    </row>
    <row r="73" spans="1:12" ht="15.6">
      <c r="A73" s="26" t="str">
        <v>Murphy</v>
      </c>
      <c r="B73" s="27" t="str">
        <v>MN</v>
      </c>
      <c r="C73" s="27" t="str">
        <f>Sites[[#This Row],[SOL'#]]</f>
        <v>SOL-10094</v>
      </c>
      <c r="D73" s="9"/>
      <c r="E73" s="14"/>
      <c r="F73" s="14" t="str">
        <f t="shared" si="4"/>
        <v/>
      </c>
      <c r="G73" s="15" t="str">
        <f t="shared" si="5"/>
        <v/>
      </c>
      <c r="H73" s="16"/>
      <c r="I73" s="16" t="str">
        <f t="shared" si="6"/>
        <v/>
      </c>
      <c r="J73" s="15" t="str">
        <f t="shared" si="7"/>
        <v/>
      </c>
      <c r="K73" s="57"/>
      <c r="L73" s="99"/>
    </row>
    <row r="74" spans="1:12" ht="15.6">
      <c r="A74" s="24" t="str">
        <v>Terning</v>
      </c>
      <c r="B74" s="25" t="str">
        <v>MN</v>
      </c>
      <c r="C74" s="25" t="str">
        <f>Sites[[#This Row],[SOL'#]]</f>
        <v>SOL-10093</v>
      </c>
      <c r="D74" s="20"/>
      <c r="E74" s="10"/>
      <c r="F74" s="10" t="str">
        <f t="shared" si="4"/>
        <v/>
      </c>
      <c r="G74" s="11" t="str">
        <f t="shared" si="5"/>
        <v/>
      </c>
      <c r="H74" s="12"/>
      <c r="I74" s="12" t="str">
        <f t="shared" si="6"/>
        <v/>
      </c>
      <c r="J74" s="13" t="str">
        <f t="shared" si="7"/>
        <v/>
      </c>
      <c r="K74" s="59"/>
      <c r="L74" s="53"/>
    </row>
    <row r="75" spans="1:12" ht="15.6">
      <c r="A75" s="26" t="str">
        <v>Boas Road 04</v>
      </c>
      <c r="B75" s="27" t="str">
        <v>NY</v>
      </c>
      <c r="C75" s="27" t="str">
        <f>Sites[[#This Row],[SOL'#]]</f>
        <v>SOL-10908</v>
      </c>
      <c r="D75" s="9"/>
      <c r="E75" s="14"/>
      <c r="F75" s="14" t="str">
        <f t="shared" si="4"/>
        <v/>
      </c>
      <c r="G75" s="15" t="str">
        <f t="shared" si="5"/>
        <v/>
      </c>
      <c r="H75" s="16"/>
      <c r="I75" s="16" t="str">
        <f t="shared" si="6"/>
        <v/>
      </c>
      <c r="J75" s="15" t="str">
        <f t="shared" si="7"/>
        <v/>
      </c>
      <c r="K75" s="57"/>
      <c r="L75" s="99"/>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13" t="str">
        <f t="shared" si="7"/>
        <v/>
      </c>
      <c r="K76" s="59"/>
      <c r="L76" s="53"/>
    </row>
    <row r="77" spans="1:12" ht="42" customHeight="1">
      <c r="A77" s="26" t="str">
        <v>Pool Brook Road</v>
      </c>
      <c r="B77" s="27" t="str">
        <v>NY</v>
      </c>
      <c r="C77" s="27" t="str">
        <f>Sites[[#This Row],[SOL'#]]</f>
        <v>SOL-10909</v>
      </c>
      <c r="D77" s="9"/>
      <c r="E77" s="14"/>
      <c r="F77" s="14" t="str">
        <f t="shared" si="4"/>
        <v/>
      </c>
      <c r="G77" s="15" t="str">
        <f t="shared" si="5"/>
        <v/>
      </c>
      <c r="H77" s="16"/>
      <c r="I77" s="16" t="str">
        <f t="shared" si="6"/>
        <v/>
      </c>
      <c r="J77" s="15" t="str">
        <f t="shared" si="7"/>
        <v/>
      </c>
      <c r="K77" s="57"/>
      <c r="L77" s="126"/>
    </row>
    <row r="78" spans="1:12" ht="15.6">
      <c r="A78" s="24" t="str">
        <v>Sackett Lake</v>
      </c>
      <c r="B78" s="25" t="str">
        <v>NY</v>
      </c>
      <c r="C78" s="25" t="str">
        <f>Sites[[#This Row],[SOL'#]]</f>
        <v>SOL-10910</v>
      </c>
      <c r="D78" s="20"/>
      <c r="E78" s="10"/>
      <c r="F78" s="10" t="str">
        <f t="shared" si="4"/>
        <v/>
      </c>
      <c r="G78" s="11" t="str">
        <f t="shared" si="5"/>
        <v/>
      </c>
      <c r="H78" s="12"/>
      <c r="I78" s="12" t="str">
        <f t="shared" si="6"/>
        <v/>
      </c>
      <c r="J78" s="13" t="str">
        <f t="shared" si="7"/>
        <v/>
      </c>
      <c r="K78" s="59"/>
      <c r="L78" s="53"/>
    </row>
    <row r="79" spans="1:12" ht="15.6">
      <c r="A79" s="26" t="str">
        <v>Burritt Road</v>
      </c>
      <c r="B79" s="27" t="str">
        <v>NY</v>
      </c>
      <c r="C79" s="27" t="str">
        <f>Sites[[#This Row],[SOL'#]]</f>
        <v>SOL-10913</v>
      </c>
      <c r="D79" s="9"/>
      <c r="E79" s="14"/>
      <c r="F79" s="14" t="str">
        <f t="shared" si="4"/>
        <v/>
      </c>
      <c r="G79" s="15" t="str">
        <f t="shared" si="5"/>
        <v/>
      </c>
      <c r="H79" s="16"/>
      <c r="I79" s="16" t="str">
        <f t="shared" si="6"/>
        <v/>
      </c>
      <c r="J79" s="15" t="str">
        <f t="shared" si="7"/>
        <v/>
      </c>
      <c r="K79" s="57"/>
      <c r="L79" s="99"/>
    </row>
    <row r="80" spans="1:12" ht="15.6">
      <c r="A80" s="24" t="str">
        <v>Villa Roma 1</v>
      </c>
      <c r="B80" s="25" t="str">
        <v>NY</v>
      </c>
      <c r="C80" s="25" t="str">
        <f>Sites[[#This Row],[SOL'#]]</f>
        <v>SOL-10914</v>
      </c>
      <c r="D80" s="20"/>
      <c r="E80" s="10"/>
      <c r="F80" s="10" t="str">
        <f t="shared" si="4"/>
        <v/>
      </c>
      <c r="G80" s="11" t="str">
        <f t="shared" si="5"/>
        <v/>
      </c>
      <c r="H80" s="12"/>
      <c r="I80" s="12" t="str">
        <f t="shared" si="6"/>
        <v/>
      </c>
      <c r="J80" s="13" t="str">
        <f t="shared" si="7"/>
        <v/>
      </c>
      <c r="K80" s="59"/>
      <c r="L80" s="53"/>
    </row>
    <row r="81" spans="1:12" ht="94.5" customHeight="1">
      <c r="A81" s="26" t="str">
        <v>Villa Roma 2</v>
      </c>
      <c r="B81" s="27" t="str">
        <v>NY</v>
      </c>
      <c r="C81" s="27" t="str">
        <f>Sites[[#This Row],[SOL'#]]</f>
        <v>SOL-10915</v>
      </c>
      <c r="D81" s="9"/>
      <c r="E81" s="14"/>
      <c r="F81" s="14" t="str">
        <f t="shared" si="4"/>
        <v/>
      </c>
      <c r="G81" s="15" t="str">
        <f t="shared" si="5"/>
        <v/>
      </c>
      <c r="H81" s="16"/>
      <c r="I81" s="16" t="str">
        <f t="shared" si="6"/>
        <v/>
      </c>
      <c r="J81" s="15" t="str">
        <f t="shared" si="7"/>
        <v/>
      </c>
      <c r="K81" s="57"/>
      <c r="L81" s="101"/>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9"/>
      <c r="L82" s="53"/>
    </row>
    <row r="83" spans="1:12" ht="121.5" customHeight="1">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57"/>
      <c r="L83" s="126"/>
    </row>
    <row r="84" spans="1:12" ht="15.6">
      <c r="A84" s="24" t="str">
        <v>Washington 4</v>
      </c>
      <c r="B84" s="25" t="str">
        <v>NY</v>
      </c>
      <c r="C84" s="25" t="str">
        <f>Sites[[#This Row],[SOL'#]]</f>
        <v>SOL-10829</v>
      </c>
      <c r="D84" s="20"/>
      <c r="E84" s="10"/>
      <c r="F84" s="10" t="str">
        <f t="shared" si="8"/>
        <v/>
      </c>
      <c r="G84" s="11" t="str">
        <f t="shared" si="9"/>
        <v/>
      </c>
      <c r="H84" s="12"/>
      <c r="I84" s="12" t="str">
        <f t="shared" si="10"/>
        <v/>
      </c>
      <c r="J84" s="13" t="str">
        <f t="shared" si="11"/>
        <v/>
      </c>
      <c r="K84" s="59"/>
      <c r="L84" s="53"/>
    </row>
    <row r="85" spans="1:12" ht="15.6">
      <c r="A85" s="26" t="str">
        <v>Big Tree</v>
      </c>
      <c r="B85" s="27" t="str">
        <v>NY</v>
      </c>
      <c r="C85" s="27" t="str">
        <f>Sites[[#This Row],[SOL'#]]</f>
        <v>SOL-10966</v>
      </c>
      <c r="D85" s="9"/>
      <c r="E85" s="14"/>
      <c r="F85" s="14" t="str">
        <f t="shared" si="8"/>
        <v/>
      </c>
      <c r="G85" s="15" t="str">
        <f t="shared" si="9"/>
        <v/>
      </c>
      <c r="H85" s="16"/>
      <c r="I85" s="16" t="str">
        <f t="shared" si="10"/>
        <v/>
      </c>
      <c r="J85" s="15" t="str">
        <f t="shared" si="11"/>
        <v/>
      </c>
      <c r="K85" s="57"/>
      <c r="L85" s="99"/>
    </row>
    <row r="86" spans="1:12" ht="15.6">
      <c r="A86" s="24" t="str">
        <v>Canoga</v>
      </c>
      <c r="B86" s="25" t="str">
        <v>NY</v>
      </c>
      <c r="C86" s="25" t="str">
        <f>Sites[[#This Row],[SOL'#]]</f>
        <v>SOL-10965</v>
      </c>
      <c r="D86" s="20"/>
      <c r="E86" s="10"/>
      <c r="F86" s="10" t="str">
        <f t="shared" si="8"/>
        <v/>
      </c>
      <c r="G86" s="11" t="str">
        <f t="shared" si="9"/>
        <v/>
      </c>
      <c r="H86" s="12"/>
      <c r="I86" s="12" t="str">
        <f t="shared" si="10"/>
        <v/>
      </c>
      <c r="J86" s="13" t="str">
        <f t="shared" si="11"/>
        <v/>
      </c>
      <c r="K86" s="59"/>
      <c r="L86" s="53"/>
    </row>
    <row r="87" spans="1:12" ht="15.6">
      <c r="A87" s="26" t="str">
        <v>County Route 84</v>
      </c>
      <c r="B87" s="27" t="str">
        <v>NY</v>
      </c>
      <c r="C87" s="27" t="str">
        <f>Sites[[#This Row],[SOL'#]]</f>
        <v>SOL-10967</v>
      </c>
      <c r="D87" s="9"/>
      <c r="E87" s="14"/>
      <c r="F87" s="14" t="str">
        <f t="shared" si="8"/>
        <v/>
      </c>
      <c r="G87" s="15" t="str">
        <f t="shared" si="9"/>
        <v/>
      </c>
      <c r="H87" s="16"/>
      <c r="I87" s="16" t="str">
        <f t="shared" si="10"/>
        <v/>
      </c>
      <c r="J87" s="15" t="str">
        <f t="shared" si="11"/>
        <v/>
      </c>
      <c r="K87" s="57"/>
      <c r="L87" s="101"/>
    </row>
    <row r="88" spans="1:12" ht="15.6">
      <c r="A88" s="24" t="str">
        <v>Donati</v>
      </c>
      <c r="B88" s="25" t="str">
        <v>NY</v>
      </c>
      <c r="C88" s="25" t="str">
        <f>Sites[[#This Row],[SOL'#]]</f>
        <v>SOL-10968</v>
      </c>
      <c r="D88" s="20"/>
      <c r="E88" s="10"/>
      <c r="F88" s="10" t="str">
        <f t="shared" si="8"/>
        <v/>
      </c>
      <c r="G88" s="11" t="str">
        <f t="shared" si="9"/>
        <v/>
      </c>
      <c r="H88" s="12"/>
      <c r="I88" s="12" t="str">
        <f t="shared" si="10"/>
        <v/>
      </c>
      <c r="J88" s="13" t="str">
        <f t="shared" si="11"/>
        <v/>
      </c>
      <c r="K88" s="59"/>
      <c r="L88" s="53"/>
    </row>
    <row r="89" spans="1:12" ht="15.6">
      <c r="A89" s="26" t="str">
        <v>Henrietta</v>
      </c>
      <c r="B89" s="27" t="str">
        <v>NY</v>
      </c>
      <c r="C89" s="27" t="str">
        <f>Sites[[#This Row],[SOL'#]]</f>
        <v>SOL-10972</v>
      </c>
      <c r="D89" s="9"/>
      <c r="E89" s="14"/>
      <c r="F89" s="14" t="str">
        <f t="shared" si="8"/>
        <v/>
      </c>
      <c r="G89" s="15" t="str">
        <f t="shared" si="9"/>
        <v/>
      </c>
      <c r="H89" s="16"/>
      <c r="I89" s="16" t="str">
        <f t="shared" si="10"/>
        <v/>
      </c>
      <c r="J89" s="15" t="str">
        <f t="shared" si="11"/>
        <v/>
      </c>
      <c r="K89" s="57"/>
      <c r="L89" s="126"/>
    </row>
    <row r="90" spans="1:12" ht="15.6">
      <c r="A90" s="24" t="str">
        <v>NY 70</v>
      </c>
      <c r="B90" s="25" t="str">
        <v>NY</v>
      </c>
      <c r="C90" s="25" t="str">
        <f>Sites[[#This Row],[SOL'#]]</f>
        <v>SOL-10970</v>
      </c>
      <c r="D90" s="20"/>
      <c r="E90" s="10"/>
      <c r="F90" s="10" t="str">
        <f t="shared" si="8"/>
        <v/>
      </c>
      <c r="G90" s="11" t="str">
        <f t="shared" si="9"/>
        <v/>
      </c>
      <c r="H90" s="12"/>
      <c r="I90" s="12" t="str">
        <f t="shared" si="10"/>
        <v/>
      </c>
      <c r="J90" s="13" t="str">
        <f t="shared" si="11"/>
        <v/>
      </c>
      <c r="K90" s="59"/>
      <c r="L90" s="53"/>
    </row>
    <row r="91" spans="1:12" ht="15.6">
      <c r="A91" s="26" t="str">
        <v>Reid</v>
      </c>
      <c r="B91" s="27" t="str">
        <v>NY</v>
      </c>
      <c r="C91" s="27" t="str">
        <f>Sites[[#This Row],[SOL'#]]</f>
        <v>SOL-10991</v>
      </c>
      <c r="D91" s="9"/>
      <c r="E91" s="14"/>
      <c r="F91" s="14" t="str">
        <f t="shared" si="8"/>
        <v/>
      </c>
      <c r="G91" s="15" t="str">
        <f t="shared" si="9"/>
        <v/>
      </c>
      <c r="H91" s="16"/>
      <c r="I91" s="16" t="str">
        <f t="shared" si="10"/>
        <v/>
      </c>
      <c r="J91" s="15" t="str">
        <f t="shared" si="11"/>
        <v/>
      </c>
      <c r="K91" s="57"/>
      <c r="L91" s="101"/>
    </row>
    <row r="92" spans="1:12" ht="15.6">
      <c r="A92" s="24" t="str">
        <v>Sangolqui</v>
      </c>
      <c r="B92" s="25" t="str">
        <v>NY</v>
      </c>
      <c r="C92" s="25" t="str">
        <f>Sites[[#This Row],[SOL'#]]</f>
        <v>SOL-10975</v>
      </c>
      <c r="D92" s="20"/>
      <c r="E92" s="10"/>
      <c r="F92" s="10" t="str">
        <f t="shared" si="8"/>
        <v/>
      </c>
      <c r="G92" s="11" t="str">
        <f t="shared" si="9"/>
        <v/>
      </c>
      <c r="H92" s="12"/>
      <c r="I92" s="12" t="str">
        <f t="shared" si="10"/>
        <v/>
      </c>
      <c r="J92" s="13" t="str">
        <f t="shared" si="11"/>
        <v/>
      </c>
      <c r="K92" s="59"/>
      <c r="L92" s="53"/>
    </row>
    <row r="93" spans="1:12" ht="93" customHeight="1">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57"/>
      <c r="L93" s="126"/>
    </row>
    <row r="94" spans="1:12" ht="15.6">
      <c r="A94" s="24" t="str">
        <v>State Route 14A</v>
      </c>
      <c r="B94" s="25" t="str">
        <v>NY</v>
      </c>
      <c r="C94" s="25" t="str">
        <f>Sites[[#This Row],[SOL'#]]</f>
        <v>SOL-10997</v>
      </c>
      <c r="D94" s="20"/>
      <c r="E94" s="10"/>
      <c r="F94" s="10" t="str">
        <f t="shared" si="8"/>
        <v/>
      </c>
      <c r="G94" s="11" t="str">
        <f t="shared" si="9"/>
        <v/>
      </c>
      <c r="H94" s="12"/>
      <c r="I94" s="12" t="str">
        <f t="shared" si="10"/>
        <v/>
      </c>
      <c r="J94" s="13" t="str">
        <f t="shared" si="11"/>
        <v/>
      </c>
      <c r="K94" s="82"/>
      <c r="L94" s="53"/>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57"/>
      <c r="L95" s="101"/>
    </row>
    <row r="96" spans="1:12" ht="15.6">
      <c r="A96" s="24" t="str">
        <v>Wildflower</v>
      </c>
      <c r="B96" s="25" t="str">
        <v>NY</v>
      </c>
      <c r="C96" s="25" t="str">
        <f>Sites[[#This Row],[SOL'#]]</f>
        <v>SOL-10982</v>
      </c>
      <c r="D96" s="20"/>
      <c r="E96" s="10"/>
      <c r="F96" s="10" t="str">
        <f t="shared" si="8"/>
        <v/>
      </c>
      <c r="G96" s="11" t="str">
        <f t="shared" si="9"/>
        <v/>
      </c>
      <c r="H96" s="12"/>
      <c r="I96" s="12" t="str">
        <f t="shared" si="10"/>
        <v/>
      </c>
      <c r="J96" s="13" t="str">
        <f t="shared" si="11"/>
        <v/>
      </c>
      <c r="K96" s="59"/>
      <c r="L96" s="53"/>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57"/>
      <c r="L97" s="101"/>
    </row>
    <row r="98" spans="1:12" ht="15.6">
      <c r="A98" s="24" t="str">
        <v>Glen Mary 2</v>
      </c>
      <c r="B98" s="25" t="str">
        <v>NY</v>
      </c>
      <c r="C98" s="25" t="str">
        <f>Sites[[#This Row],[SOL'#]]</f>
        <v>SOL-10994</v>
      </c>
      <c r="D98" s="20"/>
      <c r="E98" s="10"/>
      <c r="F98" s="10" t="str">
        <f t="shared" si="8"/>
        <v/>
      </c>
      <c r="G98" s="11" t="str">
        <f t="shared" si="9"/>
        <v/>
      </c>
      <c r="H98" s="12"/>
      <c r="I98" s="12" t="str">
        <f t="shared" si="10"/>
        <v/>
      </c>
      <c r="J98" s="13" t="str">
        <f t="shared" si="11"/>
        <v/>
      </c>
      <c r="K98" s="59"/>
      <c r="L98" s="53"/>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57"/>
      <c r="L99" s="99"/>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13" t="str">
        <f t="shared" si="11"/>
        <v/>
      </c>
      <c r="K100" s="59"/>
      <c r="L100" s="53"/>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57"/>
      <c r="L101" s="126"/>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13" t="str">
        <f t="shared" si="11"/>
        <v/>
      </c>
      <c r="K102" s="59"/>
      <c r="L102" s="53"/>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57"/>
      <c r="L103" s="99"/>
    </row>
    <row r="104" spans="1:12" ht="105" customHeight="1">
      <c r="A104" s="24" t="str">
        <v>Route 19 2</v>
      </c>
      <c r="B104" s="25" t="str">
        <v>NY</v>
      </c>
      <c r="C104" s="25" t="str">
        <f>Sites[[#This Row],[SOL'#]]</f>
        <v>SOL-11002</v>
      </c>
      <c r="D104" s="20"/>
      <c r="E104" s="10"/>
      <c r="F104" s="10" t="str">
        <f t="shared" si="8"/>
        <v/>
      </c>
      <c r="G104" s="11" t="str">
        <f t="shared" si="9"/>
        <v/>
      </c>
      <c r="H104" s="12"/>
      <c r="I104" s="12" t="str">
        <f t="shared" si="10"/>
        <v/>
      </c>
      <c r="J104" s="13" t="str">
        <f t="shared" si="11"/>
        <v/>
      </c>
      <c r="K104" s="59"/>
      <c r="L104" s="53"/>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57"/>
      <c r="L105" s="126"/>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13" t="str">
        <f t="shared" si="11"/>
        <v/>
      </c>
      <c r="K106" s="59"/>
      <c r="L106" s="53"/>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57"/>
      <c r="L107" s="99"/>
    </row>
    <row r="108" spans="1:12" ht="108.75" customHeight="1">
      <c r="A108" s="24" t="str">
        <v>Catskill</v>
      </c>
      <c r="B108" s="25" t="str">
        <v>NY</v>
      </c>
      <c r="C108" s="25" t="str">
        <f>Sites[[#This Row],[SOL'#]]</f>
        <v>SOL-11021</v>
      </c>
      <c r="D108" s="20"/>
      <c r="E108" s="10"/>
      <c r="F108" s="10" t="str">
        <f t="shared" si="8"/>
        <v/>
      </c>
      <c r="G108" s="11" t="str">
        <f t="shared" si="9"/>
        <v/>
      </c>
      <c r="H108" s="12"/>
      <c r="I108" s="12" t="str">
        <f t="shared" si="10"/>
        <v/>
      </c>
      <c r="J108" s="13" t="str">
        <f t="shared" si="11"/>
        <v/>
      </c>
      <c r="K108" s="59"/>
      <c r="L108" s="53"/>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57"/>
      <c r="L109" s="101"/>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13" t="str">
        <f t="shared" si="11"/>
        <v/>
      </c>
      <c r="K110" s="59"/>
      <c r="L110" s="53"/>
    </row>
    <row r="111" spans="1:12" ht="63.75" customHeight="1">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57"/>
      <c r="L111" s="126"/>
    </row>
    <row r="112" spans="1:12" ht="84.75" customHeight="1">
      <c r="A112" s="24" t="str">
        <v>Rivard 2</v>
      </c>
      <c r="B112" s="25" t="str">
        <v>NY</v>
      </c>
      <c r="C112" s="25" t="str">
        <f>Sites[[#This Row],[SOL'#]]</f>
        <v>SOL-11012</v>
      </c>
      <c r="D112" s="20"/>
      <c r="E112" s="10"/>
      <c r="F112" s="10" t="str">
        <f t="shared" si="8"/>
        <v/>
      </c>
      <c r="G112" s="11" t="str">
        <f t="shared" si="9"/>
        <v/>
      </c>
      <c r="H112" s="12"/>
      <c r="I112" s="12" t="str">
        <f t="shared" si="10"/>
        <v/>
      </c>
      <c r="J112" s="13" t="str">
        <f t="shared" si="11"/>
        <v/>
      </c>
      <c r="K112" s="59"/>
      <c r="L112" s="53"/>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57"/>
      <c r="L113" s="126"/>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13" t="str">
        <f t="shared" si="11"/>
        <v/>
      </c>
      <c r="K114" s="59"/>
      <c r="L114" s="53"/>
    </row>
    <row r="115" spans="1:12" ht="15.6">
      <c r="A115" s="26" t="str">
        <v>Weinberg 1</v>
      </c>
      <c r="B115" s="27" t="str">
        <v>DC</v>
      </c>
      <c r="C115" s="27" t="str">
        <f>Sites[[#This Row],[SOL'#]]</f>
        <v>SOL-10039</v>
      </c>
      <c r="D115" s="9"/>
      <c r="E115" s="14"/>
      <c r="F115" s="14" t="str">
        <f t="shared" si="8"/>
        <v/>
      </c>
      <c r="G115" s="15" t="str">
        <f t="shared" si="9"/>
        <v/>
      </c>
      <c r="H115" s="16"/>
      <c r="I115" s="16" t="str">
        <f t="shared" si="10"/>
        <v/>
      </c>
      <c r="J115" s="15" t="str">
        <f t="shared" si="11"/>
        <v/>
      </c>
      <c r="K115" s="57"/>
      <c r="L115" s="99"/>
    </row>
    <row r="116" spans="1:12" ht="15.6">
      <c r="A116" s="24" t="str">
        <v>Weinberg 2</v>
      </c>
      <c r="B116" s="25" t="str">
        <v>DC</v>
      </c>
      <c r="C116" s="25" t="str">
        <f>Sites[[#This Row],[SOL'#]]</f>
        <v>SOL-10045</v>
      </c>
      <c r="D116" s="20"/>
      <c r="E116" s="10"/>
      <c r="F116" s="10" t="str">
        <f t="shared" si="8"/>
        <v/>
      </c>
      <c r="G116" s="11" t="str">
        <f t="shared" si="9"/>
        <v/>
      </c>
      <c r="H116" s="12"/>
      <c r="I116" s="12" t="str">
        <f t="shared" si="10"/>
        <v/>
      </c>
      <c r="J116" s="13" t="str">
        <f t="shared" si="11"/>
        <v/>
      </c>
      <c r="K116" s="59"/>
      <c r="L116" s="53"/>
    </row>
    <row r="117" spans="1:12" ht="15.6">
      <c r="A117" s="26" t="str">
        <v>Weinberg 3</v>
      </c>
      <c r="B117" s="27" t="str">
        <v>DC</v>
      </c>
      <c r="C117" s="27" t="str">
        <f>Sites[[#This Row],[SOL'#]]</f>
        <v>SOL-10042</v>
      </c>
      <c r="D117" s="9"/>
      <c r="E117" s="14"/>
      <c r="F117" s="14" t="str">
        <f t="shared" si="8"/>
        <v/>
      </c>
      <c r="G117" s="15" t="str">
        <f t="shared" si="9"/>
        <v/>
      </c>
      <c r="H117" s="16"/>
      <c r="I117" s="16" t="str">
        <f t="shared" si="10"/>
        <v/>
      </c>
      <c r="J117" s="15" t="str">
        <f t="shared" si="11"/>
        <v/>
      </c>
      <c r="K117" s="57"/>
      <c r="L117" s="99"/>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13" t="str">
        <f t="shared" si="11"/>
        <v/>
      </c>
      <c r="K118" s="59"/>
      <c r="L118" s="53"/>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57"/>
      <c r="L119" s="126"/>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13" t="str">
        <f t="shared" si="11"/>
        <v/>
      </c>
      <c r="K120" s="59"/>
      <c r="L120" s="53"/>
    </row>
    <row r="121" spans="1:12" ht="15.6">
      <c r="A121" s="26" t="str">
        <v>Leoku</v>
      </c>
      <c r="B121" s="27" t="str">
        <v>HI</v>
      </c>
      <c r="C121" s="27" t="str">
        <f>Sites[[#This Row],[SOL'#]]</f>
        <v>SOL-10071</v>
      </c>
      <c r="D121" s="9"/>
      <c r="E121" s="14"/>
      <c r="F121" s="14" t="str">
        <f t="shared" si="8"/>
        <v/>
      </c>
      <c r="G121" s="15" t="str">
        <f t="shared" si="9"/>
        <v/>
      </c>
      <c r="H121" s="16"/>
      <c r="I121" s="16" t="str">
        <f t="shared" si="10"/>
        <v/>
      </c>
      <c r="J121" s="15" t="str">
        <f t="shared" si="11"/>
        <v/>
      </c>
      <c r="K121" s="57"/>
      <c r="L121" s="126"/>
    </row>
    <row r="122" spans="1:12" ht="15.6">
      <c r="A122" s="24" t="str">
        <v>Waipahu</v>
      </c>
      <c r="B122" s="25" t="str">
        <v>HI</v>
      </c>
      <c r="C122" s="25" t="str">
        <f>Sites[[#This Row],[SOL'#]]</f>
        <v>SOL-10068</v>
      </c>
      <c r="D122" s="20"/>
      <c r="E122" s="10"/>
      <c r="F122" s="10" t="str">
        <f t="shared" si="8"/>
        <v/>
      </c>
      <c r="G122" s="11" t="str">
        <f t="shared" si="9"/>
        <v/>
      </c>
      <c r="H122" s="12"/>
      <c r="I122" s="12" t="str">
        <f t="shared" si="10"/>
        <v/>
      </c>
      <c r="J122" s="13" t="str">
        <f t="shared" si="11"/>
        <v/>
      </c>
      <c r="K122" s="59"/>
      <c r="L122" s="53"/>
    </row>
    <row r="123" spans="1:12" ht="15.6">
      <c r="A123" s="26" t="str">
        <v>Bird in Hand</v>
      </c>
      <c r="B123" s="27" t="str">
        <v>MD</v>
      </c>
      <c r="C123" s="27" t="str">
        <f>Sites[[#This Row],[SOL'#]]</f>
        <v>SOL-10092</v>
      </c>
      <c r="D123" s="9"/>
      <c r="E123" s="14"/>
      <c r="F123" s="14" t="str">
        <f t="shared" si="8"/>
        <v/>
      </c>
      <c r="G123" s="15" t="str">
        <f t="shared" si="9"/>
        <v/>
      </c>
      <c r="H123" s="16"/>
      <c r="I123" s="16" t="str">
        <f t="shared" si="10"/>
        <v/>
      </c>
      <c r="J123" s="15" t="str">
        <f t="shared" si="11"/>
        <v/>
      </c>
      <c r="K123" s="57"/>
      <c r="L123" s="99"/>
    </row>
    <row r="124" spans="1:12" ht="15.6">
      <c r="A124" s="24" t="str">
        <v>Shortal</v>
      </c>
      <c r="B124" s="25" t="str">
        <v>MD</v>
      </c>
      <c r="C124" s="25" t="str">
        <f>Sites[[#This Row],[SOL'#]]</f>
        <v>SOL-10091</v>
      </c>
      <c r="D124" s="20"/>
      <c r="E124" s="10"/>
      <c r="F124" s="10" t="str">
        <f t="shared" si="8"/>
        <v/>
      </c>
      <c r="G124" s="11" t="str">
        <f t="shared" si="9"/>
        <v/>
      </c>
      <c r="H124" s="12"/>
      <c r="I124" s="12" t="str">
        <f t="shared" si="10"/>
        <v/>
      </c>
      <c r="J124" s="13" t="str">
        <f t="shared" si="11"/>
        <v/>
      </c>
      <c r="K124" s="59"/>
      <c r="L124" s="53"/>
    </row>
    <row r="125" spans="1:12" ht="15.6">
      <c r="A125" s="26" t="str">
        <v>Aguadilla</v>
      </c>
      <c r="B125" s="27" t="str">
        <v>PR</v>
      </c>
      <c r="C125" s="27" t="str">
        <f>Sites[[#This Row],[SOL'#]]</f>
        <v>SOL-10072</v>
      </c>
      <c r="D125" s="9"/>
      <c r="E125" s="14"/>
      <c r="F125" s="14" t="str">
        <f t="shared" si="8"/>
        <v/>
      </c>
      <c r="G125" s="15" t="str">
        <f t="shared" si="9"/>
        <v/>
      </c>
      <c r="H125" s="16"/>
      <c r="I125" s="16" t="str">
        <f t="shared" si="10"/>
        <v/>
      </c>
      <c r="J125" s="15" t="str">
        <f t="shared" si="11"/>
        <v/>
      </c>
      <c r="K125" s="57"/>
      <c r="L125" s="126"/>
    </row>
    <row r="126" spans="1:12" ht="61.5" customHeight="1">
      <c r="A126" s="24" t="str">
        <v>Bayamon</v>
      </c>
      <c r="B126" s="25" t="str">
        <v>PR</v>
      </c>
      <c r="C126" s="25" t="str">
        <f>Sites[[#This Row],[SOL'#]]</f>
        <v>SOL-10073</v>
      </c>
      <c r="D126" s="20"/>
      <c r="E126" s="10"/>
      <c r="F126" s="10" t="str">
        <f t="shared" si="8"/>
        <v/>
      </c>
      <c r="G126" s="11" t="str">
        <f t="shared" si="9"/>
        <v/>
      </c>
      <c r="H126" s="12"/>
      <c r="I126" s="12" t="str">
        <f t="shared" si="10"/>
        <v/>
      </c>
      <c r="J126" s="13" t="str">
        <f t="shared" si="11"/>
        <v/>
      </c>
      <c r="K126" s="59"/>
      <c r="L126" s="53"/>
    </row>
    <row r="127" spans="1:12" ht="249.75" customHeight="1">
      <c r="A127" s="26" t="str">
        <v>St Francis</v>
      </c>
      <c r="B127" s="27" t="str">
        <v>PR</v>
      </c>
      <c r="C127" s="27" t="str">
        <f>Sites[[#This Row],[SOL'#]]</f>
        <v>SOL-10034</v>
      </c>
      <c r="D127" s="9"/>
      <c r="E127" s="14"/>
      <c r="F127" s="14" t="str">
        <f t="shared" si="8"/>
        <v/>
      </c>
      <c r="G127" s="15" t="str">
        <f t="shared" si="9"/>
        <v/>
      </c>
      <c r="H127" s="16"/>
      <c r="I127" s="16" t="str">
        <f t="shared" si="10"/>
        <v/>
      </c>
      <c r="J127" s="15" t="str">
        <f t="shared" si="11"/>
        <v/>
      </c>
      <c r="K127" s="57"/>
      <c r="L127" s="126"/>
    </row>
    <row r="128" spans="1:12" ht="15.6">
      <c r="A128" s="24" t="str">
        <v>Seaport</v>
      </c>
      <c r="B128" s="25" t="str">
        <v>MA</v>
      </c>
      <c r="C128" s="25" t="str">
        <f>Sites[[#This Row],[SOL'#]]</f>
        <v>SOL-10772</v>
      </c>
      <c r="D128" s="20"/>
      <c r="E128" s="10"/>
      <c r="F128" s="10" t="str">
        <f t="shared" si="8"/>
        <v/>
      </c>
      <c r="G128" s="11" t="str">
        <f t="shared" si="9"/>
        <v/>
      </c>
      <c r="H128" s="12"/>
      <c r="I128" s="12" t="str">
        <f t="shared" si="10"/>
        <v/>
      </c>
      <c r="J128" s="13" t="str">
        <f t="shared" si="11"/>
        <v/>
      </c>
      <c r="K128" s="59"/>
      <c r="L128" s="53"/>
    </row>
    <row r="129" spans="1:12" ht="15.6">
      <c r="A129" s="26" t="str">
        <v>Sprague St</v>
      </c>
      <c r="B129" s="27" t="str">
        <v>MA</v>
      </c>
      <c r="C129" s="27" t="str">
        <f>Sites[[#This Row],[SOL'#]]</f>
        <v>SOL-10773</v>
      </c>
      <c r="D129" s="9"/>
      <c r="E129" s="14"/>
      <c r="F129" s="14" t="str">
        <f t="shared" si="8"/>
        <v/>
      </c>
      <c r="G129" s="15" t="str">
        <f t="shared" si="9"/>
        <v/>
      </c>
      <c r="H129" s="16"/>
      <c r="I129" s="16" t="str">
        <f t="shared" si="10"/>
        <v/>
      </c>
      <c r="J129" s="15" t="str">
        <f t="shared" si="11"/>
        <v/>
      </c>
      <c r="K129" s="57"/>
      <c r="L129" s="99"/>
    </row>
    <row r="130" spans="1:12" ht="15.6">
      <c r="A130" s="24" t="str">
        <v>Summer St</v>
      </c>
      <c r="B130" s="25" t="str">
        <v>MA</v>
      </c>
      <c r="C130" s="25" t="str">
        <f>Sites[[#This Row],[SOL'#]]</f>
        <v>SOL-10764</v>
      </c>
      <c r="D130" s="20"/>
      <c r="E130" s="10"/>
      <c r="F130" s="10" t="str">
        <f t="shared" si="8"/>
        <v/>
      </c>
      <c r="G130" s="11" t="str">
        <f t="shared" si="9"/>
        <v/>
      </c>
      <c r="H130" s="12"/>
      <c r="I130" s="12" t="str">
        <f t="shared" si="10"/>
        <v/>
      </c>
      <c r="J130" s="13" t="str">
        <f t="shared" si="11"/>
        <v/>
      </c>
      <c r="K130" s="59"/>
      <c r="L130" s="53"/>
    </row>
    <row r="131" spans="1:12" ht="15.6">
      <c r="A131" s="26" t="str">
        <v>Brock St Vocational</v>
      </c>
      <c r="B131" s="27" t="str">
        <v>NH</v>
      </c>
      <c r="C131" s="27" t="str">
        <f>Sites[[#This Row],[SOL'#]]</f>
        <v>SOL-10768</v>
      </c>
      <c r="D131" s="9"/>
      <c r="E131" s="14"/>
      <c r="F131" s="14" t="str">
        <f t="shared" si="8"/>
        <v/>
      </c>
      <c r="G131" s="15" t="str">
        <f t="shared" si="9"/>
        <v/>
      </c>
      <c r="H131" s="16"/>
      <c r="I131" s="16" t="str">
        <f t="shared" si="10"/>
        <v/>
      </c>
      <c r="J131" s="15" t="str">
        <f t="shared" si="11"/>
        <v/>
      </c>
      <c r="K131" s="57"/>
      <c r="L131" s="101"/>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13" t="str">
        <f t="shared" si="11"/>
        <v/>
      </c>
      <c r="K132" s="59"/>
      <c r="L132" s="53"/>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57"/>
      <c r="L133" s="99"/>
    </row>
    <row r="134" spans="1:12" ht="15.6">
      <c r="A134" s="24" t="str">
        <v>Portsmouth HS</v>
      </c>
      <c r="B134" s="25" t="str">
        <v>NH</v>
      </c>
      <c r="C134" s="25" t="str">
        <f>Sites[[#This Row],[SOL'#]]</f>
        <v>SOL-10769</v>
      </c>
      <c r="D134" s="20"/>
      <c r="E134" s="10"/>
      <c r="F134" s="10" t="str">
        <f t="shared" si="8"/>
        <v/>
      </c>
      <c r="G134" s="11" t="str">
        <f t="shared" si="9"/>
        <v/>
      </c>
      <c r="H134" s="12"/>
      <c r="I134" s="12" t="str">
        <f t="shared" si="10"/>
        <v/>
      </c>
      <c r="J134" s="13" t="str">
        <f t="shared" si="11"/>
        <v/>
      </c>
      <c r="K134" s="59"/>
      <c r="L134" s="53"/>
    </row>
    <row r="135" spans="1:12" ht="15.6">
      <c r="A135" s="26" t="str">
        <v>Portsmouth WTP</v>
      </c>
      <c r="B135" s="27" t="str">
        <v>NH</v>
      </c>
      <c r="C135" s="27" t="str">
        <f>Sites[[#This Row],[SOL'#]]</f>
        <v>SOL-10770</v>
      </c>
      <c r="D135" s="9"/>
      <c r="E135" s="14"/>
      <c r="F135" s="14" t="str">
        <f t="shared" si="8"/>
        <v/>
      </c>
      <c r="G135" s="15" t="str">
        <f t="shared" si="9"/>
        <v/>
      </c>
      <c r="H135" s="16"/>
      <c r="I135" s="16" t="str">
        <f t="shared" si="10"/>
        <v/>
      </c>
      <c r="J135" s="15" t="str">
        <f t="shared" si="11"/>
        <v/>
      </c>
      <c r="K135" s="57"/>
      <c r="L135" s="99"/>
    </row>
    <row r="136" spans="1:12" ht="15.6">
      <c r="A136" s="24" t="str">
        <v>Rochester St</v>
      </c>
      <c r="B136" s="25" t="str">
        <v>NH</v>
      </c>
      <c r="C136" s="25" t="str">
        <f>Sites[[#This Row],[SOL'#]]</f>
        <v>SOL-10765</v>
      </c>
      <c r="D136" s="20"/>
      <c r="E136" s="10"/>
      <c r="F136" s="10" t="str">
        <f t="shared" si="8"/>
        <v/>
      </c>
      <c r="G136" s="11" t="str">
        <f t="shared" si="9"/>
        <v/>
      </c>
      <c r="H136" s="12"/>
      <c r="I136" s="12" t="str">
        <f t="shared" si="10"/>
        <v/>
      </c>
      <c r="J136" s="13" t="str">
        <f t="shared" si="11"/>
        <v/>
      </c>
      <c r="K136" s="59"/>
      <c r="L136" s="53"/>
    </row>
    <row r="137" spans="1:12" ht="15.6">
      <c r="A137" s="26" t="str">
        <v>Spaulding HS</v>
      </c>
      <c r="B137" s="27" t="str">
        <v>NH</v>
      </c>
      <c r="C137" s="27" t="str">
        <f>Sites[[#This Row],[SOL'#]]</f>
        <v>SOL-10767</v>
      </c>
      <c r="D137" s="9"/>
      <c r="E137" s="14"/>
      <c r="F137" s="14" t="str">
        <f t="shared" si="8"/>
        <v/>
      </c>
      <c r="G137" s="15" t="str">
        <f t="shared" si="9"/>
        <v/>
      </c>
      <c r="H137" s="16"/>
      <c r="I137" s="16" t="str">
        <f t="shared" si="10"/>
        <v/>
      </c>
      <c r="J137" s="15" t="str">
        <f t="shared" si="11"/>
        <v/>
      </c>
      <c r="K137" s="57"/>
      <c r="L137" s="99"/>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13" t="str">
        <f t="shared" si="11"/>
        <v/>
      </c>
      <c r="K138" s="59"/>
      <c r="L138" s="122"/>
    </row>
    <row r="139" spans="1:12" ht="15.6">
      <c r="A139" s="26" t="str">
        <v>Spencer</v>
      </c>
      <c r="B139" s="27" t="str">
        <v>NY</v>
      </c>
      <c r="C139" s="27" t="str">
        <f>Sites[[#This Row],[SOL'#]]</f>
        <v>SOL-11017</v>
      </c>
      <c r="D139" s="9"/>
      <c r="E139" s="14"/>
      <c r="F139" s="14" t="str">
        <f t="shared" si="8"/>
        <v/>
      </c>
      <c r="G139" s="15" t="str">
        <f t="shared" si="9"/>
        <v/>
      </c>
      <c r="H139" s="16"/>
      <c r="I139" s="16" t="str">
        <f t="shared" si="10"/>
        <v/>
      </c>
      <c r="J139" s="15" t="str">
        <f t="shared" si="11"/>
        <v/>
      </c>
      <c r="K139" s="57"/>
      <c r="L139" s="99"/>
    </row>
    <row r="140" spans="1:12" ht="15.6">
      <c r="A140" s="28" t="str">
        <v>Reisender</v>
      </c>
      <c r="B140" s="25" t="str">
        <v>NY</v>
      </c>
      <c r="C140" s="25" t="str">
        <f>Sites[[#This Row],[SOL'#]]</f>
        <v>SOL-10886</v>
      </c>
      <c r="D140" s="60"/>
      <c r="E140" s="10"/>
      <c r="F140" s="10" t="str">
        <f t="shared" si="8"/>
        <v/>
      </c>
      <c r="G140" s="61" t="str">
        <f t="shared" si="9"/>
        <v/>
      </c>
      <c r="H140" s="76"/>
      <c r="I140" s="76" t="str">
        <f t="shared" si="10"/>
        <v/>
      </c>
      <c r="J140" s="73" t="str">
        <f t="shared" si="11"/>
        <v/>
      </c>
      <c r="K140" s="82"/>
      <c r="L140" s="53"/>
    </row>
    <row r="141" spans="1:12" ht="15.6">
      <c r="A141" s="26" t="str">
        <v>Finney</v>
      </c>
      <c r="B141" s="27" t="str">
        <v>NY</v>
      </c>
      <c r="C141" s="27" t="str">
        <f>Sites[[#This Row],[SOL'#]]</f>
        <v>SOL-10999</v>
      </c>
      <c r="D141" s="75"/>
      <c r="E141" s="14"/>
      <c r="F141" s="14" t="str">
        <f t="shared" si="8"/>
        <v/>
      </c>
      <c r="G141" s="77" t="str">
        <f t="shared" si="9"/>
        <v/>
      </c>
      <c r="H141" s="78"/>
      <c r="I141" s="78" t="str">
        <f t="shared" si="10"/>
        <v/>
      </c>
      <c r="J141" s="77" t="str">
        <f t="shared" si="11"/>
        <v/>
      </c>
      <c r="K141" s="57"/>
      <c r="L141" s="102"/>
    </row>
    <row r="142" spans="1:12" ht="51.75" customHeight="1">
      <c r="A142" s="24" t="str">
        <v>Davis Solar</v>
      </c>
      <c r="B142" s="25" t="str">
        <v>NY</v>
      </c>
      <c r="C142" s="25" t="str">
        <f>Sites[[#This Row],[SOL'#]]</f>
        <v>SOL-10958</v>
      </c>
      <c r="D142" s="60"/>
      <c r="E142" s="10"/>
      <c r="F142" s="10" t="str">
        <f t="shared" si="8"/>
        <v/>
      </c>
      <c r="G142" s="61" t="str">
        <f t="shared" si="9"/>
        <v/>
      </c>
      <c r="H142" s="76"/>
      <c r="I142" s="76" t="str">
        <f t="shared" si="10"/>
        <v/>
      </c>
      <c r="J142" s="73" t="str">
        <f t="shared" si="11"/>
        <v/>
      </c>
      <c r="K142" s="82"/>
      <c r="L142" s="53"/>
    </row>
    <row r="143" spans="1:12" ht="15.6">
      <c r="A143" s="26" t="str">
        <v>Genesee</v>
      </c>
      <c r="B143" s="27" t="str">
        <v>NY</v>
      </c>
      <c r="C143" s="27" t="str">
        <f>Sites[[#This Row],[SOL'#]]</f>
        <v>SOL-10951</v>
      </c>
      <c r="D143" s="75"/>
      <c r="E143" s="14"/>
      <c r="F143" s="14" t="str">
        <f t="shared" si="8"/>
        <v/>
      </c>
      <c r="G143" s="77" t="str">
        <f t="shared" si="9"/>
        <v/>
      </c>
      <c r="H143" s="78"/>
      <c r="I143" s="78" t="str">
        <f t="shared" si="10"/>
        <v/>
      </c>
      <c r="J143" s="77" t="str">
        <f t="shared" si="11"/>
        <v/>
      </c>
      <c r="K143" s="57"/>
      <c r="L143" s="103"/>
    </row>
    <row r="144" spans="1:12" ht="15.6">
      <c r="A144" s="24" t="str">
        <v>Landau I</v>
      </c>
      <c r="B144" s="25" t="str">
        <v>NY</v>
      </c>
      <c r="C144" s="25" t="str">
        <f>Sites[[#This Row],[SOL'#]]</f>
        <v>SOL-10891</v>
      </c>
      <c r="D144" s="60"/>
      <c r="E144" s="10"/>
      <c r="F144" s="10" t="str">
        <f t="shared" si="8"/>
        <v/>
      </c>
      <c r="G144" s="61" t="str">
        <f t="shared" si="9"/>
        <v/>
      </c>
      <c r="H144" s="76"/>
      <c r="I144" s="76" t="str">
        <f t="shared" si="10"/>
        <v/>
      </c>
      <c r="J144" s="73" t="str">
        <f t="shared" si="11"/>
        <v/>
      </c>
      <c r="K144" s="82"/>
      <c r="L144" s="53"/>
    </row>
    <row r="145" spans="1:12" ht="84.75" customHeight="1">
      <c r="A145" s="26" t="str">
        <v>Landau II</v>
      </c>
      <c r="B145" s="27" t="str">
        <v>NY</v>
      </c>
      <c r="C145" s="27" t="str">
        <f>Sites[[#This Row],[SOL'#]]</f>
        <v>SOL-10895</v>
      </c>
      <c r="D145" s="75"/>
      <c r="E145" s="14"/>
      <c r="F145" s="14" t="str">
        <f t="shared" si="8"/>
        <v/>
      </c>
      <c r="G145" s="77" t="str">
        <f t="shared" si="9"/>
        <v/>
      </c>
      <c r="H145" s="78"/>
      <c r="I145" s="78" t="str">
        <f t="shared" si="10"/>
        <v/>
      </c>
      <c r="J145" s="77" t="str">
        <f t="shared" si="11"/>
        <v/>
      </c>
      <c r="K145" s="57"/>
      <c r="L145" s="103"/>
    </row>
    <row r="146" spans="1:12" ht="15.6">
      <c r="A146" s="24" t="str">
        <v>New Beginnings</v>
      </c>
      <c r="B146" s="25" t="str">
        <v>NY</v>
      </c>
      <c r="C146" s="25" t="str">
        <f>Sites[[#This Row],[SOL'#]]</f>
        <v>SOL-10890</v>
      </c>
      <c r="D146" s="60"/>
      <c r="E146" s="10"/>
      <c r="F146" s="10" t="str">
        <f t="shared" ref="F146:F161" si="12">IF(AND(ISNUMBER(D146),ISNUMBER(E146)), D146-E146, "")</f>
        <v/>
      </c>
      <c r="G146" s="61" t="str">
        <f t="shared" ref="G146:G161" si="13">IFERROR(F146/E146, "")</f>
        <v/>
      </c>
      <c r="H146" s="76"/>
      <c r="I146" s="76" t="str">
        <f t="shared" ref="I146:I161" si="14">IF(AND(ISNUMBER(D146),ISNUMBER(H146)), D146-H146, "")</f>
        <v/>
      </c>
      <c r="J146" s="73" t="str">
        <f t="shared" ref="J146:J161" si="15">IFERROR(I146/H146, "")</f>
        <v/>
      </c>
      <c r="K146" s="82"/>
      <c r="L146" s="53"/>
    </row>
    <row r="147" spans="1:12" ht="15.6">
      <c r="A147" s="26" t="str">
        <v>Guilin Farm Solar</v>
      </c>
      <c r="B147" s="27" t="str">
        <v>NY</v>
      </c>
      <c r="C147" s="27" t="str">
        <f>Sites[[#This Row],[SOL'#]]</f>
        <v>SOL-10998</v>
      </c>
      <c r="D147" s="75"/>
      <c r="E147" s="14"/>
      <c r="F147" s="14" t="str">
        <f t="shared" si="12"/>
        <v/>
      </c>
      <c r="G147" s="77" t="str">
        <f t="shared" si="13"/>
        <v/>
      </c>
      <c r="H147" s="78"/>
      <c r="I147" s="78" t="str">
        <f t="shared" si="14"/>
        <v/>
      </c>
      <c r="J147" s="77" t="str">
        <f t="shared" si="15"/>
        <v/>
      </c>
      <c r="K147" s="57"/>
      <c r="L147" s="102"/>
    </row>
    <row r="148" spans="1:12" ht="15.6">
      <c r="A148" s="24" t="str">
        <v>Brodhead Solar</v>
      </c>
      <c r="B148" s="25" t="str">
        <v>NY</v>
      </c>
      <c r="C148" s="25" t="str">
        <f>Sites[[#This Row],[SOL'#]]</f>
        <v>SOL-10899</v>
      </c>
      <c r="D148" s="60"/>
      <c r="E148" s="10"/>
      <c r="F148" s="10" t="str">
        <f t="shared" si="12"/>
        <v/>
      </c>
      <c r="G148" s="61" t="str">
        <f t="shared" si="13"/>
        <v/>
      </c>
      <c r="H148" s="76"/>
      <c r="I148" s="76" t="str">
        <f t="shared" si="14"/>
        <v/>
      </c>
      <c r="J148" s="73" t="str">
        <f t="shared" si="15"/>
        <v/>
      </c>
      <c r="K148" s="82"/>
      <c r="L148" s="53"/>
    </row>
    <row r="149" spans="1:12" ht="15.6">
      <c r="A149" s="26" t="str">
        <v>Svenski</v>
      </c>
      <c r="B149" s="27" t="str">
        <v>NY</v>
      </c>
      <c r="C149" s="27" t="str">
        <f>Sites[[#This Row],[SOL'#]]</f>
        <v>SOL-10894</v>
      </c>
      <c r="D149" s="75"/>
      <c r="E149" s="14"/>
      <c r="F149" s="14" t="str">
        <f t="shared" si="12"/>
        <v/>
      </c>
      <c r="G149" s="77" t="str">
        <f t="shared" si="13"/>
        <v/>
      </c>
      <c r="H149" s="78"/>
      <c r="I149" s="78" t="str">
        <f t="shared" si="14"/>
        <v/>
      </c>
      <c r="J149" s="77" t="str">
        <f t="shared" si="15"/>
        <v/>
      </c>
      <c r="K149" s="57"/>
      <c r="L149" s="103"/>
    </row>
    <row r="150" spans="1:12" ht="15.6">
      <c r="A150" s="24" t="str">
        <v>Bantam</v>
      </c>
      <c r="B150" s="25" t="str">
        <v>NY</v>
      </c>
      <c r="C150" s="25" t="str">
        <f>Sites[[#This Row],[SOL'#]]</f>
        <v>SOL-10986</v>
      </c>
      <c r="D150" s="60"/>
      <c r="E150" s="10"/>
      <c r="F150" s="10" t="str">
        <f t="shared" si="12"/>
        <v/>
      </c>
      <c r="G150" s="61" t="str">
        <f t="shared" si="13"/>
        <v/>
      </c>
      <c r="H150" s="76"/>
      <c r="I150" s="76" t="str">
        <f t="shared" si="14"/>
        <v/>
      </c>
      <c r="J150" s="73" t="str">
        <f t="shared" si="15"/>
        <v/>
      </c>
      <c r="K150" s="82"/>
      <c r="L150" s="53"/>
    </row>
    <row r="151" spans="1:12" ht="15.6">
      <c r="A151" s="26" t="str">
        <v>Bogart</v>
      </c>
      <c r="B151" s="27" t="str">
        <v>NY</v>
      </c>
      <c r="C151" s="27" t="str">
        <f>Sites[[#This Row],[SOL'#]]</f>
        <v>SOL-10887</v>
      </c>
      <c r="D151" s="75"/>
      <c r="E151" s="14"/>
      <c r="F151" s="14" t="str">
        <f t="shared" si="12"/>
        <v/>
      </c>
      <c r="G151" s="77" t="str">
        <f t="shared" si="13"/>
        <v/>
      </c>
      <c r="H151" s="78"/>
      <c r="I151" s="78" t="str">
        <f t="shared" si="14"/>
        <v/>
      </c>
      <c r="J151" s="77" t="str">
        <f t="shared" si="15"/>
        <v/>
      </c>
      <c r="K151" s="57"/>
      <c r="L151" s="104"/>
    </row>
    <row r="152" spans="1:12" ht="15.6">
      <c r="A152" s="24" t="str">
        <v>Dubois</v>
      </c>
      <c r="B152" s="25" t="str">
        <v>NY</v>
      </c>
      <c r="C152" s="25" t="str">
        <f>Sites[[#This Row],[SOL'#]]</f>
        <v>SOL-10892</v>
      </c>
      <c r="D152" s="60"/>
      <c r="E152" s="10"/>
      <c r="F152" s="10" t="str">
        <f t="shared" si="12"/>
        <v/>
      </c>
      <c r="G152" s="61" t="str">
        <f t="shared" si="13"/>
        <v/>
      </c>
      <c r="H152" s="76"/>
      <c r="I152" s="76" t="str">
        <f t="shared" si="14"/>
        <v/>
      </c>
      <c r="J152" s="73" t="str">
        <f t="shared" si="15"/>
        <v/>
      </c>
      <c r="K152" s="82"/>
      <c r="L152" s="53"/>
    </row>
    <row r="153" spans="1:12" ht="15.6">
      <c r="A153" s="26" t="str">
        <v>Salt Point</v>
      </c>
      <c r="B153" s="27" t="str">
        <v>NY</v>
      </c>
      <c r="C153" s="27" t="str">
        <f>Sites[[#This Row],[SOL'#]]</f>
        <v>SOL-10888</v>
      </c>
      <c r="D153" s="75"/>
      <c r="E153" s="14"/>
      <c r="F153" s="14" t="str">
        <f t="shared" si="12"/>
        <v/>
      </c>
      <c r="G153" s="77" t="str">
        <f t="shared" si="13"/>
        <v/>
      </c>
      <c r="H153" s="78"/>
      <c r="I153" s="78" t="str">
        <f t="shared" si="14"/>
        <v/>
      </c>
      <c r="J153" s="77" t="str">
        <f t="shared" si="15"/>
        <v/>
      </c>
      <c r="K153" s="126"/>
      <c r="L153" s="102"/>
    </row>
    <row r="154" spans="1:12" ht="15.6">
      <c r="A154" s="24" t="str">
        <v>Wheatland 2A</v>
      </c>
      <c r="B154" s="25" t="str">
        <v>NY</v>
      </c>
      <c r="C154" s="25" t="str">
        <f>Sites[[#This Row],[SOL'#]]</f>
        <v>SOL-10971</v>
      </c>
      <c r="D154" s="60"/>
      <c r="E154" s="10"/>
      <c r="F154" s="10" t="str">
        <f t="shared" si="12"/>
        <v/>
      </c>
      <c r="G154" s="61" t="str">
        <f t="shared" si="13"/>
        <v/>
      </c>
      <c r="H154" s="76"/>
      <c r="I154" s="76" t="str">
        <f t="shared" si="14"/>
        <v/>
      </c>
      <c r="J154" s="73" t="str">
        <f t="shared" si="15"/>
        <v/>
      </c>
      <c r="K154" s="82"/>
      <c r="L154" s="53"/>
    </row>
    <row r="155" spans="1:12" ht="15.6">
      <c r="A155" s="26" t="str">
        <v>Wheatland 2B</v>
      </c>
      <c r="B155" s="27" t="str">
        <v>NY</v>
      </c>
      <c r="C155" s="27" t="str">
        <f>Sites[[#This Row],[SOL'#]]</f>
        <v>SOL-10961</v>
      </c>
      <c r="D155" s="75"/>
      <c r="E155" s="14"/>
      <c r="F155" s="14" t="str">
        <f t="shared" si="12"/>
        <v/>
      </c>
      <c r="G155" s="77" t="str">
        <f t="shared" si="13"/>
        <v/>
      </c>
      <c r="H155" s="78"/>
      <c r="I155" s="78" t="str">
        <f t="shared" si="14"/>
        <v/>
      </c>
      <c r="J155" s="77" t="str">
        <f t="shared" si="15"/>
        <v/>
      </c>
      <c r="K155" s="57"/>
      <c r="L155" s="102"/>
    </row>
    <row r="156" spans="1:12" ht="15.6">
      <c r="A156" s="24" t="str">
        <v>Brickchurch</v>
      </c>
      <c r="B156" s="25" t="str">
        <v>NY</v>
      </c>
      <c r="C156" s="25" t="str">
        <f>Sites[[#This Row],[SOL'#]]</f>
        <v>SOL-10889</v>
      </c>
      <c r="D156" s="60"/>
      <c r="E156" s="10"/>
      <c r="F156" s="10" t="str">
        <f t="shared" si="12"/>
        <v/>
      </c>
      <c r="G156" s="61" t="str">
        <f t="shared" si="13"/>
        <v/>
      </c>
      <c r="H156" s="76"/>
      <c r="I156" s="76" t="str">
        <f t="shared" si="14"/>
        <v/>
      </c>
      <c r="J156" s="73" t="str">
        <f t="shared" si="15"/>
        <v/>
      </c>
      <c r="K156" s="82"/>
      <c r="L156" s="53"/>
    </row>
    <row r="157" spans="1:12" ht="15.6">
      <c r="A157" s="26" t="str">
        <v>McCarthy Solar</v>
      </c>
      <c r="B157" s="27" t="str">
        <v>NY</v>
      </c>
      <c r="C157" s="27" t="str">
        <f>Sites[[#This Row],[SOL'#]]</f>
        <v>SOL-10992</v>
      </c>
      <c r="D157" s="75"/>
      <c r="E157" s="14"/>
      <c r="F157" s="14" t="str">
        <f t="shared" si="12"/>
        <v/>
      </c>
      <c r="G157" s="77" t="str">
        <f t="shared" si="13"/>
        <v/>
      </c>
      <c r="H157" s="78"/>
      <c r="I157" s="78" t="str">
        <f t="shared" si="14"/>
        <v/>
      </c>
      <c r="J157" s="77" t="str">
        <f t="shared" si="15"/>
        <v/>
      </c>
      <c r="K157" s="57"/>
      <c r="L157" s="102"/>
    </row>
    <row r="158" spans="1:12" ht="15.6">
      <c r="A158" s="24" t="str">
        <v>Costanza</v>
      </c>
      <c r="B158" s="25" t="str">
        <v>NY</v>
      </c>
      <c r="C158" s="25" t="str">
        <f>Sites[[#This Row],[SOL'#]]</f>
        <v>SOL-10907</v>
      </c>
      <c r="D158" s="60"/>
      <c r="E158" s="10"/>
      <c r="F158" s="10" t="str">
        <f t="shared" si="12"/>
        <v/>
      </c>
      <c r="G158" s="61" t="str">
        <f t="shared" si="13"/>
        <v/>
      </c>
      <c r="H158" s="76"/>
      <c r="I158" s="76" t="str">
        <f t="shared" si="14"/>
        <v/>
      </c>
      <c r="J158" s="73" t="str">
        <f t="shared" si="15"/>
        <v/>
      </c>
      <c r="K158" s="82"/>
      <c r="L158" s="53"/>
    </row>
    <row r="159" spans="1:12" ht="15.6">
      <c r="A159" s="26" t="str">
        <v>Lockenhurst Pond</v>
      </c>
      <c r="B159" s="27" t="str">
        <v>NY</v>
      </c>
      <c r="C159" s="27" t="str">
        <f>Sites[[#This Row],[SOL'#]]</f>
        <v>SOL-11000</v>
      </c>
      <c r="D159" s="75"/>
      <c r="E159" s="14"/>
      <c r="F159" s="14" t="str">
        <f t="shared" si="12"/>
        <v/>
      </c>
      <c r="G159" s="77" t="str">
        <f t="shared" si="13"/>
        <v/>
      </c>
      <c r="H159" s="78"/>
      <c r="I159" s="78" t="str">
        <f t="shared" si="14"/>
        <v/>
      </c>
      <c r="J159" s="77" t="str">
        <f t="shared" si="15"/>
        <v/>
      </c>
      <c r="K159" s="57"/>
      <c r="L159" s="102"/>
    </row>
    <row r="160" spans="1:12" ht="15.6">
      <c r="A160" s="24" t="str">
        <v>Drinkwater</v>
      </c>
      <c r="B160" s="25" t="str">
        <v>NY</v>
      </c>
      <c r="C160" s="25" t="str">
        <f>Sites[[#This Row],[SOL'#]]</f>
        <v>SOL-10896</v>
      </c>
      <c r="D160" s="60"/>
      <c r="E160" s="10"/>
      <c r="F160" s="10" t="str">
        <f t="shared" si="12"/>
        <v/>
      </c>
      <c r="G160" s="61" t="str">
        <f t="shared" si="13"/>
        <v/>
      </c>
      <c r="H160" s="76"/>
      <c r="I160" s="76" t="str">
        <f t="shared" si="14"/>
        <v/>
      </c>
      <c r="J160" s="73" t="str">
        <f t="shared" si="15"/>
        <v/>
      </c>
      <c r="K160" s="82"/>
      <c r="L160" s="53"/>
    </row>
    <row r="161" spans="1:12" ht="54" customHeight="1">
      <c r="A161" s="26" t="str">
        <v>Altamont</v>
      </c>
      <c r="B161" s="27" t="str">
        <v>NY</v>
      </c>
      <c r="C161" s="27" t="s">
        <v>228</v>
      </c>
      <c r="D161" s="75"/>
      <c r="E161" s="14"/>
      <c r="F161" s="14" t="str">
        <f t="shared" si="12"/>
        <v/>
      </c>
      <c r="G161" s="77" t="str">
        <f t="shared" si="13"/>
        <v/>
      </c>
      <c r="H161" s="78"/>
      <c r="I161" s="78" t="str">
        <f t="shared" si="14"/>
        <v/>
      </c>
      <c r="J161" s="77" t="str">
        <f t="shared" si="15"/>
        <v/>
      </c>
      <c r="K161" s="57"/>
      <c r="L161" s="102"/>
    </row>
    <row r="162" spans="1:12" ht="15.6">
      <c r="A162" s="24" t="str">
        <v>Krumkill North</v>
      </c>
      <c r="B162" s="25" t="str">
        <v>NY</v>
      </c>
      <c r="C162" s="25" t="s">
        <v>469</v>
      </c>
      <c r="D162" s="60"/>
      <c r="E162" s="10"/>
      <c r="F162" s="10" t="str">
        <f t="shared" ref="F162:F163" si="16">IF(AND(ISNUMBER(D162),ISNUMBER(E162)), D162-E162, "")</f>
        <v/>
      </c>
      <c r="G162" s="61" t="str">
        <f t="shared" ref="G162:G163" si="17">IFERROR(F162/E162, "")</f>
        <v/>
      </c>
      <c r="H162" s="76"/>
      <c r="I162" s="76" t="str">
        <f t="shared" ref="I162:I163" si="18">IF(AND(ISNUMBER(D162),ISNUMBER(H162)), D162-H162, "")</f>
        <v/>
      </c>
      <c r="J162" s="73" t="str">
        <f t="shared" ref="J162:J163" si="19">IFERROR(I162/H162, "")</f>
        <v/>
      </c>
      <c r="K162" s="82"/>
      <c r="L162" s="53"/>
    </row>
    <row r="163" spans="1:12" ht="15.6">
      <c r="A163" s="26" t="str">
        <v>Krumkill South</v>
      </c>
      <c r="B163" s="27" t="str">
        <v>NY</v>
      </c>
      <c r="C163" s="27" t="s">
        <v>470</v>
      </c>
      <c r="D163" s="75"/>
      <c r="E163" s="14"/>
      <c r="F163" s="14" t="str">
        <f t="shared" si="16"/>
        <v/>
      </c>
      <c r="G163" s="77" t="str">
        <f t="shared" si="17"/>
        <v/>
      </c>
      <c r="H163" s="78"/>
      <c r="I163" s="78" t="str">
        <f t="shared" si="18"/>
        <v/>
      </c>
      <c r="J163" s="77" t="str">
        <f t="shared" si="19"/>
        <v/>
      </c>
      <c r="K163" s="57"/>
      <c r="L163" s="102"/>
    </row>
    <row r="164" spans="1:12" ht="15.6">
      <c r="A164" s="24" t="str">
        <v>X092</v>
      </c>
      <c r="B164" s="25" t="str">
        <v>NY</v>
      </c>
      <c r="C164" s="25" t="s">
        <v>471</v>
      </c>
      <c r="D164" s="60"/>
      <c r="E164" s="10"/>
      <c r="F164" s="10" t="str">
        <f t="shared" ref="F164:F185" si="20">IF(AND(ISNUMBER(D164),ISNUMBER(E164)), D164-E164, "")</f>
        <v/>
      </c>
      <c r="G164" s="61" t="str">
        <f t="shared" ref="G164:G185" si="21">IFERROR(F164/E164, "")</f>
        <v/>
      </c>
      <c r="H164" s="76"/>
      <c r="I164" s="76" t="str">
        <f t="shared" ref="I164:I185" si="22">IF(AND(ISNUMBER(D164),ISNUMBER(H164)), D164-H164, "")</f>
        <v/>
      </c>
      <c r="J164" s="73" t="str">
        <f t="shared" ref="J164:J185" si="23">IFERROR(I164/H164, "")</f>
        <v/>
      </c>
      <c r="K164" s="82"/>
      <c r="L164" s="53"/>
    </row>
    <row r="165" spans="1:12" ht="15.6">
      <c r="A165" s="26" t="str">
        <v>X093</v>
      </c>
      <c r="B165" s="27" t="str">
        <v>NY</v>
      </c>
      <c r="C165" s="27" t="s">
        <v>472</v>
      </c>
      <c r="D165" s="75"/>
      <c r="E165" s="14"/>
      <c r="F165" s="14" t="str">
        <f t="shared" si="20"/>
        <v/>
      </c>
      <c r="G165" s="77" t="str">
        <f t="shared" si="21"/>
        <v/>
      </c>
      <c r="H165" s="78"/>
      <c r="I165" s="78" t="str">
        <f t="shared" si="22"/>
        <v/>
      </c>
      <c r="J165" s="77" t="str">
        <f t="shared" si="23"/>
        <v/>
      </c>
      <c r="K165" s="57"/>
      <c r="L165" s="102"/>
    </row>
    <row r="166" spans="1:12" ht="15.6">
      <c r="A166" s="24" t="str">
        <v>X095</v>
      </c>
      <c r="B166" s="25" t="str">
        <v>NY</v>
      </c>
      <c r="C166" s="25" t="s">
        <v>473</v>
      </c>
      <c r="D166" s="60"/>
      <c r="E166" s="10"/>
      <c r="F166" s="10" t="str">
        <f t="shared" si="20"/>
        <v/>
      </c>
      <c r="G166" s="61" t="str">
        <f t="shared" si="21"/>
        <v/>
      </c>
      <c r="H166" s="76"/>
      <c r="I166" s="76" t="str">
        <f t="shared" si="22"/>
        <v/>
      </c>
      <c r="J166" s="73" t="str">
        <f t="shared" si="23"/>
        <v/>
      </c>
      <c r="K166" s="82"/>
      <c r="L166" s="53"/>
    </row>
    <row r="167" spans="1:12" ht="15.6">
      <c r="A167" s="26" t="str">
        <v>X181</v>
      </c>
      <c r="B167" s="27" t="str">
        <v>NY</v>
      </c>
      <c r="C167" s="27" t="s">
        <v>474</v>
      </c>
      <c r="D167" s="75"/>
      <c r="E167" s="14"/>
      <c r="F167" s="14" t="str">
        <f t="shared" si="20"/>
        <v/>
      </c>
      <c r="G167" s="77" t="str">
        <f t="shared" si="21"/>
        <v/>
      </c>
      <c r="H167" s="78"/>
      <c r="I167" s="78" t="str">
        <f t="shared" si="22"/>
        <v/>
      </c>
      <c r="J167" s="77" t="str">
        <f t="shared" si="23"/>
        <v/>
      </c>
      <c r="K167" s="57"/>
      <c r="L167" s="102"/>
    </row>
    <row r="168" spans="1:12" ht="15.6">
      <c r="A168" s="24" t="str">
        <v>X415</v>
      </c>
      <c r="B168" s="25" t="str">
        <v>NY</v>
      </c>
      <c r="C168" s="25" t="s">
        <v>475</v>
      </c>
      <c r="D168" s="60"/>
      <c r="E168" s="10"/>
      <c r="F168" s="10" t="str">
        <f t="shared" si="20"/>
        <v/>
      </c>
      <c r="G168" s="61" t="str">
        <f t="shared" si="21"/>
        <v/>
      </c>
      <c r="H168" s="76"/>
      <c r="I168" s="76" t="str">
        <f t="shared" si="22"/>
        <v/>
      </c>
      <c r="J168" s="73" t="str">
        <f t="shared" si="23"/>
        <v/>
      </c>
      <c r="K168" s="82"/>
      <c r="L168" s="53"/>
    </row>
    <row r="169" spans="1:12" ht="15.6">
      <c r="A169" s="26" t="str">
        <v>K198</v>
      </c>
      <c r="B169" s="27" t="str">
        <v>NY</v>
      </c>
      <c r="C169" s="27" t="s">
        <v>476</v>
      </c>
      <c r="D169" s="75"/>
      <c r="E169" s="14"/>
      <c r="F169" s="14" t="str">
        <f t="shared" si="20"/>
        <v/>
      </c>
      <c r="G169" s="77" t="str">
        <f t="shared" si="21"/>
        <v/>
      </c>
      <c r="H169" s="78"/>
      <c r="I169" s="78" t="str">
        <f t="shared" si="22"/>
        <v/>
      </c>
      <c r="J169" s="77" t="str">
        <f t="shared" si="23"/>
        <v/>
      </c>
      <c r="K169" s="57"/>
      <c r="L169" s="102"/>
    </row>
    <row r="170" spans="1:12" ht="15.6">
      <c r="A170" s="24" t="str">
        <v>K203</v>
      </c>
      <c r="B170" s="25" t="str">
        <v>NY</v>
      </c>
      <c r="C170" s="25" t="s">
        <v>477</v>
      </c>
      <c r="D170" s="60"/>
      <c r="E170" s="10"/>
      <c r="F170" s="10" t="str">
        <f t="shared" si="20"/>
        <v/>
      </c>
      <c r="G170" s="61" t="str">
        <f t="shared" si="21"/>
        <v/>
      </c>
      <c r="H170" s="76"/>
      <c r="I170" s="76" t="str">
        <f t="shared" si="22"/>
        <v/>
      </c>
      <c r="J170" s="73" t="str">
        <f t="shared" si="23"/>
        <v/>
      </c>
      <c r="K170" s="82"/>
      <c r="L170" s="53"/>
    </row>
    <row r="171" spans="1:12" ht="15.6">
      <c r="A171" s="26" t="str">
        <v>K213</v>
      </c>
      <c r="B171" s="27" t="str">
        <v>NY</v>
      </c>
      <c r="C171" s="27" t="s">
        <v>478</v>
      </c>
      <c r="D171" s="75"/>
      <c r="E171" s="14"/>
      <c r="F171" s="14" t="str">
        <f t="shared" si="20"/>
        <v/>
      </c>
      <c r="G171" s="77" t="str">
        <f t="shared" si="21"/>
        <v/>
      </c>
      <c r="H171" s="78"/>
      <c r="I171" s="78" t="str">
        <f t="shared" si="22"/>
        <v/>
      </c>
      <c r="J171" s="77" t="str">
        <f t="shared" si="23"/>
        <v/>
      </c>
      <c r="K171" s="57"/>
      <c r="L171" s="102"/>
    </row>
    <row r="172" spans="1:12" ht="15.6">
      <c r="A172" s="24" t="str">
        <v>K217</v>
      </c>
      <c r="B172" s="25" t="str">
        <v>NY</v>
      </c>
      <c r="C172" s="25" t="s">
        <v>479</v>
      </c>
      <c r="D172" s="60"/>
      <c r="E172" s="10"/>
      <c r="F172" s="10" t="str">
        <f t="shared" si="20"/>
        <v/>
      </c>
      <c r="G172" s="61" t="str">
        <f t="shared" si="21"/>
        <v/>
      </c>
      <c r="H172" s="76"/>
      <c r="I172" s="76" t="str">
        <f t="shared" si="22"/>
        <v/>
      </c>
      <c r="J172" s="73" t="str">
        <f t="shared" si="23"/>
        <v/>
      </c>
      <c r="K172" s="82"/>
      <c r="L172" s="53"/>
    </row>
    <row r="173" spans="1:12" ht="15.6">
      <c r="A173" s="26" t="str">
        <v>K307</v>
      </c>
      <c r="B173" s="27" t="str">
        <v>NY</v>
      </c>
      <c r="C173" s="27" t="s">
        <v>480</v>
      </c>
      <c r="D173" s="75"/>
      <c r="E173" s="14"/>
      <c r="F173" s="14" t="str">
        <f t="shared" si="20"/>
        <v/>
      </c>
      <c r="G173" s="77" t="str">
        <f t="shared" si="21"/>
        <v/>
      </c>
      <c r="H173" s="78"/>
      <c r="I173" s="78" t="str">
        <f t="shared" si="22"/>
        <v/>
      </c>
      <c r="J173" s="77" t="str">
        <f t="shared" si="23"/>
        <v/>
      </c>
      <c r="K173" s="57"/>
      <c r="L173" s="102"/>
    </row>
    <row r="174" spans="1:12" ht="15.6">
      <c r="A174" s="24" t="str">
        <v>K610</v>
      </c>
      <c r="B174" s="25" t="str">
        <v>NY</v>
      </c>
      <c r="C174" s="25" t="s">
        <v>495</v>
      </c>
      <c r="D174" s="60"/>
      <c r="E174" s="10"/>
      <c r="F174" s="10" t="str">
        <f t="shared" si="20"/>
        <v/>
      </c>
      <c r="G174" s="61" t="str">
        <f t="shared" si="21"/>
        <v/>
      </c>
      <c r="H174" s="76"/>
      <c r="I174" s="76" t="str">
        <f t="shared" si="22"/>
        <v/>
      </c>
      <c r="J174" s="73" t="str">
        <f t="shared" si="23"/>
        <v/>
      </c>
      <c r="K174" s="82"/>
      <c r="L174" s="53"/>
    </row>
    <row r="175" spans="1:12" ht="15.6">
      <c r="A175" s="26" t="str">
        <v>M025</v>
      </c>
      <c r="B175" s="27" t="str">
        <v>NY</v>
      </c>
      <c r="C175" s="27" t="s">
        <v>496</v>
      </c>
      <c r="D175" s="75"/>
      <c r="E175" s="14"/>
      <c r="F175" s="14" t="str">
        <f t="shared" si="20"/>
        <v/>
      </c>
      <c r="G175" s="77" t="str">
        <f t="shared" si="21"/>
        <v/>
      </c>
      <c r="H175" s="78"/>
      <c r="I175" s="78" t="str">
        <f t="shared" si="22"/>
        <v/>
      </c>
      <c r="J175" s="77" t="str">
        <f t="shared" si="23"/>
        <v/>
      </c>
      <c r="K175" s="57"/>
      <c r="L175" s="102"/>
    </row>
    <row r="176" spans="1:12" ht="15.6">
      <c r="A176" s="24" t="str">
        <v>M028</v>
      </c>
      <c r="B176" s="25" t="str">
        <v>NY</v>
      </c>
      <c r="C176" s="25" t="s">
        <v>497</v>
      </c>
      <c r="D176" s="60"/>
      <c r="E176" s="10"/>
      <c r="F176" s="10" t="str">
        <f t="shared" si="20"/>
        <v/>
      </c>
      <c r="G176" s="61" t="str">
        <f t="shared" si="21"/>
        <v/>
      </c>
      <c r="H176" s="76"/>
      <c r="I176" s="76" t="str">
        <f t="shared" si="22"/>
        <v/>
      </c>
      <c r="J176" s="73" t="str">
        <f t="shared" si="23"/>
        <v/>
      </c>
      <c r="K176" s="82"/>
      <c r="L176" s="53"/>
    </row>
    <row r="177" spans="1:12" ht="15.6">
      <c r="A177" s="26" t="str">
        <v>Q030</v>
      </c>
      <c r="B177" s="27" t="str">
        <v>NY</v>
      </c>
      <c r="C177" s="27" t="s">
        <v>498</v>
      </c>
      <c r="D177" s="75"/>
      <c r="E177" s="14"/>
      <c r="F177" s="14" t="str">
        <f t="shared" si="20"/>
        <v/>
      </c>
      <c r="G177" s="77" t="str">
        <f t="shared" si="21"/>
        <v/>
      </c>
      <c r="H177" s="78"/>
      <c r="I177" s="78" t="str">
        <f t="shared" si="22"/>
        <v/>
      </c>
      <c r="J177" s="77" t="str">
        <f t="shared" si="23"/>
        <v/>
      </c>
      <c r="K177" s="57"/>
      <c r="L177" s="102"/>
    </row>
    <row r="178" spans="1:12" ht="15.6">
      <c r="A178" s="24" t="str">
        <v>Q130</v>
      </c>
      <c r="B178" s="25" t="str">
        <v>NY</v>
      </c>
      <c r="C178" s="25" t="s">
        <v>499</v>
      </c>
      <c r="D178" s="60"/>
      <c r="E178" s="10"/>
      <c r="F178" s="10" t="str">
        <f t="shared" si="20"/>
        <v/>
      </c>
      <c r="G178" s="61" t="str">
        <f t="shared" si="21"/>
        <v/>
      </c>
      <c r="H178" s="76"/>
      <c r="I178" s="76" t="str">
        <f t="shared" si="22"/>
        <v/>
      </c>
      <c r="J178" s="73" t="str">
        <f t="shared" si="23"/>
        <v/>
      </c>
      <c r="K178" s="82"/>
      <c r="L178" s="53"/>
    </row>
    <row r="179" spans="1:12" ht="15.6">
      <c r="A179" s="26" t="str">
        <v>Q196</v>
      </c>
      <c r="B179" s="27" t="str">
        <v>NY</v>
      </c>
      <c r="C179" s="27" t="s">
        <v>500</v>
      </c>
      <c r="D179" s="75"/>
      <c r="E179" s="14"/>
      <c r="F179" s="14" t="str">
        <f t="shared" si="20"/>
        <v/>
      </c>
      <c r="G179" s="77" t="str">
        <f t="shared" si="21"/>
        <v/>
      </c>
      <c r="H179" s="78"/>
      <c r="I179" s="78" t="str">
        <f t="shared" si="22"/>
        <v/>
      </c>
      <c r="J179" s="77" t="str">
        <f t="shared" si="23"/>
        <v/>
      </c>
      <c r="K179" s="57"/>
      <c r="L179" s="102"/>
    </row>
    <row r="180" spans="1:12" ht="15.6">
      <c r="A180" s="24" t="str">
        <v>Q220</v>
      </c>
      <c r="B180" s="25" t="str">
        <v>NY</v>
      </c>
      <c r="C180" s="25" t="s">
        <v>501</v>
      </c>
      <c r="D180" s="60"/>
      <c r="E180" s="10"/>
      <c r="F180" s="10" t="str">
        <f t="shared" si="20"/>
        <v/>
      </c>
      <c r="G180" s="61" t="str">
        <f t="shared" si="21"/>
        <v/>
      </c>
      <c r="H180" s="76"/>
      <c r="I180" s="76" t="str">
        <f t="shared" si="22"/>
        <v/>
      </c>
      <c r="J180" s="73" t="str">
        <f t="shared" si="23"/>
        <v/>
      </c>
      <c r="K180" s="82"/>
      <c r="L180" s="53"/>
    </row>
    <row r="181" spans="1:12" ht="15.6">
      <c r="A181" s="26" t="str">
        <v>Q205</v>
      </c>
      <c r="B181" s="27" t="str">
        <v>NY</v>
      </c>
      <c r="C181" s="27" t="s">
        <v>502</v>
      </c>
      <c r="D181" s="75"/>
      <c r="E181" s="14"/>
      <c r="F181" s="14" t="str">
        <f t="shared" si="20"/>
        <v/>
      </c>
      <c r="G181" s="77" t="str">
        <f t="shared" si="21"/>
        <v/>
      </c>
      <c r="H181" s="78"/>
      <c r="I181" s="78" t="str">
        <f t="shared" si="22"/>
        <v/>
      </c>
      <c r="J181" s="77" t="str">
        <f t="shared" si="23"/>
        <v/>
      </c>
      <c r="K181" s="57"/>
      <c r="L181" s="102"/>
    </row>
    <row r="182" spans="1:12" ht="15.6">
      <c r="A182" s="24" t="str">
        <v>Q400</v>
      </c>
      <c r="B182" s="25" t="str">
        <v>NY</v>
      </c>
      <c r="C182" s="25" t="s">
        <v>503</v>
      </c>
      <c r="D182" s="60"/>
      <c r="E182" s="10"/>
      <c r="F182" s="10" t="str">
        <f t="shared" si="20"/>
        <v/>
      </c>
      <c r="G182" s="61" t="str">
        <f t="shared" si="21"/>
        <v/>
      </c>
      <c r="H182" s="76"/>
      <c r="I182" s="76" t="str">
        <f t="shared" si="22"/>
        <v/>
      </c>
      <c r="J182" s="73" t="str">
        <f t="shared" si="23"/>
        <v/>
      </c>
      <c r="K182" s="82"/>
      <c r="L182" s="53"/>
    </row>
    <row r="183" spans="1:12" ht="15.6">
      <c r="A183" s="26" t="str">
        <v>R003</v>
      </c>
      <c r="B183" s="27" t="str">
        <v>NY</v>
      </c>
      <c r="C183" s="27" t="s">
        <v>504</v>
      </c>
      <c r="D183" s="75"/>
      <c r="E183" s="14"/>
      <c r="F183" s="14" t="str">
        <f t="shared" si="20"/>
        <v/>
      </c>
      <c r="G183" s="77" t="str">
        <f t="shared" si="21"/>
        <v/>
      </c>
      <c r="H183" s="78"/>
      <c r="I183" s="78" t="str">
        <f t="shared" si="22"/>
        <v/>
      </c>
      <c r="J183" s="77" t="str">
        <f t="shared" si="23"/>
        <v/>
      </c>
      <c r="K183" s="57"/>
      <c r="L183" s="102"/>
    </row>
    <row r="184" spans="1:12" ht="15.6">
      <c r="A184" s="24" t="str">
        <v>R007</v>
      </c>
      <c r="B184" s="25" t="str">
        <v>NY</v>
      </c>
      <c r="C184" s="25" t="s">
        <v>505</v>
      </c>
      <c r="D184" s="60"/>
      <c r="E184" s="10"/>
      <c r="F184" s="10" t="str">
        <f t="shared" si="20"/>
        <v/>
      </c>
      <c r="G184" s="61" t="str">
        <f t="shared" si="21"/>
        <v/>
      </c>
      <c r="H184" s="76"/>
      <c r="I184" s="76" t="str">
        <f t="shared" si="22"/>
        <v/>
      </c>
      <c r="J184" s="73" t="str">
        <f t="shared" si="23"/>
        <v/>
      </c>
      <c r="K184" s="82"/>
      <c r="L184" s="53"/>
    </row>
    <row r="185" spans="1:12" ht="15.6">
      <c r="A185" s="26" t="str">
        <v>BK16</v>
      </c>
      <c r="B185" s="27" t="str">
        <v>NY</v>
      </c>
      <c r="C185" s="27" t="s">
        <v>506</v>
      </c>
      <c r="D185" s="75"/>
      <c r="E185" s="14"/>
      <c r="F185" s="14" t="str">
        <f t="shared" si="20"/>
        <v/>
      </c>
      <c r="G185" s="77" t="str">
        <f t="shared" si="21"/>
        <v/>
      </c>
      <c r="H185" s="78"/>
      <c r="I185" s="78" t="str">
        <f t="shared" si="22"/>
        <v/>
      </c>
      <c r="J185" s="77" t="str">
        <f t="shared" si="23"/>
        <v/>
      </c>
      <c r="K185" s="57"/>
      <c r="L185" s="102"/>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85 J4:J185">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200"/>
  <sheetViews>
    <sheetView zoomScale="70" zoomScaleNormal="70" workbookViewId="0">
      <pane xSplit="2" ySplit="3" topLeftCell="C4" activePane="bottomRight" state="frozen"/>
      <selection pane="bottomRight" activeCell="I191" sqref="I19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49" t="str" cm="1">
        <f t="array" ref="A1">portfolio</f>
        <v>Generate Capital</v>
      </c>
      <c r="B1" s="149"/>
      <c r="C1" s="149"/>
      <c r="D1" s="149"/>
      <c r="E1" s="150" t="s">
        <v>507</v>
      </c>
      <c r="F1" s="150"/>
      <c r="G1" s="150"/>
      <c r="H1" s="148" t="s">
        <v>508</v>
      </c>
      <c r="I1" s="148"/>
      <c r="J1" s="148"/>
      <c r="K1" s="4"/>
      <c r="L1" s="4"/>
    </row>
    <row r="2" spans="1:12" ht="19.5" customHeight="1">
      <c r="A2" s="151" t="s">
        <v>2</v>
      </c>
      <c r="B2" s="151"/>
      <c r="C2" s="65"/>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5"/>
      <c r="L4" s="55"/>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139"/>
      <c r="L5" s="139"/>
    </row>
    <row r="6" spans="1:12" ht="15.6">
      <c r="A6" s="24" t="str">
        <v>JFK Elementary</v>
      </c>
      <c r="B6" s="25" t="str">
        <v>AZ</v>
      </c>
      <c r="C6" s="25" t="str">
        <f>Sites[[#This Row],[SOL'#]]</f>
        <v>SOL-10758</v>
      </c>
      <c r="D6" s="20"/>
      <c r="E6" s="10"/>
      <c r="F6" s="10" t="str">
        <f t="shared" si="0"/>
        <v/>
      </c>
      <c r="G6" s="11" t="str">
        <f t="shared" ref="G6:G16" si="3">IFERROR(F6/E6, "")</f>
        <v/>
      </c>
      <c r="H6" s="12"/>
      <c r="I6" s="12" t="str">
        <f t="shared" si="1"/>
        <v/>
      </c>
      <c r="J6" s="13" t="str">
        <f t="shared" si="2"/>
        <v/>
      </c>
      <c r="K6" s="55"/>
      <c r="L6" s="55"/>
    </row>
    <row r="7" spans="1:12" ht="24.75" customHeight="1">
      <c r="A7" s="26" t="str">
        <v>Noble</v>
      </c>
      <c r="B7" s="27" t="str">
        <v>AZ</v>
      </c>
      <c r="C7" s="27" t="str">
        <f>Sites[[#This Row],[SOL'#]]</f>
        <v>SOL-10750</v>
      </c>
      <c r="D7" s="9"/>
      <c r="E7" s="14"/>
      <c r="F7" s="14" t="str">
        <f t="shared" si="0"/>
        <v/>
      </c>
      <c r="G7" s="15" t="str">
        <f t="shared" si="3"/>
        <v/>
      </c>
      <c r="H7" s="16"/>
      <c r="I7" s="16" t="str">
        <f t="shared" si="1"/>
        <v/>
      </c>
      <c r="J7" s="15" t="str">
        <f t="shared" si="2"/>
        <v/>
      </c>
      <c r="K7" s="139"/>
      <c r="L7" s="106"/>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5"/>
      <c r="L8" s="55"/>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139"/>
      <c r="L9" s="107"/>
    </row>
    <row r="10" spans="1:12" ht="64.5" customHeight="1">
      <c r="A10" s="24" t="str">
        <v>Schwada</v>
      </c>
      <c r="B10" s="25" t="str">
        <v>AZ</v>
      </c>
      <c r="C10" s="25" t="str">
        <f>Sites[[#This Row],[SOL'#]]</f>
        <v>SOL-10753</v>
      </c>
      <c r="D10" s="20"/>
      <c r="E10" s="10"/>
      <c r="F10" s="10" t="str">
        <f t="shared" si="0"/>
        <v/>
      </c>
      <c r="G10" s="11" t="str">
        <f t="shared" si="3"/>
        <v/>
      </c>
      <c r="H10" s="12"/>
      <c r="I10" s="12" t="str">
        <f t="shared" si="1"/>
        <v/>
      </c>
      <c r="J10" s="13" t="str">
        <f t="shared" si="2"/>
        <v/>
      </c>
      <c r="K10" s="55"/>
      <c r="L10" s="55"/>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139"/>
      <c r="L11" s="106"/>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5"/>
      <c r="L12" s="55"/>
    </row>
    <row r="13" spans="1:12" ht="39" customHeight="1">
      <c r="A13" s="26" t="str">
        <v>Kinsman</v>
      </c>
      <c r="B13" s="27" t="str">
        <v>OH</v>
      </c>
      <c r="C13" s="27" t="str">
        <f>Sites[[#This Row],[SOL'#]]</f>
        <v>SOL-10762</v>
      </c>
      <c r="D13" s="9"/>
      <c r="E13" s="14"/>
      <c r="F13" s="14" t="str">
        <f t="shared" si="0"/>
        <v/>
      </c>
      <c r="G13" s="15" t="str">
        <f t="shared" si="3"/>
        <v/>
      </c>
      <c r="H13" s="16"/>
      <c r="I13" s="16" t="str">
        <f t="shared" si="1"/>
        <v/>
      </c>
      <c r="J13" s="15" t="str">
        <f t="shared" si="2"/>
        <v/>
      </c>
      <c r="K13" s="139"/>
      <c r="L13" s="106"/>
    </row>
    <row r="14" spans="1:12" ht="19.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55"/>
      <c r="L14" s="123"/>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139"/>
      <c r="L15" s="106"/>
    </row>
    <row r="16" spans="1:12" ht="42" customHeight="1">
      <c r="A16" s="24" t="str">
        <v>Payson Gila CC</v>
      </c>
      <c r="B16" s="25" t="str">
        <v>AZ</v>
      </c>
      <c r="C16" s="25" t="str">
        <f>Sites[[#This Row],[SOL'#]]</f>
        <v>SOL-10756</v>
      </c>
      <c r="D16" s="20"/>
      <c r="E16" s="10"/>
      <c r="F16" s="10" t="str">
        <f>IF(AND(ISNUMBER(D16),ISNUMBER(E16)), D16-E16, "")</f>
        <v/>
      </c>
      <c r="G16" s="11" t="str">
        <f t="shared" si="3"/>
        <v/>
      </c>
      <c r="H16" s="12"/>
      <c r="I16" s="12" t="str">
        <f t="shared" si="1"/>
        <v/>
      </c>
      <c r="J16" s="13" t="str">
        <f>IFERROR(I16/H16, "")</f>
        <v/>
      </c>
      <c r="K16" s="55"/>
      <c r="L16" s="55"/>
    </row>
    <row r="17" spans="1:12" ht="15.6">
      <c r="A17" s="26" t="str">
        <v>SCNM</v>
      </c>
      <c r="B17" s="27" t="str">
        <v>AZ</v>
      </c>
      <c r="C17" s="27" t="str">
        <f>Sites[[#This Row],[SOL'#]]</f>
        <v>SOL-10760</v>
      </c>
      <c r="D17" s="9"/>
      <c r="E17" s="14"/>
      <c r="F17" s="14" t="str">
        <f t="shared" si="0"/>
        <v/>
      </c>
      <c r="G17" s="15" t="str">
        <f t="shared" ref="G17:G48" si="4">IFERROR(F17/E17, "")</f>
        <v/>
      </c>
      <c r="H17" s="16"/>
      <c r="I17" s="16" t="str">
        <f t="shared" si="1"/>
        <v/>
      </c>
      <c r="J17" s="15" t="str">
        <f t="shared" si="2"/>
        <v/>
      </c>
      <c r="K17" s="139"/>
      <c r="L17" s="106"/>
    </row>
    <row r="18" spans="1:12" ht="18" customHeight="1">
      <c r="A18" s="24" t="str">
        <v>Sequoia Charter School</v>
      </c>
      <c r="B18" s="25" t="str">
        <v>AZ</v>
      </c>
      <c r="C18" s="25" t="str">
        <f>Sites[[#This Row],[SOL'#]]</f>
        <v>SOL-10759</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55"/>
      <c r="L18" s="55"/>
    </row>
    <row r="19" spans="1:12" ht="15.6">
      <c r="A19" s="26" t="str">
        <v>RCAB</v>
      </c>
      <c r="B19" s="27" t="str">
        <v>MA</v>
      </c>
      <c r="C19" s="27" t="str">
        <f>Sites[[#This Row],[SOL'#]]</f>
        <v>SOL-10838</v>
      </c>
      <c r="D19" s="9"/>
      <c r="E19" s="14"/>
      <c r="F19" s="14" t="str">
        <f t="shared" si="5"/>
        <v/>
      </c>
      <c r="G19" s="15" t="str">
        <f t="shared" si="4"/>
        <v/>
      </c>
      <c r="H19" s="16"/>
      <c r="I19" s="16" t="str">
        <f t="shared" si="6"/>
        <v/>
      </c>
      <c r="J19" s="15" t="str">
        <f t="shared" si="7"/>
        <v/>
      </c>
      <c r="K19" s="139"/>
      <c r="L19" s="106"/>
    </row>
    <row r="20" spans="1:12" ht="24.75" customHeight="1">
      <c r="A20" s="24" t="str">
        <v>Spectro Coatings</v>
      </c>
      <c r="B20" s="25" t="str">
        <v>MA</v>
      </c>
      <c r="C20" s="25" t="str">
        <f>Sites[[#This Row],[SOL'#]]</f>
        <v>SOL-10074</v>
      </c>
      <c r="D20" s="20"/>
      <c r="E20" s="10"/>
      <c r="F20" s="10" t="str">
        <f t="shared" si="5"/>
        <v/>
      </c>
      <c r="G20" s="11" t="str">
        <f t="shared" si="4"/>
        <v/>
      </c>
      <c r="H20" s="12"/>
      <c r="I20" s="12" t="str">
        <f t="shared" si="6"/>
        <v/>
      </c>
      <c r="J20" s="13" t="str">
        <f t="shared" si="7"/>
        <v/>
      </c>
      <c r="K20" s="55"/>
      <c r="L20" s="55"/>
    </row>
    <row r="21" spans="1:12" ht="15.6">
      <c r="A21" s="26" t="str">
        <v>K026</v>
      </c>
      <c r="B21" s="27" t="str">
        <v>NY</v>
      </c>
      <c r="C21" s="27" t="str">
        <f>Sites[[#This Row],[SOL'#]]</f>
        <v>SOL-10356</v>
      </c>
      <c r="D21" s="9"/>
      <c r="E21" s="14"/>
      <c r="F21" s="14" t="str">
        <f t="shared" si="5"/>
        <v/>
      </c>
      <c r="G21" s="15" t="str">
        <f t="shared" si="4"/>
        <v/>
      </c>
      <c r="H21" s="16"/>
      <c r="I21" s="16" t="str">
        <f t="shared" si="6"/>
        <v/>
      </c>
      <c r="J21" s="15" t="str">
        <f t="shared" si="7"/>
        <v/>
      </c>
      <c r="K21" s="139"/>
      <c r="L21" s="107"/>
    </row>
    <row r="22" spans="1:12" ht="15.6">
      <c r="A22" s="24" t="str">
        <v>K041</v>
      </c>
      <c r="B22" s="25" t="str">
        <v>NY</v>
      </c>
      <c r="C22" s="25" t="str">
        <f>Sites[[#This Row],[SOL'#]]</f>
        <v>SOL-10357</v>
      </c>
      <c r="D22" s="20"/>
      <c r="E22" s="10"/>
      <c r="F22" s="10" t="str">
        <f t="shared" si="5"/>
        <v/>
      </c>
      <c r="G22" s="11" t="str">
        <f t="shared" si="4"/>
        <v/>
      </c>
      <c r="H22" s="12"/>
      <c r="I22" s="12" t="str">
        <f t="shared" si="6"/>
        <v/>
      </c>
      <c r="J22" s="13" t="str">
        <f t="shared" si="7"/>
        <v/>
      </c>
      <c r="K22" s="55"/>
      <c r="L22" s="55"/>
    </row>
    <row r="23" spans="1:12" ht="27" customHeight="1">
      <c r="A23" s="26" t="str">
        <v>K043</v>
      </c>
      <c r="B23" s="27" t="str">
        <v>NY</v>
      </c>
      <c r="C23" s="27" t="str">
        <f>Sites[[#This Row],[SOL'#]]</f>
        <v>SOL-10358</v>
      </c>
      <c r="D23" s="9"/>
      <c r="E23" s="14"/>
      <c r="F23" s="14" t="str">
        <f t="shared" si="5"/>
        <v/>
      </c>
      <c r="G23" s="15" t="str">
        <f t="shared" si="4"/>
        <v/>
      </c>
      <c r="H23" s="16"/>
      <c r="I23" s="16" t="str">
        <f t="shared" si="6"/>
        <v/>
      </c>
      <c r="J23" s="15" t="str">
        <f t="shared" si="7"/>
        <v/>
      </c>
      <c r="K23" s="139"/>
      <c r="L23" s="107"/>
    </row>
    <row r="24" spans="1:12" ht="15.6">
      <c r="A24" s="24" t="str">
        <v>K058</v>
      </c>
      <c r="B24" s="25" t="str">
        <v>NY</v>
      </c>
      <c r="C24" s="25" t="str">
        <f>Sites[[#This Row],[SOL'#]]</f>
        <v>SOL-10360</v>
      </c>
      <c r="D24" s="20"/>
      <c r="E24" s="10"/>
      <c r="F24" s="10" t="str">
        <f t="shared" si="5"/>
        <v/>
      </c>
      <c r="G24" s="11" t="str">
        <f t="shared" si="4"/>
        <v/>
      </c>
      <c r="H24" s="12"/>
      <c r="I24" s="12" t="str">
        <f t="shared" si="6"/>
        <v/>
      </c>
      <c r="J24" s="13" t="str">
        <f t="shared" si="7"/>
        <v/>
      </c>
      <c r="K24" s="55"/>
      <c r="L24" s="55"/>
    </row>
    <row r="25" spans="1:12" ht="15.6">
      <c r="A25" s="26" t="str">
        <v>K115</v>
      </c>
      <c r="B25" s="27" t="str">
        <v>NY</v>
      </c>
      <c r="C25" s="27" t="str">
        <f>Sites[[#This Row],[SOL'#]]</f>
        <v>SOL-10361</v>
      </c>
      <c r="D25" s="9"/>
      <c r="E25" s="14"/>
      <c r="F25" s="14" t="str">
        <f t="shared" si="5"/>
        <v/>
      </c>
      <c r="G25" s="15" t="str">
        <f t="shared" si="4"/>
        <v/>
      </c>
      <c r="H25" s="16"/>
      <c r="I25" s="16" t="str">
        <f t="shared" si="6"/>
        <v/>
      </c>
      <c r="J25" s="15" t="str">
        <f t="shared" si="7"/>
        <v/>
      </c>
      <c r="K25" s="139"/>
      <c r="L25" s="108"/>
    </row>
    <row r="26" spans="1:12" ht="15.6">
      <c r="A26" s="24" t="str">
        <v>K152</v>
      </c>
      <c r="B26" s="25" t="str">
        <v>NY</v>
      </c>
      <c r="C26" s="25" t="str">
        <f>Sites[[#This Row],[SOL'#]]</f>
        <v>SOL-10362</v>
      </c>
      <c r="D26" s="20"/>
      <c r="E26" s="10"/>
      <c r="F26" s="10" t="str">
        <f t="shared" si="5"/>
        <v/>
      </c>
      <c r="G26" s="11" t="str">
        <f t="shared" si="4"/>
        <v/>
      </c>
      <c r="H26" s="12"/>
      <c r="I26" s="12" t="str">
        <f t="shared" si="6"/>
        <v/>
      </c>
      <c r="J26" s="13" t="str">
        <f t="shared" si="7"/>
        <v/>
      </c>
      <c r="K26" s="55"/>
      <c r="L26" s="55"/>
    </row>
    <row r="27" spans="1:12" ht="15.6">
      <c r="A27" s="26" t="str">
        <v>K166</v>
      </c>
      <c r="B27" s="27" t="str">
        <v>NY</v>
      </c>
      <c r="C27" s="27" t="str">
        <f>Sites[[#This Row],[SOL'#]]</f>
        <v>SOL-10363</v>
      </c>
      <c r="D27" s="9"/>
      <c r="E27" s="14"/>
      <c r="F27" s="14" t="str">
        <f t="shared" si="5"/>
        <v/>
      </c>
      <c r="G27" s="15" t="str">
        <f t="shared" si="4"/>
        <v/>
      </c>
      <c r="H27" s="16"/>
      <c r="I27" s="16" t="str">
        <f t="shared" si="6"/>
        <v/>
      </c>
      <c r="J27" s="15" t="str">
        <f t="shared" si="7"/>
        <v/>
      </c>
      <c r="K27" s="139"/>
      <c r="L27" s="107"/>
    </row>
    <row r="28" spans="1:12" ht="15.6">
      <c r="A28" s="24" t="str">
        <v>K206</v>
      </c>
      <c r="B28" s="25" t="str">
        <v>NY</v>
      </c>
      <c r="C28" s="25" t="str">
        <f>Sites[[#This Row],[SOL'#]]</f>
        <v>SOL-10927</v>
      </c>
      <c r="D28" s="20"/>
      <c r="E28" s="10"/>
      <c r="F28" s="10" t="str">
        <f t="shared" si="5"/>
        <v/>
      </c>
      <c r="G28" s="11" t="str">
        <f t="shared" si="4"/>
        <v/>
      </c>
      <c r="H28" s="12"/>
      <c r="I28" s="12" t="str">
        <f t="shared" si="6"/>
        <v/>
      </c>
      <c r="J28" s="13" t="str">
        <f t="shared" si="7"/>
        <v/>
      </c>
      <c r="K28" s="55"/>
      <c r="L28" s="55"/>
    </row>
    <row r="29" spans="1:12" ht="15.6">
      <c r="A29" s="26" t="str">
        <v>K251</v>
      </c>
      <c r="B29" s="27" t="str">
        <v>NY</v>
      </c>
      <c r="C29" s="27" t="str">
        <f>Sites[[#This Row],[SOL'#]]</f>
        <v>SOL-10365</v>
      </c>
      <c r="D29" s="9"/>
      <c r="E29" s="14"/>
      <c r="F29" s="14" t="str">
        <f t="shared" si="5"/>
        <v/>
      </c>
      <c r="G29" s="15" t="str">
        <f t="shared" si="4"/>
        <v/>
      </c>
      <c r="H29" s="16"/>
      <c r="I29" s="16" t="str">
        <f t="shared" si="6"/>
        <v/>
      </c>
      <c r="J29" s="15" t="str">
        <f t="shared" si="7"/>
        <v/>
      </c>
      <c r="K29" s="139"/>
      <c r="L29" s="139"/>
    </row>
    <row r="30" spans="1:12" ht="15.6">
      <c r="A30" s="24" t="str">
        <v>K269</v>
      </c>
      <c r="B30" s="25" t="str">
        <v>NY</v>
      </c>
      <c r="C30" s="25" t="str">
        <f>Sites[[#This Row],[SOL'#]]</f>
        <v>SOL-10366</v>
      </c>
      <c r="D30" s="20"/>
      <c r="E30" s="10"/>
      <c r="F30" s="10" t="str">
        <f t="shared" si="5"/>
        <v/>
      </c>
      <c r="G30" s="11" t="str">
        <f t="shared" si="4"/>
        <v/>
      </c>
      <c r="H30" s="12"/>
      <c r="I30" s="12" t="str">
        <f t="shared" si="6"/>
        <v/>
      </c>
      <c r="J30" s="13" t="str">
        <f t="shared" si="7"/>
        <v/>
      </c>
      <c r="K30" s="55"/>
      <c r="L30" s="55"/>
    </row>
    <row r="31" spans="1:12" ht="15.6">
      <c r="A31" s="26" t="str">
        <v>K273</v>
      </c>
      <c r="B31" s="27" t="str">
        <v>NY</v>
      </c>
      <c r="C31" s="27" t="str">
        <f>Sites[[#This Row],[SOL'#]]</f>
        <v>SOL-10367</v>
      </c>
      <c r="D31" s="9"/>
      <c r="E31" s="14"/>
      <c r="F31" s="14" t="str">
        <f t="shared" si="5"/>
        <v/>
      </c>
      <c r="G31" s="15" t="str">
        <f t="shared" si="4"/>
        <v/>
      </c>
      <c r="H31" s="16"/>
      <c r="I31" s="16" t="str">
        <f t="shared" si="6"/>
        <v/>
      </c>
      <c r="J31" s="15" t="str">
        <f t="shared" si="7"/>
        <v/>
      </c>
      <c r="K31" s="139"/>
      <c r="L31" s="139"/>
    </row>
    <row r="32" spans="1:12" ht="15.6">
      <c r="A32" s="24" t="str">
        <v>K287</v>
      </c>
      <c r="B32" s="25" t="str">
        <v>NY</v>
      </c>
      <c r="C32" s="25" t="str">
        <f>Sites[[#This Row],[SOL'#]]</f>
        <v>SOL-10919</v>
      </c>
      <c r="D32" s="20"/>
      <c r="E32" s="10"/>
      <c r="F32" s="10" t="str">
        <f t="shared" si="5"/>
        <v/>
      </c>
      <c r="G32" s="11" t="str">
        <f t="shared" si="4"/>
        <v/>
      </c>
      <c r="H32" s="12"/>
      <c r="I32" s="12" t="str">
        <f t="shared" si="6"/>
        <v/>
      </c>
      <c r="J32" s="13" t="str">
        <f t="shared" si="7"/>
        <v/>
      </c>
      <c r="K32" s="55"/>
      <c r="L32" s="55"/>
    </row>
    <row r="33" spans="1:12" ht="15.6">
      <c r="A33" s="26" t="str">
        <v>K298</v>
      </c>
      <c r="B33" s="27" t="str">
        <v>NY</v>
      </c>
      <c r="C33" s="27" t="str">
        <f>Sites[[#This Row],[SOL'#]]</f>
        <v>SOL-10368</v>
      </c>
      <c r="D33" s="9"/>
      <c r="E33" s="14"/>
      <c r="F33" s="14" t="str">
        <f t="shared" si="5"/>
        <v/>
      </c>
      <c r="G33" s="15" t="str">
        <f t="shared" si="4"/>
        <v/>
      </c>
      <c r="H33" s="16"/>
      <c r="I33" s="16" t="str">
        <f t="shared" si="6"/>
        <v/>
      </c>
      <c r="J33" s="15" t="str">
        <f t="shared" si="7"/>
        <v/>
      </c>
      <c r="K33" s="139"/>
      <c r="L33" s="139"/>
    </row>
    <row r="34" spans="1:12" ht="15.6">
      <c r="A34" s="24" t="str">
        <v>K335</v>
      </c>
      <c r="B34" s="25" t="str">
        <v>NY</v>
      </c>
      <c r="C34" s="25" t="str">
        <f>Sites[[#This Row],[SOL'#]]</f>
        <v>SOL-10370</v>
      </c>
      <c r="D34" s="20"/>
      <c r="E34" s="10"/>
      <c r="F34" s="10" t="str">
        <f t="shared" si="5"/>
        <v/>
      </c>
      <c r="G34" s="11" t="str">
        <f t="shared" si="4"/>
        <v/>
      </c>
      <c r="H34" s="12"/>
      <c r="I34" s="12" t="str">
        <f t="shared" si="6"/>
        <v/>
      </c>
      <c r="J34" s="13" t="str">
        <f t="shared" si="7"/>
        <v/>
      </c>
      <c r="K34" s="55"/>
      <c r="L34" s="55"/>
    </row>
    <row r="35" spans="1:12" ht="15.6">
      <c r="A35" s="26" t="str">
        <v>K345</v>
      </c>
      <c r="B35" s="27" t="str">
        <v>NY</v>
      </c>
      <c r="C35" s="27" t="str">
        <f>Sites[[#This Row],[SOL'#]]</f>
        <v>SOL-10920</v>
      </c>
      <c r="D35" s="9"/>
      <c r="E35" s="14"/>
      <c r="F35" s="14" t="str">
        <f t="shared" si="5"/>
        <v/>
      </c>
      <c r="G35" s="15" t="str">
        <f t="shared" si="4"/>
        <v/>
      </c>
      <c r="H35" s="16"/>
      <c r="I35" s="16" t="str">
        <f t="shared" si="6"/>
        <v/>
      </c>
      <c r="J35" s="15" t="str">
        <f t="shared" si="7"/>
        <v/>
      </c>
      <c r="K35" s="139"/>
      <c r="L35" s="107"/>
    </row>
    <row r="36" spans="1:12" ht="15.6">
      <c r="A36" s="24" t="str">
        <v>K445</v>
      </c>
      <c r="B36" s="25" t="str">
        <v>NY</v>
      </c>
      <c r="C36" s="25" t="str">
        <f>Sites[[#This Row],[SOL'#]]</f>
        <v>SOL-10373</v>
      </c>
      <c r="D36" s="20"/>
      <c r="E36" s="10"/>
      <c r="F36" s="10" t="str">
        <f t="shared" si="5"/>
        <v/>
      </c>
      <c r="G36" s="11" t="str">
        <f t="shared" si="4"/>
        <v/>
      </c>
      <c r="H36" s="12"/>
      <c r="I36" s="12" t="str">
        <f t="shared" si="6"/>
        <v/>
      </c>
      <c r="J36" s="13" t="str">
        <f t="shared" si="7"/>
        <v/>
      </c>
      <c r="K36" s="55"/>
      <c r="L36" s="55"/>
    </row>
    <row r="37" spans="1:12" ht="15.6">
      <c r="A37" s="26" t="str">
        <v>K495</v>
      </c>
      <c r="B37" s="27" t="str">
        <v>NY</v>
      </c>
      <c r="C37" s="27" t="str">
        <f>Sites[[#This Row],[SOL'#]]</f>
        <v>SOL-10374</v>
      </c>
      <c r="D37" s="9"/>
      <c r="E37" s="14"/>
      <c r="F37" s="14" t="str">
        <f t="shared" si="5"/>
        <v/>
      </c>
      <c r="G37" s="15" t="str">
        <f t="shared" si="4"/>
        <v/>
      </c>
      <c r="H37" s="16"/>
      <c r="I37" s="16" t="str">
        <f t="shared" si="6"/>
        <v/>
      </c>
      <c r="J37" s="15" t="str">
        <f t="shared" si="7"/>
        <v/>
      </c>
      <c r="K37" s="139"/>
      <c r="L37" s="107"/>
    </row>
    <row r="38" spans="1:12" ht="15.6">
      <c r="A38" s="24" t="str">
        <v>M020</v>
      </c>
      <c r="B38" s="25" t="str">
        <v>NY</v>
      </c>
      <c r="C38" s="25" t="str">
        <f>Sites[[#This Row],[SOL'#]]</f>
        <v>SOL-10380</v>
      </c>
      <c r="D38" s="20"/>
      <c r="E38" s="10"/>
      <c r="F38" s="10" t="str">
        <f t="shared" si="5"/>
        <v/>
      </c>
      <c r="G38" s="11" t="str">
        <f t="shared" si="4"/>
        <v/>
      </c>
      <c r="H38" s="12"/>
      <c r="I38" s="12" t="str">
        <f t="shared" si="6"/>
        <v/>
      </c>
      <c r="J38" s="13" t="str">
        <f t="shared" si="7"/>
        <v/>
      </c>
      <c r="K38" s="55"/>
      <c r="L38" s="55"/>
    </row>
    <row r="39" spans="1:12" ht="15.6">
      <c r="A39" s="26" t="str">
        <v>M092</v>
      </c>
      <c r="B39" s="27" t="str">
        <v>NY</v>
      </c>
      <c r="C39" s="27" t="str">
        <f>Sites[[#This Row],[SOL'#]]</f>
        <v>SOL-10383</v>
      </c>
      <c r="D39" s="9"/>
      <c r="E39" s="14"/>
      <c r="F39" s="14" t="str">
        <f t="shared" si="5"/>
        <v/>
      </c>
      <c r="G39" s="15" t="str">
        <f t="shared" si="4"/>
        <v/>
      </c>
      <c r="H39" s="16"/>
      <c r="I39" s="16" t="str">
        <f t="shared" si="6"/>
        <v/>
      </c>
      <c r="J39" s="15" t="str">
        <f t="shared" si="7"/>
        <v/>
      </c>
      <c r="K39" s="139"/>
      <c r="L39" s="107"/>
    </row>
    <row r="40" spans="1:12" ht="15.6">
      <c r="A40" s="24" t="str">
        <v>M143</v>
      </c>
      <c r="B40" s="25" t="str">
        <v>NY</v>
      </c>
      <c r="C40" s="25" t="str">
        <f>Sites[[#This Row],[SOL'#]]</f>
        <v>SOL-10384</v>
      </c>
      <c r="D40" s="20"/>
      <c r="E40" s="10"/>
      <c r="F40" s="10" t="str">
        <f t="shared" si="5"/>
        <v/>
      </c>
      <c r="G40" s="11" t="str">
        <f t="shared" si="4"/>
        <v/>
      </c>
      <c r="H40" s="12"/>
      <c r="I40" s="12" t="str">
        <f t="shared" si="6"/>
        <v/>
      </c>
      <c r="J40" s="13" t="str">
        <f t="shared" si="7"/>
        <v/>
      </c>
      <c r="K40" s="55"/>
      <c r="L40" s="55"/>
    </row>
    <row r="41" spans="1:12" ht="15.6">
      <c r="A41" s="26" t="str">
        <v>M144</v>
      </c>
      <c r="B41" s="27" t="str">
        <v>NY</v>
      </c>
      <c r="C41" s="27" t="str">
        <f>Sites[[#This Row],[SOL'#]]</f>
        <v>SOL-10385</v>
      </c>
      <c r="D41" s="9"/>
      <c r="E41" s="14"/>
      <c r="F41" s="14" t="str">
        <f t="shared" si="5"/>
        <v/>
      </c>
      <c r="G41" s="15" t="str">
        <f t="shared" si="4"/>
        <v/>
      </c>
      <c r="H41" s="16"/>
      <c r="I41" s="16" t="str">
        <f t="shared" si="6"/>
        <v/>
      </c>
      <c r="J41" s="15" t="str">
        <f t="shared" si="7"/>
        <v/>
      </c>
      <c r="K41" s="139"/>
      <c r="L41" s="139"/>
    </row>
    <row r="42" spans="1:12" ht="15.6">
      <c r="A42" s="24" t="str">
        <v>M167</v>
      </c>
      <c r="B42" s="25" t="str">
        <v>NY</v>
      </c>
      <c r="C42" s="25" t="str">
        <f>Sites[[#This Row],[SOL'#]]</f>
        <v>SOL-10386</v>
      </c>
      <c r="D42" s="20"/>
      <c r="E42" s="10"/>
      <c r="F42" s="10" t="str">
        <f t="shared" si="5"/>
        <v/>
      </c>
      <c r="G42" s="11" t="str">
        <f t="shared" si="4"/>
        <v/>
      </c>
      <c r="H42" s="12"/>
      <c r="I42" s="12" t="str">
        <f t="shared" si="6"/>
        <v/>
      </c>
      <c r="J42" s="13" t="str">
        <f t="shared" si="7"/>
        <v/>
      </c>
      <c r="K42" s="55"/>
      <c r="L42" s="55"/>
    </row>
    <row r="43" spans="1:12" ht="15.6">
      <c r="A43" s="26" t="str">
        <v>M188</v>
      </c>
      <c r="B43" s="27" t="str">
        <v>NY</v>
      </c>
      <c r="C43" s="27" t="str">
        <f>Sites[[#This Row],[SOL'#]]</f>
        <v>SOL-10387</v>
      </c>
      <c r="D43" s="9"/>
      <c r="E43" s="14"/>
      <c r="F43" s="14" t="str">
        <f t="shared" si="5"/>
        <v/>
      </c>
      <c r="G43" s="15" t="str">
        <f t="shared" si="4"/>
        <v/>
      </c>
      <c r="H43" s="16"/>
      <c r="I43" s="16" t="str">
        <f t="shared" si="6"/>
        <v/>
      </c>
      <c r="J43" s="15" t="str">
        <f t="shared" si="7"/>
        <v/>
      </c>
      <c r="K43" s="139"/>
      <c r="L43" s="108"/>
    </row>
    <row r="44" spans="1:12" ht="15.6">
      <c r="A44" s="24" t="str">
        <v>EMHC</v>
      </c>
      <c r="B44" s="25" t="str">
        <v>NY</v>
      </c>
      <c r="C44" s="25" t="str">
        <f>Sites[[#This Row],[SOL'#]]</f>
        <v>SOL-10351</v>
      </c>
      <c r="D44" s="20"/>
      <c r="E44" s="10"/>
      <c r="F44" s="10" t="str">
        <f t="shared" si="5"/>
        <v/>
      </c>
      <c r="G44" s="11" t="str">
        <f t="shared" si="4"/>
        <v/>
      </c>
      <c r="H44" s="12"/>
      <c r="I44" s="12" t="str">
        <f t="shared" si="6"/>
        <v/>
      </c>
      <c r="J44" s="13" t="str">
        <f t="shared" si="7"/>
        <v/>
      </c>
      <c r="K44" s="55"/>
      <c r="L44" s="55"/>
    </row>
    <row r="45" spans="1:12" ht="15.6">
      <c r="A45" s="26" t="str">
        <v>Q008</v>
      </c>
      <c r="B45" s="27" t="str">
        <v>NY</v>
      </c>
      <c r="C45" s="27" t="str">
        <f>Sites[[#This Row],[SOL'#]]</f>
        <v>SOL-10397</v>
      </c>
      <c r="D45" s="9"/>
      <c r="E45" s="14"/>
      <c r="F45" s="14" t="str">
        <f t="shared" si="5"/>
        <v/>
      </c>
      <c r="G45" s="15" t="str">
        <f t="shared" si="4"/>
        <v/>
      </c>
      <c r="H45" s="16"/>
      <c r="I45" s="16" t="str">
        <f t="shared" si="6"/>
        <v/>
      </c>
      <c r="J45" s="15" t="str">
        <f t="shared" si="7"/>
        <v/>
      </c>
      <c r="K45" s="139"/>
      <c r="L45" s="107"/>
    </row>
    <row r="46" spans="1:12" ht="15.6">
      <c r="A46" s="24" t="str">
        <v>Q018</v>
      </c>
      <c r="B46" s="25" t="str">
        <v>NY</v>
      </c>
      <c r="C46" s="25" t="str">
        <f>Sites[[#This Row],[SOL'#]]</f>
        <v>SOL-10398</v>
      </c>
      <c r="D46" s="20"/>
      <c r="E46" s="10"/>
      <c r="F46" s="10" t="str">
        <f t="shared" si="5"/>
        <v/>
      </c>
      <c r="G46" s="11" t="str">
        <f t="shared" si="4"/>
        <v/>
      </c>
      <c r="H46" s="12"/>
      <c r="I46" s="12" t="str">
        <f t="shared" si="6"/>
        <v/>
      </c>
      <c r="J46" s="13" t="str">
        <f t="shared" si="7"/>
        <v/>
      </c>
      <c r="K46" s="55"/>
      <c r="L46" s="55"/>
    </row>
    <row r="47" spans="1:12" ht="15.6">
      <c r="A47" s="26" t="str">
        <v>Q021</v>
      </c>
      <c r="B47" s="27" t="str">
        <v>NY</v>
      </c>
      <c r="C47" s="27" t="str">
        <f>Sites[[#This Row],[SOL'#]]</f>
        <v>SOL-10399</v>
      </c>
      <c r="D47" s="9"/>
      <c r="E47" s="14"/>
      <c r="F47" s="14" t="str">
        <f t="shared" si="5"/>
        <v/>
      </c>
      <c r="G47" s="15" t="str">
        <f t="shared" si="4"/>
        <v/>
      </c>
      <c r="H47" s="16"/>
      <c r="I47" s="16" t="str">
        <f t="shared" si="6"/>
        <v/>
      </c>
      <c r="J47" s="15" t="str">
        <f t="shared" si="7"/>
        <v/>
      </c>
      <c r="K47" s="139"/>
      <c r="L47" s="106"/>
    </row>
    <row r="48" spans="1:12" ht="63.75" customHeight="1">
      <c r="A48" s="24" t="str">
        <v>Q025</v>
      </c>
      <c r="B48" s="25" t="str">
        <v>NY</v>
      </c>
      <c r="C48" s="25" t="str">
        <f>Sites[[#This Row],[SOL'#]]</f>
        <v>SOL-10400</v>
      </c>
      <c r="D48" s="20"/>
      <c r="E48" s="10"/>
      <c r="F48" s="10" t="str">
        <f t="shared" si="5"/>
        <v/>
      </c>
      <c r="G48" s="11" t="str">
        <f t="shared" si="4"/>
        <v/>
      </c>
      <c r="H48" s="12"/>
      <c r="I48" s="12" t="str">
        <f t="shared" si="6"/>
        <v/>
      </c>
      <c r="J48" s="13" t="str">
        <f t="shared" si="7"/>
        <v/>
      </c>
      <c r="K48" s="55"/>
      <c r="L48" s="55"/>
    </row>
    <row r="49" spans="1:12" ht="15.6">
      <c r="A49" s="26" t="str">
        <v>Q074</v>
      </c>
      <c r="B49" s="27" t="str">
        <v>NY</v>
      </c>
      <c r="C49" s="27" t="str">
        <f>Sites[[#This Row],[SOL'#]]</f>
        <v>SOL-10402</v>
      </c>
      <c r="D49" s="9"/>
      <c r="E49" s="14"/>
      <c r="F49" s="14" t="str">
        <f t="shared" si="5"/>
        <v/>
      </c>
      <c r="G49" s="15" t="str">
        <f t="shared" ref="G49:G80" si="8">IFERROR(F49/E49, "")</f>
        <v/>
      </c>
      <c r="H49" s="16"/>
      <c r="I49" s="16" t="str">
        <f t="shared" si="6"/>
        <v/>
      </c>
      <c r="J49" s="15" t="str">
        <f t="shared" si="7"/>
        <v/>
      </c>
      <c r="K49" s="139"/>
      <c r="L49" s="106"/>
    </row>
    <row r="50" spans="1:12" ht="15.6">
      <c r="A50" s="24" t="str">
        <v>Q115</v>
      </c>
      <c r="B50" s="25" t="str">
        <v>NY</v>
      </c>
      <c r="C50" s="25" t="str">
        <f>Sites[[#This Row],[SOL'#]]</f>
        <v>SOL-10872</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55"/>
      <c r="L50" s="55"/>
    </row>
    <row r="51" spans="1:12" ht="39.75" customHeight="1">
      <c r="A51" s="26" t="str">
        <v>Q139</v>
      </c>
      <c r="B51" s="27" t="str">
        <v>NY</v>
      </c>
      <c r="C51" s="27" t="str">
        <f>Sites[[#This Row],[SOL'#]]</f>
        <v>SOL-10403</v>
      </c>
      <c r="D51" s="9"/>
      <c r="E51" s="14"/>
      <c r="F51" s="14" t="str">
        <f t="shared" si="9"/>
        <v/>
      </c>
      <c r="G51" s="15" t="str">
        <f t="shared" si="8"/>
        <v/>
      </c>
      <c r="H51" s="16"/>
      <c r="I51" s="16" t="str">
        <f t="shared" si="10"/>
        <v/>
      </c>
      <c r="J51" s="15" t="str">
        <f t="shared" si="11"/>
        <v/>
      </c>
      <c r="K51" s="139"/>
      <c r="L51" s="106"/>
    </row>
    <row r="52" spans="1:12" ht="15.6">
      <c r="A52" s="24" t="str">
        <v>Q157</v>
      </c>
      <c r="B52" s="25" t="str">
        <v>NY</v>
      </c>
      <c r="C52" s="25" t="str">
        <f>Sites[[#This Row],[SOL'#]]</f>
        <v>SOL-10404</v>
      </c>
      <c r="D52" s="20"/>
      <c r="E52" s="10"/>
      <c r="F52" s="10" t="str">
        <f t="shared" si="9"/>
        <v/>
      </c>
      <c r="G52" s="11" t="str">
        <f t="shared" si="8"/>
        <v/>
      </c>
      <c r="H52" s="12"/>
      <c r="I52" s="12" t="str">
        <f t="shared" si="10"/>
        <v/>
      </c>
      <c r="J52" s="13" t="str">
        <f t="shared" si="11"/>
        <v/>
      </c>
      <c r="K52" s="55"/>
      <c r="L52" s="55"/>
    </row>
    <row r="53" spans="1:12" ht="15.6">
      <c r="A53" s="26" t="str">
        <v>Q192</v>
      </c>
      <c r="B53" s="27" t="str">
        <v>NY</v>
      </c>
      <c r="C53" s="27" t="str">
        <f>Sites[[#This Row],[SOL'#]]</f>
        <v>SOL-10406</v>
      </c>
      <c r="D53" s="9"/>
      <c r="E53" s="14"/>
      <c r="F53" s="14" t="str">
        <f t="shared" si="9"/>
        <v/>
      </c>
      <c r="G53" s="15" t="str">
        <f t="shared" si="8"/>
        <v/>
      </c>
      <c r="H53" s="16"/>
      <c r="I53" s="16" t="str">
        <f t="shared" si="10"/>
        <v/>
      </c>
      <c r="J53" s="15" t="str">
        <f t="shared" si="11"/>
        <v/>
      </c>
      <c r="K53" s="139"/>
      <c r="L53" s="139"/>
    </row>
    <row r="54" spans="1:12" ht="15.6">
      <c r="A54" s="24" t="str">
        <v>Q210</v>
      </c>
      <c r="B54" s="25" t="str">
        <v>NY</v>
      </c>
      <c r="C54" s="25" t="str">
        <f>Sites[[#This Row],[SOL'#]]</f>
        <v>SOL-10407</v>
      </c>
      <c r="D54" s="20"/>
      <c r="E54" s="10"/>
      <c r="F54" s="10" t="str">
        <f t="shared" si="9"/>
        <v/>
      </c>
      <c r="G54" s="11" t="str">
        <f t="shared" si="8"/>
        <v/>
      </c>
      <c r="H54" s="12"/>
      <c r="I54" s="12" t="str">
        <f t="shared" si="10"/>
        <v/>
      </c>
      <c r="J54" s="13" t="str">
        <f t="shared" si="11"/>
        <v/>
      </c>
      <c r="K54" s="55"/>
      <c r="L54" s="55"/>
    </row>
    <row r="55" spans="1:12" ht="15.6">
      <c r="A55" s="26" t="str">
        <v>Q229</v>
      </c>
      <c r="B55" s="27" t="str">
        <v>NY</v>
      </c>
      <c r="C55" s="27" t="str">
        <f>Sites[[#This Row],[SOL'#]]</f>
        <v>SOL-10408</v>
      </c>
      <c r="D55" s="9"/>
      <c r="E55" s="14"/>
      <c r="F55" s="14" t="str">
        <f t="shared" si="9"/>
        <v/>
      </c>
      <c r="G55" s="15" t="str">
        <f t="shared" si="8"/>
        <v/>
      </c>
      <c r="H55" s="16"/>
      <c r="I55" s="16" t="str">
        <f t="shared" si="10"/>
        <v/>
      </c>
      <c r="J55" s="15" t="str">
        <f t="shared" si="11"/>
        <v/>
      </c>
      <c r="K55" s="139"/>
      <c r="L55" s="106"/>
    </row>
    <row r="56" spans="1:12" ht="15.6">
      <c r="A56" s="24" t="str">
        <v>Q231</v>
      </c>
      <c r="B56" s="25" t="str">
        <v>NY</v>
      </c>
      <c r="C56" s="25" t="str">
        <f>Sites[[#This Row],[SOL'#]]</f>
        <v>SOL-10870</v>
      </c>
      <c r="D56" s="20"/>
      <c r="E56" s="10"/>
      <c r="F56" s="10" t="str">
        <f t="shared" si="9"/>
        <v/>
      </c>
      <c r="G56" s="11" t="str">
        <f t="shared" si="8"/>
        <v/>
      </c>
      <c r="H56" s="12"/>
      <c r="I56" s="12" t="str">
        <f t="shared" si="10"/>
        <v/>
      </c>
      <c r="J56" s="13" t="str">
        <f t="shared" si="11"/>
        <v/>
      </c>
      <c r="K56" s="55"/>
      <c r="L56" s="55"/>
    </row>
    <row r="57" spans="1:12" ht="15.6">
      <c r="A57" s="26" t="str">
        <v>Q405</v>
      </c>
      <c r="B57" s="27" t="str">
        <v>NY</v>
      </c>
      <c r="C57" s="27" t="str">
        <f>Sites[[#This Row],[SOL'#]]</f>
        <v>SOL-10409</v>
      </c>
      <c r="D57" s="9"/>
      <c r="E57" s="14"/>
      <c r="F57" s="14" t="str">
        <f t="shared" si="9"/>
        <v/>
      </c>
      <c r="G57" s="15" t="str">
        <f t="shared" si="8"/>
        <v/>
      </c>
      <c r="H57" s="16"/>
      <c r="I57" s="16" t="str">
        <f t="shared" si="10"/>
        <v/>
      </c>
      <c r="J57" s="15" t="str">
        <f t="shared" si="11"/>
        <v/>
      </c>
      <c r="K57" s="109"/>
      <c r="L57" s="106"/>
    </row>
    <row r="58" spans="1:12" ht="15.6">
      <c r="A58" s="24" t="str">
        <v>Q435</v>
      </c>
      <c r="B58" s="25" t="str">
        <v>NY</v>
      </c>
      <c r="C58" s="25" t="str">
        <f>Sites[[#This Row],[SOL'#]]</f>
        <v>SOL-10923</v>
      </c>
      <c r="D58" s="20"/>
      <c r="E58" s="10"/>
      <c r="F58" s="10" t="str">
        <f t="shared" si="9"/>
        <v/>
      </c>
      <c r="G58" s="11" t="str">
        <f t="shared" si="8"/>
        <v/>
      </c>
      <c r="H58" s="12"/>
      <c r="I58" s="12" t="str">
        <f t="shared" si="10"/>
        <v/>
      </c>
      <c r="J58" s="13" t="str">
        <f t="shared" si="11"/>
        <v/>
      </c>
      <c r="K58" s="124"/>
      <c r="L58" s="55"/>
    </row>
    <row r="59" spans="1:12" ht="15.6">
      <c r="A59" s="26" t="str">
        <v>Q485</v>
      </c>
      <c r="B59" s="27" t="str">
        <v>NY</v>
      </c>
      <c r="C59" s="27" t="str">
        <f>Sites[[#This Row],[SOL'#]]</f>
        <v>SOL-10869</v>
      </c>
      <c r="D59" s="9"/>
      <c r="E59" s="14"/>
      <c r="F59" s="14" t="str">
        <f t="shared" si="9"/>
        <v/>
      </c>
      <c r="G59" s="15" t="str">
        <f t="shared" si="8"/>
        <v/>
      </c>
      <c r="H59" s="16"/>
      <c r="I59" s="16" t="str">
        <f t="shared" si="10"/>
        <v/>
      </c>
      <c r="J59" s="15" t="str">
        <f t="shared" si="11"/>
        <v/>
      </c>
      <c r="K59" s="139"/>
      <c r="L59" s="108"/>
    </row>
    <row r="60" spans="1:12" ht="15.6">
      <c r="A60" s="24" t="str">
        <v>Q490</v>
      </c>
      <c r="B60" s="25" t="str">
        <v>NY</v>
      </c>
      <c r="C60" s="25" t="str">
        <f>Sites[[#This Row],[SOL'#]]</f>
        <v>SOL-10411</v>
      </c>
      <c r="D60" s="20"/>
      <c r="E60" s="10"/>
      <c r="F60" s="10" t="str">
        <f t="shared" si="9"/>
        <v/>
      </c>
      <c r="G60" s="11" t="str">
        <f t="shared" si="8"/>
        <v/>
      </c>
      <c r="H60" s="12"/>
      <c r="I60" s="12" t="str">
        <f t="shared" si="10"/>
        <v/>
      </c>
      <c r="J60" s="13" t="str">
        <f t="shared" si="11"/>
        <v/>
      </c>
      <c r="K60" s="55"/>
      <c r="L60" s="55"/>
    </row>
    <row r="61" spans="1:12" ht="15.6">
      <c r="A61" s="26" t="str">
        <v>Q620</v>
      </c>
      <c r="B61" s="27" t="str">
        <v>NY</v>
      </c>
      <c r="C61" s="27" t="str">
        <f>Sites[[#This Row],[SOL'#]]</f>
        <v>SOL-10867</v>
      </c>
      <c r="D61" s="9"/>
      <c r="E61" s="14"/>
      <c r="F61" s="14" t="str">
        <f t="shared" si="9"/>
        <v/>
      </c>
      <c r="G61" s="15" t="str">
        <f t="shared" si="8"/>
        <v/>
      </c>
      <c r="H61" s="16"/>
      <c r="I61" s="16" t="str">
        <f t="shared" si="10"/>
        <v/>
      </c>
      <c r="J61" s="15" t="str">
        <f t="shared" si="11"/>
        <v/>
      </c>
      <c r="K61" s="139"/>
      <c r="L61" s="107"/>
    </row>
    <row r="62" spans="1:12" ht="15.6">
      <c r="A62" s="24" t="str">
        <v>QMOA</v>
      </c>
      <c r="B62" s="25" t="str">
        <v>NY</v>
      </c>
      <c r="C62" s="25" t="str">
        <f>Sites[[#This Row],[SOL'#]]</f>
        <v>SOL-10415</v>
      </c>
      <c r="D62" s="20"/>
      <c r="E62" s="10"/>
      <c r="F62" s="10" t="str">
        <f t="shared" si="9"/>
        <v/>
      </c>
      <c r="G62" s="11" t="str">
        <f t="shared" si="8"/>
        <v/>
      </c>
      <c r="H62" s="12"/>
      <c r="I62" s="12" t="str">
        <f t="shared" si="10"/>
        <v/>
      </c>
      <c r="J62" s="13" t="str">
        <f t="shared" si="11"/>
        <v/>
      </c>
      <c r="K62" s="55"/>
      <c r="L62" s="55"/>
    </row>
    <row r="63" spans="1:12" ht="15.6">
      <c r="A63" s="26" t="str">
        <v>X024</v>
      </c>
      <c r="B63" s="27" t="str">
        <v>NY</v>
      </c>
      <c r="C63" s="27" t="str">
        <f>Sites[[#This Row],[SOL'#]]</f>
        <v>SOL-10419</v>
      </c>
      <c r="D63" s="9"/>
      <c r="E63" s="14"/>
      <c r="F63" s="14" t="str">
        <f t="shared" si="9"/>
        <v/>
      </c>
      <c r="G63" s="15" t="str">
        <f t="shared" si="8"/>
        <v/>
      </c>
      <c r="H63" s="16"/>
      <c r="I63" s="16" t="str">
        <f t="shared" si="10"/>
        <v/>
      </c>
      <c r="J63" s="15" t="str">
        <f t="shared" si="11"/>
        <v/>
      </c>
      <c r="K63" s="139"/>
      <c r="L63" s="106"/>
    </row>
    <row r="64" spans="1:12" ht="15.6">
      <c r="A64" s="24" t="str">
        <v>X026</v>
      </c>
      <c r="B64" s="25" t="str">
        <v>NY</v>
      </c>
      <c r="C64" s="25" t="str">
        <f>Sites[[#This Row],[SOL'#]]</f>
        <v>SOL-10420</v>
      </c>
      <c r="D64" s="20"/>
      <c r="E64" s="10"/>
      <c r="F64" s="10" t="str">
        <f t="shared" si="9"/>
        <v/>
      </c>
      <c r="G64" s="11" t="str">
        <f t="shared" si="8"/>
        <v/>
      </c>
      <c r="H64" s="12"/>
      <c r="I64" s="12" t="str">
        <f t="shared" si="10"/>
        <v/>
      </c>
      <c r="J64" s="13" t="str">
        <f t="shared" si="11"/>
        <v/>
      </c>
      <c r="K64" s="55"/>
      <c r="L64" s="55"/>
    </row>
    <row r="65" spans="1:12" ht="15.6">
      <c r="A65" s="26" t="str">
        <v>X090</v>
      </c>
      <c r="B65" s="27" t="str">
        <v>NY</v>
      </c>
      <c r="C65" s="27" t="str">
        <f>Sites[[#This Row],[SOL'#]]</f>
        <v>SOL-10925</v>
      </c>
      <c r="D65" s="9"/>
      <c r="E65" s="14"/>
      <c r="F65" s="14" t="str">
        <f t="shared" si="9"/>
        <v/>
      </c>
      <c r="G65" s="15" t="str">
        <f t="shared" si="8"/>
        <v/>
      </c>
      <c r="H65" s="16"/>
      <c r="I65" s="16" t="str">
        <f t="shared" si="10"/>
        <v/>
      </c>
      <c r="J65" s="15" t="str">
        <f t="shared" si="11"/>
        <v/>
      </c>
      <c r="K65" s="139"/>
      <c r="L65" s="139"/>
    </row>
    <row r="66" spans="1:12" ht="15.6">
      <c r="A66" s="24" t="str">
        <v>X117</v>
      </c>
      <c r="B66" s="25" t="str">
        <v>NY</v>
      </c>
      <c r="C66" s="25" t="str">
        <f>Sites[[#This Row],[SOL'#]]</f>
        <v>SOL-10422</v>
      </c>
      <c r="D66" s="20"/>
      <c r="E66" s="10"/>
      <c r="F66" s="10" t="str">
        <f t="shared" si="9"/>
        <v/>
      </c>
      <c r="G66" s="11" t="str">
        <f t="shared" si="8"/>
        <v/>
      </c>
      <c r="H66" s="12"/>
      <c r="I66" s="12" t="str">
        <f t="shared" si="10"/>
        <v/>
      </c>
      <c r="J66" s="13" t="str">
        <f t="shared" si="11"/>
        <v/>
      </c>
      <c r="K66" s="55"/>
      <c r="L66" s="55"/>
    </row>
    <row r="67" spans="1:12" ht="42" customHeight="1">
      <c r="A67" s="26" t="str">
        <v>X125</v>
      </c>
      <c r="B67" s="27" t="str">
        <v>NY</v>
      </c>
      <c r="C67" s="27" t="str">
        <f>Sites[[#This Row],[SOL'#]]</f>
        <v>SOL-10423</v>
      </c>
      <c r="D67" s="9"/>
      <c r="E67" s="14"/>
      <c r="F67" s="14" t="str">
        <f t="shared" si="9"/>
        <v/>
      </c>
      <c r="G67" s="15" t="str">
        <f t="shared" si="8"/>
        <v/>
      </c>
      <c r="H67" s="16"/>
      <c r="I67" s="16" t="str">
        <f t="shared" si="10"/>
        <v/>
      </c>
      <c r="J67" s="15" t="str">
        <f t="shared" si="11"/>
        <v/>
      </c>
      <c r="K67" s="139"/>
      <c r="L67" s="139"/>
    </row>
    <row r="68" spans="1:12" ht="15.6">
      <c r="A68" s="24" t="str">
        <v>X134</v>
      </c>
      <c r="B68" s="25" t="str">
        <v>NY</v>
      </c>
      <c r="C68" s="25" t="str">
        <f>Sites[[#This Row],[SOL'#]]</f>
        <v>SOL-10424</v>
      </c>
      <c r="D68" s="20"/>
      <c r="E68" s="10"/>
      <c r="F68" s="10" t="str">
        <f t="shared" si="9"/>
        <v/>
      </c>
      <c r="G68" s="11" t="str">
        <f t="shared" si="8"/>
        <v/>
      </c>
      <c r="H68" s="12"/>
      <c r="I68" s="12" t="str">
        <f t="shared" si="10"/>
        <v/>
      </c>
      <c r="J68" s="13" t="str">
        <f t="shared" si="11"/>
        <v/>
      </c>
      <c r="K68" s="55"/>
      <c r="L68" s="55"/>
    </row>
    <row r="69" spans="1:12" ht="15.6">
      <c r="A69" s="26" t="str">
        <v>X135</v>
      </c>
      <c r="B69" s="27" t="str">
        <v>NY</v>
      </c>
      <c r="C69" s="27" t="str">
        <f>Sites[[#This Row],[SOL'#]]</f>
        <v>SOL-10425</v>
      </c>
      <c r="D69" s="9"/>
      <c r="E69" s="14"/>
      <c r="F69" s="14" t="str">
        <f t="shared" si="9"/>
        <v/>
      </c>
      <c r="G69" s="15" t="str">
        <f t="shared" si="8"/>
        <v/>
      </c>
      <c r="H69" s="16"/>
      <c r="I69" s="16" t="str">
        <f t="shared" si="10"/>
        <v/>
      </c>
      <c r="J69" s="15" t="str">
        <f t="shared" si="11"/>
        <v/>
      </c>
      <c r="K69" s="139"/>
      <c r="L69" s="107"/>
    </row>
    <row r="70" spans="1:12" ht="42" customHeight="1">
      <c r="A70" s="24" t="str">
        <v>X139 JHS 222</v>
      </c>
      <c r="B70" s="25" t="str">
        <v>NY</v>
      </c>
      <c r="C70" s="25" t="str">
        <f>Sites[[#This Row],[SOL'#]]</f>
        <v>SOL-10426</v>
      </c>
      <c r="D70" s="20"/>
      <c r="E70" s="10"/>
      <c r="F70" s="10" t="str">
        <f t="shared" si="9"/>
        <v/>
      </c>
      <c r="G70" s="11" t="str">
        <f t="shared" si="8"/>
        <v/>
      </c>
      <c r="H70" s="12"/>
      <c r="I70" s="12" t="str">
        <f t="shared" si="10"/>
        <v/>
      </c>
      <c r="J70" s="13" t="str">
        <f t="shared" si="11"/>
        <v/>
      </c>
      <c r="K70" s="55"/>
      <c r="L70" s="124"/>
    </row>
    <row r="71" spans="1:12" ht="15.6">
      <c r="A71" s="26" t="str">
        <v>X140</v>
      </c>
      <c r="B71" s="27" t="str">
        <v>NY</v>
      </c>
      <c r="C71" s="27" t="str">
        <f>Sites[[#This Row],[SOL'#]]</f>
        <v>SOL-10926</v>
      </c>
      <c r="D71" s="9"/>
      <c r="E71" s="14"/>
      <c r="F71" s="14" t="str">
        <f t="shared" si="9"/>
        <v/>
      </c>
      <c r="G71" s="15" t="str">
        <f t="shared" si="8"/>
        <v/>
      </c>
      <c r="H71" s="16"/>
      <c r="I71" s="16" t="str">
        <f t="shared" si="10"/>
        <v/>
      </c>
      <c r="J71" s="15" t="str">
        <f t="shared" si="11"/>
        <v/>
      </c>
      <c r="K71" s="139"/>
      <c r="L71" s="107"/>
    </row>
    <row r="72" spans="1:12" ht="15.6">
      <c r="A72" s="24" t="str">
        <v>X166</v>
      </c>
      <c r="B72" s="25" t="str">
        <v>NY</v>
      </c>
      <c r="C72" s="25" t="str">
        <f>Sites[[#This Row],[SOL'#]]</f>
        <v>SOL-10427</v>
      </c>
      <c r="D72" s="20"/>
      <c r="E72" s="10"/>
      <c r="F72" s="10" t="str">
        <f t="shared" si="9"/>
        <v/>
      </c>
      <c r="G72" s="11" t="str">
        <f t="shared" si="8"/>
        <v/>
      </c>
      <c r="H72" s="12"/>
      <c r="I72" s="12" t="str">
        <f t="shared" si="10"/>
        <v/>
      </c>
      <c r="J72" s="13" t="str">
        <f t="shared" si="11"/>
        <v/>
      </c>
      <c r="K72" s="55"/>
      <c r="L72" s="55"/>
    </row>
    <row r="73" spans="1:12" ht="15.6">
      <c r="A73" s="26" t="str">
        <v>Murphy</v>
      </c>
      <c r="B73" s="27" t="str">
        <v>MN</v>
      </c>
      <c r="C73" s="27" t="str">
        <f>Sites[[#This Row],[SOL'#]]</f>
        <v>SOL-10094</v>
      </c>
      <c r="D73" s="9"/>
      <c r="E73" s="14"/>
      <c r="F73" s="14" t="str">
        <f t="shared" si="9"/>
        <v/>
      </c>
      <c r="G73" s="15" t="str">
        <f t="shared" si="8"/>
        <v/>
      </c>
      <c r="H73" s="16"/>
      <c r="I73" s="16" t="str">
        <f t="shared" si="10"/>
        <v/>
      </c>
      <c r="J73" s="15" t="str">
        <f t="shared" si="11"/>
        <v/>
      </c>
      <c r="K73" s="139"/>
      <c r="L73" s="106"/>
    </row>
    <row r="74" spans="1:12" ht="15.6">
      <c r="A74" s="24" t="str">
        <v>Terning</v>
      </c>
      <c r="B74" s="25" t="str">
        <v>MN</v>
      </c>
      <c r="C74" s="25" t="str">
        <f>Sites[[#This Row],[SOL'#]]</f>
        <v>SOL-10093</v>
      </c>
      <c r="D74" s="20"/>
      <c r="E74" s="10"/>
      <c r="F74" s="10" t="str">
        <f t="shared" si="9"/>
        <v/>
      </c>
      <c r="G74" s="11" t="str">
        <f t="shared" si="8"/>
        <v/>
      </c>
      <c r="H74" s="12"/>
      <c r="I74" s="12" t="str">
        <f t="shared" si="10"/>
        <v/>
      </c>
      <c r="J74" s="13" t="str">
        <f t="shared" si="11"/>
        <v/>
      </c>
      <c r="K74" s="55"/>
      <c r="L74" s="55"/>
    </row>
    <row r="75" spans="1:12" ht="66.75" customHeight="1">
      <c r="A75" s="26" t="str">
        <v>Boas Road 04</v>
      </c>
      <c r="B75" s="27" t="str">
        <v>NY</v>
      </c>
      <c r="C75" s="27" t="str">
        <f>Sites[[#This Row],[SOL'#]]</f>
        <v>SOL-10908</v>
      </c>
      <c r="D75" s="9"/>
      <c r="E75" s="14"/>
      <c r="F75" s="14" t="str">
        <f t="shared" si="9"/>
        <v/>
      </c>
      <c r="G75" s="15" t="str">
        <f t="shared" si="8"/>
        <v/>
      </c>
      <c r="H75" s="16"/>
      <c r="I75" s="16" t="str">
        <f t="shared" si="10"/>
        <v/>
      </c>
      <c r="J75" s="15" t="str">
        <f t="shared" si="11"/>
        <v/>
      </c>
      <c r="K75" s="139"/>
      <c r="L75" s="106"/>
    </row>
    <row r="76" spans="1:12" ht="30.75" customHeight="1">
      <c r="A76" s="24" t="str">
        <v>Kelly Bridge Farm</v>
      </c>
      <c r="B76" s="25" t="str">
        <v>NY</v>
      </c>
      <c r="C76" s="25" t="str">
        <f>Sites[[#This Row],[SOL'#]]</f>
        <v>SOL-10911</v>
      </c>
      <c r="D76" s="20"/>
      <c r="E76" s="10"/>
      <c r="F76" s="10" t="str">
        <f t="shared" si="9"/>
        <v/>
      </c>
      <c r="G76" s="11" t="str">
        <f t="shared" si="8"/>
        <v/>
      </c>
      <c r="H76" s="12"/>
      <c r="I76" s="12" t="str">
        <f t="shared" si="10"/>
        <v/>
      </c>
      <c r="J76" s="13" t="str">
        <f t="shared" si="11"/>
        <v/>
      </c>
      <c r="K76" s="55"/>
      <c r="L76" s="55"/>
    </row>
    <row r="77" spans="1:12" ht="15.6">
      <c r="A77" s="26" t="str">
        <v>Pool Brook Road</v>
      </c>
      <c r="B77" s="27" t="str">
        <v>NY</v>
      </c>
      <c r="C77" s="27" t="str">
        <f>Sites[[#This Row],[SOL'#]]</f>
        <v>SOL-10909</v>
      </c>
      <c r="D77" s="9"/>
      <c r="E77" s="14"/>
      <c r="F77" s="14" t="str">
        <f t="shared" si="9"/>
        <v/>
      </c>
      <c r="G77" s="15" t="str">
        <f t="shared" si="8"/>
        <v/>
      </c>
      <c r="H77" s="16"/>
      <c r="I77" s="16" t="str">
        <f t="shared" si="10"/>
        <v/>
      </c>
      <c r="J77" s="15" t="str">
        <f t="shared" si="11"/>
        <v/>
      </c>
      <c r="K77" s="139"/>
      <c r="L77" s="139"/>
    </row>
    <row r="78" spans="1:12" ht="15.6">
      <c r="A78" s="24" t="str">
        <v>Sackett Lake</v>
      </c>
      <c r="B78" s="25" t="str">
        <v>NY</v>
      </c>
      <c r="C78" s="25" t="str">
        <f>Sites[[#This Row],[SOL'#]]</f>
        <v>SOL-10910</v>
      </c>
      <c r="D78" s="20"/>
      <c r="E78" s="10"/>
      <c r="F78" s="10" t="str">
        <f t="shared" si="9"/>
        <v/>
      </c>
      <c r="G78" s="11" t="str">
        <f t="shared" si="8"/>
        <v/>
      </c>
      <c r="H78" s="12"/>
      <c r="I78" s="12" t="str">
        <f t="shared" si="10"/>
        <v/>
      </c>
      <c r="J78" s="13" t="str">
        <f t="shared" si="11"/>
        <v/>
      </c>
      <c r="K78" s="55"/>
      <c r="L78" s="55"/>
    </row>
    <row r="79" spans="1:12" ht="15.6">
      <c r="A79" s="26" t="str">
        <v>Burritt Road</v>
      </c>
      <c r="B79" s="27" t="str">
        <v>NY</v>
      </c>
      <c r="C79" s="27" t="str">
        <f>Sites[[#This Row],[SOL'#]]</f>
        <v>SOL-10913</v>
      </c>
      <c r="D79" s="9"/>
      <c r="E79" s="14"/>
      <c r="F79" s="14" t="str">
        <f t="shared" si="9"/>
        <v/>
      </c>
      <c r="G79" s="15" t="str">
        <f t="shared" si="8"/>
        <v/>
      </c>
      <c r="H79" s="16"/>
      <c r="I79" s="16" t="str">
        <f t="shared" si="10"/>
        <v/>
      </c>
      <c r="J79" s="15" t="str">
        <f t="shared" si="11"/>
        <v/>
      </c>
      <c r="K79" s="139"/>
      <c r="L79" s="107"/>
    </row>
    <row r="80" spans="1:12" ht="80.25" customHeight="1">
      <c r="A80" s="24" t="str">
        <v>Villa Roma 1</v>
      </c>
      <c r="B80" s="25" t="str">
        <v>NY</v>
      </c>
      <c r="C80" s="25" t="str">
        <f>Sites[[#This Row],[SOL'#]]</f>
        <v>SOL-10914</v>
      </c>
      <c r="D80" s="20"/>
      <c r="E80" s="10"/>
      <c r="F80" s="10" t="str">
        <f t="shared" si="9"/>
        <v/>
      </c>
      <c r="G80" s="11" t="str">
        <f t="shared" si="8"/>
        <v/>
      </c>
      <c r="H80" s="12"/>
      <c r="I80" s="12" t="str">
        <f t="shared" si="10"/>
        <v/>
      </c>
      <c r="J80" s="13" t="str">
        <f t="shared" si="11"/>
        <v/>
      </c>
      <c r="K80" s="55"/>
      <c r="L80" s="55"/>
    </row>
    <row r="81" spans="1:12" ht="71.25" customHeight="1">
      <c r="A81" s="26" t="str">
        <v>Villa Roma 2</v>
      </c>
      <c r="B81" s="27" t="str">
        <v>NY</v>
      </c>
      <c r="C81" s="27" t="str">
        <f>Sites[[#This Row],[SOL'#]]</f>
        <v>SOL-10915</v>
      </c>
      <c r="D81" s="9"/>
      <c r="E81" s="14"/>
      <c r="F81" s="14" t="str">
        <f t="shared" si="9"/>
        <v/>
      </c>
      <c r="G81" s="15" t="str">
        <f t="shared" ref="G81:G83" si="12">IFERROR(F81/E81, "")</f>
        <v/>
      </c>
      <c r="H81" s="16"/>
      <c r="I81" s="16" t="str">
        <f t="shared" si="10"/>
        <v/>
      </c>
      <c r="J81" s="15" t="str">
        <f t="shared" si="11"/>
        <v/>
      </c>
      <c r="K81" s="139"/>
      <c r="L81" s="106"/>
    </row>
    <row r="82" spans="1:12" ht="15.6">
      <c r="A82" s="24" t="str">
        <v>Washington 1</v>
      </c>
      <c r="B82" s="25" t="str">
        <v>NY</v>
      </c>
      <c r="C82" s="25" t="str">
        <f>Sites[[#This Row],[SOL'#]]</f>
        <v>SOL-10912</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55"/>
      <c r="L82" s="55"/>
    </row>
    <row r="83" spans="1:12" ht="59.25" customHeight="1">
      <c r="A83" s="26" t="str">
        <v>Washington 3</v>
      </c>
      <c r="B83" s="27" t="str">
        <v>NY</v>
      </c>
      <c r="C83" s="27" t="str">
        <f>Sites[[#This Row],[SOL'#]]</f>
        <v>SOL-10828</v>
      </c>
      <c r="D83" s="9"/>
      <c r="E83" s="14"/>
      <c r="F83" s="14" t="str">
        <f t="shared" si="13"/>
        <v/>
      </c>
      <c r="G83" s="15" t="str">
        <f t="shared" si="12"/>
        <v/>
      </c>
      <c r="H83" s="16"/>
      <c r="I83" s="16" t="str">
        <f t="shared" si="14"/>
        <v/>
      </c>
      <c r="J83" s="15" t="str">
        <f t="shared" si="15"/>
        <v/>
      </c>
      <c r="K83" s="139"/>
      <c r="L83" s="106"/>
    </row>
    <row r="84" spans="1:12" ht="71.25" customHeight="1">
      <c r="A84" s="24" t="str">
        <v>Washington 4</v>
      </c>
      <c r="B84" s="25" t="str">
        <v>NY</v>
      </c>
      <c r="C84" s="25" t="str">
        <f>Sites[[#This Row],[SOL'#]]</f>
        <v>SOL-10829</v>
      </c>
      <c r="D84" s="20"/>
      <c r="E84" s="10"/>
      <c r="F84" s="10" t="str">
        <f t="shared" si="13"/>
        <v/>
      </c>
      <c r="G84" s="11" t="str">
        <f t="shared" ref="G84:G90" si="16">IFERROR(F84/E84, "")</f>
        <v/>
      </c>
      <c r="H84" s="12"/>
      <c r="I84" s="12" t="str">
        <f t="shared" si="14"/>
        <v/>
      </c>
      <c r="J84" s="13" t="str">
        <f t="shared" si="15"/>
        <v/>
      </c>
      <c r="K84" s="55"/>
      <c r="L84" s="55"/>
    </row>
    <row r="85" spans="1:12" ht="15.6">
      <c r="A85" s="26" t="str">
        <v>Big Tree</v>
      </c>
      <c r="B85" s="27" t="str">
        <v>NY</v>
      </c>
      <c r="C85" s="27" t="str">
        <f>Sites[[#This Row],[SOL'#]]</f>
        <v>SOL-10966</v>
      </c>
      <c r="D85" s="9"/>
      <c r="E85" s="14"/>
      <c r="F85" s="14" t="str">
        <f t="shared" si="13"/>
        <v/>
      </c>
      <c r="G85" s="15" t="str">
        <f t="shared" si="16"/>
        <v/>
      </c>
      <c r="H85" s="16"/>
      <c r="I85" s="16" t="str">
        <f t="shared" si="14"/>
        <v/>
      </c>
      <c r="J85" s="15" t="str">
        <f t="shared" si="15"/>
        <v/>
      </c>
      <c r="K85" s="139"/>
      <c r="L85" s="107"/>
    </row>
    <row r="86" spans="1:12" ht="80.25" customHeight="1">
      <c r="A86" s="24" t="str">
        <v>Canoga</v>
      </c>
      <c r="B86" s="25" t="str">
        <v>NY</v>
      </c>
      <c r="C86" s="25" t="str">
        <f>Sites[[#This Row],[SOL'#]]</f>
        <v>SOL-10965</v>
      </c>
      <c r="D86" s="20"/>
      <c r="E86" s="10"/>
      <c r="F86" s="10" t="str">
        <f t="shared" si="13"/>
        <v/>
      </c>
      <c r="G86" s="11" t="str">
        <f t="shared" si="16"/>
        <v/>
      </c>
      <c r="H86" s="12"/>
      <c r="I86" s="12" t="str">
        <f t="shared" si="14"/>
        <v/>
      </c>
      <c r="J86" s="13" t="str">
        <f t="shared" si="15"/>
        <v/>
      </c>
      <c r="K86" s="55"/>
      <c r="L86" s="55"/>
    </row>
    <row r="87" spans="1:12" ht="15.6">
      <c r="A87" s="26" t="str">
        <v>County Route 84</v>
      </c>
      <c r="B87" s="27" t="str">
        <v>NY</v>
      </c>
      <c r="C87" s="27" t="str">
        <f>Sites[[#This Row],[SOL'#]]</f>
        <v>SOL-10967</v>
      </c>
      <c r="D87" s="9"/>
      <c r="E87" s="14"/>
      <c r="F87" s="14" t="str">
        <f t="shared" si="13"/>
        <v/>
      </c>
      <c r="G87" s="15" t="str">
        <f t="shared" si="16"/>
        <v/>
      </c>
      <c r="H87" s="16"/>
      <c r="I87" s="16" t="str">
        <f t="shared" si="14"/>
        <v/>
      </c>
      <c r="J87" s="15" t="str">
        <f t="shared" si="15"/>
        <v/>
      </c>
      <c r="K87" s="139"/>
      <c r="L87" s="107"/>
    </row>
    <row r="88" spans="1:12" ht="15.6">
      <c r="A88" s="24" t="str">
        <v>Donati</v>
      </c>
      <c r="B88" s="25" t="str">
        <v>NY</v>
      </c>
      <c r="C88" s="25" t="str">
        <f>Sites[[#This Row],[SOL'#]]</f>
        <v>SOL-10968</v>
      </c>
      <c r="D88" s="20"/>
      <c r="E88" s="10"/>
      <c r="F88" s="10" t="str">
        <f t="shared" si="13"/>
        <v/>
      </c>
      <c r="G88" s="11" t="str">
        <f t="shared" si="16"/>
        <v/>
      </c>
      <c r="H88" s="12"/>
      <c r="I88" s="12" t="str">
        <f t="shared" si="14"/>
        <v/>
      </c>
      <c r="J88" s="13" t="str">
        <f t="shared" si="15"/>
        <v/>
      </c>
      <c r="K88" s="55"/>
      <c r="L88" s="55"/>
    </row>
    <row r="89" spans="1:12" ht="15.6">
      <c r="A89" s="26" t="str">
        <v>Henrietta</v>
      </c>
      <c r="B89" s="27" t="str">
        <v>NY</v>
      </c>
      <c r="C89" s="27" t="str">
        <f>Sites[[#This Row],[SOL'#]]</f>
        <v>SOL-10972</v>
      </c>
      <c r="D89" s="9"/>
      <c r="E89" s="14"/>
      <c r="F89" s="14" t="str">
        <f t="shared" si="13"/>
        <v/>
      </c>
      <c r="G89" s="15" t="str">
        <f t="shared" si="16"/>
        <v/>
      </c>
      <c r="H89" s="16"/>
      <c r="I89" s="16" t="str">
        <f t="shared" si="14"/>
        <v/>
      </c>
      <c r="J89" s="15" t="str">
        <f t="shared" si="15"/>
        <v/>
      </c>
      <c r="K89" s="139"/>
      <c r="L89" s="139"/>
    </row>
    <row r="90" spans="1:12" ht="15.6">
      <c r="A90" s="24" t="str">
        <v>NY 70</v>
      </c>
      <c r="B90" s="25" t="str">
        <v>NY</v>
      </c>
      <c r="C90" s="25" t="str">
        <f>Sites[[#This Row],[SOL'#]]</f>
        <v>SOL-10970</v>
      </c>
      <c r="D90" s="20"/>
      <c r="E90" s="10"/>
      <c r="F90" s="10" t="str">
        <f t="shared" si="13"/>
        <v/>
      </c>
      <c r="G90" s="11" t="str">
        <f t="shared" si="16"/>
        <v/>
      </c>
      <c r="H90" s="12"/>
      <c r="I90" s="12" t="str">
        <f t="shared" si="14"/>
        <v/>
      </c>
      <c r="J90" s="13" t="str">
        <f t="shared" si="15"/>
        <v/>
      </c>
      <c r="K90" s="55"/>
      <c r="L90" s="55"/>
    </row>
    <row r="91" spans="1:12" ht="15.6">
      <c r="A91" s="26" t="str">
        <v>Reid</v>
      </c>
      <c r="B91" s="27" t="str">
        <v>NY</v>
      </c>
      <c r="C91" s="27" t="str">
        <f>Sites[[#This Row],[SOL'#]]</f>
        <v>SOL-10991</v>
      </c>
      <c r="D91" s="9"/>
      <c r="E91" s="14"/>
      <c r="F91" s="14" t="str">
        <f t="shared" si="13"/>
        <v/>
      </c>
      <c r="G91" s="15" t="str">
        <f t="shared" ref="G91:G122" si="17">IFERROR(F91/E91, "")</f>
        <v/>
      </c>
      <c r="H91" s="16"/>
      <c r="I91" s="16" t="str">
        <f t="shared" si="14"/>
        <v/>
      </c>
      <c r="J91" s="15" t="str">
        <f t="shared" si="15"/>
        <v/>
      </c>
      <c r="K91" s="139"/>
      <c r="L91" s="107"/>
    </row>
    <row r="92" spans="1:12" ht="15.6">
      <c r="A92" s="24" t="str">
        <v>Sangolqui</v>
      </c>
      <c r="B92" s="25" t="str">
        <v>NY</v>
      </c>
      <c r="C92" s="25" t="str">
        <f>Sites[[#This Row],[SOL'#]]</f>
        <v>SOL-10975</v>
      </c>
      <c r="D92" s="20"/>
      <c r="E92" s="10"/>
      <c r="F92" s="10" t="str">
        <f t="shared" si="13"/>
        <v/>
      </c>
      <c r="G92" s="11" t="str">
        <f t="shared" si="17"/>
        <v/>
      </c>
      <c r="H92" s="12"/>
      <c r="I92" s="12" t="str">
        <f t="shared" si="14"/>
        <v/>
      </c>
      <c r="J92" s="13" t="str">
        <f t="shared" si="15"/>
        <v/>
      </c>
      <c r="K92" s="55"/>
      <c r="L92" s="55"/>
    </row>
    <row r="93" spans="1:12" ht="15.6">
      <c r="A93" s="26" t="str">
        <v>State Highway 17B</v>
      </c>
      <c r="B93" s="27" t="str">
        <v>NY</v>
      </c>
      <c r="C93" s="27" t="str">
        <f>Sites[[#This Row],[SOL'#]]</f>
        <v>SOL-10988</v>
      </c>
      <c r="D93" s="9"/>
      <c r="E93" s="14"/>
      <c r="F93" s="14" t="str">
        <f t="shared" si="13"/>
        <v/>
      </c>
      <c r="G93" s="15" t="str">
        <f t="shared" si="17"/>
        <v/>
      </c>
      <c r="H93" s="16"/>
      <c r="I93" s="16" t="str">
        <f t="shared" si="14"/>
        <v/>
      </c>
      <c r="J93" s="15" t="str">
        <f t="shared" si="15"/>
        <v/>
      </c>
      <c r="K93" s="139"/>
      <c r="L93" s="139"/>
    </row>
    <row r="94" spans="1:12" ht="39.75" customHeight="1">
      <c r="A94" s="24" t="str">
        <v>State Route 14A</v>
      </c>
      <c r="B94" s="25" t="str">
        <v>NY</v>
      </c>
      <c r="C94" s="25" t="str">
        <f>Sites[[#This Row],[SOL'#]]</f>
        <v>SOL-10997</v>
      </c>
      <c r="D94" s="20"/>
      <c r="E94" s="10"/>
      <c r="F94" s="10" t="str">
        <f t="shared" si="13"/>
        <v/>
      </c>
      <c r="G94" s="11" t="str">
        <f t="shared" si="17"/>
        <v/>
      </c>
      <c r="H94" s="12"/>
      <c r="I94" s="12" t="str">
        <f t="shared" si="14"/>
        <v/>
      </c>
      <c r="J94" s="13" t="str">
        <f t="shared" si="15"/>
        <v/>
      </c>
      <c r="K94" s="55"/>
      <c r="L94" s="55"/>
    </row>
    <row r="95" spans="1:12" ht="15.6">
      <c r="A95" s="26" t="str">
        <v>West Creek</v>
      </c>
      <c r="B95" s="27" t="str">
        <v>NY</v>
      </c>
      <c r="C95" s="27" t="str">
        <f>Sites[[#This Row],[SOL'#]]</f>
        <v>SOL-10995</v>
      </c>
      <c r="D95" s="9"/>
      <c r="E95" s="14"/>
      <c r="F95" s="14" t="str">
        <f t="shared" si="13"/>
        <v/>
      </c>
      <c r="G95" s="15" t="str">
        <f t="shared" si="17"/>
        <v/>
      </c>
      <c r="H95" s="16"/>
      <c r="I95" s="16" t="str">
        <f t="shared" si="14"/>
        <v/>
      </c>
      <c r="J95" s="15" t="str">
        <f t="shared" si="15"/>
        <v/>
      </c>
      <c r="K95" s="139"/>
      <c r="L95" s="107"/>
    </row>
    <row r="96" spans="1:12" ht="15.6">
      <c r="A96" s="24" t="str">
        <v>Wildflower</v>
      </c>
      <c r="B96" s="25" t="str">
        <v>NY</v>
      </c>
      <c r="C96" s="25" t="str">
        <f>Sites[[#This Row],[SOL'#]]</f>
        <v>SOL-10982</v>
      </c>
      <c r="D96" s="20"/>
      <c r="E96" s="10"/>
      <c r="F96" s="10" t="str">
        <f t="shared" si="13"/>
        <v/>
      </c>
      <c r="G96" s="11" t="str">
        <f t="shared" si="17"/>
        <v/>
      </c>
      <c r="H96" s="12"/>
      <c r="I96" s="12" t="str">
        <f t="shared" si="14"/>
        <v/>
      </c>
      <c r="J96" s="13" t="str">
        <f t="shared" si="15"/>
        <v/>
      </c>
      <c r="K96" s="55"/>
      <c r="L96" s="55"/>
    </row>
    <row r="97" spans="1:12" ht="15.6">
      <c r="A97" s="26" t="str">
        <v>Glen Mary 1</v>
      </c>
      <c r="B97" s="27" t="str">
        <v>NY</v>
      </c>
      <c r="C97" s="27" t="str">
        <f>Sites[[#This Row],[SOL'#]]</f>
        <v>SOL-10993</v>
      </c>
      <c r="D97" s="9"/>
      <c r="E97" s="14"/>
      <c r="F97" s="14" t="str">
        <f t="shared" si="13"/>
        <v/>
      </c>
      <c r="G97" s="15" t="str">
        <f t="shared" si="17"/>
        <v/>
      </c>
      <c r="H97" s="16"/>
      <c r="I97" s="16" t="str">
        <f t="shared" si="14"/>
        <v/>
      </c>
      <c r="J97" s="15" t="str">
        <f t="shared" si="15"/>
        <v/>
      </c>
      <c r="K97" s="139"/>
      <c r="L97" s="107"/>
    </row>
    <row r="98" spans="1:12" ht="15.6">
      <c r="A98" s="24" t="str">
        <v>Glen Mary 2</v>
      </c>
      <c r="B98" s="25" t="str">
        <v>NY</v>
      </c>
      <c r="C98" s="25" t="str">
        <f>Sites[[#This Row],[SOL'#]]</f>
        <v>SOL-10994</v>
      </c>
      <c r="D98" s="20"/>
      <c r="E98" s="10"/>
      <c r="F98" s="10" t="str">
        <f t="shared" si="13"/>
        <v/>
      </c>
      <c r="G98" s="11" t="str">
        <f t="shared" si="17"/>
        <v/>
      </c>
      <c r="H98" s="12"/>
      <c r="I98" s="12" t="str">
        <f t="shared" si="14"/>
        <v/>
      </c>
      <c r="J98" s="13" t="str">
        <f t="shared" si="15"/>
        <v/>
      </c>
      <c r="K98" s="55"/>
      <c r="L98" s="55"/>
    </row>
    <row r="99" spans="1:12" ht="15.6">
      <c r="A99" s="26" t="str">
        <v>Telegraph 1</v>
      </c>
      <c r="B99" s="27" t="str">
        <v>NY</v>
      </c>
      <c r="C99" s="27" t="str">
        <f>Sites[[#This Row],[SOL'#]]</f>
        <v>SOL-11003</v>
      </c>
      <c r="D99" s="9"/>
      <c r="E99" s="14"/>
      <c r="F99" s="14" t="str">
        <f t="shared" si="13"/>
        <v/>
      </c>
      <c r="G99" s="15" t="str">
        <f t="shared" si="17"/>
        <v/>
      </c>
      <c r="H99" s="16"/>
      <c r="I99" s="16" t="str">
        <f t="shared" si="14"/>
        <v/>
      </c>
      <c r="J99" s="15" t="str">
        <f t="shared" si="15"/>
        <v/>
      </c>
      <c r="K99" s="139"/>
      <c r="L99" s="107"/>
    </row>
    <row r="100" spans="1:12" ht="15.6">
      <c r="A100" s="24" t="str">
        <v>Telegraph 2</v>
      </c>
      <c r="B100" s="25" t="str">
        <v>NY</v>
      </c>
      <c r="C100" s="25" t="str">
        <f>Sites[[#This Row],[SOL'#]]</f>
        <v>SOL-11004</v>
      </c>
      <c r="D100" s="20"/>
      <c r="E100" s="10"/>
      <c r="F100" s="10" t="str">
        <f t="shared" si="13"/>
        <v/>
      </c>
      <c r="G100" s="11" t="str">
        <f t="shared" si="17"/>
        <v/>
      </c>
      <c r="H100" s="12"/>
      <c r="I100" s="12" t="str">
        <f t="shared" si="14"/>
        <v/>
      </c>
      <c r="J100" s="13" t="str">
        <f t="shared" si="15"/>
        <v/>
      </c>
      <c r="K100" s="55"/>
      <c r="L100" s="55"/>
    </row>
    <row r="101" spans="1:12" ht="15.6">
      <c r="A101" s="26" t="str">
        <v>Cafferty Hill</v>
      </c>
      <c r="B101" s="27" t="str">
        <v>NY</v>
      </c>
      <c r="C101" s="27" t="str">
        <f>Sites[[#This Row],[SOL'#]]</f>
        <v>SOL-10996</v>
      </c>
      <c r="D101" s="9"/>
      <c r="E101" s="14"/>
      <c r="F101" s="14" t="str">
        <f t="shared" si="13"/>
        <v/>
      </c>
      <c r="G101" s="15" t="str">
        <f t="shared" si="17"/>
        <v/>
      </c>
      <c r="H101" s="16"/>
      <c r="I101" s="16" t="str">
        <f t="shared" si="14"/>
        <v/>
      </c>
      <c r="J101" s="15" t="str">
        <f t="shared" si="15"/>
        <v/>
      </c>
      <c r="K101" s="139"/>
      <c r="L101" s="139"/>
    </row>
    <row r="102" spans="1:12" ht="15.6">
      <c r="A102" s="24" t="str">
        <v>Dunkleman</v>
      </c>
      <c r="B102" s="25" t="str">
        <v>NY</v>
      </c>
      <c r="C102" s="25" t="str">
        <f>Sites[[#This Row],[SOL'#]]</f>
        <v>SOL-11008</v>
      </c>
      <c r="D102" s="20"/>
      <c r="E102" s="10"/>
      <c r="F102" s="10" t="str">
        <f t="shared" si="13"/>
        <v/>
      </c>
      <c r="G102" s="11" t="str">
        <f t="shared" si="17"/>
        <v/>
      </c>
      <c r="H102" s="12"/>
      <c r="I102" s="12" t="str">
        <f t="shared" si="14"/>
        <v/>
      </c>
      <c r="J102" s="13" t="str">
        <f t="shared" si="15"/>
        <v/>
      </c>
      <c r="K102" s="55"/>
      <c r="L102" s="55"/>
    </row>
    <row r="103" spans="1:12" ht="15.6">
      <c r="A103" s="26" t="str">
        <v>Route 19 1</v>
      </c>
      <c r="B103" s="27" t="str">
        <v>NY</v>
      </c>
      <c r="C103" s="27" t="str">
        <f>Sites[[#This Row],[SOL'#]]</f>
        <v>SOL-11001</v>
      </c>
      <c r="D103" s="9"/>
      <c r="E103" s="14"/>
      <c r="F103" s="14" t="str">
        <f t="shared" si="13"/>
        <v/>
      </c>
      <c r="G103" s="15" t="str">
        <f t="shared" si="17"/>
        <v/>
      </c>
      <c r="H103" s="16"/>
      <c r="I103" s="16" t="str">
        <f t="shared" si="14"/>
        <v/>
      </c>
      <c r="J103" s="15" t="str">
        <f t="shared" si="15"/>
        <v/>
      </c>
      <c r="K103" s="139"/>
      <c r="L103" s="107"/>
    </row>
    <row r="104" spans="1:12" ht="104.25" customHeight="1">
      <c r="A104" s="24" t="str">
        <v>Route 19 2</v>
      </c>
      <c r="B104" s="25" t="str">
        <v>NY</v>
      </c>
      <c r="C104" s="25" t="str">
        <f>Sites[[#This Row],[SOL'#]]</f>
        <v>SOL-11002</v>
      </c>
      <c r="D104" s="20"/>
      <c r="E104" s="10"/>
      <c r="F104" s="10" t="str">
        <f t="shared" si="13"/>
        <v/>
      </c>
      <c r="G104" s="11" t="str">
        <f t="shared" si="17"/>
        <v/>
      </c>
      <c r="H104" s="12"/>
      <c r="I104" s="12" t="str">
        <f t="shared" si="14"/>
        <v/>
      </c>
      <c r="J104" s="13" t="str">
        <f t="shared" si="15"/>
        <v/>
      </c>
      <c r="K104" s="55"/>
      <c r="L104" s="55"/>
    </row>
    <row r="105" spans="1:12" ht="15.6">
      <c r="A105" s="26" t="str">
        <v>Yellow Mills 1</v>
      </c>
      <c r="B105" s="27" t="str">
        <v>NY</v>
      </c>
      <c r="C105" s="27" t="str">
        <f>Sites[[#This Row],[SOL'#]]</f>
        <v>SOL-11006</v>
      </c>
      <c r="D105" s="9"/>
      <c r="E105" s="14"/>
      <c r="F105" s="14" t="str">
        <f t="shared" si="13"/>
        <v/>
      </c>
      <c r="G105" s="15" t="str">
        <f t="shared" si="17"/>
        <v/>
      </c>
      <c r="H105" s="16"/>
      <c r="I105" s="16" t="str">
        <f t="shared" si="14"/>
        <v/>
      </c>
      <c r="J105" s="15" t="str">
        <f t="shared" si="15"/>
        <v/>
      </c>
      <c r="K105" s="139"/>
      <c r="L105" s="107"/>
    </row>
    <row r="106" spans="1:12" ht="15.6">
      <c r="A106" s="24" t="str">
        <v>Yellow Mills 2</v>
      </c>
      <c r="B106" s="25" t="str">
        <v>NY</v>
      </c>
      <c r="C106" s="25" t="str">
        <f>Sites[[#This Row],[SOL'#]]</f>
        <v>SOL-11005</v>
      </c>
      <c r="D106" s="20"/>
      <c r="E106" s="10"/>
      <c r="F106" s="10" t="str">
        <f t="shared" si="13"/>
        <v/>
      </c>
      <c r="G106" s="11" t="str">
        <f t="shared" si="17"/>
        <v/>
      </c>
      <c r="H106" s="12"/>
      <c r="I106" s="12" t="str">
        <f t="shared" si="14"/>
        <v/>
      </c>
      <c r="J106" s="13" t="str">
        <f t="shared" si="15"/>
        <v/>
      </c>
      <c r="K106" s="55"/>
      <c r="L106" s="55"/>
    </row>
    <row r="107" spans="1:12" ht="15.6">
      <c r="A107" s="26" t="str">
        <v>Yellow Mills 3</v>
      </c>
      <c r="B107" s="27" t="str">
        <v>NY</v>
      </c>
      <c r="C107" s="27" t="str">
        <f>Sites[[#This Row],[SOL'#]]</f>
        <v>SOL-11007</v>
      </c>
      <c r="D107" s="9"/>
      <c r="E107" s="14"/>
      <c r="F107" s="14" t="str">
        <f t="shared" si="13"/>
        <v/>
      </c>
      <c r="G107" s="15" t="str">
        <f t="shared" si="17"/>
        <v/>
      </c>
      <c r="H107" s="16"/>
      <c r="I107" s="16" t="str">
        <f t="shared" si="14"/>
        <v/>
      </c>
      <c r="J107" s="15" t="str">
        <f t="shared" si="15"/>
        <v/>
      </c>
      <c r="K107" s="139"/>
      <c r="L107" s="107"/>
    </row>
    <row r="108" spans="1:12" ht="15.6">
      <c r="A108" s="24" t="str">
        <v>Catskill</v>
      </c>
      <c r="B108" s="25" t="str">
        <v>NY</v>
      </c>
      <c r="C108" s="25" t="str">
        <f>Sites[[#This Row],[SOL'#]]</f>
        <v>SOL-11021</v>
      </c>
      <c r="D108" s="20"/>
      <c r="E108" s="10"/>
      <c r="F108" s="10" t="str">
        <f t="shared" si="13"/>
        <v/>
      </c>
      <c r="G108" s="11" t="str">
        <f t="shared" si="17"/>
        <v/>
      </c>
      <c r="H108" s="12"/>
      <c r="I108" s="12" t="str">
        <f t="shared" si="14"/>
        <v/>
      </c>
      <c r="J108" s="13" t="str">
        <f t="shared" si="15"/>
        <v/>
      </c>
      <c r="K108" s="55"/>
      <c r="L108" s="55"/>
    </row>
    <row r="109" spans="1:12" ht="15.6">
      <c r="A109" s="26" t="str">
        <v>Eddy Ridge</v>
      </c>
      <c r="B109" s="27" t="str">
        <v>NY</v>
      </c>
      <c r="C109" s="27" t="str">
        <f>Sites[[#This Row],[SOL'#]]</f>
        <v>SOL-11054</v>
      </c>
      <c r="D109" s="9"/>
      <c r="E109" s="14"/>
      <c r="F109" s="14" t="str">
        <f t="shared" si="13"/>
        <v/>
      </c>
      <c r="G109" s="15" t="str">
        <f t="shared" si="17"/>
        <v/>
      </c>
      <c r="H109" s="16"/>
      <c r="I109" s="16" t="str">
        <f t="shared" si="14"/>
        <v/>
      </c>
      <c r="J109" s="15" t="str">
        <f t="shared" si="15"/>
        <v/>
      </c>
      <c r="K109" s="139"/>
      <c r="L109" s="107"/>
    </row>
    <row r="110" spans="1:12" ht="15.6">
      <c r="A110" s="24" t="str">
        <v>Ridgeway #1</v>
      </c>
      <c r="B110" s="25" t="str">
        <v>NY</v>
      </c>
      <c r="C110" s="25" t="str">
        <f>Sites[[#This Row],[SOL'#]]</f>
        <v>SOL-11018</v>
      </c>
      <c r="D110" s="20"/>
      <c r="E110" s="10"/>
      <c r="F110" s="10" t="str">
        <f t="shared" si="13"/>
        <v/>
      </c>
      <c r="G110" s="11" t="str">
        <f t="shared" si="17"/>
        <v/>
      </c>
      <c r="H110" s="12"/>
      <c r="I110" s="12" t="str">
        <f t="shared" si="14"/>
        <v/>
      </c>
      <c r="J110" s="13" t="str">
        <f t="shared" si="15"/>
        <v/>
      </c>
      <c r="K110" s="55"/>
      <c r="L110" s="55"/>
    </row>
    <row r="111" spans="1:12" ht="15.6">
      <c r="A111" s="26" t="str">
        <v>Rivard 1</v>
      </c>
      <c r="B111" s="27" t="str">
        <v>NY</v>
      </c>
      <c r="C111" s="27" t="str">
        <f>Sites[[#This Row],[SOL'#]]</f>
        <v>SOL-11011</v>
      </c>
      <c r="D111" s="9"/>
      <c r="E111" s="14"/>
      <c r="F111" s="14" t="str">
        <f t="shared" si="13"/>
        <v/>
      </c>
      <c r="G111" s="15" t="str">
        <f t="shared" si="17"/>
        <v/>
      </c>
      <c r="H111" s="16"/>
      <c r="I111" s="16" t="str">
        <f t="shared" si="14"/>
        <v/>
      </c>
      <c r="J111" s="15" t="str">
        <f t="shared" si="15"/>
        <v/>
      </c>
      <c r="K111" s="139"/>
      <c r="L111" s="108"/>
    </row>
    <row r="112" spans="1:12" ht="15.6">
      <c r="A112" s="24" t="str">
        <v>Rivard 2</v>
      </c>
      <c r="B112" s="25" t="str">
        <v>NY</v>
      </c>
      <c r="C112" s="25" t="str">
        <f>Sites[[#This Row],[SOL'#]]</f>
        <v>SOL-11012</v>
      </c>
      <c r="D112" s="20"/>
      <c r="E112" s="10"/>
      <c r="F112" s="10" t="str">
        <f t="shared" si="13"/>
        <v/>
      </c>
      <c r="G112" s="11" t="str">
        <f t="shared" si="17"/>
        <v/>
      </c>
      <c r="H112" s="12"/>
      <c r="I112" s="12" t="str">
        <f t="shared" si="14"/>
        <v/>
      </c>
      <c r="J112" s="13" t="str">
        <f t="shared" si="15"/>
        <v/>
      </c>
      <c r="K112" s="55"/>
      <c r="L112" s="55"/>
    </row>
    <row r="113" spans="1:12" ht="15.6">
      <c r="A113" s="26" t="str">
        <v>Essex</v>
      </c>
      <c r="B113" s="27" t="str">
        <v>DC</v>
      </c>
      <c r="C113" s="27" t="str">
        <f>Sites[[#This Row],[SOL'#]]</f>
        <v>SOL-10036</v>
      </c>
      <c r="D113" s="9"/>
      <c r="E113" s="14"/>
      <c r="F113" s="14" t="str">
        <f t="shared" si="13"/>
        <v/>
      </c>
      <c r="G113" s="15" t="str">
        <f t="shared" si="17"/>
        <v/>
      </c>
      <c r="H113" s="16"/>
      <c r="I113" s="16" t="str">
        <f t="shared" si="14"/>
        <v/>
      </c>
      <c r="J113" s="15" t="str">
        <f t="shared" si="15"/>
        <v/>
      </c>
      <c r="K113" s="139"/>
      <c r="L113" s="139"/>
    </row>
    <row r="114" spans="1:12" ht="15.6">
      <c r="A114" s="24" t="str">
        <v>Temple Sinai</v>
      </c>
      <c r="B114" s="25" t="str">
        <v>DC</v>
      </c>
      <c r="C114" s="25" t="str">
        <f>Sites[[#This Row],[SOL'#]]</f>
        <v>SOL-10028</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55"/>
      <c r="L114" s="55"/>
    </row>
    <row r="115" spans="1:12" ht="15.6">
      <c r="A115" s="26" t="str">
        <v>Weinberg 1</v>
      </c>
      <c r="B115" s="27" t="str">
        <v>DC</v>
      </c>
      <c r="C115" s="27" t="str">
        <f>Sites[[#This Row],[SOL'#]]</f>
        <v>SOL-10039</v>
      </c>
      <c r="D115" s="9"/>
      <c r="E115" s="14"/>
      <c r="F115" s="14" t="str">
        <f t="shared" si="18"/>
        <v/>
      </c>
      <c r="G115" s="15" t="str">
        <f t="shared" si="17"/>
        <v/>
      </c>
      <c r="H115" s="16"/>
      <c r="I115" s="16" t="str">
        <f t="shared" si="19"/>
        <v/>
      </c>
      <c r="J115" s="15" t="str">
        <f t="shared" si="20"/>
        <v/>
      </c>
      <c r="K115" s="139"/>
      <c r="L115" s="107"/>
    </row>
    <row r="116" spans="1:12" ht="15.6">
      <c r="A116" s="24" t="str">
        <v>Weinberg 2</v>
      </c>
      <c r="B116" s="25" t="str">
        <v>DC</v>
      </c>
      <c r="C116" s="25" t="str">
        <f>Sites[[#This Row],[SOL'#]]</f>
        <v>SOL-10045</v>
      </c>
      <c r="D116" s="20"/>
      <c r="E116" s="10"/>
      <c r="F116" s="10" t="str">
        <f t="shared" si="18"/>
        <v/>
      </c>
      <c r="G116" s="11" t="str">
        <f t="shared" si="17"/>
        <v/>
      </c>
      <c r="H116" s="12"/>
      <c r="I116" s="12" t="str">
        <f t="shared" si="19"/>
        <v/>
      </c>
      <c r="J116" s="13" t="str">
        <f t="shared" si="20"/>
        <v/>
      </c>
      <c r="K116" s="55"/>
      <c r="L116" s="55"/>
    </row>
    <row r="117" spans="1:12" ht="15.6">
      <c r="A117" s="26" t="str">
        <v>Weinberg 3</v>
      </c>
      <c r="B117" s="27" t="str">
        <v>DC</v>
      </c>
      <c r="C117" s="27" t="str">
        <f>Sites[[#This Row],[SOL'#]]</f>
        <v>SOL-10042</v>
      </c>
      <c r="D117" s="9"/>
      <c r="E117" s="14"/>
      <c r="F117" s="14" t="str">
        <f t="shared" si="18"/>
        <v/>
      </c>
      <c r="G117" s="15" t="str">
        <f t="shared" si="17"/>
        <v/>
      </c>
      <c r="H117" s="16"/>
      <c r="I117" s="16" t="str">
        <f t="shared" si="19"/>
        <v/>
      </c>
      <c r="J117" s="15" t="str">
        <f t="shared" si="20"/>
        <v/>
      </c>
      <c r="K117" s="139"/>
      <c r="L117" s="107"/>
    </row>
    <row r="118" spans="1:12" ht="15.6">
      <c r="A118" s="24" t="str">
        <v>Clayton Hall</v>
      </c>
      <c r="B118" s="25" t="str">
        <v>DE</v>
      </c>
      <c r="C118" s="25" t="str">
        <f>Sites[[#This Row],[SOL'#]]</f>
        <v>SOL-10820</v>
      </c>
      <c r="D118" s="20"/>
      <c r="E118" s="10"/>
      <c r="F118" s="10" t="str">
        <f t="shared" si="18"/>
        <v/>
      </c>
      <c r="G118" s="11" t="str">
        <f t="shared" si="17"/>
        <v/>
      </c>
      <c r="H118" s="12"/>
      <c r="I118" s="12" t="str">
        <f t="shared" si="19"/>
        <v/>
      </c>
      <c r="J118" s="13" t="str">
        <f t="shared" si="20"/>
        <v/>
      </c>
      <c r="K118" s="55"/>
      <c r="L118" s="55"/>
    </row>
    <row r="119" spans="1:12" ht="15.6">
      <c r="A119" s="26" t="str">
        <v>Field House</v>
      </c>
      <c r="B119" s="27" t="str">
        <v>DE</v>
      </c>
      <c r="C119" s="27" t="str">
        <f>Sites[[#This Row],[SOL'#]]</f>
        <v>SOL-10821</v>
      </c>
      <c r="D119" s="9"/>
      <c r="E119" s="14"/>
      <c r="F119" s="14" t="str">
        <f t="shared" si="18"/>
        <v/>
      </c>
      <c r="G119" s="15" t="str">
        <f t="shared" si="17"/>
        <v/>
      </c>
      <c r="H119" s="105"/>
      <c r="I119" s="16" t="str">
        <f t="shared" si="19"/>
        <v/>
      </c>
      <c r="J119" s="15" t="str">
        <f t="shared" si="20"/>
        <v/>
      </c>
      <c r="K119" s="139"/>
      <c r="L119" s="107"/>
    </row>
    <row r="120" spans="1:12" ht="15.6">
      <c r="A120" s="24" t="str">
        <v>Wyoming Road</v>
      </c>
      <c r="B120" s="25" t="str">
        <v>DE</v>
      </c>
      <c r="C120" s="25" t="str">
        <f>Sites[[#This Row],[SOL'#]]</f>
        <v>SOL-10819</v>
      </c>
      <c r="D120" s="20"/>
      <c r="E120" s="10"/>
      <c r="F120" s="10" t="str">
        <f t="shared" si="18"/>
        <v/>
      </c>
      <c r="G120" s="11" t="str">
        <f t="shared" si="17"/>
        <v/>
      </c>
      <c r="H120" s="12"/>
      <c r="I120" s="12" t="str">
        <f t="shared" si="19"/>
        <v/>
      </c>
      <c r="J120" s="13" t="str">
        <f t="shared" si="20"/>
        <v/>
      </c>
      <c r="K120" s="55"/>
      <c r="L120" s="55"/>
    </row>
    <row r="121" spans="1:12" ht="61.5" customHeight="1">
      <c r="A121" s="26" t="str">
        <v>Leoku</v>
      </c>
      <c r="B121" s="27" t="str">
        <v>HI</v>
      </c>
      <c r="C121" s="27" t="str">
        <f>Sites[[#This Row],[SOL'#]]</f>
        <v>SOL-10071</v>
      </c>
      <c r="D121" s="9"/>
      <c r="E121" s="14"/>
      <c r="F121" s="14" t="str">
        <f t="shared" si="18"/>
        <v/>
      </c>
      <c r="G121" s="15" t="str">
        <f t="shared" si="17"/>
        <v/>
      </c>
      <c r="H121" s="16"/>
      <c r="I121" s="16" t="str">
        <f t="shared" si="19"/>
        <v/>
      </c>
      <c r="J121" s="15" t="str">
        <f t="shared" si="20"/>
        <v/>
      </c>
      <c r="K121" s="139"/>
      <c r="L121" s="107"/>
    </row>
    <row r="122" spans="1:12" ht="15.6">
      <c r="A122" s="24" t="str">
        <v>Waipahu</v>
      </c>
      <c r="B122" s="25" t="str">
        <v>HI</v>
      </c>
      <c r="C122" s="25" t="str">
        <f>Sites[[#This Row],[SOL'#]]</f>
        <v>SOL-10068</v>
      </c>
      <c r="D122" s="20"/>
      <c r="E122" s="10"/>
      <c r="F122" s="10" t="str">
        <f t="shared" si="18"/>
        <v/>
      </c>
      <c r="G122" s="11" t="str">
        <f t="shared" si="17"/>
        <v/>
      </c>
      <c r="H122" s="12"/>
      <c r="I122" s="12" t="str">
        <f t="shared" si="19"/>
        <v/>
      </c>
      <c r="J122" s="13" t="str">
        <f t="shared" si="20"/>
        <v/>
      </c>
      <c r="K122" s="55"/>
      <c r="L122" s="55"/>
    </row>
    <row r="123" spans="1:12" ht="15.6">
      <c r="A123" s="26" t="str">
        <v>Bird in Hand</v>
      </c>
      <c r="B123" s="27" t="str">
        <v>MD</v>
      </c>
      <c r="C123" s="27" t="str">
        <f>Sites[[#This Row],[SOL'#]]</f>
        <v>SOL-10092</v>
      </c>
      <c r="D123" s="9"/>
      <c r="E123" s="14"/>
      <c r="F123" s="14" t="str">
        <f t="shared" si="18"/>
        <v/>
      </c>
      <c r="G123" s="15" t="str">
        <f t="shared" ref="G123:G154" si="21">IFERROR(F123/E123, "")</f>
        <v/>
      </c>
      <c r="H123" s="16"/>
      <c r="I123" s="16" t="str">
        <f t="shared" si="19"/>
        <v/>
      </c>
      <c r="J123" s="15" t="str">
        <f t="shared" si="20"/>
        <v/>
      </c>
      <c r="K123" s="139"/>
      <c r="L123" s="107"/>
    </row>
    <row r="124" spans="1:12" ht="15.6">
      <c r="A124" s="24" t="str">
        <v>Shortal</v>
      </c>
      <c r="B124" s="25" t="str">
        <v>MD</v>
      </c>
      <c r="C124" s="25" t="str">
        <f>Sites[[#This Row],[SOL'#]]</f>
        <v>SOL-10091</v>
      </c>
      <c r="D124" s="20"/>
      <c r="E124" s="10"/>
      <c r="F124" s="10" t="str">
        <f t="shared" si="18"/>
        <v/>
      </c>
      <c r="G124" s="11" t="str">
        <f t="shared" si="21"/>
        <v/>
      </c>
      <c r="H124" s="12"/>
      <c r="I124" s="12" t="str">
        <f t="shared" si="19"/>
        <v/>
      </c>
      <c r="J124" s="13" t="str">
        <f t="shared" si="20"/>
        <v/>
      </c>
      <c r="K124" s="55"/>
      <c r="L124" s="55"/>
    </row>
    <row r="125" spans="1:12" ht="89.25" customHeight="1">
      <c r="A125" s="26" t="str">
        <v>Aguadilla</v>
      </c>
      <c r="B125" s="27" t="str">
        <v>PR</v>
      </c>
      <c r="C125" s="27" t="str">
        <f>Sites[[#This Row],[SOL'#]]</f>
        <v>SOL-10072</v>
      </c>
      <c r="D125" s="9"/>
      <c r="E125" s="14"/>
      <c r="F125" s="14" t="str">
        <f t="shared" si="18"/>
        <v/>
      </c>
      <c r="G125" s="15" t="str">
        <f t="shared" si="21"/>
        <v/>
      </c>
      <c r="H125" s="16"/>
      <c r="I125" s="16" t="str">
        <f t="shared" si="19"/>
        <v/>
      </c>
      <c r="J125" s="15" t="str">
        <f t="shared" si="20"/>
        <v/>
      </c>
      <c r="K125" s="139"/>
      <c r="L125" s="139"/>
    </row>
    <row r="126" spans="1:12" ht="15.6">
      <c r="A126" s="24" t="str">
        <v>Bayamon</v>
      </c>
      <c r="B126" s="25" t="str">
        <v>PR</v>
      </c>
      <c r="C126" s="25" t="str">
        <f>Sites[[#This Row],[SOL'#]]</f>
        <v>SOL-10073</v>
      </c>
      <c r="D126" s="20"/>
      <c r="E126" s="10"/>
      <c r="F126" s="10" t="str">
        <f t="shared" si="18"/>
        <v/>
      </c>
      <c r="G126" s="11" t="str">
        <f t="shared" si="21"/>
        <v/>
      </c>
      <c r="H126" s="12"/>
      <c r="I126" s="12" t="str">
        <f t="shared" si="19"/>
        <v/>
      </c>
      <c r="J126" s="13" t="str">
        <f t="shared" si="20"/>
        <v/>
      </c>
      <c r="K126" s="55"/>
      <c r="L126" s="55"/>
    </row>
    <row r="127" spans="1:12" ht="15.6">
      <c r="A127" s="26" t="str">
        <v>St Francis</v>
      </c>
      <c r="B127" s="27" t="str">
        <v>PR</v>
      </c>
      <c r="C127" s="27" t="str">
        <f>Sites[[#This Row],[SOL'#]]</f>
        <v>SOL-10034</v>
      </c>
      <c r="D127" s="9"/>
      <c r="E127" s="14"/>
      <c r="F127" s="14" t="str">
        <f t="shared" si="18"/>
        <v/>
      </c>
      <c r="G127" s="15" t="str">
        <f t="shared" si="21"/>
        <v/>
      </c>
      <c r="H127" s="16"/>
      <c r="I127" s="16" t="str">
        <f t="shared" si="19"/>
        <v/>
      </c>
      <c r="J127" s="15" t="str">
        <f t="shared" si="20"/>
        <v/>
      </c>
      <c r="K127" s="139"/>
      <c r="L127" s="107"/>
    </row>
    <row r="128" spans="1:12" ht="15.6">
      <c r="A128" s="24" t="str">
        <v>Seaport</v>
      </c>
      <c r="B128" s="25" t="str">
        <v>MA</v>
      </c>
      <c r="C128" s="25" t="str">
        <f>Sites[[#This Row],[SOL'#]]</f>
        <v>SOL-10772</v>
      </c>
      <c r="D128" s="20"/>
      <c r="E128" s="10"/>
      <c r="F128" s="10" t="str">
        <f t="shared" si="18"/>
        <v/>
      </c>
      <c r="G128" s="11" t="str">
        <f t="shared" si="21"/>
        <v/>
      </c>
      <c r="H128" s="12"/>
      <c r="I128" s="12" t="str">
        <f t="shared" si="19"/>
        <v/>
      </c>
      <c r="J128" s="13" t="str">
        <f t="shared" si="20"/>
        <v/>
      </c>
      <c r="K128" s="55"/>
      <c r="L128" s="55"/>
    </row>
    <row r="129" spans="1:12" ht="15.6">
      <c r="A129" s="26" t="str">
        <v>Sprague St</v>
      </c>
      <c r="B129" s="27" t="str">
        <v>MA</v>
      </c>
      <c r="C129" s="27" t="str">
        <f>Sites[[#This Row],[SOL'#]]</f>
        <v>SOL-10773</v>
      </c>
      <c r="D129" s="9"/>
      <c r="E129" s="14"/>
      <c r="F129" s="14" t="str">
        <f t="shared" si="18"/>
        <v/>
      </c>
      <c r="G129" s="15" t="str">
        <f t="shared" si="21"/>
        <v/>
      </c>
      <c r="H129" s="16"/>
      <c r="I129" s="16" t="str">
        <f t="shared" si="19"/>
        <v/>
      </c>
      <c r="J129" s="15" t="str">
        <f t="shared" si="20"/>
        <v/>
      </c>
      <c r="K129" s="139"/>
      <c r="L129" s="107"/>
    </row>
    <row r="130" spans="1:12" ht="15.6">
      <c r="A130" s="24" t="str">
        <v>Summer St</v>
      </c>
      <c r="B130" s="25" t="str">
        <v>MA</v>
      </c>
      <c r="C130" s="25" t="str">
        <f>Sites[[#This Row],[SOL'#]]</f>
        <v>SOL-10764</v>
      </c>
      <c r="D130" s="20"/>
      <c r="E130" s="10"/>
      <c r="F130" s="10" t="str">
        <f t="shared" si="18"/>
        <v/>
      </c>
      <c r="G130" s="11" t="str">
        <f t="shared" si="21"/>
        <v/>
      </c>
      <c r="H130" s="12"/>
      <c r="I130" s="12" t="str">
        <f t="shared" si="19"/>
        <v/>
      </c>
      <c r="J130" s="13" t="str">
        <f t="shared" si="20"/>
        <v/>
      </c>
      <c r="K130" s="55"/>
      <c r="L130" s="55"/>
    </row>
    <row r="131" spans="1:12" ht="15.6">
      <c r="A131" s="26" t="str">
        <v>Brock St Vocational</v>
      </c>
      <c r="B131" s="27" t="str">
        <v>NH</v>
      </c>
      <c r="C131" s="27" t="str">
        <f>Sites[[#This Row],[SOL'#]]</f>
        <v>SOL-10768</v>
      </c>
      <c r="D131" s="9"/>
      <c r="E131" s="14"/>
      <c r="F131" s="14" t="str">
        <f t="shared" si="18"/>
        <v/>
      </c>
      <c r="G131" s="15" t="str">
        <f t="shared" si="21"/>
        <v/>
      </c>
      <c r="H131" s="16"/>
      <c r="I131" s="16" t="str">
        <f t="shared" si="19"/>
        <v/>
      </c>
      <c r="J131" s="15" t="str">
        <f t="shared" si="20"/>
        <v/>
      </c>
      <c r="K131" s="139"/>
      <c r="L131" s="107"/>
    </row>
    <row r="132" spans="1:12" ht="15.6">
      <c r="A132" s="24" t="str">
        <v>McClelland ES</v>
      </c>
      <c r="B132" s="25" t="str">
        <v>NH</v>
      </c>
      <c r="C132" s="25" t="str">
        <f>Sites[[#This Row],[SOL'#]]</f>
        <v>SOL-10766</v>
      </c>
      <c r="D132" s="20"/>
      <c r="E132" s="10"/>
      <c r="F132" s="10" t="str">
        <f t="shared" si="18"/>
        <v/>
      </c>
      <c r="G132" s="11" t="str">
        <f t="shared" si="21"/>
        <v/>
      </c>
      <c r="H132" s="12"/>
      <c r="I132" s="12" t="str">
        <f t="shared" si="19"/>
        <v/>
      </c>
      <c r="J132" s="13" t="str">
        <f t="shared" si="20"/>
        <v/>
      </c>
      <c r="K132" s="55"/>
      <c r="L132" s="55"/>
    </row>
    <row r="133" spans="1:12" ht="15.6">
      <c r="A133" s="26" t="str">
        <v>Portland St</v>
      </c>
      <c r="B133" s="27" t="str">
        <v>NH</v>
      </c>
      <c r="C133" s="27" t="str">
        <f>Sites[[#This Row],[SOL'#]]</f>
        <v>SOL-10771</v>
      </c>
      <c r="D133" s="9"/>
      <c r="E133" s="14"/>
      <c r="F133" s="14" t="str">
        <f t="shared" si="18"/>
        <v/>
      </c>
      <c r="G133" s="15" t="str">
        <f t="shared" si="21"/>
        <v/>
      </c>
      <c r="H133" s="16"/>
      <c r="I133" s="16" t="str">
        <f t="shared" si="19"/>
        <v/>
      </c>
      <c r="J133" s="15" t="str">
        <f t="shared" si="20"/>
        <v/>
      </c>
      <c r="K133" s="139"/>
      <c r="L133" s="107"/>
    </row>
    <row r="134" spans="1:12" ht="15.6">
      <c r="A134" s="24" t="str">
        <v>Portsmouth HS</v>
      </c>
      <c r="B134" s="25" t="str">
        <v>NH</v>
      </c>
      <c r="C134" s="25" t="str">
        <f>Sites[[#This Row],[SOL'#]]</f>
        <v>SOL-10769</v>
      </c>
      <c r="D134" s="20"/>
      <c r="E134" s="10"/>
      <c r="F134" s="10" t="str">
        <f t="shared" si="18"/>
        <v/>
      </c>
      <c r="G134" s="11" t="str">
        <f t="shared" si="21"/>
        <v/>
      </c>
      <c r="H134" s="12"/>
      <c r="I134" s="12" t="str">
        <f t="shared" si="19"/>
        <v/>
      </c>
      <c r="J134" s="13" t="str">
        <f t="shared" si="20"/>
        <v/>
      </c>
      <c r="K134" s="55"/>
      <c r="L134" s="55"/>
    </row>
    <row r="135" spans="1:12" ht="15.6">
      <c r="A135" s="26" t="str">
        <v>Portsmouth WTP</v>
      </c>
      <c r="B135" s="27" t="str">
        <v>NH</v>
      </c>
      <c r="C135" s="27" t="str">
        <f>Sites[[#This Row],[SOL'#]]</f>
        <v>SOL-10770</v>
      </c>
      <c r="D135" s="9"/>
      <c r="E135" s="14"/>
      <c r="F135" s="14" t="str">
        <f t="shared" si="18"/>
        <v/>
      </c>
      <c r="G135" s="15" t="str">
        <f t="shared" si="21"/>
        <v/>
      </c>
      <c r="H135" s="16"/>
      <c r="I135" s="16" t="str">
        <f t="shared" si="19"/>
        <v/>
      </c>
      <c r="J135" s="15" t="str">
        <f t="shared" si="20"/>
        <v/>
      </c>
      <c r="K135" s="139"/>
      <c r="L135" s="107"/>
    </row>
    <row r="136" spans="1:12" ht="15.6">
      <c r="A136" s="24" t="str">
        <v>Rochester St</v>
      </c>
      <c r="B136" s="25" t="str">
        <v>NH</v>
      </c>
      <c r="C136" s="25" t="str">
        <f>Sites[[#This Row],[SOL'#]]</f>
        <v>SOL-10765</v>
      </c>
      <c r="D136" s="20"/>
      <c r="E136" s="10"/>
      <c r="F136" s="10" t="str">
        <f t="shared" si="18"/>
        <v/>
      </c>
      <c r="G136" s="11" t="str">
        <f t="shared" si="21"/>
        <v/>
      </c>
      <c r="H136" s="12"/>
      <c r="I136" s="12" t="str">
        <f t="shared" si="19"/>
        <v/>
      </c>
      <c r="J136" s="13" t="str">
        <f t="shared" si="20"/>
        <v/>
      </c>
      <c r="K136" s="55"/>
      <c r="L136" s="55"/>
    </row>
    <row r="137" spans="1:12" ht="15.6">
      <c r="A137" s="26" t="str">
        <v>Spaulding HS</v>
      </c>
      <c r="B137" s="27" t="str">
        <v>NH</v>
      </c>
      <c r="C137" s="27" t="str">
        <f>Sites[[#This Row],[SOL'#]]</f>
        <v>SOL-10767</v>
      </c>
      <c r="D137" s="9"/>
      <c r="E137" s="14"/>
      <c r="F137" s="14" t="str">
        <f t="shared" si="18"/>
        <v/>
      </c>
      <c r="G137" s="15" t="str">
        <f t="shared" si="21"/>
        <v/>
      </c>
      <c r="H137" s="16"/>
      <c r="I137" s="16" t="str">
        <f t="shared" si="19"/>
        <v/>
      </c>
      <c r="J137" s="15" t="str">
        <f t="shared" si="20"/>
        <v/>
      </c>
      <c r="K137" s="139"/>
      <c r="L137" s="107"/>
    </row>
    <row r="138" spans="1:12" ht="15.6">
      <c r="A138" s="24" t="str">
        <v>Ridgeway #2</v>
      </c>
      <c r="B138" s="25" t="str">
        <v>NY</v>
      </c>
      <c r="C138" s="25" t="str">
        <f>Sites[[#This Row],[SOL'#]]</f>
        <v>SOL-11027</v>
      </c>
      <c r="D138" s="20"/>
      <c r="E138" s="10"/>
      <c r="F138" s="10" t="str">
        <f t="shared" si="18"/>
        <v/>
      </c>
      <c r="G138" s="11" t="str">
        <f t="shared" si="21"/>
        <v/>
      </c>
      <c r="H138" s="12"/>
      <c r="I138" s="12" t="str">
        <f t="shared" si="19"/>
        <v/>
      </c>
      <c r="J138" s="13" t="str">
        <f t="shared" si="20"/>
        <v/>
      </c>
      <c r="K138" s="55"/>
      <c r="L138" s="55"/>
    </row>
    <row r="139" spans="1:12" ht="15.6">
      <c r="A139" s="26" t="str">
        <v>Spencer</v>
      </c>
      <c r="B139" s="27" t="str">
        <v>NY</v>
      </c>
      <c r="C139" s="27" t="str">
        <f>Sites[[#This Row],[SOL'#]]</f>
        <v>SOL-11017</v>
      </c>
      <c r="D139" s="9"/>
      <c r="E139" s="14"/>
      <c r="F139" s="14" t="str">
        <f t="shared" si="18"/>
        <v/>
      </c>
      <c r="G139" s="15" t="str">
        <f t="shared" si="21"/>
        <v/>
      </c>
      <c r="H139" s="16"/>
      <c r="I139" s="16" t="str">
        <f t="shared" si="19"/>
        <v/>
      </c>
      <c r="J139" s="15" t="str">
        <f t="shared" si="20"/>
        <v/>
      </c>
      <c r="K139" s="139"/>
      <c r="L139" s="107"/>
    </row>
    <row r="140" spans="1:12" ht="15.6">
      <c r="A140" s="28" t="str">
        <v>Reisender</v>
      </c>
      <c r="B140" s="25" t="str">
        <v>NY</v>
      </c>
      <c r="C140" s="25" t="str">
        <f>Sites[[#This Row],[SOL'#]]</f>
        <v>SOL-10886</v>
      </c>
      <c r="D140" s="60"/>
      <c r="E140" s="10"/>
      <c r="F140" s="10" t="str">
        <f t="shared" si="18"/>
        <v/>
      </c>
      <c r="G140" s="61" t="str">
        <f t="shared" si="21"/>
        <v/>
      </c>
      <c r="H140" s="76"/>
      <c r="I140" s="76" t="str">
        <f t="shared" si="19"/>
        <v/>
      </c>
      <c r="J140" s="73" t="str">
        <f t="shared" si="20"/>
        <v/>
      </c>
      <c r="K140" s="124"/>
      <c r="L140" s="55"/>
    </row>
    <row r="141" spans="1:12" ht="15.6">
      <c r="A141" s="26" t="str">
        <v>Finney</v>
      </c>
      <c r="B141" s="27" t="str">
        <v>NY</v>
      </c>
      <c r="C141" s="27" t="str">
        <f>Sites[[#This Row],[SOL'#]]</f>
        <v>SOL-10999</v>
      </c>
      <c r="D141" s="75"/>
      <c r="E141" s="14"/>
      <c r="F141" s="14" t="str">
        <f t="shared" si="18"/>
        <v/>
      </c>
      <c r="G141" s="77" t="str">
        <f t="shared" si="21"/>
        <v/>
      </c>
      <c r="H141" s="78"/>
      <c r="I141" s="78" t="str">
        <f t="shared" si="19"/>
        <v/>
      </c>
      <c r="J141" s="77" t="str">
        <f t="shared" si="20"/>
        <v/>
      </c>
      <c r="K141" s="139"/>
      <c r="L141" s="109"/>
    </row>
    <row r="142" spans="1:12" ht="15.6">
      <c r="A142" s="24" t="str">
        <v>Davis Solar</v>
      </c>
      <c r="B142" s="25" t="str">
        <v>NY</v>
      </c>
      <c r="C142" s="25" t="str">
        <f>Sites[[#This Row],[SOL'#]]</f>
        <v>SOL-10958</v>
      </c>
      <c r="D142" s="60"/>
      <c r="E142" s="10"/>
      <c r="F142" s="10" t="str">
        <f t="shared" si="18"/>
        <v/>
      </c>
      <c r="G142" s="61" t="str">
        <f t="shared" si="21"/>
        <v/>
      </c>
      <c r="H142" s="76"/>
      <c r="I142" s="76" t="str">
        <f t="shared" si="19"/>
        <v/>
      </c>
      <c r="J142" s="73" t="str">
        <f t="shared" si="20"/>
        <v/>
      </c>
      <c r="K142" s="124"/>
      <c r="L142" s="55"/>
    </row>
    <row r="143" spans="1:12" ht="15.6">
      <c r="A143" s="26" t="str">
        <v>Genesee</v>
      </c>
      <c r="B143" s="27" t="str">
        <v>NY</v>
      </c>
      <c r="C143" s="27" t="str">
        <f>Sites[[#This Row],[SOL'#]]</f>
        <v>SOL-10951</v>
      </c>
      <c r="D143" s="75"/>
      <c r="E143" s="14"/>
      <c r="F143" s="14" t="str">
        <f t="shared" si="18"/>
        <v/>
      </c>
      <c r="G143" s="77" t="str">
        <f t="shared" si="21"/>
        <v/>
      </c>
      <c r="H143" s="78"/>
      <c r="I143" s="78" t="str">
        <f t="shared" si="19"/>
        <v/>
      </c>
      <c r="J143" s="77" t="str">
        <f t="shared" si="20"/>
        <v/>
      </c>
      <c r="K143" s="139"/>
      <c r="L143" s="109"/>
    </row>
    <row r="144" spans="1:12" ht="15.6">
      <c r="A144" s="24" t="str">
        <v>Landau I</v>
      </c>
      <c r="B144" s="25" t="str">
        <v>NY</v>
      </c>
      <c r="C144" s="25" t="str">
        <f>Sites[[#This Row],[SOL'#]]</f>
        <v>SOL-10891</v>
      </c>
      <c r="D144" s="60"/>
      <c r="E144" s="10"/>
      <c r="F144" s="10" t="str">
        <f t="shared" si="18"/>
        <v/>
      </c>
      <c r="G144" s="61" t="str">
        <f t="shared" si="21"/>
        <v/>
      </c>
      <c r="H144" s="76"/>
      <c r="I144" s="76" t="str">
        <f t="shared" si="19"/>
        <v/>
      </c>
      <c r="J144" s="73" t="str">
        <f t="shared" si="20"/>
        <v/>
      </c>
      <c r="K144" s="124"/>
      <c r="L144" s="55"/>
    </row>
    <row r="145" spans="1:12" ht="48" customHeight="1">
      <c r="A145" s="26" t="str">
        <v>Landau II</v>
      </c>
      <c r="B145" s="27" t="str">
        <v>NY</v>
      </c>
      <c r="C145" s="27" t="str">
        <f>Sites[[#This Row],[SOL'#]]</f>
        <v>SOL-10895</v>
      </c>
      <c r="D145" s="75"/>
      <c r="E145" s="14"/>
      <c r="F145" s="14" t="str">
        <f t="shared" si="18"/>
        <v/>
      </c>
      <c r="G145" s="77" t="str">
        <f t="shared" si="21"/>
        <v/>
      </c>
      <c r="H145" s="78"/>
      <c r="I145" s="78" t="str">
        <f t="shared" si="19"/>
        <v/>
      </c>
      <c r="J145" s="77" t="str">
        <f t="shared" si="20"/>
        <v/>
      </c>
      <c r="K145" s="139"/>
      <c r="L145" s="125"/>
    </row>
    <row r="146" spans="1:12" ht="15.6">
      <c r="A146" s="24" t="str">
        <v>New Beginnings</v>
      </c>
      <c r="B146" s="25" t="str">
        <v>NY</v>
      </c>
      <c r="C146" s="25" t="str">
        <f>Sites[[#This Row],[SOL'#]]</f>
        <v>SOL-10890</v>
      </c>
      <c r="D146" s="60"/>
      <c r="E146" s="10"/>
      <c r="F146" s="10" t="str">
        <f t="shared" ref="F146:F154" si="22">IF(AND(ISNUMBER(D146),ISNUMBER(E146)), D146-E146, "")</f>
        <v/>
      </c>
      <c r="G146" s="61" t="str">
        <f t="shared" si="21"/>
        <v/>
      </c>
      <c r="H146" s="76"/>
      <c r="I146" s="76" t="str">
        <f t="shared" ref="I146:I161" si="23">IF(AND(ISNUMBER(D146),ISNUMBER(H146)), D146-H146, "")</f>
        <v/>
      </c>
      <c r="J146" s="73" t="str">
        <f t="shared" ref="J146:J161" si="24">IFERROR(I146/H146, "")</f>
        <v/>
      </c>
      <c r="K146" s="124"/>
      <c r="L146" s="55"/>
    </row>
    <row r="147" spans="1:12" ht="15.6">
      <c r="A147" s="26" t="str">
        <v>Guilin Farm Solar</v>
      </c>
      <c r="B147" s="27" t="str">
        <v>NY</v>
      </c>
      <c r="C147" s="27" t="str">
        <f>Sites[[#This Row],[SOL'#]]</f>
        <v>SOL-10998</v>
      </c>
      <c r="D147" s="75"/>
      <c r="E147" s="14"/>
      <c r="F147" s="14" t="str">
        <f t="shared" si="22"/>
        <v/>
      </c>
      <c r="G147" s="77" t="str">
        <f t="shared" si="21"/>
        <v/>
      </c>
      <c r="H147" s="78"/>
      <c r="I147" s="78" t="str">
        <f t="shared" si="23"/>
        <v/>
      </c>
      <c r="J147" s="77" t="str">
        <f t="shared" si="24"/>
        <v/>
      </c>
      <c r="K147" s="139"/>
      <c r="L147" s="109"/>
    </row>
    <row r="148" spans="1:12" ht="15.6">
      <c r="A148" s="24" t="str">
        <v>Brodhead Solar</v>
      </c>
      <c r="B148" s="25" t="str">
        <v>NY</v>
      </c>
      <c r="C148" s="25" t="str">
        <f>Sites[[#This Row],[SOL'#]]</f>
        <v>SOL-10899</v>
      </c>
      <c r="D148" s="60"/>
      <c r="E148" s="10"/>
      <c r="F148" s="10" t="str">
        <f t="shared" si="22"/>
        <v/>
      </c>
      <c r="G148" s="61" t="str">
        <f t="shared" si="21"/>
        <v/>
      </c>
      <c r="H148" s="76"/>
      <c r="I148" s="76" t="str">
        <f t="shared" si="23"/>
        <v/>
      </c>
      <c r="J148" s="73" t="str">
        <f t="shared" si="24"/>
        <v/>
      </c>
      <c r="K148" s="124"/>
      <c r="L148" s="55"/>
    </row>
    <row r="149" spans="1:12" ht="15.6">
      <c r="A149" s="26" t="str">
        <v>Svenski</v>
      </c>
      <c r="B149" s="27" t="str">
        <v>NY</v>
      </c>
      <c r="C149" s="27" t="str">
        <f>Sites[[#This Row],[SOL'#]]</f>
        <v>SOL-10894</v>
      </c>
      <c r="D149" s="75"/>
      <c r="E149" s="14"/>
      <c r="F149" s="14" t="str">
        <f t="shared" si="22"/>
        <v/>
      </c>
      <c r="G149" s="77" t="str">
        <f t="shared" si="21"/>
        <v/>
      </c>
      <c r="H149" s="78"/>
      <c r="I149" s="78" t="str">
        <f t="shared" si="23"/>
        <v/>
      </c>
      <c r="J149" s="77" t="str">
        <f t="shared" si="24"/>
        <v/>
      </c>
      <c r="K149" s="139"/>
      <c r="L149" s="110"/>
    </row>
    <row r="150" spans="1:12" ht="15.6">
      <c r="A150" s="24" t="str">
        <v>Bantam</v>
      </c>
      <c r="B150" s="25" t="str">
        <v>NY</v>
      </c>
      <c r="C150" s="25" t="str">
        <f>Sites[[#This Row],[SOL'#]]</f>
        <v>SOL-10986</v>
      </c>
      <c r="D150" s="60"/>
      <c r="E150" s="10"/>
      <c r="F150" s="10" t="str">
        <f t="shared" si="22"/>
        <v/>
      </c>
      <c r="G150" s="61" t="str">
        <f t="shared" si="21"/>
        <v/>
      </c>
      <c r="H150" s="76"/>
      <c r="I150" s="76" t="str">
        <f t="shared" si="23"/>
        <v/>
      </c>
      <c r="J150" s="73" t="str">
        <f t="shared" si="24"/>
        <v/>
      </c>
      <c r="K150" s="124"/>
      <c r="L150" s="55"/>
    </row>
    <row r="151" spans="1:12" ht="15.6">
      <c r="A151" s="26" t="str">
        <v>Bogart</v>
      </c>
      <c r="B151" s="27" t="str">
        <v>NY</v>
      </c>
      <c r="C151" s="27" t="str">
        <f>Sites[[#This Row],[SOL'#]]</f>
        <v>SOL-10887</v>
      </c>
      <c r="D151" s="75"/>
      <c r="E151" s="14"/>
      <c r="F151" s="14" t="str">
        <f t="shared" si="22"/>
        <v/>
      </c>
      <c r="G151" s="77" t="str">
        <f t="shared" si="21"/>
        <v/>
      </c>
      <c r="H151" s="78"/>
      <c r="I151" s="78" t="str">
        <f t="shared" si="23"/>
        <v/>
      </c>
      <c r="J151" s="77" t="str">
        <f t="shared" si="24"/>
        <v/>
      </c>
      <c r="K151" s="139"/>
      <c r="L151" s="109"/>
    </row>
    <row r="152" spans="1:12" ht="15.6">
      <c r="A152" s="24" t="str">
        <v>Dubois</v>
      </c>
      <c r="B152" s="25" t="str">
        <v>NY</v>
      </c>
      <c r="C152" s="25" t="str">
        <f>Sites[[#This Row],[SOL'#]]</f>
        <v>SOL-10892</v>
      </c>
      <c r="D152" s="60"/>
      <c r="E152" s="10"/>
      <c r="F152" s="10" t="str">
        <f t="shared" si="22"/>
        <v/>
      </c>
      <c r="G152" s="61" t="str">
        <f t="shared" si="21"/>
        <v/>
      </c>
      <c r="H152" s="76"/>
      <c r="I152" s="76" t="str">
        <f t="shared" si="23"/>
        <v/>
      </c>
      <c r="J152" s="73" t="str">
        <f t="shared" si="24"/>
        <v/>
      </c>
      <c r="K152" s="124"/>
      <c r="L152" s="55"/>
    </row>
    <row r="153" spans="1:12" ht="15.6">
      <c r="A153" s="26" t="str">
        <v>Salt Point</v>
      </c>
      <c r="B153" s="27" t="str">
        <v>NY</v>
      </c>
      <c r="C153" s="27" t="str">
        <f>Sites[[#This Row],[SOL'#]]</f>
        <v>SOL-10888</v>
      </c>
      <c r="D153" s="75"/>
      <c r="E153" s="14"/>
      <c r="F153" s="14" t="str">
        <f t="shared" si="22"/>
        <v/>
      </c>
      <c r="G153" s="77" t="str">
        <f t="shared" si="21"/>
        <v/>
      </c>
      <c r="H153" s="78"/>
      <c r="I153" s="78" t="str">
        <f t="shared" si="23"/>
        <v/>
      </c>
      <c r="J153" s="77" t="str">
        <f t="shared" si="24"/>
        <v/>
      </c>
      <c r="K153" s="139"/>
      <c r="L153" s="125"/>
    </row>
    <row r="154" spans="1:12" ht="15.6">
      <c r="A154" s="24" t="str">
        <v>Wheatland 2A</v>
      </c>
      <c r="B154" s="25" t="str">
        <v>NY</v>
      </c>
      <c r="C154" s="25" t="str">
        <f>Sites[[#This Row],[SOL'#]]</f>
        <v>SOL-10971</v>
      </c>
      <c r="D154" s="60"/>
      <c r="E154" s="10"/>
      <c r="F154" s="10" t="str">
        <f t="shared" si="22"/>
        <v/>
      </c>
      <c r="G154" s="61" t="str">
        <f t="shared" si="21"/>
        <v/>
      </c>
      <c r="H154" s="76"/>
      <c r="I154" s="76" t="str">
        <f t="shared" si="23"/>
        <v/>
      </c>
      <c r="J154" s="73" t="str">
        <f t="shared" si="24"/>
        <v/>
      </c>
      <c r="K154" s="124"/>
      <c r="L154" s="55"/>
    </row>
    <row r="155" spans="1:12" ht="15.6">
      <c r="A155" s="26" t="str">
        <v>Wheatland 2B</v>
      </c>
      <c r="B155" s="27" t="str">
        <v>NY</v>
      </c>
      <c r="C155" s="27" t="str">
        <f>Sites[[#This Row],[SOL'#]]</f>
        <v>SOL-10961</v>
      </c>
      <c r="D155" s="75"/>
      <c r="E155" s="14"/>
      <c r="F155" s="14">
        <v>0</v>
      </c>
      <c r="G155" s="77" t="str">
        <f t="shared" ref="G155:G161" si="25">IFERROR(F155/E155, "")</f>
        <v/>
      </c>
      <c r="H155" s="78"/>
      <c r="I155" s="78" t="str">
        <f t="shared" si="23"/>
        <v/>
      </c>
      <c r="J155" s="77" t="str">
        <f t="shared" si="24"/>
        <v/>
      </c>
      <c r="K155" s="139"/>
      <c r="L155" s="125"/>
    </row>
    <row r="156" spans="1:12" ht="15.6">
      <c r="A156" s="24" t="str">
        <v>Brickchurch</v>
      </c>
      <c r="B156" s="25" t="str">
        <v>NY</v>
      </c>
      <c r="C156" s="25" t="str">
        <f>Sites[[#This Row],[SOL'#]]</f>
        <v>SOL-10889</v>
      </c>
      <c r="D156" s="60"/>
      <c r="E156" s="10"/>
      <c r="F156" s="10" t="str">
        <f t="shared" ref="F156:F161" si="26">IF(AND(ISNUMBER(D156),ISNUMBER(E156)), D156-E156, "")</f>
        <v/>
      </c>
      <c r="G156" s="61" t="str">
        <f t="shared" si="25"/>
        <v/>
      </c>
      <c r="H156" s="76"/>
      <c r="I156" s="76" t="str">
        <f t="shared" si="23"/>
        <v/>
      </c>
      <c r="J156" s="73" t="str">
        <f t="shared" si="24"/>
        <v/>
      </c>
      <c r="K156" s="124"/>
      <c r="L156" s="55"/>
    </row>
    <row r="157" spans="1:12" ht="15.6">
      <c r="A157" s="26" t="str">
        <v>McCarthy Solar</v>
      </c>
      <c r="B157" s="27" t="str">
        <v>NY</v>
      </c>
      <c r="C157" s="27" t="str">
        <f>Sites[[#This Row],[SOL'#]]</f>
        <v>SOL-10992</v>
      </c>
      <c r="D157" s="75"/>
      <c r="E157" s="14"/>
      <c r="F157" s="14" t="str">
        <f t="shared" si="26"/>
        <v/>
      </c>
      <c r="G157" s="77" t="str">
        <f t="shared" si="25"/>
        <v/>
      </c>
      <c r="H157" s="78"/>
      <c r="I157" s="78" t="str">
        <f t="shared" si="23"/>
        <v/>
      </c>
      <c r="J157" s="77" t="str">
        <f t="shared" si="24"/>
        <v/>
      </c>
      <c r="K157" s="139"/>
      <c r="L157" s="109"/>
    </row>
    <row r="158" spans="1:12" ht="15.6">
      <c r="A158" s="24" t="str">
        <v>Costanza</v>
      </c>
      <c r="B158" s="25" t="str">
        <v>NY</v>
      </c>
      <c r="C158" s="25" t="str">
        <f>Sites[[#This Row],[SOL'#]]</f>
        <v>SOL-10907</v>
      </c>
      <c r="D158" s="60"/>
      <c r="E158" s="10"/>
      <c r="F158" s="10" t="str">
        <f t="shared" si="26"/>
        <v/>
      </c>
      <c r="G158" s="61" t="str">
        <f t="shared" si="25"/>
        <v/>
      </c>
      <c r="H158" s="76"/>
      <c r="I158" s="76" t="str">
        <f t="shared" si="23"/>
        <v/>
      </c>
      <c r="J158" s="73" t="str">
        <f t="shared" si="24"/>
        <v/>
      </c>
      <c r="K158" s="124"/>
      <c r="L158" s="124"/>
    </row>
    <row r="159" spans="1:12" ht="15.6">
      <c r="A159" s="26" t="str">
        <v>Lockenhurst Pond</v>
      </c>
      <c r="B159" s="27" t="str">
        <v>NY</v>
      </c>
      <c r="C159" s="27" t="str">
        <f>Sites[[#This Row],[SOL'#]]</f>
        <v>SOL-11000</v>
      </c>
      <c r="D159" s="75"/>
      <c r="E159" s="14"/>
      <c r="F159" s="14" t="str">
        <f t="shared" si="26"/>
        <v/>
      </c>
      <c r="G159" s="77" t="str">
        <f t="shared" si="25"/>
        <v/>
      </c>
      <c r="H159" s="78"/>
      <c r="I159" s="78" t="str">
        <f t="shared" si="23"/>
        <v/>
      </c>
      <c r="J159" s="77" t="str">
        <f t="shared" si="24"/>
        <v/>
      </c>
      <c r="K159" s="139"/>
      <c r="L159" s="109"/>
    </row>
    <row r="160" spans="1:12" ht="15.6">
      <c r="A160" s="24" t="str">
        <v>Drinkwater</v>
      </c>
      <c r="B160" s="25" t="str">
        <v>NY</v>
      </c>
      <c r="C160" s="25" t="str">
        <f>Sites[[#This Row],[SOL'#]]</f>
        <v>SOL-10896</v>
      </c>
      <c r="D160" s="60"/>
      <c r="E160" s="10"/>
      <c r="F160" s="10" t="str">
        <f t="shared" si="26"/>
        <v/>
      </c>
      <c r="G160" s="61" t="str">
        <f t="shared" si="25"/>
        <v/>
      </c>
      <c r="H160" s="76"/>
      <c r="I160" s="76" t="str">
        <f t="shared" si="23"/>
        <v/>
      </c>
      <c r="J160" s="73" t="str">
        <f t="shared" si="24"/>
        <v/>
      </c>
      <c r="K160" s="124"/>
      <c r="L160" s="55"/>
    </row>
    <row r="161" spans="1:12" ht="15.6">
      <c r="A161" s="26" t="str">
        <v>Altamont</v>
      </c>
      <c r="B161" s="27" t="str">
        <v>NY</v>
      </c>
      <c r="C161" s="27" t="s">
        <v>228</v>
      </c>
      <c r="D161" s="75"/>
      <c r="E161" s="14"/>
      <c r="F161" s="14" t="str">
        <f t="shared" si="26"/>
        <v/>
      </c>
      <c r="G161" s="77" t="str">
        <f t="shared" si="25"/>
        <v/>
      </c>
      <c r="H161" s="78"/>
      <c r="I161" s="78" t="str">
        <f t="shared" si="23"/>
        <v/>
      </c>
      <c r="J161" s="77" t="str">
        <f t="shared" si="24"/>
        <v/>
      </c>
      <c r="K161" s="139"/>
      <c r="L161" s="125"/>
    </row>
    <row r="162" spans="1:12" ht="15.6">
      <c r="A162" s="24" t="str">
        <v>Krumkill North</v>
      </c>
      <c r="B162" s="25" t="str">
        <v>NY</v>
      </c>
      <c r="C162" s="25" t="s">
        <v>469</v>
      </c>
      <c r="D162" s="60"/>
      <c r="E162" s="10"/>
      <c r="F162" s="10" t="str">
        <f t="shared" ref="F162:F163" si="27">IF(AND(ISNUMBER(D162),ISNUMBER(E162)), D162-E162, "")</f>
        <v/>
      </c>
      <c r="G162" s="61" t="str">
        <f t="shared" ref="G162:G163" si="28">IFERROR(F162/E162, "")</f>
        <v/>
      </c>
      <c r="H162" s="76"/>
      <c r="I162" s="76" t="str">
        <f t="shared" ref="I162:I163" si="29">IF(AND(ISNUMBER(D162),ISNUMBER(H162)), D162-H162, "")</f>
        <v/>
      </c>
      <c r="J162" s="73" t="str">
        <f t="shared" ref="J162:J163" si="30">IFERROR(I162/H162, "")</f>
        <v/>
      </c>
      <c r="K162" s="124"/>
      <c r="L162" s="55"/>
    </row>
    <row r="163" spans="1:12" ht="15.6">
      <c r="A163" s="26" t="str">
        <v>Krumkill South</v>
      </c>
      <c r="B163" s="27" t="str">
        <v>NY</v>
      </c>
      <c r="C163" s="27" t="s">
        <v>470</v>
      </c>
      <c r="D163" s="75"/>
      <c r="E163" s="14"/>
      <c r="F163" s="14" t="str">
        <f t="shared" si="27"/>
        <v/>
      </c>
      <c r="G163" s="77" t="str">
        <f t="shared" si="28"/>
        <v/>
      </c>
      <c r="H163" s="78"/>
      <c r="I163" s="78" t="str">
        <f t="shared" si="29"/>
        <v/>
      </c>
      <c r="J163" s="77" t="str">
        <f t="shared" si="30"/>
        <v/>
      </c>
      <c r="K163" s="139"/>
      <c r="L163" s="125"/>
    </row>
    <row r="164" spans="1:12" ht="15.6">
      <c r="A164" s="24" t="str">
        <v>X092</v>
      </c>
      <c r="B164" s="25" t="str">
        <v>NY</v>
      </c>
      <c r="C164" s="25" t="s">
        <v>471</v>
      </c>
      <c r="D164" s="60"/>
      <c r="E164" s="10"/>
      <c r="F164" s="10" t="str">
        <f t="shared" ref="F164:F185" si="31">IF(AND(ISNUMBER(D164),ISNUMBER(E164)), D164-E164, "")</f>
        <v/>
      </c>
      <c r="G164" s="61" t="str">
        <f t="shared" ref="G164:G185" si="32">IFERROR(F164/E164, "")</f>
        <v/>
      </c>
      <c r="H164" s="76"/>
      <c r="I164" s="76" t="str">
        <f t="shared" ref="I164:I185" si="33">IF(AND(ISNUMBER(D164),ISNUMBER(H164)), D164-H164, "")</f>
        <v/>
      </c>
      <c r="J164" s="73" t="str">
        <f t="shared" ref="J164:J185" si="34">IFERROR(I164/H164, "")</f>
        <v/>
      </c>
      <c r="K164" s="124"/>
      <c r="L164" s="55"/>
    </row>
    <row r="165" spans="1:12" ht="15.6">
      <c r="A165" s="26" t="str">
        <v>X093</v>
      </c>
      <c r="B165" s="27" t="str">
        <v>NY</v>
      </c>
      <c r="C165" s="27" t="s">
        <v>472</v>
      </c>
      <c r="D165" s="75"/>
      <c r="E165" s="14"/>
      <c r="F165" s="14" t="str">
        <f t="shared" si="31"/>
        <v/>
      </c>
      <c r="G165" s="77" t="str">
        <f t="shared" si="32"/>
        <v/>
      </c>
      <c r="H165" s="78"/>
      <c r="I165" s="78" t="str">
        <f t="shared" si="33"/>
        <v/>
      </c>
      <c r="J165" s="77" t="str">
        <f t="shared" si="34"/>
        <v/>
      </c>
      <c r="K165" s="139"/>
      <c r="L165" s="125"/>
    </row>
    <row r="166" spans="1:12" ht="15.6">
      <c r="A166" s="24" t="str">
        <v>X095</v>
      </c>
      <c r="B166" s="25" t="str">
        <v>NY</v>
      </c>
      <c r="C166" s="25" t="s">
        <v>473</v>
      </c>
      <c r="D166" s="60"/>
      <c r="E166" s="10"/>
      <c r="F166" s="10" t="str">
        <f t="shared" si="31"/>
        <v/>
      </c>
      <c r="G166" s="61" t="str">
        <f t="shared" si="32"/>
        <v/>
      </c>
      <c r="H166" s="76"/>
      <c r="I166" s="76" t="str">
        <f t="shared" si="33"/>
        <v/>
      </c>
      <c r="J166" s="73" t="str">
        <f t="shared" si="34"/>
        <v/>
      </c>
      <c r="K166" s="124"/>
      <c r="L166" s="55"/>
    </row>
    <row r="167" spans="1:12" ht="15.6">
      <c r="A167" s="26" t="str">
        <v>X181</v>
      </c>
      <c r="B167" s="27" t="str">
        <v>NY</v>
      </c>
      <c r="C167" s="27" t="s">
        <v>474</v>
      </c>
      <c r="D167" s="75"/>
      <c r="E167" s="14"/>
      <c r="F167" s="14" t="str">
        <f t="shared" si="31"/>
        <v/>
      </c>
      <c r="G167" s="77" t="str">
        <f t="shared" si="32"/>
        <v/>
      </c>
      <c r="H167" s="78"/>
      <c r="I167" s="78" t="str">
        <f t="shared" si="33"/>
        <v/>
      </c>
      <c r="J167" s="77" t="str">
        <f t="shared" si="34"/>
        <v/>
      </c>
      <c r="K167" s="139"/>
      <c r="L167" s="125"/>
    </row>
    <row r="168" spans="1:12" ht="15.6">
      <c r="A168" s="24" t="str">
        <v>X415</v>
      </c>
      <c r="B168" s="25" t="str">
        <v>NY</v>
      </c>
      <c r="C168" s="25" t="s">
        <v>475</v>
      </c>
      <c r="D168" s="60"/>
      <c r="E168" s="10"/>
      <c r="F168" s="10" t="str">
        <f t="shared" si="31"/>
        <v/>
      </c>
      <c r="G168" s="61" t="str">
        <f t="shared" si="32"/>
        <v/>
      </c>
      <c r="H168" s="76"/>
      <c r="I168" s="76" t="str">
        <f t="shared" si="33"/>
        <v/>
      </c>
      <c r="J168" s="73" t="str">
        <f t="shared" si="34"/>
        <v/>
      </c>
      <c r="K168" s="124"/>
      <c r="L168" s="55"/>
    </row>
    <row r="169" spans="1:12" ht="15.6">
      <c r="A169" s="26" t="str">
        <v>K198</v>
      </c>
      <c r="B169" s="27" t="str">
        <v>NY</v>
      </c>
      <c r="C169" s="27" t="s">
        <v>476</v>
      </c>
      <c r="D169" s="75"/>
      <c r="E169" s="14"/>
      <c r="F169" s="14" t="str">
        <f t="shared" si="31"/>
        <v/>
      </c>
      <c r="G169" s="77" t="str">
        <f t="shared" si="32"/>
        <v/>
      </c>
      <c r="H169" s="78"/>
      <c r="I169" s="78" t="str">
        <f t="shared" si="33"/>
        <v/>
      </c>
      <c r="J169" s="77" t="str">
        <f t="shared" si="34"/>
        <v/>
      </c>
      <c r="K169" s="139"/>
      <c r="L169" s="125"/>
    </row>
    <row r="170" spans="1:12" ht="15.6">
      <c r="A170" s="24" t="str">
        <v>K203</v>
      </c>
      <c r="B170" s="25" t="str">
        <v>NY</v>
      </c>
      <c r="C170" s="25" t="s">
        <v>477</v>
      </c>
      <c r="D170" s="60"/>
      <c r="E170" s="10"/>
      <c r="F170" s="10" t="str">
        <f t="shared" si="31"/>
        <v/>
      </c>
      <c r="G170" s="61" t="str">
        <f t="shared" si="32"/>
        <v/>
      </c>
      <c r="H170" s="76"/>
      <c r="I170" s="76" t="str">
        <f t="shared" si="33"/>
        <v/>
      </c>
      <c r="J170" s="73" t="str">
        <f t="shared" si="34"/>
        <v/>
      </c>
      <c r="K170" s="124"/>
      <c r="L170" s="55"/>
    </row>
    <row r="171" spans="1:12" ht="15.6">
      <c r="A171" s="26" t="str">
        <v>K213</v>
      </c>
      <c r="B171" s="27" t="str">
        <v>NY</v>
      </c>
      <c r="C171" s="27" t="s">
        <v>478</v>
      </c>
      <c r="D171" s="75"/>
      <c r="E171" s="14"/>
      <c r="F171" s="14" t="str">
        <f t="shared" si="31"/>
        <v/>
      </c>
      <c r="G171" s="77" t="str">
        <f t="shared" si="32"/>
        <v/>
      </c>
      <c r="H171" s="78"/>
      <c r="I171" s="78" t="str">
        <f t="shared" si="33"/>
        <v/>
      </c>
      <c r="J171" s="77" t="str">
        <f t="shared" si="34"/>
        <v/>
      </c>
      <c r="K171" s="139"/>
      <c r="L171" s="125"/>
    </row>
    <row r="172" spans="1:12" ht="15.6">
      <c r="A172" s="24" t="str">
        <v>K217</v>
      </c>
      <c r="B172" s="25" t="str">
        <v>NY</v>
      </c>
      <c r="C172" s="25" t="s">
        <v>479</v>
      </c>
      <c r="D172" s="60"/>
      <c r="E172" s="10"/>
      <c r="F172" s="10" t="str">
        <f t="shared" si="31"/>
        <v/>
      </c>
      <c r="G172" s="61" t="str">
        <f t="shared" si="32"/>
        <v/>
      </c>
      <c r="H172" s="76"/>
      <c r="I172" s="76" t="str">
        <f t="shared" si="33"/>
        <v/>
      </c>
      <c r="J172" s="73" t="str">
        <f t="shared" si="34"/>
        <v/>
      </c>
      <c r="K172" s="124"/>
      <c r="L172" s="55"/>
    </row>
    <row r="173" spans="1:12" ht="15.6">
      <c r="A173" s="26" t="str">
        <v>K307</v>
      </c>
      <c r="B173" s="27" t="str">
        <v>NY</v>
      </c>
      <c r="C173" s="27" t="s">
        <v>480</v>
      </c>
      <c r="D173" s="75"/>
      <c r="E173" s="14"/>
      <c r="F173" s="14" t="str">
        <f t="shared" si="31"/>
        <v/>
      </c>
      <c r="G173" s="77" t="str">
        <f t="shared" si="32"/>
        <v/>
      </c>
      <c r="H173" s="78"/>
      <c r="I173" s="78" t="str">
        <f t="shared" si="33"/>
        <v/>
      </c>
      <c r="J173" s="77" t="str">
        <f t="shared" si="34"/>
        <v/>
      </c>
      <c r="K173" s="139"/>
      <c r="L173" s="125"/>
    </row>
    <row r="174" spans="1:12" ht="15.6">
      <c r="A174" s="24" t="str">
        <v>K610</v>
      </c>
      <c r="B174" s="25" t="str">
        <v>NY</v>
      </c>
      <c r="C174" s="25" t="s">
        <v>495</v>
      </c>
      <c r="D174" s="60"/>
      <c r="E174" s="10"/>
      <c r="F174" s="10" t="str">
        <f t="shared" si="31"/>
        <v/>
      </c>
      <c r="G174" s="61" t="str">
        <f t="shared" si="32"/>
        <v/>
      </c>
      <c r="H174" s="76"/>
      <c r="I174" s="76" t="str">
        <f t="shared" si="33"/>
        <v/>
      </c>
      <c r="J174" s="73" t="str">
        <f t="shared" si="34"/>
        <v/>
      </c>
      <c r="K174" s="124"/>
      <c r="L174" s="55"/>
    </row>
    <row r="175" spans="1:12" ht="15.6">
      <c r="A175" s="26" t="str">
        <v>M025</v>
      </c>
      <c r="B175" s="27" t="str">
        <v>NY</v>
      </c>
      <c r="C175" s="27" t="s">
        <v>496</v>
      </c>
      <c r="D175" s="75"/>
      <c r="E175" s="14"/>
      <c r="F175" s="14" t="str">
        <f t="shared" si="31"/>
        <v/>
      </c>
      <c r="G175" s="77" t="str">
        <f t="shared" si="32"/>
        <v/>
      </c>
      <c r="H175" s="78"/>
      <c r="I175" s="78" t="str">
        <f t="shared" si="33"/>
        <v/>
      </c>
      <c r="J175" s="77" t="str">
        <f t="shared" si="34"/>
        <v/>
      </c>
      <c r="K175" s="139"/>
      <c r="L175" s="125"/>
    </row>
    <row r="176" spans="1:12" ht="15.6">
      <c r="A176" s="24" t="str">
        <v>M028</v>
      </c>
      <c r="B176" s="25" t="str">
        <v>NY</v>
      </c>
      <c r="C176" s="25" t="s">
        <v>497</v>
      </c>
      <c r="D176" s="60"/>
      <c r="E176" s="10"/>
      <c r="F176" s="10" t="str">
        <f t="shared" si="31"/>
        <v/>
      </c>
      <c r="G176" s="61" t="str">
        <f t="shared" si="32"/>
        <v/>
      </c>
      <c r="H176" s="76"/>
      <c r="I176" s="76" t="str">
        <f t="shared" si="33"/>
        <v/>
      </c>
      <c r="J176" s="73" t="str">
        <f t="shared" si="34"/>
        <v/>
      </c>
      <c r="K176" s="124"/>
      <c r="L176" s="55"/>
    </row>
    <row r="177" spans="1:12" ht="15.6">
      <c r="A177" s="26" t="str">
        <v>Q030</v>
      </c>
      <c r="B177" s="27" t="str">
        <v>NY</v>
      </c>
      <c r="C177" s="27" t="s">
        <v>498</v>
      </c>
      <c r="D177" s="75"/>
      <c r="E177" s="14"/>
      <c r="F177" s="14" t="str">
        <f t="shared" si="31"/>
        <v/>
      </c>
      <c r="G177" s="77" t="str">
        <f t="shared" si="32"/>
        <v/>
      </c>
      <c r="H177" s="78"/>
      <c r="I177" s="78" t="str">
        <f t="shared" si="33"/>
        <v/>
      </c>
      <c r="J177" s="77" t="str">
        <f t="shared" si="34"/>
        <v/>
      </c>
      <c r="K177" s="139"/>
      <c r="L177" s="125"/>
    </row>
    <row r="178" spans="1:12" ht="15.6">
      <c r="A178" s="24" t="str">
        <v>Q130</v>
      </c>
      <c r="B178" s="25" t="str">
        <v>NY</v>
      </c>
      <c r="C178" s="25" t="s">
        <v>499</v>
      </c>
      <c r="D178" s="60"/>
      <c r="E178" s="10"/>
      <c r="F178" s="10" t="str">
        <f t="shared" si="31"/>
        <v/>
      </c>
      <c r="G178" s="61" t="str">
        <f t="shared" si="32"/>
        <v/>
      </c>
      <c r="H178" s="76"/>
      <c r="I178" s="76" t="str">
        <f t="shared" si="33"/>
        <v/>
      </c>
      <c r="J178" s="73" t="str">
        <f t="shared" si="34"/>
        <v/>
      </c>
      <c r="K178" s="124"/>
      <c r="L178" s="55"/>
    </row>
    <row r="179" spans="1:12" ht="15.6">
      <c r="A179" s="26" t="str">
        <v>Q196</v>
      </c>
      <c r="B179" s="27" t="str">
        <v>NY</v>
      </c>
      <c r="C179" s="27" t="s">
        <v>500</v>
      </c>
      <c r="D179" s="75"/>
      <c r="E179" s="14"/>
      <c r="F179" s="14" t="str">
        <f t="shared" si="31"/>
        <v/>
      </c>
      <c r="G179" s="77" t="str">
        <f t="shared" si="32"/>
        <v/>
      </c>
      <c r="H179" s="78"/>
      <c r="I179" s="78" t="str">
        <f t="shared" si="33"/>
        <v/>
      </c>
      <c r="J179" s="77" t="str">
        <f t="shared" si="34"/>
        <v/>
      </c>
      <c r="K179" s="139"/>
      <c r="L179" s="125"/>
    </row>
    <row r="180" spans="1:12" ht="15.6">
      <c r="A180" s="24" t="str">
        <v>Q220</v>
      </c>
      <c r="B180" s="25" t="str">
        <v>NY</v>
      </c>
      <c r="C180" s="25" t="s">
        <v>501</v>
      </c>
      <c r="D180" s="60"/>
      <c r="E180" s="10"/>
      <c r="F180" s="10" t="str">
        <f t="shared" si="31"/>
        <v/>
      </c>
      <c r="G180" s="61" t="str">
        <f t="shared" si="32"/>
        <v/>
      </c>
      <c r="H180" s="76"/>
      <c r="I180" s="76" t="str">
        <f t="shared" si="33"/>
        <v/>
      </c>
      <c r="J180" s="73" t="str">
        <f t="shared" si="34"/>
        <v/>
      </c>
      <c r="K180" s="124"/>
      <c r="L180" s="55"/>
    </row>
    <row r="181" spans="1:12" ht="15.6">
      <c r="A181" s="26" t="str">
        <v>Q205</v>
      </c>
      <c r="B181" s="27" t="str">
        <v>NY</v>
      </c>
      <c r="C181" s="27" t="s">
        <v>502</v>
      </c>
      <c r="D181" s="75"/>
      <c r="E181" s="14"/>
      <c r="F181" s="14" t="str">
        <f t="shared" si="31"/>
        <v/>
      </c>
      <c r="G181" s="77" t="str">
        <f t="shared" si="32"/>
        <v/>
      </c>
      <c r="H181" s="78"/>
      <c r="I181" s="78" t="str">
        <f t="shared" si="33"/>
        <v/>
      </c>
      <c r="J181" s="77" t="str">
        <f t="shared" si="34"/>
        <v/>
      </c>
      <c r="K181" s="139"/>
      <c r="L181" s="125"/>
    </row>
    <row r="182" spans="1:12" ht="15.6">
      <c r="A182" s="24" t="str">
        <v>Q400</v>
      </c>
      <c r="B182" s="25" t="str">
        <v>NY</v>
      </c>
      <c r="C182" s="25" t="s">
        <v>503</v>
      </c>
      <c r="D182" s="60"/>
      <c r="E182" s="10"/>
      <c r="F182" s="10" t="str">
        <f t="shared" si="31"/>
        <v/>
      </c>
      <c r="G182" s="61" t="str">
        <f t="shared" si="32"/>
        <v/>
      </c>
      <c r="H182" s="76"/>
      <c r="I182" s="76" t="str">
        <f t="shared" si="33"/>
        <v/>
      </c>
      <c r="J182" s="73" t="str">
        <f t="shared" si="34"/>
        <v/>
      </c>
      <c r="K182" s="124"/>
      <c r="L182" s="55"/>
    </row>
    <row r="183" spans="1:12" ht="15.6">
      <c r="A183" s="26" t="str">
        <v>R003</v>
      </c>
      <c r="B183" s="27" t="str">
        <v>NY</v>
      </c>
      <c r="C183" s="27" t="s">
        <v>504</v>
      </c>
      <c r="D183" s="75"/>
      <c r="E183" s="14"/>
      <c r="F183" s="14" t="str">
        <f t="shared" si="31"/>
        <v/>
      </c>
      <c r="G183" s="77" t="str">
        <f t="shared" si="32"/>
        <v/>
      </c>
      <c r="H183" s="78"/>
      <c r="I183" s="78" t="str">
        <f t="shared" si="33"/>
        <v/>
      </c>
      <c r="J183" s="77" t="str">
        <f t="shared" si="34"/>
        <v/>
      </c>
      <c r="K183" s="139"/>
      <c r="L183" s="125"/>
    </row>
    <row r="184" spans="1:12" ht="15.6">
      <c r="A184" s="24" t="str">
        <v>R007</v>
      </c>
      <c r="B184" s="25" t="str">
        <v>NY</v>
      </c>
      <c r="C184" s="25" t="s">
        <v>505</v>
      </c>
      <c r="D184" s="60"/>
      <c r="E184" s="10"/>
      <c r="F184" s="10" t="str">
        <f t="shared" si="31"/>
        <v/>
      </c>
      <c r="G184" s="61" t="str">
        <f t="shared" si="32"/>
        <v/>
      </c>
      <c r="H184" s="76"/>
      <c r="I184" s="76" t="str">
        <f t="shared" si="33"/>
        <v/>
      </c>
      <c r="J184" s="73" t="str">
        <f t="shared" si="34"/>
        <v/>
      </c>
      <c r="K184" s="124"/>
      <c r="L184" s="55"/>
    </row>
    <row r="185" spans="1:12" ht="15.6">
      <c r="A185" s="26" t="str">
        <v>BK16</v>
      </c>
      <c r="B185" s="27" t="str">
        <v>NY</v>
      </c>
      <c r="C185" s="27" t="s">
        <v>506</v>
      </c>
      <c r="D185" s="75"/>
      <c r="E185" s="14"/>
      <c r="F185" s="14" t="str">
        <f t="shared" si="31"/>
        <v/>
      </c>
      <c r="G185" s="77" t="str">
        <f t="shared" si="32"/>
        <v/>
      </c>
      <c r="H185" s="78"/>
      <c r="I185" s="78" t="str">
        <f t="shared" si="33"/>
        <v/>
      </c>
      <c r="J185" s="77" t="str">
        <f t="shared" si="34"/>
        <v/>
      </c>
      <c r="K185" s="139"/>
      <c r="L185" s="125"/>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J4:J185 G4:G185">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200"/>
  <sheetViews>
    <sheetView zoomScale="70" zoomScaleNormal="70" workbookViewId="0">
      <pane xSplit="2" ySplit="3" topLeftCell="J144" activePane="bottomRight" state="frozen"/>
      <selection pane="bottomRight" activeCell="K243" sqref="K242:K24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49" t="str" cm="1">
        <f t="array" ref="A1">portfolio</f>
        <v>Generate Capital</v>
      </c>
      <c r="B1" s="149"/>
      <c r="C1" s="149"/>
      <c r="D1" s="149"/>
      <c r="E1" s="150" t="s">
        <v>509</v>
      </c>
      <c r="F1" s="150"/>
      <c r="G1" s="150"/>
      <c r="H1" s="148" t="s">
        <v>510</v>
      </c>
      <c r="I1" s="148"/>
      <c r="J1" s="148"/>
      <c r="K1" s="4"/>
      <c r="L1" s="4"/>
    </row>
    <row r="2" spans="1:12" ht="19.5" customHeight="1">
      <c r="A2" s="151" t="s">
        <v>2</v>
      </c>
      <c r="B2" s="151"/>
      <c r="C2" s="65"/>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96"/>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96"/>
    </row>
    <row r="14" spans="1:12" ht="22.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8"/>
    </row>
    <row r="16" spans="1:12" ht="15.6">
      <c r="A16" s="24" t="str">
        <v>Payson Gila CC</v>
      </c>
      <c r="B16" s="25" t="str">
        <v>AZ</v>
      </c>
      <c r="C16" s="25" t="str">
        <f>Sites[[#This Row],[SOL'#]]</f>
        <v>SOL-10756</v>
      </c>
      <c r="D16" s="20"/>
      <c r="E16" s="10"/>
      <c r="F16" s="10" t="str">
        <f t="shared" si="0"/>
        <v/>
      </c>
      <c r="G16" s="11" t="str">
        <f t="shared" si="3"/>
        <v/>
      </c>
      <c r="H16" s="12"/>
      <c r="I16" s="12" t="str">
        <f>IF(AND(ISNUMBER(D16),ISNUMBER(H16)), D16-H16, "")</f>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46.5" customHeight="1">
      <c r="A18" s="24" t="str">
        <v>Sequoia Charter School</v>
      </c>
      <c r="B18" s="25" t="str">
        <v>AZ</v>
      </c>
      <c r="C18" s="25" t="str">
        <f>Sites[[#This Row],[SOL'#]]</f>
        <v>SOL-10759</v>
      </c>
      <c r="D18" s="20"/>
      <c r="E18" s="10"/>
      <c r="F18" s="10" t="str">
        <f t="shared" si="0"/>
        <v/>
      </c>
      <c r="G18" s="11" t="str">
        <f t="shared" si="3"/>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3"/>
        <v/>
      </c>
      <c r="H19" s="16"/>
      <c r="I19" s="16" t="str">
        <f t="shared" si="1"/>
        <v/>
      </c>
      <c r="J19" s="15" t="str">
        <f t="shared" si="2"/>
        <v/>
      </c>
      <c r="K19" s="38"/>
      <c r="L19" s="97"/>
    </row>
    <row r="20" spans="1:12" ht="20.25" customHeight="1">
      <c r="A20" s="24" t="str">
        <v>Spectro Coatings</v>
      </c>
      <c r="B20" s="25" t="str">
        <v>MA</v>
      </c>
      <c r="C20" s="25" t="str">
        <f>Sites[[#This Row],[SOL'#]]</f>
        <v>SOL-10074</v>
      </c>
      <c r="D20" s="20"/>
      <c r="E20" s="10"/>
      <c r="F20" s="10" t="str">
        <f t="shared" si="0"/>
        <v/>
      </c>
      <c r="G20" s="11" t="str">
        <f t="shared" si="3"/>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3"/>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3"/>
        <v/>
      </c>
      <c r="H22" s="12"/>
      <c r="I22" s="12" t="str">
        <f t="shared" si="1"/>
        <v/>
      </c>
      <c r="J22" s="13" t="str">
        <f t="shared" si="2"/>
        <v/>
      </c>
      <c r="K22" s="37"/>
      <c r="L22" s="37"/>
    </row>
    <row r="23" spans="1:12" ht="25.5" customHeight="1">
      <c r="A23" s="26" t="str">
        <v>K043</v>
      </c>
      <c r="B23" s="27" t="str">
        <v>NY</v>
      </c>
      <c r="C23" s="27" t="str">
        <f>Sites[[#This Row],[SOL'#]]</f>
        <v>SOL-10358</v>
      </c>
      <c r="D23" s="9"/>
      <c r="E23" s="14"/>
      <c r="F23" s="14" t="str">
        <f t="shared" si="0"/>
        <v/>
      </c>
      <c r="G23" s="15" t="str">
        <f t="shared" si="3"/>
        <v/>
      </c>
      <c r="H23" s="16"/>
      <c r="I23" s="16" t="str">
        <f t="shared" si="1"/>
        <v/>
      </c>
      <c r="J23" s="15" t="str">
        <f t="shared" si="2"/>
        <v/>
      </c>
      <c r="K23" s="56"/>
      <c r="L23" s="38"/>
    </row>
    <row r="24" spans="1:12" ht="15.6">
      <c r="A24" s="24" t="str">
        <v>K058</v>
      </c>
      <c r="B24" s="25" t="str">
        <v>NY</v>
      </c>
      <c r="C24" s="25" t="str">
        <f>Sites[[#This Row],[SOL'#]]</f>
        <v>SOL-10360</v>
      </c>
      <c r="D24" s="20"/>
      <c r="E24" s="10"/>
      <c r="F24" s="10" t="str">
        <f t="shared" si="0"/>
        <v/>
      </c>
      <c r="G24" s="11" t="str">
        <f t="shared" si="3"/>
        <v/>
      </c>
      <c r="H24" s="12"/>
      <c r="I24" s="12" t="str">
        <f t="shared" si="1"/>
        <v/>
      </c>
      <c r="J24" s="13" t="str">
        <f t="shared" si="2"/>
        <v/>
      </c>
      <c r="K24" s="37"/>
      <c r="L24" s="37"/>
    </row>
    <row r="25" spans="1:12" ht="15.6">
      <c r="A25" s="26" t="str">
        <v>K115</v>
      </c>
      <c r="B25" s="27" t="str">
        <v>NY</v>
      </c>
      <c r="C25" s="27" t="str">
        <f>Sites[[#This Row],[SOL'#]]</f>
        <v>SOL-10361</v>
      </c>
      <c r="D25" s="9"/>
      <c r="E25" s="14"/>
      <c r="F25" s="14" t="str">
        <f t="shared" si="0"/>
        <v/>
      </c>
      <c r="G25" s="15" t="str">
        <f t="shared" si="3"/>
        <v/>
      </c>
      <c r="H25" s="16"/>
      <c r="I25" s="16" t="str">
        <f t="shared" si="1"/>
        <v/>
      </c>
      <c r="J25" s="15" t="str">
        <f t="shared" si="2"/>
        <v/>
      </c>
      <c r="K25" s="38"/>
      <c r="L25" s="38"/>
    </row>
    <row r="26" spans="1:12" ht="15.6">
      <c r="A26" s="24" t="str">
        <v>K152</v>
      </c>
      <c r="B26" s="25" t="str">
        <v>NY</v>
      </c>
      <c r="C26" s="25" t="str">
        <f>Sites[[#This Row],[SOL'#]]</f>
        <v>SOL-10362</v>
      </c>
      <c r="D26" s="20"/>
      <c r="E26" s="10"/>
      <c r="F26" s="10" t="str">
        <f t="shared" si="0"/>
        <v/>
      </c>
      <c r="G26" s="11" t="str">
        <f t="shared" si="3"/>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3"/>
        <v/>
      </c>
      <c r="H27" s="16"/>
      <c r="I27" s="16" t="str">
        <f t="shared" si="1"/>
        <v/>
      </c>
      <c r="J27" s="15" t="str">
        <f t="shared" si="2"/>
        <v/>
      </c>
      <c r="K27" s="38"/>
      <c r="L27" s="38"/>
    </row>
    <row r="28" spans="1:12" ht="15.6">
      <c r="A28" s="24" t="str">
        <v>K206</v>
      </c>
      <c r="B28" s="25" t="str">
        <v>NY</v>
      </c>
      <c r="C28" s="25" t="str">
        <f>Sites[[#This Row],[SOL'#]]</f>
        <v>SOL-10927</v>
      </c>
      <c r="D28" s="20"/>
      <c r="E28" s="10"/>
      <c r="F28" s="10" t="str">
        <f t="shared" si="0"/>
        <v/>
      </c>
      <c r="G28" s="11" t="str">
        <f t="shared" si="3"/>
        <v/>
      </c>
      <c r="H28" s="12"/>
      <c r="I28" s="12" t="str">
        <f t="shared" si="1"/>
        <v/>
      </c>
      <c r="J28" s="13" t="str">
        <f t="shared" si="2"/>
        <v/>
      </c>
      <c r="K28" s="37"/>
      <c r="L28" s="37"/>
    </row>
    <row r="29" spans="1:12" ht="27" customHeight="1">
      <c r="A29" s="26" t="str">
        <v>K251</v>
      </c>
      <c r="B29" s="27" t="str">
        <v>NY</v>
      </c>
      <c r="C29" s="27" t="str">
        <f>Sites[[#This Row],[SOL'#]]</f>
        <v>SOL-10365</v>
      </c>
      <c r="D29" s="9"/>
      <c r="E29" s="14"/>
      <c r="F29" s="14" t="str">
        <f t="shared" si="0"/>
        <v/>
      </c>
      <c r="G29" s="15" t="str">
        <f t="shared" si="3"/>
        <v/>
      </c>
      <c r="H29" s="16"/>
      <c r="I29" s="16" t="str">
        <f t="shared" si="1"/>
        <v/>
      </c>
      <c r="J29" s="15" t="str">
        <f t="shared" si="2"/>
        <v/>
      </c>
      <c r="K29" s="38"/>
      <c r="L29" s="57"/>
    </row>
    <row r="30" spans="1:12" ht="15.6">
      <c r="A30" s="24" t="str">
        <v>K269</v>
      </c>
      <c r="B30" s="25" t="str">
        <v>NY</v>
      </c>
      <c r="C30" s="25" t="str">
        <f>Sites[[#This Row],[SOL'#]]</f>
        <v>SOL-10366</v>
      </c>
      <c r="D30" s="20"/>
      <c r="E30" s="10"/>
      <c r="F30" s="10" t="str">
        <f t="shared" si="0"/>
        <v/>
      </c>
      <c r="G30" s="11" t="str">
        <f t="shared" si="3"/>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3"/>
        <v/>
      </c>
      <c r="H31" s="16"/>
      <c r="I31" s="16" t="str">
        <f t="shared" si="1"/>
        <v/>
      </c>
      <c r="J31" s="15" t="str">
        <f t="shared" si="2"/>
        <v/>
      </c>
      <c r="K31" s="139"/>
      <c r="L31" s="139"/>
    </row>
    <row r="32" spans="1:12" ht="15.6">
      <c r="A32" s="24" t="str">
        <v>K287</v>
      </c>
      <c r="B32" s="25" t="str">
        <v>NY</v>
      </c>
      <c r="C32" s="25" t="str">
        <f>Sites[[#This Row],[SOL'#]]</f>
        <v>SOL-10919</v>
      </c>
      <c r="D32" s="20"/>
      <c r="E32" s="10"/>
      <c r="F32" s="10" t="str">
        <f t="shared" si="0"/>
        <v/>
      </c>
      <c r="G32" s="11" t="str">
        <f t="shared" si="3"/>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3"/>
        <v/>
      </c>
      <c r="H33" s="16"/>
      <c r="I33" s="16" t="str">
        <f t="shared" si="1"/>
        <v/>
      </c>
      <c r="J33" s="15" t="str">
        <f t="shared" si="2"/>
        <v/>
      </c>
      <c r="K33" s="38"/>
      <c r="L33" s="38"/>
    </row>
    <row r="34" spans="1:12" ht="15.6">
      <c r="A34" s="24" t="str">
        <v>K335</v>
      </c>
      <c r="B34" s="25" t="str">
        <v>NY</v>
      </c>
      <c r="C34" s="25" t="str">
        <f>Sites[[#This Row],[SOL'#]]</f>
        <v>SOL-10370</v>
      </c>
      <c r="D34" s="20"/>
      <c r="E34" s="10"/>
      <c r="F34" s="10" t="str">
        <f t="shared" si="0"/>
        <v/>
      </c>
      <c r="G34" s="11" t="str">
        <f t="shared" si="3"/>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3"/>
        <v/>
      </c>
      <c r="H35" s="16"/>
      <c r="I35" s="16" t="str">
        <f t="shared" si="1"/>
        <v/>
      </c>
      <c r="J35" s="15" t="str">
        <f t="shared" si="2"/>
        <v/>
      </c>
      <c r="K35" s="38"/>
      <c r="L35" s="38"/>
    </row>
    <row r="36" spans="1:12" ht="15.6">
      <c r="A36" s="24" t="str">
        <v>K445</v>
      </c>
      <c r="B36" s="25" t="str">
        <v>NY</v>
      </c>
      <c r="C36" s="25" t="str">
        <f>Sites[[#This Row],[SOL'#]]</f>
        <v>SOL-10373</v>
      </c>
      <c r="D36" s="20"/>
      <c r="E36" s="10"/>
      <c r="F36" s="10" t="str">
        <f t="shared" si="0"/>
        <v/>
      </c>
      <c r="G36" s="11" t="str">
        <f t="shared" si="3"/>
        <v/>
      </c>
      <c r="H36" s="12"/>
      <c r="I36" s="12" t="str">
        <f t="shared" si="1"/>
        <v/>
      </c>
      <c r="J36" s="13" t="str">
        <f t="shared" si="2"/>
        <v/>
      </c>
      <c r="K36" s="37"/>
      <c r="L36" s="37"/>
    </row>
    <row r="37" spans="1:12" ht="15.6">
      <c r="A37" s="26" t="str">
        <v>K495</v>
      </c>
      <c r="B37" s="27" t="str">
        <v>NY</v>
      </c>
      <c r="C37" s="27" t="str">
        <f>Sites[[#This Row],[SOL'#]]</f>
        <v>SOL-10374</v>
      </c>
      <c r="D37" s="9"/>
      <c r="E37" s="14"/>
      <c r="F37" s="14" t="str">
        <f t="shared" si="0"/>
        <v/>
      </c>
      <c r="G37" s="15" t="str">
        <f t="shared" si="3"/>
        <v/>
      </c>
      <c r="H37" s="16"/>
      <c r="I37" s="16" t="str">
        <f t="shared" si="1"/>
        <v/>
      </c>
      <c r="J37" s="15" t="str">
        <f t="shared" si="2"/>
        <v/>
      </c>
      <c r="K37" s="38"/>
      <c r="L37" s="38"/>
    </row>
    <row r="38" spans="1:12" ht="15.6">
      <c r="A38" s="24" t="str">
        <v>M020</v>
      </c>
      <c r="B38" s="25" t="str">
        <v>NY</v>
      </c>
      <c r="C38" s="25" t="str">
        <f>Sites[[#This Row],[SOL'#]]</f>
        <v>SOL-10380</v>
      </c>
      <c r="D38" s="20"/>
      <c r="E38" s="10"/>
      <c r="F38" s="10" t="str">
        <f t="shared" si="0"/>
        <v/>
      </c>
      <c r="G38" s="11" t="str">
        <f t="shared" si="3"/>
        <v/>
      </c>
      <c r="H38" s="12"/>
      <c r="I38" s="12" t="str">
        <f t="shared" si="1"/>
        <v/>
      </c>
      <c r="J38" s="13" t="str">
        <f t="shared" si="2"/>
        <v/>
      </c>
      <c r="K38" s="37"/>
      <c r="L38" s="37"/>
    </row>
    <row r="39" spans="1:12" ht="15.6">
      <c r="A39" s="26" t="str">
        <v>M092</v>
      </c>
      <c r="B39" s="27" t="str">
        <v>NY</v>
      </c>
      <c r="C39" s="27" t="str">
        <f>Sites[[#This Row],[SOL'#]]</f>
        <v>SOL-10383</v>
      </c>
      <c r="D39" s="9"/>
      <c r="E39" s="14"/>
      <c r="F39" s="14" t="str">
        <f t="shared" si="0"/>
        <v/>
      </c>
      <c r="G39" s="15" t="str">
        <f t="shared" si="3"/>
        <v/>
      </c>
      <c r="H39" s="16"/>
      <c r="I39" s="16" t="str">
        <f t="shared" si="1"/>
        <v/>
      </c>
      <c r="J39" s="15" t="str">
        <f t="shared" si="2"/>
        <v/>
      </c>
      <c r="K39" s="38"/>
      <c r="L39" s="38"/>
    </row>
    <row r="40" spans="1:12" ht="15.6">
      <c r="A40" s="24" t="str">
        <v>M143</v>
      </c>
      <c r="B40" s="25" t="str">
        <v>NY</v>
      </c>
      <c r="C40" s="25" t="str">
        <f>Sites[[#This Row],[SOL'#]]</f>
        <v>SOL-10384</v>
      </c>
      <c r="D40" s="20"/>
      <c r="E40" s="10"/>
      <c r="F40" s="10" t="str">
        <f t="shared" si="0"/>
        <v/>
      </c>
      <c r="G40" s="11" t="str">
        <f t="shared" si="3"/>
        <v/>
      </c>
      <c r="H40" s="12"/>
      <c r="I40" s="12" t="str">
        <f t="shared" si="1"/>
        <v/>
      </c>
      <c r="J40" s="13" t="str">
        <f t="shared" si="2"/>
        <v/>
      </c>
      <c r="K40" s="37"/>
      <c r="L40" s="37"/>
    </row>
    <row r="41" spans="1:12" ht="15.6">
      <c r="A41" s="26" t="str">
        <v>M144</v>
      </c>
      <c r="B41" s="27" t="str">
        <v>NY</v>
      </c>
      <c r="C41" s="27"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13" t="str">
        <f t="shared" si="2"/>
        <v/>
      </c>
      <c r="K42" s="37"/>
      <c r="L42" s="37"/>
    </row>
    <row r="43" spans="1:12" ht="15.6">
      <c r="A43" s="26" t="str">
        <v>M188</v>
      </c>
      <c r="B43" s="27" t="str">
        <v>NY</v>
      </c>
      <c r="C43" s="27" t="str">
        <f>Sites[[#This Row],[SOL'#]]</f>
        <v>SOL-10387</v>
      </c>
      <c r="D43" s="9"/>
      <c r="E43" s="14"/>
      <c r="F43" s="14" t="str">
        <f t="shared" si="0"/>
        <v/>
      </c>
      <c r="G43" s="15" t="str">
        <f t="shared" si="3"/>
        <v/>
      </c>
      <c r="H43" s="16"/>
      <c r="I43" s="16" t="str">
        <f t="shared" si="1"/>
        <v/>
      </c>
      <c r="J43" s="15" t="str">
        <f t="shared" si="2"/>
        <v/>
      </c>
      <c r="K43" s="38"/>
      <c r="L43" s="56"/>
    </row>
    <row r="44" spans="1:12" ht="15.6">
      <c r="A44" s="24" t="str">
        <v>EMHC</v>
      </c>
      <c r="B44" s="25" t="str">
        <v>NY</v>
      </c>
      <c r="C44" s="25" t="str">
        <f>Sites[[#This Row],[SOL'#]]</f>
        <v>SOL-10351</v>
      </c>
      <c r="D44" s="20"/>
      <c r="E44" s="10"/>
      <c r="F44" s="10" t="str">
        <f t="shared" si="0"/>
        <v/>
      </c>
      <c r="G44" s="11" t="str">
        <f t="shared" si="3"/>
        <v/>
      </c>
      <c r="H44" s="12"/>
      <c r="I44" s="12" t="str">
        <f t="shared" si="1"/>
        <v/>
      </c>
      <c r="J44" s="13" t="str">
        <f t="shared" si="2"/>
        <v/>
      </c>
      <c r="K44" s="37"/>
      <c r="L44" s="37"/>
    </row>
    <row r="45" spans="1:12" ht="15.6">
      <c r="A45" s="26" t="str">
        <v>Q008</v>
      </c>
      <c r="B45" s="27" t="str">
        <v>NY</v>
      </c>
      <c r="C45" s="27" t="str">
        <f>Sites[[#This Row],[SOL'#]]</f>
        <v>SOL-10397</v>
      </c>
      <c r="D45" s="9"/>
      <c r="E45" s="14"/>
      <c r="F45" s="14" t="str">
        <f t="shared" si="0"/>
        <v/>
      </c>
      <c r="G45" s="15" t="str">
        <f t="shared" si="3"/>
        <v/>
      </c>
      <c r="H45" s="16"/>
      <c r="I45" s="16" t="str">
        <f t="shared" si="1"/>
        <v/>
      </c>
      <c r="J45" s="15" t="str">
        <f t="shared" si="2"/>
        <v/>
      </c>
      <c r="K45" s="38"/>
      <c r="L45" s="38"/>
    </row>
    <row r="46" spans="1:12" ht="15.6">
      <c r="A46" s="24" t="str">
        <v>Q018</v>
      </c>
      <c r="B46" s="25" t="str">
        <v>NY</v>
      </c>
      <c r="C46" s="25" t="str">
        <f>Sites[[#This Row],[SOL'#]]</f>
        <v>SOL-10398</v>
      </c>
      <c r="D46" s="20"/>
      <c r="E46" s="10"/>
      <c r="F46" s="10" t="str">
        <f t="shared" si="0"/>
        <v/>
      </c>
      <c r="G46" s="11" t="str">
        <f t="shared" si="3"/>
        <v/>
      </c>
      <c r="H46" s="12"/>
      <c r="I46" s="12" t="str">
        <f t="shared" si="1"/>
        <v/>
      </c>
      <c r="J46" s="13" t="str">
        <f t="shared" si="2"/>
        <v/>
      </c>
      <c r="K46" s="37"/>
      <c r="L46" s="37"/>
    </row>
    <row r="47" spans="1:12" ht="15.6">
      <c r="A47" s="26" t="str">
        <v>Q021</v>
      </c>
      <c r="B47" s="27" t="str">
        <v>NY</v>
      </c>
      <c r="C47" s="27" t="str">
        <f>Sites[[#This Row],[SOL'#]]</f>
        <v>SOL-10399</v>
      </c>
      <c r="D47" s="9"/>
      <c r="E47" s="14"/>
      <c r="F47" s="14" t="str">
        <f t="shared" si="0"/>
        <v/>
      </c>
      <c r="G47" s="15" t="str">
        <f t="shared" si="3"/>
        <v/>
      </c>
      <c r="H47" s="16"/>
      <c r="I47" s="16" t="str">
        <f t="shared" si="1"/>
        <v/>
      </c>
      <c r="J47" s="15" t="str">
        <f t="shared" si="2"/>
        <v/>
      </c>
      <c r="K47" s="38"/>
      <c r="L47" s="38"/>
    </row>
    <row r="48" spans="1:12" ht="21" customHeight="1">
      <c r="A48" s="24" t="str">
        <v>Q025</v>
      </c>
      <c r="B48" s="25" t="str">
        <v>NY</v>
      </c>
      <c r="C48" s="25" t="str">
        <f>Sites[[#This Row],[SOL'#]]</f>
        <v>SOL-10400</v>
      </c>
      <c r="D48" s="20"/>
      <c r="E48" s="10"/>
      <c r="F48" s="10" t="str">
        <f t="shared" si="0"/>
        <v/>
      </c>
      <c r="G48" s="11" t="str">
        <f t="shared" si="3"/>
        <v/>
      </c>
      <c r="H48" s="12"/>
      <c r="I48" s="12" t="str">
        <f t="shared" si="1"/>
        <v/>
      </c>
      <c r="J48" s="13" t="str">
        <f t="shared" si="2"/>
        <v/>
      </c>
      <c r="K48" s="37"/>
      <c r="L48" s="37"/>
    </row>
    <row r="49" spans="1:12" ht="15.6">
      <c r="A49" s="26" t="str">
        <v>Q074</v>
      </c>
      <c r="B49" s="27" t="str">
        <v>NY</v>
      </c>
      <c r="C49" s="27" t="str">
        <f>Sites[[#This Row],[SOL'#]]</f>
        <v>SOL-10402</v>
      </c>
      <c r="D49" s="9"/>
      <c r="E49" s="14"/>
      <c r="F49" s="14" t="str">
        <f t="shared" si="0"/>
        <v/>
      </c>
      <c r="G49" s="15" t="str">
        <f t="shared" si="3"/>
        <v/>
      </c>
      <c r="H49" s="16"/>
      <c r="I49" s="16" t="str">
        <f t="shared" si="1"/>
        <v/>
      </c>
      <c r="J49" s="15" t="str">
        <f t="shared" si="2"/>
        <v/>
      </c>
      <c r="K49" s="38"/>
      <c r="L49" s="56"/>
    </row>
    <row r="50" spans="1:12" ht="15.6">
      <c r="A50" s="24" t="str">
        <v>Q115</v>
      </c>
      <c r="B50" s="25" t="str">
        <v>NY</v>
      </c>
      <c r="C50" s="25" t="str">
        <f>Sites[[#This Row],[SOL'#]]</f>
        <v>SOL-10872</v>
      </c>
      <c r="D50" s="20"/>
      <c r="E50" s="10"/>
      <c r="F50" s="10" t="str">
        <f t="shared" si="0"/>
        <v/>
      </c>
      <c r="G50" s="11" t="str">
        <f t="shared" si="3"/>
        <v/>
      </c>
      <c r="H50" s="12"/>
      <c r="I50" s="12" t="str">
        <f t="shared" si="1"/>
        <v/>
      </c>
      <c r="J50" s="13" t="str">
        <f t="shared" si="2"/>
        <v/>
      </c>
      <c r="K50" s="37"/>
      <c r="L50" s="37"/>
    </row>
    <row r="51" spans="1:12" ht="15.6">
      <c r="A51" s="26" t="str">
        <v>Q139</v>
      </c>
      <c r="B51" s="27" t="str">
        <v>NY</v>
      </c>
      <c r="C51" s="27" t="str">
        <f>Sites[[#This Row],[SOL'#]]</f>
        <v>SOL-10403</v>
      </c>
      <c r="D51" s="9"/>
      <c r="E51" s="14"/>
      <c r="F51" s="14" t="str">
        <f t="shared" si="0"/>
        <v/>
      </c>
      <c r="G51" s="15" t="str">
        <f t="shared" si="3"/>
        <v/>
      </c>
      <c r="H51" s="16"/>
      <c r="I51" s="16" t="str">
        <f t="shared" si="1"/>
        <v/>
      </c>
      <c r="J51" s="15" t="str">
        <f t="shared" si="2"/>
        <v/>
      </c>
      <c r="K51" s="38"/>
      <c r="L51" s="38"/>
    </row>
    <row r="52" spans="1:12" ht="15.6">
      <c r="A52" s="24" t="str">
        <v>Q157</v>
      </c>
      <c r="B52" s="25" t="str">
        <v>NY</v>
      </c>
      <c r="C52" s="25" t="str">
        <f>Sites[[#This Row],[SOL'#]]</f>
        <v>SOL-10404</v>
      </c>
      <c r="D52" s="20"/>
      <c r="E52" s="10"/>
      <c r="F52" s="10" t="str">
        <f t="shared" si="0"/>
        <v/>
      </c>
      <c r="G52" s="11" t="str">
        <f t="shared" si="3"/>
        <v/>
      </c>
      <c r="H52" s="12"/>
      <c r="I52" s="12" t="str">
        <f t="shared" si="1"/>
        <v/>
      </c>
      <c r="J52" s="13" t="str">
        <f t="shared" si="2"/>
        <v/>
      </c>
      <c r="K52" s="37"/>
      <c r="L52" s="37"/>
    </row>
    <row r="53" spans="1:12" ht="15.6">
      <c r="A53" s="26" t="str">
        <v>Q192</v>
      </c>
      <c r="B53" s="27" t="str">
        <v>NY</v>
      </c>
      <c r="C53" s="27"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13" t="str">
        <f t="shared" si="2"/>
        <v/>
      </c>
      <c r="K54" s="37"/>
      <c r="L54" s="37"/>
    </row>
    <row r="55" spans="1:12" ht="15.6">
      <c r="A55" s="26" t="str">
        <v>Q229</v>
      </c>
      <c r="B55" s="27" t="str">
        <v>NY</v>
      </c>
      <c r="C55" s="27" t="str">
        <f>Sites[[#This Row],[SOL'#]]</f>
        <v>SOL-10408</v>
      </c>
      <c r="D55" s="9"/>
      <c r="E55" s="14"/>
      <c r="F55" s="14" t="str">
        <f t="shared" si="0"/>
        <v/>
      </c>
      <c r="G55" s="15" t="str">
        <f t="shared" si="3"/>
        <v/>
      </c>
      <c r="H55" s="16"/>
      <c r="I55" s="16" t="str">
        <f t="shared" si="1"/>
        <v/>
      </c>
      <c r="J55" s="15" t="str">
        <f t="shared" si="2"/>
        <v/>
      </c>
      <c r="K55" s="38"/>
      <c r="L55" s="38"/>
    </row>
    <row r="56" spans="1:12" ht="15.6">
      <c r="A56" s="24" t="str">
        <v>Q231</v>
      </c>
      <c r="B56" s="25" t="str">
        <v>NY</v>
      </c>
      <c r="C56" s="25" t="str">
        <f>Sites[[#This Row],[SOL'#]]</f>
        <v>SOL-10870</v>
      </c>
      <c r="D56" s="20"/>
      <c r="E56" s="10"/>
      <c r="F56" s="10" t="str">
        <f t="shared" si="0"/>
        <v/>
      </c>
      <c r="G56" s="11" t="str">
        <f t="shared" si="3"/>
        <v/>
      </c>
      <c r="H56" s="12"/>
      <c r="I56" s="12" t="str">
        <f t="shared" si="1"/>
        <v/>
      </c>
      <c r="J56" s="13" t="str">
        <f t="shared" si="2"/>
        <v/>
      </c>
      <c r="K56" s="37"/>
      <c r="L56" s="37"/>
    </row>
    <row r="57" spans="1:12" ht="15.6">
      <c r="A57" s="26" t="str">
        <v>Q405</v>
      </c>
      <c r="B57" s="27" t="str">
        <v>NY</v>
      </c>
      <c r="C57" s="27" t="str">
        <f>Sites[[#This Row],[SOL'#]]</f>
        <v>SOL-10409</v>
      </c>
      <c r="D57" s="9"/>
      <c r="E57" s="14"/>
      <c r="F57" s="14" t="str">
        <f t="shared" si="0"/>
        <v/>
      </c>
      <c r="G57" s="15" t="str">
        <f t="shared" si="3"/>
        <v/>
      </c>
      <c r="H57" s="16"/>
      <c r="I57" s="16" t="str">
        <f t="shared" si="1"/>
        <v/>
      </c>
      <c r="J57" s="15" t="str">
        <f t="shared" si="2"/>
        <v/>
      </c>
      <c r="K57" s="38"/>
      <c r="L57" s="38"/>
    </row>
    <row r="58" spans="1:12" ht="15.6">
      <c r="A58" s="24" t="str">
        <v>Q435</v>
      </c>
      <c r="B58" s="25" t="str">
        <v>NY</v>
      </c>
      <c r="C58" s="25" t="str">
        <f>Sites[[#This Row],[SOL'#]]</f>
        <v>SOL-10923</v>
      </c>
      <c r="D58" s="20"/>
      <c r="E58" s="10"/>
      <c r="F58" s="10" t="str">
        <f t="shared" si="0"/>
        <v/>
      </c>
      <c r="G58" s="11" t="str">
        <f t="shared" si="3"/>
        <v/>
      </c>
      <c r="H58" s="12"/>
      <c r="I58" s="12" t="str">
        <f t="shared" si="1"/>
        <v/>
      </c>
      <c r="J58" s="13" t="str">
        <f t="shared" si="2"/>
        <v/>
      </c>
      <c r="K58" s="37"/>
      <c r="L58" s="37"/>
    </row>
    <row r="59" spans="1:12" ht="25.5" customHeight="1">
      <c r="A59" s="26" t="str">
        <v>Q485</v>
      </c>
      <c r="B59" s="27" t="str">
        <v>NY</v>
      </c>
      <c r="C59" s="27" t="str">
        <f>Sites[[#This Row],[SOL'#]]</f>
        <v>SOL-10869</v>
      </c>
      <c r="D59" s="9"/>
      <c r="E59" s="14"/>
      <c r="F59" s="14" t="str">
        <f t="shared" si="0"/>
        <v/>
      </c>
      <c r="G59" s="15" t="str">
        <f t="shared" si="3"/>
        <v/>
      </c>
      <c r="H59" s="16"/>
      <c r="I59" s="16" t="str">
        <f t="shared" si="1"/>
        <v/>
      </c>
      <c r="J59" s="15" t="str">
        <f t="shared" si="2"/>
        <v/>
      </c>
      <c r="K59" s="57"/>
      <c r="L59" s="56"/>
    </row>
    <row r="60" spans="1:12" ht="15.6">
      <c r="A60" s="24" t="str">
        <v>Q490</v>
      </c>
      <c r="B60" s="25" t="str">
        <v>NY</v>
      </c>
      <c r="C60" s="25" t="str">
        <f>Sites[[#This Row],[SOL'#]]</f>
        <v>SOL-10411</v>
      </c>
      <c r="D60" s="20"/>
      <c r="E60" s="10"/>
      <c r="F60" s="10" t="str">
        <f t="shared" si="0"/>
        <v/>
      </c>
      <c r="G60" s="11" t="str">
        <f t="shared" si="3"/>
        <v/>
      </c>
      <c r="H60" s="12"/>
      <c r="I60" s="12" t="str">
        <f t="shared" si="1"/>
        <v/>
      </c>
      <c r="J60" s="13" t="str">
        <f t="shared" si="2"/>
        <v/>
      </c>
      <c r="K60" s="37"/>
      <c r="L60" s="37"/>
    </row>
    <row r="61" spans="1:12" ht="15.6">
      <c r="A61" s="26" t="str">
        <v>Q620</v>
      </c>
      <c r="B61" s="27" t="str">
        <v>NY</v>
      </c>
      <c r="C61" s="27" t="str">
        <f>Sites[[#This Row],[SOL'#]]</f>
        <v>SOL-10867</v>
      </c>
      <c r="D61" s="9"/>
      <c r="E61" s="14"/>
      <c r="F61" s="14" t="str">
        <f t="shared" si="0"/>
        <v/>
      </c>
      <c r="G61" s="15" t="str">
        <f t="shared" si="3"/>
        <v/>
      </c>
      <c r="H61" s="16"/>
      <c r="I61" s="16" t="str">
        <f t="shared" si="1"/>
        <v/>
      </c>
      <c r="J61" s="15" t="str">
        <f t="shared" si="2"/>
        <v/>
      </c>
      <c r="K61" s="38"/>
      <c r="L61" s="38"/>
    </row>
    <row r="62" spans="1:12" ht="15.6">
      <c r="A62" s="24" t="str">
        <v>QMOA</v>
      </c>
      <c r="B62" s="25" t="str">
        <v>NY</v>
      </c>
      <c r="C62" s="25" t="str">
        <f>Sites[[#This Row],[SOL'#]]</f>
        <v>SOL-10415</v>
      </c>
      <c r="D62" s="20"/>
      <c r="E62" s="10"/>
      <c r="F62" s="10" t="str">
        <f t="shared" si="0"/>
        <v/>
      </c>
      <c r="G62" s="11" t="str">
        <f t="shared" si="3"/>
        <v/>
      </c>
      <c r="H62" s="12"/>
      <c r="I62" s="12" t="str">
        <f t="shared" si="1"/>
        <v/>
      </c>
      <c r="J62" s="13" t="str">
        <f t="shared" si="2"/>
        <v/>
      </c>
      <c r="K62" s="37"/>
      <c r="L62" s="37"/>
    </row>
    <row r="63" spans="1:12" ht="15.6">
      <c r="A63" s="26" t="str">
        <v>X024</v>
      </c>
      <c r="B63" s="27" t="str">
        <v>NY</v>
      </c>
      <c r="C63" s="27" t="str">
        <f>Sites[[#This Row],[SOL'#]]</f>
        <v>SOL-10419</v>
      </c>
      <c r="D63" s="9"/>
      <c r="E63" s="14"/>
      <c r="F63" s="14" t="str">
        <f t="shared" si="0"/>
        <v/>
      </c>
      <c r="G63" s="15" t="str">
        <f t="shared" si="3"/>
        <v/>
      </c>
      <c r="H63" s="16"/>
      <c r="I63" s="16" t="str">
        <f t="shared" si="1"/>
        <v/>
      </c>
      <c r="J63" s="15" t="str">
        <f t="shared" si="2"/>
        <v/>
      </c>
      <c r="K63" s="38"/>
      <c r="L63" s="56"/>
    </row>
    <row r="64" spans="1:12" ht="15.6">
      <c r="A64" s="24" t="str">
        <v>X026</v>
      </c>
      <c r="B64" s="25" t="str">
        <v>NY</v>
      </c>
      <c r="C64" s="25" t="str">
        <f>Sites[[#This Row],[SOL'#]]</f>
        <v>SOL-10420</v>
      </c>
      <c r="D64" s="20"/>
      <c r="E64" s="10"/>
      <c r="F64" s="10" t="str">
        <f t="shared" si="0"/>
        <v/>
      </c>
      <c r="G64" s="11" t="str">
        <f t="shared" si="3"/>
        <v/>
      </c>
      <c r="H64" s="12"/>
      <c r="I64" s="12" t="str">
        <f t="shared" si="1"/>
        <v/>
      </c>
      <c r="J64" s="13" t="str">
        <f t="shared" si="2"/>
        <v/>
      </c>
      <c r="K64" s="37"/>
      <c r="L64" s="37"/>
    </row>
    <row r="65" spans="1:12" ht="15.6">
      <c r="A65" s="26" t="str">
        <v>X090</v>
      </c>
      <c r="B65" s="27" t="str">
        <v>NY</v>
      </c>
      <c r="C65" s="27"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13" t="str">
        <f t="shared" si="2"/>
        <v/>
      </c>
      <c r="K66" s="37"/>
      <c r="L66" s="37"/>
    </row>
    <row r="67" spans="1:12" ht="15.6">
      <c r="A67" s="26" t="str">
        <v>X125</v>
      </c>
      <c r="B67" s="27" t="str">
        <v>NY</v>
      </c>
      <c r="C67" s="27" t="str">
        <f>Sites[[#This Row],[SOL'#]]</f>
        <v>SOL-10423</v>
      </c>
      <c r="D67" s="9"/>
      <c r="E67" s="14"/>
      <c r="F67" s="14" t="str">
        <f t="shared" si="0"/>
        <v/>
      </c>
      <c r="G67" s="15" t="str">
        <f t="shared" si="3"/>
        <v/>
      </c>
      <c r="H67" s="16"/>
      <c r="I67" s="16" t="str">
        <f t="shared" si="1"/>
        <v/>
      </c>
      <c r="J67" s="15" t="str">
        <f t="shared" si="2"/>
        <v/>
      </c>
      <c r="K67" s="56"/>
      <c r="L67" s="38"/>
    </row>
    <row r="68" spans="1:12" ht="15.6">
      <c r="A68" s="24" t="str">
        <v>X134</v>
      </c>
      <c r="B68" s="25" t="str">
        <v>NY</v>
      </c>
      <c r="C68" s="25" t="str">
        <f>Sites[[#This Row],[SOL'#]]</f>
        <v>SOL-10424</v>
      </c>
      <c r="D68" s="20"/>
      <c r="E68" s="10"/>
      <c r="F68" s="10" t="str">
        <f t="shared" si="0"/>
        <v/>
      </c>
      <c r="G68" s="11" t="str">
        <f t="shared" si="3"/>
        <v/>
      </c>
      <c r="H68" s="12"/>
      <c r="I68" s="12" t="str">
        <f t="shared" si="1"/>
        <v/>
      </c>
      <c r="J68" s="13" t="str">
        <f t="shared" si="2"/>
        <v/>
      </c>
      <c r="K68" s="37"/>
      <c r="L68" s="37"/>
    </row>
    <row r="69" spans="1:12" ht="15.6">
      <c r="A69" s="26" t="str">
        <v>X135</v>
      </c>
      <c r="B69" s="27" t="str">
        <v>NY</v>
      </c>
      <c r="C69" s="27" t="str">
        <f>Sites[[#This Row],[SOL'#]]</f>
        <v>SOL-10425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13" t="str">
        <f t="shared" si="6"/>
        <v/>
      </c>
      <c r="K70" s="37"/>
      <c r="L70" s="37"/>
    </row>
    <row r="71" spans="1:12" ht="15.6">
      <c r="A71" s="26" t="str">
        <v>X140</v>
      </c>
      <c r="B71" s="27" t="str">
        <v>NY</v>
      </c>
      <c r="C71" s="27" t="str">
        <f>Sites[[#This Row],[SOL'#]]</f>
        <v>SOL-10926</v>
      </c>
      <c r="D71" s="9"/>
      <c r="E71" s="14"/>
      <c r="F71" s="14" t="str">
        <f t="shared" si="4"/>
        <v/>
      </c>
      <c r="G71" s="15" t="str">
        <f t="shared" si="7"/>
        <v/>
      </c>
      <c r="H71" s="16"/>
      <c r="I71" s="16" t="str">
        <f t="shared" si="5"/>
        <v/>
      </c>
      <c r="J71" s="15" t="str">
        <f t="shared" si="6"/>
        <v/>
      </c>
      <c r="K71" s="38"/>
      <c r="L71" s="38"/>
    </row>
    <row r="72" spans="1:12" ht="15.6">
      <c r="A72" s="24" t="str">
        <v>X166</v>
      </c>
      <c r="B72" s="25" t="str">
        <v>NY</v>
      </c>
      <c r="C72" s="25" t="str">
        <f>Sites[[#This Row],[SOL'#]]</f>
        <v>SOL-10427</v>
      </c>
      <c r="D72" s="20"/>
      <c r="E72" s="10"/>
      <c r="F72" s="10" t="str">
        <f t="shared" si="4"/>
        <v/>
      </c>
      <c r="G72" s="11" t="str">
        <f t="shared" si="7"/>
        <v/>
      </c>
      <c r="H72" s="12"/>
      <c r="I72" s="12" t="str">
        <f t="shared" si="5"/>
        <v/>
      </c>
      <c r="J72" s="13" t="str">
        <f t="shared" si="6"/>
        <v/>
      </c>
      <c r="K72" s="37"/>
      <c r="L72" s="37"/>
    </row>
    <row r="73" spans="1:12" ht="15.6">
      <c r="A73" s="26" t="str">
        <v>Murphy</v>
      </c>
      <c r="B73" s="27" t="str">
        <v>MN</v>
      </c>
      <c r="C73" s="27" t="str">
        <f>Sites[[#This Row],[SOL'#]]</f>
        <v>SOL-10094</v>
      </c>
      <c r="D73" s="9"/>
      <c r="E73" s="14"/>
      <c r="F73" s="14" t="str">
        <f t="shared" si="4"/>
        <v/>
      </c>
      <c r="G73" s="15" t="str">
        <f t="shared" si="7"/>
        <v/>
      </c>
      <c r="H73" s="16"/>
      <c r="I73" s="16" t="str">
        <f t="shared" si="5"/>
        <v/>
      </c>
      <c r="J73" s="15" t="str">
        <f t="shared" si="6"/>
        <v/>
      </c>
      <c r="K73" s="38"/>
      <c r="L73" s="38"/>
    </row>
    <row r="74" spans="1:12" ht="15.6">
      <c r="A74" s="24" t="str">
        <v>Terning</v>
      </c>
      <c r="B74" s="25" t="str">
        <v>MN</v>
      </c>
      <c r="C74" s="25" t="str">
        <f>Sites[[#This Row],[SOL'#]]</f>
        <v>SOL-10093</v>
      </c>
      <c r="D74" s="20"/>
      <c r="E74" s="10"/>
      <c r="F74" s="10" t="str">
        <f t="shared" si="4"/>
        <v/>
      </c>
      <c r="G74" s="11" t="str">
        <f t="shared" si="7"/>
        <v/>
      </c>
      <c r="H74" s="12"/>
      <c r="I74" s="12" t="str">
        <f t="shared" si="5"/>
        <v/>
      </c>
      <c r="J74" s="13" t="str">
        <f t="shared" si="6"/>
        <v/>
      </c>
      <c r="K74" s="37"/>
      <c r="L74" s="37"/>
    </row>
    <row r="75" spans="1:12" ht="45" customHeight="1">
      <c r="A75" s="26" t="str">
        <v>Boas Road 04</v>
      </c>
      <c r="B75" s="27" t="str">
        <v>NY</v>
      </c>
      <c r="C75" s="27" t="str">
        <f>Sites[[#This Row],[SOL'#]]</f>
        <v>SOL-10908</v>
      </c>
      <c r="D75" s="9"/>
      <c r="E75" s="14"/>
      <c r="F75" s="14" t="str">
        <f t="shared" si="4"/>
        <v/>
      </c>
      <c r="G75" s="15" t="str">
        <f t="shared" si="7"/>
        <v/>
      </c>
      <c r="H75" s="16"/>
      <c r="I75" s="16" t="str">
        <f t="shared" si="5"/>
        <v/>
      </c>
      <c r="J75" s="15" t="str">
        <f t="shared" si="6"/>
        <v/>
      </c>
      <c r="K75" s="56"/>
      <c r="L75" s="56"/>
    </row>
    <row r="76" spans="1:12" ht="15.6">
      <c r="A76" s="24" t="str">
        <v>Kelly Bridge Farm</v>
      </c>
      <c r="B76" s="25" t="str">
        <v>NY</v>
      </c>
      <c r="C76" s="25" t="str">
        <f>Sites[[#This Row],[SOL'#]]</f>
        <v>SOL-10911</v>
      </c>
      <c r="D76" s="60"/>
      <c r="E76" s="10"/>
      <c r="F76" s="10" t="str">
        <f t="shared" si="4"/>
        <v/>
      </c>
      <c r="G76" s="11" t="str">
        <f t="shared" si="7"/>
        <v/>
      </c>
      <c r="H76" s="12"/>
      <c r="I76" s="12" t="str">
        <f t="shared" si="5"/>
        <v/>
      </c>
      <c r="J76" s="13" t="str">
        <f t="shared" si="6"/>
        <v/>
      </c>
      <c r="K76" s="37"/>
      <c r="L76" s="37"/>
    </row>
    <row r="77" spans="1:12" ht="21.75" customHeight="1">
      <c r="A77" s="26" t="str">
        <v>Pool Brook Road</v>
      </c>
      <c r="B77" s="27" t="str">
        <v>NY</v>
      </c>
      <c r="C77" s="27" t="str">
        <f>Sites[[#This Row],[SOL'#]]</f>
        <v>SOL-10909</v>
      </c>
      <c r="D77" s="9"/>
      <c r="E77" s="14"/>
      <c r="F77" s="14" t="str">
        <f t="shared" si="4"/>
        <v/>
      </c>
      <c r="G77" s="15" t="str">
        <f t="shared" si="7"/>
        <v/>
      </c>
      <c r="H77" s="16"/>
      <c r="I77" s="16" t="str">
        <f t="shared" si="5"/>
        <v/>
      </c>
      <c r="J77" s="15" t="str">
        <f t="shared" si="6"/>
        <v/>
      </c>
      <c r="K77" s="38"/>
      <c r="L77" s="38"/>
    </row>
    <row r="78" spans="1:12" ht="15.6">
      <c r="A78" s="24" t="str">
        <v>Sackett Lake</v>
      </c>
      <c r="B78" s="25" t="str">
        <v>NY</v>
      </c>
      <c r="C78" s="25" t="str">
        <f>Sites[[#This Row],[SOL'#]]</f>
        <v>SOL-10910</v>
      </c>
      <c r="D78" s="20"/>
      <c r="E78" s="10"/>
      <c r="F78" s="10" t="str">
        <f t="shared" si="4"/>
        <v/>
      </c>
      <c r="G78" s="11" t="str">
        <f t="shared" si="7"/>
        <v/>
      </c>
      <c r="H78" s="12"/>
      <c r="I78" s="12" t="str">
        <f t="shared" si="5"/>
        <v/>
      </c>
      <c r="J78" s="13" t="str">
        <f t="shared" si="6"/>
        <v/>
      </c>
      <c r="K78" s="37"/>
      <c r="L78" s="37"/>
    </row>
    <row r="79" spans="1:12" ht="15.6">
      <c r="A79" s="26" t="str">
        <v>Burritt Road</v>
      </c>
      <c r="B79" s="27" t="str">
        <v>NY</v>
      </c>
      <c r="C79" s="27" t="str">
        <f>Sites[[#This Row],[SOL'#]]</f>
        <v>SOL-10913</v>
      </c>
      <c r="D79" s="9"/>
      <c r="E79" s="14"/>
      <c r="F79" s="14" t="str">
        <f t="shared" si="4"/>
        <v/>
      </c>
      <c r="G79" s="15" t="str">
        <f t="shared" si="7"/>
        <v/>
      </c>
      <c r="H79" s="16"/>
      <c r="I79" s="16" t="str">
        <f t="shared" si="5"/>
        <v/>
      </c>
      <c r="J79" s="15" t="str">
        <f t="shared" si="6"/>
        <v/>
      </c>
      <c r="K79" s="38"/>
      <c r="L79" s="97"/>
    </row>
    <row r="80" spans="1:12" ht="15.6">
      <c r="A80" s="24" t="str">
        <v>Villa Roma 1</v>
      </c>
      <c r="B80" s="25" t="str">
        <v>NY</v>
      </c>
      <c r="C80" s="25" t="str">
        <f>Sites[[#This Row],[SOL'#]]</f>
        <v>SOL-10914</v>
      </c>
      <c r="D80" s="20"/>
      <c r="E80" s="10"/>
      <c r="F80" s="10" t="str">
        <f t="shared" si="4"/>
        <v/>
      </c>
      <c r="G80" s="11" t="str">
        <f t="shared" si="7"/>
        <v/>
      </c>
      <c r="H80" s="12"/>
      <c r="I80" s="12" t="str">
        <f t="shared" si="5"/>
        <v/>
      </c>
      <c r="J80" s="13" t="str">
        <f t="shared" si="6"/>
        <v/>
      </c>
      <c r="K80" s="37"/>
      <c r="L80" s="37"/>
    </row>
    <row r="81" spans="1:12" ht="15.6">
      <c r="A81" s="26" t="str">
        <v>Villa Roma 2</v>
      </c>
      <c r="B81" s="27" t="str">
        <v>NY</v>
      </c>
      <c r="C81" s="27" t="str">
        <f>Sites[[#This Row],[SOL'#]]</f>
        <v>SOL-10915</v>
      </c>
      <c r="D81" s="9"/>
      <c r="E81" s="14"/>
      <c r="F81" s="14" t="str">
        <f t="shared" si="4"/>
        <v/>
      </c>
      <c r="G81" s="15" t="str">
        <f t="shared" si="7"/>
        <v/>
      </c>
      <c r="H81" s="16"/>
      <c r="I81" s="16" t="str">
        <f t="shared" si="5"/>
        <v/>
      </c>
      <c r="J81" s="15" t="str">
        <f t="shared" si="6"/>
        <v/>
      </c>
      <c r="K81" s="38"/>
      <c r="L81" s="96"/>
    </row>
    <row r="82" spans="1:12" ht="19.5" customHeight="1">
      <c r="A82" s="24" t="str">
        <v>Washington 1</v>
      </c>
      <c r="B82" s="25" t="str">
        <v>NY</v>
      </c>
      <c r="C82" s="25" t="str">
        <f>Sites[[#This Row],[SOL'#]]</f>
        <v>SOL-10912</v>
      </c>
      <c r="D82" s="20"/>
      <c r="E82" s="10"/>
      <c r="F82" s="10" t="str">
        <f t="shared" si="4"/>
        <v/>
      </c>
      <c r="G82" s="11" t="str">
        <f t="shared" si="7"/>
        <v/>
      </c>
      <c r="H82" s="12"/>
      <c r="I82" s="12" t="str">
        <f t="shared" si="5"/>
        <v/>
      </c>
      <c r="J82" s="13" t="str">
        <f t="shared" si="6"/>
        <v/>
      </c>
      <c r="K82" s="37"/>
      <c r="L82" s="37"/>
    </row>
    <row r="83" spans="1:12" ht="15.6">
      <c r="A83" s="26" t="str">
        <v>Washington 3</v>
      </c>
      <c r="B83" s="27" t="str">
        <v>NY</v>
      </c>
      <c r="C83" s="27" t="str">
        <f>Sites[[#This Row],[SOL'#]]</f>
        <v>SOL-10828</v>
      </c>
      <c r="D83" s="9"/>
      <c r="E83" s="14"/>
      <c r="F83" s="14" t="str">
        <f t="shared" si="4"/>
        <v/>
      </c>
      <c r="G83" s="15" t="str">
        <f t="shared" si="7"/>
        <v/>
      </c>
      <c r="H83" s="16"/>
      <c r="I83" s="16" t="str">
        <f t="shared" si="5"/>
        <v/>
      </c>
      <c r="J83" s="15" t="str">
        <f t="shared" si="6"/>
        <v/>
      </c>
      <c r="K83" s="38"/>
      <c r="L83" s="111"/>
    </row>
    <row r="84" spans="1:12" ht="15.6">
      <c r="A84" s="24" t="str">
        <v>Washington 4</v>
      </c>
      <c r="B84" s="25" t="str">
        <v>NY</v>
      </c>
      <c r="C84" s="25" t="str">
        <f>Sites[[#This Row],[SOL'#]]</f>
        <v>SOL-10829</v>
      </c>
      <c r="D84" s="20"/>
      <c r="E84" s="10"/>
      <c r="F84" s="10" t="str">
        <f t="shared" si="4"/>
        <v/>
      </c>
      <c r="G84" s="11" t="str">
        <f t="shared" si="7"/>
        <v/>
      </c>
      <c r="H84" s="12"/>
      <c r="I84" s="12" t="str">
        <f t="shared" si="5"/>
        <v/>
      </c>
      <c r="J84" s="13" t="str">
        <f t="shared" si="6"/>
        <v/>
      </c>
      <c r="K84" s="37"/>
      <c r="L84" s="37"/>
    </row>
    <row r="85" spans="1:12" ht="15.6">
      <c r="A85" s="26" t="str">
        <v>Big Tree</v>
      </c>
      <c r="B85" s="27" t="str">
        <v>NY</v>
      </c>
      <c r="C85" s="27" t="str">
        <f>Sites[[#This Row],[SOL'#]]</f>
        <v>SOL-10966</v>
      </c>
      <c r="D85" s="9"/>
      <c r="E85" s="14"/>
      <c r="F85" s="14" t="str">
        <f t="shared" si="4"/>
        <v/>
      </c>
      <c r="G85" s="15" t="str">
        <f t="shared" si="7"/>
        <v/>
      </c>
      <c r="H85" s="16"/>
      <c r="I85" s="16" t="str">
        <f t="shared" si="5"/>
        <v/>
      </c>
      <c r="J85" s="15" t="str">
        <f t="shared" si="6"/>
        <v/>
      </c>
      <c r="K85" s="38"/>
      <c r="L85" s="96"/>
    </row>
    <row r="86" spans="1:12" ht="47.25" customHeight="1">
      <c r="A86" s="24" t="str">
        <v>Canoga</v>
      </c>
      <c r="B86" s="25" t="str">
        <v>NY</v>
      </c>
      <c r="C86" s="25" t="str">
        <f>Sites[[#This Row],[SOL'#]]</f>
        <v>SOL-10965</v>
      </c>
      <c r="D86" s="20"/>
      <c r="E86" s="10"/>
      <c r="F86" s="10" t="str">
        <f t="shared" si="4"/>
        <v/>
      </c>
      <c r="G86" s="11" t="str">
        <f t="shared" si="7"/>
        <v/>
      </c>
      <c r="H86" s="12"/>
      <c r="I86" s="12" t="str">
        <f t="shared" si="5"/>
        <v/>
      </c>
      <c r="J86" s="13" t="str">
        <f t="shared" si="6"/>
        <v/>
      </c>
      <c r="K86" s="37"/>
      <c r="L86" s="37"/>
    </row>
    <row r="87" spans="1:12" ht="15.6">
      <c r="A87" s="26" t="str">
        <v>County Route 84</v>
      </c>
      <c r="B87" s="27" t="str">
        <v>NY</v>
      </c>
      <c r="C87" s="27" t="str">
        <f>Sites[[#This Row],[SOL'#]]</f>
        <v>SOL-10967</v>
      </c>
      <c r="D87" s="9"/>
      <c r="E87" s="14"/>
      <c r="F87" s="14" t="str">
        <f t="shared" si="4"/>
        <v/>
      </c>
      <c r="G87" s="15" t="str">
        <f t="shared" si="7"/>
        <v/>
      </c>
      <c r="H87" s="16"/>
      <c r="I87" s="16" t="str">
        <f t="shared" si="5"/>
        <v/>
      </c>
      <c r="J87" s="15" t="str">
        <f t="shared" si="6"/>
        <v/>
      </c>
      <c r="K87" s="38"/>
      <c r="L87" s="111"/>
    </row>
    <row r="88" spans="1:12" ht="15.6">
      <c r="A88" s="24" t="str">
        <v>Donati</v>
      </c>
      <c r="B88" s="25" t="str">
        <v>NY</v>
      </c>
      <c r="C88" s="25" t="str">
        <f>Sites[[#This Row],[SOL'#]]</f>
        <v>SOL-10968</v>
      </c>
      <c r="D88" s="20"/>
      <c r="E88" s="10"/>
      <c r="F88" s="10" t="str">
        <f t="shared" si="4"/>
        <v/>
      </c>
      <c r="G88" s="11" t="str">
        <f t="shared" si="7"/>
        <v/>
      </c>
      <c r="H88" s="12"/>
      <c r="I88" s="12" t="str">
        <f t="shared" si="5"/>
        <v/>
      </c>
      <c r="J88" s="13" t="str">
        <f t="shared" si="6"/>
        <v/>
      </c>
      <c r="K88" s="37"/>
      <c r="L88" s="37"/>
    </row>
    <row r="89" spans="1:12" ht="15.6">
      <c r="A89" s="26" t="str">
        <v>Henrietta</v>
      </c>
      <c r="B89" s="27" t="str">
        <v>NY</v>
      </c>
      <c r="C89" s="27"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13" t="str">
        <f t="shared" si="6"/>
        <v/>
      </c>
      <c r="K90" s="37"/>
      <c r="L90" s="37"/>
    </row>
    <row r="91" spans="1:12" ht="15.6">
      <c r="A91" s="26" t="str">
        <v>Reid</v>
      </c>
      <c r="B91" s="27" t="str">
        <v>NY</v>
      </c>
      <c r="C91" s="27" t="str">
        <f>Sites[[#This Row],[SOL'#]]</f>
        <v>SOL-10991</v>
      </c>
      <c r="D91" s="9"/>
      <c r="E91" s="14"/>
      <c r="F91" s="14" t="str">
        <f t="shared" si="4"/>
        <v/>
      </c>
      <c r="G91" s="15" t="str">
        <f t="shared" si="7"/>
        <v/>
      </c>
      <c r="H91" s="16"/>
      <c r="I91" s="16" t="str">
        <f t="shared" si="5"/>
        <v/>
      </c>
      <c r="J91" s="15" t="str">
        <f t="shared" si="6"/>
        <v/>
      </c>
      <c r="K91" s="38"/>
      <c r="L91" s="38"/>
    </row>
    <row r="92" spans="1:12" ht="15.6">
      <c r="A92" s="24" t="str">
        <v>Sangolqui</v>
      </c>
      <c r="B92" s="25" t="str">
        <v>NY</v>
      </c>
      <c r="C92" s="25" t="str">
        <f>Sites[[#This Row],[SOL'#]]</f>
        <v>SOL-10975</v>
      </c>
      <c r="D92" s="20"/>
      <c r="E92" s="10"/>
      <c r="F92" s="10" t="str">
        <f t="shared" si="4"/>
        <v/>
      </c>
      <c r="G92" s="11" t="str">
        <f t="shared" si="7"/>
        <v/>
      </c>
      <c r="H92" s="12"/>
      <c r="I92" s="12" t="str">
        <f t="shared" si="5"/>
        <v/>
      </c>
      <c r="J92" s="13" t="str">
        <f t="shared" si="6"/>
        <v/>
      </c>
      <c r="K92" s="37"/>
      <c r="L92" s="37"/>
    </row>
    <row r="93" spans="1:12" ht="15.6">
      <c r="A93" s="26" t="str">
        <v>State Highway 17B</v>
      </c>
      <c r="B93" s="27" t="str">
        <v>NY</v>
      </c>
      <c r="C93" s="27" t="str">
        <f>Sites[[#This Row],[SOL'#]]</f>
        <v>SOL-10988</v>
      </c>
      <c r="D93" s="9"/>
      <c r="E93" s="14"/>
      <c r="F93" s="14" t="str">
        <f t="shared" si="4"/>
        <v/>
      </c>
      <c r="G93" s="15" t="str">
        <f t="shared" si="7"/>
        <v/>
      </c>
      <c r="H93" s="16"/>
      <c r="I93" s="16" t="str">
        <f t="shared" si="5"/>
        <v/>
      </c>
      <c r="J93" s="15" t="str">
        <f t="shared" si="6"/>
        <v/>
      </c>
      <c r="K93" s="38"/>
      <c r="L93" s="57"/>
    </row>
    <row r="94" spans="1:12" ht="15.6">
      <c r="A94" s="24" t="str">
        <v>State Route 14A</v>
      </c>
      <c r="B94" s="25" t="str">
        <v>NY</v>
      </c>
      <c r="C94" s="25" t="str">
        <f>Sites[[#This Row],[SOL'#]]</f>
        <v>SOL-10997</v>
      </c>
      <c r="D94" s="20"/>
      <c r="E94" s="10"/>
      <c r="F94" s="10" t="str">
        <f t="shared" si="4"/>
        <v/>
      </c>
      <c r="G94" s="11" t="str">
        <f t="shared" si="7"/>
        <v/>
      </c>
      <c r="H94" s="12"/>
      <c r="I94" s="12" t="str">
        <f t="shared" si="5"/>
        <v/>
      </c>
      <c r="J94" s="13" t="str">
        <f t="shared" si="6"/>
        <v/>
      </c>
      <c r="K94" s="37"/>
      <c r="L94" s="37"/>
    </row>
    <row r="95" spans="1:12" ht="15.6">
      <c r="A95" s="26" t="str">
        <v>West Creek</v>
      </c>
      <c r="B95" s="27" t="str">
        <v>NY</v>
      </c>
      <c r="C95" s="27" t="str">
        <f>Sites[[#This Row],[SOL'#]]</f>
        <v>SOL-10995</v>
      </c>
      <c r="D95" s="9"/>
      <c r="E95" s="14"/>
      <c r="F95" s="14" t="str">
        <f t="shared" si="4"/>
        <v/>
      </c>
      <c r="G95" s="15" t="str">
        <f t="shared" si="7"/>
        <v/>
      </c>
      <c r="H95" s="16"/>
      <c r="I95" s="16" t="str">
        <f t="shared" si="5"/>
        <v/>
      </c>
      <c r="J95" s="15" t="str">
        <f t="shared" si="6"/>
        <v/>
      </c>
      <c r="K95" s="38"/>
      <c r="L95" s="38"/>
    </row>
    <row r="96" spans="1:12" ht="15.6">
      <c r="A96" s="24" t="str">
        <v>Wildflower</v>
      </c>
      <c r="B96" s="25" t="str">
        <v>NY</v>
      </c>
      <c r="C96" s="25" t="str">
        <f>Sites[[#This Row],[SOL'#]]</f>
        <v>SOL-10982</v>
      </c>
      <c r="D96" s="20"/>
      <c r="E96" s="10"/>
      <c r="F96" s="10" t="str">
        <f t="shared" si="4"/>
        <v/>
      </c>
      <c r="G96" s="11" t="str">
        <f t="shared" si="7"/>
        <v/>
      </c>
      <c r="H96" s="12"/>
      <c r="I96" s="12" t="str">
        <f t="shared" si="5"/>
        <v/>
      </c>
      <c r="J96" s="13" t="str">
        <f t="shared" si="6"/>
        <v/>
      </c>
      <c r="K96" s="37"/>
      <c r="L96" s="37"/>
    </row>
    <row r="97" spans="1:12" ht="15.6">
      <c r="A97" s="26" t="str">
        <v>Glen Mary 1</v>
      </c>
      <c r="B97" s="27" t="str">
        <v>NY</v>
      </c>
      <c r="C97" s="27" t="str">
        <f>Sites[[#This Row],[SOL'#]]</f>
        <v>SOL-10993</v>
      </c>
      <c r="D97" s="9"/>
      <c r="E97" s="14"/>
      <c r="F97" s="14" t="str">
        <f t="shared" si="4"/>
        <v/>
      </c>
      <c r="G97" s="15" t="str">
        <f t="shared" si="7"/>
        <v/>
      </c>
      <c r="H97" s="16"/>
      <c r="I97" s="16" t="str">
        <f t="shared" si="5"/>
        <v/>
      </c>
      <c r="J97" s="15" t="str">
        <f t="shared" si="6"/>
        <v/>
      </c>
      <c r="K97" s="38"/>
      <c r="L97" s="38"/>
    </row>
    <row r="98" spans="1:12" ht="15.6">
      <c r="A98" s="24" t="str">
        <v>Glen Mary 2</v>
      </c>
      <c r="B98" s="25" t="str">
        <v>NY</v>
      </c>
      <c r="C98" s="25" t="str">
        <f>Sites[[#This Row],[SOL'#]]</f>
        <v>SOL-10994</v>
      </c>
      <c r="D98" s="20"/>
      <c r="E98" s="10"/>
      <c r="F98" s="10" t="str">
        <f t="shared" si="4"/>
        <v/>
      </c>
      <c r="G98" s="11" t="str">
        <f t="shared" si="7"/>
        <v/>
      </c>
      <c r="H98" s="12"/>
      <c r="I98" s="12" t="str">
        <f t="shared" si="5"/>
        <v/>
      </c>
      <c r="J98" s="13" t="str">
        <f t="shared" si="6"/>
        <v/>
      </c>
      <c r="K98" s="37"/>
      <c r="L98" s="37"/>
    </row>
    <row r="99" spans="1:12" ht="15.6">
      <c r="A99" s="26" t="str">
        <v>Telegraph 1</v>
      </c>
      <c r="B99" s="27" t="str">
        <v>NY</v>
      </c>
      <c r="C99" s="27" t="str">
        <f>Sites[[#This Row],[SOL'#]]</f>
        <v>SOL-11003</v>
      </c>
      <c r="D99" s="9"/>
      <c r="E99" s="14"/>
      <c r="F99" s="14" t="str">
        <f t="shared" si="4"/>
        <v/>
      </c>
      <c r="G99" s="15" t="str">
        <f t="shared" si="7"/>
        <v/>
      </c>
      <c r="H99" s="16"/>
      <c r="I99" s="16" t="str">
        <f t="shared" si="5"/>
        <v/>
      </c>
      <c r="J99" s="15" t="str">
        <f t="shared" si="6"/>
        <v/>
      </c>
      <c r="K99" s="57"/>
      <c r="L99" s="57"/>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13" t="str">
        <f t="shared" si="6"/>
        <v/>
      </c>
      <c r="K100" s="37"/>
      <c r="L100" s="37"/>
    </row>
    <row r="101" spans="1:12" ht="15.6">
      <c r="A101" s="26" t="str">
        <v>Cafferty Hill</v>
      </c>
      <c r="B101" s="27" t="str">
        <v>NY</v>
      </c>
      <c r="C101" s="27" t="str">
        <f>Sites[[#This Row],[SOL'#]]</f>
        <v>SOL-10996</v>
      </c>
      <c r="D101" s="9"/>
      <c r="E101" s="14"/>
      <c r="F101" s="14" t="str">
        <f t="shared" si="4"/>
        <v/>
      </c>
      <c r="G101" s="15" t="str">
        <f t="shared" si="7"/>
        <v/>
      </c>
      <c r="H101" s="16"/>
      <c r="I101" s="16" t="str">
        <f t="shared" si="5"/>
        <v/>
      </c>
      <c r="J101" s="15" t="str">
        <f t="shared" si="6"/>
        <v/>
      </c>
      <c r="K101" s="38"/>
      <c r="L101" s="57"/>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13" t="str">
        <f t="shared" si="6"/>
        <v/>
      </c>
      <c r="K102" s="37"/>
      <c r="L102" s="37"/>
    </row>
    <row r="103" spans="1:12" ht="15.6">
      <c r="A103" s="26" t="str">
        <v>Route 19 1</v>
      </c>
      <c r="B103" s="27" t="str">
        <v>NY</v>
      </c>
      <c r="C103" s="27" t="str">
        <f>Sites[[#This Row],[SOL'#]]</f>
        <v>SOL-11001</v>
      </c>
      <c r="D103" s="9"/>
      <c r="E103" s="14"/>
      <c r="F103" s="14" t="str">
        <f t="shared" si="4"/>
        <v/>
      </c>
      <c r="G103" s="15" t="str">
        <f t="shared" si="7"/>
        <v/>
      </c>
      <c r="H103" s="16"/>
      <c r="I103" s="16" t="str">
        <f t="shared" si="5"/>
        <v/>
      </c>
      <c r="J103" s="15" t="str">
        <f t="shared" si="6"/>
        <v/>
      </c>
      <c r="K103" s="38"/>
      <c r="L103" s="57"/>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13" t="str">
        <f t="shared" si="6"/>
        <v/>
      </c>
      <c r="K104" s="37"/>
      <c r="L104" s="37"/>
    </row>
    <row r="105" spans="1:12" ht="15.6">
      <c r="A105" s="26" t="str">
        <v>Yellow Mills 1</v>
      </c>
      <c r="B105" s="27" t="str">
        <v>NY</v>
      </c>
      <c r="C105" s="27" t="str">
        <f>Sites[[#This Row],[SOL'#]]</f>
        <v>SOL-11006</v>
      </c>
      <c r="D105" s="9"/>
      <c r="E105" s="14"/>
      <c r="F105" s="14" t="str">
        <f t="shared" si="4"/>
        <v/>
      </c>
      <c r="G105" s="15" t="str">
        <f t="shared" si="7"/>
        <v/>
      </c>
      <c r="H105" s="16"/>
      <c r="I105" s="16" t="str">
        <f t="shared" si="5"/>
        <v/>
      </c>
      <c r="J105" s="15" t="str">
        <f t="shared" si="6"/>
        <v/>
      </c>
      <c r="K105" s="38"/>
      <c r="L105" s="38"/>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13" t="str">
        <f t="shared" si="6"/>
        <v/>
      </c>
      <c r="K106" s="37"/>
      <c r="L106" s="37"/>
    </row>
    <row r="107" spans="1:12" ht="15.6">
      <c r="A107" s="26" t="str">
        <v>Yellow Mills 3</v>
      </c>
      <c r="B107" s="27" t="str">
        <v>NY</v>
      </c>
      <c r="C107" s="27" t="str">
        <f>Sites[[#This Row],[SOL'#]]</f>
        <v>SOL-11007</v>
      </c>
      <c r="D107" s="9"/>
      <c r="E107" s="14"/>
      <c r="F107" s="14" t="str">
        <f t="shared" si="4"/>
        <v/>
      </c>
      <c r="G107" s="15" t="str">
        <f t="shared" si="7"/>
        <v/>
      </c>
      <c r="H107" s="16"/>
      <c r="I107" s="16" t="str">
        <f t="shared" si="5"/>
        <v/>
      </c>
      <c r="J107" s="15" t="str">
        <f t="shared" si="6"/>
        <v/>
      </c>
      <c r="K107" s="38"/>
      <c r="L107" s="57"/>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13" t="str">
        <f t="shared" si="6"/>
        <v/>
      </c>
      <c r="K108" s="37"/>
      <c r="L108" s="37"/>
    </row>
    <row r="109" spans="1:12" ht="15.6">
      <c r="A109" s="26" t="str">
        <v>Eddy Ridge</v>
      </c>
      <c r="B109" s="27" t="str">
        <v>NY</v>
      </c>
      <c r="C109" s="27" t="str">
        <f>Sites[[#This Row],[SOL'#]]</f>
        <v>SOL-11054</v>
      </c>
      <c r="D109" s="9"/>
      <c r="E109" s="14"/>
      <c r="F109" s="14" t="str">
        <f t="shared" si="4"/>
        <v/>
      </c>
      <c r="G109" s="15" t="str">
        <f t="shared" si="7"/>
        <v/>
      </c>
      <c r="H109" s="16"/>
      <c r="I109" s="16" t="str">
        <f t="shared" si="5"/>
        <v/>
      </c>
      <c r="J109" s="15" t="str">
        <f t="shared" si="6"/>
        <v/>
      </c>
      <c r="K109" s="38"/>
      <c r="L109" s="57"/>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13" t="str">
        <f t="shared" si="6"/>
        <v/>
      </c>
      <c r="K110" s="37"/>
      <c r="L110" s="37"/>
    </row>
    <row r="111" spans="1:12" ht="15.6">
      <c r="A111" s="26" t="str">
        <v>Rivard 1</v>
      </c>
      <c r="B111" s="27" t="str">
        <v>NY</v>
      </c>
      <c r="C111" s="27" t="str">
        <f>Sites[[#This Row],[SOL'#]]</f>
        <v>SOL-11011</v>
      </c>
      <c r="D111" s="9"/>
      <c r="E111" s="14"/>
      <c r="F111" s="14" t="str">
        <f t="shared" si="4"/>
        <v/>
      </c>
      <c r="G111" s="15" t="str">
        <f t="shared" si="7"/>
        <v/>
      </c>
      <c r="H111" s="16"/>
      <c r="I111" s="16" t="str">
        <f t="shared" si="5"/>
        <v/>
      </c>
      <c r="J111" s="15" t="str">
        <f t="shared" si="6"/>
        <v/>
      </c>
      <c r="K111" s="38"/>
      <c r="L111" s="38"/>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13" t="str">
        <f t="shared" si="6"/>
        <v/>
      </c>
      <c r="K112" s="37"/>
      <c r="L112" s="37"/>
    </row>
    <row r="113" spans="1:12" ht="15.6">
      <c r="A113" s="26" t="str">
        <v>Essex</v>
      </c>
      <c r="B113" s="27" t="str">
        <v>DC</v>
      </c>
      <c r="C113" s="27" t="str">
        <f>Sites[[#This Row],[SOL'#]]</f>
        <v>SOL-10036</v>
      </c>
      <c r="D113" s="9"/>
      <c r="E113" s="14"/>
      <c r="F113" s="14" t="str">
        <f t="shared" si="4"/>
        <v/>
      </c>
      <c r="G113" s="15" t="str">
        <f t="shared" si="7"/>
        <v/>
      </c>
      <c r="H113" s="16"/>
      <c r="I113" s="16" t="str">
        <f t="shared" si="5"/>
        <v/>
      </c>
      <c r="J113" s="15" t="str">
        <f t="shared" si="6"/>
        <v/>
      </c>
      <c r="K113" s="38"/>
      <c r="L113" s="38"/>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13" t="str">
        <f t="shared" si="6"/>
        <v/>
      </c>
      <c r="K114" s="37"/>
      <c r="L114" s="37"/>
    </row>
    <row r="115" spans="1:12" ht="15.6">
      <c r="A115" s="26" t="str">
        <v>Weinberg 1</v>
      </c>
      <c r="B115" s="27" t="str">
        <v>DC</v>
      </c>
      <c r="C115" s="27" t="str">
        <f>Sites[[#This Row],[SOL'#]]</f>
        <v>SOL-10039</v>
      </c>
      <c r="D115" s="9"/>
      <c r="E115" s="14"/>
      <c r="F115" s="14" t="str">
        <f t="shared" si="4"/>
        <v/>
      </c>
      <c r="G115" s="15" t="str">
        <f t="shared" si="7"/>
        <v/>
      </c>
      <c r="H115" s="16"/>
      <c r="I115" s="16" t="str">
        <f t="shared" si="5"/>
        <v/>
      </c>
      <c r="J115" s="15" t="str">
        <f t="shared" si="6"/>
        <v/>
      </c>
      <c r="K115" s="38"/>
      <c r="L115" s="38"/>
    </row>
    <row r="116" spans="1:12" ht="15.6">
      <c r="A116" s="24" t="str">
        <v>Weinberg 2</v>
      </c>
      <c r="B116" s="25" t="str">
        <v>DC</v>
      </c>
      <c r="C116" s="25" t="str">
        <f>Sites[[#This Row],[SOL'#]]</f>
        <v>SOL-10045</v>
      </c>
      <c r="D116" s="20"/>
      <c r="E116" s="10"/>
      <c r="F116" s="10" t="str">
        <f t="shared" si="4"/>
        <v/>
      </c>
      <c r="G116" s="11" t="str">
        <f t="shared" si="7"/>
        <v/>
      </c>
      <c r="H116" s="12"/>
      <c r="I116" s="12" t="str">
        <f t="shared" si="5"/>
        <v/>
      </c>
      <c r="J116" s="13" t="str">
        <f t="shared" si="6"/>
        <v/>
      </c>
      <c r="K116" s="37"/>
      <c r="L116" s="37"/>
    </row>
    <row r="117" spans="1:12" ht="15.6">
      <c r="A117" s="26" t="str">
        <v>Weinberg 3</v>
      </c>
      <c r="B117" s="27" t="str">
        <v>DC</v>
      </c>
      <c r="C117" s="27" t="str">
        <f>Sites[[#This Row],[SOL'#]]</f>
        <v>SOL-10042</v>
      </c>
      <c r="D117" s="9"/>
      <c r="E117" s="14"/>
      <c r="F117" s="14" t="str">
        <f t="shared" si="4"/>
        <v/>
      </c>
      <c r="G117" s="15" t="str">
        <f t="shared" si="7"/>
        <v/>
      </c>
      <c r="H117" s="16"/>
      <c r="I117" s="16" t="str">
        <f t="shared" si="5"/>
        <v/>
      </c>
      <c r="J117" s="15" t="str">
        <f t="shared" si="6"/>
        <v/>
      </c>
      <c r="K117" s="38"/>
      <c r="L117" s="38"/>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13" t="str">
        <f t="shared" si="6"/>
        <v/>
      </c>
      <c r="K118" s="37"/>
      <c r="L118" s="37"/>
    </row>
    <row r="119" spans="1:12" ht="15.6">
      <c r="A119" s="26" t="str">
        <v>Field House</v>
      </c>
      <c r="B119" s="27" t="str">
        <v>DE</v>
      </c>
      <c r="C119" s="27" t="str">
        <f>Sites[[#This Row],[SOL'#]]</f>
        <v>SOL-10821</v>
      </c>
      <c r="D119" s="9"/>
      <c r="E119" s="14"/>
      <c r="F119" s="14" t="str">
        <f t="shared" si="4"/>
        <v/>
      </c>
      <c r="G119" s="15" t="str">
        <f t="shared" si="7"/>
        <v/>
      </c>
      <c r="H119" s="16"/>
      <c r="I119" s="16" t="str">
        <f t="shared" si="5"/>
        <v/>
      </c>
      <c r="J119" s="15" t="str">
        <f t="shared" si="6"/>
        <v/>
      </c>
      <c r="K119" s="38"/>
      <c r="L119" s="96"/>
    </row>
    <row r="120" spans="1:12" ht="15.6">
      <c r="A120" s="24" t="str">
        <v>Wyoming Road</v>
      </c>
      <c r="B120" s="25" t="str">
        <v>DE</v>
      </c>
      <c r="C120" s="25" t="str">
        <f>Sites[[#This Row],[SOL'#]]</f>
        <v>SOL-10819</v>
      </c>
      <c r="D120" s="20"/>
      <c r="E120" s="10"/>
      <c r="F120" s="10" t="str">
        <f t="shared" si="4"/>
        <v/>
      </c>
      <c r="G120" s="11" t="str">
        <f t="shared" si="7"/>
        <v/>
      </c>
      <c r="H120" s="12"/>
      <c r="I120" s="12" t="str">
        <f t="shared" si="5"/>
        <v/>
      </c>
      <c r="J120" s="13" t="str">
        <f t="shared" si="6"/>
        <v/>
      </c>
      <c r="K120" s="37"/>
      <c r="L120" s="37"/>
    </row>
    <row r="121" spans="1:12" ht="15.6">
      <c r="A121" s="26" t="str">
        <v>Leoku</v>
      </c>
      <c r="B121" s="27" t="str">
        <v>HI</v>
      </c>
      <c r="C121" s="27" t="str">
        <f>Sites[[#This Row],[SOL'#]]</f>
        <v>SOL-10071</v>
      </c>
      <c r="D121" s="9"/>
      <c r="E121" s="14"/>
      <c r="F121" s="14" t="str">
        <f t="shared" si="4"/>
        <v/>
      </c>
      <c r="G121" s="15" t="str">
        <f t="shared" si="7"/>
        <v/>
      </c>
      <c r="H121" s="16"/>
      <c r="I121" s="16" t="str">
        <f t="shared" si="5"/>
        <v/>
      </c>
      <c r="J121" s="15" t="str">
        <f t="shared" si="6"/>
        <v/>
      </c>
      <c r="K121" s="56"/>
      <c r="L121" s="38"/>
    </row>
    <row r="122" spans="1:12" ht="15.6">
      <c r="A122" s="24" t="str">
        <v>Waipahu</v>
      </c>
      <c r="B122" s="25" t="str">
        <v>HI</v>
      </c>
      <c r="C122" s="25" t="str">
        <f>Sites[[#This Row],[SOL'#]]</f>
        <v>SOL-10068</v>
      </c>
      <c r="D122" s="20"/>
      <c r="E122" s="10"/>
      <c r="F122" s="10" t="str">
        <f t="shared" si="4"/>
        <v/>
      </c>
      <c r="G122" s="11" t="str">
        <f t="shared" si="7"/>
        <v/>
      </c>
      <c r="H122" s="12"/>
      <c r="I122" s="12" t="str">
        <f t="shared" si="5"/>
        <v/>
      </c>
      <c r="J122" s="13" t="str">
        <f t="shared" si="6"/>
        <v/>
      </c>
      <c r="K122" s="37"/>
      <c r="L122" s="37"/>
    </row>
    <row r="123" spans="1:12" ht="15.6">
      <c r="A123" s="26" t="str">
        <v>Bird in Hand</v>
      </c>
      <c r="B123" s="27" t="str">
        <v>MD</v>
      </c>
      <c r="C123" s="27" t="str">
        <f>Sites[[#This Row],[SOL'#]]</f>
        <v>SOL-10092</v>
      </c>
      <c r="D123" s="9"/>
      <c r="E123" s="14"/>
      <c r="F123" s="14" t="str">
        <f t="shared" si="4"/>
        <v/>
      </c>
      <c r="G123" s="15" t="str">
        <f t="shared" si="7"/>
        <v/>
      </c>
      <c r="H123" s="16"/>
      <c r="I123" s="16" t="str">
        <f t="shared" si="5"/>
        <v/>
      </c>
      <c r="J123" s="15" t="str">
        <f t="shared" si="6"/>
        <v/>
      </c>
      <c r="K123" s="38"/>
      <c r="L123" s="38"/>
    </row>
    <row r="124" spans="1:12" ht="15.6">
      <c r="A124" s="24" t="str">
        <v>Shortal</v>
      </c>
      <c r="B124" s="25" t="str">
        <v>MD</v>
      </c>
      <c r="C124" s="25" t="str">
        <f>Sites[[#This Row],[SOL'#]]</f>
        <v>SOL-10091</v>
      </c>
      <c r="D124" s="20"/>
      <c r="E124" s="10"/>
      <c r="F124" s="10" t="str">
        <f t="shared" si="4"/>
        <v/>
      </c>
      <c r="G124" s="11" t="str">
        <f t="shared" si="7"/>
        <v/>
      </c>
      <c r="H124" s="12"/>
      <c r="I124" s="12" t="str">
        <f t="shared" si="5"/>
        <v/>
      </c>
      <c r="J124" s="13" t="str">
        <f t="shared" si="6"/>
        <v/>
      </c>
      <c r="K124" s="37"/>
      <c r="L124" s="37"/>
    </row>
    <row r="125" spans="1:12" ht="15.6">
      <c r="A125" s="26" t="str">
        <v>Aguadilla</v>
      </c>
      <c r="B125" s="27" t="str">
        <v>PR</v>
      </c>
      <c r="C125" s="27" t="str">
        <f>Sites[[#This Row],[SOL'#]]</f>
        <v>SOL-10072</v>
      </c>
      <c r="D125" s="9"/>
      <c r="E125" s="14"/>
      <c r="F125" s="14" t="str">
        <f t="shared" si="4"/>
        <v/>
      </c>
      <c r="G125" s="15" t="str">
        <f t="shared" si="7"/>
        <v/>
      </c>
      <c r="H125" s="16"/>
      <c r="I125" s="16" t="str">
        <f t="shared" si="5"/>
        <v/>
      </c>
      <c r="J125" s="15" t="str">
        <f t="shared" si="6"/>
        <v/>
      </c>
      <c r="K125" s="38"/>
      <c r="L125" s="56"/>
    </row>
    <row r="126" spans="1:12" ht="15.6">
      <c r="A126" s="24" t="str">
        <v>Bayamon</v>
      </c>
      <c r="B126" s="25" t="str">
        <v>PR</v>
      </c>
      <c r="C126" s="25" t="str">
        <f>Sites[[#This Row],[SOL'#]]</f>
        <v>SOL-10073</v>
      </c>
      <c r="D126" s="20"/>
      <c r="E126" s="10"/>
      <c r="F126" s="10" t="str">
        <f t="shared" si="4"/>
        <v/>
      </c>
      <c r="G126" s="11" t="str">
        <f t="shared" si="7"/>
        <v/>
      </c>
      <c r="H126" s="12"/>
      <c r="I126" s="12" t="str">
        <f t="shared" si="5"/>
        <v/>
      </c>
      <c r="J126" s="13" t="str">
        <f t="shared" si="6"/>
        <v/>
      </c>
      <c r="K126" s="37"/>
      <c r="L126" s="37"/>
    </row>
    <row r="127" spans="1:12" ht="15.6">
      <c r="A127" s="26" t="str">
        <v>St Francis</v>
      </c>
      <c r="B127" s="27" t="str">
        <v>PR</v>
      </c>
      <c r="C127" s="27" t="str">
        <f>Sites[[#This Row],[SOL'#]]</f>
        <v>SOL-10034</v>
      </c>
      <c r="D127" s="9"/>
      <c r="E127" s="14"/>
      <c r="F127" s="14" t="str">
        <f t="shared" si="4"/>
        <v/>
      </c>
      <c r="G127" s="15" t="str">
        <f t="shared" si="7"/>
        <v/>
      </c>
      <c r="H127" s="16"/>
      <c r="I127" s="16" t="str">
        <f t="shared" si="5"/>
        <v/>
      </c>
      <c r="J127" s="15" t="str">
        <f t="shared" si="6"/>
        <v/>
      </c>
      <c r="K127" s="38"/>
      <c r="L127" s="97"/>
    </row>
    <row r="128" spans="1:12" ht="15.6">
      <c r="A128" s="24" t="str">
        <v>Seaport</v>
      </c>
      <c r="B128" s="25" t="str">
        <v>MA</v>
      </c>
      <c r="C128" s="25" t="str">
        <f>Sites[[#This Row],[SOL'#]]</f>
        <v>SOL-10772</v>
      </c>
      <c r="D128" s="20"/>
      <c r="E128" s="10"/>
      <c r="F128" s="10" t="str">
        <f t="shared" si="4"/>
        <v/>
      </c>
      <c r="G128" s="11" t="str">
        <f t="shared" si="7"/>
        <v/>
      </c>
      <c r="H128" s="12"/>
      <c r="I128" s="12" t="str">
        <f t="shared" si="5"/>
        <v/>
      </c>
      <c r="J128" s="13" t="str">
        <f t="shared" si="6"/>
        <v/>
      </c>
      <c r="K128" s="37"/>
      <c r="L128" s="37"/>
    </row>
    <row r="129" spans="1:12" ht="15.6">
      <c r="A129" s="26" t="str">
        <v>Sprague St</v>
      </c>
      <c r="B129" s="27" t="str">
        <v>MA</v>
      </c>
      <c r="C129" s="27" t="str">
        <f>Sites[[#This Row],[SOL'#]]</f>
        <v>SOL-10773</v>
      </c>
      <c r="D129" s="9"/>
      <c r="E129" s="14"/>
      <c r="F129" s="14" t="str">
        <f t="shared" si="4"/>
        <v/>
      </c>
      <c r="G129" s="15" t="str">
        <f t="shared" si="7"/>
        <v/>
      </c>
      <c r="H129" s="16"/>
      <c r="I129" s="16" t="str">
        <f t="shared" si="5"/>
        <v/>
      </c>
      <c r="J129" s="15" t="str">
        <f t="shared" si="6"/>
        <v/>
      </c>
      <c r="K129" s="38"/>
      <c r="L129" s="38"/>
    </row>
    <row r="130" spans="1:12" ht="15.6">
      <c r="A130" s="24" t="str">
        <v>Summer St</v>
      </c>
      <c r="B130" s="25" t="str">
        <v>MA</v>
      </c>
      <c r="C130" s="25" t="str">
        <f>Sites[[#This Row],[SOL'#]]</f>
        <v>SOL-10764</v>
      </c>
      <c r="D130" s="20"/>
      <c r="E130" s="10"/>
      <c r="F130" s="10" t="str">
        <f t="shared" si="4"/>
        <v/>
      </c>
      <c r="G130" s="11" t="str">
        <f t="shared" si="7"/>
        <v/>
      </c>
      <c r="H130" s="12"/>
      <c r="I130" s="12" t="str">
        <f t="shared" si="5"/>
        <v/>
      </c>
      <c r="J130" s="13" t="str">
        <f t="shared" si="6"/>
        <v/>
      </c>
      <c r="K130" s="37"/>
      <c r="L130" s="37"/>
    </row>
    <row r="131" spans="1:12" ht="15.6">
      <c r="A131" s="26" t="str">
        <v>Brock St Vocational</v>
      </c>
      <c r="B131" s="27" t="str">
        <v>NH</v>
      </c>
      <c r="C131" s="27" t="str">
        <f>Sites[[#This Row],[SOL'#]]</f>
        <v>SOL-10768</v>
      </c>
      <c r="D131" s="9"/>
      <c r="E131" s="14"/>
      <c r="F131" s="14" t="str">
        <f t="shared" si="4"/>
        <v/>
      </c>
      <c r="G131" s="15" t="str">
        <f t="shared" si="7"/>
        <v/>
      </c>
      <c r="H131" s="16"/>
      <c r="I131" s="16" t="str">
        <f t="shared" si="5"/>
        <v/>
      </c>
      <c r="J131" s="15" t="str">
        <f t="shared" si="6"/>
        <v/>
      </c>
      <c r="K131" s="38"/>
      <c r="L131" s="38"/>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13" t="str">
        <f t="shared" si="6"/>
        <v/>
      </c>
      <c r="K132" s="37"/>
      <c r="L132" s="37"/>
    </row>
    <row r="133" spans="1:12" ht="15.6">
      <c r="A133" s="26" t="str">
        <v>Portland St</v>
      </c>
      <c r="B133" s="27" t="str">
        <v>NH</v>
      </c>
      <c r="C133" s="27" t="str">
        <f>Sites[[#This Row],[SOL'#]]</f>
        <v>SOL-10771</v>
      </c>
      <c r="D133" s="9"/>
      <c r="E133" s="14"/>
      <c r="F133" s="14" t="str">
        <f t="shared" si="4"/>
        <v/>
      </c>
      <c r="G133" s="15" t="str">
        <f t="shared" si="7"/>
        <v/>
      </c>
      <c r="H133" s="16"/>
      <c r="I133" s="16" t="str">
        <f t="shared" ref="I133:I163" si="8">IF(AND(ISNUMBER(D133),ISNUMBER(H133)), D133-H133, "")</f>
        <v/>
      </c>
      <c r="J133" s="15" t="str">
        <f t="shared" ref="J133:J163" si="9">IFERROR(I133/H133, "")</f>
        <v/>
      </c>
      <c r="K133" s="38"/>
      <c r="L133" s="38"/>
    </row>
    <row r="134" spans="1:12" ht="15.6">
      <c r="A134" s="24" t="str">
        <v>Portsmouth HS</v>
      </c>
      <c r="B134" s="25" t="str">
        <v>NH</v>
      </c>
      <c r="C134" s="25" t="str">
        <f>Sites[[#This Row],[SOL'#]]</f>
        <v>SOL-10769</v>
      </c>
      <c r="D134" s="20"/>
      <c r="E134" s="10"/>
      <c r="F134" s="10" t="str">
        <f t="shared" ref="F134:F163" si="10">IF(AND(ISNUMBER(D134),ISNUMBER(E134)), D134-E134, "")</f>
        <v/>
      </c>
      <c r="G134" s="11" t="str">
        <f t="shared" ref="G134:G163" si="11">IFERROR(F134/E134, "")</f>
        <v/>
      </c>
      <c r="H134" s="12"/>
      <c r="I134" s="12" t="str">
        <f t="shared" si="8"/>
        <v/>
      </c>
      <c r="J134" s="13" t="str">
        <f t="shared" si="9"/>
        <v/>
      </c>
      <c r="K134" s="37"/>
      <c r="L134" s="37"/>
    </row>
    <row r="135" spans="1:12" ht="15.6">
      <c r="A135" s="26" t="str">
        <v>Portsmouth WTP</v>
      </c>
      <c r="B135" s="27" t="str">
        <v>NH</v>
      </c>
      <c r="C135" s="27" t="str">
        <f>Sites[[#This Row],[SOL'#]]</f>
        <v>SOL-10770</v>
      </c>
      <c r="D135" s="9"/>
      <c r="E135" s="14"/>
      <c r="F135" s="14" t="str">
        <f t="shared" si="10"/>
        <v/>
      </c>
      <c r="G135" s="15" t="str">
        <f t="shared" si="11"/>
        <v/>
      </c>
      <c r="H135" s="16"/>
      <c r="I135" s="16" t="str">
        <f t="shared" si="8"/>
        <v/>
      </c>
      <c r="J135" s="15" t="str">
        <f t="shared" si="9"/>
        <v/>
      </c>
      <c r="K135" s="38"/>
      <c r="L135" s="38"/>
    </row>
    <row r="136" spans="1:12" ht="15.6">
      <c r="A136" s="24" t="str">
        <v>Rochester St</v>
      </c>
      <c r="B136" s="25" t="str">
        <v>NH</v>
      </c>
      <c r="C136" s="25" t="str">
        <f>Sites[[#This Row],[SOL'#]]</f>
        <v>SOL-10765</v>
      </c>
      <c r="D136" s="20"/>
      <c r="E136" s="10"/>
      <c r="F136" s="10" t="str">
        <f t="shared" si="10"/>
        <v/>
      </c>
      <c r="G136" s="11" t="str">
        <f t="shared" si="11"/>
        <v/>
      </c>
      <c r="H136" s="12"/>
      <c r="I136" s="12" t="str">
        <f t="shared" si="8"/>
        <v/>
      </c>
      <c r="J136" s="13" t="str">
        <f t="shared" si="9"/>
        <v/>
      </c>
      <c r="K136" s="37"/>
      <c r="L136" s="37"/>
    </row>
    <row r="137" spans="1:12" ht="15.6">
      <c r="A137" s="26" t="str">
        <v>Spaulding HS</v>
      </c>
      <c r="B137" s="27" t="str">
        <v>NH</v>
      </c>
      <c r="C137" s="27" t="str">
        <f>Sites[[#This Row],[SOL'#]]</f>
        <v>SOL-10767</v>
      </c>
      <c r="D137" s="9"/>
      <c r="E137" s="14"/>
      <c r="F137" s="14" t="str">
        <f t="shared" si="10"/>
        <v/>
      </c>
      <c r="G137" s="15" t="str">
        <f t="shared" si="11"/>
        <v/>
      </c>
      <c r="H137" s="16"/>
      <c r="I137" s="16" t="str">
        <f t="shared" si="8"/>
        <v/>
      </c>
      <c r="J137" s="15" t="str">
        <f t="shared" si="9"/>
        <v/>
      </c>
      <c r="K137" s="38"/>
      <c r="L137" s="3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37"/>
      <c r="L138" s="37"/>
    </row>
    <row r="139" spans="1:12" ht="15.6">
      <c r="A139" s="26" t="str">
        <v>Spencer</v>
      </c>
      <c r="B139" s="27" t="str">
        <v>NY</v>
      </c>
      <c r="C139" s="27" t="str">
        <f>Sites[[#This Row],[SOL'#]]</f>
        <v>SOL-11017</v>
      </c>
      <c r="D139" s="9"/>
      <c r="E139" s="14"/>
      <c r="F139" s="14" t="str">
        <f t="shared" si="10"/>
        <v/>
      </c>
      <c r="G139" s="15" t="str">
        <f t="shared" si="11"/>
        <v/>
      </c>
      <c r="H139" s="16"/>
      <c r="I139" s="16" t="str">
        <f t="shared" si="8"/>
        <v/>
      </c>
      <c r="J139" s="15" t="str">
        <f t="shared" si="9"/>
        <v/>
      </c>
      <c r="K139" s="38"/>
      <c r="L139" s="111"/>
    </row>
    <row r="140" spans="1:12" ht="15.6">
      <c r="A140" s="28" t="str">
        <v>Reisender</v>
      </c>
      <c r="B140" s="25" t="str">
        <v>NY</v>
      </c>
      <c r="C140" s="25" t="str">
        <f>Sites[[#This Row],[SOL'#]]</f>
        <v>SOL-10886</v>
      </c>
      <c r="D140" s="60"/>
      <c r="E140" s="10"/>
      <c r="F140" s="10" t="str">
        <f t="shared" si="10"/>
        <v/>
      </c>
      <c r="G140" s="11" t="str">
        <f t="shared" si="11"/>
        <v/>
      </c>
      <c r="H140" s="76"/>
      <c r="I140" s="12" t="str">
        <f t="shared" si="8"/>
        <v/>
      </c>
      <c r="J140" s="13" t="str">
        <f t="shared" si="9"/>
        <v/>
      </c>
      <c r="K140" s="63"/>
      <c r="L140" s="37"/>
    </row>
    <row r="141" spans="1:12" ht="15.6">
      <c r="A141" s="26" t="str">
        <v>Finney</v>
      </c>
      <c r="B141" s="27" t="str">
        <v>NY</v>
      </c>
      <c r="C141" s="27" t="str">
        <f>Sites[[#This Row],[SOL'#]]</f>
        <v>SOL-10999</v>
      </c>
      <c r="D141" s="75"/>
      <c r="E141" s="14"/>
      <c r="F141" s="14" t="str">
        <f t="shared" si="10"/>
        <v/>
      </c>
      <c r="G141" s="15" t="str">
        <f t="shared" si="11"/>
        <v/>
      </c>
      <c r="H141" s="78"/>
      <c r="I141" s="16" t="str">
        <f t="shared" si="8"/>
        <v/>
      </c>
      <c r="J141" s="15" t="str">
        <f t="shared" si="9"/>
        <v/>
      </c>
      <c r="K141" s="38"/>
      <c r="L141" s="29"/>
    </row>
    <row r="142" spans="1:12" ht="15.6">
      <c r="A142" s="24" t="str">
        <v>Davis Solar</v>
      </c>
      <c r="B142" s="25" t="str">
        <v>NY</v>
      </c>
      <c r="C142" s="25" t="str">
        <f>Sites[[#This Row],[SOL'#]]</f>
        <v>SOL-10958</v>
      </c>
      <c r="D142" s="60"/>
      <c r="E142" s="10"/>
      <c r="F142" s="10" t="str">
        <f t="shared" si="10"/>
        <v/>
      </c>
      <c r="G142" s="11" t="str">
        <f t="shared" si="11"/>
        <v/>
      </c>
      <c r="H142" s="76"/>
      <c r="I142" s="12" t="str">
        <f t="shared" si="8"/>
        <v/>
      </c>
      <c r="J142" s="13" t="str">
        <f t="shared" si="9"/>
        <v/>
      </c>
      <c r="K142" s="63"/>
      <c r="L142" s="37"/>
    </row>
    <row r="143" spans="1:12" ht="15.6">
      <c r="A143" s="26" t="str">
        <v>Genesee</v>
      </c>
      <c r="B143" s="27" t="str">
        <v>NY</v>
      </c>
      <c r="C143" s="27" t="str">
        <f>Sites[[#This Row],[SOL'#]]</f>
        <v>SOL-10951</v>
      </c>
      <c r="D143" s="75"/>
      <c r="E143" s="14"/>
      <c r="F143" s="14" t="str">
        <f t="shared" si="10"/>
        <v/>
      </c>
      <c r="G143" s="15" t="str">
        <f t="shared" si="11"/>
        <v/>
      </c>
      <c r="H143" s="78"/>
      <c r="I143" s="16" t="str">
        <f t="shared" si="8"/>
        <v/>
      </c>
      <c r="J143" s="15" t="str">
        <f t="shared" si="9"/>
        <v/>
      </c>
      <c r="K143" s="38"/>
      <c r="L143" s="29"/>
    </row>
    <row r="144" spans="1:12" ht="15.6">
      <c r="A144" s="24" t="str">
        <v>Landau I</v>
      </c>
      <c r="B144" s="25" t="str">
        <v>NY</v>
      </c>
      <c r="C144" s="25" t="str">
        <f>Sites[[#This Row],[SOL'#]]</f>
        <v>SOL-10891</v>
      </c>
      <c r="D144" s="60"/>
      <c r="E144" s="10"/>
      <c r="F144" s="10" t="str">
        <f t="shared" si="10"/>
        <v/>
      </c>
      <c r="G144" s="11" t="str">
        <f t="shared" si="11"/>
        <v/>
      </c>
      <c r="H144" s="76"/>
      <c r="I144" s="12" t="str">
        <f t="shared" si="8"/>
        <v/>
      </c>
      <c r="J144" s="13" t="str">
        <f t="shared" si="9"/>
        <v/>
      </c>
      <c r="K144" s="63"/>
      <c r="L144" s="37"/>
    </row>
    <row r="145" spans="1:12" ht="15.6">
      <c r="A145" s="26" t="str">
        <v>Landau II</v>
      </c>
      <c r="B145" s="27" t="str">
        <v>NY</v>
      </c>
      <c r="C145" s="27" t="str">
        <f>Sites[[#This Row],[SOL'#]]</f>
        <v>SOL-10895</v>
      </c>
      <c r="D145" s="75"/>
      <c r="E145" s="14"/>
      <c r="F145" s="14" t="str">
        <f t="shared" si="10"/>
        <v/>
      </c>
      <c r="G145" s="15" t="str">
        <f t="shared" si="11"/>
        <v/>
      </c>
      <c r="H145" s="78"/>
      <c r="I145" s="16" t="str">
        <f t="shared" si="8"/>
        <v/>
      </c>
      <c r="J145" s="15" t="str">
        <f t="shared" si="9"/>
        <v/>
      </c>
      <c r="K145" s="57"/>
      <c r="L145" s="94"/>
    </row>
    <row r="146" spans="1:12" ht="15.6">
      <c r="A146" s="24" t="str">
        <v>New Beginnings</v>
      </c>
      <c r="B146" s="25" t="str">
        <v>NY</v>
      </c>
      <c r="C146" s="25" t="str">
        <f>Sites[[#This Row],[SOL'#]]</f>
        <v>SOL-10890</v>
      </c>
      <c r="D146" s="60"/>
      <c r="E146" s="10"/>
      <c r="F146" s="10" t="str">
        <f t="shared" si="10"/>
        <v/>
      </c>
      <c r="G146" s="11" t="str">
        <f t="shared" si="11"/>
        <v/>
      </c>
      <c r="H146" s="76"/>
      <c r="I146" s="12" t="str">
        <f t="shared" si="8"/>
        <v/>
      </c>
      <c r="J146" s="13" t="str">
        <f t="shared" si="9"/>
        <v/>
      </c>
      <c r="K146" s="63"/>
      <c r="L146" s="37"/>
    </row>
    <row r="147" spans="1:12" ht="15.6">
      <c r="A147" s="26" t="str">
        <v>Guilin Farm Solar</v>
      </c>
      <c r="B147" s="27" t="str">
        <v>NY</v>
      </c>
      <c r="C147" s="27" t="str">
        <f>Sites[[#This Row],[SOL'#]]</f>
        <v>SOL-10998</v>
      </c>
      <c r="D147" s="75"/>
      <c r="E147" s="14"/>
      <c r="F147" s="14" t="str">
        <f t="shared" si="10"/>
        <v/>
      </c>
      <c r="G147" s="15" t="str">
        <f t="shared" si="11"/>
        <v/>
      </c>
      <c r="H147" s="78"/>
      <c r="I147" s="16" t="str">
        <f t="shared" si="8"/>
        <v/>
      </c>
      <c r="J147" s="15" t="str">
        <f t="shared" si="9"/>
        <v/>
      </c>
      <c r="K147" s="38"/>
      <c r="L147" s="29"/>
    </row>
    <row r="148" spans="1:12" ht="15.6">
      <c r="A148" s="24" t="str">
        <v>Brodhead Solar</v>
      </c>
      <c r="B148" s="25" t="str">
        <v>NY</v>
      </c>
      <c r="C148" s="25" t="str">
        <f>Sites[[#This Row],[SOL'#]]</f>
        <v>SOL-10899</v>
      </c>
      <c r="D148" s="60"/>
      <c r="E148" s="10"/>
      <c r="F148" s="10" t="str">
        <f t="shared" si="10"/>
        <v/>
      </c>
      <c r="G148" s="11" t="str">
        <f t="shared" si="11"/>
        <v/>
      </c>
      <c r="H148" s="76"/>
      <c r="I148" s="12" t="str">
        <f t="shared" si="8"/>
        <v/>
      </c>
      <c r="J148" s="13" t="str">
        <f t="shared" si="9"/>
        <v/>
      </c>
      <c r="K148" s="63"/>
      <c r="L148" s="37"/>
    </row>
    <row r="149" spans="1:12" ht="15.6">
      <c r="A149" s="26" t="str">
        <v>Svenski</v>
      </c>
      <c r="B149" s="27" t="str">
        <v>NY</v>
      </c>
      <c r="C149" s="27" t="str">
        <f>Sites[[#This Row],[SOL'#]]</f>
        <v>SOL-10894</v>
      </c>
      <c r="D149" s="75"/>
      <c r="E149" s="14"/>
      <c r="F149" s="14" t="str">
        <f t="shared" si="10"/>
        <v/>
      </c>
      <c r="G149" s="15" t="str">
        <f t="shared" si="11"/>
        <v/>
      </c>
      <c r="H149" s="78"/>
      <c r="I149" s="16" t="str">
        <f t="shared" si="8"/>
        <v/>
      </c>
      <c r="J149" s="15" t="str">
        <f t="shared" si="9"/>
        <v/>
      </c>
      <c r="K149" s="38"/>
      <c r="L149" s="86"/>
    </row>
    <row r="150" spans="1:12" ht="15.6">
      <c r="A150" s="24" t="str">
        <v>Bantam</v>
      </c>
      <c r="B150" s="25" t="str">
        <v>NY</v>
      </c>
      <c r="C150" s="25" t="str">
        <f>Sites[[#This Row],[SOL'#]]</f>
        <v>SOL-10986</v>
      </c>
      <c r="D150" s="60"/>
      <c r="E150" s="10"/>
      <c r="F150" s="10" t="str">
        <f t="shared" si="10"/>
        <v/>
      </c>
      <c r="G150" s="11" t="str">
        <f t="shared" si="11"/>
        <v/>
      </c>
      <c r="H150" s="76"/>
      <c r="I150" s="12" t="str">
        <f t="shared" si="8"/>
        <v/>
      </c>
      <c r="J150" s="13" t="str">
        <f t="shared" si="9"/>
        <v/>
      </c>
      <c r="K150" s="63"/>
      <c r="L150" s="37"/>
    </row>
    <row r="151" spans="1:12" ht="15.6">
      <c r="A151" s="26" t="str">
        <v>Bogart</v>
      </c>
      <c r="B151" s="27" t="str">
        <v>NY</v>
      </c>
      <c r="C151" s="27" t="str">
        <f>Sites[[#This Row],[SOL'#]]</f>
        <v>SOL-10887</v>
      </c>
      <c r="D151" s="75"/>
      <c r="E151" s="14"/>
      <c r="F151" s="14" t="str">
        <f t="shared" si="10"/>
        <v/>
      </c>
      <c r="G151" s="15" t="str">
        <f t="shared" si="11"/>
        <v/>
      </c>
      <c r="H151" s="78"/>
      <c r="I151" s="16" t="str">
        <f t="shared" si="8"/>
        <v/>
      </c>
      <c r="J151" s="15" t="str">
        <f t="shared" si="9"/>
        <v/>
      </c>
      <c r="K151" s="38"/>
      <c r="L151" s="29"/>
    </row>
    <row r="152" spans="1:12" ht="78" customHeight="1">
      <c r="A152" s="24" t="str">
        <v>Dubois</v>
      </c>
      <c r="B152" s="25" t="str">
        <v>NY</v>
      </c>
      <c r="C152" s="25" t="str">
        <f>Sites[[#This Row],[SOL'#]]</f>
        <v>SOL-10892</v>
      </c>
      <c r="D152" s="60"/>
      <c r="E152" s="10"/>
      <c r="F152" s="10" t="str">
        <f t="shared" si="10"/>
        <v/>
      </c>
      <c r="G152" s="11" t="str">
        <f t="shared" si="11"/>
        <v/>
      </c>
      <c r="H152" s="76"/>
      <c r="I152" s="12" t="str">
        <f t="shared" si="8"/>
        <v/>
      </c>
      <c r="J152" s="13" t="str">
        <f t="shared" si="9"/>
        <v/>
      </c>
      <c r="K152" s="63"/>
      <c r="L152" s="37"/>
    </row>
    <row r="153" spans="1:12" ht="15.6">
      <c r="A153" s="26" t="str">
        <v>Salt Point</v>
      </c>
      <c r="B153" s="27" t="str">
        <v>NY</v>
      </c>
      <c r="C153" s="27" t="str">
        <f>Sites[[#This Row],[SOL'#]]</f>
        <v>SOL-10888</v>
      </c>
      <c r="D153" s="75"/>
      <c r="E153" s="14"/>
      <c r="F153" s="14" t="str">
        <f t="shared" si="10"/>
        <v/>
      </c>
      <c r="G153" s="15" t="str">
        <f t="shared" si="11"/>
        <v/>
      </c>
      <c r="H153" s="78"/>
      <c r="I153" s="16" t="str">
        <f t="shared" si="8"/>
        <v/>
      </c>
      <c r="J153" s="15" t="str">
        <f t="shared" si="9"/>
        <v/>
      </c>
      <c r="K153" s="126"/>
      <c r="L153" s="29"/>
    </row>
    <row r="154" spans="1:12" ht="15.6">
      <c r="A154" s="24" t="str">
        <v>Wheatland 2A</v>
      </c>
      <c r="B154" s="25" t="str">
        <v>NY</v>
      </c>
      <c r="C154" s="25" t="str">
        <f>Sites[[#This Row],[SOL'#]]</f>
        <v>SOL-10971</v>
      </c>
      <c r="D154" s="60"/>
      <c r="E154" s="10"/>
      <c r="F154" s="10" t="str">
        <f t="shared" si="10"/>
        <v/>
      </c>
      <c r="G154" s="11" t="str">
        <f t="shared" si="11"/>
        <v/>
      </c>
      <c r="H154" s="76"/>
      <c r="I154" s="12" t="str">
        <f t="shared" si="8"/>
        <v/>
      </c>
      <c r="J154" s="13" t="str">
        <f t="shared" si="9"/>
        <v/>
      </c>
      <c r="K154" s="63"/>
      <c r="L154" s="37"/>
    </row>
    <row r="155" spans="1:12" ht="15.6">
      <c r="A155" s="26" t="str">
        <v>Wheatland 2B</v>
      </c>
      <c r="B155" s="27" t="str">
        <v>NY</v>
      </c>
      <c r="C155" s="27" t="str">
        <f>Sites[[#This Row],[SOL'#]]</f>
        <v>SOL-10961</v>
      </c>
      <c r="D155" s="75"/>
      <c r="E155" s="14"/>
      <c r="F155" s="14" t="str">
        <f t="shared" si="10"/>
        <v/>
      </c>
      <c r="G155" s="15" t="str">
        <f t="shared" si="11"/>
        <v/>
      </c>
      <c r="H155" s="78"/>
      <c r="I155" s="16" t="str">
        <f t="shared" si="8"/>
        <v/>
      </c>
      <c r="J155" s="15" t="str">
        <f t="shared" si="9"/>
        <v/>
      </c>
      <c r="K155" s="38"/>
      <c r="L155" s="38"/>
    </row>
    <row r="156" spans="1:12" ht="15.6">
      <c r="A156" s="24" t="str">
        <v>Brickchurch</v>
      </c>
      <c r="B156" s="25" t="str">
        <v>NY</v>
      </c>
      <c r="C156" s="25" t="str">
        <f>Sites[[#This Row],[SOL'#]]</f>
        <v>SOL-10889</v>
      </c>
      <c r="D156" s="60"/>
      <c r="E156" s="10"/>
      <c r="F156" s="10" t="str">
        <f t="shared" si="10"/>
        <v/>
      </c>
      <c r="G156" s="11" t="str">
        <f t="shared" si="11"/>
        <v/>
      </c>
      <c r="H156" s="76"/>
      <c r="I156" s="12" t="str">
        <f t="shared" si="8"/>
        <v/>
      </c>
      <c r="J156" s="13" t="str">
        <f t="shared" si="9"/>
        <v/>
      </c>
      <c r="K156" s="63"/>
      <c r="L156" s="37"/>
    </row>
    <row r="157" spans="1:12" ht="15.6">
      <c r="A157" s="26" t="str">
        <v>McCarthy Solar</v>
      </c>
      <c r="B157" s="27" t="str">
        <v>NY</v>
      </c>
      <c r="C157" s="27" t="str">
        <f>Sites[[#This Row],[SOL'#]]</f>
        <v>SOL-10992</v>
      </c>
      <c r="D157" s="75"/>
      <c r="E157" s="14"/>
      <c r="F157" s="14" t="str">
        <f t="shared" si="10"/>
        <v/>
      </c>
      <c r="G157" s="15" t="str">
        <f t="shared" si="11"/>
        <v/>
      </c>
      <c r="H157" s="78"/>
      <c r="I157" s="16" t="str">
        <f t="shared" si="8"/>
        <v/>
      </c>
      <c r="J157" s="15" t="str">
        <f t="shared" si="9"/>
        <v/>
      </c>
      <c r="K157" s="38"/>
      <c r="L157" s="29"/>
    </row>
    <row r="158" spans="1:12" ht="15.6">
      <c r="A158" s="24" t="str">
        <v>Costanza</v>
      </c>
      <c r="B158" s="25" t="str">
        <v>NY</v>
      </c>
      <c r="C158" s="25" t="str">
        <f>Sites[[#This Row],[SOL'#]]</f>
        <v>SOL-10907</v>
      </c>
      <c r="D158" s="60"/>
      <c r="E158" s="10"/>
      <c r="F158" s="10" t="str">
        <f t="shared" si="10"/>
        <v/>
      </c>
      <c r="G158" s="11" t="str">
        <f t="shared" si="11"/>
        <v/>
      </c>
      <c r="H158" s="76"/>
      <c r="I158" s="12" t="str">
        <f t="shared" si="8"/>
        <v/>
      </c>
      <c r="J158" s="13" t="str">
        <f t="shared" si="9"/>
        <v/>
      </c>
      <c r="K158" s="63"/>
      <c r="L158" s="37"/>
    </row>
    <row r="159" spans="1:12" ht="15.6">
      <c r="A159" s="26" t="str">
        <v>Lockenhurst Pond</v>
      </c>
      <c r="B159" s="27" t="str">
        <v>NY</v>
      </c>
      <c r="C159" s="27" t="str">
        <f>Sites[[#This Row],[SOL'#]]</f>
        <v>SOL-11000</v>
      </c>
      <c r="D159" s="75"/>
      <c r="E159" s="14"/>
      <c r="F159" s="14" t="str">
        <f t="shared" si="10"/>
        <v/>
      </c>
      <c r="G159" s="15" t="str">
        <f t="shared" si="11"/>
        <v/>
      </c>
      <c r="H159" s="78"/>
      <c r="I159" s="16" t="str">
        <f t="shared" si="8"/>
        <v/>
      </c>
      <c r="J159" s="15" t="str">
        <f t="shared" si="9"/>
        <v/>
      </c>
      <c r="K159" s="38"/>
      <c r="L159" s="29"/>
    </row>
    <row r="160" spans="1:12" ht="15.6">
      <c r="A160" s="24" t="str">
        <v>Drinkwater</v>
      </c>
      <c r="B160" s="25" t="str">
        <v>NY</v>
      </c>
      <c r="C160" s="25" t="str">
        <f>Sites[[#This Row],[SOL'#]]</f>
        <v>SOL-10896</v>
      </c>
      <c r="D160" s="60"/>
      <c r="E160" s="10"/>
      <c r="F160" s="10" t="str">
        <f t="shared" si="10"/>
        <v/>
      </c>
      <c r="G160" s="11" t="str">
        <f t="shared" si="11"/>
        <v/>
      </c>
      <c r="H160" s="76"/>
      <c r="I160" s="12" t="str">
        <f t="shared" si="8"/>
        <v/>
      </c>
      <c r="J160" s="13" t="str">
        <f t="shared" si="9"/>
        <v/>
      </c>
      <c r="K160" s="63"/>
      <c r="L160" s="37"/>
    </row>
    <row r="161" spans="1:12" ht="15.6">
      <c r="A161" s="26" t="str">
        <v>Altamont</v>
      </c>
      <c r="B161" s="27" t="str">
        <v>NY</v>
      </c>
      <c r="C161" s="27" t="s">
        <v>228</v>
      </c>
      <c r="D161" s="75"/>
      <c r="E161" s="14"/>
      <c r="F161" s="14" t="str">
        <f t="shared" si="10"/>
        <v/>
      </c>
      <c r="G161" s="15" t="str">
        <f t="shared" si="11"/>
        <v/>
      </c>
      <c r="H161" s="78"/>
      <c r="I161" s="16" t="str">
        <f t="shared" si="8"/>
        <v/>
      </c>
      <c r="J161" s="15" t="str">
        <f t="shared" si="9"/>
        <v/>
      </c>
      <c r="K161" s="38"/>
      <c r="L161" s="29"/>
    </row>
    <row r="162" spans="1:12" ht="15.6">
      <c r="A162" s="24" t="str">
        <v>Krumkill North</v>
      </c>
      <c r="B162" s="25" t="str">
        <v>NY</v>
      </c>
      <c r="C162" s="25" t="s">
        <v>469</v>
      </c>
      <c r="D162" s="60"/>
      <c r="E162" s="10"/>
      <c r="F162" s="10" t="str">
        <f t="shared" si="10"/>
        <v/>
      </c>
      <c r="G162" s="11" t="str">
        <f t="shared" si="11"/>
        <v/>
      </c>
      <c r="H162" s="76"/>
      <c r="I162" s="12" t="str">
        <f t="shared" si="8"/>
        <v/>
      </c>
      <c r="J162" s="13" t="str">
        <f t="shared" si="9"/>
        <v/>
      </c>
      <c r="K162" s="63"/>
      <c r="L162" s="37"/>
    </row>
    <row r="163" spans="1:12" ht="15.6">
      <c r="A163" s="26" t="str">
        <v>Krumkill South</v>
      </c>
      <c r="B163" s="27" t="str">
        <v>NY</v>
      </c>
      <c r="C163" s="27" t="s">
        <v>470</v>
      </c>
      <c r="D163" s="75"/>
      <c r="E163" s="14"/>
      <c r="F163" s="14" t="str">
        <f t="shared" si="10"/>
        <v/>
      </c>
      <c r="G163" s="15" t="str">
        <f t="shared" si="11"/>
        <v/>
      </c>
      <c r="H163" s="78"/>
      <c r="I163" s="16" t="str">
        <f t="shared" si="8"/>
        <v/>
      </c>
      <c r="J163" s="15" t="str">
        <f t="shared" si="9"/>
        <v/>
      </c>
      <c r="K163" s="38"/>
      <c r="L163" s="93"/>
    </row>
    <row r="164" spans="1:12" ht="15.6">
      <c r="A164" s="24" t="str">
        <v>X092</v>
      </c>
      <c r="B164" s="25" t="str">
        <v>NY</v>
      </c>
      <c r="C164" s="25" t="s">
        <v>471</v>
      </c>
      <c r="D164" s="60"/>
      <c r="E164" s="10"/>
      <c r="F164" s="10" t="str">
        <f t="shared" ref="F164:F185" si="12">IF(AND(ISNUMBER(D164),ISNUMBER(E164)), D164-E164, "")</f>
        <v/>
      </c>
      <c r="G164" s="11" t="str">
        <f t="shared" ref="G164:G185" si="13">IFERROR(F164/E164, "")</f>
        <v/>
      </c>
      <c r="H164" s="76"/>
      <c r="I164" s="12" t="str">
        <f t="shared" ref="I164:I185" si="14">IF(AND(ISNUMBER(D164),ISNUMBER(H164)), D164-H164, "")</f>
        <v/>
      </c>
      <c r="J164" s="13" t="str">
        <f t="shared" ref="J164:J185" si="15">IFERROR(I164/H164, "")</f>
        <v/>
      </c>
      <c r="K164" s="63"/>
      <c r="L164" s="37"/>
    </row>
    <row r="165" spans="1:12" ht="15.6">
      <c r="A165" s="26" t="str">
        <v>X093</v>
      </c>
      <c r="B165" s="27" t="str">
        <v>NY</v>
      </c>
      <c r="C165" s="27" t="s">
        <v>472</v>
      </c>
      <c r="D165" s="75"/>
      <c r="E165" s="14"/>
      <c r="F165" s="14" t="str">
        <f t="shared" si="12"/>
        <v/>
      </c>
      <c r="G165" s="15" t="str">
        <f t="shared" si="13"/>
        <v/>
      </c>
      <c r="H165" s="78"/>
      <c r="I165" s="16" t="str">
        <f t="shared" si="14"/>
        <v/>
      </c>
      <c r="J165" s="15" t="str">
        <f t="shared" si="15"/>
        <v/>
      </c>
      <c r="K165" s="38"/>
      <c r="L165" s="93"/>
    </row>
    <row r="166" spans="1:12" ht="15.6">
      <c r="A166" s="24" t="str">
        <v>X095</v>
      </c>
      <c r="B166" s="25" t="str">
        <v>NY</v>
      </c>
      <c r="C166" s="25" t="s">
        <v>473</v>
      </c>
      <c r="D166" s="60"/>
      <c r="E166" s="10"/>
      <c r="F166" s="10" t="str">
        <f t="shared" si="12"/>
        <v/>
      </c>
      <c r="G166" s="11" t="str">
        <f t="shared" si="13"/>
        <v/>
      </c>
      <c r="H166" s="76"/>
      <c r="I166" s="12" t="str">
        <f t="shared" si="14"/>
        <v/>
      </c>
      <c r="J166" s="13" t="str">
        <f t="shared" si="15"/>
        <v/>
      </c>
      <c r="K166" s="63"/>
      <c r="L166" s="37"/>
    </row>
    <row r="167" spans="1:12" ht="15.6">
      <c r="A167" s="26" t="str">
        <v>X181</v>
      </c>
      <c r="B167" s="27" t="str">
        <v>NY</v>
      </c>
      <c r="C167" s="27" t="s">
        <v>474</v>
      </c>
      <c r="D167" s="75"/>
      <c r="E167" s="14"/>
      <c r="F167" s="14" t="str">
        <f t="shared" si="12"/>
        <v/>
      </c>
      <c r="G167" s="15" t="str">
        <f t="shared" si="13"/>
        <v/>
      </c>
      <c r="H167" s="78"/>
      <c r="I167" s="16" t="str">
        <f t="shared" si="14"/>
        <v/>
      </c>
      <c r="J167" s="15" t="str">
        <f t="shared" si="15"/>
        <v/>
      </c>
      <c r="K167" s="38"/>
      <c r="L167" s="93"/>
    </row>
    <row r="168" spans="1:12" ht="15.6">
      <c r="A168" s="24" t="str">
        <v>X415</v>
      </c>
      <c r="B168" s="25" t="str">
        <v>NY</v>
      </c>
      <c r="C168" s="25" t="s">
        <v>475</v>
      </c>
      <c r="D168" s="60"/>
      <c r="E168" s="10"/>
      <c r="F168" s="10" t="str">
        <f t="shared" si="12"/>
        <v/>
      </c>
      <c r="G168" s="11" t="str">
        <f t="shared" si="13"/>
        <v/>
      </c>
      <c r="H168" s="76"/>
      <c r="I168" s="12" t="str">
        <f t="shared" si="14"/>
        <v/>
      </c>
      <c r="J168" s="13" t="str">
        <f t="shared" si="15"/>
        <v/>
      </c>
      <c r="K168" s="63"/>
      <c r="L168" s="37"/>
    </row>
    <row r="169" spans="1:12" ht="15.6">
      <c r="A169" s="26" t="str">
        <v>K198</v>
      </c>
      <c r="B169" s="27" t="str">
        <v>NY</v>
      </c>
      <c r="C169" s="27" t="s">
        <v>476</v>
      </c>
      <c r="D169" s="75"/>
      <c r="E169" s="14"/>
      <c r="F169" s="14" t="str">
        <f t="shared" si="12"/>
        <v/>
      </c>
      <c r="G169" s="15" t="str">
        <f t="shared" si="13"/>
        <v/>
      </c>
      <c r="H169" s="78"/>
      <c r="I169" s="16" t="str">
        <f t="shared" si="14"/>
        <v/>
      </c>
      <c r="J169" s="15" t="str">
        <f t="shared" si="15"/>
        <v/>
      </c>
      <c r="K169" s="38"/>
      <c r="L169" s="93"/>
    </row>
    <row r="170" spans="1:12" ht="15.6">
      <c r="A170" s="24" t="str">
        <v>K203</v>
      </c>
      <c r="B170" s="25" t="str">
        <v>NY</v>
      </c>
      <c r="C170" s="25" t="s">
        <v>477</v>
      </c>
      <c r="D170" s="60"/>
      <c r="E170" s="10"/>
      <c r="F170" s="10" t="str">
        <f t="shared" si="12"/>
        <v/>
      </c>
      <c r="G170" s="11" t="str">
        <f t="shared" si="13"/>
        <v/>
      </c>
      <c r="H170" s="76"/>
      <c r="I170" s="12" t="str">
        <f t="shared" si="14"/>
        <v/>
      </c>
      <c r="J170" s="13" t="str">
        <f t="shared" si="15"/>
        <v/>
      </c>
      <c r="K170" s="63"/>
      <c r="L170" s="37"/>
    </row>
    <row r="171" spans="1:12" ht="15.6">
      <c r="A171" s="26" t="str">
        <v>K213</v>
      </c>
      <c r="B171" s="27" t="str">
        <v>NY</v>
      </c>
      <c r="C171" s="27" t="s">
        <v>478</v>
      </c>
      <c r="D171" s="75"/>
      <c r="E171" s="14"/>
      <c r="F171" s="14" t="str">
        <f t="shared" si="12"/>
        <v/>
      </c>
      <c r="G171" s="15" t="str">
        <f t="shared" si="13"/>
        <v/>
      </c>
      <c r="H171" s="78"/>
      <c r="I171" s="16" t="str">
        <f t="shared" si="14"/>
        <v/>
      </c>
      <c r="J171" s="15" t="str">
        <f t="shared" si="15"/>
        <v/>
      </c>
      <c r="K171" s="38"/>
      <c r="L171" s="93"/>
    </row>
    <row r="172" spans="1:12" ht="15.6">
      <c r="A172" s="24" t="str">
        <v>K217</v>
      </c>
      <c r="B172" s="25" t="str">
        <v>NY</v>
      </c>
      <c r="C172" s="25" t="s">
        <v>479</v>
      </c>
      <c r="D172" s="60"/>
      <c r="E172" s="10"/>
      <c r="F172" s="10" t="str">
        <f t="shared" si="12"/>
        <v/>
      </c>
      <c r="G172" s="11" t="str">
        <f t="shared" si="13"/>
        <v/>
      </c>
      <c r="H172" s="76"/>
      <c r="I172" s="12" t="str">
        <f t="shared" si="14"/>
        <v/>
      </c>
      <c r="J172" s="13" t="str">
        <f t="shared" si="15"/>
        <v/>
      </c>
      <c r="K172" s="63"/>
      <c r="L172" s="37"/>
    </row>
    <row r="173" spans="1:12" ht="15.6">
      <c r="A173" s="26" t="str">
        <v>K307</v>
      </c>
      <c r="B173" s="27" t="str">
        <v>NY</v>
      </c>
      <c r="C173" s="27" t="s">
        <v>480</v>
      </c>
      <c r="D173" s="75"/>
      <c r="E173" s="14"/>
      <c r="F173" s="14" t="str">
        <f t="shared" si="12"/>
        <v/>
      </c>
      <c r="G173" s="15" t="str">
        <f t="shared" si="13"/>
        <v/>
      </c>
      <c r="H173" s="78"/>
      <c r="I173" s="16" t="str">
        <f t="shared" si="14"/>
        <v/>
      </c>
      <c r="J173" s="15" t="str">
        <f t="shared" si="15"/>
        <v/>
      </c>
      <c r="K173" s="38"/>
      <c r="L173" s="93"/>
    </row>
    <row r="174" spans="1:12" ht="15.6">
      <c r="A174" s="24" t="str">
        <v>K610</v>
      </c>
      <c r="B174" s="25" t="str">
        <v>NY</v>
      </c>
      <c r="C174" s="25" t="s">
        <v>495</v>
      </c>
      <c r="D174" s="60"/>
      <c r="E174" s="10"/>
      <c r="F174" s="10" t="str">
        <f t="shared" si="12"/>
        <v/>
      </c>
      <c r="G174" s="11" t="str">
        <f t="shared" si="13"/>
        <v/>
      </c>
      <c r="H174" s="76"/>
      <c r="I174" s="12" t="str">
        <f t="shared" si="14"/>
        <v/>
      </c>
      <c r="J174" s="13" t="str">
        <f t="shared" si="15"/>
        <v/>
      </c>
      <c r="K174" s="63"/>
      <c r="L174" s="37"/>
    </row>
    <row r="175" spans="1:12" ht="15.6">
      <c r="A175" s="26" t="str">
        <v>M025</v>
      </c>
      <c r="B175" s="27" t="str">
        <v>NY</v>
      </c>
      <c r="C175" s="27" t="s">
        <v>496</v>
      </c>
      <c r="D175" s="75"/>
      <c r="E175" s="14"/>
      <c r="F175" s="14" t="str">
        <f t="shared" si="12"/>
        <v/>
      </c>
      <c r="G175" s="15" t="str">
        <f t="shared" si="13"/>
        <v/>
      </c>
      <c r="H175" s="78"/>
      <c r="I175" s="16" t="str">
        <f t="shared" si="14"/>
        <v/>
      </c>
      <c r="J175" s="15" t="str">
        <f t="shared" si="15"/>
        <v/>
      </c>
      <c r="K175" s="38"/>
      <c r="L175" s="93"/>
    </row>
    <row r="176" spans="1:12" ht="15.6">
      <c r="A176" s="24" t="str">
        <v>M028</v>
      </c>
      <c r="B176" s="25" t="str">
        <v>NY</v>
      </c>
      <c r="C176" s="25" t="s">
        <v>497</v>
      </c>
      <c r="D176" s="60"/>
      <c r="E176" s="10"/>
      <c r="F176" s="10" t="str">
        <f t="shared" si="12"/>
        <v/>
      </c>
      <c r="G176" s="11" t="str">
        <f t="shared" si="13"/>
        <v/>
      </c>
      <c r="H176" s="76"/>
      <c r="I176" s="12" t="str">
        <f t="shared" si="14"/>
        <v/>
      </c>
      <c r="J176" s="13" t="str">
        <f t="shared" si="15"/>
        <v/>
      </c>
      <c r="K176" s="63"/>
      <c r="L176" s="37"/>
    </row>
    <row r="177" spans="1:12" ht="15.6">
      <c r="A177" s="26" t="str">
        <v>Q030</v>
      </c>
      <c r="B177" s="27" t="str">
        <v>NY</v>
      </c>
      <c r="C177" s="27" t="s">
        <v>498</v>
      </c>
      <c r="D177" s="75"/>
      <c r="E177" s="14"/>
      <c r="F177" s="14" t="str">
        <f t="shared" si="12"/>
        <v/>
      </c>
      <c r="G177" s="15" t="str">
        <f t="shared" si="13"/>
        <v/>
      </c>
      <c r="H177" s="78"/>
      <c r="I177" s="16" t="str">
        <f t="shared" si="14"/>
        <v/>
      </c>
      <c r="J177" s="15" t="str">
        <f t="shared" si="15"/>
        <v/>
      </c>
      <c r="K177" s="38"/>
      <c r="L177" s="93"/>
    </row>
    <row r="178" spans="1:12" ht="15.6">
      <c r="A178" s="24" t="str">
        <v>Q130</v>
      </c>
      <c r="B178" s="25" t="str">
        <v>NY</v>
      </c>
      <c r="C178" s="25" t="s">
        <v>499</v>
      </c>
      <c r="D178" s="60"/>
      <c r="E178" s="10"/>
      <c r="F178" s="10" t="str">
        <f t="shared" si="12"/>
        <v/>
      </c>
      <c r="G178" s="11" t="str">
        <f t="shared" si="13"/>
        <v/>
      </c>
      <c r="H178" s="76"/>
      <c r="I178" s="12" t="str">
        <f t="shared" si="14"/>
        <v/>
      </c>
      <c r="J178" s="13" t="str">
        <f t="shared" si="15"/>
        <v/>
      </c>
      <c r="K178" s="63"/>
      <c r="L178" s="37"/>
    </row>
    <row r="179" spans="1:12" ht="15.6">
      <c r="A179" s="26" t="str">
        <v>Q196</v>
      </c>
      <c r="B179" s="27" t="str">
        <v>NY</v>
      </c>
      <c r="C179" s="27" t="s">
        <v>500</v>
      </c>
      <c r="D179" s="75"/>
      <c r="E179" s="14"/>
      <c r="F179" s="14" t="str">
        <f t="shared" si="12"/>
        <v/>
      </c>
      <c r="G179" s="15" t="str">
        <f t="shared" si="13"/>
        <v/>
      </c>
      <c r="H179" s="78"/>
      <c r="I179" s="16" t="str">
        <f t="shared" si="14"/>
        <v/>
      </c>
      <c r="J179" s="15" t="str">
        <f t="shared" si="15"/>
        <v/>
      </c>
      <c r="K179" s="38"/>
      <c r="L179" s="93"/>
    </row>
    <row r="180" spans="1:12" ht="15.6">
      <c r="A180" s="24" t="str">
        <v>Q220</v>
      </c>
      <c r="B180" s="25" t="str">
        <v>NY</v>
      </c>
      <c r="C180" s="25" t="s">
        <v>501</v>
      </c>
      <c r="D180" s="60"/>
      <c r="E180" s="10"/>
      <c r="F180" s="10" t="str">
        <f t="shared" si="12"/>
        <v/>
      </c>
      <c r="G180" s="11" t="str">
        <f t="shared" si="13"/>
        <v/>
      </c>
      <c r="H180" s="76"/>
      <c r="I180" s="12" t="str">
        <f t="shared" si="14"/>
        <v/>
      </c>
      <c r="J180" s="13" t="str">
        <f t="shared" si="15"/>
        <v/>
      </c>
      <c r="K180" s="63"/>
      <c r="L180" s="37"/>
    </row>
    <row r="181" spans="1:12" ht="15.6">
      <c r="A181" s="26" t="str">
        <v>Q205</v>
      </c>
      <c r="B181" s="27" t="str">
        <v>NY</v>
      </c>
      <c r="C181" s="27" t="s">
        <v>502</v>
      </c>
      <c r="D181" s="75"/>
      <c r="E181" s="14"/>
      <c r="F181" s="14" t="str">
        <f t="shared" si="12"/>
        <v/>
      </c>
      <c r="G181" s="15" t="str">
        <f t="shared" si="13"/>
        <v/>
      </c>
      <c r="H181" s="78"/>
      <c r="I181" s="16" t="str">
        <f t="shared" si="14"/>
        <v/>
      </c>
      <c r="J181" s="15" t="str">
        <f t="shared" si="15"/>
        <v/>
      </c>
      <c r="K181" s="38"/>
      <c r="L181" s="93"/>
    </row>
    <row r="182" spans="1:12" ht="15.6">
      <c r="A182" s="24" t="str">
        <v>Q400</v>
      </c>
      <c r="B182" s="25" t="str">
        <v>NY</v>
      </c>
      <c r="C182" s="25" t="s">
        <v>503</v>
      </c>
      <c r="D182" s="60"/>
      <c r="E182" s="10"/>
      <c r="F182" s="10" t="str">
        <f t="shared" si="12"/>
        <v/>
      </c>
      <c r="G182" s="11" t="str">
        <f t="shared" si="13"/>
        <v/>
      </c>
      <c r="H182" s="76"/>
      <c r="I182" s="12" t="str">
        <f t="shared" si="14"/>
        <v/>
      </c>
      <c r="J182" s="13" t="str">
        <f t="shared" si="15"/>
        <v/>
      </c>
      <c r="K182" s="63"/>
      <c r="L182" s="37"/>
    </row>
    <row r="183" spans="1:12" ht="15.6">
      <c r="A183" s="26" t="str">
        <v>R003</v>
      </c>
      <c r="B183" s="27" t="str">
        <v>NY</v>
      </c>
      <c r="C183" s="27" t="s">
        <v>504</v>
      </c>
      <c r="D183" s="75"/>
      <c r="E183" s="14"/>
      <c r="F183" s="14" t="str">
        <f t="shared" si="12"/>
        <v/>
      </c>
      <c r="G183" s="15" t="str">
        <f t="shared" si="13"/>
        <v/>
      </c>
      <c r="H183" s="78"/>
      <c r="I183" s="16" t="str">
        <f t="shared" si="14"/>
        <v/>
      </c>
      <c r="J183" s="15" t="str">
        <f t="shared" si="15"/>
        <v/>
      </c>
      <c r="K183" s="38"/>
      <c r="L183" s="93"/>
    </row>
    <row r="184" spans="1:12" ht="15.6">
      <c r="A184" s="24" t="str">
        <v>R007</v>
      </c>
      <c r="B184" s="25" t="str">
        <v>NY</v>
      </c>
      <c r="C184" s="25" t="s">
        <v>505</v>
      </c>
      <c r="D184" s="60"/>
      <c r="E184" s="10"/>
      <c r="F184" s="10" t="str">
        <f t="shared" si="12"/>
        <v/>
      </c>
      <c r="G184" s="11" t="str">
        <f t="shared" si="13"/>
        <v/>
      </c>
      <c r="H184" s="76"/>
      <c r="I184" s="12" t="str">
        <f t="shared" si="14"/>
        <v/>
      </c>
      <c r="J184" s="13" t="str">
        <f t="shared" si="15"/>
        <v/>
      </c>
      <c r="K184" s="63"/>
      <c r="L184" s="37"/>
    </row>
    <row r="185" spans="1:12" ht="15.6">
      <c r="A185" s="26" t="str">
        <v>BK16</v>
      </c>
      <c r="B185" s="27" t="str">
        <v>NY</v>
      </c>
      <c r="C185" s="27" t="s">
        <v>506</v>
      </c>
      <c r="D185" s="75"/>
      <c r="E185" s="14"/>
      <c r="F185" s="14" t="str">
        <f t="shared" si="12"/>
        <v/>
      </c>
      <c r="G185" s="15" t="str">
        <f t="shared" si="13"/>
        <v/>
      </c>
      <c r="H185" s="78"/>
      <c r="I185" s="16" t="str">
        <f t="shared" si="14"/>
        <v/>
      </c>
      <c r="J185" s="15" t="str">
        <f t="shared" si="15"/>
        <v/>
      </c>
      <c r="K185" s="38"/>
      <c r="L185" s="93"/>
    </row>
    <row r="186" spans="1:12" ht="15.6">
      <c r="A186" s="24" t="str">
        <v>Trenton - Trenton East</v>
      </c>
      <c r="B186" s="25" t="str">
        <v>IL</v>
      </c>
      <c r="C186" s="25"/>
      <c r="D186" s="60"/>
      <c r="E186" s="10"/>
      <c r="F186" s="10"/>
      <c r="G186" s="11"/>
      <c r="H186" s="76"/>
      <c r="I186" s="12"/>
      <c r="J186" s="13"/>
      <c r="K186" s="63"/>
      <c r="L186" s="37"/>
    </row>
    <row r="187" spans="1:12" ht="15.6">
      <c r="A187" s="26" t="str">
        <v>Trenton - Trenton West</v>
      </c>
      <c r="B187" s="27" t="str">
        <v>IL</v>
      </c>
      <c r="C187" s="27"/>
      <c r="D187" s="75"/>
      <c r="E187" s="14"/>
      <c r="F187" s="14"/>
      <c r="G187" s="15"/>
      <c r="H187" s="78"/>
      <c r="I187" s="16"/>
      <c r="J187" s="15"/>
      <c r="K187" s="38"/>
      <c r="L187" s="93"/>
    </row>
    <row r="188" spans="1:12" ht="15.6">
      <c r="A188" s="24" t="str">
        <v>Dakota - Dakota Solar 1</v>
      </c>
      <c r="B188" s="25" t="str">
        <v>IL</v>
      </c>
      <c r="C188" s="25"/>
      <c r="D188" s="60"/>
      <c r="E188" s="10"/>
      <c r="F188" s="10"/>
      <c r="G188" s="11"/>
      <c r="H188" s="76"/>
      <c r="I188" s="12"/>
      <c r="J188" s="13"/>
      <c r="K188" s="63"/>
      <c r="L188" s="37"/>
    </row>
    <row r="189" spans="1:12" ht="15.6">
      <c r="A189" s="26" t="str">
        <v>X018</v>
      </c>
      <c r="B189" s="27" t="str">
        <v>NY</v>
      </c>
      <c r="C189" s="27"/>
      <c r="D189" s="75"/>
      <c r="E189" s="14"/>
      <c r="F189" s="14"/>
      <c r="G189" s="15"/>
      <c r="H189" s="78"/>
      <c r="I189" s="16"/>
      <c r="J189" s="15"/>
      <c r="K189" s="38"/>
      <c r="L189" s="93"/>
    </row>
    <row r="190" spans="1:12" ht="14.45">
      <c r="A190" s="17" t="str">
        <v>Janiak Solar</v>
      </c>
      <c r="B190" s="143" t="str">
        <v>NY</v>
      </c>
      <c r="C190" s="29"/>
      <c r="D190" s="17"/>
      <c r="E190" s="17"/>
      <c r="F190" s="17"/>
      <c r="G190" s="18"/>
      <c r="H190" s="17"/>
      <c r="I190" s="17"/>
      <c r="J190" s="18"/>
      <c r="K190" s="17"/>
      <c r="L190" s="17"/>
    </row>
    <row r="191" spans="1:12" ht="14.45">
      <c r="A191" s="17" t="str">
        <v>County Route 11B</v>
      </c>
      <c r="B191" s="143" t="str">
        <v>NY</v>
      </c>
      <c r="C191" s="29"/>
      <c r="D191" s="17"/>
      <c r="E191" s="17"/>
      <c r="F191" s="17"/>
      <c r="G191" s="18"/>
      <c r="H191" s="17"/>
      <c r="I191" s="17"/>
      <c r="J191" s="18"/>
      <c r="K191" s="17"/>
      <c r="L191" s="17"/>
    </row>
    <row r="192" spans="1:12" ht="14.45">
      <c r="A192" s="17" t="str">
        <v>Barone</v>
      </c>
      <c r="B192" s="143" t="str">
        <v>NY</v>
      </c>
      <c r="C192" s="29"/>
      <c r="D192" s="17"/>
      <c r="E192" s="17"/>
      <c r="F192" s="17"/>
      <c r="G192" s="18"/>
      <c r="H192" s="17"/>
      <c r="I192" s="17"/>
      <c r="J192" s="18"/>
      <c r="K192" s="17"/>
      <c r="L192" s="17"/>
    </row>
    <row r="193" spans="1:12" ht="14.45">
      <c r="A193" s="17" t="str">
        <v>Cedarville</v>
      </c>
      <c r="B193" s="143" t="str">
        <v>IL</v>
      </c>
      <c r="C193" s="29"/>
      <c r="D193" s="17"/>
      <c r="E193" s="17"/>
      <c r="F193" s="17"/>
      <c r="G193" s="18"/>
      <c r="H193" s="17"/>
      <c r="I193" s="17"/>
      <c r="J193" s="18"/>
      <c r="K193" s="17"/>
      <c r="L193" s="17"/>
    </row>
    <row r="194" spans="1:12" ht="14.45">
      <c r="A194" s="17" t="str">
        <v xml:space="preserve"> O'Brien Hill #1</v>
      </c>
      <c r="B194" s="143" t="str">
        <v>NY</v>
      </c>
      <c r="C194" s="29"/>
      <c r="D194" s="17"/>
      <c r="E194" s="17"/>
      <c r="F194" s="17"/>
      <c r="G194" s="18"/>
      <c r="H194" s="17"/>
      <c r="I194" s="17"/>
      <c r="J194" s="18"/>
      <c r="K194" s="17"/>
      <c r="L194" s="17"/>
    </row>
    <row r="195" spans="1:12" ht="14.45">
      <c r="A195" s="17" t="str">
        <v xml:space="preserve"> O'Brien Hill #2</v>
      </c>
      <c r="B195" s="143"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89 J4:J189">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00"/>
  <sheetViews>
    <sheetView zoomScale="90" zoomScaleNormal="90" workbookViewId="0">
      <pane ySplit="3" topLeftCell="A153" activePane="bottomLeft" state="frozen"/>
      <selection pane="bottomLeft" activeCell="A4" sqref="A4"/>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511</v>
      </c>
      <c r="B1" t="s">
        <v>512</v>
      </c>
    </row>
    <row r="3" spans="1:6" ht="13.15">
      <c r="A3" t="s">
        <v>513</v>
      </c>
      <c r="B3" t="s">
        <v>3</v>
      </c>
      <c r="C3" t="s">
        <v>4</v>
      </c>
      <c r="D3" t="s">
        <v>514</v>
      </c>
      <c r="E3" s="2" t="s">
        <v>515</v>
      </c>
      <c r="F3" t="s">
        <v>5</v>
      </c>
    </row>
    <row r="4" spans="1:6" ht="14.45">
      <c r="A4" s="40" t="s">
        <v>516</v>
      </c>
      <c r="B4" s="3" t="s">
        <v>517</v>
      </c>
      <c r="C4" s="3" t="s">
        <v>518</v>
      </c>
      <c r="E4" t="s">
        <v>519</v>
      </c>
      <c r="F4" t="s">
        <v>520</v>
      </c>
    </row>
    <row r="5" spans="1:6" ht="14.45">
      <c r="A5" s="40" t="s">
        <v>521</v>
      </c>
      <c r="B5" s="3" t="s">
        <v>522</v>
      </c>
      <c r="C5" s="3" t="s">
        <v>518</v>
      </c>
      <c r="E5" t="s">
        <v>519</v>
      </c>
      <c r="F5" t="s">
        <v>523</v>
      </c>
    </row>
    <row r="6" spans="1:6" ht="14.45">
      <c r="A6" s="40" t="s">
        <v>524</v>
      </c>
      <c r="B6" s="3" t="s">
        <v>524</v>
      </c>
      <c r="C6" s="3" t="s">
        <v>518</v>
      </c>
      <c r="E6" t="s">
        <v>519</v>
      </c>
      <c r="F6" t="s">
        <v>525</v>
      </c>
    </row>
    <row r="7" spans="1:6" ht="12.75" customHeight="1">
      <c r="A7" s="40" t="s">
        <v>526</v>
      </c>
      <c r="B7" s="3" t="s">
        <v>527</v>
      </c>
      <c r="C7" s="3" t="s">
        <v>518</v>
      </c>
      <c r="E7" t="s">
        <v>519</v>
      </c>
      <c r="F7" t="s">
        <v>528</v>
      </c>
    </row>
    <row r="8" spans="1:6" ht="12.75" customHeight="1">
      <c r="A8" s="40" t="s">
        <v>529</v>
      </c>
      <c r="B8" s="3" t="s">
        <v>530</v>
      </c>
      <c r="C8" s="3" t="s">
        <v>518</v>
      </c>
      <c r="E8" t="s">
        <v>519</v>
      </c>
      <c r="F8" t="s">
        <v>531</v>
      </c>
    </row>
    <row r="9" spans="1:6" ht="12.75" customHeight="1">
      <c r="A9" s="40" t="s">
        <v>532</v>
      </c>
      <c r="B9" s="3" t="s">
        <v>533</v>
      </c>
      <c r="C9" s="3" t="s">
        <v>518</v>
      </c>
      <c r="E9" t="s">
        <v>519</v>
      </c>
      <c r="F9" t="s">
        <v>534</v>
      </c>
    </row>
    <row r="10" spans="1:6" ht="12.75" customHeight="1">
      <c r="A10" s="40" t="s">
        <v>535</v>
      </c>
      <c r="B10" s="3" t="s">
        <v>536</v>
      </c>
      <c r="C10" s="3" t="s">
        <v>518</v>
      </c>
      <c r="E10" t="s">
        <v>519</v>
      </c>
      <c r="F10" t="s">
        <v>537</v>
      </c>
    </row>
    <row r="11" spans="1:6" ht="12.75" customHeight="1">
      <c r="A11" s="40" t="s">
        <v>538</v>
      </c>
      <c r="B11" s="3" t="s">
        <v>538</v>
      </c>
      <c r="C11" s="3" t="s">
        <v>518</v>
      </c>
      <c r="E11" t="s">
        <v>519</v>
      </c>
      <c r="F11" t="s">
        <v>539</v>
      </c>
    </row>
    <row r="12" spans="1:6" ht="12.75" customHeight="1">
      <c r="A12" s="40" t="s">
        <v>540</v>
      </c>
      <c r="B12" s="3" t="s">
        <v>540</v>
      </c>
      <c r="C12" s="3" t="s">
        <v>518</v>
      </c>
      <c r="E12" t="s">
        <v>519</v>
      </c>
      <c r="F12" t="s">
        <v>541</v>
      </c>
    </row>
    <row r="13" spans="1:6" ht="12.75" customHeight="1">
      <c r="A13" s="40" t="s">
        <v>542</v>
      </c>
      <c r="B13" s="3" t="s">
        <v>543</v>
      </c>
      <c r="C13" s="3" t="s">
        <v>544</v>
      </c>
      <c r="E13" t="s">
        <v>519</v>
      </c>
      <c r="F13" t="s">
        <v>545</v>
      </c>
    </row>
    <row r="14" spans="1:6" ht="12.75" customHeight="1">
      <c r="A14" s="40" t="s">
        <v>546</v>
      </c>
      <c r="B14" s="3" t="s">
        <v>547</v>
      </c>
      <c r="C14" s="3" t="s">
        <v>544</v>
      </c>
      <c r="E14" t="s">
        <v>519</v>
      </c>
      <c r="F14" t="s">
        <v>548</v>
      </c>
    </row>
    <row r="15" spans="1:6" ht="12.75" customHeight="1">
      <c r="A15" s="40" t="s">
        <v>549</v>
      </c>
      <c r="B15" s="3" t="s">
        <v>550</v>
      </c>
      <c r="C15" s="3" t="s">
        <v>518</v>
      </c>
      <c r="E15" t="s">
        <v>519</v>
      </c>
      <c r="F15" t="s">
        <v>551</v>
      </c>
    </row>
    <row r="16" spans="1:6" ht="12.75" customHeight="1">
      <c r="A16" s="40" t="s">
        <v>552</v>
      </c>
      <c r="B16" s="3" t="s">
        <v>553</v>
      </c>
      <c r="C16" s="3" t="s">
        <v>518</v>
      </c>
      <c r="E16" t="s">
        <v>519</v>
      </c>
      <c r="F16" t="s">
        <v>554</v>
      </c>
    </row>
    <row r="17" spans="1:6" ht="12.75" customHeight="1">
      <c r="A17" s="40" t="s">
        <v>555</v>
      </c>
      <c r="B17" s="3" t="s">
        <v>556</v>
      </c>
      <c r="C17" s="3" t="s">
        <v>518</v>
      </c>
      <c r="E17" t="s">
        <v>519</v>
      </c>
      <c r="F17" t="s">
        <v>557</v>
      </c>
    </row>
    <row r="18" spans="1:6" ht="12.75" customHeight="1">
      <c r="A18" s="40" t="s">
        <v>558</v>
      </c>
      <c r="B18" s="3" t="s">
        <v>558</v>
      </c>
      <c r="C18" s="3" t="s">
        <v>518</v>
      </c>
      <c r="E18" t="s">
        <v>519</v>
      </c>
      <c r="F18" t="s">
        <v>559</v>
      </c>
    </row>
    <row r="19" spans="1:6" ht="12.75" customHeight="1">
      <c r="A19" s="40" t="s">
        <v>560</v>
      </c>
      <c r="B19" s="3" t="s">
        <v>561</v>
      </c>
      <c r="C19" s="3" t="s">
        <v>562</v>
      </c>
      <c r="E19" t="s">
        <v>519</v>
      </c>
      <c r="F19" t="s">
        <v>563</v>
      </c>
    </row>
    <row r="20" spans="1:6" ht="12.75" customHeight="1">
      <c r="A20" s="40" t="s">
        <v>564</v>
      </c>
      <c r="B20" s="3" t="s">
        <v>565</v>
      </c>
      <c r="C20" s="3" t="s">
        <v>562</v>
      </c>
      <c r="E20" t="s">
        <v>519</v>
      </c>
      <c r="F20" t="s">
        <v>566</v>
      </c>
    </row>
    <row r="21" spans="1:6" ht="12.75" customHeight="1">
      <c r="A21" s="40" t="s">
        <v>567</v>
      </c>
      <c r="B21" s="3" t="s">
        <v>567</v>
      </c>
      <c r="C21" s="3" t="s">
        <v>568</v>
      </c>
      <c r="E21" t="s">
        <v>519</v>
      </c>
      <c r="F21" t="s">
        <v>569</v>
      </c>
    </row>
    <row r="22" spans="1:6" ht="12.75" customHeight="1">
      <c r="A22" s="40" t="s">
        <v>570</v>
      </c>
      <c r="B22" s="3" t="s">
        <v>570</v>
      </c>
      <c r="C22" s="3" t="s">
        <v>568</v>
      </c>
      <c r="E22" t="s">
        <v>519</v>
      </c>
      <c r="F22" t="s">
        <v>571</v>
      </c>
    </row>
    <row r="23" spans="1:6" ht="12.75" customHeight="1">
      <c r="A23" s="41" t="s">
        <v>572</v>
      </c>
      <c r="B23" t="s">
        <v>573</v>
      </c>
      <c r="C23" s="3" t="s">
        <v>568</v>
      </c>
      <c r="E23" t="s">
        <v>519</v>
      </c>
      <c r="F23" t="s">
        <v>574</v>
      </c>
    </row>
    <row r="24" spans="1:6" ht="12.75" customHeight="1">
      <c r="A24" s="40" t="s">
        <v>575</v>
      </c>
      <c r="B24" s="3" t="s">
        <v>575</v>
      </c>
      <c r="C24" s="3" t="s">
        <v>568</v>
      </c>
      <c r="E24" t="s">
        <v>519</v>
      </c>
      <c r="F24" t="s">
        <v>576</v>
      </c>
    </row>
    <row r="25" spans="1:6" ht="12.75" customHeight="1">
      <c r="A25" s="41" t="s">
        <v>577</v>
      </c>
      <c r="B25" t="s">
        <v>577</v>
      </c>
      <c r="C25" s="3" t="s">
        <v>568</v>
      </c>
      <c r="E25" t="s">
        <v>519</v>
      </c>
      <c r="F25" t="s">
        <v>578</v>
      </c>
    </row>
    <row r="26" spans="1:6" ht="12.75" customHeight="1">
      <c r="A26" s="40" t="s">
        <v>579</v>
      </c>
      <c r="B26" s="3" t="s">
        <v>579</v>
      </c>
      <c r="C26" s="3" t="s">
        <v>568</v>
      </c>
      <c r="E26" t="s">
        <v>519</v>
      </c>
      <c r="F26" t="s">
        <v>580</v>
      </c>
    </row>
    <row r="27" spans="1:6" ht="12.75" customHeight="1">
      <c r="A27" s="40" t="s">
        <v>581</v>
      </c>
      <c r="B27" s="3" t="s">
        <v>581</v>
      </c>
      <c r="C27" s="3" t="s">
        <v>568</v>
      </c>
      <c r="E27" t="s">
        <v>519</v>
      </c>
      <c r="F27" t="s">
        <v>582</v>
      </c>
    </row>
    <row r="28" spans="1:6" ht="12.75" customHeight="1">
      <c r="A28" s="40" t="s">
        <v>583</v>
      </c>
      <c r="B28" s="3" t="s">
        <v>583</v>
      </c>
      <c r="C28" s="3" t="s">
        <v>568</v>
      </c>
      <c r="E28" t="s">
        <v>519</v>
      </c>
      <c r="F28" t="s">
        <v>584</v>
      </c>
    </row>
    <row r="29" spans="1:6" ht="12.75" customHeight="1">
      <c r="A29" s="40" t="s">
        <v>585</v>
      </c>
      <c r="B29" s="3" t="s">
        <v>585</v>
      </c>
      <c r="C29" s="3" t="s">
        <v>568</v>
      </c>
      <c r="E29" t="s">
        <v>519</v>
      </c>
      <c r="F29" t="s">
        <v>586</v>
      </c>
    </row>
    <row r="30" spans="1:6" ht="12.75" customHeight="1">
      <c r="A30" s="40" t="s">
        <v>587</v>
      </c>
      <c r="B30" s="3" t="s">
        <v>587</v>
      </c>
      <c r="C30" s="3" t="s">
        <v>568</v>
      </c>
      <c r="E30" t="s">
        <v>519</v>
      </c>
      <c r="F30" t="s">
        <v>588</v>
      </c>
    </row>
    <row r="31" spans="1:6" ht="12.75" customHeight="1">
      <c r="A31" s="40" t="s">
        <v>589</v>
      </c>
      <c r="B31" s="3" t="s">
        <v>589</v>
      </c>
      <c r="C31" s="3" t="s">
        <v>568</v>
      </c>
      <c r="E31" t="s">
        <v>519</v>
      </c>
      <c r="F31" t="s">
        <v>590</v>
      </c>
    </row>
    <row r="32" spans="1:6" ht="12.75" customHeight="1">
      <c r="A32" s="41" t="s">
        <v>591</v>
      </c>
      <c r="B32" t="s">
        <v>591</v>
      </c>
      <c r="C32" s="3" t="s">
        <v>568</v>
      </c>
      <c r="E32" t="s">
        <v>519</v>
      </c>
      <c r="F32" t="s">
        <v>592</v>
      </c>
    </row>
    <row r="33" spans="1:6" ht="12.75" customHeight="1">
      <c r="A33" s="41" t="s">
        <v>593</v>
      </c>
      <c r="B33" t="s">
        <v>593</v>
      </c>
      <c r="C33" s="3" t="s">
        <v>568</v>
      </c>
      <c r="E33" t="s">
        <v>519</v>
      </c>
      <c r="F33" t="s">
        <v>594</v>
      </c>
    </row>
    <row r="34" spans="1:6" ht="12.75" customHeight="1">
      <c r="A34" s="40" t="s">
        <v>595</v>
      </c>
      <c r="B34" s="3" t="s">
        <v>595</v>
      </c>
      <c r="C34" s="3" t="s">
        <v>568</v>
      </c>
      <c r="E34" t="s">
        <v>519</v>
      </c>
      <c r="F34" t="s">
        <v>596</v>
      </c>
    </row>
    <row r="35" spans="1:6" ht="12.75" customHeight="1">
      <c r="A35" s="40" t="s">
        <v>597</v>
      </c>
      <c r="B35" s="3" t="s">
        <v>597</v>
      </c>
      <c r="C35" s="3" t="s">
        <v>568</v>
      </c>
      <c r="E35" t="s">
        <v>519</v>
      </c>
      <c r="F35" t="s">
        <v>598</v>
      </c>
    </row>
    <row r="36" spans="1:6" ht="12.75" customHeight="1">
      <c r="A36" s="40" t="s">
        <v>599</v>
      </c>
      <c r="B36" s="3" t="s">
        <v>599</v>
      </c>
      <c r="C36" s="3" t="s">
        <v>568</v>
      </c>
      <c r="E36" t="s">
        <v>519</v>
      </c>
      <c r="F36" t="s">
        <v>600</v>
      </c>
    </row>
    <row r="37" spans="1:6" ht="12.75" customHeight="1">
      <c r="A37" s="41" t="s">
        <v>601</v>
      </c>
      <c r="B37" t="s">
        <v>601</v>
      </c>
      <c r="C37" s="3" t="s">
        <v>568</v>
      </c>
      <c r="E37" t="s">
        <v>519</v>
      </c>
      <c r="F37" t="s">
        <v>602</v>
      </c>
    </row>
    <row r="38" spans="1:6" ht="12.75" customHeight="1">
      <c r="A38" s="40" t="s">
        <v>603</v>
      </c>
      <c r="B38" s="3" t="s">
        <v>603</v>
      </c>
      <c r="C38" s="3" t="s">
        <v>568</v>
      </c>
      <c r="E38" t="s">
        <v>519</v>
      </c>
      <c r="F38" t="s">
        <v>604</v>
      </c>
    </row>
    <row r="39" spans="1:6" ht="12.75" customHeight="1">
      <c r="A39" s="40" t="s">
        <v>605</v>
      </c>
      <c r="B39" s="3" t="s">
        <v>605</v>
      </c>
      <c r="C39" s="3" t="s">
        <v>568</v>
      </c>
      <c r="E39" t="s">
        <v>519</v>
      </c>
      <c r="F39" t="s">
        <v>606</v>
      </c>
    </row>
    <row r="40" spans="1:6" ht="12.75" customHeight="1">
      <c r="A40" s="40" t="s">
        <v>607</v>
      </c>
      <c r="B40" s="3" t="s">
        <v>607</v>
      </c>
      <c r="C40" s="3" t="s">
        <v>568</v>
      </c>
      <c r="E40" t="s">
        <v>519</v>
      </c>
      <c r="F40" t="s">
        <v>608</v>
      </c>
    </row>
    <row r="41" spans="1:6" ht="12.75" customHeight="1">
      <c r="A41" s="41" t="s">
        <v>609</v>
      </c>
      <c r="B41" t="s">
        <v>609</v>
      </c>
      <c r="C41" s="3" t="s">
        <v>568</v>
      </c>
      <c r="E41" t="s">
        <v>519</v>
      </c>
      <c r="F41" t="s">
        <v>610</v>
      </c>
    </row>
    <row r="42" spans="1:6" ht="12.75" customHeight="1">
      <c r="A42" s="41" t="s">
        <v>611</v>
      </c>
      <c r="B42" t="s">
        <v>611</v>
      </c>
      <c r="C42" s="3" t="s">
        <v>568</v>
      </c>
      <c r="E42" t="s">
        <v>519</v>
      </c>
      <c r="F42" t="s">
        <v>612</v>
      </c>
    </row>
    <row r="43" spans="1:6" ht="12.75" customHeight="1">
      <c r="A43" s="40" t="s">
        <v>613</v>
      </c>
      <c r="B43" s="3" t="s">
        <v>613</v>
      </c>
      <c r="C43" s="3" t="s">
        <v>568</v>
      </c>
      <c r="E43" t="s">
        <v>519</v>
      </c>
      <c r="F43" t="s">
        <v>614</v>
      </c>
    </row>
    <row r="44" spans="1:6" ht="12.75" customHeight="1">
      <c r="A44" s="40" t="s">
        <v>615</v>
      </c>
      <c r="B44" s="3" t="s">
        <v>616</v>
      </c>
      <c r="C44" s="3" t="s">
        <v>568</v>
      </c>
      <c r="E44" t="s">
        <v>519</v>
      </c>
      <c r="F44" t="s">
        <v>617</v>
      </c>
    </row>
    <row r="45" spans="1:6" ht="12.75" customHeight="1">
      <c r="A45" s="41" t="s">
        <v>618</v>
      </c>
      <c r="B45" t="s">
        <v>618</v>
      </c>
      <c r="C45" s="3" t="s">
        <v>568</v>
      </c>
      <c r="E45" t="s">
        <v>519</v>
      </c>
      <c r="F45" t="s">
        <v>619</v>
      </c>
    </row>
    <row r="46" spans="1:6" ht="12.75" customHeight="1">
      <c r="A46" s="40" t="s">
        <v>620</v>
      </c>
      <c r="B46" s="3" t="s">
        <v>620</v>
      </c>
      <c r="C46" s="3" t="s">
        <v>568</v>
      </c>
      <c r="E46" t="s">
        <v>519</v>
      </c>
      <c r="F46" t="s">
        <v>621</v>
      </c>
    </row>
    <row r="47" spans="1:6" ht="12.75" customHeight="1">
      <c r="A47" s="40" t="s">
        <v>622</v>
      </c>
      <c r="B47" s="3" t="s">
        <v>622</v>
      </c>
      <c r="C47" s="3" t="s">
        <v>568</v>
      </c>
      <c r="E47" t="s">
        <v>519</v>
      </c>
      <c r="F47" t="s">
        <v>623</v>
      </c>
    </row>
    <row r="48" spans="1:6" ht="12.75" customHeight="1">
      <c r="A48" s="40" t="s">
        <v>624</v>
      </c>
      <c r="B48" s="3" t="s">
        <v>624</v>
      </c>
      <c r="C48" s="3" t="s">
        <v>568</v>
      </c>
      <c r="E48" t="s">
        <v>519</v>
      </c>
      <c r="F48" t="s">
        <v>625</v>
      </c>
    </row>
    <row r="49" spans="1:6" ht="12.75" customHeight="1">
      <c r="A49" s="40" t="s">
        <v>626</v>
      </c>
      <c r="B49" s="3" t="s">
        <v>626</v>
      </c>
      <c r="C49" s="3" t="s">
        <v>568</v>
      </c>
      <c r="E49" t="s">
        <v>519</v>
      </c>
      <c r="F49" t="s">
        <v>627</v>
      </c>
    </row>
    <row r="50" spans="1:6" ht="12.75" customHeight="1">
      <c r="A50" s="40" t="s">
        <v>628</v>
      </c>
      <c r="B50" s="3" t="s">
        <v>628</v>
      </c>
      <c r="C50" s="3" t="s">
        <v>568</v>
      </c>
      <c r="E50" t="s">
        <v>519</v>
      </c>
      <c r="F50" t="s">
        <v>629</v>
      </c>
    </row>
    <row r="51" spans="1:6" ht="12.75" customHeight="1">
      <c r="A51" s="40" t="s">
        <v>630</v>
      </c>
      <c r="B51" s="3" t="s">
        <v>630</v>
      </c>
      <c r="C51" s="3" t="s">
        <v>568</v>
      </c>
      <c r="E51" t="s">
        <v>519</v>
      </c>
      <c r="F51" t="s">
        <v>631</v>
      </c>
    </row>
    <row r="52" spans="1:6" ht="12.75" customHeight="1">
      <c r="A52" s="40" t="s">
        <v>632</v>
      </c>
      <c r="B52" s="3" t="s">
        <v>632</v>
      </c>
      <c r="C52" s="3" t="s">
        <v>568</v>
      </c>
      <c r="E52" t="s">
        <v>519</v>
      </c>
      <c r="F52" t="s">
        <v>633</v>
      </c>
    </row>
    <row r="53" spans="1:6" ht="12.75" customHeight="1">
      <c r="A53" s="40" t="s">
        <v>634</v>
      </c>
      <c r="B53" s="3" t="s">
        <v>634</v>
      </c>
      <c r="C53" s="3" t="s">
        <v>568</v>
      </c>
      <c r="E53" t="s">
        <v>519</v>
      </c>
      <c r="F53" t="s">
        <v>635</v>
      </c>
    </row>
    <row r="54" spans="1:6" ht="12.75" customHeight="1">
      <c r="A54" s="40" t="s">
        <v>636</v>
      </c>
      <c r="B54" s="3" t="s">
        <v>636</v>
      </c>
      <c r="C54" s="3" t="s">
        <v>568</v>
      </c>
      <c r="E54" t="s">
        <v>519</v>
      </c>
      <c r="F54" t="s">
        <v>637</v>
      </c>
    </row>
    <row r="55" spans="1:6" ht="12.75" customHeight="1">
      <c r="A55" s="40" t="s">
        <v>638</v>
      </c>
      <c r="B55" s="3" t="s">
        <v>638</v>
      </c>
      <c r="C55" s="3" t="s">
        <v>568</v>
      </c>
      <c r="E55" t="s">
        <v>519</v>
      </c>
      <c r="F55" t="s">
        <v>639</v>
      </c>
    </row>
    <row r="56" spans="1:6" ht="12.75" customHeight="1">
      <c r="A56" s="40" t="s">
        <v>640</v>
      </c>
      <c r="B56" s="3" t="s">
        <v>640</v>
      </c>
      <c r="C56" s="3" t="s">
        <v>568</v>
      </c>
      <c r="E56" t="s">
        <v>519</v>
      </c>
      <c r="F56" t="s">
        <v>641</v>
      </c>
    </row>
    <row r="57" spans="1:6" ht="12.75" customHeight="1">
      <c r="A57" s="40" t="s">
        <v>642</v>
      </c>
      <c r="B57" s="3" t="s">
        <v>642</v>
      </c>
      <c r="C57" s="3" t="s">
        <v>568</v>
      </c>
      <c r="E57" t="s">
        <v>519</v>
      </c>
      <c r="F57" t="s">
        <v>643</v>
      </c>
    </row>
    <row r="58" spans="1:6" ht="12.75" customHeight="1">
      <c r="A58" s="41" t="s">
        <v>644</v>
      </c>
      <c r="B58" t="s">
        <v>644</v>
      </c>
      <c r="C58" s="3" t="s">
        <v>568</v>
      </c>
      <c r="E58" t="s">
        <v>519</v>
      </c>
      <c r="F58" t="s">
        <v>645</v>
      </c>
    </row>
    <row r="59" spans="1:6" ht="12.75" customHeight="1">
      <c r="A59" s="41" t="s">
        <v>646</v>
      </c>
      <c r="B59" t="s">
        <v>646</v>
      </c>
      <c r="C59" s="3" t="s">
        <v>568</v>
      </c>
      <c r="E59" t="s">
        <v>519</v>
      </c>
      <c r="F59" t="s">
        <v>647</v>
      </c>
    </row>
    <row r="60" spans="1:6" ht="12.75" customHeight="1">
      <c r="A60" s="40" t="s">
        <v>648</v>
      </c>
      <c r="B60" s="3" t="s">
        <v>648</v>
      </c>
      <c r="C60" s="3" t="s">
        <v>568</v>
      </c>
      <c r="E60" t="s">
        <v>519</v>
      </c>
      <c r="F60" t="s">
        <v>649</v>
      </c>
    </row>
    <row r="61" spans="1:6" ht="12.75" customHeight="1">
      <c r="A61" s="40" t="s">
        <v>650</v>
      </c>
      <c r="B61" s="3" t="s">
        <v>650</v>
      </c>
      <c r="C61" s="3" t="s">
        <v>568</v>
      </c>
      <c r="E61" t="s">
        <v>519</v>
      </c>
      <c r="F61" t="s">
        <v>651</v>
      </c>
    </row>
    <row r="62" spans="1:6" ht="12.75" customHeight="1">
      <c r="A62" s="41" t="s">
        <v>652</v>
      </c>
      <c r="B62" t="s">
        <v>653</v>
      </c>
      <c r="C62" s="3" t="s">
        <v>568</v>
      </c>
      <c r="E62" t="s">
        <v>519</v>
      </c>
      <c r="F62" t="s">
        <v>654</v>
      </c>
    </row>
    <row r="63" spans="1:6" ht="12.75" customHeight="1">
      <c r="A63" s="41" t="s">
        <v>655</v>
      </c>
      <c r="B63" t="s">
        <v>655</v>
      </c>
      <c r="C63" s="3" t="s">
        <v>568</v>
      </c>
      <c r="E63" t="s">
        <v>519</v>
      </c>
      <c r="F63" t="s">
        <v>656</v>
      </c>
    </row>
    <row r="64" spans="1:6" ht="12.75" customHeight="1">
      <c r="A64" s="40">
        <v>38</v>
      </c>
      <c r="B64" s="3" t="s">
        <v>657</v>
      </c>
      <c r="C64" s="3" t="s">
        <v>568</v>
      </c>
      <c r="E64" t="s">
        <v>519</v>
      </c>
      <c r="F64" t="s">
        <v>658</v>
      </c>
    </row>
    <row r="65" spans="1:6" ht="12.75" customHeight="1">
      <c r="A65" s="41">
        <v>144</v>
      </c>
      <c r="B65" t="s">
        <v>659</v>
      </c>
      <c r="C65" s="3" t="s">
        <v>568</v>
      </c>
      <c r="E65" t="s">
        <v>519</v>
      </c>
      <c r="F65" t="s">
        <v>660</v>
      </c>
    </row>
    <row r="66" spans="1:6" ht="12.75" customHeight="1">
      <c r="A66" s="40">
        <v>279</v>
      </c>
      <c r="B66" s="3" t="s">
        <v>661</v>
      </c>
      <c r="C66" s="3" t="s">
        <v>568</v>
      </c>
      <c r="E66" t="s">
        <v>519</v>
      </c>
      <c r="F66" t="s">
        <v>662</v>
      </c>
    </row>
    <row r="67" spans="1:6" ht="12.75" customHeight="1">
      <c r="A67" s="40">
        <v>293</v>
      </c>
      <c r="B67" s="3" t="s">
        <v>663</v>
      </c>
      <c r="C67" s="3" t="s">
        <v>568</v>
      </c>
      <c r="E67" t="s">
        <v>519</v>
      </c>
      <c r="F67" t="s">
        <v>664</v>
      </c>
    </row>
    <row r="68" spans="1:6" ht="12.75" customHeight="1">
      <c r="A68" s="41">
        <v>308</v>
      </c>
      <c r="B68" t="s">
        <v>665</v>
      </c>
      <c r="C68" s="3" t="s">
        <v>568</v>
      </c>
      <c r="E68" t="s">
        <v>519</v>
      </c>
      <c r="F68" t="s">
        <v>666</v>
      </c>
    </row>
    <row r="69" spans="1:6" ht="12.75" customHeight="1">
      <c r="A69" s="41">
        <v>309</v>
      </c>
      <c r="B69" t="s">
        <v>667</v>
      </c>
      <c r="C69" s="3" t="s">
        <v>568</v>
      </c>
      <c r="E69" t="s">
        <v>519</v>
      </c>
      <c r="F69" t="s">
        <v>668</v>
      </c>
    </row>
    <row r="70" spans="1:6" ht="12.75" customHeight="1">
      <c r="A70" s="41" t="s">
        <v>669</v>
      </c>
      <c r="B70" t="s">
        <v>670</v>
      </c>
      <c r="C70" s="3" t="s">
        <v>568</v>
      </c>
      <c r="E70" t="s">
        <v>519</v>
      </c>
      <c r="F70" t="s">
        <v>671</v>
      </c>
    </row>
    <row r="71" spans="1:6" ht="12.75" customHeight="1">
      <c r="A71" s="40" t="s">
        <v>672</v>
      </c>
      <c r="B71" s="3" t="s">
        <v>672</v>
      </c>
      <c r="C71" s="3" t="s">
        <v>568</v>
      </c>
      <c r="E71" t="s">
        <v>519</v>
      </c>
      <c r="F71" t="s">
        <v>673</v>
      </c>
    </row>
    <row r="72" spans="1:6" ht="12.75" customHeight="1">
      <c r="A72" s="40">
        <v>358</v>
      </c>
      <c r="B72" s="3" t="s">
        <v>674</v>
      </c>
      <c r="C72" s="3" t="s">
        <v>568</v>
      </c>
      <c r="E72" t="s">
        <v>519</v>
      </c>
      <c r="F72" t="s">
        <v>675</v>
      </c>
    </row>
    <row r="73" spans="1:6" ht="12.75" customHeight="1">
      <c r="A73" s="40" t="s">
        <v>676</v>
      </c>
      <c r="B73" s="3" t="s">
        <v>677</v>
      </c>
      <c r="C73" s="3" t="s">
        <v>678</v>
      </c>
      <c r="E73" t="s">
        <v>519</v>
      </c>
      <c r="F73" t="s">
        <v>679</v>
      </c>
    </row>
    <row r="74" spans="1:6" ht="12.75" customHeight="1">
      <c r="A74" s="40" t="s">
        <v>680</v>
      </c>
      <c r="B74" s="3" t="s">
        <v>681</v>
      </c>
      <c r="C74" s="3" t="s">
        <v>678</v>
      </c>
      <c r="E74" t="s">
        <v>519</v>
      </c>
      <c r="F74" t="s">
        <v>682</v>
      </c>
    </row>
    <row r="75" spans="1:6" ht="12.75" customHeight="1">
      <c r="A75" s="40" t="s">
        <v>683</v>
      </c>
      <c r="B75" s="40" t="s">
        <v>683</v>
      </c>
      <c r="C75" s="3" t="s">
        <v>568</v>
      </c>
      <c r="D75" t="s">
        <v>684</v>
      </c>
      <c r="E75" t="s">
        <v>685</v>
      </c>
      <c r="F75" t="s">
        <v>686</v>
      </c>
    </row>
    <row r="76" spans="1:6" ht="12.75" customHeight="1">
      <c r="A76" s="40" t="s">
        <v>687</v>
      </c>
      <c r="B76" s="3" t="s">
        <v>687</v>
      </c>
      <c r="C76" s="3" t="s">
        <v>568</v>
      </c>
      <c r="D76" t="s">
        <v>684</v>
      </c>
      <c r="E76" s="42" t="s">
        <v>685</v>
      </c>
      <c r="F76" t="s">
        <v>688</v>
      </c>
    </row>
    <row r="77" spans="1:6" ht="12.75" customHeight="1">
      <c r="A77" s="40" t="s">
        <v>689</v>
      </c>
      <c r="B77" s="3" t="s">
        <v>690</v>
      </c>
      <c r="C77" s="3" t="s">
        <v>568</v>
      </c>
      <c r="D77" t="s">
        <v>684</v>
      </c>
      <c r="E77" s="42" t="s">
        <v>685</v>
      </c>
      <c r="F77" t="s">
        <v>691</v>
      </c>
    </row>
    <row r="78" spans="1:6" ht="12.75" customHeight="1">
      <c r="A78" s="40" t="s">
        <v>692</v>
      </c>
      <c r="B78" s="3" t="s">
        <v>693</v>
      </c>
      <c r="C78" s="3" t="s">
        <v>568</v>
      </c>
      <c r="D78" t="s">
        <v>684</v>
      </c>
      <c r="E78" s="42" t="s">
        <v>685</v>
      </c>
      <c r="F78" t="s">
        <v>694</v>
      </c>
    </row>
    <row r="79" spans="1:6" ht="12.75" customHeight="1">
      <c r="A79" s="40" t="s">
        <v>695</v>
      </c>
      <c r="B79" s="3" t="s">
        <v>695</v>
      </c>
      <c r="C79" s="3" t="s">
        <v>568</v>
      </c>
      <c r="D79" t="s">
        <v>684</v>
      </c>
      <c r="E79" t="s">
        <v>685</v>
      </c>
      <c r="F79" t="s">
        <v>696</v>
      </c>
    </row>
    <row r="80" spans="1:6" ht="12.75" customHeight="1">
      <c r="A80" s="40" t="s">
        <v>697</v>
      </c>
      <c r="B80" s="40" t="s">
        <v>697</v>
      </c>
      <c r="C80" s="3" t="s">
        <v>568</v>
      </c>
      <c r="D80" t="s">
        <v>684</v>
      </c>
      <c r="E80" t="s">
        <v>685</v>
      </c>
      <c r="F80" t="s">
        <v>698</v>
      </c>
    </row>
    <row r="81" spans="1:6" ht="12.75" customHeight="1">
      <c r="A81" s="40" t="s">
        <v>699</v>
      </c>
      <c r="B81" s="40" t="s">
        <v>699</v>
      </c>
      <c r="C81" s="3" t="s">
        <v>568</v>
      </c>
      <c r="D81" t="s">
        <v>684</v>
      </c>
      <c r="E81" t="s">
        <v>685</v>
      </c>
      <c r="F81" t="s">
        <v>700</v>
      </c>
    </row>
    <row r="82" spans="1:6" ht="12.75" customHeight="1">
      <c r="A82" s="40" t="s">
        <v>701</v>
      </c>
      <c r="B82" s="40" t="s">
        <v>701</v>
      </c>
      <c r="C82" s="3" t="s">
        <v>568</v>
      </c>
      <c r="D82" t="s">
        <v>684</v>
      </c>
      <c r="E82" t="s">
        <v>685</v>
      </c>
      <c r="F82" t="s">
        <v>702</v>
      </c>
    </row>
    <row r="83" spans="1:6" ht="12.75" customHeight="1">
      <c r="A83" s="40" t="s">
        <v>703</v>
      </c>
      <c r="B83" s="40" t="s">
        <v>703</v>
      </c>
      <c r="C83" s="3" t="s">
        <v>568</v>
      </c>
      <c r="D83" t="s">
        <v>684</v>
      </c>
      <c r="E83" t="s">
        <v>685</v>
      </c>
      <c r="F83" t="s">
        <v>704</v>
      </c>
    </row>
    <row r="84" spans="1:6" ht="12.75" customHeight="1">
      <c r="A84" s="40" t="s">
        <v>705</v>
      </c>
      <c r="B84" s="40" t="s">
        <v>705</v>
      </c>
      <c r="C84" s="3" t="s">
        <v>568</v>
      </c>
      <c r="D84" t="s">
        <v>684</v>
      </c>
      <c r="E84" t="s">
        <v>685</v>
      </c>
      <c r="F84" t="s">
        <v>706</v>
      </c>
    </row>
    <row r="85" spans="1:6" ht="12.75" customHeight="1">
      <c r="A85" s="40" t="s">
        <v>707</v>
      </c>
      <c r="B85" s="40" t="s">
        <v>707</v>
      </c>
      <c r="C85" s="3" t="s">
        <v>568</v>
      </c>
      <c r="D85" t="s">
        <v>708</v>
      </c>
      <c r="E85" t="s">
        <v>685</v>
      </c>
      <c r="F85" t="s">
        <v>709</v>
      </c>
    </row>
    <row r="86" spans="1:6" ht="12.75" customHeight="1">
      <c r="A86" s="40" t="s">
        <v>710</v>
      </c>
      <c r="B86" s="3" t="s">
        <v>710</v>
      </c>
      <c r="C86" s="3" t="s">
        <v>568</v>
      </c>
      <c r="D86" t="s">
        <v>708</v>
      </c>
      <c r="E86" t="s">
        <v>685</v>
      </c>
      <c r="F86" t="s">
        <v>711</v>
      </c>
    </row>
    <row r="87" spans="1:6" ht="12.75" customHeight="1">
      <c r="A87" s="40" t="s">
        <v>712</v>
      </c>
      <c r="B87" s="3" t="s">
        <v>712</v>
      </c>
      <c r="C87" s="3" t="s">
        <v>568</v>
      </c>
      <c r="D87" t="s">
        <v>708</v>
      </c>
      <c r="E87" t="s">
        <v>685</v>
      </c>
      <c r="F87" t="s">
        <v>713</v>
      </c>
    </row>
    <row r="88" spans="1:6" ht="12.75" customHeight="1">
      <c r="A88" s="40" t="s">
        <v>714</v>
      </c>
      <c r="B88" s="3" t="s">
        <v>714</v>
      </c>
      <c r="C88" s="3" t="s">
        <v>568</v>
      </c>
      <c r="D88" t="s">
        <v>708</v>
      </c>
      <c r="E88" t="s">
        <v>685</v>
      </c>
      <c r="F88" t="s">
        <v>715</v>
      </c>
    </row>
    <row r="89" spans="1:6" ht="12.75" customHeight="1">
      <c r="A89" s="40" t="s">
        <v>716</v>
      </c>
      <c r="B89" s="3" t="s">
        <v>716</v>
      </c>
      <c r="C89" s="3" t="s">
        <v>568</v>
      </c>
      <c r="D89" t="s">
        <v>708</v>
      </c>
      <c r="E89" t="s">
        <v>685</v>
      </c>
      <c r="F89" t="s">
        <v>717</v>
      </c>
    </row>
    <row r="90" spans="1:6" ht="12.75" customHeight="1">
      <c r="A90" s="40" t="s">
        <v>718</v>
      </c>
      <c r="B90" s="3" t="s">
        <v>718</v>
      </c>
      <c r="C90" s="3" t="s">
        <v>568</v>
      </c>
      <c r="D90" t="s">
        <v>708</v>
      </c>
      <c r="E90" t="s">
        <v>685</v>
      </c>
      <c r="F90" t="s">
        <v>719</v>
      </c>
    </row>
    <row r="91" spans="1:6" ht="12.75" customHeight="1">
      <c r="A91" s="40" t="s">
        <v>720</v>
      </c>
      <c r="B91" s="3" t="s">
        <v>721</v>
      </c>
      <c r="C91" s="3" t="s">
        <v>568</v>
      </c>
      <c r="E91" t="s">
        <v>519</v>
      </c>
      <c r="F91" t="s">
        <v>722</v>
      </c>
    </row>
    <row r="92" spans="1:6" ht="12.75" customHeight="1">
      <c r="A92" s="40" t="s">
        <v>723</v>
      </c>
      <c r="B92" s="3" t="s">
        <v>723</v>
      </c>
      <c r="C92" s="3" t="s">
        <v>568</v>
      </c>
      <c r="D92" t="s">
        <v>708</v>
      </c>
      <c r="E92" t="s">
        <v>685</v>
      </c>
      <c r="F92" t="s">
        <v>724</v>
      </c>
    </row>
    <row r="93" spans="1:6" ht="12.75" customHeight="1">
      <c r="A93" s="40" t="s">
        <v>725</v>
      </c>
      <c r="B93" s="3" t="s">
        <v>725</v>
      </c>
      <c r="C93" s="3" t="s">
        <v>568</v>
      </c>
      <c r="D93" t="s">
        <v>708</v>
      </c>
      <c r="E93" t="s">
        <v>685</v>
      </c>
      <c r="F93" t="s">
        <v>726</v>
      </c>
    </row>
    <row r="94" spans="1:6" ht="12.75" customHeight="1">
      <c r="A94" s="40" t="s">
        <v>727</v>
      </c>
      <c r="B94" s="3" t="s">
        <v>727</v>
      </c>
      <c r="C94" s="3" t="s">
        <v>568</v>
      </c>
      <c r="D94" t="s">
        <v>708</v>
      </c>
      <c r="E94" t="s">
        <v>685</v>
      </c>
      <c r="F94" t="s">
        <v>728</v>
      </c>
    </row>
    <row r="95" spans="1:6" ht="12.75" customHeight="1">
      <c r="A95" s="40" t="s">
        <v>729</v>
      </c>
      <c r="B95" s="3" t="s">
        <v>729</v>
      </c>
      <c r="C95" s="3" t="s">
        <v>568</v>
      </c>
      <c r="D95" t="s">
        <v>708</v>
      </c>
      <c r="E95" t="s">
        <v>685</v>
      </c>
      <c r="F95" t="s">
        <v>730</v>
      </c>
    </row>
    <row r="96" spans="1:6" ht="12.75" customHeight="1">
      <c r="A96" s="3" t="s">
        <v>731</v>
      </c>
      <c r="B96" s="3" t="s">
        <v>731</v>
      </c>
      <c r="C96" s="3" t="s">
        <v>568</v>
      </c>
      <c r="E96" t="s">
        <v>685</v>
      </c>
      <c r="F96" t="s">
        <v>732</v>
      </c>
    </row>
    <row r="97" spans="1:6" ht="12.75" customHeight="1">
      <c r="A97" s="3" t="s">
        <v>733</v>
      </c>
      <c r="B97" s="3" t="s">
        <v>733</v>
      </c>
      <c r="C97" s="3" t="s">
        <v>568</v>
      </c>
      <c r="D97" t="s">
        <v>708</v>
      </c>
      <c r="E97" t="s">
        <v>685</v>
      </c>
      <c r="F97" t="s">
        <v>734</v>
      </c>
    </row>
    <row r="98" spans="1:6" ht="12.75" customHeight="1">
      <c r="A98" s="3" t="s">
        <v>735</v>
      </c>
      <c r="B98" s="3" t="s">
        <v>735</v>
      </c>
      <c r="C98" s="3" t="s">
        <v>568</v>
      </c>
      <c r="D98" t="s">
        <v>708</v>
      </c>
      <c r="E98" t="s">
        <v>685</v>
      </c>
      <c r="F98" t="s">
        <v>736</v>
      </c>
    </row>
    <row r="99" spans="1:6" ht="12.75" customHeight="1">
      <c r="A99" s="3" t="s">
        <v>737</v>
      </c>
      <c r="B99" s="3" t="s">
        <v>737</v>
      </c>
      <c r="C99" s="3" t="s">
        <v>568</v>
      </c>
      <c r="D99" t="s">
        <v>708</v>
      </c>
      <c r="E99" t="s">
        <v>685</v>
      </c>
      <c r="F99" t="s">
        <v>738</v>
      </c>
    </row>
    <row r="100" spans="1:6" ht="12.75" customHeight="1">
      <c r="A100" s="3" t="s">
        <v>739</v>
      </c>
      <c r="B100" s="3" t="s">
        <v>739</v>
      </c>
      <c r="C100" s="3" t="s">
        <v>568</v>
      </c>
      <c r="D100" t="s">
        <v>708</v>
      </c>
      <c r="E100" t="s">
        <v>685</v>
      </c>
      <c r="F100" t="s">
        <v>740</v>
      </c>
    </row>
    <row r="101" spans="1:6" ht="12.75" customHeight="1">
      <c r="A101" s="3" t="s">
        <v>741</v>
      </c>
      <c r="B101" s="3" t="s">
        <v>741</v>
      </c>
      <c r="C101" s="3" t="s">
        <v>568</v>
      </c>
      <c r="D101" t="s">
        <v>708</v>
      </c>
      <c r="E101" t="s">
        <v>685</v>
      </c>
      <c r="F101" t="s">
        <v>742</v>
      </c>
    </row>
    <row r="102" spans="1:6" ht="12.75" customHeight="1">
      <c r="A102" s="3" t="s">
        <v>743</v>
      </c>
      <c r="B102" s="3" t="s">
        <v>743</v>
      </c>
      <c r="C102" s="3" t="s">
        <v>568</v>
      </c>
      <c r="D102" t="s">
        <v>708</v>
      </c>
      <c r="E102" t="s">
        <v>685</v>
      </c>
      <c r="F102" t="s">
        <v>744</v>
      </c>
    </row>
    <row r="103" spans="1:6" ht="12.75" customHeight="1">
      <c r="A103" s="3" t="s">
        <v>745</v>
      </c>
      <c r="B103" s="3" t="s">
        <v>746</v>
      </c>
      <c r="C103" s="3" t="s">
        <v>568</v>
      </c>
      <c r="D103" t="s">
        <v>708</v>
      </c>
      <c r="E103" t="s">
        <v>685</v>
      </c>
      <c r="F103" t="s">
        <v>747</v>
      </c>
    </row>
    <row r="104" spans="1:6" ht="12.75" customHeight="1">
      <c r="A104" s="3" t="s">
        <v>748</v>
      </c>
      <c r="B104" s="3" t="s">
        <v>749</v>
      </c>
      <c r="C104" s="3" t="s">
        <v>568</v>
      </c>
      <c r="D104" t="s">
        <v>708</v>
      </c>
      <c r="E104" t="s">
        <v>685</v>
      </c>
      <c r="F104" t="s">
        <v>750</v>
      </c>
    </row>
    <row r="105" spans="1:6" ht="12.75" customHeight="1">
      <c r="A105" s="3" t="s">
        <v>751</v>
      </c>
      <c r="B105" s="3" t="s">
        <v>751</v>
      </c>
      <c r="C105" s="3" t="s">
        <v>568</v>
      </c>
      <c r="D105" t="s">
        <v>708</v>
      </c>
      <c r="E105" t="s">
        <v>685</v>
      </c>
      <c r="F105" t="s">
        <v>752</v>
      </c>
    </row>
    <row r="106" spans="1:6" ht="12.75" customHeight="1">
      <c r="A106" s="3" t="s">
        <v>753</v>
      </c>
      <c r="B106" s="3" t="s">
        <v>753</v>
      </c>
      <c r="C106" s="3" t="s">
        <v>568</v>
      </c>
      <c r="D106" t="s">
        <v>708</v>
      </c>
      <c r="E106" t="s">
        <v>685</v>
      </c>
      <c r="F106" t="s">
        <v>754</v>
      </c>
    </row>
    <row r="107" spans="1:6" ht="12.75" customHeight="1">
      <c r="A107" s="3" t="s">
        <v>755</v>
      </c>
      <c r="B107" s="3" t="s">
        <v>755</v>
      </c>
      <c r="C107" s="3" t="s">
        <v>568</v>
      </c>
      <c r="D107" t="s">
        <v>708</v>
      </c>
      <c r="E107" t="s">
        <v>685</v>
      </c>
      <c r="F107" t="s">
        <v>756</v>
      </c>
    </row>
    <row r="108" spans="1:6" ht="12.75" customHeight="1">
      <c r="A108" s="40" t="s">
        <v>757</v>
      </c>
      <c r="B108" s="3" t="s">
        <v>757</v>
      </c>
      <c r="C108" s="3" t="s">
        <v>568</v>
      </c>
      <c r="D108" t="s">
        <v>708</v>
      </c>
      <c r="E108" t="s">
        <v>685</v>
      </c>
      <c r="F108" t="s">
        <v>758</v>
      </c>
    </row>
    <row r="109" spans="1:6" ht="12.75" customHeight="1">
      <c r="A109" s="40" t="s">
        <v>759</v>
      </c>
      <c r="B109" s="3" t="s">
        <v>759</v>
      </c>
      <c r="C109" s="3" t="s">
        <v>568</v>
      </c>
      <c r="D109" t="s">
        <v>708</v>
      </c>
      <c r="E109" t="s">
        <v>685</v>
      </c>
      <c r="F109" t="s">
        <v>760</v>
      </c>
    </row>
    <row r="110" spans="1:6" ht="12.75" customHeight="1">
      <c r="A110" s="40" t="s">
        <v>761</v>
      </c>
      <c r="B110" s="3" t="s">
        <v>761</v>
      </c>
      <c r="C110" s="3" t="s">
        <v>568</v>
      </c>
      <c r="E110" t="s">
        <v>685</v>
      </c>
      <c r="F110" t="s">
        <v>762</v>
      </c>
    </row>
    <row r="111" spans="1:6" ht="12.75" customHeight="1">
      <c r="A111" s="40" t="s">
        <v>763</v>
      </c>
      <c r="B111" s="3" t="s">
        <v>763</v>
      </c>
      <c r="C111" s="3" t="s">
        <v>568</v>
      </c>
      <c r="E111" t="s">
        <v>519</v>
      </c>
      <c r="F111" t="s">
        <v>764</v>
      </c>
    </row>
    <row r="112" spans="1:6" ht="12.75" customHeight="1">
      <c r="A112" s="40" t="s">
        <v>765</v>
      </c>
      <c r="B112" s="3" t="s">
        <v>765</v>
      </c>
      <c r="C112" s="3" t="s">
        <v>568</v>
      </c>
      <c r="E112" t="s">
        <v>519</v>
      </c>
      <c r="F112" t="s">
        <v>766</v>
      </c>
    </row>
    <row r="113" spans="1:6" ht="12.75" customHeight="1">
      <c r="A113" s="40" t="s">
        <v>767</v>
      </c>
      <c r="B113" s="3" t="s">
        <v>768</v>
      </c>
      <c r="C113" s="3" t="s">
        <v>769</v>
      </c>
      <c r="E113" t="s">
        <v>519</v>
      </c>
      <c r="F113" t="s">
        <v>770</v>
      </c>
    </row>
    <row r="114" spans="1:6" ht="12.75" customHeight="1">
      <c r="A114" s="40" t="s">
        <v>771</v>
      </c>
      <c r="B114" s="3" t="s">
        <v>771</v>
      </c>
      <c r="C114" s="3" t="s">
        <v>769</v>
      </c>
      <c r="E114" t="s">
        <v>519</v>
      </c>
      <c r="F114" t="s">
        <v>772</v>
      </c>
    </row>
    <row r="115" spans="1:6" ht="12.75" customHeight="1">
      <c r="A115" s="3" t="s">
        <v>773</v>
      </c>
      <c r="B115" s="3" t="s">
        <v>773</v>
      </c>
      <c r="C115" s="3" t="s">
        <v>769</v>
      </c>
      <c r="E115" t="s">
        <v>519</v>
      </c>
      <c r="F115" t="s">
        <v>774</v>
      </c>
    </row>
    <row r="116" spans="1:6" ht="12.75" customHeight="1">
      <c r="A116" s="3" t="s">
        <v>775</v>
      </c>
      <c r="B116" s="3" t="s">
        <v>775</v>
      </c>
      <c r="C116" s="3" t="s">
        <v>769</v>
      </c>
      <c r="E116" t="s">
        <v>519</v>
      </c>
      <c r="F116" t="s">
        <v>776</v>
      </c>
    </row>
    <row r="117" spans="1:6" ht="12.75" customHeight="1">
      <c r="A117" s="3" t="s">
        <v>777</v>
      </c>
      <c r="B117" s="3" t="s">
        <v>777</v>
      </c>
      <c r="C117" s="3" t="s">
        <v>769</v>
      </c>
      <c r="E117" t="s">
        <v>519</v>
      </c>
      <c r="F117" t="s">
        <v>778</v>
      </c>
    </row>
    <row r="118" spans="1:6" ht="12.75" customHeight="1">
      <c r="A118" s="3" t="s">
        <v>779</v>
      </c>
      <c r="B118" s="3" t="s">
        <v>779</v>
      </c>
      <c r="C118" s="3" t="s">
        <v>780</v>
      </c>
      <c r="E118" t="s">
        <v>519</v>
      </c>
      <c r="F118" t="s">
        <v>781</v>
      </c>
    </row>
    <row r="119" spans="1:6" ht="12.75" customHeight="1">
      <c r="A119" s="3" t="s">
        <v>782</v>
      </c>
      <c r="B119" s="3" t="s">
        <v>782</v>
      </c>
      <c r="C119" s="3" t="s">
        <v>780</v>
      </c>
      <c r="E119" t="s">
        <v>519</v>
      </c>
      <c r="F119" t="s">
        <v>783</v>
      </c>
    </row>
    <row r="120" spans="1:6" ht="12.75" customHeight="1">
      <c r="A120" s="3" t="s">
        <v>784</v>
      </c>
      <c r="B120" s="3" t="s">
        <v>784</v>
      </c>
      <c r="C120" s="3" t="s">
        <v>780</v>
      </c>
      <c r="E120" t="s">
        <v>519</v>
      </c>
      <c r="F120" t="s">
        <v>785</v>
      </c>
    </row>
    <row r="121" spans="1:6" ht="12.75" customHeight="1">
      <c r="A121" s="3" t="s">
        <v>786</v>
      </c>
      <c r="B121" s="3" t="s">
        <v>786</v>
      </c>
      <c r="C121" s="3" t="s">
        <v>787</v>
      </c>
      <c r="E121" t="s">
        <v>519</v>
      </c>
      <c r="F121" t="s">
        <v>788</v>
      </c>
    </row>
    <row r="122" spans="1:6" ht="12.75" customHeight="1">
      <c r="A122" s="3" t="s">
        <v>789</v>
      </c>
      <c r="B122" s="3" t="s">
        <v>789</v>
      </c>
      <c r="C122" s="3" t="s">
        <v>787</v>
      </c>
      <c r="E122" t="s">
        <v>519</v>
      </c>
      <c r="F122" t="s">
        <v>790</v>
      </c>
    </row>
    <row r="123" spans="1:6" ht="12.75" customHeight="1">
      <c r="A123" s="3" t="s">
        <v>791</v>
      </c>
      <c r="B123" s="3" t="s">
        <v>791</v>
      </c>
      <c r="C123" s="3" t="s">
        <v>792</v>
      </c>
      <c r="E123" t="s">
        <v>519</v>
      </c>
      <c r="F123" t="s">
        <v>793</v>
      </c>
    </row>
    <row r="124" spans="1:6" ht="12.75" customHeight="1">
      <c r="A124" s="3" t="s">
        <v>794</v>
      </c>
      <c r="B124" s="3" t="s">
        <v>794</v>
      </c>
      <c r="C124" s="3" t="s">
        <v>792</v>
      </c>
      <c r="E124" t="s">
        <v>519</v>
      </c>
      <c r="F124" t="s">
        <v>795</v>
      </c>
    </row>
    <row r="125" spans="1:6" ht="12.75" customHeight="1">
      <c r="A125" s="3" t="s">
        <v>796</v>
      </c>
      <c r="B125" s="3" t="s">
        <v>796</v>
      </c>
      <c r="C125" s="3" t="s">
        <v>797</v>
      </c>
      <c r="E125" t="s">
        <v>519</v>
      </c>
      <c r="F125" t="s">
        <v>798</v>
      </c>
    </row>
    <row r="126" spans="1:6" ht="12.75" customHeight="1">
      <c r="A126" s="3" t="s">
        <v>799</v>
      </c>
      <c r="B126" s="3" t="s">
        <v>799</v>
      </c>
      <c r="C126" s="3" t="s">
        <v>797</v>
      </c>
      <c r="E126" t="s">
        <v>519</v>
      </c>
      <c r="F126" t="s">
        <v>800</v>
      </c>
    </row>
    <row r="127" spans="1:6" ht="12.75" customHeight="1">
      <c r="A127" s="3" t="s">
        <v>801</v>
      </c>
      <c r="B127" s="3" t="s">
        <v>801</v>
      </c>
      <c r="C127" s="3" t="s">
        <v>797</v>
      </c>
      <c r="E127" t="s">
        <v>519</v>
      </c>
      <c r="F127" t="s">
        <v>802</v>
      </c>
    </row>
    <row r="128" spans="1:6" ht="12.75" customHeight="1">
      <c r="A128" s="3" t="s">
        <v>803</v>
      </c>
      <c r="B128" s="3" t="s">
        <v>803</v>
      </c>
      <c r="C128" s="3" t="s">
        <v>562</v>
      </c>
      <c r="E128" t="s">
        <v>519</v>
      </c>
      <c r="F128" t="s">
        <v>804</v>
      </c>
    </row>
    <row r="129" spans="1:6" ht="12.75" customHeight="1">
      <c r="A129" s="3" t="s">
        <v>805</v>
      </c>
      <c r="B129" s="3" t="s">
        <v>805</v>
      </c>
      <c r="C129" s="3" t="s">
        <v>562</v>
      </c>
      <c r="E129" t="s">
        <v>519</v>
      </c>
      <c r="F129" t="s">
        <v>806</v>
      </c>
    </row>
    <row r="130" spans="1:6" ht="12.75" customHeight="1">
      <c r="A130" s="3" t="s">
        <v>807</v>
      </c>
      <c r="B130" s="3" t="s">
        <v>807</v>
      </c>
      <c r="C130" s="3" t="s">
        <v>562</v>
      </c>
      <c r="E130" t="s">
        <v>519</v>
      </c>
      <c r="F130" t="s">
        <v>808</v>
      </c>
    </row>
    <row r="131" spans="1:6" ht="12.75" customHeight="1">
      <c r="A131" s="3" t="s">
        <v>809</v>
      </c>
      <c r="B131" s="3" t="s">
        <v>809</v>
      </c>
      <c r="C131" s="3" t="s">
        <v>810</v>
      </c>
      <c r="E131" t="s">
        <v>519</v>
      </c>
      <c r="F131" t="s">
        <v>811</v>
      </c>
    </row>
    <row r="132" spans="1:6" ht="12.75" customHeight="1">
      <c r="A132" s="3" t="s">
        <v>812</v>
      </c>
      <c r="B132" s="3" t="s">
        <v>812</v>
      </c>
      <c r="C132" s="3" t="s">
        <v>810</v>
      </c>
      <c r="E132" t="s">
        <v>519</v>
      </c>
      <c r="F132" t="s">
        <v>813</v>
      </c>
    </row>
    <row r="133" spans="1:6" ht="12.75" customHeight="1">
      <c r="A133" s="3" t="s">
        <v>814</v>
      </c>
      <c r="B133" s="3" t="s">
        <v>814</v>
      </c>
      <c r="C133" s="3" t="s">
        <v>810</v>
      </c>
      <c r="E133" t="s">
        <v>519</v>
      </c>
      <c r="F133" t="s">
        <v>815</v>
      </c>
    </row>
    <row r="134" spans="1:6" ht="12.75" customHeight="1">
      <c r="A134" s="3" t="s">
        <v>816</v>
      </c>
      <c r="B134" s="3" t="s">
        <v>816</v>
      </c>
      <c r="C134" s="3" t="s">
        <v>810</v>
      </c>
      <c r="E134" t="s">
        <v>519</v>
      </c>
      <c r="F134" t="s">
        <v>817</v>
      </c>
    </row>
    <row r="135" spans="1:6" ht="12.75" customHeight="1">
      <c r="A135" s="3" t="s">
        <v>818</v>
      </c>
      <c r="B135" s="3" t="s">
        <v>818</v>
      </c>
      <c r="C135" s="3" t="s">
        <v>810</v>
      </c>
      <c r="E135" t="s">
        <v>519</v>
      </c>
      <c r="F135" t="s">
        <v>819</v>
      </c>
    </row>
    <row r="136" spans="1:6" ht="12.75" customHeight="1">
      <c r="A136" s="3" t="s">
        <v>820</v>
      </c>
      <c r="B136" s="3" t="s">
        <v>820</v>
      </c>
      <c r="C136" s="3" t="s">
        <v>810</v>
      </c>
      <c r="E136" t="s">
        <v>519</v>
      </c>
      <c r="F136" t="s">
        <v>821</v>
      </c>
    </row>
    <row r="137" spans="1:6" ht="12.75" customHeight="1">
      <c r="A137" s="3" t="s">
        <v>822</v>
      </c>
      <c r="B137" s="3" t="s">
        <v>822</v>
      </c>
      <c r="C137" s="3" t="s">
        <v>810</v>
      </c>
      <c r="E137" t="s">
        <v>519</v>
      </c>
      <c r="F137" t="s">
        <v>823</v>
      </c>
    </row>
    <row r="138" spans="1:6" ht="12.75" customHeight="1">
      <c r="A138" s="3" t="s">
        <v>761</v>
      </c>
      <c r="B138" s="3" t="s">
        <v>824</v>
      </c>
      <c r="C138" s="3" t="s">
        <v>568</v>
      </c>
      <c r="E138" t="s">
        <v>685</v>
      </c>
      <c r="F138" t="s">
        <v>825</v>
      </c>
    </row>
    <row r="139" spans="1:6" ht="12.75" customHeight="1">
      <c r="A139" s="3" t="s">
        <v>826</v>
      </c>
      <c r="B139" s="3" t="s">
        <v>826</v>
      </c>
      <c r="C139" s="3" t="s">
        <v>568</v>
      </c>
      <c r="D139" t="s">
        <v>708</v>
      </c>
      <c r="E139" t="s">
        <v>685</v>
      </c>
      <c r="F139" t="s">
        <v>827</v>
      </c>
    </row>
    <row r="140" spans="1:6" ht="12.75" customHeight="1">
      <c r="A140" s="40" t="s">
        <v>828</v>
      </c>
      <c r="B140" s="40" t="s">
        <v>828</v>
      </c>
      <c r="C140" s="3" t="s">
        <v>568</v>
      </c>
      <c r="D140" t="s">
        <v>684</v>
      </c>
      <c r="E140" s="74" t="s">
        <v>829</v>
      </c>
      <c r="F140" s="74" t="s">
        <v>830</v>
      </c>
    </row>
    <row r="141" spans="1:6" ht="12.75" customHeight="1">
      <c r="A141" s="40" t="s">
        <v>831</v>
      </c>
      <c r="B141" s="40" t="s">
        <v>831</v>
      </c>
      <c r="C141" s="3" t="s">
        <v>568</v>
      </c>
      <c r="D141" t="s">
        <v>708</v>
      </c>
      <c r="E141" s="74" t="s">
        <v>832</v>
      </c>
      <c r="F141" s="74" t="s">
        <v>833</v>
      </c>
    </row>
    <row r="142" spans="1:6" ht="12.75" customHeight="1">
      <c r="A142" s="40" t="s">
        <v>834</v>
      </c>
      <c r="B142" s="40" t="s">
        <v>834</v>
      </c>
      <c r="C142" s="3" t="s">
        <v>568</v>
      </c>
      <c r="E142" s="74" t="s">
        <v>835</v>
      </c>
      <c r="F142" s="74" t="s">
        <v>836</v>
      </c>
    </row>
    <row r="143" spans="1:6" ht="12.75" customHeight="1">
      <c r="A143" s="40" t="s">
        <v>837</v>
      </c>
      <c r="B143" s="40" t="s">
        <v>837</v>
      </c>
      <c r="C143" s="3" t="s">
        <v>568</v>
      </c>
      <c r="D143" t="s">
        <v>708</v>
      </c>
      <c r="E143" s="74" t="s">
        <v>832</v>
      </c>
      <c r="F143" s="74" t="s">
        <v>838</v>
      </c>
    </row>
    <row r="144" spans="1:6" ht="12.75" customHeight="1">
      <c r="A144" s="40" t="s">
        <v>839</v>
      </c>
      <c r="B144" s="40" t="s">
        <v>839</v>
      </c>
      <c r="C144" s="3" t="s">
        <v>568</v>
      </c>
      <c r="D144" t="s">
        <v>708</v>
      </c>
      <c r="E144" s="74" t="s">
        <v>685</v>
      </c>
      <c r="F144" s="74" t="s">
        <v>840</v>
      </c>
    </row>
    <row r="145" spans="1:6" ht="12.75" customHeight="1">
      <c r="A145" s="40" t="s">
        <v>841</v>
      </c>
      <c r="B145" s="40" t="s">
        <v>841</v>
      </c>
      <c r="C145" s="3" t="s">
        <v>568</v>
      </c>
      <c r="E145" s="74" t="s">
        <v>832</v>
      </c>
      <c r="F145" s="74" t="s">
        <v>842</v>
      </c>
    </row>
    <row r="146" spans="1:6" ht="12.75" customHeight="1">
      <c r="A146" s="40" t="s">
        <v>843</v>
      </c>
      <c r="B146" s="40" t="s">
        <v>843</v>
      </c>
      <c r="C146" s="3" t="s">
        <v>568</v>
      </c>
      <c r="D146" t="s">
        <v>684</v>
      </c>
      <c r="E146" s="74" t="s">
        <v>832</v>
      </c>
      <c r="F146" s="74" t="s">
        <v>844</v>
      </c>
    </row>
    <row r="147" spans="1:6" ht="12.75" customHeight="1">
      <c r="A147" s="40" t="s">
        <v>845</v>
      </c>
      <c r="B147" s="40" t="s">
        <v>845</v>
      </c>
      <c r="C147" s="3" t="s">
        <v>568</v>
      </c>
      <c r="E147" s="74" t="s">
        <v>519</v>
      </c>
      <c r="F147" s="74" t="s">
        <v>846</v>
      </c>
    </row>
    <row r="148" spans="1:6" ht="12.75" customHeight="1">
      <c r="A148" s="40" t="s">
        <v>847</v>
      </c>
      <c r="B148" s="40" t="s">
        <v>847</v>
      </c>
      <c r="C148" s="3" t="s">
        <v>568</v>
      </c>
      <c r="E148" s="74" t="s">
        <v>519</v>
      </c>
      <c r="F148" s="74" t="s">
        <v>848</v>
      </c>
    </row>
    <row r="149" spans="1:6" ht="12.75" customHeight="1">
      <c r="A149" s="40" t="s">
        <v>849</v>
      </c>
      <c r="B149" s="40" t="s">
        <v>849</v>
      </c>
      <c r="C149" s="3" t="s">
        <v>568</v>
      </c>
      <c r="D149" t="s">
        <v>708</v>
      </c>
      <c r="E149" s="74" t="s">
        <v>832</v>
      </c>
      <c r="F149" s="74" t="s">
        <v>850</v>
      </c>
    </row>
    <row r="150" spans="1:6" ht="12.75" customHeight="1">
      <c r="A150" s="40" t="s">
        <v>851</v>
      </c>
      <c r="B150" s="40" t="s">
        <v>851</v>
      </c>
      <c r="C150" s="3" t="s">
        <v>568</v>
      </c>
      <c r="D150" t="s">
        <v>708</v>
      </c>
      <c r="E150" s="74" t="s">
        <v>685</v>
      </c>
      <c r="F150" s="74" t="s">
        <v>852</v>
      </c>
    </row>
    <row r="151" spans="1:6" ht="12.75" customHeight="1">
      <c r="A151" s="40" t="s">
        <v>853</v>
      </c>
      <c r="B151" s="40" t="s">
        <v>853</v>
      </c>
      <c r="C151" s="3" t="s">
        <v>568</v>
      </c>
      <c r="D151" t="s">
        <v>684</v>
      </c>
      <c r="E151" s="74" t="s">
        <v>685</v>
      </c>
      <c r="F151" s="74" t="s">
        <v>854</v>
      </c>
    </row>
    <row r="152" spans="1:6" ht="12.75" customHeight="1">
      <c r="A152" s="40" t="s">
        <v>855</v>
      </c>
      <c r="B152" s="40" t="s">
        <v>855</v>
      </c>
      <c r="C152" s="3" t="s">
        <v>568</v>
      </c>
      <c r="E152" s="74" t="s">
        <v>685</v>
      </c>
      <c r="F152" s="74" t="s">
        <v>856</v>
      </c>
    </row>
    <row r="153" spans="1:6" ht="12.75" customHeight="1">
      <c r="A153" s="40" t="s">
        <v>857</v>
      </c>
      <c r="B153" s="40" t="s">
        <v>857</v>
      </c>
      <c r="C153" s="3" t="s">
        <v>568</v>
      </c>
      <c r="D153" t="s">
        <v>708</v>
      </c>
      <c r="E153" s="74" t="s">
        <v>685</v>
      </c>
      <c r="F153" s="74" t="s">
        <v>858</v>
      </c>
    </row>
    <row r="154" spans="1:6" ht="12.75" customHeight="1">
      <c r="A154" s="40" t="s">
        <v>859</v>
      </c>
      <c r="B154" s="40" t="s">
        <v>859</v>
      </c>
      <c r="C154" s="3" t="s">
        <v>568</v>
      </c>
      <c r="D154" t="s">
        <v>708</v>
      </c>
      <c r="E154" s="74" t="s">
        <v>832</v>
      </c>
      <c r="F154" s="74" t="s">
        <v>860</v>
      </c>
    </row>
    <row r="155" spans="1:6" ht="12.75" customHeight="1">
      <c r="A155" s="40" t="s">
        <v>861</v>
      </c>
      <c r="B155" s="40" t="s">
        <v>861</v>
      </c>
      <c r="C155" s="3" t="s">
        <v>568</v>
      </c>
      <c r="D155" t="s">
        <v>708</v>
      </c>
      <c r="E155" s="74" t="s">
        <v>832</v>
      </c>
      <c r="F155" s="74" t="s">
        <v>862</v>
      </c>
    </row>
    <row r="156" spans="1:6" ht="12.75" customHeight="1">
      <c r="A156" s="40" t="s">
        <v>863</v>
      </c>
      <c r="B156" s="40" t="s">
        <v>863</v>
      </c>
      <c r="C156" s="3" t="s">
        <v>568</v>
      </c>
      <c r="D156" t="s">
        <v>684</v>
      </c>
      <c r="E156" s="74" t="s">
        <v>832</v>
      </c>
      <c r="F156" s="74" t="s">
        <v>864</v>
      </c>
    </row>
    <row r="157" spans="1:6" ht="12.75" customHeight="1">
      <c r="A157" s="40" t="s">
        <v>865</v>
      </c>
      <c r="B157" s="40" t="s">
        <v>865</v>
      </c>
      <c r="C157" s="3" t="s">
        <v>568</v>
      </c>
      <c r="E157" s="74" t="s">
        <v>832</v>
      </c>
      <c r="F157" s="74" t="s">
        <v>866</v>
      </c>
    </row>
    <row r="158" spans="1:6" ht="12.75" customHeight="1">
      <c r="A158" s="40" t="s">
        <v>867</v>
      </c>
      <c r="B158" s="40" t="s">
        <v>867</v>
      </c>
      <c r="C158" s="3" t="s">
        <v>568</v>
      </c>
      <c r="D158" t="s">
        <v>708</v>
      </c>
      <c r="E158" s="74" t="s">
        <v>832</v>
      </c>
      <c r="F158" s="74" t="s">
        <v>868</v>
      </c>
    </row>
    <row r="159" spans="1:6" ht="12.75" customHeight="1">
      <c r="A159" s="40" t="s">
        <v>869</v>
      </c>
      <c r="B159" s="40" t="s">
        <v>869</v>
      </c>
      <c r="C159" s="3" t="s">
        <v>568</v>
      </c>
      <c r="E159" s="74" t="s">
        <v>519</v>
      </c>
      <c r="F159" s="74" t="s">
        <v>870</v>
      </c>
    </row>
    <row r="160" spans="1:6" ht="12.75" customHeight="1">
      <c r="A160" s="40" t="s">
        <v>871</v>
      </c>
      <c r="B160" s="40" t="s">
        <v>871</v>
      </c>
      <c r="C160" s="3" t="s">
        <v>568</v>
      </c>
      <c r="D160" t="s">
        <v>708</v>
      </c>
      <c r="E160" s="74" t="s">
        <v>685</v>
      </c>
      <c r="F160" s="74" t="s">
        <v>872</v>
      </c>
    </row>
    <row r="161" spans="1:6" ht="12.75" customHeight="1">
      <c r="A161" s="40" t="s">
        <v>873</v>
      </c>
      <c r="B161" s="3" t="s">
        <v>873</v>
      </c>
      <c r="C161" s="3" t="s">
        <v>568</v>
      </c>
      <c r="E161" s="74" t="s">
        <v>519</v>
      </c>
      <c r="F161" t="s">
        <v>228</v>
      </c>
    </row>
    <row r="162" spans="1:6" ht="12.75" customHeight="1">
      <c r="A162" s="40" t="s">
        <v>874</v>
      </c>
      <c r="B162" s="40" t="s">
        <v>874</v>
      </c>
      <c r="C162" s="3" t="s">
        <v>568</v>
      </c>
      <c r="E162" s="74" t="s">
        <v>519</v>
      </c>
      <c r="F162" t="s">
        <v>469</v>
      </c>
    </row>
    <row r="163" spans="1:6" ht="12.75" customHeight="1">
      <c r="A163" s="40" t="s">
        <v>875</v>
      </c>
      <c r="B163" s="40" t="s">
        <v>875</v>
      </c>
      <c r="C163" s="3" t="s">
        <v>568</v>
      </c>
      <c r="E163" s="74" t="s">
        <v>519</v>
      </c>
      <c r="F163" t="s">
        <v>470</v>
      </c>
    </row>
    <row r="164" spans="1:6" ht="12.75" customHeight="1">
      <c r="A164" s="40" t="s">
        <v>876</v>
      </c>
      <c r="B164" s="3" t="s">
        <v>876</v>
      </c>
      <c r="C164" s="3" t="s">
        <v>568</v>
      </c>
      <c r="E164" t="s">
        <v>519</v>
      </c>
      <c r="F164" t="s">
        <v>877</v>
      </c>
    </row>
    <row r="165" spans="1:6" ht="12.75" customHeight="1">
      <c r="A165" s="40" t="s">
        <v>878</v>
      </c>
      <c r="B165" s="3" t="s">
        <v>878</v>
      </c>
      <c r="C165" s="3" t="s">
        <v>568</v>
      </c>
      <c r="E165" t="s">
        <v>519</v>
      </c>
      <c r="F165" t="s">
        <v>879</v>
      </c>
    </row>
    <row r="166" spans="1:6" ht="12.75" customHeight="1">
      <c r="A166" s="40" t="s">
        <v>880</v>
      </c>
      <c r="B166" s="3" t="s">
        <v>880</v>
      </c>
      <c r="C166" s="3" t="s">
        <v>568</v>
      </c>
      <c r="E166" t="s">
        <v>519</v>
      </c>
      <c r="F166" t="s">
        <v>881</v>
      </c>
    </row>
    <row r="167" spans="1:6" ht="12.75" customHeight="1">
      <c r="A167" s="40" t="s">
        <v>882</v>
      </c>
      <c r="B167" s="3" t="s">
        <v>882</v>
      </c>
      <c r="C167" s="3" t="s">
        <v>568</v>
      </c>
      <c r="E167" t="s">
        <v>519</v>
      </c>
      <c r="F167" t="s">
        <v>883</v>
      </c>
    </row>
    <row r="168" spans="1:6" ht="12.75" customHeight="1">
      <c r="A168" s="40" t="s">
        <v>884</v>
      </c>
      <c r="B168" s="3" t="s">
        <v>884</v>
      </c>
      <c r="C168" s="3" t="s">
        <v>568</v>
      </c>
      <c r="E168" t="s">
        <v>519</v>
      </c>
      <c r="F168" t="s">
        <v>885</v>
      </c>
    </row>
    <row r="169" spans="1:6" ht="12.75" customHeight="1">
      <c r="A169" s="40" t="s">
        <v>886</v>
      </c>
      <c r="B169" s="3" t="s">
        <v>886</v>
      </c>
      <c r="C169" s="3" t="s">
        <v>568</v>
      </c>
      <c r="E169" t="s">
        <v>519</v>
      </c>
      <c r="F169" t="s">
        <v>887</v>
      </c>
    </row>
    <row r="170" spans="1:6" ht="12.75" customHeight="1">
      <c r="A170" s="40" t="s">
        <v>888</v>
      </c>
      <c r="B170" s="3" t="s">
        <v>888</v>
      </c>
      <c r="C170" s="3" t="s">
        <v>568</v>
      </c>
      <c r="E170" t="s">
        <v>519</v>
      </c>
      <c r="F170" t="s">
        <v>889</v>
      </c>
    </row>
    <row r="171" spans="1:6" ht="12.75" customHeight="1">
      <c r="A171" s="40" t="s">
        <v>890</v>
      </c>
      <c r="B171" s="3" t="s">
        <v>890</v>
      </c>
      <c r="C171" s="3" t="s">
        <v>568</v>
      </c>
      <c r="E171" t="s">
        <v>519</v>
      </c>
      <c r="F171" t="s">
        <v>891</v>
      </c>
    </row>
    <row r="172" spans="1:6" ht="12.75" customHeight="1">
      <c r="A172" s="40" t="s">
        <v>892</v>
      </c>
      <c r="B172" s="3" t="s">
        <v>892</v>
      </c>
      <c r="C172" s="3" t="s">
        <v>568</v>
      </c>
      <c r="E172" t="s">
        <v>519</v>
      </c>
      <c r="F172" t="s">
        <v>893</v>
      </c>
    </row>
    <row r="173" spans="1:6" ht="12.75" customHeight="1">
      <c r="A173" s="40" t="s">
        <v>894</v>
      </c>
      <c r="B173" s="3" t="s">
        <v>894</v>
      </c>
      <c r="C173" s="3" t="s">
        <v>568</v>
      </c>
      <c r="E173" t="s">
        <v>519</v>
      </c>
      <c r="F173" t="s">
        <v>895</v>
      </c>
    </row>
    <row r="174" spans="1:6" ht="12.75" customHeight="1">
      <c r="A174" s="40" t="s">
        <v>896</v>
      </c>
      <c r="B174" s="3" t="s">
        <v>896</v>
      </c>
      <c r="C174" s="3" t="s">
        <v>568</v>
      </c>
      <c r="E174" t="s">
        <v>519</v>
      </c>
      <c r="F174" t="s">
        <v>897</v>
      </c>
    </row>
    <row r="175" spans="1:6" ht="12.75" customHeight="1">
      <c r="A175" s="40" t="s">
        <v>898</v>
      </c>
      <c r="B175" s="3" t="s">
        <v>898</v>
      </c>
      <c r="C175" s="3" t="s">
        <v>568</v>
      </c>
      <c r="E175" t="s">
        <v>519</v>
      </c>
      <c r="F175" t="s">
        <v>899</v>
      </c>
    </row>
    <row r="176" spans="1:6" ht="12.75" customHeight="1">
      <c r="A176" s="40" t="s">
        <v>900</v>
      </c>
      <c r="B176" s="3" t="s">
        <v>900</v>
      </c>
      <c r="C176" s="3" t="s">
        <v>568</v>
      </c>
      <c r="E176" t="s">
        <v>519</v>
      </c>
      <c r="F176" t="s">
        <v>901</v>
      </c>
    </row>
    <row r="177" spans="1:6" ht="12.75" customHeight="1">
      <c r="A177" s="40" t="s">
        <v>902</v>
      </c>
      <c r="B177" s="3" t="s">
        <v>902</v>
      </c>
      <c r="C177" s="3" t="s">
        <v>568</v>
      </c>
      <c r="E177" t="s">
        <v>519</v>
      </c>
      <c r="F177" t="s">
        <v>903</v>
      </c>
    </row>
    <row r="178" spans="1:6" ht="12.75" customHeight="1">
      <c r="A178" s="40" t="s">
        <v>904</v>
      </c>
      <c r="B178" s="3" t="s">
        <v>904</v>
      </c>
      <c r="C178" s="3" t="s">
        <v>568</v>
      </c>
      <c r="E178" t="s">
        <v>519</v>
      </c>
      <c r="F178" t="s">
        <v>905</v>
      </c>
    </row>
    <row r="179" spans="1:6" ht="12.75" customHeight="1">
      <c r="A179" s="40" t="s">
        <v>906</v>
      </c>
      <c r="B179" s="3" t="s">
        <v>906</v>
      </c>
      <c r="C179" s="3" t="s">
        <v>568</v>
      </c>
      <c r="E179" t="s">
        <v>519</v>
      </c>
      <c r="F179" t="s">
        <v>907</v>
      </c>
    </row>
    <row r="180" spans="1:6" ht="12.75" customHeight="1">
      <c r="A180" s="40" t="s">
        <v>908</v>
      </c>
      <c r="B180" s="3" t="s">
        <v>908</v>
      </c>
      <c r="C180" s="3" t="s">
        <v>568</v>
      </c>
      <c r="E180" t="s">
        <v>519</v>
      </c>
      <c r="F180" t="s">
        <v>909</v>
      </c>
    </row>
    <row r="181" spans="1:6" ht="12.75" customHeight="1">
      <c r="A181" s="40" t="s">
        <v>910</v>
      </c>
      <c r="B181" s="3" t="s">
        <v>910</v>
      </c>
      <c r="C181" s="3" t="s">
        <v>568</v>
      </c>
      <c r="E181" t="s">
        <v>519</v>
      </c>
      <c r="F181" t="s">
        <v>911</v>
      </c>
    </row>
    <row r="182" spans="1:6" ht="12.75" customHeight="1">
      <c r="A182" s="40" t="s">
        <v>912</v>
      </c>
      <c r="B182" s="3" t="s">
        <v>912</v>
      </c>
      <c r="C182" s="3" t="s">
        <v>568</v>
      </c>
      <c r="E182" t="s">
        <v>519</v>
      </c>
      <c r="F182" t="s">
        <v>913</v>
      </c>
    </row>
    <row r="183" spans="1:6" ht="12.75" customHeight="1">
      <c r="A183" s="40" t="s">
        <v>914</v>
      </c>
      <c r="B183" s="3" t="s">
        <v>914</v>
      </c>
      <c r="C183" s="3" t="s">
        <v>568</v>
      </c>
      <c r="E183" t="s">
        <v>519</v>
      </c>
      <c r="F183" t="s">
        <v>915</v>
      </c>
    </row>
    <row r="184" spans="1:6" ht="12.75" customHeight="1">
      <c r="A184" s="40" t="s">
        <v>916</v>
      </c>
      <c r="B184" s="3" t="s">
        <v>916</v>
      </c>
      <c r="C184" s="3" t="s">
        <v>568</v>
      </c>
      <c r="E184" t="s">
        <v>519</v>
      </c>
      <c r="F184" t="s">
        <v>917</v>
      </c>
    </row>
    <row r="185" spans="1:6" ht="12.75" customHeight="1">
      <c r="A185" s="40" t="s">
        <v>918</v>
      </c>
      <c r="B185" s="3" t="s">
        <v>918</v>
      </c>
      <c r="C185" s="3" t="s">
        <v>568</v>
      </c>
      <c r="E185" t="s">
        <v>519</v>
      </c>
      <c r="F185" t="s">
        <v>476</v>
      </c>
    </row>
    <row r="186" spans="1:6" ht="12.75" customHeight="1">
      <c r="A186" s="40" t="s">
        <v>919</v>
      </c>
      <c r="B186" s="3" t="s">
        <v>920</v>
      </c>
      <c r="C186" s="3" t="s">
        <v>921</v>
      </c>
      <c r="E186" t="s">
        <v>519</v>
      </c>
      <c r="F186" t="s">
        <v>922</v>
      </c>
    </row>
    <row r="187" spans="1:6" ht="12.75" customHeight="1">
      <c r="A187" s="40" t="s">
        <v>923</v>
      </c>
      <c r="B187" s="3" t="s">
        <v>924</v>
      </c>
      <c r="C187" s="3" t="s">
        <v>921</v>
      </c>
      <c r="E187" t="s">
        <v>519</v>
      </c>
      <c r="F187" t="s">
        <v>925</v>
      </c>
    </row>
    <row r="188" spans="1:6" ht="12.75" customHeight="1">
      <c r="A188" s="40" t="s">
        <v>926</v>
      </c>
      <c r="B188" s="3" t="s">
        <v>927</v>
      </c>
      <c r="C188" s="3" t="s">
        <v>921</v>
      </c>
      <c r="E188" t="s">
        <v>519</v>
      </c>
      <c r="F188" t="s">
        <v>928</v>
      </c>
    </row>
    <row r="189" spans="1:6" ht="12.75" customHeight="1">
      <c r="A189" s="40" t="s">
        <v>929</v>
      </c>
      <c r="B189" s="3" t="s">
        <v>929</v>
      </c>
      <c r="C189" s="3" t="s">
        <v>568</v>
      </c>
      <c r="E189" t="s">
        <v>519</v>
      </c>
      <c r="F189" t="s">
        <v>930</v>
      </c>
    </row>
    <row r="190" spans="1:6" ht="12.75" customHeight="1">
      <c r="A190" s="40" t="s">
        <v>931</v>
      </c>
      <c r="B190" s="3" t="s">
        <v>931</v>
      </c>
      <c r="C190" s="3" t="s">
        <v>568</v>
      </c>
      <c r="D190" t="s">
        <v>932</v>
      </c>
      <c r="E190" t="s">
        <v>519</v>
      </c>
      <c r="F190" t="s">
        <v>933</v>
      </c>
    </row>
    <row r="191" spans="1:6" ht="12.75" customHeight="1">
      <c r="A191" s="40" t="s">
        <v>934</v>
      </c>
      <c r="B191" s="3" t="s">
        <v>934</v>
      </c>
      <c r="C191" s="3" t="s">
        <v>568</v>
      </c>
      <c r="E191" t="s">
        <v>685</v>
      </c>
      <c r="F191" t="s">
        <v>935</v>
      </c>
    </row>
    <row r="192" spans="1:6" ht="12.75" customHeight="1">
      <c r="A192" s="40" t="s">
        <v>936</v>
      </c>
      <c r="B192" s="3" t="s">
        <v>936</v>
      </c>
      <c r="C192" s="3" t="s">
        <v>568</v>
      </c>
      <c r="E192" t="s">
        <v>685</v>
      </c>
      <c r="F192" t="s">
        <v>937</v>
      </c>
    </row>
    <row r="193" spans="1:6" ht="12.75" customHeight="1">
      <c r="A193" s="40" t="s">
        <v>938</v>
      </c>
      <c r="B193" s="3" t="s">
        <v>938</v>
      </c>
      <c r="C193" s="3" t="s">
        <v>921</v>
      </c>
      <c r="D193" t="s">
        <v>932</v>
      </c>
      <c r="E193" t="s">
        <v>519</v>
      </c>
      <c r="F193" t="s">
        <v>939</v>
      </c>
    </row>
    <row r="194" spans="1:6" ht="12.75" customHeight="1">
      <c r="A194" s="40" t="s">
        <v>940</v>
      </c>
      <c r="B194" s="3" t="s">
        <v>940</v>
      </c>
      <c r="C194" s="3" t="s">
        <v>568</v>
      </c>
      <c r="E194" t="s">
        <v>685</v>
      </c>
      <c r="F194" t="s">
        <v>495</v>
      </c>
    </row>
    <row r="195" spans="1:6" ht="12.75" customHeight="1">
      <c r="A195" s="40" t="s">
        <v>941</v>
      </c>
      <c r="B195" s="3" t="s">
        <v>941</v>
      </c>
      <c r="C195" s="3" t="s">
        <v>568</v>
      </c>
      <c r="E195" t="s">
        <v>832</v>
      </c>
      <c r="F195" t="s">
        <v>496</v>
      </c>
    </row>
    <row r="196" spans="1:6" ht="12.75" customHeight="1">
      <c r="A196" s="40" t="s">
        <v>942</v>
      </c>
      <c r="B196" s="3" t="s">
        <v>943</v>
      </c>
      <c r="C196" s="3" t="s">
        <v>921</v>
      </c>
      <c r="E196" t="s">
        <v>519</v>
      </c>
      <c r="F196" t="s">
        <v>944</v>
      </c>
    </row>
    <row r="197" spans="1:6" ht="12.75" customHeight="1">
      <c r="A197" s="40" t="s">
        <v>945</v>
      </c>
      <c r="B197" s="3" t="s">
        <v>946</v>
      </c>
      <c r="C197" s="3" t="s">
        <v>568</v>
      </c>
      <c r="E197" t="s">
        <v>832</v>
      </c>
      <c r="F197" t="s">
        <v>947</v>
      </c>
    </row>
    <row r="198" spans="1:6" ht="12.75" customHeight="1">
      <c r="A198" s="40" t="s">
        <v>948</v>
      </c>
      <c r="B198" s="3" t="s">
        <v>949</v>
      </c>
      <c r="C198" s="3" t="s">
        <v>568</v>
      </c>
      <c r="E198" t="s">
        <v>832</v>
      </c>
      <c r="F198" t="s">
        <v>950</v>
      </c>
    </row>
    <row r="199" spans="1:6" ht="12.75" customHeight="1">
      <c r="A199" s="40" t="s">
        <v>951</v>
      </c>
      <c r="B199" s="3" t="s">
        <v>952</v>
      </c>
      <c r="C199" s="3" t="s">
        <v>568</v>
      </c>
      <c r="E199" t="s">
        <v>832</v>
      </c>
      <c r="F199" t="s">
        <v>953</v>
      </c>
    </row>
    <row r="200" spans="1:6" ht="12.75" customHeight="1">
      <c r="A200" s="40" t="s">
        <v>954</v>
      </c>
      <c r="B200" s="3" t="s">
        <v>955</v>
      </c>
      <c r="C200" s="3" t="s">
        <v>568</v>
      </c>
      <c r="E200" t="s">
        <v>832</v>
      </c>
      <c r="F200" t="s">
        <v>956</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Props1.xml><?xml version="1.0" encoding="utf-8"?>
<ds:datastoreItem xmlns:ds="http://schemas.openxmlformats.org/officeDocument/2006/customXml" ds:itemID="{98A113BB-8B7A-453C-8BD4-8EFC67FC2D3F}"/>
</file>

<file path=customXml/itemProps2.xml><?xml version="1.0" encoding="utf-8"?>
<ds:datastoreItem xmlns:ds="http://schemas.openxmlformats.org/officeDocument/2006/customXml" ds:itemID="{0389C43E-394D-44C0-87DC-4780FCFCFB40}"/>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BF5C6359-7763-4C37-8EAF-2BC4698CB285}"/>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CB52044A-5C0B-44A2-99D0-C1C315EC302D}"/>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C0BCDC1E-6052-4E48-9BAF-94A40814E7C2}"/>
</file>

<file path=customXml/itemProps20.xml><?xml version="1.0" encoding="utf-8"?>
<ds:datastoreItem xmlns:ds="http://schemas.openxmlformats.org/officeDocument/2006/customXml" ds:itemID="{E3716282-BFD2-4ED2-BA47-BFA1123827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2025-04-09T12:07:43Z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