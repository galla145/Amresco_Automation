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46" documentId="13_ncr:1_{97EF1421-FF13-497F-82BF-CF18CDCF6B37}" xr6:coauthVersionLast="47" xr6:coauthVersionMax="47" xr10:uidLastSave="{89EF838A-85C6-48D7-BD14-B84846AFAFC0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3" l="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I11" i="3"/>
  <c r="I12" i="3"/>
  <c r="I13" i="3"/>
  <c r="I14" i="3"/>
  <c r="I15" i="3"/>
  <c r="I16" i="3"/>
  <c r="I17" i="3"/>
  <c r="I18" i="3"/>
  <c r="I19" i="3"/>
  <c r="I20" i="3"/>
  <c r="I21" i="3"/>
  <c r="I22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H83" i="72"/>
  <c r="I83" i="72" s="1"/>
  <c r="E83" i="72"/>
  <c r="F83" i="72" s="1"/>
  <c r="H82" i="72"/>
  <c r="I82" i="72" s="1"/>
  <c r="E82" i="72"/>
  <c r="F82" i="72" s="1"/>
  <c r="H81" i="72"/>
  <c r="I81" i="72" s="1"/>
  <c r="E81" i="72"/>
  <c r="F81" i="72" s="1"/>
  <c r="H80" i="72"/>
  <c r="I80" i="72" s="1"/>
  <c r="E80" i="72"/>
  <c r="F80" i="72" s="1"/>
  <c r="H79" i="72"/>
  <c r="I79" i="72" s="1"/>
  <c r="E79" i="72"/>
  <c r="F79" i="72" s="1"/>
  <c r="H78" i="72"/>
  <c r="I78" i="72" s="1"/>
  <c r="E78" i="72"/>
  <c r="F78" i="72" s="1"/>
  <c r="H77" i="72"/>
  <c r="I77" i="72" s="1"/>
  <c r="E77" i="72"/>
  <c r="F77" i="72" s="1"/>
  <c r="H76" i="72"/>
  <c r="I76" i="72" s="1"/>
  <c r="E76" i="72"/>
  <c r="F76" i="72" s="1"/>
  <c r="H75" i="72"/>
  <c r="I75" i="72" s="1"/>
  <c r="E75" i="72"/>
  <c r="F75" i="72" s="1"/>
  <c r="H74" i="72"/>
  <c r="I74" i="72" s="1"/>
  <c r="E74" i="72"/>
  <c r="F74" i="72" s="1"/>
  <c r="H73" i="72"/>
  <c r="I73" i="72" s="1"/>
  <c r="E73" i="72"/>
  <c r="F73" i="72" s="1"/>
  <c r="H72" i="72"/>
  <c r="I72" i="72" s="1"/>
  <c r="E72" i="72"/>
  <c r="F72" i="72" s="1"/>
  <c r="H71" i="72"/>
  <c r="I71" i="72" s="1"/>
  <c r="E71" i="72"/>
  <c r="F71" i="72" s="1"/>
  <c r="H70" i="72"/>
  <c r="I70" i="72" s="1"/>
  <c r="E70" i="72"/>
  <c r="F70" i="72" s="1"/>
  <c r="H69" i="72"/>
  <c r="I69" i="72" s="1"/>
  <c r="E69" i="72"/>
  <c r="F69" i="72" s="1"/>
  <c r="H68" i="72"/>
  <c r="I68" i="72" s="1"/>
  <c r="E68" i="72"/>
  <c r="F68" i="72" s="1"/>
  <c r="H67" i="72"/>
  <c r="I67" i="72" s="1"/>
  <c r="E67" i="72"/>
  <c r="F67" i="72" s="1"/>
  <c r="H66" i="72"/>
  <c r="I66" i="72" s="1"/>
  <c r="E66" i="72"/>
  <c r="F66" i="72" s="1"/>
  <c r="H65" i="72"/>
  <c r="I65" i="72" s="1"/>
  <c r="E65" i="72"/>
  <c r="F65" i="72" s="1"/>
  <c r="H64" i="72"/>
  <c r="I64" i="72" s="1"/>
  <c r="E64" i="72"/>
  <c r="F64" i="72" s="1"/>
  <c r="H63" i="72"/>
  <c r="I63" i="72" s="1"/>
  <c r="E63" i="72"/>
  <c r="F63" i="72" s="1"/>
  <c r="H62" i="72"/>
  <c r="I62" i="72" s="1"/>
  <c r="E62" i="72"/>
  <c r="F62" i="72" s="1"/>
  <c r="H61" i="72"/>
  <c r="I61" i="72" s="1"/>
  <c r="E61" i="72"/>
  <c r="F61" i="72" s="1"/>
  <c r="H60" i="72"/>
  <c r="I60" i="72" s="1"/>
  <c r="E60" i="72"/>
  <c r="F60" i="72" s="1"/>
  <c r="H59" i="72"/>
  <c r="I59" i="72" s="1"/>
  <c r="E59" i="72"/>
  <c r="F59" i="72" s="1"/>
  <c r="H58" i="72"/>
  <c r="I58" i="72" s="1"/>
  <c r="E58" i="72"/>
  <c r="F58" i="72" s="1"/>
  <c r="H57" i="72"/>
  <c r="I57" i="72" s="1"/>
  <c r="E57" i="72"/>
  <c r="F57" i="72" s="1"/>
  <c r="H56" i="72"/>
  <c r="I56" i="72" s="1"/>
  <c r="E56" i="72"/>
  <c r="F56" i="72" s="1"/>
  <c r="H55" i="72"/>
  <c r="I55" i="72" s="1"/>
  <c r="E55" i="72"/>
  <c r="F55" i="72" s="1"/>
  <c r="H54" i="72"/>
  <c r="I54" i="72" s="1"/>
  <c r="E54" i="72"/>
  <c r="F54" i="72" s="1"/>
  <c r="H53" i="72"/>
  <c r="I53" i="72" s="1"/>
  <c r="E53" i="72"/>
  <c r="F53" i="72" s="1"/>
  <c r="H52" i="72"/>
  <c r="I52" i="72" s="1"/>
  <c r="E52" i="72"/>
  <c r="F52" i="72" s="1"/>
  <c r="H51" i="72"/>
  <c r="I51" i="72" s="1"/>
  <c r="E51" i="72"/>
  <c r="F51" i="72" s="1"/>
  <c r="H50" i="72"/>
  <c r="I50" i="72" s="1"/>
  <c r="E50" i="72"/>
  <c r="F50" i="72" s="1"/>
  <c r="H49" i="72"/>
  <c r="I49" i="72" s="1"/>
  <c r="E49" i="72"/>
  <c r="F49" i="72" s="1"/>
  <c r="H48" i="72"/>
  <c r="I48" i="72" s="1"/>
  <c r="E48" i="72"/>
  <c r="F48" i="72" s="1"/>
  <c r="H47" i="72"/>
  <c r="I47" i="72" s="1"/>
  <c r="E47" i="72"/>
  <c r="F47" i="72" s="1"/>
  <c r="H46" i="72"/>
  <c r="I46" i="72" s="1"/>
  <c r="E46" i="72"/>
  <c r="F46" i="72" s="1"/>
  <c r="H45" i="72"/>
  <c r="I45" i="72" s="1"/>
  <c r="E45" i="72"/>
  <c r="F4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1" i="3"/>
  <c r="H22" i="3"/>
  <c r="H23" i="3"/>
  <c r="I23" i="3" s="1"/>
  <c r="H19" i="3"/>
  <c r="H18" i="3"/>
  <c r="H17" i="3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I76" i="28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I70" i="31"/>
  <c r="F75" i="31"/>
  <c r="F79" i="31"/>
  <c r="F80" i="31"/>
  <c r="F81" i="31"/>
  <c r="F82" i="31"/>
  <c r="F83" i="3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E76" i="31"/>
  <c r="F76" i="31" s="1"/>
  <c r="E77" i="31"/>
  <c r="F77" i="31" s="1"/>
  <c r="E78" i="31"/>
  <c r="F78" i="31" s="1"/>
  <c r="E79" i="31"/>
  <c r="E80" i="31"/>
  <c r="E81" i="31"/>
  <c r="E82" i="31"/>
  <c r="E83" i="3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F85" i="32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69" i="27"/>
  <c r="F69" i="27" s="1"/>
  <c r="H69" i="27"/>
  <c r="I69" i="27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/>
  <c r="H83" i="21"/>
  <c r="I83" i="21" s="1"/>
  <c r="E84" i="21"/>
  <c r="F84" i="21" s="1"/>
  <c r="H84" i="21"/>
  <c r="I84" i="21" s="1"/>
  <c r="A4" i="32" a="1"/>
  <c r="A4" i="32" s="1"/>
  <c r="E25" i="27"/>
  <c r="F25" i="27" s="1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6" i="3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5" i="3"/>
  <c r="H24" i="3"/>
  <c r="I24" i="3" s="1"/>
  <c r="H20" i="3"/>
  <c r="H16" i="3"/>
  <c r="H15" i="3"/>
  <c r="H14" i="3"/>
  <c r="H13" i="3"/>
  <c r="H12" i="3"/>
  <c r="H11" i="3"/>
  <c r="H10" i="3"/>
  <c r="I10" i="3" s="1"/>
  <c r="H9" i="3"/>
  <c r="I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H4" i="3"/>
  <c r="I4" i="3" s="1"/>
  <c r="B4" i="3" a="1"/>
  <c r="B4" i="3" s="1"/>
  <c r="A4" i="3" a="1"/>
  <c r="A4" i="3" s="1"/>
  <c r="A4" i="1" a="1"/>
  <c r="A4" i="1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<sst xmlns="http://schemas.openxmlformats.org/spreadsheetml/2006/main" count="739" uniqueCount="265">
  <si>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</si>
  <si>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</si>
  <si>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</si>
  <si>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</si>
  <si>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</si>
  <si>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</si>
  <si>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</si>
  <si>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</si>
  <si>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</si>
  <si>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</si>
  <si>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</si>
  <si>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</si>
  <si>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</si>
  <si>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</si>
  <si>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</si>
  <si>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</si>
  <si>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</si>
  <si>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</si>
  <si>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</si>
  <si>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</si>
  <si>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</si>
  <si>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</si>
  <si>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</si>
  <si>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</si>
  <si>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</si>
  <si>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</si>
  <si>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</si>
  <si>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</si>
  <si>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</si>
  <si>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</si>
  <si>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</si>
  <si>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</si>
  <si>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</si>
  <si>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</si>
  <si>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</si>
  <si>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 xml:space="preserve">1. The Ambient Temperature sensor was not communicating </t>
  </si>
  <si>
    <t>1.SR091735</t>
  </si>
  <si>
    <t>1.Site stopped communicating from 01/28, communication card was need to be replaced and dispatch was scheduled  for February.</t>
  </si>
  <si>
    <t>1.SR096085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</si>
  <si>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</si>
  <si>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</si>
  <si>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</si>
  <si>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</si>
  <si>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</si>
  <si>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</si>
  <si>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</si>
  <si>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</si>
  <si>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</si>
  <si>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</si>
  <si>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1.Inverter 1 was offline on 02/09 due to a loss of main fault and self-resolved at 2:30 PM on 02/10.</t>
  </si>
  <si>
    <t>1.SR096618</t>
  </si>
  <si>
    <t xml:space="preserve">1. Inverter 1's String 4 RSD was sent for RMA on 12/12/24. On 02/10/25, the technician installed a new RSD and inserted the fuse for String 5. The inverter came back online and is producing as expected
</t>
  </si>
  <si>
    <t xml:space="preserve">1.SR090252
</t>
  </si>
  <si>
    <t>1.Inverter 4 is underperforming by 5kW since 02/16, down 1 string. Dispatch has been scheduled for next PM on 10/10/25.</t>
  </si>
  <si>
    <t>1.SR097581</t>
  </si>
  <si>
    <t>1. The Ambient Temperature sensor was not communicating .
2.The site lost communication at 7:30 AM on 02/02 and regained at 9:45 AM on 02/06.</t>
  </si>
  <si>
    <t>1.SR091735
2.SR096229</t>
  </si>
  <si>
    <t>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</si>
  <si>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</si>
  <si>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</si>
  <si>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SR097627</t>
  </si>
  <si>
    <t>1.Site stopped communicating from 01/28 and back online at 03:30PM on 02/07 .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</si>
  <si>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</si>
  <si>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</si>
  <si>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</si>
  <si>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</si>
  <si>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</si>
  <si>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</si>
  <si>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</si>
  <si>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</si>
  <si>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</si>
  <si>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</si>
  <si>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</si>
  <si>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</si>
  <si>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</si>
  <si>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</si>
  <si>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</si>
  <si>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</si>
  <si>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</si>
  <si>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</si>
  <si>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</si>
  <si>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</si>
  <si>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</si>
  <si>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</si>
  <si>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</si>
  <si>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</si>
  <si>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</si>
  <si>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</si>
  <si>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</si>
  <si>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</si>
  <si>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</si>
  <si>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</si>
  <si>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</si>
  <si>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</si>
  <si>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</si>
  <si>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</si>
  <si>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</si>
  <si>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</si>
  <si>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</si>
  <si>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</si>
  <si>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</si>
  <si>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</si>
  <si>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</si>
  <si>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</si>
  <si>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</si>
  <si>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</si>
  <si>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</si>
  <si>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</si>
  <si>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</si>
  <si>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</si>
  <si>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</si>
  <si>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</si>
  <si>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</si>
  <si>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</si>
  <si>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</si>
  <si>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</si>
  <si>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</si>
  <si>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</si>
  <si>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</si>
  <si>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</si>
  <si>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</si>
  <si>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</si>
  <si>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</si>
  <si>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</si>
  <si>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</si>
  <si>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</si>
  <si>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</si>
  <si>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</si>
  <si>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</si>
  <si>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</si>
  <si>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</si>
  <si>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</si>
  <si>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</si>
  <si>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</si>
  <si>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</si>
  <si>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</si>
  <si>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</si>
  <si>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</si>
  <si>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</si>
  <si>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</si>
  <si>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</si>
  <si>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</si>
  <si>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</si>
  <si>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</si>
  <si>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</si>
  <si>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</si>
  <si>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</si>
  <si>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</si>
  <si>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</si>
  <si>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</si>
  <si>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</si>
  <si>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</si>
  <si>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</si>
  <si>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</si>
  <si>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</si>
  <si>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</si>
  <si>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</si>
  <si>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</si>
  <si>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</si>
  <si>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</si>
  <si>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</si>
  <si>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</si>
  <si>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</si>
  <si>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</si>
  <si>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</si>
  <si>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</si>
  <si>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</si>
  <si>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</si>
  <si>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</si>
  <si>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</si>
  <si>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</si>
  <si>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</si>
  <si>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</si>
  <si>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</si>
  <si>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</si>
  <si>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</si>
  <si>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</si>
  <si>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</si>
  <si>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</si>
  <si>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</si>
  <si>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</si>
  <si>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</si>
  <si>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</si>
  <si>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</si>
  <si>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</si>
  <si>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</si>
  <si>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</si>
  <si>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</si>
  <si>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</si>
  <si>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</si>
  <si>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</si>
  <si>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</si>
  <si>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</si>
  <si>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</si>
  <si>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</si>
  <si>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</si>
  <si>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</si>
  <si>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</si>
  <si>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</si>
  <si>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</si>
  <si>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</si>
  <si>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</si>
  <si>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</si>
  <si>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</si>
  <si>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</si>
  <si>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</si>
  <si>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</si>
  <si>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</si>
  <si>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</si>
  <si>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</si>
  <si>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</si>
  <si>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</si>
  <si>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</si>
  <si>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</si>
  <si>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</si>
  <si>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</si>
  <si>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</si>
  <si>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</si>
  <si>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</si>
  <si>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</si>
  <si>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</si>
  <si>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</si>
  <si>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</si>
  <si>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</si>
  <si>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</si>
  <si>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</si>
  <si>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</si>
  <si>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</si>
  <si>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</si>
  <si>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</si>
  <si>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</si>
  <si>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</si>
  <si>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</si>
  <si>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</si>
  <si>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</si>
  <si>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</si>
  <si>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</si>
  <si>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</si>
  <si>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</si>
  <si>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</si>
  <si>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</si>
  <si>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</si>
  <si>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</si>
  <si>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</si>
  <si>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</si>
  <si>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</si>
  <si>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</si>
  <si>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</si>
  <si>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</si>
  <si>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</si>
  <si>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BE 101497 - N Black Canyon Hwy, Phoenix - North</t>
  </si>
  <si>
    <t>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</si>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</sst>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  <font>
      <sz val="1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8"/>
      <name val="Arial"/>
    </font>
    <font>
      <sz val="10"/>
      <color rgb="FFFF0000"/>
      <name val="Arial"/>
    </font>
    <font>
      <u/>
      <sz val="10"/>
      <color theme="10"/>
      <name val="Arial"/>
    </font>
    <font>
      <sz val="11"/>
      <color rgb="FF000000"/>
      <name val="Calibri"/>
      <charset val="1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0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164" fontId="27" fillId="48" borderId="0" xfId="1" applyNumberFormat="1" applyFont="1" applyFill="1" applyBorder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164" fontId="27" fillId="0" borderId="0" xfId="1" applyNumberFormat="1" applyFont="1" applyAlignment="1">
      <alignment horizontal="center" vertical="center"/>
    </xf>
    <xf numFmtId="3" fontId="29" fillId="0" borderId="0" xfId="1" applyNumberFormat="1" applyFont="1" applyAlignment="1">
      <alignment vertical="center"/>
    </xf>
    <xf numFmtId="3" fontId="29" fillId="4" borderId="0" xfId="1" applyNumberFormat="1" applyFont="1" applyFill="1" applyAlignment="1">
      <alignment vertical="center"/>
    </xf>
    <xf numFmtId="9" fontId="29" fillId="37" borderId="0" xfId="2" applyFont="1" applyFill="1" applyAlignment="1">
      <alignment horizontal="center" vertical="center"/>
    </xf>
    <xf numFmtId="9" fontId="29" fillId="0" borderId="0" xfId="2" applyFont="1" applyAlignment="1">
      <alignment horizontal="center" vertical="center"/>
    </xf>
    <xf numFmtId="0" fontId="41" fillId="0" borderId="0" xfId="0" applyFont="1"/>
    <xf numFmtId="49" fontId="42" fillId="38" borderId="0" xfId="47" applyNumberFormat="1" applyFill="1" applyBorder="1" applyAlignment="1">
      <alignment vertical="top" wrapText="1"/>
    </xf>
    <xf numFmtId="0" fontId="42" fillId="0" borderId="0" xfId="47"/>
    <xf numFmtId="49" fontId="42" fillId="0" borderId="0" xfId="47" applyNumberFormat="1" applyAlignment="1">
      <alignment vertical="top" wrapText="1"/>
    </xf>
    <xf numFmtId="49" fontId="42" fillId="0" borderId="0" xfId="47" applyNumberForma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49" fontId="42" fillId="38" borderId="0" xfId="47" applyNumberFormat="1" applyFill="1" applyAlignment="1">
      <alignment horizontal="left" vertical="top" wrapText="1"/>
    </xf>
    <xf numFmtId="49" fontId="42" fillId="0" borderId="0" xfId="47" applyNumberFormat="1" applyAlignment="1">
      <alignment horizontal="left" vertical="center" wrapText="1"/>
    </xf>
    <xf numFmtId="0" fontId="43" fillId="0" borderId="0" xfId="0" applyFont="1"/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3" totalsRowShown="0">
  <autoFilter ref="A3:E83" xr:uid="{C9C95D9E-67ED-41E0-9F41-9C3DA4ACF4CD}"/>
  <sortState xmlns:xlrd2="http://schemas.microsoft.com/office/spreadsheetml/2017/richdata2" ref="A4:E55">
    <sortCondition ref="C3:C55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6085" TargetMode="External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1735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us3.assetplanner.com/service_request?ID=077700" TargetMode="External"/><Relationship Id="rId9" Type="http://schemas.openxmlformats.org/officeDocument/2006/relationships/hyperlink" Target="https://us3.assetplanner.com/service_request?ID=09485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0252" TargetMode="External"/><Relationship Id="rId13" Type="http://schemas.openxmlformats.org/officeDocument/2006/relationships/hyperlink" Target="https://us3.assetplanner.com/service_request?ID=091107" TargetMode="External"/><Relationship Id="rId18" Type="http://schemas.openxmlformats.org/officeDocument/2006/relationships/hyperlink" Target="https://us3.assetplanner.com/service_request?ID=096533" TargetMode="External"/><Relationship Id="rId3" Type="http://schemas.openxmlformats.org/officeDocument/2006/relationships/hyperlink" Target="https://us3.assetplanner.com/service_request?ID=097801" TargetMode="External"/><Relationship Id="rId7" Type="http://schemas.openxmlformats.org/officeDocument/2006/relationships/hyperlink" Target="https://us3.assetplanner.com/service_request?ID=096618" TargetMode="External"/><Relationship Id="rId12" Type="http://schemas.openxmlformats.org/officeDocument/2006/relationships/hyperlink" Target="https://us3.assetplanner.com/service_request?ID=096229" TargetMode="External"/><Relationship Id="rId17" Type="http://schemas.openxmlformats.org/officeDocument/2006/relationships/hyperlink" Target="https://us3.assetplanner.com/service_request?ID=096213" TargetMode="External"/><Relationship Id="rId2" Type="http://schemas.openxmlformats.org/officeDocument/2006/relationships/hyperlink" Target="https://us3.assetplanner.com/service_request?ID=088261" TargetMode="External"/><Relationship Id="rId16" Type="http://schemas.openxmlformats.org/officeDocument/2006/relationships/hyperlink" Target="https://us3.assetplanner.com/service_request?ID=097838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700" TargetMode="External"/><Relationship Id="rId11" Type="http://schemas.openxmlformats.org/officeDocument/2006/relationships/hyperlink" Target="https://us3.assetplanner.com/service_request?ID=091735" TargetMode="External"/><Relationship Id="rId5" Type="http://schemas.openxmlformats.org/officeDocument/2006/relationships/hyperlink" Target="https://us3.assetplanner.com/service_request?ID=088667" TargetMode="External"/><Relationship Id="rId15" Type="http://schemas.openxmlformats.org/officeDocument/2006/relationships/hyperlink" Target="https://us3.assetplanner.com/service_request?ID=096085" TargetMode="External"/><Relationship Id="rId10" Type="http://schemas.openxmlformats.org/officeDocument/2006/relationships/hyperlink" Target="https://us3.assetplanner.com/service_request?ID=077660" TargetMode="External"/><Relationship Id="rId4" Type="http://schemas.openxmlformats.org/officeDocument/2006/relationships/hyperlink" Target="https://us3.assetplanner.com/service_request?ID=097144" TargetMode="External"/><Relationship Id="rId9" Type="http://schemas.openxmlformats.org/officeDocument/2006/relationships/hyperlink" Target="https://us3.assetplanner.com/service_request?ID=090252" TargetMode="External"/><Relationship Id="rId14" Type="http://schemas.openxmlformats.org/officeDocument/2006/relationships/hyperlink" Target="https://us3.assetplanner.com/service_request?ID=09762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C4" activePane="bottomRight" state="frozen"/>
      <selection pane="bottomRight" activeCell="H11" sqref="H11"/>
      <selection pane="bottomLeft"/>
      <selection pane="topRight"/>
    </sheetView>
  </sheetViews>
  <sheetFormatPr defaultRowHeight="13.15"/>
  <cols>
    <col min="1" max="1" width="35.85546875" bestFit="1" customWidth="1"/>
    <col min="2" max="2" width="11.85546875" customWidth="1"/>
    <col min="3" max="4" width="13.140625" customWidth="1"/>
    <col min="5" max="5" width="13.140625" style="1" customWidth="1"/>
    <col min="6" max="7" width="13.140625" customWidth="1"/>
    <col min="8" max="8" width="13.140625" style="1" customWidth="1"/>
  </cols>
  <sheetData>
    <row r="1" spans="1:8" ht="19.5" customHeight="1">
      <c r="A1" s="88" t="str" cm="1">
        <f t="array" ref="A1">portfolio</f>
        <v>Wells Fargo</v>
      </c>
      <c r="B1" s="88"/>
      <c r="C1" s="89" t="s">
        <v>0</v>
      </c>
      <c r="D1" s="89"/>
      <c r="E1" s="89"/>
      <c r="F1" s="87" t="s">
        <v>1</v>
      </c>
      <c r="G1" s="87"/>
      <c r="H1" s="87"/>
    </row>
    <row r="2" spans="1:8" ht="19.5" customHeight="1">
      <c r="A2" s="41" t="s">
        <v>2</v>
      </c>
      <c r="B2" s="4">
        <f ca="1">SUM(B4:B94)</f>
        <v>2546638.6966887494</v>
      </c>
      <c r="C2" s="4">
        <f ca="1">SUM(C4:C94)</f>
        <v>2643015.5766000003</v>
      </c>
      <c r="D2" s="4">
        <f ca="1">B2-C2</f>
        <v>-96376.8799112509</v>
      </c>
      <c r="E2" s="5">
        <f ca="1">IFERROR(D2/C2, 0)</f>
        <v>-3.6464741549208354E-2</v>
      </c>
      <c r="F2" s="4">
        <f ca="1">SUM(F4:F94)</f>
        <v>2814467.463</v>
      </c>
      <c r="G2" s="6">
        <f ca="1">B2-F2</f>
        <v>-267828.76631125063</v>
      </c>
      <c r="H2" s="5">
        <f ca="1">IFERROR(G2/F2, 0)</f>
        <v>-9.5161436339991051E-2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180773.16960760928</v>
      </c>
      <c r="C4" s="11">
        <f ca="1">SUM('1st Qtr'!C4, '2nd Qtr'!C4, '3rd Qtr'!C4, '4th Qtr'!C4)</f>
        <v>182239.16800000001</v>
      </c>
      <c r="D4" s="11">
        <f ca="1">IF(AND(ISNUMBER($B4),ISNUMBER(C4)), $B4-C4, "")</f>
        <v>-1465.9983923907275</v>
      </c>
      <c r="E4" s="12">
        <f ca="1">IFERROR(D4/C4, "")</f>
        <v>-8.0443650422653782E-3</v>
      </c>
      <c r="F4" s="13">
        <f ca="1">SUM('1st Qtr'!F4, '2nd Qtr'!F4, '3rd Qtr'!F4, '4th Qtr'!F4)</f>
        <v>187305.60599999997</v>
      </c>
      <c r="G4" s="13">
        <f ca="1">IF(AND(ISNUMBER($B4),ISNUMBER(F4)), $B4-F4, "")</f>
        <v>-6532.4363923906931</v>
      </c>
      <c r="H4" s="14">
        <f ca="1">IFERROR(G4/F4, "")</f>
        <v>-3.4875818892418489E-2</v>
      </c>
    </row>
    <row r="5" spans="1:8" ht="15.6">
      <c r="A5" s="27" t="str">
        <v>CO</v>
      </c>
      <c r="B5" s="10">
        <f ca="1">SUM('1st Qtr'!B5, '2nd Qtr'!B5, '3rd Qtr'!B5, '4th Qtr'!B5)</f>
        <v>29352.010387352697</v>
      </c>
      <c r="C5" s="15">
        <f ca="1">SUM('1st Qtr'!C5, '2nd Qtr'!C5, '3rd Qtr'!C5, '4th Qtr'!C5)</f>
        <v>0</v>
      </c>
      <c r="D5" s="15">
        <f ca="1">IF(AND(ISNUMBER($B5),ISNUMBER(C5)), $B5-C5, "")</f>
        <v>29352.010387352697</v>
      </c>
      <c r="E5" s="16" t="str">
        <f ca="1">IFERROR(D5/C5, "")</f>
        <v/>
      </c>
      <c r="F5" s="17">
        <f ca="1">SUM('1st Qtr'!F5, '2nd Qtr'!F5, '3rd Qtr'!F5, '4th Qtr'!F5)</f>
        <v>29067.13</v>
      </c>
      <c r="G5" s="17">
        <f ca="1">IF(AND(ISNUMBER($B5),ISNUMBER(F5)), $B5-F5, "")</f>
        <v>284.88038735269583</v>
      </c>
      <c r="H5" s="16">
        <f ca="1">IFERROR(G5/F5, "")</f>
        <v>9.800774529604258E-3</v>
      </c>
    </row>
    <row r="6" spans="1:8" ht="15.6">
      <c r="A6" s="25" t="str">
        <v>CT</v>
      </c>
      <c r="B6" s="21">
        <f ca="1">SUM('1st Qtr'!B6, '2nd Qtr'!B6, '3rd Qtr'!B6, '4th Qtr'!B6)</f>
        <v>582.48287514907452</v>
      </c>
      <c r="C6" s="11">
        <f ca="1">SUM('1st Qtr'!C6, '2nd Qtr'!C6, '3rd Qtr'!C6, '4th Qtr'!C6)</f>
        <v>3409.6585</v>
      </c>
      <c r="D6" s="11">
        <f t="shared" ref="D6:D11" ca="1" si="0">IF(AND(ISNUMBER($B6),ISNUMBER(C6)), $B6-C6, "")</f>
        <v>-2827.1756248509255</v>
      </c>
      <c r="E6" s="12">
        <f t="shared" ref="E6:E11" ca="1" si="1">IFERROR(D6/C6, "")</f>
        <v>-0.82916679921198133</v>
      </c>
      <c r="F6" s="13">
        <f ca="1">SUM('1st Qtr'!F6, '2nd Qtr'!F6, '3rd Qtr'!F6, '4th Qtr'!F6)</f>
        <v>1568.1341</v>
      </c>
      <c r="G6" s="13">
        <f t="shared" ref="G6:G11" ca="1" si="2">IF(AND(ISNUMBER($B6),ISNUMBER(F6)), $B6-F6, "")</f>
        <v>-985.65122485092547</v>
      </c>
      <c r="H6" s="14">
        <f t="shared" ref="H6:H11" ca="1" si="3">IFERROR(G6/F6, "")</f>
        <v>-0.62855034199621418</v>
      </c>
    </row>
    <row r="7" spans="1:8" ht="15.6">
      <c r="A7" s="27" t="str">
        <v>FL</v>
      </c>
      <c r="B7" s="10">
        <f ca="1">SUM('1st Qtr'!B7, '2nd Qtr'!B7, '3rd Qtr'!B7, '4th Qtr'!B7)</f>
        <v>4940.0093045234598</v>
      </c>
      <c r="C7" s="15">
        <f ca="1">SUM('1st Qtr'!C7, '2nd Qtr'!C7, '3rd Qtr'!C7, '4th Qtr'!C7)</f>
        <v>5930.473</v>
      </c>
      <c r="D7" s="15">
        <f t="shared" ca="1" si="0"/>
        <v>-990.46369547654012</v>
      </c>
      <c r="E7" s="16">
        <f t="shared" ca="1" si="1"/>
        <v>-0.16701259671472074</v>
      </c>
      <c r="F7" s="17">
        <f ca="1">SUM('1st Qtr'!F7, '2nd Qtr'!F7, '3rd Qtr'!F7, '4th Qtr'!F7)</f>
        <v>7155</v>
      </c>
      <c r="G7" s="17">
        <f t="shared" ca="1" si="2"/>
        <v>-2214.9906954765402</v>
      </c>
      <c r="H7" s="16">
        <f t="shared" ca="1" si="3"/>
        <v>-0.3095724242454983</v>
      </c>
    </row>
    <row r="8" spans="1:8" ht="15.6">
      <c r="A8" s="25" t="str">
        <v>IA</v>
      </c>
      <c r="B8" s="21">
        <f ca="1">SUM('1st Qtr'!B8, '2nd Qtr'!B8, '3rd Qtr'!B8, '4th Qtr'!B8)</f>
        <v>346711</v>
      </c>
      <c r="C8" s="11">
        <f ca="1">SUM('1st Qtr'!C8, '2nd Qtr'!C8, '3rd Qtr'!C8, '4th Qtr'!C8)</f>
        <v>414493.15</v>
      </c>
      <c r="D8" s="11">
        <f t="shared" ca="1" si="0"/>
        <v>-67782.150000000023</v>
      </c>
      <c r="E8" s="12">
        <f t="shared" ca="1" si="1"/>
        <v>-0.16353020550520561</v>
      </c>
      <c r="F8" s="13">
        <f ca="1">SUM('1st Qtr'!F8, '2nd Qtr'!F8, '3rd Qtr'!F8, '4th Qtr'!F8)</f>
        <v>346475.96</v>
      </c>
      <c r="G8" s="13">
        <f t="shared" ca="1" si="2"/>
        <v>235.03999999997905</v>
      </c>
      <c r="H8" s="14">
        <f t="shared" ca="1" si="3"/>
        <v>6.7837318352470695E-4</v>
      </c>
    </row>
    <row r="9" spans="1:8" ht="15.6">
      <c r="A9" s="27" t="str">
        <v>NC</v>
      </c>
      <c r="B9" s="10">
        <f ca="1">SUM('1st Qtr'!B9, '2nd Qtr'!B9, '3rd Qtr'!B9, '4th Qtr'!B9)</f>
        <v>463797</v>
      </c>
      <c r="C9" s="15">
        <f ca="1">SUM('1st Qtr'!C9, '2nd Qtr'!C9, '3rd Qtr'!C9, '4th Qtr'!C9)</f>
        <v>493575.45</v>
      </c>
      <c r="D9" s="15">
        <f t="shared" ca="1" si="0"/>
        <v>-29778.450000000012</v>
      </c>
      <c r="E9" s="16">
        <f t="shared" ca="1" si="1"/>
        <v>-6.0332113357745021E-2</v>
      </c>
      <c r="F9" s="17">
        <f ca="1">SUM('1st Qtr'!F9, '2nd Qtr'!F9, '3rd Qtr'!F9, '4th Qtr'!F9)</f>
        <v>481409.516</v>
      </c>
      <c r="G9" s="17">
        <f t="shared" ca="1" si="2"/>
        <v>-17612.516000000003</v>
      </c>
      <c r="H9" s="16">
        <f t="shared" ca="1" si="3"/>
        <v>-3.658530921104601E-2</v>
      </c>
    </row>
    <row r="10" spans="1:8" ht="15.6">
      <c r="A10" s="25" t="str">
        <v>NJ</v>
      </c>
      <c r="B10" s="21">
        <f ca="1">SUM('1st Qtr'!B10, '2nd Qtr'!B10, '3rd Qtr'!B10, '4th Qtr'!B10)</f>
        <v>88738.238843749947</v>
      </c>
      <c r="C10" s="11">
        <f ca="1">SUM('1st Qtr'!C10, '2nd Qtr'!C10, '3rd Qtr'!C10, '4th Qtr'!C10)</f>
        <v>98627.359100000001</v>
      </c>
      <c r="D10" s="11">
        <f t="shared" ca="1" si="0"/>
        <v>-9889.1202562500548</v>
      </c>
      <c r="E10" s="12">
        <f t="shared" ca="1" si="1"/>
        <v>-0.10026751548952358</v>
      </c>
      <c r="F10" s="13">
        <f ca="1">SUM('1st Qtr'!F10, '2nd Qtr'!F10, '3rd Qtr'!F10, '4th Qtr'!F10)</f>
        <v>92306.396900000007</v>
      </c>
      <c r="G10" s="13">
        <f t="shared" ca="1" si="2"/>
        <v>-3568.1580562500603</v>
      </c>
      <c r="H10" s="14">
        <f t="shared" ca="1" si="3"/>
        <v>-3.865558808579235E-2</v>
      </c>
    </row>
    <row r="11" spans="1:8" ht="15.6">
      <c r="A11" s="27" t="str">
        <v>TX</v>
      </c>
      <c r="B11" s="10">
        <f ca="1">SUM('1st Qtr'!B11, '2nd Qtr'!B11, '3rd Qtr'!B11, '4th Qtr'!B11)</f>
        <v>938044.17579200002</v>
      </c>
      <c r="C11" s="15">
        <f ca="1">SUM('1st Qtr'!C11, '2nd Qtr'!C11, '3rd Qtr'!C11, '4th Qtr'!C11)</f>
        <v>1047549.777</v>
      </c>
      <c r="D11" s="15">
        <f t="shared" ca="1" si="0"/>
        <v>-109505.60120799998</v>
      </c>
      <c r="E11" s="16">
        <f t="shared" ca="1" si="1"/>
        <v>-0.10453498593795221</v>
      </c>
      <c r="F11" s="17">
        <f ca="1">SUM('1st Qtr'!F11, '2nd Qtr'!F11, '3rd Qtr'!F11, '4th Qtr'!F11)</f>
        <v>1118245.7</v>
      </c>
      <c r="G11" s="17">
        <f t="shared" ca="1" si="2"/>
        <v>-180201.52420799993</v>
      </c>
      <c r="H11" s="16">
        <f t="shared" ca="1" si="3"/>
        <v>-0.16114662833758264</v>
      </c>
    </row>
    <row r="12" spans="1:8" ht="12.75" customHeight="1">
      <c r="A12" s="25" t="str">
        <v>AZ</v>
      </c>
      <c r="B12" s="57">
        <f ca="1">SUM('1st Qtr'!B12, '2nd Qtr'!B12, '3rd Qtr'!B12, '4th Qtr'!B12)</f>
        <v>493700.60987836483</v>
      </c>
      <c r="C12" s="11">
        <f ca="1">SUM('1st Qtr'!C12, '2nd Qtr'!C12, '3rd Qtr'!C12, '4th Qtr'!C12)</f>
        <v>397190.54099999997</v>
      </c>
      <c r="D12" s="11">
        <f t="shared" ref="D12" ca="1" si="4">IF(AND(ISNUMBER($B12),ISNUMBER(C12)), $B12-C12, "")</f>
        <v>96510.068878364866</v>
      </c>
      <c r="E12" s="59">
        <f t="shared" ref="E12" ca="1" si="5">IFERROR(D12/C12, "")</f>
        <v>0.24298179064230252</v>
      </c>
      <c r="F12" s="75">
        <f ca="1">SUM('1st Qtr'!F12, '2nd Qtr'!F12, '3rd Qtr'!F12, '4th Qtr'!F12)</f>
        <v>550934.02</v>
      </c>
      <c r="G12" s="75">
        <f t="shared" ref="G12" ca="1" si="6">IF(AND(ISNUMBER($B12),ISNUMBER(F12)), $B12-F12, "")</f>
        <v>-57233.410121635185</v>
      </c>
      <c r="H12" s="76">
        <f t="shared" ref="H12" ca="1" si="7">IFERROR(G12/F12, "")</f>
        <v>-0.10388432742206623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C4" activePane="bottomRight" state="frozen"/>
      <selection pane="bottomRight" activeCell="H16" sqref="H16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0" t="str" cm="1">
        <f t="array" ref="A1">portfolio</f>
        <v>Wells Fargo</v>
      </c>
      <c r="B1" s="91"/>
      <c r="C1" s="92" t="s">
        <v>9</v>
      </c>
      <c r="D1" s="93"/>
      <c r="E1" s="94"/>
      <c r="F1" s="95" t="s">
        <v>10</v>
      </c>
      <c r="G1" s="96"/>
      <c r="H1" s="97"/>
    </row>
    <row r="2" spans="1:8" ht="19.5" customHeight="1">
      <c r="A2" s="41" t="s">
        <v>2</v>
      </c>
      <c r="B2" s="4">
        <f ca="1">SUM(B4:B90)</f>
        <v>2546638.6966887494</v>
      </c>
      <c r="C2" s="4">
        <f ca="1">SUM(C4:C90)</f>
        <v>2643015.5766000003</v>
      </c>
      <c r="D2" s="4">
        <f ca="1">B2-C2</f>
        <v>-96376.8799112509</v>
      </c>
      <c r="E2" s="5">
        <f ca="1">IFERROR(D2/C2, 0)</f>
        <v>-3.6464741549208354E-2</v>
      </c>
      <c r="F2" s="4">
        <f ca="1">SUM(F4:F90)</f>
        <v>2814467.463</v>
      </c>
      <c r="G2" s="6">
        <f ca="1">B2-F2</f>
        <v>-267828.76631125063</v>
      </c>
      <c r="H2" s="5">
        <f ca="1">IFERROR(G2/F2, 0)</f>
        <v>-9.5161436339991051E-2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180773.16960760928</v>
      </c>
      <c r="C4" s="11">
        <f ca="1">SUM(SUMIF(_xlfn.ANCHORARRAY(Jan!$B$4), $A4, Jan!D$4:D$65), SUMIF(_xlfn.ANCHORARRAY(Feb!$B$4), $A4, Feb!D$4:D$76), SUMIF(_xlfn.ANCHORARRAY(Mar!$B$4), $A4, Mar!D$4:D$65))</f>
        <v>182239.16800000001</v>
      </c>
      <c r="D4" s="11">
        <f ca="1">IF(AND(ISNUMBER(B4),ISNUMBER(C4)), B4-C4, "")</f>
        <v>-1465.9983923907275</v>
      </c>
      <c r="E4" s="12">
        <f ca="1">IFERROR(D4/C4, "")</f>
        <v>-8.0443650422653782E-3</v>
      </c>
      <c r="F4" s="13">
        <f ca="1">SUM(SUMIF(_xlfn.ANCHORARRAY(Jan!$B$4), $A4, Jan!G$4:G$65), SUMIF(_xlfn.ANCHORARRAY(Feb!$B$4), $A4, Feb!G$4:G$76), SUMIF(_xlfn.ANCHORARRAY(Mar!$B$4), $A4, Mar!G$4:G$65))</f>
        <v>187305.60599999997</v>
      </c>
      <c r="G4" s="13">
        <f ca="1">IF(AND(ISNUMBER(B4),ISNUMBER(F4)), B4-F4, "")</f>
        <v>-6532.4363923906931</v>
      </c>
      <c r="H4" s="14">
        <f ca="1">IFERROR(G4/F4, "")</f>
        <v>-3.4875818892418489E-2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29352.010387352697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29352.010387352697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29067.13</v>
      </c>
      <c r="G5" s="15">
        <f ca="1">IF(AND(ISNUMBER(B5),ISNUMBER(F5)), B5-F5, "")</f>
        <v>284.88038735269583</v>
      </c>
      <c r="H5" s="16">
        <f ca="1">IFERROR(G5/F5, "")</f>
        <v>9.800774529604258E-3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582.48287514907452</v>
      </c>
      <c r="C6" s="11">
        <f ca="1">SUM(SUMIF(_xlfn.ANCHORARRAY(Jan!$B$4), $A6, Jan!D$4:D$65), SUMIF(_xlfn.ANCHORARRAY(Feb!$B$4), $A6, Feb!D$4:D$76), SUMIF(_xlfn.ANCHORARRAY(Mar!$B$4), $A6, Mar!D$4:D$65))</f>
        <v>3409.6585</v>
      </c>
      <c r="D6" s="11">
        <f t="shared" ca="1" si="0"/>
        <v>-2827.1756248509255</v>
      </c>
      <c r="E6" s="12">
        <f t="shared" ref="E6:E12" ca="1" si="1">IFERROR(D6/C6, "")</f>
        <v>-0.82916679921198133</v>
      </c>
      <c r="F6" s="13">
        <f ca="1">SUM(SUMIF(_xlfn.ANCHORARRAY(Jan!$B$4), $A6, Jan!G$4:G$65), SUMIF(_xlfn.ANCHORARRAY(Feb!$B$4), $A6, Feb!G$4:G$76), SUMIF(_xlfn.ANCHORARRAY(Mar!$B$4), $A6, Mar!G$4:G$65))</f>
        <v>1568.1341</v>
      </c>
      <c r="G6" s="13">
        <f t="shared" ref="G6:G12" ca="1" si="2">IF(AND(ISNUMBER(B6),ISNUMBER(F6)), B6-F6, "")</f>
        <v>-985.65122485092547</v>
      </c>
      <c r="H6" s="14">
        <f t="shared" ref="H6:H12" ca="1" si="3">IFERROR(G6/F6, "")</f>
        <v>-0.62855034199621418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4940.0093045234598</v>
      </c>
      <c r="C7" s="15">
        <f ca="1">SUM(SUMIF(_xlfn.ANCHORARRAY(Jan!$B$4), $A7, Jan!D$4:D$65), SUMIF(_xlfn.ANCHORARRAY(Feb!$B$4), $A7, Feb!D$4:D$76), SUMIF(_xlfn.ANCHORARRAY(Mar!$B$4), $A7, Mar!D$4:D$65))</f>
        <v>5930.473</v>
      </c>
      <c r="D7" s="15">
        <f t="shared" ref="D7:D12" ca="1" si="4">IF(AND(ISNUMBER(B7),ISNUMBER(C7)), B7-C7, "")</f>
        <v>-990.46369547654012</v>
      </c>
      <c r="E7" s="16">
        <f t="shared" ca="1" si="1"/>
        <v>-0.16701259671472074</v>
      </c>
      <c r="F7" s="15">
        <f ca="1">SUM(SUMIF(_xlfn.ANCHORARRAY(Jan!$B$4), $A7, Jan!G$4:G$65), SUMIF(_xlfn.ANCHORARRAY(Feb!$B$4), $A7, Feb!G$4:G$76), SUMIF(_xlfn.ANCHORARRAY(Mar!$B$4), $A7, Mar!G$4:G$65))</f>
        <v>7155</v>
      </c>
      <c r="G7" s="15">
        <f t="shared" ca="1" si="2"/>
        <v>-2214.9906954765402</v>
      </c>
      <c r="H7" s="16">
        <f t="shared" ca="1" si="3"/>
        <v>-0.3095724242454983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346711</v>
      </c>
      <c r="C8" s="11">
        <f ca="1">SUM(SUMIF(_xlfn.ANCHORARRAY(Jan!$B$4), $A8, Jan!D$4:D$65), SUMIF(_xlfn.ANCHORARRAY(Feb!$B$4), $A8, Feb!D$4:D$76), SUMIF(_xlfn.ANCHORARRAY(Mar!$B$4), $A8, Mar!D$4:D$65))</f>
        <v>414493.15</v>
      </c>
      <c r="D8" s="11">
        <f t="shared" ca="1" si="4"/>
        <v>-67782.150000000023</v>
      </c>
      <c r="E8" s="12">
        <f t="shared" ca="1" si="1"/>
        <v>-0.16353020550520561</v>
      </c>
      <c r="F8" s="13">
        <f ca="1">SUM(SUMIF(_xlfn.ANCHORARRAY(Jan!$B$4), $A8, Jan!G$4:G$65), SUMIF(_xlfn.ANCHORARRAY(Feb!$B$4), $A8, Feb!G$4:G$76), SUMIF(_xlfn.ANCHORARRAY(Mar!$B$4), $A8, Mar!G$4:G$65))</f>
        <v>346475.96</v>
      </c>
      <c r="G8" s="13">
        <f t="shared" ca="1" si="2"/>
        <v>235.03999999997905</v>
      </c>
      <c r="H8" s="14">
        <f t="shared" ca="1" si="3"/>
        <v>6.7837318352470695E-4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463797</v>
      </c>
      <c r="C9" s="15">
        <f ca="1">SUM(SUMIF(_xlfn.ANCHORARRAY(Jan!$B$4), $A9, Jan!D$4:D$65), SUMIF(_xlfn.ANCHORARRAY(Feb!$B$4), $A9, Feb!D$4:D$76), SUMIF(_xlfn.ANCHORARRAY(Mar!$B$4), $A9, Mar!D$4:D$65))</f>
        <v>493575.45</v>
      </c>
      <c r="D9" s="15">
        <f t="shared" ca="1" si="4"/>
        <v>-29778.450000000012</v>
      </c>
      <c r="E9" s="16">
        <f t="shared" ca="1" si="1"/>
        <v>-6.0332113357745021E-2</v>
      </c>
      <c r="F9" s="15">
        <f ca="1">SUM(SUMIF(_xlfn.ANCHORARRAY(Jan!$B$4), $A9, Jan!G$4:G$65), SUMIF(_xlfn.ANCHORARRAY(Feb!$B$4), $A9, Feb!G$4:G$76), SUMIF(_xlfn.ANCHORARRAY(Mar!$B$4), $A9, Mar!G$4:G$65))</f>
        <v>481409.516</v>
      </c>
      <c r="G9" s="15">
        <f t="shared" ca="1" si="2"/>
        <v>-17612.516000000003</v>
      </c>
      <c r="H9" s="16">
        <f t="shared" ca="1" si="3"/>
        <v>-3.658530921104601E-2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88738.238843749947</v>
      </c>
      <c r="C10" s="11">
        <f ca="1">SUM(SUMIF(_xlfn.ANCHORARRAY(Jan!$B$4), $A10, Jan!D$4:D$65), SUMIF(_xlfn.ANCHORARRAY(Feb!$B$4), $A10, Feb!D$4:D$76), SUMIF(_xlfn.ANCHORARRAY(Mar!$B$4), $A10, Mar!D$4:D$65))</f>
        <v>98627.359100000001</v>
      </c>
      <c r="D10" s="11">
        <f t="shared" ca="1" si="4"/>
        <v>-9889.1202562500548</v>
      </c>
      <c r="E10" s="12">
        <f t="shared" ca="1" si="1"/>
        <v>-0.10026751548952358</v>
      </c>
      <c r="F10" s="13">
        <f ca="1">SUM(SUMIF(_xlfn.ANCHORARRAY(Jan!$B$4), $A10, Jan!G$4:G$65), SUMIF(_xlfn.ANCHORARRAY(Feb!$B$4), $A10, Feb!G$4:G$76), SUMIF(_xlfn.ANCHORARRAY(Mar!$B$4), $A10, Mar!G$4:G$65))</f>
        <v>92306.396900000007</v>
      </c>
      <c r="G10" s="13">
        <f t="shared" ca="1" si="2"/>
        <v>-3568.1580562500603</v>
      </c>
      <c r="H10" s="14">
        <f t="shared" ca="1" si="3"/>
        <v>-3.865558808579235E-2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938044.17579200002</v>
      </c>
      <c r="C11" s="15">
        <f ca="1">SUM(SUMIF(_xlfn.ANCHORARRAY(Jan!$B$4), $A11, Jan!D$4:D$65), SUMIF(_xlfn.ANCHORARRAY(Feb!$B$4), $A11, Feb!D$4:D$76), SUMIF(_xlfn.ANCHORARRAY(Mar!$B$4), $A11, Mar!D$4:D$65))</f>
        <v>1047549.777</v>
      </c>
      <c r="D11" s="15">
        <f t="shared" ca="1" si="4"/>
        <v>-109505.60120799998</v>
      </c>
      <c r="E11" s="16">
        <f t="shared" ca="1" si="1"/>
        <v>-0.10453498593795221</v>
      </c>
      <c r="F11" s="15">
        <f ca="1">SUM(SUMIF(_xlfn.ANCHORARRAY(Jan!$B$4), $A11, Jan!G$4:G$65), SUMIF(_xlfn.ANCHORARRAY(Feb!$B$4), $A11, Feb!G$4:G$76), SUMIF(_xlfn.ANCHORARRAY(Mar!$B$4), $A11, Mar!G$4:G$65))</f>
        <v>1118245.7</v>
      </c>
      <c r="G11" s="15">
        <f t="shared" ca="1" si="2"/>
        <v>-180201.52420799993</v>
      </c>
      <c r="H11" s="16">
        <f t="shared" ca="1" si="3"/>
        <v>-0.16114662833758264</v>
      </c>
    </row>
    <row r="12" spans="1:8" ht="1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493700.60987836483</v>
      </c>
      <c r="C12" s="11">
        <f ca="1">SUM(SUMIF(_xlfn.ANCHORARRAY(Jan!$B$4), $A12, Jan!D$4:D$65), SUMIF(_xlfn.ANCHORARRAY(Feb!$B$4), $A12, Feb!D$4:D$76), SUMIF(_xlfn.ANCHORARRAY(Mar!$B$4), $A12, Mar!D$4:D$65))</f>
        <v>397190.54099999997</v>
      </c>
      <c r="D12" s="11">
        <f t="shared" ca="1" si="4"/>
        <v>96510.068878364866</v>
      </c>
      <c r="E12" s="12">
        <f t="shared" ca="1" si="1"/>
        <v>0.24298179064230252</v>
      </c>
      <c r="F12" s="13">
        <f ca="1">SUM(SUMIF(_xlfn.ANCHORARRAY(Jan!$B$4), $A12, Jan!G$4:G$65), SUMIF(_xlfn.ANCHORARRAY(Feb!$B$4), $A12, Feb!G$4:G$76), SUMIF(_xlfn.ANCHORARRAY(Mar!$B$4), $A12, Mar!G$4:G$65))</f>
        <v>550934.02</v>
      </c>
      <c r="G12" s="13">
        <f t="shared" ca="1" si="2"/>
        <v>-57233.410121635185</v>
      </c>
      <c r="H12" s="14">
        <f t="shared" ca="1" si="3"/>
        <v>-0.10388432742206623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90" t="str" cm="1">
        <f t="array" ref="A1">portfolio</f>
        <v>Wells Fargo</v>
      </c>
      <c r="B1" s="91"/>
      <c r="C1" s="92" t="s">
        <v>12</v>
      </c>
      <c r="D1" s="93"/>
      <c r="E1" s="94"/>
      <c r="F1" s="95" t="s">
        <v>13</v>
      </c>
      <c r="G1" s="96"/>
      <c r="H1" s="97"/>
    </row>
    <row r="2" spans="1:8" ht="19.5" customHeight="1">
      <c r="A2" s="41" t="s">
        <v>2</v>
      </c>
      <c r="B2" s="4">
        <f ca="1">SUM(B4:B85)</f>
        <v>0</v>
      </c>
      <c r="C2" s="4">
        <f ca="1">SUM(C4:C85)</f>
        <v>0</v>
      </c>
      <c r="D2" s="4">
        <f ca="1">B2-C2</f>
        <v>0</v>
      </c>
      <c r="E2" s="5">
        <f ca="1">IFERROR(D2/C2, 0)</f>
        <v>0</v>
      </c>
      <c r="F2" s="4">
        <f ca="1">SUM(F4:F85)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0</v>
      </c>
      <c r="C4" s="11">
        <f ca="1">SUM(SUMIF(_xlfn.ANCHORARRAY(Apr!$B$4), $A4, Apr!D$4:D$78), SUMIF(_xlfn.ANCHORARRAY(May!$B$4), $A4, May!D$4:D$65), SUMIF(_xlfn.ANCHORARRAY(Jun!$B$4), $A4, Jun!D$4:D$65))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SUM(SUMIF(_xlfn.ANCHORARRAY(Apr!$B$4), $A4, Apr!G$4:G$78), SUMIF(_xlfn.ANCHORARRAY(May!$B$4), $A4, May!G$4:G$65), SUMIF(_xlfn.ANCHORARRAY(Jun!$B$4), $A4, Jun!G$4:G$65))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0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0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0</v>
      </c>
      <c r="C6" s="11">
        <f ca="1">SUM(SUMIF(_xlfn.ANCHORARRAY(Apr!$B$4), $A6, Apr!D$4:D$78), SUMIF(_xlfn.ANCHORARRAY(May!$B$4), $A6, May!D$4:D$65), SUMIF(_xlfn.ANCHORARRAY(Jun!$B$4), $A6, Jun!D$4:D$65))</f>
        <v>0</v>
      </c>
      <c r="D6" s="11">
        <f t="shared" ca="1" si="0"/>
        <v>0</v>
      </c>
      <c r="E6" s="12" t="str">
        <f t="shared" ref="E6:E12" ca="1" si="1">IFERROR(D6/C6, "")</f>
        <v/>
      </c>
      <c r="F6" s="13">
        <f ca="1">SUM(SUMIF(_xlfn.ANCHORARRAY(Apr!$B$4), $A6, Apr!G$4:G$78), SUMIF(_xlfn.ANCHORARRAY(May!$B$4), $A6, May!G$4:G$65), SUMIF(_xlfn.ANCHORARRAY(Jun!$B$4), $A6, Jun!G$4:G$65))</f>
        <v>0</v>
      </c>
      <c r="G6" s="13">
        <f t="shared" ref="G6:G12" ca="1" si="2">IF(AND(ISNUMBER(B6),ISNUMBER(F6)), B6-F6, "")</f>
        <v>0</v>
      </c>
      <c r="H6" s="14" t="str">
        <f t="shared" ref="H6:H12" ca="1" si="3">IFERROR(G6/F6, "")</f>
        <v/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0</v>
      </c>
      <c r="C7" s="15">
        <f ca="1">SUM(SUMIF(_xlfn.ANCHORARRAY(Apr!$B$4), $A7, Apr!D$4:D$78), SUMIF(_xlfn.ANCHORARRAY(May!$B$4), $A7, May!D$4:D$65), SUMIF(_xlfn.ANCHORARRAY(Jun!$B$4), $A7, Jun!D$4:D$65))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SUM(SUMIF(_xlfn.ANCHORARRAY(Apr!$B$4), $A7, Apr!G$4:G$78), SUMIF(_xlfn.ANCHORARRAY(May!$B$4), $A7, May!G$4:G$65), SUMIF(_xlfn.ANCHORARRAY(Jun!$B$4), $A7, Jun!G$4:G$65))</f>
        <v>0</v>
      </c>
      <c r="G7" s="15">
        <f t="shared" ca="1" si="2"/>
        <v>0</v>
      </c>
      <c r="H7" s="16" t="str">
        <f t="shared" ca="1" si="3"/>
        <v/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0</v>
      </c>
      <c r="C8" s="11">
        <f ca="1">SUM(SUMIF(_xlfn.ANCHORARRAY(Apr!$B$4), $A8, Apr!D$4:D$78), SUMIF(_xlfn.ANCHORARRAY(May!$B$4), $A8, May!D$4:D$65), SUMIF(_xlfn.ANCHORARRAY(Jun!$B$4), $A8, Jun!D$4:D$65))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SUM(SUMIF(_xlfn.ANCHORARRAY(Apr!$B$4), $A8, Apr!G$4:G$78), SUMIF(_xlfn.ANCHORARRAY(May!$B$4), $A8, May!G$4:G$65), SUMIF(_xlfn.ANCHORARRAY(Jun!$B$4), $A8, Jun!G$4:G$65))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0</v>
      </c>
      <c r="C9" s="15">
        <f ca="1">SUM(SUMIF(_xlfn.ANCHORARRAY(Apr!$B$4), $A9, Apr!D$4:D$78), SUMIF(_xlfn.ANCHORARRAY(May!$B$4), $A9, May!D$4:D$65), SUMIF(_xlfn.ANCHORARRAY(Jun!$B$4), $A9, Jun!D$4:D$65))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SUM(SUMIF(_xlfn.ANCHORARRAY(Apr!$B$4), $A9, Apr!G$4:G$78), SUMIF(_xlfn.ANCHORARRAY(May!$B$4), $A9, May!G$4:G$65), SUMIF(_xlfn.ANCHORARRAY(Jun!$B$4), $A9, Jun!G$4:G$65))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0</v>
      </c>
      <c r="C10" s="11">
        <f ca="1">SUM(SUMIF(_xlfn.ANCHORARRAY(Apr!$B$4), $A10, Apr!D$4:D$78), SUMIF(_xlfn.ANCHORARRAY(May!$B$4), $A10, May!D$4:D$65), SUMIF(_xlfn.ANCHORARRAY(Jun!$B$4), $A10, Jun!D$4:D$65))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SUM(SUMIF(_xlfn.ANCHORARRAY(Apr!$B$4), $A10, Apr!G$4:G$78), SUMIF(_xlfn.ANCHORARRAY(May!$B$4), $A10, May!G$4:G$65), SUMIF(_xlfn.ANCHORARRAY(Jun!$B$4), $A10, Jun!G$4:G$65))</f>
        <v>0</v>
      </c>
      <c r="G10" s="13">
        <f t="shared" ca="1" si="2"/>
        <v>0</v>
      </c>
      <c r="H10" s="14" t="str">
        <f t="shared" ca="1" si="3"/>
        <v/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0</v>
      </c>
      <c r="C11" s="15">
        <f ca="1">SUM(SUMIF(_xlfn.ANCHORARRAY(Apr!$B$4), $A11, Apr!D$4:D$78), SUMIF(_xlfn.ANCHORARRAY(May!$B$4), $A11, May!D$4:D$65), SUMIF(_xlfn.ANCHORARRAY(Jun!$B$4), $A11, Jun!D$4:D$65))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SUM(SUMIF(_xlfn.ANCHORARRAY(Apr!$B$4), $A11, Apr!G$4:G$78), SUMIF(_xlfn.ANCHORARRAY(May!$B$4), $A11, May!G$4:G$65), SUMIF(_xlfn.ANCHORARRAY(Jun!$B$4), $A11, Jun!G$4:G$65))</f>
        <v>0</v>
      </c>
      <c r="G11" s="15">
        <f t="shared" ca="1" si="2"/>
        <v>0</v>
      </c>
      <c r="H11" s="16" t="str">
        <f t="shared" ca="1" si="3"/>
        <v/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0</v>
      </c>
      <c r="C12" s="11">
        <f ca="1">SUM(SUMIF(_xlfn.ANCHORARRAY(Apr!$B$4), $A12, Apr!D$4:D$78), SUMIF(_xlfn.ANCHORARRAY(May!$B$4), $A12, May!D$4:D$65), SUMIF(_xlfn.ANCHORARRAY(Jun!$B$4), $A12, Jun!D$4:D$65))</f>
        <v>0</v>
      </c>
      <c r="D12" s="11">
        <f t="shared" ca="1" si="0"/>
        <v>0</v>
      </c>
      <c r="E12" s="12" t="str">
        <f t="shared" ca="1" si="1"/>
        <v/>
      </c>
      <c r="F12" s="13">
        <f ca="1">SUM(SUMIF(_xlfn.ANCHORARRAY(Apr!$B$4), $A12, Apr!G$4:G$78), SUMIF(_xlfn.ANCHORARRAY(May!$B$4), $A12, May!G$4:G$65), SUMIF(_xlfn.ANCHORARRAY(Jun!$B$4), $A12, Jun!G$4:G$65))</f>
        <v>0</v>
      </c>
      <c r="G12" s="13">
        <f t="shared" ca="1" si="2"/>
        <v>0</v>
      </c>
      <c r="H12" s="14" t="str">
        <f t="shared" ca="1" si="3"/>
        <v/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conditionalFormatting sqref="F13:F95">
    <cfRule type="cellIs" dxfId="38" priority="3" stopIfTrue="1" operator="lessThanOrEqual">
      <formula>-0.1</formula>
    </cfRule>
    <cfRule type="expression" dxfId="37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D18" sqref="D18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0" t="str" cm="1">
        <f t="array" ref="A1">portfolio</f>
        <v>Wells Fargo</v>
      </c>
      <c r="B1" s="91"/>
      <c r="C1" s="92" t="s">
        <v>14</v>
      </c>
      <c r="D1" s="93"/>
      <c r="E1" s="94"/>
      <c r="F1" s="95" t="s">
        <v>15</v>
      </c>
      <c r="G1" s="96"/>
      <c r="H1" s="97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SUMIF(_xlfn.ANCHORARRAY(Aug!$B$4), $A4, Aug!C$4:C$69), SUMIF(_xlfn.ANCHORARRAY(Sep!$B$4), $A4, Sep!C$4:C$69))</f>
        <v>0</v>
      </c>
      <c r="C4" s="11">
        <f ca="1">SUM(SUMIF(_xlfn.ANCHORARRAY(Jul!$B$4), $A4, Jul!D$4:D$65), SUMIF(_xlfn.ANCHORARRAY(Aug!$B$4), $A4, Aug!D$4:D$69), SUMIF(_xlfn.ANCHORARRAY(Sep!$B$4), $A4, Sep!D$4:D$69))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SUM(SUMIF(_xlfn.ANCHORARRAY(Jul!$B$4), $A4, Jul!G$4:G$65), SUMIF(_xlfn.ANCHORARRAY(Aug!$B$4), $A4, Aug!G$4:G$69), SUMIF(_xlfn.ANCHORARRAY(Sep!$B$4), $A4, Sep!G$4:G$69))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0</v>
      </c>
      <c r="C5" s="15">
        <f ca="1">SUM(SUMIF(_xlfn.ANCHORARRAY(Jul!$B$4), $A5, Jul!D$4:D$65), SUMIF(_xlfn.ANCHORARRAY(Aug!$B$4), $A5, Aug!D$4:D$69), SUMIF(_xlfn.ANCHORARRAY(Sep!$B$4), $A5, Sep!D$4:D$69))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SUM(SUMIF(_xlfn.ANCHORARRAY(Jul!$B$4), $A5, Jul!G$4:G$65), SUMIF(_xlfn.ANCHORARRAY(Aug!$B$4), $A5, Aug!G$4:G$69), SUMIF(_xlfn.ANCHORARRAY(Sep!$B$4), $A5, Sep!G$4:G$69))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SUM(SUMIF(_xlfn.ANCHORARRAY(Jul!$B$4), $A6, Jul!C$4:C$65), SUMIF(_xlfn.ANCHORARRAY(Aug!$B$4), $A6, Aug!C$4:C$69), SUMIF(_xlfn.ANCHORARRAY(Sep!$B$4), $A6, Sep!C$4:C$69))</f>
        <v>0</v>
      </c>
      <c r="C6" s="11">
        <f ca="1">SUM(SUMIF(_xlfn.ANCHORARRAY(Jul!$B$4), $A6, Jul!D$4:D$65), SUMIF(_xlfn.ANCHORARRAY(Aug!$B$4), $A6, Aug!D$4:D$69), SUMIF(_xlfn.ANCHORARRAY(Sep!$B$4), $A6, Sep!D$4:D$69))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SUM(SUMIF(_xlfn.ANCHORARRAY(Jul!$B$4), $A6, Jul!G$4:G$65), SUMIF(_xlfn.ANCHORARRAY(Aug!$B$4), $A6, Aug!G$4:G$69), SUMIF(_xlfn.ANCHORARRAY(Sep!$B$4), $A6, Sep!G$4:G$69))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0</v>
      </c>
      <c r="C7" s="15">
        <f ca="1">SUM(SUMIF(_xlfn.ANCHORARRAY(Jul!$B$4), $A7, Jul!D$4:D$65), SUMIF(_xlfn.ANCHORARRAY(Aug!$B$4), $A7, Aug!D$4:D$69), SUMIF(_xlfn.ANCHORARRAY(Sep!$B$4), $A7, Sep!D$4:D$69))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SUM(SUMIF(_xlfn.ANCHORARRAY(Jul!$B$4), $A7, Jul!G$4:G$65), SUMIF(_xlfn.ANCHORARRAY(Aug!$B$4), $A7, Aug!G$4:G$69), SUMIF(_xlfn.ANCHORARRAY(Sep!$B$4), $A7, Sep!G$4:G$69))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SUM(SUMIF(_xlfn.ANCHORARRAY(Jul!$B$4), $A8, Jul!C$4:C$65), SUMIF(_xlfn.ANCHORARRAY(Aug!$B$4), $A8, Aug!C$4:C$69), SUMIF(_xlfn.ANCHORARRAY(Sep!$B$4), $A8, Sep!C$4:C$69))</f>
        <v>0</v>
      </c>
      <c r="C8" s="11">
        <f ca="1">SUM(SUMIF(_xlfn.ANCHORARRAY(Jul!$B$4), $A8, Jul!D$4:D$65), SUMIF(_xlfn.ANCHORARRAY(Aug!$B$4), $A8, Aug!D$4:D$69), SUMIF(_xlfn.ANCHORARRAY(Sep!$B$4), $A8, Sep!D$4:D$69))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SUM(SUMIF(_xlfn.ANCHORARRAY(Jul!$B$4), $A8, Jul!G$4:G$65), SUMIF(_xlfn.ANCHORARRAY(Aug!$B$4), $A8, Aug!G$4:G$69), SUMIF(_xlfn.ANCHORARRAY(Sep!$B$4), $A8, Sep!G$4:G$69))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0</v>
      </c>
      <c r="C9" s="15">
        <f ca="1">SUM(SUMIF(_xlfn.ANCHORARRAY(Jul!$B$4), $A9, Jul!D$4:D$65), SUMIF(_xlfn.ANCHORARRAY(Aug!$B$4), $A9, Aug!D$4:D$69), SUMIF(_xlfn.ANCHORARRAY(Sep!$B$4), $A9, Sep!D$4:D$69))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SUM(SUMIF(_xlfn.ANCHORARRAY(Jul!$B$4), $A9, Jul!G$4:G$65), SUMIF(_xlfn.ANCHORARRAY(Aug!$B$4), $A9, Aug!G$4:G$69), SUMIF(_xlfn.ANCHORARRAY(Sep!$B$4), $A9, Sep!G$4:G$69))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SUM(SUMIF(_xlfn.ANCHORARRAY(Jul!$B$4), $A10, Jul!C$4:C$65), SUMIF(_xlfn.ANCHORARRAY(Aug!$B$4), $A10, Aug!C$4:C$69), SUMIF(_xlfn.ANCHORARRAY(Sep!$B$4), $A10, Sep!C$4:C$69))</f>
        <v>0</v>
      </c>
      <c r="C10" s="11">
        <f ca="1">SUM(SUMIF(_xlfn.ANCHORARRAY(Jul!$B$4), $A10, Jul!D$4:D$65), SUMIF(_xlfn.ANCHORARRAY(Aug!$B$4), $A10, Aug!D$4:D$69), SUMIF(_xlfn.ANCHORARRAY(Sep!$B$4), $A10, Sep!D$4:D$69))</f>
        <v>0</v>
      </c>
      <c r="D10" s="11">
        <f t="shared" ca="1" si="0"/>
        <v>0</v>
      </c>
      <c r="E10" s="12" t="str">
        <f t="shared" ca="1" si="1"/>
        <v/>
      </c>
      <c r="F10" s="13">
        <f ca="1">SUM(SUMIF(_xlfn.ANCHORARRAY(Jul!$B$4), $A10, Jul!G$4:G$65), SUMIF(_xlfn.ANCHORARRAY(Aug!$B$4), $A10, Aug!G$4:G$69), SUMIF(_xlfn.ANCHORARRAY(Sep!$B$4), $A10, Sep!G$4:G$69))</f>
        <v>0</v>
      </c>
      <c r="G10" s="13">
        <f t="shared" ca="1" si="2"/>
        <v>0</v>
      </c>
      <c r="H10" s="14" t="str">
        <f t="shared" ca="1" si="3"/>
        <v/>
      </c>
    </row>
    <row r="11" spans="1:8" ht="14.4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0</v>
      </c>
      <c r="C11" s="15">
        <f ca="1">SUM(SUMIF(_xlfn.ANCHORARRAY(Jul!$B$4), $A11, Jul!D$4:D$65), SUMIF(_xlfn.ANCHORARRAY(Aug!$B$4), $A11, Aug!D$4:D$69), SUMIF(_xlfn.ANCHORARRAY(Sep!$B$4), $A11, Sep!D$4:D$69))</f>
        <v>0</v>
      </c>
      <c r="D11" s="15">
        <f t="shared" ca="1" si="0"/>
        <v>0</v>
      </c>
      <c r="E11" s="16" t="str">
        <f t="shared" ca="1" si="1"/>
        <v/>
      </c>
      <c r="F11" s="15">
        <f ca="1">SUM(SUMIF(_xlfn.ANCHORARRAY(Jul!$B$4), $A11, Jul!G$4:G$65), SUMIF(_xlfn.ANCHORARRAY(Aug!$B$4), $A11, Aug!G$4:G$69), SUMIF(_xlfn.ANCHORARRAY(Sep!$B$4), $A11, Sep!G$4:G$69))</f>
        <v>0</v>
      </c>
      <c r="G11" s="15">
        <f t="shared" ca="1" si="2"/>
        <v>0</v>
      </c>
      <c r="H11" s="16" t="str">
        <f t="shared" ca="1" si="3"/>
        <v/>
      </c>
    </row>
    <row r="12" spans="1:8" ht="14.45">
      <c r="A12" s="8" t="str">
        <v>AZ</v>
      </c>
      <c r="B12" s="57">
        <f ca="1">SUM(SUMIF(_xlfn.ANCHORARRAY(Jul!$B$4), $A12, Jul!C$4:C$65), SUMIF(_xlfn.ANCHORARRAY(Aug!$B$4), $A12, Aug!C$4:C$69), SUMIF(_xlfn.ANCHORARRAY(Sep!$B$4), $A12, Sep!C$4:C$69))</f>
        <v>0</v>
      </c>
      <c r="C12" s="11">
        <f ca="1">SUM(SUMIF(_xlfn.ANCHORARRAY(Jul!$B$4), $A12, Jul!D$4:D$65), SUMIF(_xlfn.ANCHORARRAY(Aug!$B$4), $A12, Aug!D$4:D$69), SUMIF(_xlfn.ANCHORARRAY(Sep!$B$4), $A12, Sep!D$4:D$69))</f>
        <v>0</v>
      </c>
      <c r="D12" s="11">
        <f ca="1">IF(AND(ISNUMBER(B12),ISNUMBER(C12)), B12-C12, "")</f>
        <v>0</v>
      </c>
      <c r="E12" s="59" t="str">
        <f ca="1">IFERROR(D12/C12, "")</f>
        <v/>
      </c>
      <c r="F12" s="75">
        <f ca="1">SUM(SUMIF(_xlfn.ANCHORARRAY(Jul!$B$4), $A12, Jul!G$4:G$65), SUMIF(_xlfn.ANCHORARRAY(Aug!$B$4), $A12, Aug!G$4:G$69), SUMIF(_xlfn.ANCHORARRAY(Sep!$B$4), $A12, Sep!G$4:G$69))</f>
        <v>0</v>
      </c>
      <c r="G12" s="75">
        <f ca="1">IF(AND(ISNUMBER(B12),ISNUMBER(F12)), B12-F12, "")</f>
        <v>0</v>
      </c>
      <c r="H12" s="76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F20" sqref="F20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90" t="str" cm="1">
        <f t="array" ref="A1">portfolio</f>
        <v>Wells Fargo</v>
      </c>
      <c r="B1" s="91"/>
      <c r="C1" s="92" t="s">
        <v>16</v>
      </c>
      <c r="D1" s="93"/>
      <c r="E1" s="94"/>
      <c r="F1" s="95" t="s">
        <v>17</v>
      </c>
      <c r="G1" s="96"/>
      <c r="H1" s="97"/>
    </row>
    <row r="2" spans="1:8" ht="19.5" customHeight="1">
      <c r="A2" s="41" t="s">
        <v>2</v>
      </c>
      <c r="B2" s="4">
        <f ca="1">SUM(B4:B90)</f>
        <v>0</v>
      </c>
      <c r="C2" s="4">
        <f ca="1">SUM(C4:C90)</f>
        <v>0</v>
      </c>
      <c r="D2" s="4">
        <f ca="1">B2-C2</f>
        <v>0</v>
      </c>
      <c r="E2" s="5">
        <f ca="1">IFERROR(D2/C2, 0)</f>
        <v>0</v>
      </c>
      <c r="F2" s="4">
        <f ca="1">SUM(F4:F90)</f>
        <v>0</v>
      </c>
      <c r="G2" s="6">
        <f ca="1">B2-F2</f>
        <v>0</v>
      </c>
      <c r="H2" s="5">
        <f ca="1">IFERROR(G2/F2, 0)</f>
        <v>0</v>
      </c>
    </row>
    <row r="3" spans="1:8" ht="14.25" customHeight="1">
      <c r="A3" s="7" t="s">
        <v>11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0</v>
      </c>
      <c r="C4" s="11">
        <f ca="1">SUM(SUMIF(_xlfn.ANCHORARRAY(Oct!$B$4), $A4, Oct!D$4:D$69), SUMIF(_xlfn.ANCHORARRAY(Nov!$B$4), $A4, Nov!D$4:D$69), SUMIF(_xlfn.ANCHORARRAY(Dec!$B$4), $A4, Dec!D$4:D$69))</f>
        <v>0</v>
      </c>
      <c r="D4" s="11">
        <f ca="1">IF(AND(ISNUMBER(B4),ISNUMBER(C4)), B4-C4, "")</f>
        <v>0</v>
      </c>
      <c r="E4" s="12" t="str">
        <f ca="1">IFERROR(D4/C4, "")</f>
        <v/>
      </c>
      <c r="F4" s="13">
        <f ca="1">SUM(SUMIF(_xlfn.ANCHORARRAY(Oct!$B$4), $A4, Oct!G$4:G$69), SUMIF(_xlfn.ANCHORARRAY(Nov!$B$4), $A4, Nov!G$4:G$69), SUMIF(_xlfn.ANCHORARRAY(Dec!$B$4), $A4, Dec!G$4:G$69))</f>
        <v>0</v>
      </c>
      <c r="G4" s="13">
        <f ca="1">IF(AND(ISNUMBER(B4),ISNUMBER(F4)), B4-F4, "")</f>
        <v>0</v>
      </c>
      <c r="H4" s="14" t="str">
        <f ca="1">IFERROR(G4/F4, "")</f>
        <v/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0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0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0</v>
      </c>
      <c r="G5" s="15">
        <f ca="1">IF(AND(ISNUMBER(B5),ISNUMBER(F5)), B5-F5, "")</f>
        <v>0</v>
      </c>
      <c r="H5" s="16" t="str">
        <f ca="1">IFERROR(G5/F5, "")</f>
        <v/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0</v>
      </c>
      <c r="C6" s="11">
        <f ca="1">SUM(SUMIF(_xlfn.ANCHORARRAY(Oct!$B$4), $A6, Oct!D$4:D$69), SUMIF(_xlfn.ANCHORARRAY(Nov!$B$4), $A6, Nov!D$4:D$69), SUMIF(_xlfn.ANCHORARRAY(Dec!$B$4), $A6, Dec!D$4:D$69))</f>
        <v>0</v>
      </c>
      <c r="D6" s="11">
        <f t="shared" ca="1" si="0"/>
        <v>0</v>
      </c>
      <c r="E6" s="12" t="str">
        <f t="shared" ref="E6:E11" ca="1" si="1">IFERROR(D6/C6, "")</f>
        <v/>
      </c>
      <c r="F6" s="13">
        <f ca="1">SUM(SUMIF(_xlfn.ANCHORARRAY(Oct!$B$4), $A6, Oct!G$4:G$69), SUMIF(_xlfn.ANCHORARRAY(Nov!$B$4), $A6, Nov!G$4:G$69), SUMIF(_xlfn.ANCHORARRAY(Dec!$B$4), $A6, Dec!G$4:G$69))</f>
        <v>0</v>
      </c>
      <c r="G6" s="13">
        <f t="shared" ref="G6:G11" ca="1" si="2">IF(AND(ISNUMBER(B6),ISNUMBER(F6)), B6-F6, "")</f>
        <v>0</v>
      </c>
      <c r="H6" s="14" t="str">
        <f t="shared" ref="H6:H11" ca="1" si="3">IFERROR(G6/F6, "")</f>
        <v/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0</v>
      </c>
      <c r="C7" s="15">
        <f ca="1">SUM(SUMIF(_xlfn.ANCHORARRAY(Oct!$B$4), $A7, Oct!D$4:D$69), SUMIF(_xlfn.ANCHORARRAY(Nov!$B$4), $A7, Nov!D$4:D$69), SUMIF(_xlfn.ANCHORARRAY(Dec!$B$4), $A7, Dec!D$4:D$69))</f>
        <v>0</v>
      </c>
      <c r="D7" s="15">
        <f t="shared" ca="1" si="0"/>
        <v>0</v>
      </c>
      <c r="E7" s="16" t="str">
        <f t="shared" ca="1" si="1"/>
        <v/>
      </c>
      <c r="F7" s="15">
        <f ca="1">SUM(SUMIF(_xlfn.ANCHORARRAY(Oct!$B$4), $A7, Oct!G$4:G$69), SUMIF(_xlfn.ANCHORARRAY(Nov!$B$4), $A7, Nov!G$4:G$69), SUMIF(_xlfn.ANCHORARRAY(Dec!$B$4), $A7, Dec!G$4:G$69))</f>
        <v>0</v>
      </c>
      <c r="G7" s="15">
        <f t="shared" ca="1" si="2"/>
        <v>0</v>
      </c>
      <c r="H7" s="16" t="str">
        <f t="shared" ca="1" si="3"/>
        <v/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0</v>
      </c>
      <c r="C8" s="11">
        <f ca="1">SUM(SUMIF(_xlfn.ANCHORARRAY(Oct!$B$4), $A8, Oct!D$4:D$69), SUMIF(_xlfn.ANCHORARRAY(Nov!$B$4), $A8, Nov!D$4:D$69), SUMIF(_xlfn.ANCHORARRAY(Dec!$B$4), $A8, Dec!D$4:D$69))</f>
        <v>0</v>
      </c>
      <c r="D8" s="11">
        <f t="shared" ca="1" si="0"/>
        <v>0</v>
      </c>
      <c r="E8" s="12" t="str">
        <f t="shared" ca="1" si="1"/>
        <v/>
      </c>
      <c r="F8" s="13">
        <f ca="1">SUM(SUMIF(_xlfn.ANCHORARRAY(Oct!$B$4), $A8, Oct!G$4:G$69), SUMIF(_xlfn.ANCHORARRAY(Nov!$B$4), $A8, Nov!G$4:G$69), SUMIF(_xlfn.ANCHORARRAY(Dec!$B$4), $A8, Dec!G$4:G$69))</f>
        <v>0</v>
      </c>
      <c r="G8" s="13">
        <f t="shared" ca="1" si="2"/>
        <v>0</v>
      </c>
      <c r="H8" s="14" t="str">
        <f t="shared" ca="1" si="3"/>
        <v/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0</v>
      </c>
      <c r="C9" s="15">
        <f ca="1">SUM(SUMIF(_xlfn.ANCHORARRAY(Oct!$B$4), $A9, Oct!D$4:D$69), SUMIF(_xlfn.ANCHORARRAY(Nov!$B$4), $A9, Nov!D$4:D$69), SUMIF(_xlfn.ANCHORARRAY(Dec!$B$4), $A9, Dec!D$4:D$69))</f>
        <v>0</v>
      </c>
      <c r="D9" s="15">
        <f t="shared" ca="1" si="0"/>
        <v>0</v>
      </c>
      <c r="E9" s="16" t="str">
        <f t="shared" ca="1" si="1"/>
        <v/>
      </c>
      <c r="F9" s="15">
        <f ca="1">SUM(SUMIF(_xlfn.ANCHORARRAY(Oct!$B$4), $A9, Oct!G$4:G$69), SUMIF(_xlfn.ANCHORARRAY(Nov!$B$4), $A9, Nov!G$4:G$69), SUMIF(_xlfn.ANCHORARRAY(Dec!$B$4), $A9, Dec!G$4:G$69))</f>
        <v>0</v>
      </c>
      <c r="G9" s="15">
        <f t="shared" ca="1" si="2"/>
        <v>0</v>
      </c>
      <c r="H9" s="16" t="str">
        <f t="shared" ca="1" si="3"/>
        <v/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0</v>
      </c>
      <c r="C10" s="11">
        <f ca="1">SUM(SUMIF(_xlfn.ANCHORARRAY(Oct!$B$4), $A10, Oct!D$4:D$69), SUMIF(_xlfn.ANCHORARRAY(Nov!$B$4), $A10, Nov!D$4:D$69), SUMIF(_xlfn.ANCHORARRAY(Dec!$B$4), $A10, Dec!D$4:D$69))</f>
        <v>0</v>
      </c>
      <c r="D10" s="11">
        <f ca="1">IF(AND(ISNUMBER(B10),ISNUMBER(C10)), B10-C10, "")</f>
        <v>0</v>
      </c>
      <c r="E10" s="12" t="str">
        <f t="shared" ca="1" si="1"/>
        <v/>
      </c>
      <c r="F10" s="13">
        <f ca="1">SUM(SUMIF(_xlfn.ANCHORARRAY(Oct!$B$4), $A10, Oct!G$4:G$69), SUMIF(_xlfn.ANCHORARRAY(Nov!$B$4), $A10, Nov!G$4:G$69), SUMIF(_xlfn.ANCHORARRAY(Dec!$B$4), $A10, Dec!G$4:G$69))</f>
        <v>0</v>
      </c>
      <c r="G10" s="13">
        <f ca="1">IF(AND(ISNUMBER(B10),ISNUMBER(F10)), B10-F10, "")</f>
        <v>0</v>
      </c>
      <c r="H10" s="14" t="str">
        <f t="shared" ca="1" si="3"/>
        <v/>
      </c>
    </row>
    <row r="11" spans="1:8" ht="14.45">
      <c r="A11" s="9" t="str">
        <v>TX</v>
      </c>
      <c r="B11" s="73">
        <f ca="1">SUM(SUMIF(_xlfn.ANCHORARRAY(Oct!$B$4), $A11, Oct!C$4:C$69), SUMIF(_xlfn.ANCHORARRAY(Nov!$B$4), $A11, Nov!C$4:C$69), SUMIF(_xlfn.ANCHORARRAY(Dec!$B$4), $A11, Dec!C$4:C$69))</f>
        <v>0</v>
      </c>
      <c r="C11" s="15">
        <f ca="1">SUM(SUMIF(_xlfn.ANCHORARRAY(Oct!$B$4), $A11, Oct!D$4:D$69), SUMIF(_xlfn.ANCHORARRAY(Nov!$B$4), $A11, Nov!D$4:D$69), SUMIF(_xlfn.ANCHORARRAY(Dec!$B$4), $A11, Dec!D$4:D$69))</f>
        <v>0</v>
      </c>
      <c r="D11" s="15">
        <f t="shared" ca="1" si="0"/>
        <v>0</v>
      </c>
      <c r="E11" s="77" t="str">
        <f t="shared" ca="1" si="1"/>
        <v/>
      </c>
      <c r="F11" s="15">
        <f ca="1">SUM(SUMIF(_xlfn.ANCHORARRAY(Oct!$B$4), $A11, Oct!G$4:G$69), SUMIF(_xlfn.ANCHORARRAY(Nov!$B$4), $A11, Nov!G$4:G$69), SUMIF(_xlfn.ANCHORARRAY(Dec!$B$4), $A11, Dec!G$4:G$69))</f>
        <v>0</v>
      </c>
      <c r="G11" s="15">
        <f t="shared" ca="1" si="2"/>
        <v>0</v>
      </c>
      <c r="H11" s="77" t="str">
        <f t="shared" ca="1" si="3"/>
        <v/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0</v>
      </c>
      <c r="C12" s="11">
        <f ca="1">SUM(SUMIF(_xlfn.ANCHORARRAY(Oct!$B$4), $A12, Oct!D$4:D$69), SUMIF(_xlfn.ANCHORARRAY(Nov!$B$4), $A12, Nov!D$4:D$69), SUMIF(_xlfn.ANCHORARRAY(Dec!$B$4), $A12, Dec!D$4:D$69))</f>
        <v>0</v>
      </c>
      <c r="D12" s="11">
        <f ca="1">IF(AND(ISNUMBER(B12),ISNUMBER(C12)), B12-C12, "")</f>
        <v>0</v>
      </c>
      <c r="E12" s="59" t="str">
        <f ca="1">IFERROR(D12/C12, "")</f>
        <v/>
      </c>
      <c r="F12" s="75">
        <f ca="1">SUM(SUMIF(_xlfn.ANCHORARRAY(Oct!$B$4), $A12, Oct!G$4:G$69), SUMIF(_xlfn.ANCHORARRAY(Nov!$B$4), $A12, Nov!G$4:G$69), SUMIF(_xlfn.ANCHORARRAY(Dec!$B$4), $A12, Dec!G$4:G$69))</f>
        <v>0</v>
      </c>
      <c r="G12" s="75">
        <f ca="1">IF(AND(ISNUMBER(B12),ISNUMBER(F12)), B12-F12, "")</f>
        <v>0</v>
      </c>
      <c r="H12" s="76" t="str">
        <f ca="1">IFERROR(G12/F12, "")</f>
        <v/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4" priority="1" stopIfTrue="1" operator="lessThanOrEqual">
      <formula>-0.1</formula>
    </cfRule>
    <cfRule type="expression" dxfId="33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4" activePane="bottomRight" state="frozen"/>
      <selection pane="bottomRight" activeCell="J56" sqref="J56:J64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8" t="str" cm="1">
        <f t="array" ref="A1">portfolio</f>
        <v>Wells Fargo</v>
      </c>
      <c r="B1" s="88"/>
      <c r="C1" s="88"/>
      <c r="D1" s="89" t="s">
        <v>18</v>
      </c>
      <c r="E1" s="89"/>
      <c r="F1" s="89"/>
      <c r="G1" s="87" t="s">
        <v>19</v>
      </c>
      <c r="H1" s="87"/>
      <c r="I1" s="87"/>
      <c r="J1" s="3"/>
      <c r="K1" s="3"/>
    </row>
    <row r="2" spans="1:12" ht="19.5" customHeight="1">
      <c r="A2" s="98" t="s">
        <v>2</v>
      </c>
      <c r="B2" s="98"/>
      <c r="C2" s="4">
        <f>SUM(C4:C65)</f>
        <v>972194.27841400937</v>
      </c>
      <c r="D2" s="4">
        <f>SUM(D4:D65)</f>
        <v>1090495.0665000002</v>
      </c>
      <c r="E2" s="4">
        <f>C2-D2</f>
        <v>-118300.78808599082</v>
      </c>
      <c r="F2" s="5">
        <f>IFERROR(E2/D2, 0)</f>
        <v>-0.10848356101755073</v>
      </c>
      <c r="G2" s="4">
        <f>SUM(G4:G65)</f>
        <v>1037915.6683000001</v>
      </c>
      <c r="H2" s="6">
        <f>C2-G2</f>
        <v>-65721.389885990764</v>
      </c>
      <c r="I2" s="5">
        <f>IFERROR(H2/G2, 0)</f>
        <v>-6.332054895523033E-2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24" t="s">
        <v>3</v>
      </c>
      <c r="B3" s="7" t="s">
        <v>11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2" ht="15.75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22</v>
      </c>
      <c r="K4" s="38"/>
    </row>
    <row r="5" spans="1:12" ht="15.6">
      <c r="A5" s="27" t="str">
        <v>Otay Mesa</v>
      </c>
      <c r="B5" s="28" t="str">
        <v>CA</v>
      </c>
      <c r="C5" s="10">
        <v>0</v>
      </c>
      <c r="D5" s="15">
        <v>0</v>
      </c>
      <c r="E5" s="15">
        <f t="shared" ref="E5:E68" si="0">IF(AND(ISNUMBER(C5),ISNUMBER(D5)), C5-D5, "")</f>
        <v>0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0</v>
      </c>
      <c r="I5" s="16" t="str">
        <f t="shared" ref="I5:I6" si="2">IFERROR(H5/G5, "")</f>
        <v/>
      </c>
      <c r="J5" s="39"/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69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1" t="s">
        <v>23</v>
      </c>
      <c r="K6" s="79" t="s">
        <v>24</v>
      </c>
      <c r="L6" s="80" t="s">
        <v>25</v>
      </c>
    </row>
    <row r="7" spans="1:12" ht="15.75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:H70" si="4">IF(AND(ISNUMBER(C7),ISNUMBER(G7)), C7-G7, "")</f>
        <v>-406.56799999999998</v>
      </c>
      <c r="I7" s="16">
        <f t="shared" ref="I7:I70" si="5">IFERROR(H7/G7, "")</f>
        <v>-0.30787358167091733</v>
      </c>
      <c r="J7" s="39"/>
      <c r="K7" s="39"/>
    </row>
    <row r="8" spans="1:12" ht="15.75">
      <c r="A8" s="25" t="str">
        <v>98th &amp; Grant</v>
      </c>
      <c r="B8" s="26" t="str">
        <v>CO</v>
      </c>
      <c r="C8" s="21">
        <v>468.10000000000599</v>
      </c>
      <c r="D8" s="11">
        <v>0</v>
      </c>
      <c r="E8" s="11">
        <f t="shared" si="0"/>
        <v>468.10000000000599</v>
      </c>
      <c r="F8" s="12" t="str">
        <f t="shared" si="3"/>
        <v/>
      </c>
      <c r="G8" s="13">
        <v>1170</v>
      </c>
      <c r="H8" s="13">
        <f t="shared" si="4"/>
        <v>-701.89999999999395</v>
      </c>
      <c r="I8" s="14">
        <f t="shared" si="5"/>
        <v>-0.59991452991452476</v>
      </c>
      <c r="J8" s="38"/>
      <c r="K8" s="38"/>
    </row>
    <row r="9" spans="1:12" ht="15.6">
      <c r="A9" s="27" t="str">
        <v>Arapahoe Crossings</v>
      </c>
      <c r="B9" s="28" t="str">
        <v>CO</v>
      </c>
      <c r="C9" s="10">
        <v>1869.10637973137</v>
      </c>
      <c r="D9" s="15">
        <v>0</v>
      </c>
      <c r="E9" s="15">
        <f t="shared" si="0"/>
        <v>1869.10637973137</v>
      </c>
      <c r="F9" s="16" t="str">
        <f t="shared" si="3"/>
        <v/>
      </c>
      <c r="G9" s="17">
        <v>2127.951</v>
      </c>
      <c r="H9" s="17">
        <f t="shared" si="4"/>
        <v>-258.84462026863002</v>
      </c>
      <c r="I9" s="16">
        <f t="shared" si="5"/>
        <v>-0.12164031045293337</v>
      </c>
      <c r="J9" s="39"/>
      <c r="K9" s="54"/>
    </row>
    <row r="10" spans="1:12" ht="15.6">
      <c r="A10" s="25" t="str">
        <v>Aurora City Center</v>
      </c>
      <c r="B10" s="26" t="str">
        <v>CO</v>
      </c>
      <c r="C10" s="21">
        <v>976.09999999999104</v>
      </c>
      <c r="D10" s="11">
        <v>0</v>
      </c>
      <c r="E10" s="11">
        <f t="shared" si="0"/>
        <v>976.09999999999104</v>
      </c>
      <c r="F10" s="12" t="str">
        <f t="shared" si="3"/>
        <v/>
      </c>
      <c r="G10" s="13">
        <v>1050</v>
      </c>
      <c r="H10" s="13">
        <f t="shared" si="4"/>
        <v>-73.900000000008959</v>
      </c>
      <c r="I10" s="14">
        <f t="shared" si="5"/>
        <v>-7.0380952380960912E-2</v>
      </c>
      <c r="J10" s="38"/>
      <c r="K10" s="38"/>
    </row>
    <row r="11" spans="1:12" ht="15.6">
      <c r="A11" s="27" t="str">
        <v>Dry Creek</v>
      </c>
      <c r="B11" s="28" t="str">
        <v>CO</v>
      </c>
      <c r="C11" s="10">
        <v>1116.8</v>
      </c>
      <c r="D11" s="15">
        <v>0</v>
      </c>
      <c r="E11" s="15">
        <f t="shared" si="0"/>
        <v>1116.8</v>
      </c>
      <c r="F11" s="16" t="str">
        <f t="shared" si="3"/>
        <v/>
      </c>
      <c r="G11" s="17">
        <v>1261</v>
      </c>
      <c r="H11" s="17">
        <f t="shared" si="4"/>
        <v>-144.20000000000005</v>
      </c>
      <c r="I11" s="16">
        <f t="shared" si="5"/>
        <v>-0.11435368754956388</v>
      </c>
      <c r="J11" s="39"/>
      <c r="K11" s="39"/>
    </row>
    <row r="12" spans="1:12" ht="15.75">
      <c r="A12" s="25" t="str">
        <v>Highlands Ranch S.</v>
      </c>
      <c r="B12" s="26" t="str">
        <v>CO</v>
      </c>
      <c r="C12" s="21">
        <v>875.29999999999598</v>
      </c>
      <c r="D12" s="11">
        <v>0</v>
      </c>
      <c r="E12" s="11">
        <f t="shared" si="0"/>
        <v>875.29999999999598</v>
      </c>
      <c r="F12" s="12" t="str">
        <f t="shared" si="3"/>
        <v/>
      </c>
      <c r="G12" s="13">
        <v>1109</v>
      </c>
      <c r="H12" s="13">
        <f t="shared" si="4"/>
        <v>-233.70000000000402</v>
      </c>
      <c r="I12" s="14">
        <f t="shared" si="5"/>
        <v>-0.21073038773670336</v>
      </c>
      <c r="J12" s="38" t="s">
        <v>22</v>
      </c>
      <c r="K12" s="38"/>
    </row>
    <row r="13" spans="1:12" ht="15.75">
      <c r="A13" s="27" t="str">
        <v>Lone Tree</v>
      </c>
      <c r="B13" s="28" t="str">
        <v>CO</v>
      </c>
      <c r="C13" s="10">
        <v>1474.8</v>
      </c>
      <c r="D13" s="15">
        <v>0</v>
      </c>
      <c r="E13" s="15">
        <f t="shared" si="0"/>
        <v>1474.8</v>
      </c>
      <c r="F13" s="16" t="str">
        <f t="shared" si="3"/>
        <v/>
      </c>
      <c r="G13" s="17">
        <v>2554</v>
      </c>
      <c r="H13" s="17">
        <f t="shared" si="4"/>
        <v>-1079.2</v>
      </c>
      <c r="I13" s="16">
        <f t="shared" si="5"/>
        <v>-0.42255285826155053</v>
      </c>
      <c r="J13" s="39" t="s">
        <v>22</v>
      </c>
      <c r="K13" s="39"/>
    </row>
    <row r="14" spans="1:12" ht="15.6">
      <c r="A14" s="25" t="str">
        <v>Meridian</v>
      </c>
      <c r="B14" s="26" t="str">
        <v>CO</v>
      </c>
      <c r="C14" s="21">
        <v>1503.5999999999899</v>
      </c>
      <c r="D14" s="11">
        <v>0</v>
      </c>
      <c r="E14" s="11">
        <f t="shared" si="0"/>
        <v>1503.5999999999899</v>
      </c>
      <c r="F14" s="12" t="str">
        <f t="shared" si="3"/>
        <v/>
      </c>
      <c r="G14" s="13">
        <v>1505</v>
      </c>
      <c r="H14" s="13">
        <f t="shared" si="4"/>
        <v>-1.4000000000100954</v>
      </c>
      <c r="I14" s="14">
        <f t="shared" si="5"/>
        <v>-9.3023255814624279E-4</v>
      </c>
      <c r="J14" s="38"/>
      <c r="K14" s="38"/>
    </row>
    <row r="15" spans="1:12" ht="15.6">
      <c r="A15" s="27" t="str">
        <v>Southglenn</v>
      </c>
      <c r="B15" s="28" t="str">
        <v>CO</v>
      </c>
      <c r="C15" s="10">
        <v>1413.4</v>
      </c>
      <c r="D15" s="15">
        <v>0</v>
      </c>
      <c r="E15" s="15">
        <f t="shared" si="0"/>
        <v>1413.4</v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39"/>
    </row>
    <row r="16" spans="1:12" ht="15.75">
      <c r="A16" s="25" t="str">
        <v>Standley Lake</v>
      </c>
      <c r="B16" s="26" t="str">
        <v>CO</v>
      </c>
      <c r="C16" s="21">
        <v>1429.3999999999901</v>
      </c>
      <c r="D16" s="11">
        <v>0</v>
      </c>
      <c r="E16" s="11">
        <f t="shared" si="0"/>
        <v>1429.3999999999901</v>
      </c>
      <c r="F16" s="12" t="str">
        <f t="shared" si="3"/>
        <v/>
      </c>
      <c r="G16" s="13">
        <v>2142</v>
      </c>
      <c r="H16" s="13">
        <f t="shared" si="4"/>
        <v>-712.60000000000991</v>
      </c>
      <c r="I16" s="14">
        <f t="shared" si="5"/>
        <v>-0.33267973856209615</v>
      </c>
      <c r="J16" s="38" t="s">
        <v>22</v>
      </c>
      <c r="K16" s="38"/>
    </row>
    <row r="17" spans="1:12" ht="15.6">
      <c r="A17" s="27" t="str">
        <v>Havana Gardens</v>
      </c>
      <c r="B17" s="28" t="str">
        <v>CO</v>
      </c>
      <c r="C17" s="10">
        <v>1605.7</v>
      </c>
      <c r="D17" s="15">
        <v>0</v>
      </c>
      <c r="E17" s="15">
        <f t="shared" si="0"/>
        <v>1605.7</v>
      </c>
      <c r="F17" s="16" t="str">
        <f t="shared" si="3"/>
        <v/>
      </c>
      <c r="G17" s="17">
        <v>839</v>
      </c>
      <c r="H17" s="17">
        <f t="shared" si="4"/>
        <v>766.7</v>
      </c>
      <c r="I17" s="16">
        <f t="shared" si="5"/>
        <v>0.91382598331346843</v>
      </c>
      <c r="J17" s="39"/>
      <c r="K17" s="39"/>
    </row>
    <row r="18" spans="1:12" ht="15.75">
      <c r="A18" s="25" t="str">
        <v>East Hartford</v>
      </c>
      <c r="B18" s="26" t="str">
        <v>CT</v>
      </c>
      <c r="C18" s="21">
        <v>207.4</v>
      </c>
      <c r="D18" s="11">
        <v>701.66560000000004</v>
      </c>
      <c r="E18" s="11">
        <f t="shared" si="0"/>
        <v>-494.26560000000006</v>
      </c>
      <c r="F18" s="12">
        <f t="shared" si="3"/>
        <v>-0.7044176029151209</v>
      </c>
      <c r="G18" s="13">
        <v>271.07870000000003</v>
      </c>
      <c r="H18" s="13">
        <f t="shared" si="4"/>
        <v>-63.678700000000021</v>
      </c>
      <c r="I18" s="14">
        <f t="shared" si="5"/>
        <v>-0.234908533942357</v>
      </c>
      <c r="J18" s="38" t="s">
        <v>22</v>
      </c>
      <c r="K18" s="38"/>
    </row>
    <row r="19" spans="1:12" ht="72">
      <c r="A19" s="27" t="str">
        <v>Norwalk</v>
      </c>
      <c r="B19" s="28" t="str">
        <v>CT</v>
      </c>
      <c r="C19" s="10">
        <v>-47.866831723029499</v>
      </c>
      <c r="D19" s="15">
        <v>1301.297</v>
      </c>
      <c r="E19" s="15">
        <f t="shared" si="0"/>
        <v>-1349.1638317230295</v>
      </c>
      <c r="F19" s="16">
        <f t="shared" si="3"/>
        <v>-1.0367839407322306</v>
      </c>
      <c r="G19" s="17">
        <v>380.09949999999998</v>
      </c>
      <c r="H19" s="17">
        <f t="shared" si="4"/>
        <v>-427.9663317230295</v>
      </c>
      <c r="I19" s="16">
        <f t="shared" si="5"/>
        <v>-1.1259323722420826</v>
      </c>
      <c r="J19" s="39" t="s">
        <v>26</v>
      </c>
      <c r="K19" s="81" t="s">
        <v>27</v>
      </c>
      <c r="L19" s="80" t="s">
        <v>28</v>
      </c>
    </row>
    <row r="20" spans="1:12" ht="15.75">
      <c r="A20" s="25" t="str">
        <v>Hialeah Gardens</v>
      </c>
      <c r="B20" s="26" t="str">
        <v>FL</v>
      </c>
      <c r="C20" s="21">
        <v>2375.30647397041</v>
      </c>
      <c r="D20" s="11">
        <v>2836.864</v>
      </c>
      <c r="E20" s="11">
        <f t="shared" si="0"/>
        <v>-461.55752602959001</v>
      </c>
      <c r="F20" s="12">
        <f t="shared" si="3"/>
        <v>-0.16269991301295728</v>
      </c>
      <c r="G20" s="13">
        <v>3416</v>
      </c>
      <c r="H20" s="13">
        <f t="shared" si="4"/>
        <v>-1040.69352602959</v>
      </c>
      <c r="I20" s="14">
        <f t="shared" si="5"/>
        <v>-0.30465267155432962</v>
      </c>
      <c r="J20" s="38" t="s">
        <v>22</v>
      </c>
      <c r="K20" s="38"/>
    </row>
    <row r="21" spans="1:12" ht="15.6">
      <c r="A21" s="27" t="str">
        <v>W. Des Moines Campus EAST</v>
      </c>
      <c r="B21" s="28" t="str">
        <v>IA</v>
      </c>
      <c r="C21" s="10">
        <v>118781</v>
      </c>
      <c r="D21" s="15">
        <v>137811.70000000001</v>
      </c>
      <c r="E21" s="15">
        <f t="shared" si="0"/>
        <v>-19030.700000000012</v>
      </c>
      <c r="F21" s="16">
        <f t="shared" si="3"/>
        <v>-0.1380920487883105</v>
      </c>
      <c r="G21" s="17">
        <v>103900</v>
      </c>
      <c r="H21" s="17">
        <f t="shared" si="4"/>
        <v>14881</v>
      </c>
      <c r="I21" s="16">
        <f t="shared" si="5"/>
        <v>0.1432242540904716</v>
      </c>
      <c r="J21" s="39"/>
      <c r="K21" s="54"/>
    </row>
    <row r="22" spans="1:12" ht="15.75">
      <c r="A22" s="25" t="str">
        <v>W. Des Moines Campus SW</v>
      </c>
      <c r="B22" s="26" t="str">
        <v>IA</v>
      </c>
      <c r="C22" s="21">
        <v>62762.75</v>
      </c>
      <c r="D22" s="11">
        <v>76926.259999999995</v>
      </c>
      <c r="E22" s="11">
        <f t="shared" si="0"/>
        <v>-14163.509999999995</v>
      </c>
      <c r="F22" s="12">
        <f t="shared" si="3"/>
        <v>-0.18411801119669663</v>
      </c>
      <c r="G22" s="13">
        <v>54917.89</v>
      </c>
      <c r="H22" s="13">
        <f t="shared" si="4"/>
        <v>7844.8600000000006</v>
      </c>
      <c r="I22" s="14">
        <f t="shared" si="5"/>
        <v>0.14284707588000925</v>
      </c>
      <c r="J22" s="38" t="s">
        <v>22</v>
      </c>
      <c r="K22" s="38"/>
    </row>
    <row r="23" spans="1:12" ht="15.6">
      <c r="A23" s="27" t="str">
        <v>WF - CIC</v>
      </c>
      <c r="B23" s="28" t="str">
        <v>NC</v>
      </c>
      <c r="C23" s="10">
        <v>116508</v>
      </c>
      <c r="D23" s="15">
        <v>113752.8</v>
      </c>
      <c r="E23" s="15">
        <f t="shared" si="0"/>
        <v>2755.1999999999971</v>
      </c>
      <c r="F23" s="16">
        <f t="shared" si="3"/>
        <v>2.4220942253729113E-2</v>
      </c>
      <c r="G23" s="17">
        <v>106712</v>
      </c>
      <c r="H23" s="17">
        <f t="shared" si="4"/>
        <v>9796</v>
      </c>
      <c r="I23" s="16">
        <f t="shared" si="5"/>
        <v>9.1798485643601463E-2</v>
      </c>
      <c r="J23" s="39"/>
      <c r="K23" s="54"/>
    </row>
    <row r="24" spans="1:12" ht="15.75">
      <c r="A24" s="25" t="str">
        <v>Charlotte - Wells Fargo - DUC</v>
      </c>
      <c r="B24" s="26" t="str">
        <v>NC</v>
      </c>
      <c r="C24" s="21">
        <v>110087</v>
      </c>
      <c r="D24" s="11">
        <v>128961.2</v>
      </c>
      <c r="E24" s="11">
        <f t="shared" si="0"/>
        <v>-18874.199999999997</v>
      </c>
      <c r="F24" s="12">
        <f t="shared" si="3"/>
        <v>-0.14635564805538409</v>
      </c>
      <c r="G24" s="13">
        <v>129978</v>
      </c>
      <c r="H24" s="13">
        <f t="shared" si="4"/>
        <v>-19891</v>
      </c>
      <c r="I24" s="14">
        <f t="shared" si="5"/>
        <v>-0.15303359029989691</v>
      </c>
      <c r="J24" s="38" t="s">
        <v>22</v>
      </c>
      <c r="K24" s="38"/>
      <c r="L24" s="25"/>
    </row>
    <row r="25" spans="1:12" ht="15.75">
      <c r="A25" s="27" t="str">
        <v>East Windsor</v>
      </c>
      <c r="B25" s="28" t="str">
        <v>NJ</v>
      </c>
      <c r="C25" s="21">
        <v>394.60000000000201</v>
      </c>
      <c r="D25" s="11">
        <v>635.38720000000001</v>
      </c>
      <c r="E25" s="11">
        <f t="shared" si="0"/>
        <v>-240.78719999999799</v>
      </c>
      <c r="F25" s="12">
        <f t="shared" si="3"/>
        <v>-0.37896136403125213</v>
      </c>
      <c r="G25" s="13">
        <v>406.45699999999999</v>
      </c>
      <c r="H25" s="13">
        <f t="shared" si="4"/>
        <v>-11.856999999997981</v>
      </c>
      <c r="I25" s="14">
        <f t="shared" si="5"/>
        <v>-2.9171597487552145E-2</v>
      </c>
      <c r="J25" s="38" t="s">
        <v>22</v>
      </c>
      <c r="K25" s="38"/>
    </row>
    <row r="26" spans="1:12" ht="15.6">
      <c r="A26" s="25" t="str">
        <v>Burlington</v>
      </c>
      <c r="B26" s="26" t="str">
        <v>NJ</v>
      </c>
      <c r="C26" s="10">
        <v>1271.3</v>
      </c>
      <c r="D26" s="15">
        <v>1261</v>
      </c>
      <c r="E26" s="15">
        <f t="shared" si="0"/>
        <v>10.299999999999955</v>
      </c>
      <c r="F26" s="16">
        <f t="shared" si="3"/>
        <v>8.1681205392545239E-3</v>
      </c>
      <c r="G26" s="17">
        <v>1086.787</v>
      </c>
      <c r="H26" s="17">
        <f t="shared" si="4"/>
        <v>184.51299999999992</v>
      </c>
      <c r="I26" s="16">
        <f t="shared" si="5"/>
        <v>0.16977843864529105</v>
      </c>
      <c r="J26" s="39"/>
      <c r="K26" s="39"/>
    </row>
    <row r="27" spans="1:12" ht="15.75">
      <c r="A27" s="27" t="str">
        <v>Bayonne</v>
      </c>
      <c r="B27" s="28" t="str">
        <v>NJ</v>
      </c>
      <c r="C27" s="21">
        <v>1508.7</v>
      </c>
      <c r="D27" s="11">
        <v>1667.269</v>
      </c>
      <c r="E27" s="11">
        <f t="shared" si="0"/>
        <v>-158.56899999999996</v>
      </c>
      <c r="F27" s="12">
        <f t="shared" si="3"/>
        <v>-9.5107028319965134E-2</v>
      </c>
      <c r="G27" s="13">
        <v>2001.37</v>
      </c>
      <c r="H27" s="13">
        <f t="shared" si="4"/>
        <v>-492.66999999999985</v>
      </c>
      <c r="I27" s="14">
        <f t="shared" si="5"/>
        <v>-0.24616637603241773</v>
      </c>
      <c r="J27" s="38" t="s">
        <v>22</v>
      </c>
      <c r="K27" s="38"/>
    </row>
    <row r="28" spans="1:12" ht="15.75">
      <c r="A28" s="25" t="str">
        <v>Clifton</v>
      </c>
      <c r="B28" s="26" t="str">
        <v>NJ</v>
      </c>
      <c r="C28" s="10">
        <v>1389.4921875</v>
      </c>
      <c r="D28" s="15">
        <v>2166.0880000000002</v>
      </c>
      <c r="E28" s="15">
        <f t="shared" si="0"/>
        <v>-776.59581250000019</v>
      </c>
      <c r="F28" s="16">
        <f t="shared" si="3"/>
        <v>-0.35852459018285504</v>
      </c>
      <c r="G28" s="17">
        <v>2509.623</v>
      </c>
      <c r="H28" s="17">
        <f t="shared" si="4"/>
        <v>-1120.1308125</v>
      </c>
      <c r="I28" s="16">
        <f t="shared" si="5"/>
        <v>-0.44633429503156452</v>
      </c>
      <c r="J28" s="39" t="s">
        <v>22</v>
      </c>
      <c r="K28" s="39"/>
    </row>
    <row r="29" spans="1:12" ht="15.75">
      <c r="A29" s="27" t="str">
        <v>North Elizabeth</v>
      </c>
      <c r="B29" s="28" t="str">
        <v>NJ</v>
      </c>
      <c r="C29" s="21">
        <v>1257.79999999999</v>
      </c>
      <c r="D29" s="11">
        <v>1301.25</v>
      </c>
      <c r="E29" s="11">
        <f t="shared" si="0"/>
        <v>-43.45000000001005</v>
      </c>
      <c r="F29" s="12">
        <f t="shared" si="3"/>
        <v>-3.3390970220949126E-2</v>
      </c>
      <c r="G29" s="13">
        <v>1349.336</v>
      </c>
      <c r="H29" s="13">
        <f t="shared" si="4"/>
        <v>-91.536000000010063</v>
      </c>
      <c r="I29" s="14">
        <f t="shared" si="5"/>
        <v>-6.7837810597219717E-2</v>
      </c>
      <c r="J29" s="38" t="s">
        <v>29</v>
      </c>
      <c r="K29" s="38"/>
    </row>
    <row r="30" spans="1:12" ht="15.75">
      <c r="A30" s="25" t="str">
        <v>Haddon Westmont Plaza</v>
      </c>
      <c r="B30" s="26" t="str">
        <v>NJ</v>
      </c>
      <c r="C30" s="10">
        <v>744.80000000000302</v>
      </c>
      <c r="D30" s="15">
        <v>1160.9559999999999</v>
      </c>
      <c r="E30" s="15">
        <f t="shared" si="0"/>
        <v>-416.15599999999688</v>
      </c>
      <c r="F30" s="16">
        <f t="shared" si="3"/>
        <v>-0.35845975213530651</v>
      </c>
      <c r="G30" s="17">
        <v>961.447</v>
      </c>
      <c r="H30" s="17">
        <f t="shared" si="4"/>
        <v>-216.64699999999698</v>
      </c>
      <c r="I30" s="16">
        <f t="shared" si="5"/>
        <v>-0.2253343137999255</v>
      </c>
      <c r="J30" s="39" t="s">
        <v>22</v>
      </c>
      <c r="K30" s="39"/>
    </row>
    <row r="31" spans="1:12" ht="15.75">
      <c r="A31" s="27" t="str">
        <v>Parsippany</v>
      </c>
      <c r="B31" s="28" t="str">
        <v>NJ</v>
      </c>
      <c r="C31" s="21">
        <v>1080</v>
      </c>
      <c r="D31" s="11">
        <v>2126.3629999999998</v>
      </c>
      <c r="E31" s="11">
        <f t="shared" si="0"/>
        <v>-1046.3629999999998</v>
      </c>
      <c r="F31" s="12">
        <f t="shared" si="3"/>
        <v>-0.49209048502066671</v>
      </c>
      <c r="G31" s="13">
        <v>1075.335</v>
      </c>
      <c r="H31" s="13">
        <f t="shared" si="4"/>
        <v>4.6649999999999636</v>
      </c>
      <c r="I31" s="14">
        <f t="shared" si="5"/>
        <v>4.3381829848372494E-3</v>
      </c>
      <c r="J31" s="38" t="s">
        <v>22</v>
      </c>
      <c r="K31" s="38"/>
    </row>
    <row r="32" spans="1:12" ht="15.75">
      <c r="A32" s="25" t="str">
        <v>Clark</v>
      </c>
      <c r="B32" s="26" t="str">
        <v>NJ</v>
      </c>
      <c r="C32" s="10">
        <v>904.5</v>
      </c>
      <c r="D32" s="15">
        <v>1197.7260000000001</v>
      </c>
      <c r="E32" s="15">
        <f t="shared" si="0"/>
        <v>-293.22600000000011</v>
      </c>
      <c r="F32" s="16">
        <f t="shared" si="3"/>
        <v>-0.24481893187590492</v>
      </c>
      <c r="G32" s="17">
        <v>915.53340000000003</v>
      </c>
      <c r="H32" s="17">
        <f t="shared" si="4"/>
        <v>-11.033400000000029</v>
      </c>
      <c r="I32" s="16">
        <f t="shared" si="5"/>
        <v>-1.2051335319934835E-2</v>
      </c>
      <c r="J32" s="39" t="s">
        <v>22</v>
      </c>
      <c r="K32" s="39"/>
    </row>
    <row r="33" spans="1:11" ht="15.75">
      <c r="A33" s="27" t="str">
        <v>Closter</v>
      </c>
      <c r="B33" s="28" t="str">
        <v>NJ</v>
      </c>
      <c r="C33" s="21">
        <v>183.5</v>
      </c>
      <c r="D33" s="11">
        <v>273.63310000000001</v>
      </c>
      <c r="E33" s="11">
        <f t="shared" si="0"/>
        <v>-90.133100000000013</v>
      </c>
      <c r="F33" s="12">
        <f t="shared" si="3"/>
        <v>-0.32939399509781531</v>
      </c>
      <c r="G33" s="13">
        <v>462.303</v>
      </c>
      <c r="H33" s="13">
        <f t="shared" si="4"/>
        <v>-278.803</v>
      </c>
      <c r="I33" s="14">
        <f t="shared" si="5"/>
        <v>-0.60307417429694377</v>
      </c>
      <c r="J33" s="38" t="s">
        <v>22</v>
      </c>
      <c r="K33" s="38"/>
    </row>
    <row r="34" spans="1:11" ht="15.75">
      <c r="A34" s="25" t="str">
        <v>Holmdel</v>
      </c>
      <c r="B34" s="26" t="str">
        <v>NJ</v>
      </c>
      <c r="C34" s="10">
        <v>761.29999999999598</v>
      </c>
      <c r="D34" s="15">
        <v>3879.2510000000002</v>
      </c>
      <c r="E34" s="15">
        <f t="shared" si="0"/>
        <v>-3117.9510000000041</v>
      </c>
      <c r="F34" s="16">
        <f t="shared" si="3"/>
        <v>-0.80375077560075492</v>
      </c>
      <c r="G34" s="17">
        <v>803.59389999999996</v>
      </c>
      <c r="H34" s="17">
        <f t="shared" si="4"/>
        <v>-42.293900000003987</v>
      </c>
      <c r="I34" s="16">
        <f t="shared" si="5"/>
        <v>-5.2630937093977433E-2</v>
      </c>
      <c r="J34" s="39" t="s">
        <v>22</v>
      </c>
      <c r="K34" s="39"/>
    </row>
    <row r="35" spans="1:11" ht="15.75">
      <c r="A35" s="27" t="str">
        <v>Ellisburg Circle Center</v>
      </c>
      <c r="B35" s="28" t="str">
        <v>NJ</v>
      </c>
      <c r="C35" s="21">
        <v>357.10000000000599</v>
      </c>
      <c r="D35" s="11">
        <v>561.86900000000003</v>
      </c>
      <c r="E35" s="11">
        <f t="shared" si="0"/>
        <v>-204.76899999999404</v>
      </c>
      <c r="F35" s="12">
        <f t="shared" si="3"/>
        <v>-0.3644426013892812</v>
      </c>
      <c r="G35" s="13">
        <v>450.77730000000003</v>
      </c>
      <c r="H35" s="13">
        <f t="shared" si="4"/>
        <v>-93.677299999994034</v>
      </c>
      <c r="I35" s="14">
        <f t="shared" si="5"/>
        <v>-0.20781281577398425</v>
      </c>
      <c r="J35" s="38" t="s">
        <v>22</v>
      </c>
      <c r="K35" s="38"/>
    </row>
    <row r="36" spans="1:11" ht="15.75">
      <c r="A36" s="25" t="str">
        <v>Nutley</v>
      </c>
      <c r="B36" s="26" t="str">
        <v>NJ</v>
      </c>
      <c r="C36" s="10">
        <v>1173.7</v>
      </c>
      <c r="D36" s="15">
        <v>1685.373</v>
      </c>
      <c r="E36" s="15">
        <f t="shared" si="0"/>
        <v>-511.673</v>
      </c>
      <c r="F36" s="16">
        <f t="shared" si="3"/>
        <v>-0.30359629589414333</v>
      </c>
      <c r="G36" s="17">
        <v>1646.605</v>
      </c>
      <c r="H36" s="17">
        <f t="shared" si="4"/>
        <v>-472.90499999999997</v>
      </c>
      <c r="I36" s="16">
        <f t="shared" si="5"/>
        <v>-0.28720002672164846</v>
      </c>
      <c r="J36" s="39" t="s">
        <v>22</v>
      </c>
      <c r="K36" s="39"/>
    </row>
    <row r="37" spans="1:11" ht="15.6">
      <c r="A37" s="27" t="str">
        <v>Marlton</v>
      </c>
      <c r="B37" s="28" t="str">
        <v>NJ</v>
      </c>
      <c r="C37" s="21">
        <v>1398.5999999999899</v>
      </c>
      <c r="D37" s="11">
        <v>1470.6610000000001</v>
      </c>
      <c r="E37" s="11">
        <f t="shared" si="0"/>
        <v>-72.061000000010154</v>
      </c>
      <c r="F37" s="12">
        <f t="shared" si="3"/>
        <v>-4.8999055526739436E-2</v>
      </c>
      <c r="G37" s="13">
        <v>1600.1949999999999</v>
      </c>
      <c r="H37" s="13">
        <f t="shared" si="4"/>
        <v>-201.59500000001003</v>
      </c>
      <c r="I37" s="14">
        <f t="shared" si="5"/>
        <v>-0.12598152100213414</v>
      </c>
      <c r="J37" s="38"/>
      <c r="K37" s="38"/>
    </row>
    <row r="38" spans="1:11" ht="15.6">
      <c r="A38" s="25" t="str">
        <v>Middletown</v>
      </c>
      <c r="B38" s="26" t="str">
        <v>NJ</v>
      </c>
      <c r="C38" s="10">
        <v>1802.6000000000099</v>
      </c>
      <c r="D38" s="15">
        <v>1488.2429999999999</v>
      </c>
      <c r="E38" s="15">
        <f t="shared" si="0"/>
        <v>314.35700000000998</v>
      </c>
      <c r="F38" s="16">
        <f t="shared" si="3"/>
        <v>0.21122693001076437</v>
      </c>
      <c r="G38" s="17">
        <v>1620.8869999999999</v>
      </c>
      <c r="H38" s="17">
        <f t="shared" si="4"/>
        <v>181.71300000000997</v>
      </c>
      <c r="I38" s="16">
        <f t="shared" si="5"/>
        <v>0.1121071364012482</v>
      </c>
      <c r="J38" s="39"/>
      <c r="K38" s="39"/>
    </row>
    <row r="39" spans="1:11" ht="15.6">
      <c r="A39" s="27" t="str">
        <v>Whiting Crestwood</v>
      </c>
      <c r="B39" s="28" t="str">
        <v>NJ</v>
      </c>
      <c r="C39" s="21">
        <v>2646.8999999999901</v>
      </c>
      <c r="D39" s="11">
        <v>2942.6959999999999</v>
      </c>
      <c r="E39" s="11">
        <f t="shared" si="0"/>
        <v>-295.79600000000983</v>
      </c>
      <c r="F39" s="12">
        <f t="shared" si="3"/>
        <v>-0.10051870801469463</v>
      </c>
      <c r="G39" s="13">
        <v>2442.152</v>
      </c>
      <c r="H39" s="13">
        <f t="shared" si="4"/>
        <v>204.74799999999004</v>
      </c>
      <c r="I39" s="14">
        <f t="shared" si="5"/>
        <v>8.3839171353785533E-2</v>
      </c>
      <c r="J39" s="38"/>
      <c r="K39" s="38"/>
    </row>
    <row r="40" spans="1:11" ht="15.6">
      <c r="A40" s="25" t="str">
        <v>Barnegat</v>
      </c>
      <c r="B40" s="26" t="str">
        <v>NJ</v>
      </c>
      <c r="C40" s="10">
        <v>2473.5</v>
      </c>
      <c r="D40" s="15">
        <v>2067.944</v>
      </c>
      <c r="E40" s="15">
        <f t="shared" si="0"/>
        <v>405.55600000000004</v>
      </c>
      <c r="F40" s="16">
        <f t="shared" si="3"/>
        <v>0.19611556212353914</v>
      </c>
      <c r="G40" s="17">
        <v>2007.527</v>
      </c>
      <c r="H40" s="17">
        <f t="shared" si="4"/>
        <v>465.97299999999996</v>
      </c>
      <c r="I40" s="16">
        <f t="shared" si="5"/>
        <v>0.23211294293924811</v>
      </c>
      <c r="J40" s="39"/>
      <c r="K40" s="39"/>
    </row>
    <row r="41" spans="1:11" ht="15.75">
      <c r="A41" s="27" t="str">
        <v>Manchester</v>
      </c>
      <c r="B41" s="28" t="str">
        <v>NJ</v>
      </c>
      <c r="C41" s="21">
        <v>1525.8</v>
      </c>
      <c r="D41" s="11">
        <v>1804.835</v>
      </c>
      <c r="E41" s="11">
        <f t="shared" si="0"/>
        <v>-279.03500000000008</v>
      </c>
      <c r="F41" s="12">
        <f t="shared" si="3"/>
        <v>-0.15460416049112527</v>
      </c>
      <c r="G41" s="13">
        <v>2136.1849999999999</v>
      </c>
      <c r="H41" s="13">
        <f t="shared" si="4"/>
        <v>-610.38499999999999</v>
      </c>
      <c r="I41" s="14">
        <f t="shared" si="5"/>
        <v>-0.28573602005444287</v>
      </c>
      <c r="J41" s="38" t="s">
        <v>22</v>
      </c>
      <c r="K41" s="38"/>
    </row>
    <row r="42" spans="1:11" ht="15.6">
      <c r="A42" s="25" t="str">
        <v>West Deptford - Woodbury</v>
      </c>
      <c r="B42" s="26" t="str">
        <v>NJ</v>
      </c>
      <c r="C42" s="10">
        <v>2282.3000000000002</v>
      </c>
      <c r="D42" s="15">
        <v>2179.223</v>
      </c>
      <c r="E42" s="15">
        <f t="shared" si="0"/>
        <v>103.07700000000023</v>
      </c>
      <c r="F42" s="16">
        <f t="shared" si="3"/>
        <v>4.7299886243858578E-2</v>
      </c>
      <c r="G42" s="17">
        <v>1943.4659999999999</v>
      </c>
      <c r="H42" s="17">
        <f t="shared" si="4"/>
        <v>338.83400000000029</v>
      </c>
      <c r="I42" s="16">
        <f t="shared" si="5"/>
        <v>0.17434521622709134</v>
      </c>
      <c r="J42" s="39"/>
      <c r="K42" s="39"/>
    </row>
    <row r="43" spans="1:11" ht="15.6">
      <c r="A43" s="27" t="str">
        <v>Edison</v>
      </c>
      <c r="B43" s="28" t="str">
        <v>NJ</v>
      </c>
      <c r="C43" s="21">
        <v>1779.2</v>
      </c>
      <c r="D43" s="11">
        <v>1552.424</v>
      </c>
      <c r="E43" s="11">
        <f t="shared" si="0"/>
        <v>226.77600000000007</v>
      </c>
      <c r="F43" s="12">
        <f t="shared" si="3"/>
        <v>0.1460786486166151</v>
      </c>
      <c r="G43" s="13">
        <v>1463.914</v>
      </c>
      <c r="H43" s="13">
        <f t="shared" si="4"/>
        <v>315.28600000000006</v>
      </c>
      <c r="I43" s="14">
        <f t="shared" si="5"/>
        <v>0.21537194124791487</v>
      </c>
      <c r="J43" s="38"/>
      <c r="K43" s="38"/>
    </row>
    <row r="44" spans="1:11" ht="15.75">
      <c r="A44" s="25" t="str">
        <v>Flemington</v>
      </c>
      <c r="B44" s="26" t="str">
        <v>NJ</v>
      </c>
      <c r="C44" s="10">
        <v>1188.6000000000099</v>
      </c>
      <c r="D44" s="15">
        <v>1601.248</v>
      </c>
      <c r="E44" s="15">
        <f t="shared" si="0"/>
        <v>-412.64799999999013</v>
      </c>
      <c r="F44" s="16">
        <f t="shared" si="3"/>
        <v>-0.25770399088710189</v>
      </c>
      <c r="G44" s="17">
        <v>1235.328</v>
      </c>
      <c r="H44" s="17">
        <f t="shared" si="4"/>
        <v>-46.727999999990061</v>
      </c>
      <c r="I44" s="16">
        <f t="shared" si="5"/>
        <v>-3.7826391047551797E-2</v>
      </c>
      <c r="J44" s="39" t="s">
        <v>22</v>
      </c>
      <c r="K44" s="39"/>
    </row>
    <row r="45" spans="1:11" ht="15.6">
      <c r="A45" s="27" t="str">
        <v>Route 22</v>
      </c>
      <c r="B45" s="28" t="str">
        <v>NJ</v>
      </c>
      <c r="C45" s="21">
        <v>1568.99999999999</v>
      </c>
      <c r="D45" s="11">
        <v>1449.9580000000001</v>
      </c>
      <c r="E45" s="11">
        <f t="shared" si="0"/>
        <v>119.04199999998991</v>
      </c>
      <c r="F45" s="12">
        <f t="shared" si="3"/>
        <v>8.2100309112394909E-2</v>
      </c>
      <c r="G45" s="13">
        <v>1384.807</v>
      </c>
      <c r="H45" s="13">
        <f t="shared" si="4"/>
        <v>184.19299999998998</v>
      </c>
      <c r="I45" s="14">
        <f t="shared" si="5"/>
        <v>0.13300987068955455</v>
      </c>
      <c r="J45" s="38"/>
      <c r="K45" s="38"/>
    </row>
    <row r="46" spans="1:11" ht="15.75">
      <c r="A46" s="25" t="str">
        <v>Laurelton</v>
      </c>
      <c r="B46" s="26" t="str">
        <v>NJ</v>
      </c>
      <c r="C46" s="10">
        <v>830.90000000000896</v>
      </c>
      <c r="D46" s="15">
        <v>1039.606</v>
      </c>
      <c r="E46" s="15">
        <f t="shared" si="0"/>
        <v>-208.70599999999104</v>
      </c>
      <c r="F46" s="16">
        <f t="shared" si="3"/>
        <v>-0.20075490137608965</v>
      </c>
      <c r="G46" s="17">
        <v>1167.7719999999999</v>
      </c>
      <c r="H46" s="17">
        <f t="shared" si="4"/>
        <v>-336.87199999999098</v>
      </c>
      <c r="I46" s="16">
        <f t="shared" si="5"/>
        <v>-0.28847411994806432</v>
      </c>
      <c r="J46" s="39" t="s">
        <v>22</v>
      </c>
      <c r="K46" s="39"/>
    </row>
    <row r="47" spans="1:11" ht="15.75">
      <c r="A47" s="27" t="str">
        <v>Mahwah</v>
      </c>
      <c r="B47" s="28" t="str">
        <v>NJ</v>
      </c>
      <c r="C47" s="21">
        <v>807.30000000000302</v>
      </c>
      <c r="D47" s="11">
        <v>1393.127</v>
      </c>
      <c r="E47" s="11">
        <f t="shared" si="0"/>
        <v>-585.82699999999693</v>
      </c>
      <c r="F47" s="12">
        <f t="shared" si="3"/>
        <v>-0.42051227203262659</v>
      </c>
      <c r="G47" s="13">
        <v>1017.264</v>
      </c>
      <c r="H47" s="13">
        <f t="shared" si="4"/>
        <v>-209.96399999999699</v>
      </c>
      <c r="I47" s="14">
        <f t="shared" si="5"/>
        <v>-0.2064006983437898</v>
      </c>
      <c r="J47" s="38" t="s">
        <v>22</v>
      </c>
      <c r="K47" s="38"/>
    </row>
    <row r="48" spans="1:11" ht="15.75">
      <c r="A48" s="25" t="str">
        <v>Franklin Township WF</v>
      </c>
      <c r="B48" s="26" t="str">
        <v>NJ</v>
      </c>
      <c r="C48" s="10">
        <v>1186.5</v>
      </c>
      <c r="D48" s="15">
        <v>1355.258</v>
      </c>
      <c r="E48" s="15">
        <f t="shared" si="0"/>
        <v>-168.75800000000004</v>
      </c>
      <c r="F48" s="16">
        <f t="shared" si="3"/>
        <v>-0.12452093992435391</v>
      </c>
      <c r="G48" s="17">
        <v>1713.133</v>
      </c>
      <c r="H48" s="17">
        <f t="shared" si="4"/>
        <v>-526.63300000000004</v>
      </c>
      <c r="I48" s="16">
        <f t="shared" si="5"/>
        <v>-0.30740929046372933</v>
      </c>
      <c r="J48" s="39" t="s">
        <v>22</v>
      </c>
      <c r="K48" s="39"/>
    </row>
    <row r="49" spans="1:11" ht="15.6">
      <c r="A49" s="27" t="str">
        <v>Bordentown</v>
      </c>
      <c r="B49" s="28" t="str">
        <v>NJ</v>
      </c>
      <c r="C49" s="21">
        <v>1339.3999999999901</v>
      </c>
      <c r="D49" s="11">
        <v>1122.4870000000001</v>
      </c>
      <c r="E49" s="11">
        <f t="shared" si="0"/>
        <v>216.91299999999001</v>
      </c>
      <c r="F49" s="12">
        <f t="shared" si="3"/>
        <v>0.1932432179615354</v>
      </c>
      <c r="G49" s="13">
        <v>1121.857</v>
      </c>
      <c r="H49" s="13">
        <f t="shared" si="4"/>
        <v>217.54299999999012</v>
      </c>
      <c r="I49" s="14">
        <f t="shared" si="5"/>
        <v>0.19391330624133923</v>
      </c>
      <c r="J49" s="38"/>
      <c r="K49" s="38"/>
    </row>
    <row r="50" spans="1:11" ht="15.6">
      <c r="A50" s="25" t="str">
        <v>South Plainfield</v>
      </c>
      <c r="B50" s="26" t="str">
        <v>NJ</v>
      </c>
      <c r="C50" s="10">
        <v>770.69999999999698</v>
      </c>
      <c r="D50" s="15">
        <v>765.95060000000001</v>
      </c>
      <c r="E50" s="15">
        <f t="shared" si="0"/>
        <v>4.7493999999969674</v>
      </c>
      <c r="F50" s="16">
        <f t="shared" si="3"/>
        <v>6.2006609825711574E-3</v>
      </c>
      <c r="G50" s="17">
        <v>743.56569999999999</v>
      </c>
      <c r="H50" s="17">
        <f t="shared" si="4"/>
        <v>27.134299999996983</v>
      </c>
      <c r="I50" s="16">
        <f t="shared" si="5"/>
        <v>3.6492135126723814E-2</v>
      </c>
      <c r="J50" s="39"/>
      <c r="K50" s="39"/>
    </row>
    <row r="51" spans="1:11" ht="15.75">
      <c r="A51" s="27" t="str">
        <v>Somerset</v>
      </c>
      <c r="B51" s="28" t="str">
        <v>NJ</v>
      </c>
      <c r="C51" s="21">
        <v>1156</v>
      </c>
      <c r="D51" s="11">
        <v>2084.38</v>
      </c>
      <c r="E51" s="11">
        <f t="shared" si="0"/>
        <v>-928.38000000000011</v>
      </c>
      <c r="F51" s="12">
        <f t="shared" si="3"/>
        <v>-0.44539863172742017</v>
      </c>
      <c r="G51" s="13">
        <v>1055.8320000000001</v>
      </c>
      <c r="H51" s="13">
        <f t="shared" si="4"/>
        <v>100.16799999999989</v>
      </c>
      <c r="I51" s="14">
        <f t="shared" si="5"/>
        <v>9.4871153744156153E-2</v>
      </c>
      <c r="J51" s="38" t="s">
        <v>22</v>
      </c>
      <c r="K51" s="38"/>
    </row>
    <row r="52" spans="1:11" ht="15.75">
      <c r="A52" s="25" t="str">
        <v>Clinton Main Relo</v>
      </c>
      <c r="B52" s="26" t="str">
        <v>NJ</v>
      </c>
      <c r="C52" s="10">
        <v>988.296875</v>
      </c>
      <c r="D52" s="15">
        <v>1560.2739999999999</v>
      </c>
      <c r="E52" s="15">
        <f t="shared" si="0"/>
        <v>-571.97712499999989</v>
      </c>
      <c r="F52" s="16">
        <f t="shared" si="3"/>
        <v>-0.36658761538037543</v>
      </c>
      <c r="G52" s="17">
        <v>1074.4929999999999</v>
      </c>
      <c r="H52" s="17">
        <f t="shared" si="4"/>
        <v>-86.196124999999938</v>
      </c>
      <c r="I52" s="16">
        <f t="shared" si="5"/>
        <v>-8.0220275981323239E-2</v>
      </c>
      <c r="J52" s="39" t="s">
        <v>22</v>
      </c>
      <c r="K52" s="39"/>
    </row>
    <row r="53" spans="1:11" ht="28.9">
      <c r="A53" s="27" t="str">
        <v>North Brunswick</v>
      </c>
      <c r="B53" s="28" t="str">
        <v>NJ</v>
      </c>
      <c r="C53" s="21">
        <v>1330.3</v>
      </c>
      <c r="D53" s="11">
        <v>1367.2429999999999</v>
      </c>
      <c r="E53" s="11">
        <f t="shared" si="0"/>
        <v>-36.942999999999984</v>
      </c>
      <c r="F53" s="12">
        <f t="shared" si="3"/>
        <v>-2.702006885389063E-2</v>
      </c>
      <c r="G53" s="13">
        <v>1384.19</v>
      </c>
      <c r="H53" s="13">
        <f t="shared" si="4"/>
        <v>-53.8900000000001</v>
      </c>
      <c r="I53" s="14">
        <f t="shared" si="5"/>
        <v>-3.8932516489788321E-2</v>
      </c>
      <c r="J53" s="38" t="s">
        <v>30</v>
      </c>
      <c r="K53" s="79" t="s">
        <v>31</v>
      </c>
    </row>
    <row r="54" spans="1:11" ht="43.15">
      <c r="A54" s="25" t="str">
        <v>Cherry Hill</v>
      </c>
      <c r="B54" s="26" t="str">
        <v>NJ</v>
      </c>
      <c r="C54" s="10">
        <v>952.55378753063303</v>
      </c>
      <c r="D54" s="15">
        <v>1172.1020000000001</v>
      </c>
      <c r="E54" s="15">
        <f t="shared" si="0"/>
        <v>-219.54821246936706</v>
      </c>
      <c r="F54" s="16">
        <f t="shared" si="3"/>
        <v>-0.18731152448282407</v>
      </c>
      <c r="G54" s="17">
        <v>909.55790000000002</v>
      </c>
      <c r="H54" s="17">
        <f t="shared" si="4"/>
        <v>42.995887530633013</v>
      </c>
      <c r="I54" s="16">
        <f t="shared" si="5"/>
        <v>4.7271193544284551E-2</v>
      </c>
      <c r="J54" s="39" t="s">
        <v>32</v>
      </c>
      <c r="K54" s="81" t="s">
        <v>33</v>
      </c>
    </row>
    <row r="55" spans="1:11" ht="15.75">
      <c r="A55" s="27" t="str">
        <v>Hainesport</v>
      </c>
      <c r="B55" s="28" t="str">
        <v>NJ</v>
      </c>
      <c r="C55" s="21">
        <v>1266</v>
      </c>
      <c r="D55" s="11">
        <v>1241.4849999999999</v>
      </c>
      <c r="E55" s="11">
        <f t="shared" si="0"/>
        <v>24.5150000000001</v>
      </c>
      <c r="F55" s="12">
        <f t="shared" si="3"/>
        <v>1.9746513248247142E-2</v>
      </c>
      <c r="G55" s="13">
        <v>988.36789999999996</v>
      </c>
      <c r="H55" s="13">
        <f t="shared" si="4"/>
        <v>277.63210000000004</v>
      </c>
      <c r="I55" s="14">
        <f t="shared" si="5"/>
        <v>0.28089955167503927</v>
      </c>
      <c r="J55" s="38"/>
      <c r="K55" s="38"/>
    </row>
    <row r="56" spans="1:11" ht="15.75">
      <c r="A56" s="25" t="str">
        <v>San Antonio - Ops Ctr (Bldg 106)</v>
      </c>
      <c r="B56" s="26" t="str">
        <v>TX</v>
      </c>
      <c r="C56" s="10">
        <v>29278.75</v>
      </c>
      <c r="D56" s="15">
        <v>35496.120000000003</v>
      </c>
      <c r="E56" s="15">
        <f t="shared" si="0"/>
        <v>-6217.3700000000026</v>
      </c>
      <c r="F56" s="16">
        <f t="shared" si="3"/>
        <v>-0.17515632694502956</v>
      </c>
      <c r="G56" s="17">
        <v>34683.089999999997</v>
      </c>
      <c r="H56" s="17">
        <f t="shared" si="4"/>
        <v>-5404.3399999999965</v>
      </c>
      <c r="I56" s="16">
        <f t="shared" si="5"/>
        <v>-0.15582060306622036</v>
      </c>
      <c r="J56" s="39" t="s">
        <v>34</v>
      </c>
      <c r="K56" s="39"/>
    </row>
    <row r="57" spans="1:11" ht="15.75">
      <c r="A57" s="27" t="str">
        <v>San Antonio - Ops Ctr GM</v>
      </c>
      <c r="B57" s="28" t="str">
        <v>TX</v>
      </c>
      <c r="C57" s="21">
        <v>242775.1765</v>
      </c>
      <c r="D57" s="11">
        <v>278246.8</v>
      </c>
      <c r="E57" s="11">
        <f t="shared" si="0"/>
        <v>-35471.623499999987</v>
      </c>
      <c r="F57" s="12">
        <f t="shared" si="3"/>
        <v>-0.127482592791723</v>
      </c>
      <c r="G57" s="13">
        <v>286543</v>
      </c>
      <c r="H57" s="13">
        <f t="shared" si="4"/>
        <v>-43767.823499999999</v>
      </c>
      <c r="I57" s="14">
        <f t="shared" si="5"/>
        <v>-0.15274434727074121</v>
      </c>
      <c r="J57" s="38" t="s">
        <v>34</v>
      </c>
      <c r="K57" s="38"/>
    </row>
    <row r="58" spans="1:11" ht="15.75">
      <c r="A58" s="25" t="str">
        <v>San Antonio - Ctr (Bldg 201)</v>
      </c>
      <c r="B58" s="26" t="str">
        <v>TX</v>
      </c>
      <c r="C58" s="10">
        <v>30240.4375</v>
      </c>
      <c r="D58" s="15">
        <v>35142.93</v>
      </c>
      <c r="E58" s="15">
        <f t="shared" si="0"/>
        <v>-4902.4925000000003</v>
      </c>
      <c r="F58" s="16">
        <f t="shared" si="3"/>
        <v>-0.13950152989520226</v>
      </c>
      <c r="G58" s="17">
        <v>35425.629999999997</v>
      </c>
      <c r="H58" s="17">
        <f t="shared" si="4"/>
        <v>-5185.1924999999974</v>
      </c>
      <c r="I58" s="16">
        <f t="shared" si="5"/>
        <v>-0.14636839203706462</v>
      </c>
      <c r="J58" s="39" t="s">
        <v>34</v>
      </c>
      <c r="K58" s="39"/>
    </row>
    <row r="59" spans="1:11" ht="15.75">
      <c r="A59" s="27" t="str">
        <v>San Antonio - Ops Ctr (Bldg 203)</v>
      </c>
      <c r="B59" s="28" t="str">
        <v>TX</v>
      </c>
      <c r="C59" s="21">
        <v>32107.5625</v>
      </c>
      <c r="D59" s="11">
        <v>31334.81</v>
      </c>
      <c r="E59" s="11">
        <f t="shared" si="0"/>
        <v>772.75249999999869</v>
      </c>
      <c r="F59" s="12">
        <f t="shared" si="3"/>
        <v>2.4661151607429523E-2</v>
      </c>
      <c r="G59" s="13">
        <v>36478.639999999999</v>
      </c>
      <c r="H59" s="13">
        <f t="shared" si="4"/>
        <v>-4371.0774999999994</v>
      </c>
      <c r="I59" s="14">
        <f t="shared" si="5"/>
        <v>-0.11982567058421036</v>
      </c>
      <c r="J59" s="38" t="s">
        <v>34</v>
      </c>
      <c r="K59" s="38"/>
    </row>
    <row r="60" spans="1:11" ht="15.75">
      <c r="A60" s="25" t="str">
        <v>San Antonio - Ops Ctr (Bldg 205)</v>
      </c>
      <c r="B60" s="26" t="str">
        <v>TX</v>
      </c>
      <c r="C60" s="10">
        <v>27955.011930000001</v>
      </c>
      <c r="D60" s="15">
        <v>32091.94</v>
      </c>
      <c r="E60" s="15">
        <f t="shared" si="0"/>
        <v>-4136.9280699999981</v>
      </c>
      <c r="F60" s="16">
        <f t="shared" si="3"/>
        <v>-0.12890863157540486</v>
      </c>
      <c r="G60" s="17">
        <v>32995.300000000003</v>
      </c>
      <c r="H60" s="17">
        <f t="shared" si="4"/>
        <v>-5040.2880700000023</v>
      </c>
      <c r="I60" s="16">
        <f t="shared" si="5"/>
        <v>-0.15275775852924514</v>
      </c>
      <c r="J60" s="39" t="s">
        <v>34</v>
      </c>
      <c r="K60" s="39"/>
    </row>
    <row r="61" spans="1:11" ht="15.75">
      <c r="A61" s="27" t="str">
        <v>San Antonio - Ops Ctr (Bldg 307)</v>
      </c>
      <c r="B61" s="28" t="str">
        <v>TX</v>
      </c>
      <c r="C61" s="21">
        <v>29449.375</v>
      </c>
      <c r="D61" s="11">
        <v>34829.83</v>
      </c>
      <c r="E61" s="11">
        <f t="shared" si="0"/>
        <v>-5380.4550000000017</v>
      </c>
      <c r="F61" s="12">
        <f t="shared" si="3"/>
        <v>-0.15447835949816585</v>
      </c>
      <c r="G61" s="13">
        <v>34192.67</v>
      </c>
      <c r="H61" s="13">
        <f t="shared" si="4"/>
        <v>-4743.2949999999983</v>
      </c>
      <c r="I61" s="14">
        <f t="shared" si="5"/>
        <v>-0.13872256831654264</v>
      </c>
      <c r="J61" s="38" t="s">
        <v>34</v>
      </c>
      <c r="K61" s="38"/>
    </row>
    <row r="62" spans="1:11" ht="15.75">
      <c r="A62" s="25" t="str">
        <v>San Antonio - Ctr (Bldg 308)</v>
      </c>
      <c r="B62" s="26" t="str">
        <v>TX</v>
      </c>
      <c r="C62" s="10">
        <v>30173.854480000002</v>
      </c>
      <c r="D62" s="15">
        <v>34055.89</v>
      </c>
      <c r="E62" s="15">
        <f t="shared" si="0"/>
        <v>-3882.0355199999976</v>
      </c>
      <c r="F62" s="16">
        <f t="shared" si="3"/>
        <v>-0.11399013562705299</v>
      </c>
      <c r="G62" s="17">
        <v>33832.769999999997</v>
      </c>
      <c r="H62" s="17">
        <f t="shared" si="4"/>
        <v>-3658.915519999995</v>
      </c>
      <c r="I62" s="16">
        <f t="shared" si="5"/>
        <v>-0.10814708698105403</v>
      </c>
      <c r="J62" s="39" t="s">
        <v>34</v>
      </c>
      <c r="K62" s="39"/>
    </row>
    <row r="63" spans="1:11" ht="15.75">
      <c r="A63" s="27" t="str">
        <v>San Antonio - Ops Ctr (Bldg 104)</v>
      </c>
      <c r="B63" s="28" t="str">
        <v>TX</v>
      </c>
      <c r="C63" s="21">
        <v>7770.294922</v>
      </c>
      <c r="D63" s="11">
        <v>10657.28</v>
      </c>
      <c r="E63" s="11">
        <f t="shared" si="0"/>
        <v>-2886.9850780000006</v>
      </c>
      <c r="F63" s="12">
        <f t="shared" si="3"/>
        <v>-0.27089323711115787</v>
      </c>
      <c r="G63" s="13">
        <v>10100</v>
      </c>
      <c r="H63" s="13">
        <f t="shared" si="4"/>
        <v>-2329.705078</v>
      </c>
      <c r="I63" s="14">
        <f t="shared" si="5"/>
        <v>-0.23066386910891087</v>
      </c>
      <c r="J63" s="38" t="s">
        <v>34</v>
      </c>
      <c r="K63" s="38"/>
    </row>
    <row r="64" spans="1:11" ht="15.75">
      <c r="A64" s="25" t="str">
        <v>San Antonio - Ops Ctr (Bldg 102)</v>
      </c>
      <c r="B64" s="26" t="str">
        <v>TX</v>
      </c>
      <c r="C64" s="10">
        <v>32748.65796</v>
      </c>
      <c r="D64" s="15">
        <v>31328.42</v>
      </c>
      <c r="E64" s="15">
        <f t="shared" si="0"/>
        <v>1420.2379600000022</v>
      </c>
      <c r="F64" s="16">
        <f t="shared" si="3"/>
        <v>4.5333852138090665E-2</v>
      </c>
      <c r="G64" s="17">
        <v>37503.589999999997</v>
      </c>
      <c r="H64" s="17">
        <f t="shared" si="4"/>
        <v>-4754.9320399999961</v>
      </c>
      <c r="I64" s="16">
        <f t="shared" si="5"/>
        <v>-0.1267860500821387</v>
      </c>
      <c r="J64" s="39" t="s">
        <v>34</v>
      </c>
      <c r="K64" s="39"/>
    </row>
    <row r="65" spans="1:11" ht="15.75">
      <c r="A65" s="27" t="str">
        <v>Lodi - Lodi Vineyard</v>
      </c>
      <c r="B65" s="28" t="str">
        <v>CA</v>
      </c>
      <c r="C65" s="21">
        <v>20951.21875</v>
      </c>
      <c r="D65" s="11">
        <v>21734.83</v>
      </c>
      <c r="E65" s="11">
        <f t="shared" si="0"/>
        <v>-783.61125000000175</v>
      </c>
      <c r="F65" s="12">
        <f t="shared" si="3"/>
        <v>-3.6053249553826813E-2</v>
      </c>
      <c r="G65" s="13">
        <v>17814</v>
      </c>
      <c r="H65" s="13">
        <f t="shared" si="4"/>
        <v>3137.21875</v>
      </c>
      <c r="I65" s="14">
        <f t="shared" si="5"/>
        <v>0.17610973111036263</v>
      </c>
      <c r="J65" s="38"/>
      <c r="K65" s="38"/>
    </row>
    <row r="66" spans="1:11" ht="15.6">
      <c r="A66" s="25" t="str">
        <v>Arden Fair Mall</v>
      </c>
      <c r="B66" s="26" t="str">
        <v>CA</v>
      </c>
      <c r="C66" s="10">
        <v>10599.65625</v>
      </c>
      <c r="D66" s="15">
        <v>12935.16</v>
      </c>
      <c r="E66" s="15">
        <f t="shared" si="0"/>
        <v>-2335.5037499999999</v>
      </c>
      <c r="F66" s="16">
        <f t="shared" si="3"/>
        <v>-0.18055468583303183</v>
      </c>
      <c r="G66" s="17">
        <v>10608</v>
      </c>
      <c r="H66" s="17">
        <f t="shared" si="4"/>
        <v>-8.34375</v>
      </c>
      <c r="I66" s="16">
        <f t="shared" si="5"/>
        <v>-7.8655260180995478E-4</v>
      </c>
      <c r="J66" s="39"/>
      <c r="K66" s="39"/>
    </row>
    <row r="67" spans="1:11" ht="15.6">
      <c r="A67" s="27" t="str">
        <v>Modesto - Modesto Main</v>
      </c>
      <c r="B67" s="28" t="str">
        <v>CA</v>
      </c>
      <c r="C67" s="21">
        <v>7933.953125</v>
      </c>
      <c r="D67" s="11">
        <v>10825.7</v>
      </c>
      <c r="E67" s="11">
        <f t="shared" si="0"/>
        <v>-2891.7468750000007</v>
      </c>
      <c r="F67" s="12">
        <f t="shared" si="3"/>
        <v>-0.26711869671245281</v>
      </c>
      <c r="G67" s="13">
        <v>10268.68</v>
      </c>
      <c r="H67" s="13">
        <f t="shared" si="4"/>
        <v>-2334.7268750000003</v>
      </c>
      <c r="I67" s="14">
        <f t="shared" si="5"/>
        <v>-0.22736387490894644</v>
      </c>
      <c r="J67" s="38" t="s">
        <v>35</v>
      </c>
      <c r="K67" s="79" t="s">
        <v>36</v>
      </c>
    </row>
    <row r="68" spans="1:11" ht="15.6">
      <c r="A68" s="25" t="str">
        <v>Stevens Creek</v>
      </c>
      <c r="B68" s="26" t="str">
        <v>CA</v>
      </c>
      <c r="C68" s="10">
        <v>3096.2008642543701</v>
      </c>
      <c r="D68" s="15">
        <v>2594.087</v>
      </c>
      <c r="E68" s="15">
        <f t="shared" si="0"/>
        <v>502.11386425437013</v>
      </c>
      <c r="F68" s="16">
        <f t="shared" si="3"/>
        <v>0.1935609192191203</v>
      </c>
      <c r="G68" s="17">
        <v>2416</v>
      </c>
      <c r="H68" s="17">
        <f t="shared" si="4"/>
        <v>680.20086425437012</v>
      </c>
      <c r="I68" s="16">
        <f t="shared" si="5"/>
        <v>0.28154009282051745</v>
      </c>
      <c r="J68" s="54"/>
      <c r="K68" s="39"/>
    </row>
    <row r="69" spans="1:11" ht="15.6">
      <c r="A69" s="27" t="str">
        <v>Covina Main</v>
      </c>
      <c r="B69" s="28" t="str">
        <v>CA</v>
      </c>
      <c r="C69" s="21">
        <v>2141.6999999999998</v>
      </c>
      <c r="D69" s="11">
        <v>1912.7059999999999</v>
      </c>
      <c r="E69" s="11">
        <f t="shared" ref="E69:E83" si="6">IF(AND(ISNUMBER(C69),ISNUMBER(D69)), C69-D69, "")</f>
        <v>228.99399999999991</v>
      </c>
      <c r="F69" s="12">
        <f t="shared" si="3"/>
        <v>0.11972252923345246</v>
      </c>
      <c r="G69" s="13">
        <v>2134</v>
      </c>
      <c r="H69" s="13">
        <f t="shared" si="4"/>
        <v>7.6999999999998181</v>
      </c>
      <c r="I69" s="14">
        <f t="shared" si="5"/>
        <v>3.6082474226803271E-3</v>
      </c>
      <c r="J69" s="38"/>
      <c r="K69" s="38"/>
    </row>
    <row r="70" spans="1:11" ht="15.75">
      <c r="A70" s="25" t="str">
        <v>Old Ranch Town Center</v>
      </c>
      <c r="B70" s="26" t="str">
        <v>CA</v>
      </c>
      <c r="C70" s="10">
        <v>642.60620117187</v>
      </c>
      <c r="D70" s="15">
        <v>0</v>
      </c>
      <c r="E70" s="15">
        <f t="shared" si="6"/>
        <v>642.60620117187</v>
      </c>
      <c r="F70" s="16" t="str">
        <f t="shared" ref="F70:F83" si="7">IFERROR(E70/D70, "")</f>
        <v/>
      </c>
      <c r="G70" s="17">
        <v>910</v>
      </c>
      <c r="H70" s="17">
        <f t="shared" si="4"/>
        <v>-267.39379882813</v>
      </c>
      <c r="I70" s="16">
        <f t="shared" si="5"/>
        <v>-0.29383933937157142</v>
      </c>
      <c r="J70" s="39" t="s">
        <v>22</v>
      </c>
      <c r="K70" s="39"/>
    </row>
    <row r="71" spans="1:11" ht="15.75">
      <c r="A71" s="27" t="str">
        <v>Mountain Gate Plaza</v>
      </c>
      <c r="B71" s="28" t="str">
        <v>CA</v>
      </c>
      <c r="C71" s="21">
        <v>5252.3031909106203</v>
      </c>
      <c r="D71" s="11">
        <v>0</v>
      </c>
      <c r="E71" s="11">
        <f t="shared" si="6"/>
        <v>5252.3031909106203</v>
      </c>
      <c r="F71" s="12" t="str">
        <f t="shared" si="7"/>
        <v/>
      </c>
      <c r="G71" s="13">
        <v>6591</v>
      </c>
      <c r="H71" s="13">
        <f t="shared" ref="H71:H83" si="8">IF(AND(ISNUMBER(C71),ISNUMBER(G71)), C71-G71, "")</f>
        <v>-1338.6968090893797</v>
      </c>
      <c r="I71" s="14">
        <f t="shared" ref="I71:I83" si="9">IFERROR(H71/G71, "")</f>
        <v>-0.20310981779538456</v>
      </c>
      <c r="J71" s="38" t="s">
        <v>22</v>
      </c>
      <c r="K71" s="38"/>
    </row>
    <row r="72" spans="1:11" ht="28.9">
      <c r="A72" s="25" t="str">
        <v>Arcadia Main</v>
      </c>
      <c r="B72" s="26" t="str">
        <v>CA</v>
      </c>
      <c r="C72" s="10">
        <v>1679.0975195312501</v>
      </c>
      <c r="D72" s="15">
        <v>0</v>
      </c>
      <c r="E72" s="15">
        <f t="shared" si="6"/>
        <v>1679.0975195312501</v>
      </c>
      <c r="F72" s="16" t="str">
        <f t="shared" si="7"/>
        <v/>
      </c>
      <c r="G72" s="17">
        <v>3550</v>
      </c>
      <c r="H72" s="17">
        <f t="shared" si="8"/>
        <v>-1870.9024804687499</v>
      </c>
      <c r="I72" s="16">
        <f t="shared" si="9"/>
        <v>-0.52701478323063378</v>
      </c>
      <c r="J72" s="39" t="s">
        <v>37</v>
      </c>
      <c r="K72" s="82" t="s">
        <v>38</v>
      </c>
    </row>
    <row r="73" spans="1:11" ht="15.6">
      <c r="A73" s="27" t="str">
        <v>Fairfield</v>
      </c>
      <c r="B73" s="28" t="str">
        <v>CA</v>
      </c>
      <c r="C73" s="21">
        <v>2185.7230273437499</v>
      </c>
      <c r="D73" s="11">
        <v>2398.0520000000001</v>
      </c>
      <c r="E73" s="11">
        <f t="shared" si="6"/>
        <v>-212.32897265625024</v>
      </c>
      <c r="F73" s="12">
        <f t="shared" si="7"/>
        <v>-8.8542272084279339E-2</v>
      </c>
      <c r="G73" s="13">
        <v>2037</v>
      </c>
      <c r="H73" s="13">
        <f t="shared" si="8"/>
        <v>148.72302734374989</v>
      </c>
      <c r="I73" s="14">
        <f t="shared" si="9"/>
        <v>7.3010813619906675E-2</v>
      </c>
      <c r="J73" s="38"/>
      <c r="K73" s="38"/>
    </row>
    <row r="74" spans="1:11" ht="15.6">
      <c r="A74" s="25" t="str">
        <v>Los Gatos</v>
      </c>
      <c r="B74" s="26" t="str">
        <v>CA</v>
      </c>
      <c r="C74" s="10">
        <v>1247.8238378906201</v>
      </c>
      <c r="D74" s="15">
        <v>1112.865</v>
      </c>
      <c r="E74" s="15">
        <f t="shared" si="6"/>
        <v>134.95883789062009</v>
      </c>
      <c r="F74" s="16">
        <f t="shared" si="7"/>
        <v>0.12127152699619459</v>
      </c>
      <c r="G74" s="17">
        <v>0</v>
      </c>
      <c r="H74" s="17">
        <f t="shared" si="8"/>
        <v>1247.8238378906201</v>
      </c>
      <c r="I74" s="16" t="str">
        <f t="shared" si="9"/>
        <v/>
      </c>
      <c r="J74" s="39"/>
      <c r="K74" s="39"/>
    </row>
    <row r="75" spans="1:11" ht="15.75">
      <c r="A75" s="27" t="str">
        <v>San Marino</v>
      </c>
      <c r="B75" s="28" t="str">
        <v>CA</v>
      </c>
      <c r="C75" s="21">
        <v>2293.8000000000002</v>
      </c>
      <c r="D75" s="11">
        <v>2367.9079999999999</v>
      </c>
      <c r="E75" s="11">
        <f t="shared" si="6"/>
        <v>-74.10799999999972</v>
      </c>
      <c r="F75" s="12">
        <f t="shared" si="7"/>
        <v>-3.1296824032014642E-2</v>
      </c>
      <c r="G75" s="13">
        <v>2895.0030000000002</v>
      </c>
      <c r="H75" s="13">
        <f t="shared" si="8"/>
        <v>-601.20299999999997</v>
      </c>
      <c r="I75" s="14">
        <f t="shared" si="9"/>
        <v>-0.20766921485055453</v>
      </c>
      <c r="J75" s="38" t="s">
        <v>22</v>
      </c>
      <c r="K75" s="38"/>
    </row>
    <row r="76" spans="1:11" ht="15.75">
      <c r="A76" s="25" t="str">
        <v>Buenaventura</v>
      </c>
      <c r="B76" s="26" t="str">
        <v>CA</v>
      </c>
      <c r="C76" s="10">
        <v>3155.58984375</v>
      </c>
      <c r="D76" s="15">
        <v>2389.828</v>
      </c>
      <c r="E76" s="15">
        <f t="shared" si="6"/>
        <v>765.76184375000003</v>
      </c>
      <c r="F76" s="16">
        <f t="shared" si="7"/>
        <v>0.32042550499450173</v>
      </c>
      <c r="G76" s="17">
        <v>3932.1959999999999</v>
      </c>
      <c r="H76" s="17">
        <f t="shared" si="8"/>
        <v>-776.60615624999991</v>
      </c>
      <c r="I76" s="16">
        <f t="shared" si="9"/>
        <v>-0.19749935055373638</v>
      </c>
      <c r="J76" s="39" t="s">
        <v>22</v>
      </c>
      <c r="K76" s="39"/>
    </row>
    <row r="77" spans="1:11" ht="15.6">
      <c r="A77" s="27" t="str">
        <v>N Black Canyon Hwy, Phoenix - North</v>
      </c>
      <c r="B77" s="28" t="str">
        <v>AZ</v>
      </c>
      <c r="C77" s="21">
        <v>61065.25</v>
      </c>
      <c r="D77" s="11">
        <v>57626.77</v>
      </c>
      <c r="E77" s="11">
        <f t="shared" si="6"/>
        <v>3438.4800000000032</v>
      </c>
      <c r="F77" s="12">
        <f t="shared" si="7"/>
        <v>5.9668102168488765E-2</v>
      </c>
      <c r="G77" s="13">
        <v>57066</v>
      </c>
      <c r="H77" s="13">
        <f t="shared" si="8"/>
        <v>3999.25</v>
      </c>
      <c r="I77" s="14">
        <f t="shared" si="9"/>
        <v>7.0081134125398667E-2</v>
      </c>
      <c r="J77" s="38"/>
      <c r="K77" s="38"/>
    </row>
    <row r="78" spans="1:11" ht="15.6">
      <c r="A78" s="25" t="str">
        <v>N Black Canyon Hwy, Phoenix - South</v>
      </c>
      <c r="B78" s="26" t="str">
        <v>AZ</v>
      </c>
      <c r="C78" s="10">
        <v>65447.125</v>
      </c>
      <c r="D78" s="15">
        <v>63092.13</v>
      </c>
      <c r="E78" s="15">
        <f t="shared" si="6"/>
        <v>2354.9950000000026</v>
      </c>
      <c r="F78" s="16">
        <f t="shared" si="7"/>
        <v>3.7326287763624441E-2</v>
      </c>
      <c r="G78" s="17">
        <v>63382</v>
      </c>
      <c r="H78" s="17">
        <f t="shared" si="8"/>
        <v>2065.125</v>
      </c>
      <c r="I78" s="16">
        <f t="shared" si="9"/>
        <v>3.2582199993689061E-2</v>
      </c>
      <c r="J78" s="39"/>
      <c r="K78" s="39"/>
    </row>
    <row r="79" spans="1:11" ht="43.15">
      <c r="A79" s="27" t="str">
        <v xml:space="preserve"> Building 2222, Rose Garden Ln, Phoenix</v>
      </c>
      <c r="B79" s="28" t="str">
        <v>AZ</v>
      </c>
      <c r="C79" s="21">
        <v>38004.868345944</v>
      </c>
      <c r="D79" s="11">
        <v>39144.57</v>
      </c>
      <c r="E79" s="11">
        <f t="shared" si="6"/>
        <v>-1139.7016540559998</v>
      </c>
      <c r="F79" s="12">
        <f t="shared" si="7"/>
        <v>-2.9115191559289062E-2</v>
      </c>
      <c r="G79" s="13">
        <v>65567</v>
      </c>
      <c r="H79" s="13">
        <f t="shared" si="8"/>
        <v>-27562.131654056</v>
      </c>
      <c r="I79" s="14">
        <f t="shared" si="9"/>
        <v>-0.42036591050461358</v>
      </c>
      <c r="J79" s="38" t="s">
        <v>39</v>
      </c>
      <c r="K79" s="79" t="s">
        <v>40</v>
      </c>
    </row>
    <row r="80" spans="1:11" ht="15.6">
      <c r="A80" s="25" t="str">
        <v xml:space="preserve"> Building 2202, Rose Garden Ln, Phoenix</v>
      </c>
      <c r="B80" s="26" t="str">
        <v>AZ</v>
      </c>
      <c r="C80" s="10">
        <v>62409.375</v>
      </c>
      <c r="D80" s="15">
        <v>32577.96</v>
      </c>
      <c r="E80" s="15">
        <f t="shared" si="6"/>
        <v>29831.415000000001</v>
      </c>
      <c r="F80" s="16">
        <f t="shared" si="7"/>
        <v>0.91569315574087518</v>
      </c>
      <c r="G80" s="17">
        <v>50223.48</v>
      </c>
      <c r="H80" s="17">
        <f t="shared" si="8"/>
        <v>12185.894999999997</v>
      </c>
      <c r="I80" s="16">
        <f t="shared" si="9"/>
        <v>0.24263342564075599</v>
      </c>
      <c r="J80" s="39" t="s">
        <v>41</v>
      </c>
      <c r="K80" s="39"/>
    </row>
    <row r="81" spans="1:12" ht="15.75">
      <c r="A81" s="27" t="str">
        <v xml:space="preserve"> 99TH Ave &amp; BELL</v>
      </c>
      <c r="B81" s="28" t="str">
        <v>AZ</v>
      </c>
      <c r="C81" s="21">
        <v>10491.8975420876</v>
      </c>
      <c r="D81" s="11">
        <v>8207.9079999999994</v>
      </c>
      <c r="E81" s="11">
        <f t="shared" si="6"/>
        <v>2283.9895420876001</v>
      </c>
      <c r="F81" s="12">
        <f t="shared" si="7"/>
        <v>0.2782669520768995</v>
      </c>
      <c r="G81" s="13">
        <v>13506</v>
      </c>
      <c r="H81" s="13">
        <f t="shared" si="8"/>
        <v>-3014.1024579124005</v>
      </c>
      <c r="I81" s="14">
        <f t="shared" si="9"/>
        <v>-0.2231676631062047</v>
      </c>
      <c r="J81" s="38" t="s">
        <v>22</v>
      </c>
      <c r="K81" s="38"/>
      <c r="L81" s="78"/>
    </row>
    <row r="82" spans="1:12" ht="15.6">
      <c r="A82" s="25" t="str">
        <v>Rincon</v>
      </c>
      <c r="B82" s="26" t="str">
        <v>AZ</v>
      </c>
      <c r="C82" s="10">
        <v>5659.890625</v>
      </c>
      <c r="D82" s="15">
        <v>4142.009</v>
      </c>
      <c r="E82" s="15">
        <f t="shared" si="6"/>
        <v>1517.881625</v>
      </c>
      <c r="F82" s="16">
        <f t="shared" si="7"/>
        <v>0.36646024308493774</v>
      </c>
      <c r="G82" s="17">
        <v>4593</v>
      </c>
      <c r="H82" s="17">
        <f t="shared" si="8"/>
        <v>1066.890625</v>
      </c>
      <c r="I82" s="16">
        <f t="shared" si="9"/>
        <v>0.23228622360113216</v>
      </c>
      <c r="J82" s="39"/>
      <c r="K82" s="54"/>
    </row>
    <row r="83" spans="1:12" ht="15.75">
      <c r="A83" s="27" t="str">
        <v>Tucson Main Parking Garage</v>
      </c>
      <c r="B83" s="28" t="str">
        <v>AZ</v>
      </c>
      <c r="C83" s="21">
        <v>7710.8024797258304</v>
      </c>
      <c r="D83" s="11">
        <v>9304.9619999999995</v>
      </c>
      <c r="E83" s="11">
        <f t="shared" si="6"/>
        <v>-1594.1595202741692</v>
      </c>
      <c r="F83" s="12">
        <f t="shared" si="7"/>
        <v>-0.17132359275343298</v>
      </c>
      <c r="G83" s="13">
        <v>8400</v>
      </c>
      <c r="H83" s="13">
        <f t="shared" si="8"/>
        <v>-689.19752027416962</v>
      </c>
      <c r="I83" s="14">
        <f t="shared" si="9"/>
        <v>-8.2047323842163053E-2</v>
      </c>
      <c r="J83" s="38" t="s">
        <v>22</v>
      </c>
      <c r="K83" s="38"/>
    </row>
    <row r="84" spans="1:12" ht="14.4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2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32" priority="10" stopIfTrue="1" operator="lessThanOrEqual">
      <formula>-0.1</formula>
    </cfRule>
    <cfRule type="expression" dxfId="31" priority="11">
      <formula>AND(ISNUMBER(F2), F2&gt;=0.1)</formula>
    </cfRule>
  </conditionalFormatting>
  <conditionalFormatting sqref="F4:F83 I4:I83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53" r:id="rId5" display="https://us3.assetplanner.com/service_request?ID=090252" xr:uid="{E1D04816-D267-4BEF-B31A-1241580328EF}"/>
    <hyperlink ref="K54" r:id="rId6" display="https://us3.assetplanner.com/service_request?ID=077660" xr:uid="{EBB20D6F-C75A-4644-A5FB-9A482470E682}"/>
    <hyperlink ref="K67" r:id="rId7" display="https://us3.assetplanner.com/service_request?ID=091735" xr:uid="{DE433953-DE2A-4DD3-B0B8-7B9089AD959E}"/>
    <hyperlink ref="K72" r:id="rId8" display="https://us3.assetplanner.com/service_request?ID=096085" xr:uid="{C1F7CD65-BE11-4305-AC56-2283C1AFB8B9}"/>
    <hyperlink ref="K79" r:id="rId9" display="https://us3.assetplanner.com/service_request?ID=094853" xr:uid="{74AD84E3-BB51-451C-8554-2B68720CDFBF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tabSelected="1" zoomScale="70" zoomScaleNormal="70" workbookViewId="0">
      <pane xSplit="2" ySplit="3" topLeftCell="C6" activePane="bottomRight" state="frozen"/>
      <selection pane="bottomRight" activeCell="K23" sqref="K23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88" t="str" cm="1">
        <f t="array" ref="A1">portfolio</f>
        <v>Wells Fargo</v>
      </c>
      <c r="B1" s="88"/>
      <c r="C1" s="88"/>
      <c r="D1" s="89" t="s">
        <v>42</v>
      </c>
      <c r="E1" s="89"/>
      <c r="F1" s="89"/>
      <c r="G1" s="87" t="s">
        <v>43</v>
      </c>
      <c r="H1" s="87"/>
      <c r="I1" s="87"/>
      <c r="J1" s="3"/>
      <c r="K1" s="3"/>
    </row>
    <row r="2" spans="1:14" ht="19.5" customHeight="1">
      <c r="A2" s="98" t="s">
        <v>2</v>
      </c>
      <c r="B2" s="98"/>
      <c r="C2" s="4">
        <f>SUM(C4:C97)</f>
        <v>1283426.75542213</v>
      </c>
      <c r="D2" s="4">
        <f>SUM(D4:D97)</f>
        <v>1301887.8950999998</v>
      </c>
      <c r="E2" s="4">
        <f>C2-D2</f>
        <v>-18461.139677869854</v>
      </c>
      <c r="F2" s="5">
        <f>IFERROR(E2/D2, 0)</f>
        <v>-1.4180283684450287E-2</v>
      </c>
      <c r="G2" s="4">
        <f>SUM(G4:G97)</f>
        <v>1468472.4357</v>
      </c>
      <c r="H2" s="6">
        <f>C2-G2</f>
        <v>-185045.68027787004</v>
      </c>
      <c r="I2" s="5">
        <f>IFERROR(H2/G2, 0)</f>
        <v>-0.12601236208404645</v>
      </c>
      <c r="J2" s="23" t="s">
        <v>44</v>
      </c>
      <c r="K2" s="3"/>
    </row>
    <row r="3" spans="1:14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4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60"/>
      <c r="K4" s="60"/>
    </row>
    <row r="5" spans="1:14" ht="15.6">
      <c r="A5" s="27" t="str">
        <v>Otay Mesa</v>
      </c>
      <c r="B5" s="28" t="str">
        <v>CA</v>
      </c>
      <c r="C5" s="10">
        <v>0</v>
      </c>
      <c r="D5" s="15">
        <v>0</v>
      </c>
      <c r="E5" s="15">
        <f>IF(AND(ISNUMBER(C5),ISNUMBER(D5)), C5-D5, "")</f>
        <v>0</v>
      </c>
      <c r="F5" s="16" t="str">
        <f>IFERROR(E5/D5, "")</f>
        <v/>
      </c>
      <c r="G5" s="17">
        <v>0</v>
      </c>
      <c r="H5" s="17">
        <f>IF(AND(ISNUMBER(C5),ISNUMBER(G5)), C5-G5, "")</f>
        <v>0</v>
      </c>
      <c r="I5" s="16" t="str">
        <f t="shared" ref="I5:I68" si="0">IFERROR(H5/G5, "")</f>
        <v/>
      </c>
      <c r="J5" s="39"/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70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2" t="s">
        <v>45</v>
      </c>
      <c r="K6" s="84" t="s">
        <v>46</v>
      </c>
      <c r="L6" s="80" t="s">
        <v>25</v>
      </c>
      <c r="M6" s="80" t="s">
        <v>47</v>
      </c>
      <c r="N6" s="80" t="s">
        <v>48</v>
      </c>
    </row>
    <row r="7" spans="1:14" ht="15.75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/>
      <c r="K7" s="83"/>
    </row>
    <row r="8" spans="1:14" ht="15.75">
      <c r="A8" s="25" t="str">
        <v>98th &amp; Grant</v>
      </c>
      <c r="B8" s="26" t="str">
        <v>CO</v>
      </c>
      <c r="C8" s="21">
        <v>685.79999999999598</v>
      </c>
      <c r="D8" s="11">
        <v>0</v>
      </c>
      <c r="E8" s="11">
        <f t="shared" si="1"/>
        <v>685.79999999999598</v>
      </c>
      <c r="F8" s="12" t="str">
        <f t="shared" si="2"/>
        <v/>
      </c>
      <c r="G8" s="13">
        <v>1280</v>
      </c>
      <c r="H8" s="13">
        <f t="shared" si="3"/>
        <v>-594.20000000000402</v>
      </c>
      <c r="I8" s="14">
        <f t="shared" si="0"/>
        <v>-0.46421875000000312</v>
      </c>
      <c r="J8" s="62"/>
      <c r="K8" s="62"/>
    </row>
    <row r="9" spans="1:14" ht="15.6">
      <c r="A9" s="27" t="str">
        <v>Arapahoe Crossings</v>
      </c>
      <c r="B9" s="28" t="str">
        <v>CO</v>
      </c>
      <c r="C9" s="10">
        <v>2273.6040076213399</v>
      </c>
      <c r="D9" s="15">
        <v>0</v>
      </c>
      <c r="E9" s="15">
        <f t="shared" si="1"/>
        <v>2273.6040076213399</v>
      </c>
      <c r="F9" s="16" t="str">
        <f t="shared" si="2"/>
        <v/>
      </c>
      <c r="G9" s="17">
        <v>2351.1790000000001</v>
      </c>
      <c r="H9" s="17">
        <f t="shared" si="3"/>
        <v>-77.574992378660227</v>
      </c>
      <c r="I9" s="16">
        <f t="shared" si="0"/>
        <v>-3.2994081853682862E-2</v>
      </c>
      <c r="J9" s="56"/>
      <c r="K9" s="83"/>
    </row>
    <row r="10" spans="1:14" ht="15.6">
      <c r="A10" s="25" t="str">
        <v>Aurora City Center</v>
      </c>
      <c r="B10" s="26" t="str">
        <v>CO</v>
      </c>
      <c r="C10" s="21">
        <v>1251.80000000001</v>
      </c>
      <c r="D10" s="11">
        <v>0</v>
      </c>
      <c r="E10" s="11">
        <f t="shared" si="1"/>
        <v>1251.80000000001</v>
      </c>
      <c r="F10" s="12" t="str">
        <f t="shared" si="2"/>
        <v/>
      </c>
      <c r="G10" s="13">
        <v>1140</v>
      </c>
      <c r="H10" s="13">
        <f t="shared" si="3"/>
        <v>111.80000000000996</v>
      </c>
      <c r="I10" s="14">
        <f t="shared" si="0"/>
        <v>9.8070175438605231E-2</v>
      </c>
      <c r="J10" s="62"/>
      <c r="K10" s="62"/>
    </row>
    <row r="11" spans="1:14" ht="15.6">
      <c r="A11" s="27" t="str">
        <v>Dry Creek</v>
      </c>
      <c r="B11" s="28" t="str">
        <v>CO</v>
      </c>
      <c r="C11" s="10">
        <v>1268.3</v>
      </c>
      <c r="D11" s="15">
        <v>0</v>
      </c>
      <c r="E11" s="15">
        <f t="shared" si="1"/>
        <v>1268.3</v>
      </c>
      <c r="F11" s="16" t="str">
        <f t="shared" si="2"/>
        <v/>
      </c>
      <c r="G11" s="17">
        <v>1386</v>
      </c>
      <c r="H11" s="17">
        <f t="shared" si="3"/>
        <v>-117.70000000000005</v>
      </c>
      <c r="I11" s="16">
        <f t="shared" si="0"/>
        <v>-8.4920634920634952E-2</v>
      </c>
      <c r="J11" s="56"/>
      <c r="K11" s="56"/>
    </row>
    <row r="12" spans="1:14" ht="15.6">
      <c r="A12" s="25" t="str">
        <v>Highlands Ranch S.</v>
      </c>
      <c r="B12" s="26" t="str">
        <v>CO</v>
      </c>
      <c r="C12" s="21">
        <v>1187.5999999999899</v>
      </c>
      <c r="D12" s="11">
        <v>0</v>
      </c>
      <c r="E12" s="11">
        <f t="shared" si="1"/>
        <v>1187.5999999999899</v>
      </c>
      <c r="F12" s="12" t="str">
        <f t="shared" si="2"/>
        <v/>
      </c>
      <c r="G12" s="13">
        <v>1265</v>
      </c>
      <c r="H12" s="13">
        <f t="shared" si="3"/>
        <v>-77.400000000010095</v>
      </c>
      <c r="I12" s="14">
        <f t="shared" si="0"/>
        <v>-6.118577075099612E-2</v>
      </c>
      <c r="J12" s="62"/>
      <c r="K12" s="62"/>
    </row>
    <row r="13" spans="1:14" ht="15.75">
      <c r="A13" s="27" t="str">
        <v>Lone Tree</v>
      </c>
      <c r="B13" s="28" t="str">
        <v>CO</v>
      </c>
      <c r="C13" s="10">
        <v>1907.1000000000099</v>
      </c>
      <c r="D13" s="15">
        <v>0</v>
      </c>
      <c r="E13" s="15">
        <f t="shared" si="1"/>
        <v>1907.1000000000099</v>
      </c>
      <c r="F13" s="16" t="str">
        <f t="shared" si="2"/>
        <v/>
      </c>
      <c r="G13" s="17">
        <v>2891</v>
      </c>
      <c r="H13" s="17">
        <f t="shared" si="3"/>
        <v>-983.89999999999009</v>
      </c>
      <c r="I13" s="16">
        <f t="shared" si="0"/>
        <v>-0.34033206502939817</v>
      </c>
      <c r="J13" s="86" t="s">
        <v>29</v>
      </c>
      <c r="K13" s="56"/>
    </row>
    <row r="14" spans="1:14" ht="15.6">
      <c r="A14" s="25" t="str">
        <v>Meridian</v>
      </c>
      <c r="B14" s="26" t="str">
        <v>CO</v>
      </c>
      <c r="C14" s="21">
        <v>2004.1000000000099</v>
      </c>
      <c r="D14" s="11">
        <v>0</v>
      </c>
      <c r="E14" s="11">
        <f t="shared" si="1"/>
        <v>2004.1000000000099</v>
      </c>
      <c r="F14" s="12" t="str">
        <f t="shared" si="2"/>
        <v/>
      </c>
      <c r="G14" s="13">
        <v>1699</v>
      </c>
      <c r="H14" s="13">
        <f t="shared" si="3"/>
        <v>305.10000000000991</v>
      </c>
      <c r="I14" s="14">
        <f t="shared" si="0"/>
        <v>0.17957622130665682</v>
      </c>
      <c r="J14" s="62"/>
      <c r="K14" s="62"/>
      <c r="L14" s="50"/>
    </row>
    <row r="15" spans="1:14" ht="15.6">
      <c r="A15" s="27" t="str">
        <v>Southglenn</v>
      </c>
      <c r="B15" s="28" t="str">
        <v>CO</v>
      </c>
      <c r="C15" s="10">
        <v>1877.4</v>
      </c>
      <c r="D15" s="15">
        <v>0</v>
      </c>
      <c r="E15" s="15">
        <f t="shared" si="1"/>
        <v>1877.4</v>
      </c>
      <c r="F15" s="16" t="str">
        <f t="shared" si="2"/>
        <v/>
      </c>
      <c r="G15" s="17"/>
      <c r="H15" s="17" t="str">
        <f t="shared" si="3"/>
        <v/>
      </c>
      <c r="I15" s="16" t="str">
        <f t="shared" si="0"/>
        <v/>
      </c>
      <c r="J15" s="56"/>
      <c r="K15" s="83"/>
    </row>
    <row r="16" spans="1:14" ht="15.75">
      <c r="A16" s="25" t="str">
        <v>Standley Lake</v>
      </c>
      <c r="B16" s="26" t="str">
        <v>CO</v>
      </c>
      <c r="C16" s="21">
        <v>1987</v>
      </c>
      <c r="D16" s="11">
        <v>0</v>
      </c>
      <c r="E16" s="11">
        <f t="shared" si="1"/>
        <v>1987</v>
      </c>
      <c r="F16" s="12" t="str">
        <f t="shared" si="2"/>
        <v/>
      </c>
      <c r="G16" s="13">
        <v>2371</v>
      </c>
      <c r="H16" s="13">
        <f t="shared" si="3"/>
        <v>-384</v>
      </c>
      <c r="I16" s="14">
        <f t="shared" si="0"/>
        <v>-0.16195698017714044</v>
      </c>
      <c r="J16" s="62" t="s">
        <v>29</v>
      </c>
      <c r="K16" s="62"/>
    </row>
    <row r="17" spans="1:12" ht="15.75">
      <c r="A17" s="27" t="str">
        <v>Havana Gardens</v>
      </c>
      <c r="B17" s="28" t="str">
        <v>CO</v>
      </c>
      <c r="C17" s="10">
        <v>2177</v>
      </c>
      <c r="D17" s="15">
        <v>0</v>
      </c>
      <c r="E17" s="15">
        <f t="shared" si="1"/>
        <v>2177</v>
      </c>
      <c r="F17" s="16" t="str">
        <f t="shared" si="2"/>
        <v/>
      </c>
      <c r="G17" s="17">
        <v>926</v>
      </c>
      <c r="H17" s="17">
        <f>IF(AND(ISNUMBER(C17),ISNUMBER(G17)), C17-G17, "")</f>
        <v>1251</v>
      </c>
      <c r="I17" s="16">
        <f t="shared" si="0"/>
        <v>1.3509719222462202</v>
      </c>
      <c r="J17" s="56" t="s">
        <v>29</v>
      </c>
      <c r="K17" s="83"/>
    </row>
    <row r="18" spans="1:12" ht="12.75" customHeight="1">
      <c r="A18" s="25" t="str">
        <v>East Hartford</v>
      </c>
      <c r="B18" s="26" t="str">
        <v>CT</v>
      </c>
      <c r="C18" s="21">
        <v>203.1</v>
      </c>
      <c r="D18" s="11">
        <v>980.19349999999997</v>
      </c>
      <c r="E18" s="11">
        <f t="shared" si="1"/>
        <v>-777.09349999999995</v>
      </c>
      <c r="F18" s="12">
        <f t="shared" si="2"/>
        <v>-0.7927960142563687</v>
      </c>
      <c r="G18" s="13">
        <v>429.02539999999999</v>
      </c>
      <c r="H18" s="13">
        <f>IF(AND(ISNUMBER(C18),ISNUMBER(G18)), C18-G18, "")</f>
        <v>-225.9254</v>
      </c>
      <c r="I18" s="14">
        <f t="shared" si="0"/>
        <v>-0.52660145529845082</v>
      </c>
      <c r="J18" s="60" t="s">
        <v>29</v>
      </c>
      <c r="K18" s="62"/>
    </row>
    <row r="19" spans="1:12" ht="72">
      <c r="A19" s="27" t="str">
        <v>Norwalk</v>
      </c>
      <c r="B19" s="28" t="str">
        <v>CT</v>
      </c>
      <c r="C19" s="10">
        <v>219.84970687210401</v>
      </c>
      <c r="D19" s="15">
        <v>426.50240000000002</v>
      </c>
      <c r="E19" s="15">
        <f t="shared" si="1"/>
        <v>-206.65269312789601</v>
      </c>
      <c r="F19" s="16">
        <f t="shared" si="2"/>
        <v>-0.48452879310385122</v>
      </c>
      <c r="G19" s="17">
        <v>487.93049999999999</v>
      </c>
      <c r="H19" s="17">
        <f>IF(AND(ISNUMBER(C19),ISNUMBER(G19)), C19-G19, "")</f>
        <v>-268.08079312789596</v>
      </c>
      <c r="I19" s="16">
        <f t="shared" si="0"/>
        <v>-0.54942413546170199</v>
      </c>
      <c r="J19" s="56" t="s">
        <v>26</v>
      </c>
      <c r="K19" s="82" t="s">
        <v>27</v>
      </c>
      <c r="L19" s="80" t="s">
        <v>28</v>
      </c>
    </row>
    <row r="20" spans="1:12" ht="15.75">
      <c r="A20" s="25" t="str">
        <v>Hialeah Gardens</v>
      </c>
      <c r="B20" s="26" t="str">
        <v>FL</v>
      </c>
      <c r="C20" s="21">
        <v>2564.7028305530498</v>
      </c>
      <c r="D20" s="11">
        <v>3093.6089999999999</v>
      </c>
      <c r="E20" s="11">
        <f t="shared" si="1"/>
        <v>-528.90616944695012</v>
      </c>
      <c r="F20" s="12">
        <f t="shared" si="2"/>
        <v>-0.17096736188928535</v>
      </c>
      <c r="G20" s="13">
        <v>3739</v>
      </c>
      <c r="H20" s="13">
        <f t="shared" si="3"/>
        <v>-1174.2971694469502</v>
      </c>
      <c r="I20" s="14">
        <f t="shared" si="0"/>
        <v>-0.31406717556751812</v>
      </c>
      <c r="J20" s="60" t="s">
        <v>29</v>
      </c>
      <c r="K20" s="60"/>
    </row>
    <row r="21" spans="1:12" ht="15.6">
      <c r="A21" s="27" t="str">
        <v>W. Des Moines Campus EAST</v>
      </c>
      <c r="B21" s="28" t="str">
        <v>IA</v>
      </c>
      <c r="C21" s="10">
        <v>116148</v>
      </c>
      <c r="D21" s="15">
        <v>129057.3</v>
      </c>
      <c r="E21" s="15">
        <f t="shared" si="1"/>
        <v>-12909.300000000003</v>
      </c>
      <c r="F21" s="16">
        <f t="shared" si="2"/>
        <v>-0.10002766213147185</v>
      </c>
      <c r="G21" s="17">
        <v>124800</v>
      </c>
      <c r="H21" s="17">
        <f t="shared" si="3"/>
        <v>-8652</v>
      </c>
      <c r="I21" s="16">
        <f t="shared" si="0"/>
        <v>-6.9326923076923078E-2</v>
      </c>
      <c r="J21" s="49"/>
      <c r="K21" s="49"/>
    </row>
    <row r="22" spans="1:12" ht="15.75">
      <c r="A22" s="25" t="str">
        <v>W. Des Moines Campus SW</v>
      </c>
      <c r="B22" s="26" t="str">
        <v>IA</v>
      </c>
      <c r="C22" s="21">
        <v>49019.25</v>
      </c>
      <c r="D22" s="11">
        <v>70697.89</v>
      </c>
      <c r="E22" s="11">
        <f t="shared" si="1"/>
        <v>-21678.639999999999</v>
      </c>
      <c r="F22" s="12">
        <f t="shared" si="2"/>
        <v>-0.30663772285141749</v>
      </c>
      <c r="G22" s="13">
        <v>62858.07</v>
      </c>
      <c r="H22" s="13">
        <f t="shared" si="3"/>
        <v>-13838.82</v>
      </c>
      <c r="I22" s="14">
        <f t="shared" si="0"/>
        <v>-0.22015979809752351</v>
      </c>
      <c r="J22" s="60" t="s">
        <v>29</v>
      </c>
      <c r="K22" s="60"/>
    </row>
    <row r="23" spans="1:12" ht="15.6">
      <c r="A23" s="27" t="str">
        <v>WF - CIC</v>
      </c>
      <c r="B23" s="28" t="str">
        <v>NC</v>
      </c>
      <c r="C23" s="10">
        <v>121252</v>
      </c>
      <c r="D23" s="15">
        <v>120285.927</v>
      </c>
      <c r="E23" s="15">
        <f t="shared" si="1"/>
        <v>966.07300000000396</v>
      </c>
      <c r="F23" s="16">
        <f t="shared" si="2"/>
        <v>8.0314715452956022E-3</v>
      </c>
      <c r="G23" s="17">
        <v>116371</v>
      </c>
      <c r="H23" s="17">
        <f t="shared" si="3"/>
        <v>4881</v>
      </c>
      <c r="I23" s="16">
        <f t="shared" si="0"/>
        <v>4.1943439516718084E-2</v>
      </c>
      <c r="J23" s="39"/>
      <c r="K23" s="40"/>
    </row>
    <row r="24" spans="1:12" ht="15.6">
      <c r="A24" s="25" t="str">
        <v>Charlotte - Wells Fargo - DUC</v>
      </c>
      <c r="B24" s="26" t="str">
        <v>NC</v>
      </c>
      <c r="C24" s="21">
        <v>115950</v>
      </c>
      <c r="D24" s="11">
        <v>130575.523</v>
      </c>
      <c r="E24" s="11">
        <f t="shared" si="1"/>
        <v>-14625.523000000001</v>
      </c>
      <c r="F24" s="12">
        <f t="shared" si="2"/>
        <v>-0.1120081517881418</v>
      </c>
      <c r="G24" s="13">
        <v>128348.516</v>
      </c>
      <c r="H24" s="13">
        <f t="shared" si="3"/>
        <v>-12398.516000000003</v>
      </c>
      <c r="I24" s="14">
        <f t="shared" si="0"/>
        <v>-9.660038453424738E-2</v>
      </c>
      <c r="J24" s="60"/>
      <c r="K24" s="60"/>
    </row>
    <row r="25" spans="1:12" ht="15.6">
      <c r="A25" s="27" t="str">
        <v>East Windsor</v>
      </c>
      <c r="B25" s="28" t="str">
        <v>NJ</v>
      </c>
      <c r="C25" s="10">
        <v>572.19999999999698</v>
      </c>
      <c r="D25" s="15">
        <v>628.52</v>
      </c>
      <c r="E25" s="15">
        <f t="shared" si="1"/>
        <v>-56.320000000003006</v>
      </c>
      <c r="F25" s="16">
        <f t="shared" si="2"/>
        <v>-8.9607331508946425E-2</v>
      </c>
      <c r="G25" s="17">
        <v>479.25749999999999</v>
      </c>
      <c r="H25" s="17">
        <f t="shared" si="3"/>
        <v>92.942499999996983</v>
      </c>
      <c r="I25" s="16">
        <f t="shared" si="0"/>
        <v>0.19393019410232909</v>
      </c>
      <c r="J25" s="39"/>
      <c r="K25" s="40"/>
    </row>
    <row r="26" spans="1:12" ht="15.6">
      <c r="A26" s="25" t="str">
        <v>Burlington</v>
      </c>
      <c r="B26" s="26" t="str">
        <v>NJ</v>
      </c>
      <c r="C26" s="21">
        <v>1564</v>
      </c>
      <c r="D26" s="11">
        <v>1361.461</v>
      </c>
      <c r="E26" s="11">
        <f t="shared" si="1"/>
        <v>202.53899999999999</v>
      </c>
      <c r="F26" s="12">
        <f t="shared" si="2"/>
        <v>0.14876592131541042</v>
      </c>
      <c r="G26" s="13">
        <v>1358.153</v>
      </c>
      <c r="H26" s="13">
        <f>IF(AND(ISNUMBER(C26),ISNUMBER(G26)), C26-G26, "")</f>
        <v>205.84699999999998</v>
      </c>
      <c r="I26" s="14">
        <f t="shared" si="0"/>
        <v>0.15156392541930105</v>
      </c>
      <c r="J26" s="60"/>
      <c r="K26" s="60"/>
    </row>
    <row r="27" spans="1:12" ht="15.75">
      <c r="A27" s="27" t="str">
        <v>Bayonne</v>
      </c>
      <c r="B27" s="28" t="str">
        <v>NJ</v>
      </c>
      <c r="C27" s="10">
        <v>1883.79999999999</v>
      </c>
      <c r="D27" s="15">
        <v>1981.854</v>
      </c>
      <c r="E27" s="15">
        <f t="shared" si="1"/>
        <v>-98.054000000010092</v>
      </c>
      <c r="F27" s="16">
        <f t="shared" si="2"/>
        <v>-4.947589479346616E-2</v>
      </c>
      <c r="G27" s="17">
        <v>2310.944</v>
      </c>
      <c r="H27" s="17">
        <f t="shared" si="3"/>
        <v>-427.14400000001001</v>
      </c>
      <c r="I27" s="16">
        <f t="shared" si="0"/>
        <v>-0.18483528809006622</v>
      </c>
      <c r="J27" s="86" t="s">
        <v>29</v>
      </c>
      <c r="K27" s="40"/>
    </row>
    <row r="28" spans="1:12" ht="15.75">
      <c r="A28" s="25" t="str">
        <v>Clifton</v>
      </c>
      <c r="B28" s="26" t="str">
        <v>NJ</v>
      </c>
      <c r="C28" s="21">
        <v>2260.65625</v>
      </c>
      <c r="D28" s="11">
        <v>2567.895</v>
      </c>
      <c r="E28" s="11">
        <f t="shared" si="1"/>
        <v>-307.23874999999998</v>
      </c>
      <c r="F28" s="12">
        <f t="shared" si="2"/>
        <v>-0.11964614986204654</v>
      </c>
      <c r="G28" s="13">
        <v>3023.0810000000001</v>
      </c>
      <c r="H28" s="13">
        <f t="shared" si="3"/>
        <v>-762.42475000000013</v>
      </c>
      <c r="I28" s="14">
        <f t="shared" si="0"/>
        <v>-0.25220123112811071</v>
      </c>
      <c r="J28" s="60" t="s">
        <v>29</v>
      </c>
      <c r="K28" s="60"/>
    </row>
    <row r="29" spans="1:12" ht="15.75">
      <c r="A29" s="27" t="str">
        <v>North Elizabeth</v>
      </c>
      <c r="B29" s="28" t="str">
        <v>NJ</v>
      </c>
      <c r="C29" s="10">
        <v>1699.20000000001</v>
      </c>
      <c r="D29" s="15">
        <v>1480.1469999999999</v>
      </c>
      <c r="E29" s="15">
        <f t="shared" si="1"/>
        <v>219.05300000001012</v>
      </c>
      <c r="F29" s="16">
        <f t="shared" si="2"/>
        <v>0.14799408437135644</v>
      </c>
      <c r="G29" s="17">
        <v>1907.788</v>
      </c>
      <c r="H29" s="17">
        <f t="shared" si="3"/>
        <v>-208.58799999998996</v>
      </c>
      <c r="I29" s="16">
        <f t="shared" si="0"/>
        <v>-0.10933499948631083</v>
      </c>
      <c r="J29" s="39" t="s">
        <v>29</v>
      </c>
      <c r="K29" s="40"/>
    </row>
    <row r="30" spans="1:12" ht="15.75">
      <c r="A30" s="25" t="str">
        <v>Haddon Westmont Plaza</v>
      </c>
      <c r="B30" s="26" t="str">
        <v>NJ</v>
      </c>
      <c r="C30" s="21">
        <v>1316.3999999999901</v>
      </c>
      <c r="D30" s="11">
        <v>1300.732</v>
      </c>
      <c r="E30" s="11">
        <f t="shared" si="1"/>
        <v>15.667999999990116</v>
      </c>
      <c r="F30" s="12">
        <f t="shared" si="2"/>
        <v>1.2045525135070187E-2</v>
      </c>
      <c r="G30" s="13">
        <v>1317.854</v>
      </c>
      <c r="H30" s="13">
        <f t="shared" si="3"/>
        <v>-1.4540000000099553</v>
      </c>
      <c r="I30" s="14">
        <f t="shared" si="0"/>
        <v>-1.1033088642671762E-3</v>
      </c>
      <c r="J30" s="60"/>
      <c r="K30" s="60"/>
    </row>
    <row r="31" spans="1:12" ht="15.6">
      <c r="A31" s="27" t="str">
        <v>Parsippany</v>
      </c>
      <c r="B31" s="28" t="str">
        <v>NJ</v>
      </c>
      <c r="C31" s="10">
        <v>1672.0999999999899</v>
      </c>
      <c r="D31" s="15">
        <v>1810.192</v>
      </c>
      <c r="E31" s="15">
        <f t="shared" si="1"/>
        <v>-138.0920000000101</v>
      </c>
      <c r="F31" s="16">
        <f t="shared" si="2"/>
        <v>-7.6285830453349759E-2</v>
      </c>
      <c r="G31" s="17">
        <v>1720.7909999999999</v>
      </c>
      <c r="H31" s="17">
        <f t="shared" si="3"/>
        <v>-48.691000000010035</v>
      </c>
      <c r="I31" s="16">
        <f t="shared" si="0"/>
        <v>-2.8295708194667472E-2</v>
      </c>
      <c r="J31" s="39"/>
      <c r="K31" s="40"/>
    </row>
    <row r="32" spans="1:12" ht="15.6">
      <c r="A32" s="25" t="str">
        <v>Clark</v>
      </c>
      <c r="B32" s="26" t="str">
        <v>NJ</v>
      </c>
      <c r="C32" s="21">
        <v>1390</v>
      </c>
      <c r="D32" s="11">
        <v>1359.914</v>
      </c>
      <c r="E32" s="11">
        <f t="shared" si="1"/>
        <v>30.086000000000013</v>
      </c>
      <c r="F32" s="12">
        <f t="shared" si="2"/>
        <v>2.2123457806890741E-2</v>
      </c>
      <c r="G32" s="13">
        <v>1373.2080000000001</v>
      </c>
      <c r="H32" s="13">
        <f t="shared" si="3"/>
        <v>16.791999999999916</v>
      </c>
      <c r="I32" s="14">
        <f t="shared" si="0"/>
        <v>1.2228300446836834E-2</v>
      </c>
      <c r="J32" s="60"/>
      <c r="K32" s="60"/>
    </row>
    <row r="33" spans="1:11" ht="15.75">
      <c r="A33" s="27" t="str">
        <v>Closter</v>
      </c>
      <c r="B33" s="28" t="str">
        <v>NJ</v>
      </c>
      <c r="C33" s="10">
        <v>355.00000000000398</v>
      </c>
      <c r="D33" s="15">
        <v>417.41399999999999</v>
      </c>
      <c r="E33" s="15">
        <f t="shared" si="1"/>
        <v>-62.413999999996008</v>
      </c>
      <c r="F33" s="16">
        <f t="shared" si="2"/>
        <v>-0.14952541122242188</v>
      </c>
      <c r="G33" s="17">
        <v>766.56449999999995</v>
      </c>
      <c r="H33" s="17">
        <f t="shared" si="3"/>
        <v>-411.56449999999597</v>
      </c>
      <c r="I33" s="16">
        <f t="shared" si="0"/>
        <v>-0.53689480793853095</v>
      </c>
      <c r="J33" s="86" t="s">
        <v>29</v>
      </c>
      <c r="K33" s="40"/>
    </row>
    <row r="34" spans="1:11" ht="15.75">
      <c r="A34" s="25" t="str">
        <v>Holmdel</v>
      </c>
      <c r="B34" s="26" t="str">
        <v>NJ</v>
      </c>
      <c r="C34" s="21">
        <v>1229.7</v>
      </c>
      <c r="D34" s="11">
        <v>4382.009</v>
      </c>
      <c r="E34" s="11">
        <f t="shared" si="1"/>
        <v>-3152.3090000000002</v>
      </c>
      <c r="F34" s="12">
        <f t="shared" si="2"/>
        <v>-0.71937529110506171</v>
      </c>
      <c r="G34" s="13">
        <v>996.42679999999996</v>
      </c>
      <c r="H34" s="13">
        <f t="shared" si="3"/>
        <v>233.27320000000009</v>
      </c>
      <c r="I34" s="14">
        <f t="shared" si="0"/>
        <v>0.23410972085455761</v>
      </c>
      <c r="J34" s="60" t="s">
        <v>29</v>
      </c>
      <c r="K34" s="60"/>
    </row>
    <row r="35" spans="1:11" ht="15.6">
      <c r="A35" s="27" t="str">
        <v>Ellisburg Circle Center</v>
      </c>
      <c r="B35" s="28" t="str">
        <v>NJ</v>
      </c>
      <c r="C35" s="10">
        <v>599.70000000000095</v>
      </c>
      <c r="D35" s="15">
        <v>614.25</v>
      </c>
      <c r="E35" s="15">
        <f t="shared" si="1"/>
        <v>-14.549999999999045</v>
      </c>
      <c r="F35" s="16">
        <f t="shared" si="2"/>
        <v>-2.3687423687422132E-2</v>
      </c>
      <c r="G35" s="17">
        <v>612.28380000000004</v>
      </c>
      <c r="H35" s="17">
        <f t="shared" si="3"/>
        <v>-12.583799999999087</v>
      </c>
      <c r="I35" s="16">
        <f t="shared" si="0"/>
        <v>-2.055223411104309E-2</v>
      </c>
      <c r="J35" s="39"/>
      <c r="K35" s="40"/>
    </row>
    <row r="36" spans="1:11" ht="15.75">
      <c r="A36" s="25" t="str">
        <v>Nutley</v>
      </c>
      <c r="B36" s="26" t="str">
        <v>NJ</v>
      </c>
      <c r="C36" s="21">
        <v>1890.80000000002</v>
      </c>
      <c r="D36" s="11">
        <v>1981.634</v>
      </c>
      <c r="E36" s="11">
        <f t="shared" si="1"/>
        <v>-90.833999999980051</v>
      </c>
      <c r="F36" s="12">
        <f t="shared" si="2"/>
        <v>-4.5837929708503207E-2</v>
      </c>
      <c r="G36" s="13">
        <v>2487.5830000000001</v>
      </c>
      <c r="H36" s="13">
        <f t="shared" si="3"/>
        <v>-596.78299999998012</v>
      </c>
      <c r="I36" s="14">
        <f t="shared" si="0"/>
        <v>-0.23990475895677857</v>
      </c>
      <c r="J36" s="60" t="s">
        <v>29</v>
      </c>
      <c r="K36" s="60"/>
    </row>
    <row r="37" spans="1:11" ht="15.75">
      <c r="A37" s="27" t="str">
        <v>Marlton</v>
      </c>
      <c r="B37" s="28" t="str">
        <v>NJ</v>
      </c>
      <c r="C37" s="10">
        <v>2317.3000000000002</v>
      </c>
      <c r="D37" s="15">
        <v>1706.001</v>
      </c>
      <c r="E37" s="15">
        <f t="shared" si="1"/>
        <v>611.29900000000021</v>
      </c>
      <c r="F37" s="16">
        <f t="shared" si="2"/>
        <v>0.35832276768888188</v>
      </c>
      <c r="G37" s="17">
        <v>2205.2420000000002</v>
      </c>
      <c r="H37" s="17">
        <f t="shared" si="3"/>
        <v>112.05799999999999</v>
      </c>
      <c r="I37" s="16">
        <f t="shared" si="0"/>
        <v>5.0814377741762576E-2</v>
      </c>
      <c r="J37" s="39" t="s">
        <v>29</v>
      </c>
      <c r="K37" s="40"/>
    </row>
    <row r="38" spans="1:11" ht="15.75">
      <c r="A38" s="25" t="str">
        <v>Middletown</v>
      </c>
      <c r="B38" s="26" t="str">
        <v>NJ</v>
      </c>
      <c r="C38" s="21">
        <v>2083.6999999999998</v>
      </c>
      <c r="D38" s="11">
        <v>1649.62</v>
      </c>
      <c r="E38" s="11">
        <f t="shared" si="1"/>
        <v>434.07999999999993</v>
      </c>
      <c r="F38" s="12">
        <f t="shared" si="2"/>
        <v>0.26313938967762268</v>
      </c>
      <c r="G38" s="13">
        <v>1900.9010000000001</v>
      </c>
      <c r="H38" s="13">
        <f t="shared" si="3"/>
        <v>182.79899999999975</v>
      </c>
      <c r="I38" s="14">
        <f t="shared" si="0"/>
        <v>9.6164397830291917E-2</v>
      </c>
      <c r="J38" s="60" t="s">
        <v>29</v>
      </c>
      <c r="K38" s="60"/>
    </row>
    <row r="39" spans="1:11" ht="15.6">
      <c r="A39" s="27" t="str">
        <v>Whiting Crestwood</v>
      </c>
      <c r="B39" s="28" t="str">
        <v>NJ</v>
      </c>
      <c r="C39" s="10">
        <v>2872.8999999999901</v>
      </c>
      <c r="D39" s="15">
        <v>2823.5039999999999</v>
      </c>
      <c r="E39" s="15">
        <f t="shared" si="1"/>
        <v>49.395999999990181</v>
      </c>
      <c r="F39" s="16">
        <f t="shared" si="2"/>
        <v>1.7494574117830251E-2</v>
      </c>
      <c r="G39" s="17">
        <v>2952.8009999999999</v>
      </c>
      <c r="H39" s="17">
        <f t="shared" si="3"/>
        <v>-79.901000000009844</v>
      </c>
      <c r="I39" s="16">
        <f t="shared" si="0"/>
        <v>-2.7059392082300786E-2</v>
      </c>
      <c r="J39" s="39"/>
      <c r="K39" s="40"/>
    </row>
    <row r="40" spans="1:11" ht="15.75">
      <c r="A40" s="25" t="str">
        <v>Barnegat</v>
      </c>
      <c r="B40" s="26" t="str">
        <v>NJ</v>
      </c>
      <c r="C40" s="21">
        <v>3220.9850000000201</v>
      </c>
      <c r="D40" s="11">
        <v>2723.4549999999999</v>
      </c>
      <c r="E40" s="11">
        <f t="shared" si="1"/>
        <v>497.53000000002021</v>
      </c>
      <c r="F40" s="12">
        <f t="shared" si="2"/>
        <v>0.18268339296959935</v>
      </c>
      <c r="G40" s="13">
        <v>2730.7310000000002</v>
      </c>
      <c r="H40" s="13">
        <f t="shared" si="3"/>
        <v>490.25400000001991</v>
      </c>
      <c r="I40" s="14">
        <f t="shared" si="0"/>
        <v>0.17953214725288572</v>
      </c>
      <c r="J40" s="60" t="s">
        <v>29</v>
      </c>
      <c r="K40" s="60"/>
    </row>
    <row r="41" spans="1:11" ht="15.75">
      <c r="A41" s="27" t="str">
        <v>Manchester</v>
      </c>
      <c r="B41" s="28" t="str">
        <v>NJ</v>
      </c>
      <c r="C41" s="10">
        <v>1477.79999999999</v>
      </c>
      <c r="D41" s="15">
        <v>1829.171</v>
      </c>
      <c r="E41" s="15">
        <f t="shared" si="1"/>
        <v>-351.3710000000101</v>
      </c>
      <c r="F41" s="16">
        <f t="shared" si="2"/>
        <v>-0.19209303012130091</v>
      </c>
      <c r="G41" s="17">
        <v>2366.9430000000002</v>
      </c>
      <c r="H41" s="17">
        <f t="shared" si="3"/>
        <v>-889.14300000001026</v>
      </c>
      <c r="I41" s="16">
        <f t="shared" si="0"/>
        <v>-0.37565036420395853</v>
      </c>
      <c r="J41" s="86" t="s">
        <v>29</v>
      </c>
      <c r="K41" s="40"/>
    </row>
    <row r="42" spans="1:11" ht="28.9">
      <c r="A42" s="25" t="str">
        <v>West Deptford - Woodbury</v>
      </c>
      <c r="B42" s="26" t="str">
        <v>NJ</v>
      </c>
      <c r="C42" s="21">
        <v>2429.6999999999998</v>
      </c>
      <c r="D42" s="11">
        <v>2314.7629999999999</v>
      </c>
      <c r="E42" s="11">
        <f t="shared" si="1"/>
        <v>114.9369999999999</v>
      </c>
      <c r="F42" s="12">
        <f t="shared" si="2"/>
        <v>4.9653895452795777E-2</v>
      </c>
      <c r="G42" s="13">
        <v>2342.3919999999998</v>
      </c>
      <c r="H42" s="13">
        <f t="shared" si="3"/>
        <v>87.307999999999993</v>
      </c>
      <c r="I42" s="14">
        <f t="shared" si="0"/>
        <v>3.7273009812191983E-2</v>
      </c>
      <c r="J42" s="62" t="s">
        <v>49</v>
      </c>
      <c r="K42" s="84" t="s">
        <v>50</v>
      </c>
    </row>
    <row r="43" spans="1:11" ht="15.75">
      <c r="A43" s="27" t="str">
        <v>Edison</v>
      </c>
      <c r="B43" s="28" t="str">
        <v>NJ</v>
      </c>
      <c r="C43" s="10">
        <v>2143.00000000001</v>
      </c>
      <c r="D43" s="15">
        <v>1706.395</v>
      </c>
      <c r="E43" s="15">
        <f t="shared" si="1"/>
        <v>436.60500000001002</v>
      </c>
      <c r="F43" s="16">
        <f t="shared" si="2"/>
        <v>0.25586397053437804</v>
      </c>
      <c r="G43" s="17">
        <v>2079.5700000000002</v>
      </c>
      <c r="H43" s="17">
        <f t="shared" si="3"/>
        <v>63.430000000009841</v>
      </c>
      <c r="I43" s="16">
        <f t="shared" si="0"/>
        <v>3.0501497905821798E-2</v>
      </c>
      <c r="J43" s="56" t="s">
        <v>29</v>
      </c>
      <c r="K43" s="83"/>
    </row>
    <row r="44" spans="1:11" ht="15.6">
      <c r="A44" s="25" t="str">
        <v>Flemington</v>
      </c>
      <c r="B44" s="26" t="str">
        <v>NJ</v>
      </c>
      <c r="C44" s="21">
        <v>1790.79999999999</v>
      </c>
      <c r="D44" s="11">
        <v>1627.633</v>
      </c>
      <c r="E44" s="11">
        <f t="shared" si="1"/>
        <v>163.16699999998991</v>
      </c>
      <c r="F44" s="12">
        <f t="shared" si="2"/>
        <v>0.10024802888611248</v>
      </c>
      <c r="G44" s="13">
        <v>1846.7840000000001</v>
      </c>
      <c r="H44" s="13">
        <f t="shared" si="3"/>
        <v>-55.984000000010155</v>
      </c>
      <c r="I44" s="14">
        <f t="shared" si="0"/>
        <v>-3.0314319378990803E-2</v>
      </c>
      <c r="J44" s="62"/>
      <c r="K44" s="62"/>
    </row>
    <row r="45" spans="1:11" ht="15.6">
      <c r="A45" s="27" t="str">
        <v>Route 22</v>
      </c>
      <c r="B45" s="28" t="str">
        <v>NJ</v>
      </c>
      <c r="C45" s="10">
        <v>1869.8999999999901</v>
      </c>
      <c r="D45" s="15">
        <v>2004.3009999999999</v>
      </c>
      <c r="E45" s="15">
        <f t="shared" si="1"/>
        <v>-134.40100000000984</v>
      </c>
      <c r="F45" s="16">
        <f t="shared" si="2"/>
        <v>-6.705629543666837E-2</v>
      </c>
      <c r="G45" s="17">
        <v>1907.7360000000001</v>
      </c>
      <c r="H45" s="17">
        <f t="shared" si="3"/>
        <v>-37.836000000010017</v>
      </c>
      <c r="I45" s="16">
        <f t="shared" si="0"/>
        <v>-1.9832932858639778E-2</v>
      </c>
      <c r="J45" s="56"/>
      <c r="K45" s="83"/>
    </row>
    <row r="46" spans="1:11" ht="15.75">
      <c r="A46" s="25" t="str">
        <v>Laurelton</v>
      </c>
      <c r="B46" s="26" t="str">
        <v>NJ</v>
      </c>
      <c r="C46" s="21">
        <v>1086.7</v>
      </c>
      <c r="D46" s="11">
        <v>1514.0160000000001</v>
      </c>
      <c r="E46" s="11">
        <f t="shared" si="1"/>
        <v>-427.31600000000003</v>
      </c>
      <c r="F46" s="12">
        <f t="shared" si="2"/>
        <v>-0.28224008200705936</v>
      </c>
      <c r="G46" s="13">
        <v>1506.5429999999999</v>
      </c>
      <c r="H46" s="13">
        <f t="shared" si="3"/>
        <v>-419.84299999999985</v>
      </c>
      <c r="I46" s="14">
        <f t="shared" si="0"/>
        <v>-0.27867973234086241</v>
      </c>
      <c r="J46" s="62" t="s">
        <v>29</v>
      </c>
      <c r="K46" s="62"/>
    </row>
    <row r="47" spans="1:11" ht="15.75">
      <c r="A47" s="27" t="str">
        <v>Mahwah</v>
      </c>
      <c r="B47" s="28" t="str">
        <v>NJ</v>
      </c>
      <c r="C47" s="10">
        <v>1287.8999999999901</v>
      </c>
      <c r="D47" s="15">
        <v>1575.6659999999999</v>
      </c>
      <c r="E47" s="15">
        <f t="shared" si="1"/>
        <v>-287.76600000000985</v>
      </c>
      <c r="F47" s="16">
        <f t="shared" si="2"/>
        <v>-0.18263134446006316</v>
      </c>
      <c r="G47" s="17">
        <v>1464.1579999999999</v>
      </c>
      <c r="H47" s="17">
        <f t="shared" si="3"/>
        <v>-176.25800000000982</v>
      </c>
      <c r="I47" s="16">
        <f t="shared" si="0"/>
        <v>-0.12038181671650862</v>
      </c>
      <c r="J47" s="56" t="s">
        <v>29</v>
      </c>
      <c r="K47" s="83"/>
    </row>
    <row r="48" spans="1:11" ht="15.75">
      <c r="A48" s="25" t="str">
        <v>Franklin Township WF</v>
      </c>
      <c r="B48" s="26" t="str">
        <v>NJ</v>
      </c>
      <c r="C48" s="21">
        <v>1622</v>
      </c>
      <c r="D48" s="11">
        <v>1491.568</v>
      </c>
      <c r="E48" s="11">
        <f t="shared" si="1"/>
        <v>130.43200000000002</v>
      </c>
      <c r="F48" s="12">
        <f t="shared" si="2"/>
        <v>8.7446231080312811E-2</v>
      </c>
      <c r="G48" s="13">
        <v>2145.6759999999999</v>
      </c>
      <c r="H48" s="13">
        <f t="shared" si="3"/>
        <v>-523.67599999999993</v>
      </c>
      <c r="I48" s="14">
        <f t="shared" si="0"/>
        <v>-0.24406107911912142</v>
      </c>
      <c r="J48" s="62" t="s">
        <v>29</v>
      </c>
      <c r="K48" s="62"/>
    </row>
    <row r="49" spans="1:11" ht="15.75">
      <c r="A49" s="27" t="str">
        <v>Bordentown</v>
      </c>
      <c r="B49" s="28" t="str">
        <v>NJ</v>
      </c>
      <c r="C49" s="10">
        <v>1431.8</v>
      </c>
      <c r="D49" s="15">
        <v>1136.6489999999999</v>
      </c>
      <c r="E49" s="15">
        <f t="shared" si="1"/>
        <v>295.15100000000007</v>
      </c>
      <c r="F49" s="16">
        <f t="shared" si="2"/>
        <v>0.25966767225414361</v>
      </c>
      <c r="G49" s="17">
        <v>1253.191</v>
      </c>
      <c r="H49" s="17">
        <f t="shared" si="3"/>
        <v>178.60899999999992</v>
      </c>
      <c r="I49" s="16">
        <f t="shared" si="0"/>
        <v>0.14252336635038068</v>
      </c>
      <c r="J49" s="56" t="s">
        <v>29</v>
      </c>
      <c r="K49" s="83"/>
    </row>
    <row r="50" spans="1:11" ht="15.6">
      <c r="A50" s="25" t="str">
        <v>South Plainfield</v>
      </c>
      <c r="B50" s="26" t="str">
        <v>NJ</v>
      </c>
      <c r="C50" s="21">
        <v>1015.3</v>
      </c>
      <c r="D50" s="11">
        <v>852.28219999999999</v>
      </c>
      <c r="E50" s="11">
        <f t="shared" si="1"/>
        <v>163.01779999999997</v>
      </c>
      <c r="F50" s="12">
        <f t="shared" si="2"/>
        <v>0.19127209274111318</v>
      </c>
      <c r="G50" s="13">
        <v>939.15219999999999</v>
      </c>
      <c r="H50" s="13">
        <f t="shared" si="3"/>
        <v>76.147799999999961</v>
      </c>
      <c r="I50" s="14">
        <f t="shared" si="0"/>
        <v>8.1081426418422878E-2</v>
      </c>
      <c r="J50" s="62"/>
      <c r="K50" s="62"/>
    </row>
    <row r="51" spans="1:11" ht="15.75">
      <c r="A51" s="27" t="str">
        <v>Somerset</v>
      </c>
      <c r="B51" s="28" t="str">
        <v>NJ</v>
      </c>
      <c r="C51" s="10">
        <v>1472.4</v>
      </c>
      <c r="D51" s="15">
        <v>2123.8879999999999</v>
      </c>
      <c r="E51" s="15">
        <f t="shared" si="1"/>
        <v>-651.48799999999983</v>
      </c>
      <c r="F51" s="16">
        <f t="shared" si="2"/>
        <v>-0.30674310509782055</v>
      </c>
      <c r="G51" s="17">
        <v>1440.229</v>
      </c>
      <c r="H51" s="17">
        <f t="shared" si="3"/>
        <v>32.171000000000049</v>
      </c>
      <c r="I51" s="16">
        <f t="shared" si="0"/>
        <v>2.2337419951966007E-2</v>
      </c>
      <c r="J51" s="56" t="s">
        <v>29</v>
      </c>
      <c r="K51" s="83"/>
    </row>
    <row r="52" spans="1:11" ht="15.6">
      <c r="A52" s="25" t="str">
        <v>Clinton Main Relo</v>
      </c>
      <c r="B52" s="26" t="str">
        <v>NJ</v>
      </c>
      <c r="C52" s="21">
        <v>1600.289</v>
      </c>
      <c r="D52" s="11"/>
      <c r="E52" s="11" t="str">
        <f t="shared" si="1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0"/>
        <v/>
      </c>
      <c r="J52" s="62"/>
      <c r="K52" s="84" t="s">
        <v>31</v>
      </c>
    </row>
    <row r="53" spans="1:11" ht="72">
      <c r="A53" s="27" t="str">
        <v>North Brunswick</v>
      </c>
      <c r="B53" s="28" t="str">
        <v>NJ</v>
      </c>
      <c r="C53" s="10">
        <v>1727.8999999999901</v>
      </c>
      <c r="D53" s="15">
        <v>1525.51</v>
      </c>
      <c r="E53" s="15">
        <f t="shared" si="1"/>
        <v>202.3899999999901</v>
      </c>
      <c r="F53" s="16">
        <f t="shared" si="2"/>
        <v>0.13267038564151667</v>
      </c>
      <c r="G53" s="17">
        <v>1842.835</v>
      </c>
      <c r="H53" s="17">
        <f t="shared" si="3"/>
        <v>-114.93500000000995</v>
      </c>
      <c r="I53" s="16">
        <f t="shared" si="0"/>
        <v>-6.2368578847270616E-2</v>
      </c>
      <c r="J53" s="56" t="s">
        <v>51</v>
      </c>
      <c r="K53" s="85" t="s">
        <v>52</v>
      </c>
    </row>
    <row r="54" spans="1:11" ht="43.15">
      <c r="A54" s="25" t="str">
        <v>Cherry Hill</v>
      </c>
      <c r="B54" s="26" t="str">
        <v>NJ</v>
      </c>
      <c r="C54" s="21">
        <v>1142.46574371937</v>
      </c>
      <c r="D54" s="11">
        <v>1225.7829999999999</v>
      </c>
      <c r="E54" s="11">
        <f t="shared" si="1"/>
        <v>-83.317256280629863</v>
      </c>
      <c r="F54" s="12">
        <f t="shared" si="2"/>
        <v>-6.7970641035672602E-2</v>
      </c>
      <c r="G54" s="13">
        <v>1191.8710000000001</v>
      </c>
      <c r="H54" s="13">
        <f t="shared" si="3"/>
        <v>-49.405256280630056</v>
      </c>
      <c r="I54" s="14">
        <f t="shared" si="0"/>
        <v>-4.1451848631798287E-2</v>
      </c>
      <c r="J54" s="62" t="s">
        <v>32</v>
      </c>
      <c r="K54" s="84" t="s">
        <v>33</v>
      </c>
    </row>
    <row r="55" spans="1:11" ht="15.6">
      <c r="A55" s="27" t="str">
        <v>Hainesport</v>
      </c>
      <c r="B55" s="28" t="str">
        <v>NJ</v>
      </c>
      <c r="C55" s="51">
        <v>1390.6</v>
      </c>
      <c r="D55" s="15">
        <v>1335.8219999999999</v>
      </c>
      <c r="E55" s="15">
        <f t="shared" si="1"/>
        <v>54.77800000000002</v>
      </c>
      <c r="F55" s="16">
        <f t="shared" si="2"/>
        <v>4.100696050821144E-2</v>
      </c>
      <c r="G55" s="17">
        <v>1156.046</v>
      </c>
      <c r="H55" s="17">
        <f t="shared" si="3"/>
        <v>234.55399999999986</v>
      </c>
      <c r="I55" s="16">
        <f t="shared" si="0"/>
        <v>0.20289331047380454</v>
      </c>
      <c r="J55" s="39"/>
      <c r="K55" s="39"/>
    </row>
    <row r="56" spans="1:11" ht="15.75">
      <c r="A56" s="25" t="str">
        <v>San Antonio - Ops Ctr (Bldg 106)</v>
      </c>
      <c r="B56" s="26" t="str">
        <v>TX</v>
      </c>
      <c r="C56" s="52">
        <v>32009.125</v>
      </c>
      <c r="D56" s="11">
        <v>36207.881000000001</v>
      </c>
      <c r="E56" s="11">
        <f t="shared" si="1"/>
        <v>-4198.7560000000012</v>
      </c>
      <c r="F56" s="12">
        <f>IFERROR(E56/D56, "")</f>
        <v>-0.11596248893990789</v>
      </c>
      <c r="G56" s="13">
        <v>37510.75</v>
      </c>
      <c r="H56" s="13">
        <f t="shared" si="3"/>
        <v>-5501.625</v>
      </c>
      <c r="I56" s="14">
        <f t="shared" si="0"/>
        <v>-0.14666795518617995</v>
      </c>
      <c r="J56" s="60" t="s">
        <v>34</v>
      </c>
      <c r="K56" s="60"/>
    </row>
    <row r="57" spans="1:11" ht="15.75">
      <c r="A57" s="27" t="str">
        <v>San Antonio - Ops Ctr GM</v>
      </c>
      <c r="B57" s="28" t="str">
        <v>TX</v>
      </c>
      <c r="C57" s="10">
        <v>239670.5</v>
      </c>
      <c r="D57" s="15">
        <v>272681.18699999998</v>
      </c>
      <c r="E57" s="15">
        <f t="shared" si="1"/>
        <v>-33010.686999999976</v>
      </c>
      <c r="F57" s="16">
        <f t="shared" si="2"/>
        <v>-0.12105964244610677</v>
      </c>
      <c r="G57" s="17">
        <v>304922</v>
      </c>
      <c r="H57" s="17">
        <f t="shared" si="3"/>
        <v>-65251.5</v>
      </c>
      <c r="I57" s="16">
        <f t="shared" si="0"/>
        <v>-0.21399407061478018</v>
      </c>
      <c r="J57" s="39" t="s">
        <v>34</v>
      </c>
      <c r="K57" s="39"/>
    </row>
    <row r="58" spans="1:11" ht="15.75">
      <c r="A58" s="25" t="str">
        <v>San Antonio - Ctr (Bldg 201)</v>
      </c>
      <c r="B58" s="26" t="str">
        <v>TX</v>
      </c>
      <c r="C58" s="21">
        <v>32332.25</v>
      </c>
      <c r="D58" s="11">
        <v>35889.978000000003</v>
      </c>
      <c r="E58" s="11">
        <f t="shared" si="1"/>
        <v>-3557.7280000000028</v>
      </c>
      <c r="F58" s="12">
        <f t="shared" si="2"/>
        <v>-9.9128731703318471E-2</v>
      </c>
      <c r="G58" s="13">
        <v>37271.57</v>
      </c>
      <c r="H58" s="13">
        <f t="shared" si="3"/>
        <v>-4939.32</v>
      </c>
      <c r="I58" s="14">
        <f t="shared" si="0"/>
        <v>-0.13252245612406452</v>
      </c>
      <c r="J58" s="60" t="s">
        <v>34</v>
      </c>
      <c r="K58" s="60"/>
    </row>
    <row r="59" spans="1:11" ht="15.75">
      <c r="A59" s="27" t="str">
        <v>San Antonio - Ops Ctr (Bldg 203)</v>
      </c>
      <c r="B59" s="28" t="str">
        <v>TX</v>
      </c>
      <c r="C59" s="10">
        <v>33951.5</v>
      </c>
      <c r="D59" s="15">
        <v>33073.794000000002</v>
      </c>
      <c r="E59" s="15">
        <f t="shared" si="1"/>
        <v>877.70599999999831</v>
      </c>
      <c r="F59" s="16">
        <f t="shared" si="2"/>
        <v>2.6537808151069642E-2</v>
      </c>
      <c r="G59" s="17">
        <v>38422.97</v>
      </c>
      <c r="H59" s="17">
        <f t="shared" si="3"/>
        <v>-4471.4700000000012</v>
      </c>
      <c r="I59" s="16">
        <f t="shared" si="0"/>
        <v>-0.116374918440714</v>
      </c>
      <c r="J59" s="39" t="s">
        <v>34</v>
      </c>
      <c r="K59" s="39"/>
    </row>
    <row r="60" spans="1:11" ht="30.75">
      <c r="A60" s="25" t="str">
        <v>San Antonio - Ops Ctr (Bldg 205)</v>
      </c>
      <c r="B60" s="26" t="str">
        <v>TX</v>
      </c>
      <c r="C60" s="21">
        <v>30207.425999999999</v>
      </c>
      <c r="D60" s="11">
        <v>32733.752</v>
      </c>
      <c r="E60" s="11">
        <f t="shared" si="1"/>
        <v>-2526.3260000000009</v>
      </c>
      <c r="F60" s="12">
        <f t="shared" si="2"/>
        <v>-7.7178014912558782E-2</v>
      </c>
      <c r="G60" s="13">
        <v>35606.25</v>
      </c>
      <c r="H60" s="13">
        <f t="shared" si="3"/>
        <v>-5398.8240000000005</v>
      </c>
      <c r="I60" s="14">
        <f t="shared" si="0"/>
        <v>-0.15162573986308586</v>
      </c>
      <c r="J60" s="60" t="s">
        <v>53</v>
      </c>
      <c r="K60" s="84" t="s">
        <v>54</v>
      </c>
    </row>
    <row r="61" spans="1:11" ht="15.75">
      <c r="A61" s="27" t="str">
        <v>San Antonio - Ops Ctr (Bldg 307)</v>
      </c>
      <c r="B61" s="28" t="str">
        <v>TX</v>
      </c>
      <c r="C61" s="10">
        <v>31864.312999999998</v>
      </c>
      <c r="D61" s="15">
        <v>35565.089</v>
      </c>
      <c r="E61" s="15">
        <f t="shared" si="1"/>
        <v>-3700.7760000000017</v>
      </c>
      <c r="F61" s="16">
        <f t="shared" si="2"/>
        <v>-0.10405642454599233</v>
      </c>
      <c r="G61" s="17">
        <v>36605.449999999997</v>
      </c>
      <c r="H61" s="17">
        <f t="shared" si="3"/>
        <v>-4741.1369999999988</v>
      </c>
      <c r="I61" s="16">
        <f t="shared" si="0"/>
        <v>-0.12951997585059052</v>
      </c>
      <c r="J61" s="60" t="s">
        <v>34</v>
      </c>
      <c r="K61" s="82"/>
    </row>
    <row r="62" spans="1:11" ht="15.75">
      <c r="A62" s="25" t="str">
        <v>San Antonio - Ctr (Bldg 308)</v>
      </c>
      <c r="B62" s="26" t="str">
        <v>TX</v>
      </c>
      <c r="C62" s="21">
        <v>31694.27</v>
      </c>
      <c r="D62" s="11">
        <v>34762.345999999998</v>
      </c>
      <c r="E62" s="11">
        <f t="shared" si="1"/>
        <v>-3068.0759999999973</v>
      </c>
      <c r="F62" s="12">
        <f t="shared" si="2"/>
        <v>-8.8258600268232693E-2</v>
      </c>
      <c r="G62" s="13">
        <v>35498.53</v>
      </c>
      <c r="H62" s="13">
        <f t="shared" si="3"/>
        <v>-3804.2599999999984</v>
      </c>
      <c r="I62" s="14">
        <f t="shared" si="0"/>
        <v>-0.10716669112777343</v>
      </c>
      <c r="J62" s="39" t="s">
        <v>34</v>
      </c>
      <c r="K62" s="62"/>
    </row>
    <row r="63" spans="1:11" ht="15.75">
      <c r="A63" s="27" t="str">
        <v>San Antonio - Ops Ctr (Bldg 104)</v>
      </c>
      <c r="B63" s="28" t="str">
        <v>TX</v>
      </c>
      <c r="C63" s="10">
        <v>8831.2659999999996</v>
      </c>
      <c r="D63" s="15">
        <v>10883.53</v>
      </c>
      <c r="E63" s="15">
        <f t="shared" si="1"/>
        <v>-2052.264000000001</v>
      </c>
      <c r="F63" s="16">
        <f t="shared" si="2"/>
        <v>-0.18856602591254867</v>
      </c>
      <c r="G63" s="17">
        <v>10911.07</v>
      </c>
      <c r="H63" s="17">
        <f t="shared" si="3"/>
        <v>-2079.8040000000001</v>
      </c>
      <c r="I63" s="16">
        <f t="shared" si="0"/>
        <v>-0.1906141194218349</v>
      </c>
      <c r="J63" s="60" t="s">
        <v>34</v>
      </c>
      <c r="K63" s="49"/>
    </row>
    <row r="64" spans="1:11" ht="15.75">
      <c r="A64" s="25" t="str">
        <v>San Antonio - Ops Ctr (Bldg 102)</v>
      </c>
      <c r="B64" s="26" t="str">
        <v>TX</v>
      </c>
      <c r="C64" s="21">
        <v>34984.404999999999</v>
      </c>
      <c r="D64" s="11">
        <v>32568.2</v>
      </c>
      <c r="E64" s="11">
        <f t="shared" si="1"/>
        <v>2416.2049999999981</v>
      </c>
      <c r="F64" s="12">
        <f t="shared" si="2"/>
        <v>7.4189086286623088E-2</v>
      </c>
      <c r="G64" s="13">
        <v>39742.42</v>
      </c>
      <c r="H64" s="13">
        <f t="shared" si="3"/>
        <v>-4758.0149999999994</v>
      </c>
      <c r="I64" s="14">
        <f t="shared" si="0"/>
        <v>-0.11972132044299265</v>
      </c>
      <c r="J64" s="39" t="s">
        <v>34</v>
      </c>
      <c r="K64" s="62"/>
    </row>
    <row r="65" spans="1:12" ht="15.6">
      <c r="A65" s="27" t="str">
        <v>Lodi - Lodi Vineyard</v>
      </c>
      <c r="B65" s="28" t="str">
        <v>CA</v>
      </c>
      <c r="C65" s="10">
        <v>23034.09375</v>
      </c>
      <c r="D65" s="15">
        <v>24426.93</v>
      </c>
      <c r="E65" s="15">
        <f t="shared" si="1"/>
        <v>-1392.8362500000003</v>
      </c>
      <c r="F65" s="16">
        <f t="shared" si="2"/>
        <v>-5.7020519975289577E-2</v>
      </c>
      <c r="G65" s="17">
        <v>21975</v>
      </c>
      <c r="H65" s="17">
        <f t="shared" si="3"/>
        <v>1059.09375</v>
      </c>
      <c r="I65" s="16">
        <f t="shared" si="0"/>
        <v>4.8195392491467579E-2</v>
      </c>
      <c r="J65" s="62"/>
      <c r="K65" s="62"/>
    </row>
    <row r="66" spans="1:12" ht="15.6">
      <c r="A66" s="25" t="str">
        <v>Arden Fair Mall</v>
      </c>
      <c r="B66" s="26" t="str">
        <v>CA</v>
      </c>
      <c r="C66" s="21">
        <v>11150.046875</v>
      </c>
      <c r="D66" s="11">
        <v>12201.88</v>
      </c>
      <c r="E66" s="11">
        <f t="shared" si="1"/>
        <v>-1051.8331249999992</v>
      </c>
      <c r="F66" s="12">
        <f t="shared" si="2"/>
        <v>-8.6202546246971712E-2</v>
      </c>
      <c r="G66" s="13">
        <v>12337</v>
      </c>
      <c r="H66" s="13">
        <f t="shared" si="3"/>
        <v>-1186.953125</v>
      </c>
      <c r="I66" s="14">
        <f t="shared" si="0"/>
        <v>-9.6210839345059571E-2</v>
      </c>
      <c r="J66" s="62"/>
      <c r="K66" s="62"/>
    </row>
    <row r="67" spans="1:12" ht="43.15">
      <c r="A67" s="27" t="str">
        <v>Modesto - Modesto Main</v>
      </c>
      <c r="B67" s="28" t="str">
        <v>CA</v>
      </c>
      <c r="C67" s="10">
        <v>8051.203125</v>
      </c>
      <c r="D67" s="15">
        <v>9829.3469999999998</v>
      </c>
      <c r="E67" s="15">
        <f t="shared" si="1"/>
        <v>-1778.1438749999998</v>
      </c>
      <c r="F67" s="16">
        <f t="shared" si="2"/>
        <v>-0.18090152631705847</v>
      </c>
      <c r="G67" s="17">
        <v>12423.09</v>
      </c>
      <c r="H67" s="17">
        <f t="shared" si="3"/>
        <v>-4371.8868750000001</v>
      </c>
      <c r="I67" s="16">
        <f t="shared" si="0"/>
        <v>-0.35191622011914908</v>
      </c>
      <c r="J67" s="49" t="s">
        <v>55</v>
      </c>
      <c r="K67" s="82" t="s">
        <v>56</v>
      </c>
      <c r="L67" s="80" t="s">
        <v>57</v>
      </c>
    </row>
    <row r="68" spans="1:12" ht="72">
      <c r="A68" s="25" t="str">
        <v>Stevens Creek</v>
      </c>
      <c r="B68" s="26" t="str">
        <v>CA</v>
      </c>
      <c r="C68" s="21">
        <v>2693.9403423772601</v>
      </c>
      <c r="D68" s="11">
        <v>2447.7719999999999</v>
      </c>
      <c r="E68" s="11">
        <f t="shared" si="1"/>
        <v>246.16834237726016</v>
      </c>
      <c r="F68" s="12">
        <f t="shared" si="2"/>
        <v>0.10056833004759437</v>
      </c>
      <c r="G68" s="13">
        <v>2894</v>
      </c>
      <c r="H68" s="13">
        <f t="shared" si="3"/>
        <v>-200.05965762273991</v>
      </c>
      <c r="I68" s="14">
        <f t="shared" si="0"/>
        <v>-6.912911458975117E-2</v>
      </c>
      <c r="J68" s="62" t="s">
        <v>58</v>
      </c>
      <c r="K68" s="84" t="s">
        <v>59</v>
      </c>
      <c r="L68" s="80" t="s">
        <v>60</v>
      </c>
    </row>
    <row r="69" spans="1:12" ht="15.6">
      <c r="A69" s="27" t="str">
        <v>Covina Main</v>
      </c>
      <c r="B69" s="28" t="str">
        <v>CA</v>
      </c>
      <c r="C69" s="10">
        <v>2712.1</v>
      </c>
      <c r="D69" s="15">
        <v>2191.4169999999999</v>
      </c>
      <c r="E69" s="15">
        <f t="shared" si="1"/>
        <v>520.68299999999999</v>
      </c>
      <c r="F69" s="16">
        <f t="shared" si="2"/>
        <v>0.23760105904079415</v>
      </c>
      <c r="G69" s="17">
        <v>2174</v>
      </c>
      <c r="H69" s="17">
        <f t="shared" si="3"/>
        <v>538.09999999999991</v>
      </c>
      <c r="I69" s="16">
        <f t="shared" ref="I69:I83" si="4">IFERROR(H69/G69, "")</f>
        <v>0.24751609935602573</v>
      </c>
      <c r="J69" s="39"/>
      <c r="K69" s="54"/>
    </row>
    <row r="70" spans="1:12" ht="15.75">
      <c r="A70" s="25" t="str">
        <v>Old Ranch Town Center</v>
      </c>
      <c r="B70" s="26" t="str">
        <v>CA</v>
      </c>
      <c r="C70" s="21">
        <v>861.578125</v>
      </c>
      <c r="D70" s="11">
        <v>0</v>
      </c>
      <c r="E70" s="11">
        <f t="shared" si="1"/>
        <v>861.578125</v>
      </c>
      <c r="F70" s="12" t="str">
        <f t="shared" ref="F70:F83" si="5">IFERROR(E70/D70, "")</f>
        <v/>
      </c>
      <c r="G70" s="13">
        <v>990</v>
      </c>
      <c r="H70" s="13">
        <f t="shared" ref="H70:H83" si="6">IF(AND(ISNUMBER(C70),ISNUMBER(G70)), C70-G70, "")</f>
        <v>-128.421875</v>
      </c>
      <c r="I70" s="14">
        <f t="shared" si="4"/>
        <v>-0.12971906565656566</v>
      </c>
      <c r="J70" s="60" t="s">
        <v>29</v>
      </c>
      <c r="K70" s="60"/>
    </row>
    <row r="71" spans="1:12" ht="15.6">
      <c r="A71" s="27" t="str">
        <v>Mountain Gate Plaza</v>
      </c>
      <c r="B71" s="28" t="str">
        <v>CA</v>
      </c>
      <c r="C71" s="10">
        <v>6050.2033266129001</v>
      </c>
      <c r="D71" s="15">
        <v>0</v>
      </c>
      <c r="E71" s="15">
        <f t="shared" ref="E71:E83" si="7">IF(AND(ISNUMBER(C71),ISNUMBER(D71)), C71-D71, "")</f>
        <v>6050.2033266129001</v>
      </c>
      <c r="F71" s="16" t="str">
        <f t="shared" si="5"/>
        <v/>
      </c>
      <c r="G71" s="17">
        <v>6590</v>
      </c>
      <c r="H71" s="17">
        <f t="shared" si="6"/>
        <v>-539.79667338709987</v>
      </c>
      <c r="I71" s="16">
        <f t="shared" si="4"/>
        <v>-8.191148306329285E-2</v>
      </c>
      <c r="J71" s="39"/>
      <c r="K71" s="39"/>
    </row>
    <row r="72" spans="1:12" ht="15.6">
      <c r="A72" s="25" t="str">
        <v>Arcadia Main</v>
      </c>
      <c r="B72" s="26" t="str">
        <v>CA</v>
      </c>
      <c r="C72" s="21">
        <v>2375.0660924384902</v>
      </c>
      <c r="D72" s="11">
        <v>0</v>
      </c>
      <c r="E72" s="11">
        <f t="shared" si="7"/>
        <v>2375.0660924384902</v>
      </c>
      <c r="F72" s="12" t="str">
        <f t="shared" si="5"/>
        <v/>
      </c>
      <c r="G72" s="13">
        <v>3533</v>
      </c>
      <c r="H72" s="13">
        <f t="shared" si="6"/>
        <v>-1157.9339075615098</v>
      </c>
      <c r="I72" s="14">
        <f t="shared" si="4"/>
        <v>-0.32774806327809508</v>
      </c>
      <c r="J72" s="62" t="s">
        <v>61</v>
      </c>
      <c r="K72" s="84" t="s">
        <v>38</v>
      </c>
    </row>
    <row r="73" spans="1:12" ht="15.6">
      <c r="A73" s="27" t="str">
        <v>Fairfield</v>
      </c>
      <c r="B73" s="28" t="str">
        <v>CA</v>
      </c>
      <c r="C73" s="10">
        <v>2178.30078125</v>
      </c>
      <c r="D73" s="15">
        <v>2211.0230000000001</v>
      </c>
      <c r="E73" s="15">
        <f t="shared" si="7"/>
        <v>-32.722218750000138</v>
      </c>
      <c r="F73" s="16">
        <f t="shared" si="5"/>
        <v>-1.4799583156756007E-2</v>
      </c>
      <c r="G73" s="17">
        <v>2330</v>
      </c>
      <c r="H73" s="17">
        <f t="shared" si="6"/>
        <v>-151.69921875</v>
      </c>
      <c r="I73" s="16">
        <f t="shared" si="4"/>
        <v>-6.5106960836909866E-2</v>
      </c>
      <c r="J73" s="56"/>
      <c r="K73" s="56"/>
    </row>
    <row r="74" spans="1:12" ht="15.6">
      <c r="A74" s="25" t="str">
        <v>Los Gatos</v>
      </c>
      <c r="B74" s="26" t="str">
        <v>CA</v>
      </c>
      <c r="C74" s="21">
        <v>1179.9864550781299</v>
      </c>
      <c r="D74" s="11">
        <v>1107.98</v>
      </c>
      <c r="E74" s="11">
        <f t="shared" si="7"/>
        <v>72.006455078129875</v>
      </c>
      <c r="F74" s="12">
        <f t="shared" si="5"/>
        <v>6.4988948426984133E-2</v>
      </c>
      <c r="G74" s="13">
        <v>0</v>
      </c>
      <c r="H74" s="13">
        <f t="shared" si="6"/>
        <v>1179.9864550781299</v>
      </c>
      <c r="I74" s="14" t="str">
        <f t="shared" si="4"/>
        <v/>
      </c>
      <c r="J74" s="62"/>
      <c r="K74" s="62"/>
    </row>
    <row r="75" spans="1:12" ht="15.75">
      <c r="A75" s="27" t="str">
        <v>San Marino</v>
      </c>
      <c r="B75" s="28" t="str">
        <v>CA</v>
      </c>
      <c r="C75" s="10">
        <v>2791.6000000000099</v>
      </c>
      <c r="D75" s="15">
        <v>2686.4059999999999</v>
      </c>
      <c r="E75" s="15">
        <f t="shared" si="7"/>
        <v>105.19400000000996</v>
      </c>
      <c r="F75" s="16">
        <f t="shared" si="5"/>
        <v>3.9157893482969428E-2</v>
      </c>
      <c r="G75" s="17">
        <v>3237</v>
      </c>
      <c r="H75" s="17">
        <f t="shared" si="6"/>
        <v>-445.39999999999009</v>
      </c>
      <c r="I75" s="16">
        <f t="shared" si="4"/>
        <v>-0.13759654000617549</v>
      </c>
      <c r="J75" s="56"/>
      <c r="K75" s="56"/>
    </row>
    <row r="76" spans="1:12" ht="15.6">
      <c r="A76" s="25" t="str">
        <v>Buenaventura</v>
      </c>
      <c r="B76" s="26" t="str">
        <v>CA</v>
      </c>
      <c r="C76" s="21">
        <v>3679.578125</v>
      </c>
      <c r="D76" s="11">
        <v>2669.4169999999999</v>
      </c>
      <c r="E76" s="11">
        <f t="shared" si="7"/>
        <v>1010.1611250000001</v>
      </c>
      <c r="F76" s="12">
        <f t="shared" si="5"/>
        <v>0.37842012881464382</v>
      </c>
      <c r="G76" s="13">
        <v>3947.2910000000002</v>
      </c>
      <c r="H76" s="13">
        <f t="shared" si="6"/>
        <v>-267.71287500000017</v>
      </c>
      <c r="I76" s="14">
        <f t="shared" si="4"/>
        <v>-6.7821925214026565E-2</v>
      </c>
      <c r="J76" s="62"/>
      <c r="K76" s="62"/>
    </row>
    <row r="77" spans="1:12" ht="15.6">
      <c r="A77" s="27" t="str">
        <v>N Black Canyon Hwy, Phoenix - North</v>
      </c>
      <c r="B77" s="28" t="str">
        <v>AZ</v>
      </c>
      <c r="C77" s="10">
        <v>63307.75</v>
      </c>
      <c r="D77" s="15">
        <v>60957.79</v>
      </c>
      <c r="E77" s="15">
        <f t="shared" si="7"/>
        <v>2349.9599999999991</v>
      </c>
      <c r="F77" s="16">
        <f t="shared" si="5"/>
        <v>3.855061018452275E-2</v>
      </c>
      <c r="G77" s="17">
        <v>61016</v>
      </c>
      <c r="H77" s="17">
        <f t="shared" si="6"/>
        <v>2291.75</v>
      </c>
      <c r="I77" s="16">
        <f t="shared" si="4"/>
        <v>3.7559820374983614E-2</v>
      </c>
      <c r="J77" s="56"/>
      <c r="K77" s="56"/>
    </row>
    <row r="78" spans="1:12" ht="28.9">
      <c r="A78" s="25" t="str">
        <v>N Black Canyon Hwy, Phoenix - South</v>
      </c>
      <c r="B78" s="26" t="str">
        <v>AZ</v>
      </c>
      <c r="C78" s="21">
        <v>68221.875</v>
      </c>
      <c r="D78" s="11">
        <v>66699.73</v>
      </c>
      <c r="E78" s="11">
        <f t="shared" si="7"/>
        <v>1522.1450000000041</v>
      </c>
      <c r="F78" s="12">
        <f t="shared" si="5"/>
        <v>2.2820856995972909E-2</v>
      </c>
      <c r="G78" s="13">
        <v>67660</v>
      </c>
      <c r="H78" s="13">
        <f t="shared" si="6"/>
        <v>561.875</v>
      </c>
      <c r="I78" s="14">
        <f t="shared" si="4"/>
        <v>8.3043895950339931E-3</v>
      </c>
      <c r="J78" s="62" t="s">
        <v>62</v>
      </c>
      <c r="K78" s="84" t="s">
        <v>63</v>
      </c>
    </row>
    <row r="79" spans="1:12" ht="43.15">
      <c r="A79" s="27" t="str">
        <v xml:space="preserve"> Building 2222, Rose Garden Ln, Phoenix</v>
      </c>
      <c r="B79" s="28" t="str">
        <v>AZ</v>
      </c>
      <c r="C79" s="10">
        <v>13324.124099516501</v>
      </c>
      <c r="D79" s="15">
        <v>15182.7</v>
      </c>
      <c r="E79" s="15">
        <f t="shared" si="7"/>
        <v>-1858.5759004834999</v>
      </c>
      <c r="F79" s="16">
        <f t="shared" si="5"/>
        <v>-0.12241405682016374</v>
      </c>
      <c r="G79" s="17">
        <v>73696</v>
      </c>
      <c r="H79" s="17">
        <f t="shared" si="6"/>
        <v>-60371.875900483501</v>
      </c>
      <c r="I79" s="16">
        <f t="shared" si="4"/>
        <v>-0.81920152926187995</v>
      </c>
      <c r="J79" s="56" t="s">
        <v>64</v>
      </c>
      <c r="K79" s="85" t="s">
        <v>65</v>
      </c>
    </row>
    <row r="80" spans="1:12" ht="57.6">
      <c r="A80" s="25" t="str">
        <v xml:space="preserve"> Building 2202, Rose Garden Ln, Phoenix</v>
      </c>
      <c r="B80" s="26" t="str">
        <v>AZ</v>
      </c>
      <c r="C80" s="21">
        <v>69359.75</v>
      </c>
      <c r="D80" s="11">
        <v>13434.24</v>
      </c>
      <c r="E80" s="11">
        <f t="shared" si="7"/>
        <v>55925.51</v>
      </c>
      <c r="F80" s="12">
        <f t="shared" si="5"/>
        <v>4.1629083595350389</v>
      </c>
      <c r="G80" s="13">
        <v>57348.54</v>
      </c>
      <c r="H80" s="13">
        <f t="shared" si="6"/>
        <v>12011.21</v>
      </c>
      <c r="I80" s="14">
        <f t="shared" si="4"/>
        <v>0.20944229792074914</v>
      </c>
      <c r="J80" s="62" t="s">
        <v>66</v>
      </c>
      <c r="K80" s="84" t="s">
        <v>67</v>
      </c>
    </row>
    <row r="81" spans="1:11" ht="15.6">
      <c r="A81" s="27" t="str">
        <v xml:space="preserve"> 99TH Ave &amp; BELL</v>
      </c>
      <c r="B81" s="28" t="str">
        <v>AZ</v>
      </c>
      <c r="C81" s="10">
        <v>13291.3970985909</v>
      </c>
      <c r="D81" s="15">
        <v>11366.34</v>
      </c>
      <c r="E81" s="15">
        <f t="shared" si="7"/>
        <v>1925.0570985908998</v>
      </c>
      <c r="F81" s="16">
        <f t="shared" si="5"/>
        <v>0.16936472941957567</v>
      </c>
      <c r="G81" s="17">
        <v>14489</v>
      </c>
      <c r="H81" s="17">
        <f t="shared" si="6"/>
        <v>-1197.6029014091</v>
      </c>
      <c r="I81" s="16">
        <f t="shared" si="4"/>
        <v>-8.2656008103326656E-2</v>
      </c>
      <c r="J81" s="39"/>
      <c r="K81" s="39"/>
    </row>
    <row r="82" spans="1:11" ht="15.75">
      <c r="A82" s="25" t="str">
        <v>Rincon</v>
      </c>
      <c r="B82" s="26" t="str">
        <v>AZ</v>
      </c>
      <c r="C82" s="21">
        <v>6553.3046875</v>
      </c>
      <c r="D82" s="11">
        <v>4885.4920000000002</v>
      </c>
      <c r="E82" s="11">
        <f t="shared" si="7"/>
        <v>1667.8126874999998</v>
      </c>
      <c r="F82" s="12">
        <f t="shared" si="5"/>
        <v>0.34138070177988211</v>
      </c>
      <c r="G82" s="13">
        <v>5215</v>
      </c>
      <c r="H82" s="13">
        <f t="shared" si="6"/>
        <v>1338.3046875</v>
      </c>
      <c r="I82" s="14">
        <f t="shared" si="4"/>
        <v>0.25662601869606905</v>
      </c>
      <c r="J82" s="62" t="s">
        <v>29</v>
      </c>
      <c r="K82" s="60"/>
    </row>
    <row r="83" spans="1:11" ht="15.75">
      <c r="A83" s="27" t="str">
        <v>Tucson Main Parking Garage</v>
      </c>
      <c r="B83" s="28" t="str">
        <v>AZ</v>
      </c>
      <c r="C83" s="10">
        <v>8853.2000000000098</v>
      </c>
      <c r="D83" s="15">
        <v>10567.94</v>
      </c>
      <c r="E83" s="15">
        <f t="shared" si="7"/>
        <v>-1714.7399999999907</v>
      </c>
      <c r="F83" s="16">
        <f t="shared" si="5"/>
        <v>-0.16225868049969916</v>
      </c>
      <c r="G83" s="17">
        <v>8772</v>
      </c>
      <c r="H83" s="17">
        <f t="shared" si="6"/>
        <v>81.200000000009823</v>
      </c>
      <c r="I83" s="16">
        <f t="shared" si="4"/>
        <v>9.256725946193551E-3</v>
      </c>
      <c r="J83" s="86" t="s">
        <v>29</v>
      </c>
      <c r="K83" s="39"/>
    </row>
    <row r="84" spans="1:11" ht="14.4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5" type="noConversion"/>
  <conditionalFormatting sqref="F2 I2 I4:I97 F4:F97">
    <cfRule type="cellIs" dxfId="28" priority="9" stopIfTrue="1" operator="lessThanOrEqual">
      <formula>-0.1</formula>
    </cfRule>
    <cfRule type="expression" dxfId="27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19" r:id="rId5" display="https://us3.assetplanner.com/service_request?ID=088667" xr:uid="{3669AEA4-296E-48B2-8BE5-019A8F80B964}"/>
    <hyperlink ref="L19" r:id="rId6" display="https://us3.assetplanner.com/service_request?ID=077700" xr:uid="{FEDF5BB1-293B-4448-BDC9-784128395DCB}"/>
    <hyperlink ref="K42" r:id="rId7" display="https://us3.assetplanner.com/service_request?ID=096618" xr:uid="{FCC2776A-1317-4737-B45D-355DE60292A1}"/>
    <hyperlink ref="K52" r:id="rId8" display="https://us3.assetplanner.com/service_request?ID=090252" xr:uid="{A005B532-CFA1-4181-BA14-DFF78C209DE6}"/>
    <hyperlink ref="K53" r:id="rId9" display="https://us3.assetplanner.com/service_request?ID=090252" xr:uid="{6A153B54-FAEE-44D7-AC3C-C977E58F2ACC}"/>
    <hyperlink ref="K54" r:id="rId10" display="https://us3.assetplanner.com/service_request?ID=077660" xr:uid="{ADB85832-2C57-41DA-88E2-6CE86E55143F}"/>
    <hyperlink ref="K67" r:id="rId11" display="https://us3.assetplanner.com/service_request?ID=091735" xr:uid="{03BFDBB6-8E01-423C-A5D4-C0F9ED3DB4EC}"/>
    <hyperlink ref="L67" r:id="rId12" display="https://us3.assetplanner.com/service_request?ID=096229" xr:uid="{A84998A5-808E-41AB-926D-F663D8C506C3}"/>
    <hyperlink ref="K68" r:id="rId13" display="https://us3.assetplanner.com/service_request?ID=091107" xr:uid="{50CEE715-4D18-40E2-BE46-A95997891915}"/>
    <hyperlink ref="L68" r:id="rId14" display="https://us3.assetplanner.com/service_request?ID=097627" xr:uid="{74E294A7-89F9-4B45-AB04-3851AF43A9D2}"/>
    <hyperlink ref="K72" r:id="rId15" display="https://us3.assetplanner.com/service_request?ID=096085" xr:uid="{CFF7F0EE-06B8-41DD-AE5D-FEFC08A2675F}"/>
    <hyperlink ref="K78" r:id="rId16" display="https://us3.assetplanner.com/service_request?ID=097838" xr:uid="{E1A80F42-0C4C-45C4-BF3E-892EF92A120D}"/>
    <hyperlink ref="K79" r:id="rId17" display="https://us3.assetplanner.com/service_request?ID=096213" xr:uid="{28BDD7FC-5CB8-4BD7-9A5C-A7EB2587F862}"/>
    <hyperlink ref="K80" r:id="rId18" display="https://us3.assetplanner.com/service_request?ID=096533" xr:uid="{08277A1C-1F60-4D7E-84E3-301C76C91624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zoomScale="70" zoomScaleNormal="70" workbookViewId="0">
      <pane xSplit="2" ySplit="3" topLeftCell="H7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68</v>
      </c>
      <c r="E1" s="89"/>
      <c r="F1" s="89"/>
      <c r="G1" s="87" t="s">
        <v>69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58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39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3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39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39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39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53"/>
    </row>
    <row r="18" spans="1:11" ht="12.75" customHeight="1">
      <c r="A18" s="25" t="str">
        <v>East Hartford</v>
      </c>
      <c r="B18" s="26" t="str">
        <v>CT</v>
      </c>
      <c r="C18" s="58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3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3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3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54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3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3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3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3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3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3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3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3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3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3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3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3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3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39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3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39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3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39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39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6">
      <c r="A84" s="25"/>
      <c r="B84" s="26"/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26" priority="11" stopIfTrue="1" operator="lessThanOrEqual">
      <formula>-0.1</formula>
    </cfRule>
    <cfRule type="expression" dxfId="25" priority="12">
      <formula>AND(ISNUMBER(F2), F2&gt;=0.1)</formula>
    </cfRule>
  </conditionalFormatting>
  <conditionalFormatting sqref="F4:F87 I4:I87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70" zoomScaleNormal="70" workbookViewId="0">
      <pane xSplit="2" ySplit="3" topLeftCell="C62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70</v>
      </c>
      <c r="E1" s="89"/>
      <c r="F1" s="89"/>
      <c r="G1" s="87" t="s">
        <v>71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57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55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1"/>
      <c r="K44" s="61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1"/>
      <c r="K46" s="61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2"/>
      <c r="K48" s="61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55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6"/>
      <c r="K61" s="55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55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39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39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:E70" si="4">IF(AND(ISNUMBER(C69),ISNUMBER(D69)), C69-D69, "")</f>
        <v/>
      </c>
      <c r="F69" s="16" t="str">
        <f t="shared" si="3"/>
        <v/>
      </c>
      <c r="G69" s="17"/>
      <c r="H69" s="17" t="str">
        <f t="shared" ref="H69:H70" si="5">IF(AND(ISNUMBER(C69),ISNUMBER(G69)), C69-G69, "")</f>
        <v/>
      </c>
      <c r="I69" s="16" t="str">
        <f t="shared" ref="I69:I70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ref="E71:E84" si="8">IF(AND(ISNUMBER(C71),ISNUMBER(D71)), C71-D71, "")</f>
        <v/>
      </c>
      <c r="F71" s="16" t="str">
        <f t="shared" si="7"/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39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8"/>
        <v/>
      </c>
      <c r="F72" s="12" t="str">
        <f t="shared" si="7"/>
        <v/>
      </c>
      <c r="G72" s="13"/>
      <c r="H72" s="13" t="str">
        <f t="shared" si="9"/>
        <v/>
      </c>
      <c r="I72" s="14" t="str">
        <f t="shared" si="10"/>
        <v/>
      </c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 t="str">
        <f t="shared" si="8"/>
        <v/>
      </c>
      <c r="F73" s="16" t="str">
        <f t="shared" si="7"/>
        <v/>
      </c>
      <c r="G73" s="17"/>
      <c r="H73" s="17" t="str">
        <f t="shared" si="9"/>
        <v/>
      </c>
      <c r="I73" s="16" t="str">
        <f t="shared" si="10"/>
        <v/>
      </c>
      <c r="J73" s="39"/>
      <c r="K73" s="3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8"/>
        <v/>
      </c>
      <c r="F74" s="12" t="str">
        <f t="shared" si="7"/>
        <v/>
      </c>
      <c r="G74" s="13"/>
      <c r="H74" s="13" t="str">
        <f t="shared" si="9"/>
        <v/>
      </c>
      <c r="I74" s="14" t="str">
        <f t="shared" si="10"/>
        <v/>
      </c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8"/>
        <v/>
      </c>
      <c r="F75" s="16" t="str">
        <f t="shared" si="7"/>
        <v/>
      </c>
      <c r="G75" s="17"/>
      <c r="H75" s="17" t="str">
        <f t="shared" si="9"/>
        <v/>
      </c>
      <c r="I75" s="16" t="str">
        <f t="shared" si="10"/>
        <v/>
      </c>
      <c r="J75" s="39"/>
      <c r="K75" s="39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8"/>
        <v/>
      </c>
      <c r="F76" s="12" t="str">
        <f t="shared" si="7"/>
        <v/>
      </c>
      <c r="G76" s="13"/>
      <c r="H76" s="13" t="str">
        <f t="shared" si="9"/>
        <v/>
      </c>
      <c r="I76" s="14" t="str">
        <f t="shared" si="10"/>
        <v/>
      </c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 t="str">
        <f t="shared" si="8"/>
        <v/>
      </c>
      <c r="F77" s="16" t="str">
        <f t="shared" si="7"/>
        <v/>
      </c>
      <c r="G77" s="17"/>
      <c r="H77" s="17" t="str">
        <f t="shared" si="9"/>
        <v/>
      </c>
      <c r="I77" s="16" t="str">
        <f t="shared" si="10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8"/>
        <v/>
      </c>
      <c r="F78" s="12" t="str">
        <f t="shared" si="7"/>
        <v/>
      </c>
      <c r="G78" s="13"/>
      <c r="H78" s="13" t="str">
        <f t="shared" si="9"/>
        <v/>
      </c>
      <c r="I78" s="14" t="str">
        <f t="shared" si="10"/>
        <v/>
      </c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8"/>
        <v/>
      </c>
      <c r="F79" s="16" t="str">
        <f t="shared" si="7"/>
        <v/>
      </c>
      <c r="G79" s="17"/>
      <c r="H79" s="17" t="str">
        <f t="shared" si="9"/>
        <v/>
      </c>
      <c r="I79" s="16" t="str">
        <f t="shared" si="10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8"/>
        <v/>
      </c>
      <c r="F80" s="12" t="str">
        <f t="shared" si="7"/>
        <v/>
      </c>
      <c r="G80" s="13"/>
      <c r="H80" s="13" t="str">
        <f t="shared" si="9"/>
        <v/>
      </c>
      <c r="I80" s="14" t="str">
        <f t="shared" si="10"/>
        <v/>
      </c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 t="str">
        <f t="shared" si="8"/>
        <v/>
      </c>
      <c r="F81" s="16" t="str">
        <f t="shared" si="7"/>
        <v/>
      </c>
      <c r="G81" s="17"/>
      <c r="H81" s="17" t="str">
        <f t="shared" si="9"/>
        <v/>
      </c>
      <c r="I81" s="16" t="str">
        <f t="shared" si="10"/>
        <v/>
      </c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8"/>
        <v/>
      </c>
      <c r="F82" s="12" t="str">
        <f t="shared" si="7"/>
        <v/>
      </c>
      <c r="G82" s="13"/>
      <c r="H82" s="13" t="str">
        <f t="shared" si="9"/>
        <v/>
      </c>
      <c r="I82" s="14" t="str">
        <f t="shared" si="10"/>
        <v/>
      </c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 t="str">
        <f t="shared" si="8"/>
        <v/>
      </c>
      <c r="F83" s="16" t="str">
        <f t="shared" si="7"/>
        <v/>
      </c>
      <c r="G83" s="17"/>
      <c r="H83" s="17" t="str">
        <f t="shared" si="9"/>
        <v/>
      </c>
      <c r="I83" s="16" t="str">
        <f t="shared" si="10"/>
        <v/>
      </c>
      <c r="J83" s="39"/>
      <c r="K83" s="39"/>
    </row>
    <row r="84" spans="1:11" ht="15.6">
      <c r="A84" s="25"/>
      <c r="B84" s="26"/>
      <c r="C84" s="21"/>
      <c r="D84" s="11"/>
      <c r="E84" s="11" t="str">
        <f t="shared" si="8"/>
        <v/>
      </c>
      <c r="F84" s="12" t="str">
        <f t="shared" si="7"/>
        <v/>
      </c>
      <c r="G84" s="13"/>
      <c r="H84" s="13" t="str">
        <f t="shared" si="9"/>
        <v/>
      </c>
      <c r="I84" s="14" t="str">
        <f t="shared" si="10"/>
        <v/>
      </c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 ht="14.45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70" zoomScaleNormal="7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72</v>
      </c>
      <c r="E1" s="89"/>
      <c r="F1" s="89"/>
      <c r="G1" s="87" t="s">
        <v>73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1"/>
      <c r="K4" s="61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56"/>
      <c r="K5" s="56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1"/>
      <c r="K6" s="61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59" t="str">
        <f>IFERROR(E7/D7, "")</f>
        <v/>
      </c>
      <c r="G7" s="17"/>
      <c r="H7" s="17" t="str">
        <f t="shared" si="1"/>
        <v/>
      </c>
      <c r="I7" s="16" t="str">
        <f t="shared" si="2"/>
        <v/>
      </c>
      <c r="J7" s="56"/>
      <c r="K7" s="56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1"/>
      <c r="K8" s="61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6"/>
      <c r="K9" s="56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1"/>
      <c r="K10" s="61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6"/>
      <c r="K11" s="56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1"/>
      <c r="K12" s="61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6"/>
      <c r="K13" s="56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1"/>
      <c r="K14" s="61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6"/>
      <c r="K15" s="56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0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6.5" customHeight="1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1"/>
      <c r="K24" s="61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56"/>
      <c r="K25" s="56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1"/>
      <c r="K26" s="61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6"/>
      <c r="K27" s="56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1"/>
      <c r="K28" s="61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6"/>
      <c r="K29" s="56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1"/>
      <c r="K30" s="61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6"/>
      <c r="K31" s="56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1"/>
      <c r="K32" s="61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6"/>
      <c r="K33" s="56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1"/>
      <c r="K34" s="61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6"/>
      <c r="K35" s="56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1"/>
      <c r="K36" s="61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6"/>
      <c r="K37" s="56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1"/>
      <c r="K38" s="61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6"/>
      <c r="K39" s="56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1"/>
      <c r="K40" s="61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6"/>
      <c r="K41" s="56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1"/>
      <c r="K42" s="61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6"/>
      <c r="K43" s="56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1"/>
      <c r="K44" s="61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1"/>
      <c r="K46" s="61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1"/>
      <c r="K48" s="61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1"/>
      <c r="K50" s="61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6"/>
      <c r="K51" s="56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1"/>
      <c r="K52" s="61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6"/>
      <c r="K53" s="56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1"/>
      <c r="K54" s="61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6"/>
      <c r="K55" s="56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1"/>
      <c r="K56" s="61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6"/>
      <c r="K57" s="56"/>
    </row>
    <row r="58" spans="1:11" ht="49.35" customHeight="1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1"/>
      <c r="K58" s="61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6"/>
      <c r="K59" s="56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1"/>
      <c r="K60" s="61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6"/>
      <c r="K61" s="56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1"/>
      <c r="K62" s="61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6"/>
      <c r="K63" s="56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1"/>
      <c r="K64" s="61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6"/>
      <c r="K65" s="56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39"/>
      <c r="K67" s="3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3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3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3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39"/>
    </row>
    <row r="84" spans="1:11" ht="15.6">
      <c r="A84" s="25"/>
      <c r="B84" s="26"/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zoomScale="70" zoomScaleNormal="70" workbookViewId="0">
      <pane xSplit="2" ySplit="3" topLeftCell="C6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style="2" bestFit="1" customWidth="1"/>
    <col min="2" max="2" width="8.42578125" style="66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74</v>
      </c>
      <c r="E1" s="89"/>
      <c r="F1" s="89"/>
      <c r="G1" s="87" t="s">
        <v>75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SUM(C4:C87)</f>
        <v>0</v>
      </c>
      <c r="D2" s="4">
        <f>SUM(D4:D87)</f>
        <v>0</v>
      </c>
      <c r="E2" s="4">
        <f>C2-D2</f>
        <v>0</v>
      </c>
      <c r="F2" s="5">
        <f>IFERROR(E2/D2, 0)</f>
        <v>0</v>
      </c>
      <c r="G2" s="4">
        <f>SUM(G4:G87)</f>
        <v>0</v>
      </c>
      <c r="H2" s="6">
        <f>C2-G2</f>
        <v>0</v>
      </c>
      <c r="I2" s="5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1"/>
      <c r="K4" s="61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49"/>
      <c r="K5" s="4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1"/>
      <c r="K6" s="61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49"/>
      <c r="K7" s="49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1"/>
      <c r="K8" s="61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49"/>
      <c r="K9" s="4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1"/>
      <c r="K10" s="61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49"/>
      <c r="K11" s="49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1"/>
      <c r="K12" s="61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49"/>
      <c r="K13" s="49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1"/>
      <c r="K14" s="61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49"/>
      <c r="K15" s="49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1"/>
      <c r="K16" s="61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49"/>
      <c r="K17" s="4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1"/>
      <c r="K18" s="61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49"/>
      <c r="K19" s="4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1"/>
      <c r="K20" s="61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49"/>
      <c r="K21" s="4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1"/>
      <c r="K22" s="61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49"/>
      <c r="K23" s="4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1"/>
      <c r="K24" s="61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1"/>
      <c r="K26" s="61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49"/>
      <c r="K27" s="4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1"/>
      <c r="K28" s="61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49"/>
      <c r="K29" s="4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1"/>
      <c r="K30" s="61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49"/>
      <c r="K31" s="4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1"/>
      <c r="K32" s="61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49"/>
      <c r="K33" s="4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1"/>
      <c r="K34" s="61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49"/>
      <c r="K35" s="4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1"/>
      <c r="K36" s="61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49"/>
      <c r="K37" s="4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1"/>
      <c r="K38" s="61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49"/>
      <c r="K39" s="4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1"/>
      <c r="K40" s="61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49"/>
      <c r="K41" s="4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1"/>
      <c r="K42" s="61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1"/>
      <c r="K44" s="61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1"/>
      <c r="K46" s="61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1"/>
      <c r="K48" s="61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1"/>
      <c r="K50" s="61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49"/>
      <c r="K51" s="4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1"/>
      <c r="K52" s="61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49"/>
      <c r="K53" s="4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1"/>
      <c r="K54" s="61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49"/>
      <c r="K55" s="49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1"/>
      <c r="K56" s="61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49"/>
      <c r="K57" s="4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1"/>
      <c r="K58" s="61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49"/>
      <c r="K59" s="49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1"/>
      <c r="K60" s="61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49"/>
      <c r="K61" s="4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1"/>
      <c r="K62" s="61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49"/>
      <c r="K63" s="49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1"/>
      <c r="K64" s="61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49"/>
      <c r="K65" s="49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1"/>
      <c r="K66" s="61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49"/>
      <c r="K67" s="4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1"/>
      <c r="K68" s="61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1"/>
      <c r="K70" s="61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49"/>
      <c r="K71" s="4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1"/>
      <c r="K72" s="61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1"/>
      <c r="K74" s="61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49"/>
      <c r="K75" s="4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1"/>
      <c r="K76" s="61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1"/>
      <c r="K78" s="61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1"/>
      <c r="K80" s="61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49"/>
      <c r="K81" s="4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1"/>
      <c r="K82" s="61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49"/>
      <c r="K83" s="49"/>
    </row>
    <row r="84" spans="1:11" ht="15.6">
      <c r="A84" s="25"/>
      <c r="B84" s="26"/>
      <c r="C84" s="21"/>
      <c r="D84" s="11"/>
      <c r="E84" s="11"/>
      <c r="F84" s="12"/>
      <c r="G84" s="13"/>
      <c r="H84" s="13"/>
      <c r="I84" s="14"/>
      <c r="J84" s="61"/>
      <c r="K84" s="61"/>
    </row>
    <row r="85" spans="1:11" ht="14.45">
      <c r="A85" s="67"/>
      <c r="B85" s="65"/>
      <c r="C85" s="18"/>
      <c r="D85" s="18"/>
      <c r="E85" s="18"/>
      <c r="F85" s="19"/>
      <c r="G85" s="18"/>
      <c r="H85" s="18"/>
      <c r="I85" s="19"/>
      <c r="J85" s="63"/>
      <c r="K85" s="63"/>
    </row>
    <row r="86" spans="1:11" ht="14.45">
      <c r="A86" s="67"/>
      <c r="B86" s="65"/>
      <c r="C86" s="18"/>
      <c r="D86" s="18"/>
      <c r="E86" s="18"/>
      <c r="F86" s="19"/>
      <c r="G86" s="18"/>
      <c r="H86" s="18"/>
      <c r="I86" s="19"/>
      <c r="J86" s="63"/>
      <c r="K86" s="63"/>
    </row>
    <row r="87" spans="1:11" ht="14.45">
      <c r="A87" s="67"/>
      <c r="B87" s="65"/>
      <c r="C87" s="18"/>
      <c r="D87" s="18"/>
      <c r="E87" s="18"/>
      <c r="F87" s="19"/>
      <c r="G87" s="18"/>
      <c r="H87" s="18"/>
      <c r="I87" s="19"/>
      <c r="J87" s="63"/>
      <c r="K87" s="63"/>
    </row>
    <row r="88" spans="1:11" ht="14.45">
      <c r="A88" s="67"/>
      <c r="B88" s="65"/>
      <c r="C88" s="18"/>
      <c r="D88" s="18"/>
      <c r="E88" s="18"/>
      <c r="F88" s="19"/>
      <c r="G88" s="18"/>
      <c r="H88" s="18"/>
      <c r="I88" s="19"/>
      <c r="J88" s="63"/>
      <c r="K88" s="63"/>
    </row>
    <row r="89" spans="1:11" ht="14.45">
      <c r="A89" s="67"/>
      <c r="B89" s="65"/>
      <c r="C89" s="18"/>
      <c r="D89" s="18"/>
      <c r="E89" s="18"/>
      <c r="F89" s="19"/>
      <c r="G89" s="18"/>
      <c r="H89" s="18"/>
      <c r="I89" s="19"/>
      <c r="J89" s="63"/>
      <c r="K89" s="63"/>
    </row>
    <row r="90" spans="1:11" ht="14.45">
      <c r="A90" s="67"/>
      <c r="B90" s="65"/>
      <c r="C90" s="18"/>
      <c r="D90" s="18"/>
      <c r="E90" s="18"/>
      <c r="F90" s="19"/>
      <c r="G90" s="18"/>
      <c r="H90" s="18"/>
      <c r="I90" s="19"/>
      <c r="J90" s="63"/>
      <c r="K90" s="63"/>
    </row>
    <row r="91" spans="1:11" ht="14.45">
      <c r="A91" s="67"/>
      <c r="B91" s="65"/>
      <c r="C91" s="18"/>
      <c r="D91" s="18"/>
      <c r="E91" s="18"/>
      <c r="F91" s="19"/>
      <c r="G91" s="18"/>
      <c r="H91" s="18"/>
      <c r="I91" s="19"/>
      <c r="J91" s="63"/>
      <c r="K91" s="63"/>
    </row>
    <row r="92" spans="1:11" ht="14.45">
      <c r="A92" s="67"/>
      <c r="B92" s="65"/>
      <c r="C92" s="18"/>
      <c r="D92" s="18"/>
      <c r="E92" s="18"/>
      <c r="F92" s="19"/>
      <c r="G92" s="18"/>
      <c r="H92" s="18"/>
      <c r="I92" s="19"/>
      <c r="J92" s="63"/>
      <c r="K92" s="63"/>
    </row>
    <row r="93" spans="1:11" ht="14.45">
      <c r="A93" s="67"/>
      <c r="B93" s="65"/>
      <c r="C93" s="18"/>
      <c r="D93" s="18"/>
      <c r="E93" s="18"/>
      <c r="F93" s="19"/>
      <c r="G93" s="18"/>
      <c r="H93" s="18"/>
      <c r="I93" s="19"/>
      <c r="J93" s="63"/>
      <c r="K93" s="63"/>
    </row>
    <row r="94" spans="1:11" ht="14.45">
      <c r="A94" s="67"/>
      <c r="B94" s="65"/>
      <c r="C94" s="18"/>
      <c r="D94" s="18"/>
      <c r="E94" s="18"/>
      <c r="F94" s="19"/>
      <c r="G94" s="18"/>
      <c r="H94" s="18"/>
      <c r="I94" s="19"/>
      <c r="J94" s="63"/>
      <c r="K94" s="63"/>
    </row>
    <row r="95" spans="1:11" ht="14.45">
      <c r="A95" s="67"/>
      <c r="B95" s="65"/>
      <c r="C95" s="18"/>
      <c r="D95" s="18"/>
      <c r="E95" s="18"/>
      <c r="F95" s="19"/>
      <c r="G95" s="18"/>
      <c r="H95" s="18"/>
      <c r="I95" s="19"/>
      <c r="J95" s="63"/>
      <c r="K95" s="63"/>
    </row>
    <row r="96" spans="1:11" ht="14.45">
      <c r="A96" s="67"/>
      <c r="B96" s="65"/>
      <c r="C96" s="18"/>
      <c r="D96" s="18"/>
      <c r="E96" s="18"/>
      <c r="F96" s="19"/>
      <c r="G96" s="18"/>
      <c r="H96" s="18"/>
      <c r="I96" s="19"/>
      <c r="J96" s="63"/>
      <c r="K96" s="63"/>
    </row>
    <row r="97" spans="1:11" ht="14.45">
      <c r="A97" s="67"/>
      <c r="B97" s="65"/>
      <c r="C97" s="18"/>
      <c r="D97" s="18"/>
      <c r="E97" s="18"/>
      <c r="F97" s="19"/>
      <c r="G97" s="18"/>
      <c r="H97" s="18"/>
      <c r="I97" s="19"/>
      <c r="J97" s="63"/>
      <c r="K97" s="63"/>
    </row>
    <row r="98" spans="1:11" ht="14.45">
      <c r="A98" s="67"/>
      <c r="B98" s="65"/>
      <c r="C98" s="18"/>
      <c r="D98" s="18"/>
      <c r="E98" s="18"/>
      <c r="F98" s="19"/>
      <c r="G98" s="18"/>
      <c r="H98" s="18"/>
      <c r="I98" s="19"/>
      <c r="J98" s="63"/>
      <c r="K98" s="63"/>
    </row>
    <row r="99" spans="1:11" ht="14.45">
      <c r="A99" s="67"/>
      <c r="B99" s="65"/>
      <c r="C99" s="18"/>
      <c r="D99" s="18"/>
      <c r="E99" s="18"/>
      <c r="F99" s="19"/>
      <c r="G99" s="18"/>
      <c r="H99" s="18"/>
      <c r="I99" s="19"/>
      <c r="J99" s="63"/>
      <c r="K99" s="63"/>
    </row>
    <row r="100" spans="1:11" ht="14.45">
      <c r="A100" s="67"/>
      <c r="B100" s="65"/>
      <c r="C100" s="18"/>
      <c r="D100" s="18"/>
      <c r="E100" s="18"/>
      <c r="F100" s="19"/>
      <c r="G100" s="18"/>
      <c r="H100" s="18"/>
      <c r="I100" s="19"/>
      <c r="J100" s="63"/>
      <c r="K100" s="63"/>
    </row>
    <row r="101" spans="1:11" ht="14.45">
      <c r="A101" s="67"/>
      <c r="B101" s="65"/>
      <c r="C101" s="18"/>
      <c r="D101" s="18"/>
      <c r="E101" s="18"/>
      <c r="F101" s="19"/>
      <c r="G101" s="18"/>
      <c r="H101" s="18"/>
      <c r="I101" s="19"/>
      <c r="J101" s="63"/>
      <c r="K101" s="63"/>
    </row>
    <row r="102" spans="1:11" ht="14.45">
      <c r="A102" s="67"/>
      <c r="B102" s="65"/>
      <c r="C102" s="18"/>
      <c r="D102" s="18"/>
      <c r="E102" s="18"/>
      <c r="F102" s="19"/>
      <c r="G102" s="18"/>
      <c r="H102" s="18"/>
      <c r="I102" s="19"/>
      <c r="J102" s="63"/>
      <c r="K102" s="63"/>
    </row>
    <row r="103" spans="1:11" ht="14.45">
      <c r="A103" s="67"/>
      <c r="B103" s="65"/>
      <c r="C103" s="18"/>
      <c r="D103" s="18"/>
      <c r="E103" s="18"/>
      <c r="F103" s="19"/>
      <c r="G103" s="18"/>
      <c r="H103" s="18"/>
      <c r="I103" s="19"/>
      <c r="J103" s="63"/>
      <c r="K103" s="63"/>
    </row>
    <row r="104" spans="1:11" ht="14.45">
      <c r="A104" s="67"/>
      <c r="B104" s="65"/>
      <c r="C104" s="18"/>
      <c r="D104" s="18"/>
      <c r="E104" s="18"/>
      <c r="F104" s="19"/>
      <c r="G104" s="18"/>
      <c r="H104" s="18"/>
      <c r="I104" s="19"/>
      <c r="J104" s="63"/>
      <c r="K104" s="63"/>
    </row>
    <row r="105" spans="1:11" ht="14.45">
      <c r="A105" s="67"/>
      <c r="B105" s="65"/>
      <c r="C105" s="18"/>
      <c r="D105" s="18"/>
      <c r="E105" s="18"/>
      <c r="F105" s="19"/>
      <c r="G105" s="18"/>
      <c r="H105" s="18"/>
      <c r="I105" s="19"/>
      <c r="J105" s="63"/>
      <c r="K105" s="63"/>
    </row>
    <row r="106" spans="1:11" ht="14.45">
      <c r="A106" s="67"/>
      <c r="B106" s="65"/>
      <c r="C106" s="18"/>
      <c r="D106" s="18"/>
      <c r="E106" s="18"/>
      <c r="F106" s="19"/>
      <c r="G106" s="18"/>
      <c r="H106" s="18"/>
      <c r="I106" s="19"/>
      <c r="J106" s="63"/>
      <c r="K106" s="63"/>
    </row>
    <row r="107" spans="1:11" ht="14.45">
      <c r="A107" s="67"/>
      <c r="B107" s="65"/>
      <c r="C107" s="18"/>
      <c r="D107" s="18"/>
      <c r="E107" s="18"/>
      <c r="F107" s="19"/>
      <c r="G107" s="18"/>
      <c r="H107" s="18"/>
      <c r="I107" s="19"/>
      <c r="J107" s="63"/>
      <c r="K107" s="63"/>
    </row>
    <row r="108" spans="1:11" ht="14.45">
      <c r="A108" s="67"/>
      <c r="B108" s="65"/>
      <c r="C108" s="18"/>
      <c r="D108" s="18"/>
      <c r="E108" s="18"/>
      <c r="F108" s="19"/>
      <c r="G108" s="18"/>
      <c r="H108" s="18"/>
      <c r="I108" s="19"/>
      <c r="J108" s="63"/>
      <c r="K108" s="63"/>
    </row>
    <row r="109" spans="1:11" ht="14.45">
      <c r="A109" s="67"/>
      <c r="B109" s="65"/>
      <c r="C109" s="18"/>
      <c r="D109" s="18"/>
      <c r="E109" s="18"/>
      <c r="F109" s="19"/>
      <c r="G109" s="18"/>
      <c r="H109" s="18"/>
      <c r="I109" s="19"/>
      <c r="J109" s="63"/>
      <c r="K109" s="63"/>
    </row>
    <row r="110" spans="1:11" ht="14.45">
      <c r="A110" s="67"/>
      <c r="B110" s="65"/>
      <c r="C110" s="18"/>
      <c r="D110" s="18"/>
      <c r="E110" s="18"/>
      <c r="F110" s="19"/>
      <c r="G110" s="18"/>
      <c r="H110" s="18"/>
      <c r="I110" s="19"/>
      <c r="J110" s="63"/>
      <c r="K110" s="63"/>
    </row>
    <row r="111" spans="1:11" ht="14.45">
      <c r="A111" s="67"/>
      <c r="B111" s="65"/>
      <c r="C111" s="18"/>
      <c r="D111" s="18"/>
      <c r="E111" s="18"/>
      <c r="F111" s="19"/>
      <c r="G111" s="18"/>
      <c r="H111" s="18"/>
      <c r="I111" s="19"/>
      <c r="J111" s="63"/>
      <c r="K111" s="63"/>
    </row>
    <row r="112" spans="1:11" ht="14.45">
      <c r="A112" s="67"/>
      <c r="B112" s="65"/>
      <c r="C112" s="18"/>
      <c r="D112" s="18"/>
      <c r="E112" s="18"/>
      <c r="F112" s="19"/>
      <c r="G112" s="18"/>
      <c r="H112" s="18"/>
      <c r="I112" s="19"/>
      <c r="J112" s="63"/>
      <c r="K112" s="63"/>
    </row>
    <row r="113" spans="1:11" ht="14.45">
      <c r="A113" s="67"/>
      <c r="B113" s="65"/>
      <c r="C113" s="18"/>
      <c r="D113" s="18"/>
      <c r="E113" s="18"/>
      <c r="F113" s="19"/>
      <c r="G113" s="18"/>
      <c r="H113" s="18"/>
      <c r="I113" s="19"/>
      <c r="J113" s="63"/>
      <c r="K113" s="63"/>
    </row>
    <row r="114" spans="1:11" ht="14.45">
      <c r="A114" s="67"/>
      <c r="B114" s="65"/>
      <c r="C114" s="18"/>
      <c r="D114" s="18"/>
      <c r="E114" s="18"/>
      <c r="F114" s="19"/>
      <c r="G114" s="18"/>
      <c r="H114" s="18"/>
      <c r="I114" s="19"/>
      <c r="J114" s="63"/>
      <c r="K114" s="63"/>
    </row>
    <row r="115" spans="1:11" ht="14.45">
      <c r="A115" s="67"/>
      <c r="B115" s="65"/>
      <c r="C115" s="18"/>
      <c r="D115" s="18"/>
      <c r="E115" s="18"/>
      <c r="F115" s="19"/>
      <c r="G115" s="18"/>
      <c r="H115" s="18"/>
      <c r="I115" s="19"/>
      <c r="J115" s="63"/>
      <c r="K115" s="63"/>
    </row>
    <row r="116" spans="1:11" ht="14.45">
      <c r="A116" s="67"/>
      <c r="B116" s="65"/>
      <c r="C116" s="18"/>
      <c r="D116" s="18"/>
      <c r="E116" s="18"/>
      <c r="F116" s="19"/>
      <c r="G116" s="18"/>
      <c r="H116" s="18"/>
      <c r="I116" s="19"/>
      <c r="J116" s="63"/>
      <c r="K116" s="63"/>
    </row>
    <row r="117" spans="1:11" ht="14.45">
      <c r="A117" s="67"/>
      <c r="B117" s="65"/>
      <c r="C117" s="18"/>
      <c r="D117" s="18"/>
      <c r="E117" s="18"/>
      <c r="F117" s="19"/>
      <c r="G117" s="18"/>
      <c r="H117" s="18"/>
      <c r="I117" s="19"/>
      <c r="J117" s="63"/>
      <c r="K117" s="63"/>
    </row>
    <row r="118" spans="1:11" ht="14.45">
      <c r="A118" s="67"/>
      <c r="B118" s="65"/>
      <c r="C118" s="18"/>
      <c r="D118" s="18"/>
      <c r="E118" s="18"/>
      <c r="F118" s="19"/>
      <c r="G118" s="18"/>
      <c r="H118" s="18"/>
      <c r="I118" s="19"/>
      <c r="J118" s="63"/>
      <c r="K118" s="63"/>
    </row>
    <row r="119" spans="1:11" ht="14.45">
      <c r="A119" s="67"/>
      <c r="B119" s="65"/>
      <c r="C119" s="18"/>
      <c r="D119" s="18"/>
      <c r="E119" s="18"/>
      <c r="F119" s="19"/>
      <c r="G119" s="18"/>
      <c r="H119" s="18"/>
      <c r="I119" s="19"/>
      <c r="J119" s="63"/>
      <c r="K119" s="63"/>
    </row>
    <row r="120" spans="1:11" ht="14.45">
      <c r="A120" s="67"/>
      <c r="B120" s="65"/>
      <c r="C120" s="18"/>
      <c r="D120" s="18"/>
      <c r="E120" s="18"/>
      <c r="F120" s="19"/>
      <c r="G120" s="18"/>
      <c r="H120" s="18"/>
      <c r="I120" s="19"/>
      <c r="J120" s="63"/>
      <c r="K120" s="63"/>
    </row>
    <row r="121" spans="1:11" ht="14.45">
      <c r="A121" s="67"/>
      <c r="B121" s="65"/>
      <c r="C121" s="18"/>
      <c r="D121" s="18"/>
      <c r="E121" s="18"/>
      <c r="F121" s="19"/>
      <c r="G121" s="18"/>
      <c r="H121" s="18"/>
      <c r="I121" s="19"/>
      <c r="J121" s="63"/>
      <c r="K121" s="63"/>
    </row>
    <row r="122" spans="1:11" ht="14.45">
      <c r="A122" s="67"/>
      <c r="B122" s="65"/>
      <c r="C122" s="18"/>
      <c r="D122" s="18"/>
      <c r="E122" s="18"/>
      <c r="F122" s="19"/>
      <c r="G122" s="18"/>
      <c r="H122" s="18"/>
      <c r="I122" s="19"/>
      <c r="J122" s="63"/>
      <c r="K122" s="63"/>
    </row>
    <row r="123" spans="1:11" ht="14.45">
      <c r="A123" s="67"/>
      <c r="B123" s="65"/>
      <c r="C123" s="18"/>
      <c r="D123" s="18"/>
      <c r="E123" s="18"/>
      <c r="F123" s="19"/>
      <c r="G123" s="18"/>
      <c r="H123" s="18"/>
      <c r="I123" s="19"/>
      <c r="J123" s="63"/>
      <c r="K123" s="63"/>
    </row>
    <row r="124" spans="1:11" ht="14.45">
      <c r="A124" s="67"/>
      <c r="B124" s="65"/>
      <c r="C124" s="18"/>
      <c r="D124" s="18"/>
      <c r="E124" s="18"/>
      <c r="F124" s="19"/>
      <c r="G124" s="18"/>
      <c r="H124" s="18"/>
      <c r="I124" s="19"/>
      <c r="J124" s="63"/>
      <c r="K124" s="63"/>
    </row>
    <row r="125" spans="1:11" ht="14.45">
      <c r="A125" s="67"/>
      <c r="B125" s="65"/>
      <c r="C125" s="18"/>
      <c r="D125" s="18"/>
      <c r="E125" s="18"/>
      <c r="F125" s="19"/>
      <c r="G125" s="18"/>
      <c r="H125" s="18"/>
      <c r="I125" s="19"/>
      <c r="J125" s="63"/>
      <c r="K125" s="63"/>
    </row>
    <row r="126" spans="1:11" ht="14.45">
      <c r="A126" s="67"/>
      <c r="B126" s="65"/>
      <c r="C126" s="18"/>
      <c r="D126" s="18"/>
      <c r="E126" s="18"/>
      <c r="F126" s="19"/>
      <c r="G126" s="18"/>
      <c r="H126" s="18"/>
      <c r="I126" s="19"/>
      <c r="J126" s="63"/>
      <c r="K126" s="63"/>
    </row>
    <row r="127" spans="1:11" ht="14.45">
      <c r="A127" s="67"/>
      <c r="B127" s="65"/>
      <c r="C127" s="18"/>
      <c r="D127" s="18"/>
      <c r="E127" s="18"/>
      <c r="F127" s="19"/>
      <c r="G127" s="18"/>
      <c r="H127" s="18"/>
      <c r="I127" s="19"/>
      <c r="J127" s="63"/>
      <c r="K127" s="63"/>
    </row>
    <row r="128" spans="1:11" ht="14.45">
      <c r="A128" s="67"/>
      <c r="B128" s="65"/>
      <c r="C128" s="18"/>
      <c r="D128" s="18"/>
      <c r="E128" s="18"/>
      <c r="F128" s="19"/>
      <c r="G128" s="18"/>
      <c r="H128" s="18"/>
      <c r="I128" s="19"/>
      <c r="J128" s="63"/>
      <c r="K128" s="63"/>
    </row>
    <row r="129" spans="1:11" ht="14.45">
      <c r="A129" s="67"/>
      <c r="B129" s="65"/>
      <c r="C129" s="18"/>
      <c r="D129" s="18"/>
      <c r="E129" s="18"/>
      <c r="F129" s="19"/>
      <c r="G129" s="18"/>
      <c r="H129" s="18"/>
      <c r="I129" s="19"/>
      <c r="J129" s="63"/>
      <c r="K129" s="63"/>
    </row>
    <row r="130" spans="1:11" ht="14.45">
      <c r="A130" s="67"/>
      <c r="B130" s="65"/>
      <c r="C130" s="18"/>
      <c r="D130" s="18"/>
      <c r="E130" s="18"/>
      <c r="F130" s="19"/>
      <c r="G130" s="18"/>
      <c r="H130" s="18"/>
      <c r="I130" s="19"/>
      <c r="J130" s="63"/>
      <c r="K130" s="63"/>
    </row>
    <row r="131" spans="1:11" ht="14.45">
      <c r="A131" s="67"/>
      <c r="B131" s="65"/>
      <c r="C131" s="18"/>
      <c r="D131" s="18"/>
      <c r="E131" s="18"/>
      <c r="F131" s="19"/>
      <c r="G131" s="18"/>
      <c r="H131" s="18"/>
      <c r="I131" s="19"/>
      <c r="J131" s="63"/>
      <c r="K131" s="63"/>
    </row>
    <row r="132" spans="1:11" ht="14.45">
      <c r="A132" s="67"/>
      <c r="B132" s="65"/>
      <c r="C132" s="18"/>
      <c r="D132" s="18"/>
      <c r="E132" s="18"/>
      <c r="F132" s="19"/>
      <c r="G132" s="18"/>
      <c r="H132" s="18"/>
      <c r="I132" s="19"/>
      <c r="J132" s="63"/>
      <c r="K132" s="63"/>
    </row>
    <row r="133" spans="1:11" ht="14.45">
      <c r="A133" s="67"/>
      <c r="B133" s="65"/>
      <c r="C133" s="18"/>
      <c r="D133" s="18"/>
      <c r="E133" s="18"/>
      <c r="F133" s="19"/>
      <c r="G133" s="18"/>
      <c r="H133" s="18"/>
      <c r="I133" s="19"/>
      <c r="J133" s="63"/>
      <c r="K133" s="63"/>
    </row>
    <row r="134" spans="1:11" ht="14.45">
      <c r="A134" s="67"/>
      <c r="B134" s="65"/>
      <c r="C134" s="18"/>
      <c r="D134" s="18"/>
      <c r="E134" s="18"/>
      <c r="F134" s="19"/>
      <c r="G134" s="18"/>
      <c r="H134" s="18"/>
      <c r="I134" s="19"/>
      <c r="J134" s="63"/>
      <c r="K134" s="63"/>
    </row>
    <row r="135" spans="1:11" ht="14.45">
      <c r="A135" s="67"/>
      <c r="B135" s="65"/>
      <c r="C135" s="18"/>
      <c r="D135" s="18"/>
      <c r="E135" s="18"/>
      <c r="F135" s="19"/>
      <c r="G135" s="18"/>
      <c r="H135" s="18"/>
      <c r="I135" s="19"/>
      <c r="J135" s="63"/>
      <c r="K135" s="63"/>
    </row>
    <row r="136" spans="1:11" ht="14.45">
      <c r="A136" s="67"/>
      <c r="B136" s="65"/>
      <c r="C136" s="18"/>
      <c r="D136" s="18"/>
      <c r="E136" s="18"/>
      <c r="F136" s="19"/>
      <c r="G136" s="18"/>
      <c r="H136" s="18"/>
      <c r="I136" s="19"/>
      <c r="J136" s="63"/>
      <c r="K136" s="63"/>
    </row>
    <row r="137" spans="1:11" ht="14.45">
      <c r="A137" s="67"/>
      <c r="B137" s="65"/>
      <c r="C137" s="18"/>
      <c r="D137" s="18"/>
      <c r="E137" s="18"/>
      <c r="F137" s="19"/>
      <c r="G137" s="18"/>
      <c r="H137" s="18"/>
      <c r="I137" s="19"/>
      <c r="J137" s="63"/>
      <c r="K137" s="63"/>
    </row>
    <row r="138" spans="1:11" ht="14.45">
      <c r="A138" s="67"/>
      <c r="B138" s="65"/>
      <c r="C138" s="18"/>
      <c r="D138" s="18"/>
      <c r="E138" s="18"/>
      <c r="F138" s="19"/>
      <c r="G138" s="18"/>
      <c r="H138" s="18"/>
      <c r="I138" s="19"/>
      <c r="J138" s="63"/>
      <c r="K138" s="63"/>
    </row>
    <row r="139" spans="1:11" ht="14.45">
      <c r="A139" s="67"/>
      <c r="B139" s="65"/>
      <c r="C139" s="18"/>
      <c r="D139" s="18"/>
      <c r="E139" s="18"/>
      <c r="F139" s="19"/>
      <c r="G139" s="18"/>
      <c r="H139" s="18"/>
      <c r="I139" s="19"/>
      <c r="J139" s="63"/>
      <c r="K139" s="63"/>
    </row>
    <row r="140" spans="1:11" ht="14.45">
      <c r="A140" s="67"/>
      <c r="B140" s="65"/>
      <c r="C140" s="18"/>
      <c r="D140" s="18"/>
      <c r="E140" s="18"/>
      <c r="F140" s="19"/>
      <c r="G140" s="18"/>
      <c r="H140" s="18"/>
      <c r="I140" s="19"/>
      <c r="J140" s="63"/>
      <c r="K140" s="63"/>
    </row>
    <row r="141" spans="1:11" ht="14.45">
      <c r="A141" s="67"/>
      <c r="B141" s="65"/>
      <c r="C141" s="18"/>
      <c r="D141" s="18"/>
      <c r="E141" s="18"/>
      <c r="F141" s="19"/>
      <c r="G141" s="18"/>
      <c r="H141" s="18"/>
      <c r="I141" s="19"/>
      <c r="J141" s="63"/>
      <c r="K141" s="63"/>
    </row>
    <row r="142" spans="1:11" ht="14.45">
      <c r="A142" s="67"/>
      <c r="B142" s="65"/>
      <c r="C142" s="18"/>
      <c r="D142" s="18"/>
      <c r="E142" s="18"/>
      <c r="F142" s="19"/>
      <c r="G142" s="18"/>
      <c r="H142" s="18"/>
      <c r="I142" s="19"/>
      <c r="J142" s="63"/>
      <c r="K142" s="63"/>
    </row>
    <row r="143" spans="1:11" ht="14.45">
      <c r="A143" s="67"/>
      <c r="B143" s="65"/>
      <c r="C143" s="18"/>
      <c r="D143" s="18"/>
      <c r="E143" s="18"/>
      <c r="F143" s="19"/>
      <c r="G143" s="18"/>
      <c r="H143" s="18"/>
      <c r="I143" s="19"/>
      <c r="J143" s="63"/>
      <c r="K143" s="63"/>
    </row>
    <row r="144" spans="1:11" ht="14.45">
      <c r="A144" s="67"/>
      <c r="B144" s="65"/>
      <c r="C144" s="18"/>
      <c r="D144" s="18"/>
      <c r="E144" s="18"/>
      <c r="F144" s="19"/>
      <c r="G144" s="18"/>
      <c r="H144" s="18"/>
      <c r="I144" s="19"/>
      <c r="J144" s="63"/>
      <c r="K144" s="63"/>
    </row>
    <row r="145" spans="1:11" ht="14.45">
      <c r="A145" s="67"/>
      <c r="B145" s="65"/>
      <c r="C145" s="18"/>
      <c r="D145" s="18"/>
      <c r="E145" s="18"/>
      <c r="F145" s="19"/>
      <c r="G145" s="18"/>
      <c r="H145" s="18"/>
      <c r="I145" s="19"/>
      <c r="J145" s="63"/>
      <c r="K145" s="63"/>
    </row>
    <row r="146" spans="1:11" ht="14.45">
      <c r="A146" s="67"/>
      <c r="B146" s="65"/>
      <c r="C146" s="18"/>
      <c r="D146" s="18"/>
      <c r="E146" s="18"/>
      <c r="F146" s="19"/>
      <c r="G146" s="18"/>
      <c r="H146" s="18"/>
      <c r="I146" s="19"/>
      <c r="J146" s="63"/>
      <c r="K146" s="63"/>
    </row>
    <row r="147" spans="1:11" ht="14.45">
      <c r="A147" s="67"/>
      <c r="B147" s="65"/>
      <c r="C147" s="18"/>
      <c r="D147" s="18"/>
      <c r="E147" s="18"/>
      <c r="F147" s="19"/>
      <c r="G147" s="18"/>
      <c r="H147" s="18"/>
      <c r="I147" s="19"/>
      <c r="J147" s="63"/>
      <c r="K147" s="63"/>
    </row>
    <row r="148" spans="1:11" ht="14.45">
      <c r="A148" s="67"/>
      <c r="B148" s="65"/>
      <c r="C148" s="18"/>
      <c r="D148" s="18"/>
      <c r="E148" s="18"/>
      <c r="F148" s="19"/>
      <c r="G148" s="18"/>
      <c r="H148" s="18"/>
      <c r="I148" s="19"/>
      <c r="J148" s="63"/>
      <c r="K148" s="63"/>
    </row>
    <row r="149" spans="1:11" ht="14.45">
      <c r="A149" s="67"/>
      <c r="B149" s="65"/>
      <c r="C149" s="18"/>
      <c r="D149" s="18"/>
      <c r="E149" s="18"/>
      <c r="F149" s="19"/>
      <c r="G149" s="18"/>
      <c r="H149" s="18"/>
      <c r="I149" s="19"/>
      <c r="J149" s="63"/>
      <c r="K149" s="63"/>
    </row>
    <row r="150" spans="1:11" ht="14.45">
      <c r="A150" s="67"/>
      <c r="B150" s="65"/>
      <c r="C150" s="18"/>
      <c r="D150" s="18"/>
      <c r="E150" s="18"/>
      <c r="F150" s="19"/>
      <c r="G150" s="18"/>
      <c r="H150" s="18"/>
      <c r="I150" s="19"/>
      <c r="J150" s="63"/>
      <c r="K150" s="63"/>
    </row>
    <row r="151" spans="1:11" ht="14.45">
      <c r="A151" s="67"/>
      <c r="B151" s="65"/>
      <c r="C151" s="18"/>
      <c r="D151" s="18"/>
      <c r="E151" s="18"/>
      <c r="F151" s="19"/>
      <c r="G151" s="18"/>
      <c r="H151" s="18"/>
      <c r="I151" s="19"/>
      <c r="J151" s="63"/>
      <c r="K151" s="63"/>
    </row>
    <row r="152" spans="1:11" ht="14.45">
      <c r="A152" s="67"/>
      <c r="B152" s="65"/>
      <c r="C152" s="18"/>
      <c r="D152" s="18"/>
      <c r="E152" s="18"/>
      <c r="F152" s="19"/>
      <c r="G152" s="18"/>
      <c r="H152" s="18"/>
      <c r="I152" s="19"/>
      <c r="J152" s="63"/>
      <c r="K152" s="63"/>
    </row>
    <row r="153" spans="1:11" ht="14.45">
      <c r="A153" s="67"/>
      <c r="B153" s="65"/>
      <c r="C153" s="18"/>
      <c r="D153" s="18"/>
      <c r="E153" s="18"/>
      <c r="F153" s="19"/>
      <c r="G153" s="18"/>
      <c r="H153" s="18"/>
      <c r="I153" s="19"/>
      <c r="J153" s="63"/>
      <c r="K153" s="63"/>
    </row>
    <row r="154" spans="1:11" ht="14.45">
      <c r="A154" s="67"/>
      <c r="B154" s="65"/>
      <c r="C154" s="18"/>
      <c r="D154" s="18"/>
      <c r="E154" s="18"/>
      <c r="F154" s="19"/>
      <c r="G154" s="18"/>
      <c r="H154" s="18"/>
      <c r="I154" s="19"/>
      <c r="J154" s="63"/>
      <c r="K154" s="63"/>
    </row>
    <row r="155" spans="1:11" ht="14.45">
      <c r="A155" s="67"/>
      <c r="B155" s="65"/>
      <c r="C155" s="18"/>
      <c r="D155" s="18"/>
      <c r="E155" s="18"/>
      <c r="F155" s="19"/>
      <c r="G155" s="18"/>
      <c r="H155" s="18"/>
      <c r="I155" s="19"/>
      <c r="J155" s="63"/>
      <c r="K155" s="63"/>
    </row>
    <row r="156" spans="1:11" ht="14.45">
      <c r="A156" s="67"/>
      <c r="B156" s="65"/>
      <c r="C156" s="18"/>
      <c r="D156" s="18"/>
      <c r="E156" s="18"/>
      <c r="F156" s="19"/>
      <c r="G156" s="18"/>
      <c r="H156" s="18"/>
      <c r="I156" s="19"/>
      <c r="J156" s="63"/>
      <c r="K156" s="63"/>
    </row>
    <row r="157" spans="1:11" ht="14.45">
      <c r="A157" s="67"/>
      <c r="B157" s="65"/>
      <c r="C157" s="18"/>
      <c r="D157" s="18"/>
      <c r="E157" s="18"/>
      <c r="F157" s="19"/>
      <c r="G157" s="18"/>
      <c r="H157" s="18"/>
      <c r="I157" s="19"/>
      <c r="J157" s="63"/>
      <c r="K157" s="63"/>
    </row>
    <row r="158" spans="1:11" ht="14.45">
      <c r="A158" s="67"/>
      <c r="B158" s="65"/>
      <c r="C158" s="18"/>
      <c r="D158" s="18"/>
      <c r="E158" s="18"/>
      <c r="F158" s="19"/>
      <c r="G158" s="18"/>
      <c r="H158" s="18"/>
      <c r="I158" s="19"/>
      <c r="J158" s="63"/>
      <c r="K158" s="63"/>
    </row>
    <row r="159" spans="1:11" ht="14.45">
      <c r="A159" s="67"/>
      <c r="B159" s="65"/>
      <c r="C159" s="18"/>
      <c r="D159" s="18"/>
      <c r="E159" s="18"/>
      <c r="F159" s="19"/>
      <c r="G159" s="18"/>
      <c r="H159" s="18"/>
      <c r="I159" s="19"/>
      <c r="J159" s="63"/>
      <c r="K159" s="63"/>
    </row>
    <row r="160" spans="1:11" ht="14.45">
      <c r="A160" s="67"/>
      <c r="B160" s="65"/>
      <c r="C160" s="18"/>
      <c r="D160" s="18"/>
      <c r="E160" s="18"/>
      <c r="F160" s="19"/>
      <c r="G160" s="18"/>
      <c r="H160" s="18"/>
      <c r="I160" s="19"/>
      <c r="J160" s="63"/>
      <c r="K160" s="63"/>
    </row>
    <row r="161" spans="1:11" ht="14.45">
      <c r="A161" s="67"/>
      <c r="B161" s="65"/>
      <c r="C161" s="18"/>
      <c r="D161" s="18"/>
      <c r="E161" s="18"/>
      <c r="F161" s="19"/>
      <c r="G161" s="18"/>
      <c r="H161" s="18"/>
      <c r="I161" s="19"/>
      <c r="J161" s="63"/>
      <c r="K161" s="63"/>
    </row>
    <row r="162" spans="1:11" ht="14.45">
      <c r="A162" s="67"/>
      <c r="B162" s="65"/>
      <c r="C162" s="18"/>
      <c r="D162" s="18"/>
      <c r="E162" s="18"/>
      <c r="F162" s="19"/>
      <c r="G162" s="18"/>
      <c r="H162" s="18"/>
      <c r="I162" s="19"/>
      <c r="J162" s="63"/>
      <c r="K162" s="63"/>
    </row>
    <row r="163" spans="1:11" ht="14.45">
      <c r="A163" s="67"/>
      <c r="B163" s="65"/>
      <c r="C163" s="18"/>
      <c r="D163" s="18"/>
      <c r="E163" s="18"/>
      <c r="F163" s="19"/>
      <c r="G163" s="18"/>
      <c r="H163" s="18"/>
      <c r="I163" s="19"/>
      <c r="J163" s="63"/>
      <c r="K163" s="63"/>
    </row>
    <row r="164" spans="1:11" ht="14.45">
      <c r="A164" s="67"/>
      <c r="B164" s="65"/>
      <c r="C164" s="18"/>
      <c r="D164" s="18"/>
      <c r="E164" s="18"/>
      <c r="F164" s="19"/>
      <c r="G164" s="18"/>
      <c r="H164" s="18"/>
      <c r="I164" s="19"/>
      <c r="J164" s="63"/>
      <c r="K164" s="63"/>
    </row>
    <row r="165" spans="1:11" ht="14.45">
      <c r="A165" s="67"/>
      <c r="B165" s="65"/>
      <c r="C165" s="18"/>
      <c r="D165" s="18"/>
      <c r="E165" s="18"/>
      <c r="F165" s="19"/>
      <c r="G165" s="18"/>
      <c r="H165" s="18"/>
      <c r="I165" s="19"/>
      <c r="J165" s="63"/>
      <c r="K165" s="63"/>
    </row>
    <row r="166" spans="1:11" ht="14.45">
      <c r="A166" s="67"/>
      <c r="B166" s="65"/>
      <c r="C166" s="18"/>
      <c r="D166" s="18"/>
      <c r="E166" s="18"/>
      <c r="F166" s="19"/>
      <c r="G166" s="18"/>
      <c r="H166" s="18"/>
      <c r="I166" s="19"/>
      <c r="J166" s="63"/>
      <c r="K166" s="63"/>
    </row>
    <row r="167" spans="1:11" ht="14.45">
      <c r="A167" s="67"/>
      <c r="B167" s="65"/>
      <c r="C167" s="18"/>
      <c r="D167" s="18"/>
      <c r="E167" s="18"/>
      <c r="F167" s="19"/>
      <c r="G167" s="18"/>
      <c r="H167" s="18"/>
      <c r="I167" s="19"/>
      <c r="J167" s="63"/>
      <c r="K167" s="63"/>
    </row>
    <row r="168" spans="1:11" ht="14.45">
      <c r="A168" s="67"/>
      <c r="B168" s="65"/>
      <c r="C168" s="18"/>
      <c r="D168" s="18"/>
      <c r="E168" s="18"/>
      <c r="F168" s="19"/>
      <c r="G168" s="18"/>
      <c r="H168" s="18"/>
      <c r="I168" s="19"/>
      <c r="J168" s="63"/>
      <c r="K168" s="63"/>
    </row>
    <row r="169" spans="1:11" ht="14.45">
      <c r="A169" s="67"/>
      <c r="B169" s="65"/>
      <c r="C169" s="18"/>
      <c r="D169" s="18"/>
      <c r="E169" s="18"/>
      <c r="F169" s="19"/>
      <c r="G169" s="18"/>
      <c r="H169" s="18"/>
      <c r="I169" s="19"/>
      <c r="J169" s="63"/>
      <c r="K169" s="63"/>
    </row>
    <row r="170" spans="1:11" ht="14.45">
      <c r="A170" s="67"/>
      <c r="B170" s="65"/>
      <c r="C170" s="18"/>
      <c r="D170" s="18"/>
      <c r="E170" s="18"/>
      <c r="F170" s="19"/>
      <c r="G170" s="18"/>
      <c r="H170" s="18"/>
      <c r="I170" s="19"/>
      <c r="J170" s="63"/>
      <c r="K170" s="63"/>
    </row>
    <row r="171" spans="1:11" ht="14.45">
      <c r="A171" s="67"/>
      <c r="B171" s="65"/>
      <c r="C171" s="18"/>
      <c r="D171" s="18"/>
      <c r="E171" s="18"/>
      <c r="F171" s="19"/>
      <c r="G171" s="18"/>
      <c r="H171" s="18"/>
      <c r="I171" s="19"/>
      <c r="J171" s="63"/>
      <c r="K171" s="63"/>
    </row>
    <row r="172" spans="1:11" ht="14.45">
      <c r="A172" s="67"/>
      <c r="B172" s="65"/>
      <c r="C172" s="18"/>
      <c r="D172" s="18"/>
      <c r="E172" s="18"/>
      <c r="F172" s="19"/>
      <c r="G172" s="18"/>
      <c r="H172" s="18"/>
      <c r="I172" s="19"/>
      <c r="J172" s="63"/>
      <c r="K172" s="63"/>
    </row>
    <row r="173" spans="1:11" ht="14.45">
      <c r="A173" s="67"/>
      <c r="B173" s="65"/>
      <c r="C173" s="18"/>
      <c r="D173" s="18"/>
      <c r="E173" s="18"/>
      <c r="F173" s="19"/>
      <c r="G173" s="18"/>
      <c r="H173" s="18"/>
      <c r="I173" s="19"/>
      <c r="J173" s="63"/>
      <c r="K173" s="63"/>
    </row>
    <row r="174" spans="1:11" ht="14.45">
      <c r="A174" s="67"/>
      <c r="B174" s="65"/>
      <c r="C174" s="18"/>
      <c r="D174" s="18"/>
      <c r="E174" s="18"/>
      <c r="F174" s="19"/>
      <c r="G174" s="18"/>
      <c r="H174" s="18"/>
      <c r="I174" s="19"/>
      <c r="J174" s="63"/>
      <c r="K174" s="63"/>
    </row>
    <row r="175" spans="1:11" ht="14.45">
      <c r="A175" s="67"/>
      <c r="B175" s="65"/>
      <c r="C175" s="18"/>
      <c r="D175" s="18"/>
      <c r="E175" s="18"/>
      <c r="F175" s="19"/>
      <c r="G175" s="18"/>
      <c r="H175" s="18"/>
      <c r="I175" s="19"/>
      <c r="J175" s="63"/>
      <c r="K175" s="63"/>
    </row>
    <row r="176" spans="1:11" ht="14.45">
      <c r="A176" s="67"/>
      <c r="B176" s="65"/>
      <c r="C176" s="18"/>
      <c r="D176" s="18"/>
      <c r="E176" s="18"/>
      <c r="F176" s="19"/>
      <c r="G176" s="18"/>
      <c r="H176" s="18"/>
      <c r="I176" s="19"/>
      <c r="J176" s="63"/>
      <c r="K176" s="63"/>
    </row>
    <row r="177" spans="1:11" ht="14.45">
      <c r="A177" s="67"/>
      <c r="B177" s="65"/>
      <c r="C177" s="18"/>
      <c r="D177" s="18"/>
      <c r="E177" s="18"/>
      <c r="F177" s="19"/>
      <c r="G177" s="18"/>
      <c r="H177" s="18"/>
      <c r="I177" s="19"/>
      <c r="J177" s="63"/>
      <c r="K177" s="63"/>
    </row>
    <row r="178" spans="1:11" ht="14.45">
      <c r="A178" s="67"/>
      <c r="B178" s="65"/>
      <c r="C178" s="18"/>
      <c r="D178" s="18"/>
      <c r="E178" s="18"/>
      <c r="F178" s="19"/>
      <c r="G178" s="18"/>
      <c r="H178" s="18"/>
      <c r="I178" s="19"/>
      <c r="J178" s="63"/>
      <c r="K178" s="63"/>
    </row>
    <row r="179" spans="1:11" ht="14.45">
      <c r="A179" s="67"/>
      <c r="B179" s="65"/>
      <c r="C179" s="18"/>
      <c r="D179" s="18"/>
      <c r="E179" s="18"/>
      <c r="F179" s="19"/>
      <c r="G179" s="18"/>
      <c r="H179" s="18"/>
      <c r="I179" s="19"/>
      <c r="J179" s="63"/>
      <c r="K179" s="63"/>
    </row>
    <row r="180" spans="1:11" ht="14.45">
      <c r="A180" s="67"/>
      <c r="B180" s="65"/>
      <c r="C180" s="18"/>
      <c r="D180" s="18"/>
      <c r="E180" s="18"/>
      <c r="F180" s="19"/>
      <c r="G180" s="18"/>
      <c r="H180" s="18"/>
      <c r="I180" s="19"/>
      <c r="J180" s="63"/>
      <c r="K180" s="63"/>
    </row>
    <row r="181" spans="1:11" ht="14.45">
      <c r="A181" s="67"/>
      <c r="B181" s="65"/>
      <c r="C181" s="18"/>
      <c r="D181" s="18"/>
      <c r="E181" s="18"/>
      <c r="F181" s="19"/>
      <c r="G181" s="18"/>
      <c r="H181" s="18"/>
      <c r="I181" s="19"/>
      <c r="J181" s="63"/>
      <c r="K181" s="63"/>
    </row>
    <row r="182" spans="1:11" ht="14.45">
      <c r="A182" s="67"/>
      <c r="B182" s="65"/>
      <c r="C182" s="18"/>
      <c r="D182" s="18"/>
      <c r="E182" s="18"/>
      <c r="F182" s="19"/>
      <c r="G182" s="18"/>
      <c r="H182" s="18"/>
      <c r="I182" s="19"/>
      <c r="J182" s="63"/>
      <c r="K182" s="63"/>
    </row>
    <row r="183" spans="1:11" ht="14.45">
      <c r="A183" s="67"/>
      <c r="B183" s="65"/>
      <c r="C183" s="18"/>
      <c r="D183" s="18"/>
      <c r="E183" s="18"/>
      <c r="F183" s="19"/>
      <c r="G183" s="18"/>
      <c r="H183" s="18"/>
      <c r="I183" s="19"/>
      <c r="J183" s="63"/>
      <c r="K183" s="63"/>
    </row>
    <row r="184" spans="1:11" ht="14.45">
      <c r="A184" s="67"/>
      <c r="B184" s="65"/>
      <c r="C184" s="18"/>
      <c r="D184" s="18"/>
      <c r="E184" s="18"/>
      <c r="F184" s="19"/>
      <c r="G184" s="18"/>
      <c r="H184" s="18"/>
      <c r="I184" s="19"/>
      <c r="J184" s="63"/>
      <c r="K184" s="63"/>
    </row>
    <row r="185" spans="1:11" ht="14.45">
      <c r="A185" s="67"/>
      <c r="B185" s="65"/>
      <c r="C185" s="18"/>
      <c r="D185" s="18"/>
      <c r="E185" s="18"/>
      <c r="F185" s="19"/>
      <c r="G185" s="18"/>
      <c r="H185" s="18"/>
      <c r="I185" s="19"/>
      <c r="J185" s="63"/>
      <c r="K185" s="63"/>
    </row>
    <row r="186" spans="1:11" ht="14.45">
      <c r="A186" s="67"/>
      <c r="B186" s="65"/>
      <c r="C186" s="18"/>
      <c r="D186" s="18"/>
      <c r="E186" s="18"/>
      <c r="F186" s="19"/>
      <c r="G186" s="18"/>
      <c r="H186" s="18"/>
      <c r="I186" s="19"/>
      <c r="J186" s="63"/>
      <c r="K186" s="63"/>
    </row>
    <row r="187" spans="1:11" ht="14.45">
      <c r="A187" s="67"/>
      <c r="B187" s="65"/>
      <c r="C187" s="18"/>
      <c r="D187" s="18"/>
      <c r="E187" s="18"/>
      <c r="F187" s="19"/>
      <c r="G187" s="18"/>
      <c r="H187" s="18"/>
      <c r="I187" s="19"/>
      <c r="J187" s="63"/>
      <c r="K187" s="63"/>
    </row>
    <row r="188" spans="1:11" ht="14.45">
      <c r="A188" s="67"/>
      <c r="B188" s="65"/>
      <c r="C188" s="18"/>
      <c r="D188" s="18"/>
      <c r="E188" s="18"/>
      <c r="F188" s="19"/>
      <c r="G188" s="18"/>
      <c r="H188" s="18"/>
      <c r="I188" s="19"/>
      <c r="J188" s="63"/>
      <c r="K188" s="63"/>
    </row>
    <row r="189" spans="1:11" ht="14.45">
      <c r="A189" s="67"/>
      <c r="B189" s="65"/>
      <c r="C189" s="18"/>
      <c r="D189" s="18"/>
      <c r="E189" s="18"/>
      <c r="F189" s="19"/>
      <c r="G189" s="18"/>
      <c r="H189" s="18"/>
      <c r="I189" s="19"/>
      <c r="J189" s="63"/>
      <c r="K189" s="63"/>
    </row>
    <row r="190" spans="1:11" ht="14.45">
      <c r="A190" s="67"/>
      <c r="B190" s="65"/>
      <c r="C190" s="18"/>
      <c r="D190" s="18"/>
      <c r="E190" s="18"/>
      <c r="F190" s="19"/>
      <c r="G190" s="18"/>
      <c r="H190" s="18"/>
      <c r="I190" s="19"/>
      <c r="J190" s="63"/>
      <c r="K190" s="63"/>
    </row>
    <row r="191" spans="1:11" ht="14.45">
      <c r="A191" s="67"/>
      <c r="B191" s="65"/>
      <c r="C191" s="18"/>
      <c r="D191" s="18"/>
      <c r="E191" s="18"/>
      <c r="F191" s="19"/>
      <c r="G191" s="18"/>
      <c r="H191" s="18"/>
      <c r="I191" s="19"/>
      <c r="J191" s="63"/>
      <c r="K191" s="63"/>
    </row>
    <row r="192" spans="1:11" ht="14.45">
      <c r="A192" s="67"/>
      <c r="B192" s="65"/>
      <c r="C192" s="18"/>
      <c r="D192" s="18"/>
      <c r="E192" s="18"/>
      <c r="F192" s="19"/>
      <c r="G192" s="18"/>
      <c r="H192" s="18"/>
      <c r="I192" s="19"/>
      <c r="J192" s="63"/>
      <c r="K192" s="63"/>
    </row>
    <row r="193" spans="1:11" ht="14.45">
      <c r="A193" s="67"/>
      <c r="B193" s="65"/>
      <c r="C193" s="18"/>
      <c r="D193" s="18"/>
      <c r="E193" s="18"/>
      <c r="F193" s="19"/>
      <c r="G193" s="18"/>
      <c r="H193" s="18"/>
      <c r="I193" s="19"/>
      <c r="J193" s="63"/>
      <c r="K193" s="63"/>
    </row>
    <row r="194" spans="1:11" ht="14.45">
      <c r="A194" s="67"/>
      <c r="B194" s="65"/>
      <c r="C194" s="18"/>
      <c r="D194" s="18"/>
      <c r="E194" s="18"/>
      <c r="F194" s="19"/>
      <c r="G194" s="18"/>
      <c r="H194" s="18"/>
      <c r="I194" s="19"/>
      <c r="J194" s="63"/>
      <c r="K194" s="63"/>
    </row>
    <row r="195" spans="1:11" ht="14.45">
      <c r="A195" s="67"/>
      <c r="B195" s="65"/>
      <c r="C195" s="18"/>
      <c r="D195" s="18"/>
      <c r="E195" s="18"/>
      <c r="F195" s="19"/>
      <c r="G195" s="18"/>
      <c r="H195" s="18"/>
      <c r="I195" s="19"/>
      <c r="J195" s="63"/>
      <c r="K195" s="63"/>
    </row>
    <row r="196" spans="1:11" ht="14.45">
      <c r="A196" s="67"/>
      <c r="B196" s="65"/>
      <c r="C196" s="18"/>
      <c r="D196" s="18"/>
      <c r="E196" s="18"/>
      <c r="F196" s="19"/>
      <c r="G196" s="18"/>
      <c r="H196" s="18"/>
      <c r="I196" s="19"/>
      <c r="J196" s="63"/>
      <c r="K196" s="63"/>
    </row>
    <row r="197" spans="1:11" ht="14.45">
      <c r="A197" s="67"/>
      <c r="B197" s="65"/>
      <c r="C197" s="18"/>
      <c r="D197" s="18"/>
      <c r="E197" s="18"/>
      <c r="F197" s="19"/>
      <c r="G197" s="18"/>
      <c r="H197" s="18"/>
      <c r="I197" s="19"/>
      <c r="J197" s="63"/>
      <c r="K197" s="63"/>
    </row>
    <row r="198" spans="1:11" ht="14.45">
      <c r="A198" s="67"/>
      <c r="B198" s="65"/>
      <c r="C198" s="18"/>
      <c r="D198" s="18"/>
      <c r="E198" s="18"/>
      <c r="F198" s="19"/>
      <c r="G198" s="18"/>
      <c r="H198" s="18"/>
      <c r="I198" s="19"/>
      <c r="J198" s="63"/>
      <c r="K198" s="63"/>
    </row>
    <row r="199" spans="1:11" ht="14.45">
      <c r="A199" s="67"/>
      <c r="B199" s="65"/>
      <c r="C199" s="18"/>
      <c r="D199" s="18"/>
      <c r="E199" s="18"/>
      <c r="F199" s="19"/>
      <c r="G199" s="18"/>
      <c r="H199" s="18"/>
      <c r="I199" s="19"/>
      <c r="J199" s="63"/>
      <c r="K199" s="63"/>
    </row>
    <row r="200" spans="1:11" ht="14.45">
      <c r="A200" s="67"/>
      <c r="B200" s="65"/>
      <c r="C200" s="18"/>
      <c r="D200" s="18"/>
      <c r="E200" s="18"/>
      <c r="F200" s="19"/>
      <c r="G200" s="18"/>
      <c r="H200" s="18"/>
      <c r="I200" s="19"/>
      <c r="J200" s="63"/>
      <c r="K200" s="63"/>
    </row>
    <row r="201" spans="1:11" ht="14.45">
      <c r="A201" s="67"/>
      <c r="B201" s="65"/>
      <c r="C201" s="18"/>
      <c r="D201" s="18"/>
      <c r="E201" s="18"/>
      <c r="F201" s="19"/>
      <c r="G201" s="18"/>
      <c r="H201" s="18"/>
      <c r="I201" s="19"/>
      <c r="J201" s="63"/>
      <c r="K201" s="63"/>
    </row>
    <row r="202" spans="1:11" ht="14.45">
      <c r="A202" s="67"/>
      <c r="B202" s="65"/>
      <c r="C202" s="18"/>
      <c r="D202" s="18"/>
      <c r="E202" s="18"/>
      <c r="F202" s="19"/>
      <c r="G202" s="18"/>
      <c r="H202" s="18"/>
      <c r="I202" s="19"/>
      <c r="J202" s="63"/>
      <c r="K202" s="63"/>
    </row>
    <row r="203" spans="1:11" ht="14.45">
      <c r="A203" s="67"/>
      <c r="B203" s="65"/>
      <c r="C203" s="18"/>
      <c r="D203" s="18"/>
      <c r="E203" s="18"/>
      <c r="F203" s="19"/>
      <c r="G203" s="18"/>
      <c r="H203" s="18"/>
      <c r="I203" s="19"/>
      <c r="J203" s="63"/>
      <c r="K203" s="63"/>
    </row>
    <row r="204" spans="1:11" ht="14.45">
      <c r="A204" s="67"/>
      <c r="B204" s="65"/>
      <c r="C204" s="18"/>
      <c r="D204" s="18"/>
      <c r="E204" s="18"/>
      <c r="F204" s="19"/>
      <c r="G204" s="18"/>
      <c r="H204" s="18"/>
      <c r="I204" s="19"/>
      <c r="J204" s="63"/>
      <c r="K204" s="63"/>
    </row>
    <row r="205" spans="1:11" ht="14.45">
      <c r="A205" s="67"/>
      <c r="B205" s="65"/>
      <c r="C205" s="18"/>
      <c r="D205" s="18"/>
      <c r="E205" s="18"/>
      <c r="F205" s="19"/>
      <c r="G205" s="18"/>
      <c r="H205" s="18"/>
      <c r="I205" s="19"/>
      <c r="J205" s="63"/>
      <c r="K205" s="63"/>
    </row>
    <row r="206" spans="1:11" ht="14.45">
      <c r="A206" s="67"/>
      <c r="B206" s="65"/>
      <c r="C206" s="18"/>
      <c r="D206" s="18"/>
      <c r="E206" s="18"/>
      <c r="F206" s="19"/>
      <c r="G206" s="18"/>
      <c r="H206" s="18"/>
      <c r="I206" s="19"/>
      <c r="J206" s="63"/>
      <c r="K206" s="63"/>
    </row>
    <row r="207" spans="1:11" ht="14.45">
      <c r="A207" s="67"/>
      <c r="B207" s="65"/>
      <c r="C207" s="18"/>
      <c r="D207" s="18"/>
      <c r="E207" s="18"/>
      <c r="F207" s="19"/>
      <c r="G207" s="18"/>
      <c r="H207" s="18"/>
      <c r="I207" s="19"/>
      <c r="J207" s="63"/>
      <c r="K207" s="63"/>
    </row>
    <row r="208" spans="1:11" ht="14.45">
      <c r="A208" s="67"/>
      <c r="B208" s="65"/>
      <c r="C208" s="18"/>
      <c r="D208" s="18"/>
      <c r="E208" s="18"/>
      <c r="F208" s="19"/>
      <c r="G208" s="18"/>
      <c r="H208" s="18"/>
      <c r="I208" s="19"/>
      <c r="J208" s="63"/>
      <c r="K208" s="63"/>
    </row>
    <row r="209" spans="1:11" ht="14.45">
      <c r="A209" s="67"/>
      <c r="B209" s="65"/>
      <c r="C209" s="18"/>
      <c r="D209" s="18"/>
      <c r="E209" s="18"/>
      <c r="F209" s="19"/>
      <c r="G209" s="18"/>
      <c r="H209" s="18"/>
      <c r="I209" s="19"/>
      <c r="J209" s="63"/>
      <c r="K209" s="63"/>
    </row>
    <row r="210" spans="1:11" ht="14.45">
      <c r="A210" s="67"/>
      <c r="B210" s="65"/>
      <c r="C210" s="18"/>
      <c r="D210" s="18"/>
      <c r="E210" s="18"/>
      <c r="F210" s="19"/>
      <c r="G210" s="18"/>
      <c r="H210" s="18"/>
      <c r="I210" s="19"/>
      <c r="J210" s="63"/>
      <c r="K210" s="63"/>
    </row>
    <row r="211" spans="1:11" ht="14.45">
      <c r="A211" s="67"/>
      <c r="B211" s="65"/>
      <c r="C211" s="18"/>
      <c r="D211" s="18"/>
      <c r="E211" s="18"/>
      <c r="F211" s="19"/>
      <c r="G211" s="18"/>
      <c r="H211" s="18"/>
      <c r="I211" s="19"/>
      <c r="J211" s="63"/>
      <c r="K211" s="63"/>
    </row>
    <row r="212" spans="1:11" ht="14.45">
      <c r="A212" s="67"/>
      <c r="B212" s="65"/>
      <c r="C212" s="18"/>
      <c r="D212" s="18"/>
      <c r="E212" s="18"/>
      <c r="F212" s="19"/>
      <c r="G212" s="18"/>
      <c r="H212" s="18"/>
      <c r="I212" s="19"/>
      <c r="J212" s="63"/>
      <c r="K212" s="63"/>
    </row>
    <row r="213" spans="1:11" ht="14.45">
      <c r="A213" s="67"/>
      <c r="B213" s="65"/>
      <c r="C213" s="18"/>
      <c r="D213" s="18"/>
      <c r="E213" s="18"/>
      <c r="F213" s="19"/>
      <c r="G213" s="18"/>
      <c r="H213" s="18"/>
      <c r="I213" s="19"/>
      <c r="J213" s="63"/>
      <c r="K213" s="63"/>
    </row>
    <row r="214" spans="1:11" ht="14.45">
      <c r="A214" s="67"/>
      <c r="B214" s="65"/>
      <c r="C214" s="18"/>
      <c r="D214" s="18"/>
      <c r="E214" s="18"/>
      <c r="F214" s="19"/>
      <c r="G214" s="18"/>
      <c r="H214" s="18"/>
      <c r="I214" s="19"/>
      <c r="J214" s="63"/>
      <c r="K214" s="63"/>
    </row>
    <row r="215" spans="1:11" ht="14.45">
      <c r="A215" s="67"/>
      <c r="B215" s="65"/>
      <c r="C215" s="18"/>
      <c r="D215" s="18"/>
      <c r="E215" s="18"/>
      <c r="F215" s="19"/>
      <c r="G215" s="18"/>
      <c r="H215" s="18"/>
      <c r="I215" s="19"/>
      <c r="J215" s="63"/>
      <c r="K215" s="63"/>
    </row>
    <row r="216" spans="1:11" ht="14.45">
      <c r="A216" s="67"/>
      <c r="B216" s="65"/>
      <c r="C216" s="18"/>
      <c r="D216" s="18"/>
      <c r="E216" s="18"/>
      <c r="F216" s="19"/>
      <c r="G216" s="18"/>
      <c r="H216" s="18"/>
      <c r="I216" s="19"/>
      <c r="J216" s="63"/>
      <c r="K216" s="63"/>
    </row>
    <row r="217" spans="1:11" ht="14.45">
      <c r="A217" s="67"/>
      <c r="B217" s="65"/>
      <c r="C217" s="18"/>
      <c r="D217" s="18"/>
      <c r="E217" s="18"/>
      <c r="F217" s="19"/>
      <c r="G217" s="18"/>
      <c r="H217" s="18"/>
      <c r="I217" s="19"/>
      <c r="J217" s="63"/>
      <c r="K217" s="63"/>
    </row>
    <row r="218" spans="1:11" ht="14.45">
      <c r="A218" s="67"/>
      <c r="B218" s="65"/>
      <c r="C218" s="18"/>
      <c r="D218" s="18"/>
      <c r="E218" s="18"/>
      <c r="F218" s="19"/>
      <c r="G218" s="18"/>
      <c r="H218" s="18"/>
      <c r="I218" s="19"/>
      <c r="J218" s="63"/>
      <c r="K218" s="63"/>
    </row>
    <row r="219" spans="1:11" ht="14.45">
      <c r="A219" s="67"/>
      <c r="B219" s="65"/>
      <c r="C219" s="18"/>
      <c r="D219" s="18"/>
      <c r="E219" s="18"/>
      <c r="F219" s="19"/>
      <c r="G219" s="18"/>
      <c r="H219" s="18"/>
      <c r="I219" s="19"/>
      <c r="J219" s="63"/>
      <c r="K219" s="63"/>
    </row>
    <row r="220" spans="1:11" ht="14.45">
      <c r="A220" s="67"/>
      <c r="B220" s="65"/>
      <c r="C220" s="18"/>
      <c r="D220" s="18"/>
      <c r="E220" s="18"/>
      <c r="F220" s="19"/>
      <c r="G220" s="18"/>
      <c r="H220" s="18"/>
      <c r="I220" s="19"/>
      <c r="J220" s="63"/>
      <c r="K220" s="63"/>
    </row>
    <row r="221" spans="1:11" ht="14.45">
      <c r="A221" s="67"/>
      <c r="B221" s="65"/>
      <c r="C221" s="18"/>
      <c r="D221" s="18"/>
      <c r="E221" s="18"/>
      <c r="F221" s="19"/>
      <c r="G221" s="18"/>
      <c r="H221" s="18"/>
      <c r="I221" s="19"/>
      <c r="J221" s="63"/>
      <c r="K221" s="63"/>
    </row>
    <row r="222" spans="1:11" ht="14.45">
      <c r="A222" s="67"/>
      <c r="B222" s="65"/>
      <c r="C222" s="18"/>
      <c r="D222" s="18"/>
      <c r="E222" s="18"/>
      <c r="F222" s="19"/>
      <c r="G222" s="18"/>
      <c r="H222" s="18"/>
      <c r="I222" s="19"/>
      <c r="J222" s="63"/>
      <c r="K222" s="63"/>
    </row>
    <row r="223" spans="1:11" ht="14.45">
      <c r="A223" s="67"/>
      <c r="B223" s="65"/>
      <c r="C223" s="18"/>
      <c r="D223" s="18"/>
      <c r="E223" s="18"/>
      <c r="F223" s="19"/>
      <c r="G223" s="18"/>
      <c r="H223" s="18"/>
      <c r="I223" s="19"/>
      <c r="J223" s="63"/>
      <c r="K223" s="63"/>
    </row>
    <row r="224" spans="1:11" ht="14.45">
      <c r="A224" s="67"/>
      <c r="B224" s="65"/>
      <c r="C224" s="18"/>
      <c r="D224" s="18"/>
      <c r="E224" s="18"/>
      <c r="F224" s="19"/>
      <c r="G224" s="18"/>
      <c r="H224" s="18"/>
      <c r="I224" s="19"/>
      <c r="J224" s="63"/>
      <c r="K224" s="63"/>
    </row>
    <row r="225" spans="1:11" ht="14.45">
      <c r="A225" s="67"/>
      <c r="B225" s="65"/>
      <c r="C225" s="18"/>
      <c r="D225" s="18"/>
      <c r="E225" s="18"/>
      <c r="F225" s="19"/>
      <c r="G225" s="18"/>
      <c r="H225" s="18"/>
      <c r="I225" s="19"/>
      <c r="J225" s="63"/>
      <c r="K225" s="63"/>
    </row>
    <row r="226" spans="1:11" ht="14.45">
      <c r="A226" s="67"/>
      <c r="B226" s="65"/>
      <c r="C226" s="18"/>
      <c r="D226" s="18"/>
      <c r="E226" s="18"/>
      <c r="F226" s="19"/>
      <c r="G226" s="18"/>
      <c r="H226" s="18"/>
      <c r="I226" s="19"/>
      <c r="J226" s="63"/>
      <c r="K226" s="63"/>
    </row>
    <row r="227" spans="1:11" ht="14.45">
      <c r="A227" s="67"/>
      <c r="B227" s="65"/>
      <c r="C227" s="18"/>
      <c r="D227" s="18"/>
      <c r="E227" s="18"/>
      <c r="F227" s="19"/>
      <c r="G227" s="18"/>
      <c r="H227" s="18"/>
      <c r="I227" s="19"/>
      <c r="J227" s="63"/>
      <c r="K227" s="63"/>
    </row>
    <row r="228" spans="1:11" ht="14.45">
      <c r="A228" s="67"/>
      <c r="B228" s="65"/>
      <c r="C228" s="18"/>
      <c r="D228" s="18"/>
      <c r="E228" s="18"/>
      <c r="F228" s="19"/>
      <c r="G228" s="18"/>
      <c r="H228" s="18"/>
      <c r="I228" s="19"/>
      <c r="J228" s="63"/>
      <c r="K228" s="63"/>
    </row>
    <row r="229" spans="1:11" ht="14.45">
      <c r="A229" s="67"/>
      <c r="B229" s="65"/>
      <c r="C229" s="18"/>
      <c r="D229" s="18"/>
      <c r="E229" s="18"/>
      <c r="F229" s="19"/>
      <c r="G229" s="18"/>
      <c r="H229" s="18"/>
      <c r="I229" s="19"/>
      <c r="J229" s="63"/>
      <c r="K229" s="63"/>
    </row>
    <row r="230" spans="1:11" ht="14.45">
      <c r="A230" s="67"/>
      <c r="B230" s="65"/>
      <c r="C230" s="18"/>
      <c r="D230" s="18"/>
      <c r="E230" s="18"/>
      <c r="F230" s="19"/>
      <c r="G230" s="18"/>
      <c r="H230" s="18"/>
      <c r="I230" s="19"/>
      <c r="J230" s="63"/>
      <c r="K230" s="63"/>
    </row>
    <row r="231" spans="1:11" ht="14.45">
      <c r="A231" s="67"/>
      <c r="B231" s="65"/>
      <c r="C231" s="18"/>
      <c r="D231" s="18"/>
      <c r="E231" s="18"/>
      <c r="F231" s="19"/>
      <c r="G231" s="18"/>
      <c r="H231" s="18"/>
      <c r="I231" s="19"/>
      <c r="J231" s="63"/>
      <c r="K231" s="63"/>
    </row>
    <row r="232" spans="1:11" ht="14.45">
      <c r="A232" s="67"/>
      <c r="B232" s="65"/>
      <c r="C232" s="18"/>
      <c r="D232" s="18"/>
      <c r="E232" s="18"/>
      <c r="F232" s="19"/>
      <c r="G232" s="18"/>
      <c r="H232" s="18"/>
      <c r="I232" s="19"/>
      <c r="J232" s="63"/>
      <c r="K232" s="63"/>
    </row>
    <row r="233" spans="1:11" ht="14.45">
      <c r="A233" s="67"/>
      <c r="B233" s="65"/>
      <c r="C233" s="18"/>
      <c r="D233" s="18"/>
      <c r="E233" s="18"/>
      <c r="F233" s="19"/>
      <c r="G233" s="18"/>
      <c r="H233" s="18"/>
      <c r="I233" s="19"/>
      <c r="J233" s="63"/>
      <c r="K233" s="63"/>
    </row>
    <row r="234" spans="1:11" ht="14.45">
      <c r="A234" s="67"/>
      <c r="B234" s="65"/>
      <c r="C234" s="18"/>
      <c r="D234" s="18"/>
      <c r="E234" s="18"/>
      <c r="F234" s="19"/>
      <c r="G234" s="18"/>
      <c r="H234" s="18"/>
      <c r="I234" s="19"/>
      <c r="J234" s="63"/>
      <c r="K234" s="63"/>
    </row>
    <row r="235" spans="1:11" ht="14.45">
      <c r="A235" s="67"/>
      <c r="B235" s="65"/>
      <c r="C235" s="18"/>
      <c r="D235" s="18"/>
      <c r="E235" s="18"/>
      <c r="F235" s="19"/>
      <c r="G235" s="18"/>
      <c r="H235" s="18"/>
      <c r="I235" s="19"/>
      <c r="J235" s="63"/>
      <c r="K235" s="63"/>
    </row>
    <row r="236" spans="1:11" ht="14.45">
      <c r="A236" s="67"/>
      <c r="B236" s="65"/>
      <c r="C236" s="18"/>
      <c r="D236" s="18"/>
      <c r="E236" s="18"/>
      <c r="F236" s="19"/>
      <c r="G236" s="18"/>
      <c r="H236" s="18"/>
      <c r="I236" s="19"/>
      <c r="J236" s="63"/>
      <c r="K236" s="63"/>
    </row>
    <row r="237" spans="1:11" ht="14.45">
      <c r="A237" s="67"/>
      <c r="B237" s="65"/>
      <c r="C237" s="18"/>
      <c r="D237" s="18"/>
      <c r="E237" s="18"/>
      <c r="F237" s="19"/>
      <c r="G237" s="18"/>
      <c r="H237" s="18"/>
      <c r="I237" s="19"/>
      <c r="J237" s="63"/>
      <c r="K237" s="63"/>
    </row>
    <row r="238" spans="1:11" ht="14.45">
      <c r="A238" s="67"/>
      <c r="B238" s="65"/>
      <c r="C238" s="18"/>
      <c r="D238" s="18"/>
      <c r="E238" s="18"/>
      <c r="F238" s="19"/>
      <c r="G238" s="18"/>
      <c r="H238" s="18"/>
      <c r="I238" s="19"/>
      <c r="J238" s="63"/>
      <c r="K238" s="63"/>
    </row>
    <row r="239" spans="1:11" ht="14.45">
      <c r="A239" s="67"/>
      <c r="B239" s="65"/>
      <c r="C239" s="18"/>
      <c r="D239" s="18"/>
      <c r="E239" s="18"/>
      <c r="F239" s="19"/>
      <c r="G239" s="18"/>
      <c r="H239" s="18"/>
      <c r="I239" s="19"/>
      <c r="J239" s="63"/>
      <c r="K239" s="63"/>
    </row>
    <row r="240" spans="1:11" ht="14.45">
      <c r="A240" s="67"/>
      <c r="B240" s="65"/>
      <c r="C240" s="18"/>
      <c r="D240" s="18"/>
      <c r="E240" s="18"/>
      <c r="F240" s="19"/>
      <c r="G240" s="18"/>
      <c r="H240" s="18"/>
      <c r="I240" s="19"/>
      <c r="J240" s="63"/>
      <c r="K240" s="63"/>
    </row>
    <row r="241" spans="1:11" ht="14.45">
      <c r="A241" s="67"/>
      <c r="B241" s="65"/>
      <c r="C241" s="18"/>
      <c r="D241" s="18"/>
      <c r="E241" s="18"/>
      <c r="F241" s="19"/>
      <c r="G241" s="18"/>
      <c r="H241" s="18"/>
      <c r="I241" s="19"/>
      <c r="J241" s="63"/>
      <c r="K241" s="63"/>
    </row>
    <row r="242" spans="1:11" ht="14.45">
      <c r="A242" s="67"/>
      <c r="B242" s="65"/>
      <c r="C242" s="18"/>
      <c r="D242" s="18"/>
      <c r="E242" s="18"/>
      <c r="F242" s="19"/>
      <c r="G242" s="18"/>
      <c r="H242" s="18"/>
      <c r="I242" s="19"/>
      <c r="J242" s="63"/>
      <c r="K242" s="63"/>
    </row>
    <row r="243" spans="1:11" ht="14.45">
      <c r="A243" s="67"/>
      <c r="B243" s="65"/>
      <c r="C243" s="18"/>
      <c r="D243" s="18"/>
      <c r="E243" s="18"/>
      <c r="F243" s="19"/>
      <c r="G243" s="18"/>
      <c r="H243" s="18"/>
      <c r="I243" s="19"/>
      <c r="J243" s="63"/>
      <c r="K243" s="63"/>
    </row>
    <row r="244" spans="1:11" ht="14.45">
      <c r="A244" s="67"/>
      <c r="B244" s="65"/>
      <c r="C244" s="18"/>
      <c r="D244" s="18"/>
      <c r="E244" s="18"/>
      <c r="F244" s="19"/>
      <c r="G244" s="18"/>
      <c r="H244" s="18"/>
      <c r="I244" s="19"/>
      <c r="J244" s="63"/>
      <c r="K244" s="63"/>
    </row>
    <row r="245" spans="1:11" ht="14.45">
      <c r="A245" s="67"/>
      <c r="B245" s="65"/>
      <c r="C245" s="18"/>
      <c r="D245" s="18"/>
      <c r="E245" s="18"/>
      <c r="F245" s="19"/>
      <c r="G245" s="18"/>
      <c r="H245" s="18"/>
      <c r="I245" s="19"/>
      <c r="J245" s="63"/>
      <c r="K245" s="63"/>
    </row>
    <row r="246" spans="1:11" ht="14.45">
      <c r="A246" s="67"/>
      <c r="B246" s="65"/>
      <c r="C246" s="18"/>
      <c r="D246" s="18"/>
      <c r="E246" s="18"/>
      <c r="F246" s="19"/>
      <c r="G246" s="18"/>
      <c r="H246" s="18"/>
      <c r="I246" s="19"/>
      <c r="J246" s="63"/>
      <c r="K246" s="63"/>
    </row>
    <row r="247" spans="1:11" ht="14.45">
      <c r="A247" s="67"/>
      <c r="B247" s="65"/>
      <c r="C247" s="18"/>
      <c r="D247" s="18"/>
      <c r="E247" s="18"/>
      <c r="F247" s="19"/>
      <c r="G247" s="18"/>
      <c r="H247" s="18"/>
      <c r="I247" s="19"/>
      <c r="J247" s="63"/>
      <c r="K247" s="63"/>
    </row>
    <row r="248" spans="1:11" ht="14.45">
      <c r="A248" s="67"/>
      <c r="B248" s="65"/>
      <c r="C248" s="18"/>
      <c r="D248" s="18"/>
      <c r="E248" s="18"/>
      <c r="F248" s="19"/>
      <c r="G248" s="18"/>
      <c r="H248" s="18"/>
      <c r="I248" s="19"/>
      <c r="J248" s="63"/>
      <c r="K248" s="63"/>
    </row>
    <row r="249" spans="1:11" ht="14.45">
      <c r="A249" s="67"/>
      <c r="B249" s="65"/>
      <c r="C249" s="18"/>
      <c r="D249" s="18"/>
      <c r="E249" s="18"/>
      <c r="F249" s="19"/>
      <c r="G249" s="18"/>
      <c r="H249" s="18"/>
      <c r="I249" s="19"/>
      <c r="J249" s="63"/>
      <c r="K249" s="63"/>
    </row>
    <row r="250" spans="1:11" ht="14.45">
      <c r="A250" s="67"/>
      <c r="B250" s="65"/>
      <c r="C250" s="18"/>
      <c r="D250" s="18"/>
      <c r="E250" s="18"/>
      <c r="F250" s="19"/>
      <c r="G250" s="18"/>
      <c r="H250" s="18"/>
      <c r="I250" s="19"/>
      <c r="J250" s="63"/>
      <c r="K250" s="63"/>
    </row>
    <row r="251" spans="1:11" ht="14.45">
      <c r="A251" s="67"/>
      <c r="B251" s="65"/>
      <c r="C251" s="18"/>
      <c r="D251" s="18"/>
      <c r="E251" s="18"/>
      <c r="F251" s="19"/>
      <c r="G251" s="18"/>
      <c r="H251" s="18"/>
      <c r="I251" s="19"/>
      <c r="J251" s="63"/>
      <c r="K251" s="63"/>
    </row>
    <row r="252" spans="1:11" ht="14.45">
      <c r="A252" s="67"/>
      <c r="B252" s="65"/>
      <c r="C252" s="18"/>
      <c r="D252" s="18"/>
      <c r="E252" s="18"/>
      <c r="F252" s="19"/>
      <c r="G252" s="18"/>
      <c r="H252" s="18"/>
      <c r="I252" s="19"/>
      <c r="J252" s="63"/>
      <c r="K252" s="63"/>
    </row>
    <row r="253" spans="1:11" ht="14.45">
      <c r="A253" s="67"/>
      <c r="B253" s="65"/>
      <c r="C253" s="18"/>
      <c r="D253" s="18"/>
      <c r="E253" s="18"/>
      <c r="F253" s="19"/>
      <c r="G253" s="18"/>
      <c r="H253" s="18"/>
      <c r="I253" s="19"/>
      <c r="J253" s="63"/>
      <c r="K253" s="63"/>
    </row>
    <row r="254" spans="1:11" ht="14.45">
      <c r="A254" s="67"/>
      <c r="B254" s="65"/>
      <c r="C254" s="18"/>
      <c r="D254" s="18"/>
      <c r="E254" s="18"/>
      <c r="F254" s="19"/>
      <c r="G254" s="18"/>
      <c r="H254" s="18"/>
      <c r="I254" s="19"/>
      <c r="J254" s="63"/>
      <c r="K254" s="63"/>
    </row>
    <row r="255" spans="1:11" ht="14.45">
      <c r="A255" s="67"/>
      <c r="B255" s="65"/>
      <c r="C255" s="18"/>
      <c r="D255" s="18"/>
      <c r="E255" s="18"/>
      <c r="F255" s="19"/>
      <c r="G255" s="18"/>
      <c r="H255" s="18"/>
      <c r="I255" s="19"/>
      <c r="J255" s="63"/>
      <c r="K255" s="63"/>
    </row>
    <row r="256" spans="1:11" ht="14.45">
      <c r="A256" s="67"/>
      <c r="B256" s="65"/>
      <c r="C256" s="18"/>
      <c r="D256" s="18"/>
      <c r="E256" s="18"/>
      <c r="F256" s="19"/>
      <c r="G256" s="18"/>
      <c r="H256" s="18"/>
      <c r="I256" s="19"/>
      <c r="J256" s="63"/>
      <c r="K256" s="63"/>
    </row>
    <row r="257" spans="1:11" ht="14.45">
      <c r="A257" s="67"/>
      <c r="B257" s="65"/>
      <c r="C257" s="18"/>
      <c r="D257" s="18"/>
      <c r="E257" s="18"/>
      <c r="F257" s="19"/>
      <c r="G257" s="18"/>
      <c r="H257" s="18"/>
      <c r="I257" s="19"/>
      <c r="J257" s="63"/>
      <c r="K257" s="63"/>
    </row>
    <row r="258" spans="1:11" ht="14.45">
      <c r="A258" s="67"/>
      <c r="B258" s="65"/>
      <c r="C258" s="18"/>
      <c r="D258" s="18"/>
      <c r="E258" s="18"/>
      <c r="F258" s="19"/>
      <c r="G258" s="18"/>
      <c r="H258" s="18"/>
      <c r="I258" s="19"/>
      <c r="J258" s="63"/>
      <c r="K258" s="63"/>
    </row>
    <row r="259" spans="1:11" ht="14.45">
      <c r="A259" s="67"/>
      <c r="B259" s="65"/>
      <c r="C259" s="18"/>
      <c r="D259" s="18"/>
      <c r="E259" s="18"/>
      <c r="F259" s="19"/>
      <c r="G259" s="18"/>
      <c r="H259" s="18"/>
      <c r="I259" s="19"/>
      <c r="J259" s="63"/>
      <c r="K259" s="63"/>
    </row>
    <row r="260" spans="1:11" ht="14.45">
      <c r="A260" s="67"/>
      <c r="B260" s="65"/>
      <c r="C260" s="18"/>
      <c r="D260" s="18"/>
      <c r="E260" s="18"/>
      <c r="F260" s="19"/>
      <c r="G260" s="18"/>
      <c r="H260" s="18"/>
      <c r="I260" s="19"/>
      <c r="J260" s="63"/>
      <c r="K260" s="63"/>
    </row>
    <row r="261" spans="1:11" ht="14.45">
      <c r="A261" s="67"/>
      <c r="B261" s="65"/>
      <c r="C261" s="18"/>
      <c r="D261" s="18"/>
      <c r="E261" s="18"/>
      <c r="F261" s="19"/>
      <c r="G261" s="18"/>
      <c r="H261" s="18"/>
      <c r="I261" s="19"/>
      <c r="J261" s="63"/>
      <c r="K261" s="63"/>
    </row>
    <row r="262" spans="1:11" ht="14.45">
      <c r="A262" s="67"/>
      <c r="B262" s="65"/>
      <c r="C262" s="18"/>
      <c r="D262" s="18"/>
      <c r="E262" s="18"/>
      <c r="F262" s="19"/>
      <c r="G262" s="18"/>
      <c r="H262" s="18"/>
      <c r="I262" s="19"/>
      <c r="J262" s="63"/>
      <c r="K262" s="63"/>
    </row>
    <row r="263" spans="1:11" ht="14.45">
      <c r="A263" s="67"/>
      <c r="B263" s="65"/>
      <c r="C263" s="18"/>
      <c r="D263" s="18"/>
      <c r="E263" s="18"/>
      <c r="F263" s="19"/>
      <c r="G263" s="18"/>
      <c r="H263" s="18"/>
      <c r="I263" s="19"/>
      <c r="J263" s="63"/>
      <c r="K263" s="63"/>
    </row>
    <row r="264" spans="1:11" ht="14.45">
      <c r="A264" s="67"/>
      <c r="B264" s="65"/>
      <c r="C264" s="18"/>
      <c r="D264" s="18"/>
      <c r="E264" s="18"/>
      <c r="F264" s="19"/>
      <c r="G264" s="18"/>
      <c r="H264" s="18"/>
      <c r="I264" s="19"/>
      <c r="J264" s="63"/>
      <c r="K264" s="63"/>
    </row>
    <row r="265" spans="1:11" ht="14.45">
      <c r="A265" s="67"/>
      <c r="B265" s="65"/>
      <c r="C265" s="18"/>
      <c r="D265" s="18"/>
      <c r="E265" s="18"/>
      <c r="F265" s="19"/>
      <c r="G265" s="18"/>
      <c r="H265" s="18"/>
      <c r="I265" s="19"/>
      <c r="J265" s="63"/>
      <c r="K265" s="63"/>
    </row>
    <row r="266" spans="1:11" ht="14.45">
      <c r="A266" s="67"/>
      <c r="B266" s="65"/>
      <c r="C266" s="18"/>
      <c r="D266" s="18"/>
      <c r="E266" s="18"/>
      <c r="F266" s="19"/>
      <c r="G266" s="18"/>
      <c r="H266" s="18"/>
      <c r="I266" s="19"/>
      <c r="J266" s="63"/>
      <c r="K266" s="63"/>
    </row>
    <row r="267" spans="1:11" ht="14.45">
      <c r="A267" s="67"/>
      <c r="B267" s="65"/>
      <c r="C267" s="18"/>
      <c r="D267" s="18"/>
      <c r="E267" s="18"/>
      <c r="F267" s="19"/>
      <c r="G267" s="18"/>
      <c r="H267" s="18"/>
      <c r="I267" s="19"/>
      <c r="J267" s="63"/>
      <c r="K267" s="63"/>
    </row>
    <row r="268" spans="1:11" ht="14.45">
      <c r="A268" s="67"/>
      <c r="B268" s="65"/>
      <c r="C268" s="18"/>
      <c r="D268" s="18"/>
      <c r="E268" s="18"/>
      <c r="F268" s="19"/>
      <c r="G268" s="18"/>
      <c r="H268" s="18"/>
      <c r="I268" s="19"/>
      <c r="J268" s="63"/>
      <c r="K268" s="63"/>
    </row>
    <row r="269" spans="1:11" ht="14.45">
      <c r="A269" s="67"/>
      <c r="B269" s="65"/>
      <c r="C269" s="18"/>
      <c r="D269" s="18"/>
      <c r="E269" s="18"/>
      <c r="F269" s="19"/>
      <c r="G269" s="18"/>
      <c r="H269" s="18"/>
      <c r="I269" s="19"/>
      <c r="J269" s="63"/>
      <c r="K269" s="63"/>
    </row>
    <row r="270" spans="1:11" ht="14.45">
      <c r="A270" s="67"/>
      <c r="B270" s="65"/>
      <c r="C270" s="18"/>
      <c r="D270" s="18"/>
      <c r="E270" s="18"/>
      <c r="F270" s="19"/>
      <c r="G270" s="18"/>
      <c r="H270" s="18"/>
      <c r="I270" s="19"/>
      <c r="J270" s="63"/>
      <c r="K270" s="63"/>
    </row>
    <row r="271" spans="1:11" ht="14.45">
      <c r="A271" s="67"/>
      <c r="B271" s="65"/>
      <c r="C271" s="18"/>
      <c r="D271" s="18"/>
      <c r="E271" s="18"/>
      <c r="F271" s="19"/>
      <c r="G271" s="18"/>
      <c r="H271" s="18"/>
      <c r="I271" s="19"/>
      <c r="J271" s="63"/>
      <c r="K271" s="63"/>
    </row>
    <row r="272" spans="1:11" ht="14.45">
      <c r="A272" s="67"/>
      <c r="B272" s="65"/>
      <c r="C272" s="18"/>
      <c r="D272" s="18"/>
      <c r="E272" s="18"/>
      <c r="F272" s="19"/>
      <c r="G272" s="18"/>
      <c r="H272" s="18"/>
      <c r="I272" s="19"/>
      <c r="J272" s="63"/>
      <c r="K272" s="63"/>
    </row>
    <row r="273" spans="1:11" ht="14.45">
      <c r="A273" s="67"/>
      <c r="B273" s="65"/>
      <c r="C273" s="18"/>
      <c r="D273" s="18"/>
      <c r="E273" s="18"/>
      <c r="F273" s="19"/>
      <c r="G273" s="18"/>
      <c r="H273" s="18"/>
      <c r="I273" s="19"/>
      <c r="J273" s="63"/>
      <c r="K273" s="63"/>
    </row>
    <row r="274" spans="1:11" ht="14.45">
      <c r="A274" s="67"/>
      <c r="B274" s="65"/>
      <c r="C274" s="18"/>
      <c r="D274" s="18"/>
      <c r="E274" s="18"/>
      <c r="F274" s="19"/>
      <c r="G274" s="18"/>
      <c r="H274" s="18"/>
      <c r="I274" s="19"/>
      <c r="J274" s="63"/>
      <c r="K274" s="63"/>
    </row>
    <row r="275" spans="1:11" ht="14.45">
      <c r="A275" s="67"/>
      <c r="B275" s="65"/>
      <c r="C275" s="18"/>
      <c r="D275" s="18"/>
      <c r="E275" s="18"/>
      <c r="F275" s="19"/>
      <c r="G275" s="18"/>
      <c r="H275" s="18"/>
      <c r="I275" s="19"/>
      <c r="J275" s="63"/>
      <c r="K275" s="63"/>
    </row>
    <row r="276" spans="1:11" ht="14.45">
      <c r="A276" s="67"/>
      <c r="B276" s="65"/>
      <c r="C276" s="18"/>
      <c r="D276" s="18"/>
      <c r="E276" s="18"/>
      <c r="F276" s="19"/>
      <c r="G276" s="18"/>
      <c r="H276" s="18"/>
      <c r="I276" s="19"/>
      <c r="J276" s="63"/>
      <c r="K276" s="63"/>
    </row>
    <row r="277" spans="1:11" ht="14.45">
      <c r="A277" s="67"/>
      <c r="B277" s="65"/>
      <c r="C277" s="18"/>
      <c r="D277" s="18"/>
      <c r="E277" s="18"/>
      <c r="F277" s="19"/>
      <c r="G277" s="18"/>
      <c r="H277" s="18"/>
      <c r="I277" s="19"/>
      <c r="J277" s="63"/>
      <c r="K277" s="63"/>
    </row>
    <row r="278" spans="1:11" ht="14.45">
      <c r="A278" s="67"/>
      <c r="B278" s="65"/>
      <c r="C278" s="18"/>
      <c r="D278" s="18"/>
      <c r="E278" s="18"/>
      <c r="F278" s="19"/>
      <c r="G278" s="18"/>
      <c r="H278" s="18"/>
      <c r="I278" s="19"/>
      <c r="J278" s="63"/>
      <c r="K278" s="63"/>
    </row>
    <row r="279" spans="1:11" ht="14.45">
      <c r="A279" s="67"/>
      <c r="B279" s="65"/>
      <c r="C279" s="18"/>
      <c r="D279" s="18"/>
      <c r="E279" s="18"/>
      <c r="F279" s="19"/>
      <c r="G279" s="18"/>
      <c r="H279" s="18"/>
      <c r="I279" s="19"/>
      <c r="J279" s="63"/>
      <c r="K279" s="63"/>
    </row>
    <row r="280" spans="1:11" ht="14.45">
      <c r="A280" s="67"/>
      <c r="B280" s="65"/>
      <c r="C280" s="18"/>
      <c r="D280" s="18"/>
      <c r="E280" s="18"/>
      <c r="F280" s="19"/>
      <c r="G280" s="18"/>
      <c r="H280" s="18"/>
      <c r="I280" s="19"/>
      <c r="J280" s="63"/>
      <c r="K280" s="63"/>
    </row>
    <row r="281" spans="1:11" ht="14.45">
      <c r="A281" s="67"/>
      <c r="B281" s="65"/>
      <c r="C281" s="18"/>
      <c r="D281" s="18"/>
      <c r="E281" s="18"/>
      <c r="F281" s="19"/>
      <c r="G281" s="18"/>
      <c r="H281" s="18"/>
      <c r="I281" s="19"/>
      <c r="J281" s="63"/>
      <c r="K281" s="63"/>
    </row>
    <row r="282" spans="1:11" ht="14.45">
      <c r="A282" s="67"/>
      <c r="B282" s="65"/>
      <c r="C282" s="18"/>
      <c r="D282" s="18"/>
      <c r="E282" s="18"/>
      <c r="F282" s="19"/>
      <c r="G282" s="18"/>
      <c r="H282" s="18"/>
      <c r="I282" s="19"/>
      <c r="J282" s="63"/>
      <c r="K282" s="63"/>
    </row>
    <row r="283" spans="1:11" ht="14.45">
      <c r="A283" s="67"/>
      <c r="B283" s="65"/>
      <c r="C283" s="18"/>
      <c r="D283" s="18"/>
      <c r="E283" s="18"/>
      <c r="F283" s="19"/>
      <c r="G283" s="18"/>
      <c r="H283" s="18"/>
      <c r="I283" s="19"/>
      <c r="J283" s="63"/>
      <c r="K283" s="63"/>
    </row>
    <row r="284" spans="1:11" ht="14.45">
      <c r="A284" s="67"/>
      <c r="B284" s="65"/>
      <c r="C284" s="18"/>
      <c r="D284" s="18"/>
      <c r="E284" s="18"/>
      <c r="F284" s="19"/>
      <c r="G284" s="18"/>
      <c r="H284" s="18"/>
      <c r="I284" s="19"/>
      <c r="J284" s="63"/>
      <c r="K284" s="63"/>
    </row>
    <row r="285" spans="1:11" ht="14.45">
      <c r="A285" s="67"/>
      <c r="B285" s="65"/>
      <c r="C285" s="18"/>
      <c r="D285" s="18"/>
      <c r="E285" s="18"/>
      <c r="F285" s="19"/>
      <c r="G285" s="18"/>
      <c r="H285" s="18"/>
      <c r="I285" s="19"/>
      <c r="J285" s="63"/>
      <c r="K285" s="63"/>
    </row>
    <row r="286" spans="1:11" ht="14.45">
      <c r="A286" s="67"/>
      <c r="B286" s="65"/>
      <c r="C286" s="18"/>
      <c r="D286" s="18"/>
      <c r="E286" s="18"/>
      <c r="F286" s="19"/>
      <c r="G286" s="18"/>
      <c r="H286" s="18"/>
      <c r="I286" s="19"/>
      <c r="J286" s="63"/>
      <c r="K286" s="63"/>
    </row>
    <row r="287" spans="1:11" ht="14.45">
      <c r="A287" s="67"/>
      <c r="B287" s="65"/>
      <c r="C287" s="18"/>
      <c r="D287" s="18"/>
      <c r="E287" s="18"/>
      <c r="F287" s="19"/>
      <c r="G287" s="18"/>
      <c r="H287" s="18"/>
      <c r="I287" s="19"/>
      <c r="J287" s="63"/>
      <c r="K287" s="63"/>
    </row>
    <row r="288" spans="1:11" ht="14.45">
      <c r="A288" s="67"/>
      <c r="B288" s="65"/>
      <c r="C288" s="18"/>
      <c r="D288" s="18"/>
      <c r="E288" s="18"/>
      <c r="F288" s="19"/>
      <c r="G288" s="18"/>
      <c r="H288" s="18"/>
      <c r="I288" s="19"/>
      <c r="J288" s="63"/>
      <c r="K288" s="63"/>
    </row>
    <row r="289" spans="1:11" ht="14.45">
      <c r="A289" s="67"/>
      <c r="B289" s="65"/>
      <c r="C289" s="18"/>
      <c r="D289" s="18"/>
      <c r="E289" s="18"/>
      <c r="F289" s="19"/>
      <c r="G289" s="18"/>
      <c r="H289" s="18"/>
      <c r="I289" s="19"/>
      <c r="J289" s="63"/>
      <c r="K289" s="63"/>
    </row>
    <row r="290" spans="1:11" ht="14.45">
      <c r="A290" s="67"/>
      <c r="B290" s="65"/>
      <c r="C290" s="18"/>
      <c r="D290" s="18"/>
      <c r="E290" s="18"/>
      <c r="F290" s="19"/>
      <c r="G290" s="18"/>
      <c r="H290" s="18"/>
      <c r="I290" s="19"/>
      <c r="J290" s="63"/>
      <c r="K290" s="63"/>
    </row>
    <row r="291" spans="1:11" ht="14.45">
      <c r="A291" s="67"/>
      <c r="B291" s="65"/>
      <c r="C291" s="18"/>
      <c r="D291" s="18"/>
      <c r="E291" s="18"/>
      <c r="F291" s="19"/>
      <c r="G291" s="18"/>
      <c r="H291" s="18"/>
      <c r="I291" s="19"/>
      <c r="J291" s="63"/>
      <c r="K291" s="63"/>
    </row>
    <row r="292" spans="1:11" ht="14.45">
      <c r="A292" s="67"/>
      <c r="B292" s="65"/>
      <c r="C292" s="18"/>
      <c r="D292" s="18"/>
      <c r="E292" s="18"/>
      <c r="F292" s="19"/>
      <c r="G292" s="18"/>
      <c r="H292" s="18"/>
      <c r="I292" s="19"/>
      <c r="J292" s="63"/>
      <c r="K292" s="63"/>
    </row>
    <row r="293" spans="1:11" ht="14.45">
      <c r="A293" s="67"/>
      <c r="B293" s="65"/>
      <c r="C293" s="18"/>
      <c r="D293" s="18"/>
      <c r="E293" s="18"/>
      <c r="F293" s="19"/>
      <c r="G293" s="18"/>
      <c r="H293" s="18"/>
      <c r="I293" s="19"/>
      <c r="J293" s="63"/>
      <c r="K293" s="63"/>
    </row>
    <row r="294" spans="1:11" ht="14.45">
      <c r="A294" s="67"/>
      <c r="B294" s="65"/>
      <c r="C294" s="18"/>
      <c r="D294" s="18"/>
      <c r="E294" s="18"/>
      <c r="F294" s="19"/>
      <c r="G294" s="18"/>
      <c r="H294" s="18"/>
      <c r="I294" s="19"/>
      <c r="J294" s="63"/>
      <c r="K294" s="63"/>
    </row>
    <row r="295" spans="1:11" ht="14.45">
      <c r="A295" s="67"/>
      <c r="B295" s="65"/>
      <c r="C295" s="18"/>
      <c r="D295" s="18"/>
      <c r="E295" s="18"/>
      <c r="F295" s="19"/>
      <c r="G295" s="18"/>
      <c r="H295" s="18"/>
      <c r="I295" s="19"/>
      <c r="J295" s="63"/>
      <c r="K295" s="63"/>
    </row>
    <row r="296" spans="1:11" ht="14.45">
      <c r="A296" s="67"/>
      <c r="B296" s="65"/>
      <c r="C296" s="18"/>
      <c r="D296" s="18"/>
      <c r="E296" s="18"/>
      <c r="F296" s="19"/>
      <c r="G296" s="18"/>
      <c r="H296" s="18"/>
      <c r="I296" s="19"/>
      <c r="J296" s="63"/>
      <c r="K296" s="63"/>
    </row>
    <row r="297" spans="1:11" ht="14.45">
      <c r="A297" s="67"/>
      <c r="B297" s="65"/>
      <c r="C297" s="18"/>
      <c r="D297" s="18"/>
      <c r="E297" s="18"/>
      <c r="F297" s="19"/>
      <c r="G297" s="18"/>
      <c r="H297" s="18"/>
      <c r="I297" s="19"/>
      <c r="J297" s="63"/>
      <c r="K297" s="63"/>
    </row>
    <row r="298" spans="1:11" ht="14.45">
      <c r="A298" s="67"/>
      <c r="B298" s="65"/>
      <c r="C298" s="18"/>
      <c r="D298" s="18"/>
      <c r="E298" s="18"/>
      <c r="F298" s="19"/>
      <c r="G298" s="18"/>
      <c r="H298" s="18"/>
      <c r="I298" s="19"/>
      <c r="J298" s="63"/>
      <c r="K298" s="63"/>
    </row>
    <row r="299" spans="1:11" ht="14.45">
      <c r="A299" s="67"/>
      <c r="B299" s="65"/>
      <c r="C299" s="18"/>
      <c r="D299" s="18"/>
      <c r="E299" s="18"/>
      <c r="F299" s="19"/>
      <c r="G299" s="18"/>
      <c r="H299" s="18"/>
      <c r="I299" s="19"/>
      <c r="J299" s="63"/>
      <c r="K299" s="63"/>
    </row>
    <row r="300" spans="1:11" ht="14.45">
      <c r="A300" s="67"/>
      <c r="B300" s="65"/>
      <c r="C300" s="18"/>
      <c r="D300" s="18"/>
      <c r="E300" s="18"/>
      <c r="F300" s="19"/>
      <c r="G300" s="18"/>
      <c r="H300" s="18"/>
      <c r="I300" s="19"/>
      <c r="J300" s="63"/>
      <c r="K300" s="63"/>
    </row>
    <row r="301" spans="1:11" ht="14.45">
      <c r="A301" s="67"/>
      <c r="B301" s="65"/>
      <c r="C301" s="18"/>
      <c r="D301" s="18"/>
      <c r="E301" s="18"/>
      <c r="F301" s="19"/>
      <c r="G301" s="18"/>
      <c r="H301" s="18"/>
      <c r="I301" s="19"/>
      <c r="J301" s="63"/>
      <c r="K301" s="63"/>
    </row>
    <row r="302" spans="1:11" ht="14.45">
      <c r="A302" s="67"/>
      <c r="B302" s="65"/>
      <c r="C302" s="18"/>
      <c r="D302" s="18"/>
      <c r="E302" s="18"/>
      <c r="F302" s="19"/>
      <c r="G302" s="18"/>
      <c r="H302" s="18"/>
      <c r="I302" s="19"/>
      <c r="J302" s="63"/>
      <c r="K302" s="63"/>
    </row>
    <row r="303" spans="1:11" ht="14.45">
      <c r="A303" s="67"/>
      <c r="B303" s="65"/>
      <c r="C303" s="18"/>
      <c r="D303" s="18"/>
      <c r="E303" s="18"/>
      <c r="F303" s="19"/>
      <c r="G303" s="18"/>
      <c r="H303" s="18"/>
      <c r="I303" s="19"/>
      <c r="J303" s="63"/>
      <c r="K303" s="63"/>
    </row>
    <row r="304" spans="1:11" ht="14.45">
      <c r="A304" s="67"/>
      <c r="B304" s="65"/>
      <c r="C304" s="18"/>
      <c r="D304" s="18"/>
      <c r="E304" s="18"/>
      <c r="F304" s="19"/>
      <c r="G304" s="18"/>
      <c r="H304" s="18"/>
      <c r="I304" s="19"/>
      <c r="J304" s="63"/>
      <c r="K304" s="63"/>
    </row>
    <row r="305" spans="1:11" ht="14.45">
      <c r="A305" s="67"/>
      <c r="B305" s="65"/>
      <c r="C305" s="18"/>
      <c r="D305" s="18"/>
      <c r="E305" s="18"/>
      <c r="F305" s="19"/>
      <c r="G305" s="18"/>
      <c r="H305" s="18"/>
      <c r="I305" s="19"/>
      <c r="J305" s="63"/>
      <c r="K305" s="63"/>
    </row>
    <row r="306" spans="1:11" ht="14.45">
      <c r="A306" s="67"/>
      <c r="B306" s="65"/>
      <c r="C306" s="18"/>
      <c r="D306" s="18"/>
      <c r="E306" s="18"/>
      <c r="F306" s="19"/>
      <c r="G306" s="18"/>
      <c r="H306" s="18"/>
      <c r="I306" s="19"/>
      <c r="J306" s="63"/>
      <c r="K306" s="63"/>
    </row>
    <row r="307" spans="1:11" ht="14.45">
      <c r="A307" s="67"/>
      <c r="B307" s="65"/>
      <c r="C307" s="18"/>
      <c r="D307" s="18"/>
      <c r="E307" s="18"/>
      <c r="F307" s="19"/>
      <c r="G307" s="18"/>
      <c r="H307" s="18"/>
      <c r="I307" s="19"/>
      <c r="J307" s="63"/>
      <c r="K307" s="63"/>
    </row>
    <row r="308" spans="1:11" ht="14.45">
      <c r="A308" s="67"/>
      <c r="B308" s="65"/>
      <c r="C308" s="18"/>
      <c r="D308" s="18"/>
      <c r="E308" s="18"/>
      <c r="F308" s="19"/>
      <c r="G308" s="18"/>
      <c r="H308" s="18"/>
      <c r="I308" s="19"/>
      <c r="J308" s="63"/>
      <c r="K308" s="63"/>
    </row>
    <row r="309" spans="1:11" ht="14.45">
      <c r="A309" s="67"/>
      <c r="B309" s="65"/>
      <c r="C309" s="18"/>
      <c r="D309" s="18"/>
      <c r="E309" s="18"/>
      <c r="F309" s="19"/>
      <c r="G309" s="18"/>
      <c r="H309" s="18"/>
      <c r="I309" s="19"/>
      <c r="J309" s="63"/>
      <c r="K309" s="63"/>
    </row>
    <row r="310" spans="1:11" ht="14.45">
      <c r="A310" s="67"/>
      <c r="B310" s="65"/>
      <c r="C310" s="18"/>
      <c r="D310" s="18"/>
      <c r="E310" s="18"/>
      <c r="F310" s="19"/>
      <c r="G310" s="18"/>
      <c r="H310" s="18"/>
      <c r="I310" s="19"/>
      <c r="J310" s="63"/>
      <c r="K310" s="63"/>
    </row>
    <row r="311" spans="1:11" ht="14.45">
      <c r="A311" s="67"/>
      <c r="B311" s="65"/>
      <c r="C311" s="18"/>
      <c r="D311" s="18"/>
      <c r="E311" s="18"/>
      <c r="F311" s="19"/>
      <c r="G311" s="18"/>
      <c r="H311" s="18"/>
      <c r="I311" s="19"/>
      <c r="J311" s="63"/>
      <c r="K311" s="63"/>
    </row>
    <row r="312" spans="1:11" ht="14.45">
      <c r="A312" s="67"/>
      <c r="B312" s="65"/>
      <c r="C312" s="18"/>
      <c r="D312" s="18"/>
      <c r="E312" s="18"/>
      <c r="F312" s="19"/>
      <c r="G312" s="18"/>
      <c r="H312" s="18"/>
      <c r="I312" s="19"/>
      <c r="J312" s="63"/>
      <c r="K312" s="63"/>
    </row>
    <row r="313" spans="1:11" ht="14.45">
      <c r="A313" s="67"/>
      <c r="B313" s="65"/>
      <c r="C313" s="18"/>
      <c r="D313" s="18"/>
      <c r="E313" s="18"/>
      <c r="F313" s="19"/>
      <c r="G313" s="18"/>
      <c r="H313" s="18"/>
      <c r="I313" s="19"/>
      <c r="J313" s="63"/>
      <c r="K313" s="63"/>
    </row>
    <row r="314" spans="1:11" ht="14.45">
      <c r="A314" s="67"/>
      <c r="B314" s="65"/>
      <c r="C314" s="18"/>
      <c r="D314" s="18"/>
      <c r="E314" s="18"/>
      <c r="F314" s="19"/>
      <c r="G314" s="18"/>
      <c r="H314" s="18"/>
      <c r="I314" s="19"/>
      <c r="J314" s="63"/>
      <c r="K314" s="63"/>
    </row>
    <row r="315" spans="1:11" ht="14.45">
      <c r="A315" s="67"/>
      <c r="B315" s="65"/>
      <c r="C315" s="18"/>
      <c r="D315" s="18"/>
      <c r="E315" s="18"/>
      <c r="F315" s="19"/>
      <c r="G315" s="18"/>
      <c r="H315" s="18"/>
      <c r="I315" s="19"/>
      <c r="J315" s="63"/>
      <c r="K315" s="63"/>
    </row>
    <row r="316" spans="1:11" ht="14.45">
      <c r="A316" s="67"/>
      <c r="B316" s="65"/>
      <c r="C316" s="18"/>
      <c r="D316" s="18"/>
      <c r="E316" s="18"/>
      <c r="F316" s="19"/>
      <c r="G316" s="18"/>
      <c r="H316" s="18"/>
      <c r="I316" s="19"/>
      <c r="J316" s="63"/>
      <c r="K316" s="63"/>
    </row>
    <row r="317" spans="1:11" ht="14.45">
      <c r="A317" s="67"/>
      <c r="B317" s="65"/>
      <c r="C317" s="18"/>
      <c r="D317" s="18"/>
      <c r="E317" s="18"/>
      <c r="F317" s="19"/>
      <c r="G317" s="18"/>
      <c r="H317" s="18"/>
      <c r="I317" s="19"/>
      <c r="J317" s="63"/>
      <c r="K317" s="63"/>
    </row>
    <row r="318" spans="1:11" ht="14.45">
      <c r="A318" s="67"/>
      <c r="B318" s="65"/>
      <c r="C318" s="18"/>
      <c r="D318" s="18"/>
      <c r="E318" s="18"/>
      <c r="F318" s="19"/>
      <c r="G318" s="18"/>
      <c r="H318" s="18"/>
      <c r="I318" s="19"/>
      <c r="J318" s="63"/>
      <c r="K318" s="63"/>
    </row>
    <row r="319" spans="1:11" ht="14.45">
      <c r="A319" s="67"/>
      <c r="B319" s="65"/>
      <c r="C319" s="18"/>
      <c r="D319" s="18"/>
      <c r="E319" s="18"/>
      <c r="F319" s="19"/>
      <c r="G319" s="18"/>
      <c r="H319" s="18"/>
      <c r="I319" s="19"/>
      <c r="J319" s="63"/>
      <c r="K319" s="63"/>
    </row>
    <row r="320" spans="1:11" ht="14.45">
      <c r="A320" s="67"/>
      <c r="B320" s="65"/>
      <c r="C320" s="18"/>
      <c r="D320" s="18"/>
      <c r="E320" s="18"/>
      <c r="F320" s="19"/>
      <c r="G320" s="18"/>
      <c r="H320" s="18"/>
      <c r="I320" s="19"/>
      <c r="J320" s="63"/>
      <c r="K320" s="63"/>
    </row>
    <row r="321" spans="1:11" ht="14.45">
      <c r="A321" s="67"/>
      <c r="B321" s="65"/>
      <c r="C321" s="18"/>
      <c r="D321" s="18"/>
      <c r="E321" s="18"/>
      <c r="F321" s="19"/>
      <c r="G321" s="18"/>
      <c r="H321" s="18"/>
      <c r="I321" s="19"/>
      <c r="J321" s="63"/>
      <c r="K321" s="63"/>
    </row>
    <row r="322" spans="1:11" ht="14.45">
      <c r="A322" s="67"/>
      <c r="B322" s="65"/>
      <c r="C322" s="18"/>
      <c r="D322" s="18"/>
      <c r="E322" s="18"/>
      <c r="F322" s="19"/>
      <c r="G322" s="18"/>
      <c r="H322" s="18"/>
      <c r="I322" s="19"/>
      <c r="J322" s="63"/>
      <c r="K322" s="63"/>
    </row>
    <row r="323" spans="1:11" ht="14.45">
      <c r="A323" s="67"/>
      <c r="B323" s="65"/>
      <c r="C323" s="18"/>
      <c r="D323" s="18"/>
      <c r="E323" s="18"/>
      <c r="F323" s="19"/>
      <c r="G323" s="18"/>
      <c r="H323" s="18"/>
      <c r="I323" s="19"/>
      <c r="J323" s="63"/>
      <c r="K323" s="63"/>
    </row>
    <row r="324" spans="1:11" ht="14.45">
      <c r="A324" s="67"/>
      <c r="B324" s="65"/>
      <c r="C324" s="18"/>
      <c r="D324" s="18"/>
      <c r="E324" s="18"/>
      <c r="F324" s="19"/>
      <c r="G324" s="18"/>
      <c r="H324" s="18"/>
      <c r="I324" s="19"/>
      <c r="J324" s="63"/>
      <c r="K324" s="63"/>
    </row>
    <row r="325" spans="1:11" ht="14.45">
      <c r="A325" s="67"/>
      <c r="B325" s="65"/>
      <c r="C325" s="18"/>
      <c r="D325" s="18"/>
      <c r="E325" s="18"/>
      <c r="F325" s="19"/>
      <c r="G325" s="18"/>
      <c r="H325" s="18"/>
      <c r="I325" s="19"/>
      <c r="J325" s="63"/>
      <c r="K325" s="63"/>
    </row>
    <row r="326" spans="1:11" ht="14.45">
      <c r="A326" s="67"/>
      <c r="B326" s="65"/>
      <c r="C326" s="18"/>
      <c r="D326" s="18"/>
      <c r="E326" s="18"/>
      <c r="F326" s="19"/>
      <c r="G326" s="18"/>
      <c r="H326" s="18"/>
      <c r="I326" s="19"/>
      <c r="J326" s="63"/>
      <c r="K326" s="63"/>
    </row>
    <row r="327" spans="1:11" ht="14.45">
      <c r="A327" s="67"/>
      <c r="B327" s="65"/>
      <c r="C327" s="18"/>
      <c r="D327" s="18"/>
      <c r="E327" s="18"/>
      <c r="F327" s="19"/>
      <c r="G327" s="18"/>
      <c r="H327" s="18"/>
      <c r="I327" s="19"/>
      <c r="J327" s="63"/>
      <c r="K327" s="63"/>
    </row>
    <row r="328" spans="1:11" ht="14.45">
      <c r="A328" s="67"/>
      <c r="B328" s="65"/>
      <c r="C328" s="18"/>
      <c r="D328" s="18"/>
      <c r="E328" s="18"/>
      <c r="F328" s="19"/>
      <c r="G328" s="18"/>
      <c r="H328" s="18"/>
      <c r="I328" s="19"/>
      <c r="J328" s="63"/>
      <c r="K328" s="63"/>
    </row>
    <row r="329" spans="1:11" ht="14.45">
      <c r="C329" s="18"/>
      <c r="D329" s="18"/>
      <c r="E329" s="18"/>
      <c r="F329" s="19"/>
      <c r="G329" s="18"/>
      <c r="H329" s="18"/>
      <c r="I329" s="19"/>
      <c r="J329" s="63"/>
      <c r="K329" s="63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zoomScale="60" zoomScaleNormal="6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style="2" bestFit="1" customWidth="1"/>
    <col min="2" max="2" width="8.42578125" style="66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76</v>
      </c>
      <c r="E1" s="89"/>
      <c r="F1" s="89"/>
      <c r="G1" s="87" t="s">
        <v>77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SUM(C4:C86)</f>
        <v>0</v>
      </c>
      <c r="D2" s="4">
        <f>SUM(D4:D86)</f>
        <v>0</v>
      </c>
      <c r="E2" s="4">
        <f>C2-D2</f>
        <v>0</v>
      </c>
      <c r="F2" s="5">
        <f>IFERROR(E2/D2, 0)</f>
        <v>0</v>
      </c>
      <c r="G2" s="4">
        <f>SUM(G4:G86)</f>
        <v>0</v>
      </c>
      <c r="H2" s="6">
        <f>C2-G2</f>
        <v>0</v>
      </c>
      <c r="I2" s="5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1"/>
      <c r="K4" s="61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5" si="0">IF(AND(ISNUMBER(C5),ISNUMBER(D5)), C5-D5, "")</f>
        <v/>
      </c>
      <c r="F5" s="16" t="str">
        <f>IFERROR(E5/D5, "")</f>
        <v/>
      </c>
      <c r="G5" s="17"/>
      <c r="H5" s="17" t="str">
        <f t="shared" ref="H5:H65" si="1">IF(AND(ISNUMBER(C5),ISNUMBER(G5)), C5-G5, "")</f>
        <v/>
      </c>
      <c r="I5" s="16" t="str">
        <f t="shared" ref="I5:I65" si="2">IFERROR(H5/G5, "")</f>
        <v/>
      </c>
      <c r="J5" s="49"/>
      <c r="K5" s="49"/>
    </row>
    <row r="6" spans="1:11" ht="28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5" si="3">IFERROR(E6/D6, "")</f>
        <v/>
      </c>
      <c r="G6" s="13"/>
      <c r="H6" s="13" t="str">
        <f t="shared" si="1"/>
        <v/>
      </c>
      <c r="I6" s="14" t="str">
        <f t="shared" si="2"/>
        <v/>
      </c>
      <c r="J6" s="61"/>
      <c r="K6" s="61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49"/>
      <c r="K7" s="55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61"/>
      <c r="K8" s="61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49"/>
      <c r="K9" s="55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61"/>
      <c r="K10" s="61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49"/>
      <c r="K11" s="55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61"/>
      <c r="K12" s="61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49"/>
      <c r="K13" s="55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61"/>
      <c r="K14" s="61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49"/>
      <c r="K15" s="55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61"/>
      <c r="K16" s="61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49"/>
      <c r="K17" s="49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61"/>
      <c r="K18" s="61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49"/>
      <c r="K19" s="4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61"/>
      <c r="K20" s="61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49"/>
      <c r="K21" s="49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61"/>
      <c r="K22" s="61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49"/>
      <c r="K23" s="49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1"/>
      <c r="K24" s="61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5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61"/>
      <c r="K26" s="61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49"/>
      <c r="K27" s="49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61"/>
      <c r="K28" s="61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49"/>
      <c r="K29" s="49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61"/>
      <c r="K30" s="61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49"/>
      <c r="K31" s="49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61"/>
      <c r="K32" s="61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49"/>
      <c r="K33" s="49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61"/>
      <c r="K34" s="61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49"/>
      <c r="K35" s="49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61"/>
      <c r="K36" s="61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49"/>
      <c r="K37" s="49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61"/>
      <c r="K38" s="61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49"/>
      <c r="K39" s="49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61"/>
      <c r="K40" s="61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49"/>
      <c r="K41" s="49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61"/>
      <c r="K42" s="61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49"/>
      <c r="K43" s="49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61"/>
      <c r="K44" s="61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49"/>
      <c r="K45" s="49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61"/>
      <c r="K46" s="61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49"/>
      <c r="K47" s="4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61"/>
      <c r="K48" s="61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49"/>
      <c r="K49" s="4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61"/>
      <c r="K50" s="61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49"/>
      <c r="K51" s="49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61"/>
      <c r="K52" s="61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49"/>
      <c r="K53" s="49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61"/>
      <c r="K54" s="61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49"/>
      <c r="K55" s="49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61"/>
      <c r="K56" s="61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49"/>
      <c r="K57" s="49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61"/>
      <c r="K58" s="61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49"/>
      <c r="K59" s="49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61"/>
      <c r="K60" s="61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49"/>
      <c r="K61" s="49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61"/>
      <c r="K62" s="61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49"/>
      <c r="K63" s="49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61"/>
      <c r="K64" s="61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49"/>
      <c r="K65" s="49"/>
    </row>
    <row r="66" spans="1:11" ht="15.6">
      <c r="A66" s="25" t="str">
        <v>Arden Fair Mall</v>
      </c>
      <c r="B66" s="26" t="str">
        <v>CA</v>
      </c>
      <c r="C66" s="21"/>
      <c r="D66" s="11"/>
      <c r="E66" s="11"/>
      <c r="F66" s="12"/>
      <c r="G66" s="13"/>
      <c r="H66" s="13"/>
      <c r="I66" s="14"/>
      <c r="J66" s="61"/>
      <c r="K66" s="61"/>
    </row>
    <row r="67" spans="1:11" ht="15.6">
      <c r="A67" s="27" t="str">
        <v>Modesto - Modesto Main</v>
      </c>
      <c r="B67" s="28" t="str">
        <v>CA</v>
      </c>
      <c r="C67" s="10"/>
      <c r="D67" s="15"/>
      <c r="E67" s="15"/>
      <c r="F67" s="16"/>
      <c r="G67" s="17"/>
      <c r="H67" s="17"/>
      <c r="I67" s="16"/>
      <c r="J67" s="49"/>
      <c r="K67" s="49"/>
    </row>
    <row r="68" spans="1:11" ht="15.6">
      <c r="A68" s="25" t="str">
        <v>Stevens Creek</v>
      </c>
      <c r="B68" s="26" t="str">
        <v>CA</v>
      </c>
      <c r="C68" s="21"/>
      <c r="D68" s="11"/>
      <c r="E68" s="11"/>
      <c r="F68" s="12"/>
      <c r="G68" s="13"/>
      <c r="H68" s="13"/>
      <c r="I68" s="14"/>
      <c r="J68" s="61"/>
      <c r="K68" s="61"/>
    </row>
    <row r="69" spans="1:11" ht="15.6">
      <c r="A69" s="27" t="str">
        <v>Covina Main</v>
      </c>
      <c r="B69" s="28" t="str">
        <v>CA</v>
      </c>
      <c r="C69" s="10"/>
      <c r="D69" s="15"/>
      <c r="E69" s="15"/>
      <c r="F69" s="16"/>
      <c r="G69" s="17"/>
      <c r="H69" s="17"/>
      <c r="I69" s="16"/>
      <c r="J69" s="49"/>
      <c r="K69" s="49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61"/>
      <c r="K70" s="61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49"/>
      <c r="K71" s="49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61"/>
      <c r="K72" s="61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61"/>
      <c r="K74" s="61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49"/>
      <c r="K75" s="49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61"/>
      <c r="K76" s="61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49"/>
      <c r="K77" s="4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61"/>
      <c r="K78" s="61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49"/>
      <c r="K79" s="4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61"/>
      <c r="K80" s="61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49"/>
      <c r="K81" s="49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61"/>
      <c r="K82" s="61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49"/>
      <c r="K83" s="49"/>
    </row>
    <row r="84" spans="1:11" ht="15.6">
      <c r="A84" s="25"/>
      <c r="B84" s="26"/>
      <c r="C84" s="21"/>
      <c r="D84" s="11"/>
      <c r="E84" s="11"/>
      <c r="F84" s="12"/>
      <c r="G84" s="13"/>
      <c r="H84" s="13"/>
      <c r="I84" s="14"/>
      <c r="J84" s="61"/>
      <c r="K84" s="61"/>
    </row>
    <row r="85" spans="1:11" ht="14.45">
      <c r="A85" s="67"/>
      <c r="B85" s="65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67"/>
      <c r="B86" s="65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67"/>
      <c r="B87" s="65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67"/>
      <c r="B88" s="65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67"/>
      <c r="B89" s="65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67"/>
      <c r="B90" s="65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67"/>
      <c r="B91" s="65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67"/>
      <c r="B92" s="65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67"/>
      <c r="B93" s="65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67"/>
      <c r="B94" s="65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67"/>
      <c r="B95" s="65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67"/>
      <c r="B96" s="65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67"/>
      <c r="B97" s="65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67"/>
      <c r="B98" s="65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67"/>
      <c r="B99" s="65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67"/>
      <c r="B100" s="65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67"/>
      <c r="B101" s="65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67"/>
      <c r="B102" s="65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67"/>
      <c r="B103" s="65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67"/>
      <c r="B104" s="65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67"/>
      <c r="B105" s="65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67"/>
      <c r="B106" s="65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67"/>
      <c r="B107" s="65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67"/>
      <c r="B108" s="65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67"/>
      <c r="B109" s="65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67"/>
      <c r="B110" s="65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67"/>
      <c r="B111" s="65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67"/>
      <c r="B112" s="65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67"/>
      <c r="B113" s="65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67"/>
      <c r="B114" s="65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67"/>
      <c r="B115" s="65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67"/>
      <c r="B116" s="65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67"/>
      <c r="B117" s="65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67"/>
      <c r="B118" s="65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67"/>
      <c r="B119" s="65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67"/>
      <c r="B120" s="65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67"/>
      <c r="B121" s="65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67"/>
      <c r="B122" s="65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67"/>
      <c r="B123" s="65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67"/>
      <c r="B124" s="65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67"/>
      <c r="B125" s="65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67"/>
      <c r="B126" s="65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67"/>
      <c r="B127" s="65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67"/>
      <c r="B128" s="65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67"/>
      <c r="B129" s="65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67"/>
      <c r="B130" s="65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67"/>
      <c r="B131" s="65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67"/>
      <c r="B132" s="65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67"/>
      <c r="B133" s="65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67"/>
      <c r="B134" s="65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67"/>
      <c r="B135" s="65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67"/>
      <c r="B136" s="65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67"/>
      <c r="B137" s="65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67"/>
      <c r="B138" s="65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67"/>
      <c r="B139" s="65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67"/>
      <c r="B140" s="65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67"/>
      <c r="B141" s="65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67"/>
      <c r="B142" s="65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67"/>
      <c r="B143" s="65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67"/>
      <c r="B144" s="65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67"/>
      <c r="B145" s="65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67"/>
      <c r="B146" s="65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67"/>
      <c r="B147" s="65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67"/>
      <c r="B148" s="65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67"/>
      <c r="B149" s="65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67"/>
      <c r="B150" s="65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67"/>
      <c r="B151" s="65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67"/>
      <c r="B152" s="65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67"/>
      <c r="B153" s="65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67"/>
      <c r="B154" s="65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67"/>
      <c r="B155" s="65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67"/>
      <c r="B156" s="65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67"/>
      <c r="B157" s="65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67"/>
      <c r="B158" s="65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67"/>
      <c r="B159" s="65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67"/>
      <c r="B160" s="65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67"/>
      <c r="B161" s="65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67"/>
      <c r="B162" s="65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67"/>
      <c r="B163" s="65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67"/>
      <c r="B164" s="65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67"/>
      <c r="B165" s="65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67"/>
      <c r="B166" s="65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67"/>
      <c r="B167" s="65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67"/>
      <c r="B168" s="65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67"/>
      <c r="B169" s="65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67"/>
      <c r="B170" s="65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67"/>
      <c r="B171" s="65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67"/>
      <c r="B172" s="65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67"/>
      <c r="B173" s="65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67"/>
      <c r="B174" s="65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67"/>
      <c r="B175" s="65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67"/>
      <c r="B176" s="65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67"/>
      <c r="B177" s="65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67"/>
      <c r="B178" s="65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67"/>
      <c r="B179" s="65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67"/>
      <c r="B180" s="65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67"/>
      <c r="B181" s="65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67"/>
      <c r="B182" s="65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67"/>
      <c r="B183" s="65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67"/>
      <c r="B184" s="65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67"/>
      <c r="B185" s="65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67"/>
      <c r="B186" s="65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67"/>
      <c r="B187" s="65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67"/>
      <c r="B188" s="65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67"/>
      <c r="B189" s="65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67"/>
      <c r="B190" s="65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67"/>
      <c r="B191" s="65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67"/>
      <c r="B192" s="65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67"/>
      <c r="B193" s="65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67"/>
      <c r="B194" s="65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67"/>
      <c r="B195" s="65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67"/>
      <c r="B196" s="65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67"/>
      <c r="B197" s="65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67"/>
      <c r="B198" s="65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67"/>
      <c r="B199" s="65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67"/>
      <c r="B200" s="65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67"/>
      <c r="B201" s="65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67"/>
      <c r="B202" s="65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67"/>
      <c r="B203" s="65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67"/>
      <c r="B204" s="65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67"/>
      <c r="B205" s="65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67"/>
      <c r="B206" s="65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67"/>
      <c r="B207" s="65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67"/>
      <c r="B208" s="65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67"/>
      <c r="B209" s="65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67"/>
      <c r="B210" s="65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67"/>
      <c r="B211" s="65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67"/>
      <c r="B212" s="65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67"/>
      <c r="B213" s="65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67"/>
      <c r="B214" s="65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67"/>
      <c r="B215" s="65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67"/>
      <c r="B216" s="65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67"/>
      <c r="B217" s="65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67"/>
      <c r="B218" s="65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67"/>
      <c r="B219" s="65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67"/>
      <c r="B220" s="65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67"/>
      <c r="B221" s="65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67"/>
      <c r="B222" s="65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67"/>
      <c r="B223" s="65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67"/>
      <c r="B224" s="65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67"/>
      <c r="B225" s="65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67"/>
      <c r="B226" s="65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67"/>
      <c r="B227" s="65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67"/>
      <c r="B228" s="65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67"/>
      <c r="B229" s="65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67"/>
      <c r="B230" s="65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67"/>
      <c r="B231" s="65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67"/>
      <c r="B232" s="65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67"/>
      <c r="B233" s="65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67"/>
      <c r="B234" s="65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67"/>
      <c r="B235" s="65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67"/>
      <c r="B236" s="65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67"/>
      <c r="B237" s="65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67"/>
      <c r="B238" s="65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67"/>
      <c r="B239" s="65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67"/>
      <c r="B240" s="65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67"/>
      <c r="B241" s="65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67"/>
      <c r="B242" s="65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67"/>
      <c r="B243" s="65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67"/>
      <c r="B244" s="65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67"/>
      <c r="B245" s="65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67"/>
      <c r="B246" s="65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67"/>
      <c r="B247" s="65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67"/>
      <c r="B248" s="65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67"/>
      <c r="B249" s="65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67"/>
      <c r="B250" s="65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67"/>
      <c r="B251" s="65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67"/>
      <c r="B252" s="65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67"/>
      <c r="B253" s="65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67"/>
      <c r="B254" s="65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67"/>
      <c r="B255" s="65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67"/>
      <c r="B256" s="65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67"/>
      <c r="B257" s="65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67"/>
      <c r="B258" s="65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67"/>
      <c r="B259" s="65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67"/>
      <c r="B260" s="65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67"/>
      <c r="B261" s="65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67"/>
      <c r="B262" s="65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67"/>
      <c r="B263" s="65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67"/>
      <c r="B264" s="65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67"/>
      <c r="B265" s="65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67"/>
      <c r="B266" s="65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67"/>
      <c r="B267" s="65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67"/>
      <c r="B268" s="65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67"/>
      <c r="B269" s="65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67"/>
      <c r="B270" s="65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67"/>
      <c r="B271" s="65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67"/>
      <c r="B272" s="65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67"/>
      <c r="B273" s="65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67"/>
      <c r="B274" s="65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67"/>
      <c r="B275" s="65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67"/>
      <c r="B276" s="65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67"/>
      <c r="B277" s="65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67"/>
      <c r="B278" s="65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67"/>
      <c r="B279" s="65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67"/>
      <c r="B280" s="65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67"/>
      <c r="B281" s="65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67"/>
      <c r="B282" s="65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67"/>
      <c r="B283" s="65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67"/>
      <c r="B284" s="65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67"/>
      <c r="B285" s="65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67"/>
      <c r="B286" s="65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67"/>
      <c r="B287" s="65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67"/>
      <c r="B288" s="65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67"/>
      <c r="B289" s="65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67"/>
      <c r="B290" s="65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67"/>
      <c r="B291" s="65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67"/>
      <c r="B292" s="65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67"/>
      <c r="B293" s="65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67"/>
      <c r="B294" s="65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67"/>
      <c r="B295" s="65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67"/>
      <c r="B296" s="65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67"/>
      <c r="B297" s="65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67"/>
      <c r="B298" s="65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67"/>
      <c r="B299" s="65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67"/>
      <c r="B300" s="65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67"/>
      <c r="B301" s="65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67"/>
      <c r="B302" s="65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67"/>
      <c r="B303" s="65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67"/>
      <c r="B304" s="65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67"/>
      <c r="B305" s="65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67"/>
      <c r="B306" s="65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67"/>
      <c r="B307" s="65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67"/>
      <c r="B308" s="65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67"/>
      <c r="B309" s="65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67"/>
      <c r="B310" s="65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67"/>
      <c r="B311" s="65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67"/>
      <c r="B312" s="65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67"/>
      <c r="B313" s="65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67"/>
      <c r="B314" s="65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67"/>
      <c r="B315" s="65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67"/>
      <c r="B316" s="65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67"/>
      <c r="B317" s="65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67"/>
      <c r="B318" s="65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67"/>
      <c r="B319" s="65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67"/>
      <c r="B320" s="65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67"/>
      <c r="B321" s="65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67"/>
      <c r="B322" s="65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67"/>
      <c r="B323" s="65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67"/>
      <c r="B324" s="65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67"/>
      <c r="B325" s="65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67"/>
      <c r="B326" s="65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67"/>
      <c r="B327" s="65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60" zoomScaleNormal="60" workbookViewId="0">
      <pane xSplit="2" ySplit="3" topLeftCell="C6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5.8554687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78</v>
      </c>
      <c r="E1" s="89"/>
      <c r="F1" s="89"/>
      <c r="G1" s="87" t="s">
        <v>79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4"/>
      <c r="K5" s="54"/>
    </row>
    <row r="6" spans="1:11" ht="46.3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4"/>
      <c r="K7" s="54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4"/>
      <c r="K9" s="54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54"/>
      <c r="K11" s="54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4"/>
      <c r="K13" s="54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4"/>
      <c r="K15" s="54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54"/>
      <c r="K17" s="54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54"/>
      <c r="K19" s="54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54"/>
      <c r="K21" s="54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54"/>
      <c r="K23" s="54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>IF(AND(ISNUMBER(C24),ISNUMBER(D24)), C24-D24, "")</f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45.6" customHeight="1">
      <c r="A25" s="27" t="str">
        <v>East Windsor</v>
      </c>
      <c r="B25" s="28" t="str">
        <v>NJ</v>
      </c>
      <c r="C25" s="10"/>
      <c r="D25" s="15"/>
      <c r="E25" s="15" t="str">
        <f>IF(AND(ISNUMBER(C25),ISNUMBER(D25)), C25-D25, "")</f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49"/>
      <c r="K25" s="49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54"/>
      <c r="K27" s="54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54"/>
      <c r="K29" s="54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54"/>
      <c r="K31" s="54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54"/>
      <c r="K33" s="54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54"/>
      <c r="K35" s="54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54"/>
      <c r="K37" s="54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54"/>
      <c r="K39" s="54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54"/>
      <c r="K41" s="54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54"/>
      <c r="K43" s="54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54"/>
      <c r="K45" s="54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54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54"/>
      <c r="K49" s="54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54"/>
      <c r="K51" s="54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54"/>
      <c r="K53" s="54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54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43.35" customHeight="1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54"/>
      <c r="K57" s="54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54"/>
      <c r="K59" s="54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54"/>
      <c r="K61" s="54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54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54"/>
      <c r="K65" s="54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61"/>
      <c r="K66" s="61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6">
      <c r="A73" s="27" t="str">
        <v>Fairfield</v>
      </c>
      <c r="B73" s="28" t="str">
        <v>CA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6">
      <c r="A74" s="25" t="str">
        <v>Los Gatos</v>
      </c>
      <c r="B74" s="26" t="str">
        <v>CA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/>
      <c r="F77" s="16"/>
      <c r="G77" s="17"/>
      <c r="H77" s="17"/>
      <c r="I77" s="16"/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6">
      <c r="A82" s="25" t="str">
        <v>Rincon</v>
      </c>
      <c r="B82" s="26" t="str">
        <v>AZ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6">
      <c r="A83" s="27" t="str">
        <v>Tucson Main Parking Garage</v>
      </c>
      <c r="B83" s="28" t="str">
        <v>AZ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6">
      <c r="A84" s="25"/>
      <c r="B84" s="26"/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autoFilter ref="A3:K3" xr:uid="{48D80AE8-42BF-4DAC-863F-113F77A3E00F}"/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80</v>
      </c>
      <c r="E1" s="89"/>
      <c r="F1" s="89"/>
      <c r="G1" s="87" t="s">
        <v>81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SUM(C4:C91)</f>
        <v>0</v>
      </c>
      <c r="D2" s="4">
        <f>SUM(D4:D91)</f>
        <v>0</v>
      </c>
      <c r="E2" s="4">
        <f>C2-D2</f>
        <v>0</v>
      </c>
      <c r="F2" s="5">
        <f>IFERROR(E2/D2, 0)</f>
        <v>0</v>
      </c>
      <c r="G2" s="4">
        <f>SUM(G4:G91)</f>
        <v>0</v>
      </c>
      <c r="H2" s="6">
        <f>C2-G2</f>
        <v>0</v>
      </c>
      <c r="I2" s="5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1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27" customHeight="1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9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40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40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5"/>
      <c r="H70" s="13" t="str">
        <f t="shared" si="1"/>
        <v/>
      </c>
      <c r="I70" s="14" t="str">
        <f t="shared" si="2"/>
        <v/>
      </c>
      <c r="J70" s="60"/>
      <c r="K70" s="60"/>
    </row>
    <row r="71" spans="1:11" ht="15.6">
      <c r="A71" s="27" t="str">
        <v>Mountain Gate Plaza</v>
      </c>
      <c r="B71" s="28" t="str">
        <v>CA</v>
      </c>
      <c r="C71" s="73"/>
      <c r="D71" s="15"/>
      <c r="E71" s="15" t="str">
        <f t="shared" ref="E71:E84" si="7">IF(AND(ISNUMBER(C71),ISNUMBER(D71)), C71-D71, "")</f>
        <v/>
      </c>
      <c r="F71" s="16" t="str">
        <f t="shared" si="3"/>
        <v/>
      </c>
      <c r="G71" s="74"/>
      <c r="H71" s="17" t="str">
        <f t="shared" ref="H71:H84" si="8">IF(AND(ISNUMBER(C71),ISNUMBER(G71)), C71-G71, "")</f>
        <v/>
      </c>
      <c r="I71" s="16" t="str">
        <f t="shared" ref="I71:I84" si="9">IFERROR(H71/G71, "")</f>
        <v/>
      </c>
      <c r="J71" s="39"/>
      <c r="K71" s="39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ref="F72:F84" si="10">IFERROR(E72/D72, "")</f>
        <v/>
      </c>
      <c r="G72" s="75"/>
      <c r="H72" s="13" t="str">
        <f t="shared" si="8"/>
        <v/>
      </c>
      <c r="I72" s="14" t="str">
        <f t="shared" si="9"/>
        <v/>
      </c>
      <c r="J72" s="60"/>
      <c r="K72" s="60"/>
    </row>
    <row r="73" spans="1:11" ht="15.6">
      <c r="A73" s="27" t="str">
        <v>Fairfield</v>
      </c>
      <c r="B73" s="28" t="str">
        <v>CA</v>
      </c>
      <c r="C73" s="73"/>
      <c r="D73" s="15"/>
      <c r="E73" s="15" t="str">
        <f t="shared" si="7"/>
        <v/>
      </c>
      <c r="F73" s="16" t="str">
        <f t="shared" si="10"/>
        <v/>
      </c>
      <c r="G73" s="74"/>
      <c r="H73" s="17" t="str">
        <f t="shared" si="8"/>
        <v/>
      </c>
      <c r="I73" s="16" t="str">
        <f t="shared" si="9"/>
        <v/>
      </c>
      <c r="J73" s="39"/>
      <c r="K73" s="39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10"/>
        <v/>
      </c>
      <c r="G74" s="75"/>
      <c r="H74" s="13" t="str">
        <f t="shared" si="8"/>
        <v/>
      </c>
      <c r="I74" s="14" t="str">
        <f t="shared" si="9"/>
        <v/>
      </c>
      <c r="J74" s="60"/>
      <c r="K74" s="60"/>
    </row>
    <row r="75" spans="1:11" ht="15.6">
      <c r="A75" s="27" t="str">
        <v>San Marino</v>
      </c>
      <c r="B75" s="28" t="str">
        <v>CA</v>
      </c>
      <c r="C75" s="73"/>
      <c r="D75" s="15"/>
      <c r="E75" s="15" t="str">
        <f t="shared" si="7"/>
        <v/>
      </c>
      <c r="F75" s="16" t="str">
        <f t="shared" si="10"/>
        <v/>
      </c>
      <c r="G75" s="74"/>
      <c r="H75" s="17" t="str">
        <f t="shared" si="8"/>
        <v/>
      </c>
      <c r="I75" s="16" t="str">
        <f t="shared" si="9"/>
        <v/>
      </c>
      <c r="J75" s="39"/>
      <c r="K75" s="39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10"/>
        <v/>
      </c>
      <c r="G76" s="75"/>
      <c r="H76" s="13" t="str">
        <f t="shared" si="8"/>
        <v/>
      </c>
      <c r="I76" s="14" t="str">
        <f t="shared" si="9"/>
        <v/>
      </c>
      <c r="J76" s="60"/>
      <c r="K76" s="60"/>
    </row>
    <row r="77" spans="1:11" ht="15.6">
      <c r="A77" s="27" t="str">
        <v>N Black Canyon Hwy, Phoenix - North</v>
      </c>
      <c r="B77" s="28" t="str">
        <v>AZ</v>
      </c>
      <c r="C77" s="73"/>
      <c r="D77" s="15"/>
      <c r="E77" s="15" t="str">
        <f t="shared" si="7"/>
        <v/>
      </c>
      <c r="F77" s="16" t="str">
        <f t="shared" si="10"/>
        <v/>
      </c>
      <c r="G77" s="74"/>
      <c r="H77" s="17" t="str">
        <f t="shared" si="8"/>
        <v/>
      </c>
      <c r="I77" s="16" t="str">
        <f t="shared" si="9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10"/>
        <v/>
      </c>
      <c r="G78" s="75"/>
      <c r="H78" s="13" t="str">
        <f t="shared" si="8"/>
        <v/>
      </c>
      <c r="I78" s="14" t="str">
        <f t="shared" si="9"/>
        <v/>
      </c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73"/>
      <c r="D79" s="15"/>
      <c r="E79" s="15" t="str">
        <f t="shared" si="7"/>
        <v/>
      </c>
      <c r="F79" s="16" t="str">
        <f t="shared" si="10"/>
        <v/>
      </c>
      <c r="G79" s="74"/>
      <c r="H79" s="17" t="str">
        <f t="shared" si="8"/>
        <v/>
      </c>
      <c r="I79" s="16" t="str">
        <f t="shared" si="9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10"/>
        <v/>
      </c>
      <c r="G80" s="75"/>
      <c r="H80" s="13" t="str">
        <f t="shared" si="8"/>
        <v/>
      </c>
      <c r="I80" s="14" t="str">
        <f t="shared" si="9"/>
        <v/>
      </c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73"/>
      <c r="D81" s="15"/>
      <c r="E81" s="15" t="str">
        <f t="shared" si="7"/>
        <v/>
      </c>
      <c r="F81" s="16" t="str">
        <f t="shared" si="10"/>
        <v/>
      </c>
      <c r="G81" s="74"/>
      <c r="H81" s="17" t="str">
        <f t="shared" si="8"/>
        <v/>
      </c>
      <c r="I81" s="16" t="str">
        <f t="shared" si="9"/>
        <v/>
      </c>
      <c r="J81" s="39"/>
      <c r="K81" s="39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10"/>
        <v/>
      </c>
      <c r="G82" s="75"/>
      <c r="H82" s="13" t="str">
        <f t="shared" si="8"/>
        <v/>
      </c>
      <c r="I82" s="14" t="str">
        <f t="shared" si="9"/>
        <v/>
      </c>
      <c r="J82" s="60"/>
      <c r="K82" s="60"/>
    </row>
    <row r="83" spans="1:11" ht="15.6">
      <c r="A83" s="27" t="str">
        <v>Tucson Main Parking Garage</v>
      </c>
      <c r="B83" s="28" t="str">
        <v>AZ</v>
      </c>
      <c r="C83" s="73"/>
      <c r="D83" s="15"/>
      <c r="E83" s="15" t="str">
        <f t="shared" si="7"/>
        <v/>
      </c>
      <c r="F83" s="16" t="str">
        <f t="shared" si="10"/>
        <v/>
      </c>
      <c r="G83" s="74"/>
      <c r="H83" s="17" t="str">
        <f t="shared" si="8"/>
        <v/>
      </c>
      <c r="I83" s="16" t="str">
        <f t="shared" si="9"/>
        <v/>
      </c>
      <c r="J83" s="39"/>
      <c r="K83" s="39"/>
    </row>
    <row r="84" spans="1:11" ht="15.6">
      <c r="A84" s="25"/>
      <c r="B84" s="26"/>
      <c r="C84" s="57"/>
      <c r="D84" s="11"/>
      <c r="E84" s="11" t="str">
        <f t="shared" si="7"/>
        <v/>
      </c>
      <c r="F84" s="12" t="str">
        <f t="shared" si="10"/>
        <v/>
      </c>
      <c r="G84" s="75"/>
      <c r="H84" s="13" t="str">
        <f t="shared" si="8"/>
        <v/>
      </c>
      <c r="I84" s="14" t="str">
        <f t="shared" si="9"/>
        <v/>
      </c>
      <c r="J84" s="60"/>
      <c r="K84" s="60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C333" s="18"/>
      <c r="D333" s="18"/>
      <c r="E333" s="18"/>
      <c r="F333" s="19"/>
      <c r="G333" s="18"/>
      <c r="H333" s="18"/>
      <c r="I333" s="19"/>
      <c r="J333" s="18"/>
      <c r="K333" s="18"/>
    </row>
  </sheetData>
  <mergeCells count="4">
    <mergeCell ref="G1:I1"/>
    <mergeCell ref="A1:C1"/>
    <mergeCell ref="D1:F1"/>
    <mergeCell ref="A2:B2"/>
  </mergeCells>
  <phoneticPr fontId="40" type="noConversion"/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xSplit="2" ySplit="3" topLeftCell="C23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82</v>
      </c>
      <c r="E1" s="89"/>
      <c r="F1" s="89"/>
      <c r="G1" s="87" t="s">
        <v>83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39"/>
      <c r="K19" s="40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68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60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39"/>
      <c r="K47" s="54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6.5" customHeight="1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39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39"/>
      <c r="K55" s="54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39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8"/>
      <c r="K68" s="38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3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39"/>
      <c r="K69" s="40"/>
    </row>
    <row r="70" spans="1:11" ht="15.6">
      <c r="A70" s="25" t="str">
        <v>Old Ranch Town Center</v>
      </c>
      <c r="B70" s="26" t="str">
        <v>CA</v>
      </c>
      <c r="C70" s="57"/>
      <c r="D70" s="11"/>
      <c r="E70" s="11" t="str">
        <f t="shared" si="0"/>
        <v/>
      </c>
      <c r="F70" s="12" t="str">
        <f t="shared" si="3"/>
        <v/>
      </c>
      <c r="G70" s="75"/>
      <c r="H70" s="13" t="str">
        <f t="shared" si="1"/>
        <v/>
      </c>
      <c r="I70" s="14" t="str">
        <f t="shared" si="2"/>
        <v/>
      </c>
      <c r="J70" s="60"/>
      <c r="K70" s="60"/>
    </row>
    <row r="71" spans="1:11" ht="15.6">
      <c r="A71" s="27" t="str">
        <v>Mountain Gate Plaza</v>
      </c>
      <c r="B71" s="28" t="str">
        <v>CA</v>
      </c>
      <c r="C71" s="73"/>
      <c r="D71" s="15"/>
      <c r="E71" s="15" t="str">
        <f t="shared" ref="E71:E84" si="7">IF(AND(ISNUMBER(C71),ISNUMBER(D71)), C71-D71, "")</f>
        <v/>
      </c>
      <c r="F71" s="16" t="str">
        <f t="shared" ref="F71:F84" si="8">IFERROR(E71/D71, "")</f>
        <v/>
      </c>
      <c r="G71" s="74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39"/>
      <c r="K71" s="40"/>
    </row>
    <row r="72" spans="1:11" ht="15.6">
      <c r="A72" s="25" t="str">
        <v>Arcadia Main</v>
      </c>
      <c r="B72" s="26" t="str">
        <v>CA</v>
      </c>
      <c r="C72" s="57"/>
      <c r="D72" s="11"/>
      <c r="E72" s="11" t="str">
        <f t="shared" si="7"/>
        <v/>
      </c>
      <c r="F72" s="12" t="str">
        <f t="shared" si="8"/>
        <v/>
      </c>
      <c r="G72" s="75"/>
      <c r="H72" s="13" t="str">
        <f t="shared" si="9"/>
        <v/>
      </c>
      <c r="I72" s="14" t="str">
        <f t="shared" si="10"/>
        <v/>
      </c>
      <c r="J72" s="60"/>
      <c r="K72" s="60"/>
    </row>
    <row r="73" spans="1:11" ht="15.6">
      <c r="A73" s="27" t="str">
        <v>Fairfield</v>
      </c>
      <c r="B73" s="28" t="str">
        <v>CA</v>
      </c>
      <c r="C73" s="73"/>
      <c r="D73" s="15"/>
      <c r="E73" s="15" t="str">
        <f t="shared" si="7"/>
        <v/>
      </c>
      <c r="F73" s="16" t="str">
        <f t="shared" si="8"/>
        <v/>
      </c>
      <c r="G73" s="74"/>
      <c r="H73" s="17" t="str">
        <f t="shared" si="9"/>
        <v/>
      </c>
      <c r="I73" s="16" t="str">
        <f t="shared" si="10"/>
        <v/>
      </c>
      <c r="J73" s="39"/>
      <c r="K73" s="40"/>
    </row>
    <row r="74" spans="1:11" ht="15.6">
      <c r="A74" s="25" t="str">
        <v>Los Gatos</v>
      </c>
      <c r="B74" s="26" t="str">
        <v>CA</v>
      </c>
      <c r="C74" s="57"/>
      <c r="D74" s="11"/>
      <c r="E74" s="11" t="str">
        <f t="shared" si="7"/>
        <v/>
      </c>
      <c r="F74" s="12" t="str">
        <f t="shared" si="8"/>
        <v/>
      </c>
      <c r="G74" s="75"/>
      <c r="H74" s="13" t="str">
        <f t="shared" si="9"/>
        <v/>
      </c>
      <c r="I74" s="14" t="str">
        <f t="shared" si="10"/>
        <v/>
      </c>
      <c r="J74" s="60"/>
      <c r="K74" s="60"/>
    </row>
    <row r="75" spans="1:11" ht="15.6">
      <c r="A75" s="27" t="str">
        <v>San Marino</v>
      </c>
      <c r="B75" s="28" t="str">
        <v>CA</v>
      </c>
      <c r="C75" s="73"/>
      <c r="D75" s="15"/>
      <c r="E75" s="15" t="str">
        <f t="shared" si="7"/>
        <v/>
      </c>
      <c r="F75" s="16" t="str">
        <f t="shared" si="8"/>
        <v/>
      </c>
      <c r="G75" s="74"/>
      <c r="H75" s="17" t="str">
        <f t="shared" si="9"/>
        <v/>
      </c>
      <c r="I75" s="16" t="str">
        <f t="shared" si="10"/>
        <v/>
      </c>
      <c r="J75" s="39"/>
      <c r="K75" s="40"/>
    </row>
    <row r="76" spans="1:11" ht="15.6">
      <c r="A76" s="25" t="str">
        <v>Buenaventura</v>
      </c>
      <c r="B76" s="26" t="str">
        <v>CA</v>
      </c>
      <c r="C76" s="57"/>
      <c r="D76" s="11"/>
      <c r="E76" s="11" t="str">
        <f t="shared" si="7"/>
        <v/>
      </c>
      <c r="F76" s="12" t="str">
        <f t="shared" si="8"/>
        <v/>
      </c>
      <c r="G76" s="75"/>
      <c r="H76" s="13" t="str">
        <f t="shared" si="9"/>
        <v/>
      </c>
      <c r="I76" s="14" t="str">
        <f t="shared" si="10"/>
        <v/>
      </c>
      <c r="J76" s="60"/>
      <c r="K76" s="60"/>
    </row>
    <row r="77" spans="1:11" ht="15.6">
      <c r="A77" s="27" t="str">
        <v>N Black Canyon Hwy, Phoenix - North</v>
      </c>
      <c r="B77" s="28" t="str">
        <v>AZ</v>
      </c>
      <c r="C77" s="73"/>
      <c r="D77" s="15"/>
      <c r="E77" s="15" t="str">
        <f t="shared" si="7"/>
        <v/>
      </c>
      <c r="F77" s="16" t="str">
        <f t="shared" si="8"/>
        <v/>
      </c>
      <c r="G77" s="74"/>
      <c r="H77" s="17" t="str">
        <f t="shared" si="9"/>
        <v/>
      </c>
      <c r="I77" s="16" t="str">
        <f t="shared" si="10"/>
        <v/>
      </c>
      <c r="J77" s="39"/>
      <c r="K77" s="40"/>
    </row>
    <row r="78" spans="1:11" ht="15.6">
      <c r="A78" s="25" t="str">
        <v>N Black Canyon Hwy, Phoenix - South</v>
      </c>
      <c r="B78" s="26" t="str">
        <v>AZ</v>
      </c>
      <c r="C78" s="57"/>
      <c r="D78" s="11"/>
      <c r="E78" s="11" t="str">
        <f t="shared" si="7"/>
        <v/>
      </c>
      <c r="F78" s="12" t="str">
        <f t="shared" si="8"/>
        <v/>
      </c>
      <c r="G78" s="75"/>
      <c r="H78" s="13" t="str">
        <f t="shared" si="9"/>
        <v/>
      </c>
      <c r="I78" s="14" t="str">
        <f t="shared" si="10"/>
        <v/>
      </c>
      <c r="J78" s="60"/>
      <c r="K78" s="60"/>
    </row>
    <row r="79" spans="1:11" ht="15.6">
      <c r="A79" s="27" t="str">
        <v xml:space="preserve"> Building 2222, Rose Garden Ln, Phoenix</v>
      </c>
      <c r="B79" s="28" t="str">
        <v>AZ</v>
      </c>
      <c r="C79" s="73"/>
      <c r="D79" s="15"/>
      <c r="E79" s="15" t="str">
        <f t="shared" si="7"/>
        <v/>
      </c>
      <c r="F79" s="16" t="str">
        <f t="shared" si="8"/>
        <v/>
      </c>
      <c r="G79" s="74"/>
      <c r="H79" s="17" t="str">
        <f t="shared" si="9"/>
        <v/>
      </c>
      <c r="I79" s="16" t="str">
        <f t="shared" si="10"/>
        <v/>
      </c>
      <c r="J79" s="39"/>
      <c r="K79" s="40"/>
    </row>
    <row r="80" spans="1:11" ht="15.6">
      <c r="A80" s="25" t="str">
        <v xml:space="preserve"> Building 2202, Rose Garden Ln, Phoenix</v>
      </c>
      <c r="B80" s="26" t="str">
        <v>AZ</v>
      </c>
      <c r="C80" s="57"/>
      <c r="D80" s="11"/>
      <c r="E80" s="11" t="str">
        <f t="shared" si="7"/>
        <v/>
      </c>
      <c r="F80" s="12" t="str">
        <f t="shared" si="8"/>
        <v/>
      </c>
      <c r="G80" s="75"/>
      <c r="H80" s="13" t="str">
        <f t="shared" si="9"/>
        <v/>
      </c>
      <c r="I80" s="14" t="str">
        <f t="shared" si="10"/>
        <v/>
      </c>
      <c r="J80" s="60"/>
      <c r="K80" s="60"/>
    </row>
    <row r="81" spans="1:11" ht="15.6">
      <c r="A81" s="27" t="str">
        <v xml:space="preserve"> 99TH Ave &amp; BELL</v>
      </c>
      <c r="B81" s="28" t="str">
        <v>AZ</v>
      </c>
      <c r="C81" s="73"/>
      <c r="D81" s="15"/>
      <c r="E81" s="15" t="str">
        <f t="shared" si="7"/>
        <v/>
      </c>
      <c r="F81" s="16" t="str">
        <f t="shared" si="8"/>
        <v/>
      </c>
      <c r="G81" s="74"/>
      <c r="H81" s="17" t="str">
        <f t="shared" si="9"/>
        <v/>
      </c>
      <c r="I81" s="16" t="str">
        <f t="shared" si="10"/>
        <v/>
      </c>
      <c r="J81" s="39"/>
      <c r="K81" s="40"/>
    </row>
    <row r="82" spans="1:11" ht="15.6">
      <c r="A82" s="25" t="str">
        <v>Rincon</v>
      </c>
      <c r="B82" s="26" t="str">
        <v>AZ</v>
      </c>
      <c r="C82" s="57"/>
      <c r="D82" s="11"/>
      <c r="E82" s="11" t="str">
        <f t="shared" si="7"/>
        <v/>
      </c>
      <c r="F82" s="12" t="str">
        <f t="shared" si="8"/>
        <v/>
      </c>
      <c r="G82" s="75"/>
      <c r="H82" s="13" t="str">
        <f t="shared" si="9"/>
        <v/>
      </c>
      <c r="I82" s="14" t="str">
        <f t="shared" si="10"/>
        <v/>
      </c>
      <c r="J82" s="60"/>
      <c r="K82" s="60"/>
    </row>
    <row r="83" spans="1:11" ht="15.6">
      <c r="A83" s="27" t="str">
        <v>Tucson Main Parking Garage</v>
      </c>
      <c r="B83" s="28" t="str">
        <v>AZ</v>
      </c>
      <c r="C83" s="73"/>
      <c r="D83" s="15"/>
      <c r="E83" s="15" t="str">
        <f t="shared" si="7"/>
        <v/>
      </c>
      <c r="F83" s="16" t="str">
        <f t="shared" si="8"/>
        <v/>
      </c>
      <c r="G83" s="74"/>
      <c r="H83" s="17" t="str">
        <f t="shared" si="9"/>
        <v/>
      </c>
      <c r="I83" s="16" t="str">
        <f t="shared" si="10"/>
        <v/>
      </c>
      <c r="J83" s="39"/>
      <c r="K83" s="40"/>
    </row>
    <row r="84" spans="1:11" ht="15.6">
      <c r="A84" s="25"/>
      <c r="B84" s="26"/>
      <c r="C84" s="57"/>
      <c r="D84" s="11"/>
      <c r="E84" s="11" t="str">
        <f t="shared" si="7"/>
        <v/>
      </c>
      <c r="F84" s="12" t="str">
        <f t="shared" si="8"/>
        <v/>
      </c>
      <c r="G84" s="75"/>
      <c r="H84" s="13" t="str">
        <f t="shared" si="9"/>
        <v/>
      </c>
      <c r="I84" s="14" t="str">
        <f t="shared" si="10"/>
        <v/>
      </c>
      <c r="J84" s="60"/>
      <c r="K84" s="60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H74" sqref="H74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84</v>
      </c>
      <c r="E1" s="89"/>
      <c r="F1" s="89"/>
      <c r="G1" s="87" t="s">
        <v>85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69"/>
      <c r="K4" s="69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70" si="0">IF(AND(ISNUMBER(C5),ISNUMBER(D5)), C5-D5, "")</f>
        <v/>
      </c>
      <c r="F5" s="16" t="str">
        <f>IFERROR(E5/D5, "")</f>
        <v/>
      </c>
      <c r="G5" s="17"/>
      <c r="H5" s="17">
        <v>0</v>
      </c>
      <c r="I5" s="16" t="str">
        <f t="shared" ref="I5:I70" si="1">IFERROR(H5/G5, "")</f>
        <v/>
      </c>
      <c r="J5" s="99"/>
      <c r="K5" s="99"/>
    </row>
    <row r="6" spans="1:11" ht="53.25" customHeight="1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70" si="2">IFERROR(E6/D6, "")</f>
        <v/>
      </c>
      <c r="G6" s="13"/>
      <c r="H6" s="13" t="str">
        <f t="shared" ref="H6:H70" si="3">IF(AND(ISNUMBER(C6),ISNUMBER(G6)), C6-G6, "")</f>
        <v/>
      </c>
      <c r="I6" s="14" t="str">
        <f t="shared" si="1"/>
        <v/>
      </c>
      <c r="J6" s="69"/>
      <c r="K6" s="69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2"/>
        <v/>
      </c>
      <c r="G7" s="17"/>
      <c r="H7" s="17" t="str">
        <f t="shared" si="3"/>
        <v/>
      </c>
      <c r="I7" s="16" t="str">
        <f t="shared" si="1"/>
        <v/>
      </c>
      <c r="J7" s="99"/>
      <c r="K7" s="7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2"/>
        <v/>
      </c>
      <c r="G8" s="13"/>
      <c r="H8" s="13" t="str">
        <f t="shared" si="3"/>
        <v/>
      </c>
      <c r="I8" s="14" t="str">
        <f t="shared" si="1"/>
        <v/>
      </c>
      <c r="J8" s="69"/>
      <c r="K8" s="69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2"/>
        <v/>
      </c>
      <c r="G9" s="17"/>
      <c r="H9" s="17" t="str">
        <f t="shared" si="3"/>
        <v/>
      </c>
      <c r="I9" s="16" t="str">
        <f t="shared" si="1"/>
        <v/>
      </c>
      <c r="J9" s="99"/>
      <c r="K9" s="7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2"/>
        <v/>
      </c>
      <c r="G10" s="13"/>
      <c r="H10" s="13" t="str">
        <f t="shared" si="3"/>
        <v/>
      </c>
      <c r="I10" s="14" t="str">
        <f t="shared" si="1"/>
        <v/>
      </c>
      <c r="J10" s="69"/>
      <c r="K10" s="69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2"/>
        <v/>
      </c>
      <c r="G11" s="17"/>
      <c r="H11" s="17" t="str">
        <f t="shared" si="3"/>
        <v/>
      </c>
      <c r="I11" s="16" t="str">
        <f t="shared" si="1"/>
        <v/>
      </c>
      <c r="J11" s="99"/>
      <c r="K11" s="7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2"/>
        <v/>
      </c>
      <c r="G12" s="13"/>
      <c r="H12" s="13" t="str">
        <f t="shared" si="3"/>
        <v/>
      </c>
      <c r="I12" s="14" t="str">
        <f t="shared" si="1"/>
        <v/>
      </c>
      <c r="J12" s="69"/>
      <c r="K12" s="69"/>
    </row>
    <row r="13" spans="1:11" ht="48" customHeight="1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2"/>
        <v/>
      </c>
      <c r="G13" s="17"/>
      <c r="H13" s="17" t="str">
        <f t="shared" si="3"/>
        <v/>
      </c>
      <c r="I13" s="16" t="str">
        <f t="shared" si="1"/>
        <v/>
      </c>
      <c r="J13" s="99"/>
      <c r="K13" s="7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2"/>
        <v/>
      </c>
      <c r="G14" s="13"/>
      <c r="H14" s="13" t="str">
        <f t="shared" si="3"/>
        <v/>
      </c>
      <c r="I14" s="14" t="str">
        <f t="shared" si="1"/>
        <v/>
      </c>
      <c r="J14" s="71"/>
      <c r="K14" s="69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2"/>
        <v/>
      </c>
      <c r="G15" s="17"/>
      <c r="H15" s="17" t="str">
        <f t="shared" si="3"/>
        <v/>
      </c>
      <c r="I15" s="16" t="str">
        <f t="shared" si="1"/>
        <v/>
      </c>
      <c r="J15" s="99"/>
      <c r="K15" s="7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2"/>
        <v/>
      </c>
      <c r="G16" s="13"/>
      <c r="H16" s="13" t="str">
        <f t="shared" si="3"/>
        <v/>
      </c>
      <c r="I16" s="14" t="str">
        <f t="shared" si="1"/>
        <v/>
      </c>
      <c r="J16" s="69"/>
      <c r="K16" s="69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2"/>
        <v/>
      </c>
      <c r="G17" s="17"/>
      <c r="H17" s="17" t="str">
        <f t="shared" si="3"/>
        <v/>
      </c>
      <c r="I17" s="16" t="str">
        <f t="shared" si="1"/>
        <v/>
      </c>
      <c r="J17" s="99"/>
      <c r="K17" s="7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2"/>
        <v/>
      </c>
      <c r="G18" s="13"/>
      <c r="H18" s="13" t="str">
        <f t="shared" si="3"/>
        <v/>
      </c>
      <c r="I18" s="14" t="str">
        <f t="shared" si="1"/>
        <v/>
      </c>
      <c r="J18" s="69"/>
      <c r="K18" s="69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2"/>
        <v/>
      </c>
      <c r="G19" s="17"/>
      <c r="H19" s="17" t="str">
        <f t="shared" si="3"/>
        <v/>
      </c>
      <c r="I19" s="16" t="str">
        <f t="shared" si="1"/>
        <v/>
      </c>
      <c r="J19" s="99"/>
      <c r="K19" s="9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1"/>
        <v/>
      </c>
      <c r="J20" s="69"/>
      <c r="K20" s="69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2"/>
        <v/>
      </c>
      <c r="G21" s="17"/>
      <c r="H21" s="17" t="str">
        <f t="shared" si="3"/>
        <v/>
      </c>
      <c r="I21" s="16" t="str">
        <f t="shared" si="1"/>
        <v/>
      </c>
      <c r="J21" s="99"/>
      <c r="K21" s="7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2"/>
        <v/>
      </c>
      <c r="G22" s="13"/>
      <c r="H22" s="13" t="str">
        <f t="shared" si="3"/>
        <v/>
      </c>
      <c r="I22" s="14" t="str">
        <f t="shared" si="1"/>
        <v/>
      </c>
      <c r="J22" s="69"/>
      <c r="K22" s="69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2"/>
        <v/>
      </c>
      <c r="G23" s="17"/>
      <c r="H23" s="17" t="str">
        <f t="shared" si="3"/>
        <v/>
      </c>
      <c r="I23" s="16" t="str">
        <f t="shared" si="1"/>
        <v/>
      </c>
      <c r="J23" s="99"/>
      <c r="K23" s="7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2"/>
        <v/>
      </c>
      <c r="G24" s="13"/>
      <c r="H24" s="13" t="str">
        <f t="shared" si="3"/>
        <v/>
      </c>
      <c r="I24" s="14" t="str">
        <f t="shared" si="1"/>
        <v/>
      </c>
      <c r="J24" s="69"/>
      <c r="K24" s="69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2"/>
        <v/>
      </c>
      <c r="G25" s="17"/>
      <c r="H25" s="17" t="str">
        <f t="shared" si="3"/>
        <v/>
      </c>
      <c r="I25" s="16" t="str">
        <f t="shared" si="1"/>
        <v/>
      </c>
      <c r="J25" s="99"/>
      <c r="K25" s="7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2"/>
        <v/>
      </c>
      <c r="G26" s="13"/>
      <c r="H26" s="13" t="str">
        <f t="shared" si="3"/>
        <v/>
      </c>
      <c r="I26" s="14" t="str">
        <f t="shared" si="1"/>
        <v/>
      </c>
      <c r="J26" s="69"/>
      <c r="K26" s="69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2"/>
        <v/>
      </c>
      <c r="G27" s="17"/>
      <c r="H27" s="17" t="str">
        <f t="shared" si="3"/>
        <v/>
      </c>
      <c r="I27" s="16" t="str">
        <f t="shared" si="1"/>
        <v/>
      </c>
      <c r="J27" s="99"/>
      <c r="K27" s="7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2"/>
        <v/>
      </c>
      <c r="G28" s="13"/>
      <c r="H28" s="13" t="str">
        <f t="shared" si="3"/>
        <v/>
      </c>
      <c r="I28" s="14" t="str">
        <f t="shared" si="1"/>
        <v/>
      </c>
      <c r="J28" s="69"/>
      <c r="K28" s="69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2"/>
        <v/>
      </c>
      <c r="G29" s="17"/>
      <c r="H29" s="17" t="str">
        <f t="shared" si="3"/>
        <v/>
      </c>
      <c r="I29" s="16" t="str">
        <f t="shared" si="1"/>
        <v/>
      </c>
      <c r="J29" s="99"/>
      <c r="K29" s="7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2"/>
        <v/>
      </c>
      <c r="G30" s="13"/>
      <c r="H30" s="13" t="str">
        <f t="shared" si="3"/>
        <v/>
      </c>
      <c r="I30" s="14" t="str">
        <f t="shared" si="1"/>
        <v/>
      </c>
      <c r="J30" s="69"/>
      <c r="K30" s="69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2"/>
        <v/>
      </c>
      <c r="G31" s="17"/>
      <c r="H31" s="17" t="str">
        <f t="shared" si="3"/>
        <v/>
      </c>
      <c r="I31" s="16" t="str">
        <f t="shared" si="1"/>
        <v/>
      </c>
      <c r="J31" s="99"/>
      <c r="K31" s="7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2"/>
        <v/>
      </c>
      <c r="G32" s="13"/>
      <c r="H32" s="13" t="str">
        <f t="shared" si="3"/>
        <v/>
      </c>
      <c r="I32" s="14" t="str">
        <f t="shared" si="1"/>
        <v/>
      </c>
      <c r="J32" s="69"/>
      <c r="K32" s="69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2"/>
        <v/>
      </c>
      <c r="G33" s="17"/>
      <c r="H33" s="17" t="str">
        <f t="shared" si="3"/>
        <v/>
      </c>
      <c r="I33" s="16" t="str">
        <f t="shared" si="1"/>
        <v/>
      </c>
      <c r="J33" s="99"/>
      <c r="K33" s="7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2"/>
        <v/>
      </c>
      <c r="G34" s="13"/>
      <c r="H34" s="13" t="str">
        <f t="shared" si="3"/>
        <v/>
      </c>
      <c r="I34" s="14" t="str">
        <f t="shared" si="1"/>
        <v/>
      </c>
      <c r="J34" s="69"/>
      <c r="K34" s="69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2"/>
        <v/>
      </c>
      <c r="G35" s="17"/>
      <c r="H35" s="17" t="str">
        <f t="shared" si="3"/>
        <v/>
      </c>
      <c r="I35" s="16" t="str">
        <f t="shared" si="1"/>
        <v/>
      </c>
      <c r="J35" s="99"/>
      <c r="K35" s="7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2"/>
        <v/>
      </c>
      <c r="G36" s="13"/>
      <c r="H36" s="13" t="str">
        <f t="shared" si="3"/>
        <v/>
      </c>
      <c r="I36" s="14" t="str">
        <f t="shared" si="1"/>
        <v/>
      </c>
      <c r="J36" s="69"/>
      <c r="K36" s="69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2"/>
        <v/>
      </c>
      <c r="G37" s="17"/>
      <c r="H37" s="17" t="str">
        <f t="shared" si="3"/>
        <v/>
      </c>
      <c r="I37" s="16" t="str">
        <f t="shared" si="1"/>
        <v/>
      </c>
      <c r="J37" s="99"/>
      <c r="K37" s="7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2"/>
        <v/>
      </c>
      <c r="G38" s="13"/>
      <c r="H38" s="13" t="str">
        <f t="shared" si="3"/>
        <v/>
      </c>
      <c r="I38" s="14" t="str">
        <f t="shared" si="1"/>
        <v/>
      </c>
      <c r="J38" s="69"/>
      <c r="K38" s="69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2"/>
        <v/>
      </c>
      <c r="G39" s="17"/>
      <c r="H39" s="17" t="str">
        <f t="shared" si="3"/>
        <v/>
      </c>
      <c r="I39" s="16" t="str">
        <f t="shared" si="1"/>
        <v/>
      </c>
      <c r="J39" s="99"/>
      <c r="K39" s="7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2"/>
        <v/>
      </c>
      <c r="G40" s="13"/>
      <c r="H40" s="13" t="str">
        <f t="shared" si="3"/>
        <v/>
      </c>
      <c r="I40" s="14" t="str">
        <f t="shared" si="1"/>
        <v/>
      </c>
      <c r="J40" s="69"/>
      <c r="K40" s="69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2"/>
        <v/>
      </c>
      <c r="G41" s="17"/>
      <c r="H41" s="17" t="str">
        <f t="shared" si="3"/>
        <v/>
      </c>
      <c r="I41" s="16" t="str">
        <f t="shared" si="1"/>
        <v/>
      </c>
      <c r="J41" s="99"/>
      <c r="K41" s="7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2"/>
        <v/>
      </c>
      <c r="G42" s="13"/>
      <c r="H42" s="13" t="str">
        <f t="shared" si="3"/>
        <v/>
      </c>
      <c r="I42" s="14" t="str">
        <f t="shared" si="1"/>
        <v/>
      </c>
      <c r="J42" s="69"/>
      <c r="K42" s="69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2"/>
        <v/>
      </c>
      <c r="G43" s="17"/>
      <c r="H43" s="17" t="str">
        <f t="shared" si="3"/>
        <v/>
      </c>
      <c r="I43" s="16" t="str">
        <f t="shared" si="1"/>
        <v/>
      </c>
      <c r="J43" s="99"/>
      <c r="K43" s="7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2"/>
        <v/>
      </c>
      <c r="G44" s="13"/>
      <c r="H44" s="13" t="str">
        <f t="shared" si="3"/>
        <v/>
      </c>
      <c r="I44" s="14" t="str">
        <f t="shared" si="1"/>
        <v/>
      </c>
      <c r="J44" s="69"/>
      <c r="K44" s="69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2"/>
        <v/>
      </c>
      <c r="G45" s="17"/>
      <c r="H45" s="17" t="str">
        <f t="shared" si="3"/>
        <v/>
      </c>
      <c r="I45" s="16" t="str">
        <f t="shared" si="1"/>
        <v/>
      </c>
      <c r="J45" s="99"/>
      <c r="K45" s="7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2"/>
        <v/>
      </c>
      <c r="G46" s="13"/>
      <c r="H46" s="13" t="str">
        <f t="shared" si="3"/>
        <v/>
      </c>
      <c r="I46" s="14" t="str">
        <f t="shared" si="1"/>
        <v/>
      </c>
      <c r="J46" s="69"/>
      <c r="K46" s="69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2"/>
        <v/>
      </c>
      <c r="G47" s="17"/>
      <c r="H47" s="17" t="str">
        <f t="shared" si="3"/>
        <v/>
      </c>
      <c r="I47" s="16" t="str">
        <f t="shared" si="1"/>
        <v/>
      </c>
      <c r="J47" s="99"/>
      <c r="K47" s="9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2"/>
        <v/>
      </c>
      <c r="G48" s="13"/>
      <c r="H48" s="13" t="str">
        <f t="shared" si="3"/>
        <v/>
      </c>
      <c r="I48" s="14" t="str">
        <f t="shared" si="1"/>
        <v/>
      </c>
      <c r="J48" s="69"/>
      <c r="K48" s="69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2"/>
        <v/>
      </c>
      <c r="G49" s="17"/>
      <c r="H49" s="17" t="str">
        <f t="shared" si="3"/>
        <v/>
      </c>
      <c r="I49" s="16" t="str">
        <f t="shared" si="1"/>
        <v/>
      </c>
      <c r="J49" s="99"/>
      <c r="K49" s="7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2"/>
        <v/>
      </c>
      <c r="G50" s="13"/>
      <c r="H50" s="13" t="str">
        <f t="shared" si="3"/>
        <v/>
      </c>
      <c r="I50" s="14" t="str">
        <f t="shared" si="1"/>
        <v/>
      </c>
      <c r="J50" s="69"/>
      <c r="K50" s="69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2"/>
        <v/>
      </c>
      <c r="G51" s="17"/>
      <c r="H51" s="17" t="str">
        <f t="shared" si="3"/>
        <v/>
      </c>
      <c r="I51" s="16" t="str">
        <f t="shared" si="1"/>
        <v/>
      </c>
      <c r="J51" s="99"/>
      <c r="K51" s="7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2"/>
        <v/>
      </c>
      <c r="G52" s="13"/>
      <c r="H52" s="13" t="str">
        <f t="shared" si="3"/>
        <v/>
      </c>
      <c r="I52" s="14" t="str">
        <f t="shared" si="1"/>
        <v/>
      </c>
      <c r="J52" s="69"/>
      <c r="K52" s="69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2"/>
        <v/>
      </c>
      <c r="G53" s="17"/>
      <c r="H53" s="17" t="str">
        <f t="shared" si="3"/>
        <v/>
      </c>
      <c r="I53" s="16" t="str">
        <f t="shared" si="1"/>
        <v/>
      </c>
      <c r="J53" s="99"/>
      <c r="K53" s="7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2"/>
        <v/>
      </c>
      <c r="G54" s="13"/>
      <c r="H54" s="13" t="str">
        <f t="shared" si="3"/>
        <v/>
      </c>
      <c r="I54" s="14" t="str">
        <f t="shared" si="1"/>
        <v/>
      </c>
      <c r="J54" s="69"/>
      <c r="K54" s="69"/>
    </row>
    <row r="55" spans="1:11" ht="41.25" customHeight="1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2"/>
        <v/>
      </c>
      <c r="G55" s="17"/>
      <c r="H55" s="17" t="str">
        <f t="shared" si="3"/>
        <v/>
      </c>
      <c r="I55" s="16" t="str">
        <f t="shared" si="1"/>
        <v/>
      </c>
      <c r="J55" s="99"/>
      <c r="K55" s="72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2"/>
        <v/>
      </c>
      <c r="G56" s="13"/>
      <c r="H56" s="13" t="str">
        <f t="shared" si="3"/>
        <v/>
      </c>
      <c r="I56" s="14" t="str">
        <f t="shared" si="1"/>
        <v/>
      </c>
      <c r="J56" s="69"/>
      <c r="K56" s="69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2"/>
        <v/>
      </c>
      <c r="G57" s="17"/>
      <c r="H57" s="17" t="str">
        <f t="shared" si="3"/>
        <v/>
      </c>
      <c r="I57" s="16" t="str">
        <f t="shared" si="1"/>
        <v/>
      </c>
      <c r="J57" s="99"/>
      <c r="K57" s="7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2"/>
        <v/>
      </c>
      <c r="G58" s="13"/>
      <c r="H58" s="13" t="str">
        <f t="shared" si="3"/>
        <v/>
      </c>
      <c r="I58" s="14" t="str">
        <f t="shared" si="1"/>
        <v/>
      </c>
      <c r="J58" s="69"/>
      <c r="K58" s="69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2"/>
        <v/>
      </c>
      <c r="G59" s="17"/>
      <c r="H59" s="17" t="str">
        <f t="shared" si="3"/>
        <v/>
      </c>
      <c r="I59" s="16" t="str">
        <f t="shared" si="1"/>
        <v/>
      </c>
      <c r="J59" s="99"/>
      <c r="K59" s="72"/>
    </row>
    <row r="60" spans="1:11" ht="37.5" customHeight="1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2"/>
        <v/>
      </c>
      <c r="G60" s="13"/>
      <c r="H60" s="13" t="str">
        <f t="shared" si="3"/>
        <v/>
      </c>
      <c r="I60" s="14" t="str">
        <f t="shared" si="1"/>
        <v/>
      </c>
      <c r="J60" s="71"/>
      <c r="K60" s="69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2"/>
        <v/>
      </c>
      <c r="G61" s="17"/>
      <c r="H61" s="17" t="str">
        <f t="shared" si="3"/>
        <v/>
      </c>
      <c r="I61" s="16" t="str">
        <f t="shared" si="1"/>
        <v/>
      </c>
      <c r="J61" s="99"/>
      <c r="K61" s="7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2"/>
        <v/>
      </c>
      <c r="G62" s="13"/>
      <c r="H62" s="13" t="str">
        <f t="shared" si="3"/>
        <v/>
      </c>
      <c r="I62" s="14" t="str">
        <f t="shared" si="1"/>
        <v/>
      </c>
      <c r="J62" s="69"/>
      <c r="K62" s="69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2"/>
        <v/>
      </c>
      <c r="G63" s="17"/>
      <c r="H63" s="17" t="str">
        <f t="shared" si="3"/>
        <v/>
      </c>
      <c r="I63" s="16" t="str">
        <f t="shared" si="1"/>
        <v/>
      </c>
      <c r="J63" s="99"/>
      <c r="K63" s="72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2"/>
        <v/>
      </c>
      <c r="G64" s="13"/>
      <c r="H64" s="13" t="str">
        <f t="shared" si="3"/>
        <v/>
      </c>
      <c r="I64" s="14" t="str">
        <f t="shared" si="1"/>
        <v/>
      </c>
      <c r="J64" s="69"/>
      <c r="K64" s="69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1"/>
        <v/>
      </c>
      <c r="J65" s="99"/>
      <c r="K65" s="72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2"/>
        <v/>
      </c>
      <c r="G66" s="13"/>
      <c r="H66" s="13" t="str">
        <f t="shared" si="3"/>
        <v/>
      </c>
      <c r="I66" s="14" t="str">
        <f t="shared" si="1"/>
        <v/>
      </c>
      <c r="J66" s="69"/>
      <c r="K66" s="69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2"/>
        <v/>
      </c>
      <c r="G67" s="17"/>
      <c r="H67" s="17" t="str">
        <f t="shared" si="3"/>
        <v/>
      </c>
      <c r="I67" s="16" t="str">
        <f t="shared" si="1"/>
        <v/>
      </c>
      <c r="J67" s="99"/>
      <c r="K67" s="7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 t="shared" si="0"/>
        <v/>
      </c>
      <c r="F68" s="12" t="str">
        <f t="shared" si="2"/>
        <v/>
      </c>
      <c r="G68" s="13"/>
      <c r="H68" s="13" t="str">
        <f t="shared" si="3"/>
        <v/>
      </c>
      <c r="I68" s="14" t="str">
        <f t="shared" si="1"/>
        <v/>
      </c>
      <c r="J68" s="69"/>
      <c r="K68" s="69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" si="4">IF(AND(ISNUMBER(C69),ISNUMBER(D69)), C69-D69, "")</f>
        <v/>
      </c>
      <c r="F69" s="16" t="str">
        <f t="shared" si="2"/>
        <v/>
      </c>
      <c r="G69" s="17"/>
      <c r="H69" s="17" t="str">
        <f t="shared" ref="H69" si="5">IF(AND(ISNUMBER(C69),ISNUMBER(G69)), C69-G69, "")</f>
        <v/>
      </c>
      <c r="I69" s="16" t="str">
        <f t="shared" ref="I69" si="6">IFERROR(H69/G69, "")</f>
        <v/>
      </c>
      <c r="J69" s="49"/>
      <c r="K69" s="55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0"/>
        <v/>
      </c>
      <c r="F70" s="12" t="str">
        <f t="shared" si="2"/>
        <v/>
      </c>
      <c r="G70" s="13"/>
      <c r="H70" s="13" t="str">
        <f t="shared" si="3"/>
        <v/>
      </c>
      <c r="I70" s="14" t="str">
        <f t="shared" si="1"/>
        <v/>
      </c>
      <c r="J70" s="69"/>
      <c r="K70" s="69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ref="E71:E84" si="7">IF(AND(ISNUMBER(C71),ISNUMBER(D71)), C71-D71, "")</f>
        <v/>
      </c>
      <c r="F71" s="16" t="str">
        <f t="shared" ref="F71:F85" si="8">IFERROR(E71/D71, "")</f>
        <v/>
      </c>
      <c r="G71" s="17"/>
      <c r="H71" s="17" t="str">
        <f t="shared" ref="H71:H84" si="9">IF(AND(ISNUMBER(C71),ISNUMBER(G71)), C71-G71, "")</f>
        <v/>
      </c>
      <c r="I71" s="16" t="str">
        <f t="shared" ref="I71:I84" si="10">IFERROR(H71/G71, "")</f>
        <v/>
      </c>
      <c r="J71" s="99"/>
      <c r="K71" s="72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7"/>
        <v/>
      </c>
      <c r="F72" s="12" t="str">
        <f t="shared" si="8"/>
        <v/>
      </c>
      <c r="G72" s="13"/>
      <c r="H72" s="13" t="str">
        <f t="shared" si="9"/>
        <v/>
      </c>
      <c r="I72" s="14" t="str">
        <f t="shared" si="10"/>
        <v/>
      </c>
      <c r="J72" s="69"/>
      <c r="K72" s="69"/>
    </row>
    <row r="73" spans="1:11" ht="15.6">
      <c r="A73" s="27" t="str">
        <v>Fairfield</v>
      </c>
      <c r="B73" s="28" t="str">
        <v>CA</v>
      </c>
      <c r="C73" s="10"/>
      <c r="D73" s="15"/>
      <c r="E73" s="15" t="str">
        <f t="shared" si="7"/>
        <v/>
      </c>
      <c r="F73" s="16" t="str">
        <f t="shared" si="8"/>
        <v/>
      </c>
      <c r="G73" s="17"/>
      <c r="H73" s="17" t="str">
        <f t="shared" si="9"/>
        <v/>
      </c>
      <c r="I73" s="16" t="str">
        <f t="shared" si="10"/>
        <v/>
      </c>
      <c r="J73" s="99"/>
      <c r="K73" s="70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7"/>
        <v/>
      </c>
      <c r="F74" s="12" t="str">
        <f t="shared" si="8"/>
        <v/>
      </c>
      <c r="G74" s="13"/>
      <c r="H74" s="13" t="str">
        <f t="shared" si="9"/>
        <v/>
      </c>
      <c r="I74" s="14" t="str">
        <f t="shared" si="10"/>
        <v/>
      </c>
      <c r="J74" s="69"/>
      <c r="K74" s="69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7"/>
        <v/>
      </c>
      <c r="F75" s="16" t="str">
        <f t="shared" si="8"/>
        <v/>
      </c>
      <c r="G75" s="17"/>
      <c r="H75" s="17" t="str">
        <f t="shared" si="9"/>
        <v/>
      </c>
      <c r="I75" s="16" t="str">
        <f t="shared" si="10"/>
        <v/>
      </c>
      <c r="J75" s="99"/>
      <c r="K75" s="72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7"/>
        <v/>
      </c>
      <c r="F76" s="12" t="str">
        <f t="shared" si="8"/>
        <v/>
      </c>
      <c r="G76" s="13"/>
      <c r="H76" s="13" t="str">
        <f t="shared" si="9"/>
        <v/>
      </c>
      <c r="I76" s="14" t="str">
        <f t="shared" si="10"/>
        <v/>
      </c>
      <c r="J76" s="69"/>
      <c r="K76" s="69"/>
    </row>
    <row r="77" spans="1:11" ht="15.6">
      <c r="A77" s="27" t="str">
        <v>N Black Canyon Hwy, Phoenix - North</v>
      </c>
      <c r="B77" s="28" t="str">
        <v>AZ</v>
      </c>
      <c r="C77" s="10"/>
      <c r="D77" s="15"/>
      <c r="E77" s="15" t="str">
        <f t="shared" si="7"/>
        <v/>
      </c>
      <c r="F77" s="16" t="str">
        <f t="shared" si="8"/>
        <v/>
      </c>
      <c r="G77" s="17"/>
      <c r="H77" s="17" t="str">
        <f t="shared" si="9"/>
        <v/>
      </c>
      <c r="I77" s="16" t="str">
        <f t="shared" si="10"/>
        <v/>
      </c>
      <c r="J77" s="99"/>
      <c r="K77" s="72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7"/>
        <v/>
      </c>
      <c r="F78" s="12" t="str">
        <f t="shared" si="8"/>
        <v/>
      </c>
      <c r="G78" s="13"/>
      <c r="H78" s="13" t="str">
        <f t="shared" si="9"/>
        <v/>
      </c>
      <c r="I78" s="14" t="str">
        <f t="shared" si="10"/>
        <v/>
      </c>
      <c r="J78" s="69"/>
      <c r="K78" s="69"/>
    </row>
    <row r="79" spans="1:11" ht="15.6">
      <c r="A79" s="27" t="str">
        <v xml:space="preserve"> Building 2222, Rose Garden Ln, Phoenix</v>
      </c>
      <c r="B79" s="28" t="str">
        <v>AZ</v>
      </c>
      <c r="C79" s="10"/>
      <c r="D79" s="15"/>
      <c r="E79" s="15" t="str">
        <f t="shared" si="7"/>
        <v/>
      </c>
      <c r="F79" s="16" t="str">
        <f t="shared" si="8"/>
        <v/>
      </c>
      <c r="G79" s="17"/>
      <c r="H79" s="17" t="str">
        <f t="shared" si="9"/>
        <v/>
      </c>
      <c r="I79" s="16" t="str">
        <f t="shared" si="10"/>
        <v/>
      </c>
      <c r="J79" s="99"/>
      <c r="K79" s="72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7"/>
        <v/>
      </c>
      <c r="F80" s="12" t="str">
        <f t="shared" si="8"/>
        <v/>
      </c>
      <c r="G80" s="13"/>
      <c r="H80" s="13" t="str">
        <f t="shared" si="9"/>
        <v/>
      </c>
      <c r="I80" s="14" t="str">
        <f t="shared" si="10"/>
        <v/>
      </c>
      <c r="J80" s="69"/>
      <c r="K80" s="69"/>
    </row>
    <row r="81" spans="1:11" ht="15.6">
      <c r="A81" s="27" t="str">
        <v xml:space="preserve"> 99TH Ave &amp; BELL</v>
      </c>
      <c r="B81" s="28" t="str">
        <v>AZ</v>
      </c>
      <c r="C81" s="10"/>
      <c r="D81" s="15"/>
      <c r="E81" s="15" t="str">
        <f t="shared" si="7"/>
        <v/>
      </c>
      <c r="F81" s="16" t="str">
        <f t="shared" si="8"/>
        <v/>
      </c>
      <c r="G81" s="17"/>
      <c r="H81" s="17" t="str">
        <f t="shared" si="9"/>
        <v/>
      </c>
      <c r="I81" s="16" t="str">
        <f t="shared" si="10"/>
        <v/>
      </c>
      <c r="J81" s="99"/>
      <c r="K81" s="72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7"/>
        <v/>
      </c>
      <c r="F82" s="12" t="str">
        <f t="shared" si="8"/>
        <v/>
      </c>
      <c r="G82" s="13"/>
      <c r="H82" s="13" t="str">
        <f t="shared" si="9"/>
        <v/>
      </c>
      <c r="I82" s="14" t="str">
        <f t="shared" si="10"/>
        <v/>
      </c>
      <c r="J82" s="69"/>
      <c r="K82" s="69"/>
    </row>
    <row r="83" spans="1:11" ht="15.6">
      <c r="A83" s="27" t="str">
        <v>Tucson Main Parking Garage</v>
      </c>
      <c r="B83" s="28" t="str">
        <v>AZ</v>
      </c>
      <c r="C83" s="10"/>
      <c r="D83" s="15"/>
      <c r="E83" s="15" t="str">
        <f t="shared" si="7"/>
        <v/>
      </c>
      <c r="F83" s="16" t="str">
        <f t="shared" si="8"/>
        <v/>
      </c>
      <c r="G83" s="17"/>
      <c r="H83" s="17" t="str">
        <f t="shared" si="9"/>
        <v/>
      </c>
      <c r="I83" s="16" t="str">
        <f t="shared" si="10"/>
        <v/>
      </c>
      <c r="J83" s="99"/>
      <c r="K83" s="72"/>
    </row>
    <row r="84" spans="1:11" ht="15.6">
      <c r="A84" s="25"/>
      <c r="B84" s="26"/>
      <c r="C84" s="21"/>
      <c r="D84" s="11"/>
      <c r="E84" s="11" t="str">
        <f t="shared" si="7"/>
        <v/>
      </c>
      <c r="F84" s="12" t="str">
        <f t="shared" si="8"/>
        <v/>
      </c>
      <c r="G84" s="13"/>
      <c r="H84" s="13" t="str">
        <f t="shared" si="9"/>
        <v/>
      </c>
      <c r="I84" s="14" t="str">
        <f t="shared" si="10"/>
        <v/>
      </c>
      <c r="J84" s="69"/>
      <c r="K84" s="69"/>
    </row>
    <row r="85" spans="1:11" ht="14.45">
      <c r="A85" s="18"/>
      <c r="B85" s="30"/>
      <c r="C85" s="18"/>
      <c r="D85" s="18"/>
      <c r="E85" s="18"/>
      <c r="F85" s="16" t="str">
        <f t="shared" si="8"/>
        <v/>
      </c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88" t="str" cm="1">
        <f t="array" ref="A1">portfolio</f>
        <v>Wells Fargo</v>
      </c>
      <c r="B1" s="88"/>
      <c r="C1" s="88"/>
      <c r="D1" s="89" t="s">
        <v>86</v>
      </c>
      <c r="E1" s="89"/>
      <c r="F1" s="89"/>
      <c r="G1" s="87" t="s">
        <v>87</v>
      </c>
      <c r="H1" s="87"/>
      <c r="I1" s="87"/>
      <c r="J1" s="3"/>
      <c r="K1" s="3"/>
    </row>
    <row r="2" spans="1:11" ht="19.5" customHeight="1">
      <c r="A2" s="98" t="s">
        <v>2</v>
      </c>
      <c r="B2" s="98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20</v>
      </c>
      <c r="K3" s="22" t="s">
        <v>21</v>
      </c>
    </row>
    <row r="4" spans="1:11" ht="15.6">
      <c r="A4" s="29" t="str" cm="1">
        <f t="array" ref="A4:A83">Sites[Site]</f>
        <v>Adams &amp; Broadway</v>
      </c>
      <c r="B4" s="26" t="str" cm="1">
        <f t="array" ref="B4:B83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98th &amp; Grant</v>
      </c>
      <c r="B8" s="26" t="str">
        <v>CO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Arapahoe Crossings</v>
      </c>
      <c r="B9" s="28" t="str">
        <v>CO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Aurora City Center</v>
      </c>
      <c r="B10" s="26" t="str">
        <v>CO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Dry Creek</v>
      </c>
      <c r="B11" s="28" t="str">
        <v>CO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Highlands Ranch S.</v>
      </c>
      <c r="B12" s="26" t="str">
        <v>CO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Lone Tree</v>
      </c>
      <c r="B13" s="28" t="str">
        <v>CO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Meridian</v>
      </c>
      <c r="B14" s="26" t="str">
        <v>CO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Southglenn</v>
      </c>
      <c r="B15" s="28" t="str">
        <v>CO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Standley Lake</v>
      </c>
      <c r="B16" s="26" t="str">
        <v>CO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Havana Gardens</v>
      </c>
      <c r="B17" s="28" t="str">
        <v>CO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East Hartford</v>
      </c>
      <c r="B18" s="26" t="str">
        <v>CT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Norwalk</v>
      </c>
      <c r="B19" s="28" t="str">
        <v>CT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9"/>
      <c r="K19" s="99"/>
    </row>
    <row r="20" spans="1:11" ht="15.6">
      <c r="A20" s="25" t="str">
        <v>Hialeah Gardens</v>
      </c>
      <c r="B20" s="26" t="str">
        <v>FL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W. Des Moines Campus EAST</v>
      </c>
      <c r="B21" s="28" t="str">
        <v>IA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W. Des Moines Campus SW</v>
      </c>
      <c r="B22" s="26" t="str">
        <v>IA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WF - CIC</v>
      </c>
      <c r="B23" s="28" t="str">
        <v>NC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Charlotte - Wells Fargo - DUC</v>
      </c>
      <c r="B24" s="26" t="str">
        <v>NC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East Windsor</v>
      </c>
      <c r="B25" s="28" t="str">
        <v>NJ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Burlington</v>
      </c>
      <c r="B26" s="26" t="str">
        <v>NJ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Bayonne</v>
      </c>
      <c r="B27" s="28" t="str">
        <v>NJ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Clifton</v>
      </c>
      <c r="B28" s="26" t="str">
        <v>NJ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North Elizabeth</v>
      </c>
      <c r="B29" s="28" t="str">
        <v>NJ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Haddon Westmont Plaza</v>
      </c>
      <c r="B30" s="26" t="str">
        <v>NJ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Parsippany</v>
      </c>
      <c r="B31" s="28" t="str">
        <v>NJ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Clark</v>
      </c>
      <c r="B32" s="26" t="str">
        <v>NJ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Closter</v>
      </c>
      <c r="B33" s="28" t="str">
        <v>NJ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Holmdel</v>
      </c>
      <c r="B34" s="26" t="str">
        <v>NJ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Ellisburg Circle Center</v>
      </c>
      <c r="B35" s="28" t="str">
        <v>NJ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Nutley</v>
      </c>
      <c r="B36" s="26" t="str">
        <v>NJ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Marlton</v>
      </c>
      <c r="B37" s="28" t="str">
        <v>NJ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Middletown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Whiting Crestwood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Barnegat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Manchester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West Deptford - Woodbury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Edison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Flemington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Route 22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Laurelton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Mahwah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9"/>
      <c r="K47" s="99"/>
    </row>
    <row r="48" spans="1:11" ht="15.6">
      <c r="A48" s="25" t="str">
        <v>Franklin Township WF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Bordentown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South Plainfield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Somerset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Clinton Main Relo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North Brunswick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Cherry Hill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Hainesport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9"/>
      <c r="K55" s="72"/>
    </row>
    <row r="56" spans="1:11" ht="15.6">
      <c r="A56" s="25" t="str">
        <v>San Antonio - Ops Ctr (Bldg 106)</v>
      </c>
      <c r="B56" s="26" t="str">
        <v>TX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San Antonio - Ops Ctr GM</v>
      </c>
      <c r="B57" s="28" t="str">
        <v>TX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San Antonio - Ctr (Bldg 201)</v>
      </c>
      <c r="B58" s="26" t="str">
        <v>TX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San Antonio - Ops Ctr (Bldg 203)</v>
      </c>
      <c r="B59" s="28" t="str">
        <v>TX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San Antonio - Ops Ctr (Bldg 205)</v>
      </c>
      <c r="B60" s="26" t="str">
        <v>TX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San Antonio - Ops Ctr (Bldg 307)</v>
      </c>
      <c r="B61" s="28" t="str">
        <v>TX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San Antonio - Ctr (Bldg 308)</v>
      </c>
      <c r="B62" s="26" t="str">
        <v>TX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San Antonio - Ops Ctr (Bldg 104)</v>
      </c>
      <c r="B63" s="28" t="str">
        <v>TX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6">
      <c r="A64" s="25" t="str">
        <v>San Antonio - Ops Ctr (Bldg 102)</v>
      </c>
      <c r="B64" s="26" t="str">
        <v>TX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Lodi - Lodi Vineyard</v>
      </c>
      <c r="B65" s="28" t="str">
        <v>CA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Arden Fair Mall</v>
      </c>
      <c r="B66" s="26" t="str">
        <v>CA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Modesto - Modesto Main</v>
      </c>
      <c r="B67" s="28" t="str">
        <v>CA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Stevens Creek</v>
      </c>
      <c r="B68" s="26" t="str">
        <v>CA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71"/>
      <c r="K68" s="71"/>
    </row>
    <row r="69" spans="1:11" ht="15.6">
      <c r="A69" s="27" t="str">
        <v>Covina Main</v>
      </c>
      <c r="B69" s="28" t="str">
        <v>CA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6">
      <c r="A70" s="25" t="str">
        <v>Old Ranch Town Center</v>
      </c>
      <c r="B70" s="26" t="str">
        <v>CA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Mountain Gate Plaza</v>
      </c>
      <c r="B71" s="28" t="str">
        <v>CA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6">
      <c r="A72" s="25" t="str">
        <v>Arcadia Main</v>
      </c>
      <c r="B72" s="26" t="str">
        <v>CA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6">
      <c r="A73" s="27" t="str">
        <v>Fairfield</v>
      </c>
      <c r="B73" s="28" t="str">
        <v>CA</v>
      </c>
      <c r="C73" s="73"/>
      <c r="D73" s="15"/>
      <c r="E73" s="15" t="str">
        <f t="shared" si="4"/>
        <v/>
      </c>
      <c r="F73" s="16" t="str">
        <f t="shared" si="7"/>
        <v/>
      </c>
      <c r="G73" s="74"/>
      <c r="H73" s="17" t="str">
        <f t="shared" si="5"/>
        <v/>
      </c>
      <c r="I73" s="16" t="str">
        <f t="shared" si="6"/>
        <v/>
      </c>
      <c r="J73" s="49"/>
      <c r="K73" s="49"/>
    </row>
    <row r="74" spans="1:11" ht="15.6">
      <c r="A74" s="25" t="str">
        <v>Los Gatos</v>
      </c>
      <c r="B74" s="26" t="str">
        <v>CA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6">
      <c r="A75" s="27" t="str">
        <v>San Marino</v>
      </c>
      <c r="B75" s="28" t="str">
        <v>CA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6">
      <c r="A76" s="25" t="str">
        <v>Buenaventura</v>
      </c>
      <c r="B76" s="26" t="str">
        <v>CA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6">
      <c r="A77" s="27" t="str">
        <v>N Black Canyon Hwy, Phoenix - North</v>
      </c>
      <c r="B77" s="28" t="str">
        <v>AZ</v>
      </c>
      <c r="C77" s="73"/>
      <c r="D77" s="15"/>
      <c r="E77" s="15" t="str">
        <f t="shared" si="4"/>
        <v/>
      </c>
      <c r="F77" s="16" t="str">
        <f t="shared" si="7"/>
        <v/>
      </c>
      <c r="G77" s="74"/>
      <c r="H77" s="17" t="str">
        <f t="shared" si="5"/>
        <v/>
      </c>
      <c r="I77" s="16" t="str">
        <f t="shared" si="6"/>
        <v/>
      </c>
      <c r="J77" s="39"/>
      <c r="K77" s="39"/>
    </row>
    <row r="78" spans="1:11" ht="15.6">
      <c r="A78" s="25" t="str">
        <v>N Black Canyon Hwy, Phoenix - South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6">
      <c r="A79" s="27" t="str">
        <v xml:space="preserve"> Building 2222, Rose Garden Ln, Phoenix</v>
      </c>
      <c r="B79" s="28" t="str">
        <v>AZ</v>
      </c>
      <c r="C79" s="73"/>
      <c r="D79" s="15"/>
      <c r="E79" s="15" t="str">
        <f t="shared" si="4"/>
        <v/>
      </c>
      <c r="F79" s="16" t="str">
        <f t="shared" si="7"/>
        <v/>
      </c>
      <c r="G79" s="74"/>
      <c r="H79" s="17" t="str">
        <f t="shared" si="5"/>
        <v/>
      </c>
      <c r="I79" s="16" t="str">
        <f t="shared" si="6"/>
        <v/>
      </c>
      <c r="J79" s="39"/>
      <c r="K79" s="39"/>
    </row>
    <row r="80" spans="1:11" ht="15.6">
      <c r="A80" s="25" t="str">
        <v xml:space="preserve"> Building 2202,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6">
      <c r="A81" s="27" t="str">
        <v xml:space="preserve"> 99TH Ave &amp; BELL</v>
      </c>
      <c r="B81" s="28" t="str">
        <v>AZ</v>
      </c>
      <c r="C81" s="73"/>
      <c r="D81" s="15"/>
      <c r="E81" s="15" t="str">
        <f t="shared" si="4"/>
        <v/>
      </c>
      <c r="F81" s="16" t="str">
        <f t="shared" si="7"/>
        <v/>
      </c>
      <c r="G81" s="74"/>
      <c r="H81" s="17" t="str">
        <f t="shared" si="5"/>
        <v/>
      </c>
      <c r="I81" s="16" t="str">
        <f t="shared" si="6"/>
        <v/>
      </c>
      <c r="J81" s="39"/>
      <c r="K81" s="39"/>
    </row>
    <row r="82" spans="1:11" ht="15.6">
      <c r="A82" s="25" t="str">
        <v>Rincon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6">
      <c r="A83" s="27" t="str">
        <v>Tucson Main Parking Garage</v>
      </c>
      <c r="B83" s="28" t="str">
        <v>AZ</v>
      </c>
      <c r="C83" s="73"/>
      <c r="D83" s="15"/>
      <c r="E83" s="15" t="str">
        <f t="shared" si="4"/>
        <v/>
      </c>
      <c r="F83" s="16" t="str">
        <f t="shared" si="7"/>
        <v/>
      </c>
      <c r="G83" s="74"/>
      <c r="H83" s="17" t="str">
        <f t="shared" si="5"/>
        <v/>
      </c>
      <c r="I83" s="16" t="str">
        <f t="shared" si="6"/>
        <v/>
      </c>
      <c r="J83" s="39"/>
      <c r="K83" s="39"/>
    </row>
    <row r="84" spans="1:11" ht="15.6">
      <c r="A84" s="25"/>
      <c r="B84" s="26"/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4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3"/>
  <sheetViews>
    <sheetView zoomScale="110" zoomScaleNormal="110" workbookViewId="0">
      <pane ySplit="3" topLeftCell="A4" activePane="bottomLeft" state="frozen"/>
      <selection pane="bottomLeft" activeCell="G87" sqref="G87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88</v>
      </c>
      <c r="B1" t="s">
        <v>89</v>
      </c>
    </row>
    <row r="3" spans="1:5" ht="13.15">
      <c r="A3" t="s">
        <v>90</v>
      </c>
      <c r="B3" t="s">
        <v>3</v>
      </c>
      <c r="C3" t="s">
        <v>11</v>
      </c>
      <c r="D3" t="s">
        <v>91</v>
      </c>
      <c r="E3" s="2" t="s">
        <v>92</v>
      </c>
    </row>
    <row r="4" spans="1:5" ht="13.15">
      <c r="A4" s="44" t="s">
        <v>93</v>
      </c>
      <c r="B4" s="46" t="s">
        <v>94</v>
      </c>
      <c r="C4" s="46" t="s">
        <v>95</v>
      </c>
      <c r="D4" t="s">
        <v>96</v>
      </c>
      <c r="E4" s="42" t="s">
        <v>97</v>
      </c>
    </row>
    <row r="5" spans="1:5" ht="13.15">
      <c r="A5" s="45" t="s">
        <v>98</v>
      </c>
      <c r="B5" s="45" t="s">
        <v>99</v>
      </c>
      <c r="C5" s="45" t="s">
        <v>95</v>
      </c>
      <c r="E5" s="42" t="s">
        <v>97</v>
      </c>
    </row>
    <row r="6" spans="1:5" ht="13.15">
      <c r="A6" s="46" t="s">
        <v>100</v>
      </c>
      <c r="B6" s="46" t="s">
        <v>101</v>
      </c>
      <c r="C6" s="46" t="s">
        <v>95</v>
      </c>
      <c r="D6" t="s">
        <v>102</v>
      </c>
      <c r="E6" s="42" t="s">
        <v>97</v>
      </c>
    </row>
    <row r="7" spans="1:5" ht="12.75" customHeight="1">
      <c r="A7" s="45" t="s">
        <v>103</v>
      </c>
      <c r="B7" s="45" t="s">
        <v>104</v>
      </c>
      <c r="C7" s="45" t="s">
        <v>95</v>
      </c>
      <c r="D7" t="s">
        <v>96</v>
      </c>
      <c r="E7" s="42" t="s">
        <v>97</v>
      </c>
    </row>
    <row r="8" spans="1:5" ht="12.75" customHeight="1">
      <c r="A8" s="46" t="s">
        <v>105</v>
      </c>
      <c r="B8" s="46" t="s">
        <v>106</v>
      </c>
      <c r="C8" s="46" t="s">
        <v>107</v>
      </c>
      <c r="D8" t="s">
        <v>96</v>
      </c>
      <c r="E8" s="42" t="s">
        <v>97</v>
      </c>
    </row>
    <row r="9" spans="1:5" ht="12.75" customHeight="1">
      <c r="A9" s="45" t="s">
        <v>108</v>
      </c>
      <c r="B9" s="45" t="s">
        <v>109</v>
      </c>
      <c r="C9" s="45" t="s">
        <v>107</v>
      </c>
      <c r="D9" t="s">
        <v>96</v>
      </c>
      <c r="E9" s="42" t="s">
        <v>97</v>
      </c>
    </row>
    <row r="10" spans="1:5" ht="12.75" customHeight="1">
      <c r="A10" s="46" t="s">
        <v>110</v>
      </c>
      <c r="B10" s="46" t="s">
        <v>111</v>
      </c>
      <c r="C10" s="46" t="s">
        <v>107</v>
      </c>
      <c r="D10" t="s">
        <v>96</v>
      </c>
      <c r="E10" s="42" t="s">
        <v>97</v>
      </c>
    </row>
    <row r="11" spans="1:5" ht="12.75" customHeight="1">
      <c r="A11" s="45" t="s">
        <v>112</v>
      </c>
      <c r="B11" s="45" t="s">
        <v>113</v>
      </c>
      <c r="C11" s="45" t="s">
        <v>107</v>
      </c>
      <c r="D11" t="s">
        <v>102</v>
      </c>
      <c r="E11" s="42" t="s">
        <v>97</v>
      </c>
    </row>
    <row r="12" spans="1:5" ht="12.75" customHeight="1">
      <c r="A12" s="46" t="s">
        <v>114</v>
      </c>
      <c r="B12" s="46" t="s">
        <v>115</v>
      </c>
      <c r="C12" s="46" t="s">
        <v>107</v>
      </c>
      <c r="D12" t="s">
        <v>96</v>
      </c>
      <c r="E12" s="42" t="s">
        <v>97</v>
      </c>
    </row>
    <row r="13" spans="1:5" ht="12.75" customHeight="1">
      <c r="A13" s="45" t="s">
        <v>116</v>
      </c>
      <c r="B13" s="45" t="s">
        <v>117</v>
      </c>
      <c r="C13" s="45" t="s">
        <v>107</v>
      </c>
      <c r="D13" t="s">
        <v>96</v>
      </c>
      <c r="E13" s="42" t="s">
        <v>97</v>
      </c>
    </row>
    <row r="14" spans="1:5" ht="12.75" customHeight="1">
      <c r="A14" s="46" t="s">
        <v>118</v>
      </c>
      <c r="B14" s="46" t="s">
        <v>119</v>
      </c>
      <c r="C14" s="46" t="s">
        <v>107</v>
      </c>
      <c r="D14" t="s">
        <v>96</v>
      </c>
      <c r="E14" s="42" t="s">
        <v>97</v>
      </c>
    </row>
    <row r="15" spans="1:5" ht="12.75" customHeight="1">
      <c r="A15" s="45" t="s">
        <v>120</v>
      </c>
      <c r="B15" s="45" t="s">
        <v>121</v>
      </c>
      <c r="C15" s="45" t="s">
        <v>107</v>
      </c>
      <c r="E15" s="42" t="s">
        <v>97</v>
      </c>
    </row>
    <row r="16" spans="1:5" ht="12.75" customHeight="1">
      <c r="A16" s="46" t="s">
        <v>122</v>
      </c>
      <c r="B16" s="46" t="s">
        <v>123</v>
      </c>
      <c r="C16" s="46" t="s">
        <v>107</v>
      </c>
      <c r="D16" t="s">
        <v>96</v>
      </c>
      <c r="E16" s="42" t="s">
        <v>97</v>
      </c>
    </row>
    <row r="17" spans="1:5" ht="12.75" customHeight="1">
      <c r="A17" s="45" t="s">
        <v>124</v>
      </c>
      <c r="B17" s="45" t="s">
        <v>125</v>
      </c>
      <c r="C17" s="45" t="s">
        <v>107</v>
      </c>
      <c r="D17" t="s">
        <v>96</v>
      </c>
      <c r="E17" s="42" t="s">
        <v>97</v>
      </c>
    </row>
    <row r="18" spans="1:5" ht="12.75" customHeight="1">
      <c r="A18" s="46" t="s">
        <v>126</v>
      </c>
      <c r="B18" s="46" t="s">
        <v>127</v>
      </c>
      <c r="C18" s="46" t="s">
        <v>128</v>
      </c>
      <c r="D18" t="s">
        <v>102</v>
      </c>
      <c r="E18" s="42" t="s">
        <v>97</v>
      </c>
    </row>
    <row r="19" spans="1:5" ht="12.75" customHeight="1">
      <c r="A19" s="45" t="s">
        <v>129</v>
      </c>
      <c r="B19" s="45" t="s">
        <v>130</v>
      </c>
      <c r="C19" s="45" t="s">
        <v>128</v>
      </c>
      <c r="D19" t="s">
        <v>102</v>
      </c>
      <c r="E19" s="42" t="s">
        <v>97</v>
      </c>
    </row>
    <row r="20" spans="1:5" ht="12.75" customHeight="1">
      <c r="A20" s="46" t="s">
        <v>131</v>
      </c>
      <c r="B20" s="46" t="s">
        <v>132</v>
      </c>
      <c r="C20" s="46" t="s">
        <v>133</v>
      </c>
      <c r="D20" t="s">
        <v>102</v>
      </c>
      <c r="E20" s="42" t="s">
        <v>97</v>
      </c>
    </row>
    <row r="21" spans="1:5" ht="12.75" customHeight="1">
      <c r="A21" s="45" t="s">
        <v>134</v>
      </c>
      <c r="B21" s="45" t="s">
        <v>135</v>
      </c>
      <c r="C21" s="45" t="s">
        <v>136</v>
      </c>
      <c r="D21" t="s">
        <v>102</v>
      </c>
      <c r="E21" s="42" t="s">
        <v>97</v>
      </c>
    </row>
    <row r="22" spans="1:5" ht="12.75" customHeight="1">
      <c r="A22" s="45" t="s">
        <v>137</v>
      </c>
      <c r="B22" s="45" t="s">
        <v>138</v>
      </c>
      <c r="C22" s="45" t="s">
        <v>136</v>
      </c>
      <c r="D22" t="s">
        <v>102</v>
      </c>
      <c r="E22" s="42" t="s">
        <v>97</v>
      </c>
    </row>
    <row r="23" spans="1:5" ht="12.75" customHeight="1">
      <c r="A23" s="45" t="s">
        <v>139</v>
      </c>
      <c r="B23" s="45" t="s">
        <v>140</v>
      </c>
      <c r="C23" s="45" t="s">
        <v>141</v>
      </c>
      <c r="E23" s="42" t="s">
        <v>97</v>
      </c>
    </row>
    <row r="24" spans="1:5" ht="12.75" customHeight="1">
      <c r="A24" s="47" t="s">
        <v>142</v>
      </c>
      <c r="B24" s="45" t="s">
        <v>143</v>
      </c>
      <c r="C24" s="45" t="s">
        <v>141</v>
      </c>
      <c r="E24" s="42" t="s">
        <v>97</v>
      </c>
    </row>
    <row r="25" spans="1:5" ht="12.75" customHeight="1">
      <c r="A25" s="45" t="s">
        <v>144</v>
      </c>
      <c r="B25" s="45" t="s">
        <v>145</v>
      </c>
      <c r="C25" s="45" t="s">
        <v>146</v>
      </c>
      <c r="D25" t="s">
        <v>102</v>
      </c>
      <c r="E25" s="42" t="s">
        <v>97</v>
      </c>
    </row>
    <row r="26" spans="1:5" ht="12.75" customHeight="1">
      <c r="A26" s="47" t="s">
        <v>147</v>
      </c>
      <c r="B26" s="45" t="s">
        <v>148</v>
      </c>
      <c r="C26" s="45" t="s">
        <v>146</v>
      </c>
      <c r="D26" t="s">
        <v>102</v>
      </c>
      <c r="E26" s="42" t="s">
        <v>97</v>
      </c>
    </row>
    <row r="27" spans="1:5" ht="12.75" customHeight="1">
      <c r="A27" s="45" t="s">
        <v>149</v>
      </c>
      <c r="B27" s="45" t="s">
        <v>150</v>
      </c>
      <c r="C27" s="45" t="s">
        <v>146</v>
      </c>
      <c r="D27" t="s">
        <v>102</v>
      </c>
      <c r="E27" s="42" t="s">
        <v>97</v>
      </c>
    </row>
    <row r="28" spans="1:5" ht="12.75" customHeight="1">
      <c r="A28" s="47" t="s">
        <v>151</v>
      </c>
      <c r="B28" s="45" t="s">
        <v>152</v>
      </c>
      <c r="C28" s="45" t="s">
        <v>146</v>
      </c>
      <c r="D28" t="s">
        <v>102</v>
      </c>
      <c r="E28" s="42" t="s">
        <v>97</v>
      </c>
    </row>
    <row r="29" spans="1:5" ht="12.75" customHeight="1">
      <c r="A29" s="45" t="s">
        <v>153</v>
      </c>
      <c r="B29" s="45" t="s">
        <v>154</v>
      </c>
      <c r="C29" s="45" t="s">
        <v>146</v>
      </c>
      <c r="D29" t="s">
        <v>102</v>
      </c>
      <c r="E29" s="42" t="s">
        <v>97</v>
      </c>
    </row>
    <row r="30" spans="1:5" ht="12.75" customHeight="1">
      <c r="A30" s="47" t="s">
        <v>155</v>
      </c>
      <c r="B30" s="45" t="s">
        <v>156</v>
      </c>
      <c r="C30" s="45" t="s">
        <v>146</v>
      </c>
      <c r="D30" t="s">
        <v>102</v>
      </c>
      <c r="E30" s="42" t="s">
        <v>97</v>
      </c>
    </row>
    <row r="31" spans="1:5" ht="12.75" customHeight="1">
      <c r="A31" s="45" t="s">
        <v>157</v>
      </c>
      <c r="B31" s="45" t="s">
        <v>158</v>
      </c>
      <c r="C31" s="45" t="s">
        <v>146</v>
      </c>
      <c r="D31" t="s">
        <v>102</v>
      </c>
      <c r="E31" s="42" t="s">
        <v>97</v>
      </c>
    </row>
    <row r="32" spans="1:5" ht="12.75" customHeight="1">
      <c r="A32" s="47" t="s">
        <v>159</v>
      </c>
      <c r="B32" s="45" t="s">
        <v>160</v>
      </c>
      <c r="C32" s="45" t="s">
        <v>146</v>
      </c>
      <c r="D32" t="s">
        <v>102</v>
      </c>
      <c r="E32" s="42" t="s">
        <v>97</v>
      </c>
    </row>
    <row r="33" spans="1:5" ht="12.75" customHeight="1">
      <c r="A33" s="45" t="s">
        <v>161</v>
      </c>
      <c r="B33" s="45" t="s">
        <v>162</v>
      </c>
      <c r="C33" s="45" t="s">
        <v>146</v>
      </c>
      <c r="D33" t="s">
        <v>102</v>
      </c>
      <c r="E33" s="42" t="s">
        <v>97</v>
      </c>
    </row>
    <row r="34" spans="1:5" ht="12.75" customHeight="1">
      <c r="A34" s="47" t="s">
        <v>163</v>
      </c>
      <c r="B34" s="45" t="s">
        <v>164</v>
      </c>
      <c r="C34" s="45" t="s">
        <v>146</v>
      </c>
      <c r="D34" t="s">
        <v>102</v>
      </c>
      <c r="E34" s="42" t="s">
        <v>97</v>
      </c>
    </row>
    <row r="35" spans="1:5" ht="12.75" customHeight="1">
      <c r="A35" s="45" t="s">
        <v>165</v>
      </c>
      <c r="B35" s="45" t="s">
        <v>166</v>
      </c>
      <c r="C35" s="45" t="s">
        <v>146</v>
      </c>
      <c r="D35" t="s">
        <v>102</v>
      </c>
      <c r="E35" s="42" t="s">
        <v>97</v>
      </c>
    </row>
    <row r="36" spans="1:5" ht="12.75" customHeight="1">
      <c r="A36" s="47" t="s">
        <v>167</v>
      </c>
      <c r="B36" s="45" t="s">
        <v>168</v>
      </c>
      <c r="C36" s="45" t="s">
        <v>146</v>
      </c>
      <c r="D36" t="s">
        <v>102</v>
      </c>
      <c r="E36" s="42" t="s">
        <v>97</v>
      </c>
    </row>
    <row r="37" spans="1:5" ht="12.75" customHeight="1">
      <c r="A37" s="45" t="s">
        <v>169</v>
      </c>
      <c r="B37" s="45" t="s">
        <v>170</v>
      </c>
      <c r="C37" s="45" t="s">
        <v>146</v>
      </c>
      <c r="D37" t="s">
        <v>102</v>
      </c>
      <c r="E37" s="42" t="s">
        <v>97</v>
      </c>
    </row>
    <row r="38" spans="1:5" ht="12.75" customHeight="1">
      <c r="A38" s="48" t="s">
        <v>171</v>
      </c>
      <c r="B38" s="45" t="s">
        <v>172</v>
      </c>
      <c r="C38" s="45" t="s">
        <v>146</v>
      </c>
      <c r="D38" t="s">
        <v>102</v>
      </c>
      <c r="E38" s="42" t="s">
        <v>97</v>
      </c>
    </row>
    <row r="39" spans="1:5" ht="12.75" customHeight="1">
      <c r="A39" s="45" t="s">
        <v>173</v>
      </c>
      <c r="B39" s="45" t="s">
        <v>174</v>
      </c>
      <c r="C39" s="45" t="s">
        <v>146</v>
      </c>
      <c r="D39" t="s">
        <v>102</v>
      </c>
      <c r="E39" s="42" t="s">
        <v>97</v>
      </c>
    </row>
    <row r="40" spans="1:5" ht="12.75" customHeight="1">
      <c r="A40" s="47" t="s">
        <v>175</v>
      </c>
      <c r="B40" s="45" t="s">
        <v>176</v>
      </c>
      <c r="C40" s="45" t="s">
        <v>146</v>
      </c>
      <c r="D40" t="s">
        <v>102</v>
      </c>
      <c r="E40" s="42" t="s">
        <v>97</v>
      </c>
    </row>
    <row r="41" spans="1:5" ht="12.75" customHeight="1">
      <c r="A41" s="45" t="s">
        <v>177</v>
      </c>
      <c r="B41" s="45" t="s">
        <v>178</v>
      </c>
      <c r="C41" s="45" t="s">
        <v>146</v>
      </c>
      <c r="D41" t="s">
        <v>102</v>
      </c>
      <c r="E41" s="42" t="s">
        <v>97</v>
      </c>
    </row>
    <row r="42" spans="1:5" ht="12.75" customHeight="1">
      <c r="A42" s="47" t="s">
        <v>179</v>
      </c>
      <c r="B42" s="45" t="s">
        <v>180</v>
      </c>
      <c r="C42" s="45" t="s">
        <v>146</v>
      </c>
      <c r="D42" t="s">
        <v>102</v>
      </c>
      <c r="E42" s="42" t="s">
        <v>97</v>
      </c>
    </row>
    <row r="43" spans="1:5" ht="12.75" customHeight="1">
      <c r="A43" s="45" t="s">
        <v>181</v>
      </c>
      <c r="B43" s="45" t="s">
        <v>182</v>
      </c>
      <c r="C43" s="45" t="s">
        <v>146</v>
      </c>
      <c r="D43" t="s">
        <v>102</v>
      </c>
      <c r="E43" s="42" t="s">
        <v>97</v>
      </c>
    </row>
    <row r="44" spans="1:5" ht="12.75" customHeight="1">
      <c r="A44" s="47" t="s">
        <v>183</v>
      </c>
      <c r="B44" s="45" t="s">
        <v>184</v>
      </c>
      <c r="C44" s="45" t="s">
        <v>146</v>
      </c>
      <c r="D44" t="s">
        <v>102</v>
      </c>
      <c r="E44" s="42" t="s">
        <v>97</v>
      </c>
    </row>
    <row r="45" spans="1:5" ht="12.75" customHeight="1">
      <c r="A45" s="45" t="s">
        <v>185</v>
      </c>
      <c r="B45" s="45" t="s">
        <v>186</v>
      </c>
      <c r="C45" s="45" t="s">
        <v>146</v>
      </c>
      <c r="D45" t="s">
        <v>102</v>
      </c>
      <c r="E45" s="42" t="s">
        <v>97</v>
      </c>
    </row>
    <row r="46" spans="1:5" ht="12.75" customHeight="1">
      <c r="A46" s="45" t="s">
        <v>187</v>
      </c>
      <c r="B46" s="45" t="s">
        <v>188</v>
      </c>
      <c r="C46" s="45" t="s">
        <v>146</v>
      </c>
      <c r="D46" t="s">
        <v>102</v>
      </c>
      <c r="E46" s="42" t="s">
        <v>97</v>
      </c>
    </row>
    <row r="47" spans="1:5" ht="12.75" customHeight="1">
      <c r="A47" s="45" t="s">
        <v>189</v>
      </c>
      <c r="B47" s="45" t="s">
        <v>190</v>
      </c>
      <c r="C47" s="45" t="s">
        <v>146</v>
      </c>
      <c r="D47" t="s">
        <v>102</v>
      </c>
      <c r="E47" s="42" t="s">
        <v>97</v>
      </c>
    </row>
    <row r="48" spans="1:5" ht="12.75" customHeight="1">
      <c r="A48" s="47" t="s">
        <v>191</v>
      </c>
      <c r="B48" s="45" t="s">
        <v>192</v>
      </c>
      <c r="C48" s="45" t="s">
        <v>146</v>
      </c>
      <c r="D48" t="s">
        <v>102</v>
      </c>
      <c r="E48" s="42" t="s">
        <v>97</v>
      </c>
    </row>
    <row r="49" spans="1:5" ht="12.75" customHeight="1">
      <c r="A49" s="45" t="s">
        <v>193</v>
      </c>
      <c r="B49" s="45" t="s">
        <v>194</v>
      </c>
      <c r="C49" s="45" t="s">
        <v>146</v>
      </c>
      <c r="D49" t="s">
        <v>102</v>
      </c>
      <c r="E49" s="42" t="s">
        <v>97</v>
      </c>
    </row>
    <row r="50" spans="1:5" ht="12.75" customHeight="1">
      <c r="A50" s="47" t="s">
        <v>195</v>
      </c>
      <c r="B50" s="45" t="s">
        <v>196</v>
      </c>
      <c r="C50" s="45" t="s">
        <v>146</v>
      </c>
      <c r="D50" t="s">
        <v>102</v>
      </c>
      <c r="E50" s="42" t="s">
        <v>97</v>
      </c>
    </row>
    <row r="51" spans="1:5" ht="12.75" customHeight="1">
      <c r="A51" s="45" t="s">
        <v>197</v>
      </c>
      <c r="B51" s="45" t="s">
        <v>198</v>
      </c>
      <c r="C51" s="45" t="s">
        <v>146</v>
      </c>
      <c r="D51" t="s">
        <v>102</v>
      </c>
      <c r="E51" s="42" t="s">
        <v>97</v>
      </c>
    </row>
    <row r="52" spans="1:5" ht="12.75" customHeight="1">
      <c r="A52" s="47" t="s">
        <v>199</v>
      </c>
      <c r="B52" s="45" t="s">
        <v>200</v>
      </c>
      <c r="C52" s="45" t="s">
        <v>146</v>
      </c>
      <c r="E52" s="42" t="s">
        <v>97</v>
      </c>
    </row>
    <row r="53" spans="1:5" ht="12.75" customHeight="1">
      <c r="A53" s="45" t="s">
        <v>201</v>
      </c>
      <c r="B53" s="45" t="s">
        <v>202</v>
      </c>
      <c r="C53" s="45" t="s">
        <v>146</v>
      </c>
      <c r="D53" t="s">
        <v>102</v>
      </c>
      <c r="E53" s="42" t="s">
        <v>97</v>
      </c>
    </row>
    <row r="54" spans="1:5" ht="12.75" customHeight="1">
      <c r="A54" s="47" t="s">
        <v>203</v>
      </c>
      <c r="B54" s="45" t="s">
        <v>204</v>
      </c>
      <c r="C54" s="45" t="s">
        <v>146</v>
      </c>
      <c r="D54" t="s">
        <v>102</v>
      </c>
      <c r="E54" s="42" t="s">
        <v>97</v>
      </c>
    </row>
    <row r="55" spans="1:5" ht="12.75" customHeight="1">
      <c r="A55" s="45" t="s">
        <v>205</v>
      </c>
      <c r="B55" s="45" t="s">
        <v>206</v>
      </c>
      <c r="C55" s="45" t="s">
        <v>146</v>
      </c>
      <c r="D55" t="s">
        <v>102</v>
      </c>
      <c r="E55" s="42" t="s">
        <v>97</v>
      </c>
    </row>
    <row r="56" spans="1:5" ht="12.75" customHeight="1">
      <c r="A56" s="47" t="s">
        <v>207</v>
      </c>
      <c r="B56" s="45" t="s">
        <v>208</v>
      </c>
      <c r="C56" s="45" t="s">
        <v>209</v>
      </c>
      <c r="E56" s="42" t="s">
        <v>97</v>
      </c>
    </row>
    <row r="57" spans="1:5" ht="12.75" customHeight="1">
      <c r="A57" s="45" t="s">
        <v>210</v>
      </c>
      <c r="B57" s="45" t="s">
        <v>211</v>
      </c>
      <c r="C57" s="45" t="s">
        <v>209</v>
      </c>
      <c r="E57" s="42" t="s">
        <v>97</v>
      </c>
    </row>
    <row r="58" spans="1:5" ht="12.75" customHeight="1">
      <c r="A58" s="47" t="s">
        <v>212</v>
      </c>
      <c r="B58" s="45" t="s">
        <v>213</v>
      </c>
      <c r="C58" s="45" t="s">
        <v>209</v>
      </c>
      <c r="E58" s="42" t="s">
        <v>97</v>
      </c>
    </row>
    <row r="59" spans="1:5" ht="12.75" customHeight="1">
      <c r="A59" s="45" t="s">
        <v>214</v>
      </c>
      <c r="B59" s="45" t="s">
        <v>215</v>
      </c>
      <c r="C59" s="45" t="s">
        <v>209</v>
      </c>
      <c r="E59" s="42" t="s">
        <v>97</v>
      </c>
    </row>
    <row r="60" spans="1:5" ht="12.75" customHeight="1">
      <c r="A60" s="47" t="s">
        <v>216</v>
      </c>
      <c r="B60" s="45" t="s">
        <v>217</v>
      </c>
      <c r="C60" s="45" t="s">
        <v>209</v>
      </c>
      <c r="E60" s="42" t="s">
        <v>97</v>
      </c>
    </row>
    <row r="61" spans="1:5" ht="12.75" customHeight="1">
      <c r="A61" s="45" t="s">
        <v>218</v>
      </c>
      <c r="B61" s="45" t="s">
        <v>219</v>
      </c>
      <c r="C61" s="45" t="s">
        <v>209</v>
      </c>
      <c r="E61" s="42" t="s">
        <v>97</v>
      </c>
    </row>
    <row r="62" spans="1:5" ht="12.75" customHeight="1">
      <c r="A62" s="45" t="s">
        <v>220</v>
      </c>
      <c r="B62" s="45" t="s">
        <v>221</v>
      </c>
      <c r="C62" s="45" t="s">
        <v>209</v>
      </c>
      <c r="E62" s="42" t="s">
        <v>97</v>
      </c>
    </row>
    <row r="63" spans="1:5" ht="12.75" customHeight="1">
      <c r="A63" s="45" t="s">
        <v>222</v>
      </c>
      <c r="B63" s="45" t="s">
        <v>223</v>
      </c>
      <c r="C63" s="45" t="s">
        <v>209</v>
      </c>
      <c r="E63" s="42" t="s">
        <v>97</v>
      </c>
    </row>
    <row r="64" spans="1:5" ht="12.75" customHeight="1">
      <c r="A64" s="47" t="s">
        <v>224</v>
      </c>
      <c r="B64" s="45" t="s">
        <v>225</v>
      </c>
      <c r="C64" s="45" t="s">
        <v>209</v>
      </c>
      <c r="E64" s="42" t="s">
        <v>97</v>
      </c>
    </row>
    <row r="65" spans="1:5" ht="12.75" customHeight="1">
      <c r="A65" t="s">
        <v>226</v>
      </c>
      <c r="B65" t="s">
        <v>227</v>
      </c>
      <c r="C65" t="s">
        <v>95</v>
      </c>
      <c r="D65" t="s">
        <v>102</v>
      </c>
      <c r="E65" s="42" t="s">
        <v>97</v>
      </c>
    </row>
    <row r="66" spans="1:5" ht="12.75" customHeight="1">
      <c r="A66" t="s">
        <v>228</v>
      </c>
      <c r="B66" t="s">
        <v>229</v>
      </c>
      <c r="C66" t="s">
        <v>95</v>
      </c>
      <c r="D66" t="s">
        <v>102</v>
      </c>
      <c r="E66" s="42" t="s">
        <v>97</v>
      </c>
    </row>
    <row r="67" spans="1:5" ht="12.75" customHeight="1">
      <c r="A67" t="s">
        <v>230</v>
      </c>
      <c r="B67" t="s">
        <v>231</v>
      </c>
      <c r="C67" t="s">
        <v>95</v>
      </c>
      <c r="D67" t="s">
        <v>102</v>
      </c>
      <c r="E67" s="42" t="s">
        <v>97</v>
      </c>
    </row>
    <row r="68" spans="1:5" ht="12.75" customHeight="1">
      <c r="A68" t="s">
        <v>232</v>
      </c>
      <c r="B68" t="s">
        <v>233</v>
      </c>
      <c r="C68" t="s">
        <v>95</v>
      </c>
      <c r="D68" t="s">
        <v>102</v>
      </c>
      <c r="E68" s="42" t="s">
        <v>97</v>
      </c>
    </row>
    <row r="69" spans="1:5" ht="12.75" customHeight="1">
      <c r="A69" t="s">
        <v>234</v>
      </c>
      <c r="B69" t="s">
        <v>235</v>
      </c>
      <c r="C69" t="s">
        <v>95</v>
      </c>
      <c r="D69" t="s">
        <v>102</v>
      </c>
      <c r="E69" t="s">
        <v>97</v>
      </c>
    </row>
    <row r="70" spans="1:5" ht="12.75" customHeight="1">
      <c r="A70" t="s">
        <v>236</v>
      </c>
      <c r="B70" t="s">
        <v>237</v>
      </c>
      <c r="C70" t="s">
        <v>95</v>
      </c>
      <c r="D70" t="s">
        <v>96</v>
      </c>
      <c r="E70" t="s">
        <v>97</v>
      </c>
    </row>
    <row r="71" spans="1:5" ht="12.75" customHeight="1">
      <c r="A71" t="s">
        <v>238</v>
      </c>
      <c r="B71" t="s">
        <v>239</v>
      </c>
      <c r="C71" t="s">
        <v>95</v>
      </c>
      <c r="D71" t="s">
        <v>96</v>
      </c>
      <c r="E71" t="s">
        <v>97</v>
      </c>
    </row>
    <row r="72" spans="1:5" ht="12.75" customHeight="1">
      <c r="A72" t="s">
        <v>240</v>
      </c>
      <c r="B72" t="s">
        <v>241</v>
      </c>
      <c r="C72" t="s">
        <v>95</v>
      </c>
      <c r="D72" t="s">
        <v>96</v>
      </c>
      <c r="E72" t="s">
        <v>97</v>
      </c>
    </row>
    <row r="73" spans="1:5" ht="12.75" customHeight="1">
      <c r="A73" t="s">
        <v>242</v>
      </c>
      <c r="B73" t="s">
        <v>243</v>
      </c>
      <c r="C73" t="s">
        <v>95</v>
      </c>
      <c r="D73" t="s">
        <v>102</v>
      </c>
      <c r="E73" t="s">
        <v>97</v>
      </c>
    </row>
    <row r="74" spans="1:5" ht="12.75" customHeight="1">
      <c r="A74" t="s">
        <v>244</v>
      </c>
      <c r="B74" t="s">
        <v>245</v>
      </c>
      <c r="C74" t="s">
        <v>95</v>
      </c>
      <c r="D74" t="s">
        <v>102</v>
      </c>
      <c r="E74" t="s">
        <v>97</v>
      </c>
    </row>
    <row r="75" spans="1:5" ht="12.75" customHeight="1">
      <c r="A75" t="s">
        <v>246</v>
      </c>
      <c r="B75" t="s">
        <v>247</v>
      </c>
      <c r="C75" t="s">
        <v>95</v>
      </c>
      <c r="D75" t="s">
        <v>102</v>
      </c>
      <c r="E75" t="s">
        <v>97</v>
      </c>
    </row>
    <row r="76" spans="1:5" ht="12.75" customHeight="1">
      <c r="A76" t="s">
        <v>248</v>
      </c>
      <c r="B76" t="s">
        <v>249</v>
      </c>
      <c r="C76" t="s">
        <v>95</v>
      </c>
      <c r="D76" t="s">
        <v>102</v>
      </c>
      <c r="E76" t="s">
        <v>97</v>
      </c>
    </row>
    <row r="77" spans="1:5" ht="12.75" customHeight="1">
      <c r="A77" t="s">
        <v>250</v>
      </c>
      <c r="B77" t="s">
        <v>251</v>
      </c>
      <c r="C77" t="s">
        <v>252</v>
      </c>
      <c r="D77" t="s">
        <v>102</v>
      </c>
      <c r="E77" t="s">
        <v>97</v>
      </c>
    </row>
    <row r="78" spans="1:5" ht="12.75" customHeight="1">
      <c r="A78" t="s">
        <v>253</v>
      </c>
      <c r="B78" t="s">
        <v>254</v>
      </c>
      <c r="C78" t="s">
        <v>252</v>
      </c>
      <c r="D78" t="s">
        <v>102</v>
      </c>
      <c r="E78" t="s">
        <v>97</v>
      </c>
    </row>
    <row r="79" spans="1:5" ht="12.75" customHeight="1">
      <c r="A79" t="s">
        <v>255</v>
      </c>
      <c r="B79" t="s">
        <v>256</v>
      </c>
      <c r="C79" t="s">
        <v>252</v>
      </c>
      <c r="D79" t="s">
        <v>102</v>
      </c>
      <c r="E79" t="s">
        <v>97</v>
      </c>
    </row>
    <row r="80" spans="1:5" ht="12.75" customHeight="1">
      <c r="A80" t="s">
        <v>257</v>
      </c>
      <c r="B80" t="s">
        <v>258</v>
      </c>
      <c r="C80" t="s">
        <v>252</v>
      </c>
      <c r="D80" t="s">
        <v>102</v>
      </c>
      <c r="E80" t="s">
        <v>97</v>
      </c>
    </row>
    <row r="81" spans="1:5" ht="12.75" customHeight="1">
      <c r="A81" t="s">
        <v>259</v>
      </c>
      <c r="B81" t="s">
        <v>260</v>
      </c>
      <c r="C81" t="s">
        <v>252</v>
      </c>
      <c r="D81" t="s">
        <v>102</v>
      </c>
      <c r="E81" t="s">
        <v>97</v>
      </c>
    </row>
    <row r="82" spans="1:5" ht="12.75" customHeight="1">
      <c r="A82" t="s">
        <v>261</v>
      </c>
      <c r="B82" t="s">
        <v>262</v>
      </c>
      <c r="C82" t="s">
        <v>252</v>
      </c>
      <c r="D82" t="s">
        <v>102</v>
      </c>
      <c r="E82" t="s">
        <v>97</v>
      </c>
    </row>
    <row r="83" spans="1:5" ht="12.75" customHeight="1">
      <c r="A83" t="s">
        <v>263</v>
      </c>
      <c r="B83" t="s">
        <v>264</v>
      </c>
      <c r="C83" t="s">
        <v>252</v>
      </c>
      <c r="D83" t="s">
        <v>102</v>
      </c>
      <c r="E83" t="s">
        <v>97</v>
      </c>
    </row>
  </sheetData>
  <conditionalFormatting sqref="A4:A83">
    <cfRule type="duplicateValues" dxfId="0" priority="19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2025-04-11T18:50:05Z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