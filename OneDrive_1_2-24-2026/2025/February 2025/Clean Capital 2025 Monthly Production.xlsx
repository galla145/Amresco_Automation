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E26F799-C898-4794-912E-CEB10EA217F6}" xr6:coauthVersionLast="47" xr6:coauthVersionMax="47" xr10:uidLastSave="{00000000-0000-0000-0000-000000000000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8" l="1"/>
  <c r="D5" i="18"/>
  <c r="D6" i="18"/>
  <c r="D7" i="18"/>
  <c r="C4" i="18"/>
  <c r="C5" i="18"/>
  <c r="C6" i="18"/>
  <c r="C7" i="18"/>
  <c r="G4" i="18"/>
  <c r="G5" i="18"/>
  <c r="G6" i="18"/>
  <c r="G7" i="18"/>
  <c r="H5" i="33"/>
  <c r="I5" i="33" s="1"/>
  <c r="H6" i="33"/>
  <c r="I6" i="33" s="1"/>
  <c r="H7" i="33"/>
  <c r="I7" i="33" s="1"/>
  <c r="H8" i="33"/>
  <c r="I8" i="33" s="1"/>
  <c r="H9" i="33"/>
  <c r="I9" i="33" s="1"/>
  <c r="H10" i="33"/>
  <c r="I10" i="33" s="1"/>
  <c r="H11" i="33"/>
  <c r="I11" i="33" s="1"/>
  <c r="H12" i="33"/>
  <c r="I12" i="33" s="1"/>
  <c r="E5" i="33"/>
  <c r="F5" i="33" s="1"/>
  <c r="E6" i="33"/>
  <c r="F6" i="33" s="1"/>
  <c r="E7" i="33"/>
  <c r="F7" i="33" s="1"/>
  <c r="E8" i="33"/>
  <c r="F8" i="33" s="1"/>
  <c r="E9" i="33"/>
  <c r="F9" i="33" s="1"/>
  <c r="E10" i="33"/>
  <c r="F10" i="33" s="1"/>
  <c r="E11" i="33"/>
  <c r="F11" i="33" s="1"/>
  <c r="E12" i="33"/>
  <c r="F12" i="33" s="1"/>
  <c r="G6" i="30" l="1"/>
  <c r="G7" i="30"/>
  <c r="G5" i="30"/>
  <c r="G4" i="30"/>
  <c r="E5" i="28"/>
  <c r="F5" i="28" s="1"/>
  <c r="E5" i="27"/>
  <c r="G5" i="29"/>
  <c r="G6" i="29"/>
  <c r="G7" i="29"/>
  <c r="G4" i="29"/>
  <c r="E12" i="19"/>
  <c r="E5" i="20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7" i="72" l="1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D5" i="34"/>
  <c r="C6" i="34"/>
  <c r="D6" i="34"/>
  <c r="C7" i="34"/>
  <c r="D7" i="34"/>
  <c r="H6" i="29"/>
  <c r="I6" i="29" s="1"/>
  <c r="E7" i="18"/>
  <c r="F7" i="18" s="1"/>
  <c r="D4" i="34"/>
  <c r="D2" i="18"/>
  <c r="H6" i="30"/>
  <c r="H7" i="29"/>
  <c r="I7" i="29" s="1"/>
  <c r="E4" i="18"/>
  <c r="F4" i="18" s="1"/>
  <c r="E4" i="30"/>
  <c r="F4" i="30" s="1"/>
  <c r="D2" i="29"/>
  <c r="I10" i="27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H5" i="30"/>
  <c r="E7" i="29"/>
  <c r="F7" i="29" s="1"/>
  <c r="I6" i="26"/>
  <c r="I9" i="26"/>
  <c r="I12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I5" i="30"/>
  <c r="H5" i="34"/>
  <c r="I5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<sst xmlns="http://schemas.openxmlformats.org/spreadsheetml/2006/main" count="268" uniqueCount="79">
  <si>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</si>
  <si>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</si>
  <si>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</si>
  <si>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</si>
  <si>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</si>
  <si>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</si>
  <si>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</si>
  <si>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</si>
  <si>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</si>
  <si>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</si>
  <si>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</si>
  <si>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</si>
  <si>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</si>
  <si>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</si>
  <si>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</si>
  <si>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</si>
  <si>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</si>
  <si>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</si>
  <si>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</si>
  <si>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</si>
  <si>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Notes1</t>
  </si>
  <si>
    <t>Service Requests</t>
  </si>
  <si>
    <t>1. Inverter 2 is offline from 01/01 due to several isolation errors.</t>
  </si>
  <si>
    <t>1.	SR095368</t>
  </si>
  <si>
    <t xml:space="preserve">1. Inverters D, I, and O were offline due to arc faults, while inverters L and Q had been offline since 12/08/23, and Inverter P had been offline since 06/14/24. On 01/17, a technician visited the site, troubleshot all inverters, and brought them back online except for inverter K, which remained out of service due to a non-functional LED screen. Inverter K has been RMA’d.
</t>
  </si>
  <si>
    <t>1.SR095501</t>
  </si>
  <si>
    <t>1. Site started derated at 12:30pm and later was offline at 15:00 on 01/29 through out the month.</t>
  </si>
  <si>
    <t>1.SR096179</t>
  </si>
  <si>
    <t>February Actual v. Expected</t>
  </si>
  <si>
    <t>February Actual v. Forecasted</t>
  </si>
  <si>
    <t>1. Inverter 2 is offline from 01/01 due to several isolation errors.
2. Inverter 1 tripped offline since 02/25 due to insulation faults.</t>
  </si>
  <si>
    <t>1.SR095368
2.SR097850</t>
  </si>
  <si>
    <t>SR097850</t>
  </si>
  <si>
    <t>1.Inverters L, N, P, and Q were offline, and Inverter I was reporting an ARC fault. On 02/20 upon the technician's arrival, it was found that Inverters L, P, and Q were offline, Inverter I was offline and reporting an ARC fault, while Inverter N was also reporting an ARC fault. The fault was cleared, and the inverters L, Q, I and N was power-cycled and they are  back online. But Inverters N and P are out of warranty required additional troubleshoot.
2.Inverter K has been RMA’d, On 02/04, the technician brought Inverter K back online by updating its software.</t>
  </si>
  <si>
    <t>1.SR096409, 	SR097783
2.SR095501</t>
  </si>
  <si>
    <t>SR097783</t>
  </si>
  <si>
    <t>SR095501</t>
  </si>
  <si>
    <t>1.The site has been offline since 01/29. On 02/03, upon the technician's arrival, it was found that DC strings CB1, string 10, and CB6, string 7, each had no open-circuit string voltage, even without the fuse. After isolating these strings, the inverter was re-energized, and the site was brought back online at 02:45 PM on 02/03.</t>
  </si>
  <si>
    <t>1.SR096179, 	SR096262</t>
  </si>
  <si>
    <t>SR096262</t>
  </si>
  <si>
    <t>March Actual v. Expected</t>
  </si>
  <si>
    <t>March Actual v. Forecasted</t>
  </si>
  <si>
    <t>Notes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</si>
  <si>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</si>
  <si>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</si>
  <si>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</si>
  <si>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</si>
  <si>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</si>
  <si>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</si>
  <si>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</si>
  <si>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</si>
  <si>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</si>
  <si>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</si>
  <si>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</si>
  <si>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</si>
  <si>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</si>
  <si>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</si>
  <si>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</si>
  <si>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</si>
  <si>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</si>
  <si>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</si>
  <si>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</si>
  <si>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Clean Capital</t>
  </si>
  <si>
    <t>Site DAS Name</t>
  </si>
  <si>
    <t>Update</t>
  </si>
  <si>
    <t>DAS</t>
  </si>
  <si>
    <t>Cotting School</t>
  </si>
  <si>
    <t>Lexington - Cotting School</t>
  </si>
  <si>
    <t>MA</t>
  </si>
  <si>
    <t>AF</t>
  </si>
  <si>
    <t>IGS SolarLog</t>
  </si>
  <si>
    <t>2.01) KSI Solar Whiteman, LLC</t>
  </si>
  <si>
    <t>Pacoima - Whiteman Airport</t>
  </si>
  <si>
    <t>CA</t>
  </si>
  <si>
    <t>Advanced Energy SiteLink</t>
  </si>
  <si>
    <t>Hyannis - Sturgis Charter School</t>
  </si>
  <si>
    <t>PowerTrack</t>
  </si>
  <si>
    <t>Tony Kent Arena</t>
  </si>
  <si>
    <t>South Dennis - Tony Kent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</si>
</sst>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8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49" fontId="29" fillId="0" borderId="1" xfId="0" applyNumberFormat="1" applyFont="1" applyBorder="1" applyAlignment="1">
      <alignment vertical="top" wrapText="1"/>
    </xf>
    <xf numFmtId="49" fontId="38" fillId="38" borderId="1" xfId="45" applyNumberFormat="1" applyFill="1" applyBorder="1" applyAlignment="1">
      <alignment vertical="top" wrapText="1"/>
    </xf>
    <xf numFmtId="49" fontId="38" fillId="0" borderId="1" xfId="45" applyNumberFormat="1" applyBorder="1" applyAlignment="1">
      <alignment vertical="top" wrapText="1"/>
    </xf>
    <xf numFmtId="49" fontId="38" fillId="0" borderId="1" xfId="45" applyNumberFormat="1" applyBorder="1" applyAlignment="1">
      <alignment vertical="center" wrapText="1"/>
    </xf>
    <xf numFmtId="0" fontId="38" fillId="0" borderId="0" xfId="45"/>
    <xf numFmtId="49" fontId="38" fillId="0" borderId="1" xfId="45" applyNumberForma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179" TargetMode="External"/><Relationship Id="rId2" Type="http://schemas.openxmlformats.org/officeDocument/2006/relationships/hyperlink" Target="https://us3.assetplanner.com/service_request?ID=095501" TargetMode="External"/><Relationship Id="rId1" Type="http://schemas.openxmlformats.org/officeDocument/2006/relationships/hyperlink" Target="https://us3.assetplanner.com/service_request?ID=095368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409" TargetMode="External"/><Relationship Id="rId7" Type="http://schemas.openxmlformats.org/officeDocument/2006/relationships/hyperlink" Target="https://us3.assetplanner.com/service_request?ID=096262" TargetMode="External"/><Relationship Id="rId2" Type="http://schemas.openxmlformats.org/officeDocument/2006/relationships/hyperlink" Target="https://us3.assetplanner.com/service_request?ID=097850" TargetMode="External"/><Relationship Id="rId1" Type="http://schemas.openxmlformats.org/officeDocument/2006/relationships/hyperlink" Target="https://us3.assetplanner.com/service_request?ID=095368" TargetMode="External"/><Relationship Id="rId6" Type="http://schemas.openxmlformats.org/officeDocument/2006/relationships/hyperlink" Target="https://us3.assetplanner.com/service_request?ID=096179" TargetMode="External"/><Relationship Id="rId5" Type="http://schemas.openxmlformats.org/officeDocument/2006/relationships/hyperlink" Target="https://us3.assetplanner.com/service_request?ID=095501" TargetMode="External"/><Relationship Id="rId4" Type="http://schemas.openxmlformats.org/officeDocument/2006/relationships/hyperlink" Target="https://us3.assetplanner.com/service_request?ID=0977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bottomRight" activeCell="D10" sqref="D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Clean Capital</v>
      </c>
      <c r="B1" s="81"/>
      <c r="C1" s="81"/>
      <c r="D1" s="82" t="s">
        <v>0</v>
      </c>
      <c r="E1" s="82"/>
      <c r="F1" s="82"/>
      <c r="G1" s="80" t="s">
        <v>1</v>
      </c>
      <c r="H1" s="80"/>
      <c r="I1" s="80"/>
    </row>
    <row r="2" spans="1:9" ht="19.5" customHeight="1">
      <c r="A2" s="83" t="s">
        <v>2</v>
      </c>
      <c r="B2" s="83"/>
      <c r="C2" s="5">
        <f>SUM(C4:C71)</f>
        <v>117731.12082542969</v>
      </c>
      <c r="D2" s="5">
        <f>SUM(D4:D71)</f>
        <v>0</v>
      </c>
      <c r="E2" s="5">
        <f>C2-D2</f>
        <v>117731.12082542969</v>
      </c>
      <c r="F2" s="6">
        <f>IFERROR(E2/D2, 0)</f>
        <v>0</v>
      </c>
      <c r="G2" s="5">
        <f>SUM(G4:G71)</f>
        <v>90450</v>
      </c>
      <c r="H2" s="7">
        <f>C2-G2</f>
        <v>27281.120825429694</v>
      </c>
      <c r="I2" s="6">
        <f>IFERROR(H2/G2, 0)</f>
        <v>0.30161548729054388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2" t="str" cm="1">
        <f t="array" ref="A4:A7">Sites[Site]</f>
        <v>Lexington - Cotting School</v>
      </c>
      <c r="B4" s="33" t="str" cm="1">
        <f t="array" ref="B4:B7">Sites[State]</f>
        <v>MA</v>
      </c>
      <c r="C4" s="34">
        <f>SUM('1st Qtr'!C4, '2nd Qtr'!C4, '3rd Qtr'!C4, '4th Qtr'!C4)</f>
        <v>18073.600000000002</v>
      </c>
      <c r="D4" s="35">
        <f>SUM('1st Qtr'!D4, '2nd Qtr'!D4, '3rd Qtr'!D4, '4th Qtr'!D4)</f>
        <v>0</v>
      </c>
      <c r="E4" s="35">
        <f>IF(AND(ISNUMBER(C4),ISNUMBER(D4)), C4-D4, "")</f>
        <v>18073.600000000002</v>
      </c>
      <c r="F4" s="36" t="str">
        <f>IFERROR(E4/D4, "")</f>
        <v/>
      </c>
      <c r="G4" s="37">
        <f>SUM('1st Qtr'!G4, '2nd Qtr'!G4, '3rd Qtr'!G4, '4th Qtr'!G4)</f>
        <v>0</v>
      </c>
      <c r="H4" s="37">
        <f>SUM('1st Qtr'!H4, '2nd Qtr'!H4, '3rd Qtr'!H4, '4th Qtr'!H4)</f>
        <v>18073.600000000002</v>
      </c>
      <c r="I4" s="38" t="str">
        <f>IFERROR(H4/G4, "")</f>
        <v/>
      </c>
    </row>
    <row r="5" spans="1:9" ht="15.6">
      <c r="A5" s="39" t="str">
        <v>Pacoima - Whiteman Airport</v>
      </c>
      <c r="B5" s="40" t="str">
        <v>CA</v>
      </c>
      <c r="C5" s="41">
        <f>SUM('1st Qtr'!C5, '2nd Qtr'!C5, '3rd Qtr'!C5, '4th Qtr'!C5)</f>
        <v>37936.800000000003</v>
      </c>
      <c r="D5" s="41">
        <f>SUM('1st Qtr'!D5, '2nd Qtr'!D5, '3rd Qtr'!D5, '4th Qtr'!D5)</f>
        <v>0</v>
      </c>
      <c r="E5" s="42">
        <f t="shared" ref="E5:E7" si="0">IF(AND(ISNUMBER(C5),ISNUMBER(D5)), C5-D5, "")</f>
        <v>37936.800000000003</v>
      </c>
      <c r="F5" s="43" t="str">
        <f>IFERROR(E5/D5, "")</f>
        <v/>
      </c>
      <c r="G5" s="44">
        <f>SUM('1st Qtr'!G5, '2nd Qtr'!G5, '3rd Qtr'!G5, '4th Qtr'!G5)</f>
        <v>62920</v>
      </c>
      <c r="H5" s="44">
        <f>SUM('1st Qtr'!H5, '2nd Qtr'!H5, '3rd Qtr'!H5, '4th Qtr'!H5)</f>
        <v>-24983.199999999997</v>
      </c>
      <c r="I5" s="43">
        <f>IFERROR(H5/G5, "")</f>
        <v>-0.39706293706293699</v>
      </c>
    </row>
    <row r="6" spans="1:9" ht="15.6">
      <c r="A6" s="32" t="str">
        <v>Hyannis - Sturgis Charter School</v>
      </c>
      <c r="B6" s="33" t="str">
        <v>MA</v>
      </c>
      <c r="C6" s="34">
        <f>SUM('1st Qtr'!C6, '2nd Qtr'!C6, '3rd Qtr'!C6, '4th Qtr'!C6)</f>
        <v>30721.600825429687</v>
      </c>
      <c r="D6" s="35">
        <f>SUM('1st Qtr'!D6, '2nd Qtr'!D6, '3rd Qtr'!D6, '4th Qtr'!D6)</f>
        <v>0</v>
      </c>
      <c r="E6" s="35">
        <f t="shared" si="0"/>
        <v>30721.600825429687</v>
      </c>
      <c r="F6" s="36" t="str">
        <f t="shared" ref="F6:F7" si="1">IFERROR(E6/D6, "")</f>
        <v/>
      </c>
      <c r="G6" s="37">
        <f>SUM('1st Qtr'!G6, '2nd Qtr'!G6, '3rd Qtr'!G6, '4th Qtr'!G6)</f>
        <v>27530</v>
      </c>
      <c r="H6" s="37">
        <f>SUM('1st Qtr'!H6, '2nd Qtr'!H6, '3rd Qtr'!H6, '4th Qtr'!H6)</f>
        <v>3191.6008254296867</v>
      </c>
      <c r="I6" s="38">
        <f t="shared" ref="I6:I7" si="2">IFERROR(H6/G6, "")</f>
        <v>0.11593174084379537</v>
      </c>
    </row>
    <row r="7" spans="1:9" ht="15.6">
      <c r="A7" s="39" t="str">
        <v>South Dennis - Tony Kent Arena</v>
      </c>
      <c r="B7" s="40" t="str">
        <v>MA</v>
      </c>
      <c r="C7" s="41">
        <f>SUM('1st Qtr'!C7, '2nd Qtr'!C7, '3rd Qtr'!C7, '4th Qtr'!C7)</f>
        <v>30999.119999999999</v>
      </c>
      <c r="D7" s="41">
        <f>SUM('1st Qtr'!D7, '2nd Qtr'!D7, '3rd Qtr'!D7, '4th Qtr'!D7)</f>
        <v>0</v>
      </c>
      <c r="E7" s="42">
        <f t="shared" si="0"/>
        <v>30999.119999999999</v>
      </c>
      <c r="F7" s="43" t="str">
        <f t="shared" si="1"/>
        <v/>
      </c>
      <c r="G7" s="44">
        <f>SUM('1st Qtr'!G7, '2nd Qtr'!G7, '3rd Qtr'!G7, '4th Qtr'!G7)</f>
        <v>0</v>
      </c>
      <c r="H7" s="44">
        <f>SUM('1st Qtr'!H7, '2nd Qtr'!H7, '3rd Qtr'!H7, '4th Qtr'!H7)</f>
        <v>30999.119999999999</v>
      </c>
      <c r="I7" s="43" t="str">
        <f t="shared" si="2"/>
        <v/>
      </c>
    </row>
    <row r="8" spans="1:9" ht="13.9">
      <c r="A8" s="13"/>
      <c r="B8" s="13"/>
      <c r="C8" s="13"/>
      <c r="D8" s="13"/>
      <c r="E8" s="13"/>
      <c r="F8" s="14"/>
      <c r="G8" s="13"/>
      <c r="H8" s="13"/>
      <c r="I8" s="14"/>
    </row>
    <row r="9" spans="1:9" ht="13.9">
      <c r="A9" s="13"/>
      <c r="B9" s="13"/>
      <c r="C9" s="13"/>
      <c r="D9" s="13"/>
      <c r="E9" s="13"/>
      <c r="F9" s="14"/>
      <c r="G9" s="13"/>
      <c r="H9" s="13"/>
      <c r="I9" s="14"/>
    </row>
    <row r="10" spans="1:9" ht="13.9">
      <c r="A10" s="13"/>
      <c r="B10" s="13"/>
      <c r="C10" s="13"/>
      <c r="D10" s="13"/>
      <c r="E10" s="13"/>
      <c r="F10" s="14"/>
      <c r="G10" s="13"/>
      <c r="H10" s="13"/>
      <c r="I10" s="14"/>
    </row>
    <row r="11" spans="1:9" ht="13.9">
      <c r="A11" s="13"/>
      <c r="B11" s="13"/>
      <c r="C11" s="13"/>
      <c r="D11" s="13"/>
      <c r="E11" s="13"/>
      <c r="F11" s="14"/>
      <c r="G11" s="13"/>
      <c r="H11" s="13"/>
      <c r="I11" s="14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D20" sqref="D2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Clean Capital</v>
      </c>
      <c r="B1" s="81"/>
      <c r="C1" s="81"/>
      <c r="D1" s="82" t="s">
        <v>10</v>
      </c>
      <c r="E1" s="82"/>
      <c r="F1" s="82"/>
      <c r="G1" s="80" t="s">
        <v>11</v>
      </c>
      <c r="H1" s="80"/>
      <c r="I1" s="80"/>
    </row>
    <row r="2" spans="1:9" ht="19.5" customHeight="1">
      <c r="A2" s="83" t="s">
        <v>2</v>
      </c>
      <c r="B2" s="83"/>
      <c r="C2" s="5">
        <f>SUM(C4:C79)</f>
        <v>117731.12082542969</v>
      </c>
      <c r="D2" s="5">
        <f>SUM(D4:D79)</f>
        <v>0</v>
      </c>
      <c r="E2" s="5">
        <f>C2-D2</f>
        <v>117731.12082542969</v>
      </c>
      <c r="F2" s="6">
        <f>IFERROR(E2/D2, 0)</f>
        <v>0</v>
      </c>
      <c r="G2" s="5">
        <f>SUM(G4:G79)</f>
        <v>90450</v>
      </c>
      <c r="H2" s="7">
        <f>C2-G2</f>
        <v>27281.120825429694</v>
      </c>
      <c r="I2" s="6">
        <f>IFERROR(H2/G2, 0)</f>
        <v>0.30161548729054388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SUM(Jan!C4, Feb!C4, Mar!C4)</f>
        <v>18073.600000000002</v>
      </c>
      <c r="D4" s="35">
        <f>SUM(Jan!D4, Feb!D4, Mar!D4)</f>
        <v>0</v>
      </c>
      <c r="E4" s="35">
        <f>IF(AND(ISNUMBER(C4),ISNUMBER(D4)), C4-D4, "")</f>
        <v>18073.600000000002</v>
      </c>
      <c r="F4" s="36" t="str">
        <f>IFERROR(E4/D4, "")</f>
        <v/>
      </c>
      <c r="G4" s="37">
        <f>SUM(Jan!G4, Feb!G4, Mar!G4)</f>
        <v>0</v>
      </c>
      <c r="H4" s="37">
        <f>SUM(Jan!H4, Feb!H4, Mar!H4)</f>
        <v>18073.600000000002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SUM(Jan!C5, Feb!C5, Mar!C5)</f>
        <v>37936.800000000003</v>
      </c>
      <c r="D5" s="42">
        <f>SUM(Jan!D5, Feb!D5, Mar!D5)</f>
        <v>0</v>
      </c>
      <c r="E5" s="42">
        <f t="shared" ref="E5:E7" si="0">IF(AND(ISNUMBER(C5),ISNUMBER(D5)), C5-D5, "")</f>
        <v>37936.800000000003</v>
      </c>
      <c r="F5" s="43" t="str">
        <f>IFERROR(E5/D5, "")</f>
        <v/>
      </c>
      <c r="G5" s="44">
        <f>SUM(Jan!G5, Feb!G5, Mar!G5)</f>
        <v>62920</v>
      </c>
      <c r="H5" s="44">
        <f>SUM(Jan!H5, Feb!H5, Mar!H5)</f>
        <v>-24983.199999999997</v>
      </c>
      <c r="I5" s="43">
        <f>IFERROR(H5/G5, "")</f>
        <v>-0.39706293706293699</v>
      </c>
    </row>
    <row r="6" spans="1:9" ht="15.6">
      <c r="A6" s="53" t="str">
        <v>Hyannis - Sturgis Charter School</v>
      </c>
      <c r="B6" s="33" t="str">
        <v>MA</v>
      </c>
      <c r="C6" s="34">
        <f>SUM(Jan!C6, Feb!C6, Mar!C6)</f>
        <v>30721.600825429687</v>
      </c>
      <c r="D6" s="35">
        <f>SUM(Jan!D6, Feb!D6, Mar!D6)</f>
        <v>0</v>
      </c>
      <c r="E6" s="35">
        <f t="shared" si="0"/>
        <v>30721.600825429687</v>
      </c>
      <c r="F6" s="36" t="str">
        <f t="shared" ref="F6:F7" si="1">IFERROR(E6/D6, "")</f>
        <v/>
      </c>
      <c r="G6" s="37">
        <f>SUM(Jan!G6, Feb!G6, Mar!G6)</f>
        <v>27530</v>
      </c>
      <c r="H6" s="37">
        <f>SUM(Jan!H6, Feb!H6, Mar!H6)</f>
        <v>3191.6008254296867</v>
      </c>
      <c r="I6" s="38">
        <f t="shared" ref="I6:I7" si="2">IFERROR(H6/G6, "")</f>
        <v>0.11593174084379537</v>
      </c>
    </row>
    <row r="7" spans="1:9" ht="15.6">
      <c r="A7" s="54" t="str">
        <v>South Dennis - Tony Kent Arena</v>
      </c>
      <c r="B7" s="40" t="str">
        <v>MA</v>
      </c>
      <c r="C7" s="41">
        <f>SUM(Jan!C7, Feb!C7, Mar!C7)</f>
        <v>30999.119999999999</v>
      </c>
      <c r="D7" s="42">
        <f>SUM(Jan!D7, Feb!D7, Mar!D7)</f>
        <v>0</v>
      </c>
      <c r="E7" s="42">
        <f t="shared" si="0"/>
        <v>30999.119999999999</v>
      </c>
      <c r="F7" s="43" t="str">
        <f t="shared" si="1"/>
        <v/>
      </c>
      <c r="G7" s="44">
        <f>SUM(Jan!G7, Feb!G7, Mar!G7)</f>
        <v>0</v>
      </c>
      <c r="H7" s="44">
        <f>SUM(Jan!H7, Feb!H7, Mar!H7)</f>
        <v>30999.119999999999</v>
      </c>
      <c r="I7" s="43" t="str">
        <f t="shared" si="2"/>
        <v/>
      </c>
    </row>
    <row r="8" spans="1:9" ht="13.9">
      <c r="A8" s="13"/>
      <c r="B8" s="13"/>
      <c r="C8" s="13"/>
      <c r="D8" s="13"/>
      <c r="E8" s="13"/>
      <c r="F8" s="13"/>
      <c r="G8" s="13"/>
      <c r="H8" s="13"/>
      <c r="I8" s="13"/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2" sqref="F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Clean Capital</v>
      </c>
      <c r="B1" s="81"/>
      <c r="C1" s="81"/>
      <c r="D1" s="82" t="s">
        <v>12</v>
      </c>
      <c r="E1" s="82"/>
      <c r="F1" s="82"/>
      <c r="G1" s="80" t="s">
        <v>13</v>
      </c>
      <c r="H1" s="80"/>
      <c r="I1" s="80"/>
    </row>
    <row r="2" spans="1:9" ht="19.5" customHeight="1">
      <c r="A2" s="83" t="s">
        <v>2</v>
      </c>
      <c r="B2" s="8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SUM(Apr!C4, May!C4, Jun!C4)</f>
        <v>0</v>
      </c>
      <c r="D4" s="35">
        <f>SUM(Apr!D4, May!D4, Jun!D4)</f>
        <v>0</v>
      </c>
      <c r="E4" s="35">
        <f>IF(AND(ISNUMBER(C4),ISNUMBER(D4)), C4-D4, "")</f>
        <v>0</v>
      </c>
      <c r="F4" s="36" t="str">
        <f>IFERROR(E4/D4, "")</f>
        <v/>
      </c>
      <c r="G4" s="37">
        <f>SUM(Apr!G4+May!G4+Jun!G4)</f>
        <v>0</v>
      </c>
      <c r="H4" s="37">
        <f>SUM(Apr!H4, May!H4, Jun!H4)</f>
        <v>0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SUM(Apr!C5, May!C5, Jun!C5)</f>
        <v>0</v>
      </c>
      <c r="D5" s="42">
        <f>SUM(Apr!D5, May!D5, Jun!D5)</f>
        <v>0</v>
      </c>
      <c r="E5" s="42">
        <f t="shared" ref="E5:E7" si="0">IF(AND(ISNUMBER(C5),ISNUMBER(D5)), C5-D5, "")</f>
        <v>0</v>
      </c>
      <c r="F5" s="43" t="str">
        <f>IFERROR(E5/D5, "")</f>
        <v/>
      </c>
      <c r="G5" s="44">
        <f>SUM(Apr!G5+May!G5+Jun!G5)</f>
        <v>0</v>
      </c>
      <c r="H5" s="44">
        <f>SUM(Apr!H5, May!H5, Jun!H5)</f>
        <v>0</v>
      </c>
      <c r="I5" s="43" t="str">
        <f>IFERROR(H5/G5, "")</f>
        <v/>
      </c>
    </row>
    <row r="6" spans="1:9" ht="15.6">
      <c r="A6" s="53" t="str">
        <v>Hyannis - Sturgis Charter School</v>
      </c>
      <c r="B6" s="33" t="str">
        <v>MA</v>
      </c>
      <c r="C6" s="34">
        <f>SUM(Apr!C6, May!C6, Jun!C6)</f>
        <v>0</v>
      </c>
      <c r="D6" s="35">
        <f>SUM(Apr!D6, May!D6, Jun!D6)</f>
        <v>0</v>
      </c>
      <c r="E6" s="35">
        <f t="shared" si="0"/>
        <v>0</v>
      </c>
      <c r="F6" s="36" t="str">
        <f t="shared" ref="F6:F7" si="1">IFERROR(E6/D6, "")</f>
        <v/>
      </c>
      <c r="G6" s="37">
        <f>SUM(Apr!G6+May!G6+Jun!G6)</f>
        <v>0</v>
      </c>
      <c r="H6" s="37">
        <f>SUM(Apr!H6, May!H6, Jun!H6)</f>
        <v>0</v>
      </c>
      <c r="I6" s="38" t="str">
        <f t="shared" ref="I6:I7" si="2">IFERROR(H6/G6, "")</f>
        <v/>
      </c>
    </row>
    <row r="7" spans="1:9" ht="15.6">
      <c r="A7" s="54" t="str">
        <v>South Dennis - Tony Kent Arena</v>
      </c>
      <c r="B7" s="40" t="str">
        <v>MA</v>
      </c>
      <c r="C7" s="41">
        <f>SUM(Apr!C7, May!C7, Jun!C7)</f>
        <v>0</v>
      </c>
      <c r="D7" s="42">
        <f>SUM(Apr!D7, May!D7, Jun!D7)</f>
        <v>0</v>
      </c>
      <c r="E7" s="42">
        <f t="shared" si="0"/>
        <v>0</v>
      </c>
      <c r="F7" s="43" t="str">
        <f t="shared" si="1"/>
        <v/>
      </c>
      <c r="G7" s="44">
        <f>SUM(Apr!G7+May!G7+Jun!G7)</f>
        <v>0</v>
      </c>
      <c r="H7" s="44">
        <f>SUM(Apr!H7, May!H7, Jun!H7)</f>
        <v>0</v>
      </c>
      <c r="I7" s="43" t="str">
        <f t="shared" si="2"/>
        <v/>
      </c>
    </row>
    <row r="8" spans="1:9" ht="13.9">
      <c r="A8" s="13"/>
      <c r="B8" s="13"/>
      <c r="C8" s="13"/>
      <c r="D8" s="13"/>
      <c r="E8" s="13"/>
      <c r="F8" s="13"/>
      <c r="G8" s="13"/>
      <c r="H8" s="13"/>
      <c r="I8" s="13"/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23" sqref="D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Clean Capital</v>
      </c>
      <c r="B1" s="81"/>
      <c r="C1" s="81"/>
      <c r="D1" s="82" t="s">
        <v>14</v>
      </c>
      <c r="E1" s="82"/>
      <c r="F1" s="82"/>
      <c r="G1" s="80" t="s">
        <v>15</v>
      </c>
      <c r="H1" s="80"/>
      <c r="I1" s="80"/>
    </row>
    <row r="2" spans="1:9" ht="19.5" customHeight="1">
      <c r="A2" s="83" t="s">
        <v>2</v>
      </c>
      <c r="B2" s="8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>
        <f>SUM(Jul!G4,Aug!G4,Sep!G4)</f>
        <v>0</v>
      </c>
      <c r="H4" s="37">
        <f>SUM(Jul!H4, Aug!H4, Sep!H4)</f>
        <v>0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SUM(Jul!C5, Aug!C5, Sep!C5)</f>
        <v>0</v>
      </c>
      <c r="D5" s="42">
        <f>SUM(Jul!D5, Aug!D5, Sep!D5)</f>
        <v>0</v>
      </c>
      <c r="E5" s="42">
        <f t="shared" ref="E5:E7" si="0">IF(AND(ISNUMBER(C5),ISNUMBER(D5)), C5-D5, "")</f>
        <v>0</v>
      </c>
      <c r="F5" s="43" t="str">
        <f>IFERROR(E5/D5, "")</f>
        <v/>
      </c>
      <c r="G5" s="44">
        <f>SUM(Jul!G5,Aug!G5,Sep!G5)</f>
        <v>0</v>
      </c>
      <c r="H5" s="44">
        <f>SUM(Jul!H5, Aug!H5, Sep!H5)</f>
        <v>0</v>
      </c>
      <c r="I5" s="43" t="str">
        <f>IFERROR(H5/G5, "")</f>
        <v/>
      </c>
    </row>
    <row r="6" spans="1:9" ht="15.6">
      <c r="A6" s="53" t="str">
        <v>Hyannis - Sturgis Charter School</v>
      </c>
      <c r="B6" s="33" t="str">
        <v>MA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:F7" si="1">IFERROR(E6/D6, "")</f>
        <v/>
      </c>
      <c r="G6" s="37">
        <f>SUM(Jul!G6,Aug!G6,Sep!G6)</f>
        <v>0</v>
      </c>
      <c r="H6" s="37">
        <f>SUM(Jul!H6, Aug!H6, Sep!H6)</f>
        <v>0</v>
      </c>
      <c r="I6" s="38" t="str">
        <f t="shared" ref="I6:I7" si="2">IFERROR(H6/G6, "")</f>
        <v/>
      </c>
    </row>
    <row r="7" spans="1:9" ht="15.6">
      <c r="A7" s="54" t="str">
        <v>South Dennis - Tony Kent Arena</v>
      </c>
      <c r="B7" s="40" t="str">
        <v>MA</v>
      </c>
      <c r="C7" s="41">
        <f>SUM(Jul!C7, Aug!C7, Sep!C7)</f>
        <v>0</v>
      </c>
      <c r="D7" s="42">
        <f>SUM(Jul!D7, Aug!D7, Sep!D7)</f>
        <v>0</v>
      </c>
      <c r="E7" s="42">
        <f t="shared" si="0"/>
        <v>0</v>
      </c>
      <c r="F7" s="43" t="str">
        <f t="shared" si="1"/>
        <v/>
      </c>
      <c r="G7" s="44">
        <f>SUM(Jul!G7,Aug!G7,Sep!G7)</f>
        <v>0</v>
      </c>
      <c r="H7" s="44">
        <f>SUM(Jul!H7, Aug!H7, Sep!H7)</f>
        <v>0</v>
      </c>
      <c r="I7" s="43" t="str">
        <f t="shared" si="2"/>
        <v/>
      </c>
    </row>
    <row r="8" spans="1:9" ht="15.6">
      <c r="A8" s="9"/>
      <c r="B8" s="13"/>
      <c r="C8" s="13"/>
      <c r="D8" s="13"/>
      <c r="E8" s="13"/>
      <c r="F8" s="13"/>
      <c r="G8" s="13"/>
      <c r="H8" s="13"/>
      <c r="I8" s="13"/>
    </row>
    <row r="9" spans="1:9" ht="15.6">
      <c r="A9" s="9"/>
      <c r="B9" s="13"/>
      <c r="C9" s="13"/>
      <c r="D9" s="13"/>
      <c r="E9" s="13"/>
      <c r="F9" s="13"/>
      <c r="G9" s="13"/>
      <c r="H9" s="13"/>
      <c r="I9" s="13"/>
    </row>
    <row r="10" spans="1:9" ht="15.6">
      <c r="A10" s="9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E17" sqref="E17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Clean Capital</v>
      </c>
      <c r="B1" s="81"/>
      <c r="C1" s="81"/>
      <c r="D1" s="82" t="s">
        <v>16</v>
      </c>
      <c r="E1" s="82"/>
      <c r="F1" s="82"/>
      <c r="G1" s="80" t="s">
        <v>17</v>
      </c>
      <c r="H1" s="80"/>
      <c r="I1" s="80"/>
    </row>
    <row r="2" spans="1:9" ht="19.5" customHeight="1">
      <c r="A2" s="83" t="s">
        <v>2</v>
      </c>
      <c r="B2" s="8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>
        <f>SUM(Oct!G4,Nov!G4,Dec!G4)</f>
        <v>0</v>
      </c>
      <c r="H4" s="37">
        <f>SUM(Oct!H4, Nov!H4, Dec!H4)</f>
        <v>0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SUM(Oct!C5, Nov!C5, Dec!C5)</f>
        <v>0</v>
      </c>
      <c r="D5" s="42">
        <f>SUM(Oct!D5, Nov!D5, Dec!D5)</f>
        <v>0</v>
      </c>
      <c r="E5" s="42">
        <f t="shared" ref="E5:E7" si="0">IF(AND(ISNUMBER(C5),ISNUMBER(D5)), C5-D5, "")</f>
        <v>0</v>
      </c>
      <c r="F5" s="43" t="str">
        <f>IFERROR(E5/D5, "")</f>
        <v/>
      </c>
      <c r="G5" s="42">
        <f>SUM(Oct!G5,Nov!G5,Dec!G5)</f>
        <v>0</v>
      </c>
      <c r="H5" s="44">
        <f>SUM(Oct!H5, Nov!H5, Dec!H5)</f>
        <v>0</v>
      </c>
      <c r="I5" s="43" t="str">
        <f>IFERROR(H5/G5, "")</f>
        <v/>
      </c>
    </row>
    <row r="6" spans="1:9" ht="15.6">
      <c r="A6" s="53" t="str">
        <v>Hyannis - Sturgis Charter School</v>
      </c>
      <c r="B6" s="33" t="str">
        <v>MA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:F7" si="1">IFERROR(E6/D6, "")</f>
        <v/>
      </c>
      <c r="G6" s="37">
        <f>SUM(Oct!G6,Nov!G6,Dec!G6)</f>
        <v>0</v>
      </c>
      <c r="H6" s="37">
        <f>SUM(Oct!H6, Nov!H6, Dec!H6)</f>
        <v>0</v>
      </c>
      <c r="I6" s="38" t="str">
        <f t="shared" ref="I6:I7" si="2">IFERROR(H6/G6, "")</f>
        <v/>
      </c>
    </row>
    <row r="7" spans="1:9" ht="15.6">
      <c r="A7" s="54" t="str">
        <v>South Dennis - Tony Kent Arena</v>
      </c>
      <c r="B7" s="40" t="str">
        <v>MA</v>
      </c>
      <c r="C7" s="41">
        <f>SUM(Oct!C7, Nov!C7, Dec!C7)</f>
        <v>0</v>
      </c>
      <c r="D7" s="42">
        <f>SUM(Oct!D7, Nov!D7, Dec!D7)</f>
        <v>0</v>
      </c>
      <c r="E7" s="42">
        <f t="shared" si="0"/>
        <v>0</v>
      </c>
      <c r="F7" s="43" t="str">
        <f t="shared" si="1"/>
        <v/>
      </c>
      <c r="G7" s="42">
        <f>SUM(Oct!G7,Nov!G7,Dec!G7)</f>
        <v>0</v>
      </c>
      <c r="H7" s="44">
        <f>SUM(Oct!H7, Nov!H7, Dec!H7)</f>
        <v>0</v>
      </c>
      <c r="I7" s="43" t="str">
        <f t="shared" si="2"/>
        <v/>
      </c>
    </row>
    <row r="8" spans="1:9" ht="14.45">
      <c r="A8" s="13"/>
      <c r="B8" s="8"/>
      <c r="C8" s="21"/>
      <c r="D8" s="10"/>
      <c r="E8" s="10"/>
      <c r="F8" s="11"/>
      <c r="G8" s="12"/>
      <c r="H8" s="12"/>
      <c r="I8" s="11"/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4"/>
      <c r="G11" s="13"/>
      <c r="H11" s="13"/>
      <c r="I11" s="14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</sheetData>
  <mergeCells count="4">
    <mergeCell ref="G1:I1"/>
    <mergeCell ref="A1:C1"/>
    <mergeCell ref="D1:F1"/>
    <mergeCell ref="A2:B2"/>
  </mergeCells>
  <conditionalFormatting sqref="F2 I2 F4:F78 I4:I7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5" zoomScaleNormal="85" workbookViewId="0">
      <pane xSplit="2" ySplit="3" topLeftCell="C4" activePane="bottomRight" state="frozen"/>
      <selection pane="bottomRight" activeCell="D14" sqref="D14"/>
      <selection pane="bottomLeft" activeCell="E11" sqref="E11"/>
      <selection pane="topRight" activeCell="E11" sqref="E11"/>
    </sheetView>
  </sheetViews>
  <sheetFormatPr defaultRowHeight="13.9"/>
  <cols>
    <col min="1" max="1" width="36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81" t="str" cm="1">
        <f t="array" ref="A1">portfolio</f>
        <v>Clean Capital</v>
      </c>
      <c r="B1" s="81"/>
      <c r="C1" s="81"/>
      <c r="D1" s="82" t="s">
        <v>18</v>
      </c>
      <c r="E1" s="82"/>
      <c r="F1" s="82"/>
      <c r="G1" s="80" t="s">
        <v>19</v>
      </c>
      <c r="H1" s="80"/>
      <c r="I1" s="80"/>
      <c r="J1" s="4"/>
      <c r="K1" s="4"/>
    </row>
    <row r="2" spans="1:11" ht="15.6">
      <c r="A2" s="83" t="s">
        <v>2</v>
      </c>
      <c r="B2" s="83"/>
      <c r="C2" s="5">
        <f>SUM(C4:C78)</f>
        <v>52388.975010000002</v>
      </c>
      <c r="D2" s="5">
        <f>SUM(D4:D78)</f>
        <v>0</v>
      </c>
      <c r="E2" s="5">
        <f>C2-D2</f>
        <v>52388.975010000002</v>
      </c>
      <c r="F2" s="6">
        <f>IFERROR(E2/D2, 0)</f>
        <v>0</v>
      </c>
      <c r="G2" s="5">
        <f>SUM(G4:G78)</f>
        <v>40330</v>
      </c>
      <c r="H2" s="7">
        <f>C2-G2</f>
        <v>12058.975010000002</v>
      </c>
      <c r="I2" s="6">
        <f>IFERROR(H2/G2, 0)</f>
        <v>0.29900756285643448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50" t="str" cm="1">
        <f t="array" ref="A4:A7">Sites[Site]</f>
        <v>Lexington - Cotting School</v>
      </c>
      <c r="B4" s="46" t="str" cm="1">
        <f t="array" ref="B4:B7">Sites[State]</f>
        <v>MA</v>
      </c>
      <c r="C4" s="34">
        <v>10561.04</v>
      </c>
      <c r="D4" s="35">
        <v>0</v>
      </c>
      <c r="E4" s="35">
        <f>IF(AND(ISNUMBER(C4),ISNUMBER(D4)), C4-D4, "")</f>
        <v>10561.04</v>
      </c>
      <c r="F4" s="38" t="str">
        <f>IFERROR(E4/D4, "")</f>
        <v/>
      </c>
      <c r="G4" s="37">
        <v>0</v>
      </c>
      <c r="H4" s="37">
        <f>IF(AND(ISNUMBER(C4),ISNUMBER(G4)), C4-G4, "")</f>
        <v>10561.04</v>
      </c>
      <c r="I4" s="38" t="str">
        <f>IFERROR(H4/G4, "")</f>
        <v/>
      </c>
      <c r="J4" s="55" t="s">
        <v>22</v>
      </c>
      <c r="K4" s="75" t="s">
        <v>23</v>
      </c>
    </row>
    <row r="5" spans="1:11" ht="75" customHeight="1">
      <c r="A5" s="51" t="str">
        <v>Pacoima - Whiteman Airport</v>
      </c>
      <c r="B5" s="48" t="str">
        <v>CA</v>
      </c>
      <c r="C5" s="42">
        <v>14475.1</v>
      </c>
      <c r="D5" s="42">
        <v>0</v>
      </c>
      <c r="E5" s="42">
        <f t="shared" ref="E5:E7" si="0">IF(AND(ISNUMBER(C5),ISNUMBER(D5)), C5-D5, "")</f>
        <v>14475.1</v>
      </c>
      <c r="F5" s="43" t="str">
        <f t="shared" ref="F5:F7" si="1">IFERROR(E5/D5, "")</f>
        <v/>
      </c>
      <c r="G5" s="44">
        <v>28600</v>
      </c>
      <c r="H5" s="44">
        <f t="shared" ref="H5:H6" si="2">IF(AND(ISNUMBER(C5),ISNUMBER(G5)), C5-G5, "")</f>
        <v>-14124.9</v>
      </c>
      <c r="I5" s="43">
        <f t="shared" ref="I5:I6" si="3">IFERROR(H5/G5, "")</f>
        <v>-0.49387762237762234</v>
      </c>
      <c r="J5" s="74" t="s">
        <v>24</v>
      </c>
      <c r="K5" s="76" t="s">
        <v>25</v>
      </c>
    </row>
    <row r="6" spans="1:11" ht="15.6">
      <c r="A6" s="52" t="str">
        <v>Hyannis - Sturgis Charter School</v>
      </c>
      <c r="B6" s="46" t="str">
        <v>MA</v>
      </c>
      <c r="C6" s="34">
        <v>13994.515009999999</v>
      </c>
      <c r="D6" s="35">
        <v>0</v>
      </c>
      <c r="E6" s="35">
        <f t="shared" si="0"/>
        <v>13994.515009999999</v>
      </c>
      <c r="F6" s="38" t="str">
        <f t="shared" si="1"/>
        <v/>
      </c>
      <c r="G6" s="37">
        <v>11730</v>
      </c>
      <c r="H6" s="37">
        <f t="shared" si="2"/>
        <v>2264.5150099999992</v>
      </c>
      <c r="I6" s="38">
        <f t="shared" si="3"/>
        <v>0.19305328303495303</v>
      </c>
      <c r="J6" s="55"/>
      <c r="K6" s="55"/>
    </row>
    <row r="7" spans="1:11" ht="15.6">
      <c r="A7" s="51" t="str">
        <v>South Dennis - Tony Kent Arena</v>
      </c>
      <c r="B7" s="48" t="str">
        <v>MA</v>
      </c>
      <c r="C7" s="42">
        <v>13358.32</v>
      </c>
      <c r="D7" s="42">
        <v>0</v>
      </c>
      <c r="E7" s="42">
        <f t="shared" si="0"/>
        <v>13358.32</v>
      </c>
      <c r="F7" s="43" t="str">
        <f t="shared" si="1"/>
        <v/>
      </c>
      <c r="G7" s="44">
        <v>0</v>
      </c>
      <c r="H7" s="44">
        <f t="shared" ref="H7" si="4">IF(AND(ISNUMBER(C7),ISNUMBER(G7)), C7-G7, "")</f>
        <v>13358.32</v>
      </c>
      <c r="I7" s="43" t="str">
        <f t="shared" ref="I7" si="5">IFERROR(H7/G7, "")</f>
        <v/>
      </c>
      <c r="J7" s="56" t="s">
        <v>26</v>
      </c>
      <c r="K7" s="77" t="s">
        <v>27</v>
      </c>
    </row>
    <row r="8" spans="1:11" ht="14.45">
      <c r="A8" s="13"/>
      <c r="B8" s="18"/>
      <c r="C8" s="13"/>
      <c r="D8" s="13"/>
      <c r="E8" s="13"/>
      <c r="F8" s="13"/>
      <c r="G8" s="13"/>
      <c r="H8" s="13"/>
      <c r="I8" s="13"/>
      <c r="J8" s="13"/>
      <c r="K8" s="13"/>
    </row>
    <row r="9" spans="1:11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4"/>
      <c r="G11" s="13"/>
      <c r="H11" s="13"/>
      <c r="I11" s="14"/>
      <c r="J11" s="13"/>
      <c r="K11" s="13"/>
    </row>
    <row r="12" spans="1:11" ht="14.45">
      <c r="A12" s="13"/>
      <c r="B12" s="18"/>
      <c r="C12" s="13"/>
      <c r="D12" s="13"/>
      <c r="E12" s="13"/>
      <c r="F12" s="14"/>
      <c r="G12" s="13"/>
      <c r="H12" s="13"/>
      <c r="I12" s="14"/>
      <c r="J12" s="13"/>
      <c r="K12" s="13"/>
    </row>
    <row r="13" spans="1:11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5368" xr:uid="{B5207AF9-0E3D-4996-A55E-2E1A85C6F34D}"/>
    <hyperlink ref="K5" r:id="rId2" display="https://us3.assetplanner.com/service_request?ID=095501" xr:uid="{B81C90BE-9F0E-4FC5-A606-3FA6193536EC}"/>
    <hyperlink ref="K7" r:id="rId3" display="https://us3.assetplanner.com/service_request?ID=096179" xr:uid="{E3B1486E-D9D5-4C6D-94C2-1FA026C7161E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2"/>
  <sheetViews>
    <sheetView tabSelected="1" workbookViewId="0">
      <pane xSplit="2" ySplit="3" topLeftCell="C4" activePane="bottomRight" state="frozen"/>
      <selection pane="bottomRight" activeCell="J16" sqref="J16"/>
      <selection pane="bottomLeft" activeCell="A14" sqref="A14"/>
      <selection pane="topRight" activeCell="A14" sqref="A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81" t="str" cm="1">
        <f t="array" ref="A1">portfolio</f>
        <v>Clean Capital</v>
      </c>
      <c r="B1" s="81"/>
      <c r="C1" s="81"/>
      <c r="D1" s="82" t="s">
        <v>28</v>
      </c>
      <c r="E1" s="82"/>
      <c r="F1" s="82"/>
      <c r="G1" s="80" t="s">
        <v>29</v>
      </c>
      <c r="H1" s="80"/>
      <c r="I1" s="80"/>
      <c r="J1" s="4"/>
      <c r="K1" s="4"/>
    </row>
    <row r="2" spans="1:13" ht="19.5" customHeight="1">
      <c r="A2" s="83" t="s">
        <v>2</v>
      </c>
      <c r="B2" s="83"/>
      <c r="C2" s="5">
        <f>SUM(C4:C80)</f>
        <v>65342.145815429685</v>
      </c>
      <c r="D2" s="5">
        <f>SUM(D4:D80)</f>
        <v>0</v>
      </c>
      <c r="E2" s="5">
        <f>C2-D2</f>
        <v>65342.145815429685</v>
      </c>
      <c r="F2" s="6">
        <f>IFERROR(E2/D2, 0)</f>
        <v>0</v>
      </c>
      <c r="G2" s="5">
        <f>SUM(G4:G80)</f>
        <v>50120</v>
      </c>
      <c r="H2" s="7">
        <f>C2-G2</f>
        <v>15222.145815429685</v>
      </c>
      <c r="I2" s="6">
        <f>IFERROR(H2/G2, 0)</f>
        <v>0.30371400270210863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55"/>
      <c r="K3" s="15" t="s">
        <v>21</v>
      </c>
    </row>
    <row r="4" spans="1:13" ht="28.9">
      <c r="A4" s="50" t="str" cm="1">
        <f t="array" ref="A4:A7">Sites[Site]</f>
        <v>Lexington - Cotting School</v>
      </c>
      <c r="B4" s="46" t="str" cm="1">
        <f t="array" ref="B4:B7">Sites[State]</f>
        <v>MA</v>
      </c>
      <c r="C4" s="34">
        <v>7512.56</v>
      </c>
      <c r="D4" s="35">
        <v>0</v>
      </c>
      <c r="E4" s="35">
        <f>IF(AND(ISNUMBER(C4),ISNUMBER(D4)), C4-D4, "")</f>
        <v>7512.56</v>
      </c>
      <c r="F4" s="36" t="str">
        <f>IFERROR(E4/D4, "")</f>
        <v/>
      </c>
      <c r="G4" s="37">
        <v>0</v>
      </c>
      <c r="H4" s="37">
        <f>IF(AND(ISNUMBER(C4),ISNUMBER(G4)), C4-G4, "")</f>
        <v>7512.56</v>
      </c>
      <c r="I4" s="38" t="str">
        <f>IFERROR(H4/G4, "")</f>
        <v/>
      </c>
      <c r="J4" s="55" t="s">
        <v>30</v>
      </c>
      <c r="K4" s="75" t="s">
        <v>31</v>
      </c>
      <c r="L4" s="78" t="s">
        <v>32</v>
      </c>
    </row>
    <row r="5" spans="1:13" ht="100.9">
      <c r="A5" s="51" t="str">
        <v>Pacoima - Whiteman Airport</v>
      </c>
      <c r="B5" s="48" t="str">
        <v>CA</v>
      </c>
      <c r="C5" s="41">
        <v>23461.7</v>
      </c>
      <c r="D5" s="42">
        <v>0</v>
      </c>
      <c r="E5" s="42">
        <f t="shared" ref="E5:E7" si="0">IF(AND(ISNUMBER(C5),ISNUMBER(D5)), C5-D5, "")</f>
        <v>23461.7</v>
      </c>
      <c r="F5" s="43" t="str">
        <f>IFERROR(E5/D5, "")</f>
        <v/>
      </c>
      <c r="G5" s="44">
        <v>34320</v>
      </c>
      <c r="H5" s="44">
        <f t="shared" ref="H5:H7" si="1">IF(AND(ISNUMBER(C5),ISNUMBER(G5)), C5-G5, "")</f>
        <v>-10858.3</v>
      </c>
      <c r="I5" s="43">
        <f t="shared" ref="I5:I7" si="2">IFERROR(H5/G5, "")</f>
        <v>-0.31638403263403259</v>
      </c>
      <c r="J5" s="56" t="s">
        <v>33</v>
      </c>
      <c r="K5" s="79" t="s">
        <v>34</v>
      </c>
      <c r="L5" s="78" t="s">
        <v>35</v>
      </c>
      <c r="M5" s="78" t="s">
        <v>36</v>
      </c>
    </row>
    <row r="6" spans="1:13" ht="15.6">
      <c r="A6" s="50" t="str">
        <v>Hyannis - Sturgis Charter School</v>
      </c>
      <c r="B6" s="46" t="str">
        <v>MA</v>
      </c>
      <c r="C6" s="34">
        <v>16727.085815429688</v>
      </c>
      <c r="D6" s="35">
        <v>0</v>
      </c>
      <c r="E6" s="35">
        <f t="shared" si="0"/>
        <v>16727.085815429688</v>
      </c>
      <c r="F6" s="36" t="str">
        <f t="shared" ref="F6:F7" si="3">IFERROR(E6/D6, "")</f>
        <v/>
      </c>
      <c r="G6" s="37">
        <v>15800</v>
      </c>
      <c r="H6" s="37">
        <f t="shared" si="1"/>
        <v>927.0858154296875</v>
      </c>
      <c r="I6" s="38">
        <f t="shared" si="2"/>
        <v>5.86763174322587E-2</v>
      </c>
      <c r="J6" s="55"/>
      <c r="K6" s="55"/>
    </row>
    <row r="7" spans="1:13" ht="57.6">
      <c r="A7" s="51" t="str">
        <v>South Dennis - Tony Kent Arena</v>
      </c>
      <c r="B7" s="48" t="str">
        <v>MA</v>
      </c>
      <c r="C7" s="41">
        <v>17640.8</v>
      </c>
      <c r="D7" s="42">
        <v>0</v>
      </c>
      <c r="E7" s="42">
        <f t="shared" si="0"/>
        <v>17640.8</v>
      </c>
      <c r="F7" s="43" t="str">
        <f t="shared" si="3"/>
        <v/>
      </c>
      <c r="G7" s="44">
        <v>0</v>
      </c>
      <c r="H7" s="44">
        <f t="shared" si="1"/>
        <v>17640.8</v>
      </c>
      <c r="I7" s="43" t="str">
        <f t="shared" si="2"/>
        <v/>
      </c>
      <c r="J7" s="56" t="s">
        <v>37</v>
      </c>
      <c r="K7" s="76" t="s">
        <v>38</v>
      </c>
      <c r="L7" s="78" t="s">
        <v>39</v>
      </c>
    </row>
    <row r="8" spans="1:13" ht="14.45">
      <c r="A8" s="13"/>
      <c r="B8" s="18"/>
      <c r="C8" s="13"/>
      <c r="D8" s="13"/>
      <c r="E8" s="13"/>
      <c r="F8" s="13"/>
      <c r="G8" s="13"/>
      <c r="H8" s="13"/>
      <c r="I8" s="13"/>
      <c r="J8" s="13"/>
      <c r="K8" s="13"/>
    </row>
    <row r="9" spans="1:13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3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3" ht="14.45">
      <c r="A11" s="13"/>
      <c r="B11" s="18"/>
      <c r="C11" s="13"/>
      <c r="D11" s="13"/>
      <c r="E11" s="13"/>
      <c r="F11" s="10"/>
      <c r="G11" s="13"/>
      <c r="H11" s="13"/>
      <c r="I11" s="13"/>
      <c r="J11" s="13"/>
      <c r="K11" s="13"/>
    </row>
    <row r="12" spans="1:13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3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3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3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3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C322" s="13"/>
      <c r="D322" s="13"/>
      <c r="E322" s="13"/>
      <c r="F322" s="14"/>
      <c r="G322" s="13"/>
      <c r="H322" s="13"/>
      <c r="I322" s="14"/>
      <c r="J322" s="13"/>
      <c r="K322" s="13"/>
    </row>
  </sheetData>
  <mergeCells count="4">
    <mergeCell ref="G1:I1"/>
    <mergeCell ref="A1:C1"/>
    <mergeCell ref="D1:F1"/>
    <mergeCell ref="A2:B2"/>
  </mergeCells>
  <conditionalFormatting sqref="F2 I2 F4:F10 I4:I80 F12:F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5368" xr:uid="{0B335F25-072C-43F4-BCF4-CF02F23A8C73}"/>
    <hyperlink ref="L4" r:id="rId2" display="https://us3.assetplanner.com/service_request?ID=097850" xr:uid="{8D386428-C1E3-4DE5-A6F4-8A0F943C6AC8}"/>
    <hyperlink ref="K5" r:id="rId3" display="https://us3.assetplanner.com/service_request?ID=096409" xr:uid="{00B36354-212D-4259-8C69-FF96552C5F4F}"/>
    <hyperlink ref="L5" r:id="rId4" display="https://us3.assetplanner.com/service_request?ID=097783" xr:uid="{7F1D8DF0-803B-4373-9E4A-CAAFD6359627}"/>
    <hyperlink ref="M5" r:id="rId5" display="https://us3.assetplanner.com/service_request?ID=095501" xr:uid="{FBB181E9-394E-4377-ABF1-88458EB2C026}"/>
    <hyperlink ref="K7" r:id="rId6" display="https://us3.assetplanner.com/service_request?ID=096179" xr:uid="{A31073AA-2241-443D-8EC6-98AB86B727F4}"/>
    <hyperlink ref="L7" r:id="rId7" display="https://us3.assetplanner.com/service_request?ID=096262" xr:uid="{CDF86FD0-8EC6-4DD2-8A2B-E2A88348378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7"/>
  <sheetViews>
    <sheetView workbookViewId="0">
      <pane xSplit="2" ySplit="3" topLeftCell="C4" activePane="bottomRight" state="frozen"/>
      <selection pane="bottomRight" activeCell="D19" sqref="D19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81" t="str" cm="1">
        <f t="array" ref="A1">portfolio</f>
        <v>Clean Capital</v>
      </c>
      <c r="B1" s="81"/>
      <c r="C1" s="81"/>
      <c r="D1" s="82" t="s">
        <v>40</v>
      </c>
      <c r="E1" s="82"/>
      <c r="F1" s="82"/>
      <c r="G1" s="80" t="s">
        <v>41</v>
      </c>
      <c r="H1" s="80"/>
      <c r="I1" s="80"/>
      <c r="J1" s="4"/>
      <c r="K1" s="4"/>
    </row>
    <row r="2" spans="1:13" ht="19.5" customHeight="1">
      <c r="A2" s="83" t="s">
        <v>2</v>
      </c>
      <c r="B2" s="8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3" ht="15.6">
      <c r="A4" s="50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9"/>
      <c r="K4" s="59"/>
      <c r="M4" s="58"/>
    </row>
    <row r="5" spans="1:13" ht="15.6">
      <c r="A5" s="51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0"/>
      <c r="K5" s="60"/>
      <c r="M5" s="58"/>
    </row>
    <row r="6" spans="1:13" ht="15.6">
      <c r="A6" s="52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9"/>
      <c r="K6" s="59"/>
      <c r="M6" s="58"/>
    </row>
    <row r="7" spans="1:13" ht="15.6">
      <c r="A7" s="51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0"/>
      <c r="K7" s="61"/>
      <c r="M7" s="58"/>
    </row>
    <row r="8" spans="1:13" ht="15.6">
      <c r="A8" s="52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9"/>
      <c r="K8" s="59"/>
      <c r="M8" s="58"/>
    </row>
    <row r="9" spans="1:13" ht="15.6">
      <c r="A9" s="51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0"/>
      <c r="K9" s="61"/>
      <c r="M9" s="58"/>
    </row>
    <row r="10" spans="1:13" ht="15.6">
      <c r="A10" s="52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9"/>
      <c r="K10" s="59"/>
      <c r="M10" s="58"/>
    </row>
    <row r="11" spans="1:13" ht="15.6">
      <c r="A11" s="51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0"/>
      <c r="K11" s="61"/>
      <c r="M11" s="58"/>
    </row>
    <row r="12" spans="1:13" ht="15.6">
      <c r="A12" s="52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9"/>
      <c r="K12" s="59"/>
      <c r="M12" s="58"/>
    </row>
    <row r="13" spans="1:13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  <c r="M13" s="58"/>
    </row>
    <row r="14" spans="1:13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  <c r="M14" s="58"/>
    </row>
    <row r="15" spans="1:13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  <c r="M15" s="58"/>
    </row>
    <row r="16" spans="1:13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  <c r="M16" s="58"/>
    </row>
    <row r="17" spans="1:13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  <c r="M17" s="58"/>
    </row>
    <row r="18" spans="1:13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  <c r="M18" s="58"/>
    </row>
    <row r="19" spans="1:13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  <c r="M19" s="58"/>
    </row>
    <row r="20" spans="1:13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  <c r="M20" s="58"/>
    </row>
    <row r="21" spans="1:13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  <c r="M21" s="58"/>
    </row>
    <row r="22" spans="1:13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  <c r="M22" s="58"/>
    </row>
    <row r="23" spans="1:13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  <c r="M23" s="58"/>
    </row>
    <row r="24" spans="1:13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  <c r="M24" s="58"/>
    </row>
    <row r="25" spans="1:13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58"/>
    </row>
    <row r="26" spans="1:13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58"/>
    </row>
    <row r="27" spans="1:13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58"/>
    </row>
    <row r="28" spans="1:13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58"/>
    </row>
    <row r="29" spans="1:13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58"/>
    </row>
    <row r="30" spans="1:13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58"/>
    </row>
    <row r="31" spans="1:13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58"/>
    </row>
    <row r="32" spans="1:13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58"/>
    </row>
    <row r="33" spans="1:13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58"/>
    </row>
    <row r="34" spans="1:13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58"/>
    </row>
    <row r="35" spans="1:13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3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3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3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3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3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3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3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xSplit="2" ySplit="3" topLeftCell="C4" activePane="bottomRight" state="frozen"/>
      <selection pane="bottomRight" activeCell="F23" sqref="F2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43</v>
      </c>
      <c r="E1" s="82"/>
      <c r="F1" s="82"/>
      <c r="G1" s="80" t="s">
        <v>44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62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56"/>
      <c r="K5" s="56"/>
    </row>
    <row r="6" spans="1:11" ht="30" customHeight="1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27.75" customHeight="1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xSplit="2" ySplit="3" topLeftCell="C4" activePane="bottomRight" state="frozen"/>
      <selection pane="bottomRight" activeCell="A13" sqref="A13:XFD19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45</v>
      </c>
      <c r="E1" s="82"/>
      <c r="F1" s="82"/>
      <c r="G1" s="80" t="s">
        <v>46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>IF(AND(ISNUMBER(C5),ISNUMBER(D5)), C5-D5, "")</f>
        <v/>
      </c>
      <c r="F5" s="43" t="str">
        <f>IFERROR(E5/D5, "")</f>
        <v/>
      </c>
      <c r="G5" s="44"/>
      <c r="H5" s="44" t="str">
        <f t="shared" ref="H5:H12" si="0">IF(AND(ISNUMBER(C5),ISNUMBER(G5)), C5-G5, "")</f>
        <v/>
      </c>
      <c r="I5" s="43" t="str">
        <f t="shared" ref="I5:I12" si="1">IFERROR(H5/G5, "")</f>
        <v/>
      </c>
      <c r="J5" s="56"/>
      <c r="K5" s="5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ref="E6:E12" si="2">IF(AND(ISNUMBER(C6),ISNUMBER(D6)), C6-D6, "")</f>
        <v/>
      </c>
      <c r="F6" s="36" t="str">
        <f t="shared" ref="F6:F12" si="3">IFERROR(E6/D6, "")</f>
        <v/>
      </c>
      <c r="G6" s="37"/>
      <c r="H6" s="37" t="str">
        <f t="shared" si="0"/>
        <v/>
      </c>
      <c r="I6" s="38" t="str">
        <f t="shared" si="1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2"/>
        <v/>
      </c>
      <c r="F7" s="43" t="str">
        <f t="shared" si="3"/>
        <v/>
      </c>
      <c r="G7" s="44"/>
      <c r="H7" s="44" t="str">
        <f t="shared" si="0"/>
        <v/>
      </c>
      <c r="I7" s="43" t="str">
        <f t="shared" si="1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2"/>
        <v/>
      </c>
      <c r="F8" s="36" t="str">
        <f t="shared" si="3"/>
        <v/>
      </c>
      <c r="G8" s="37"/>
      <c r="H8" s="37" t="str">
        <f t="shared" si="0"/>
        <v/>
      </c>
      <c r="I8" s="38" t="str">
        <f t="shared" si="1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2"/>
        <v/>
      </c>
      <c r="F9" s="43" t="str">
        <f t="shared" si="3"/>
        <v/>
      </c>
      <c r="G9" s="44"/>
      <c r="H9" s="44" t="str">
        <f t="shared" si="0"/>
        <v/>
      </c>
      <c r="I9" s="43" t="str">
        <f t="shared" si="1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2"/>
        <v/>
      </c>
      <c r="F10" s="36" t="str">
        <f t="shared" si="3"/>
        <v/>
      </c>
      <c r="G10" s="37"/>
      <c r="H10" s="37" t="str">
        <f t="shared" si="0"/>
        <v/>
      </c>
      <c r="I10" s="38" t="str">
        <f t="shared" si="1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2"/>
        <v/>
      </c>
      <c r="F11" s="43" t="str">
        <f t="shared" si="3"/>
        <v/>
      </c>
      <c r="G11" s="44"/>
      <c r="H11" s="44" t="str">
        <f t="shared" si="0"/>
        <v/>
      </c>
      <c r="I11" s="43" t="str">
        <f t="shared" si="1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2"/>
        <v/>
      </c>
      <c r="F12" s="36" t="str">
        <f t="shared" si="3"/>
        <v/>
      </c>
      <c r="G12" s="37"/>
      <c r="H12" s="37" t="str">
        <f t="shared" si="0"/>
        <v/>
      </c>
      <c r="I12" s="38" t="str">
        <f t="shared" si="1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47</v>
      </c>
      <c r="E1" s="82"/>
      <c r="F1" s="82"/>
      <c r="G1" s="80" t="s">
        <v>48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3"/>
      <c r="K4" s="63"/>
    </row>
    <row r="5" spans="1:11" ht="15.6">
      <c r="A5" s="47" t="str">
        <v>Pacoima - Whiteman Airport</v>
      </c>
      <c r="B5" s="48" t="str">
        <v>CA</v>
      </c>
      <c r="C5" s="41"/>
      <c r="D5" s="64"/>
      <c r="E5" s="42" t="str">
        <f t="shared" ref="E5:E12" si="0">IF(AND(ISNUMBER(C5),ISNUMBER(D5)), C5-D5, "")</f>
        <v/>
      </c>
      <c r="F5" s="43" t="str">
        <f>IFERROR(E5/D5, "")</f>
        <v/>
      </c>
      <c r="G5" s="6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9"/>
      <c r="K5" s="70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63"/>
      <c r="K6" s="63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9"/>
      <c r="K7" s="69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3"/>
      <c r="K8" s="63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9"/>
      <c r="K9" s="69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3"/>
      <c r="K10" s="63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9"/>
      <c r="K11" s="69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3"/>
      <c r="K12" s="6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49</v>
      </c>
      <c r="E1" s="82"/>
      <c r="F1" s="82"/>
      <c r="G1" s="80" t="s">
        <v>50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78" customHeight="1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42.75" customHeight="1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6"/>
      <c r="K5" s="5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85 I4:I85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zoomScale="90" zoomScaleNormal="9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51</v>
      </c>
      <c r="E1" s="82"/>
      <c r="F1" s="82"/>
      <c r="G1" s="80" t="s">
        <v>52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5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6"/>
  <sheetViews>
    <sheetView zoomScale="70" zoomScaleNormal="7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53</v>
      </c>
      <c r="E1" s="82"/>
      <c r="F1" s="82"/>
      <c r="G1" s="80" t="s">
        <v>54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67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5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>IFERROR(H11/G11, "")</f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6"/>
  <sheetViews>
    <sheetView zoomScale="80" zoomScaleNormal="80" workbookViewId="0">
      <pane xSplit="2" ySplit="3" topLeftCell="C6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55</v>
      </c>
      <c r="E1" s="82"/>
      <c r="F1" s="82"/>
      <c r="G1" s="80" t="s">
        <v>56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8"/>
      <c r="K4" s="68"/>
    </row>
    <row r="5" spans="1:11" ht="84" customHeight="1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68"/>
      <c r="K6" s="68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6"/>
      <c r="K7" s="65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8"/>
      <c r="K8" s="68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6"/>
      <c r="K9" s="65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8"/>
      <c r="K10" s="68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6"/>
      <c r="K11" s="65"/>
    </row>
    <row r="12" spans="1:11" ht="51" customHeight="1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8"/>
      <c r="K12" s="68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6"/>
  <sheetViews>
    <sheetView workbookViewId="0">
      <pane xSplit="2" ySplit="3" topLeftCell="C4" activePane="bottomRight" state="frozen"/>
      <selection pane="bottomRight" activeCell="A13" sqref="A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57</v>
      </c>
      <c r="E1" s="82"/>
      <c r="F1" s="82"/>
      <c r="G1" s="80" t="s">
        <v>58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8"/>
      <c r="K4" s="68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6"/>
      <c r="K5" s="66"/>
    </row>
    <row r="6" spans="1:11" ht="49.5" customHeight="1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68"/>
      <c r="K6" s="68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6"/>
      <c r="K7" s="65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8"/>
      <c r="K8" s="68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6"/>
      <c r="K9" s="71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8"/>
      <c r="K10" s="68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6"/>
      <c r="K11" s="65"/>
    </row>
    <row r="12" spans="1:11" ht="123" customHeight="1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8"/>
      <c r="K12" s="68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6"/>
  <sheetViews>
    <sheetView workbookViewId="0">
      <pane xSplit="2" ySplit="3" topLeftCell="C4" activePane="bottomRight" state="frozen"/>
      <selection pane="bottomRight" activeCell="A13" sqref="A13:XFD20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Clean Capital</v>
      </c>
      <c r="B1" s="81"/>
      <c r="C1" s="81"/>
      <c r="D1" s="82" t="s">
        <v>59</v>
      </c>
      <c r="E1" s="82"/>
      <c r="F1" s="82"/>
      <c r="G1" s="80" t="s">
        <v>60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42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 t="shared" ref="F5:F12" si="1">IFERROR(E5/D5, "")</f>
        <v/>
      </c>
      <c r="G5" s="44"/>
      <c r="H5" s="44" t="str">
        <f t="shared" ref="H5:H12" si="2">IF(AND(ISNUMBER(C5),ISNUMBER(G5)), C5-G5, "")</f>
        <v/>
      </c>
      <c r="I5" s="43" t="str">
        <f t="shared" ref="I5:I12" si="3">IFERROR(H5/G5, "")</f>
        <v/>
      </c>
      <c r="J5" s="6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si="1"/>
        <v/>
      </c>
      <c r="G6" s="37"/>
      <c r="H6" s="37" t="str">
        <f t="shared" si="2"/>
        <v/>
      </c>
      <c r="I6" s="38" t="str">
        <f t="shared" si="3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1"/>
        <v/>
      </c>
      <c r="G7" s="44"/>
      <c r="H7" s="44" t="str">
        <f t="shared" si="2"/>
        <v/>
      </c>
      <c r="I7" s="43" t="str">
        <f t="shared" si="3"/>
        <v/>
      </c>
      <c r="J7" s="66"/>
      <c r="K7" s="66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1"/>
        <v/>
      </c>
      <c r="G8" s="37"/>
      <c r="H8" s="37" t="str">
        <f t="shared" si="2"/>
        <v/>
      </c>
      <c r="I8" s="38" t="str">
        <f t="shared" si="3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1"/>
        <v/>
      </c>
      <c r="G9" s="44"/>
      <c r="H9" s="44" t="str">
        <f t="shared" si="2"/>
        <v/>
      </c>
      <c r="I9" s="43" t="str">
        <f t="shared" si="3"/>
        <v/>
      </c>
      <c r="J9" s="66"/>
      <c r="K9" s="66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1"/>
        <v/>
      </c>
      <c r="G10" s="37"/>
      <c r="H10" s="37" t="str">
        <f t="shared" si="2"/>
        <v/>
      </c>
      <c r="I10" s="38" t="str">
        <f t="shared" si="3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1"/>
        <v/>
      </c>
      <c r="G11" s="44"/>
      <c r="H11" s="44" t="str">
        <f t="shared" si="2"/>
        <v/>
      </c>
      <c r="I11" s="43" t="str">
        <f t="shared" si="3"/>
        <v/>
      </c>
      <c r="J11" s="66"/>
      <c r="K11" s="66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1"/>
        <v/>
      </c>
      <c r="G12" s="37"/>
      <c r="H12" s="37" t="str">
        <f t="shared" si="2"/>
        <v/>
      </c>
      <c r="I12" s="38" t="str">
        <f t="shared" si="3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9"/>
  <sheetViews>
    <sheetView workbookViewId="0">
      <pane ySplit="3" topLeftCell="A4" activePane="bottomLeft" state="frozen"/>
      <selection pane="bottomLeft" activeCell="C13" sqref="C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61</v>
      </c>
      <c r="B1" t="s">
        <v>62</v>
      </c>
    </row>
    <row r="3" spans="1:12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12" ht="14.45">
      <c r="A4" s="24" t="s">
        <v>66</v>
      </c>
      <c r="B4" t="s">
        <v>67</v>
      </c>
      <c r="C4" s="23" t="s">
        <v>68</v>
      </c>
      <c r="D4" s="22" t="s">
        <v>69</v>
      </c>
      <c r="E4" t="s">
        <v>70</v>
      </c>
      <c r="G4" s="3"/>
    </row>
    <row r="5" spans="1:12" ht="14.45">
      <c r="A5" s="24" t="s">
        <v>71</v>
      </c>
      <c r="B5" t="s">
        <v>72</v>
      </c>
      <c r="C5" s="23" t="s">
        <v>73</v>
      </c>
      <c r="D5" s="22" t="s">
        <v>69</v>
      </c>
      <c r="E5" t="s">
        <v>74</v>
      </c>
      <c r="G5" s="3"/>
    </row>
    <row r="6" spans="1:12" ht="12.75" customHeight="1">
      <c r="A6" s="24" t="s">
        <v>75</v>
      </c>
      <c r="B6" t="s">
        <v>75</v>
      </c>
      <c r="C6" s="23" t="s">
        <v>68</v>
      </c>
      <c r="D6" s="22"/>
      <c r="E6" t="s">
        <v>76</v>
      </c>
      <c r="K6" s="20"/>
      <c r="L6" s="20"/>
    </row>
    <row r="7" spans="1:12" ht="12.75" customHeight="1">
      <c r="A7" s="72" t="s">
        <v>77</v>
      </c>
      <c r="B7" s="73" t="s">
        <v>78</v>
      </c>
      <c r="C7" s="23" t="s">
        <v>68</v>
      </c>
      <c r="E7" t="s">
        <v>70</v>
      </c>
      <c r="K7" s="20"/>
      <c r="L7" s="20"/>
    </row>
    <row r="8" spans="1:12" ht="12.75" customHeight="1">
      <c r="K8" s="20"/>
      <c r="L8" s="20"/>
    </row>
    <row r="9" spans="1:12" ht="12.75" customHeight="1">
      <c r="K9" s="20"/>
      <c r="L9" s="2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2025-04-02T14:04:08Z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2025-02-19T13:13:26Z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d8975808-c643-4fb8-ab79-3a8e3636f2c1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