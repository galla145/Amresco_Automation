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9750A638-FDA5-4F95-B034-05E7D9AF35AF}" xr6:coauthVersionLast="47" xr6:coauthVersionMax="47" xr10:uidLastSave="{00000000-0000-0000-0000-000000000000}"/>
  <bookViews>
    <workbookView xWindow="28680" yWindow="-120" windowWidth="29040" windowHeight="15720" tabRatio="866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C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H2" i="33"/>
  <c r="I2" i="33" s="1"/>
  <c r="H2" i="3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<sst xmlns="http://schemas.openxmlformats.org/spreadsheetml/2006/main" count="239" uniqueCount="52">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</sst>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activeCell="A6" sqref="A6"/>
      <selection pane="bottomLeft" activeCell="E20" sqref="E2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 x14ac:dyDescent="0.25">
      <c r="A2" s="45" t="s">
        <v>2</v>
      </c>
      <c r="B2" s="45"/>
      <c r="C2" s="6">
        <f>SUM(C4:C60)</f>
        <v>56650.528000000006</v>
      </c>
      <c r="D2" s="6">
        <f>SUM(D4:D60)</f>
        <v>0</v>
      </c>
      <c r="E2" s="6">
        <f>C2-D2</f>
        <v>56650.528000000006</v>
      </c>
      <c r="F2" s="7">
        <f>IFERROR(E2/D2, 0)</f>
        <v>0</v>
      </c>
      <c r="G2" s="6">
        <f>SUM(G4:G60)</f>
        <v>0</v>
      </c>
      <c r="H2" s="8">
        <f>C2-G2</f>
        <v>56650.528000000006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56650.528000000006</v>
      </c>
      <c r="D4" s="14">
        <f>SUM('1st Qtr'!D4, '2nd Qtr'!D4, '3rd Qtr'!D4, '4th Qtr'!D4)</f>
        <v>0</v>
      </c>
      <c r="E4" s="14">
        <f>IF(AND(ISNUMBER(C4),ISNUMBER(D4)), C4-D4, "")</f>
        <v>56650.528000000006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56650.528000000006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tabSelected="1" workbookViewId="0">
      <pane ySplit="2" topLeftCell="A3" activePane="bottomLeft" state="frozen"/>
      <selection activeCell="A16" sqref="A16:XFD24"/>
      <selection pane="bottomLeft" activeCell="G20" sqref="G2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 x14ac:dyDescent="0.25">
      <c r="A2" s="45" t="s">
        <v>2</v>
      </c>
      <c r="B2" s="45"/>
      <c r="C2" s="6">
        <f>SUM(C4:C68)</f>
        <v>56650.528000000006</v>
      </c>
      <c r="D2" s="6">
        <f>SUM(D4:D68)</f>
        <v>0</v>
      </c>
      <c r="E2" s="6">
        <f>C2-D2</f>
        <v>56650.528000000006</v>
      </c>
      <c r="F2" s="7">
        <f>IFERROR(E2/D2, 0)</f>
        <v>0</v>
      </c>
      <c r="G2" s="6">
        <f>SUM(G4:G68)</f>
        <v>0</v>
      </c>
      <c r="H2" s="8">
        <f>C2-G2</f>
        <v>56650.528000000006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56650.528000000006</v>
      </c>
      <c r="D4" s="14">
        <f>SUM(Jan!D4, Feb!D4, Mar!D4)</f>
        <v>0</v>
      </c>
      <c r="E4" s="14">
        <f>IF(AND(ISNUMBER(C4),ISNUMBER(D4)), C4-D4, "")</f>
        <v>56650.528000000006</v>
      </c>
      <c r="F4" s="15" t="str">
        <f>IFERROR(E4/D4, "")</f>
        <v/>
      </c>
      <c r="G4" s="16">
        <f>SUM(Jan!G4, Feb!G4, Mar!G4)</f>
        <v>0</v>
      </c>
      <c r="H4" s="16">
        <f>SUM(Jan!H4, Feb!H4, Mar!H4)</f>
        <v>56650.528000000006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J20" sqref="J20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 x14ac:dyDescent="0.2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 x14ac:dyDescent="0.25">
      <c r="A5" s="19"/>
      <c r="B5" s="11"/>
      <c r="C5" s="12"/>
      <c r="D5" s="20"/>
      <c r="E5" s="20"/>
      <c r="F5" s="21"/>
      <c r="G5" s="22"/>
      <c r="H5" s="22"/>
      <c r="I5" s="21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 x14ac:dyDescent="0.25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D23" sqref="D23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 x14ac:dyDescent="0.25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activeCell="F27" sqref="F26:F27"/>
      <selection pane="bottomLeft" activeCell="G18" sqref="G18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SUM(C4:C89)</f>
        <v>29177.128000000001</v>
      </c>
      <c r="D2" s="6">
        <f>SUM(D4:D89)</f>
        <v>0</v>
      </c>
      <c r="E2" s="6">
        <f>C2-D2</f>
        <v>29177.128000000001</v>
      </c>
      <c r="F2" s="7">
        <f>IFERROR(E2/D2, 0)</f>
        <v>0</v>
      </c>
      <c r="G2" s="6">
        <f>SUM(G4:G89)</f>
        <v>0</v>
      </c>
      <c r="H2" s="8">
        <f>C2-G2</f>
        <v>29177.128000000001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>
        <v>29177.128000000001</v>
      </c>
      <c r="D4" s="14">
        <v>0</v>
      </c>
      <c r="E4" s="14">
        <f>IF(AND(ISNUMBER(C4),ISNUMBER(D4)), C4-D4, "")</f>
        <v>29177.128000000001</v>
      </c>
      <c r="F4" s="15" t="str">
        <f>IFERROR(E4/D4, "")</f>
        <v/>
      </c>
      <c r="G4" s="16">
        <v>0</v>
      </c>
      <c r="H4" s="16">
        <f>IF(AND(ISNUMBER(C4),ISNUMBER(G4)), C4-G4, "")</f>
        <v>29177.128000000001</v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activeCell="F27" sqref="F26:F27"/>
      <selection pane="bottomLeft" activeCell="J4" sqref="J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MS Walker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SUM(C4:C85)</f>
        <v>27473.4</v>
      </c>
      <c r="D2" s="6">
        <f>SUM(D4:D85)</f>
        <v>0</v>
      </c>
      <c r="E2" s="6">
        <f>C2-D2</f>
        <v>27473.4</v>
      </c>
      <c r="F2" s="7">
        <f>IFERROR(E2/D2, 0)</f>
        <v>0</v>
      </c>
      <c r="G2" s="6">
        <f>SUM(G4:G85)</f>
        <v>0</v>
      </c>
      <c r="H2" s="8">
        <f>C2-G2</f>
        <v>27473.4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27473.4</v>
      </c>
      <c r="D4" s="14">
        <v>0</v>
      </c>
      <c r="E4" s="14">
        <f>IF(AND(ISNUMBER(C4),ISNUMBER(D4)), C4-D4, "")</f>
        <v>27473.4</v>
      </c>
      <c r="F4" s="15" t="str">
        <f>IFERROR(E4/D4, "")</f>
        <v/>
      </c>
      <c r="G4" s="16">
        <v>0</v>
      </c>
      <c r="H4" s="16">
        <f>IF(AND(ISNUMBER(C4),ISNUMBER(G4)), C4-G4, "")</f>
        <v>27473.4</v>
      </c>
      <c r="I4" s="17" t="str">
        <f>IFERROR(H4/G4, "")</f>
        <v/>
      </c>
      <c r="J4" s="18"/>
      <c r="K4" s="18"/>
    </row>
    <row r="5" spans="1:11" ht="14.4" x14ac:dyDescent="0.3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MS Walker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MS Walker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MS Walker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MS Walker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MS Walker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opLeftCell="B1" zoomScale="90" zoomScaleNormal="90"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MS Walker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" x14ac:dyDescent="0.3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" x14ac:dyDescent="0.3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" x14ac:dyDescent="0.3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" x14ac:dyDescent="0.3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" x14ac:dyDescent="0.3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" x14ac:dyDescent="0.3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MS Walker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MS Walker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90" zoomScaleNormal="90"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MS Walker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90" zoomScaleNormal="90" workbookViewId="0">
      <pane ySplit="2" topLeftCell="A3" activePane="bottomLeft" state="frozen"/>
      <selection activeCell="C32" sqref="C32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MS Walker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 x14ac:dyDescent="0.2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activeCell="A16" sqref="A16:XFD24"/>
      <selection pane="bottomLeft" activeCell="E16" sqref="E16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44</v>
      </c>
      <c r="B1" t="s">
        <v>45</v>
      </c>
    </row>
    <row r="3" spans="1:7" ht="13.2" x14ac:dyDescent="0.2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" x14ac:dyDescent="0.3">
      <c r="A4" t="s">
        <v>45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4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5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6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7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8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9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1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3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4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5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6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7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8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9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20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3</cp:lastModifiedBy>
  <cp:revision/>
  <dcterms:created xsi:type="dcterms:W3CDTF">2021-01-01T16:39:53Z</dcterms:created>
  <dcterms:modified xsi:type="dcterms:W3CDTF">2025-03-17T09:34:57Z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