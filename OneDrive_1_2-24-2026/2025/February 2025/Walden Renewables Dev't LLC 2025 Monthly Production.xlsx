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27921290-E4D3-4D3E-9E67-3409394AA1B2}" xr6:coauthVersionLast="47" xr6:coauthVersionMax="47" xr10:uidLastSave="{3036A122-1B83-42A9-8691-C9267F6A2BDA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F4" i="20"/>
  <c r="H4" i="20"/>
  <c r="I4" i="20"/>
  <c r="E4" i="72"/>
  <c r="F4" i="72"/>
  <c r="H4" i="72"/>
  <c r="I4" i="72"/>
  <c r="G4" i="30"/>
  <c r="G2" i="30" s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G4" i="34" l="1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<sst xmlns="http://schemas.openxmlformats.org/spreadsheetml/2006/main" count="245" uniqueCount="59">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</sst>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7" sqref="G17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SUM(C4:C60)</f>
        <v>526018</v>
      </c>
      <c r="D2" s="6">
        <f>SUM(D4:D60)</f>
        <v>1161674.2999999998</v>
      </c>
      <c r="E2" s="6">
        <f>C2-D2</f>
        <v>-635656.29999999981</v>
      </c>
      <c r="F2" s="7">
        <f>IFERROR(E2/D2, 0)</f>
        <v>-0.54718977599831542</v>
      </c>
      <c r="G2" s="6">
        <f>SUM(G4:G60)</f>
        <v>793455</v>
      </c>
      <c r="H2" s="8">
        <f>C2-G2</f>
        <v>-267437</v>
      </c>
      <c r="I2" s="7">
        <f>IFERROR(H2/G2, 0)</f>
        <v>-0.33705377116534652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526018</v>
      </c>
      <c r="D4" s="14">
        <f>SUM('1st Qtr'!D4, '2nd Qtr'!D4, '3rd Qtr'!D4, '4th Qtr'!D4)</f>
        <v>1161674.2999999998</v>
      </c>
      <c r="E4" s="14">
        <f>IF(AND(ISNUMBER(C4),ISNUMBER(D4)), C4-D4, "")</f>
        <v>-635656.29999999981</v>
      </c>
      <c r="F4" s="15">
        <f>IFERROR(E4/D4, "")</f>
        <v>-0.54718977599831542</v>
      </c>
      <c r="G4" s="16">
        <f>SUM('1st Qtr'!G4,'2nd Qtr'!G4,'3rd Qtr'!G4,'4th Qtr'!G4)</f>
        <v>793455</v>
      </c>
      <c r="H4" s="16">
        <f>SUM('1st Qtr'!H4, '2nd Qtr'!H4, '3rd Qtr'!H4, '4th Qtr'!H4)</f>
        <v>-267437</v>
      </c>
      <c r="I4" s="17">
        <f>IFERROR(H4/G4, "")</f>
        <v>-0.33705377116534652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SUM(C4:C68)</f>
        <v>526018</v>
      </c>
      <c r="D2" s="6">
        <f>SUM(D4:D68)</f>
        <v>1161674.2999999998</v>
      </c>
      <c r="E2" s="6">
        <f>C2-D2</f>
        <v>-635656.29999999981</v>
      </c>
      <c r="F2" s="7">
        <f>IFERROR(E2/D2, 0)</f>
        <v>-0.54718977599831542</v>
      </c>
      <c r="G2" s="6">
        <f>SUM(G4:G68)</f>
        <v>793455</v>
      </c>
      <c r="H2" s="8">
        <f>C2-G2</f>
        <v>-267437</v>
      </c>
      <c r="I2" s="7">
        <f>IFERROR(H2/G2, 0)</f>
        <v>-0.33705377116534652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526018</v>
      </c>
      <c r="D4" s="14">
        <f>SUM(Jan!D4, Feb!D4, Mar!D4)</f>
        <v>1161674.2999999998</v>
      </c>
      <c r="E4" s="14">
        <f>IF(AND(ISNUMBER(C4),ISNUMBER(D4)), C4-D4, "")</f>
        <v>-635656.29999999981</v>
      </c>
      <c r="F4" s="15">
        <f>IFERROR(E4/D4, "")</f>
        <v>-0.54718977599831542</v>
      </c>
      <c r="G4" s="16">
        <f>SUM(Jan!G4, Feb!G4, Mar!G4)</f>
        <v>793455</v>
      </c>
      <c r="H4" s="16">
        <f>SUM(Jan!H4, Feb!H4, Mar!H4)</f>
        <v>-267437</v>
      </c>
      <c r="I4" s="17">
        <f>IFERROR(H4/G4, "")</f>
        <v>-0.33705377116534652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Walden Renewables Dev't LLC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tabSelected="1" workbookViewId="0">
      <pane ySplit="2" topLeftCell="A3" activePane="bottomLeft" state="frozen"/>
      <selection pane="bottomLeft" activeCell="J9" sqref="J9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46" t="str" cm="1">
        <f t="array" ref="A1">portfolio</f>
        <v>Walden Renewables Dev't LLC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2" ht="19.5" customHeight="1">
      <c r="A2" s="48" t="s">
        <v>2</v>
      </c>
      <c r="B2" s="48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10" sqref="F10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Walden Renewables Dev't LLC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45">
      <c r="A4" t="s">
        <v>54</v>
      </c>
      <c r="B4" t="s">
        <v>55</v>
      </c>
      <c r="C4" s="4" t="s">
        <v>56</v>
      </c>
      <c r="D4" t="s">
        <v>57</v>
      </c>
      <c r="E4" t="s">
        <v>58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2025-04-09T03:07:05Z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