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" documentId="13_ncr:1_{7444FC1C-03AF-4B6B-AA14-F5CE9A2D7389}" xr6:coauthVersionLast="47" xr6:coauthVersionMax="47" xr10:uidLastSave="{0520A023-7590-4B51-8CC0-49BFA46FA1DA}"/>
  <bookViews>
    <workbookView xWindow="28680" yWindow="-120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2" l="1"/>
  <c r="I6" i="1"/>
  <c r="F4" i="1"/>
  <c r="F5" i="1"/>
  <c r="F6" i="1"/>
  <c r="F6" i="3"/>
  <c r="F4" i="3"/>
  <c r="I4" i="72"/>
  <c r="F4" i="72"/>
  <c r="E7" i="3"/>
  <c r="F7" i="3" s="1"/>
  <c r="G6" i="18"/>
  <c r="G7" i="18"/>
  <c r="G5" i="18"/>
  <c r="G4" i="18"/>
  <c r="G2" i="18" s="1"/>
  <c r="G6" i="30"/>
  <c r="G7" i="30"/>
  <c r="G5" i="30"/>
  <c r="G4" i="30"/>
  <c r="G6" i="29"/>
  <c r="G7" i="29"/>
  <c r="G4" i="29"/>
  <c r="G5" i="29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H4" i="3"/>
  <c r="I4" i="3" s="1"/>
  <c r="E5" i="3"/>
  <c r="F5" i="3" s="1"/>
  <c r="H5" i="3"/>
  <c r="I5" i="3" s="1"/>
  <c r="E6" i="3"/>
  <c r="H6" i="3"/>
  <c r="I6" i="3" s="1"/>
  <c r="H7" i="3"/>
  <c r="I7" i="3" s="1"/>
  <c r="E8" i="3"/>
  <c r="G8" i="3"/>
  <c r="H8" i="3" s="1"/>
  <c r="E9" i="72"/>
  <c r="F9" i="72" s="1"/>
  <c r="H9" i="72"/>
  <c r="I9" i="72" s="1"/>
  <c r="G6" i="1"/>
  <c r="G6" i="34" s="1"/>
  <c r="G7" i="1"/>
  <c r="G7" i="34" s="1"/>
  <c r="G5" i="1"/>
  <c r="G4" i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7" i="29"/>
  <c r="C7" i="29"/>
  <c r="D6" i="29"/>
  <c r="C6" i="29"/>
  <c r="D5" i="29"/>
  <c r="C5" i="29"/>
  <c r="D4" i="29"/>
  <c r="C4" i="29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E7" i="72"/>
  <c r="F7" i="72" s="1"/>
  <c r="E8" i="72"/>
  <c r="F8" i="72" s="1"/>
  <c r="H6" i="72"/>
  <c r="H7" i="72"/>
  <c r="I7" i="72" s="1"/>
  <c r="H8" i="72"/>
  <c r="I8" i="72" s="1"/>
  <c r="H5" i="72"/>
  <c r="I5" i="72" s="1"/>
  <c r="H4" i="72"/>
  <c r="G2" i="72"/>
  <c r="D2" i="72"/>
  <c r="C2" i="72"/>
  <c r="J2" i="72" s="1"/>
  <c r="E4" i="72"/>
  <c r="A1" i="72" a="1"/>
  <c r="A1" i="72" s="1"/>
  <c r="I4" i="21" l="1"/>
  <c r="H4" i="18"/>
  <c r="H2" i="28"/>
  <c r="I2" i="28" s="1"/>
  <c r="G4" i="34"/>
  <c r="G5" i="34"/>
  <c r="H2" i="26"/>
  <c r="I2" i="26" s="1"/>
  <c r="H6" i="29"/>
  <c r="I6" i="29" s="1"/>
  <c r="D6" i="34"/>
  <c r="G2" i="30"/>
  <c r="H2" i="33"/>
  <c r="I2" i="33" s="1"/>
  <c r="C7" i="34"/>
  <c r="D7" i="34"/>
  <c r="H2" i="32"/>
  <c r="I2" i="32" s="1"/>
  <c r="C5" i="34"/>
  <c r="D5" i="34"/>
  <c r="H2" i="31"/>
  <c r="I2" i="31" s="1"/>
  <c r="E6" i="29"/>
  <c r="F6" i="29" s="1"/>
  <c r="C6" i="34"/>
  <c r="H7" i="29"/>
  <c r="I7" i="29" s="1"/>
  <c r="D2" i="29"/>
  <c r="E5" i="29"/>
  <c r="F5" i="29" s="1"/>
  <c r="E6" i="18"/>
  <c r="F6" i="18" s="1"/>
  <c r="H2" i="21"/>
  <c r="I2" i="21" s="1"/>
  <c r="E7" i="18"/>
  <c r="F7" i="18" s="1"/>
  <c r="D2" i="18"/>
  <c r="J2" i="21"/>
  <c r="H2" i="4"/>
  <c r="I2" i="4" s="1"/>
  <c r="J2" i="4"/>
  <c r="E5" i="30"/>
  <c r="F5" i="30" s="1"/>
  <c r="E2" i="28"/>
  <c r="F2" i="28" s="1"/>
  <c r="J2" i="20"/>
  <c r="J2" i="19"/>
  <c r="I8" i="29"/>
  <c r="J2" i="26"/>
  <c r="H2" i="20"/>
  <c r="I2" i="20" s="1"/>
  <c r="H2" i="27"/>
  <c r="I2" i="27" s="1"/>
  <c r="E5" i="18"/>
  <c r="F5" i="18" s="1"/>
  <c r="J2" i="28"/>
  <c r="D2" i="30"/>
  <c r="J2" i="31"/>
  <c r="H6" i="30"/>
  <c r="J2" i="32"/>
  <c r="E6" i="30"/>
  <c r="F6" i="30" s="1"/>
  <c r="I6" i="33"/>
  <c r="D4" i="34"/>
  <c r="E4" i="30"/>
  <c r="F4" i="30" s="1"/>
  <c r="H2" i="3"/>
  <c r="I2" i="3" s="1"/>
  <c r="E7" i="1"/>
  <c r="F7" i="1" s="1"/>
  <c r="G2" i="1"/>
  <c r="E5" i="1"/>
  <c r="E6" i="1"/>
  <c r="H4" i="30"/>
  <c r="I4" i="30" s="1"/>
  <c r="E7" i="30"/>
  <c r="F7" i="30" s="1"/>
  <c r="H7" i="30"/>
  <c r="H5" i="30"/>
  <c r="E7" i="29"/>
  <c r="F7" i="29" s="1"/>
  <c r="I6" i="26"/>
  <c r="I8" i="26"/>
  <c r="H4" i="29"/>
  <c r="I4" i="29" s="1"/>
  <c r="H5" i="29"/>
  <c r="I5" i="29" s="1"/>
  <c r="I7" i="26"/>
  <c r="H6" i="18"/>
  <c r="I6" i="18" s="1"/>
  <c r="I4" i="18"/>
  <c r="H7" i="18"/>
  <c r="I7" i="18" s="1"/>
  <c r="C4" i="34"/>
  <c r="H5" i="18"/>
  <c r="I5" i="18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C2" i="1"/>
  <c r="E2" i="3"/>
  <c r="F2" i="3" s="1"/>
  <c r="E4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7" i="34" l="1"/>
  <c r="F7" i="34" s="1"/>
  <c r="E5" i="34"/>
  <c r="F5" i="34" s="1"/>
  <c r="G2" i="34"/>
  <c r="E6" i="34"/>
  <c r="F6" i="34" s="1"/>
  <c r="I6" i="30"/>
  <c r="H6" i="34"/>
  <c r="I6" i="34" s="1"/>
  <c r="I5" i="30"/>
  <c r="H5" i="34"/>
  <c r="I5" i="34" s="1"/>
  <c r="I7" i="30"/>
  <c r="H7" i="34"/>
  <c r="I7" i="34" s="1"/>
  <c r="D2" i="34"/>
  <c r="E4" i="34"/>
  <c r="F4" i="34" s="1"/>
  <c r="H2" i="1"/>
  <c r="I2" i="1" s="1"/>
  <c r="C2" i="34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<sst xmlns="http://schemas.openxmlformats.org/spreadsheetml/2006/main" count="263" uniqueCount="66">
  <si>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</si>
  <si>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</si>
  <si>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</si>
  <si>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</si>
  <si>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</si>
  <si>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</si>
  <si>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</si>
  <si>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</si>
  <si>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</si>
  <si>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</si>
  <si>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</si>
  <si>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</si>
  <si>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</si>
  <si>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</si>
  <si>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</si>
  <si>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</si>
  <si>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</si>
  <si>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</si>
  <si>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</si>
  <si>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</si>
  <si>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</si>
  <si>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</si>
  <si>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</si>
  <si>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</si>
  <si>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</si>
  <si>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</si>
  <si>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</si>
  <si>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</si>
  <si>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</si>
  <si>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</si>
  <si>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</si>
  <si>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</si>
  <si>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SR092908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</si>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</sst>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49" fontId="35" fillId="0" borderId="0" xfId="0" applyNumberFormat="1" applyFont="1" applyAlignment="1">
      <alignment horizontal="left" vertical="top"/>
    </xf>
    <xf numFmtId="0" fontId="27" fillId="40" borderId="0" xfId="0" applyFont="1" applyFill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6" fillId="0" borderId="0" xfId="45"/>
    <xf numFmtId="0" fontId="36" fillId="0" borderId="0" xfId="45" applyAlignment="1">
      <alignment horizontal="left" vertical="top"/>
    </xf>
    <xf numFmtId="49" fontId="36" fillId="0" borderId="0" xfId="45" applyNumberForma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F5" sqref="F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LX International America, Inc.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6">
        <f>SUM(C4:C92)</f>
        <v>152482.47</v>
      </c>
      <c r="D2" s="6">
        <f>SUM(D4:D92)</f>
        <v>17053.099999999999</v>
      </c>
      <c r="E2" s="6">
        <f>C2-D2</f>
        <v>135429.37</v>
      </c>
      <c r="F2" s="7">
        <f>IFERROR(E2/D2, 0)</f>
        <v>7.9416276219572985</v>
      </c>
      <c r="G2" s="6">
        <f>SUM(G4:G92)</f>
        <v>0</v>
      </c>
      <c r="H2" s="8">
        <f>C2-G2</f>
        <v>152482.47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53930.75</v>
      </c>
      <c r="D4" s="14">
        <f>SUM('1st Qtr'!D4, '2nd Qtr'!D4, '3rd Qtr'!D4, '4th Qtr'!D4)</f>
        <v>0</v>
      </c>
      <c r="E4" s="14">
        <f>IF(AND(ISNUMBER(C4),ISNUMBER(D4)), C4-D4, "")</f>
        <v>53930.75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53930.75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SUM('1st Qtr'!C5, '2nd Qtr'!C5, '3rd Qtr'!C5, '4th Qtr'!C5)</f>
        <v>62374.5</v>
      </c>
      <c r="D5" s="20">
        <f>SUM('1st Qtr'!D5, '2nd Qtr'!D5, '3rd Qtr'!D5, '4th Qtr'!D5)</f>
        <v>0</v>
      </c>
      <c r="E5" s="20">
        <f t="shared" ref="E5:E7" si="0">IF(AND(ISNUMBER(C5),ISNUMBER(D5)), C5-D5, "")</f>
        <v>62374.5</v>
      </c>
      <c r="F5" s="21" t="str">
        <f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62374.5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SUM('1st Qtr'!C6, '2nd Qtr'!C6, '3rd Qtr'!C6, '4th Qtr'!C6)</f>
        <v>21699.5</v>
      </c>
      <c r="D6" s="14">
        <f>SUM('1st Qtr'!D6, '2nd Qtr'!D6, '3rd Qtr'!D6, '4th Qtr'!D6)</f>
        <v>0</v>
      </c>
      <c r="E6" s="14">
        <f t="shared" si="0"/>
        <v>21699.5</v>
      </c>
      <c r="F6" s="15" t="str">
        <f t="shared" ref="F6:F7" si="1">IFERROR(E6/D6, "")</f>
        <v/>
      </c>
      <c r="G6" s="16">
        <f>SUM('1st Qtr'!G6, '2nd Qtr'!G6, '3rd Qtr'!G6, '4th Qtr'!G6)</f>
        <v>0</v>
      </c>
      <c r="H6" s="16">
        <f>SUM('1st Qtr'!H6, '2nd Qtr'!H6, '3rd Qtr'!H6, '4th Qtr'!H6)</f>
        <v>21699.5</v>
      </c>
      <c r="I6" s="17" t="str">
        <f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SUM('1st Qtr'!C7, '2nd Qtr'!C7, '3rd Qtr'!C7, '4th Qtr'!C7)</f>
        <v>14477.720000000001</v>
      </c>
      <c r="D7" s="20">
        <f>SUM('1st Qtr'!D7, '2nd Qtr'!D7, '3rd Qtr'!D7, '4th Qtr'!D7)</f>
        <v>17053.099999999999</v>
      </c>
      <c r="E7" s="20">
        <f t="shared" si="0"/>
        <v>-2575.3799999999974</v>
      </c>
      <c r="F7" s="21">
        <f t="shared" si="1"/>
        <v>-0.15102122194791548</v>
      </c>
      <c r="G7" s="22">
        <f>SUM('1st Qtr'!G7, '2nd Qtr'!G7, '3rd Qtr'!G7, '4th Qtr'!G7)</f>
        <v>0</v>
      </c>
      <c r="H7" s="22">
        <f>SUM('1st Qtr'!H7, '2nd Qtr'!H7, '3rd Qtr'!H7, '4th Qtr'!H7)</f>
        <v>14477.720000000001</v>
      </c>
      <c r="I7" s="21" t="str">
        <f>IFERROR(H7/G7, "")</f>
        <v/>
      </c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3" activePane="bottomLeft" state="frozen"/>
      <selection pane="bottomLeft" activeCell="I4" sqref="I4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LX International America, Inc.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6">
        <f>SUM(C4:C92)</f>
        <v>152482.47</v>
      </c>
      <c r="D2" s="6">
        <f>SUM(D4:D92)</f>
        <v>17053.099999999999</v>
      </c>
      <c r="E2" s="6">
        <f>C2-D2</f>
        <v>135429.37</v>
      </c>
      <c r="F2" s="7">
        <f>IFERROR(E2/D2, 0)</f>
        <v>7.9416276219572985</v>
      </c>
      <c r="G2" s="6">
        <f>SUM(G4:G92)</f>
        <v>0</v>
      </c>
      <c r="H2" s="8">
        <f>C2-G2</f>
        <v>152482.47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53930.75</v>
      </c>
      <c r="D4" s="14">
        <f>SUM(Jan!D4, Feb!D4, Mar!D4)</f>
        <v>0</v>
      </c>
      <c r="E4" s="14">
        <f>IF(AND(ISNUMBER(C4),ISNUMBER(D4)), C4-D4, "")</f>
        <v>53930.75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53930.75</v>
      </c>
      <c r="I4" s="17" t="str">
        <f>IFERROR(H4/G4,"")</f>
        <v/>
      </c>
    </row>
    <row r="5" spans="1:9" ht="15.6">
      <c r="A5" s="19" t="str">
        <v>AZ: Lake Havasu City - Aquatic Center</v>
      </c>
      <c r="B5" s="11" t="str">
        <v>AZ</v>
      </c>
      <c r="C5" s="12">
        <f>SUM(Jan!C5, Feb!C5, Mar!C5)</f>
        <v>62374.5</v>
      </c>
      <c r="D5" s="20">
        <f>SUM(Jan!D5, Feb!D5, Mar!D5)</f>
        <v>0</v>
      </c>
      <c r="E5" s="20">
        <f t="shared" ref="E5:E7" si="0">IF(AND(ISNUMBER(C5),ISNUMBER(D5)), C5-D5, "")</f>
        <v>62374.5</v>
      </c>
      <c r="F5" s="21" t="str">
        <f>IFERROR(E5/D5, "")</f>
        <v/>
      </c>
      <c r="G5" s="22">
        <f>SUM(Jan!G5, Feb!G5, Mar!G5)</f>
        <v>0</v>
      </c>
      <c r="H5" s="22">
        <f>SUM(Jan!H5, Feb!H5, Mar!H5)</f>
        <v>62374.5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SUM(Jan!C6, Feb!C6, Mar!C6)</f>
        <v>21699.5</v>
      </c>
      <c r="D6" s="14">
        <f>SUM(Jan!D6, Feb!D6, Mar!D6)</f>
        <v>0</v>
      </c>
      <c r="E6" s="14">
        <f t="shared" si="0"/>
        <v>21699.5</v>
      </c>
      <c r="F6" s="15" t="str">
        <f t="shared" ref="F6:F7" si="1">IFERROR(E6/D6, "")</f>
        <v/>
      </c>
      <c r="G6" s="16">
        <f>SUM(Jan!G6, Feb!G6, Mar!G6)</f>
        <v>0</v>
      </c>
      <c r="H6" s="16">
        <f>SUM(Jan!H6, Feb!H6, Mar!H6)</f>
        <v>21699.5</v>
      </c>
      <c r="I6" s="17" t="str">
        <f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SUM(Jan!C7, Feb!C7, Mar!C7)</f>
        <v>14477.720000000001</v>
      </c>
      <c r="D7" s="20">
        <f>SUM(Jan!D7, Feb!D7, Mar!D7)</f>
        <v>17053.099999999999</v>
      </c>
      <c r="E7" s="20">
        <f t="shared" si="0"/>
        <v>-2575.3799999999974</v>
      </c>
      <c r="F7" s="21">
        <f t="shared" si="1"/>
        <v>-0.15102122194791548</v>
      </c>
      <c r="G7" s="22">
        <f>SUM(Jan!G7, Feb!G7, Mar!G7)</f>
        <v>0</v>
      </c>
      <c r="H7" s="22">
        <f>SUM(Jan!H7, Feb!H7, Mar!H7)</f>
        <v>14477.720000000001</v>
      </c>
      <c r="I7" s="21" t="str">
        <f>IFERROR(H7/G7, "")</f>
        <v/>
      </c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42" priority="1" stopIfTrue="1" operator="lessThanOrEqual">
      <formula>-0.1</formula>
    </cfRule>
    <cfRule type="expression" dxfId="4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H4" sqref="H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LX International America, Inc.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I16" sqref="I16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LX International America, Inc.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F19" sqref="F19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LX International America, Inc.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zoomScale="70" zoomScaleNormal="70" workbookViewId="0">
      <pane ySplit="3" topLeftCell="A4" activePane="bottomLeft" state="frozen"/>
      <selection pane="bottomLeft" activeCell="I7" sqref="I7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>
        <f>IFERROR(E4/D4,0)</f>
        <v>0</v>
      </c>
      <c r="G4" s="16">
        <v>0</v>
      </c>
      <c r="H4" s="16">
        <f>IF(AND(ISNUMBER(C4),ISNUMBER(G4)), C4-G4, "")</f>
        <v>23363</v>
      </c>
      <c r="I4" s="17">
        <f>IFERROR(H4/G4, 0)</f>
        <v>0</v>
      </c>
      <c r="J4" s="18" t="s">
        <v>22</v>
      </c>
      <c r="K4" s="18" t="s">
        <v>23</v>
      </c>
    </row>
    <row r="5" spans="1:11" ht="99.7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>
        <f>IFERROR(E5/D5, 0)</f>
        <v>0</v>
      </c>
      <c r="G5" s="22">
        <v>0</v>
      </c>
      <c r="H5" s="22">
        <f t="shared" ref="H5:H6" si="1">IF(AND(ISNUMBER(C5),ISNUMBER(G5)), C5-G5, "")</f>
        <v>29390</v>
      </c>
      <c r="I5" s="21">
        <f>IFERROR(H5/G5, 0)</f>
        <v>0</v>
      </c>
      <c r="J5" s="43" t="s">
        <v>24</v>
      </c>
      <c r="K5" s="43" t="s">
        <v>25</v>
      </c>
    </row>
    <row r="6" spans="1:11" ht="86.45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>
        <f>IFERROR(E6/D6, 0)</f>
        <v>0</v>
      </c>
      <c r="G6" s="16">
        <v>0</v>
      </c>
      <c r="H6" s="16">
        <f t="shared" si="1"/>
        <v>10074</v>
      </c>
      <c r="I6" s="17">
        <f>IFERROR(H6/G6, 0)</f>
        <v>0</v>
      </c>
      <c r="J6" s="18" t="s">
        <v>26</v>
      </c>
      <c r="K6" s="18" t="s">
        <v>27</v>
      </c>
    </row>
    <row r="7" spans="1:11" ht="28.9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2">IF(AND(ISNUMBER(C7),ISNUMBER(D7)), C7-D7, "")</f>
        <v>-1556</v>
      </c>
      <c r="F7" s="21">
        <f>IFERROR(E7/D7, 0)</f>
        <v>-0.18477615485096782</v>
      </c>
      <c r="G7" s="22">
        <v>0</v>
      </c>
      <c r="H7" s="22">
        <f t="shared" ref="H7:H8" si="3">IF(AND(ISNUMBER(C7),ISNUMBER(G7)), C7-G7, "")</f>
        <v>6865</v>
      </c>
      <c r="I7" s="21">
        <f>IFERROR(H7/G7, 0)</f>
        <v>0</v>
      </c>
      <c r="J7" s="43" t="s">
        <v>28</v>
      </c>
      <c r="K7" s="52" t="s">
        <v>29</v>
      </c>
    </row>
    <row r="8" spans="1:11" ht="15.6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4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34" priority="2" stopIfTrue="1" operator="lessThanOrEqual">
      <formula>-0.1</formula>
    </cfRule>
    <cfRule type="expression" dxfId="33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tabSelected="1" zoomScale="70" zoomScaleNormal="70" workbookViewId="0">
      <pane ySplit="2" topLeftCell="A3" activePane="bottomLeft" state="frozen"/>
      <selection pane="bottomLeft" activeCell="J7" sqref="J7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60" t="str" cm="1">
        <f t="array" ref="A1">portfolio</f>
        <v>LX International America, Inc.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5"/>
      <c r="K1" s="5"/>
    </row>
    <row r="2" spans="1:12" ht="19.5" customHeight="1">
      <c r="A2" s="62" t="s">
        <v>2</v>
      </c>
      <c r="B2" s="62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5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>
        <f>IFERROR(E4/D4,0)</f>
        <v>0</v>
      </c>
      <c r="G4" s="16">
        <v>0</v>
      </c>
      <c r="H4" s="16">
        <f>IF(AND(ISNUMBER(C4),ISNUMBER(G4)), C4-G4, "")</f>
        <v>30567.75</v>
      </c>
      <c r="I4" s="17">
        <f>IFERROR(H4/G4, 0)</f>
        <v>0</v>
      </c>
      <c r="J4" s="18" t="s">
        <v>22</v>
      </c>
      <c r="K4" s="57" t="s">
        <v>23</v>
      </c>
      <c r="L4" s="56" t="s">
        <v>32</v>
      </c>
    </row>
    <row r="5" spans="1:12" ht="28.9" customHeight="1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>
        <f t="shared" ref="F5:F6" si="1">IFERROR(E5/D5,0)</f>
        <v>0</v>
      </c>
      <c r="G5" s="22">
        <v>0</v>
      </c>
      <c r="H5" s="22">
        <f t="shared" ref="H5:H7" si="2">IF(AND(ISNUMBER(C5),ISNUMBER(G5)), C5-G5, "")</f>
        <v>32984.5</v>
      </c>
      <c r="I5" s="21">
        <f t="shared" ref="I5:I7" si="3">IFERROR(H5/G5, 0)</f>
        <v>0</v>
      </c>
      <c r="J5" s="43" t="s">
        <v>33</v>
      </c>
      <c r="K5" s="58" t="s">
        <v>34</v>
      </c>
    </row>
    <row r="6" spans="1:12" ht="28.9">
      <c r="A6" s="53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>
        <f t="shared" si="1"/>
        <v>0</v>
      </c>
      <c r="G6" s="16">
        <v>0</v>
      </c>
      <c r="H6" s="16">
        <f t="shared" si="2"/>
        <v>11625.5</v>
      </c>
      <c r="I6" s="17">
        <f t="shared" si="3"/>
        <v>0</v>
      </c>
      <c r="J6" s="18" t="s">
        <v>22</v>
      </c>
      <c r="K6" s="57" t="s">
        <v>34</v>
      </c>
    </row>
    <row r="7" spans="1:12" ht="38.25" customHeight="1">
      <c r="A7" s="54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15">
        <f>IFERROR(E7/D7,0)</f>
        <v>-0.11809177372829324</v>
      </c>
      <c r="G7" s="22">
        <v>0</v>
      </c>
      <c r="H7" s="22">
        <f t="shared" si="2"/>
        <v>7612.72</v>
      </c>
      <c r="I7" s="21">
        <f t="shared" si="3"/>
        <v>0</v>
      </c>
      <c r="J7" s="43" t="s">
        <v>35</v>
      </c>
      <c r="K7" s="32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I4 I6 F4 I9:I93 H8 F6:F93">
    <cfRule type="cellIs" dxfId="32" priority="17" stopIfTrue="1" operator="lessThanOrEqual">
      <formula>-0.1</formula>
    </cfRule>
    <cfRule type="expression" dxfId="31" priority="18">
      <formula>AND(ISNUMBER(F2), F2&gt;=0.1)</formula>
    </cfRule>
  </conditionalFormatting>
  <conditionalFormatting sqref="I7">
    <cfRule type="cellIs" dxfId="30" priority="9" stopIfTrue="1" operator="lessThanOrEqual">
      <formula>-0.1</formula>
    </cfRule>
    <cfRule type="expression" dxfId="29" priority="10">
      <formula>AND(ISNUMBER(I7), I7&gt;=0.1)</formula>
    </cfRule>
  </conditionalFormatting>
  <conditionalFormatting sqref="P7 S7">
    <cfRule type="cellIs" dxfId="28" priority="5" stopIfTrue="1" operator="lessThanOrEqual">
      <formula>-0.1</formula>
    </cfRule>
    <cfRule type="expression" dxfId="27" priority="6">
      <formula>AND(ISNUMBER(P7), P7&gt;=0.1)</formula>
    </cfRule>
  </conditionalFormatting>
  <conditionalFormatting sqref="P4 S4 S6 P6">
    <cfRule type="cellIs" dxfId="26" priority="3" stopIfTrue="1" operator="lessThanOrEqual">
      <formula>-0.1</formula>
    </cfRule>
    <cfRule type="expression" dxfId="25" priority="4">
      <formula>AND(ISNUMBER(P4), P4&gt;=0.1)</formula>
    </cfRule>
  </conditionalFormatting>
  <conditionalFormatting sqref="F5 I5">
    <cfRule type="cellIs" dxfId="24" priority="1" stopIfTrue="1" operator="lessThanOrEqual">
      <formula>-0.1</formula>
    </cfRule>
    <cfRule type="expression" dxfId="23" priority="2">
      <formula>AND(ISNUMBER(F5), F5&gt;=0.1)</formula>
    </cfRule>
  </conditionalFormatting>
  <hyperlinks>
    <hyperlink ref="K4" r:id="rId1" display="https://us3.assetplanner.com/service_request?ID=094976" xr:uid="{46EBDFD8-B586-4691-80CD-E971DAD6EE3B}"/>
    <hyperlink ref="L4" r:id="rId2" display="https://us3.assetplanner.com/service_request?ID=092908" xr:uid="{80D56BDE-1336-4DF8-B568-F0A3AB25B403}"/>
    <hyperlink ref="K5" r:id="rId3" display="https://us3.assetplanner.com/service_request?ID=094976" xr:uid="{5BEB7ED7-2070-4AB2-8E7D-0EEEE784F9CC}"/>
    <hyperlink ref="K6" r:id="rId4" display="https://us3.assetplanner.com/service_request?ID=094976" xr:uid="{57B2BA12-663C-428F-86AC-E27B3977961F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F6" sqref="F6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36</v>
      </c>
      <c r="E1" s="61"/>
      <c r="F1" s="61"/>
      <c r="G1" s="59" t="s">
        <v>37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46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5"/>
      <c r="K5" s="47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3"/>
      <c r="H7" s="22" t="str">
        <f t="shared" si="1"/>
        <v/>
      </c>
      <c r="I7" s="21" t="str">
        <f t="shared" si="2"/>
        <v/>
      </c>
      <c r="J7" s="43"/>
      <c r="K7" s="47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3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40</v>
      </c>
      <c r="E1" s="61"/>
      <c r="F1" s="61"/>
      <c r="G1" s="59" t="s">
        <v>41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9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8"/>
      <c r="K5" s="49"/>
    </row>
    <row r="6" spans="1:11" ht="43.5" customHeight="1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4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42.75" customHeight="1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3"/>
      <c r="K7" s="44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44</v>
      </c>
      <c r="E1" s="61"/>
      <c r="F1" s="61"/>
      <c r="G1" s="59" t="s">
        <v>45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7"/>
      <c r="K7" s="47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0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/>
      <c r="K5" s="43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7"/>
      <c r="K7" s="47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48</v>
      </c>
      <c r="E1" s="61"/>
      <c r="F1" s="61"/>
      <c r="G1" s="59" t="s">
        <v>49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7"/>
      <c r="K7" s="47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50</v>
      </c>
      <c r="E1" s="61"/>
      <c r="F1" s="61"/>
      <c r="G1" s="59" t="s">
        <v>51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1.7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51"/>
      <c r="K5" s="44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47"/>
      <c r="K7" s="44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>
      <c r="A11" s="23"/>
      <c r="B11" s="23"/>
      <c r="C11" s="23"/>
      <c r="F11" s="23"/>
      <c r="G11" s="23"/>
      <c r="H11" s="23"/>
      <c r="I11" s="23"/>
      <c r="J11" s="23"/>
      <c r="K11" s="23"/>
    </row>
    <row r="12" spans="1:11">
      <c r="A12" s="23"/>
      <c r="B12" s="23"/>
      <c r="F12" s="23"/>
      <c r="G12" s="23"/>
      <c r="H12" s="23"/>
      <c r="I12" s="23"/>
      <c r="J12" s="23"/>
      <c r="K12" s="23"/>
    </row>
    <row r="13" spans="1:11">
      <c r="A13" s="23"/>
      <c r="B13" s="23"/>
      <c r="F13" s="23"/>
      <c r="G13" s="23"/>
      <c r="H13" s="23"/>
      <c r="I13" s="23"/>
      <c r="J13" s="23"/>
      <c r="K13" s="23"/>
    </row>
    <row r="14" spans="1:11" ht="14.45">
      <c r="A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H25" s="23"/>
      <c r="I25" s="24"/>
      <c r="J25" s="23"/>
      <c r="K25" s="23"/>
    </row>
    <row r="26" spans="1:11" ht="14.45">
      <c r="A26" s="23"/>
      <c r="B26" s="35"/>
      <c r="C26" s="23"/>
      <c r="D26" s="24"/>
      <c r="E26" s="23"/>
      <c r="F26" s="23"/>
      <c r="H26" s="23"/>
      <c r="I26" s="24"/>
      <c r="J26" s="23"/>
      <c r="K26" s="23"/>
    </row>
    <row r="27" spans="1:11" ht="14.45">
      <c r="A27" s="23"/>
      <c r="B27" s="35"/>
      <c r="C27" s="23"/>
      <c r="D27" s="24"/>
      <c r="E27" s="23"/>
      <c r="F27" s="23"/>
      <c r="H27" s="23"/>
      <c r="I27" s="24"/>
      <c r="J27" s="23"/>
      <c r="K27" s="23"/>
    </row>
    <row r="28" spans="1:11" ht="14.45">
      <c r="A28" s="23"/>
      <c r="B28" s="35"/>
      <c r="C28" s="23"/>
      <c r="D28" s="24"/>
      <c r="E28" s="23"/>
      <c r="F28" s="23"/>
      <c r="H28" s="23"/>
      <c r="I28" s="24"/>
      <c r="K28" s="23"/>
    </row>
    <row r="29" spans="1:11" ht="14.45">
      <c r="A29" s="23"/>
      <c r="B29" s="35"/>
      <c r="C29" s="23"/>
      <c r="D29" s="24"/>
      <c r="E29" s="23"/>
      <c r="F29" s="23"/>
      <c r="H29" s="23"/>
      <c r="I29" s="24"/>
      <c r="J29" s="23"/>
      <c r="K29" s="23"/>
    </row>
    <row r="30" spans="1:11" ht="14.45">
      <c r="A30" s="23"/>
      <c r="B30" s="35"/>
      <c r="C30" s="23"/>
      <c r="D30" s="24"/>
      <c r="E30" s="23"/>
      <c r="F30" s="23"/>
      <c r="H30" s="23"/>
      <c r="I30" s="24"/>
      <c r="J30" s="23"/>
      <c r="K30" s="23"/>
    </row>
    <row r="31" spans="1:11" ht="14.45">
      <c r="A31" s="23"/>
      <c r="B31" s="35"/>
      <c r="C31" s="23"/>
      <c r="D31" s="24"/>
      <c r="E31" s="23"/>
      <c r="F31" s="23"/>
      <c r="H31" s="23"/>
      <c r="I31" s="24"/>
      <c r="J31" s="23"/>
      <c r="K31" s="23"/>
    </row>
    <row r="32" spans="1:11" ht="14.45">
      <c r="A32" s="23"/>
      <c r="B32" s="35"/>
      <c r="C32" s="23"/>
      <c r="D32" s="24"/>
      <c r="E32" s="23"/>
      <c r="F32" s="23"/>
      <c r="H32" s="23"/>
      <c r="I32" s="24"/>
      <c r="J32" s="23"/>
      <c r="K32" s="23"/>
    </row>
    <row r="33" spans="1:11" ht="14.45">
      <c r="A33" s="23"/>
      <c r="B33" s="35"/>
      <c r="C33" s="23"/>
      <c r="D33" s="24"/>
      <c r="E33" s="23"/>
      <c r="F33" s="23"/>
      <c r="H33" s="23"/>
      <c r="I33" s="24"/>
      <c r="J33" s="23"/>
      <c r="K33" s="23"/>
    </row>
    <row r="34" spans="1:11" ht="14.45">
      <c r="A34" s="23"/>
      <c r="B34" s="35"/>
      <c r="C34" s="23"/>
      <c r="D34" s="24"/>
      <c r="E34" s="23"/>
      <c r="F34" s="23"/>
      <c r="H34" s="23"/>
      <c r="I34" s="24"/>
      <c r="J34" s="23"/>
      <c r="K34" s="23"/>
    </row>
    <row r="35" spans="1:11" ht="14.45">
      <c r="A35" s="23"/>
      <c r="B35" s="35"/>
      <c r="C35" s="23"/>
      <c r="D35" s="24"/>
      <c r="E35" s="23"/>
      <c r="F35" s="23"/>
      <c r="H35" s="23"/>
      <c r="I35" s="24"/>
      <c r="J35" s="23"/>
      <c r="K35" s="23"/>
    </row>
    <row r="36" spans="1:11" ht="14.45">
      <c r="A36" s="23"/>
      <c r="B36" s="35"/>
      <c r="C36" s="23"/>
      <c r="D36" s="24"/>
      <c r="E36" s="23"/>
      <c r="F36" s="23"/>
      <c r="H36" s="23"/>
      <c r="I36" s="24"/>
      <c r="J36" s="23"/>
      <c r="K36" s="23"/>
    </row>
    <row r="37" spans="1:11" ht="14.45">
      <c r="A37" s="23"/>
      <c r="B37" s="35"/>
      <c r="C37" s="23"/>
      <c r="D37" s="24"/>
      <c r="E37" s="23"/>
      <c r="F37" s="23"/>
      <c r="H37" s="23"/>
      <c r="I37" s="24"/>
      <c r="J37" s="23"/>
      <c r="K37" s="23"/>
    </row>
    <row r="38" spans="1:11" ht="14.45">
      <c r="A38" s="23"/>
      <c r="B38" s="35"/>
      <c r="C38" s="23"/>
      <c r="D38" s="24"/>
      <c r="E38" s="23"/>
      <c r="F38" s="23"/>
      <c r="H38" s="23"/>
      <c r="I38" s="24"/>
      <c r="J38" s="23"/>
      <c r="K38" s="23"/>
    </row>
    <row r="39" spans="1:11" ht="14.45">
      <c r="A39" s="23"/>
      <c r="B39" s="35"/>
      <c r="C39" s="23"/>
      <c r="D39" s="24"/>
      <c r="E39" s="23"/>
      <c r="F39" s="23"/>
      <c r="H39" s="23"/>
      <c r="I39" s="24"/>
      <c r="J39" s="23"/>
      <c r="K39" s="23"/>
    </row>
    <row r="40" spans="1:11" ht="14.45">
      <c r="A40" s="23"/>
      <c r="B40" s="35"/>
      <c r="C40" s="23"/>
      <c r="D40" s="24"/>
      <c r="E40" s="23"/>
      <c r="F40" s="23"/>
      <c r="H40" s="23"/>
      <c r="I40" s="24"/>
      <c r="J40" s="23"/>
      <c r="K40" s="23"/>
    </row>
    <row r="41" spans="1:11" ht="14.4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52</v>
      </c>
      <c r="E1" s="61"/>
      <c r="F1" s="61"/>
      <c r="G1" s="59" t="s">
        <v>53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0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8"/>
      <c r="K5" s="47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LX International America, Inc.</v>
      </c>
      <c r="B1" s="60"/>
      <c r="C1" s="60"/>
      <c r="D1" s="61" t="s">
        <v>54</v>
      </c>
      <c r="E1" s="61"/>
      <c r="F1" s="61"/>
      <c r="G1" s="59" t="s">
        <v>55</v>
      </c>
      <c r="H1" s="59"/>
      <c r="I1" s="59"/>
      <c r="J1" s="5"/>
      <c r="K1" s="5"/>
    </row>
    <row r="2" spans="1:11" ht="19.5" customHeight="1">
      <c r="A2" s="62" t="s">
        <v>2</v>
      </c>
      <c r="B2" s="6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8"/>
      <c r="K5" s="47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56</v>
      </c>
      <c r="B1" t="s">
        <v>57</v>
      </c>
    </row>
    <row r="3" spans="1:7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7" ht="14.45">
      <c r="A4" t="s">
        <v>61</v>
      </c>
      <c r="B4" t="s">
        <v>61</v>
      </c>
      <c r="C4" s="4" t="s">
        <v>62</v>
      </c>
      <c r="G4" s="3"/>
    </row>
    <row r="5" spans="1:7" ht="14.45">
      <c r="A5" t="s">
        <v>63</v>
      </c>
      <c r="B5" t="s">
        <v>63</v>
      </c>
      <c r="C5" s="4" t="s">
        <v>62</v>
      </c>
      <c r="G5" s="3"/>
    </row>
    <row r="6" spans="1:7" ht="14.45">
      <c r="A6" t="s">
        <v>64</v>
      </c>
      <c r="B6" t="s">
        <v>64</v>
      </c>
      <c r="C6" s="4" t="s">
        <v>62</v>
      </c>
      <c r="G6" s="3"/>
    </row>
    <row r="7" spans="1:7" ht="12.75" customHeight="1">
      <c r="A7" t="s">
        <v>65</v>
      </c>
      <c r="B7" t="s">
        <v>65</v>
      </c>
      <c r="C7" s="4" t="s">
        <v>62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CB52044A-5C0B-44A2-99D0-C1C315EC302D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C0BCDC1E-6052-4E48-9BAF-94A40814E7C2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2BC74AAC-D69B-4AF1-9649-B21EF3C1C4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Ratna Kumari Mukkala [AGS]</cp:lastModifiedBy>
  <cp:revision/>
  <dcterms:created xsi:type="dcterms:W3CDTF">2021-01-01T16:39:53Z</dcterms:created>
  <dcterms:modified xsi:type="dcterms:W3CDTF">2025-03-14T12:10:09Z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