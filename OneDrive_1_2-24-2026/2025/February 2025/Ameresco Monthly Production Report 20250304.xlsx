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1_Daily Portfolio Review/HLSC/"/>
    </mc:Choice>
  </mc:AlternateContent>
  <xr:revisionPtr revIDLastSave="1" documentId="8_{C8D90F08-1F18-4A75-9E06-027FB6EF4276}" xr6:coauthVersionLast="47" xr6:coauthVersionMax="47" xr10:uidLastSave="{7F5FC243-2590-407D-876E-DBFC53E44C26}"/>
  <bookViews>
    <workbookView xWindow="28680" yWindow="15855" windowWidth="29040" windowHeight="15720" firstSheet="1" xr2:uid="{00000000-000D-0000-FFFF-FFFF00000000}"/>
  </bookViews>
  <sheets>
    <sheet name="February 2025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3" i="1"/>
</calcChain>
</file>

<file path=xl/sharedStrings.xml><?xml version="1.0" encoding="utf-8"?>
<sst xmlns="http://schemas.openxmlformats.org/spreadsheetml/2006/main" count="540" uniqueCount="155">
  <si>
    <t>Sites</t>
  </si>
  <si>
    <t>Monthly Production (kWh)</t>
  </si>
  <si>
    <t>Monthly Insolation (kWh/m²)</t>
  </si>
  <si>
    <t>Availability</t>
  </si>
  <si>
    <t>Instant Availability</t>
  </si>
  <si>
    <t>Monthly Expected Energy AC Daily</t>
  </si>
  <si>
    <t>Monthly PVSYST Exported Energy</t>
  </si>
  <si>
    <t>Monthly PVSYST Irradiation Inclined</t>
  </si>
  <si>
    <t>101 Carnegie Center</t>
  </si>
  <si>
    <t>Missing value</t>
  </si>
  <si>
    <t>302 Carnegie Center</t>
  </si>
  <si>
    <t>510 Carnegie Center</t>
  </si>
  <si>
    <t>701 Carnegie Center</t>
  </si>
  <si>
    <t>Abington High School (Ameresco)</t>
  </si>
  <si>
    <t>Bethel Landfill (CT)</t>
  </si>
  <si>
    <t>Bloomfield East</t>
  </si>
  <si>
    <t>Bloomfield West</t>
  </si>
  <si>
    <t>Braintree Landfill</t>
  </si>
  <si>
    <t>Bridgewater State University - Crimson Hall - DOER PV</t>
  </si>
  <si>
    <t>CO - YVEA East Victory Way</t>
  </si>
  <si>
    <t>Danville</t>
  </si>
  <si>
    <t>Englewood - Civic Center</t>
  </si>
  <si>
    <t>Englewood - Malley Senior Center</t>
  </si>
  <si>
    <t>Englewood - Service Center</t>
  </si>
  <si>
    <t>Frederick MD - NMWDA</t>
  </si>
  <si>
    <t>Gardner Solar PV</t>
  </si>
  <si>
    <t>Hamilton MA Landfill</t>
  </si>
  <si>
    <t>IL - DePue</t>
  </si>
  <si>
    <t>Lenox Landfill</t>
  </si>
  <si>
    <t>Lexington - Bowman ES</t>
  </si>
  <si>
    <t>Lexington - Cary Memorial Library</t>
  </si>
  <si>
    <t>Lexington - Harrington ES</t>
  </si>
  <si>
    <t>Lexington - Jonas Clarke MS</t>
  </si>
  <si>
    <t>Lexington High School</t>
  </si>
  <si>
    <t>Lexington-Joseph Estabrook ES</t>
  </si>
  <si>
    <t>Lowell - Reilly</t>
  </si>
  <si>
    <t>Lowell - Shaughnessy</t>
  </si>
  <si>
    <t>Lowell – Butler</t>
  </si>
  <si>
    <t>Lowell – Pawtucketville</t>
  </si>
  <si>
    <t>Lowell-LMA</t>
  </si>
  <si>
    <t>MA - Arlington HS</t>
  </si>
  <si>
    <t>MA - Carlisle Carport</t>
  </si>
  <si>
    <t>MA - Erving - French King Hwy</t>
  </si>
  <si>
    <t>MA - Lexington Bowman ES CP</t>
  </si>
  <si>
    <t>MA - Lexington Bridge ES</t>
  </si>
  <si>
    <t>MA - Lexington Childrens Place</t>
  </si>
  <si>
    <t xml:space="preserve">MA - Lexington Clarke MS </t>
  </si>
  <si>
    <t>MA - Lexington Diamond MS</t>
  </si>
  <si>
    <t>MA - Lexington Harrington ES CP</t>
  </si>
  <si>
    <t>MA - Lexington Hastings ES</t>
  </si>
  <si>
    <t>MA - Methuen - NY Life</t>
  </si>
  <si>
    <t>MA - Natick Kennedy MS</t>
  </si>
  <si>
    <t>MA - Natick West Fire 4 Rooftop</t>
  </si>
  <si>
    <t>MA - Newton - 360 Lowell Ave</t>
  </si>
  <si>
    <t>MA - Newton - 457 Walnut St</t>
  </si>
  <si>
    <t>MA - Newton Library Carport</t>
  </si>
  <si>
    <t>MA - Newton RMR</t>
  </si>
  <si>
    <t>MA - Newton Zervas Elementary</t>
  </si>
  <si>
    <t>MA - Wakefield Wmgld Garage</t>
  </si>
  <si>
    <t>MA - Wakefield Wmgld Office</t>
  </si>
  <si>
    <t>MA - Westwood Phase II Pine Hill</t>
  </si>
  <si>
    <t>ME - Bucksport-Maine</t>
  </si>
  <si>
    <t>MS Walker</t>
  </si>
  <si>
    <t>MassDoT - Framingham Interchange 13 North</t>
  </si>
  <si>
    <t>MassDoT - Framingham Interchange 13 South</t>
  </si>
  <si>
    <t>MassDoT - Framingham Service Plaza (I-A)</t>
  </si>
  <si>
    <t>MassDoT - Hopkinton (Central Research)</t>
  </si>
  <si>
    <t>MassDoT - Natick Embankment (I-A)</t>
  </si>
  <si>
    <t>MassDoT - Plymouth Route 3 (I-B)</t>
  </si>
  <si>
    <t>MassDoT - Salisbury (I-B)</t>
  </si>
  <si>
    <t>MassDoT - West Stockbridge I-90 Interchange 1 (I-B)</t>
  </si>
  <si>
    <t>Middletown C</t>
  </si>
  <si>
    <t>Middletown D</t>
  </si>
  <si>
    <t>NJ - Readington MS</t>
  </si>
  <si>
    <t>NY - Eastern Correctional</t>
  </si>
  <si>
    <t>NY - Gloversville</t>
  </si>
  <si>
    <t>NY - Green Haven Correctional</t>
  </si>
  <si>
    <t>NY - Greene Correctional</t>
  </si>
  <si>
    <t>NY - IBM Yorktown Heights</t>
  </si>
  <si>
    <t>NY - Mahopac Austin Road</t>
  </si>
  <si>
    <t>NY - Mahopac Lakeview ES</t>
  </si>
  <si>
    <t>NY - Medusa</t>
  </si>
  <si>
    <t>NY - Mid State Correctional</t>
  </si>
  <si>
    <t>NY - Nyack High School</t>
  </si>
  <si>
    <t>NY - Nyack MS</t>
  </si>
  <si>
    <t>NY - Nyack Valley Cottage ES</t>
  </si>
  <si>
    <t>NY - PBCSD - Circleville ES</t>
  </si>
  <si>
    <t>NY - PBCSD - Edward Russell ES</t>
  </si>
  <si>
    <t>NY - PBCSD - Pine Bush ES</t>
  </si>
  <si>
    <t>NY - PBCSD - Pine Bush HS</t>
  </si>
  <si>
    <t>NY - Phillips Farm</t>
  </si>
  <si>
    <t>NY - Walden C</t>
  </si>
  <si>
    <t>NY - Wappingers Ketcham</t>
  </si>
  <si>
    <t>NY - Wende Correctional</t>
  </si>
  <si>
    <t>NY - Westerlo A</t>
  </si>
  <si>
    <t>NY Wappingers Evans ES</t>
  </si>
  <si>
    <t>NY Wappingers Gayhead ES</t>
  </si>
  <si>
    <t>NY Wappingers Van Wyck JHS</t>
  </si>
  <si>
    <t>NY Wappingers Vassar ES</t>
  </si>
  <si>
    <t>Natick Community Senior Center</t>
  </si>
  <si>
    <t>Natick High School</t>
  </si>
  <si>
    <t>Natick MA High School Carport</t>
  </si>
  <si>
    <t>Natick Phase IV - Ice Rink and Public Works</t>
  </si>
  <si>
    <t>Natick Phase IV - Lilja E.S.</t>
  </si>
  <si>
    <t>Newton - Angier ES</t>
  </si>
  <si>
    <t>Newton - Bowen ES</t>
  </si>
  <si>
    <t>Newton - Education Center</t>
  </si>
  <si>
    <t>Newton - Fire Station</t>
  </si>
  <si>
    <t>Newton - Fire Station 3</t>
  </si>
  <si>
    <t>Newton - Lower Falls Community Center</t>
  </si>
  <si>
    <t>Newton - Oak Hill MS</t>
  </si>
  <si>
    <t>Newton - Public Works</t>
  </si>
  <si>
    <t>Newton - South High School</t>
  </si>
  <si>
    <t>Newton Rumford Landfill</t>
  </si>
  <si>
    <t>Northampton Landfill</t>
  </si>
  <si>
    <t>Northbridge Companies Array 1</t>
  </si>
  <si>
    <t>Oaks Landfill - ANEM</t>
  </si>
  <si>
    <t>Oaks Landfill - CS1</t>
  </si>
  <si>
    <t>Oaks Landfill - CS2</t>
  </si>
  <si>
    <t>Partners Healthcare Garage</t>
  </si>
  <si>
    <t>Pittsfield Landfill</t>
  </si>
  <si>
    <t>Plymouth Public Schools PV Solar</t>
  </si>
  <si>
    <t>Providence Water</t>
  </si>
  <si>
    <t>RI - Cumberland</t>
  </si>
  <si>
    <t>RI - North Kingstown</t>
  </si>
  <si>
    <t>RI - TIVERTON</t>
  </si>
  <si>
    <t>RI - Westerly</t>
  </si>
  <si>
    <t>Readington Holland Brook School</t>
  </si>
  <si>
    <t>Readington Three Bridges</t>
  </si>
  <si>
    <t>Roxbury Community College</t>
  </si>
  <si>
    <t>San Joaquin County</t>
  </si>
  <si>
    <t>Stockbridge Landfill - Glendale Rd.</t>
  </si>
  <si>
    <t>Sturbridge - System I - Route 20</t>
  </si>
  <si>
    <t>Sturbridge - System II - Hare Road</t>
  </si>
  <si>
    <t>Town of Ashland - Ashland High School</t>
  </si>
  <si>
    <t>Town of Ashland - Ashland Middle School</t>
  </si>
  <si>
    <t>Town of Ashland - Howe St Landfill</t>
  </si>
  <si>
    <t>Town of Easton - Easton Middle School</t>
  </si>
  <si>
    <t>Town of Easton - Oliver Ames High School</t>
  </si>
  <si>
    <t>Town of Saugus Landfill</t>
  </si>
  <si>
    <t>VA - Reston</t>
  </si>
  <si>
    <t>Wayland - DPW</t>
  </si>
  <si>
    <t>Wayland - High School</t>
  </si>
  <si>
    <t>Wayland - Middle School</t>
  </si>
  <si>
    <t>Wayland - Town Offices</t>
  </si>
  <si>
    <t>Wellfleet MA Landfill</t>
  </si>
  <si>
    <t>West Newbury</t>
  </si>
  <si>
    <t>Weston - Public Works</t>
  </si>
  <si>
    <t>Westport Landfill</t>
  </si>
  <si>
    <t>Westtown H</t>
  </si>
  <si>
    <t>Westwood - Downey ES</t>
  </si>
  <si>
    <t>Westwood - Martha Jones ES</t>
  </si>
  <si>
    <t>Westwood - Thurston MS</t>
  </si>
  <si>
    <t>Westwood - Westwood High School</t>
  </si>
  <si>
    <t>Worcester State University - Wasylean Building - DOER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</si>
</sst>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"/>
  <sheetViews>
    <sheetView tabSelected="1" topLeftCell="B1" workbookViewId="0">
      <selection activeCell="B81" sqref="B81"/>
    </sheetView>
  </sheetViews>
  <sheetFormatPr defaultRowHeight="15"/>
  <cols>
    <col min="2" max="2" width="53.140625" bestFit="1" customWidth="1"/>
    <col min="3" max="3" width="25.140625" style="3" bestFit="1" customWidth="1"/>
    <col min="4" max="4" width="27.7109375" style="3" bestFit="1" customWidth="1"/>
    <col min="5" max="5" width="13.140625" style="3" bestFit="1" customWidth="1"/>
    <col min="6" max="6" width="17.85546875" style="3" bestFit="1" customWidth="1"/>
    <col min="7" max="7" width="32" style="3" bestFit="1" customWidth="1"/>
    <col min="8" max="8" width="31.140625" style="3" bestFit="1" customWidth="1"/>
    <col min="9" max="9" width="33.5703125" style="3" bestFit="1" customWidth="1"/>
    <col min="10" max="10" width="9.140625" style="3"/>
  </cols>
  <sheetData>
    <row r="1" spans="1:9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>
      <c r="A2">
        <v>1</v>
      </c>
      <c r="B2" t="s">
        <v>8</v>
      </c>
      <c r="C2" s="3">
        <v>100728</v>
      </c>
      <c r="D2" s="3">
        <v>75.492738799999998</v>
      </c>
      <c r="E2" s="3" t="s">
        <v>9</v>
      </c>
      <c r="F2" s="3" t="s">
        <v>9</v>
      </c>
      <c r="G2" s="3">
        <v>119133.046</v>
      </c>
      <c r="H2" s="3" t="s">
        <v>9</v>
      </c>
      <c r="I2" s="3" t="s">
        <v>9</v>
      </c>
    </row>
    <row r="3" spans="1:9">
      <c r="A3">
        <f>A2+1</f>
        <v>2</v>
      </c>
      <c r="B3" t="s">
        <v>10</v>
      </c>
      <c r="C3" s="3">
        <v>44699</v>
      </c>
      <c r="D3" s="3">
        <v>73.0467941</v>
      </c>
      <c r="E3" s="3">
        <v>99.096793700000006</v>
      </c>
      <c r="F3" s="3" t="s">
        <v>9</v>
      </c>
      <c r="G3" s="3">
        <v>49510.905700000003</v>
      </c>
      <c r="H3" s="3" t="s">
        <v>9</v>
      </c>
      <c r="I3" s="3" t="s">
        <v>9</v>
      </c>
    </row>
    <row r="4" spans="1:9">
      <c r="A4">
        <f t="shared" ref="A4:A67" si="0">A3+1</f>
        <v>3</v>
      </c>
      <c r="B4" t="s">
        <v>11</v>
      </c>
      <c r="C4" s="3">
        <v>109438</v>
      </c>
      <c r="D4" s="3">
        <v>72.8659854</v>
      </c>
      <c r="E4" s="3">
        <v>97.313905000000005</v>
      </c>
      <c r="F4" s="3" t="s">
        <v>9</v>
      </c>
      <c r="G4" s="3">
        <v>128230.41</v>
      </c>
      <c r="H4" s="3" t="s">
        <v>9</v>
      </c>
      <c r="I4" s="3" t="s">
        <v>9</v>
      </c>
    </row>
    <row r="5" spans="1:9">
      <c r="A5">
        <f t="shared" si="0"/>
        <v>4</v>
      </c>
      <c r="B5" t="s">
        <v>12</v>
      </c>
      <c r="C5" s="3">
        <v>85928</v>
      </c>
      <c r="D5" s="3">
        <v>75.047123999999997</v>
      </c>
      <c r="E5" s="3">
        <v>98.7423067</v>
      </c>
      <c r="F5" s="3" t="s">
        <v>9</v>
      </c>
      <c r="G5" s="3">
        <v>100733.38499999999</v>
      </c>
      <c r="H5" s="3" t="s">
        <v>9</v>
      </c>
      <c r="I5" s="3" t="s">
        <v>9</v>
      </c>
    </row>
    <row r="6" spans="1:9">
      <c r="A6">
        <f t="shared" si="0"/>
        <v>5</v>
      </c>
      <c r="B6" t="s">
        <v>13</v>
      </c>
      <c r="C6" s="3">
        <v>22678</v>
      </c>
      <c r="D6" s="3">
        <v>77.488743099999994</v>
      </c>
      <c r="E6" s="3">
        <v>85.943194000000005</v>
      </c>
      <c r="F6" s="3" t="s">
        <v>9</v>
      </c>
      <c r="G6" s="3">
        <v>826.97309399999995</v>
      </c>
      <c r="H6" s="3">
        <v>31405.135890000001</v>
      </c>
      <c r="I6" s="3">
        <v>84.4</v>
      </c>
    </row>
    <row r="7" spans="1:9">
      <c r="A7">
        <f t="shared" si="0"/>
        <v>6</v>
      </c>
      <c r="B7" t="s">
        <v>14</v>
      </c>
      <c r="C7" s="3">
        <v>59496</v>
      </c>
      <c r="D7" s="3">
        <v>86.978591199999997</v>
      </c>
      <c r="E7" s="3">
        <v>80.367325500000007</v>
      </c>
      <c r="F7" s="3" t="s">
        <v>9</v>
      </c>
      <c r="G7" s="3">
        <v>1742.06564</v>
      </c>
      <c r="H7" s="3" t="s">
        <v>9</v>
      </c>
      <c r="I7" s="3">
        <v>95.5</v>
      </c>
    </row>
    <row r="8" spans="1:9">
      <c r="A8">
        <f t="shared" si="0"/>
        <v>7</v>
      </c>
      <c r="B8" t="s">
        <v>15</v>
      </c>
      <c r="C8" s="3">
        <v>68303</v>
      </c>
      <c r="D8" s="3">
        <v>102.19812</v>
      </c>
      <c r="E8" s="3">
        <v>92.334420899999998</v>
      </c>
      <c r="F8" s="3" t="s">
        <v>9</v>
      </c>
      <c r="G8" s="3">
        <v>1357.8658600000001</v>
      </c>
      <c r="H8" s="3">
        <v>68921</v>
      </c>
      <c r="I8" s="3">
        <v>97.3</v>
      </c>
    </row>
    <row r="9" spans="1:9">
      <c r="A9">
        <f t="shared" si="0"/>
        <v>8</v>
      </c>
      <c r="B9" t="s">
        <v>16</v>
      </c>
      <c r="C9" s="3">
        <v>73117</v>
      </c>
      <c r="D9" s="3">
        <v>96.979196999999999</v>
      </c>
      <c r="E9" s="3">
        <v>94.075528399999996</v>
      </c>
      <c r="F9" s="3" t="s">
        <v>9</v>
      </c>
      <c r="G9" s="3">
        <v>2095.0036700000001</v>
      </c>
      <c r="H9" s="3">
        <v>74223</v>
      </c>
      <c r="I9" s="3">
        <v>97.3</v>
      </c>
    </row>
    <row r="10" spans="1:9">
      <c r="A10">
        <f t="shared" si="0"/>
        <v>9</v>
      </c>
      <c r="B10" t="s">
        <v>17</v>
      </c>
      <c r="C10" s="3">
        <v>83560</v>
      </c>
      <c r="D10" s="3">
        <v>108.97981799999999</v>
      </c>
      <c r="E10" s="3">
        <v>80.062630499999997</v>
      </c>
      <c r="F10" s="3" t="s">
        <v>9</v>
      </c>
      <c r="G10" s="3">
        <v>2946.2342600000002</v>
      </c>
      <c r="H10" s="3">
        <v>86269</v>
      </c>
      <c r="I10" s="3">
        <v>104.4</v>
      </c>
    </row>
    <row r="11" spans="1:9">
      <c r="A11">
        <f t="shared" si="0"/>
        <v>10</v>
      </c>
      <c r="B11" t="s">
        <v>18</v>
      </c>
      <c r="C11" s="3">
        <v>5384</v>
      </c>
      <c r="D11" s="3">
        <v>80.207624600000003</v>
      </c>
      <c r="E11" s="3">
        <v>81.181619299999994</v>
      </c>
      <c r="F11" s="3" t="s">
        <v>9</v>
      </c>
      <c r="G11" s="3">
        <v>174.372501</v>
      </c>
      <c r="H11" s="3" t="s">
        <v>9</v>
      </c>
      <c r="I11" s="3" t="s">
        <v>9</v>
      </c>
    </row>
    <row r="12" spans="1:9">
      <c r="A12">
        <f t="shared" si="0"/>
        <v>11</v>
      </c>
      <c r="B12" t="s">
        <v>19</v>
      </c>
      <c r="C12" s="3">
        <v>579697</v>
      </c>
      <c r="D12" s="3">
        <v>115.348568</v>
      </c>
      <c r="E12" s="3" t="s">
        <v>9</v>
      </c>
      <c r="F12" s="3" t="s">
        <v>9</v>
      </c>
      <c r="G12" s="3">
        <v>636550.91399999999</v>
      </c>
      <c r="H12" s="3" t="s">
        <v>9</v>
      </c>
      <c r="I12" s="3" t="s">
        <v>9</v>
      </c>
    </row>
    <row r="13" spans="1:9">
      <c r="A13">
        <f t="shared" si="0"/>
        <v>12</v>
      </c>
      <c r="B13" t="s">
        <v>20</v>
      </c>
      <c r="C13" s="3">
        <v>245081</v>
      </c>
      <c r="D13" s="3" t="s">
        <v>9</v>
      </c>
      <c r="E13" s="3" t="s">
        <v>9</v>
      </c>
      <c r="F13" s="3" t="s">
        <v>9</v>
      </c>
      <c r="G13" s="3" t="s">
        <v>9</v>
      </c>
      <c r="H13" s="3" t="s">
        <v>9</v>
      </c>
      <c r="I13" s="3" t="s">
        <v>9</v>
      </c>
    </row>
    <row r="14" spans="1:9">
      <c r="A14">
        <f t="shared" si="0"/>
        <v>13</v>
      </c>
      <c r="B14" t="s">
        <v>21</v>
      </c>
      <c r="C14" s="3">
        <v>5862</v>
      </c>
      <c r="D14" s="3" t="s">
        <v>9</v>
      </c>
      <c r="E14" s="3">
        <v>88.288288300000005</v>
      </c>
      <c r="F14" s="3" t="s">
        <v>9</v>
      </c>
      <c r="G14" s="3" t="s">
        <v>9</v>
      </c>
      <c r="H14" s="3" t="s">
        <v>9</v>
      </c>
      <c r="I14" s="3" t="s">
        <v>9</v>
      </c>
    </row>
    <row r="15" spans="1:9">
      <c r="A15">
        <f t="shared" si="0"/>
        <v>14</v>
      </c>
      <c r="B15" t="s">
        <v>22</v>
      </c>
      <c r="C15" s="3">
        <v>3464</v>
      </c>
      <c r="D15" s="3">
        <v>112.91878699999999</v>
      </c>
      <c r="E15" s="3">
        <v>90.990990999999994</v>
      </c>
      <c r="F15" s="3" t="s">
        <v>9</v>
      </c>
      <c r="G15" s="3">
        <v>252.10046500000001</v>
      </c>
      <c r="H15" s="3" t="s">
        <v>9</v>
      </c>
      <c r="I15" s="3" t="s">
        <v>9</v>
      </c>
    </row>
    <row r="16" spans="1:9">
      <c r="A16">
        <f t="shared" si="0"/>
        <v>15</v>
      </c>
      <c r="B16" t="s">
        <v>23</v>
      </c>
      <c r="C16" s="3">
        <v>3026</v>
      </c>
      <c r="D16" s="3">
        <v>132.10587599999999</v>
      </c>
      <c r="E16" s="3" t="s">
        <v>9</v>
      </c>
      <c r="F16" s="3" t="s">
        <v>9</v>
      </c>
      <c r="G16" s="3">
        <v>239.32557499999999</v>
      </c>
      <c r="H16" s="3" t="s">
        <v>9</v>
      </c>
      <c r="I16" s="3" t="s">
        <v>9</v>
      </c>
    </row>
    <row r="17" spans="1:9">
      <c r="A17">
        <f t="shared" si="0"/>
        <v>16</v>
      </c>
      <c r="B17" t="s">
        <v>24</v>
      </c>
      <c r="C17" s="3">
        <v>94287</v>
      </c>
      <c r="D17" s="3">
        <v>92.496080599999999</v>
      </c>
      <c r="E17" s="3">
        <v>93.538328300000003</v>
      </c>
      <c r="F17" s="3" t="s">
        <v>9</v>
      </c>
      <c r="G17" s="3">
        <v>126460.341</v>
      </c>
      <c r="H17" s="3" t="s">
        <v>9</v>
      </c>
      <c r="I17" s="3" t="s">
        <v>9</v>
      </c>
    </row>
    <row r="18" spans="1:9">
      <c r="A18">
        <f t="shared" si="0"/>
        <v>17</v>
      </c>
      <c r="B18" t="s">
        <v>25</v>
      </c>
      <c r="C18" s="3">
        <v>79762</v>
      </c>
      <c r="D18" s="3">
        <v>95.760390299999997</v>
      </c>
      <c r="E18" s="3">
        <v>54.688863400000002</v>
      </c>
      <c r="F18" s="3" t="s">
        <v>9</v>
      </c>
      <c r="G18" s="3">
        <v>6502.1806699999997</v>
      </c>
      <c r="H18" s="3" t="s">
        <v>9</v>
      </c>
      <c r="I18" s="3" t="s">
        <v>9</v>
      </c>
    </row>
    <row r="19" spans="1:9">
      <c r="A19">
        <f t="shared" si="0"/>
        <v>18</v>
      </c>
      <c r="B19" t="s">
        <v>26</v>
      </c>
      <c r="C19" s="3">
        <v>37246</v>
      </c>
      <c r="D19" s="3">
        <v>96.379249799999997</v>
      </c>
      <c r="E19" s="3" t="s">
        <v>9</v>
      </c>
      <c r="F19" s="3" t="s">
        <v>9</v>
      </c>
      <c r="G19" s="3">
        <v>91572.638699999996</v>
      </c>
      <c r="H19" s="3" t="s">
        <v>9</v>
      </c>
      <c r="I19" s="3" t="s">
        <v>9</v>
      </c>
    </row>
    <row r="20" spans="1:9">
      <c r="A20">
        <f t="shared" si="0"/>
        <v>19</v>
      </c>
      <c r="B20" t="s">
        <v>27</v>
      </c>
      <c r="C20" s="3">
        <v>2505488</v>
      </c>
      <c r="D20" s="3">
        <v>116.67380199999999</v>
      </c>
      <c r="E20" s="3">
        <v>99.469861800000004</v>
      </c>
      <c r="F20" s="3" t="s">
        <v>9</v>
      </c>
      <c r="G20" s="3">
        <v>3154661.53</v>
      </c>
      <c r="H20" s="3" t="s">
        <v>9</v>
      </c>
      <c r="I20" s="3" t="s">
        <v>9</v>
      </c>
    </row>
    <row r="21" spans="1:9">
      <c r="A21">
        <f t="shared" si="0"/>
        <v>20</v>
      </c>
      <c r="B21" t="s">
        <v>28</v>
      </c>
      <c r="C21" s="3">
        <v>12279</v>
      </c>
      <c r="D21" s="3">
        <v>75.8398495</v>
      </c>
      <c r="E21" s="3">
        <v>52.333751599999999</v>
      </c>
      <c r="F21" s="3" t="s">
        <v>9</v>
      </c>
      <c r="G21" s="3">
        <v>1254.01936</v>
      </c>
      <c r="H21" s="3">
        <v>46868</v>
      </c>
      <c r="I21" s="3">
        <v>92.2</v>
      </c>
    </row>
    <row r="22" spans="1:9">
      <c r="A22">
        <f t="shared" si="0"/>
        <v>21</v>
      </c>
      <c r="B22" t="s">
        <v>29</v>
      </c>
      <c r="C22" s="3">
        <v>2130</v>
      </c>
      <c r="D22" s="3">
        <v>73.398540100000005</v>
      </c>
      <c r="E22" s="3">
        <v>44.964128000000002</v>
      </c>
      <c r="F22" s="3" t="s">
        <v>9</v>
      </c>
      <c r="G22" s="3">
        <v>152.57340300000001</v>
      </c>
      <c r="H22" s="3">
        <v>4804</v>
      </c>
      <c r="I22" s="3">
        <v>83.7</v>
      </c>
    </row>
    <row r="23" spans="1:9">
      <c r="A23">
        <f t="shared" si="0"/>
        <v>22</v>
      </c>
      <c r="B23" t="s">
        <v>30</v>
      </c>
      <c r="C23" s="3">
        <v>467</v>
      </c>
      <c r="D23" s="3">
        <v>78.494506400000006</v>
      </c>
      <c r="E23" s="3">
        <v>30.39963505681818</v>
      </c>
      <c r="F23" s="3" t="s">
        <v>9</v>
      </c>
      <c r="G23" s="3">
        <v>64.845242099999993</v>
      </c>
      <c r="H23" s="3">
        <v>1831</v>
      </c>
      <c r="I23" s="3">
        <v>82.5</v>
      </c>
    </row>
    <row r="24" spans="1:9">
      <c r="A24">
        <f t="shared" si="0"/>
        <v>23</v>
      </c>
      <c r="B24" t="s">
        <v>31</v>
      </c>
      <c r="C24" s="3">
        <v>2506</v>
      </c>
      <c r="D24" s="3">
        <v>64.783024900000001</v>
      </c>
      <c r="E24" s="3">
        <v>33.9099942</v>
      </c>
      <c r="F24" s="3" t="s">
        <v>9</v>
      </c>
      <c r="G24" s="3">
        <v>238.40554700000001</v>
      </c>
      <c r="H24" s="3">
        <v>8491</v>
      </c>
      <c r="I24" s="3">
        <v>81.900000000000006</v>
      </c>
    </row>
    <row r="25" spans="1:9">
      <c r="A25">
        <f t="shared" si="0"/>
        <v>24</v>
      </c>
      <c r="B25" t="s">
        <v>32</v>
      </c>
      <c r="C25" s="3">
        <v>3656</v>
      </c>
      <c r="D25" s="3">
        <v>74.873803300000006</v>
      </c>
      <c r="E25" s="3">
        <v>41.158211600000001</v>
      </c>
      <c r="F25" s="3" t="s">
        <v>9</v>
      </c>
      <c r="G25" s="3">
        <v>355.79248699999999</v>
      </c>
      <c r="H25" s="3">
        <v>6728</v>
      </c>
      <c r="I25" s="3">
        <v>83.3</v>
      </c>
    </row>
    <row r="26" spans="1:9">
      <c r="A26">
        <f t="shared" si="0"/>
        <v>25</v>
      </c>
      <c r="B26" t="s">
        <v>33</v>
      </c>
      <c r="C26" s="3">
        <v>9315</v>
      </c>
      <c r="D26" s="3">
        <v>80.022546399999996</v>
      </c>
      <c r="E26" s="3" t="s">
        <v>9</v>
      </c>
      <c r="F26" s="3" t="s">
        <v>9</v>
      </c>
      <c r="G26" s="3">
        <v>805.65435600000001</v>
      </c>
      <c r="H26" s="3">
        <v>23299</v>
      </c>
      <c r="I26" s="3">
        <v>84</v>
      </c>
    </row>
    <row r="27" spans="1:9">
      <c r="A27">
        <f t="shared" si="0"/>
        <v>26</v>
      </c>
      <c r="B27" t="s">
        <v>34</v>
      </c>
      <c r="C27" s="3">
        <v>2345</v>
      </c>
      <c r="D27" s="3">
        <v>34.012334299999999</v>
      </c>
      <c r="E27" s="3">
        <v>64.224774400000001</v>
      </c>
      <c r="F27" s="3" t="s">
        <v>9</v>
      </c>
      <c r="G27" s="3">
        <v>99.578457499999999</v>
      </c>
      <c r="H27" s="3">
        <v>10874</v>
      </c>
      <c r="I27" s="3">
        <v>82.5</v>
      </c>
    </row>
    <row r="28" spans="1:9">
      <c r="A28">
        <f t="shared" si="0"/>
        <v>27</v>
      </c>
      <c r="B28" t="s">
        <v>35</v>
      </c>
      <c r="C28" s="3">
        <v>2801.062000000034</v>
      </c>
      <c r="D28" s="3">
        <v>55.968005300000002</v>
      </c>
      <c r="E28" s="3" t="s">
        <v>9</v>
      </c>
      <c r="F28" s="3" t="s">
        <v>9</v>
      </c>
      <c r="G28" s="3">
        <v>155.30767800000001</v>
      </c>
      <c r="H28" s="3" t="s">
        <v>9</v>
      </c>
      <c r="I28" s="3" t="s">
        <v>9</v>
      </c>
    </row>
    <row r="29" spans="1:9">
      <c r="A29">
        <f t="shared" si="0"/>
        <v>28</v>
      </c>
      <c r="B29" t="s">
        <v>36</v>
      </c>
      <c r="C29" s="3" t="s">
        <v>9</v>
      </c>
      <c r="D29" s="3">
        <v>55.968005300000002</v>
      </c>
      <c r="E29" s="3" t="s">
        <v>9</v>
      </c>
      <c r="F29" s="3" t="s">
        <v>9</v>
      </c>
      <c r="G29" s="3">
        <v>53.431877200000002</v>
      </c>
      <c r="H29" s="3" t="s">
        <v>9</v>
      </c>
      <c r="I29" s="3" t="s">
        <v>9</v>
      </c>
    </row>
    <row r="30" spans="1:9">
      <c r="A30">
        <f t="shared" si="0"/>
        <v>29</v>
      </c>
      <c r="B30" t="s">
        <v>37</v>
      </c>
      <c r="C30" s="3">
        <v>1841.70299999998</v>
      </c>
      <c r="D30" s="3">
        <v>55.968005300000002</v>
      </c>
      <c r="E30" s="3" t="s">
        <v>9</v>
      </c>
      <c r="F30" s="3" t="s">
        <v>9</v>
      </c>
      <c r="G30" s="3">
        <v>27.272520700000001</v>
      </c>
      <c r="H30" s="3" t="s">
        <v>9</v>
      </c>
      <c r="I30" s="3" t="s">
        <v>9</v>
      </c>
    </row>
    <row r="31" spans="1:9">
      <c r="A31">
        <f t="shared" si="0"/>
        <v>30</v>
      </c>
      <c r="B31" t="s">
        <v>38</v>
      </c>
      <c r="C31" s="3">
        <v>654.6239999999525</v>
      </c>
      <c r="D31" s="3">
        <v>63.694137300000001</v>
      </c>
      <c r="E31" s="3">
        <v>13.1277533</v>
      </c>
      <c r="F31" s="3" t="s">
        <v>9</v>
      </c>
      <c r="G31" s="3">
        <v>124.881648</v>
      </c>
      <c r="H31" s="3" t="s">
        <v>9</v>
      </c>
      <c r="I31" s="3" t="s">
        <v>9</v>
      </c>
    </row>
    <row r="32" spans="1:9">
      <c r="A32">
        <f t="shared" si="0"/>
        <v>31</v>
      </c>
      <c r="B32" t="s">
        <v>39</v>
      </c>
      <c r="C32" s="3">
        <v>1718</v>
      </c>
      <c r="D32" s="3" t="s">
        <v>9</v>
      </c>
      <c r="E32" s="3" t="s">
        <v>9</v>
      </c>
      <c r="F32" s="3" t="s">
        <v>9</v>
      </c>
      <c r="G32" s="3" t="s">
        <v>9</v>
      </c>
      <c r="H32" s="3" t="s">
        <v>9</v>
      </c>
      <c r="I32" s="3" t="s">
        <v>9</v>
      </c>
    </row>
    <row r="33" spans="1:9">
      <c r="A33">
        <f t="shared" si="0"/>
        <v>32</v>
      </c>
      <c r="B33" t="s">
        <v>40</v>
      </c>
      <c r="C33" s="3">
        <v>5061</v>
      </c>
      <c r="D33" s="3">
        <v>89.345989799999998</v>
      </c>
      <c r="E33" s="3">
        <v>46.350444000000003</v>
      </c>
      <c r="F33" s="3" t="s">
        <v>9</v>
      </c>
      <c r="G33" s="3">
        <v>21903.551299999999</v>
      </c>
      <c r="H33" s="3" t="s">
        <v>9</v>
      </c>
      <c r="I33" s="3" t="s">
        <v>9</v>
      </c>
    </row>
    <row r="34" spans="1:9">
      <c r="A34">
        <f t="shared" si="0"/>
        <v>33</v>
      </c>
      <c r="B34" t="s">
        <v>41</v>
      </c>
      <c r="C34" s="3">
        <v>9690</v>
      </c>
      <c r="D34" s="3">
        <v>69.801343299999999</v>
      </c>
      <c r="E34" s="3">
        <v>40.1517865</v>
      </c>
      <c r="F34" s="3" t="s">
        <v>9</v>
      </c>
      <c r="G34" s="3">
        <v>45177.888500000001</v>
      </c>
      <c r="H34" s="3" t="s">
        <v>9</v>
      </c>
      <c r="I34" s="3" t="s">
        <v>9</v>
      </c>
    </row>
    <row r="35" spans="1:9">
      <c r="A35">
        <f t="shared" si="0"/>
        <v>34</v>
      </c>
      <c r="B35" t="s">
        <v>42</v>
      </c>
      <c r="C35" s="3">
        <v>374875</v>
      </c>
      <c r="D35" s="3">
        <v>89.852801099999994</v>
      </c>
      <c r="E35" s="3">
        <v>93.756345899999999</v>
      </c>
      <c r="F35" s="3" t="s">
        <v>9</v>
      </c>
      <c r="G35" s="3">
        <v>634526.45200000005</v>
      </c>
      <c r="H35" s="3" t="s">
        <v>9</v>
      </c>
      <c r="I35" s="3" t="s">
        <v>9</v>
      </c>
    </row>
    <row r="36" spans="1:9">
      <c r="A36">
        <f t="shared" si="0"/>
        <v>35</v>
      </c>
      <c r="B36" t="s">
        <v>43</v>
      </c>
      <c r="C36" s="3">
        <v>5892.2989999999991</v>
      </c>
      <c r="D36" s="3" t="s">
        <v>9</v>
      </c>
      <c r="E36" s="3" t="s">
        <v>9</v>
      </c>
      <c r="F36" s="3" t="s">
        <v>9</v>
      </c>
      <c r="G36" s="3" t="s">
        <v>9</v>
      </c>
      <c r="H36" s="3" t="s">
        <v>9</v>
      </c>
      <c r="I36" s="3" t="s">
        <v>9</v>
      </c>
    </row>
    <row r="37" spans="1:9">
      <c r="A37">
        <f t="shared" si="0"/>
        <v>36</v>
      </c>
      <c r="B37" t="s">
        <v>44</v>
      </c>
      <c r="C37" s="3">
        <v>5409</v>
      </c>
      <c r="D37" s="3" t="s">
        <v>9</v>
      </c>
      <c r="E37" s="3">
        <v>68.266368999999997</v>
      </c>
      <c r="F37" s="3" t="s">
        <v>9</v>
      </c>
      <c r="G37" s="3" t="s">
        <v>9</v>
      </c>
      <c r="H37" s="3" t="s">
        <v>9</v>
      </c>
      <c r="I37" s="3" t="s">
        <v>9</v>
      </c>
    </row>
    <row r="38" spans="1:9">
      <c r="A38">
        <f t="shared" si="0"/>
        <v>37</v>
      </c>
      <c r="B38" t="s">
        <v>45</v>
      </c>
      <c r="C38" s="3">
        <v>6870</v>
      </c>
      <c r="D38" s="3">
        <v>71.687984599999993</v>
      </c>
      <c r="E38" s="3">
        <v>42.4867396</v>
      </c>
      <c r="F38" s="3" t="s">
        <v>9</v>
      </c>
      <c r="G38" s="3">
        <v>23782.4519</v>
      </c>
      <c r="H38" s="3" t="s">
        <v>9</v>
      </c>
      <c r="I38" s="3" t="s">
        <v>9</v>
      </c>
    </row>
    <row r="39" spans="1:9">
      <c r="A39">
        <f t="shared" si="0"/>
        <v>38</v>
      </c>
      <c r="B39" t="s">
        <v>46</v>
      </c>
      <c r="C39" s="3">
        <v>7444.0629999999665</v>
      </c>
      <c r="D39" s="3">
        <v>74.583181600000003</v>
      </c>
      <c r="E39" s="3">
        <v>75.086100900000005</v>
      </c>
      <c r="F39" s="3" t="s">
        <v>9</v>
      </c>
      <c r="G39" s="3">
        <v>22011.134099999999</v>
      </c>
      <c r="H39" s="3" t="s">
        <v>9</v>
      </c>
      <c r="I39" s="3" t="s">
        <v>9</v>
      </c>
    </row>
    <row r="40" spans="1:9">
      <c r="A40">
        <f t="shared" si="0"/>
        <v>39</v>
      </c>
      <c r="B40" t="s">
        <v>47</v>
      </c>
      <c r="C40" s="3">
        <v>11342</v>
      </c>
      <c r="D40" s="3">
        <v>70.206754399999994</v>
      </c>
      <c r="E40" s="3">
        <v>49.799631499999997</v>
      </c>
      <c r="F40" s="3" t="s">
        <v>9</v>
      </c>
      <c r="G40" s="3">
        <v>42749.195200000002</v>
      </c>
      <c r="H40" s="3" t="s">
        <v>9</v>
      </c>
      <c r="I40" s="3" t="s">
        <v>9</v>
      </c>
    </row>
    <row r="41" spans="1:9">
      <c r="A41">
        <f t="shared" si="0"/>
        <v>40</v>
      </c>
      <c r="B41" t="s">
        <v>48</v>
      </c>
      <c r="C41" s="3">
        <v>7228.3129999999665</v>
      </c>
      <c r="D41" s="3">
        <v>74.390139899999994</v>
      </c>
      <c r="E41" s="3">
        <v>69.059678500000004</v>
      </c>
      <c r="F41" s="3" t="s">
        <v>9</v>
      </c>
      <c r="G41" s="3">
        <v>22104.469799999999</v>
      </c>
      <c r="H41" s="3" t="s">
        <v>9</v>
      </c>
      <c r="I41" s="3" t="s">
        <v>9</v>
      </c>
    </row>
    <row r="42" spans="1:9">
      <c r="A42">
        <f t="shared" si="0"/>
        <v>41</v>
      </c>
      <c r="B42" t="s">
        <v>49</v>
      </c>
      <c r="C42" s="3">
        <v>16255.25</v>
      </c>
      <c r="D42" s="3">
        <v>77.661350799999994</v>
      </c>
      <c r="E42" s="3">
        <v>45.394256800000001</v>
      </c>
      <c r="F42" s="3" t="s">
        <v>9</v>
      </c>
      <c r="G42" s="3">
        <v>76500.340899999996</v>
      </c>
      <c r="H42" s="3" t="s">
        <v>9</v>
      </c>
      <c r="I42" s="3" t="s">
        <v>9</v>
      </c>
    </row>
    <row r="43" spans="1:9">
      <c r="A43">
        <f t="shared" si="0"/>
        <v>42</v>
      </c>
      <c r="B43" t="s">
        <v>50</v>
      </c>
      <c r="C43" s="3">
        <v>30880</v>
      </c>
      <c r="D43" s="3">
        <v>85.5084461</v>
      </c>
      <c r="E43" s="3" t="s">
        <v>9</v>
      </c>
      <c r="F43" s="3" t="s">
        <v>9</v>
      </c>
      <c r="G43" s="3">
        <v>201733.37</v>
      </c>
      <c r="H43" s="3" t="s">
        <v>9</v>
      </c>
      <c r="I43" s="3" t="s">
        <v>9</v>
      </c>
    </row>
    <row r="44" spans="1:9">
      <c r="A44">
        <f t="shared" si="0"/>
        <v>43</v>
      </c>
      <c r="B44" t="s">
        <v>51</v>
      </c>
      <c r="C44" s="3">
        <v>13242.489999999991</v>
      </c>
      <c r="D44" s="3">
        <v>72.720316800000006</v>
      </c>
      <c r="E44" s="3">
        <v>65.149029900000002</v>
      </c>
      <c r="F44" s="3" t="s">
        <v>9</v>
      </c>
      <c r="G44" s="3">
        <v>36166.089099999997</v>
      </c>
      <c r="H44" s="3" t="s">
        <v>9</v>
      </c>
      <c r="I44" s="3" t="s">
        <v>9</v>
      </c>
    </row>
    <row r="45" spans="1:9">
      <c r="A45">
        <f t="shared" si="0"/>
        <v>44</v>
      </c>
      <c r="B45" t="s">
        <v>52</v>
      </c>
      <c r="C45" s="3">
        <v>1902</v>
      </c>
      <c r="D45" s="3">
        <v>79.145349899999999</v>
      </c>
      <c r="E45" s="3">
        <v>58.641975299999999</v>
      </c>
      <c r="F45" s="3" t="s">
        <v>9</v>
      </c>
      <c r="G45" s="3">
        <v>5632.96209</v>
      </c>
      <c r="H45" s="3" t="s">
        <v>9</v>
      </c>
      <c r="I45" s="3" t="s">
        <v>9</v>
      </c>
    </row>
    <row r="46" spans="1:9">
      <c r="A46">
        <f t="shared" si="0"/>
        <v>45</v>
      </c>
      <c r="B46" t="s">
        <v>53</v>
      </c>
      <c r="C46" s="3">
        <v>13985</v>
      </c>
      <c r="D46" s="3">
        <v>73.928901699999997</v>
      </c>
      <c r="E46" s="3">
        <v>76.665647000000007</v>
      </c>
      <c r="F46" s="3" t="s">
        <v>9</v>
      </c>
      <c r="G46" s="3">
        <v>35493.508199999997</v>
      </c>
      <c r="H46" s="3" t="s">
        <v>9</v>
      </c>
      <c r="I46" s="3" t="s">
        <v>9</v>
      </c>
    </row>
    <row r="47" spans="1:9">
      <c r="A47">
        <f t="shared" si="0"/>
        <v>46</v>
      </c>
      <c r="B47" t="s">
        <v>54</v>
      </c>
      <c r="C47" s="3">
        <v>9310</v>
      </c>
      <c r="D47" s="3">
        <v>72.961436000000006</v>
      </c>
      <c r="E47" s="3">
        <v>77.407002199999994</v>
      </c>
      <c r="F47" s="3" t="s">
        <v>9</v>
      </c>
      <c r="G47" s="3">
        <v>20631.178</v>
      </c>
      <c r="H47" s="3" t="s">
        <v>9</v>
      </c>
      <c r="I47" s="3" t="s">
        <v>9</v>
      </c>
    </row>
    <row r="48" spans="1:9">
      <c r="A48">
        <f t="shared" si="0"/>
        <v>47</v>
      </c>
      <c r="B48" t="s">
        <v>55</v>
      </c>
      <c r="C48" s="3">
        <v>9952</v>
      </c>
      <c r="D48" s="3">
        <v>65.783598499999997</v>
      </c>
      <c r="E48" s="3">
        <v>72.865109799999999</v>
      </c>
      <c r="F48" s="3" t="s">
        <v>9</v>
      </c>
      <c r="G48" s="3">
        <v>22105.3354</v>
      </c>
      <c r="H48" s="3" t="s">
        <v>9</v>
      </c>
      <c r="I48" s="3" t="s">
        <v>9</v>
      </c>
    </row>
    <row r="49" spans="1:9">
      <c r="A49">
        <f t="shared" si="0"/>
        <v>48</v>
      </c>
      <c r="B49" t="s">
        <v>56</v>
      </c>
      <c r="C49" s="3">
        <v>7780</v>
      </c>
      <c r="D49" s="3">
        <v>78.247537899999998</v>
      </c>
      <c r="E49" s="3">
        <v>53.546615600000003</v>
      </c>
      <c r="F49" s="3" t="s">
        <v>9</v>
      </c>
      <c r="G49" s="3">
        <v>16183.516</v>
      </c>
      <c r="H49" s="3" t="s">
        <v>9</v>
      </c>
      <c r="I49" s="3" t="s">
        <v>9</v>
      </c>
    </row>
    <row r="50" spans="1:9">
      <c r="A50">
        <f t="shared" si="0"/>
        <v>49</v>
      </c>
      <c r="B50" t="s">
        <v>57</v>
      </c>
      <c r="C50" s="3">
        <v>5587</v>
      </c>
      <c r="D50" s="3">
        <v>78.746017800000004</v>
      </c>
      <c r="E50" s="3">
        <v>14.364459099999999</v>
      </c>
      <c r="F50" s="3" t="s">
        <v>9</v>
      </c>
      <c r="G50" s="3">
        <v>14793.8928</v>
      </c>
      <c r="H50" s="3" t="s">
        <v>9</v>
      </c>
      <c r="I50" s="3" t="s">
        <v>9</v>
      </c>
    </row>
    <row r="51" spans="1:9">
      <c r="A51">
        <f t="shared" si="0"/>
        <v>50</v>
      </c>
      <c r="B51" t="s">
        <v>58</v>
      </c>
      <c r="C51" s="3">
        <v>2469</v>
      </c>
      <c r="D51" s="3">
        <v>84.4946257</v>
      </c>
      <c r="E51" s="3">
        <v>43.5353669</v>
      </c>
      <c r="F51" s="3" t="s">
        <v>9</v>
      </c>
      <c r="G51" s="3">
        <v>11598.2225</v>
      </c>
      <c r="H51" s="3" t="s">
        <v>9</v>
      </c>
      <c r="I51" s="3" t="s">
        <v>9</v>
      </c>
    </row>
    <row r="52" spans="1:9">
      <c r="A52">
        <f t="shared" si="0"/>
        <v>51</v>
      </c>
      <c r="B52" t="s">
        <v>59</v>
      </c>
      <c r="C52" s="3">
        <v>2036</v>
      </c>
      <c r="D52" s="3">
        <v>84.494461900000005</v>
      </c>
      <c r="E52" s="3">
        <v>44.327731100000001</v>
      </c>
      <c r="F52" s="3" t="s">
        <v>9</v>
      </c>
      <c r="G52" s="3">
        <v>9863.5831099999996</v>
      </c>
      <c r="H52" s="3" t="s">
        <v>9</v>
      </c>
      <c r="I52" s="3" t="s">
        <v>9</v>
      </c>
    </row>
    <row r="53" spans="1:9">
      <c r="A53">
        <f t="shared" si="0"/>
        <v>52</v>
      </c>
      <c r="B53" t="s">
        <v>60</v>
      </c>
      <c r="C53" s="3">
        <v>26405.370000800001</v>
      </c>
      <c r="D53" s="3">
        <v>84.517621300000002</v>
      </c>
      <c r="E53" s="3">
        <v>43.019955699999997</v>
      </c>
      <c r="F53" s="3" t="s">
        <v>9</v>
      </c>
      <c r="G53" s="3">
        <v>28037.375700000001</v>
      </c>
      <c r="H53" s="3" t="s">
        <v>9</v>
      </c>
      <c r="I53" s="3" t="s">
        <v>9</v>
      </c>
    </row>
    <row r="54" spans="1:9">
      <c r="A54">
        <f t="shared" si="0"/>
        <v>53</v>
      </c>
      <c r="B54" t="s">
        <v>61</v>
      </c>
      <c r="C54" s="3">
        <v>239838</v>
      </c>
      <c r="D54" s="3">
        <v>106.16232599999999</v>
      </c>
      <c r="E54" s="3">
        <v>86.185761400000004</v>
      </c>
      <c r="F54" s="3" t="s">
        <v>9</v>
      </c>
      <c r="G54" s="3">
        <v>792732.973</v>
      </c>
      <c r="H54" s="3" t="s">
        <v>9</v>
      </c>
      <c r="I54" s="3" t="s">
        <v>9</v>
      </c>
    </row>
    <row r="55" spans="1:9">
      <c r="A55">
        <f t="shared" si="0"/>
        <v>54</v>
      </c>
      <c r="B55" t="s">
        <v>62</v>
      </c>
      <c r="C55" s="3">
        <v>27480</v>
      </c>
      <c r="D55" s="3">
        <v>75.838886500000001</v>
      </c>
      <c r="E55" s="3">
        <v>77.411729899999997</v>
      </c>
      <c r="F55" s="3" t="s">
        <v>9</v>
      </c>
      <c r="G55" s="3">
        <v>1052.6425400000001</v>
      </c>
      <c r="H55" s="3" t="s">
        <v>9</v>
      </c>
      <c r="I55" s="3" t="s">
        <v>9</v>
      </c>
    </row>
    <row r="56" spans="1:9">
      <c r="A56">
        <f t="shared" si="0"/>
        <v>55</v>
      </c>
      <c r="B56" t="s">
        <v>63</v>
      </c>
      <c r="C56" s="3">
        <v>54936</v>
      </c>
      <c r="D56" s="3">
        <v>105.00350899999999</v>
      </c>
      <c r="E56" s="3">
        <v>94.232749699999999</v>
      </c>
      <c r="F56" s="3" t="s">
        <v>9</v>
      </c>
      <c r="G56" s="3">
        <v>1420.4985200000001</v>
      </c>
      <c r="H56" s="3">
        <v>44943</v>
      </c>
      <c r="I56" s="3">
        <v>105.5</v>
      </c>
    </row>
    <row r="57" spans="1:9">
      <c r="A57">
        <f t="shared" si="0"/>
        <v>56</v>
      </c>
      <c r="B57" t="s">
        <v>64</v>
      </c>
      <c r="C57" s="3">
        <v>52194</v>
      </c>
      <c r="D57" s="3">
        <v>104.141795</v>
      </c>
      <c r="E57" s="3">
        <v>94.456066899999996</v>
      </c>
      <c r="F57" s="3" t="s">
        <v>9</v>
      </c>
      <c r="G57" s="3">
        <v>1394.73533</v>
      </c>
      <c r="H57" s="3">
        <v>44943</v>
      </c>
      <c r="I57" s="3">
        <v>105.5</v>
      </c>
    </row>
    <row r="58" spans="1:9">
      <c r="A58">
        <f t="shared" si="0"/>
        <v>57</v>
      </c>
      <c r="B58" t="s">
        <v>65</v>
      </c>
      <c r="C58" s="3">
        <v>25069</v>
      </c>
      <c r="D58" s="3">
        <v>104.570274</v>
      </c>
      <c r="E58" s="3">
        <v>93.398761500000006</v>
      </c>
      <c r="F58" s="3" t="s">
        <v>9</v>
      </c>
      <c r="G58" s="3">
        <v>689.281024</v>
      </c>
      <c r="H58" s="3">
        <v>22080</v>
      </c>
      <c r="I58" s="3">
        <v>105.5</v>
      </c>
    </row>
    <row r="59" spans="1:9">
      <c r="A59">
        <f t="shared" si="0"/>
        <v>58</v>
      </c>
      <c r="B59" t="s">
        <v>66</v>
      </c>
      <c r="C59" s="3">
        <v>13210</v>
      </c>
      <c r="D59" s="3">
        <v>75.434388900000002</v>
      </c>
      <c r="E59" s="3">
        <v>53.5804294</v>
      </c>
      <c r="F59" s="3" t="s">
        <v>9</v>
      </c>
      <c r="G59" s="3">
        <v>911.25363400000003</v>
      </c>
      <c r="H59" s="3">
        <v>28743</v>
      </c>
      <c r="I59" s="3">
        <v>78.599999999999994</v>
      </c>
    </row>
    <row r="60" spans="1:9">
      <c r="A60">
        <f t="shared" si="0"/>
        <v>59</v>
      </c>
      <c r="B60" t="s">
        <v>67</v>
      </c>
      <c r="C60" s="3">
        <v>20313</v>
      </c>
      <c r="D60" s="3">
        <v>93.022962100000001</v>
      </c>
      <c r="E60" s="3">
        <v>91.567636800000002</v>
      </c>
      <c r="F60" s="3" t="s">
        <v>9</v>
      </c>
      <c r="G60" s="3">
        <v>534.02584200000001</v>
      </c>
      <c r="H60" s="3">
        <v>18967</v>
      </c>
      <c r="I60" s="3">
        <v>105.5</v>
      </c>
    </row>
    <row r="61" spans="1:9">
      <c r="A61">
        <f t="shared" si="0"/>
        <v>60</v>
      </c>
      <c r="B61" t="s">
        <v>68</v>
      </c>
      <c r="C61" s="3">
        <v>41431</v>
      </c>
      <c r="D61" s="3">
        <v>96.534450399999997</v>
      </c>
      <c r="E61" s="3">
        <v>83.564567800000006</v>
      </c>
      <c r="F61" s="3" t="s">
        <v>9</v>
      </c>
      <c r="G61" s="3">
        <v>1137.2510400000001</v>
      </c>
      <c r="H61" s="3">
        <v>35246</v>
      </c>
      <c r="I61" s="3">
        <v>95.7</v>
      </c>
    </row>
    <row r="62" spans="1:9">
      <c r="A62">
        <f t="shared" si="0"/>
        <v>61</v>
      </c>
      <c r="B62" t="s">
        <v>69</v>
      </c>
      <c r="C62" s="3">
        <v>38559</v>
      </c>
      <c r="D62" s="3">
        <v>101.12869600000001</v>
      </c>
      <c r="E62" s="3">
        <v>87.907465799999997</v>
      </c>
      <c r="F62" s="3" t="s">
        <v>9</v>
      </c>
      <c r="G62" s="3">
        <v>1397.67994</v>
      </c>
      <c r="H62" s="3">
        <v>52444</v>
      </c>
      <c r="I62" s="3">
        <v>107.8</v>
      </c>
    </row>
    <row r="63" spans="1:9">
      <c r="A63">
        <f t="shared" si="0"/>
        <v>62</v>
      </c>
      <c r="B63" t="s">
        <v>70</v>
      </c>
      <c r="C63" s="3">
        <v>24411</v>
      </c>
      <c r="D63" s="3">
        <v>77.818381099999996</v>
      </c>
      <c r="E63" s="3">
        <v>80.089485499999995</v>
      </c>
      <c r="F63" s="3" t="s">
        <v>9</v>
      </c>
      <c r="G63" s="3">
        <v>1082.68136</v>
      </c>
      <c r="H63" s="3">
        <v>41710</v>
      </c>
      <c r="I63" s="3">
        <v>103.4</v>
      </c>
    </row>
    <row r="64" spans="1:9">
      <c r="A64">
        <f t="shared" si="0"/>
        <v>63</v>
      </c>
      <c r="B64" t="s">
        <v>71</v>
      </c>
      <c r="C64" s="3">
        <v>214418</v>
      </c>
      <c r="D64" s="3">
        <v>104.18280900000001</v>
      </c>
      <c r="E64" s="3">
        <v>91.485078799999997</v>
      </c>
      <c r="F64" s="3" t="s">
        <v>9</v>
      </c>
      <c r="G64" s="3">
        <v>5780.7870199999998</v>
      </c>
      <c r="H64" s="3" t="s">
        <v>9</v>
      </c>
      <c r="I64" s="3" t="s">
        <v>9</v>
      </c>
    </row>
    <row r="65" spans="1:9">
      <c r="A65">
        <f t="shared" si="0"/>
        <v>64</v>
      </c>
      <c r="B65" t="s">
        <v>72</v>
      </c>
      <c r="C65" s="3">
        <v>86390</v>
      </c>
      <c r="D65" s="3">
        <v>103.322509</v>
      </c>
      <c r="E65" s="3">
        <v>94.092774500000004</v>
      </c>
      <c r="F65" s="3" t="s">
        <v>9</v>
      </c>
      <c r="G65" s="3">
        <v>2285.2934799999998</v>
      </c>
      <c r="H65" s="3" t="s">
        <v>9</v>
      </c>
      <c r="I65" s="3" t="s">
        <v>9</v>
      </c>
    </row>
    <row r="66" spans="1:9">
      <c r="A66">
        <f t="shared" si="0"/>
        <v>65</v>
      </c>
      <c r="B66" t="s">
        <v>73</v>
      </c>
      <c r="C66" s="3">
        <v>19614</v>
      </c>
      <c r="D66" s="3">
        <v>68.596465899999998</v>
      </c>
      <c r="E66" s="3">
        <v>98.726459500000004</v>
      </c>
      <c r="F66" s="3" t="s">
        <v>9</v>
      </c>
      <c r="G66" s="3">
        <v>21374.0448</v>
      </c>
      <c r="H66" s="3">
        <v>22745</v>
      </c>
      <c r="I66" s="3">
        <v>96.25</v>
      </c>
    </row>
    <row r="67" spans="1:9">
      <c r="A67">
        <f t="shared" si="0"/>
        <v>66</v>
      </c>
      <c r="B67" t="s">
        <v>74</v>
      </c>
      <c r="C67" s="3">
        <v>505870</v>
      </c>
      <c r="D67" s="3">
        <v>97.489494199999996</v>
      </c>
      <c r="E67" s="3">
        <v>91.662319299999993</v>
      </c>
      <c r="F67" s="3" t="s">
        <v>9</v>
      </c>
      <c r="G67" s="3">
        <v>694334.75399999996</v>
      </c>
      <c r="H67" s="3" t="s">
        <v>9</v>
      </c>
      <c r="I67" s="3" t="s">
        <v>9</v>
      </c>
    </row>
    <row r="68" spans="1:9">
      <c r="A68">
        <f t="shared" ref="A68:A131" si="1">A67+1</f>
        <v>67</v>
      </c>
      <c r="B68" t="s">
        <v>75</v>
      </c>
      <c r="C68" s="3">
        <v>112682</v>
      </c>
      <c r="D68" s="3">
        <v>61.9406113</v>
      </c>
      <c r="E68" s="3">
        <v>76.79177785769231</v>
      </c>
      <c r="F68" s="3" t="s">
        <v>9</v>
      </c>
      <c r="G68" s="3">
        <v>453296.83299999998</v>
      </c>
      <c r="H68" s="3" t="s">
        <v>9</v>
      </c>
      <c r="I68" s="3" t="s">
        <v>9</v>
      </c>
    </row>
    <row r="69" spans="1:9">
      <c r="A69">
        <f t="shared" si="1"/>
        <v>68</v>
      </c>
      <c r="B69" t="s">
        <v>76</v>
      </c>
      <c r="C69" s="3">
        <v>414756</v>
      </c>
      <c r="D69" s="3">
        <v>104.507474</v>
      </c>
      <c r="E69" s="3" t="s">
        <v>9</v>
      </c>
      <c r="F69" s="3" t="s">
        <v>9</v>
      </c>
      <c r="G69" s="3">
        <v>530034.88899999997</v>
      </c>
      <c r="H69" s="3" t="s">
        <v>9</v>
      </c>
      <c r="I69" s="3" t="s">
        <v>9</v>
      </c>
    </row>
    <row r="70" spans="1:9">
      <c r="A70">
        <f t="shared" si="1"/>
        <v>69</v>
      </c>
      <c r="B70" t="s">
        <v>77</v>
      </c>
      <c r="C70" s="3">
        <v>490426</v>
      </c>
      <c r="D70" s="3">
        <v>89.989986200000004</v>
      </c>
      <c r="E70" s="3">
        <v>98.105194299999994</v>
      </c>
      <c r="F70" s="3" t="s">
        <v>9</v>
      </c>
      <c r="G70" s="3">
        <v>655004.91700000002</v>
      </c>
      <c r="H70" s="3" t="s">
        <v>9</v>
      </c>
      <c r="I70" s="3" t="s">
        <v>9</v>
      </c>
    </row>
    <row r="71" spans="1:9">
      <c r="A71">
        <f t="shared" si="1"/>
        <v>70</v>
      </c>
      <c r="B71" t="s">
        <v>78</v>
      </c>
      <c r="C71" s="3">
        <v>306014.50000000012</v>
      </c>
      <c r="D71" s="3">
        <v>77.921448600000005</v>
      </c>
      <c r="E71" s="3" t="s">
        <v>9</v>
      </c>
      <c r="F71" s="3" t="s">
        <v>9</v>
      </c>
      <c r="G71" s="3">
        <v>459897.46299999999</v>
      </c>
      <c r="H71" s="3" t="s">
        <v>9</v>
      </c>
      <c r="I71" s="3" t="s">
        <v>9</v>
      </c>
    </row>
    <row r="72" spans="1:9">
      <c r="A72">
        <f t="shared" si="1"/>
        <v>71</v>
      </c>
      <c r="B72" t="s">
        <v>79</v>
      </c>
      <c r="C72" s="3">
        <v>11958</v>
      </c>
      <c r="D72" s="3">
        <v>79.391824099999994</v>
      </c>
      <c r="E72" s="3">
        <v>65.866614799999994</v>
      </c>
      <c r="F72" s="3" t="s">
        <v>9</v>
      </c>
      <c r="G72" s="3">
        <v>36107.480100000001</v>
      </c>
      <c r="H72" s="3" t="s">
        <v>9</v>
      </c>
      <c r="I72" s="3" t="s">
        <v>9</v>
      </c>
    </row>
    <row r="73" spans="1:9">
      <c r="A73">
        <f t="shared" si="1"/>
        <v>72</v>
      </c>
      <c r="B73" t="s">
        <v>80</v>
      </c>
      <c r="C73" s="3">
        <v>5101</v>
      </c>
      <c r="D73" s="3" t="s">
        <v>9</v>
      </c>
      <c r="E73" s="3">
        <v>65.210356000000004</v>
      </c>
      <c r="F73" s="3" t="s">
        <v>9</v>
      </c>
      <c r="G73" s="3" t="s">
        <v>9</v>
      </c>
      <c r="H73" s="3" t="s">
        <v>9</v>
      </c>
      <c r="I73" s="3" t="s">
        <v>9</v>
      </c>
    </row>
    <row r="74" spans="1:9">
      <c r="A74">
        <f t="shared" si="1"/>
        <v>73</v>
      </c>
      <c r="B74" t="s">
        <v>81</v>
      </c>
      <c r="C74" s="3">
        <v>149966</v>
      </c>
      <c r="D74" s="3">
        <v>88.143099899999996</v>
      </c>
      <c r="E74" s="3">
        <v>91.728923800000004</v>
      </c>
      <c r="F74" s="3" t="s">
        <v>9</v>
      </c>
      <c r="G74" s="3">
        <v>3827.8683999999998</v>
      </c>
      <c r="H74" s="3" t="s">
        <v>9</v>
      </c>
      <c r="I74" s="3" t="s">
        <v>9</v>
      </c>
    </row>
    <row r="75" spans="1:9">
      <c r="A75">
        <f t="shared" si="1"/>
        <v>74</v>
      </c>
      <c r="B75" t="s">
        <v>82</v>
      </c>
      <c r="C75" s="3">
        <v>18539</v>
      </c>
      <c r="D75" s="3">
        <v>61.497687999999997</v>
      </c>
      <c r="E75" s="3">
        <v>23.471488900000001</v>
      </c>
      <c r="F75" s="3" t="s">
        <v>9</v>
      </c>
      <c r="G75" s="3">
        <v>307764.99</v>
      </c>
      <c r="H75" s="3" t="s">
        <v>9</v>
      </c>
      <c r="I75" s="3" t="s">
        <v>9</v>
      </c>
    </row>
    <row r="76" spans="1:9">
      <c r="A76">
        <f t="shared" si="1"/>
        <v>75</v>
      </c>
      <c r="B76" t="s">
        <v>83</v>
      </c>
      <c r="C76" s="3">
        <v>17128</v>
      </c>
      <c r="D76" s="3">
        <v>70.117607399999997</v>
      </c>
      <c r="E76" s="3">
        <v>82.983135200000007</v>
      </c>
      <c r="F76" s="3" t="s">
        <v>9</v>
      </c>
      <c r="G76" s="3">
        <v>24280.218199999999</v>
      </c>
      <c r="H76" s="3" t="s">
        <v>9</v>
      </c>
      <c r="I76" s="3" t="s">
        <v>9</v>
      </c>
    </row>
    <row r="77" spans="1:9">
      <c r="A77">
        <f t="shared" si="1"/>
        <v>76</v>
      </c>
      <c r="B77" t="s">
        <v>84</v>
      </c>
      <c r="C77" s="3">
        <v>11061</v>
      </c>
      <c r="D77" s="3">
        <v>77.358889199999993</v>
      </c>
      <c r="E77" s="3">
        <v>0</v>
      </c>
      <c r="F77" s="3" t="s">
        <v>9</v>
      </c>
      <c r="G77" s="3">
        <v>15220.827799999999</v>
      </c>
      <c r="H77" s="3" t="s">
        <v>9</v>
      </c>
      <c r="I77" s="3" t="s">
        <v>9</v>
      </c>
    </row>
    <row r="78" spans="1:9">
      <c r="A78">
        <f t="shared" si="1"/>
        <v>77</v>
      </c>
      <c r="B78" t="s">
        <v>85</v>
      </c>
      <c r="C78" s="3">
        <v>12167</v>
      </c>
      <c r="D78" s="3">
        <v>67.292698599999994</v>
      </c>
      <c r="E78" s="3">
        <v>86.077059500000004</v>
      </c>
      <c r="F78" s="3" t="s">
        <v>9</v>
      </c>
      <c r="G78" s="3">
        <v>16706.115399999999</v>
      </c>
      <c r="H78" s="3" t="s">
        <v>9</v>
      </c>
      <c r="I78" s="3" t="s">
        <v>9</v>
      </c>
    </row>
    <row r="79" spans="1:9">
      <c r="A79">
        <f t="shared" si="1"/>
        <v>78</v>
      </c>
      <c r="B79" t="s">
        <v>86</v>
      </c>
      <c r="C79" s="3">
        <v>7910</v>
      </c>
      <c r="D79" s="3" t="s">
        <v>9</v>
      </c>
      <c r="E79" s="3" t="s">
        <v>9</v>
      </c>
      <c r="F79" s="3" t="s">
        <v>9</v>
      </c>
      <c r="G79" s="3" t="s">
        <v>9</v>
      </c>
      <c r="H79" s="3" t="s">
        <v>9</v>
      </c>
      <c r="I79" s="3" t="s">
        <v>9</v>
      </c>
    </row>
    <row r="80" spans="1:9">
      <c r="A80">
        <f t="shared" si="1"/>
        <v>79</v>
      </c>
      <c r="B80" t="s">
        <v>87</v>
      </c>
      <c r="C80" s="3">
        <v>11713</v>
      </c>
      <c r="D80" s="3">
        <v>85.678262700000005</v>
      </c>
      <c r="E80" s="3">
        <v>83.496033400000002</v>
      </c>
      <c r="F80" s="3" t="s">
        <v>9</v>
      </c>
      <c r="G80" s="3">
        <v>23860.101900000001</v>
      </c>
      <c r="H80" s="3" t="s">
        <v>9</v>
      </c>
      <c r="I80" s="3" t="s">
        <v>9</v>
      </c>
    </row>
    <row r="81" spans="1:9">
      <c r="A81">
        <f t="shared" si="1"/>
        <v>80</v>
      </c>
      <c r="B81" t="s">
        <v>88</v>
      </c>
      <c r="C81" s="3">
        <v>3389</v>
      </c>
      <c r="D81" s="3" t="s">
        <v>9</v>
      </c>
      <c r="E81" s="3">
        <v>79.797395192857138</v>
      </c>
      <c r="F81" s="3" t="s">
        <v>9</v>
      </c>
      <c r="G81" s="3" t="s">
        <v>9</v>
      </c>
      <c r="H81" s="3" t="s">
        <v>9</v>
      </c>
      <c r="I81" s="3" t="s">
        <v>9</v>
      </c>
    </row>
    <row r="82" spans="1:9">
      <c r="A82">
        <f t="shared" si="1"/>
        <v>81</v>
      </c>
      <c r="B82" t="s">
        <v>89</v>
      </c>
      <c r="C82" s="3">
        <v>20732</v>
      </c>
      <c r="D82" s="3" t="s">
        <v>9</v>
      </c>
      <c r="E82" s="3">
        <v>80.215863499999998</v>
      </c>
      <c r="F82" s="3" t="s">
        <v>9</v>
      </c>
      <c r="G82" s="3" t="s">
        <v>9</v>
      </c>
      <c r="H82" s="3" t="s">
        <v>9</v>
      </c>
      <c r="I82" s="3" t="s">
        <v>9</v>
      </c>
    </row>
    <row r="83" spans="1:9">
      <c r="A83">
        <f t="shared" si="1"/>
        <v>82</v>
      </c>
      <c r="B83" t="s">
        <v>90</v>
      </c>
      <c r="C83" s="3">
        <v>526836</v>
      </c>
      <c r="D83" s="3">
        <v>98.140020500000006</v>
      </c>
      <c r="E83" s="3">
        <v>97.151332800000006</v>
      </c>
      <c r="F83" s="3" t="s">
        <v>9</v>
      </c>
      <c r="G83" s="3">
        <v>690368.60400000005</v>
      </c>
      <c r="H83" s="3" t="s">
        <v>9</v>
      </c>
      <c r="I83" s="3" t="s">
        <v>9</v>
      </c>
    </row>
    <row r="84" spans="1:9">
      <c r="A84">
        <f t="shared" si="1"/>
        <v>83</v>
      </c>
      <c r="B84" t="s">
        <v>91</v>
      </c>
      <c r="C84" s="3">
        <v>187612</v>
      </c>
      <c r="D84" s="3" t="s">
        <v>9</v>
      </c>
      <c r="E84" s="3">
        <v>93.430470999999997</v>
      </c>
      <c r="F84" s="3" t="s">
        <v>9</v>
      </c>
      <c r="G84" s="3" t="s">
        <v>9</v>
      </c>
      <c r="H84" s="3" t="s">
        <v>9</v>
      </c>
      <c r="I84" s="3" t="s">
        <v>9</v>
      </c>
    </row>
    <row r="85" spans="1:9">
      <c r="A85">
        <f t="shared" si="1"/>
        <v>84</v>
      </c>
      <c r="B85" t="s">
        <v>92</v>
      </c>
      <c r="C85" s="3">
        <v>25500</v>
      </c>
      <c r="D85" s="3">
        <v>65.121086199999993</v>
      </c>
      <c r="E85" s="3">
        <v>75.654177399999995</v>
      </c>
      <c r="F85" s="3" t="s">
        <v>9</v>
      </c>
      <c r="G85" s="3">
        <v>47787.725299999998</v>
      </c>
      <c r="H85" s="3" t="s">
        <v>9</v>
      </c>
      <c r="I85" s="3" t="s">
        <v>9</v>
      </c>
    </row>
    <row r="86" spans="1:9">
      <c r="A86">
        <f t="shared" si="1"/>
        <v>85</v>
      </c>
      <c r="B86" t="s">
        <v>93</v>
      </c>
      <c r="C86" s="3">
        <v>252936</v>
      </c>
      <c r="D86" s="3">
        <v>67.3423722</v>
      </c>
      <c r="E86" s="3">
        <v>93.589858599999999</v>
      </c>
      <c r="F86" s="3" t="s">
        <v>9</v>
      </c>
      <c r="G86" s="3">
        <v>445514.47700000001</v>
      </c>
      <c r="H86" s="3" t="s">
        <v>9</v>
      </c>
      <c r="I86" s="3" t="s">
        <v>9</v>
      </c>
    </row>
    <row r="87" spans="1:9">
      <c r="A87">
        <f t="shared" si="1"/>
        <v>86</v>
      </c>
      <c r="B87" t="s">
        <v>94</v>
      </c>
      <c r="C87" s="3">
        <v>193277</v>
      </c>
      <c r="D87" s="3">
        <v>91.9024833</v>
      </c>
      <c r="E87" s="3">
        <v>93.136874300000002</v>
      </c>
      <c r="F87" s="3" t="s">
        <v>9</v>
      </c>
      <c r="G87" s="3">
        <v>263735.81099999999</v>
      </c>
      <c r="H87" s="3" t="s">
        <v>9</v>
      </c>
      <c r="I87" s="3" t="s">
        <v>9</v>
      </c>
    </row>
    <row r="88" spans="1:9">
      <c r="A88">
        <f t="shared" si="1"/>
        <v>87</v>
      </c>
      <c r="B88" t="s">
        <v>95</v>
      </c>
      <c r="C88" s="3">
        <v>3672</v>
      </c>
      <c r="D88" s="3">
        <v>72.248273999999995</v>
      </c>
      <c r="E88" s="3">
        <v>89.356725100000006</v>
      </c>
      <c r="F88" s="3" t="s">
        <v>9</v>
      </c>
      <c r="G88" s="3">
        <v>5835.0593900000003</v>
      </c>
      <c r="H88" s="3" t="s">
        <v>9</v>
      </c>
      <c r="I88" s="3" t="s">
        <v>9</v>
      </c>
    </row>
    <row r="89" spans="1:9">
      <c r="A89">
        <f t="shared" si="1"/>
        <v>88</v>
      </c>
      <c r="B89" t="s">
        <v>96</v>
      </c>
      <c r="C89" s="3">
        <v>16143</v>
      </c>
      <c r="D89" s="3">
        <v>77.643640700000006</v>
      </c>
      <c r="E89" s="3">
        <v>82.300746399999994</v>
      </c>
      <c r="F89" s="3" t="s">
        <v>9</v>
      </c>
      <c r="G89" s="3">
        <v>25547.919099999999</v>
      </c>
      <c r="H89" s="3" t="s">
        <v>9</v>
      </c>
      <c r="I89" s="3" t="s">
        <v>9</v>
      </c>
    </row>
    <row r="90" spans="1:9">
      <c r="A90">
        <f t="shared" si="1"/>
        <v>89</v>
      </c>
      <c r="B90" t="s">
        <v>97</v>
      </c>
      <c r="C90" s="3">
        <v>21489</v>
      </c>
      <c r="D90" s="3">
        <v>81.613459399999996</v>
      </c>
      <c r="E90" s="3">
        <v>87.841009999999997</v>
      </c>
      <c r="F90" s="3" t="s">
        <v>9</v>
      </c>
      <c r="G90" s="3">
        <v>33548.342700000001</v>
      </c>
      <c r="H90" s="3" t="s">
        <v>9</v>
      </c>
      <c r="I90" s="3" t="s">
        <v>9</v>
      </c>
    </row>
    <row r="91" spans="1:9">
      <c r="A91">
        <f t="shared" si="1"/>
        <v>90</v>
      </c>
      <c r="B91" t="s">
        <v>98</v>
      </c>
      <c r="C91" s="3">
        <v>3493</v>
      </c>
      <c r="D91" s="3" t="s">
        <v>9</v>
      </c>
      <c r="E91" s="3">
        <v>87.387387399999994</v>
      </c>
      <c r="F91" s="3" t="s">
        <v>9</v>
      </c>
      <c r="G91" s="3" t="s">
        <v>9</v>
      </c>
      <c r="H91" s="3" t="s">
        <v>9</v>
      </c>
      <c r="I91" s="3" t="s">
        <v>9</v>
      </c>
    </row>
    <row r="92" spans="1:9">
      <c r="A92">
        <f t="shared" si="1"/>
        <v>91</v>
      </c>
      <c r="B92" t="s">
        <v>99</v>
      </c>
      <c r="C92" s="3">
        <v>1893</v>
      </c>
      <c r="D92" s="3">
        <v>84.031215900000007</v>
      </c>
      <c r="E92" s="3">
        <v>86.928799100000006</v>
      </c>
      <c r="F92" s="3" t="s">
        <v>9</v>
      </c>
      <c r="G92" s="3">
        <v>86.011291600000007</v>
      </c>
      <c r="H92" s="3">
        <v>2558</v>
      </c>
      <c r="I92" s="3">
        <v>95.1</v>
      </c>
    </row>
    <row r="93" spans="1:9">
      <c r="A93">
        <f t="shared" si="1"/>
        <v>92</v>
      </c>
      <c r="B93" t="s">
        <v>100</v>
      </c>
      <c r="C93" s="3">
        <v>10144</v>
      </c>
      <c r="D93" s="3">
        <v>84.031215900000007</v>
      </c>
      <c r="E93" s="3">
        <v>65.887353899999994</v>
      </c>
      <c r="F93" s="3" t="s">
        <v>9</v>
      </c>
      <c r="G93" s="3" t="s">
        <v>9</v>
      </c>
      <c r="H93" s="3">
        <v>14637</v>
      </c>
      <c r="I93" s="3">
        <v>96.1</v>
      </c>
    </row>
    <row r="94" spans="1:9">
      <c r="A94">
        <f t="shared" si="1"/>
        <v>93</v>
      </c>
      <c r="B94" t="s">
        <v>101</v>
      </c>
      <c r="C94" s="3">
        <v>20166</v>
      </c>
      <c r="D94" s="3">
        <v>76.6295164</v>
      </c>
      <c r="E94" s="3">
        <v>79.504509100000007</v>
      </c>
      <c r="F94" s="3" t="s">
        <v>9</v>
      </c>
      <c r="G94" s="3">
        <v>50848.172400000003</v>
      </c>
      <c r="H94" s="3" t="s">
        <v>9</v>
      </c>
      <c r="I94" s="3" t="s">
        <v>9</v>
      </c>
    </row>
    <row r="95" spans="1:9">
      <c r="A95">
        <f t="shared" si="1"/>
        <v>94</v>
      </c>
      <c r="B95" t="s">
        <v>102</v>
      </c>
      <c r="C95" s="3">
        <v>14318</v>
      </c>
      <c r="D95" s="3">
        <v>70.362731999999994</v>
      </c>
      <c r="E95" s="3">
        <v>56.830204299999998</v>
      </c>
      <c r="F95" s="3" t="s">
        <v>9</v>
      </c>
      <c r="G95" s="3">
        <v>901.64538300000004</v>
      </c>
      <c r="H95" s="3">
        <v>35024</v>
      </c>
      <c r="I95" s="3">
        <v>79.5</v>
      </c>
    </row>
    <row r="96" spans="1:9">
      <c r="A96">
        <f t="shared" si="1"/>
        <v>95</v>
      </c>
      <c r="B96" t="s">
        <v>103</v>
      </c>
      <c r="C96" s="3">
        <v>3672</v>
      </c>
      <c r="D96" s="3">
        <v>68.808367700000005</v>
      </c>
      <c r="E96" s="3">
        <v>63.600209300000003</v>
      </c>
      <c r="F96" s="3" t="s">
        <v>9</v>
      </c>
      <c r="G96" s="3">
        <v>197.89406099999999</v>
      </c>
      <c r="H96" s="3">
        <v>8212</v>
      </c>
      <c r="I96" s="3">
        <v>84.9</v>
      </c>
    </row>
    <row r="97" spans="1:9">
      <c r="A97">
        <f t="shared" si="1"/>
        <v>96</v>
      </c>
      <c r="B97" t="s">
        <v>104</v>
      </c>
      <c r="C97" s="3">
        <v>1656</v>
      </c>
      <c r="D97" s="3" t="s">
        <v>9</v>
      </c>
      <c r="E97" s="3">
        <v>92.857142899999999</v>
      </c>
      <c r="F97" s="3" t="s">
        <v>9</v>
      </c>
      <c r="G97" s="3" t="s">
        <v>9</v>
      </c>
      <c r="H97" s="3">
        <v>2970</v>
      </c>
      <c r="I97" s="3">
        <v>82.8</v>
      </c>
    </row>
    <row r="98" spans="1:9">
      <c r="A98">
        <f t="shared" si="1"/>
        <v>97</v>
      </c>
      <c r="B98" t="s">
        <v>105</v>
      </c>
      <c r="C98" s="3">
        <v>1407</v>
      </c>
      <c r="D98" s="3">
        <v>78.060050899999993</v>
      </c>
      <c r="E98" s="3">
        <v>40.3082359</v>
      </c>
      <c r="F98" s="3" t="s">
        <v>9</v>
      </c>
      <c r="G98" s="3">
        <v>135.131416</v>
      </c>
      <c r="H98" s="3">
        <v>5110</v>
      </c>
      <c r="I98" s="3">
        <v>84.1</v>
      </c>
    </row>
    <row r="99" spans="1:9">
      <c r="A99">
        <f t="shared" si="1"/>
        <v>98</v>
      </c>
      <c r="B99" t="s">
        <v>106</v>
      </c>
      <c r="C99" s="3">
        <v>2875</v>
      </c>
      <c r="D99" s="3">
        <v>74.739713899999998</v>
      </c>
      <c r="E99" s="3">
        <v>63.528138499999997</v>
      </c>
      <c r="F99" s="3" t="s">
        <v>9</v>
      </c>
      <c r="G99" s="3">
        <v>129.84348600000001</v>
      </c>
      <c r="H99" s="3" t="s">
        <v>9</v>
      </c>
      <c r="I99" s="3" t="s">
        <v>9</v>
      </c>
    </row>
    <row r="100" spans="1:9">
      <c r="A100">
        <f t="shared" si="1"/>
        <v>99</v>
      </c>
      <c r="B100" t="s">
        <v>107</v>
      </c>
      <c r="C100" s="3">
        <v>244</v>
      </c>
      <c r="D100" s="3">
        <v>77.217434699999998</v>
      </c>
      <c r="E100" s="3">
        <v>24.0055719</v>
      </c>
      <c r="F100" s="3" t="s">
        <v>9</v>
      </c>
      <c r="G100" s="3">
        <v>18.785468699999999</v>
      </c>
      <c r="H100" s="3">
        <v>706</v>
      </c>
      <c r="I100" s="3">
        <v>82.7</v>
      </c>
    </row>
    <row r="101" spans="1:9">
      <c r="A101">
        <f t="shared" si="1"/>
        <v>100</v>
      </c>
      <c r="B101" t="s">
        <v>108</v>
      </c>
      <c r="C101" s="3">
        <v>1878</v>
      </c>
      <c r="D101" s="3">
        <v>77.235360900000003</v>
      </c>
      <c r="E101" s="3">
        <v>59.4791667</v>
      </c>
      <c r="F101" s="3" t="s">
        <v>9</v>
      </c>
      <c r="G101" s="3">
        <v>73.174256099999994</v>
      </c>
      <c r="H101" s="3" t="s">
        <v>9</v>
      </c>
      <c r="I101" s="3" t="s">
        <v>9</v>
      </c>
    </row>
    <row r="102" spans="1:9">
      <c r="A102">
        <f t="shared" si="1"/>
        <v>101</v>
      </c>
      <c r="B102" t="s">
        <v>109</v>
      </c>
      <c r="C102" s="3">
        <v>331</v>
      </c>
      <c r="D102" s="3">
        <v>66.175638199999995</v>
      </c>
      <c r="E102" s="3" t="s">
        <v>9</v>
      </c>
      <c r="F102" s="3" t="s">
        <v>9</v>
      </c>
      <c r="G102" s="3">
        <v>17.998641800000001</v>
      </c>
      <c r="H102" s="3">
        <v>805</v>
      </c>
      <c r="I102" s="3">
        <v>84</v>
      </c>
    </row>
    <row r="103" spans="1:9">
      <c r="A103">
        <f t="shared" si="1"/>
        <v>102</v>
      </c>
      <c r="B103" t="s">
        <v>110</v>
      </c>
      <c r="C103" s="3">
        <v>5557</v>
      </c>
      <c r="D103" s="3">
        <v>76.649350299999995</v>
      </c>
      <c r="E103" s="3">
        <v>70.159651699999998</v>
      </c>
      <c r="F103" s="3" t="s">
        <v>9</v>
      </c>
      <c r="G103" s="3">
        <v>225.19307800000001</v>
      </c>
      <c r="H103" s="3">
        <v>8025</v>
      </c>
      <c r="I103" s="3">
        <v>83.5</v>
      </c>
    </row>
    <row r="104" spans="1:9">
      <c r="A104">
        <f t="shared" si="1"/>
        <v>103</v>
      </c>
      <c r="B104" t="s">
        <v>111</v>
      </c>
      <c r="C104" s="3">
        <v>18606</v>
      </c>
      <c r="D104" s="3">
        <v>75.670667100000003</v>
      </c>
      <c r="E104" s="3">
        <v>73.235613499999999</v>
      </c>
      <c r="F104" s="3" t="s">
        <v>9</v>
      </c>
      <c r="G104" s="3">
        <v>992.97569599999997</v>
      </c>
      <c r="H104" s="3">
        <v>36337</v>
      </c>
      <c r="I104" s="3">
        <v>78.3</v>
      </c>
    </row>
    <row r="105" spans="1:9">
      <c r="A105">
        <f t="shared" si="1"/>
        <v>104</v>
      </c>
      <c r="B105" t="s">
        <v>112</v>
      </c>
      <c r="C105" s="3">
        <v>9706</v>
      </c>
      <c r="D105" s="3">
        <v>72.035525800000002</v>
      </c>
      <c r="E105" s="3" t="s">
        <v>9</v>
      </c>
      <c r="F105" s="3" t="s">
        <v>9</v>
      </c>
      <c r="G105" s="3">
        <v>456.36691999999999</v>
      </c>
      <c r="H105" s="3" t="s">
        <v>9</v>
      </c>
      <c r="I105" s="3" t="s">
        <v>9</v>
      </c>
    </row>
    <row r="106" spans="1:9">
      <c r="A106">
        <f t="shared" si="1"/>
        <v>105</v>
      </c>
      <c r="B106" t="s">
        <v>113</v>
      </c>
      <c r="C106" s="3">
        <v>116511</v>
      </c>
      <c r="D106" s="3">
        <v>94.256233600000002</v>
      </c>
      <c r="E106" s="3" t="s">
        <v>9</v>
      </c>
      <c r="F106" s="3" t="s">
        <v>9</v>
      </c>
      <c r="G106" s="3">
        <v>4414.6862300000003</v>
      </c>
      <c r="H106" s="3">
        <v>166754</v>
      </c>
      <c r="I106" s="3">
        <v>101.1</v>
      </c>
    </row>
    <row r="107" spans="1:9">
      <c r="A107">
        <f t="shared" si="1"/>
        <v>106</v>
      </c>
      <c r="B107" t="s">
        <v>114</v>
      </c>
      <c r="C107" s="3">
        <v>73048</v>
      </c>
      <c r="D107" s="3">
        <v>82.803497500000006</v>
      </c>
      <c r="E107" s="3" t="s">
        <v>9</v>
      </c>
      <c r="F107" s="3" t="s">
        <v>9</v>
      </c>
      <c r="G107" s="3">
        <v>272698.804</v>
      </c>
      <c r="H107" s="3">
        <v>240568</v>
      </c>
      <c r="I107" s="3">
        <v>98</v>
      </c>
    </row>
    <row r="108" spans="1:9">
      <c r="A108">
        <f t="shared" si="1"/>
        <v>107</v>
      </c>
      <c r="B108" t="s">
        <v>115</v>
      </c>
      <c r="C108" s="3">
        <v>19130</v>
      </c>
      <c r="D108" s="3">
        <v>94.714161899999993</v>
      </c>
      <c r="E108" s="3">
        <v>98.991213799999997</v>
      </c>
      <c r="F108" s="3" t="s">
        <v>9</v>
      </c>
      <c r="G108" s="3">
        <v>469.56383799999998</v>
      </c>
      <c r="H108" s="3">
        <v>16129.0224</v>
      </c>
      <c r="I108" s="3">
        <v>98</v>
      </c>
    </row>
    <row r="109" spans="1:9">
      <c r="A109">
        <f t="shared" si="1"/>
        <v>108</v>
      </c>
      <c r="B109" t="s">
        <v>116</v>
      </c>
      <c r="C109" s="3">
        <v>227651</v>
      </c>
      <c r="D109" s="3">
        <v>101.09536900000001</v>
      </c>
      <c r="E109" s="3">
        <v>99.419607200000002</v>
      </c>
      <c r="F109" s="3" t="s">
        <v>9</v>
      </c>
      <c r="G109" s="3">
        <v>285378.02899999998</v>
      </c>
      <c r="H109" s="3" t="s">
        <v>9</v>
      </c>
      <c r="I109" s="3" t="s">
        <v>9</v>
      </c>
    </row>
    <row r="110" spans="1:9">
      <c r="A110">
        <f t="shared" si="1"/>
        <v>109</v>
      </c>
      <c r="B110" t="s">
        <v>117</v>
      </c>
      <c r="C110" s="3">
        <v>231879</v>
      </c>
      <c r="D110" s="3">
        <v>101.095168</v>
      </c>
      <c r="E110" s="3">
        <v>99.428380000000004</v>
      </c>
      <c r="F110" s="3" t="s">
        <v>9</v>
      </c>
      <c r="G110" s="3">
        <v>299159.701</v>
      </c>
      <c r="H110" s="3" t="s">
        <v>9</v>
      </c>
      <c r="I110" s="3" t="s">
        <v>9</v>
      </c>
    </row>
    <row r="111" spans="1:9">
      <c r="A111">
        <f t="shared" si="1"/>
        <v>110</v>
      </c>
      <c r="B111" t="s">
        <v>118</v>
      </c>
      <c r="C111" s="3">
        <v>232990</v>
      </c>
      <c r="D111" s="3">
        <v>101.09536900000001</v>
      </c>
      <c r="E111" s="3">
        <v>98.258572662962962</v>
      </c>
      <c r="F111" s="3" t="s">
        <v>9</v>
      </c>
      <c r="G111" s="3">
        <v>299163.84399999998</v>
      </c>
      <c r="H111" s="3" t="s">
        <v>9</v>
      </c>
      <c r="I111" s="3" t="s">
        <v>9</v>
      </c>
    </row>
    <row r="112" spans="1:9">
      <c r="A112">
        <f t="shared" si="1"/>
        <v>111</v>
      </c>
      <c r="B112" t="s">
        <v>119</v>
      </c>
      <c r="C112" s="3">
        <v>49549</v>
      </c>
      <c r="D112" s="3">
        <v>68.040010699999996</v>
      </c>
      <c r="E112" s="3">
        <v>78.361165299999996</v>
      </c>
      <c r="F112" s="3" t="s">
        <v>9</v>
      </c>
      <c r="G112" s="3">
        <v>1866.09797</v>
      </c>
      <c r="H112" s="3">
        <v>77686</v>
      </c>
      <c r="I112" s="3">
        <v>77.5</v>
      </c>
    </row>
    <row r="113" spans="1:9">
      <c r="A113">
        <f t="shared" si="1"/>
        <v>112</v>
      </c>
      <c r="B113" t="s">
        <v>120</v>
      </c>
      <c r="C113" s="3">
        <v>101300</v>
      </c>
      <c r="D113" s="3">
        <v>77.812522000000001</v>
      </c>
      <c r="E113" s="3">
        <v>79.123506000000006</v>
      </c>
      <c r="F113" s="3" t="s">
        <v>9</v>
      </c>
      <c r="G113" s="3">
        <v>242335.80900000001</v>
      </c>
      <c r="H113" s="3">
        <v>198083</v>
      </c>
      <c r="I113" s="3">
        <v>96.7</v>
      </c>
    </row>
    <row r="114" spans="1:9">
      <c r="A114">
        <f t="shared" si="1"/>
        <v>113</v>
      </c>
      <c r="B114" t="s">
        <v>121</v>
      </c>
      <c r="C114" s="3">
        <v>21301</v>
      </c>
      <c r="D114" s="3">
        <v>79.685254999999998</v>
      </c>
      <c r="E114" s="3">
        <v>90.057412400000004</v>
      </c>
      <c r="F114" s="3" t="s">
        <v>9</v>
      </c>
      <c r="G114" s="3">
        <v>543.89612199999999</v>
      </c>
      <c r="H114" s="3">
        <v>19693</v>
      </c>
      <c r="I114" s="3">
        <v>84.4</v>
      </c>
    </row>
    <row r="115" spans="1:9">
      <c r="A115">
        <f t="shared" si="1"/>
        <v>114</v>
      </c>
      <c r="B115" t="s">
        <v>122</v>
      </c>
      <c r="C115" s="3">
        <v>43445</v>
      </c>
      <c r="D115" s="3">
        <v>79.8990005</v>
      </c>
      <c r="E115" s="3">
        <v>81.467150799999999</v>
      </c>
      <c r="F115" s="3" t="s">
        <v>9</v>
      </c>
      <c r="G115" s="3">
        <v>1126.51405</v>
      </c>
      <c r="H115" s="3" t="s">
        <v>9</v>
      </c>
      <c r="I115" s="3" t="s">
        <v>9</v>
      </c>
    </row>
    <row r="116" spans="1:9">
      <c r="A116">
        <f t="shared" si="1"/>
        <v>115</v>
      </c>
      <c r="B116" t="s">
        <v>123</v>
      </c>
      <c r="C116" s="3">
        <v>348882</v>
      </c>
      <c r="D116" s="3">
        <v>80.666576000000006</v>
      </c>
      <c r="E116" s="3" t="s">
        <v>9</v>
      </c>
      <c r="F116" s="3" t="s">
        <v>9</v>
      </c>
      <c r="G116" s="3">
        <v>480721.75799999997</v>
      </c>
      <c r="H116" s="3" t="s">
        <v>9</v>
      </c>
      <c r="I116" s="3" t="s">
        <v>9</v>
      </c>
    </row>
    <row r="117" spans="1:9">
      <c r="A117">
        <f t="shared" si="1"/>
        <v>116</v>
      </c>
      <c r="B117" t="s">
        <v>124</v>
      </c>
      <c r="C117" s="3">
        <v>200635</v>
      </c>
      <c r="D117" s="3">
        <v>100.086826</v>
      </c>
      <c r="E117" s="3" t="s">
        <v>9</v>
      </c>
      <c r="F117" s="3" t="s">
        <v>9</v>
      </c>
      <c r="G117" s="3">
        <v>287911.48100000003</v>
      </c>
      <c r="H117" s="3" t="s">
        <v>9</v>
      </c>
      <c r="I117" s="3" t="s">
        <v>9</v>
      </c>
    </row>
    <row r="118" spans="1:9">
      <c r="A118">
        <f t="shared" si="1"/>
        <v>117</v>
      </c>
      <c r="B118" t="s">
        <v>125</v>
      </c>
      <c r="C118" s="3">
        <v>402681</v>
      </c>
      <c r="D118" s="3">
        <v>99.270909000000003</v>
      </c>
      <c r="E118" s="3">
        <v>92.948594499999999</v>
      </c>
      <c r="F118" s="3" t="s">
        <v>9</v>
      </c>
      <c r="G118" s="3">
        <v>498775.549</v>
      </c>
      <c r="H118" s="3" t="s">
        <v>9</v>
      </c>
      <c r="I118" s="3" t="s">
        <v>9</v>
      </c>
    </row>
    <row r="119" spans="1:9">
      <c r="A119">
        <f t="shared" si="1"/>
        <v>118</v>
      </c>
      <c r="B119" t="s">
        <v>126</v>
      </c>
      <c r="C119" s="3">
        <v>650710</v>
      </c>
      <c r="D119" s="3" t="s">
        <v>9</v>
      </c>
      <c r="E119" s="3" t="s">
        <v>9</v>
      </c>
      <c r="F119" s="3" t="s">
        <v>9</v>
      </c>
      <c r="G119" s="3" t="s">
        <v>9</v>
      </c>
      <c r="H119" s="3" t="s">
        <v>9</v>
      </c>
      <c r="I119" s="3" t="s">
        <v>9</v>
      </c>
    </row>
    <row r="120" spans="1:9">
      <c r="A120">
        <f t="shared" si="1"/>
        <v>119</v>
      </c>
      <c r="B120" t="s">
        <v>127</v>
      </c>
      <c r="C120" s="3">
        <v>41365</v>
      </c>
      <c r="D120" s="3">
        <v>70.253478599999994</v>
      </c>
      <c r="E120" s="3">
        <v>94.928359070588229</v>
      </c>
      <c r="F120" s="3" t="s">
        <v>9</v>
      </c>
      <c r="G120" s="3">
        <v>941.10343699999999</v>
      </c>
      <c r="H120" s="3">
        <v>59230</v>
      </c>
      <c r="I120" s="3">
        <v>107.2</v>
      </c>
    </row>
    <row r="121" spans="1:9">
      <c r="A121">
        <f t="shared" si="1"/>
        <v>120</v>
      </c>
      <c r="B121" t="s">
        <v>128</v>
      </c>
      <c r="C121" s="3">
        <v>7611</v>
      </c>
      <c r="D121" s="3">
        <v>66.669508199999996</v>
      </c>
      <c r="E121" s="3">
        <v>97.383004900000003</v>
      </c>
      <c r="F121" s="3" t="s">
        <v>9</v>
      </c>
      <c r="G121" s="3">
        <v>192.00489300000001</v>
      </c>
      <c r="H121" s="3">
        <v>9137</v>
      </c>
      <c r="I121" s="3">
        <v>83.85</v>
      </c>
    </row>
    <row r="122" spans="1:9">
      <c r="A122">
        <f t="shared" si="1"/>
        <v>121</v>
      </c>
      <c r="B122" t="s">
        <v>129</v>
      </c>
      <c r="C122" s="3">
        <v>30092</v>
      </c>
      <c r="D122" s="3">
        <v>70.678479100000004</v>
      </c>
      <c r="E122" s="3" t="s">
        <v>9</v>
      </c>
      <c r="F122" s="3" t="s">
        <v>9</v>
      </c>
      <c r="G122" s="3">
        <v>70619.207999999999</v>
      </c>
      <c r="H122" s="3" t="s">
        <v>9</v>
      </c>
      <c r="I122" s="3" t="s">
        <v>9</v>
      </c>
    </row>
    <row r="123" spans="1:9">
      <c r="A123">
        <f t="shared" si="1"/>
        <v>122</v>
      </c>
      <c r="B123" t="s">
        <v>130</v>
      </c>
      <c r="C123" s="3">
        <v>543336</v>
      </c>
      <c r="D123" s="3">
        <v>116.178567</v>
      </c>
      <c r="E123" s="3">
        <v>100</v>
      </c>
      <c r="F123" s="3" t="s">
        <v>9</v>
      </c>
      <c r="G123" s="3">
        <v>8769.6345600000004</v>
      </c>
      <c r="H123" s="3" t="s">
        <v>9</v>
      </c>
      <c r="I123" s="3" t="s">
        <v>9</v>
      </c>
    </row>
    <row r="124" spans="1:9">
      <c r="A124">
        <f t="shared" si="1"/>
        <v>123</v>
      </c>
      <c r="B124" t="s">
        <v>131</v>
      </c>
      <c r="C124" s="3">
        <v>19216</v>
      </c>
      <c r="D124" s="3">
        <v>70.222088299999996</v>
      </c>
      <c r="E124" s="3" t="s">
        <v>9</v>
      </c>
      <c r="F124" s="3" t="s">
        <v>9</v>
      </c>
      <c r="G124" s="3">
        <v>1392.46155</v>
      </c>
      <c r="H124" s="3">
        <v>62180</v>
      </c>
      <c r="I124" s="3">
        <v>93.8</v>
      </c>
    </row>
    <row r="125" spans="1:9">
      <c r="A125">
        <f t="shared" si="1"/>
        <v>124</v>
      </c>
      <c r="B125" t="s">
        <v>132</v>
      </c>
      <c r="C125" s="3">
        <v>61702</v>
      </c>
      <c r="D125" s="3">
        <v>62.675832499999999</v>
      </c>
      <c r="E125" s="3">
        <v>81.893491100000006</v>
      </c>
      <c r="F125" s="3" t="s">
        <v>9</v>
      </c>
      <c r="G125" s="3">
        <v>944.81389799999999</v>
      </c>
      <c r="H125" s="3">
        <v>90373</v>
      </c>
      <c r="I125" s="3">
        <v>102.4</v>
      </c>
    </row>
    <row r="126" spans="1:9">
      <c r="A126">
        <f t="shared" si="1"/>
        <v>125</v>
      </c>
      <c r="B126" t="s">
        <v>133</v>
      </c>
      <c r="C126" s="3">
        <v>47228</v>
      </c>
      <c r="D126" s="3">
        <v>62.410490099999997</v>
      </c>
      <c r="E126" s="3">
        <v>71.464875199999994</v>
      </c>
      <c r="F126" s="3" t="s">
        <v>9</v>
      </c>
      <c r="G126" s="3" t="s">
        <v>9</v>
      </c>
      <c r="H126" s="3">
        <v>77628</v>
      </c>
      <c r="I126" s="3">
        <v>102.4</v>
      </c>
    </row>
    <row r="127" spans="1:9">
      <c r="A127">
        <f t="shared" si="1"/>
        <v>126</v>
      </c>
      <c r="B127" t="s">
        <v>134</v>
      </c>
      <c r="C127" s="3">
        <v>18262</v>
      </c>
      <c r="D127" s="3">
        <v>88.602047600000006</v>
      </c>
      <c r="E127" s="3">
        <v>67.909073100000001</v>
      </c>
      <c r="F127" s="3" t="s">
        <v>9</v>
      </c>
      <c r="G127" s="3">
        <v>1184.2265500000001</v>
      </c>
      <c r="H127" s="3">
        <v>39109</v>
      </c>
      <c r="I127" s="3">
        <v>84</v>
      </c>
    </row>
    <row r="128" spans="1:9">
      <c r="A128">
        <f t="shared" si="1"/>
        <v>127</v>
      </c>
      <c r="B128" t="s">
        <v>135</v>
      </c>
      <c r="C128" s="3">
        <v>5527</v>
      </c>
      <c r="D128" s="3">
        <v>79.906126400000005</v>
      </c>
      <c r="E128" s="3">
        <v>51.945008600000001</v>
      </c>
      <c r="F128" s="3" t="s">
        <v>9</v>
      </c>
      <c r="G128" s="3">
        <v>389.27049399999999</v>
      </c>
      <c r="H128" s="3">
        <v>11324</v>
      </c>
      <c r="I128" s="3">
        <v>84</v>
      </c>
    </row>
    <row r="129" spans="1:9">
      <c r="A129">
        <f t="shared" si="1"/>
        <v>128</v>
      </c>
      <c r="B129" t="s">
        <v>136</v>
      </c>
      <c r="C129" s="3">
        <v>69642</v>
      </c>
      <c r="D129" s="3">
        <v>105.793656</v>
      </c>
      <c r="E129" s="3" t="s">
        <v>9</v>
      </c>
      <c r="F129" s="3" t="s">
        <v>9</v>
      </c>
      <c r="G129" s="3">
        <v>2003.2587699999999</v>
      </c>
      <c r="H129" s="3">
        <v>72681</v>
      </c>
      <c r="I129" s="3">
        <v>108.1</v>
      </c>
    </row>
    <row r="130" spans="1:9">
      <c r="A130">
        <f t="shared" si="1"/>
        <v>129</v>
      </c>
      <c r="B130" t="s">
        <v>137</v>
      </c>
      <c r="C130" s="3">
        <v>11600</v>
      </c>
      <c r="D130" s="3">
        <v>81.026545200000001</v>
      </c>
      <c r="E130" s="3">
        <v>82.647849500000007</v>
      </c>
      <c r="F130" s="3" t="s">
        <v>9</v>
      </c>
      <c r="G130" s="3">
        <v>417.89050200000003</v>
      </c>
      <c r="H130" s="3">
        <v>14693</v>
      </c>
      <c r="I130" s="3">
        <v>83.2</v>
      </c>
    </row>
    <row r="131" spans="1:9">
      <c r="A131">
        <f t="shared" si="1"/>
        <v>130</v>
      </c>
      <c r="B131" t="s">
        <v>138</v>
      </c>
      <c r="C131" s="3">
        <v>26141</v>
      </c>
      <c r="D131" s="3">
        <v>71.863857800000005</v>
      </c>
      <c r="E131" s="3">
        <v>87.114371700000007</v>
      </c>
      <c r="F131" s="3" t="s">
        <v>9</v>
      </c>
      <c r="G131" s="3">
        <v>708.67873999999995</v>
      </c>
      <c r="H131" s="3">
        <v>24161</v>
      </c>
      <c r="I131" s="3">
        <v>89.9</v>
      </c>
    </row>
    <row r="132" spans="1:9">
      <c r="A132">
        <f t="shared" ref="A132:A147" si="2">A131+1</f>
        <v>131</v>
      </c>
      <c r="B132" t="s">
        <v>139</v>
      </c>
      <c r="C132" s="3">
        <v>47969</v>
      </c>
      <c r="D132" s="3">
        <v>87.434247600000006</v>
      </c>
      <c r="E132" s="3" t="s">
        <v>9</v>
      </c>
      <c r="F132" s="3" t="s">
        <v>9</v>
      </c>
      <c r="G132" s="3">
        <v>156695.31</v>
      </c>
      <c r="H132" s="3">
        <v>92922</v>
      </c>
      <c r="I132" s="3">
        <v>90.2</v>
      </c>
    </row>
    <row r="133" spans="1:9">
      <c r="A133">
        <f t="shared" si="2"/>
        <v>132</v>
      </c>
      <c r="B133" t="s">
        <v>140</v>
      </c>
      <c r="C133" s="3">
        <v>79212</v>
      </c>
      <c r="D133" s="3" t="s">
        <v>9</v>
      </c>
      <c r="E133" s="3">
        <v>100</v>
      </c>
      <c r="F133" s="3" t="s">
        <v>9</v>
      </c>
      <c r="G133" s="3" t="s">
        <v>9</v>
      </c>
      <c r="H133" s="3" t="s">
        <v>9</v>
      </c>
      <c r="I133" s="3" t="s">
        <v>9</v>
      </c>
    </row>
    <row r="134" spans="1:9">
      <c r="A134">
        <f t="shared" si="2"/>
        <v>133</v>
      </c>
      <c r="B134" t="s">
        <v>141</v>
      </c>
      <c r="C134" s="3">
        <v>5087</v>
      </c>
      <c r="D134" s="3">
        <v>72.5600168</v>
      </c>
      <c r="E134" s="3">
        <v>46.540301800000002</v>
      </c>
      <c r="F134" s="3" t="s">
        <v>9</v>
      </c>
      <c r="G134" s="3">
        <v>361.40214200000003</v>
      </c>
      <c r="H134" s="3">
        <v>10916</v>
      </c>
      <c r="I134" s="3">
        <v>80.3</v>
      </c>
    </row>
    <row r="135" spans="1:9">
      <c r="A135">
        <f t="shared" si="2"/>
        <v>134</v>
      </c>
      <c r="B135" t="s">
        <v>142</v>
      </c>
      <c r="C135" s="3">
        <v>18776</v>
      </c>
      <c r="D135" s="3">
        <v>76.791327499999994</v>
      </c>
      <c r="E135" s="3" t="s">
        <v>9</v>
      </c>
      <c r="F135" s="3" t="s">
        <v>9</v>
      </c>
      <c r="G135" s="3">
        <v>1032.6499100000001</v>
      </c>
      <c r="H135" s="3">
        <v>29337</v>
      </c>
      <c r="I135" s="3">
        <v>76.400000000000006</v>
      </c>
    </row>
    <row r="136" spans="1:9">
      <c r="A136">
        <f t="shared" si="2"/>
        <v>135</v>
      </c>
      <c r="B136" t="s">
        <v>143</v>
      </c>
      <c r="C136" s="3">
        <v>7521</v>
      </c>
      <c r="D136" s="3">
        <v>80.844520599999996</v>
      </c>
      <c r="E136" s="3">
        <v>75.0915751</v>
      </c>
      <c r="F136" s="3" t="s">
        <v>9</v>
      </c>
      <c r="G136" s="3">
        <v>20820.426299999999</v>
      </c>
      <c r="H136" s="3">
        <v>14543</v>
      </c>
      <c r="I136" s="3">
        <v>76.599999999999994</v>
      </c>
    </row>
    <row r="137" spans="1:9">
      <c r="A137">
        <f t="shared" si="2"/>
        <v>136</v>
      </c>
      <c r="B137" t="s">
        <v>144</v>
      </c>
      <c r="C137" s="3">
        <v>7822</v>
      </c>
      <c r="D137" s="3">
        <v>70.330782099999993</v>
      </c>
      <c r="E137" s="3">
        <v>97.361853800000006</v>
      </c>
      <c r="F137" s="3" t="s">
        <v>9</v>
      </c>
      <c r="G137" s="3">
        <v>404.64081800000002</v>
      </c>
      <c r="H137" s="3">
        <v>10004</v>
      </c>
      <c r="I137" s="3">
        <v>76.599999999999994</v>
      </c>
    </row>
    <row r="138" spans="1:9">
      <c r="A138">
        <f t="shared" si="2"/>
        <v>137</v>
      </c>
      <c r="B138" t="s">
        <v>145</v>
      </c>
      <c r="C138" s="3">
        <v>70654</v>
      </c>
      <c r="D138" s="3">
        <v>95.435550300000003</v>
      </c>
      <c r="E138" s="3">
        <v>96.2624304</v>
      </c>
      <c r="F138" s="3" t="s">
        <v>9</v>
      </c>
      <c r="G138" s="3">
        <v>65145.396800000002</v>
      </c>
      <c r="H138" s="3" t="s">
        <v>9</v>
      </c>
      <c r="I138" s="3" t="s">
        <v>9</v>
      </c>
    </row>
    <row r="139" spans="1:9">
      <c r="A139">
        <f t="shared" si="2"/>
        <v>138</v>
      </c>
      <c r="B139" t="s">
        <v>146</v>
      </c>
      <c r="C139" s="3">
        <v>24649</v>
      </c>
      <c r="D139" s="3">
        <v>96.730302399999999</v>
      </c>
      <c r="E139" s="3">
        <v>82.258110299999998</v>
      </c>
      <c r="F139" s="3" t="s">
        <v>9</v>
      </c>
      <c r="G139" s="3">
        <v>909.50733200000002</v>
      </c>
      <c r="H139" s="3">
        <v>30660</v>
      </c>
      <c r="I139" s="3">
        <v>105.8</v>
      </c>
    </row>
    <row r="140" spans="1:9">
      <c r="A140">
        <f t="shared" si="2"/>
        <v>139</v>
      </c>
      <c r="B140" t="s">
        <v>147</v>
      </c>
      <c r="C140" s="3">
        <v>3328</v>
      </c>
      <c r="D140" s="3">
        <v>58.501178600000003</v>
      </c>
      <c r="E140" s="3" t="s">
        <v>9</v>
      </c>
      <c r="F140" s="3" t="s">
        <v>9</v>
      </c>
      <c r="G140" s="3">
        <v>10651.1484</v>
      </c>
      <c r="H140" s="3" t="s">
        <v>9</v>
      </c>
      <c r="I140" s="3" t="s">
        <v>9</v>
      </c>
    </row>
    <row r="141" spans="1:9">
      <c r="A141">
        <f t="shared" si="2"/>
        <v>140</v>
      </c>
      <c r="B141" t="s">
        <v>148</v>
      </c>
      <c r="C141" s="3">
        <v>51068</v>
      </c>
      <c r="D141" s="3">
        <v>102.850179</v>
      </c>
      <c r="E141" s="3">
        <v>88.012820500000004</v>
      </c>
      <c r="F141" s="3" t="s">
        <v>9</v>
      </c>
      <c r="G141" s="3">
        <v>1324.4865500000001</v>
      </c>
      <c r="H141" s="3">
        <v>42687</v>
      </c>
      <c r="I141" s="3">
        <v>89.9</v>
      </c>
    </row>
    <row r="142" spans="1:9">
      <c r="A142">
        <f t="shared" si="2"/>
        <v>141</v>
      </c>
      <c r="B142" t="s">
        <v>149</v>
      </c>
      <c r="C142" s="3">
        <v>199997</v>
      </c>
      <c r="D142" s="3">
        <v>105.843131</v>
      </c>
      <c r="E142" s="3">
        <v>92.184233000000006</v>
      </c>
      <c r="F142" s="3" t="s">
        <v>9</v>
      </c>
      <c r="G142" s="3">
        <v>4429.8329800000001</v>
      </c>
      <c r="H142" s="3" t="s">
        <v>9</v>
      </c>
      <c r="I142" s="3" t="s">
        <v>9</v>
      </c>
    </row>
    <row r="143" spans="1:9">
      <c r="A143">
        <f t="shared" si="2"/>
        <v>142</v>
      </c>
      <c r="B143" t="s">
        <v>150</v>
      </c>
      <c r="C143" s="3">
        <v>5070</v>
      </c>
      <c r="D143" s="3">
        <v>74.835916900000001</v>
      </c>
      <c r="E143" s="3" t="s">
        <v>9</v>
      </c>
      <c r="F143" s="3" t="s">
        <v>9</v>
      </c>
      <c r="G143" s="3">
        <v>14013.495000000001</v>
      </c>
      <c r="H143" s="3">
        <v>10676</v>
      </c>
      <c r="I143" s="3">
        <v>78.599999999999994</v>
      </c>
    </row>
    <row r="144" spans="1:9">
      <c r="A144">
        <f t="shared" si="2"/>
        <v>143</v>
      </c>
      <c r="B144" t="s">
        <v>151</v>
      </c>
      <c r="C144" s="3">
        <v>1527</v>
      </c>
      <c r="D144" s="3">
        <v>73.495065699999998</v>
      </c>
      <c r="E144" s="3">
        <v>21.617340500000001</v>
      </c>
      <c r="F144" s="3" t="s">
        <v>9</v>
      </c>
      <c r="G144" s="3">
        <v>239.46087199999999</v>
      </c>
      <c r="H144" s="3">
        <v>8984</v>
      </c>
      <c r="I144" s="3">
        <v>78.599999999999994</v>
      </c>
    </row>
    <row r="145" spans="1:9">
      <c r="A145">
        <f t="shared" si="2"/>
        <v>144</v>
      </c>
      <c r="B145" t="s">
        <v>152</v>
      </c>
      <c r="C145" s="3">
        <v>2786</v>
      </c>
      <c r="D145" s="3">
        <v>76.525738599999997</v>
      </c>
      <c r="E145" s="3" t="s">
        <v>9</v>
      </c>
      <c r="F145" s="3" t="s">
        <v>9</v>
      </c>
      <c r="G145" s="3">
        <v>306.13550199999997</v>
      </c>
      <c r="H145" s="3">
        <v>5965</v>
      </c>
      <c r="I145" s="3">
        <v>78.2</v>
      </c>
    </row>
    <row r="146" spans="1:9">
      <c r="A146">
        <f t="shared" si="2"/>
        <v>145</v>
      </c>
      <c r="B146" t="s">
        <v>153</v>
      </c>
      <c r="C146" s="3">
        <v>5902</v>
      </c>
      <c r="D146" s="3" t="s">
        <v>9</v>
      </c>
      <c r="E146" s="3">
        <v>73.209733499999999</v>
      </c>
      <c r="F146" s="3" t="s">
        <v>9</v>
      </c>
      <c r="G146" s="3" t="s">
        <v>9</v>
      </c>
      <c r="H146" s="3">
        <v>11364</v>
      </c>
      <c r="I146" s="3">
        <v>78.599999999999994</v>
      </c>
    </row>
    <row r="147" spans="1:9">
      <c r="A147">
        <f t="shared" si="2"/>
        <v>146</v>
      </c>
      <c r="B147" t="s">
        <v>154</v>
      </c>
      <c r="C147" s="3">
        <v>690</v>
      </c>
      <c r="D147" s="3">
        <v>65.512328299999993</v>
      </c>
      <c r="E147" s="3">
        <v>31.3416009</v>
      </c>
      <c r="F147" s="3" t="s">
        <v>9</v>
      </c>
      <c r="G147" s="3">
        <v>58.364195799999997</v>
      </c>
      <c r="H147" s="3" t="s">
        <v>9</v>
      </c>
      <c r="I147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5F91-8A23-4B6A-8D8A-7613FC46D6A3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694CF2-5460-4051-B8A0-A8A5DCF9EA5C}"/>
</file>

<file path=customXml/itemProps2.xml><?xml version="1.0" encoding="utf-8"?>
<ds:datastoreItem xmlns:ds="http://schemas.openxmlformats.org/officeDocument/2006/customXml" ds:itemID="{8A802267-C900-4770-B5AC-4DC8667A3842}"/>
</file>

<file path=customXml/itemProps3.xml><?xml version="1.0" encoding="utf-8"?>
<ds:datastoreItem xmlns:ds="http://schemas.openxmlformats.org/officeDocument/2006/customXml" ds:itemID="{F471C86E-DCD2-4D72-80EA-56EFD72834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Chase, Henry</cp:lastModifiedBy>
  <cp:revision/>
  <dcterms:created xsi:type="dcterms:W3CDTF">2025-03-04T08:55:46Z</dcterms:created>
  <dcterms:modified xsi:type="dcterms:W3CDTF">2025-03-06T18:51:04Z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2025-03-06T18:50:58Z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6d40e642-c18a-4230-822a-3cc0843c53f6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