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504ABC33-F1F6-4C96-9D09-45AA982A0386}" xr6:coauthVersionLast="47" xr6:coauthVersionMax="47" xr10:uidLastSave="{98E2F650-9CFF-4406-AD68-F2ED1B2530C1}"/>
  <bookViews>
    <workbookView xWindow="2868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<sst xmlns="http://schemas.openxmlformats.org/spreadsheetml/2006/main" count="241" uniqueCount="54">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</sst>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C4" sqref="C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17040.492999999999</v>
      </c>
      <c r="D2" s="6">
        <f>SUM(D4:D60)</f>
        <v>30612.513999999999</v>
      </c>
      <c r="E2" s="6">
        <f>C2-D2</f>
        <v>-13572.021000000001</v>
      </c>
      <c r="F2" s="7">
        <f>IFERROR(E2/D2, 0)</f>
        <v>-0.44334878866858179</v>
      </c>
      <c r="G2" s="6">
        <f>SUM(G4:G60)</f>
        <v>0</v>
      </c>
      <c r="H2" s="8">
        <f>C2-G2</f>
        <v>17040.492999999999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17040.492999999999</v>
      </c>
      <c r="D4" s="14">
        <f>SUM('1st Qtr'!D4, '2nd Qtr'!D4, '3rd Qtr'!D4, '4th Qtr'!D4)</f>
        <v>30612.513999999999</v>
      </c>
      <c r="E4" s="14">
        <f>IF(AND(ISNUMBER(C4),ISNUMBER(D4)), C4-D4, "")</f>
        <v>-13572.021000000001</v>
      </c>
      <c r="F4" s="15">
        <f>IFERROR(E4/D4, "")</f>
        <v>-0.44334878866858179</v>
      </c>
      <c r="G4" s="16">
        <f>SUM('1st Qtr'!G4,'2nd Qtr'!G4,'3rd Qtr'!G4,'4th Qtr'!G4)</f>
        <v>0</v>
      </c>
      <c r="H4" s="16">
        <f>SUM('1st Qtr'!H4, '2nd Qtr'!H4, '3rd Qtr'!H4, '4th Qtr'!H4)</f>
        <v>17040.492999999999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4" sqref="C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17040.492999999999</v>
      </c>
      <c r="D2" s="6">
        <f>SUM(D4:D68)</f>
        <v>30612.513999999999</v>
      </c>
      <c r="E2" s="6">
        <f>C2-D2</f>
        <v>-13572.021000000001</v>
      </c>
      <c r="F2" s="7">
        <f>IFERROR(E2/D2, 0)</f>
        <v>-0.44334878866858179</v>
      </c>
      <c r="G2" s="6">
        <f>SUM(G4:G68)</f>
        <v>0</v>
      </c>
      <c r="H2" s="8">
        <f>C2-G2</f>
        <v>17040.492999999999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17040.492999999999</v>
      </c>
      <c r="D4" s="14">
        <f>SUM(Jan!D4, Feb!D4, Mar!D4)</f>
        <v>30612.513999999999</v>
      </c>
      <c r="E4" s="14">
        <f>IF(AND(ISNUMBER(C4),ISNUMBER(D4)), C4-D4, "")</f>
        <v>-13572.021000000001</v>
      </c>
      <c r="F4" s="15">
        <f>IFERROR(E4/D4, "")</f>
        <v>-0.44334878866858179</v>
      </c>
      <c r="G4" s="16">
        <f>SUM(Jan!G4, Feb!G4, Mar!G4)</f>
        <v>0</v>
      </c>
      <c r="H4" s="16">
        <f>SUM(Jan!H4, Feb!H4, Mar!H4)</f>
        <v>17040.492999999999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I9" activePane="bottomLeft" state="frozen"/>
      <selection pane="bottomLeft" activeCell="I9" sqref="I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tabSelected="1" zoomScale="80" zoomScaleNormal="80" workbookViewId="0">
      <pane ySplit="2" topLeftCell="A3" activePane="bottomLeft" state="frozen"/>
      <selection pane="bottomLeft" activeCell="J9" sqref="J9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23</v>
      </c>
      <c r="E1" s="44"/>
      <c r="F1" s="44"/>
      <c r="G1" s="42" t="s">
        <v>24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H22" sqref="H2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45">
      <c r="A4" t="s">
        <v>51</v>
      </c>
      <c r="B4" t="s">
        <v>51</v>
      </c>
      <c r="C4" s="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2025-03-14T12:12:39Z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