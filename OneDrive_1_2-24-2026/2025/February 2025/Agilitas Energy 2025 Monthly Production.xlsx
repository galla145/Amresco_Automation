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4" documentId="13_ncr:1_{A7ECB2B7-CCFE-4F03-BF73-BEA1AAEC8703}" xr6:coauthVersionLast="47" xr6:coauthVersionMax="47" xr10:uidLastSave="{AA285ACE-3BCF-4CB4-BEE2-D633F041F3E0}"/>
  <bookViews>
    <workbookView xWindow="28680" yWindow="-120" windowWidth="29040" windowHeight="15720"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72" l="1"/>
  <c r="I10" i="72"/>
  <c r="I5" i="3"/>
  <c r="E7" i="3"/>
  <c r="E8" i="3"/>
  <c r="E9" i="3"/>
  <c r="E10" i="3"/>
  <c r="F6" i="3"/>
  <c r="F7" i="3"/>
  <c r="F8" i="3"/>
  <c r="F9" i="3"/>
  <c r="F10" i="3"/>
  <c r="I10" i="3"/>
  <c r="H9" i="3"/>
  <c r="H10" i="3"/>
  <c r="I10" i="18"/>
  <c r="I8" i="18"/>
  <c r="H10" i="18"/>
  <c r="G10" i="18"/>
  <c r="H8" i="18"/>
  <c r="H9" i="18"/>
  <c r="F10" i="18"/>
  <c r="E10" i="18"/>
  <c r="D10" i="18"/>
  <c r="C10" i="18"/>
  <c r="H9" i="29"/>
  <c r="H10" i="29"/>
  <c r="G9" i="29"/>
  <c r="G10" i="29"/>
  <c r="F9" i="29"/>
  <c r="F10" i="29"/>
  <c r="E10" i="29"/>
  <c r="D10" i="29"/>
  <c r="C10" i="29"/>
  <c r="G10" i="1"/>
  <c r="G10" i="34" s="1"/>
  <c r="D10" i="1"/>
  <c r="D10" i="34" s="1"/>
  <c r="C10" i="1"/>
  <c r="I10" i="30"/>
  <c r="H10" i="30"/>
  <c r="G10" i="30"/>
  <c r="H8" i="30"/>
  <c r="H9" i="30"/>
  <c r="F10" i="30"/>
  <c r="E10" i="30"/>
  <c r="D10" i="30"/>
  <c r="C10" i="30"/>
  <c r="H10" i="72"/>
  <c r="E10" i="72"/>
  <c r="F10" i="72" s="1"/>
  <c r="H9" i="72"/>
  <c r="I9" i="72" s="1"/>
  <c r="E9" i="72"/>
  <c r="F9" i="72" s="1"/>
  <c r="A4" i="72" a="1"/>
  <c r="A4" i="72"/>
  <c r="B4" i="72" a="1"/>
  <c r="B4" i="72"/>
  <c r="E4" i="72"/>
  <c r="F4" i="72"/>
  <c r="H4" i="72"/>
  <c r="I4" i="72"/>
  <c r="I9" i="18"/>
  <c r="G8" i="18"/>
  <c r="G9" i="18"/>
  <c r="D9" i="18"/>
  <c r="E9" i="18" s="1"/>
  <c r="F9" i="18" s="1"/>
  <c r="C9" i="18"/>
  <c r="G8" i="1"/>
  <c r="G9" i="1"/>
  <c r="D8" i="1"/>
  <c r="D9" i="1"/>
  <c r="C9" i="1"/>
  <c r="D9" i="30"/>
  <c r="C9" i="30"/>
  <c r="E9" i="30" s="1"/>
  <c r="F9" i="30" s="1"/>
  <c r="G6" i="30"/>
  <c r="G7" i="30"/>
  <c r="G8" i="30"/>
  <c r="G9" i="30"/>
  <c r="G5" i="30"/>
  <c r="G4" i="30"/>
  <c r="H9" i="33"/>
  <c r="I9" i="33"/>
  <c r="E9" i="33"/>
  <c r="F9" i="33" s="1"/>
  <c r="I9" i="31"/>
  <c r="I6" i="31"/>
  <c r="I8" i="31"/>
  <c r="H9" i="31"/>
  <c r="E9" i="31"/>
  <c r="F9" i="31" s="1"/>
  <c r="H9" i="32"/>
  <c r="I9" i="32" s="1"/>
  <c r="F8" i="32"/>
  <c r="E9" i="32"/>
  <c r="F9" i="32" s="1"/>
  <c r="E8" i="32"/>
  <c r="E6" i="31"/>
  <c r="H5" i="31"/>
  <c r="D9" i="29"/>
  <c r="C9" i="29"/>
  <c r="E9" i="29" s="1"/>
  <c r="G5" i="29"/>
  <c r="G6" i="29"/>
  <c r="G7" i="29"/>
  <c r="G8" i="29"/>
  <c r="G4" i="29"/>
  <c r="H9" i="28"/>
  <c r="I9" i="28" s="1"/>
  <c r="E9" i="28"/>
  <c r="F9" i="28" s="1"/>
  <c r="E6" i="26"/>
  <c r="G4" i="18"/>
  <c r="G5" i="18"/>
  <c r="G6" i="18"/>
  <c r="G7" i="18"/>
  <c r="E4" i="4"/>
  <c r="E5" i="72"/>
  <c r="F5" i="72" s="1"/>
  <c r="E6" i="72"/>
  <c r="F6" i="72" s="1"/>
  <c r="E7" i="72"/>
  <c r="F7" i="72" s="1"/>
  <c r="E8" i="72"/>
  <c r="F8" i="72" s="1"/>
  <c r="H9" i="34" l="1"/>
  <c r="I9" i="3"/>
  <c r="H9" i="1"/>
  <c r="H10" i="1"/>
  <c r="H10" i="34" s="1"/>
  <c r="I10" i="34" s="1"/>
  <c r="I9" i="1"/>
  <c r="G8" i="34"/>
  <c r="E10" i="1"/>
  <c r="F10" i="1" s="1"/>
  <c r="C10" i="34"/>
  <c r="E10" i="34" s="1"/>
  <c r="F10" i="34" s="1"/>
  <c r="I10" i="1"/>
  <c r="E9" i="1"/>
  <c r="F9" i="1" s="1"/>
  <c r="I9" i="30"/>
  <c r="C9" i="34"/>
  <c r="G9" i="34"/>
  <c r="I9" i="34" s="1"/>
  <c r="D9" i="34"/>
  <c r="I9" i="29"/>
  <c r="C2" i="3"/>
  <c r="E9" i="34" l="1"/>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7" i="34" s="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8" i="26"/>
  <c r="E8" i="26"/>
  <c r="F8" i="26" s="1"/>
  <c r="H7" i="26"/>
  <c r="H7" i="29" s="1"/>
  <c r="E7" i="26"/>
  <c r="F7" i="26" s="1"/>
  <c r="H6" i="26"/>
  <c r="H6" i="29" s="1"/>
  <c r="F6" i="26"/>
  <c r="H5" i="26"/>
  <c r="E5" i="26"/>
  <c r="F5" i="26" s="1"/>
  <c r="H4" i="26"/>
  <c r="E4" i="26"/>
  <c r="F4" i="26" s="1"/>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H8" i="4"/>
  <c r="I8" i="4" s="1"/>
  <c r="E8" i="4"/>
  <c r="F8" i="4" s="1"/>
  <c r="H7" i="4"/>
  <c r="I7" i="4" s="1"/>
  <c r="E7" i="4"/>
  <c r="F7" i="4" s="1"/>
  <c r="H6" i="4"/>
  <c r="I6" i="4" s="1"/>
  <c r="E6" i="4"/>
  <c r="F6" i="4" s="1"/>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H8" i="1" l="1"/>
  <c r="H7" i="34"/>
  <c r="I7" i="34" s="1"/>
  <c r="C6" i="34"/>
  <c r="E8" i="1"/>
  <c r="F8" i="1" s="1"/>
  <c r="C8" i="34"/>
  <c r="I8" i="26"/>
  <c r="H8" i="29"/>
  <c r="I8" i="29" s="1"/>
  <c r="D5" i="34"/>
  <c r="I4" i="26"/>
  <c r="H4" i="29"/>
  <c r="I4" i="29" s="1"/>
  <c r="D6" i="34"/>
  <c r="D7" i="34"/>
  <c r="I8" i="21"/>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6" i="34"/>
  <c r="F6" i="34" s="1"/>
  <c r="E5" i="1"/>
  <c r="F5" i="1" s="1"/>
  <c r="E6" i="1"/>
  <c r="F6" i="1" s="1"/>
  <c r="H4" i="30"/>
  <c r="I4" i="30" s="1"/>
  <c r="E7" i="30"/>
  <c r="F7" i="30" s="1"/>
  <c r="H7" i="30"/>
  <c r="I7" i="30" s="1"/>
  <c r="H5" i="30"/>
  <c r="I5" i="30" s="1"/>
  <c r="I8" i="30"/>
  <c r="E7" i="29"/>
  <c r="F7" i="29" s="1"/>
  <c r="I6" i="26"/>
  <c r="I5" i="29"/>
  <c r="I7" i="26"/>
  <c r="H6" i="18"/>
  <c r="I6" i="18" s="1"/>
  <c r="H4" i="18"/>
  <c r="I4" i="18" s="1"/>
  <c r="H7" i="18"/>
  <c r="I7" i="18" s="1"/>
  <c r="C4" i="34"/>
  <c r="H5" i="18"/>
  <c r="I5" i="18" s="1"/>
  <c r="H5" i="34"/>
  <c r="I5" i="34"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8" i="34" l="1"/>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<sst xmlns="http://schemas.openxmlformats.org/spreadsheetml/2006/main" count="311" uniqueCount="107">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</sst>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71">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C4" sqref="C4"/>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8" t="str" cm="1">
        <f t="array" ref="A1">portfolio</f>
        <v>Agilitas Energy</v>
      </c>
      <c r="B1" s="68"/>
      <c r="C1" s="68"/>
      <c r="D1" s="69" t="s">
        <v>0</v>
      </c>
      <c r="E1" s="69"/>
      <c r="F1" s="69"/>
      <c r="G1" s="67" t="s">
        <v>1</v>
      </c>
      <c r="H1" s="67"/>
      <c r="I1" s="67"/>
    </row>
    <row r="2" spans="1:9" ht="19.5" customHeight="1">
      <c r="A2" s="70" t="s">
        <v>2</v>
      </c>
      <c r="B2" s="70"/>
      <c r="C2" s="5">
        <f>SUM(C4:C80)</f>
        <v>2853658.6400924176</v>
      </c>
      <c r="D2" s="5">
        <f>SUM(D4:D80)</f>
        <v>4126885.1020000004</v>
      </c>
      <c r="E2" s="5">
        <f>C2-D2</f>
        <v>-1273226.4619075828</v>
      </c>
      <c r="F2" s="6">
        <f>IFERROR(E2/D2, 0)</f>
        <v>-0.30851996855704628</v>
      </c>
      <c r="G2" s="5">
        <f>SUM(G4:G80)</f>
        <v>1838454.7949999999</v>
      </c>
      <c r="H2" s="7">
        <f>C2-G2</f>
        <v>1015203.8450924177</v>
      </c>
      <c r="I2" s="6">
        <f>IFERROR(H2/G2, 0)</f>
        <v>0.55220495377609635</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75852.662688442389</v>
      </c>
      <c r="D4" s="12">
        <f>SUM('1st Qtr'!D4, '2nd Qtr'!D4, '3rd Qtr'!D4, '4th Qtr'!D4)</f>
        <v>112980.34</v>
      </c>
      <c r="E4" s="12">
        <f>IF(AND(ISNUMBER(C4),ISNUMBER(D4)), C4-D4, "")</f>
        <v>-37127.677311557607</v>
      </c>
      <c r="F4" s="13">
        <f>IFERROR(E4/D4, "")</f>
        <v>-0.32862069021528534</v>
      </c>
      <c r="G4" s="14">
        <f>SUM('1st Qtr'!G4, '2nd Qtr'!G4, '3rd Qtr'!G4, '4th Qtr'!G4)</f>
        <v>94393.72</v>
      </c>
      <c r="H4" s="14">
        <f>SUM('1st Qtr'!H4, '2nd Qtr'!H4, '3rd Qtr'!H4, '4th Qtr'!H4)</f>
        <v>-18541.057311557604</v>
      </c>
      <c r="I4" s="15">
        <f>IFERROR(H4/G4, "")</f>
        <v>-0.19642257251390882</v>
      </c>
    </row>
    <row r="5" spans="1:9" ht="15.6">
      <c r="A5" s="50" t="str">
        <v>Auburn - Leicester Street Solar</v>
      </c>
      <c r="B5" s="28" t="str">
        <v>MA</v>
      </c>
      <c r="C5" s="16">
        <f>SUM('1st Qtr'!C5, '2nd Qtr'!C5, '3rd Qtr'!C5, '4th Qtr'!C5)</f>
        <v>734173</v>
      </c>
      <c r="D5" s="16">
        <f>SUM('1st Qtr'!D5, '2nd Qtr'!D5, '3rd Qtr'!D5, '4th Qtr'!D5)</f>
        <v>1573339</v>
      </c>
      <c r="E5" s="16">
        <f t="shared" ref="E5:E10" si="0">IF(AND(ISNUMBER(C5),ISNUMBER(D5)), C5-D5, "")</f>
        <v>-839166</v>
      </c>
      <c r="F5" s="17">
        <f>IFERROR(E5/D5, "")</f>
        <v>-0.53336629931629487</v>
      </c>
      <c r="G5" s="18">
        <f>SUM('1st Qtr'!G5, '2nd Qtr'!G5, '3rd Qtr'!G5, '4th Qtr'!G5)</f>
        <v>0</v>
      </c>
      <c r="H5" s="18">
        <f>SUM(Jan!H5, Feb!H5, Mar!H5)</f>
        <v>734173</v>
      </c>
      <c r="I5" s="17" t="str">
        <f>IFERROR(H5/G5, "")</f>
        <v/>
      </c>
    </row>
    <row r="6" spans="1:9" ht="15.6">
      <c r="A6" s="51" t="str">
        <v>Rochester - Old Middleboro</v>
      </c>
      <c r="B6" s="26" t="str">
        <v>MA</v>
      </c>
      <c r="C6" s="22">
        <f>SUM('1st Qtr'!C6, '2nd Qtr'!C6, '3rd Qtr'!C6, '4th Qtr'!C6)</f>
        <v>1253103.4777422128</v>
      </c>
      <c r="D6" s="12">
        <f>SUM('1st Qtr'!D6, '2nd Qtr'!D6, '3rd Qtr'!D6, '4th Qtr'!D6)</f>
        <v>1396733.9</v>
      </c>
      <c r="E6" s="12">
        <f t="shared" si="0"/>
        <v>-143630.42225778708</v>
      </c>
      <c r="F6" s="13">
        <f t="shared" ref="F6:F10" si="1">IFERROR(E6/D6, "")</f>
        <v>-0.10283306094152013</v>
      </c>
      <c r="G6" s="14">
        <f>SUM('1st Qtr'!G6, '2nd Qtr'!G6, '3rd Qtr'!G6, '4th Qtr'!G6)</f>
        <v>907981.39999999991</v>
      </c>
      <c r="H6" s="14">
        <f>SUM('1st Qtr'!H6, '2nd Qtr'!H6, '3rd Qtr'!H6, '4th Qtr'!H6)</f>
        <v>345122.07774221298</v>
      </c>
      <c r="I6" s="15">
        <f t="shared" ref="I6:I10" si="2">IFERROR(H6/G6, "")</f>
        <v>0.38009818014136965</v>
      </c>
    </row>
    <row r="7" spans="1:9" ht="15.6">
      <c r="A7" s="50" t="str">
        <v>Dover - Littleworth Road</v>
      </c>
      <c r="B7" s="28" t="str">
        <v>NH</v>
      </c>
      <c r="C7" s="16">
        <f>SUM('1st Qtr'!C7, '2nd Qtr'!C7, '3rd Qtr'!C7, '4th Qtr'!C7)</f>
        <v>23295</v>
      </c>
      <c r="D7" s="16">
        <f>SUM('1st Qtr'!D7, '2nd Qtr'!D7, '3rd Qtr'!D7, '4th Qtr'!D7)</f>
        <v>0</v>
      </c>
      <c r="E7" s="16">
        <f t="shared" si="0"/>
        <v>23295</v>
      </c>
      <c r="F7" s="17" t="str">
        <f t="shared" si="1"/>
        <v/>
      </c>
      <c r="G7" s="18">
        <f>SUM('1st Qtr'!G7, '2nd Qtr'!G7, '3rd Qtr'!G7, '4th Qtr'!G7)</f>
        <v>0</v>
      </c>
      <c r="H7" s="18">
        <f>SUM(Jan!H7, Feb!H7, Mar!H7)</f>
        <v>23295</v>
      </c>
      <c r="I7" s="17" t="str">
        <f t="shared" si="2"/>
        <v/>
      </c>
    </row>
    <row r="8" spans="1:9" ht="15.6">
      <c r="A8" s="51" t="str">
        <v>Milton - Landfill</v>
      </c>
      <c r="B8" s="26" t="str">
        <v>NH</v>
      </c>
      <c r="C8" s="22">
        <f>SUM('1st Qtr'!C8, '2nd Qtr'!C8, '3rd Qtr'!C8, '4th Qtr'!C8)</f>
        <v>71381</v>
      </c>
      <c r="D8" s="12">
        <f>SUM('1st Qtr'!D8, '2nd Qtr'!D8, '3rd Qtr'!D8, '4th Qtr'!D8)</f>
        <v>0</v>
      </c>
      <c r="E8" s="12">
        <f t="shared" si="0"/>
        <v>71381</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617835.99966176203</v>
      </c>
      <c r="D9" s="16">
        <f>SUM('1st Qtr'!D9, '2nd Qtr'!D9, '3rd Qtr'!D9, '4th Qtr'!D9)</f>
        <v>863100.60000000009</v>
      </c>
      <c r="E9" s="16">
        <f t="shared" si="0"/>
        <v>-245264.60033823806</v>
      </c>
      <c r="F9" s="17">
        <f t="shared" si="1"/>
        <v>-0.28416687502967558</v>
      </c>
      <c r="G9" s="18">
        <f>SUM('1st Qtr'!G9, '2nd Qtr'!G9, '3rd Qtr'!G9, '4th Qtr'!G9)</f>
        <v>697151.3</v>
      </c>
      <c r="H9" s="18">
        <f>SUM(Jan!H9, Feb!H9, Mar!H9)</f>
        <v>-79315.300338238012</v>
      </c>
      <c r="I9" s="17">
        <f t="shared" si="2"/>
        <v>-0.11377056937029022</v>
      </c>
    </row>
    <row r="10" spans="1:9" ht="15.6">
      <c r="A10" s="51" t="str">
        <v>Dedham - 100 Rustcraft Rd</v>
      </c>
      <c r="B10" s="26" t="str">
        <v>MA</v>
      </c>
      <c r="C10" s="22">
        <f>SUM('1st Qtr'!C10, '2nd Qtr'!C10, '3rd Qtr'!C10, '4th Qtr'!C10)</f>
        <v>78017.5</v>
      </c>
      <c r="D10" s="12">
        <f>SUM('1st Qtr'!D10, '2nd Qtr'!D10, '3rd Qtr'!D10, '4th Qtr'!D10)</f>
        <v>180731.26199999999</v>
      </c>
      <c r="E10" s="12">
        <f t="shared" si="0"/>
        <v>-102713.76199999999</v>
      </c>
      <c r="F10" s="13">
        <f t="shared" si="1"/>
        <v>-0.56832316038384101</v>
      </c>
      <c r="G10" s="14">
        <f>SUM('1st Qtr'!G10, '2nd Qtr'!G10, '3rd Qtr'!G10, '4th Qtr'!G10)</f>
        <v>138928.375</v>
      </c>
      <c r="H10" s="14">
        <f>SUM('1st Qtr'!H10, '2nd Qtr'!H10, '3rd Qtr'!H10, '4th Qtr'!H10)</f>
        <v>-60910.875</v>
      </c>
      <c r="I10" s="15">
        <f t="shared" si="2"/>
        <v>-0.43843365331236328</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H4" sqref="H4"/>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8" t="str" cm="1">
        <f t="array" ref="A1">portfolio</f>
        <v>Agilitas Energy</v>
      </c>
      <c r="B1" s="68"/>
      <c r="C1" s="68"/>
      <c r="D1" s="69" t="s">
        <v>10</v>
      </c>
      <c r="E1" s="69"/>
      <c r="F1" s="69"/>
      <c r="G1" s="67" t="s">
        <v>11</v>
      </c>
      <c r="H1" s="67"/>
      <c r="I1" s="67"/>
    </row>
    <row r="2" spans="1:9" ht="19.5" customHeight="1">
      <c r="A2" s="70" t="s">
        <v>2</v>
      </c>
      <c r="B2" s="70"/>
      <c r="C2" s="5">
        <f>SUM(C4:C80)</f>
        <v>2853658.6400924176</v>
      </c>
      <c r="D2" s="5">
        <f>SUM(D4:D80)</f>
        <v>4126885.1020000004</v>
      </c>
      <c r="E2" s="5">
        <f>C2-D2</f>
        <v>-1273226.4619075828</v>
      </c>
      <c r="F2" s="6">
        <f>IFERROR(E2/D2, 0)</f>
        <v>-0.30851996855704628</v>
      </c>
      <c r="G2" s="5">
        <f>SUM(G4:G80)</f>
        <v>1838454.7949999999</v>
      </c>
      <c r="H2" s="7">
        <f>C2-G2</f>
        <v>1015203.8450924177</v>
      </c>
      <c r="I2" s="6">
        <f>IFERROR(H2/G2, 0)</f>
        <v>0.55220495377609635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75852.662688442389</v>
      </c>
      <c r="D4" s="12">
        <f>SUM(Jan!D4, Feb!D4, Mar!D4)</f>
        <v>112980.34</v>
      </c>
      <c r="E4" s="12">
        <f>IF(AND(ISNUMBER(C4),ISNUMBER(D4)), C4-D4, "")</f>
        <v>-37127.677311557607</v>
      </c>
      <c r="F4" s="13">
        <f>IFERROR(E4/D4, "")</f>
        <v>-0.32862069021528534</v>
      </c>
      <c r="G4" s="14">
        <f>SUM(Jan!G4, Feb!G4, Mar!G4)</f>
        <v>94393.72</v>
      </c>
      <c r="H4" s="14">
        <f>SUM(Jan!H4, Feb!H4, Mar!H4)</f>
        <v>-18541.057311557604</v>
      </c>
      <c r="I4" s="15">
        <f>IFERROR(H4/G4, "")</f>
        <v>-0.19642257251390882</v>
      </c>
    </row>
    <row r="5" spans="1:9" ht="15.6">
      <c r="A5" s="47" t="str">
        <v>Auburn - Leicester Street Solar</v>
      </c>
      <c r="B5" s="10" t="str">
        <v>MA</v>
      </c>
      <c r="C5" s="11">
        <f>SUM(Jan!C5, Feb!C5, Mar!C5)</f>
        <v>734173</v>
      </c>
      <c r="D5" s="16">
        <f>SUM(Jan!D5, Feb!D5, Mar!D5)</f>
        <v>1573339</v>
      </c>
      <c r="E5" s="16">
        <f t="shared" ref="E5:E10" si="0">IF(AND(ISNUMBER(C5),ISNUMBER(D5)), C5-D5, "")</f>
        <v>-839166</v>
      </c>
      <c r="F5" s="17">
        <f>IFERROR(E5/D5, "")</f>
        <v>-0.53336629931629487</v>
      </c>
      <c r="G5" s="18">
        <f>SUM(Jan!G5, Feb!G5, Mar!G5)</f>
        <v>0</v>
      </c>
      <c r="H5" s="18">
        <f>SUM(Jan!H5, Feb!H5, Mar!H5)</f>
        <v>734173</v>
      </c>
      <c r="I5" s="17" t="str">
        <f>IFERROR(H5/G5, "")</f>
        <v/>
      </c>
    </row>
    <row r="6" spans="1:9" ht="15.6">
      <c r="A6" s="46" t="str">
        <v>Rochester - Old Middleboro</v>
      </c>
      <c r="B6" s="9" t="str">
        <v>MA</v>
      </c>
      <c r="C6" s="22">
        <f>SUM(Jan!C6, Feb!C6, Mar!C6)</f>
        <v>1253103.4777422128</v>
      </c>
      <c r="D6" s="12">
        <f>SUM(Jan!D6, Feb!D6, Mar!D6)</f>
        <v>1396733.9</v>
      </c>
      <c r="E6" s="12">
        <f t="shared" si="0"/>
        <v>-143630.42225778708</v>
      </c>
      <c r="F6" s="13">
        <f t="shared" ref="F6:F10" si="1">IFERROR(E6/D6, "")</f>
        <v>-0.10283306094152013</v>
      </c>
      <c r="G6" s="14">
        <f>SUM(Jan!G6, Feb!G6, Mar!G6)</f>
        <v>907981.39999999991</v>
      </c>
      <c r="H6" s="14">
        <f>SUM(Jan!H6, Feb!H6, Mar!H6)</f>
        <v>345122.07774221298</v>
      </c>
      <c r="I6" s="15">
        <f t="shared" ref="I6:I10" si="2">IFERROR(H6/G6, "")</f>
        <v>0.38009818014136965</v>
      </c>
    </row>
    <row r="7" spans="1:9" ht="15.6">
      <c r="A7" s="47" t="str">
        <v>Dover - Littleworth Road</v>
      </c>
      <c r="B7" s="10" t="str">
        <v>NH</v>
      </c>
      <c r="C7" s="11">
        <f>SUM(Jan!C7, Feb!C7, Mar!C7)</f>
        <v>23295</v>
      </c>
      <c r="D7" s="16">
        <f>SUM(Jan!D7, Feb!D7, Mar!D7)</f>
        <v>0</v>
      </c>
      <c r="E7" s="16">
        <f t="shared" si="0"/>
        <v>23295</v>
      </c>
      <c r="F7" s="17" t="str">
        <f t="shared" si="1"/>
        <v/>
      </c>
      <c r="G7" s="18">
        <f>SUM(Jan!G7, Feb!G7, Mar!G7)</f>
        <v>0</v>
      </c>
      <c r="H7" s="18">
        <f>SUM(Jan!H7, Feb!H7, Mar!H7)</f>
        <v>23295</v>
      </c>
      <c r="I7" s="17" t="str">
        <f t="shared" si="2"/>
        <v/>
      </c>
    </row>
    <row r="8" spans="1:9" ht="15.6">
      <c r="A8" s="46" t="str">
        <v>Milton - Landfill</v>
      </c>
      <c r="B8" s="9" t="str">
        <v>NH</v>
      </c>
      <c r="C8" s="22">
        <f>SUM(Jan!C8, Feb!C8, Mar!C8)</f>
        <v>71381</v>
      </c>
      <c r="D8" s="12">
        <f>SUM(Jan!D8, Feb!D8, Mar!D8)</f>
        <v>0</v>
      </c>
      <c r="E8" s="12">
        <f t="shared" si="0"/>
        <v>71381</v>
      </c>
      <c r="F8" s="13" t="str">
        <f t="shared" si="1"/>
        <v/>
      </c>
      <c r="G8" s="14">
        <f>SUM(Jan!G8, Feb!G8, Mar!G8)</f>
        <v>0</v>
      </c>
      <c r="H8" s="14">
        <f>SUM(Jan!H8, Feb!H8, Mar!H8)</f>
        <v>71381</v>
      </c>
      <c r="I8" s="15" t="str">
        <f t="shared" si="2"/>
        <v/>
      </c>
    </row>
    <row r="9" spans="1:9" ht="15.6">
      <c r="A9" s="47" t="str">
        <v>Hopkinton - 71 Frankland Rd</v>
      </c>
      <c r="B9" s="10" t="str">
        <v>MA</v>
      </c>
      <c r="C9" s="11">
        <f>SUM(Jan!C9, Feb!C9, Mar!C9)</f>
        <v>617835.99966176203</v>
      </c>
      <c r="D9" s="16">
        <f>SUM(Jan!D9, Feb!D9, Mar!D9)</f>
        <v>863100.60000000009</v>
      </c>
      <c r="E9" s="16">
        <f t="shared" si="0"/>
        <v>-245264.60033823806</v>
      </c>
      <c r="F9" s="17">
        <f t="shared" si="1"/>
        <v>-0.28416687502967558</v>
      </c>
      <c r="G9" s="18">
        <f>SUM(Jan!G9, Feb!G9, Mar!G9)</f>
        <v>697151.3</v>
      </c>
      <c r="H9" s="18">
        <f>SUM(Jan!H9, Feb!H9, Mar!H9)</f>
        <v>-79315.300338238012</v>
      </c>
      <c r="I9" s="17">
        <f t="shared" si="2"/>
        <v>-0.11377056937029022</v>
      </c>
    </row>
    <row r="10" spans="1:9" ht="15.6">
      <c r="A10" s="46" t="str">
        <v>Dedham - 100 Rustcraft Rd</v>
      </c>
      <c r="B10" s="9" t="str">
        <v>MA</v>
      </c>
      <c r="C10" s="22">
        <f>SUM(Jan!C10, Feb!C10, Mar!C10)</f>
        <v>78017.5</v>
      </c>
      <c r="D10" s="12">
        <f>SUM(Jan!D10, Feb!D10, Mar!D10)</f>
        <v>180731.26199999999</v>
      </c>
      <c r="E10" s="12">
        <f t="shared" si="0"/>
        <v>-102713.76199999999</v>
      </c>
      <c r="F10" s="13">
        <f t="shared" si="1"/>
        <v>-0.56832316038384101</v>
      </c>
      <c r="G10" s="14">
        <f>SUM(Jan!G10, Feb!G10, Mar!G10)</f>
        <v>138928.375</v>
      </c>
      <c r="H10" s="14">
        <f>SUM(Jan!H10, Feb!H10, Mar!H10)</f>
        <v>-60910.875</v>
      </c>
      <c r="I10" s="15">
        <f t="shared" si="2"/>
        <v>-0.43843365331236328</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H13" sqref="H13"/>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8" t="str" cm="1">
        <f t="array" ref="A1">portfolio</f>
        <v>Agilitas Energy</v>
      </c>
      <c r="B1" s="68"/>
      <c r="C1" s="68"/>
      <c r="D1" s="69" t="s">
        <v>12</v>
      </c>
      <c r="E1" s="69"/>
      <c r="F1" s="69"/>
      <c r="G1" s="67" t="s">
        <v>13</v>
      </c>
      <c r="H1" s="67"/>
      <c r="I1" s="67"/>
    </row>
    <row r="2" spans="1:9" ht="19.5" customHeight="1">
      <c r="A2" s="70" t="s">
        <v>2</v>
      </c>
      <c r="B2" s="70"/>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0</v>
      </c>
      <c r="D4" s="12">
        <f>SUM(Apr!D4, May!D4, Jun!D4)</f>
        <v>0</v>
      </c>
      <c r="E4" s="12">
        <f>IF(AND(ISNUMBER(C4),ISNUMBER(D4)), C4-D4, "")</f>
        <v>0</v>
      </c>
      <c r="F4" s="13" t="str">
        <f>IFERROR(E4/D4, "")</f>
        <v/>
      </c>
      <c r="G4" s="14">
        <f>SUM(Apr!G4+May!G4+Jun!G4)</f>
        <v>0</v>
      </c>
      <c r="H4" s="14">
        <f>SUM(Apr!H4, May!H4, Jun!H4)</f>
        <v>0</v>
      </c>
      <c r="I4" s="15" t="str">
        <f>IFERROR(H4/G4, "")</f>
        <v/>
      </c>
    </row>
    <row r="5" spans="1:9" ht="15.6">
      <c r="A5" s="47" t="str">
        <v>Auburn - Leicester Street Solar</v>
      </c>
      <c r="B5" s="10" t="str">
        <v>MA</v>
      </c>
      <c r="C5" s="11">
        <f>SUM(Apr!C5, May!C5, Jun!C5)</f>
        <v>0</v>
      </c>
      <c r="D5" s="16">
        <f>SUM(Apr!D5, May!D5, Jun!D5)</f>
        <v>0</v>
      </c>
      <c r="E5" s="16">
        <f t="shared" ref="E5:E10" si="0">IF(AND(ISNUMBER(C5),ISNUMBER(D5)), C5-D5, "")</f>
        <v>0</v>
      </c>
      <c r="F5" s="17" t="str">
        <f>IFERROR(E5/D5, "")</f>
        <v/>
      </c>
      <c r="G5" s="18">
        <f>SUM(Apr!G5+May!G5+Jun!G5)</f>
        <v>0</v>
      </c>
      <c r="H5" s="18">
        <f>SUM(Apr!H5, May!H5, Jun!H5)</f>
        <v>0</v>
      </c>
      <c r="I5" s="17" t="str">
        <f>IFERROR(H5/G5, "")</f>
        <v/>
      </c>
    </row>
    <row r="6" spans="1:9" ht="15.6">
      <c r="A6" s="46" t="str">
        <v>Rochester - Old Middleboro</v>
      </c>
      <c r="B6" s="9" t="str">
        <v>MA</v>
      </c>
      <c r="C6" s="22">
        <f>SUM(Apr!C6, May!C6, Jun!C6)</f>
        <v>0</v>
      </c>
      <c r="D6" s="12">
        <f>SUM(Apr!D6, May!D6, Jun!D6)</f>
        <v>0</v>
      </c>
      <c r="E6" s="12">
        <f t="shared" si="0"/>
        <v>0</v>
      </c>
      <c r="F6" s="13" t="str">
        <f t="shared" ref="F6:F10" si="1">IFERROR(E6/D6, "")</f>
        <v/>
      </c>
      <c r="G6" s="14">
        <f>SUM(Apr!G6+May!G6+Jun!G6)</f>
        <v>0</v>
      </c>
      <c r="H6" s="14">
        <f>SUM(Apr!H6, May!H6, Jun!H6)</f>
        <v>0</v>
      </c>
      <c r="I6" s="15" t="str">
        <f t="shared" ref="I6:I9" si="2">IFERROR(H6/G6, "")</f>
        <v/>
      </c>
    </row>
    <row r="7" spans="1:9" ht="15.6">
      <c r="A7" s="47" t="str">
        <v>Dover - Littleworth Road</v>
      </c>
      <c r="B7" s="10" t="str">
        <v>NH</v>
      </c>
      <c r="C7" s="11">
        <f>SUM(Apr!C7, May!C7, Jun!C7)</f>
        <v>0</v>
      </c>
      <c r="D7" s="16">
        <f>SUM(Apr!D7, May!D7, Jun!D7)</f>
        <v>0</v>
      </c>
      <c r="E7" s="16">
        <f t="shared" si="0"/>
        <v>0</v>
      </c>
      <c r="F7" s="17" t="str">
        <f t="shared" si="1"/>
        <v/>
      </c>
      <c r="G7" s="18">
        <f>SUM(Apr!G7+May!G7+Jun!G7)</f>
        <v>0</v>
      </c>
      <c r="H7" s="18">
        <f>SUM(Apr!H7, May!H7, Jun!H7)</f>
        <v>0</v>
      </c>
      <c r="I7" s="17" t="str">
        <f t="shared" si="2"/>
        <v/>
      </c>
    </row>
    <row r="8" spans="1:9" ht="15.6">
      <c r="A8" s="46" t="str">
        <v>Milton - Landfill</v>
      </c>
      <c r="B8" s="9" t="str">
        <v>NH</v>
      </c>
      <c r="C8" s="22">
        <f>SUM(Apr!C8, May!C8, Jun!C8)</f>
        <v>0</v>
      </c>
      <c r="D8" s="12">
        <f>SUM(Apr!D8, May!D8, Jun!D8)</f>
        <v>0</v>
      </c>
      <c r="E8" s="12">
        <f t="shared" si="0"/>
        <v>0</v>
      </c>
      <c r="F8" s="13" t="str">
        <f t="shared" si="1"/>
        <v/>
      </c>
      <c r="G8" s="14">
        <f>SUM(Apr!G8+May!G8+Jun!G8)</f>
        <v>0</v>
      </c>
      <c r="H8" s="14">
        <f>SUM(Apr!H8, May!H8, Jun!H8)</f>
        <v>0</v>
      </c>
      <c r="I8" s="15" t="str">
        <f>IFERROR(H8/G8, "")</f>
        <v/>
      </c>
    </row>
    <row r="9" spans="1:9" ht="15.6">
      <c r="A9" s="47" t="str">
        <v>Hopkinton - 71 Frankland Rd</v>
      </c>
      <c r="B9" s="10" t="str">
        <v>MA</v>
      </c>
      <c r="C9" s="11">
        <f>SUM(Apr!C9, May!C9, Jun!C9)</f>
        <v>0</v>
      </c>
      <c r="D9" s="16">
        <f>SUM(Apr!D9, May!D9, Jun!D9)</f>
        <v>0</v>
      </c>
      <c r="E9" s="16">
        <f t="shared" si="0"/>
        <v>0</v>
      </c>
      <c r="F9" s="17" t="str">
        <f t="shared" si="1"/>
        <v/>
      </c>
      <c r="G9" s="18">
        <f>SUM(Apr!G9+May!G9+Jun!G9)</f>
        <v>0</v>
      </c>
      <c r="H9" s="18">
        <f>SUM(Apr!H9, May!H9, Jun!H9)</f>
        <v>0</v>
      </c>
      <c r="I9" s="17" t="str">
        <f t="shared" si="2"/>
        <v/>
      </c>
    </row>
    <row r="10" spans="1:9" ht="15.6">
      <c r="A10" s="46" t="str">
        <v>Dedham - 100 Rustcraft Rd</v>
      </c>
      <c r="B10" s="9" t="str">
        <v>MA</v>
      </c>
      <c r="C10" s="22">
        <f>SUM(Apr!C10, May!C10, Jun!C10)</f>
        <v>0</v>
      </c>
      <c r="D10" s="12">
        <f>SUM(Apr!D10, May!D10, Jun!D10)</f>
        <v>0</v>
      </c>
      <c r="E10" s="12">
        <f t="shared" si="0"/>
        <v>0</v>
      </c>
      <c r="F10" s="13" t="str">
        <f t="shared" si="1"/>
        <v/>
      </c>
      <c r="G10" s="14">
        <f>SUM(Apr!G10+May!G10+Jun!G10)</f>
        <v>0</v>
      </c>
      <c r="H10" s="14">
        <f>SUM(Apr!H10, May!H10, Jun!H10)</f>
        <v>0</v>
      </c>
      <c r="I10" s="15" t="str">
        <f>IFERROR(H10/G10, "")</f>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7" sqref="H7:H10"/>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8" t="str" cm="1">
        <f t="array" ref="A1">portfolio</f>
        <v>Agilitas Energy</v>
      </c>
      <c r="B1" s="68"/>
      <c r="C1" s="68"/>
      <c r="D1" s="69" t="s">
        <v>14</v>
      </c>
      <c r="E1" s="69"/>
      <c r="F1" s="69"/>
      <c r="G1" s="67" t="s">
        <v>15</v>
      </c>
      <c r="H1" s="67"/>
      <c r="I1" s="67"/>
    </row>
    <row r="2" spans="1:9" ht="19.5" customHeight="1">
      <c r="A2" s="70" t="s">
        <v>2</v>
      </c>
      <c r="B2" s="70"/>
      <c r="C2" s="5">
        <f>SUM(C4:C79)</f>
        <v>0</v>
      </c>
      <c r="D2" s="5">
        <f>SUM(D4:D79)</f>
        <v>0</v>
      </c>
      <c r="E2" s="5">
        <f>C2-D2</f>
        <v>0</v>
      </c>
      <c r="F2" s="6">
        <f>IFERROR(E2/D2, 0)</f>
        <v>0</v>
      </c>
      <c r="G2" s="5">
        <f>SUM(G4:G79)</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0</v>
      </c>
      <c r="D4" s="12">
        <f>SUM(Jul!D4, Aug!D4, Sep!D4)</f>
        <v>0</v>
      </c>
      <c r="E4" s="12">
        <f>IF(AND(ISNUMBER(C4),ISNUMBER(D4)), C4-D4, "")</f>
        <v>0</v>
      </c>
      <c r="F4" s="13" t="str">
        <f>IFERROR(E4/D4, "")</f>
        <v/>
      </c>
      <c r="G4" s="14">
        <f>SUM(Jul!G4,Aug!G4,Sep!G4)</f>
        <v>0</v>
      </c>
      <c r="H4" s="14">
        <f>SUM(Jul!H4, Aug!H4, Sep!H4)</f>
        <v>0</v>
      </c>
      <c r="I4" s="15" t="str">
        <f t="shared" ref="I4:I9" si="0">IFERROR(H4/G4, "")</f>
        <v/>
      </c>
    </row>
    <row r="5" spans="1:9" ht="15.6">
      <c r="A5" s="47" t="str">
        <v>Auburn - Leicester Street Solar</v>
      </c>
      <c r="B5" s="10" t="str">
        <v>MA</v>
      </c>
      <c r="C5" s="11">
        <f>SUM(Jul!C5, Aug!C5, Sep!C5)</f>
        <v>0</v>
      </c>
      <c r="D5" s="16">
        <f>SUM(Jul!D5, Aug!D5, Sep!D5)</f>
        <v>0</v>
      </c>
      <c r="E5" s="16">
        <f t="shared" ref="E5:E10" si="1">IF(AND(ISNUMBER(C5),ISNUMBER(D5)), C5-D5, "")</f>
        <v>0</v>
      </c>
      <c r="F5" s="17" t="str">
        <f>IFERROR(E5/D5, "")</f>
        <v/>
      </c>
      <c r="G5" s="16">
        <f>SUM(Jul!G5,Aug!G5,Sep!G5)</f>
        <v>0</v>
      </c>
      <c r="H5" s="18">
        <f>SUM(Jul!H5, Aug!H5, Sep!H5)</f>
        <v>0</v>
      </c>
      <c r="I5" s="17" t="str">
        <f t="shared" si="0"/>
        <v/>
      </c>
    </row>
    <row r="6" spans="1:9" ht="15.6">
      <c r="A6" s="46" t="str">
        <v>Rochester - Old Middleboro</v>
      </c>
      <c r="B6" s="9" t="str">
        <v>MA</v>
      </c>
      <c r="C6" s="22">
        <f>SUM(Jul!C6, Aug!C6, Sep!C6)</f>
        <v>0</v>
      </c>
      <c r="D6" s="12">
        <f>SUM(Jul!D6, Aug!D6, Sep!D6)</f>
        <v>0</v>
      </c>
      <c r="E6" s="12">
        <f t="shared" si="1"/>
        <v>0</v>
      </c>
      <c r="F6" s="13" t="str">
        <f t="shared" ref="F6:F10" si="2">IFERROR(E6/D6, "")</f>
        <v/>
      </c>
      <c r="G6" s="14">
        <f>SUM(Jul!G6,Aug!G6,Sep!G6)</f>
        <v>0</v>
      </c>
      <c r="H6" s="14">
        <f>SUM(Jul!H6, Aug!H6, Sep!H6)</f>
        <v>0</v>
      </c>
      <c r="I6" s="15" t="str">
        <f t="shared" si="0"/>
        <v/>
      </c>
    </row>
    <row r="7" spans="1:9" ht="15.6">
      <c r="A7" s="47" t="str">
        <v>Dover - Littleworth Road</v>
      </c>
      <c r="B7" s="10" t="str">
        <v>NH</v>
      </c>
      <c r="C7" s="11">
        <f>SUM(Jul!C7, Aug!C7, Sep!C7)</f>
        <v>0</v>
      </c>
      <c r="D7" s="16">
        <f>SUM(Jul!D7, Aug!D7, Sep!D7)</f>
        <v>0</v>
      </c>
      <c r="E7" s="16">
        <f t="shared" si="1"/>
        <v>0</v>
      </c>
      <c r="F7" s="17" t="str">
        <f t="shared" si="2"/>
        <v/>
      </c>
      <c r="G7" s="16">
        <f>SUM(Jul!G7,Aug!G7,Sep!G7)</f>
        <v>0</v>
      </c>
      <c r="H7" s="18">
        <f>SUM(Jul!H7, Aug!H7, Sep!H7)</f>
        <v>0</v>
      </c>
      <c r="I7" s="17" t="str">
        <f t="shared" si="0"/>
        <v/>
      </c>
    </row>
    <row r="8" spans="1:9" ht="15.6">
      <c r="A8" s="46" t="str">
        <v>Milton - Landfill</v>
      </c>
      <c r="B8" s="9" t="str">
        <v>NH</v>
      </c>
      <c r="C8" s="22">
        <f>SUM(Jul!C8, Aug!C8, Sep!C8)</f>
        <v>0</v>
      </c>
      <c r="D8" s="12">
        <f>SUM(Jul!D8, Aug!D8, Sep!D8)</f>
        <v>0</v>
      </c>
      <c r="E8" s="12">
        <f t="shared" si="1"/>
        <v>0</v>
      </c>
      <c r="F8" s="13" t="str">
        <f t="shared" si="2"/>
        <v/>
      </c>
      <c r="G8" s="14">
        <f>SUM(Jul!G8,Aug!G8,Sep!G8)</f>
        <v>0</v>
      </c>
      <c r="H8" s="14">
        <f>SUM(Jul!H8, Aug!H8, Sep!H8)</f>
        <v>0</v>
      </c>
      <c r="I8" s="15" t="str">
        <f t="shared" si="0"/>
        <v/>
      </c>
    </row>
    <row r="9" spans="1:9" ht="15.6">
      <c r="A9" s="47" t="str">
        <v>Hopkinton - 71 Frankland Rd</v>
      </c>
      <c r="B9" s="10" t="str">
        <v>MA</v>
      </c>
      <c r="C9" s="11">
        <f>SUM(Jul!C9, Aug!C9, Sep!C9)</f>
        <v>0</v>
      </c>
      <c r="D9" s="16">
        <f>SUM(Jul!D9, Aug!D9, Sep!D9)</f>
        <v>0</v>
      </c>
      <c r="E9" s="16">
        <f t="shared" si="1"/>
        <v>0</v>
      </c>
      <c r="F9" s="17" t="str">
        <f t="shared" si="2"/>
        <v/>
      </c>
      <c r="G9" s="16">
        <f>SUM(Jul!G9,Aug!G9,Sep!G9)</f>
        <v>0</v>
      </c>
      <c r="H9" s="18">
        <f>SUM(Jul!H9, Aug!H9, Sep!H9)</f>
        <v>0</v>
      </c>
      <c r="I9" s="17" t="str">
        <f t="shared" si="0"/>
        <v/>
      </c>
    </row>
    <row r="10" spans="1:9" ht="15.6">
      <c r="A10" s="46" t="str">
        <v>Dedham - 100 Rustcraft Rd</v>
      </c>
      <c r="B10" s="9" t="str">
        <v>MA</v>
      </c>
      <c r="C10" s="22">
        <f>SUM(Jul!C10, Aug!C10, Sep!C10)</f>
        <v>0</v>
      </c>
      <c r="D10" s="12">
        <f>SUM(Jul!D10, Aug!D10, Sep!D10)</f>
        <v>0</v>
      </c>
      <c r="E10" s="16">
        <f t="shared" si="1"/>
        <v>0</v>
      </c>
      <c r="F10" s="13" t="str">
        <f t="shared" si="2"/>
        <v/>
      </c>
      <c r="G10" s="14">
        <f>SUM(Jul!G10,Aug!G10,Sep!G10)</f>
        <v>0</v>
      </c>
      <c r="H10" s="14">
        <f>SUM(Jul!H10, Aug!H10, Sep!H10)</f>
        <v>0</v>
      </c>
      <c r="I10" s="15"/>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A17" sqref="A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8" t="str" cm="1">
        <f t="array" ref="A1">portfolio</f>
        <v>Agilitas Energy</v>
      </c>
      <c r="B1" s="68"/>
      <c r="C1" s="68"/>
      <c r="D1" s="69" t="s">
        <v>16</v>
      </c>
      <c r="E1" s="69"/>
      <c r="F1" s="69"/>
      <c r="G1" s="67" t="s">
        <v>17</v>
      </c>
      <c r="H1" s="67"/>
      <c r="I1" s="67"/>
    </row>
    <row r="2" spans="1:9" ht="19.5" customHeight="1">
      <c r="A2" s="70" t="s">
        <v>2</v>
      </c>
      <c r="B2" s="70"/>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Auburn - Leicester Street Solar</v>
      </c>
      <c r="B5" s="10" t="str">
        <v>MA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Rochester - Old Middleboro</v>
      </c>
      <c r="B6" s="9" t="str">
        <v>MA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Dover - Littleworth Road</v>
      </c>
      <c r="B7" s="10" t="str">
        <v>NH</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Milton - Landfill</v>
      </c>
      <c r="B8" s="9" t="str">
        <v>NH</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Hopkinton - 71 Frankland Rd</v>
      </c>
      <c r="B9" s="10" t="str">
        <v>MA</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Dedham - 100 Rustcraft Rd</v>
      </c>
      <c r="B10" s="9" t="str">
        <v>MA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4" activePane="bottomRight" state="frozen"/>
      <selection pane="bottomRight" activeCell="J17" sqref="J17"/>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8" t="str" cm="1">
        <f t="array" ref="A1">portfolio</f>
        <v>Agilitas Energy</v>
      </c>
      <c r="B1" s="68"/>
      <c r="C1" s="68"/>
      <c r="D1" s="69" t="s">
        <v>18</v>
      </c>
      <c r="E1" s="69"/>
      <c r="F1" s="69"/>
      <c r="G1" s="67" t="s">
        <v>19</v>
      </c>
      <c r="H1" s="67"/>
      <c r="I1" s="67"/>
      <c r="J1" s="4"/>
      <c r="K1" s="4"/>
    </row>
    <row r="2" spans="1:13" ht="19.5" customHeight="1">
      <c r="A2" s="70" t="s">
        <v>2</v>
      </c>
      <c r="B2" s="70"/>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5: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tabSelected="1" zoomScale="60" zoomScaleNormal="60" workbookViewId="0">
      <pane xSplit="2" ySplit="3" topLeftCell="C4" activePane="bottomRight" state="frozen"/>
      <selection pane="bottomRight" activeCell="V6" sqref="V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8" t="str" cm="1">
        <f t="array" ref="A1">portfolio</f>
        <v>Agilitas Energy</v>
      </c>
      <c r="B1" s="68"/>
      <c r="C1" s="68"/>
      <c r="D1" s="69" t="s">
        <v>43</v>
      </c>
      <c r="E1" s="69"/>
      <c r="F1" s="69"/>
      <c r="G1" s="67" t="s">
        <v>44</v>
      </c>
      <c r="H1" s="67"/>
      <c r="I1" s="67"/>
      <c r="J1" s="4"/>
      <c r="K1" s="4"/>
    </row>
    <row r="2" spans="1:14" ht="19.5" customHeight="1">
      <c r="A2" s="70" t="s">
        <v>2</v>
      </c>
      <c r="B2" s="70"/>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5: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86.45">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22"/>
  <sheetViews>
    <sheetView workbookViewId="0">
      <pane xSplit="2" ySplit="3" topLeftCell="C4" activePane="bottomRight" state="frozen"/>
      <selection pane="bottomRight" activeCell="C13" sqref="C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8" t="str" cm="1">
        <f t="array" ref="A1">portfolio</f>
        <v>Agilitas Energy</v>
      </c>
      <c r="B1" s="68"/>
      <c r="C1" s="68"/>
      <c r="D1" s="69" t="s">
        <v>63</v>
      </c>
      <c r="E1" s="69"/>
      <c r="F1" s="69"/>
      <c r="G1" s="67" t="s">
        <v>64</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1"/>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5.6">
      <c r="A10" s="26" t="str">
        <v>Dedham - 100 Rustcraft Rd</v>
      </c>
      <c r="B10" s="27" t="str">
        <v>MA</v>
      </c>
      <c r="C10" s="22"/>
      <c r="D10" s="12"/>
      <c r="E10" s="12"/>
      <c r="F10" s="13"/>
      <c r="G10" s="14"/>
      <c r="H10" s="14"/>
      <c r="I10" s="15"/>
      <c r="J10" s="39"/>
      <c r="K10" s="3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22"/>
  <sheetViews>
    <sheetView workbookViewId="0">
      <pane xSplit="2" ySplit="3" topLeftCell="J6"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8" t="str" cm="1">
        <f t="array" ref="A1">portfolio</f>
        <v>Agilitas Energy</v>
      </c>
      <c r="B1" s="68"/>
      <c r="C1" s="68"/>
      <c r="D1" s="69" t="s">
        <v>65</v>
      </c>
      <c r="E1" s="69"/>
      <c r="F1" s="69"/>
      <c r="G1" s="67" t="s">
        <v>66</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53"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85.5" customHeight="1">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76.5" customHeight="1">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2"/>
  <sheetViews>
    <sheetView workbookViewId="0">
      <pane xSplit="2" ySplit="3" topLeftCell="J6"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8" t="str" cm="1">
        <f t="array" ref="A1">portfolio</f>
        <v>Agilitas Energy</v>
      </c>
      <c r="B1" s="68"/>
      <c r="C1" s="68"/>
      <c r="D1" s="69" t="s">
        <v>67</v>
      </c>
      <c r="E1" s="69"/>
      <c r="F1" s="69"/>
      <c r="G1" s="67" t="s">
        <v>68</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workbookViewId="0">
      <pane xSplit="2" ySplit="3" topLeftCell="C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8" t="str" cm="1">
        <f t="array" ref="A1">portfolio</f>
        <v>Agilitas Energy</v>
      </c>
      <c r="B1" s="68"/>
      <c r="C1" s="68"/>
      <c r="D1" s="69" t="s">
        <v>69</v>
      </c>
      <c r="E1" s="69"/>
      <c r="F1" s="69"/>
      <c r="G1" s="67" t="s">
        <v>70</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34.9" customHeight="1">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70" zoomScaleNormal="70" workbookViewId="0">
      <pane xSplit="2" ySplit="3" topLeftCell="E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1" ht="19.5" customHeight="1">
      <c r="A1" s="68" t="str" cm="1">
        <f t="array" ref="A1">portfolio</f>
        <v>Agilitas Energy</v>
      </c>
      <c r="B1" s="68"/>
      <c r="C1" s="68"/>
      <c r="D1" s="69" t="s">
        <v>71</v>
      </c>
      <c r="E1" s="69"/>
      <c r="F1" s="69"/>
      <c r="G1" s="67" t="s">
        <v>72</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IF(AND(ISNUMBER(C6),ISNUMBER(D6)), C6-D6, "")</f>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8" t="str" cm="1">
        <f t="array" ref="A1">portfolio</f>
        <v>Agilitas Energy</v>
      </c>
      <c r="B1" s="68"/>
      <c r="C1" s="68"/>
      <c r="D1" s="69" t="s">
        <v>73</v>
      </c>
      <c r="E1" s="69"/>
      <c r="F1" s="69"/>
      <c r="G1" s="67" t="s">
        <v>74</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8" t="str" cm="1">
        <f t="array" ref="A1">portfolio</f>
        <v>Agilitas Energy</v>
      </c>
      <c r="B1" s="68"/>
      <c r="C1" s="68"/>
      <c r="D1" s="69" t="s">
        <v>75</v>
      </c>
      <c r="E1" s="69"/>
      <c r="F1" s="69"/>
      <c r="G1" s="67" t="s">
        <v>76</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H14" sqref="H14"/>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8" t="str" cm="1">
        <f t="array" ref="A1">portfolio</f>
        <v>Agilitas Energy</v>
      </c>
      <c r="B1" s="68"/>
      <c r="C1" s="68"/>
      <c r="D1" s="69" t="s">
        <v>77</v>
      </c>
      <c r="E1" s="69"/>
      <c r="F1" s="69"/>
      <c r="G1" s="67" t="s">
        <v>78</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Rochester - Old Middleboro</v>
      </c>
      <c r="B6" s="27" t="str">
        <v>MA</v>
      </c>
      <c r="C6" s="22"/>
      <c r="D6" s="12"/>
      <c r="E6" s="12" t="str">
        <f>IF(AND(ISNUMBER(C6),ISNUMBER(D6)), C6-D6, "")</f>
        <v/>
      </c>
      <c r="F6" s="13" t="str">
        <f t="shared" ref="F6:F9" si="1">IFERROR(E6/D6, "")</f>
        <v/>
      </c>
      <c r="G6" s="14"/>
      <c r="H6" s="14"/>
      <c r="I6" s="15" t="str">
        <f t="shared" ref="I6" si="2">IFERROR(H6/G6, "")</f>
        <v/>
      </c>
      <c r="J6" s="39"/>
      <c r="K6" s="39"/>
    </row>
    <row r="7" spans="1:11" ht="15.6">
      <c r="A7" s="28" t="str">
        <v>Dover - Littleworth Road</v>
      </c>
      <c r="B7" s="29" t="str">
        <v>NH</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Milton - Landfill</v>
      </c>
      <c r="B8" s="27" t="str">
        <v>NH</v>
      </c>
      <c r="C8" s="22"/>
      <c r="D8" s="12"/>
      <c r="E8" s="12" t="str">
        <f t="shared" si="0"/>
        <v/>
      </c>
      <c r="F8" s="13" t="str">
        <f t="shared" si="1"/>
        <v/>
      </c>
      <c r="G8" s="14"/>
      <c r="H8" s="14"/>
      <c r="I8" s="15" t="str">
        <f t="shared" ref="I8" si="5">IFERROR(H8/G8, "")</f>
        <v/>
      </c>
      <c r="J8" s="39"/>
      <c r="K8" s="39"/>
    </row>
    <row r="9" spans="1:11" ht="15.6">
      <c r="A9" s="28" t="str">
        <v>Hopkinton - 71 Frankland Rd</v>
      </c>
      <c r="B9" s="29" t="str">
        <v>MA</v>
      </c>
      <c r="C9" s="11"/>
      <c r="D9" s="16"/>
      <c r="E9" s="16" t="str">
        <f t="shared" si="0"/>
        <v/>
      </c>
      <c r="F9" s="17" t="str">
        <f t="shared" si="1"/>
        <v/>
      </c>
      <c r="G9" s="18"/>
      <c r="H9" s="18" t="str">
        <f t="shared" si="3"/>
        <v/>
      </c>
      <c r="I9" s="17" t="str">
        <f>IFERROR(H9/G9, "")</f>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D16" sqref="D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68" t="str" cm="1">
        <f t="array" ref="A1">portfolio</f>
        <v>Agilitas Energy</v>
      </c>
      <c r="B1" s="68"/>
      <c r="C1" s="68"/>
      <c r="D1" s="69" t="s">
        <v>79</v>
      </c>
      <c r="E1" s="69"/>
      <c r="F1" s="69"/>
      <c r="G1" s="67" t="s">
        <v>80</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8" t="str" cm="1">
        <f t="array" ref="A1">portfolio</f>
        <v>Agilitas Energy</v>
      </c>
      <c r="B1" s="68"/>
      <c r="C1" s="68"/>
      <c r="D1" s="69" t="s">
        <v>81</v>
      </c>
      <c r="E1" s="69"/>
      <c r="F1" s="69"/>
      <c r="G1" s="67" t="s">
        <v>82</v>
      </c>
      <c r="H1" s="67"/>
      <c r="I1" s="67"/>
      <c r="J1" s="4"/>
      <c r="K1" s="4"/>
    </row>
    <row r="2" spans="1:11" ht="19.5" customHeight="1">
      <c r="A2" s="70" t="s">
        <v>2</v>
      </c>
      <c r="B2" s="70"/>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D13" sqref="D1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83</v>
      </c>
      <c r="B1" t="s">
        <v>84</v>
      </c>
    </row>
    <row r="3" spans="1:12" ht="13.15">
      <c r="A3" t="s">
        <v>85</v>
      </c>
      <c r="B3" t="s">
        <v>3</v>
      </c>
      <c r="C3" t="s">
        <v>4</v>
      </c>
      <c r="D3" t="s">
        <v>86</v>
      </c>
      <c r="E3" s="2" t="s">
        <v>87</v>
      </c>
    </row>
    <row r="4" spans="1:12" ht="14.45">
      <c r="A4" s="48" t="s">
        <v>88</v>
      </c>
      <c r="B4" t="s">
        <v>89</v>
      </c>
      <c r="C4" s="45" t="s">
        <v>90</v>
      </c>
      <c r="D4" s="44" t="s">
        <v>91</v>
      </c>
      <c r="E4" t="s">
        <v>92</v>
      </c>
      <c r="G4" s="3"/>
    </row>
    <row r="5" spans="1:12" ht="14.45">
      <c r="A5" s="48" t="s">
        <v>93</v>
      </c>
      <c r="B5" t="s">
        <v>94</v>
      </c>
      <c r="C5" s="45" t="s">
        <v>90</v>
      </c>
      <c r="D5" s="44" t="s">
        <v>91</v>
      </c>
      <c r="E5" t="s">
        <v>92</v>
      </c>
      <c r="G5" s="3"/>
    </row>
    <row r="6" spans="1:12" ht="14.45">
      <c r="A6" s="48" t="s">
        <v>95</v>
      </c>
      <c r="B6" t="s">
        <v>96</v>
      </c>
      <c r="C6" s="45" t="s">
        <v>90</v>
      </c>
      <c r="D6" s="44" t="s">
        <v>91</v>
      </c>
      <c r="E6" t="s">
        <v>92</v>
      </c>
      <c r="G6" s="3"/>
    </row>
    <row r="7" spans="1:12" ht="12.75" customHeight="1">
      <c r="A7" s="48" t="s">
        <v>97</v>
      </c>
      <c r="B7" t="s">
        <v>98</v>
      </c>
      <c r="C7" s="45" t="s">
        <v>99</v>
      </c>
      <c r="D7" s="44"/>
      <c r="E7" t="s">
        <v>100</v>
      </c>
    </row>
    <row r="8" spans="1:12" ht="12.75" customHeight="1">
      <c r="A8" s="48" t="s">
        <v>101</v>
      </c>
      <c r="B8" t="s">
        <v>102</v>
      </c>
      <c r="C8" s="45" t="s">
        <v>99</v>
      </c>
      <c r="D8" s="44"/>
      <c r="E8" t="s">
        <v>100</v>
      </c>
    </row>
    <row r="9" spans="1:12" ht="12.75" customHeight="1">
      <c r="A9" s="54" t="s">
        <v>103</v>
      </c>
      <c r="B9" s="55" t="s">
        <v>104</v>
      </c>
      <c r="C9" s="45" t="s">
        <v>90</v>
      </c>
      <c r="D9" t="s">
        <v>91</v>
      </c>
      <c r="E9" t="s">
        <v>92</v>
      </c>
      <c r="K9" s="42"/>
      <c r="L9" s="42"/>
    </row>
    <row r="10" spans="1:12" ht="12.75" customHeight="1">
      <c r="A10" s="54" t="s">
        <v>105</v>
      </c>
      <c r="B10" s="55" t="s">
        <v>106</v>
      </c>
      <c r="C10" s="45" t="s">
        <v>90</v>
      </c>
      <c r="D10" t="s">
        <v>91</v>
      </c>
      <c r="E10" t="s">
        <v>92</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7946C510-7D04-49D8-9B25-EEC04582A1CA}"/>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89CF5C07-45EB-4100-9AFB-2C6AF77FA787}"/>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C0BCDC1E-6052-4E48-9BAF-94A40814E7C2}"/>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Gilbert, Mariesa</cp:lastModifiedBy>
  <cp:revision/>
  <dcterms:created xsi:type="dcterms:W3CDTF">2021-01-01T16:39:53Z</dcterms:created>
  <dcterms:modified xsi:type="dcterms:W3CDTF">2025-04-04T03:57:38Z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