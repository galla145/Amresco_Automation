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4" documentId="13_ncr:1_{9A767865-EAE2-4912-A7F7-DF853D5F8AB7}" xr6:coauthVersionLast="47" xr6:coauthVersionMax="47" xr10:uidLastSave="{B9C77C6B-C9FD-40D6-951F-B220818FE593}"/>
  <bookViews>
    <workbookView xWindow="28680" yWindow="-120" windowWidth="29040" windowHeight="15720" tabRatio="866" firstSheet="5" activeTab="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3" l="1"/>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E8" i="19"/>
  <c r="H7" i="19"/>
  <c r="E7" i="19"/>
  <c r="F7" i="19" s="1"/>
  <c r="H6" i="19"/>
  <c r="I6" i="19" s="1"/>
  <c r="E6" i="19"/>
  <c r="F6" i="19" s="1"/>
  <c r="E5" i="19"/>
  <c r="H17" i="19"/>
  <c r="E17" i="19"/>
  <c r="H16" i="19"/>
  <c r="E16" i="19"/>
  <c r="H15" i="19"/>
  <c r="E15" i="19"/>
  <c r="H14" i="19"/>
  <c r="E14" i="19"/>
  <c r="H13" i="19"/>
  <c r="E13" i="19"/>
  <c r="F13" i="19" s="1"/>
  <c r="H12" i="19"/>
  <c r="E12" i="19"/>
  <c r="H9" i="21"/>
  <c r="I9" i="21" s="1"/>
  <c r="H10" i="21"/>
  <c r="I10" i="21" s="1"/>
  <c r="H11" i="21"/>
  <c r="I11" i="21" s="1"/>
  <c r="H12" i="21"/>
  <c r="I12" i="2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H11" i="1"/>
  <c r="G11" i="1"/>
  <c r="D11" i="1"/>
  <c r="C11" i="1"/>
  <c r="H10"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9" i="4"/>
  <c r="F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I7" i="19"/>
  <c r="I5" i="19"/>
  <c r="F5" i="19"/>
  <c r="I4" i="19"/>
  <c r="G2" i="19"/>
  <c r="D2" i="19"/>
  <c r="C2" i="19"/>
  <c r="J2" i="19" s="1"/>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E13" i="34" s="1"/>
  <c r="F13" i="34" s="1"/>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H8" i="1"/>
  <c r="I12" i="1"/>
  <c r="E7" i="34"/>
  <c r="F7" i="34" s="1"/>
  <c r="I11" i="1"/>
  <c r="E10" i="1"/>
  <c r="F10" i="1" s="1"/>
  <c r="I8" i="72"/>
  <c r="I6" i="72"/>
  <c r="I10" i="1"/>
  <c r="E9" i="1"/>
  <c r="F9" i="1" s="1"/>
  <c r="E6" i="1"/>
  <c r="F6" i="1" s="1"/>
  <c r="I7" i="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E5" i="34"/>
  <c r="F5" i="34"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1" i="34" l="1"/>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<sst xmlns="http://schemas.openxmlformats.org/spreadsheetml/2006/main" count="321" uniqueCount="123">
  <si>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</si>
  <si>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</si>
  <si>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</si>
  <si>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</si>
  <si>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</si>
  <si>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</si>
  <si>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</si>
  <si>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</si>
  <si>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</si>
  <si>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</si>
  <si>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</si>
  <si>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</si>
  <si>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</si>
  <si>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</si>
  <si>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</si>
  <si>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</si>
  <si>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</si>
  <si>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</si>
  <si>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</si>
  <si>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</si>
  <si>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</si>
  <si>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</si>
  <si>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</si>
  <si>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</si>
  <si>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</si>
  <si>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</si>
  <si>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</si>
  <si>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</si>
  <si>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</si>
  <si>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</si>
  <si>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</si>
  <si>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</si>
  <si>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</si>
  <si>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</si>
  <si>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</si>
  <si>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</si>
  <si>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</si>
  <si>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</si>
  <si>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</si>
  <si>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</si>
  <si>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</si>
  <si>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</si>
  <si>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</si>
  <si>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</si>
  <si>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</si>
  <si>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</si>
  <si>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</si>
  <si>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</si>
  <si>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</si>
  <si>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</si>
  <si>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</si>
  <si>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</si>
  <si>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</si>
  <si>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</si>
  <si>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</si>
  <si>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</si>
  <si>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</si>
  <si>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</si>
  <si>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</si>
  <si>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</si>
  <si>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</si>
  <si>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</si>
  <si>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</si>
  <si>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</si>
  <si>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</si>
  <si>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</si>
  <si>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</si>
  <si>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</si>
  <si>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</si>
  <si>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</si>
  <si>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</si>
  <si>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</si>
  <si>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</si>
  <si>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</si>
  <si>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</si>
  <si>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April Actual v. Expected</t>
  </si>
  <si>
    <t>April Actual v. Forecasted</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</si>
  <si>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</si>
  <si>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</si>
  <si>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</si>
  <si>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</si>
  <si>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</si>
  <si>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</si>
  <si>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</si>
  <si>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</si>
  <si>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</si>
  <si>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</si>
  <si>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</si>
  <si>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</si>
  <si>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</si>
  <si>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</si>
  <si>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</si>
  <si>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</si>
  <si>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</si>
  <si>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</si>
  <si>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</si>
  <si>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</si>
  <si>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</si>
  <si>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</si>
  <si>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</si>
  <si>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</si>
  <si>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</si>
  <si>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</si>
  <si>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</si>
  <si>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</si>
  <si>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</si>
  <si>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</si>
  <si>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</si>
  <si>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</si>
  <si>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</si>
  <si>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</si>
  <si>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</si>
  <si>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</si>
  <si>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</si>
  <si>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</si>
  <si>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</si>
  <si>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AEF</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</si>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</sst>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0" fontId="39" fillId="0" borderId="0" xfId="45"/>
    <xf numFmtId="49" fontId="39" fillId="0" borderId="0" xfId="45" applyNumberFormat="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H23" sqref="H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0</v>
      </c>
      <c r="E1" s="71"/>
      <c r="F1" s="71"/>
      <c r="G1" s="69" t="s">
        <v>1</v>
      </c>
      <c r="H1" s="69"/>
      <c r="I1" s="69"/>
    </row>
    <row r="2" spans="1:9" ht="19.5" customHeight="1">
      <c r="A2" s="72" t="s">
        <v>2</v>
      </c>
      <c r="B2" s="72"/>
      <c r="C2" s="6">
        <f>SUM(C4:C91)</f>
        <v>5847044.238278674</v>
      </c>
      <c r="D2" s="6">
        <f>SUM(D4:D91)</f>
        <v>6686104.7654530006</v>
      </c>
      <c r="E2" s="6">
        <f>C2-D2</f>
        <v>-839060.52717432659</v>
      </c>
      <c r="F2" s="7">
        <f>IFERROR(E2/D2, 0)</f>
        <v>-0.12549317676111499</v>
      </c>
      <c r="G2" s="6">
        <f>SUM(G4:G91)</f>
        <v>6423757.1000000006</v>
      </c>
      <c r="H2" s="8">
        <f>C2-G2</f>
        <v>-576712.8617213266</v>
      </c>
      <c r="I2" s="7">
        <f>IFERROR(H2/G2, 0)</f>
        <v>-8.977812403917429E-2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127867</v>
      </c>
      <c r="D4" s="14">
        <f>SUM('1st Qtr'!D4, '2nd Qtr'!D4, '3rd Qtr'!D4, '4th Qtr'!D4)</f>
        <v>169896.27280000001</v>
      </c>
      <c r="E4" s="14">
        <f>IF(AND(ISNUMBER(C4),ISNUMBER(D4)), C4-D4, "")</f>
        <v>-42029.272800000006</v>
      </c>
      <c r="F4" s="15">
        <f>IFERROR(E4/D4, "")</f>
        <v>-0.2473819590467202</v>
      </c>
      <c r="G4" s="16">
        <f>SUM('1st Qtr'!G4, '2nd Qtr'!G4, '3rd Qtr'!G4, '4th Qtr'!G4)</f>
        <v>102263.9</v>
      </c>
      <c r="H4" s="16">
        <f>SUM('1st Qtr'!H4, '2nd Qtr'!H4, '3rd Qtr'!H4, '4th Qtr'!H4)</f>
        <v>25603.100000000006</v>
      </c>
      <c r="I4" s="56">
        <f>IFERROR(H4/G4, "")</f>
        <v>0.25036303133363785</v>
      </c>
    </row>
    <row r="5" spans="1:9" ht="15.6">
      <c r="A5" s="18" t="str">
        <v>San Luis Valley</v>
      </c>
      <c r="B5" s="11" t="str">
        <v>CO</v>
      </c>
      <c r="C5" s="19">
        <f>SUM('1st Qtr'!C5, '2nd Qtr'!C5, '3rd Qtr'!C5, '4th Qtr'!C5)</f>
        <v>339498.5</v>
      </c>
      <c r="D5" s="19">
        <f>SUM('1st Qtr'!D5, '2nd Qtr'!D5, '3rd Qtr'!D5, '4th Qtr'!D5)</f>
        <v>345952.2</v>
      </c>
      <c r="E5" s="19">
        <f t="shared" ref="E5:E6" si="0">IF(AND(ISNUMBER(C5),ISNUMBER(D5)), C5-D5, "")</f>
        <v>-6453.7000000000116</v>
      </c>
      <c r="F5" s="20">
        <f>IFERROR(E5/D5, "")</f>
        <v>-1.8654889317079097E-2</v>
      </c>
      <c r="G5" s="21">
        <f>SUM('1st Qtr'!G5, '2nd Qtr'!G5, '3rd Qtr'!G5, '4th Qtr'!G5)</f>
        <v>0</v>
      </c>
      <c r="H5" s="57">
        <f>SUM('1st Qtr'!H5, '2nd Qtr'!H5, '3rd Qtr'!H5, '4th Qtr'!H5)</f>
        <v>520110.19070000004</v>
      </c>
      <c r="I5" s="20" t="str">
        <f>IFERROR(H5/G5, "")</f>
        <v/>
      </c>
    </row>
    <row r="6" spans="1:9" ht="15.6">
      <c r="A6" s="13" t="str">
        <v>Golden NREL 2</v>
      </c>
      <c r="B6" s="10" t="str">
        <v>CO</v>
      </c>
      <c r="C6" s="25">
        <f>SUM('1st Qtr'!C6, '2nd Qtr'!C6, '3rd Qtr'!C6, '4th Qtr'!C6)</f>
        <v>12744</v>
      </c>
      <c r="D6" s="14">
        <f>SUM('1st Qtr'!D6, '2nd Qtr'!D6, '3rd Qtr'!D6, '4th Qtr'!D6)</f>
        <v>12562.342653</v>
      </c>
      <c r="E6" s="14">
        <f t="shared" si="0"/>
        <v>181.6573470000003</v>
      </c>
      <c r="F6" s="15">
        <f t="shared" ref="F6:F13" si="1">IFERROR(E6/D6, "")</f>
        <v>1.4460467447655466E-2</v>
      </c>
      <c r="G6" s="16">
        <f>SUM('1st Qtr'!G6, '2nd Qtr'!G6, '3rd Qtr'!G6, '4th Qtr'!G6)</f>
        <v>16557</v>
      </c>
      <c r="H6" s="16">
        <f>SUM('1st Qtr'!H6, '2nd Qtr'!H6, '3rd Qtr'!H6, '4th Qtr'!H6)</f>
        <v>-3813</v>
      </c>
      <c r="I6" s="17">
        <f t="shared" ref="I6:I13" si="2">IFERROR(H6/G6, "")</f>
        <v>-0.23029534335930421</v>
      </c>
    </row>
    <row r="7" spans="1:9" ht="15.6">
      <c r="A7" s="18" t="str">
        <v>Golden NREL Wind 3</v>
      </c>
      <c r="B7" s="11" t="str">
        <v>CO</v>
      </c>
      <c r="C7" s="19">
        <f>SUM('1st Qtr'!C7, '2nd Qtr'!C7, '3rd Qtr'!C7, '4th Qtr'!C7)</f>
        <v>100131.7350475</v>
      </c>
      <c r="D7" s="19">
        <f>SUM('1st Qtr'!D7, '2nd Qtr'!D7, '3rd Qtr'!D7, '4th Qtr'!D7)</f>
        <v>149063.86000000002</v>
      </c>
      <c r="E7" s="19">
        <f t="shared" ref="E7:E13" si="3">IF(AND(ISNUMBER(C7),ISNUMBER(D7)), C7-D7, "")</f>
        <v>-48932.124952500017</v>
      </c>
      <c r="F7" s="20">
        <f t="shared" si="1"/>
        <v>-0.3282628328053494</v>
      </c>
      <c r="G7" s="21">
        <f>SUM('1st Qtr'!G7, '2nd Qtr'!G7, '3rd Qtr'!G7, '4th Qtr'!G7)</f>
        <v>0</v>
      </c>
      <c r="H7" s="21">
        <f>SUM('1st Qtr'!H7, '2nd Qtr'!H7, '3rd Qtr'!H7, '4th Qtr'!H7)</f>
        <v>100131.7350475</v>
      </c>
      <c r="I7" s="20" t="str">
        <f t="shared" si="2"/>
        <v/>
      </c>
    </row>
    <row r="8" spans="1:9" ht="15.6">
      <c r="A8" s="13" t="str">
        <v>Pratt Solar Farm</v>
      </c>
      <c r="B8" s="10" t="str">
        <v>KS</v>
      </c>
      <c r="C8" s="25">
        <f>SUM('1st Qtr'!C8, '2nd Qtr'!C8, '3rd Qtr'!C8, '4th Qtr'!C8)</f>
        <v>1250140</v>
      </c>
      <c r="D8" s="14">
        <f>SUM('1st Qtr'!D8, '2nd Qtr'!D8, '3rd Qtr'!D8, '4th Qtr'!D8)</f>
        <v>1878487.7</v>
      </c>
      <c r="E8" s="14">
        <f t="shared" si="3"/>
        <v>-628347.69999999995</v>
      </c>
      <c r="F8" s="15">
        <f t="shared" si="1"/>
        <v>-0.33449657402601035</v>
      </c>
      <c r="G8" s="16">
        <f>SUM('1st Qtr'!G8, '2nd Qtr'!G8, '3rd Qtr'!G8, '4th Qtr'!G8)</f>
        <v>1677204.9</v>
      </c>
      <c r="H8" s="16">
        <f>SUM('1st Qtr'!H8, '2nd Qtr'!H8, '3rd Qtr'!H8, '4th Qtr'!H8)</f>
        <v>-427064.9</v>
      </c>
      <c r="I8" s="17">
        <f t="shared" si="2"/>
        <v>-0.25462893651216978</v>
      </c>
    </row>
    <row r="9" spans="1:9" ht="12.75" customHeight="1">
      <c r="A9" s="18" t="str">
        <v>Rochester - 5516 Valleyhigh NW</v>
      </c>
      <c r="B9" s="11" t="str">
        <v>MN</v>
      </c>
      <c r="C9" s="19">
        <f>SUM('1st Qtr'!C9, '2nd Qtr'!C9, '3rd Qtr'!C9, '4th Qtr'!C9)</f>
        <v>1801848</v>
      </c>
      <c r="D9" s="19">
        <f>SUM('1st Qtr'!D9, '2nd Qtr'!D9, '3rd Qtr'!D9, '4th Qtr'!D9)</f>
        <v>1949492.6</v>
      </c>
      <c r="E9" s="19">
        <f t="shared" si="3"/>
        <v>-147644.60000000009</v>
      </c>
      <c r="F9" s="20">
        <f t="shared" si="1"/>
        <v>-7.5734886092924947E-2</v>
      </c>
      <c r="G9" s="21">
        <f>SUM('1st Qtr'!G9, '2nd Qtr'!G9, '3rd Qtr'!G9, '4th Qtr'!G9)</f>
        <v>1998999.6</v>
      </c>
      <c r="H9" s="21">
        <f>SUM('1st Qtr'!H9, '2nd Qtr'!H9, '3rd Qtr'!H9, '4th Qtr'!H9)</f>
        <v>-197151.59999999998</v>
      </c>
      <c r="I9" s="20">
        <f t="shared" si="2"/>
        <v>-9.8625132291172021E-2</v>
      </c>
    </row>
    <row r="10" spans="1:9" ht="15.6">
      <c r="A10" s="13" t="str">
        <v>Warsaw - 2201 Richmond</v>
      </c>
      <c r="B10" s="10" t="str">
        <v>VA</v>
      </c>
      <c r="C10" s="25">
        <f>SUM('1st Qtr'!C10, '2nd Qtr'!C10, '3rd Qtr'!C10, '4th Qtr'!C10)</f>
        <v>1117284.2999999989</v>
      </c>
      <c r="D10" s="14">
        <f>SUM('1st Qtr'!D10, '2nd Qtr'!D10, '3rd Qtr'!D10, '4th Qtr'!D10)</f>
        <v>1255902</v>
      </c>
      <c r="E10" s="14">
        <f t="shared" si="3"/>
        <v>-138617.70000000112</v>
      </c>
      <c r="F10" s="15">
        <f t="shared" si="1"/>
        <v>-0.1103730227358513</v>
      </c>
      <c r="G10" s="16">
        <f>SUM('1st Qtr'!G10, '2nd Qtr'!G10, '3rd Qtr'!G10, '4th Qtr'!G10)</f>
        <v>1212090</v>
      </c>
      <c r="H10" s="16">
        <f>SUM('1st Qtr'!H10, '2nd Qtr'!H10, '3rd Qtr'!H10, '4th Qtr'!H10)</f>
        <v>-94805.700000001001</v>
      </c>
      <c r="I10" s="17">
        <f t="shared" si="2"/>
        <v>-7.8216716580452775E-2</v>
      </c>
    </row>
    <row r="11" spans="1:9" ht="15.6">
      <c r="A11" s="18" t="str">
        <v>Mount Jackson - Randolf</v>
      </c>
      <c r="B11" s="11" t="str">
        <v>VA</v>
      </c>
      <c r="C11" s="19">
        <f>SUM('1st Qtr'!C11, '2nd Qtr'!C11, '3rd Qtr'!C11, '4th Qtr'!C11)</f>
        <v>564995.70323117496</v>
      </c>
      <c r="D11" s="19">
        <f>SUM('1st Qtr'!D11, '2nd Qtr'!D11, '3rd Qtr'!D11, '4th Qtr'!D11)</f>
        <v>570536.69999999995</v>
      </c>
      <c r="E11" s="19">
        <f t="shared" si="3"/>
        <v>-5540.996768824989</v>
      </c>
      <c r="F11" s="20">
        <f t="shared" si="1"/>
        <v>-9.7119024399744819E-3</v>
      </c>
      <c r="G11" s="21">
        <f>SUM('1st Qtr'!G11, '2nd Qtr'!G11, '3rd Qtr'!G11, '4th Qtr'!G11)</f>
        <v>814241.7</v>
      </c>
      <c r="H11" s="21">
        <f>SUM('1st Qtr'!H11, '2nd Qtr'!H11, '3rd Qtr'!H11, '4th Qtr'!H11)</f>
        <v>-249245.99676882502</v>
      </c>
      <c r="I11" s="20">
        <f t="shared" si="2"/>
        <v>-0.30610812092874268</v>
      </c>
    </row>
    <row r="12" spans="1:9" ht="15.6">
      <c r="A12" s="13" t="str">
        <v>Callands Gretna - Monroe</v>
      </c>
      <c r="B12" s="10" t="str">
        <v>VA</v>
      </c>
      <c r="C12" s="25">
        <f>SUM('1st Qtr'!C12, '2nd Qtr'!C12, '3rd Qtr'!C12, '4th Qtr'!C12)</f>
        <v>532535</v>
      </c>
      <c r="D12" s="14">
        <f>SUM('1st Qtr'!D12, '2nd Qtr'!D12, '3rd Qtr'!D12, '4th Qtr'!D12)</f>
        <v>354211.08999999997</v>
      </c>
      <c r="E12" s="14">
        <f t="shared" si="3"/>
        <v>178323.91000000003</v>
      </c>
      <c r="F12" s="15">
        <f t="shared" si="1"/>
        <v>0.50343965797344192</v>
      </c>
      <c r="G12" s="16">
        <f>SUM('1st Qtr'!G12, '2nd Qtr'!G12, '3rd Qtr'!G12, '4th Qtr'!G12)</f>
        <v>602400</v>
      </c>
      <c r="H12" s="16">
        <f>SUM('1st Qtr'!H12, '2nd Qtr'!H12, '3rd Qtr'!H12, '4th Qtr'!H12)</f>
        <v>-69865</v>
      </c>
      <c r="I12" s="17">
        <f t="shared" si="2"/>
        <v>-0.11597775564409031</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4" sqref="H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10</v>
      </c>
      <c r="E1" s="71"/>
      <c r="F1" s="71"/>
      <c r="G1" s="69" t="s">
        <v>11</v>
      </c>
      <c r="H1" s="69"/>
      <c r="I1" s="69"/>
    </row>
    <row r="2" spans="1:9" ht="19.5" customHeight="1">
      <c r="A2" s="72" t="s">
        <v>2</v>
      </c>
      <c r="B2" s="72"/>
      <c r="C2" s="6">
        <f>SUM(C4:C91)</f>
        <v>5847044.238278674</v>
      </c>
      <c r="D2" s="6">
        <f>SUM(D4:D91)</f>
        <v>6686104.7654530006</v>
      </c>
      <c r="E2" s="6">
        <f>C2-D2</f>
        <v>-839060.52717432659</v>
      </c>
      <c r="F2" s="7">
        <f>IFERROR(E2/D2, 0)</f>
        <v>-0.12549317676111499</v>
      </c>
      <c r="G2" s="6">
        <f>SUM(G4:G91)</f>
        <v>6423757.1000000006</v>
      </c>
      <c r="H2" s="8">
        <f>C2-G2</f>
        <v>-576712.8617213266</v>
      </c>
      <c r="I2" s="7">
        <f>IFERROR(H2/G2, 0)</f>
        <v>-8.977812403917429E-2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127867</v>
      </c>
      <c r="D4" s="14">
        <f>SUM(Jan!D4, Feb!D4, Mar!D4)</f>
        <v>169896.27280000001</v>
      </c>
      <c r="E4" s="14">
        <f>IF(AND(ISNUMBER(C4),ISNUMBER(D4)), C4-D4, "")</f>
        <v>-42029.272800000006</v>
      </c>
      <c r="F4" s="15">
        <f>IFERROR(E4/D4, "")</f>
        <v>-0.2473819590467202</v>
      </c>
      <c r="G4" s="16">
        <f>SUM(Jan!G4, Feb!G4, Mar!G4)</f>
        <v>102263.9</v>
      </c>
      <c r="H4" s="16">
        <f>SUM(Jan!H4, Feb!H4, Mar!H4)</f>
        <v>25603.100000000006</v>
      </c>
      <c r="I4" s="17">
        <f>IFERROR(H4/G4, "")</f>
        <v>0.25036303133363785</v>
      </c>
    </row>
    <row r="5" spans="1:9" ht="15.6">
      <c r="A5" s="18" t="str">
        <v>San Luis Valley</v>
      </c>
      <c r="B5" s="11" t="str">
        <v>CO</v>
      </c>
      <c r="C5" s="12">
        <f>SUM(Jan!C5, Feb!C5, Mar!C5)</f>
        <v>339498.5</v>
      </c>
      <c r="D5" s="19">
        <f>SUM(Jan!D5, Feb!D5, Mar!D5)</f>
        <v>345952.2</v>
      </c>
      <c r="E5" s="19">
        <f t="shared" ref="E5:E6" si="0">IF(AND(ISNUMBER(C5),ISNUMBER(D5)), C5-D5, "")</f>
        <v>-6453.7000000000116</v>
      </c>
      <c r="F5" s="20">
        <f>IFERROR(E5/D5, "")</f>
        <v>-1.8654889317079097E-2</v>
      </c>
      <c r="G5" s="21">
        <f>SUM(Jan!G5, Feb!G5, Mar!G5)</f>
        <v>0</v>
      </c>
      <c r="H5" s="21">
        <f>SUM(Jan!H5, Feb!H5, Mar!H5)</f>
        <v>339498.5</v>
      </c>
      <c r="I5" s="20" t="str">
        <f>IFERROR(H5/G5, "")</f>
        <v/>
      </c>
    </row>
    <row r="6" spans="1:9" ht="15.6">
      <c r="A6" s="13" t="str">
        <v>Golden NREL 2</v>
      </c>
      <c r="B6" s="10" t="str">
        <v>CO</v>
      </c>
      <c r="C6" s="25">
        <f>SUM(Jan!C6, Feb!C6, Mar!C6)</f>
        <v>12744</v>
      </c>
      <c r="D6" s="14">
        <f>SUM(Jan!D6, Feb!D6, Mar!D6)</f>
        <v>12562.342653</v>
      </c>
      <c r="E6" s="14">
        <f t="shared" si="0"/>
        <v>181.6573470000003</v>
      </c>
      <c r="F6" s="15">
        <f t="shared" ref="F6:F13" si="1">IFERROR(E6/D6, "")</f>
        <v>1.4460467447655466E-2</v>
      </c>
      <c r="G6" s="16">
        <f>SUM(Jan!G6, Feb!G6, Mar!G6)</f>
        <v>16557</v>
      </c>
      <c r="H6" s="16">
        <f>SUM(Jan!H6, Feb!H6, Mar!H6)</f>
        <v>-3813</v>
      </c>
      <c r="I6" s="17">
        <f t="shared" ref="I6:I13" si="2">IFERROR(H6/G6, "")</f>
        <v>-0.23029534335930421</v>
      </c>
    </row>
    <row r="7" spans="1:9" ht="15.6">
      <c r="A7" s="18" t="str">
        <v>Golden NREL Wind 3</v>
      </c>
      <c r="B7" s="11" t="str">
        <v>CO</v>
      </c>
      <c r="C7" s="12">
        <f>SUM(Jan!C7, Feb!C7, Mar!C7)</f>
        <v>100131.7350475</v>
      </c>
      <c r="D7" s="19">
        <f>SUM(Jan!D7, Feb!D7, Mar!D7)</f>
        <v>149063.86000000002</v>
      </c>
      <c r="E7" s="19">
        <f t="shared" ref="E7:E13" si="3">IF(AND(ISNUMBER(C7),ISNUMBER(D7)), C7-D7, "")</f>
        <v>-48932.124952500017</v>
      </c>
      <c r="F7" s="20">
        <f t="shared" si="1"/>
        <v>-0.3282628328053494</v>
      </c>
      <c r="G7" s="21">
        <f>SUM(Jan!G7, Feb!G7, Mar!G7)</f>
        <v>0</v>
      </c>
      <c r="H7" s="21">
        <f>SUM(Jan!H7, Feb!H7, Mar!H7)</f>
        <v>100131.7350475</v>
      </c>
      <c r="I7" s="20" t="str">
        <f t="shared" si="2"/>
        <v/>
      </c>
    </row>
    <row r="8" spans="1:9" ht="15.6">
      <c r="A8" s="13" t="str">
        <v>Pratt Solar Farm</v>
      </c>
      <c r="B8" s="10" t="str">
        <v>KS</v>
      </c>
      <c r="C8" s="25">
        <f>SUM(Jan!C8, Feb!C8, Mar!C8)</f>
        <v>1250140</v>
      </c>
      <c r="D8" s="14">
        <f>SUM(Jan!D8, Feb!D8, Mar!D8)</f>
        <v>1878487.7</v>
      </c>
      <c r="E8" s="14">
        <f t="shared" si="3"/>
        <v>-628347.69999999995</v>
      </c>
      <c r="F8" s="15">
        <f t="shared" si="1"/>
        <v>-0.33449657402601035</v>
      </c>
      <c r="G8" s="16">
        <f>SUM(Jan!G8, Feb!G8, Mar!G8)</f>
        <v>1677204.9</v>
      </c>
      <c r="H8" s="16">
        <f>SUM(Jan!H8, Feb!H8, Mar!H8)</f>
        <v>-427064.9</v>
      </c>
      <c r="I8" s="17">
        <f t="shared" si="2"/>
        <v>-0.25462893651216978</v>
      </c>
    </row>
    <row r="9" spans="1:9" ht="12.75" customHeight="1">
      <c r="A9" s="18" t="str">
        <v>Rochester - 5516 Valleyhigh NW</v>
      </c>
      <c r="B9" s="11" t="str">
        <v>MN</v>
      </c>
      <c r="C9" s="12">
        <f>SUM(Jan!C9, Feb!C9, Mar!C9)</f>
        <v>1801848</v>
      </c>
      <c r="D9" s="19">
        <f>SUM(Jan!D9, Feb!D9, Mar!D9)</f>
        <v>1949492.6</v>
      </c>
      <c r="E9" s="19">
        <f t="shared" si="3"/>
        <v>-147644.60000000009</v>
      </c>
      <c r="F9" s="20">
        <f t="shared" si="1"/>
        <v>-7.5734886092924947E-2</v>
      </c>
      <c r="G9" s="21">
        <f>SUM(Jan!G9, Feb!G9, Mar!G9)</f>
        <v>1998999.6</v>
      </c>
      <c r="H9" s="21">
        <f>SUM(Jan!H9, Feb!H9, Mar!H9)</f>
        <v>-197151.59999999998</v>
      </c>
      <c r="I9" s="20">
        <f t="shared" si="2"/>
        <v>-9.8625132291172021E-2</v>
      </c>
    </row>
    <row r="10" spans="1:9" ht="15.6">
      <c r="A10" s="13" t="str">
        <v>Warsaw - 2201 Richmond</v>
      </c>
      <c r="B10" s="10" t="str">
        <v>VA</v>
      </c>
      <c r="C10" s="25">
        <f>SUM(Jan!C10, Feb!C10, Mar!C10)</f>
        <v>1117284.2999999989</v>
      </c>
      <c r="D10" s="14">
        <f>SUM(Jan!D10, Feb!D10, Mar!D10)</f>
        <v>1255902</v>
      </c>
      <c r="E10" s="14">
        <f t="shared" si="3"/>
        <v>-138617.70000000112</v>
      </c>
      <c r="F10" s="15">
        <f t="shared" si="1"/>
        <v>-0.1103730227358513</v>
      </c>
      <c r="G10" s="16">
        <f>SUM(Jan!G10, Feb!G10, Mar!G10)</f>
        <v>1212090</v>
      </c>
      <c r="H10" s="16">
        <f>SUM(Jan!H10, Feb!H10, Mar!H10)</f>
        <v>-94805.700000001001</v>
      </c>
      <c r="I10" s="17">
        <f t="shared" si="2"/>
        <v>-7.8216716580452775E-2</v>
      </c>
    </row>
    <row r="11" spans="1:9" ht="15.6">
      <c r="A11" s="18" t="str">
        <v>Mount Jackson - Randolf</v>
      </c>
      <c r="B11" s="11" t="str">
        <v>VA</v>
      </c>
      <c r="C11" s="12">
        <f>SUM(Jan!C11, Feb!C11, Mar!C11)</f>
        <v>564995.70323117496</v>
      </c>
      <c r="D11" s="19">
        <f>SUM(Jan!D11, Feb!D11, Mar!D11)</f>
        <v>570536.69999999995</v>
      </c>
      <c r="E11" s="19">
        <f t="shared" si="3"/>
        <v>-5540.996768824989</v>
      </c>
      <c r="F11" s="20">
        <f t="shared" si="1"/>
        <v>-9.7119024399744819E-3</v>
      </c>
      <c r="G11" s="21">
        <f>SUM(Jan!G11, Feb!G11, Mar!G11)</f>
        <v>814241.7</v>
      </c>
      <c r="H11" s="21">
        <f>SUM(Jan!H11, Feb!H11, Mar!H11)</f>
        <v>-249245.99676882502</v>
      </c>
      <c r="I11" s="20">
        <f t="shared" si="2"/>
        <v>-0.30610812092874268</v>
      </c>
    </row>
    <row r="12" spans="1:9" ht="15.6">
      <c r="A12" s="13" t="str">
        <v>Callands Gretna - Monroe</v>
      </c>
      <c r="B12" s="10" t="str">
        <v>VA</v>
      </c>
      <c r="C12" s="25">
        <f>SUM(Jan!C12, Feb!C12, Mar!C12)</f>
        <v>532535</v>
      </c>
      <c r="D12" s="14">
        <f>SUM(Jan!D12, Feb!D12, Mar!D12)</f>
        <v>354211.08999999997</v>
      </c>
      <c r="E12" s="14">
        <f t="shared" si="3"/>
        <v>178323.91000000003</v>
      </c>
      <c r="F12" s="15">
        <f t="shared" si="1"/>
        <v>0.50343965797344192</v>
      </c>
      <c r="G12" s="16">
        <f>SUM(Jan!G12, Feb!G12, Mar!G12)</f>
        <v>602400</v>
      </c>
      <c r="H12" s="16">
        <f>SUM(Jan!H12, Feb!H12, Mar!H12)</f>
        <v>-69865</v>
      </c>
      <c r="I12" s="17">
        <f t="shared" si="2"/>
        <v>-0.11597775564409031</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G11" sqref="G11"/>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12</v>
      </c>
      <c r="E1" s="71"/>
      <c r="F1" s="71"/>
      <c r="G1" s="69" t="s">
        <v>13</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0</v>
      </c>
      <c r="D4" s="14">
        <f>SUM(Apr!D4, May!D4, Jun!D4)</f>
        <v>0</v>
      </c>
      <c r="E4" s="14">
        <f>IF(AND(ISNUMBER(C4),ISNUMBER(D4)), C4-D4, "")</f>
        <v>0</v>
      </c>
      <c r="F4" s="15" t="str">
        <f>IFERROR(E4/D4, "")</f>
        <v/>
      </c>
      <c r="G4" s="16">
        <f>SUM(Apr!G4+May!G4+Jun!G4)</f>
        <v>0</v>
      </c>
      <c r="H4" s="16">
        <f>SUM(Apr!H4, May!H4, Jun!H4)</f>
        <v>0</v>
      </c>
      <c r="I4" s="17" t="str">
        <f>IFERROR(H4/G4, "")</f>
        <v/>
      </c>
    </row>
    <row r="5" spans="1:9" ht="15.6">
      <c r="A5" s="18" t="str">
        <v>San Luis Valley</v>
      </c>
      <c r="B5" s="11" t="str">
        <v>CO</v>
      </c>
      <c r="C5" s="12">
        <f>SUM(Apr!C5, May!C5, Jun!C5)</f>
        <v>0</v>
      </c>
      <c r="D5" s="19">
        <f>SUM(Apr!D5, May!D5, Jun!D5)</f>
        <v>0</v>
      </c>
      <c r="E5" s="19">
        <f t="shared" ref="E5:E6" si="0">IF(AND(ISNUMBER(C5),ISNUMBER(D5)), C5-D5, "")</f>
        <v>0</v>
      </c>
      <c r="F5" s="20" t="str">
        <f>IFERROR(E5/D5, "")</f>
        <v/>
      </c>
      <c r="G5" s="21">
        <f>SUM(Apr!G5+May!G5+Jun!G5)</f>
        <v>0</v>
      </c>
      <c r="H5" s="21">
        <f>SUM(Apr!H5, May!H5, Jun!H5)</f>
        <v>180611.69070000001</v>
      </c>
      <c r="I5" s="20" t="str">
        <f>IFERROR(H5/G5, "")</f>
        <v/>
      </c>
    </row>
    <row r="6" spans="1:9" ht="15.6">
      <c r="A6" s="13" t="str">
        <v>Golden NREL 2</v>
      </c>
      <c r="B6" s="10" t="str">
        <v>CO</v>
      </c>
      <c r="C6" s="25">
        <f>SUM(Apr!C6, May!C6, Jun!C6)</f>
        <v>0</v>
      </c>
      <c r="D6" s="14">
        <f>SUM(Apr!D6, May!D6, Jun!D6)</f>
        <v>0</v>
      </c>
      <c r="E6" s="14">
        <f t="shared" si="0"/>
        <v>0</v>
      </c>
      <c r="F6" s="15" t="str">
        <f t="shared" ref="F6:F13" si="1">IFERROR(E6/D6, "")</f>
        <v/>
      </c>
      <c r="G6" s="16">
        <f>SUM(Apr!G6+May!G6+Jun!G6)</f>
        <v>0</v>
      </c>
      <c r="H6" s="16">
        <f>SUM(Apr!H6, May!H6, Jun!H6)</f>
        <v>0</v>
      </c>
      <c r="I6" s="17" t="str">
        <f t="shared" ref="I6:I13" si="2">IFERROR(H6/G6, "")</f>
        <v/>
      </c>
    </row>
    <row r="7" spans="1:9" ht="15.6">
      <c r="A7" s="18" t="str">
        <v>Golden NREL Wind 3</v>
      </c>
      <c r="B7" s="11" t="str">
        <v>CO</v>
      </c>
      <c r="C7" s="12">
        <f>SUM(Apr!C7, May!C7, Jun!C7)</f>
        <v>0</v>
      </c>
      <c r="D7" s="19">
        <f>SUM(Apr!D7, May!D7, Jun!D7)</f>
        <v>0</v>
      </c>
      <c r="E7" s="19">
        <f t="shared" ref="E7:E13" si="3">IF(AND(ISNUMBER(C7),ISNUMBER(D7)), C7-D7, "")</f>
        <v>0</v>
      </c>
      <c r="F7" s="20" t="str">
        <f t="shared" si="1"/>
        <v/>
      </c>
      <c r="G7" s="21">
        <f>SUM(Apr!G7+May!G7+Jun!G7)</f>
        <v>0</v>
      </c>
      <c r="H7" s="21">
        <f>SUM(Apr!H7, May!H7, Jun!H7)</f>
        <v>0</v>
      </c>
      <c r="I7" s="20" t="str">
        <f t="shared" si="2"/>
        <v/>
      </c>
    </row>
    <row r="8" spans="1:9" ht="15.6">
      <c r="A8" s="13" t="str">
        <v>Pratt Solar Farm</v>
      </c>
      <c r="B8" s="10" t="str">
        <v>KS</v>
      </c>
      <c r="C8" s="25">
        <f>SUM(Apr!C8, May!C8, Jun!C8)</f>
        <v>0</v>
      </c>
      <c r="D8" s="14">
        <f>SUM(Apr!D8, May!D8, Jun!D8)</f>
        <v>0</v>
      </c>
      <c r="E8" s="14">
        <f t="shared" si="3"/>
        <v>0</v>
      </c>
      <c r="F8" s="15" t="str">
        <f t="shared" si="1"/>
        <v/>
      </c>
      <c r="G8" s="16">
        <f>SUM(Apr!G8+May!G8+Jun!G8)</f>
        <v>0</v>
      </c>
      <c r="H8" s="16">
        <f>SUM(Apr!H8, May!H8, Jun!H8)</f>
        <v>0</v>
      </c>
      <c r="I8" s="17" t="str">
        <f t="shared" si="2"/>
        <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14</v>
      </c>
      <c r="E1" s="71"/>
      <c r="F1" s="71"/>
      <c r="G1" s="69" t="s">
        <v>15</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c r="A5" s="18" t="str">
        <v>San Luis Valley</v>
      </c>
      <c r="B5" s="11" t="str">
        <v>CO</v>
      </c>
      <c r="C5" s="12">
        <f>SUM(Jul!C5, Aug!C5, Sep!C5)</f>
        <v>0</v>
      </c>
      <c r="D5" s="19">
        <f>SUM(Jul!D5, Aug!D5, Sep!D5)</f>
        <v>0</v>
      </c>
      <c r="E5" s="19">
        <f t="shared" ref="E5:E6" si="0">IF(AND(ISNUMBER(C5),ISNUMBER(D5)), C5-D5, "")</f>
        <v>0</v>
      </c>
      <c r="F5" s="20" t="str">
        <f>IFERROR(E5/D5, "")</f>
        <v/>
      </c>
      <c r="G5" s="57">
        <f>SUM(Jul!G5,Aug!G5,Sep!G5)</f>
        <v>0</v>
      </c>
      <c r="H5" s="21">
        <f>SUM(Jul!H5, Aug!H5, Sep!H5)</f>
        <v>0</v>
      </c>
      <c r="I5" s="20" t="str">
        <f>IFERROR(H5/G5, "")</f>
        <v/>
      </c>
    </row>
    <row r="6" spans="1:9" ht="15.6">
      <c r="A6" s="13" t="str">
        <v>Golden NREL 2</v>
      </c>
      <c r="B6" s="10" t="str">
        <v>CO</v>
      </c>
      <c r="C6" s="25">
        <f>SUM(Jul!C6, Aug!C6, Sep!C6)</f>
        <v>0</v>
      </c>
      <c r="D6" s="14">
        <f>SUM(Jul!D6, Aug!D6, Sep!D6)</f>
        <v>0</v>
      </c>
      <c r="E6" s="14">
        <f t="shared" si="0"/>
        <v>0</v>
      </c>
      <c r="F6" s="15" t="str">
        <f t="shared" ref="F6:F13" si="1">IFERROR(E6/D6, "")</f>
        <v/>
      </c>
      <c r="G6" s="16">
        <f>SUM(Jul!G6,Aug!G6,Sep!G6)</f>
        <v>0</v>
      </c>
      <c r="H6" s="16">
        <f>SUM(Jul!H6, Aug!H6, Sep!H6)</f>
        <v>0</v>
      </c>
      <c r="I6" s="17" t="str">
        <f t="shared" ref="I6:I13" si="2">IFERROR(H6/G6, "")</f>
        <v/>
      </c>
    </row>
    <row r="7" spans="1:9" ht="15.6">
      <c r="A7" s="18" t="str">
        <v>Golden NREL Wind 3</v>
      </c>
      <c r="B7" s="11" t="str">
        <v>CO</v>
      </c>
      <c r="C7" s="12">
        <f>SUM(Jul!C7, Aug!C7, Sep!C7)</f>
        <v>0</v>
      </c>
      <c r="D7" s="19">
        <f>SUM(Jul!D7, Aug!D7, Sep!D7)</f>
        <v>0</v>
      </c>
      <c r="E7" s="19">
        <f t="shared" ref="E7:E13" si="3">IF(AND(ISNUMBER(C7),ISNUMBER(D7)), C7-D7, "")</f>
        <v>0</v>
      </c>
      <c r="F7" s="20" t="str">
        <f t="shared" si="1"/>
        <v/>
      </c>
      <c r="G7" s="57">
        <f>SUM(Jul!G7,Aug!G7,Sep!G7)</f>
        <v>0</v>
      </c>
      <c r="H7" s="21">
        <f>SUM(Jul!H7, Aug!H7, Sep!H7)</f>
        <v>0</v>
      </c>
      <c r="I7" s="20" t="str">
        <f t="shared" si="2"/>
        <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0" t="str" cm="1">
        <f t="array" ref="A1">portfolio</f>
        <v>Ecofin</v>
      </c>
      <c r="B1" s="70"/>
      <c r="C1" s="70"/>
      <c r="D1" s="71" t="s">
        <v>16</v>
      </c>
      <c r="E1" s="71"/>
      <c r="F1" s="71"/>
      <c r="G1" s="69" t="s">
        <v>17</v>
      </c>
      <c r="H1" s="69"/>
      <c r="I1" s="69"/>
    </row>
    <row r="2" spans="1:9" ht="19.5" customHeight="1">
      <c r="A2" s="72" t="s">
        <v>2</v>
      </c>
      <c r="B2" s="72"/>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tabSelected="1" workbookViewId="0">
      <pane xSplit="2" ySplit="3" topLeftCell="C4" activePane="bottomRight" state="frozen"/>
      <selection pane="bottomRight" activeCell="K6" sqref="K6"/>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0" t="str" cm="1">
        <f t="array" ref="A1">portfolio</f>
        <v>Ecofin</v>
      </c>
      <c r="B1" s="70"/>
      <c r="C1" s="70"/>
      <c r="D1" s="71" t="s">
        <v>18</v>
      </c>
      <c r="E1" s="71"/>
      <c r="F1" s="71"/>
      <c r="G1" s="69" t="s">
        <v>19</v>
      </c>
      <c r="H1" s="69"/>
      <c r="I1" s="69"/>
      <c r="J1" s="5"/>
      <c r="K1" s="5"/>
    </row>
    <row r="2" spans="1:13" ht="19.5" customHeight="1">
      <c r="A2" s="72" t="s">
        <v>2</v>
      </c>
      <c r="B2" s="72"/>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75">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333"/>
  <sheetViews>
    <sheetView zoomScale="84" zoomScaleNormal="60" workbookViewId="0">
      <pane xSplit="2" ySplit="3" topLeftCell="C9" activePane="bottomRight" state="frozen"/>
      <selection pane="bottomRight" activeCell="O9" sqref="O9"/>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9" ht="19.5" customHeight="1">
      <c r="A1" s="70" t="str" cm="1">
        <f t="array" ref="A1">portfolio</f>
        <v>Ecofin</v>
      </c>
      <c r="B1" s="70"/>
      <c r="C1" s="70"/>
      <c r="D1" s="71" t="s">
        <v>45</v>
      </c>
      <c r="E1" s="71"/>
      <c r="F1" s="71"/>
      <c r="G1" s="69" t="s">
        <v>46</v>
      </c>
      <c r="H1" s="69"/>
      <c r="I1" s="69"/>
      <c r="J1" s="5"/>
      <c r="K1" s="5"/>
    </row>
    <row r="2" spans="1:19" ht="19.5" customHeight="1">
      <c r="A2" s="72" t="s">
        <v>2</v>
      </c>
      <c r="B2" s="72"/>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19" ht="14.25" customHeight="1">
      <c r="A3" s="9" t="s">
        <v>3</v>
      </c>
      <c r="B3" s="9" t="s">
        <v>4</v>
      </c>
      <c r="C3" s="24" t="s">
        <v>5</v>
      </c>
      <c r="D3" s="35" t="s">
        <v>6</v>
      </c>
      <c r="E3" s="35" t="s">
        <v>7</v>
      </c>
      <c r="F3" s="36" t="s">
        <v>8</v>
      </c>
      <c r="G3" s="37" t="s">
        <v>9</v>
      </c>
      <c r="H3" s="38" t="s">
        <v>7</v>
      </c>
      <c r="I3" s="39" t="s">
        <v>8</v>
      </c>
      <c r="J3" s="26" t="s">
        <v>20</v>
      </c>
      <c r="K3" s="26" t="s">
        <v>21</v>
      </c>
    </row>
    <row r="4" spans="1:19"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row>
    <row r="5" spans="1:19" ht="15.6">
      <c r="A5" s="30" t="str">
        <v>San Luis Valley</v>
      </c>
      <c r="B5" s="31" t="str">
        <v>CO</v>
      </c>
      <c r="C5" s="12">
        <v>194848</v>
      </c>
      <c r="D5" s="44">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row>
    <row r="6" spans="1:19" ht="15.75">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row>
    <row r="7" spans="1:19" ht="28.9">
      <c r="A7" s="30" t="str">
        <v>Golden NREL Wind 3</v>
      </c>
      <c r="B7" s="31" t="str">
        <v>CO</v>
      </c>
      <c r="C7" s="12">
        <v>55115.14286</v>
      </c>
      <c r="D7" s="44">
        <v>83777.100000000006</v>
      </c>
      <c r="E7" s="19">
        <f t="shared" si="2"/>
        <v>-28661.957140000006</v>
      </c>
      <c r="F7" s="20">
        <f t="shared" si="3"/>
        <v>-0.34212161963114029</v>
      </c>
      <c r="G7" s="44">
        <v>0</v>
      </c>
      <c r="H7" s="21">
        <f t="shared" si="0"/>
        <v>55115.14286</v>
      </c>
      <c r="I7" s="20" t="str">
        <f t="shared" si="1"/>
        <v/>
      </c>
      <c r="J7" s="49" t="s">
        <v>50</v>
      </c>
      <c r="K7" s="60" t="s">
        <v>29</v>
      </c>
    </row>
    <row r="8" spans="1:19"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row>
    <row r="9" spans="1:19"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7" t="s">
        <v>54</v>
      </c>
      <c r="M9" s="67" t="s">
        <v>55</v>
      </c>
      <c r="N9" s="67" t="s">
        <v>56</v>
      </c>
      <c r="O9" s="67" t="s">
        <v>57</v>
      </c>
      <c r="P9" s="67" t="s">
        <v>58</v>
      </c>
      <c r="Q9" s="67" t="s">
        <v>34</v>
      </c>
      <c r="R9" s="67" t="s">
        <v>59</v>
      </c>
      <c r="S9" s="67" t="s">
        <v>60</v>
      </c>
    </row>
    <row r="10" spans="1:19"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7" t="s">
        <v>63</v>
      </c>
    </row>
    <row r="11" spans="1:19"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7" t="s">
        <v>66</v>
      </c>
      <c r="M11" s="67" t="s">
        <v>67</v>
      </c>
      <c r="N11" s="67" t="s">
        <v>68</v>
      </c>
    </row>
    <row r="12" spans="1:19"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7" t="s">
        <v>71</v>
      </c>
      <c r="M12" s="67" t="s">
        <v>72</v>
      </c>
    </row>
    <row r="13" spans="1:19"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8" t="s">
        <v>44</v>
      </c>
    </row>
    <row r="14" spans="1:19" ht="14.45">
      <c r="A14" s="22"/>
      <c r="B14" s="33"/>
      <c r="C14" s="22"/>
      <c r="D14" s="22"/>
      <c r="E14" s="22"/>
      <c r="F14" s="22"/>
      <c r="G14" s="22"/>
      <c r="H14" s="22"/>
      <c r="I14" s="22"/>
      <c r="J14" s="22"/>
      <c r="K14" s="22"/>
    </row>
    <row r="15" spans="1:19" ht="14.45">
      <c r="A15" s="22"/>
      <c r="B15" s="33"/>
      <c r="C15" s="22"/>
      <c r="D15" s="22"/>
      <c r="E15" s="22"/>
      <c r="F15" s="22"/>
      <c r="G15" s="22"/>
      <c r="H15" s="22"/>
      <c r="I15" s="22"/>
      <c r="J15" s="22"/>
      <c r="K15" s="22"/>
    </row>
    <row r="16" spans="1:19"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4"/>
  <sheetViews>
    <sheetView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0" t="str" cm="1">
        <f t="array" ref="A1">portfolio</f>
        <v>Ecofin</v>
      </c>
      <c r="B1" s="70"/>
      <c r="C1" s="70"/>
      <c r="D1" s="71" t="s">
        <v>73</v>
      </c>
      <c r="E1" s="71"/>
      <c r="F1" s="71"/>
      <c r="G1" s="69" t="s">
        <v>74</v>
      </c>
      <c r="H1" s="69"/>
      <c r="I1" s="69"/>
      <c r="J1" s="5"/>
      <c r="K1" s="5"/>
    </row>
    <row r="2" spans="1:11" ht="19.5" customHeight="1">
      <c r="A2" s="72" t="s">
        <v>2</v>
      </c>
      <c r="B2" s="72"/>
      <c r="C2" s="6">
        <f>SUM(C4:C92)</f>
        <v>0</v>
      </c>
      <c r="D2" s="6">
        <f>SUM(D4:D92)</f>
        <v>0</v>
      </c>
      <c r="E2" s="6">
        <f>C2-D2</f>
        <v>0</v>
      </c>
      <c r="F2" s="7">
        <f>IFERROR(E2/D2, 0)</f>
        <v>0</v>
      </c>
      <c r="G2" s="6">
        <f>SUM(G4:G92)</f>
        <v>0</v>
      </c>
      <c r="H2" s="8">
        <f>C2-G2</f>
        <v>0</v>
      </c>
      <c r="I2" s="7">
        <f>IFERROR(H2/G2, 0)</f>
        <v>0</v>
      </c>
      <c r="J2" s="27"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46"/>
      <c r="D4" s="14"/>
      <c r="E4" s="14" t="str">
        <f>IF(AND(ISNUMBER(C4),ISNUMBER(D4)), C4-D4, "")</f>
        <v/>
      </c>
      <c r="F4" s="15" t="str">
        <f>IFERROR(E4/D4, "")</f>
        <v/>
      </c>
      <c r="G4" s="47"/>
      <c r="H4" s="16" t="str">
        <f>IF(AND(ISNUMBER(C4),ISNUMBER(G4)), C4-G4, "")</f>
        <v/>
      </c>
      <c r="I4" s="17" t="str">
        <f>IFERROR(H4/G4, "")</f>
        <v/>
      </c>
      <c r="J4" s="41"/>
      <c r="K4" s="41"/>
    </row>
    <row r="5" spans="1:11" ht="15.6">
      <c r="A5" s="30" t="str">
        <v>San Luis Valley</v>
      </c>
      <c r="B5" s="31" t="str">
        <v>CO</v>
      </c>
      <c r="C5" s="12"/>
      <c r="D5" s="19"/>
      <c r="E5" s="19" t="str">
        <f t="shared" ref="E5:E9" si="0">IF(AND(ISNUMBER(C5),ISNUMBER(D5)), C5-D5, "")</f>
        <v/>
      </c>
      <c r="F5" s="20" t="str">
        <f>IFERROR(E5/D5, "")</f>
        <v/>
      </c>
      <c r="G5" s="21"/>
      <c r="H5" s="21" t="str">
        <f t="shared" ref="H5:H9" si="1">IF(AND(ISNUMBER(C5),ISNUMBER(G5)), C5-G5, "")</f>
        <v/>
      </c>
      <c r="I5" s="20" t="str">
        <f t="shared" ref="I5:I9" si="2">IFERROR(H5/G5, "")</f>
        <v/>
      </c>
      <c r="J5" s="48"/>
      <c r="K5" s="48"/>
    </row>
    <row r="6" spans="1:11" ht="15.6">
      <c r="A6" s="32" t="str">
        <v>Golden NREL 2</v>
      </c>
      <c r="B6" s="29" t="str">
        <v>CO</v>
      </c>
      <c r="C6" s="46"/>
      <c r="D6" s="14"/>
      <c r="E6" s="14" t="str">
        <f t="shared" si="0"/>
        <v/>
      </c>
      <c r="F6" s="15" t="str">
        <f t="shared" ref="F6:F9" si="3">IFERROR(E6/D6, "")</f>
        <v/>
      </c>
      <c r="G6" s="47"/>
      <c r="H6" s="16" t="str">
        <f t="shared" si="1"/>
        <v/>
      </c>
      <c r="I6" s="17" t="str">
        <f t="shared" si="2"/>
        <v/>
      </c>
      <c r="J6" s="41"/>
      <c r="K6" s="41"/>
    </row>
    <row r="7" spans="1:11" ht="15.6">
      <c r="A7" s="30" t="str">
        <v>Golden NREL Wind 3</v>
      </c>
      <c r="B7" s="31" t="str">
        <v>CO</v>
      </c>
      <c r="C7" s="12"/>
      <c r="D7" s="19"/>
      <c r="E7" s="19" t="str">
        <f t="shared" si="0"/>
        <v/>
      </c>
      <c r="F7" s="20" t="str">
        <f t="shared" si="3"/>
        <v/>
      </c>
      <c r="G7" s="21"/>
      <c r="H7" s="21" t="str">
        <f t="shared" si="1"/>
        <v/>
      </c>
      <c r="I7" s="20" t="str">
        <f t="shared" si="2"/>
        <v/>
      </c>
      <c r="J7" s="48"/>
      <c r="K7" s="48"/>
    </row>
    <row r="8" spans="1:11" ht="15.6">
      <c r="A8" s="32" t="str">
        <v>Pratt Solar Farm</v>
      </c>
      <c r="B8" s="29" t="str">
        <v>KS</v>
      </c>
      <c r="C8" s="46"/>
      <c r="D8" s="14"/>
      <c r="E8" s="14" t="str">
        <f t="shared" si="0"/>
        <v/>
      </c>
      <c r="F8" s="15" t="str">
        <f t="shared" si="3"/>
        <v/>
      </c>
      <c r="G8" s="47"/>
      <c r="H8" s="16" t="str">
        <f t="shared" si="1"/>
        <v/>
      </c>
      <c r="I8" s="17" t="str">
        <f t="shared" si="2"/>
        <v/>
      </c>
      <c r="J8" s="41"/>
      <c r="K8" s="41"/>
    </row>
    <row r="9" spans="1:11" ht="15.6">
      <c r="A9" s="30" t="str">
        <v>Rochester - 5516 Valleyhigh NW</v>
      </c>
      <c r="B9" s="31" t="str">
        <v>MN</v>
      </c>
      <c r="C9" s="12"/>
      <c r="D9" s="19"/>
      <c r="E9" s="19" t="str">
        <f t="shared" si="0"/>
        <v/>
      </c>
      <c r="F9" s="20" t="str">
        <f t="shared" si="3"/>
        <v/>
      </c>
      <c r="G9" s="21"/>
      <c r="H9" s="21" t="str">
        <f t="shared" si="1"/>
        <v/>
      </c>
      <c r="I9" s="20" t="str">
        <f t="shared" si="2"/>
        <v/>
      </c>
      <c r="J9" s="48"/>
      <c r="K9" s="48"/>
    </row>
    <row r="10" spans="1:11" ht="12.75" customHeight="1">
      <c r="A10" s="32" t="str">
        <v>Warsaw - 2201 Richmond</v>
      </c>
      <c r="B10" s="29" t="str">
        <v>VA</v>
      </c>
      <c r="C10" s="46"/>
      <c r="D10" s="14"/>
      <c r="E10" s="14"/>
      <c r="F10" s="15"/>
      <c r="G10" s="47"/>
      <c r="H10" s="16"/>
      <c r="I10" s="17"/>
      <c r="J10" s="41"/>
      <c r="K10" s="41"/>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46"/>
      <c r="D12" s="14"/>
      <c r="E12" s="14"/>
      <c r="F12" s="15"/>
      <c r="G12" s="47"/>
      <c r="H12" s="16"/>
      <c r="I12" s="17"/>
      <c r="J12" s="41"/>
      <c r="K12" s="41"/>
    </row>
    <row r="13" spans="1:11" ht="15.6">
      <c r="A13" s="30" t="str">
        <v>Rockbridge Baths - Small Mouth Bass</v>
      </c>
      <c r="B13" s="31" t="str">
        <v>VA</v>
      </c>
      <c r="C13" s="12"/>
      <c r="D13" s="19"/>
      <c r="E13" s="19"/>
      <c r="F13" s="20"/>
      <c r="G13" s="21"/>
      <c r="H13" s="21"/>
      <c r="I13" s="20"/>
      <c r="J13" s="48"/>
      <c r="K13" s="48"/>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3"/>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0" t="str" cm="1">
        <f t="array" ref="A1">portfolio</f>
        <v>Ecofin</v>
      </c>
      <c r="B1" s="70"/>
      <c r="C1" s="70"/>
      <c r="D1" s="71" t="s">
        <v>75</v>
      </c>
      <c r="E1" s="71"/>
      <c r="F1" s="71"/>
      <c r="G1" s="69" t="s">
        <v>76</v>
      </c>
      <c r="H1" s="69"/>
      <c r="I1" s="69"/>
      <c r="J1" s="5"/>
      <c r="K1" s="5"/>
    </row>
    <row r="2" spans="1:11" ht="19.5" customHeight="1">
      <c r="A2" s="72" t="s">
        <v>2</v>
      </c>
      <c r="B2" s="72"/>
      <c r="C2" s="6">
        <f>SUM(C4:C91)</f>
        <v>0</v>
      </c>
      <c r="D2" s="6">
        <f>SUM(D4:D91)</f>
        <v>0</v>
      </c>
      <c r="E2" s="6">
        <f>C2-D2</f>
        <v>0</v>
      </c>
      <c r="F2" s="7">
        <f>IFERROR(E2/D2, 0)</f>
        <v>0</v>
      </c>
      <c r="G2" s="6">
        <f>SUM(G4:G91)</f>
        <v>0</v>
      </c>
      <c r="H2" s="8">
        <f>C2-G2</f>
        <v>0</v>
      </c>
      <c r="I2" s="7">
        <f>IFERROR(H2/G2, 0)</f>
        <v>0</v>
      </c>
      <c r="J2" s="27"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1" ht="15.6">
      <c r="A5" s="30" t="str">
        <v>San Luis Valley</v>
      </c>
      <c r="B5" s="31" t="str">
        <v>CO</v>
      </c>
      <c r="C5" s="12"/>
      <c r="D5" s="19"/>
      <c r="E5" s="19" t="str">
        <f t="shared" ref="E5:E12" si="0">IF(AND(ISNUMBER(C5),ISNUMBER(D5)), C5-D5, "")</f>
        <v/>
      </c>
      <c r="F5" s="20" t="str">
        <f>IFERROR(E5/D5, "")</f>
        <v/>
      </c>
      <c r="G5" s="21"/>
      <c r="H5" s="21" t="str">
        <f t="shared" ref="H5:H8" si="1">IF(AND(ISNUMBER(C5),ISNUMBER(G5)), C5-G5, "")</f>
        <v/>
      </c>
      <c r="I5" s="20" t="str">
        <f t="shared" ref="I5:I8" si="2">IFERROR(H5/G5, "")</f>
        <v/>
      </c>
      <c r="J5" s="48"/>
      <c r="K5" s="48"/>
    </row>
    <row r="6" spans="1:11" ht="15.6">
      <c r="A6" s="32" t="str">
        <v>Golden NREL 2</v>
      </c>
      <c r="B6" s="29" t="str">
        <v>CO</v>
      </c>
      <c r="C6" s="25"/>
      <c r="D6" s="14"/>
      <c r="E6" s="14" t="str">
        <f t="shared" si="0"/>
        <v/>
      </c>
      <c r="F6" s="15" t="str">
        <f t="shared" ref="F6:F12" si="3">IFERROR(E6/D6, "")</f>
        <v/>
      </c>
      <c r="G6" s="16"/>
      <c r="H6" s="16" t="str">
        <f t="shared" si="1"/>
        <v/>
      </c>
      <c r="I6" s="17" t="str">
        <f t="shared" si="2"/>
        <v/>
      </c>
      <c r="J6" s="50"/>
      <c r="K6" s="50"/>
    </row>
    <row r="7" spans="1:11" ht="15.6">
      <c r="A7" s="30" t="str">
        <v>Golden NREL Wind 3</v>
      </c>
      <c r="B7" s="31" t="str">
        <v>CO</v>
      </c>
      <c r="C7" s="12"/>
      <c r="D7" s="19"/>
      <c r="E7" s="19"/>
      <c r="F7" s="20">
        <v>0</v>
      </c>
      <c r="G7" s="21"/>
      <c r="H7" s="21" t="str">
        <f t="shared" si="1"/>
        <v/>
      </c>
      <c r="I7" s="20" t="str">
        <f t="shared" si="2"/>
        <v/>
      </c>
      <c r="J7" s="48"/>
      <c r="K7" s="48"/>
    </row>
    <row r="8" spans="1:11" ht="15.6">
      <c r="A8" s="32" t="str">
        <v>Pratt Solar Farm</v>
      </c>
      <c r="B8" s="29" t="str">
        <v>KS</v>
      </c>
      <c r="C8" s="25"/>
      <c r="D8" s="14"/>
      <c r="E8" s="14" t="str">
        <f t="shared" si="0"/>
        <v/>
      </c>
      <c r="F8" s="15" t="str">
        <f t="shared" si="3"/>
        <v/>
      </c>
      <c r="G8" s="16"/>
      <c r="H8" s="16" t="str">
        <f t="shared" si="1"/>
        <v/>
      </c>
      <c r="I8" s="17" t="str">
        <f t="shared" si="2"/>
        <v/>
      </c>
      <c r="J8" s="50"/>
      <c r="K8" s="50"/>
    </row>
    <row r="9" spans="1:11" ht="97.35" customHeight="1">
      <c r="A9" s="30" t="str">
        <v>Rochester - 5516 Valleyhigh NW</v>
      </c>
      <c r="B9" s="31" t="str">
        <v>MN</v>
      </c>
      <c r="C9" s="12"/>
      <c r="D9" s="19"/>
      <c r="E9" s="19" t="str">
        <f t="shared" si="0"/>
        <v/>
      </c>
      <c r="F9" s="20" t="str">
        <f t="shared" si="3"/>
        <v/>
      </c>
      <c r="G9" s="21"/>
      <c r="H9" s="21" t="str">
        <f t="shared" ref="H9:H12" si="4">IF(AND(ISNUMBER(C9),ISNUMBER(G9)), C9-G9, "")</f>
        <v/>
      </c>
      <c r="I9" s="20" t="str">
        <f t="shared" ref="I9:I12" si="5">IFERROR(H9/G9, "")</f>
        <v/>
      </c>
      <c r="J9" s="48"/>
      <c r="K9" s="48"/>
    </row>
    <row r="10" spans="1:11" ht="15.6">
      <c r="A10" s="32" t="str">
        <v>Warsaw - 2201 Richmond</v>
      </c>
      <c r="B10" s="29" t="str">
        <v>VA</v>
      </c>
      <c r="C10" s="25"/>
      <c r="D10" s="14"/>
      <c r="E10" s="14" t="str">
        <f t="shared" si="0"/>
        <v/>
      </c>
      <c r="F10" s="15" t="str">
        <f t="shared" si="3"/>
        <v/>
      </c>
      <c r="G10" s="16"/>
      <c r="H10" s="16" t="str">
        <f t="shared" si="4"/>
        <v/>
      </c>
      <c r="I10" s="17" t="str">
        <f t="shared" si="5"/>
        <v/>
      </c>
      <c r="J10" s="50"/>
      <c r="K10" s="50"/>
    </row>
    <row r="11" spans="1:11" ht="15.6">
      <c r="A11" s="30" t="str">
        <v>Mount Jackson - Randolf</v>
      </c>
      <c r="B11" s="31" t="str">
        <v>VA</v>
      </c>
      <c r="C11" s="12"/>
      <c r="D11" s="19"/>
      <c r="E11" s="19" t="str">
        <f t="shared" si="0"/>
        <v/>
      </c>
      <c r="F11" s="20" t="str">
        <f t="shared" si="3"/>
        <v/>
      </c>
      <c r="G11" s="21"/>
      <c r="H11" s="21" t="str">
        <f t="shared" si="4"/>
        <v/>
      </c>
      <c r="I11" s="20" t="str">
        <f t="shared" si="5"/>
        <v/>
      </c>
      <c r="J11" s="48"/>
      <c r="K11" s="48"/>
    </row>
    <row r="12" spans="1:11" ht="15.6">
      <c r="A12" s="32" t="str">
        <v>Callands Gretna - Monroe</v>
      </c>
      <c r="B12" s="29" t="str">
        <v>VA</v>
      </c>
      <c r="C12" s="25"/>
      <c r="D12" s="14"/>
      <c r="E12" s="14" t="str">
        <f t="shared" si="0"/>
        <v/>
      </c>
      <c r="F12" s="15" t="str">
        <f t="shared" si="3"/>
        <v/>
      </c>
      <c r="G12" s="16"/>
      <c r="H12" s="16" t="str">
        <f t="shared" si="4"/>
        <v/>
      </c>
      <c r="I12" s="17" t="str">
        <f t="shared" si="5"/>
        <v/>
      </c>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0" t="str" cm="1">
        <f t="array" ref="A1">portfolio</f>
        <v>Ecofin</v>
      </c>
      <c r="B1" s="70"/>
      <c r="C1" s="70"/>
      <c r="D1" s="71" t="s">
        <v>77</v>
      </c>
      <c r="E1" s="71"/>
      <c r="F1" s="71"/>
      <c r="G1" s="69" t="s">
        <v>78</v>
      </c>
      <c r="H1" s="69"/>
      <c r="I1" s="69"/>
      <c r="J1" s="5"/>
      <c r="K1" s="5"/>
    </row>
    <row r="2" spans="1:11" ht="19.5" customHeight="1">
      <c r="A2" s="72" t="s">
        <v>2</v>
      </c>
      <c r="B2" s="72"/>
      <c r="C2" s="6">
        <f>SUM(C4:C90)</f>
        <v>0</v>
      </c>
      <c r="D2" s="6">
        <f>SUM(D4:D90)</f>
        <v>0</v>
      </c>
      <c r="E2" s="6">
        <f>C2-D2</f>
        <v>0</v>
      </c>
      <c r="F2" s="7">
        <f>IFERROR(E2/D2, 0)</f>
        <v>0</v>
      </c>
      <c r="G2" s="6">
        <f>SUM(G4:G90)</f>
        <v>0</v>
      </c>
      <c r="H2" s="8">
        <f>C2-G2</f>
        <v>0</v>
      </c>
      <c r="I2" s="7">
        <f>IFERROR(H2/G2, 0)</f>
        <v>0</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4" t="s">
        <v>5</v>
      </c>
      <c r="D3" s="35" t="s">
        <v>6</v>
      </c>
      <c r="E3" s="35" t="s">
        <v>7</v>
      </c>
      <c r="F3" s="36" t="s">
        <v>8</v>
      </c>
      <c r="G3" s="37" t="s">
        <v>9</v>
      </c>
      <c r="H3" s="38" t="s">
        <v>7</v>
      </c>
      <c r="I3" s="39" t="s">
        <v>8</v>
      </c>
      <c r="J3" s="26" t="s">
        <v>20</v>
      </c>
      <c r="K3" s="26" t="s">
        <v>21</v>
      </c>
    </row>
    <row r="4" spans="1:11"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1" ht="15.6">
      <c r="A5" s="30" t="str">
        <v>San Luis Valley</v>
      </c>
      <c r="B5" s="31" t="str">
        <v>CO</v>
      </c>
      <c r="C5" s="12"/>
      <c r="D5" s="19"/>
      <c r="E5" s="19" t="str">
        <f t="shared" ref="E5:E10" si="0">IF(AND(ISNUMBER(C5),ISNUMBER(D5)), C5-D5, "")</f>
        <v/>
      </c>
      <c r="F5" s="20" t="str">
        <f t="shared" ref="F5:F10" si="1">IFERROR(E5/D5, "")</f>
        <v/>
      </c>
      <c r="G5" s="21"/>
      <c r="H5" s="21" t="str">
        <f t="shared" ref="H5:H10" si="2">IF(AND(ISNUMBER(C5),ISNUMBER(G5)), C5-G5, "")</f>
        <v/>
      </c>
      <c r="I5" s="20" t="str">
        <f t="shared" ref="I5:I10" si="3">IFERROR(H5/G5, "")</f>
        <v/>
      </c>
      <c r="J5" s="48"/>
      <c r="K5" s="48"/>
    </row>
    <row r="6" spans="1:11" ht="15.6">
      <c r="A6" s="32" t="str">
        <v>Golden NREL 2</v>
      </c>
      <c r="B6" s="29" t="str">
        <v>CO</v>
      </c>
      <c r="C6" s="25"/>
      <c r="D6" s="14"/>
      <c r="E6" s="14" t="str">
        <f t="shared" si="0"/>
        <v/>
      </c>
      <c r="F6" s="15" t="str">
        <f t="shared" si="1"/>
        <v/>
      </c>
      <c r="G6" s="16"/>
      <c r="H6" s="16" t="str">
        <f t="shared" si="2"/>
        <v/>
      </c>
      <c r="I6" s="17" t="str">
        <f t="shared" si="3"/>
        <v/>
      </c>
      <c r="J6" s="50"/>
      <c r="K6" s="50"/>
    </row>
    <row r="7" spans="1:11" ht="15.6">
      <c r="A7" s="30" t="str">
        <v>Golden NREL Wind 3</v>
      </c>
      <c r="B7" s="31" t="str">
        <v>CO</v>
      </c>
      <c r="C7" s="12"/>
      <c r="D7" s="19"/>
      <c r="E7" s="19" t="str">
        <f t="shared" si="0"/>
        <v/>
      </c>
      <c r="F7" s="20" t="str">
        <f t="shared" si="1"/>
        <v/>
      </c>
      <c r="G7" s="21"/>
      <c r="H7" s="21" t="str">
        <f t="shared" si="2"/>
        <v/>
      </c>
      <c r="I7" s="20" t="str">
        <f t="shared" si="3"/>
        <v/>
      </c>
      <c r="J7" s="48"/>
      <c r="K7" s="48"/>
    </row>
    <row r="8" spans="1:11" ht="15.6">
      <c r="A8" s="32" t="str">
        <v>Pratt Solar Farm</v>
      </c>
      <c r="B8" s="29" t="str">
        <v>KS</v>
      </c>
      <c r="C8" s="25"/>
      <c r="D8" s="14"/>
      <c r="E8" s="14" t="str">
        <f t="shared" si="0"/>
        <v/>
      </c>
      <c r="F8" s="15" t="str">
        <f t="shared" si="1"/>
        <v/>
      </c>
      <c r="G8" s="16"/>
      <c r="H8" s="16" t="str">
        <f t="shared" si="2"/>
        <v/>
      </c>
      <c r="I8" s="17" t="str">
        <f t="shared" si="3"/>
        <v/>
      </c>
      <c r="J8" s="50"/>
      <c r="K8" s="50"/>
    </row>
    <row r="9" spans="1:11" ht="178.5" customHeight="1">
      <c r="A9" s="30" t="str">
        <v>Rochester - 5516 Valleyhigh NW</v>
      </c>
      <c r="B9" s="31" t="str">
        <v>MN</v>
      </c>
      <c r="C9" s="12"/>
      <c r="D9" s="19"/>
      <c r="E9" s="19" t="str">
        <f t="shared" si="0"/>
        <v/>
      </c>
      <c r="F9" s="20" t="str">
        <f t="shared" si="1"/>
        <v/>
      </c>
      <c r="G9" s="21"/>
      <c r="H9" s="21" t="str">
        <f t="shared" si="2"/>
        <v/>
      </c>
      <c r="I9" s="20" t="str">
        <f t="shared" si="3"/>
        <v/>
      </c>
      <c r="J9" s="48"/>
      <c r="K9" s="48"/>
    </row>
    <row r="10" spans="1:11" ht="15.6">
      <c r="A10" s="32" t="str">
        <v>Warsaw - 2201 Richmond</v>
      </c>
      <c r="B10" s="29" t="str">
        <v>VA</v>
      </c>
      <c r="C10" s="25"/>
      <c r="D10" s="14"/>
      <c r="E10" s="14" t="str">
        <f t="shared" si="0"/>
        <v/>
      </c>
      <c r="F10" s="15" t="str">
        <f t="shared" si="1"/>
        <v/>
      </c>
      <c r="G10" s="16"/>
      <c r="H10" s="16" t="str">
        <f t="shared" si="2"/>
        <v/>
      </c>
      <c r="I10" s="17" t="str">
        <f t="shared" si="3"/>
        <v/>
      </c>
      <c r="J10" s="50"/>
      <c r="K10" s="50"/>
    </row>
    <row r="11" spans="1:11" ht="15.6">
      <c r="A11" s="30" t="str">
        <v>Mount Jackson - Randolf</v>
      </c>
      <c r="B11" s="31" t="str">
        <v>VA</v>
      </c>
      <c r="C11" s="12"/>
      <c r="D11" s="19"/>
      <c r="E11" s="19"/>
      <c r="F11" s="20"/>
      <c r="G11" s="21"/>
      <c r="H11" s="21"/>
      <c r="I11" s="20"/>
      <c r="J11" s="48"/>
      <c r="K11" s="48"/>
    </row>
    <row r="12" spans="1:11" ht="15.6">
      <c r="A12" s="32" t="str">
        <v>Callands Gretna - Monroe</v>
      </c>
      <c r="B12" s="29" t="str">
        <v>VA</v>
      </c>
      <c r="C12" s="25"/>
      <c r="D12" s="14"/>
      <c r="E12" s="14"/>
      <c r="F12" s="15"/>
      <c r="G12" s="16"/>
      <c r="H12" s="16"/>
      <c r="I12" s="17"/>
      <c r="J12" s="50"/>
      <c r="K12" s="50"/>
    </row>
    <row r="13" spans="1:11" ht="15.6">
      <c r="A13" s="30" t="str">
        <v>Rockbridge Baths - Small Mouth Bass</v>
      </c>
      <c r="B13" s="31" t="str">
        <v>VA</v>
      </c>
      <c r="C13" s="12"/>
      <c r="D13" s="19"/>
      <c r="E13" s="19"/>
      <c r="F13" s="20"/>
      <c r="G13" s="21"/>
      <c r="H13" s="21"/>
      <c r="I13" s="20"/>
      <c r="J13" s="42"/>
      <c r="K13" s="42"/>
    </row>
    <row r="14" spans="1:11" ht="14.45">
      <c r="A14" s="22"/>
      <c r="B14" s="33"/>
      <c r="C14" s="22"/>
      <c r="D14" s="22"/>
      <c r="E14" s="22"/>
      <c r="F14" s="22"/>
      <c r="G14" s="22"/>
      <c r="H14" s="22"/>
      <c r="I14" s="22"/>
      <c r="J14" s="22"/>
      <c r="K14" s="22"/>
    </row>
    <row r="15" spans="1:11" ht="14.45">
      <c r="A15" s="22"/>
      <c r="B15" s="33"/>
      <c r="C15" s="22"/>
      <c r="D15" s="22"/>
      <c r="E15" s="22"/>
      <c r="F15" s="22"/>
      <c r="G15" s="22"/>
      <c r="H15" s="22"/>
      <c r="I15" s="22"/>
      <c r="J15" s="22"/>
      <c r="K15" s="22"/>
    </row>
    <row r="16" spans="1:1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0" t="str" cm="1">
        <f t="array" ref="A1">portfolio</f>
        <v>Ecofin</v>
      </c>
      <c r="B1" s="70"/>
      <c r="C1" s="70"/>
      <c r="D1" s="71" t="s">
        <v>79</v>
      </c>
      <c r="E1" s="71"/>
      <c r="F1" s="71"/>
      <c r="G1" s="69" t="s">
        <v>80</v>
      </c>
      <c r="H1" s="69"/>
      <c r="I1" s="69"/>
      <c r="J1" s="5"/>
      <c r="K1" s="5"/>
    </row>
    <row r="2" spans="1:14" ht="19.5" customHeight="1">
      <c r="A2" s="72" t="s">
        <v>2</v>
      </c>
      <c r="B2" s="72"/>
      <c r="C2" s="6">
        <f>SUM(C4:C100)</f>
        <v>0</v>
      </c>
      <c r="D2" s="6">
        <f>SUM(D4:D100)</f>
        <v>0</v>
      </c>
      <c r="E2" s="6">
        <f>C2-D2</f>
        <v>0</v>
      </c>
      <c r="F2" s="7">
        <f>IFERROR(E2/D2, 0)</f>
        <v>0</v>
      </c>
      <c r="G2" s="6">
        <f>SUM(G4:G100)</f>
        <v>0</v>
      </c>
      <c r="H2" s="8">
        <f>C2-G2</f>
        <v>0</v>
      </c>
      <c r="I2" s="7">
        <f>IFERROR(H2/G2, 0)</f>
        <v>0</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51" t="str" cm="1">
        <f t="array" ref="A4:A13">Sites[Site]</f>
        <v>Alamosa School District</v>
      </c>
      <c r="B4" s="29" t="str" cm="1">
        <f t="array" ref="B4:B13">Sites[State]</f>
        <v>CO</v>
      </c>
      <c r="C4" s="25"/>
      <c r="D4" s="14"/>
      <c r="E4" s="14"/>
      <c r="F4" s="15"/>
      <c r="G4" s="16"/>
      <c r="H4" s="16"/>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v>180611.69070000001</v>
      </c>
      <c r="I5" s="20" t="str">
        <f t="shared" ref="I5:I17" si="1">IFERROR(H5/G5, "")</f>
        <v/>
      </c>
      <c r="J5" s="48"/>
      <c r="K5" s="48"/>
    </row>
    <row r="6" spans="1:14" ht="15.6">
      <c r="A6" s="51" t="str">
        <v>Golden NREL 2</v>
      </c>
      <c r="B6" s="29" t="str">
        <v>CO</v>
      </c>
      <c r="C6" s="25"/>
      <c r="D6" s="14"/>
      <c r="E6" s="14" t="str">
        <f t="shared" si="0"/>
        <v/>
      </c>
      <c r="F6" s="15" t="str">
        <f t="shared" ref="F6:F17" si="2">IFERROR(E6/D6, "")</f>
        <v/>
      </c>
      <c r="G6" s="16"/>
      <c r="H6" s="16" t="str">
        <f t="shared" ref="H6:H17" si="3">IF(AND(ISNUMBER(C6),ISNUMBER(G6)), C6-G6, "")</f>
        <v/>
      </c>
      <c r="I6" s="17" t="str">
        <f t="shared" si="1"/>
        <v/>
      </c>
      <c r="J6" s="50"/>
      <c r="K6" s="50"/>
    </row>
    <row r="7" spans="1:14" ht="15.6">
      <c r="A7" s="30" t="str">
        <v>Golden NREL Wind 3</v>
      </c>
      <c r="B7" s="31" t="str">
        <v>CO</v>
      </c>
      <c r="C7" s="12"/>
      <c r="D7" s="19"/>
      <c r="E7" s="19" t="str">
        <f t="shared" si="0"/>
        <v/>
      </c>
      <c r="F7" s="20" t="str">
        <f t="shared" si="2"/>
        <v/>
      </c>
      <c r="G7" s="21"/>
      <c r="H7" s="21" t="str">
        <f t="shared" si="3"/>
        <v/>
      </c>
      <c r="I7" s="20" t="str">
        <f t="shared" si="1"/>
        <v/>
      </c>
      <c r="J7" s="48"/>
      <c r="K7" s="48"/>
    </row>
    <row r="8" spans="1:14" ht="110.25" customHeight="1">
      <c r="A8" s="51" t="str">
        <v>Pratt Solar Farm</v>
      </c>
      <c r="B8" s="29" t="str">
        <v>KS</v>
      </c>
      <c r="C8" s="25"/>
      <c r="D8" s="14"/>
      <c r="E8" s="14" t="str">
        <f t="shared" si="0"/>
        <v/>
      </c>
      <c r="F8" s="15" t="str">
        <f t="shared" si="2"/>
        <v/>
      </c>
      <c r="G8" s="16"/>
      <c r="H8" s="16" t="str">
        <f t="shared" si="3"/>
        <v/>
      </c>
      <c r="I8" s="17" t="str">
        <f t="shared" si="1"/>
        <v/>
      </c>
      <c r="J8" s="50"/>
      <c r="K8" s="50"/>
    </row>
    <row r="9" spans="1:14" ht="191.25" customHeight="1">
      <c r="A9" s="30" t="str">
        <v>Rochester - 5516 Valleyhigh NW</v>
      </c>
      <c r="B9" s="31" t="str">
        <v>MN</v>
      </c>
      <c r="C9" s="12"/>
      <c r="D9" s="19"/>
      <c r="E9" s="19" t="str">
        <f t="shared" si="0"/>
        <v/>
      </c>
      <c r="F9" s="20" t="str">
        <f t="shared" si="2"/>
        <v/>
      </c>
      <c r="G9" s="21"/>
      <c r="H9" s="21" t="str">
        <f t="shared" si="3"/>
        <v/>
      </c>
      <c r="I9" s="20" t="str">
        <f t="shared" si="1"/>
        <v/>
      </c>
      <c r="J9" s="48"/>
      <c r="K9" s="48"/>
      <c r="L9" s="22"/>
      <c r="M9" s="22"/>
      <c r="N9" s="22"/>
    </row>
    <row r="10" spans="1:14" ht="67.5" customHeight="1">
      <c r="A10" s="51" t="str">
        <v>Warsaw - 2201 Richmond</v>
      </c>
      <c r="B10" s="29" t="str">
        <v>VA</v>
      </c>
      <c r="C10" s="25"/>
      <c r="D10" s="14"/>
      <c r="E10" s="14" t="str">
        <f t="shared" si="0"/>
        <v/>
      </c>
      <c r="F10" s="15" t="str">
        <f t="shared" si="2"/>
        <v/>
      </c>
      <c r="G10" s="16"/>
      <c r="H10" s="16" t="str">
        <f t="shared" si="3"/>
        <v/>
      </c>
      <c r="I10" s="17" t="str">
        <f t="shared" si="1"/>
        <v/>
      </c>
      <c r="J10" s="50"/>
      <c r="K10" s="50"/>
      <c r="L10" s="22"/>
      <c r="M10" s="22"/>
      <c r="N10" s="22"/>
    </row>
    <row r="11" spans="1:14" ht="165.75" customHeight="1">
      <c r="A11" s="30" t="str">
        <v>Mount Jackson - Randolf</v>
      </c>
      <c r="B11" s="31" t="str">
        <v>VA</v>
      </c>
      <c r="C11" s="12"/>
      <c r="D11" s="19"/>
      <c r="E11" s="19" t="str">
        <f t="shared" si="0"/>
        <v/>
      </c>
      <c r="F11" s="20" t="str">
        <f t="shared" si="2"/>
        <v/>
      </c>
      <c r="G11" s="21"/>
      <c r="H11" s="21" t="str">
        <f t="shared" si="3"/>
        <v/>
      </c>
      <c r="I11" s="20" t="str">
        <f t="shared" si="1"/>
        <v/>
      </c>
      <c r="J11" s="48"/>
      <c r="K11" s="48"/>
      <c r="L11" s="22"/>
      <c r="M11" s="22"/>
      <c r="N11" s="22"/>
    </row>
    <row r="12" spans="1:14" ht="81" customHeight="1">
      <c r="A12" s="51" t="str">
        <v>Callands Gretna - Monroe</v>
      </c>
      <c r="B12" s="29" t="str">
        <v>VA</v>
      </c>
      <c r="C12" s="25"/>
      <c r="D12" s="14"/>
      <c r="E12" s="14" t="str">
        <f t="shared" si="0"/>
        <v/>
      </c>
      <c r="F12" s="15" t="str">
        <f t="shared" si="2"/>
        <v/>
      </c>
      <c r="G12" s="16"/>
      <c r="H12" s="16" t="str">
        <f t="shared" si="3"/>
        <v/>
      </c>
      <c r="I12" s="17" t="str">
        <f t="shared" si="1"/>
        <v/>
      </c>
      <c r="J12" s="50"/>
      <c r="K12" s="50"/>
      <c r="L12" s="22"/>
      <c r="M12" s="22"/>
      <c r="N12" s="22"/>
    </row>
    <row r="13" spans="1:14" ht="51" customHeight="1">
      <c r="A13" s="30" t="str">
        <v>Rockbridge Baths - Small Mouth Bass</v>
      </c>
      <c r="B13" s="31" t="str">
        <v>VA</v>
      </c>
      <c r="C13" s="12"/>
      <c r="D13" s="19"/>
      <c r="E13" s="19" t="str">
        <f t="shared" si="0"/>
        <v/>
      </c>
      <c r="F13" s="20" t="str">
        <f t="shared" si="2"/>
        <v/>
      </c>
      <c r="G13" s="21"/>
      <c r="H13" s="21" t="str">
        <f t="shared" si="3"/>
        <v/>
      </c>
      <c r="I13" s="20" t="str">
        <f t="shared" si="1"/>
        <v/>
      </c>
      <c r="J13" s="48"/>
      <c r="K13" s="48"/>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0" t="str" cm="1">
        <f t="array" ref="A1">portfolio</f>
        <v>Ecofin</v>
      </c>
      <c r="B1" s="70"/>
      <c r="C1" s="70"/>
      <c r="D1" s="71" t="s">
        <v>81</v>
      </c>
      <c r="E1" s="71"/>
      <c r="F1" s="71"/>
      <c r="G1" s="69" t="s">
        <v>82</v>
      </c>
      <c r="H1" s="69"/>
      <c r="I1" s="69"/>
      <c r="J1" s="5"/>
      <c r="K1" s="5"/>
    </row>
    <row r="2" spans="1:15" ht="19.5" customHeight="1">
      <c r="A2" s="72" t="s">
        <v>2</v>
      </c>
      <c r="B2" s="72"/>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c r="A7" s="30" t="str">
        <v>Golden NREL Wind 3</v>
      </c>
      <c r="B7" s="31" t="str">
        <v>CO</v>
      </c>
      <c r="C7" s="12"/>
      <c r="D7" s="19"/>
      <c r="E7" s="19" t="str">
        <f t="shared" si="0"/>
        <v/>
      </c>
      <c r="F7" s="20" t="str">
        <f t="shared" si="3"/>
        <v/>
      </c>
      <c r="G7" s="21"/>
      <c r="H7" s="21" t="str">
        <f t="shared" si="1"/>
        <v/>
      </c>
      <c r="I7" s="20" t="str">
        <f t="shared" si="2"/>
        <v/>
      </c>
      <c r="J7" s="48"/>
      <c r="K7" s="48"/>
    </row>
    <row r="8" spans="1:15" ht="15.6">
      <c r="A8" s="32" t="str">
        <v>Pratt Solar Farm</v>
      </c>
      <c r="B8" s="29" t="str">
        <v>KS</v>
      </c>
      <c r="C8" s="25"/>
      <c r="D8" s="14"/>
      <c r="E8" s="14" t="str">
        <f t="shared" si="0"/>
        <v/>
      </c>
      <c r="F8" s="15" t="str">
        <f t="shared" si="3"/>
        <v/>
      </c>
      <c r="G8" s="16"/>
      <c r="H8" s="16" t="str">
        <f t="shared" si="1"/>
        <v/>
      </c>
      <c r="I8" s="17" t="str">
        <f t="shared" si="2"/>
        <v/>
      </c>
      <c r="J8" s="41"/>
      <c r="K8" s="41"/>
    </row>
    <row r="9" spans="1:15" ht="111.75" customHeight="1">
      <c r="A9" s="30" t="str">
        <v>Rochester - 5516 Valleyhigh NW</v>
      </c>
      <c r="B9" s="31" t="str">
        <v>MN</v>
      </c>
      <c r="C9" s="12"/>
      <c r="D9" s="19"/>
      <c r="E9" s="19" t="str">
        <f t="shared" si="0"/>
        <v/>
      </c>
      <c r="F9" s="20" t="str">
        <f t="shared" si="3"/>
        <v/>
      </c>
      <c r="G9" s="21"/>
      <c r="H9" s="21" t="str">
        <f t="shared" si="1"/>
        <v/>
      </c>
      <c r="I9" s="20" t="str">
        <f t="shared" si="2"/>
        <v/>
      </c>
      <c r="J9" s="48"/>
      <c r="K9" s="48"/>
      <c r="L9" s="22"/>
      <c r="M9" s="22"/>
      <c r="N9" s="22"/>
      <c r="O9" s="22"/>
    </row>
    <row r="10" spans="1:15"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c r="A11" s="30" t="str">
        <v>Mount Jackson - Randolf</v>
      </c>
      <c r="B11" s="31" t="str">
        <v>VA</v>
      </c>
      <c r="C11" s="12"/>
      <c r="D11" s="19"/>
      <c r="E11" s="19" t="str">
        <f t="shared" si="0"/>
        <v/>
      </c>
      <c r="F11" s="20" t="str">
        <f t="shared" si="3"/>
        <v/>
      </c>
      <c r="G11" s="21"/>
      <c r="H11" s="21" t="str">
        <f t="shared" si="1"/>
        <v/>
      </c>
      <c r="I11" s="20" t="str">
        <f t="shared" si="2"/>
        <v/>
      </c>
      <c r="J11" s="42"/>
      <c r="K11" s="48"/>
      <c r="L11" s="22"/>
      <c r="M11" s="22"/>
      <c r="N11" s="22"/>
      <c r="O11" s="22"/>
    </row>
    <row r="12" spans="1:15"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0" t="str" cm="1">
        <f t="array" ref="A1">portfolio</f>
        <v>Ecofin</v>
      </c>
      <c r="B1" s="70"/>
      <c r="C1" s="70"/>
      <c r="D1" s="71" t="s">
        <v>83</v>
      </c>
      <c r="E1" s="71"/>
      <c r="F1" s="71"/>
      <c r="G1" s="69" t="s">
        <v>84</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c r="A7" s="30" t="str">
        <v>Golden NREL Wind 3</v>
      </c>
      <c r="B7" s="31" t="str">
        <v>CO</v>
      </c>
      <c r="C7" s="12"/>
      <c r="D7" s="19"/>
      <c r="E7" s="19" t="str">
        <f t="shared" si="2"/>
        <v/>
      </c>
      <c r="F7" s="20" t="str">
        <f t="shared" si="3"/>
        <v/>
      </c>
      <c r="G7" s="21"/>
      <c r="H7" s="21" t="str">
        <f t="shared" si="1"/>
        <v/>
      </c>
      <c r="I7" s="53" t="str">
        <f t="shared" si="0"/>
        <v/>
      </c>
      <c r="J7" s="48"/>
      <c r="K7" s="48"/>
    </row>
    <row r="8" spans="1:12" ht="15.6">
      <c r="A8" s="32" t="str">
        <v>Pratt Solar Farm</v>
      </c>
      <c r="B8" s="29" t="str">
        <v>KS</v>
      </c>
      <c r="C8" s="46"/>
      <c r="D8" s="14"/>
      <c r="E8" s="14" t="str">
        <f t="shared" si="2"/>
        <v/>
      </c>
      <c r="F8" s="15" t="str">
        <f t="shared" si="3"/>
        <v/>
      </c>
      <c r="G8" s="16"/>
      <c r="H8" s="16" t="str">
        <f t="shared" si="1"/>
        <v/>
      </c>
      <c r="I8" s="17" t="str">
        <f t="shared" si="0"/>
        <v/>
      </c>
      <c r="J8" s="41"/>
      <c r="K8" s="41"/>
    </row>
    <row r="9" spans="1:12" ht="15.6">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0" t="str" cm="1">
        <f t="array" ref="A1">portfolio</f>
        <v>Ecofin</v>
      </c>
      <c r="B1" s="70"/>
      <c r="C1" s="70"/>
      <c r="D1" s="71" t="s">
        <v>85</v>
      </c>
      <c r="E1" s="71"/>
      <c r="F1" s="71"/>
      <c r="G1" s="69" t="s">
        <v>86</v>
      </c>
      <c r="H1" s="69"/>
      <c r="I1" s="69"/>
      <c r="J1" s="5"/>
      <c r="K1" s="5"/>
    </row>
    <row r="2" spans="1:13" ht="19.5" customHeight="1">
      <c r="A2" s="72" t="s">
        <v>2</v>
      </c>
      <c r="B2" s="72"/>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0" t="str" cm="1">
        <f t="array" ref="A1">portfolio</f>
        <v>Ecofin</v>
      </c>
      <c r="B1" s="70"/>
      <c r="C1" s="70"/>
      <c r="D1" s="71" t="s">
        <v>87</v>
      </c>
      <c r="E1" s="71"/>
      <c r="F1" s="71"/>
      <c r="G1" s="69" t="s">
        <v>88</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0" t="str" cm="1">
        <f t="array" ref="A1">portfolio</f>
        <v>Ecofin</v>
      </c>
      <c r="B1" s="70"/>
      <c r="C1" s="70"/>
      <c r="D1" s="71" t="s">
        <v>89</v>
      </c>
      <c r="E1" s="71"/>
      <c r="F1" s="71"/>
      <c r="G1" s="69" t="s">
        <v>90</v>
      </c>
      <c r="H1" s="69"/>
      <c r="I1" s="69"/>
      <c r="J1" s="5"/>
      <c r="K1" s="5"/>
    </row>
    <row r="2" spans="1:12" ht="19.5" customHeight="1">
      <c r="A2" s="72" t="s">
        <v>2</v>
      </c>
      <c r="B2" s="72"/>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0" t="str" cm="1">
        <f t="array" ref="A1">portfolio</f>
        <v>Ecofin</v>
      </c>
      <c r="B1" s="70"/>
      <c r="C1" s="70"/>
      <c r="D1" s="71" t="s">
        <v>91</v>
      </c>
      <c r="E1" s="71"/>
      <c r="F1" s="71"/>
      <c r="G1" s="69" t="s">
        <v>92</v>
      </c>
      <c r="H1" s="69"/>
      <c r="I1" s="69"/>
      <c r="J1" s="5"/>
      <c r="K1" s="5"/>
    </row>
    <row r="2" spans="1:14" ht="19.5" customHeight="1">
      <c r="A2" s="72" t="s">
        <v>2</v>
      </c>
      <c r="B2" s="72"/>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10" sqref="A10"/>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93</v>
      </c>
      <c r="B1" s="43" t="s">
        <v>94</v>
      </c>
    </row>
    <row r="3" spans="1:7" ht="13.15">
      <c r="A3" t="s">
        <v>95</v>
      </c>
      <c r="B3" t="s">
        <v>3</v>
      </c>
      <c r="C3" t="s">
        <v>4</v>
      </c>
      <c r="D3" t="s">
        <v>96</v>
      </c>
      <c r="E3" s="2" t="s">
        <v>97</v>
      </c>
    </row>
    <row r="4" spans="1:7" ht="14.45">
      <c r="A4" s="3" t="s">
        <v>98</v>
      </c>
      <c r="B4" t="s">
        <v>99</v>
      </c>
      <c r="C4" s="4" t="s">
        <v>100</v>
      </c>
      <c r="G4" s="3"/>
    </row>
    <row r="5" spans="1:7" ht="14.45">
      <c r="A5" s="3" t="s">
        <v>101</v>
      </c>
      <c r="B5" t="s">
        <v>102</v>
      </c>
      <c r="C5" s="4" t="s">
        <v>100</v>
      </c>
      <c r="G5" s="3"/>
    </row>
    <row r="6" spans="1:7" ht="14.45">
      <c r="A6" s="43" t="s">
        <v>103</v>
      </c>
      <c r="B6" t="s">
        <v>104</v>
      </c>
      <c r="C6" t="s">
        <v>100</v>
      </c>
      <c r="G6" s="3"/>
    </row>
    <row r="7" spans="1:7" ht="12.75" customHeight="1">
      <c r="A7" s="43" t="s">
        <v>105</v>
      </c>
      <c r="B7" t="s">
        <v>106</v>
      </c>
      <c r="C7" t="s">
        <v>100</v>
      </c>
    </row>
    <row r="8" spans="1:7" ht="12.75" customHeight="1">
      <c r="A8" s="4" t="s">
        <v>107</v>
      </c>
      <c r="B8" s="4" t="s">
        <v>108</v>
      </c>
      <c r="C8" s="4" t="s">
        <v>109</v>
      </c>
    </row>
    <row r="9" spans="1:7" ht="12.75" customHeight="1">
      <c r="A9" s="43" t="s">
        <v>110</v>
      </c>
      <c r="B9" t="s">
        <v>111</v>
      </c>
      <c r="C9" t="s">
        <v>112</v>
      </c>
    </row>
    <row r="10" spans="1:7" ht="12.75" customHeight="1">
      <c r="A10" s="4" t="s">
        <v>113</v>
      </c>
      <c r="B10" s="4" t="s">
        <v>114</v>
      </c>
      <c r="C10" s="4" t="s">
        <v>115</v>
      </c>
      <c r="D10" t="s">
        <v>116</v>
      </c>
    </row>
    <row r="11" spans="1:7" ht="12.75" customHeight="1">
      <c r="A11" s="4" t="s">
        <v>117</v>
      </c>
      <c r="B11" s="4" t="s">
        <v>118</v>
      </c>
      <c r="C11" s="4" t="s">
        <v>115</v>
      </c>
      <c r="D11" t="s">
        <v>116</v>
      </c>
    </row>
    <row r="12" spans="1:7" ht="12.75" customHeight="1">
      <c r="A12" s="4" t="s">
        <v>119</v>
      </c>
      <c r="B12" s="4" t="s">
        <v>120</v>
      </c>
      <c r="C12" s="4" t="s">
        <v>115</v>
      </c>
    </row>
    <row r="13" spans="1:7" ht="12.75" customHeight="1">
      <c r="A13" s="4" t="s">
        <v>121</v>
      </c>
      <c r="B13" s="4" t="s">
        <v>122</v>
      </c>
      <c r="C13" s="4" t="s">
        <v>115</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EAA9D8-2182-46BA-A58E-96C72DDA1C54}"/>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F6B2B1A1-1C4B-4AC9-9A7D-7A102DD1C942}"/>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2BC74AAC-D69B-4AF1-9649-B21EF3C1C463}"/>
</file>

<file path=customXml/itemProps9.xml><?xml version="1.0" encoding="utf-8"?>
<ds:datastoreItem xmlns:ds="http://schemas.openxmlformats.org/officeDocument/2006/customXml" ds:itemID="{7946C510-7D04-49D8-9B25-EEC04582A1CA}"/>
</file>

<file path=customXml/itemProps10.xml><?xml version="1.0" encoding="utf-8"?>
<ds:datastoreItem xmlns:ds="http://schemas.openxmlformats.org/officeDocument/2006/customXml" ds:itemID="{98A113BB-8B7A-453C-8BD4-8EFC67FC2D3F}"/>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3C7FEA4A-27FE-4D9C-9868-7A1F728E9BC0}"/>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Harper, Amanda</cp:lastModifiedBy>
  <cp:revision/>
  <dcterms:created xsi:type="dcterms:W3CDTF">2021-01-01T16:39:53Z</dcterms:created>
  <dcterms:modified xsi:type="dcterms:W3CDTF">2025-06-23T21:36:32Z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