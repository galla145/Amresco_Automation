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293FEEBF-3684-45A0-B259-9039E9DFD1E1}" xr6:coauthVersionLast="47" xr6:coauthVersionMax="47" xr10:uidLastSave="{00000000-0000-0000-0000-000000000000}"/>
  <bookViews>
    <workbookView xWindow="28680" yWindow="-120" windowWidth="29040" windowHeight="15720" tabRatio="866" firstSheet="6"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 r="I10" i="1"/>
  <c r="H9" i="1"/>
  <c r="H10" i="1"/>
  <c r="G9" i="1"/>
  <c r="G9" i="34" s="1"/>
  <c r="G10" i="1"/>
  <c r="G10" i="34" s="1"/>
  <c r="F9" i="1"/>
  <c r="F10" i="1"/>
  <c r="E9" i="1"/>
  <c r="E10" i="1"/>
  <c r="D9" i="1"/>
  <c r="D10" i="1"/>
  <c r="D10" i="34" s="1"/>
  <c r="E10" i="34" s="1"/>
  <c r="F10" i="34" s="1"/>
  <c r="C9" i="1"/>
  <c r="C9" i="34" s="1"/>
  <c r="C10" i="1"/>
  <c r="H9" i="34"/>
  <c r="H10" i="34"/>
  <c r="D9" i="34"/>
  <c r="C10" i="34"/>
  <c r="H9" i="3"/>
  <c r="I9" i="3" s="1"/>
  <c r="H10" i="3"/>
  <c r="I10" i="3" s="1"/>
  <c r="E9" i="3"/>
  <c r="F9" i="3" s="1"/>
  <c r="E10" i="3"/>
  <c r="F10" i="3" s="1"/>
  <c r="E5" i="1"/>
  <c r="E7" i="3"/>
  <c r="E4" i="3"/>
  <c r="H5" i="3"/>
  <c r="E5" i="3"/>
  <c r="H5" i="33"/>
  <c r="I5" i="33" s="1"/>
  <c r="H6" i="33"/>
  <c r="I6" i="33" s="1"/>
  <c r="H7" i="33"/>
  <c r="I7" i="33" s="1"/>
  <c r="H8" i="33"/>
  <c r="I8" i="33" s="1"/>
  <c r="E5" i="33"/>
  <c r="F5" i="33" s="1"/>
  <c r="E6" i="33"/>
  <c r="F6" i="33" s="1"/>
  <c r="E7" i="33"/>
  <c r="F7" i="33" s="1"/>
  <c r="E8" i="33"/>
  <c r="F8" i="33" s="1"/>
  <c r="I9" i="34" l="1"/>
  <c r="I10" i="34"/>
  <c r="E9" i="34"/>
  <c r="F9" i="34" s="1"/>
  <c r="G6" i="30"/>
  <c r="G7" i="30"/>
  <c r="G8" i="30"/>
  <c r="G5" i="30"/>
  <c r="G4" i="30"/>
  <c r="E5" i="28"/>
  <c r="F5" i="28" s="1"/>
  <c r="E5" i="27"/>
  <c r="G5" i="29"/>
  <c r="G6" i="29"/>
  <c r="G7" i="29"/>
  <c r="G8" i="29"/>
  <c r="G4" i="29"/>
  <c r="E5" i="20"/>
  <c r="G5" i="18"/>
  <c r="G6" i="18"/>
  <c r="G7" i="18"/>
  <c r="G8" i="18"/>
  <c r="G4" i="18"/>
  <c r="E4" i="4"/>
  <c r="F4" i="4"/>
  <c r="H4" i="4"/>
  <c r="I4" i="4"/>
  <c r="E5" i="4"/>
  <c r="F5" i="4" s="1"/>
  <c r="H5" i="4"/>
  <c r="I5" i="4"/>
  <c r="E6" i="4"/>
  <c r="F6" i="4"/>
  <c r="H6" i="4"/>
  <c r="I6" i="4"/>
  <c r="E7" i="4"/>
  <c r="F7" i="4"/>
  <c r="H7" i="4"/>
  <c r="I7" i="4"/>
  <c r="E8" i="4"/>
  <c r="F8" i="4" s="1"/>
  <c r="H8" i="4"/>
  <c r="I8" i="4"/>
  <c r="E8" i="72" l="1"/>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H4" i="3"/>
  <c r="I4" i="3" s="1"/>
  <c r="F5" i="3"/>
  <c r="I5" i="3"/>
  <c r="E6" i="3"/>
  <c r="F6" i="3" s="1"/>
  <c r="H6" i="3"/>
  <c r="I6" i="3" s="1"/>
  <c r="F7" i="3"/>
  <c r="H7" i="3"/>
  <c r="I7" i="3" s="1"/>
  <c r="E8" i="3"/>
  <c r="F8" i="3" s="1"/>
  <c r="H8" i="3"/>
  <c r="I8" i="3" s="1"/>
  <c r="G6" i="1"/>
  <c r="G6" i="34" s="1"/>
  <c r="G7" i="1"/>
  <c r="G7" i="34" s="1"/>
  <c r="G8" i="1"/>
  <c r="G8" i="34" s="1"/>
  <c r="G5" i="1"/>
  <c r="G5" i="34" s="1"/>
  <c r="G4" i="1"/>
  <c r="G4" i="34" s="1"/>
  <c r="B4" i="34" a="1"/>
  <c r="B4" i="34" s="1"/>
  <c r="A4" i="34" a="1"/>
  <c r="A4" i="34" s="1"/>
  <c r="A1" i="34" a="1"/>
  <c r="A1" i="34" s="1"/>
  <c r="D8" i="30"/>
  <c r="C8" i="30"/>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8" i="1"/>
  <c r="D5" i="1"/>
  <c r="D4" i="1"/>
  <c r="B4" i="1" a="1"/>
  <c r="B4" i="1" s="1"/>
  <c r="A4" i="1" a="1"/>
  <c r="A4" i="1" s="1"/>
  <c r="A1" i="1" a="1"/>
  <c r="A1" i="1" s="1"/>
  <c r="H4" i="33"/>
  <c r="I4" i="33" s="1"/>
  <c r="E4" i="33"/>
  <c r="F4" i="33" s="1"/>
  <c r="G2" i="33"/>
  <c r="D2" i="33"/>
  <c r="C2" i="33"/>
  <c r="A1" i="33" a="1"/>
  <c r="A1" i="33"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8" i="26"/>
  <c r="I8" i="26" s="1"/>
  <c r="E8" i="26"/>
  <c r="F8" i="26" s="1"/>
  <c r="H7" i="26"/>
  <c r="E7" i="26"/>
  <c r="F7" i="26" s="1"/>
  <c r="H6" i="26"/>
  <c r="E6" i="26"/>
  <c r="F6" i="26" s="1"/>
  <c r="H5" i="26"/>
  <c r="I5" i="26" s="1"/>
  <c r="E5" i="26"/>
  <c r="F5" i="26" s="1"/>
  <c r="H4" i="26"/>
  <c r="I4" i="26" s="1"/>
  <c r="E4" i="26"/>
  <c r="F4" i="26" s="1"/>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5" i="72"/>
  <c r="I5" i="72" s="1"/>
  <c r="H4" i="72"/>
  <c r="I4" i="72" s="1"/>
  <c r="G2" i="72"/>
  <c r="D2" i="72"/>
  <c r="C2" i="72"/>
  <c r="J2" i="72" s="1"/>
  <c r="A1" i="72" a="1"/>
  <c r="A1" i="72" s="1"/>
  <c r="E7" i="1" l="1"/>
  <c r="C5" i="34"/>
  <c r="D5" i="34"/>
  <c r="C6" i="34"/>
  <c r="D6" i="34"/>
  <c r="C7" i="34"/>
  <c r="D7" i="34"/>
  <c r="D8" i="34"/>
  <c r="C8" i="34"/>
  <c r="H6" i="29"/>
  <c r="I6" i="29" s="1"/>
  <c r="E7" i="18"/>
  <c r="F7" i="18" s="1"/>
  <c r="D4" i="34"/>
  <c r="D2" i="18"/>
  <c r="E8" i="30"/>
  <c r="F8" i="30" s="1"/>
  <c r="H6" i="30"/>
  <c r="H7" i="29"/>
  <c r="I7" i="29" s="1"/>
  <c r="E4" i="18"/>
  <c r="F4" i="18" s="1"/>
  <c r="E8" i="18"/>
  <c r="F8" i="18" s="1"/>
  <c r="E8" i="29"/>
  <c r="F8" i="29" s="1"/>
  <c r="E4" i="30"/>
  <c r="F4" i="30" s="1"/>
  <c r="D2" i="29"/>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F7" i="1"/>
  <c r="G2" i="1"/>
  <c r="E8" i="1"/>
  <c r="F8" i="1" s="1"/>
  <c r="F5" i="1"/>
  <c r="E6" i="1"/>
  <c r="F6" i="1" s="1"/>
  <c r="H4" i="30"/>
  <c r="I4" i="30" s="1"/>
  <c r="E7" i="30"/>
  <c r="F7" i="30" s="1"/>
  <c r="H7" i="30"/>
  <c r="H5" i="30"/>
  <c r="H8" i="30"/>
  <c r="E7" i="29"/>
  <c r="F7" i="29" s="1"/>
  <c r="H8" i="29"/>
  <c r="I8" i="29" s="1"/>
  <c r="I6" i="26"/>
  <c r="H4" i="29"/>
  <c r="I4" i="29" s="1"/>
  <c r="H5" i="29"/>
  <c r="I5" i="29" s="1"/>
  <c r="I7" i="26"/>
  <c r="H6" i="18"/>
  <c r="I6" i="18" s="1"/>
  <c r="H4" i="18"/>
  <c r="I4" i="18" s="1"/>
  <c r="H7" i="18"/>
  <c r="I7" i="18" s="1"/>
  <c r="C4" i="34"/>
  <c r="H5" i="18"/>
  <c r="I5" i="18" s="1"/>
  <c r="H8" i="18"/>
  <c r="I8" i="18" s="1"/>
  <c r="C2" i="29"/>
  <c r="C2" i="30"/>
  <c r="E4" i="29"/>
  <c r="F4" i="29" s="1"/>
  <c r="C2" i="18"/>
  <c r="H7" i="1"/>
  <c r="I7" i="1" s="1"/>
  <c r="H4" i="1"/>
  <c r="H5" i="1"/>
  <c r="I5" i="1" s="1"/>
  <c r="H6" i="1"/>
  <c r="I6" i="1" s="1"/>
  <c r="C2" i="1"/>
  <c r="E2" i="3"/>
  <c r="F2" i="3" s="1"/>
  <c r="E4" i="1"/>
  <c r="F4" i="1" s="1"/>
  <c r="H8" i="1"/>
  <c r="I8" i="1" s="1"/>
  <c r="D2" i="1"/>
  <c r="E2" i="33"/>
  <c r="F2" i="33" s="1"/>
  <c r="E2" i="32"/>
  <c r="F2" i="32" s="1"/>
  <c r="E2" i="31"/>
  <c r="F2" i="31" s="1"/>
  <c r="E2" i="27"/>
  <c r="F2" i="27" s="1"/>
  <c r="E2" i="26"/>
  <c r="F2" i="26" s="1"/>
  <c r="E2" i="19"/>
  <c r="F2" i="19" s="1"/>
  <c r="E2" i="21"/>
  <c r="F2" i="21" s="1"/>
  <c r="E2" i="4"/>
  <c r="F2" i="4" s="1"/>
  <c r="H2" i="72"/>
  <c r="E5" i="34" l="1"/>
  <c r="F5" i="34" s="1"/>
  <c r="E7" i="34"/>
  <c r="F7" i="34" s="1"/>
  <c r="E6" i="34"/>
  <c r="F6" i="34" s="1"/>
  <c r="D2" i="34"/>
  <c r="E8" i="34"/>
  <c r="F8" i="34" s="1"/>
  <c r="I5" i="30"/>
  <c r="H5" i="34"/>
  <c r="I5" i="34" s="1"/>
  <c r="I8" i="30"/>
  <c r="H8" i="34"/>
  <c r="I8" i="34" s="1"/>
  <c r="I7" i="30"/>
  <c r="H7" i="34"/>
  <c r="I7"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tc={7BB2A71C-CBAD-4408-9EE1-62BBFD951367}</author>
  </authors>
  <commentList>
    <comment ref="C4" authorId="0" shapeId="0" xr:uid="{7BB2A71C-CBAD-4408-9EE1-62BBFD951367}">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tc={5CF80EFB-3480-4514-AD5C-993C4EDB9A6C}</author>
  </authors>
  <commentList>
    <comment ref="C4" authorId="0" shapeId="0" xr:uid="{5CF80EFB-3480-4514-AD5C-993C4EDB9A6C}">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<sst xmlns="http://schemas.openxmlformats.org/spreadsheetml/2006/main" count="288" uniqueCount="84">
  <si>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</si>
  <si>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</si>
  <si>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</si>
  <si>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</si>
  <si>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</si>
  <si>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</si>
  <si>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</si>
  <si>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</si>
  <si>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</si>
  <si>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</si>
  <si>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</si>
  <si>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</si>
  <si>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</si>
  <si>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</si>
  <si>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</si>
  <si>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</si>
  <si>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</si>
  <si>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</si>
  <si>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</si>
  <si>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</si>
  <si>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</si>
  <si>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</si>
  <si>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CSS resolved the DAS issues on 01/03, and M0 started reporting the production on 01/03. However, M1 is reporting negative values. As per the drawings, the site capacity is 365 kW, but meter M0 is reporting 295 kW, and M1 is reporting -295 kW. We have consider M0 production as total site production. Reached out to AE #557940</t>
  </si>
  <si>
    <t>1.SR094989, SR096863</t>
  </si>
  <si>
    <t>SR096863</t>
  </si>
  <si>
    <t>1. Site is dealing with utility-related issue throughout the month, and the EPC team is currently addressing the issue.</t>
  </si>
  <si>
    <t>1. SR093414</t>
  </si>
  <si>
    <t>1.Utility company has shut down site since 06/11/24.</t>
  </si>
  <si>
    <t>1.SR086098</t>
  </si>
  <si>
    <t>1.Site tripped offline at 2:30AM on 01/21 due to Phase A voltage missing Fault and back online at 10AM on 01/30.</t>
  </si>
  <si>
    <t>1.SR095756</t>
  </si>
  <si>
    <t>February Actual v. Expected</t>
  </si>
  <si>
    <t>February Actual v. Forecasted</t>
  </si>
  <si>
    <t>1.M1 meter is reporting negative values from 01/03 and through out the Month. AE says likely an onsite issue and to swap CT lead polarity. 
2.Site stopped communicating from 02/26 due to some DAS equipment was RMA'd. CSS is about to do capacity test at site after DAS issues resolved.
3. Expected and forecasted data are unavailable. Informed Mike about the issue, and he is currently looking into it.</t>
  </si>
  <si>
    <t>1.SR096863
2.SR094989, SR097768</t>
  </si>
  <si>
    <t>SR094989</t>
  </si>
  <si>
    <t>SR097768</t>
  </si>
  <si>
    <t>1.SR093413</t>
  </si>
  <si>
    <t>1.SR093414</t>
  </si>
  <si>
    <t>1.Utility company has shut down site since 06/11/24 due to the solar causing an issue with the grid.</t>
  </si>
  <si>
    <t>1. Site was tripped offline at 12:15AM on 02/22 due to Phase A voltage missing fault and back online at 11:45AM on 02/28.</t>
  </si>
  <si>
    <t>1.SR097638</t>
  </si>
  <si>
    <t>1. Expected and forecasted data are unavailable. Informed Mike about the issue, and he is currently looking into it.</t>
  </si>
  <si>
    <t>1. Forecasted data was very low and expected data are unavailable. Informed Mike about the issue, and he is currently looking into it.</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</si>
  <si>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</si>
  <si>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</si>
  <si>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</si>
  <si>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</si>
  <si>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</si>
  <si>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</si>
  <si>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</si>
  <si>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</si>
  <si>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</si>
  <si>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</si>
  <si>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</si>
  <si>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</si>
  <si>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</si>
  <si>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</si>
  <si>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</si>
  <si>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</si>
  <si>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</si>
  <si>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</si>
  <si>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</si>
  <si>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</si>
  <si>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</si>
  <si>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Luminance</t>
  </si>
  <si>
    <t>Site DAS Name</t>
  </si>
  <si>
    <t>Update</t>
  </si>
  <si>
    <t>DAS</t>
  </si>
  <si>
    <t>DC-23-0001 - Raymond Elementary Redev</t>
  </si>
  <si>
    <t xml:space="preserve">Raymond Ed Re-Development - DC-23-0001 </t>
  </si>
  <si>
    <t>DC</t>
  </si>
  <si>
    <t>PowerTrack</t>
  </si>
  <si>
    <t>NJ-22-C893 - CS Energy - Berkeley I</t>
  </si>
  <si>
    <t>Berkeley - NJ-22-C893 Berkeley I</t>
  </si>
  <si>
    <t>NJ</t>
  </si>
  <si>
    <t>NJ-22-C894 - CS Energy - Berkeley II</t>
  </si>
  <si>
    <t>Berkeley - NJ-22-C894 Berkeley II</t>
  </si>
  <si>
    <t>Southampton - BEMS East NJ-22-C897</t>
  </si>
  <si>
    <t xml:space="preserve"> BEMS Landfill East</t>
  </si>
  <si>
    <t>NJ-22-C898 - BEMS Landfill West</t>
  </si>
  <si>
    <t>Southampton - BEMS West NJ-22-C898</t>
  </si>
  <si>
    <t>Lakewood Twp - Emergency Services Dev  - NJ-23-0008</t>
  </si>
  <si>
    <t>Lakewood Township - Public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</si>
</sst>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sz val="11"/>
      <color rgb="FF000000"/>
      <name val="Calibri"/>
      <charset val="1"/>
    </font>
    <font>
      <u/>
      <sz val="10"/>
      <color theme="10"/>
      <name val="Arial"/>
    </font>
    <font>
      <sz val="11"/>
      <color rgb="FF242424"/>
      <name val="Aptos Narrow"/>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8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8" fillId="0" borderId="0" xfId="0" applyNumberFormat="1" applyFont="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8" fillId="0" borderId="0" xfId="0" applyFont="1"/>
    <xf numFmtId="49" fontId="39" fillId="38" borderId="1" xfId="45" applyNumberFormat="1" applyFill="1" applyBorder="1" applyAlignment="1">
      <alignment vertical="top" wrapText="1"/>
    </xf>
    <xf numFmtId="49" fontId="39" fillId="0" borderId="1" xfId="45" applyNumberFormat="1" applyBorder="1" applyAlignment="1">
      <alignment vertical="center" wrapText="1"/>
    </xf>
    <xf numFmtId="0" fontId="39" fillId="0" borderId="0" xfId="45" applyAlignment="1">
      <alignment horizontal="left" vertical="top"/>
    </xf>
    <xf numFmtId="0" fontId="23" fillId="0" borderId="0" xfId="43" applyFont="1" applyAlignment="1">
      <alignment horizontal="left" wrapText="1"/>
    </xf>
    <xf numFmtId="0" fontId="23" fillId="0" borderId="0" xfId="43" applyFont="1"/>
    <xf numFmtId="0" fontId="40" fillId="0" borderId="0" xfId="0" applyFont="1"/>
    <xf numFmtId="0" fontId="28" fillId="0" borderId="1" xfId="0" applyFont="1" applyBorder="1" applyAlignment="1">
      <alignment horizontal="left" vertical="center" wrapText="1"/>
    </xf>
    <xf numFmtId="0" fontId="39" fillId="0" borderId="0" xfId="45"/>
    <xf numFmtId="49" fontId="39" fillId="0" borderId="1" xfId="45" applyNumberFormat="1" applyBorder="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1FAD546F-6650-49CB-A3F7-5B2091D330FB}"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02-14T04:58:58.71" personId="{1FAD546F-6650-49CB-A3F7-5B2091D330FB}" id="{7BB2A71C-CBAD-4408-9EE1-62BBFD951367}">
    <text>Since meter M1 is reporting negative values from 01/03  we have consider M0 production as total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5-03-11T03:11:31.17" personId="{1FAD546F-6650-49CB-A3F7-5B2091D330FB}" id="{5CF80EFB-3480-4514-AD5C-993C4EDB9A6C}">
    <text>Since meter M1 is reporting negative values from 01/03  we have consider M0 production as total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us3.assetplanner.com/service_request?ID=093414" TargetMode="External"/><Relationship Id="rId7" Type="http://schemas.openxmlformats.org/officeDocument/2006/relationships/printerSettings" Target="../printerSettings/printerSettings3.bin"/><Relationship Id="rId2" Type="http://schemas.openxmlformats.org/officeDocument/2006/relationships/hyperlink" Target="https://us3.assetplanner.com/service_request?ID=096863"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5756" TargetMode="External"/><Relationship Id="rId5" Type="http://schemas.openxmlformats.org/officeDocument/2006/relationships/hyperlink" Target="https://us3.assetplanner.com/service_request?ID=086098" TargetMode="External"/><Relationship Id="rId10" Type="http://schemas.microsoft.com/office/2017/10/relationships/threadedComment" Target="../threadedComments/threadedComment1.xml"/><Relationship Id="rId4" Type="http://schemas.openxmlformats.org/officeDocument/2006/relationships/hyperlink" Target="https://us3.assetplanner.com/service_request?ID=093414" TargetMode="External"/><Relationship Id="rId9" Type="http://schemas.openxmlformats.org/officeDocument/2006/relationships/comments" Target="../comments1.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us3.assetplanner.com/service_request?ID=097768" TargetMode="External"/><Relationship Id="rId7" Type="http://schemas.openxmlformats.org/officeDocument/2006/relationships/hyperlink" Target="https://us3.assetplanner.com/service_request?ID=097638" TargetMode="External"/><Relationship Id="rId2" Type="http://schemas.openxmlformats.org/officeDocument/2006/relationships/hyperlink" Target="https://us3.assetplanner.com/service_request?ID=094989" TargetMode="External"/><Relationship Id="rId1" Type="http://schemas.openxmlformats.org/officeDocument/2006/relationships/hyperlink" Target="https://us3.assetplanner.com/service_request?ID=096863" TargetMode="External"/><Relationship Id="rId6" Type="http://schemas.openxmlformats.org/officeDocument/2006/relationships/hyperlink" Target="https://us3.assetplanner.com/service_request?ID=086098" TargetMode="External"/><Relationship Id="rId5" Type="http://schemas.openxmlformats.org/officeDocument/2006/relationships/hyperlink" Target="https://us3.assetplanner.com/service_request?ID=093414" TargetMode="External"/><Relationship Id="rId10" Type="http://schemas.microsoft.com/office/2017/10/relationships/threadedComment" Target="../threadedComments/threadedComment2.xml"/><Relationship Id="rId4" Type="http://schemas.openxmlformats.org/officeDocument/2006/relationships/hyperlink" Target="https://us3.assetplanner.com/service_request?ID=093413" TargetMode="External"/><Relationship Id="rId9"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Luminance</v>
      </c>
      <c r="B1" s="77"/>
      <c r="C1" s="77"/>
      <c r="D1" s="78" t="s">
        <v>0</v>
      </c>
      <c r="E1" s="78"/>
      <c r="F1" s="78"/>
      <c r="G1" s="76" t="s">
        <v>1</v>
      </c>
      <c r="H1" s="76"/>
      <c r="I1" s="76"/>
    </row>
    <row r="2" spans="1:9" ht="19.5" customHeight="1">
      <c r="A2" s="79" t="s">
        <v>2</v>
      </c>
      <c r="B2" s="79"/>
      <c r="C2" s="5">
        <f>SUM(C4:C80)</f>
        <v>823458.02145754592</v>
      </c>
      <c r="D2" s="5">
        <f>SUM(D4:D80)</f>
        <v>1057397.3562</v>
      </c>
      <c r="E2" s="5">
        <f>C2-D2</f>
        <v>-233939.33474245411</v>
      </c>
      <c r="F2" s="6">
        <f>IFERROR(E2/D2, 0)</f>
        <v>-0.22124070328979142</v>
      </c>
      <c r="G2" s="5">
        <f>SUM(G4:G80)</f>
        <v>3468307.4</v>
      </c>
      <c r="H2" s="7">
        <f>C2-G2</f>
        <v>-2644849.378542454</v>
      </c>
      <c r="I2" s="6">
        <f>IFERROR(H2/G2, 0)</f>
        <v>-0.76257640212123468</v>
      </c>
    </row>
    <row r="3" spans="1:9" ht="14.25" customHeight="1">
      <c r="A3" s="13" t="s">
        <v>3</v>
      </c>
      <c r="B3" s="13" t="s">
        <v>4</v>
      </c>
      <c r="C3" s="20" t="s">
        <v>5</v>
      </c>
      <c r="D3" s="21" t="s">
        <v>6</v>
      </c>
      <c r="E3" s="21" t="s">
        <v>7</v>
      </c>
      <c r="F3" s="22" t="s">
        <v>8</v>
      </c>
      <c r="G3" s="23" t="s">
        <v>9</v>
      </c>
      <c r="H3" s="24" t="s">
        <v>7</v>
      </c>
      <c r="I3" s="25" t="s">
        <v>8</v>
      </c>
    </row>
    <row r="4" spans="1:9" ht="15.6">
      <c r="A4" s="27" t="str" cm="1">
        <f t="array" ref="A4:A10">Sites[Site]</f>
        <v xml:space="preserve">Raymond Ed Re-Development - DC-23-0001 </v>
      </c>
      <c r="B4" s="28" t="str" cm="1">
        <f t="array" ref="B4:B10">Sites[State]</f>
        <v>DC</v>
      </c>
      <c r="C4" s="29">
        <f>SUM('1st Qtr'!C4, '2nd Qtr'!C4, '3rd Qtr'!C4, '4th Qtr'!C4)</f>
        <v>42320.949000000001</v>
      </c>
      <c r="D4" s="30">
        <f>SUM('1st Qtr'!D4, '2nd Qtr'!D4, '3rd Qtr'!D4, '4th Qtr'!D4)</f>
        <v>0</v>
      </c>
      <c r="E4" s="30">
        <f>IF(AND(ISNUMBER(C4),ISNUMBER(D4)), C4-D4, "")</f>
        <v>42320.949000000001</v>
      </c>
      <c r="F4" s="31" t="str">
        <f>IFERROR(E4/D4, "")</f>
        <v/>
      </c>
      <c r="G4" s="32">
        <f>SUM('1st Qtr'!G4, '2nd Qtr'!G4, '3rd Qtr'!G4, '4th Qtr'!G4)</f>
        <v>0</v>
      </c>
      <c r="H4" s="32">
        <f>SUM('1st Qtr'!H4, '2nd Qtr'!H4, '3rd Qtr'!H4, '4th Qtr'!H4)</f>
        <v>42320.949000000001</v>
      </c>
      <c r="I4" s="33" t="str">
        <f>IFERROR(H4/G4, "")</f>
        <v/>
      </c>
    </row>
    <row r="5" spans="1:9" ht="15.6">
      <c r="A5" s="34" t="str">
        <v>Berkeley - NJ-22-C893 Berkeley I</v>
      </c>
      <c r="B5" s="35" t="str">
        <v>NJ</v>
      </c>
      <c r="C5" s="36">
        <f>SUM('1st Qtr'!C5, '2nd Qtr'!C5, '3rd Qtr'!C5, '4th Qtr'!C5)</f>
        <v>0</v>
      </c>
      <c r="D5" s="36">
        <f>SUM('1st Qtr'!D5, '2nd Qtr'!D5, '3rd Qtr'!D5, '4th Qtr'!D5)</f>
        <v>32042.456200000001</v>
      </c>
      <c r="E5" s="37">
        <f t="shared" ref="E5:E10" si="0">IF(AND(ISNUMBER(C5),ISNUMBER(D5)), C5-D5, "")</f>
        <v>-32042.456200000001</v>
      </c>
      <c r="F5" s="38">
        <f>IFERROR(E5/D5, "")</f>
        <v>-1</v>
      </c>
      <c r="G5" s="39">
        <f>SUM('1st Qtr'!G5, '2nd Qtr'!G5, '3rd Qtr'!G5, '4th Qtr'!G5)</f>
        <v>874212.4</v>
      </c>
      <c r="H5" s="39">
        <f>SUM('1st Qtr'!H5, '2nd Qtr'!H5, '3rd Qtr'!H5, '4th Qtr'!H5)</f>
        <v>-874212.4</v>
      </c>
      <c r="I5" s="38">
        <f>IFERROR(H5/G5, "")</f>
        <v>-1</v>
      </c>
    </row>
    <row r="6" spans="1:9" ht="15.6">
      <c r="A6" s="27" t="str">
        <v>Berkeley - NJ-22-C894 Berkeley II</v>
      </c>
      <c r="B6" s="28" t="str">
        <v>NJ</v>
      </c>
      <c r="C6" s="29">
        <f>SUM('1st Qtr'!C6, '2nd Qtr'!C6, '3rd Qtr'!C6, '4th Qtr'!C6)</f>
        <v>109808.105457546</v>
      </c>
      <c r="D6" s="30">
        <f>SUM('1st Qtr'!D6, '2nd Qtr'!D6, '3rd Qtr'!D6, '4th Qtr'!D6)</f>
        <v>271422.90000000002</v>
      </c>
      <c r="E6" s="30">
        <f t="shared" si="0"/>
        <v>-161614.79454245401</v>
      </c>
      <c r="F6" s="31">
        <f t="shared" ref="F6:F10" si="1">IFERROR(E6/D6, "")</f>
        <v>-0.59543536872700864</v>
      </c>
      <c r="G6" s="32">
        <f>SUM('1st Qtr'!G6, '2nd Qtr'!G6, '3rd Qtr'!G6, '4th Qtr'!G6)</f>
        <v>863361</v>
      </c>
      <c r="H6" s="32">
        <f>SUM('1st Qtr'!H6, '2nd Qtr'!H6, '3rd Qtr'!H6, '4th Qtr'!H6)</f>
        <v>-753552.89454245404</v>
      </c>
      <c r="I6" s="33">
        <f t="shared" ref="I6:I10" si="2">IFERROR(H6/G6, "")</f>
        <v>-0.87281322012744844</v>
      </c>
    </row>
    <row r="7" spans="1:9" ht="15.6">
      <c r="A7" s="34" t="str">
        <v xml:space="preserve"> BEMS Landfill East</v>
      </c>
      <c r="B7" s="35" t="str">
        <v>NJ</v>
      </c>
      <c r="C7" s="36">
        <f>SUM('1st Qtr'!C7, '2nd Qtr'!C7, '3rd Qtr'!C7, '4th Qtr'!C7)</f>
        <v>0</v>
      </c>
      <c r="D7" s="36">
        <f>SUM('1st Qtr'!D7, '2nd Qtr'!D7, '3rd Qtr'!D7, '4th Qtr'!D7)</f>
        <v>0</v>
      </c>
      <c r="E7" s="37">
        <f t="shared" si="0"/>
        <v>0</v>
      </c>
      <c r="F7" s="38" t="str">
        <f t="shared" si="1"/>
        <v/>
      </c>
      <c r="G7" s="39">
        <f>SUM('1st Qtr'!G7, '2nd Qtr'!G7, '3rd Qtr'!G7, '4th Qtr'!G7)</f>
        <v>933933</v>
      </c>
      <c r="H7" s="39">
        <f>SUM('1st Qtr'!H7, '2nd Qtr'!H7, '3rd Qtr'!H7, '4th Qtr'!H7)</f>
        <v>-933933</v>
      </c>
      <c r="I7" s="38">
        <f t="shared" si="2"/>
        <v>-1</v>
      </c>
    </row>
    <row r="8" spans="1:9" ht="16.5" customHeight="1">
      <c r="A8" s="27" t="str">
        <v>Southampton - BEMS West NJ-22-C898</v>
      </c>
      <c r="B8" s="28" t="str">
        <v>NJ</v>
      </c>
      <c r="C8" s="29">
        <f>SUM('1st Qtr'!C8, '2nd Qtr'!C8, '3rd Qtr'!C8, '4th Qtr'!C8)</f>
        <v>573221</v>
      </c>
      <c r="D8" s="30">
        <f>SUM('1st Qtr'!D8, '2nd Qtr'!D8, '3rd Qtr'!D8, '4th Qtr'!D8)</f>
        <v>753932</v>
      </c>
      <c r="E8" s="30">
        <f t="shared" si="0"/>
        <v>-180711</v>
      </c>
      <c r="F8" s="31">
        <f t="shared" si="1"/>
        <v>-0.23969137800226015</v>
      </c>
      <c r="G8" s="32">
        <f>SUM('1st Qtr'!G8, '2nd Qtr'!G8, '3rd Qtr'!G8, '4th Qtr'!G8)</f>
        <v>765458</v>
      </c>
      <c r="H8" s="32">
        <f>SUM('1st Qtr'!H8, '2nd Qtr'!H8, '3rd Qtr'!H8, '4th Qtr'!H8)</f>
        <v>-192237</v>
      </c>
      <c r="I8" s="33">
        <f t="shared" si="2"/>
        <v>-0.2511398404615276</v>
      </c>
    </row>
    <row r="9" spans="1:9" ht="15.6">
      <c r="A9" s="34" t="str">
        <v>Lakewood Twp - Emergency Services Dev  - NJ-23-0008</v>
      </c>
      <c r="B9" s="35" t="str">
        <v>NJ</v>
      </c>
      <c r="C9" s="36">
        <f>SUM('1st Qtr'!C9, '2nd Qtr'!C9, '3rd Qtr'!C9, '4th Qtr'!C9)</f>
        <v>4807.5</v>
      </c>
      <c r="D9" s="36">
        <f>SUM('1st Qtr'!D9, '2nd Qtr'!D9, '3rd Qtr'!D9, '4th Qtr'!D9)</f>
        <v>0</v>
      </c>
      <c r="E9" s="37">
        <f t="shared" si="0"/>
        <v>4807.5</v>
      </c>
      <c r="F9" s="38" t="str">
        <f t="shared" si="1"/>
        <v/>
      </c>
      <c r="G9" s="39">
        <f>SUM('1st Qtr'!G9, '2nd Qtr'!G9, '3rd Qtr'!G9, '4th Qtr'!G9)</f>
        <v>0</v>
      </c>
      <c r="H9" s="39">
        <f>SUM('1st Qtr'!H9, '2nd Qtr'!H9, '3rd Qtr'!H9, '4th Qtr'!H9)</f>
        <v>4807.5</v>
      </c>
      <c r="I9" s="38" t="str">
        <f t="shared" si="2"/>
        <v/>
      </c>
    </row>
    <row r="10" spans="1:9" ht="16.5" customHeight="1">
      <c r="A10" s="27" t="str">
        <v>Lakewood Township - Public Works</v>
      </c>
      <c r="B10" s="28" t="str">
        <v>NJ</v>
      </c>
      <c r="C10" s="29">
        <f>SUM('1st Qtr'!C10, '2nd Qtr'!C10, '3rd Qtr'!C10, '4th Qtr'!C10)</f>
        <v>93300.467000000004</v>
      </c>
      <c r="D10" s="30">
        <f>SUM('1st Qtr'!D10, '2nd Qtr'!D10, '3rd Qtr'!D10, '4th Qtr'!D10)</f>
        <v>0</v>
      </c>
      <c r="E10" s="30">
        <f t="shared" si="0"/>
        <v>93300.467000000004</v>
      </c>
      <c r="F10" s="31" t="str">
        <f t="shared" si="1"/>
        <v/>
      </c>
      <c r="G10" s="32">
        <f>SUM('1st Qtr'!G10, '2nd Qtr'!G10, '3rd Qtr'!G10, '4th Qtr'!G10)</f>
        <v>31343</v>
      </c>
      <c r="H10" s="32">
        <f>SUM('1st Qtr'!H10, '2nd Qtr'!H10, '3rd Qtr'!H10, '4th Qtr'!H10)</f>
        <v>61957.467000000004</v>
      </c>
      <c r="I10" s="33">
        <f t="shared" si="2"/>
        <v>1.9767561177934467</v>
      </c>
    </row>
    <row r="11" spans="1:9" ht="13.9">
      <c r="A11" s="9"/>
      <c r="B11" s="9"/>
      <c r="C11" s="9"/>
      <c r="D11" s="9"/>
      <c r="E11" s="9"/>
      <c r="F11" s="9"/>
      <c r="G11" s="9"/>
      <c r="H11" s="9"/>
      <c r="I11" s="9"/>
    </row>
    <row r="12" spans="1:9" ht="13.9">
      <c r="A12" s="9"/>
      <c r="B12" s="9"/>
      <c r="C12" s="9"/>
      <c r="D12" s="9"/>
      <c r="E12" s="9"/>
      <c r="F12" s="9"/>
      <c r="G12" s="9"/>
      <c r="H12" s="9"/>
      <c r="I12" s="9"/>
    </row>
    <row r="13" spans="1:9" ht="13.9">
      <c r="A13" s="9"/>
      <c r="B13" s="9"/>
      <c r="C13" s="9"/>
      <c r="D13" s="9"/>
      <c r="E13" s="9"/>
      <c r="F13" s="10"/>
      <c r="G13" s="9"/>
      <c r="H13" s="9"/>
      <c r="I13" s="10"/>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E4" sqref="E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Luminance</v>
      </c>
      <c r="B1" s="77"/>
      <c r="C1" s="77"/>
      <c r="D1" s="78" t="s">
        <v>10</v>
      </c>
      <c r="E1" s="78"/>
      <c r="F1" s="78"/>
      <c r="G1" s="76" t="s">
        <v>11</v>
      </c>
      <c r="H1" s="76"/>
      <c r="I1" s="76"/>
    </row>
    <row r="2" spans="1:9" ht="19.5" customHeight="1">
      <c r="A2" s="79" t="s">
        <v>2</v>
      </c>
      <c r="B2" s="79"/>
      <c r="C2" s="5">
        <f>SUM(C4:C80)</f>
        <v>823458.02145754592</v>
      </c>
      <c r="D2" s="5">
        <f>SUM(D4:D80)</f>
        <v>1057397.3562</v>
      </c>
      <c r="E2" s="5">
        <f>C2-D2</f>
        <v>-233939.33474245411</v>
      </c>
      <c r="F2" s="6">
        <f>IFERROR(E2/D2, 0)</f>
        <v>-0.22124070328979142</v>
      </c>
      <c r="G2" s="5">
        <f>SUM(G4:G80)</f>
        <v>3468307.4</v>
      </c>
      <c r="H2" s="7">
        <f>C2-G2</f>
        <v>-2644849.378542454</v>
      </c>
      <c r="I2" s="6">
        <f>IFERROR(H2/G2, 0)</f>
        <v>-0.76257640212123468</v>
      </c>
    </row>
    <row r="3" spans="1:9" ht="14.25" customHeight="1">
      <c r="A3" s="13" t="s">
        <v>3</v>
      </c>
      <c r="B3" s="13" t="s">
        <v>4</v>
      </c>
      <c r="C3" s="20" t="s">
        <v>5</v>
      </c>
      <c r="D3" s="21" t="s">
        <v>6</v>
      </c>
      <c r="E3" s="21" t="s">
        <v>7</v>
      </c>
      <c r="F3" s="22" t="s">
        <v>8</v>
      </c>
      <c r="G3" s="23" t="s">
        <v>9</v>
      </c>
      <c r="H3" s="24" t="s">
        <v>7</v>
      </c>
      <c r="I3" s="25" t="s">
        <v>8</v>
      </c>
    </row>
    <row r="4" spans="1:9" ht="15.6">
      <c r="A4" s="48" t="str" cm="1">
        <f t="array" ref="A4:A10">Sites[Site]</f>
        <v xml:space="preserve">Raymond Ed Re-Development - DC-23-0001 </v>
      </c>
      <c r="B4" s="28" t="str" cm="1">
        <f t="array" ref="B4:B10">Sites[State]</f>
        <v>DC</v>
      </c>
      <c r="C4" s="29">
        <f>SUM(Jan!C4, Feb!C4, Mar!C4)</f>
        <v>42320.949000000001</v>
      </c>
      <c r="D4" s="30">
        <f>SUM(Jan!D4, Feb!D4, Mar!D4)</f>
        <v>0</v>
      </c>
      <c r="E4" s="30">
        <f>IF(AND(ISNUMBER(C4),ISNUMBER(D4)), C4-D4, "")</f>
        <v>42320.949000000001</v>
      </c>
      <c r="F4" s="31" t="str">
        <f>IFERROR(E4/D4, "")</f>
        <v/>
      </c>
      <c r="G4" s="32">
        <f>SUM(Jan!G4, Feb!G4, Mar!G4)</f>
        <v>0</v>
      </c>
      <c r="H4" s="32">
        <f>SUM(Jan!H4, Feb!H4, Mar!H4)</f>
        <v>42320.949000000001</v>
      </c>
      <c r="I4" s="33" t="str">
        <f>IFERROR(H4/G4, "")</f>
        <v/>
      </c>
    </row>
    <row r="5" spans="1:9" ht="15.6">
      <c r="A5" s="49" t="str">
        <v>Berkeley - NJ-22-C893 Berkeley I</v>
      </c>
      <c r="B5" s="35" t="str">
        <v>NJ</v>
      </c>
      <c r="C5" s="36">
        <f>SUM(Jan!C5, Feb!C5, Mar!C5)</f>
        <v>0</v>
      </c>
      <c r="D5" s="37">
        <f>SUM(Jan!D5, Feb!D5, Mar!D5)</f>
        <v>32042.456200000001</v>
      </c>
      <c r="E5" s="37">
        <f>IF(AND(ISNUMBER(C5),ISNUMBER(D5)), C5-D5, "")</f>
        <v>-32042.456200000001</v>
      </c>
      <c r="F5" s="38">
        <f>IFERROR(E5/D5, "")</f>
        <v>-1</v>
      </c>
      <c r="G5" s="39">
        <f>SUM(Jan!G5, Feb!G5, Mar!G5)</f>
        <v>874212.4</v>
      </c>
      <c r="H5" s="39">
        <f>SUM(Jan!H5, Feb!H5, Mar!H5)</f>
        <v>-874212.4</v>
      </c>
      <c r="I5" s="38">
        <f>IFERROR(H5/G5, "")</f>
        <v>-1</v>
      </c>
    </row>
    <row r="6" spans="1:9" ht="15.6">
      <c r="A6" s="48" t="str">
        <v>Berkeley - NJ-22-C894 Berkeley II</v>
      </c>
      <c r="B6" s="28" t="str">
        <v>NJ</v>
      </c>
      <c r="C6" s="29">
        <f>SUM(Jan!C6, Feb!C6, Mar!C6)</f>
        <v>109808.105457546</v>
      </c>
      <c r="D6" s="30">
        <f>SUM(Jan!D6, Feb!D6, Mar!D6)</f>
        <v>271422.90000000002</v>
      </c>
      <c r="E6" s="30">
        <f t="shared" ref="E6:E10" si="0">IF(AND(ISNUMBER(C6),ISNUMBER(D6)), C6-D6, "")</f>
        <v>-161614.79454245401</v>
      </c>
      <c r="F6" s="31">
        <f t="shared" ref="F6:F10" si="1">IFERROR(E6/D6, "")</f>
        <v>-0.59543536872700864</v>
      </c>
      <c r="G6" s="32">
        <f>SUM(Jan!G6, Feb!G6, Mar!G6)</f>
        <v>863361</v>
      </c>
      <c r="H6" s="32">
        <f>SUM(Jan!H6, Feb!H6, Mar!H6)</f>
        <v>-753552.89454245404</v>
      </c>
      <c r="I6" s="33">
        <f t="shared" ref="I6:I10" si="2">IFERROR(H6/G6, "")</f>
        <v>-0.87281322012744844</v>
      </c>
    </row>
    <row r="7" spans="1:9" ht="15.6">
      <c r="A7" s="49" t="str">
        <v xml:space="preserve"> BEMS Landfill East</v>
      </c>
      <c r="B7" s="35" t="str">
        <v>NJ</v>
      </c>
      <c r="C7" s="36">
        <f>SUM(Jan!C7, Feb!C7, Mar!C7)</f>
        <v>0</v>
      </c>
      <c r="D7" s="37">
        <f>SUM(Jan!D7, Feb!D7, Mar!D7)</f>
        <v>0</v>
      </c>
      <c r="E7" s="37">
        <f>IF(AND(ISNUMBER(C7),ISNUMBER(D7)), C7-D7, "")</f>
        <v>0</v>
      </c>
      <c r="F7" s="38" t="str">
        <f t="shared" si="1"/>
        <v/>
      </c>
      <c r="G7" s="39">
        <f>SUM(Jan!G7, Feb!G7, Mar!G7)</f>
        <v>933933</v>
      </c>
      <c r="H7" s="39">
        <f>SUM(Jan!H7, Feb!H7, Mar!H7)</f>
        <v>-933933</v>
      </c>
      <c r="I7" s="38">
        <f t="shared" si="2"/>
        <v>-1</v>
      </c>
    </row>
    <row r="8" spans="1:9" ht="15.6">
      <c r="A8" s="48" t="str">
        <v>Southampton - BEMS West NJ-22-C898</v>
      </c>
      <c r="B8" s="28" t="str">
        <v>NJ</v>
      </c>
      <c r="C8" s="29">
        <f>SUM(Jan!C8, Feb!C8, Mar!C8)</f>
        <v>573221</v>
      </c>
      <c r="D8" s="30">
        <f>SUM(Jan!D8, Feb!D8, Mar!D8)</f>
        <v>753932</v>
      </c>
      <c r="E8" s="30">
        <f t="shared" si="0"/>
        <v>-180711</v>
      </c>
      <c r="F8" s="31">
        <f t="shared" si="1"/>
        <v>-0.23969137800226015</v>
      </c>
      <c r="G8" s="32">
        <f>SUM(Jan!G8, Feb!G8, Mar!G8)</f>
        <v>765458</v>
      </c>
      <c r="H8" s="32">
        <f>SUM(Jan!H8, Feb!H8, Mar!H8)</f>
        <v>-192237</v>
      </c>
      <c r="I8" s="33">
        <f t="shared" si="2"/>
        <v>-0.2511398404615276</v>
      </c>
    </row>
    <row r="9" spans="1:9" ht="15.6">
      <c r="A9" s="49" t="str">
        <v>Lakewood Twp - Emergency Services Dev  - NJ-23-0008</v>
      </c>
      <c r="B9" s="35" t="str">
        <v>NJ</v>
      </c>
      <c r="C9" s="36">
        <f>SUM(Jan!C9, Feb!C9, Mar!C9)</f>
        <v>4807.5</v>
      </c>
      <c r="D9" s="37">
        <f>SUM(Jan!D9, Feb!D9, Mar!D9)</f>
        <v>0</v>
      </c>
      <c r="E9" s="37">
        <f>IF(AND(ISNUMBER(C9),ISNUMBER(D9)), C9-D9, "")</f>
        <v>4807.5</v>
      </c>
      <c r="F9" s="38" t="str">
        <f t="shared" si="1"/>
        <v/>
      </c>
      <c r="G9" s="39">
        <f>SUM(Jan!G9, Feb!G9, Mar!G9)</f>
        <v>0</v>
      </c>
      <c r="H9" s="39">
        <f>SUM(Jan!H9, Feb!H9, Mar!H9)</f>
        <v>4807.5</v>
      </c>
      <c r="I9" s="38" t="str">
        <f t="shared" si="2"/>
        <v/>
      </c>
    </row>
    <row r="10" spans="1:9" ht="15.6">
      <c r="A10" s="48" t="str">
        <v>Lakewood Township - Public Works</v>
      </c>
      <c r="B10" s="28" t="str">
        <v>NJ</v>
      </c>
      <c r="C10" s="29">
        <f>SUM(Jan!C10, Feb!C10, Mar!C10)</f>
        <v>93300.467000000004</v>
      </c>
      <c r="D10" s="30">
        <f>SUM(Jan!D10, Feb!D10, Mar!D10)</f>
        <v>0</v>
      </c>
      <c r="E10" s="30">
        <f t="shared" si="0"/>
        <v>93300.467000000004</v>
      </c>
      <c r="F10" s="31" t="str">
        <f t="shared" si="1"/>
        <v/>
      </c>
      <c r="G10" s="32">
        <f>SUM(Jan!G10, Feb!G10, Mar!G10)</f>
        <v>31343</v>
      </c>
      <c r="H10" s="32">
        <f>SUM(Jan!H10, Feb!H10, Mar!H10)</f>
        <v>61957.467000000004</v>
      </c>
      <c r="I10" s="33">
        <f t="shared" si="2"/>
        <v>1.9767561177934467</v>
      </c>
    </row>
    <row r="11" spans="1:9" ht="13.9">
      <c r="A11" s="9"/>
      <c r="B11" s="9"/>
      <c r="C11" s="9"/>
      <c r="D11" s="9"/>
      <c r="E11" s="9"/>
      <c r="F11" s="9"/>
      <c r="G11" s="9"/>
      <c r="H11" s="9"/>
      <c r="I11" s="9"/>
    </row>
    <row r="12" spans="1:9" ht="13.9">
      <c r="A12" s="9"/>
      <c r="B12" s="9"/>
      <c r="C12" s="9"/>
      <c r="D12" s="9"/>
      <c r="E12" s="9"/>
      <c r="F12" s="9"/>
      <c r="G12" s="9"/>
      <c r="H12" s="9"/>
      <c r="I12" s="9"/>
    </row>
    <row r="13" spans="1:9" ht="13.9">
      <c r="A13" s="9"/>
      <c r="B13" s="9"/>
      <c r="C13" s="9"/>
      <c r="D13" s="9"/>
      <c r="E13" s="9"/>
      <c r="F13" s="10"/>
      <c r="G13" s="9"/>
      <c r="H13" s="9"/>
      <c r="I13" s="10"/>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C20" sqref="C2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Luminance</v>
      </c>
      <c r="B1" s="77"/>
      <c r="C1" s="77"/>
      <c r="D1" s="78" t="s">
        <v>12</v>
      </c>
      <c r="E1" s="78"/>
      <c r="F1" s="78"/>
      <c r="G1" s="76" t="s">
        <v>13</v>
      </c>
      <c r="H1" s="76"/>
      <c r="I1" s="76"/>
    </row>
    <row r="2" spans="1:9" ht="19.5" customHeight="1">
      <c r="A2" s="79" t="s">
        <v>2</v>
      </c>
      <c r="B2" s="79"/>
      <c r="C2" s="5">
        <f>SUM(C4:C80)</f>
        <v>0</v>
      </c>
      <c r="D2" s="5">
        <f>SUM(D4:D80)</f>
        <v>0</v>
      </c>
      <c r="E2" s="5">
        <f>C2-D2</f>
        <v>0</v>
      </c>
      <c r="F2" s="6">
        <f>IFERROR(E2/D2, 0)</f>
        <v>0</v>
      </c>
      <c r="G2" s="5">
        <f>SUM(G4:G80)</f>
        <v>0</v>
      </c>
      <c r="H2" s="7">
        <f>C2-G2</f>
        <v>0</v>
      </c>
      <c r="I2" s="6">
        <f>IFERROR(H2/G2, 0)</f>
        <v>0</v>
      </c>
    </row>
    <row r="3" spans="1:9" ht="14.25" customHeight="1">
      <c r="A3" s="13" t="s">
        <v>3</v>
      </c>
      <c r="B3" s="13" t="s">
        <v>4</v>
      </c>
      <c r="C3" s="20" t="s">
        <v>5</v>
      </c>
      <c r="D3" s="21" t="s">
        <v>6</v>
      </c>
      <c r="E3" s="21" t="s">
        <v>7</v>
      </c>
      <c r="F3" s="22" t="s">
        <v>8</v>
      </c>
      <c r="G3" s="23" t="s">
        <v>9</v>
      </c>
      <c r="H3" s="24" t="s">
        <v>7</v>
      </c>
      <c r="I3" s="25" t="s">
        <v>8</v>
      </c>
    </row>
    <row r="4" spans="1:9" ht="15.6">
      <c r="A4" s="48" t="str" cm="1">
        <f t="array" ref="A4:A10">Sites[Site]</f>
        <v xml:space="preserve">Raymond Ed Re-Development - DC-23-0001 </v>
      </c>
      <c r="B4" s="28" t="str" cm="1">
        <f t="array" ref="B4:B10">Sites[State]</f>
        <v>DC</v>
      </c>
      <c r="C4" s="29">
        <f>SUM(Apr!C4, May!C4, Jun!C4)</f>
        <v>0</v>
      </c>
      <c r="D4" s="30">
        <f>SUM(Apr!D4, May!D4, Jun!D4)</f>
        <v>0</v>
      </c>
      <c r="E4" s="30">
        <f>IF(AND(ISNUMBER(C4),ISNUMBER(D4)), C4-D4, "")</f>
        <v>0</v>
      </c>
      <c r="F4" s="31" t="str">
        <f>IFERROR(E4/D4, "")</f>
        <v/>
      </c>
      <c r="G4" s="32">
        <f>SUM(Apr!G4+May!G4+Jun!G4)</f>
        <v>0</v>
      </c>
      <c r="H4" s="32">
        <f>SUM(Apr!H4, May!H4, Jun!H4)</f>
        <v>0</v>
      </c>
      <c r="I4" s="33" t="str">
        <f>IFERROR(H4/G4, "")</f>
        <v/>
      </c>
    </row>
    <row r="5" spans="1:9" ht="15.6">
      <c r="A5" s="49" t="str">
        <v>Berkeley - NJ-22-C893 Berkeley I</v>
      </c>
      <c r="B5" s="35" t="str">
        <v>NJ</v>
      </c>
      <c r="C5" s="36">
        <f>SUM(Apr!C5, May!C5, Jun!C5)</f>
        <v>0</v>
      </c>
      <c r="D5" s="37">
        <f>SUM(Apr!D5, May!D5, Jun!D5)</f>
        <v>0</v>
      </c>
      <c r="E5" s="37">
        <f t="shared" ref="E5:E8" si="0">IF(AND(ISNUMBER(C5),ISNUMBER(D5)), C5-D5, "")</f>
        <v>0</v>
      </c>
      <c r="F5" s="38" t="str">
        <f>IFERROR(E5/D5, "")</f>
        <v/>
      </c>
      <c r="G5" s="39">
        <f>SUM(Apr!G5+May!G5+Jun!G5)</f>
        <v>0</v>
      </c>
      <c r="H5" s="39">
        <f>SUM(Apr!H5, May!H5, Jun!H5)</f>
        <v>0</v>
      </c>
      <c r="I5" s="38" t="str">
        <f>IFERROR(H5/G5, "")</f>
        <v/>
      </c>
    </row>
    <row r="6" spans="1:9" ht="15.6">
      <c r="A6" s="48" t="str">
        <v>Berkeley - NJ-22-C894 Berkeley II</v>
      </c>
      <c r="B6" s="28" t="str">
        <v>NJ</v>
      </c>
      <c r="C6" s="29">
        <f>SUM(Apr!C6, May!C6, Jun!C6)</f>
        <v>0</v>
      </c>
      <c r="D6" s="30">
        <f>SUM(Apr!D6, May!D6, Jun!D6)</f>
        <v>0</v>
      </c>
      <c r="E6" s="30">
        <f t="shared" si="0"/>
        <v>0</v>
      </c>
      <c r="F6" s="31" t="str">
        <f t="shared" ref="F6:F8" si="1">IFERROR(E6/D6, "")</f>
        <v/>
      </c>
      <c r="G6" s="32">
        <f>SUM(Apr!G6+May!G6+Jun!G6)</f>
        <v>0</v>
      </c>
      <c r="H6" s="32">
        <f>SUM(Apr!H6, May!H6, Jun!H6)</f>
        <v>0</v>
      </c>
      <c r="I6" s="33" t="str">
        <f t="shared" ref="I6:I8" si="2">IFERROR(H6/G6, "")</f>
        <v/>
      </c>
    </row>
    <row r="7" spans="1:9" ht="15.6">
      <c r="A7" s="49" t="str">
        <v xml:space="preserve"> BEMS Landfill East</v>
      </c>
      <c r="B7" s="35" t="str">
        <v>NJ</v>
      </c>
      <c r="C7" s="36">
        <f>SUM(Apr!C7, May!C7, Jun!C7)</f>
        <v>0</v>
      </c>
      <c r="D7" s="37">
        <f>SUM(Apr!D7, May!D7, Jun!D7)</f>
        <v>0</v>
      </c>
      <c r="E7" s="37">
        <f t="shared" si="0"/>
        <v>0</v>
      </c>
      <c r="F7" s="38" t="str">
        <f t="shared" si="1"/>
        <v/>
      </c>
      <c r="G7" s="39">
        <f>SUM(Apr!G7+May!G7+Jun!G7)</f>
        <v>0</v>
      </c>
      <c r="H7" s="39">
        <f>SUM(Apr!H7, May!H7, Jun!H7)</f>
        <v>0</v>
      </c>
      <c r="I7" s="38" t="str">
        <f t="shared" si="2"/>
        <v/>
      </c>
    </row>
    <row r="8" spans="1:9" ht="15.6">
      <c r="A8" s="48" t="str">
        <v>Southampton - BEMS West NJ-22-C898</v>
      </c>
      <c r="B8" s="28" t="str">
        <v>NJ</v>
      </c>
      <c r="C8" s="29">
        <f>SUM(Apr!C8, May!C8, Jun!C8)</f>
        <v>0</v>
      </c>
      <c r="D8" s="30">
        <f>SUM(Apr!D8, May!D8, Jun!D8)</f>
        <v>0</v>
      </c>
      <c r="E8" s="30">
        <f t="shared" si="0"/>
        <v>0</v>
      </c>
      <c r="F8" s="31" t="str">
        <f t="shared" si="1"/>
        <v/>
      </c>
      <c r="G8" s="32">
        <f>SUM(Apr!G8+May!G8+Jun!G8)</f>
        <v>0</v>
      </c>
      <c r="H8" s="32">
        <f>SUM(Apr!H8, May!H8, Jun!H8)</f>
        <v>0</v>
      </c>
      <c r="I8" s="33" t="str">
        <f t="shared" si="2"/>
        <v/>
      </c>
    </row>
    <row r="9" spans="1:9" ht="15.6">
      <c r="A9" s="49" t="str">
        <v>Lakewood Twp - Emergency Services Dev  - NJ-23-0008</v>
      </c>
      <c r="B9" s="35" t="str">
        <v>NJ</v>
      </c>
      <c r="C9" s="36"/>
      <c r="D9" s="37"/>
      <c r="E9" s="37"/>
      <c r="F9" s="38"/>
      <c r="G9" s="39"/>
      <c r="H9" s="39"/>
      <c r="I9" s="38"/>
    </row>
    <row r="10" spans="1:9" ht="15.6">
      <c r="A10" s="48" t="str">
        <v>Lakewood Township - Public Works</v>
      </c>
      <c r="B10" s="28" t="str">
        <v>NJ</v>
      </c>
      <c r="C10" s="29"/>
      <c r="D10" s="30"/>
      <c r="E10" s="30"/>
      <c r="F10" s="31"/>
      <c r="G10" s="32"/>
      <c r="H10" s="32"/>
      <c r="I10" s="33"/>
    </row>
    <row r="11" spans="1:9" ht="13.9">
      <c r="A11" s="9"/>
      <c r="B11" s="9"/>
      <c r="C11" s="9"/>
      <c r="D11" s="9"/>
      <c r="E11" s="9"/>
      <c r="F11" s="9"/>
      <c r="G11" s="9"/>
      <c r="H11" s="9"/>
      <c r="I11" s="9"/>
    </row>
    <row r="12" spans="1:9" ht="13.9">
      <c r="A12" s="9"/>
      <c r="B12" s="9"/>
      <c r="C12" s="9"/>
      <c r="D12" s="9"/>
      <c r="E12" s="9"/>
      <c r="F12" s="9"/>
      <c r="G12" s="9"/>
      <c r="H12" s="9"/>
      <c r="I12" s="9"/>
    </row>
    <row r="13" spans="1:9" ht="13.9">
      <c r="A13" s="9"/>
      <c r="B13" s="9"/>
      <c r="C13" s="9"/>
      <c r="D13" s="9"/>
      <c r="E13" s="9"/>
      <c r="F13" s="10"/>
      <c r="G13" s="9"/>
      <c r="H13" s="9"/>
      <c r="I13" s="10"/>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C21" sqref="C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Luminance</v>
      </c>
      <c r="B1" s="77"/>
      <c r="C1" s="77"/>
      <c r="D1" s="78" t="s">
        <v>14</v>
      </c>
      <c r="E1" s="78"/>
      <c r="F1" s="78"/>
      <c r="G1" s="76" t="s">
        <v>15</v>
      </c>
      <c r="H1" s="76"/>
      <c r="I1" s="76"/>
    </row>
    <row r="2" spans="1:9" ht="19.5" customHeight="1">
      <c r="A2" s="79" t="s">
        <v>2</v>
      </c>
      <c r="B2" s="79"/>
      <c r="C2" s="5">
        <f>SUM(C4:C80)</f>
        <v>0</v>
      </c>
      <c r="D2" s="5">
        <f>SUM(D4:D80)</f>
        <v>0</v>
      </c>
      <c r="E2" s="5">
        <f>C2-D2</f>
        <v>0</v>
      </c>
      <c r="F2" s="6">
        <f>IFERROR(E2/D2, 0)</f>
        <v>0</v>
      </c>
      <c r="G2" s="5">
        <f>SUM(G4:G80)</f>
        <v>0</v>
      </c>
      <c r="H2" s="7">
        <f>C2-G2</f>
        <v>0</v>
      </c>
      <c r="I2" s="6">
        <f>IFERROR(H2/G2, 0)</f>
        <v>0</v>
      </c>
    </row>
    <row r="3" spans="1:9" ht="14.25" customHeight="1">
      <c r="A3" s="13" t="s">
        <v>3</v>
      </c>
      <c r="B3" s="13" t="s">
        <v>4</v>
      </c>
      <c r="C3" s="20" t="s">
        <v>5</v>
      </c>
      <c r="D3" s="21" t="s">
        <v>6</v>
      </c>
      <c r="E3" s="21" t="s">
        <v>7</v>
      </c>
      <c r="F3" s="22" t="s">
        <v>8</v>
      </c>
      <c r="G3" s="23" t="s">
        <v>9</v>
      </c>
      <c r="H3" s="24" t="s">
        <v>7</v>
      </c>
      <c r="I3" s="25" t="s">
        <v>8</v>
      </c>
    </row>
    <row r="4" spans="1:9" ht="15.6">
      <c r="A4" s="48" t="str" cm="1">
        <f t="array" ref="A4:A10">Sites[Site]</f>
        <v xml:space="preserve">Raymond Ed Re-Development - DC-23-0001 </v>
      </c>
      <c r="B4" s="28" t="str" cm="1">
        <f t="array" ref="B4:B10">Sites[State]</f>
        <v>DC</v>
      </c>
      <c r="C4" s="29">
        <f>SUM(Jul!C4, Aug!C4, Sep!C4)</f>
        <v>0</v>
      </c>
      <c r="D4" s="30">
        <f>SUM(Jul!D4, Aug!D4, Sep!D4)</f>
        <v>0</v>
      </c>
      <c r="E4" s="30">
        <f>IF(AND(ISNUMBER(C4),ISNUMBER(D4)), C4-D4, "")</f>
        <v>0</v>
      </c>
      <c r="F4" s="31" t="str">
        <f>IFERROR(E4/D4, "")</f>
        <v/>
      </c>
      <c r="G4" s="32">
        <f>SUM(Jul!G4,Aug!G4,Sep!G4)</f>
        <v>0</v>
      </c>
      <c r="H4" s="32">
        <f>SUM(Jul!H4, Aug!H4, Sep!H4)</f>
        <v>0</v>
      </c>
      <c r="I4" s="33" t="str">
        <f>IFERROR(H4/G4, "")</f>
        <v/>
      </c>
    </row>
    <row r="5" spans="1:9" ht="15.6">
      <c r="A5" s="49" t="str">
        <v>Berkeley - NJ-22-C893 Berkeley I</v>
      </c>
      <c r="B5" s="35" t="str">
        <v>NJ</v>
      </c>
      <c r="C5" s="36">
        <f>SUM(Jul!C5, Aug!C5, Sep!C5)</f>
        <v>0</v>
      </c>
      <c r="D5" s="37">
        <f>SUM(Jul!D5, Aug!D5, Sep!D5)</f>
        <v>0</v>
      </c>
      <c r="E5" s="37">
        <f t="shared" ref="E5:E8" si="0">IF(AND(ISNUMBER(C5),ISNUMBER(D5)), C5-D5, "")</f>
        <v>0</v>
      </c>
      <c r="F5" s="38" t="str">
        <f>IFERROR(E5/D5, "")</f>
        <v/>
      </c>
      <c r="G5" s="39">
        <f>SUM(Jul!G5,Aug!G5,Sep!G5)</f>
        <v>0</v>
      </c>
      <c r="H5" s="39">
        <f>SUM(Jul!H5, Aug!H5, Sep!H5)</f>
        <v>0</v>
      </c>
      <c r="I5" s="38" t="str">
        <f>IFERROR(H5/G5, "")</f>
        <v/>
      </c>
    </row>
    <row r="6" spans="1:9" ht="15.6">
      <c r="A6" s="48" t="str">
        <v>Berkeley - NJ-22-C894 Berkeley II</v>
      </c>
      <c r="B6" s="28" t="str">
        <v>NJ</v>
      </c>
      <c r="C6" s="29">
        <f>SUM(Jul!C6, Aug!C6, Sep!C6)</f>
        <v>0</v>
      </c>
      <c r="D6" s="30">
        <f>SUM(Jul!D6, Aug!D6, Sep!D6)</f>
        <v>0</v>
      </c>
      <c r="E6" s="30">
        <f t="shared" si="0"/>
        <v>0</v>
      </c>
      <c r="F6" s="31" t="str">
        <f t="shared" ref="F6:F8" si="1">IFERROR(E6/D6, "")</f>
        <v/>
      </c>
      <c r="G6" s="32">
        <f>SUM(Jul!G6,Aug!G6,Sep!G6)</f>
        <v>0</v>
      </c>
      <c r="H6" s="32">
        <f>SUM(Jul!H6, Aug!H6, Sep!H6)</f>
        <v>0</v>
      </c>
      <c r="I6" s="33" t="str">
        <f t="shared" ref="I6:I8" si="2">IFERROR(H6/G6, "")</f>
        <v/>
      </c>
    </row>
    <row r="7" spans="1:9" ht="15.6">
      <c r="A7" s="49" t="str">
        <v xml:space="preserve"> BEMS Landfill East</v>
      </c>
      <c r="B7" s="35" t="str">
        <v>NJ</v>
      </c>
      <c r="C7" s="36">
        <f>SUM(Jul!C7, Aug!C7, Sep!C7)</f>
        <v>0</v>
      </c>
      <c r="D7" s="37">
        <f>SUM(Jul!D7, Aug!D7, Sep!D7)</f>
        <v>0</v>
      </c>
      <c r="E7" s="37">
        <f t="shared" si="0"/>
        <v>0</v>
      </c>
      <c r="F7" s="38" t="str">
        <f t="shared" si="1"/>
        <v/>
      </c>
      <c r="G7" s="39">
        <f>SUM(Jul!G7,Aug!G7,Sep!G7)</f>
        <v>0</v>
      </c>
      <c r="H7" s="39">
        <f>SUM(Jul!H7, Aug!H7, Sep!H7)</f>
        <v>0</v>
      </c>
      <c r="I7" s="38" t="str">
        <f t="shared" si="2"/>
        <v/>
      </c>
    </row>
    <row r="8" spans="1:9" ht="15.6">
      <c r="A8" s="48" t="str">
        <v>Southampton - BEMS West NJ-22-C898</v>
      </c>
      <c r="B8" s="28" t="str">
        <v>NJ</v>
      </c>
      <c r="C8" s="29">
        <f>SUM(Jul!C8, Aug!C8, Sep!C8)</f>
        <v>0</v>
      </c>
      <c r="D8" s="30">
        <f>SUM(Jul!D8, Aug!D8, Sep!D8)</f>
        <v>0</v>
      </c>
      <c r="E8" s="30">
        <f t="shared" si="0"/>
        <v>0</v>
      </c>
      <c r="F8" s="31" t="str">
        <f t="shared" si="1"/>
        <v/>
      </c>
      <c r="G8" s="32">
        <f>SUM(Jul!G8,Aug!G8,Sep!G8)</f>
        <v>0</v>
      </c>
      <c r="H8" s="32">
        <f>SUM(Jul!H8, Aug!H8, Sep!H8)</f>
        <v>0</v>
      </c>
      <c r="I8" s="33" t="str">
        <f t="shared" si="2"/>
        <v/>
      </c>
    </row>
    <row r="9" spans="1:9" s="49" customFormat="1" ht="15.6">
      <c r="A9" s="49" t="str">
        <v>Lakewood Twp - Emergency Services Dev  - NJ-23-0008</v>
      </c>
      <c r="B9" s="34" t="str">
        <v>NJ</v>
      </c>
    </row>
    <row r="10" spans="1:9" ht="15.6">
      <c r="A10" s="48" t="str">
        <v>Lakewood Township - Public Works</v>
      </c>
      <c r="B10" s="28" t="str">
        <v>NJ</v>
      </c>
      <c r="C10" s="29"/>
      <c r="D10" s="30"/>
      <c r="E10" s="30"/>
      <c r="F10" s="31"/>
      <c r="G10" s="32"/>
      <c r="H10" s="32"/>
      <c r="I10" s="33"/>
    </row>
    <row r="11" spans="1:9" ht="15.6">
      <c r="A11" s="8"/>
      <c r="B11" s="9"/>
      <c r="C11" s="9"/>
      <c r="D11" s="9"/>
      <c r="E11" s="9"/>
      <c r="F11" s="9"/>
      <c r="G11" s="9"/>
      <c r="H11" s="9"/>
      <c r="I11" s="9"/>
    </row>
    <row r="12" spans="1:9" ht="13.9">
      <c r="A12" s="9"/>
      <c r="B12" s="9"/>
      <c r="C12" s="9"/>
      <c r="D12" s="9"/>
      <c r="E12" s="9"/>
      <c r="F12" s="9"/>
      <c r="G12" s="9"/>
      <c r="H12" s="9"/>
      <c r="I12" s="9"/>
    </row>
    <row r="13" spans="1:9" ht="13.9">
      <c r="A13" s="9"/>
      <c r="B13" s="9"/>
      <c r="C13" s="9"/>
      <c r="D13" s="9"/>
      <c r="E13" s="9"/>
      <c r="F13" s="10"/>
      <c r="G13" s="9"/>
      <c r="H13" s="9"/>
      <c r="I13" s="10"/>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 I4:I8 I10:I80 F10:F8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D14" sqref="D1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Luminance</v>
      </c>
      <c r="B1" s="77"/>
      <c r="C1" s="77"/>
      <c r="D1" s="78" t="s">
        <v>16</v>
      </c>
      <c r="E1" s="78"/>
      <c r="F1" s="78"/>
      <c r="G1" s="76" t="s">
        <v>17</v>
      </c>
      <c r="H1" s="76"/>
      <c r="I1" s="76"/>
    </row>
    <row r="2" spans="1:9" ht="19.5" customHeight="1">
      <c r="A2" s="79" t="s">
        <v>2</v>
      </c>
      <c r="B2" s="79"/>
      <c r="C2" s="5">
        <f>SUM(C4:C80)</f>
        <v>0</v>
      </c>
      <c r="D2" s="5">
        <f>SUM(D4:D80)</f>
        <v>0</v>
      </c>
      <c r="E2" s="5">
        <f>C2-D2</f>
        <v>0</v>
      </c>
      <c r="F2" s="6">
        <f>IFERROR(E2/D2, 0)</f>
        <v>0</v>
      </c>
      <c r="G2" s="5">
        <f>SUM(G4:G80)</f>
        <v>0</v>
      </c>
      <c r="H2" s="7">
        <f>C2-G2</f>
        <v>0</v>
      </c>
      <c r="I2" s="6">
        <f>IFERROR(H2/G2, 0)</f>
        <v>0</v>
      </c>
    </row>
    <row r="3" spans="1:9" ht="14.25" customHeight="1">
      <c r="A3" s="13" t="s">
        <v>3</v>
      </c>
      <c r="B3" s="13" t="s">
        <v>4</v>
      </c>
      <c r="C3" s="20" t="s">
        <v>5</v>
      </c>
      <c r="D3" s="21" t="s">
        <v>6</v>
      </c>
      <c r="E3" s="21" t="s">
        <v>7</v>
      </c>
      <c r="F3" s="22" t="s">
        <v>8</v>
      </c>
      <c r="G3" s="23" t="s">
        <v>9</v>
      </c>
      <c r="H3" s="24" t="s">
        <v>7</v>
      </c>
      <c r="I3" s="25" t="s">
        <v>8</v>
      </c>
    </row>
    <row r="4" spans="1:9" ht="15.6">
      <c r="A4" s="48" t="str" cm="1">
        <f t="array" ref="A4:A10">Sites[Site]</f>
        <v xml:space="preserve">Raymond Ed Re-Development - DC-23-0001 </v>
      </c>
      <c r="B4" s="28" t="str" cm="1">
        <f t="array" ref="B4:B10">Sites[State]</f>
        <v>DC</v>
      </c>
      <c r="C4" s="29">
        <f>SUM(Oct!C4, Nov!C4, Dec!C4)</f>
        <v>0</v>
      </c>
      <c r="D4" s="30">
        <f>SUM(Oct!D4, Nov!D4, Dec!D4)</f>
        <v>0</v>
      </c>
      <c r="E4" s="30">
        <f>IF(AND(ISNUMBER(C4),ISNUMBER(D4)), C4-D4, "")</f>
        <v>0</v>
      </c>
      <c r="F4" s="31" t="str">
        <f>IFERROR(E4/D4, "")</f>
        <v/>
      </c>
      <c r="G4" s="32">
        <f>SUM(Oct!G4,Nov!G4,Dec!G4)</f>
        <v>0</v>
      </c>
      <c r="H4" s="32">
        <f>SUM(Oct!H4, Nov!H4, Dec!H4)</f>
        <v>0</v>
      </c>
      <c r="I4" s="33" t="str">
        <f>IFERROR(H4/G4, "")</f>
        <v/>
      </c>
    </row>
    <row r="5" spans="1:9" ht="15.6">
      <c r="A5" s="49" t="str">
        <v>Berkeley - NJ-22-C893 Berkeley I</v>
      </c>
      <c r="B5" s="35" t="str">
        <v>NJ</v>
      </c>
      <c r="C5" s="36">
        <f>SUM(Oct!C5, Nov!C5, Dec!C5)</f>
        <v>0</v>
      </c>
      <c r="D5" s="37">
        <f>SUM(Oct!D5, Nov!D5, Dec!D5)</f>
        <v>0</v>
      </c>
      <c r="E5" s="37">
        <f t="shared" ref="E5:E8" si="0">IF(AND(ISNUMBER(C5),ISNUMBER(D5)), C5-D5, "")</f>
        <v>0</v>
      </c>
      <c r="F5" s="38" t="str">
        <f>IFERROR(E5/D5, "")</f>
        <v/>
      </c>
      <c r="G5" s="37">
        <f>SUM(Oct!G5,Nov!G5,Dec!G5)</f>
        <v>0</v>
      </c>
      <c r="H5" s="39">
        <f>SUM(Oct!H5, Nov!H5, Dec!H5)</f>
        <v>0</v>
      </c>
      <c r="I5" s="38" t="str">
        <f>IFERROR(H5/G5, "")</f>
        <v/>
      </c>
    </row>
    <row r="6" spans="1:9" ht="15.6">
      <c r="A6" s="48" t="str">
        <v>Berkeley - NJ-22-C894 Berkeley II</v>
      </c>
      <c r="B6" s="28" t="str">
        <v>NJ</v>
      </c>
      <c r="C6" s="29">
        <f>SUM(Oct!C6, Nov!C6, Dec!C6)</f>
        <v>0</v>
      </c>
      <c r="D6" s="30">
        <f>SUM(Oct!D6, Nov!D6, Dec!D6)</f>
        <v>0</v>
      </c>
      <c r="E6" s="30">
        <f t="shared" si="0"/>
        <v>0</v>
      </c>
      <c r="F6" s="31" t="str">
        <f t="shared" ref="F6:F8" si="1">IFERROR(E6/D6, "")</f>
        <v/>
      </c>
      <c r="G6" s="32">
        <f>SUM(Oct!G6,Nov!G6,Dec!G6)</f>
        <v>0</v>
      </c>
      <c r="H6" s="32">
        <f>SUM(Oct!H6, Nov!H6, Dec!H6)</f>
        <v>0</v>
      </c>
      <c r="I6" s="33" t="str">
        <f t="shared" ref="I6:I8" si="2">IFERROR(H6/G6, "")</f>
        <v/>
      </c>
    </row>
    <row r="7" spans="1:9" ht="15.6">
      <c r="A7" s="49" t="str">
        <v xml:space="preserve"> BEMS Landfill East</v>
      </c>
      <c r="B7" s="35" t="str">
        <v>NJ</v>
      </c>
      <c r="C7" s="36">
        <f>SUM(Oct!C7, Nov!C7, Dec!C7)</f>
        <v>0</v>
      </c>
      <c r="D7" s="37">
        <f>SUM(Oct!D7, Nov!D7, Dec!D7)</f>
        <v>0</v>
      </c>
      <c r="E7" s="37">
        <f t="shared" si="0"/>
        <v>0</v>
      </c>
      <c r="F7" s="38" t="str">
        <f t="shared" si="1"/>
        <v/>
      </c>
      <c r="G7" s="37">
        <f>SUM(Oct!G7,Nov!G7,Dec!G7)</f>
        <v>0</v>
      </c>
      <c r="H7" s="39">
        <f>SUM(Oct!H7, Nov!H7, Dec!H7)</f>
        <v>0</v>
      </c>
      <c r="I7" s="38" t="str">
        <f t="shared" si="2"/>
        <v/>
      </c>
    </row>
    <row r="8" spans="1:9" ht="15.6">
      <c r="A8" s="48" t="str">
        <v>Southampton - BEMS West NJ-22-C898</v>
      </c>
      <c r="B8" s="28" t="str">
        <v>NJ</v>
      </c>
      <c r="C8" s="29">
        <f>SUM(Oct!C8, Nov!C8, Dec!C8)</f>
        <v>0</v>
      </c>
      <c r="D8" s="30">
        <f>SUM(Oct!D8, Nov!D8, Dec!D8)</f>
        <v>0</v>
      </c>
      <c r="E8" s="30">
        <f t="shared" si="0"/>
        <v>0</v>
      </c>
      <c r="F8" s="31" t="str">
        <f t="shared" si="1"/>
        <v/>
      </c>
      <c r="G8" s="32">
        <f>SUM(Oct!G8,Nov!G8,Dec!G8)</f>
        <v>0</v>
      </c>
      <c r="H8" s="32">
        <f>SUM(Oct!H8, Nov!H8, Dec!H8)</f>
        <v>0</v>
      </c>
      <c r="I8" s="33" t="str">
        <f t="shared" si="2"/>
        <v/>
      </c>
    </row>
    <row r="9" spans="1:9" ht="15.6">
      <c r="A9" s="49" t="str">
        <v>Lakewood Twp - Emergency Services Dev  - NJ-23-0008</v>
      </c>
      <c r="B9" s="35" t="str">
        <v>NJ</v>
      </c>
      <c r="C9" s="36"/>
      <c r="D9" s="37"/>
      <c r="E9" s="37"/>
      <c r="F9" s="38"/>
      <c r="G9" s="37"/>
      <c r="H9" s="39"/>
      <c r="I9" s="38"/>
    </row>
    <row r="10" spans="1:9" ht="15.6">
      <c r="A10" s="48" t="str">
        <v>Lakewood Township - Public Works</v>
      </c>
      <c r="B10" s="28" t="str">
        <v>NJ</v>
      </c>
      <c r="C10" s="29"/>
      <c r="D10" s="30"/>
      <c r="E10" s="30"/>
      <c r="F10" s="31"/>
      <c r="G10" s="32"/>
      <c r="H10" s="32"/>
      <c r="I10" s="33"/>
    </row>
    <row r="11" spans="1:9" ht="13.9">
      <c r="A11" s="9"/>
      <c r="B11" s="9"/>
      <c r="C11" s="9"/>
      <c r="D11" s="9"/>
      <c r="E11" s="9"/>
      <c r="F11" s="9"/>
      <c r="G11" s="9"/>
      <c r="H11" s="9"/>
      <c r="I11" s="9"/>
    </row>
    <row r="12" spans="1:9" ht="13.9">
      <c r="A12" s="9"/>
      <c r="B12" s="9"/>
      <c r="C12" s="9"/>
      <c r="D12" s="9"/>
      <c r="E12" s="9"/>
      <c r="F12" s="9"/>
      <c r="G12" s="9"/>
      <c r="H12" s="9"/>
      <c r="I12" s="9"/>
    </row>
    <row r="13" spans="1:9" ht="13.9">
      <c r="A13" s="9"/>
      <c r="B13" s="9"/>
      <c r="C13" s="9"/>
      <c r="D13" s="9"/>
      <c r="E13" s="9"/>
      <c r="F13" s="10"/>
      <c r="G13" s="9"/>
      <c r="H13" s="9"/>
      <c r="I13" s="10"/>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21"/>
  <sheetViews>
    <sheetView workbookViewId="0">
      <pane xSplit="2" ySplit="3" topLeftCell="C4" activePane="bottomRight" state="frozen"/>
      <selection pane="bottomRight" activeCell="E17" sqref="E17"/>
      <selection pane="bottomLeft" activeCell="C19" sqref="C19"/>
      <selection pane="topRight" activeCell="C19" sqref="C19"/>
    </sheetView>
  </sheetViews>
  <sheetFormatPr defaultRowHeight="13.9"/>
  <cols>
    <col min="1" max="1" width="34.140625" customWidth="1"/>
    <col min="2" max="2" width="14.5703125" style="15" customWidth="1"/>
    <col min="3" max="5" width="14.5703125" customWidth="1"/>
    <col min="6" max="6" width="14.5703125" style="1" customWidth="1"/>
    <col min="7" max="8" width="14.5703125" customWidth="1"/>
    <col min="9" max="9" width="14.5703125" style="1" customWidth="1"/>
    <col min="10" max="10" width="109.42578125" customWidth="1"/>
    <col min="11" max="11" width="25.85546875" customWidth="1"/>
  </cols>
  <sheetData>
    <row r="1" spans="1:12" ht="15.6">
      <c r="A1" s="77" t="str" cm="1">
        <f t="array" ref="A1">portfolio</f>
        <v>Luminance</v>
      </c>
      <c r="B1" s="77"/>
      <c r="C1" s="77"/>
      <c r="D1" s="78" t="s">
        <v>18</v>
      </c>
      <c r="E1" s="78"/>
      <c r="F1" s="78"/>
      <c r="G1" s="76" t="s">
        <v>19</v>
      </c>
      <c r="H1" s="76"/>
      <c r="I1" s="76"/>
      <c r="J1" s="4"/>
      <c r="K1" s="4"/>
    </row>
    <row r="2" spans="1:12" ht="15.6">
      <c r="A2" s="79" t="s">
        <v>2</v>
      </c>
      <c r="B2" s="79"/>
      <c r="C2" s="5">
        <f>SUM(C4:C79)</f>
        <v>391768.89745754597</v>
      </c>
      <c r="D2" s="5">
        <f>SUM(D4:D79)</f>
        <v>660242.88000000012</v>
      </c>
      <c r="E2" s="5">
        <f>C2-D2</f>
        <v>-268473.98254245415</v>
      </c>
      <c r="F2" s="6">
        <f>IFERROR(E2/D2, 0)</f>
        <v>-0.40662912191109746</v>
      </c>
      <c r="G2" s="5">
        <f>SUM(G4:G79)</f>
        <v>1616542</v>
      </c>
      <c r="H2" s="7">
        <f>C2-G2</f>
        <v>-1224773.1025424539</v>
      </c>
      <c r="I2" s="6">
        <f>IFERROR(H2/G2, 0)</f>
        <v>-0.75765003479182969</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6">
      <c r="A3" s="13" t="s">
        <v>3</v>
      </c>
      <c r="B3" s="13" t="s">
        <v>4</v>
      </c>
      <c r="C3" s="20" t="s">
        <v>5</v>
      </c>
      <c r="D3" s="21" t="s">
        <v>6</v>
      </c>
      <c r="E3" s="21" t="s">
        <v>7</v>
      </c>
      <c r="F3" s="22" t="s">
        <v>8</v>
      </c>
      <c r="G3" s="26" t="s">
        <v>9</v>
      </c>
      <c r="H3" s="24" t="s">
        <v>7</v>
      </c>
      <c r="I3" s="25" t="s">
        <v>8</v>
      </c>
      <c r="J3" s="11" t="s">
        <v>20</v>
      </c>
      <c r="K3" s="11" t="s">
        <v>21</v>
      </c>
    </row>
    <row r="4" spans="1:12" ht="55.5" customHeight="1">
      <c r="A4" s="45" t="str" cm="1">
        <f t="array" ref="A4:A10">Sites[Site]</f>
        <v xml:space="preserve">Raymond Ed Re-Development - DC-23-0001 </v>
      </c>
      <c r="B4" s="41" t="str" cm="1">
        <f t="array" ref="B4:B10">Sites[State]</f>
        <v>DC</v>
      </c>
      <c r="C4" s="30">
        <v>14808.791999999999</v>
      </c>
      <c r="D4" s="30">
        <v>0</v>
      </c>
      <c r="E4" s="30">
        <f>IF(AND(ISNUMBER(C4),ISNUMBER(D4)), C4-D4, "")</f>
        <v>14808.791999999999</v>
      </c>
      <c r="F4" s="33" t="str">
        <f>IFERROR(E4/D4, "")</f>
        <v/>
      </c>
      <c r="G4" s="32">
        <v>0</v>
      </c>
      <c r="H4" s="32">
        <f>IF(AND(ISNUMBER(C4),ISNUMBER(G4)), C4-G4, "")</f>
        <v>14808.791999999999</v>
      </c>
      <c r="I4" s="33" t="str">
        <f>IFERROR(H4/G4, "")</f>
        <v/>
      </c>
      <c r="J4" s="50" t="s">
        <v>22</v>
      </c>
      <c r="K4" s="67" t="s">
        <v>23</v>
      </c>
      <c r="L4" s="69" t="s">
        <v>24</v>
      </c>
    </row>
    <row r="5" spans="1:12" ht="15.6">
      <c r="A5" s="46" t="str">
        <v>Berkeley - NJ-22-C893 Berkeley I</v>
      </c>
      <c r="B5" s="43" t="str">
        <v>NJ</v>
      </c>
      <c r="C5" s="37">
        <v>0</v>
      </c>
      <c r="D5" s="37">
        <v>31205.78</v>
      </c>
      <c r="E5" s="37">
        <f t="shared" ref="E5:E8" si="0">IF(AND(ISNUMBER(C5),ISNUMBER(D5)), C5-D5, "")</f>
        <v>-31205.78</v>
      </c>
      <c r="F5" s="38">
        <f t="shared" ref="F5:F8" si="1">IFERROR(E5/D5, "")</f>
        <v>-1</v>
      </c>
      <c r="G5" s="39">
        <v>412354</v>
      </c>
      <c r="H5" s="39">
        <f t="shared" ref="H5:H6" si="2">IF(AND(ISNUMBER(C5),ISNUMBER(G5)), C5-G5, "")</f>
        <v>-412354</v>
      </c>
      <c r="I5" s="38">
        <f t="shared" ref="I5:I6" si="3">IFERROR(H5/G5, "")</f>
        <v>-1</v>
      </c>
      <c r="J5" s="66" t="s">
        <v>25</v>
      </c>
      <c r="K5" s="68" t="s">
        <v>26</v>
      </c>
    </row>
    <row r="6" spans="1:12" ht="15.6">
      <c r="A6" s="47" t="str">
        <v>Berkeley - NJ-22-C894 Berkeley II</v>
      </c>
      <c r="B6" s="41" t="str">
        <v>NJ</v>
      </c>
      <c r="C6" s="30">
        <v>109808.105457546</v>
      </c>
      <c r="D6" s="30">
        <v>271422.90000000002</v>
      </c>
      <c r="E6" s="30">
        <f t="shared" si="0"/>
        <v>-161614.79454245401</v>
      </c>
      <c r="F6" s="33">
        <f t="shared" si="1"/>
        <v>-0.59543536872700864</v>
      </c>
      <c r="G6" s="32">
        <v>406892</v>
      </c>
      <c r="H6" s="32">
        <f t="shared" si="2"/>
        <v>-297083.89454245399</v>
      </c>
      <c r="I6" s="33">
        <f t="shared" si="3"/>
        <v>-0.73012960329142373</v>
      </c>
      <c r="J6" s="50" t="s">
        <v>25</v>
      </c>
      <c r="K6" s="67" t="s">
        <v>26</v>
      </c>
    </row>
    <row r="7" spans="1:12" ht="15.6">
      <c r="A7" s="46" t="str">
        <v xml:space="preserve"> BEMS Landfill East</v>
      </c>
      <c r="B7" s="43" t="str">
        <v>NJ</v>
      </c>
      <c r="C7" s="37">
        <v>0</v>
      </c>
      <c r="D7" s="37">
        <v>0</v>
      </c>
      <c r="E7" s="37">
        <f t="shared" si="0"/>
        <v>0</v>
      </c>
      <c r="F7" s="38" t="str">
        <f t="shared" si="1"/>
        <v/>
      </c>
      <c r="G7" s="39">
        <v>435058</v>
      </c>
      <c r="H7" s="39">
        <f t="shared" ref="H7:H8" si="4">IF(AND(ISNUMBER(C7),ISNUMBER(G7)), C7-G7, "")</f>
        <v>-435058</v>
      </c>
      <c r="I7" s="38">
        <f t="shared" ref="I7:I8" si="5">IFERROR(H7/G7, "")</f>
        <v>-1</v>
      </c>
      <c r="J7" s="51" t="s">
        <v>27</v>
      </c>
      <c r="K7" s="68" t="s">
        <v>28</v>
      </c>
    </row>
    <row r="8" spans="1:12" ht="15.6">
      <c r="A8" s="47" t="str">
        <v>Southampton - BEMS West NJ-22-C898</v>
      </c>
      <c r="B8" s="41" t="str">
        <v>NJ</v>
      </c>
      <c r="C8" s="30">
        <v>267152</v>
      </c>
      <c r="D8" s="30">
        <v>357614.2</v>
      </c>
      <c r="E8" s="30">
        <f t="shared" si="0"/>
        <v>-90462.200000000012</v>
      </c>
      <c r="F8" s="33">
        <f t="shared" si="1"/>
        <v>-0.25296031309718686</v>
      </c>
      <c r="G8" s="32">
        <v>362238</v>
      </c>
      <c r="H8" s="32">
        <f t="shared" si="4"/>
        <v>-95086</v>
      </c>
      <c r="I8" s="33">
        <f t="shared" si="5"/>
        <v>-0.26249592809147576</v>
      </c>
      <c r="J8" s="50" t="s">
        <v>29</v>
      </c>
      <c r="K8" s="67" t="s">
        <v>30</v>
      </c>
    </row>
    <row r="9" spans="1:12" ht="15.6">
      <c r="A9" s="46" t="str">
        <v>Lakewood Twp - Emergency Services Dev  - NJ-23-0008</v>
      </c>
      <c r="B9" s="43" t="str">
        <v>NJ</v>
      </c>
      <c r="C9" s="37"/>
      <c r="D9" s="37"/>
      <c r="E9" s="37"/>
      <c r="F9" s="38"/>
      <c r="G9" s="39"/>
      <c r="H9" s="39"/>
      <c r="I9" s="38"/>
      <c r="J9" s="51"/>
      <c r="K9" s="68"/>
    </row>
    <row r="10" spans="1:12" ht="15.6">
      <c r="A10" s="47" t="str">
        <v>Lakewood Township - Public Works</v>
      </c>
      <c r="B10" s="41" t="str">
        <v>NJ</v>
      </c>
      <c r="C10" s="30"/>
      <c r="D10" s="30"/>
      <c r="E10" s="30"/>
      <c r="F10" s="33"/>
      <c r="G10" s="32"/>
      <c r="H10" s="32"/>
      <c r="I10" s="33"/>
      <c r="J10" s="50"/>
      <c r="K10" s="67"/>
    </row>
    <row r="11" spans="1:12" ht="14.45">
      <c r="A11" s="9"/>
      <c r="B11" s="14"/>
      <c r="C11" s="9"/>
      <c r="D11" s="9"/>
      <c r="E11" s="9"/>
      <c r="F11" s="9"/>
      <c r="G11" s="9"/>
      <c r="H11" s="9"/>
      <c r="I11" s="9"/>
      <c r="J11" s="9"/>
      <c r="K11" s="9"/>
    </row>
    <row r="12" spans="1:12" ht="14.45">
      <c r="A12" s="9"/>
      <c r="B12" s="14"/>
      <c r="C12" s="9"/>
      <c r="D12" s="9"/>
      <c r="E12" s="9"/>
      <c r="F12" s="10"/>
      <c r="G12" s="9"/>
      <c r="H12" s="9"/>
      <c r="I12" s="10"/>
      <c r="J12" s="9"/>
      <c r="K12" s="9"/>
    </row>
    <row r="13" spans="1:12" ht="14.45">
      <c r="A13" s="9"/>
      <c r="B13" s="14"/>
      <c r="C13" s="9"/>
      <c r="D13" s="9"/>
      <c r="E13" s="9"/>
      <c r="F13" s="10"/>
      <c r="G13" s="9"/>
      <c r="H13" s="9"/>
      <c r="I13" s="10"/>
      <c r="J13" s="9"/>
      <c r="K13" s="9"/>
    </row>
    <row r="14" spans="1:12" ht="14.45">
      <c r="A14" s="9"/>
      <c r="B14" s="14"/>
      <c r="C14" s="9"/>
      <c r="D14" s="9"/>
      <c r="E14" s="9"/>
      <c r="F14" s="10"/>
      <c r="G14" s="9"/>
      <c r="H14" s="9"/>
      <c r="I14" s="10"/>
      <c r="J14" s="9"/>
      <c r="K14" s="9"/>
    </row>
    <row r="15" spans="1:12" ht="14.45">
      <c r="A15" s="9"/>
      <c r="B15" s="14"/>
      <c r="C15" s="9"/>
      <c r="D15" s="9"/>
      <c r="E15" s="9"/>
      <c r="F15" s="10"/>
      <c r="G15" s="9"/>
      <c r="H15" s="9"/>
      <c r="I15" s="10"/>
      <c r="J15" s="9"/>
      <c r="K15" s="9"/>
    </row>
    <row r="16" spans="1:12"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conditionalFormatting sqref="F2 I2 F4:F79 I4:I79">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4989" xr:uid="{0B1114EA-9087-498B-8803-69F810C21EBA}"/>
    <hyperlink ref="L4" r:id="rId2" display="https://us3.assetplanner.com/service_request?ID=096863" xr:uid="{46F6D2EB-8108-4F4B-88AD-11CD1BDF06D7}"/>
    <hyperlink ref="K5" r:id="rId3" display="https://us3.assetplanner.com/service_request?ID=093414" xr:uid="{E8C08D12-2A0E-4025-915E-889A1136BF9B}"/>
    <hyperlink ref="K6" r:id="rId4" display="https://us3.assetplanner.com/service_request?ID=093414" xr:uid="{00A80DE2-68A2-426F-A897-56E72D76A846}"/>
    <hyperlink ref="K7" r:id="rId5" display="https://us3.assetplanner.com/service_request?ID=086098" xr:uid="{32ABDA85-D761-48C6-8E99-297AE2C45FCF}"/>
    <hyperlink ref="K8" r:id="rId6" display="https://us3.assetplanner.com/service_request?ID=095756" xr:uid="{7A7E4D9F-6983-4983-853E-3F94373C9E84}"/>
  </hyperlinks>
  <pageMargins left="0.4" right="0.7" top="0.25" bottom="0.25" header="0.3" footer="0.3"/>
  <pageSetup fitToHeight="99" orientation="landscape"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23"/>
  <sheetViews>
    <sheetView zoomScale="70" zoomScaleNormal="70" workbookViewId="0">
      <pane xSplit="2" ySplit="3" topLeftCell="C4" activePane="bottomRight" state="frozen"/>
      <selection pane="bottomRight" activeCell="H19" sqref="H19"/>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3" ht="19.5" customHeight="1">
      <c r="A1" s="77" t="str" cm="1">
        <f t="array" ref="A1">portfolio</f>
        <v>Luminance</v>
      </c>
      <c r="B1" s="77"/>
      <c r="C1" s="77"/>
      <c r="D1" s="78" t="s">
        <v>31</v>
      </c>
      <c r="E1" s="78"/>
      <c r="F1" s="78"/>
      <c r="G1" s="76" t="s">
        <v>32</v>
      </c>
      <c r="H1" s="76"/>
      <c r="I1" s="76"/>
      <c r="J1" s="4"/>
      <c r="K1" s="4"/>
    </row>
    <row r="2" spans="1:13" ht="19.5" customHeight="1">
      <c r="A2" s="79" t="s">
        <v>2</v>
      </c>
      <c r="B2" s="79"/>
      <c r="C2" s="5">
        <f>SUM(C4:C81)</f>
        <v>431689.12400000001</v>
      </c>
      <c r="D2" s="5">
        <f>SUM(D4:D81)</f>
        <v>397154.47619999998</v>
      </c>
      <c r="E2" s="5">
        <f>C2-D2</f>
        <v>34534.647800000035</v>
      </c>
      <c r="F2" s="6">
        <f>IFERROR(E2/D2, 0)</f>
        <v>8.6955202243796437E-2</v>
      </c>
      <c r="G2" s="5">
        <f>SUM(G4:G81)</f>
        <v>1851765.4</v>
      </c>
      <c r="H2" s="7">
        <f>C2-G2</f>
        <v>-1420076.2759999998</v>
      </c>
      <c r="I2" s="6">
        <f>IFERROR(H2/G2, 0)</f>
        <v>-0.76687698992539766</v>
      </c>
      <c r="J2" s="12" t="str">
        <f ca="1">IF(AND(TODAY()&gt;DATE(2024, 2, 1), COUNTA(Sites[Site])&lt;&gt;(COUNT(C:C)-1)), "Some sites are missing actual data; if new sites were added, make sure they are aligned correctly (including prior months!)", "")</f>
        <v/>
      </c>
      <c r="K2" s="4"/>
    </row>
    <row r="3" spans="1:13" ht="14.25" customHeight="1">
      <c r="A3" s="13" t="s">
        <v>3</v>
      </c>
      <c r="B3" s="13" t="s">
        <v>4</v>
      </c>
      <c r="C3" s="20" t="s">
        <v>5</v>
      </c>
      <c r="D3" s="21" t="s">
        <v>6</v>
      </c>
      <c r="E3" s="21" t="s">
        <v>7</v>
      </c>
      <c r="F3" s="22" t="s">
        <v>8</v>
      </c>
      <c r="G3" s="23" t="s">
        <v>9</v>
      </c>
      <c r="H3" s="24" t="s">
        <v>7</v>
      </c>
      <c r="I3" s="25" t="s">
        <v>8</v>
      </c>
      <c r="J3" s="11" t="s">
        <v>20</v>
      </c>
      <c r="K3" s="11" t="s">
        <v>21</v>
      </c>
    </row>
    <row r="4" spans="1:13" ht="86.45">
      <c r="A4" s="45" t="str" cm="1">
        <f t="array" ref="A4:A10">Sites[Site]</f>
        <v xml:space="preserve">Raymond Ed Re-Development - DC-23-0001 </v>
      </c>
      <c r="B4" s="41" t="str" cm="1">
        <f t="array" ref="B4:B10">Sites[State]</f>
        <v>DC</v>
      </c>
      <c r="C4" s="29">
        <v>27512.156999999999</v>
      </c>
      <c r="D4" s="30">
        <v>0</v>
      </c>
      <c r="E4" s="30">
        <f>IF(AND(ISNUMBER(C4),ISNUMBER(D4)), C4-D4, "")</f>
        <v>27512.156999999999</v>
      </c>
      <c r="F4" s="31" t="str">
        <f>IFERROR(E4/D4, "")</f>
        <v/>
      </c>
      <c r="G4" s="32">
        <v>0</v>
      </c>
      <c r="H4" s="32">
        <f>IF(AND(ISNUMBER(C4),ISNUMBER(G4)), C4-G4, "")</f>
        <v>27512.156999999999</v>
      </c>
      <c r="I4" s="33" t="str">
        <f>IFERROR(H4/G4, "")</f>
        <v/>
      </c>
      <c r="J4" s="50" t="s">
        <v>33</v>
      </c>
      <c r="K4" s="67" t="s">
        <v>34</v>
      </c>
      <c r="L4" s="74" t="s">
        <v>35</v>
      </c>
      <c r="M4" s="74" t="s">
        <v>36</v>
      </c>
    </row>
    <row r="5" spans="1:13" ht="28.9">
      <c r="A5" s="46" t="str">
        <v>Berkeley - NJ-22-C893 Berkeley I</v>
      </c>
      <c r="B5" s="43" t="str">
        <v>NJ</v>
      </c>
      <c r="C5" s="36">
        <v>0</v>
      </c>
      <c r="D5" s="37">
        <v>836.67619999999999</v>
      </c>
      <c r="E5" s="37">
        <f t="shared" ref="E5:E10" si="0">IF(AND(ISNUMBER(C5),ISNUMBER(D5)), C5-D5, "")</f>
        <v>-836.67619999999999</v>
      </c>
      <c r="F5" s="38">
        <f>IFERROR(E5/D5, "")</f>
        <v>-1</v>
      </c>
      <c r="G5" s="39">
        <v>461858.4</v>
      </c>
      <c r="H5" s="39">
        <f t="shared" ref="H5:H10" si="1">IF(AND(ISNUMBER(C5),ISNUMBER(G5)), C5-G5, "")</f>
        <v>-461858.4</v>
      </c>
      <c r="I5" s="38">
        <f t="shared" ref="I5:I10" si="2">IFERROR(H5/G5, "")</f>
        <v>-1</v>
      </c>
      <c r="J5" s="51" t="s">
        <v>25</v>
      </c>
      <c r="K5" s="68" t="s">
        <v>37</v>
      </c>
    </row>
    <row r="6" spans="1:13" ht="28.9">
      <c r="A6" s="45" t="str">
        <v>Berkeley - NJ-22-C894 Berkeley II</v>
      </c>
      <c r="B6" s="41" t="str">
        <v>NJ</v>
      </c>
      <c r="C6" s="29">
        <v>0</v>
      </c>
      <c r="D6" s="30">
        <v>0</v>
      </c>
      <c r="E6" s="30">
        <f t="shared" si="0"/>
        <v>0</v>
      </c>
      <c r="F6" s="31" t="str">
        <f t="shared" ref="F6:F10" si="3">IFERROR(E6/D6, "")</f>
        <v/>
      </c>
      <c r="G6" s="32">
        <v>456469</v>
      </c>
      <c r="H6" s="32">
        <f t="shared" si="1"/>
        <v>-456469</v>
      </c>
      <c r="I6" s="33">
        <f t="shared" si="2"/>
        <v>-1</v>
      </c>
      <c r="J6" s="50" t="s">
        <v>25</v>
      </c>
      <c r="K6" s="67" t="s">
        <v>38</v>
      </c>
    </row>
    <row r="7" spans="1:13" ht="36.75" customHeight="1">
      <c r="A7" s="46" t="str">
        <v xml:space="preserve"> BEMS Landfill East</v>
      </c>
      <c r="B7" s="43" t="str">
        <v>NJ</v>
      </c>
      <c r="C7" s="36">
        <v>0</v>
      </c>
      <c r="D7" s="37">
        <v>0</v>
      </c>
      <c r="E7" s="37">
        <f>IF(AND(ISNUMBER(C7),ISNUMBER(D7)), C7-D7, "")</f>
        <v>0</v>
      </c>
      <c r="F7" s="38" t="str">
        <f t="shared" si="3"/>
        <v/>
      </c>
      <c r="G7" s="39">
        <v>498875</v>
      </c>
      <c r="H7" s="39">
        <f t="shared" si="1"/>
        <v>-498875</v>
      </c>
      <c r="I7" s="38">
        <f t="shared" si="2"/>
        <v>-1</v>
      </c>
      <c r="J7" s="51" t="s">
        <v>39</v>
      </c>
      <c r="K7" s="75" t="s">
        <v>28</v>
      </c>
    </row>
    <row r="8" spans="1:13" ht="28.9">
      <c r="A8" s="47" t="str">
        <v>Southampton - BEMS West NJ-22-C898</v>
      </c>
      <c r="B8" s="41" t="str">
        <v>NJ</v>
      </c>
      <c r="C8" s="29">
        <v>306069</v>
      </c>
      <c r="D8" s="30">
        <v>396317.8</v>
      </c>
      <c r="E8" s="30">
        <f t="shared" si="0"/>
        <v>-90248.799999999988</v>
      </c>
      <c r="F8" s="31">
        <f t="shared" si="3"/>
        <v>-0.22771826044654062</v>
      </c>
      <c r="G8" s="32">
        <v>403220</v>
      </c>
      <c r="H8" s="32">
        <f t="shared" si="1"/>
        <v>-97151</v>
      </c>
      <c r="I8" s="33">
        <f t="shared" si="2"/>
        <v>-0.2409379495064729</v>
      </c>
      <c r="J8" s="50" t="s">
        <v>40</v>
      </c>
      <c r="K8" s="67" t="s">
        <v>41</v>
      </c>
    </row>
    <row r="9" spans="1:13" ht="31.15">
      <c r="A9" s="46" t="str">
        <v>Lakewood Twp - Emergency Services Dev  - NJ-23-0008</v>
      </c>
      <c r="B9" s="42" t="str">
        <v>NJ</v>
      </c>
      <c r="C9" s="36">
        <v>4807.5</v>
      </c>
      <c r="D9" s="37">
        <v>0</v>
      </c>
      <c r="E9" s="37">
        <f>IF(AND(ISNUMBER(C9),ISNUMBER(D9)), C9-D9, "")</f>
        <v>4807.5</v>
      </c>
      <c r="F9" s="38" t="str">
        <f t="shared" si="3"/>
        <v/>
      </c>
      <c r="G9" s="39">
        <v>0</v>
      </c>
      <c r="H9" s="39">
        <f t="shared" si="1"/>
        <v>4807.5</v>
      </c>
      <c r="I9" s="38" t="str">
        <f t="shared" si="2"/>
        <v/>
      </c>
      <c r="J9" s="73" t="s">
        <v>42</v>
      </c>
      <c r="K9" s="46"/>
    </row>
    <row r="10" spans="1:13" ht="28.9">
      <c r="A10" s="47" t="str">
        <v>Lakewood Township - Public Works</v>
      </c>
      <c r="B10" s="41" t="str">
        <v>NJ</v>
      </c>
      <c r="C10" s="29">
        <v>93300.467000000004</v>
      </c>
      <c r="D10" s="30">
        <v>0</v>
      </c>
      <c r="E10" s="30">
        <f t="shared" si="0"/>
        <v>93300.467000000004</v>
      </c>
      <c r="F10" s="31" t="str">
        <f t="shared" si="3"/>
        <v/>
      </c>
      <c r="G10" s="32">
        <v>31343</v>
      </c>
      <c r="H10" s="32">
        <f t="shared" si="1"/>
        <v>61957.467000000004</v>
      </c>
      <c r="I10" s="33">
        <f t="shared" si="2"/>
        <v>1.9767561177934467</v>
      </c>
      <c r="J10" s="50" t="s">
        <v>43</v>
      </c>
      <c r="K10" s="50"/>
    </row>
    <row r="11" spans="1:13" ht="14.45">
      <c r="A11" s="9"/>
      <c r="B11" s="14"/>
      <c r="C11" s="9"/>
      <c r="D11" s="9"/>
      <c r="E11" s="9"/>
      <c r="F11" s="9"/>
      <c r="G11" s="9"/>
      <c r="H11" s="9"/>
      <c r="I11" s="9"/>
      <c r="J11" s="9"/>
      <c r="K11" s="9"/>
    </row>
    <row r="12" spans="1:13" ht="14.45">
      <c r="A12" s="9"/>
      <c r="B12" s="14"/>
      <c r="C12" s="9"/>
      <c r="D12" s="9"/>
      <c r="E12" s="9"/>
      <c r="F12" s="37"/>
      <c r="G12" s="9"/>
      <c r="H12" s="9"/>
      <c r="I12" s="9"/>
      <c r="J12" s="9"/>
      <c r="K12" s="9"/>
    </row>
    <row r="13" spans="1:13" ht="14.45">
      <c r="A13" s="9"/>
      <c r="B13" s="14"/>
      <c r="C13" s="9"/>
      <c r="D13" s="9"/>
      <c r="E13" s="9"/>
      <c r="F13" s="9"/>
      <c r="G13" s="9"/>
      <c r="H13" s="72"/>
      <c r="I13" s="9"/>
      <c r="J13" s="9"/>
      <c r="K13" s="9"/>
    </row>
    <row r="14" spans="1:13" ht="14.45">
      <c r="A14" s="9"/>
      <c r="B14" s="14"/>
      <c r="C14" s="9"/>
      <c r="D14" s="9"/>
      <c r="E14" s="9"/>
      <c r="F14" s="10"/>
      <c r="G14" s="9"/>
      <c r="H14" s="9"/>
      <c r="I14" s="10"/>
      <c r="J14" s="9"/>
      <c r="K14" s="9"/>
    </row>
    <row r="15" spans="1:13" ht="14.45">
      <c r="A15" s="9"/>
      <c r="B15" s="14"/>
      <c r="C15" s="9"/>
      <c r="D15" s="9"/>
      <c r="E15" s="9"/>
      <c r="F15" s="10"/>
      <c r="G15" s="9"/>
      <c r="H15" s="9"/>
      <c r="I15" s="10"/>
      <c r="J15" s="9"/>
      <c r="K15" s="9"/>
    </row>
    <row r="16" spans="1:13"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mergeCells count="4">
    <mergeCell ref="G1:I1"/>
    <mergeCell ref="A1:C1"/>
    <mergeCell ref="D1:F1"/>
    <mergeCell ref="A2:B2"/>
  </mergeCells>
  <conditionalFormatting sqref="F2 I2 F4:F11 I4:I81 F13:F81">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863" xr:uid="{079F6A22-9408-44E3-9FAC-7FAD03524ACC}"/>
    <hyperlink ref="L4" r:id="rId2" display="https://us3.assetplanner.com/service_request?ID=094989" xr:uid="{27B5BBE6-919F-4560-9B52-423ED1C598AA}"/>
    <hyperlink ref="M4" r:id="rId3" display="https://us3.assetplanner.com/service_request?ID=097768" xr:uid="{1FB609A7-2724-4048-A08F-A86FF05C0EF5}"/>
    <hyperlink ref="K5" r:id="rId4" display="https://us3.assetplanner.com/service_request?ID=093413" xr:uid="{B22DB26F-7781-463A-8DA6-90A4919705E1}"/>
    <hyperlink ref="K6" r:id="rId5" display="https://us3.assetplanner.com/service_request?ID=093414" xr:uid="{6A5DD324-D780-4290-836E-E7EED42185AD}"/>
    <hyperlink ref="K7" r:id="rId6" display="https://us3.assetplanner.com/service_request?ID=086098" xr:uid="{2E4327B8-154B-4FB9-A707-2A79BF78118B}"/>
    <hyperlink ref="K8" r:id="rId7" display="https://us3.assetplanner.com/service_request?ID=097638" xr:uid="{675F13AB-88DC-4CD6-850E-A0EDFFBB14CE}"/>
  </hyperlinks>
  <pageMargins left="0.4" right="0.7" top="0.25" bottom="0.25" header="0.3" footer="0.3"/>
  <pageSetup fitToHeight="99" orientation="landscape"/>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3"/>
  <sheetViews>
    <sheetView tabSelected="1" workbookViewId="0">
      <pane xSplit="2" ySplit="3" topLeftCell="F4" activePane="bottomRight" state="frozen"/>
      <selection pane="bottomRight" activeCell="F23" sqref="F23"/>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3" ht="19.5" customHeight="1">
      <c r="A1" s="77" t="str" cm="1">
        <f t="array" ref="A1">portfolio</f>
        <v>Luminance</v>
      </c>
      <c r="B1" s="77"/>
      <c r="C1" s="77"/>
      <c r="D1" s="78" t="s">
        <v>44</v>
      </c>
      <c r="E1" s="78"/>
      <c r="F1" s="78"/>
      <c r="G1" s="76" t="s">
        <v>45</v>
      </c>
      <c r="H1" s="76"/>
      <c r="I1" s="76"/>
      <c r="J1" s="4"/>
      <c r="K1" s="4"/>
    </row>
    <row r="2" spans="1:13" ht="19.5" customHeight="1">
      <c r="A2" s="79" t="s">
        <v>2</v>
      </c>
      <c r="B2" s="79"/>
      <c r="C2" s="5">
        <f>SUM(C4:C81)</f>
        <v>0</v>
      </c>
      <c r="D2" s="5">
        <f>SUM(D4:D81)</f>
        <v>0</v>
      </c>
      <c r="E2" s="5">
        <f>C2-D2</f>
        <v>0</v>
      </c>
      <c r="F2" s="6">
        <f>IFERROR(E2/D2, 0)</f>
        <v>0</v>
      </c>
      <c r="G2" s="5">
        <f>SUM(G4:G81)</f>
        <v>0</v>
      </c>
      <c r="H2" s="7">
        <f>C2-G2</f>
        <v>0</v>
      </c>
      <c r="I2" s="6">
        <f>IFERROR(H2/G2, 0)</f>
        <v>0</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3" t="s">
        <v>3</v>
      </c>
      <c r="B3" s="13" t="s">
        <v>4</v>
      </c>
      <c r="C3" s="20" t="s">
        <v>5</v>
      </c>
      <c r="D3" s="21" t="s">
        <v>6</v>
      </c>
      <c r="E3" s="21" t="s">
        <v>7</v>
      </c>
      <c r="F3" s="22" t="s">
        <v>8</v>
      </c>
      <c r="G3" s="23" t="s">
        <v>9</v>
      </c>
      <c r="H3" s="24" t="s">
        <v>7</v>
      </c>
      <c r="I3" s="25" t="s">
        <v>8</v>
      </c>
      <c r="J3" s="11" t="s">
        <v>20</v>
      </c>
      <c r="K3" s="11" t="s">
        <v>21</v>
      </c>
    </row>
    <row r="4" spans="1:13" ht="15.6">
      <c r="A4" s="45"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4"/>
      <c r="K4" s="54"/>
      <c r="M4" s="53"/>
    </row>
    <row r="5" spans="1:13" ht="15.6">
      <c r="A5" s="46" t="str">
        <v>Berkeley - NJ-22-C893 Berkeley I</v>
      </c>
      <c r="B5" s="43" t="str">
        <v>NJ</v>
      </c>
      <c r="C5" s="36"/>
      <c r="D5" s="37"/>
      <c r="E5" s="37" t="str">
        <f t="shared" ref="E5:E8" si="0">IF(AND(ISNUMBER(C5),ISNUMBER(D5)), C5-D5, "")</f>
        <v/>
      </c>
      <c r="F5" s="38" t="str">
        <f>IFERROR(E5/D5, "")</f>
        <v/>
      </c>
      <c r="G5" s="39"/>
      <c r="H5" s="39" t="str">
        <f t="shared" ref="H5:H8" si="1">IF(AND(ISNUMBER(C5),ISNUMBER(G5)), C5-G5, "")</f>
        <v/>
      </c>
      <c r="I5" s="38" t="str">
        <f t="shared" ref="I5:I8" si="2">IFERROR(H5/G5, "")</f>
        <v/>
      </c>
      <c r="J5" s="55"/>
      <c r="K5" s="55"/>
      <c r="M5" s="53"/>
    </row>
    <row r="6" spans="1:13" ht="15.6">
      <c r="A6" s="47" t="str">
        <v>Berkeley - NJ-22-C894 Berkeley II</v>
      </c>
      <c r="B6" s="41" t="str">
        <v>NJ</v>
      </c>
      <c r="C6" s="29"/>
      <c r="D6" s="30"/>
      <c r="E6" s="30" t="str">
        <f t="shared" si="0"/>
        <v/>
      </c>
      <c r="F6" s="31" t="str">
        <f t="shared" ref="F6:F8" si="3">IFERROR(E6/D6, "")</f>
        <v/>
      </c>
      <c r="G6" s="32"/>
      <c r="H6" s="32" t="str">
        <f t="shared" si="1"/>
        <v/>
      </c>
      <c r="I6" s="33" t="str">
        <f t="shared" si="2"/>
        <v/>
      </c>
      <c r="J6" s="54"/>
      <c r="K6" s="54"/>
      <c r="M6" s="53"/>
    </row>
    <row r="7" spans="1:13" ht="15.6">
      <c r="A7" s="46" t="str">
        <v xml:space="preserve"> BEMS Landfill East</v>
      </c>
      <c r="B7" s="43" t="str">
        <v>NJ</v>
      </c>
      <c r="C7" s="36"/>
      <c r="D7" s="37"/>
      <c r="E7" s="37" t="str">
        <f t="shared" si="0"/>
        <v/>
      </c>
      <c r="F7" s="38" t="str">
        <f t="shared" si="3"/>
        <v/>
      </c>
      <c r="G7" s="39"/>
      <c r="H7" s="39" t="str">
        <f t="shared" si="1"/>
        <v/>
      </c>
      <c r="I7" s="38" t="str">
        <f t="shared" si="2"/>
        <v/>
      </c>
      <c r="J7" s="55"/>
      <c r="K7" s="56"/>
      <c r="M7" s="53"/>
    </row>
    <row r="8" spans="1:13" ht="15.6">
      <c r="A8" s="47" t="str">
        <v>Southampton - BEMS West NJ-22-C898</v>
      </c>
      <c r="B8" s="41" t="str">
        <v>NJ</v>
      </c>
      <c r="C8" s="29"/>
      <c r="D8" s="30"/>
      <c r="E8" s="30" t="str">
        <f t="shared" si="0"/>
        <v/>
      </c>
      <c r="F8" s="31" t="str">
        <f t="shared" si="3"/>
        <v/>
      </c>
      <c r="G8" s="32"/>
      <c r="H8" s="32" t="str">
        <f t="shared" si="1"/>
        <v/>
      </c>
      <c r="I8" s="33" t="str">
        <f t="shared" si="2"/>
        <v/>
      </c>
      <c r="J8" s="54"/>
      <c r="K8" s="54"/>
      <c r="M8" s="53"/>
    </row>
    <row r="9" spans="1:13" ht="14.45">
      <c r="A9" s="9" t="str">
        <v>Lakewood Twp - Emergency Services Dev  - NJ-23-0008</v>
      </c>
      <c r="B9" s="14" t="str">
        <v>NJ</v>
      </c>
      <c r="C9" s="9"/>
      <c r="D9" s="9"/>
      <c r="E9" s="9"/>
      <c r="F9" s="9"/>
      <c r="G9" s="9"/>
      <c r="H9" s="9"/>
      <c r="I9" s="9"/>
      <c r="J9" s="9"/>
      <c r="K9" s="9"/>
      <c r="M9" s="53"/>
    </row>
    <row r="10" spans="1:13" ht="14.45">
      <c r="A10" s="9" t="str">
        <v>Lakewood Township - Public Works</v>
      </c>
      <c r="B10" s="14" t="str">
        <v>NJ</v>
      </c>
      <c r="C10" s="9"/>
      <c r="D10" s="9"/>
      <c r="E10" s="9"/>
      <c r="F10" s="9"/>
      <c r="G10" s="9"/>
      <c r="H10" s="9"/>
      <c r="I10" s="9"/>
      <c r="J10" s="9"/>
      <c r="K10" s="9"/>
      <c r="M10" s="53"/>
    </row>
    <row r="11" spans="1:13" ht="14.45">
      <c r="A11" s="9"/>
      <c r="B11" s="14"/>
      <c r="C11" s="9"/>
      <c r="D11" s="9"/>
      <c r="E11" s="9"/>
      <c r="F11" s="9"/>
      <c r="G11" s="9"/>
      <c r="H11" s="9"/>
      <c r="I11" s="9"/>
      <c r="J11" s="9"/>
      <c r="K11" s="9"/>
      <c r="M11" s="53"/>
    </row>
    <row r="12" spans="1:13" ht="14.45">
      <c r="A12" s="9"/>
      <c r="B12" s="14"/>
      <c r="C12" s="9"/>
      <c r="D12" s="9"/>
      <c r="E12" s="9"/>
      <c r="F12" s="9"/>
      <c r="G12" s="9"/>
      <c r="H12" s="9"/>
      <c r="I12" s="9"/>
      <c r="J12" s="9"/>
      <c r="K12" s="9"/>
      <c r="M12" s="53"/>
    </row>
    <row r="13" spans="1:13" ht="14.45">
      <c r="A13" s="9"/>
      <c r="B13" s="14"/>
      <c r="C13" s="9"/>
      <c r="D13" s="9"/>
      <c r="E13" s="9"/>
      <c r="F13" s="9"/>
      <c r="G13" s="9"/>
      <c r="H13" s="9"/>
      <c r="I13" s="9"/>
      <c r="J13" s="9"/>
      <c r="K13" s="9"/>
      <c r="M13" s="53"/>
    </row>
    <row r="14" spans="1:13" ht="14.45">
      <c r="A14" s="9"/>
      <c r="B14" s="14"/>
      <c r="C14" s="9"/>
      <c r="D14" s="9"/>
      <c r="E14" s="9"/>
      <c r="F14" s="10"/>
      <c r="G14" s="9"/>
      <c r="H14" s="9"/>
      <c r="I14" s="10"/>
      <c r="J14" s="9"/>
      <c r="K14" s="9"/>
      <c r="M14" s="53"/>
    </row>
    <row r="15" spans="1:13" ht="14.45">
      <c r="A15" s="9"/>
      <c r="B15" s="14"/>
      <c r="C15" s="9"/>
      <c r="D15" s="9"/>
      <c r="E15" s="9"/>
      <c r="F15" s="10"/>
      <c r="G15" s="9"/>
      <c r="H15" s="9"/>
      <c r="I15" s="10"/>
      <c r="J15" s="9"/>
      <c r="K15" s="9"/>
      <c r="M15" s="53"/>
    </row>
    <row r="16" spans="1:13" ht="14.45">
      <c r="A16" s="9"/>
      <c r="B16" s="14"/>
      <c r="C16" s="9"/>
      <c r="D16" s="9"/>
      <c r="E16" s="9"/>
      <c r="F16" s="10"/>
      <c r="G16" s="9"/>
      <c r="H16" s="9"/>
      <c r="I16" s="10"/>
      <c r="J16" s="9"/>
      <c r="K16" s="9"/>
      <c r="M16" s="53"/>
    </row>
    <row r="17" spans="1:13" ht="14.45">
      <c r="A17" s="9"/>
      <c r="B17" s="14"/>
      <c r="C17" s="9"/>
      <c r="D17" s="9"/>
      <c r="E17" s="9"/>
      <c r="F17" s="10"/>
      <c r="G17" s="9"/>
      <c r="H17" s="9"/>
      <c r="I17" s="10"/>
      <c r="J17" s="9"/>
      <c r="K17" s="9"/>
      <c r="M17" s="53"/>
    </row>
    <row r="18" spans="1:13" ht="14.45">
      <c r="A18" s="9"/>
      <c r="B18" s="14"/>
      <c r="C18" s="9"/>
      <c r="D18" s="9"/>
      <c r="E18" s="9"/>
      <c r="F18" s="10"/>
      <c r="G18" s="9"/>
      <c r="H18" s="9"/>
      <c r="I18" s="10"/>
      <c r="J18" s="9"/>
      <c r="K18" s="9"/>
      <c r="M18" s="53"/>
    </row>
    <row r="19" spans="1:13" ht="14.45">
      <c r="A19" s="9"/>
      <c r="B19" s="14"/>
      <c r="C19" s="9"/>
      <c r="D19" s="9"/>
      <c r="E19" s="9"/>
      <c r="F19" s="10"/>
      <c r="G19" s="9"/>
      <c r="H19" s="9"/>
      <c r="I19" s="10"/>
      <c r="J19" s="9"/>
      <c r="K19" s="9"/>
      <c r="M19" s="53"/>
    </row>
    <row r="20" spans="1:13" ht="14.45">
      <c r="A20" s="9"/>
      <c r="B20" s="14"/>
      <c r="C20" s="9"/>
      <c r="D20" s="9"/>
      <c r="E20" s="9"/>
      <c r="F20" s="10"/>
      <c r="G20" s="9"/>
      <c r="H20" s="9"/>
      <c r="I20" s="10"/>
      <c r="J20" s="9"/>
      <c r="K20" s="9"/>
      <c r="M20" s="53"/>
    </row>
    <row r="21" spans="1:13" ht="14.45">
      <c r="A21" s="9"/>
      <c r="B21" s="14"/>
      <c r="C21" s="9"/>
      <c r="D21" s="9"/>
      <c r="E21" s="9"/>
      <c r="F21" s="10"/>
      <c r="G21" s="9"/>
      <c r="H21" s="9"/>
      <c r="I21" s="10"/>
      <c r="J21" s="9"/>
      <c r="K21" s="9"/>
      <c r="M21" s="53"/>
    </row>
    <row r="22" spans="1:13" ht="14.45">
      <c r="A22" s="9"/>
      <c r="B22" s="14"/>
      <c r="C22" s="9"/>
      <c r="D22" s="9"/>
      <c r="E22" s="9"/>
      <c r="F22" s="10"/>
      <c r="G22" s="9"/>
      <c r="H22" s="9"/>
      <c r="I22" s="10"/>
      <c r="J22" s="9"/>
      <c r="K22" s="9"/>
      <c r="M22" s="53"/>
    </row>
    <row r="23" spans="1:13" ht="14.45">
      <c r="A23" s="9"/>
      <c r="B23" s="14"/>
      <c r="C23" s="9"/>
      <c r="D23" s="9"/>
      <c r="E23" s="9"/>
      <c r="F23" s="10"/>
      <c r="G23" s="9"/>
      <c r="H23" s="9"/>
      <c r="I23" s="10"/>
      <c r="J23" s="9"/>
      <c r="K23" s="9"/>
      <c r="M23" s="53"/>
    </row>
    <row r="24" spans="1:13" ht="14.45">
      <c r="A24" s="9"/>
      <c r="B24" s="14"/>
      <c r="C24" s="9"/>
      <c r="D24" s="9"/>
      <c r="E24" s="9"/>
      <c r="F24" s="10"/>
      <c r="G24" s="9"/>
      <c r="H24" s="9"/>
      <c r="I24" s="10"/>
      <c r="J24" s="9"/>
      <c r="K24" s="9"/>
      <c r="M24" s="53"/>
    </row>
    <row r="25" spans="1:13" ht="14.45">
      <c r="A25" s="9"/>
      <c r="B25" s="14"/>
      <c r="C25" s="9"/>
      <c r="D25" s="9"/>
      <c r="E25" s="9"/>
      <c r="F25" s="10"/>
      <c r="G25" s="9"/>
      <c r="H25" s="9"/>
      <c r="I25" s="10"/>
      <c r="J25" s="9"/>
      <c r="K25" s="9"/>
      <c r="M25" s="53"/>
    </row>
    <row r="26" spans="1:13" ht="14.45">
      <c r="A26" s="9"/>
      <c r="B26" s="14"/>
      <c r="C26" s="9"/>
      <c r="D26" s="9"/>
      <c r="E26" s="9"/>
      <c r="F26" s="10"/>
      <c r="G26" s="9"/>
      <c r="H26" s="9"/>
      <c r="I26" s="10"/>
      <c r="J26" s="9"/>
      <c r="K26" s="9"/>
      <c r="M26" s="53"/>
    </row>
    <row r="27" spans="1:13" ht="14.45">
      <c r="A27" s="9"/>
      <c r="B27" s="14"/>
      <c r="C27" s="9"/>
      <c r="D27" s="9"/>
      <c r="E27" s="9"/>
      <c r="F27" s="10"/>
      <c r="G27" s="9"/>
      <c r="H27" s="9"/>
      <c r="I27" s="10"/>
      <c r="J27" s="9"/>
      <c r="K27" s="9"/>
      <c r="M27" s="53"/>
    </row>
    <row r="28" spans="1:13" ht="14.45">
      <c r="A28" s="9"/>
      <c r="B28" s="14"/>
      <c r="C28" s="9"/>
      <c r="D28" s="9"/>
      <c r="E28" s="9"/>
      <c r="F28" s="10"/>
      <c r="G28" s="9"/>
      <c r="H28" s="9"/>
      <c r="I28" s="10"/>
      <c r="J28" s="9"/>
      <c r="K28" s="9"/>
      <c r="M28" s="53"/>
    </row>
    <row r="29" spans="1:13" ht="14.45">
      <c r="A29" s="9"/>
      <c r="B29" s="14"/>
      <c r="C29" s="9"/>
      <c r="D29" s="9"/>
      <c r="E29" s="9"/>
      <c r="F29" s="10"/>
      <c r="G29" s="9"/>
      <c r="H29" s="9"/>
      <c r="I29" s="10"/>
      <c r="J29" s="9"/>
      <c r="K29" s="9"/>
      <c r="M29" s="53"/>
    </row>
    <row r="30" spans="1:13" ht="14.45">
      <c r="A30" s="9"/>
      <c r="B30" s="14"/>
      <c r="C30" s="9"/>
      <c r="D30" s="9"/>
      <c r="E30" s="9"/>
      <c r="F30" s="10"/>
      <c r="G30" s="9"/>
      <c r="H30" s="9"/>
      <c r="I30" s="10"/>
      <c r="J30" s="9"/>
      <c r="K30" s="9"/>
      <c r="M30" s="53"/>
    </row>
    <row r="31" spans="1:13" ht="14.45">
      <c r="A31" s="9"/>
      <c r="B31" s="14"/>
      <c r="C31" s="9"/>
      <c r="D31" s="9"/>
      <c r="E31" s="9"/>
      <c r="F31" s="10"/>
      <c r="G31" s="9"/>
      <c r="H31" s="9"/>
      <c r="I31" s="10"/>
      <c r="J31" s="9"/>
      <c r="K31" s="9"/>
    </row>
    <row r="32" spans="1:13"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mergeCells count="4">
    <mergeCell ref="G1:I1"/>
    <mergeCell ref="A1:C1"/>
    <mergeCell ref="D1:F1"/>
    <mergeCell ref="A2:B2"/>
  </mergeCells>
  <conditionalFormatting sqref="F2 I2 F4:F81 I4:I81">
    <cfRule type="cellIs" dxfId="22" priority="5" stopIfTrue="1" operator="lessThanOrEqual">
      <formula>-0.1</formula>
    </cfRule>
    <cfRule type="expression" dxfId="21" priority="6">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23"/>
  <sheetViews>
    <sheetView workbookViewId="0">
      <pane xSplit="2" ySplit="3" topLeftCell="C4" activePane="bottomRight" state="frozen"/>
      <selection pane="bottomRight" activeCell="E22" sqref="E22"/>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46</v>
      </c>
      <c r="E1" s="78"/>
      <c r="F1" s="78"/>
      <c r="G1" s="76" t="s">
        <v>47</v>
      </c>
      <c r="H1" s="76"/>
      <c r="I1" s="76"/>
      <c r="J1" s="4"/>
      <c r="K1" s="4"/>
    </row>
    <row r="2" spans="1:11" ht="19.5" customHeight="1">
      <c r="A2" s="79" t="s">
        <v>2</v>
      </c>
      <c r="B2" s="79"/>
      <c r="C2" s="5">
        <f>SUM(C4:C81)</f>
        <v>0</v>
      </c>
      <c r="D2" s="5">
        <f>SUM(D4:D81)</f>
        <v>0</v>
      </c>
      <c r="E2" s="5">
        <f>C2-D2</f>
        <v>0</v>
      </c>
      <c r="F2" s="6">
        <f>IFERROR(E2/D2, 0)</f>
        <v>0</v>
      </c>
      <c r="G2" s="5">
        <f>SUM(G4:G81)</f>
        <v>0</v>
      </c>
      <c r="H2" s="7">
        <f>C2-G2</f>
        <v>0</v>
      </c>
      <c r="I2" s="6">
        <f>IFERROR(H2/G2, 0)</f>
        <v>0</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0"/>
      <c r="K4" s="50"/>
    </row>
    <row r="5" spans="1:11" ht="15.6">
      <c r="A5" s="42" t="str">
        <v>Berkeley - NJ-22-C893 Berkeley I</v>
      </c>
      <c r="B5" s="43" t="str">
        <v>NJ</v>
      </c>
      <c r="C5" s="36"/>
      <c r="D5" s="37"/>
      <c r="E5" s="37" t="str">
        <f t="shared" ref="E5:E8" si="0">IF(AND(ISNUMBER(C5),ISNUMBER(D5)), C5-D5, "")</f>
        <v/>
      </c>
      <c r="F5" s="38" t="str">
        <f>IFERROR(E5/D5, "")</f>
        <v/>
      </c>
      <c r="G5" s="57"/>
      <c r="H5" s="39" t="str">
        <f t="shared" ref="H5:H8" si="1">IF(AND(ISNUMBER(C5),ISNUMBER(G5)), C5-G5, "")</f>
        <v/>
      </c>
      <c r="I5" s="38" t="str">
        <f t="shared" ref="I5:I8" si="2">IFERROR(H5/G5, "")</f>
        <v/>
      </c>
      <c r="J5" s="51"/>
      <c r="K5" s="51"/>
    </row>
    <row r="6" spans="1:11" ht="30" customHeight="1">
      <c r="A6" s="44" t="str">
        <v>Berkeley - NJ-22-C894 Berkeley II</v>
      </c>
      <c r="B6" s="41" t="str">
        <v>NJ</v>
      </c>
      <c r="C6" s="29"/>
      <c r="D6" s="30"/>
      <c r="E6" s="30" t="str">
        <f t="shared" si="0"/>
        <v/>
      </c>
      <c r="F6" s="31" t="str">
        <f t="shared" ref="F6:F8" si="3">IFERROR(E6/D6, "")</f>
        <v/>
      </c>
      <c r="G6" s="32"/>
      <c r="H6" s="32" t="str">
        <f t="shared" si="1"/>
        <v/>
      </c>
      <c r="I6" s="33" t="str">
        <f t="shared" si="2"/>
        <v/>
      </c>
      <c r="J6" s="50"/>
      <c r="K6" s="50"/>
    </row>
    <row r="7" spans="1:11" ht="27.75" customHeight="1">
      <c r="A7" s="42" t="str">
        <v xml:space="preserve"> BEMS Landfill East</v>
      </c>
      <c r="B7" s="43" t="str">
        <v>NJ</v>
      </c>
      <c r="C7" s="36"/>
      <c r="D7" s="37"/>
      <c r="E7" s="37" t="str">
        <f t="shared" si="0"/>
        <v/>
      </c>
      <c r="F7" s="38" t="str">
        <f t="shared" si="3"/>
        <v/>
      </c>
      <c r="G7" s="39"/>
      <c r="H7" s="39" t="str">
        <f t="shared" si="1"/>
        <v/>
      </c>
      <c r="I7" s="38" t="str">
        <f t="shared" si="2"/>
        <v/>
      </c>
      <c r="J7" s="51"/>
      <c r="K7" s="52"/>
    </row>
    <row r="8" spans="1:11" ht="15.6">
      <c r="A8" s="44" t="str">
        <v>Southampton - BEMS West NJ-22-C898</v>
      </c>
      <c r="B8" s="41" t="str">
        <v>NJ</v>
      </c>
      <c r="C8" s="29"/>
      <c r="D8" s="30"/>
      <c r="E8" s="30" t="str">
        <f t="shared" si="0"/>
        <v/>
      </c>
      <c r="F8" s="31" t="str">
        <f t="shared" si="3"/>
        <v/>
      </c>
      <c r="G8" s="32"/>
      <c r="H8" s="32" t="str">
        <f t="shared" si="1"/>
        <v/>
      </c>
      <c r="I8" s="33" t="str">
        <f t="shared" si="2"/>
        <v/>
      </c>
      <c r="J8" s="50"/>
      <c r="K8" s="50"/>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9"/>
      <c r="G13" s="9"/>
      <c r="H13" s="9"/>
      <c r="I13" s="9"/>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mergeCells count="4">
    <mergeCell ref="G1:I1"/>
    <mergeCell ref="A1:C1"/>
    <mergeCell ref="D1:F1"/>
    <mergeCell ref="A2:B2"/>
  </mergeCells>
  <conditionalFormatting sqref="F2 I2 F4:F81 I4:I81">
    <cfRule type="cellIs" dxfId="20" priority="5" stopIfTrue="1" operator="lessThanOrEqual">
      <formula>-0.1</formula>
    </cfRule>
    <cfRule type="expression" dxfId="19" priority="6">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3"/>
  <sheetViews>
    <sheetView workbookViewId="0">
      <pane xSplit="2" ySplit="3" topLeftCell="C4" activePane="bottomRight" state="frozen"/>
      <selection pane="bottomRight" activeCell="E18" sqref="E18"/>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48</v>
      </c>
      <c r="E1" s="78"/>
      <c r="F1" s="78"/>
      <c r="G1" s="76" t="s">
        <v>49</v>
      </c>
      <c r="H1" s="76"/>
      <c r="I1" s="76"/>
      <c r="J1" s="4"/>
      <c r="K1" s="4"/>
    </row>
    <row r="2" spans="1:11" ht="19.5" customHeight="1">
      <c r="A2" s="79" t="s">
        <v>2</v>
      </c>
      <c r="B2" s="79"/>
      <c r="C2" s="5">
        <f>SUM(C4:C81)</f>
        <v>0</v>
      </c>
      <c r="D2" s="5">
        <f>SUM(D4:D81)</f>
        <v>0</v>
      </c>
      <c r="E2" s="5">
        <f>C2-D2</f>
        <v>0</v>
      </c>
      <c r="F2" s="6">
        <f>IFERROR(E2/D2, 0)</f>
        <v>0</v>
      </c>
      <c r="G2" s="5">
        <f>SUM(G4:G81)</f>
        <v>0</v>
      </c>
      <c r="H2" s="7">
        <f>C2-G2</f>
        <v>0</v>
      </c>
      <c r="I2" s="6">
        <f>IFERROR(H2/G2, 0)</f>
        <v>0</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0"/>
      <c r="K4" s="50"/>
    </row>
    <row r="5" spans="1:11" ht="15.6">
      <c r="A5" s="42" t="str">
        <v>Berkeley - NJ-22-C893 Berkeley I</v>
      </c>
      <c r="B5" s="43" t="str">
        <v>NJ</v>
      </c>
      <c r="C5" s="36"/>
      <c r="D5" s="37"/>
      <c r="E5" s="37" t="str">
        <f>IF(AND(ISNUMBER(C5),ISNUMBER(D5)), C5-D5, "")</f>
        <v/>
      </c>
      <c r="F5" s="38" t="str">
        <f>IFERROR(E5/D5, "")</f>
        <v/>
      </c>
      <c r="G5" s="39"/>
      <c r="H5" s="39" t="str">
        <f t="shared" ref="H5:H8" si="0">IF(AND(ISNUMBER(C5),ISNUMBER(G5)), C5-G5, "")</f>
        <v/>
      </c>
      <c r="I5" s="38" t="str">
        <f t="shared" ref="I5:I8" si="1">IFERROR(H5/G5, "")</f>
        <v/>
      </c>
      <c r="J5" s="51"/>
      <c r="K5" s="51"/>
    </row>
    <row r="6" spans="1:11" ht="15.6">
      <c r="A6" s="44" t="str">
        <v>Berkeley - NJ-22-C894 Berkeley II</v>
      </c>
      <c r="B6" s="41" t="str">
        <v>NJ</v>
      </c>
      <c r="C6" s="29"/>
      <c r="D6" s="30"/>
      <c r="E6" s="30" t="str">
        <f t="shared" ref="E6:E8" si="2">IF(AND(ISNUMBER(C6),ISNUMBER(D6)), C6-D6, "")</f>
        <v/>
      </c>
      <c r="F6" s="31" t="str">
        <f t="shared" ref="F6:F8" si="3">IFERROR(E6/D6, "")</f>
        <v/>
      </c>
      <c r="G6" s="32"/>
      <c r="H6" s="32" t="str">
        <f t="shared" si="0"/>
        <v/>
      </c>
      <c r="I6" s="33" t="str">
        <f t="shared" si="1"/>
        <v/>
      </c>
      <c r="J6" s="50"/>
      <c r="K6" s="50"/>
    </row>
    <row r="7" spans="1:11" ht="15.6">
      <c r="A7" s="42" t="str">
        <v xml:space="preserve"> BEMS Landfill East</v>
      </c>
      <c r="B7" s="43" t="str">
        <v>NJ</v>
      </c>
      <c r="C7" s="36"/>
      <c r="D7" s="37"/>
      <c r="E7" s="37" t="str">
        <f t="shared" si="2"/>
        <v/>
      </c>
      <c r="F7" s="38" t="str">
        <f t="shared" si="3"/>
        <v/>
      </c>
      <c r="G7" s="39"/>
      <c r="H7" s="39" t="str">
        <f t="shared" si="0"/>
        <v/>
      </c>
      <c r="I7" s="38" t="str">
        <f t="shared" si="1"/>
        <v/>
      </c>
      <c r="J7" s="51"/>
      <c r="K7" s="52"/>
    </row>
    <row r="8" spans="1:11" ht="15.6">
      <c r="A8" s="44" t="str">
        <v>Southampton - BEMS West NJ-22-C898</v>
      </c>
      <c r="B8" s="41" t="str">
        <v>NJ</v>
      </c>
      <c r="C8" s="29"/>
      <c r="D8" s="30"/>
      <c r="E8" s="30" t="str">
        <f t="shared" si="2"/>
        <v/>
      </c>
      <c r="F8" s="31" t="str">
        <f t="shared" si="3"/>
        <v/>
      </c>
      <c r="G8" s="32"/>
      <c r="H8" s="32" t="str">
        <f t="shared" si="0"/>
        <v/>
      </c>
      <c r="I8" s="33" t="str">
        <f t="shared" si="1"/>
        <v/>
      </c>
      <c r="J8" s="50"/>
      <c r="K8" s="50"/>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9"/>
      <c r="G13" s="9"/>
      <c r="H13" s="9"/>
      <c r="I13" s="9"/>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mergeCells count="4">
    <mergeCell ref="G1:I1"/>
    <mergeCell ref="A1:C1"/>
    <mergeCell ref="D1:F1"/>
    <mergeCell ref="A2:B2"/>
  </mergeCells>
  <conditionalFormatting sqref="F2 I2 F4:F81 I4:I81">
    <cfRule type="cellIs" dxfId="18" priority="5" stopIfTrue="1" operator="lessThanOrEqual">
      <formula>-0.1</formula>
    </cfRule>
    <cfRule type="expression" dxfId="17" priority="6">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3"/>
  <sheetViews>
    <sheetView zoomScale="80" zoomScaleNormal="80" workbookViewId="0">
      <pane xSplit="2" ySplit="3" topLeftCell="C4" activePane="bottomRight" state="frozen"/>
      <selection pane="bottomRight" activeCell="H22" sqref="H22"/>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50</v>
      </c>
      <c r="E1" s="78"/>
      <c r="F1" s="78"/>
      <c r="G1" s="76" t="s">
        <v>51</v>
      </c>
      <c r="H1" s="76"/>
      <c r="I1" s="76"/>
      <c r="J1" s="4"/>
      <c r="K1" s="4"/>
    </row>
    <row r="2" spans="1:11" ht="19.5" customHeight="1">
      <c r="A2" s="79" t="s">
        <v>2</v>
      </c>
      <c r="B2" s="79"/>
      <c r="C2" s="5">
        <f>SUM(C4:C81)</f>
        <v>0</v>
      </c>
      <c r="D2" s="5">
        <f>SUM(D4:D81)</f>
        <v>0</v>
      </c>
      <c r="E2" s="5">
        <f>C2-D2</f>
        <v>0</v>
      </c>
      <c r="F2" s="6">
        <f>IFERROR(E2/D2, 0)</f>
        <v>0</v>
      </c>
      <c r="G2" s="5">
        <f>SUM(G4:G81)</f>
        <v>0</v>
      </c>
      <c r="H2" s="7">
        <f>C2-G2</f>
        <v>0</v>
      </c>
      <c r="I2" s="6">
        <f>IFERROR(H2/G2, 0)</f>
        <v>0</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8"/>
      <c r="K4" s="58"/>
    </row>
    <row r="5" spans="1:11" ht="15.6">
      <c r="A5" s="42" t="str">
        <v>Berkeley - NJ-22-C893 Berkeley I</v>
      </c>
      <c r="B5" s="43" t="str">
        <v>NJ</v>
      </c>
      <c r="C5" s="36"/>
      <c r="D5" s="59"/>
      <c r="E5" s="37" t="str">
        <f t="shared" ref="E5:E8" si="0">IF(AND(ISNUMBER(C5),ISNUMBER(D5)), C5-D5, "")</f>
        <v/>
      </c>
      <c r="F5" s="38" t="str">
        <f>IFERROR(E5/D5, "")</f>
        <v/>
      </c>
      <c r="G5" s="59"/>
      <c r="H5" s="39" t="str">
        <f t="shared" ref="H5:H8" si="1">IF(AND(ISNUMBER(C5),ISNUMBER(G5)), C5-G5, "")</f>
        <v/>
      </c>
      <c r="I5" s="38" t="str">
        <f t="shared" ref="I5:I8" si="2">IFERROR(H5/G5, "")</f>
        <v/>
      </c>
      <c r="J5" s="64"/>
      <c r="K5" s="65"/>
    </row>
    <row r="6" spans="1:11" ht="15.6">
      <c r="A6" s="44" t="str">
        <v>Berkeley - NJ-22-C894 Berkeley II</v>
      </c>
      <c r="B6" s="41" t="str">
        <v>NJ</v>
      </c>
      <c r="C6" s="29"/>
      <c r="D6" s="30"/>
      <c r="E6" s="30" t="str">
        <f t="shared" si="0"/>
        <v/>
      </c>
      <c r="F6" s="31" t="str">
        <f t="shared" ref="F6:F8" si="3">IFERROR(E6/D6, "")</f>
        <v/>
      </c>
      <c r="G6" s="32"/>
      <c r="H6" s="32" t="str">
        <f t="shared" si="1"/>
        <v/>
      </c>
      <c r="I6" s="33" t="str">
        <f t="shared" si="2"/>
        <v/>
      </c>
      <c r="J6" s="58"/>
      <c r="K6" s="58"/>
    </row>
    <row r="7" spans="1:11" ht="15.6">
      <c r="A7" s="42" t="str">
        <v xml:space="preserve"> BEMS Landfill East</v>
      </c>
      <c r="B7" s="43" t="str">
        <v>NJ</v>
      </c>
      <c r="C7" s="36"/>
      <c r="D7" s="37"/>
      <c r="E7" s="37" t="str">
        <f t="shared" si="0"/>
        <v/>
      </c>
      <c r="F7" s="38" t="str">
        <f t="shared" si="3"/>
        <v/>
      </c>
      <c r="G7" s="39"/>
      <c r="H7" s="39" t="str">
        <f t="shared" si="1"/>
        <v/>
      </c>
      <c r="I7" s="38" t="str">
        <f t="shared" si="2"/>
        <v/>
      </c>
      <c r="J7" s="64"/>
      <c r="K7" s="64"/>
    </row>
    <row r="8" spans="1:11" ht="15.6">
      <c r="A8" s="44" t="str">
        <v>Southampton - BEMS West NJ-22-C898</v>
      </c>
      <c r="B8" s="41" t="str">
        <v>NJ</v>
      </c>
      <c r="C8" s="29"/>
      <c r="D8" s="30"/>
      <c r="E8" s="30" t="str">
        <f t="shared" si="0"/>
        <v/>
      </c>
      <c r="F8" s="31" t="str">
        <f t="shared" si="3"/>
        <v/>
      </c>
      <c r="G8" s="32"/>
      <c r="H8" s="32" t="str">
        <f t="shared" si="1"/>
        <v/>
      </c>
      <c r="I8" s="33" t="str">
        <f t="shared" si="2"/>
        <v/>
      </c>
      <c r="J8" s="58"/>
      <c r="K8" s="58"/>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9"/>
      <c r="G13" s="9"/>
      <c r="H13" s="9"/>
      <c r="I13" s="9"/>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mergeCells count="4">
    <mergeCell ref="G1:I1"/>
    <mergeCell ref="A1:C1"/>
    <mergeCell ref="D1:F1"/>
    <mergeCell ref="A2:B2"/>
  </mergeCells>
  <conditionalFormatting sqref="F2 I2 F4:F81 I4:I81">
    <cfRule type="cellIs" dxfId="16" priority="5" stopIfTrue="1" operator="lessThanOrEqual">
      <formula>-0.1</formula>
    </cfRule>
    <cfRule type="expression" dxfId="15"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3"/>
  <sheetViews>
    <sheetView zoomScale="70" zoomScaleNormal="70" workbookViewId="0">
      <pane xSplit="2" ySplit="3" topLeftCell="C4" activePane="bottomRight" state="frozen"/>
      <selection pane="bottomRight" activeCell="C19" sqref="C19"/>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52</v>
      </c>
      <c r="E1" s="78"/>
      <c r="F1" s="78"/>
      <c r="G1" s="76" t="s">
        <v>53</v>
      </c>
      <c r="H1" s="76"/>
      <c r="I1" s="76"/>
      <c r="J1" s="4"/>
      <c r="K1" s="4"/>
    </row>
    <row r="2" spans="1:11" ht="19.5" customHeight="1">
      <c r="A2" s="79" t="s">
        <v>2</v>
      </c>
      <c r="B2" s="79"/>
      <c r="C2" s="5">
        <f>SUM(C4:C81)</f>
        <v>0</v>
      </c>
      <c r="D2" s="5">
        <f>SUM(D4:D81)</f>
        <v>0</v>
      </c>
      <c r="E2" s="5">
        <f>C2-D2</f>
        <v>0</v>
      </c>
      <c r="F2" s="6">
        <f>IFERROR(E2/D2, 0)</f>
        <v>0</v>
      </c>
      <c r="G2" s="5">
        <f>SUM(G4:G81)</f>
        <v>0</v>
      </c>
      <c r="H2" s="7">
        <f>C2-G2</f>
        <v>0</v>
      </c>
      <c r="I2" s="6">
        <f>IFERROR(H2/G2, 0)</f>
        <v>0</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78" customHeight="1">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0"/>
      <c r="K4" s="50"/>
    </row>
    <row r="5" spans="1:11" ht="42.75" customHeight="1">
      <c r="A5" s="42" t="str">
        <v>Berkeley - NJ-22-C893 Berkeley I</v>
      </c>
      <c r="B5" s="43" t="str">
        <v>NJ</v>
      </c>
      <c r="C5" s="36"/>
      <c r="D5" s="37"/>
      <c r="E5" s="37" t="str">
        <f t="shared" ref="E5:E8" si="0">IF(AND(ISNUMBER(C5),ISNUMBER(D5)), C5-D5, "")</f>
        <v/>
      </c>
      <c r="F5" s="38" t="str">
        <f>IFERROR(E5/D5, "")</f>
        <v/>
      </c>
      <c r="G5" s="39"/>
      <c r="H5" s="39" t="str">
        <f t="shared" ref="H5:H8" si="1">IF(AND(ISNUMBER(C5),ISNUMBER(G5)), C5-G5, "")</f>
        <v/>
      </c>
      <c r="I5" s="38" t="str">
        <f t="shared" ref="I5:I8" si="2">IFERROR(H5/G5, "")</f>
        <v/>
      </c>
      <c r="J5" s="61"/>
      <c r="K5" s="51"/>
    </row>
    <row r="6" spans="1:11" ht="15.6">
      <c r="A6" s="44" t="str">
        <v>Berkeley - NJ-22-C894 Berkeley II</v>
      </c>
      <c r="B6" s="41" t="str">
        <v>NJ</v>
      </c>
      <c r="C6" s="29"/>
      <c r="D6" s="30"/>
      <c r="E6" s="30" t="str">
        <f t="shared" si="0"/>
        <v/>
      </c>
      <c r="F6" s="31" t="str">
        <f t="shared" ref="F6:F8" si="3">IFERROR(E6/D6, "")</f>
        <v/>
      </c>
      <c r="G6" s="32"/>
      <c r="H6" s="32" t="str">
        <f t="shared" si="1"/>
        <v/>
      </c>
      <c r="I6" s="33" t="str">
        <f t="shared" si="2"/>
        <v/>
      </c>
      <c r="J6" s="50"/>
      <c r="K6" s="50"/>
    </row>
    <row r="7" spans="1:11" ht="15.6">
      <c r="A7" s="42" t="str">
        <v xml:space="preserve"> BEMS Landfill East</v>
      </c>
      <c r="B7" s="43" t="str">
        <v>NJ</v>
      </c>
      <c r="C7" s="36"/>
      <c r="D7" s="37"/>
      <c r="E7" s="37" t="str">
        <f t="shared" si="0"/>
        <v/>
      </c>
      <c r="F7" s="38" t="str">
        <f t="shared" si="3"/>
        <v/>
      </c>
      <c r="G7" s="39"/>
      <c r="H7" s="39" t="str">
        <f t="shared" si="1"/>
        <v/>
      </c>
      <c r="I7" s="38" t="str">
        <f t="shared" si="2"/>
        <v/>
      </c>
      <c r="J7" s="51"/>
      <c r="K7" s="52"/>
    </row>
    <row r="8" spans="1:11" ht="15.6">
      <c r="A8" s="44" t="str">
        <v>Southampton - BEMS West NJ-22-C898</v>
      </c>
      <c r="B8" s="41" t="str">
        <v>NJ</v>
      </c>
      <c r="C8" s="29"/>
      <c r="D8" s="30"/>
      <c r="E8" s="30" t="str">
        <f t="shared" si="0"/>
        <v/>
      </c>
      <c r="F8" s="31" t="str">
        <f t="shared" si="3"/>
        <v/>
      </c>
      <c r="G8" s="32"/>
      <c r="H8" s="32" t="str">
        <f t="shared" si="1"/>
        <v/>
      </c>
      <c r="I8" s="33" t="str">
        <f t="shared" si="2"/>
        <v/>
      </c>
      <c r="J8" s="50"/>
      <c r="K8" s="50"/>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9"/>
      <c r="G13" s="9"/>
      <c r="H13" s="9"/>
      <c r="I13" s="9"/>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sortState xmlns:xlrd2="http://schemas.microsoft.com/office/spreadsheetml/2017/richdata2" ref="A3:K8">
    <sortCondition ref="A3:A8"/>
  </sortState>
  <mergeCells count="4">
    <mergeCell ref="G1:I1"/>
    <mergeCell ref="A1:C1"/>
    <mergeCell ref="D1:F1"/>
    <mergeCell ref="A2:B2"/>
  </mergeCells>
  <conditionalFormatting sqref="F2 I2 F4:F81 I4:I81">
    <cfRule type="cellIs" dxfId="14" priority="5" stopIfTrue="1" operator="lessThanOrEqual">
      <formula>-0.1</formula>
    </cfRule>
    <cfRule type="expression" dxfId="13" priority="6">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3"/>
  <sheetViews>
    <sheetView zoomScale="90" zoomScaleNormal="90" workbookViewId="0">
      <pane xSplit="2" ySplit="3" topLeftCell="C4" activePane="bottomRight" state="frozen"/>
      <selection pane="bottomRight" activeCell="C12" sqref="C12"/>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54</v>
      </c>
      <c r="E1" s="78"/>
      <c r="F1" s="78"/>
      <c r="G1" s="76" t="s">
        <v>55</v>
      </c>
      <c r="H1" s="76"/>
      <c r="I1" s="76"/>
      <c r="J1" s="4"/>
      <c r="K1" s="4"/>
    </row>
    <row r="2" spans="1:11" ht="19.5" customHeight="1">
      <c r="A2" s="79" t="s">
        <v>2</v>
      </c>
      <c r="B2" s="79"/>
      <c r="C2" s="5">
        <f>SUM(C4:C81)</f>
        <v>0</v>
      </c>
      <c r="D2" s="5">
        <f>SUM(D4:D81)</f>
        <v>0</v>
      </c>
      <c r="E2" s="5">
        <f>C2-D2</f>
        <v>0</v>
      </c>
      <c r="F2" s="6">
        <f>IFERROR(E2/D2, 0)</f>
        <v>0</v>
      </c>
      <c r="G2" s="5">
        <f>SUM(G4:G81)</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0"/>
      <c r="K4" s="50"/>
    </row>
    <row r="5" spans="1:11" ht="15.6">
      <c r="A5" s="42" t="str">
        <v>Berkeley - NJ-22-C893 Berkeley I</v>
      </c>
      <c r="B5" s="43" t="str">
        <v>NJ</v>
      </c>
      <c r="C5" s="36"/>
      <c r="D5" s="37"/>
      <c r="E5" s="37" t="str">
        <f t="shared" ref="E5:E8" si="0">IF(AND(ISNUMBER(C5),ISNUMBER(D5)), C5-D5, "")</f>
        <v/>
      </c>
      <c r="F5" s="38" t="str">
        <f>IFERROR(E5/D5, "")</f>
        <v/>
      </c>
      <c r="G5" s="39"/>
      <c r="H5" s="39" t="str">
        <f t="shared" ref="H5:H8" si="1">IF(AND(ISNUMBER(C5),ISNUMBER(G5)), C5-G5, "")</f>
        <v/>
      </c>
      <c r="I5" s="38" t="str">
        <f t="shared" ref="I5:I8" si="2">IFERROR(H5/G5, "")</f>
        <v/>
      </c>
      <c r="J5" s="51"/>
      <c r="K5" s="61"/>
    </row>
    <row r="6" spans="1:11" ht="15.6">
      <c r="A6" s="44" t="str">
        <v>Berkeley - NJ-22-C894 Berkeley II</v>
      </c>
      <c r="B6" s="41" t="str">
        <v>NJ</v>
      </c>
      <c r="C6" s="29"/>
      <c r="D6" s="30"/>
      <c r="E6" s="30" t="str">
        <f t="shared" si="0"/>
        <v/>
      </c>
      <c r="F6" s="31" t="str">
        <f t="shared" ref="F6:F8" si="3">IFERROR(E6/D6, "")</f>
        <v/>
      </c>
      <c r="G6" s="32"/>
      <c r="H6" s="32" t="str">
        <f t="shared" si="1"/>
        <v/>
      </c>
      <c r="I6" s="33" t="str">
        <f t="shared" si="2"/>
        <v/>
      </c>
      <c r="J6" s="50"/>
      <c r="K6" s="50"/>
    </row>
    <row r="7" spans="1:11" ht="15.6">
      <c r="A7" s="42" t="str">
        <v xml:space="preserve"> BEMS Landfill East</v>
      </c>
      <c r="B7" s="43" t="str">
        <v>NJ</v>
      </c>
      <c r="C7" s="36"/>
      <c r="D7" s="37"/>
      <c r="E7" s="37" t="str">
        <f t="shared" si="0"/>
        <v/>
      </c>
      <c r="F7" s="38" t="str">
        <f t="shared" si="3"/>
        <v/>
      </c>
      <c r="G7" s="39"/>
      <c r="H7" s="39" t="str">
        <f t="shared" si="1"/>
        <v/>
      </c>
      <c r="I7" s="38" t="str">
        <f t="shared" si="2"/>
        <v/>
      </c>
      <c r="J7" s="51"/>
      <c r="K7" s="51"/>
    </row>
    <row r="8" spans="1:11" ht="15.6">
      <c r="A8" s="44" t="str">
        <v>Southampton - BEMS West NJ-22-C898</v>
      </c>
      <c r="B8" s="41" t="str">
        <v>NJ</v>
      </c>
      <c r="C8" s="29"/>
      <c r="D8" s="30"/>
      <c r="E8" s="30" t="str">
        <f t="shared" si="0"/>
        <v/>
      </c>
      <c r="F8" s="31" t="str">
        <f t="shared" si="3"/>
        <v/>
      </c>
      <c r="G8" s="32"/>
      <c r="H8" s="32" t="str">
        <f t="shared" si="1"/>
        <v/>
      </c>
      <c r="I8" s="33" t="str">
        <f t="shared" si="2"/>
        <v/>
      </c>
      <c r="J8" s="50"/>
      <c r="K8" s="50"/>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9"/>
      <c r="G13" s="9"/>
      <c r="H13" s="9"/>
      <c r="I13" s="9"/>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C323" s="9"/>
      <c r="D323" s="9"/>
      <c r="E323" s="9"/>
      <c r="F323" s="10"/>
      <c r="G323" s="9"/>
      <c r="H323" s="9"/>
      <c r="I323" s="10"/>
      <c r="J323" s="9"/>
      <c r="K323" s="9"/>
    </row>
  </sheetData>
  <mergeCells count="4">
    <mergeCell ref="G1:I1"/>
    <mergeCell ref="A1:C1"/>
    <mergeCell ref="D1:F1"/>
    <mergeCell ref="A2:B2"/>
  </mergeCells>
  <conditionalFormatting sqref="F2 I2 F4:F81 I4:I81">
    <cfRule type="cellIs" dxfId="12" priority="5" stopIfTrue="1" operator="lessThanOrEqual">
      <formula>-0.1</formula>
    </cfRule>
    <cfRule type="expression" dxfId="11" priority="6">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zoomScale="70" zoomScaleNormal="70" workbookViewId="0">
      <pane xSplit="2" ySplit="3" topLeftCell="C4" activePane="bottomRight" state="frozen"/>
      <selection pane="bottomRight" activeCell="C11" sqref="C11"/>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56</v>
      </c>
      <c r="E1" s="78"/>
      <c r="F1" s="78"/>
      <c r="G1" s="76" t="s">
        <v>57</v>
      </c>
      <c r="H1" s="76"/>
      <c r="I1" s="76"/>
      <c r="J1" s="4"/>
      <c r="K1" s="4"/>
    </row>
    <row r="2" spans="1:11" ht="19.5" customHeight="1">
      <c r="A2" s="79" t="s">
        <v>2</v>
      </c>
      <c r="B2" s="79"/>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0"/>
      <c r="K4" s="50"/>
    </row>
    <row r="5" spans="1:11" ht="15.6">
      <c r="A5" s="42" t="str">
        <v>Berkeley - NJ-22-C893 Berkeley I</v>
      </c>
      <c r="B5" s="43" t="str">
        <v>NJ</v>
      </c>
      <c r="C5" s="62"/>
      <c r="D5" s="37"/>
      <c r="E5" s="37" t="str">
        <f t="shared" ref="E5:E8" si="0">IF(AND(ISNUMBER(C5),ISNUMBER(D5)), C5-D5, "")</f>
        <v/>
      </c>
      <c r="F5" s="38" t="str">
        <f>IFERROR(E5/D5, "")</f>
        <v/>
      </c>
      <c r="G5" s="39"/>
      <c r="H5" s="39" t="str">
        <f t="shared" ref="H5:H8" si="1">IF(AND(ISNUMBER(C5),ISNUMBER(G5)), C5-G5, "")</f>
        <v/>
      </c>
      <c r="I5" s="38" t="str">
        <f t="shared" ref="I5:I8" si="2">IFERROR(H5/G5, "")</f>
        <v/>
      </c>
      <c r="J5" s="51"/>
      <c r="K5" s="61"/>
    </row>
    <row r="6" spans="1:11" ht="15.6">
      <c r="A6" s="44" t="str">
        <v>Berkeley - NJ-22-C894 Berkeley II</v>
      </c>
      <c r="B6" s="41" t="str">
        <v>NJ</v>
      </c>
      <c r="C6" s="29"/>
      <c r="D6" s="30"/>
      <c r="E6" s="30" t="str">
        <f t="shared" si="0"/>
        <v/>
      </c>
      <c r="F6" s="31" t="str">
        <f t="shared" ref="F6:F8" si="3">IFERROR(E6/D6, "")</f>
        <v/>
      </c>
      <c r="G6" s="32"/>
      <c r="H6" s="32" t="str">
        <f t="shared" si="1"/>
        <v/>
      </c>
      <c r="I6" s="33" t="str">
        <f t="shared" si="2"/>
        <v/>
      </c>
      <c r="J6" s="50"/>
      <c r="K6" s="50"/>
    </row>
    <row r="7" spans="1:11" ht="15.6">
      <c r="A7" s="42" t="str">
        <v xml:space="preserve"> BEMS Landfill East</v>
      </c>
      <c r="B7" s="43" t="str">
        <v>NJ</v>
      </c>
      <c r="C7" s="36"/>
      <c r="D7" s="37"/>
      <c r="E7" s="37" t="str">
        <f t="shared" si="0"/>
        <v/>
      </c>
      <c r="F7" s="38" t="str">
        <f t="shared" si="3"/>
        <v/>
      </c>
      <c r="G7" s="39"/>
      <c r="H7" s="39" t="str">
        <f t="shared" si="1"/>
        <v/>
      </c>
      <c r="I7" s="38" t="str">
        <f t="shared" si="2"/>
        <v/>
      </c>
      <c r="J7" s="51"/>
      <c r="K7" s="52"/>
    </row>
    <row r="8" spans="1:11" ht="15.6">
      <c r="A8" s="44" t="str">
        <v>Southampton - BEMS West NJ-22-C898</v>
      </c>
      <c r="B8" s="41" t="str">
        <v>NJ</v>
      </c>
      <c r="C8" s="29"/>
      <c r="D8" s="30"/>
      <c r="E8" s="30" t="str">
        <f t="shared" si="0"/>
        <v/>
      </c>
      <c r="F8" s="31" t="str">
        <f t="shared" si="3"/>
        <v/>
      </c>
      <c r="G8" s="32"/>
      <c r="H8" s="32" t="str">
        <f t="shared" si="1"/>
        <v/>
      </c>
      <c r="I8" s="33" t="str">
        <f t="shared" si="2"/>
        <v/>
      </c>
      <c r="J8" s="50"/>
      <c r="K8" s="50"/>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6" activePane="bottomRight" state="frozen"/>
      <selection pane="bottomRight" activeCell="C11" sqref="C11"/>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77" t="str" cm="1">
        <f t="array" ref="A1">portfolio</f>
        <v>Luminance</v>
      </c>
      <c r="B1" s="77"/>
      <c r="C1" s="77"/>
      <c r="D1" s="78" t="s">
        <v>58</v>
      </c>
      <c r="E1" s="78"/>
      <c r="F1" s="78"/>
      <c r="G1" s="76" t="s">
        <v>59</v>
      </c>
      <c r="H1" s="76"/>
      <c r="I1" s="76"/>
      <c r="J1" s="4"/>
      <c r="K1" s="4"/>
    </row>
    <row r="2" spans="1:11" ht="19.5" customHeight="1">
      <c r="A2" s="79" t="s">
        <v>2</v>
      </c>
      <c r="B2" s="79"/>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63"/>
      <c r="K4" s="63"/>
    </row>
    <row r="5" spans="1:11" ht="84" customHeight="1">
      <c r="A5" s="42" t="str">
        <v>Berkeley - NJ-22-C893 Berkeley I</v>
      </c>
      <c r="B5" s="43" t="str">
        <v>NJ</v>
      </c>
      <c r="C5" s="36"/>
      <c r="D5" s="37"/>
      <c r="E5" s="37" t="str">
        <f t="shared" ref="E5:E8" si="0">IF(AND(ISNUMBER(C5),ISNUMBER(D5)), C5-D5, "")</f>
        <v/>
      </c>
      <c r="F5" s="38" t="str">
        <f>IFERROR(E5/D5, "")</f>
        <v/>
      </c>
      <c r="G5" s="39"/>
      <c r="H5" s="39" t="str">
        <f t="shared" ref="H5:H8" si="1">IF(AND(ISNUMBER(C5),ISNUMBER(G5)), C5-G5, "")</f>
        <v/>
      </c>
      <c r="I5" s="38" t="str">
        <f t="shared" ref="I5:I8" si="2">IFERROR(H5/G5, "")</f>
        <v/>
      </c>
      <c r="J5" s="61"/>
      <c r="K5" s="61"/>
    </row>
    <row r="6" spans="1:11" ht="15.6">
      <c r="A6" s="44" t="str">
        <v>Berkeley - NJ-22-C894 Berkeley II</v>
      </c>
      <c r="B6" s="41" t="str">
        <v>NJ</v>
      </c>
      <c r="C6" s="29"/>
      <c r="D6" s="30"/>
      <c r="E6" s="30" t="str">
        <f t="shared" si="0"/>
        <v/>
      </c>
      <c r="F6" s="31" t="str">
        <f t="shared" ref="F6:F8" si="3">IFERROR(E6/D6, "")</f>
        <v/>
      </c>
      <c r="G6" s="32"/>
      <c r="H6" s="32" t="str">
        <f t="shared" si="1"/>
        <v/>
      </c>
      <c r="I6" s="33" t="str">
        <f t="shared" si="2"/>
        <v/>
      </c>
      <c r="J6" s="63"/>
      <c r="K6" s="63"/>
    </row>
    <row r="7" spans="1:11" ht="15.6">
      <c r="A7" s="42" t="str">
        <v xml:space="preserve"> BEMS Landfill East</v>
      </c>
      <c r="B7" s="43" t="str">
        <v>NJ</v>
      </c>
      <c r="C7" s="36"/>
      <c r="D7" s="37"/>
      <c r="E7" s="37" t="str">
        <f t="shared" si="0"/>
        <v/>
      </c>
      <c r="F7" s="38" t="str">
        <f t="shared" si="3"/>
        <v/>
      </c>
      <c r="G7" s="39"/>
      <c r="H7" s="39" t="str">
        <f t="shared" si="1"/>
        <v/>
      </c>
      <c r="I7" s="38" t="str">
        <f t="shared" si="2"/>
        <v/>
      </c>
      <c r="J7" s="61"/>
      <c r="K7" s="60"/>
    </row>
    <row r="8" spans="1:11" ht="15.6">
      <c r="A8" s="44" t="str">
        <v>Southampton - BEMS West NJ-22-C898</v>
      </c>
      <c r="B8" s="41" t="str">
        <v>NJ</v>
      </c>
      <c r="C8" s="29"/>
      <c r="D8" s="30"/>
      <c r="E8" s="30" t="str">
        <f t="shared" si="0"/>
        <v/>
      </c>
      <c r="F8" s="31" t="str">
        <f t="shared" si="3"/>
        <v/>
      </c>
      <c r="G8" s="32"/>
      <c r="H8" s="32" t="str">
        <f t="shared" si="1"/>
        <v/>
      </c>
      <c r="I8" s="33" t="str">
        <f t="shared" si="2"/>
        <v/>
      </c>
      <c r="J8" s="63"/>
      <c r="K8" s="63"/>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3" topLeftCell="F14" activePane="bottomRight" state="frozen"/>
      <selection pane="bottomRight" activeCell="C11" sqref="C11"/>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60</v>
      </c>
      <c r="E1" s="78"/>
      <c r="F1" s="78"/>
      <c r="G1" s="76" t="s">
        <v>61</v>
      </c>
      <c r="H1" s="76"/>
      <c r="I1" s="76"/>
      <c r="J1" s="4"/>
      <c r="K1" s="4"/>
    </row>
    <row r="2" spans="1:11" ht="19.5" customHeight="1">
      <c r="A2" s="79" t="s">
        <v>2</v>
      </c>
      <c r="B2" s="79"/>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63"/>
      <c r="K4" s="63"/>
    </row>
    <row r="5" spans="1:11" ht="15.6">
      <c r="A5" s="42" t="str">
        <v>Berkeley - NJ-22-C893 Berkeley I</v>
      </c>
      <c r="B5" s="43" t="str">
        <v>NJ</v>
      </c>
      <c r="C5" s="36"/>
      <c r="D5" s="37"/>
      <c r="E5" s="37" t="str">
        <f t="shared" ref="E5:E8" si="0">IF(AND(ISNUMBER(C5),ISNUMBER(D5)), C5-D5, "")</f>
        <v/>
      </c>
      <c r="F5" s="38" t="str">
        <f>IFERROR(E5/D5, "")</f>
        <v/>
      </c>
      <c r="G5" s="39"/>
      <c r="H5" s="39" t="str">
        <f t="shared" ref="H5:H8" si="1">IF(AND(ISNUMBER(C5),ISNUMBER(G5)), C5-G5, "")</f>
        <v/>
      </c>
      <c r="I5" s="38" t="str">
        <f t="shared" ref="I5:I8" si="2">IFERROR(H5/G5, "")</f>
        <v/>
      </c>
      <c r="J5" s="61"/>
      <c r="K5" s="61"/>
    </row>
    <row r="6" spans="1:11" ht="49.5" customHeight="1">
      <c r="A6" s="44" t="str">
        <v>Berkeley - NJ-22-C894 Berkeley II</v>
      </c>
      <c r="B6" s="41" t="str">
        <v>NJ</v>
      </c>
      <c r="C6" s="29"/>
      <c r="D6" s="30"/>
      <c r="E6" s="30" t="str">
        <f t="shared" si="0"/>
        <v/>
      </c>
      <c r="F6" s="31" t="str">
        <f t="shared" ref="F6:F8" si="3">IFERROR(E6/D6, "")</f>
        <v/>
      </c>
      <c r="G6" s="32"/>
      <c r="H6" s="32" t="str">
        <f t="shared" si="1"/>
        <v/>
      </c>
      <c r="I6" s="33" t="str">
        <f t="shared" si="2"/>
        <v/>
      </c>
      <c r="J6" s="63"/>
      <c r="K6" s="63"/>
    </row>
    <row r="7" spans="1:11" ht="15.6">
      <c r="A7" s="42" t="str">
        <v xml:space="preserve"> BEMS Landfill East</v>
      </c>
      <c r="B7" s="43" t="str">
        <v>NJ</v>
      </c>
      <c r="C7" s="36"/>
      <c r="D7" s="37"/>
      <c r="E7" s="37" t="str">
        <f t="shared" si="0"/>
        <v/>
      </c>
      <c r="F7" s="38" t="str">
        <f t="shared" si="3"/>
        <v/>
      </c>
      <c r="G7" s="39"/>
      <c r="H7" s="39" t="str">
        <f t="shared" si="1"/>
        <v/>
      </c>
      <c r="I7" s="38" t="str">
        <f t="shared" si="2"/>
        <v/>
      </c>
      <c r="J7" s="61"/>
      <c r="K7" s="60"/>
    </row>
    <row r="8" spans="1:11" ht="15.6">
      <c r="A8" s="44" t="str">
        <v>Southampton - BEMS West NJ-22-C898</v>
      </c>
      <c r="B8" s="41" t="str">
        <v>NJ</v>
      </c>
      <c r="C8" s="29"/>
      <c r="D8" s="30"/>
      <c r="E8" s="30" t="str">
        <f t="shared" si="0"/>
        <v/>
      </c>
      <c r="F8" s="31" t="str">
        <f t="shared" si="3"/>
        <v/>
      </c>
      <c r="G8" s="32"/>
      <c r="H8" s="32" t="str">
        <f t="shared" si="1"/>
        <v/>
      </c>
      <c r="I8" s="33" t="str">
        <f t="shared" si="2"/>
        <v/>
      </c>
      <c r="J8" s="63"/>
      <c r="K8" s="63"/>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12" activePane="bottomRight" state="frozen"/>
      <selection pane="bottomRight" activeCell="C11" sqref="C11"/>
      <selection pane="bottomLeft" activeCell="C19" sqref="C19"/>
      <selection pane="topRight" activeCell="C19" sqref="C19"/>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7" t="str" cm="1">
        <f t="array" ref="A1">portfolio</f>
        <v>Luminance</v>
      </c>
      <c r="B1" s="77"/>
      <c r="C1" s="77"/>
      <c r="D1" s="78" t="s">
        <v>62</v>
      </c>
      <c r="E1" s="78"/>
      <c r="F1" s="78"/>
      <c r="G1" s="76" t="s">
        <v>63</v>
      </c>
      <c r="H1" s="76"/>
      <c r="I1" s="76"/>
      <c r="J1" s="4"/>
      <c r="K1" s="4"/>
    </row>
    <row r="2" spans="1:11" ht="19.5" customHeight="1">
      <c r="A2" s="79" t="s">
        <v>2</v>
      </c>
      <c r="B2" s="79"/>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10">Sites[Site]</f>
        <v xml:space="preserve">Raymond Ed Re-Development - DC-23-0001 </v>
      </c>
      <c r="B4" s="41" t="str" cm="1">
        <f t="array" ref="B4:B10">Sites[State]</f>
        <v>DC</v>
      </c>
      <c r="C4" s="29"/>
      <c r="D4" s="30"/>
      <c r="E4" s="30" t="str">
        <f>IF(AND(ISNUMBER(C4),ISNUMBER(D4)), C4-D4, "")</f>
        <v/>
      </c>
      <c r="F4" s="31" t="str">
        <f>IFERROR(E4/D4, "")</f>
        <v/>
      </c>
      <c r="G4" s="32"/>
      <c r="H4" s="32" t="str">
        <f>IF(AND(ISNUMBER(C4),ISNUMBER(G4)), C4-G4, "")</f>
        <v/>
      </c>
      <c r="I4" s="33" t="str">
        <f>IFERROR(H4/G4, "")</f>
        <v/>
      </c>
      <c r="J4" s="50"/>
      <c r="K4" s="50"/>
    </row>
    <row r="5" spans="1:11" ht="15.6">
      <c r="A5" s="42" t="str">
        <v>Berkeley - NJ-22-C893 Berkeley I</v>
      </c>
      <c r="B5" s="43" t="str">
        <v>NJ</v>
      </c>
      <c r="C5" s="36"/>
      <c r="D5" s="37"/>
      <c r="E5" s="37" t="str">
        <f t="shared" ref="E5:E8" si="0">IF(AND(ISNUMBER(C5),ISNUMBER(D5)), C5-D5, "")</f>
        <v/>
      </c>
      <c r="F5" s="38" t="str">
        <f t="shared" ref="F5:F8" si="1">IFERROR(E5/D5, "")</f>
        <v/>
      </c>
      <c r="G5" s="39"/>
      <c r="H5" s="39" t="str">
        <f t="shared" ref="H5:H8" si="2">IF(AND(ISNUMBER(C5),ISNUMBER(G5)), C5-G5, "")</f>
        <v/>
      </c>
      <c r="I5" s="38" t="str">
        <f t="shared" ref="I5:I8" si="3">IFERROR(H5/G5, "")</f>
        <v/>
      </c>
      <c r="J5" s="61"/>
      <c r="K5" s="61"/>
    </row>
    <row r="6" spans="1:11" ht="15.6">
      <c r="A6" s="44" t="str">
        <v>Berkeley - NJ-22-C894 Berkeley II</v>
      </c>
      <c r="B6" s="41" t="str">
        <v>NJ</v>
      </c>
      <c r="C6" s="29"/>
      <c r="D6" s="30"/>
      <c r="E6" s="30" t="str">
        <f t="shared" si="0"/>
        <v/>
      </c>
      <c r="F6" s="31" t="str">
        <f t="shared" si="1"/>
        <v/>
      </c>
      <c r="G6" s="32"/>
      <c r="H6" s="32" t="str">
        <f t="shared" si="2"/>
        <v/>
      </c>
      <c r="I6" s="33" t="str">
        <f t="shared" si="3"/>
        <v/>
      </c>
      <c r="J6" s="50"/>
      <c r="K6" s="50"/>
    </row>
    <row r="7" spans="1:11" ht="15.6">
      <c r="A7" s="42" t="str">
        <v xml:space="preserve"> BEMS Landfill East</v>
      </c>
      <c r="B7" s="43" t="str">
        <v>NJ</v>
      </c>
      <c r="C7" s="36"/>
      <c r="D7" s="37"/>
      <c r="E7" s="37" t="str">
        <f t="shared" si="0"/>
        <v/>
      </c>
      <c r="F7" s="38" t="str">
        <f t="shared" si="1"/>
        <v/>
      </c>
      <c r="G7" s="39"/>
      <c r="H7" s="39" t="str">
        <f t="shared" si="2"/>
        <v/>
      </c>
      <c r="I7" s="38" t="str">
        <f t="shared" si="3"/>
        <v/>
      </c>
      <c r="J7" s="61"/>
      <c r="K7" s="61"/>
    </row>
    <row r="8" spans="1:11" ht="15.6">
      <c r="A8" s="44" t="str">
        <v>Southampton - BEMS West NJ-22-C898</v>
      </c>
      <c r="B8" s="41" t="str">
        <v>NJ</v>
      </c>
      <c r="C8" s="29"/>
      <c r="D8" s="30"/>
      <c r="E8" s="30" t="str">
        <f t="shared" si="0"/>
        <v/>
      </c>
      <c r="F8" s="31" t="str">
        <f t="shared" si="1"/>
        <v/>
      </c>
      <c r="G8" s="32"/>
      <c r="H8" s="32" t="str">
        <f t="shared" si="2"/>
        <v/>
      </c>
      <c r="I8" s="33" t="str">
        <f t="shared" si="3"/>
        <v/>
      </c>
      <c r="J8" s="50"/>
      <c r="K8" s="50"/>
    </row>
    <row r="9" spans="1:11" ht="14.45">
      <c r="A9" s="9" t="str">
        <v>Lakewood Twp - Emergency Services Dev  - NJ-23-0008</v>
      </c>
      <c r="B9" s="14" t="str">
        <v>NJ</v>
      </c>
      <c r="C9" s="9"/>
      <c r="D9" s="9"/>
      <c r="E9" s="9"/>
      <c r="F9" s="9"/>
      <c r="G9" s="9"/>
      <c r="H9" s="9"/>
      <c r="I9" s="9"/>
      <c r="J9" s="9"/>
      <c r="K9" s="9"/>
    </row>
    <row r="10" spans="1:11" ht="14.45">
      <c r="A10" s="9" t="str">
        <v>Lakewood Township - Public Works</v>
      </c>
      <c r="B10" s="14" t="str">
        <v>NJ</v>
      </c>
      <c r="C10" s="9"/>
      <c r="D10" s="9"/>
      <c r="E10" s="9"/>
      <c r="F10" s="9"/>
      <c r="G10" s="9"/>
      <c r="H10" s="9"/>
      <c r="I10" s="9"/>
      <c r="J10" s="9"/>
      <c r="K10" s="9"/>
    </row>
    <row r="11" spans="1:11" ht="14.45">
      <c r="A11" s="9"/>
      <c r="B11" s="14"/>
      <c r="C11" s="9"/>
      <c r="D11" s="9"/>
      <c r="E11" s="9"/>
      <c r="F11" s="9"/>
      <c r="G11" s="9"/>
      <c r="H11" s="9"/>
      <c r="I11" s="9"/>
      <c r="J11" s="9"/>
      <c r="K11" s="9"/>
    </row>
    <row r="12" spans="1:11" ht="14.45">
      <c r="A12" s="9"/>
      <c r="B12" s="14"/>
      <c r="C12" s="9"/>
      <c r="D12" s="9"/>
      <c r="E12" s="9"/>
      <c r="F12" s="9"/>
      <c r="G12" s="9"/>
      <c r="H12" s="9"/>
      <c r="I12" s="9"/>
      <c r="J12" s="9"/>
      <c r="K12" s="9"/>
    </row>
    <row r="13" spans="1:11" ht="14.45">
      <c r="A13" s="9"/>
      <c r="B13" s="14"/>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1"/>
  <sheetViews>
    <sheetView workbookViewId="0">
      <pane ySplit="3" topLeftCell="A4" activePane="bottomLeft" state="frozen"/>
      <selection pane="bottomLeft" activeCell="A10" sqref="A1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64</v>
      </c>
      <c r="B1" t="s">
        <v>65</v>
      </c>
    </row>
    <row r="3" spans="1:12" ht="13.15">
      <c r="A3" t="s">
        <v>66</v>
      </c>
      <c r="B3" t="s">
        <v>3</v>
      </c>
      <c r="C3" t="s">
        <v>4</v>
      </c>
      <c r="D3" t="s">
        <v>67</v>
      </c>
      <c r="E3" s="2" t="s">
        <v>68</v>
      </c>
    </row>
    <row r="4" spans="1:12" ht="14.45">
      <c r="A4" s="19" t="s">
        <v>69</v>
      </c>
      <c r="B4" t="s">
        <v>70</v>
      </c>
      <c r="C4" s="18" t="s">
        <v>71</v>
      </c>
      <c r="D4" s="17"/>
      <c r="E4" t="s">
        <v>72</v>
      </c>
      <c r="G4" s="3"/>
    </row>
    <row r="5" spans="1:12" ht="14.45">
      <c r="A5" s="19" t="s">
        <v>73</v>
      </c>
      <c r="B5" t="s">
        <v>74</v>
      </c>
      <c r="C5" s="18" t="s">
        <v>75</v>
      </c>
      <c r="D5" s="17"/>
      <c r="E5" t="s">
        <v>72</v>
      </c>
      <c r="G5" s="3"/>
    </row>
    <row r="6" spans="1:12" ht="14.45">
      <c r="A6" s="19" t="s">
        <v>76</v>
      </c>
      <c r="B6" t="s">
        <v>77</v>
      </c>
      <c r="C6" s="18" t="s">
        <v>75</v>
      </c>
      <c r="D6" s="17"/>
      <c r="E6" t="s">
        <v>72</v>
      </c>
      <c r="G6" s="3"/>
    </row>
    <row r="7" spans="1:12" ht="12.75" customHeight="1">
      <c r="A7" s="19" t="s">
        <v>78</v>
      </c>
      <c r="B7" t="s">
        <v>79</v>
      </c>
      <c r="C7" s="18" t="s">
        <v>75</v>
      </c>
      <c r="D7" s="17"/>
      <c r="E7" t="s">
        <v>72</v>
      </c>
    </row>
    <row r="8" spans="1:12" ht="12.75" customHeight="1">
      <c r="A8" s="19" t="s">
        <v>80</v>
      </c>
      <c r="B8" t="s">
        <v>81</v>
      </c>
      <c r="C8" s="18" t="s">
        <v>75</v>
      </c>
      <c r="D8" s="17"/>
      <c r="E8" t="s">
        <v>72</v>
      </c>
    </row>
    <row r="9" spans="1:12" ht="12.75" customHeight="1">
      <c r="A9" s="70" t="s">
        <v>82</v>
      </c>
      <c r="B9" s="71" t="s">
        <v>82</v>
      </c>
      <c r="C9" s="18" t="s">
        <v>75</v>
      </c>
      <c r="E9" t="s">
        <v>72</v>
      </c>
      <c r="K9" s="16"/>
      <c r="L9" s="16"/>
    </row>
    <row r="10" spans="1:12" ht="12.75" customHeight="1">
      <c r="A10" s="70" t="s">
        <v>83</v>
      </c>
      <c r="B10" s="71" t="s">
        <v>83</v>
      </c>
      <c r="C10" s="18" t="s">
        <v>75</v>
      </c>
      <c r="E10" t="s">
        <v>72</v>
      </c>
      <c r="K10" s="16"/>
      <c r="L10" s="16"/>
    </row>
    <row r="11" spans="1:12" ht="12.75" customHeight="1">
      <c r="K11" s="16"/>
      <c r="L11" s="16"/>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98A113BB-8B7A-453C-8BD4-8EFC67FC2D3F}"/>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1954BBA4-0359-438C-B0EC-A756015F7C02}"/>
</file>

<file path=customXml/itemProps16.xml><?xml version="1.0" encoding="utf-8"?>
<ds:datastoreItem xmlns:ds="http://schemas.openxmlformats.org/officeDocument/2006/customXml" ds:itemID="{0389C43E-394D-44C0-87DC-4780FCFCFB40}"/>
</file>

<file path=customXml/itemProps17.xml><?xml version="1.0" encoding="utf-8"?>
<ds:datastoreItem xmlns:ds="http://schemas.openxmlformats.org/officeDocument/2006/customXml" ds:itemID="{C0BCDC1E-6052-4E48-9BAF-94A40814E7C2}"/>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Yatin Bhoite [Libsys]</cp:lastModifiedBy>
  <cp:revision/>
  <dcterms:created xsi:type="dcterms:W3CDTF">2021-01-01T16:39:53Z</dcterms:created>
  <dcterms:modified xsi:type="dcterms:W3CDTF">2025-04-16T18:34:42Z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2025-02-14T20:27:20Z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eeb87d05-063e-4a3d-838a-8833717c204f</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