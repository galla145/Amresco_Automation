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6" documentId="13_ncr:1_{B4140B8D-4425-4FB7-AB78-DCC8EF03F7AF}" xr6:coauthVersionLast="47" xr6:coauthVersionMax="47" xr10:uidLastSave="{410E553A-2DED-4581-8EBE-1D85F6C4FD46}"/>
  <bookViews>
    <workbookView xWindow="28680" yWindow="-120" windowWidth="29040" windowHeight="15720" tabRatio="866" firstSheet="6" activeTab="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30" l="1"/>
  <c r="H13" i="30"/>
  <c r="G12" i="30"/>
  <c r="G13" i="30"/>
  <c r="E12" i="30"/>
  <c r="E13" i="30"/>
  <c r="D12" i="30"/>
  <c r="D13" i="30"/>
  <c r="C12" i="30"/>
  <c r="C13" i="30"/>
  <c r="H12" i="29"/>
  <c r="H13" i="29"/>
  <c r="G12" i="29"/>
  <c r="G13" i="29"/>
  <c r="E12" i="29"/>
  <c r="E13" i="29"/>
  <c r="D12" i="29"/>
  <c r="D13" i="29"/>
  <c r="C12" i="29"/>
  <c r="C13" i="29"/>
  <c r="H12" i="18"/>
  <c r="H13" i="18"/>
  <c r="G12" i="18"/>
  <c r="G13" i="18"/>
  <c r="E12" i="18"/>
  <c r="E13" i="18"/>
  <c r="D12" i="18"/>
  <c r="D13" i="18"/>
  <c r="C12" i="18"/>
  <c r="C13" i="18"/>
  <c r="C13" i="34"/>
  <c r="G13" i="1"/>
  <c r="G13" i="34" s="1"/>
  <c r="E13" i="1"/>
  <c r="F13" i="1" s="1"/>
  <c r="D13" i="1"/>
  <c r="D13" i="34" s="1"/>
  <c r="C13" i="1"/>
  <c r="C5" i="1"/>
  <c r="C5" i="34" s="1"/>
  <c r="E6" i="3"/>
  <c r="E7" i="3"/>
  <c r="F7" i="3" s="1"/>
  <c r="E8" i="3"/>
  <c r="E9" i="3"/>
  <c r="E10" i="3"/>
  <c r="F10" i="3" s="1"/>
  <c r="E11" i="3"/>
  <c r="F11" i="3" s="1"/>
  <c r="E12" i="3"/>
  <c r="F12" i="3" s="1"/>
  <c r="E13" i="3"/>
  <c r="F13" i="3" s="1"/>
  <c r="E4" i="3"/>
  <c r="F4" i="3" s="1"/>
  <c r="H4" i="3"/>
  <c r="I4" i="3" s="1"/>
  <c r="H5" i="3"/>
  <c r="E5" i="3"/>
  <c r="H6" i="3"/>
  <c r="H7" i="3"/>
  <c r="I7" i="3" s="1"/>
  <c r="H8" i="3"/>
  <c r="H9" i="3"/>
  <c r="H10" i="3"/>
  <c r="I10" i="3" s="1"/>
  <c r="H11" i="3"/>
  <c r="I11" i="3" s="1"/>
  <c r="H12" i="3"/>
  <c r="H12" i="1" s="1"/>
  <c r="H12" i="34" s="1"/>
  <c r="H13" i="3"/>
  <c r="H13" i="1" s="1"/>
  <c r="I9" i="3"/>
  <c r="F9" i="3"/>
  <c r="I12" i="72"/>
  <c r="H12" i="72"/>
  <c r="F12" i="72"/>
  <c r="E12" i="72"/>
  <c r="G12" i="1"/>
  <c r="G12" i="34" s="1"/>
  <c r="D12" i="1"/>
  <c r="D12" i="34" s="1"/>
  <c r="C12" i="1"/>
  <c r="E12" i="1" s="1"/>
  <c r="F12" i="1" s="1"/>
  <c r="I9" i="72"/>
  <c r="I11" i="72"/>
  <c r="H10" i="72"/>
  <c r="I10" i="72" s="1"/>
  <c r="H11" i="72"/>
  <c r="F9" i="72"/>
  <c r="F11" i="72"/>
  <c r="E10" i="72"/>
  <c r="F10" i="72" s="1"/>
  <c r="E11" i="72"/>
  <c r="H10" i="33"/>
  <c r="I10" i="33" s="1"/>
  <c r="H11" i="33"/>
  <c r="I11" i="33" s="1"/>
  <c r="E10" i="33"/>
  <c r="E11" i="33"/>
  <c r="F10" i="33"/>
  <c r="F11" i="33"/>
  <c r="H10" i="18"/>
  <c r="I10" i="18" s="1"/>
  <c r="H11" i="18"/>
  <c r="I11" i="18" s="1"/>
  <c r="G10" i="18"/>
  <c r="G11" i="18"/>
  <c r="D10" i="18"/>
  <c r="D11" i="18"/>
  <c r="C10" i="18"/>
  <c r="C11" i="18"/>
  <c r="G10" i="1"/>
  <c r="G11" i="1"/>
  <c r="G11" i="34" s="1"/>
  <c r="D10" i="1"/>
  <c r="D11" i="1"/>
  <c r="D11" i="34" s="1"/>
  <c r="C10" i="1"/>
  <c r="E10" i="1" s="1"/>
  <c r="F10" i="1" s="1"/>
  <c r="C11" i="1"/>
  <c r="D8" i="1"/>
  <c r="G8" i="1"/>
  <c r="D9" i="1"/>
  <c r="G9" i="1"/>
  <c r="C10" i="30"/>
  <c r="C11" i="30"/>
  <c r="E8" i="29"/>
  <c r="F8" i="29" s="1"/>
  <c r="E10" i="29"/>
  <c r="F10" i="29" s="1"/>
  <c r="E11" i="29"/>
  <c r="F11" i="29" s="1"/>
  <c r="D7" i="29"/>
  <c r="E7" i="29" s="1"/>
  <c r="F7" i="29" s="1"/>
  <c r="D8" i="29"/>
  <c r="D9" i="29"/>
  <c r="D10" i="29"/>
  <c r="D11" i="29"/>
  <c r="C7" i="29"/>
  <c r="C8" i="29"/>
  <c r="C9" i="29"/>
  <c r="E9" i="29" s="1"/>
  <c r="F9" i="29" s="1"/>
  <c r="C10" i="29"/>
  <c r="C11" i="29"/>
  <c r="C2" i="29" s="1"/>
  <c r="H10" i="29"/>
  <c r="I10" i="29" s="1"/>
  <c r="H11" i="29"/>
  <c r="G7" i="29"/>
  <c r="G8" i="29"/>
  <c r="G9" i="29"/>
  <c r="G10" i="29"/>
  <c r="G11" i="29"/>
  <c r="H8" i="32"/>
  <c r="I8" i="32" s="1"/>
  <c r="E8" i="32"/>
  <c r="F8" i="32" s="1"/>
  <c r="H7" i="32"/>
  <c r="I7" i="32" s="1"/>
  <c r="E7" i="32"/>
  <c r="F7" i="32" s="1"/>
  <c r="H6" i="32"/>
  <c r="E6" i="32"/>
  <c r="H5" i="32"/>
  <c r="E5" i="32"/>
  <c r="H4" i="32"/>
  <c r="E4" i="32"/>
  <c r="H10" i="32"/>
  <c r="E10" i="32"/>
  <c r="F10" i="32" s="1"/>
  <c r="H9" i="32"/>
  <c r="I9" i="32" s="1"/>
  <c r="E9" i="32"/>
  <c r="F9" i="32" s="1"/>
  <c r="H11" i="30"/>
  <c r="D10" i="30"/>
  <c r="D11" i="30"/>
  <c r="G10" i="30"/>
  <c r="G11" i="30"/>
  <c r="C8" i="1"/>
  <c r="C9" i="1"/>
  <c r="E9" i="1" s="1"/>
  <c r="F9" i="1" s="1"/>
  <c r="C9" i="18"/>
  <c r="E9" i="18" s="1"/>
  <c r="F9" i="18" s="1"/>
  <c r="D9" i="18"/>
  <c r="G9" i="18"/>
  <c r="C7" i="18"/>
  <c r="E7" i="18" s="1"/>
  <c r="F7" i="18" s="1"/>
  <c r="D7" i="18"/>
  <c r="G7" i="18"/>
  <c r="C8" i="18"/>
  <c r="D8" i="18"/>
  <c r="E8" i="18"/>
  <c r="F8" i="18" s="1"/>
  <c r="G8" i="18"/>
  <c r="E8" i="72"/>
  <c r="F8" i="72"/>
  <c r="H8" i="72"/>
  <c r="I8" i="72" s="1"/>
  <c r="E9" i="72"/>
  <c r="H9" i="72"/>
  <c r="F8" i="3"/>
  <c r="I8" i="3"/>
  <c r="E8" i="4"/>
  <c r="F8" i="4"/>
  <c r="H8" i="4"/>
  <c r="I8" i="4"/>
  <c r="E9" i="4"/>
  <c r="F9" i="4"/>
  <c r="H9" i="4"/>
  <c r="I9" i="4" s="1"/>
  <c r="E8" i="21"/>
  <c r="F8" i="21"/>
  <c r="H8" i="21"/>
  <c r="I8" i="21" s="1"/>
  <c r="E9" i="21"/>
  <c r="F9" i="21"/>
  <c r="H9" i="21"/>
  <c r="I9" i="21"/>
  <c r="E8" i="20"/>
  <c r="F8" i="20"/>
  <c r="H8" i="20"/>
  <c r="I8" i="20" s="1"/>
  <c r="E9" i="20"/>
  <c r="F9" i="20"/>
  <c r="H9" i="20"/>
  <c r="I9" i="20" s="1"/>
  <c r="E8" i="19"/>
  <c r="F8" i="19"/>
  <c r="H8" i="19"/>
  <c r="I8" i="19"/>
  <c r="E9" i="19"/>
  <c r="F9" i="19"/>
  <c r="H9" i="19"/>
  <c r="I9" i="19" s="1"/>
  <c r="E8" i="26"/>
  <c r="F8" i="26"/>
  <c r="H8" i="26"/>
  <c r="I8" i="26" s="1"/>
  <c r="E9" i="26"/>
  <c r="F9" i="26"/>
  <c r="H9" i="26"/>
  <c r="H9" i="29" s="1"/>
  <c r="I9" i="29" s="1"/>
  <c r="I9" i="26"/>
  <c r="E8" i="27"/>
  <c r="F8" i="27"/>
  <c r="H8" i="27"/>
  <c r="I8" i="27" s="1"/>
  <c r="E9" i="27"/>
  <c r="F9" i="27"/>
  <c r="H9" i="27"/>
  <c r="I9" i="27" s="1"/>
  <c r="E8" i="33"/>
  <c r="F8" i="33"/>
  <c r="H8" i="33"/>
  <c r="I8" i="33" s="1"/>
  <c r="E9" i="33"/>
  <c r="F9" i="33" s="1"/>
  <c r="H9" i="33"/>
  <c r="G5" i="30"/>
  <c r="G6" i="30"/>
  <c r="G7" i="30"/>
  <c r="G8" i="30"/>
  <c r="G9" i="30"/>
  <c r="G4" i="29"/>
  <c r="C8" i="30"/>
  <c r="D8" i="30"/>
  <c r="C9" i="30"/>
  <c r="D9" i="30"/>
  <c r="D9" i="34" s="1"/>
  <c r="E9" i="30"/>
  <c r="F9" i="30" s="1"/>
  <c r="E8" i="28"/>
  <c r="F8" i="28" s="1"/>
  <c r="H8" i="28"/>
  <c r="I8" i="28"/>
  <c r="E9" i="28"/>
  <c r="F9" i="28"/>
  <c r="H9" i="28"/>
  <c r="I9" i="28"/>
  <c r="H7" i="31"/>
  <c r="I7" i="31" s="1"/>
  <c r="H8" i="31"/>
  <c r="H8" i="30" s="1"/>
  <c r="H9" i="31"/>
  <c r="I9" i="31" s="1"/>
  <c r="F7" i="31"/>
  <c r="E7" i="31"/>
  <c r="E8" i="31"/>
  <c r="F8" i="31" s="1"/>
  <c r="E9" i="31"/>
  <c r="F9" i="31" s="1"/>
  <c r="E7" i="33"/>
  <c r="F7" i="33"/>
  <c r="H7" i="33"/>
  <c r="I7" i="33"/>
  <c r="E7" i="28"/>
  <c r="F7" i="28"/>
  <c r="H7" i="28"/>
  <c r="I7" i="28"/>
  <c r="C7" i="30"/>
  <c r="D7" i="30"/>
  <c r="C7" i="1"/>
  <c r="C7" i="34" s="1"/>
  <c r="D7" i="1"/>
  <c r="D7" i="34" s="1"/>
  <c r="G7" i="1"/>
  <c r="H7" i="27"/>
  <c r="I7" i="27" s="1"/>
  <c r="E7" i="27"/>
  <c r="F7" i="27"/>
  <c r="E7" i="21"/>
  <c r="F7" i="21"/>
  <c r="H7" i="21"/>
  <c r="H7" i="18" s="1"/>
  <c r="I7" i="18" s="1"/>
  <c r="I7" i="21"/>
  <c r="E7" i="4"/>
  <c r="F7" i="4" s="1"/>
  <c r="H7" i="4"/>
  <c r="I7" i="4"/>
  <c r="E7" i="72"/>
  <c r="F7" i="72"/>
  <c r="H7" i="72"/>
  <c r="I7" i="72" s="1"/>
  <c r="E7" i="20"/>
  <c r="F7" i="20" s="1"/>
  <c r="H7" i="20"/>
  <c r="I7" i="20"/>
  <c r="E7" i="19"/>
  <c r="F7" i="19" s="1"/>
  <c r="H7" i="19"/>
  <c r="I7" i="19"/>
  <c r="E7" i="26"/>
  <c r="F7" i="26"/>
  <c r="H7" i="26"/>
  <c r="G5" i="29"/>
  <c r="G6" i="29"/>
  <c r="G2" i="29" s="1"/>
  <c r="D4" i="29"/>
  <c r="E4" i="29" s="1"/>
  <c r="F4" i="29" s="1"/>
  <c r="G6" i="18"/>
  <c r="G5" i="18"/>
  <c r="G4" i="18"/>
  <c r="E6" i="72"/>
  <c r="F6" i="72"/>
  <c r="E5" i="72"/>
  <c r="F5" i="72" s="1"/>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5" i="3"/>
  <c r="I5" i="3"/>
  <c r="F6" i="3"/>
  <c r="I6" i="3"/>
  <c r="G6" i="1"/>
  <c r="G5" i="1"/>
  <c r="G4" i="1"/>
  <c r="G4" i="34" s="1"/>
  <c r="B4" i="34" a="1"/>
  <c r="B4" i="34" s="1"/>
  <c r="A4" i="34" a="1"/>
  <c r="A4" i="34" s="1"/>
  <c r="A1" i="34" a="1"/>
  <c r="A1" i="34"/>
  <c r="D6" i="30"/>
  <c r="C6" i="30"/>
  <c r="E6" i="30" s="1"/>
  <c r="F6" i="30" s="1"/>
  <c r="D5" i="30"/>
  <c r="C5" i="30"/>
  <c r="D4" i="30"/>
  <c r="C4" i="30"/>
  <c r="E4" i="30"/>
  <c r="F4" i="30" s="1"/>
  <c r="D6" i="29"/>
  <c r="C6" i="29"/>
  <c r="E6" i="29" s="1"/>
  <c r="F6" i="29" s="1"/>
  <c r="D5" i="29"/>
  <c r="C5" i="29"/>
  <c r="C4" i="29"/>
  <c r="D6" i="18"/>
  <c r="C6" i="18"/>
  <c r="E6" i="18" s="1"/>
  <c r="F6" i="18" s="1"/>
  <c r="D5" i="18"/>
  <c r="C5" i="18"/>
  <c r="E5" i="18" s="1"/>
  <c r="F5" i="18" s="1"/>
  <c r="D4" i="18"/>
  <c r="D2" i="18" s="1"/>
  <c r="C4" i="18"/>
  <c r="E4" i="18" s="1"/>
  <c r="F4" i="18" s="1"/>
  <c r="B4" i="30" a="1"/>
  <c r="B4" i="30" s="1"/>
  <c r="A1" i="30" a="1"/>
  <c r="A1" i="30"/>
  <c r="B4" i="29" a="1"/>
  <c r="B4" i="29" s="1"/>
  <c r="A4" i="29" a="1"/>
  <c r="A4" i="29" s="1"/>
  <c r="A1" i="29" a="1"/>
  <c r="A1" i="29"/>
  <c r="B4" i="18" a="1"/>
  <c r="B4" i="18" s="1"/>
  <c r="A4" i="18" a="1"/>
  <c r="A4" i="18" s="1"/>
  <c r="A1" i="18" a="1"/>
  <c r="A1" i="18"/>
  <c r="C6" i="1"/>
  <c r="C4" i="1"/>
  <c r="E4" i="1" s="1"/>
  <c r="F4" i="1" s="1"/>
  <c r="D6" i="1"/>
  <c r="D6" i="34" s="1"/>
  <c r="D5" i="1"/>
  <c r="D5" i="34" s="1"/>
  <c r="D4" i="1"/>
  <c r="B4" i="1" a="1"/>
  <c r="B4" i="1" s="1"/>
  <c r="A4" i="1" a="1"/>
  <c r="A4" i="1" s="1"/>
  <c r="A1" i="1" a="1"/>
  <c r="A1" i="1"/>
  <c r="H6" i="33"/>
  <c r="I6" i="33" s="1"/>
  <c r="E6" i="33"/>
  <c r="F6" i="33"/>
  <c r="H5" i="33"/>
  <c r="I5" i="33" s="1"/>
  <c r="E5" i="33"/>
  <c r="F5" i="33"/>
  <c r="E4" i="33"/>
  <c r="F4" i="33"/>
  <c r="D2" i="33"/>
  <c r="C2" i="33"/>
  <c r="E2" i="33" s="1"/>
  <c r="F2" i="33" s="1"/>
  <c r="A1" i="33" a="1"/>
  <c r="A1" i="33"/>
  <c r="I6" i="32"/>
  <c r="F6" i="32"/>
  <c r="I5" i="32"/>
  <c r="F5" i="32"/>
  <c r="I4" i="32"/>
  <c r="F4" i="32"/>
  <c r="G2" i="32"/>
  <c r="D2" i="32"/>
  <c r="C2" i="32"/>
  <c r="J2" i="32" s="1"/>
  <c r="A1" i="32" a="1"/>
  <c r="A1" i="32"/>
  <c r="H6" i="31"/>
  <c r="I6" i="31"/>
  <c r="E6" i="31"/>
  <c r="F6" i="31"/>
  <c r="H5" i="31"/>
  <c r="H5" i="30" s="1"/>
  <c r="I5" i="31"/>
  <c r="E5" i="31"/>
  <c r="F5" i="31"/>
  <c r="H4" i="31"/>
  <c r="I4" i="31"/>
  <c r="E4" i="31"/>
  <c r="F4" i="31" s="1"/>
  <c r="G2" i="31"/>
  <c r="D2" i="31"/>
  <c r="C2" i="31"/>
  <c r="H2" i="31" s="1"/>
  <c r="I2" i="31" s="1"/>
  <c r="A1" i="31" a="1"/>
  <c r="A1" i="31"/>
  <c r="H6" i="28"/>
  <c r="I6" i="28"/>
  <c r="E6" i="28"/>
  <c r="F6" i="28" s="1"/>
  <c r="H5" i="28"/>
  <c r="I5" i="28" s="1"/>
  <c r="E5" i="28"/>
  <c r="F5" i="28"/>
  <c r="H4" i="28"/>
  <c r="I4" i="28"/>
  <c r="E4" i="28"/>
  <c r="F4" i="28" s="1"/>
  <c r="B4" i="28" a="1"/>
  <c r="B4" i="28" s="1"/>
  <c r="A4" i="28" a="1"/>
  <c r="A4" i="28" s="1"/>
  <c r="G2" i="28"/>
  <c r="D2" i="28"/>
  <c r="C2" i="28"/>
  <c r="J2" i="28" s="1"/>
  <c r="A1" i="28" a="1"/>
  <c r="A1" i="28"/>
  <c r="H6" i="27"/>
  <c r="I6" i="27"/>
  <c r="E6" i="27"/>
  <c r="F6" i="27"/>
  <c r="H5" i="27"/>
  <c r="H5" i="29" s="1"/>
  <c r="I5" i="29" s="1"/>
  <c r="I5" i="27"/>
  <c r="E5" i="27"/>
  <c r="F5" i="27"/>
  <c r="H4" i="27"/>
  <c r="I4" i="27" s="1"/>
  <c r="E4" i="27"/>
  <c r="F4" i="27"/>
  <c r="G2" i="27"/>
  <c r="D2" i="27"/>
  <c r="C2" i="27"/>
  <c r="E2" i="27" s="1"/>
  <c r="F2" i="27" s="1"/>
  <c r="A1" i="27" a="1"/>
  <c r="A1" i="27"/>
  <c r="H6" i="26"/>
  <c r="I6" i="26" s="1"/>
  <c r="E6" i="26"/>
  <c r="F6" i="26"/>
  <c r="H5" i="26"/>
  <c r="I5" i="26" s="1"/>
  <c r="E5" i="26"/>
  <c r="F5" i="26"/>
  <c r="H4" i="26"/>
  <c r="H4" i="29" s="1"/>
  <c r="I4" i="29" s="1"/>
  <c r="I4" i="26"/>
  <c r="E4" i="26"/>
  <c r="F4" i="26"/>
  <c r="G2" i="26"/>
  <c r="D2" i="26"/>
  <c r="C2" i="26"/>
  <c r="H2" i="26" s="1"/>
  <c r="I2" i="26" s="1"/>
  <c r="A1" i="26" a="1"/>
  <c r="A1" i="26"/>
  <c r="H6" i="19"/>
  <c r="I6" i="19"/>
  <c r="E6" i="19"/>
  <c r="F6" i="19" s="1"/>
  <c r="H5" i="19"/>
  <c r="I5" i="19" s="1"/>
  <c r="E5" i="19"/>
  <c r="F5" i="19"/>
  <c r="H4" i="19"/>
  <c r="I4" i="19" s="1"/>
  <c r="E4" i="19"/>
  <c r="F4" i="19" s="1"/>
  <c r="G2" i="19"/>
  <c r="D2" i="19"/>
  <c r="C2" i="19"/>
  <c r="H2" i="19" s="1"/>
  <c r="I2" i="19" s="1"/>
  <c r="A1" i="19" a="1"/>
  <c r="A1" i="19"/>
  <c r="H6" i="20"/>
  <c r="H6" i="18" s="1"/>
  <c r="I6" i="18" s="1"/>
  <c r="I6" i="20"/>
  <c r="E6" i="20"/>
  <c r="F6" i="20"/>
  <c r="H5" i="20"/>
  <c r="I5" i="20"/>
  <c r="E5" i="20"/>
  <c r="F5" i="20" s="1"/>
  <c r="H4" i="20"/>
  <c r="I4" i="20"/>
  <c r="E4" i="20"/>
  <c r="F4" i="20"/>
  <c r="G2" i="20"/>
  <c r="D2" i="20"/>
  <c r="C2" i="20"/>
  <c r="A1" i="20" a="1"/>
  <c r="A1" i="20"/>
  <c r="H6" i="21"/>
  <c r="I6" i="21" s="1"/>
  <c r="E6" i="21"/>
  <c r="F6" i="21"/>
  <c r="H5" i="21"/>
  <c r="I5" i="21"/>
  <c r="E5" i="21"/>
  <c r="F5" i="21" s="1"/>
  <c r="H4" i="21"/>
  <c r="H4" i="18" s="1"/>
  <c r="I4" i="18" s="1"/>
  <c r="I4" i="21"/>
  <c r="E4" i="21"/>
  <c r="F4" i="21" s="1"/>
  <c r="G2" i="21"/>
  <c r="H2" i="21" s="1"/>
  <c r="I2" i="21" s="1"/>
  <c r="D2" i="21"/>
  <c r="E2" i="21" s="1"/>
  <c r="F2" i="21" s="1"/>
  <c r="C2" i="21"/>
  <c r="A1" i="21" a="1"/>
  <c r="A1" i="21"/>
  <c r="H6" i="4"/>
  <c r="I6" i="4"/>
  <c r="E6" i="4"/>
  <c r="F6" i="4"/>
  <c r="H5" i="4"/>
  <c r="I5" i="4"/>
  <c r="E5" i="4"/>
  <c r="F5" i="4"/>
  <c r="H4" i="4"/>
  <c r="I4" i="4" s="1"/>
  <c r="E4" i="4"/>
  <c r="F4" i="4"/>
  <c r="G2" i="4"/>
  <c r="D2" i="4"/>
  <c r="C2" i="4"/>
  <c r="E2" i="4" s="1"/>
  <c r="F2" i="4" s="1"/>
  <c r="A1" i="4" a="1"/>
  <c r="A1" i="4"/>
  <c r="G2" i="3"/>
  <c r="D2" i="3"/>
  <c r="C2" i="3"/>
  <c r="J2" i="3" s="1"/>
  <c r="A1" i="3" a="1"/>
  <c r="A1" i="3" s="1"/>
  <c r="H6" i="72"/>
  <c r="H6" i="1" s="1"/>
  <c r="I6" i="72"/>
  <c r="H5" i="72"/>
  <c r="H5" i="1" s="1"/>
  <c r="I5" i="1" s="1"/>
  <c r="H4" i="72"/>
  <c r="H4" i="1" s="1"/>
  <c r="G2" i="72"/>
  <c r="D2" i="72"/>
  <c r="C2" i="72"/>
  <c r="J2" i="72" s="1"/>
  <c r="A1" i="72" a="1"/>
  <c r="A1" i="72"/>
  <c r="I7" i="26"/>
  <c r="E7" i="30"/>
  <c r="F7" i="30" s="1"/>
  <c r="E5" i="29"/>
  <c r="F5" i="29" s="1"/>
  <c r="D2" i="29"/>
  <c r="D4" i="34"/>
  <c r="E5" i="30"/>
  <c r="F5" i="30" s="1"/>
  <c r="H2" i="27"/>
  <c r="I2" i="27"/>
  <c r="J2" i="27"/>
  <c r="J2" i="21"/>
  <c r="H5" i="18"/>
  <c r="I5" i="18"/>
  <c r="H4" i="33"/>
  <c r="H4" i="30" s="1"/>
  <c r="I4" i="33"/>
  <c r="G2" i="33"/>
  <c r="G4" i="30"/>
  <c r="H13" i="34" l="1"/>
  <c r="I13" i="1"/>
  <c r="E6" i="1"/>
  <c r="F6" i="1" s="1"/>
  <c r="H11" i="1"/>
  <c r="H11" i="34" s="1"/>
  <c r="E8" i="1"/>
  <c r="F8" i="1" s="1"/>
  <c r="H10" i="1"/>
  <c r="I10" i="1" s="1"/>
  <c r="I13" i="3"/>
  <c r="I12" i="3"/>
  <c r="I4" i="1"/>
  <c r="E11" i="1"/>
  <c r="F11" i="1" s="1"/>
  <c r="I6" i="1"/>
  <c r="E13" i="34"/>
  <c r="F13" i="34" s="1"/>
  <c r="I13" i="34"/>
  <c r="C11" i="34"/>
  <c r="E11" i="34" s="1"/>
  <c r="F11" i="34" s="1"/>
  <c r="I11" i="34"/>
  <c r="C12" i="34"/>
  <c r="E12" i="34" s="1"/>
  <c r="F12" i="34" s="1"/>
  <c r="I12" i="1"/>
  <c r="E2" i="29"/>
  <c r="F2" i="29" s="1"/>
  <c r="I12" i="34"/>
  <c r="I11" i="1"/>
  <c r="G5" i="34"/>
  <c r="E5" i="1"/>
  <c r="F5" i="1" s="1"/>
  <c r="G2" i="1"/>
  <c r="I4" i="72"/>
  <c r="H7" i="1"/>
  <c r="I7" i="1" s="1"/>
  <c r="D2" i="1"/>
  <c r="C8" i="34"/>
  <c r="E2" i="28"/>
  <c r="F2" i="28" s="1"/>
  <c r="I11" i="29"/>
  <c r="H2" i="28"/>
  <c r="I2" i="28" s="1"/>
  <c r="E11" i="18"/>
  <c r="F11" i="18" s="1"/>
  <c r="H2" i="3"/>
  <c r="I2" i="3" s="1"/>
  <c r="H2" i="72"/>
  <c r="I2" i="72" s="1"/>
  <c r="G2" i="18"/>
  <c r="E2" i="19"/>
  <c r="F2" i="19" s="1"/>
  <c r="J2" i="26"/>
  <c r="E2" i="72"/>
  <c r="F2" i="72" s="1"/>
  <c r="E2" i="26"/>
  <c r="F2" i="26" s="1"/>
  <c r="E2" i="3"/>
  <c r="F2" i="3" s="1"/>
  <c r="E2" i="20"/>
  <c r="F2" i="20" s="1"/>
  <c r="E10" i="18"/>
  <c r="F10" i="18" s="1"/>
  <c r="E7" i="34"/>
  <c r="F7" i="34" s="1"/>
  <c r="E5" i="34"/>
  <c r="F5" i="34" s="1"/>
  <c r="C2" i="1"/>
  <c r="H2" i="20"/>
  <c r="I2" i="20" s="1"/>
  <c r="I5" i="72"/>
  <c r="E7" i="1"/>
  <c r="F7" i="1" s="1"/>
  <c r="C9" i="34"/>
  <c r="E9" i="34" s="1"/>
  <c r="F9" i="34" s="1"/>
  <c r="H8" i="18"/>
  <c r="I8" i="18" s="1"/>
  <c r="H8" i="29"/>
  <c r="I8" i="29" s="1"/>
  <c r="H2" i="29"/>
  <c r="I2" i="29" s="1"/>
  <c r="H7" i="29"/>
  <c r="I7" i="29" s="1"/>
  <c r="H7" i="30"/>
  <c r="H9" i="18"/>
  <c r="I9" i="18" s="1"/>
  <c r="J2" i="20"/>
  <c r="I8" i="31"/>
  <c r="J2" i="19"/>
  <c r="J2" i="4"/>
  <c r="G9" i="34"/>
  <c r="E2" i="31"/>
  <c r="F2" i="31" s="1"/>
  <c r="C2" i="18"/>
  <c r="J2" i="31"/>
  <c r="G8" i="34"/>
  <c r="H6" i="29"/>
  <c r="I6" i="29" s="1"/>
  <c r="C4" i="34"/>
  <c r="E4" i="34" s="1"/>
  <c r="F4" i="34" s="1"/>
  <c r="D8" i="34"/>
  <c r="C10" i="34"/>
  <c r="G10" i="34"/>
  <c r="H8" i="1"/>
  <c r="I8" i="1" s="1"/>
  <c r="H9" i="1"/>
  <c r="I9" i="1" s="1"/>
  <c r="H2" i="4"/>
  <c r="I2" i="4" s="1"/>
  <c r="G6" i="34"/>
  <c r="H9" i="30"/>
  <c r="I9" i="30" s="1"/>
  <c r="I9" i="33"/>
  <c r="E10" i="30"/>
  <c r="F10" i="30" s="1"/>
  <c r="D10" i="34"/>
  <c r="E11" i="30"/>
  <c r="F11" i="30" s="1"/>
  <c r="J2" i="33"/>
  <c r="E8" i="30"/>
  <c r="F8" i="30" s="1"/>
  <c r="D2" i="30"/>
  <c r="H2" i="33"/>
  <c r="I2" i="33" s="1"/>
  <c r="I11" i="30"/>
  <c r="I7" i="30"/>
  <c r="I10" i="32"/>
  <c r="H10" i="30"/>
  <c r="G7" i="34"/>
  <c r="H6" i="30"/>
  <c r="C6" i="34"/>
  <c r="E6" i="34" s="1"/>
  <c r="F6" i="34" s="1"/>
  <c r="H5" i="34"/>
  <c r="I5" i="30"/>
  <c r="C2" i="30"/>
  <c r="E2" i="30" s="1"/>
  <c r="F2" i="30" s="1"/>
  <c r="I8" i="30"/>
  <c r="G2" i="30"/>
  <c r="H2" i="32"/>
  <c r="I2" i="32" s="1"/>
  <c r="E2" i="32"/>
  <c r="F2" i="32" s="1"/>
  <c r="H4" i="34"/>
  <c r="I4" i="34" s="1"/>
  <c r="I4" i="30"/>
  <c r="I5" i="34" l="1"/>
  <c r="E8" i="34"/>
  <c r="F8" i="34" s="1"/>
  <c r="H9" i="34"/>
  <c r="I9" i="34" s="1"/>
  <c r="D2" i="34"/>
  <c r="E10" i="34"/>
  <c r="F10" i="34" s="1"/>
  <c r="H2" i="18"/>
  <c r="I2" i="18" s="1"/>
  <c r="E2" i="18"/>
  <c r="F2" i="18" s="1"/>
  <c r="E2" i="1"/>
  <c r="F2" i="1" s="1"/>
  <c r="H2" i="1"/>
  <c r="I2" i="1" s="1"/>
  <c r="H7" i="34"/>
  <c r="I7" i="34" s="1"/>
  <c r="H8" i="34"/>
  <c r="I8" i="34" s="1"/>
  <c r="I10" i="30"/>
  <c r="H10" i="34"/>
  <c r="I10" i="34" s="1"/>
  <c r="G2" i="34"/>
  <c r="H6" i="34"/>
  <c r="I6" i="34" s="1"/>
  <c r="I6" i="30"/>
  <c r="C2" i="34"/>
  <c r="H2" i="30"/>
  <c r="I2" i="30"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<sst xmlns="http://schemas.openxmlformats.org/spreadsheetml/2006/main" count="310" uniqueCount="102">
  <si>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</si>
  <si>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</si>
  <si>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</si>
  <si>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</si>
  <si>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</si>
  <si>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</si>
  <si>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</si>
  <si>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</si>
  <si>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</si>
  <si>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</si>
  <si>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</si>
  <si>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</si>
  <si>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</si>
  <si>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</si>
  <si>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</si>
  <si>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</si>
  <si>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</si>
  <si>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</si>
  <si>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</si>
  <si>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</si>
  <si>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</si>
  <si>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</si>
  <si>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tripped offline at 19:46 on 01/25 due to recloser trip and again back online on 10:45am on 01/26</t>
  </si>
  <si>
    <t>1.SR095981</t>
  </si>
  <si>
    <t>1.Low generation due to weather/snow.</t>
  </si>
  <si>
    <t>1.Site tripped offline at 04:45 on 01/05 due to SEL tripped offline later technician was able to re-energize the site on 12:45pm on 01/06
2. Tracker TCU 39 is not configured after being replaced on 12/16 and requires further troubleshooting with Suntrack.</t>
  </si>
  <si>
    <t>1.SR095317
2.SR095762</t>
  </si>
  <si>
    <t>1.Site was taken offline for replacing the transformer fuses by United power on 01/22 from 14:54 to 15:41.
2.Tracker 11 has been stuck and reporting "Motor overcurrent detected" on 01/09 technician was able to blocking &amp; alarm and trackers are back online at 10:30 on 01/28</t>
  </si>
  <si>
    <t>1.SR094826
2.SR095434</t>
  </si>
  <si>
    <t>1.Inverter 10 has tripped at 11:45am on 01/10 while United renewables was onsite later technician has brought inverter back online on 01/14 at 11:15
2.Site was taken offline from 08:15am to 15:00 on 01/23 by Asplundh Electrical for transformer testing.
3.All trackers are no tracking due to Overcurrent and snow alarm on 01/24.</t>
  </si>
  <si>
    <t>1.SR095486
2.SR095884
3.SR095924</t>
  </si>
  <si>
    <t>February Actual v. Expected</t>
  </si>
  <si>
    <t>February Actual v. Forecasted</t>
  </si>
  <si>
    <t>1. Low generation due to weather/snow.</t>
  </si>
  <si>
    <t>1.Site tripped offline at 15:45 on 02/08/25 due to recloser trip and later auto reclosed back online at 19:00 the same day.</t>
  </si>
  <si>
    <t>1. SR096532</t>
  </si>
  <si>
    <t>1.Site tripped offline at 07:45AM on 02/19/25 due to recloser trip and was back online at 9:30AM on 02/21 after technician re-enerzied.</t>
  </si>
  <si>
    <t>1. SR097445</t>
  </si>
  <si>
    <t>1. Site was taken offline from 09:00 AM on 02/03/25 to 09:45 AM on 02/04/25 by United Renewable Energy to paint the transformer on-site. Site again tripped offline at 14:30 on the same day and came back online at 12:30 on 02/08/25, after the technician swapped the blown transformer fuses for a new type.
2. Tracker TCU 39 was reconfigured and set back to Auto by the technician, and it was operating as expected on 02/27/25. However the tracker was stuck again on 02/28/25.</t>
  </si>
  <si>
    <t>1. SR094897
2. SR095762</t>
  </si>
  <si>
    <t>SR095762</t>
  </si>
  <si>
    <t>1. Tracker 11 has been stuck and reporting "Motor overcurrent detected" on 02/06/25 technician was able to blocking &amp; alarm and trackers are back online at 18:15 on 02/10/25.
2. Tracker 11 has been stuck and reporting "Motor overcurrent detected" on 02/11/25 technician was able to blocking &amp; alarm and trackers are back online at 13:00 on 02/12/25.</t>
  </si>
  <si>
    <t>1. SR096403
2. SR096696</t>
  </si>
  <si>
    <t>SR096696</t>
  </si>
  <si>
    <t>1. Site was taken offline from 08:15 AM to 09:15 AM on 02/05/25 by United Renewable Energy to swap out parts of the transformer, and they left the GOAB open at Site A for further work. On 02/06/25, they re-energized the site and brought it back online at 11:30 AM. Additionally, they reset the AC combiner to restore voltage, bringing Inverters A 13-16 back online at 14:30 the same day.
2. Six trackers were stuck on 02/06/25. On 02/07/25, the technician secured the loose connection and found alarms for motor overcurrent. All trackers were inspected and cleared, and they returned to normal operation the same day.
3. Seven trackers were stuck on 02/10/25. On 02/11/25, the technician cleared the fault, and the trackers were operating normally the same day.
4. Multiple trackers were stuck on 02/19/25. On 02/24/25, the technician tightened the fuse holders and cleared the alarms, but further troubleshooting with Suntrack is required. On 02/26/25, the technician cleared all remaining fault alarms except for tracker 132, which requires additional troubleshooting.</t>
  </si>
  <si>
    <t>1. SR096326
2. SR096398
3. SR096626
4. SR096935</t>
  </si>
  <si>
    <t>SR096398</t>
  </si>
  <si>
    <t>SR096626</t>
  </si>
  <si>
    <t>SR096935</t>
  </si>
  <si>
    <t>1. Inverter 1.21 has been offline throughout the month. To bring it back online, the EPC needs to replace the inverter.
2.Inverter 2.11 tripped offline at 13:45 on 02/22/25 due to a grid phase voltage out of range and remained offline throughout the month.</t>
  </si>
  <si>
    <t>1. SR097527
2. SR097650</t>
  </si>
  <si>
    <t>SR097650</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</si>
  <si>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</si>
  <si>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</si>
  <si>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</si>
  <si>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</si>
  <si>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</si>
  <si>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</si>
  <si>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</si>
  <si>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</si>
  <si>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</si>
  <si>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</si>
  <si>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</si>
  <si>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</si>
  <si>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</si>
  <si>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</si>
  <si>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</si>
  <si>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</si>
  <si>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</si>
  <si>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</si>
  <si>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</si>
  <si>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</si>
  <si>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</si>
  <si>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Renewable Properties</t>
  </si>
  <si>
    <t>Site DAS Name</t>
  </si>
  <si>
    <t>Update</t>
  </si>
  <si>
    <t>DAS</t>
  </si>
  <si>
    <t>60 Cedar Swamp Rd. (Renewable Properties)</t>
  </si>
  <si>
    <t>Cedar Swamp Rd</t>
  </si>
  <si>
    <t>MA</t>
  </si>
  <si>
    <t>PowerTrack</t>
  </si>
  <si>
    <t>Bullis</t>
  </si>
  <si>
    <t>NY</t>
  </si>
  <si>
    <t>Rock Island NY (Renew Prop)</t>
  </si>
  <si>
    <t>Rock Island</t>
  </si>
  <si>
    <t>Roderick Road</t>
  </si>
  <si>
    <t>Winslow - Roderick</t>
  </si>
  <si>
    <t>ME</t>
  </si>
  <si>
    <t>AEF</t>
  </si>
  <si>
    <t>Clemons Road</t>
  </si>
  <si>
    <t>Minoa - Clemons Rd</t>
  </si>
  <si>
    <t>Western Ave Solar</t>
  </si>
  <si>
    <t>Manchester - Western</t>
  </si>
  <si>
    <t>AF</t>
  </si>
  <si>
    <t>Batavia - Pike Rd</t>
  </si>
  <si>
    <t xml:space="preserve"> Lockport - Slayton A &amp; B</t>
  </si>
  <si>
    <t>Slayton A &amp; B</t>
  </si>
  <si>
    <t>Alexander Road</t>
  </si>
  <si>
    <t>Batavia - Alexander Rd</t>
  </si>
  <si>
    <t>Henry Gibson</t>
  </si>
  <si>
    <t xml:space="preserve">NC: Gibson – Henry Gibson Solar </t>
  </si>
  <si>
    <t>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</si>
</sst>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u/>
      <sz val="10"/>
      <color theme="10"/>
      <name val="Arial"/>
      <family val="2"/>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91">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0" fontId="33" fillId="0" borderId="0" xfId="0" applyFont="1" applyAlignment="1">
      <alignment vertical="center"/>
    </xf>
    <xf numFmtId="0" fontId="29" fillId="2" borderId="11" xfId="0" applyFont="1" applyFill="1" applyBorder="1" applyAlignment="1">
      <alignment horizontal="center" vertical="center" wrapText="1"/>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0" fontId="0" fillId="0" borderId="0" xfId="0" applyAlignment="1">
      <alignment horizontal="left" wrapText="1"/>
    </xf>
    <xf numFmtId="49" fontId="27" fillId="40" borderId="1" xfId="0" applyNumberFormat="1" applyFont="1" applyFill="1" applyBorder="1" applyAlignment="1">
      <alignment horizontal="center" vertical="center"/>
    </xf>
    <xf numFmtId="49" fontId="28" fillId="40" borderId="1" xfId="0" applyNumberFormat="1" applyFont="1" applyFill="1" applyBorder="1" applyAlignment="1">
      <alignment horizontal="center" vertical="center"/>
    </xf>
    <xf numFmtId="164" fontId="28" fillId="44" borderId="1" xfId="1" applyNumberFormat="1" applyFont="1" applyFill="1" applyBorder="1" applyAlignment="1">
      <alignment horizontal="center" vertical="center"/>
    </xf>
    <xf numFmtId="3" fontId="30" fillId="3" borderId="1" xfId="0" applyNumberFormat="1" applyFont="1" applyFill="1" applyBorder="1" applyAlignment="1">
      <alignment horizontal="right" vertical="center"/>
    </xf>
    <xf numFmtId="9" fontId="30" fillId="3" borderId="1" xfId="2" applyFont="1" applyFill="1" applyBorder="1" applyAlignment="1">
      <alignment horizontal="center" vertical="center"/>
    </xf>
    <xf numFmtId="3" fontId="30" fillId="4" borderId="1" xfId="1" applyNumberFormat="1" applyFont="1" applyFill="1" applyBorder="1" applyAlignment="1">
      <alignment vertical="center"/>
    </xf>
    <xf numFmtId="9" fontId="30" fillId="37" borderId="1" xfId="2" applyFont="1" applyFill="1" applyBorder="1" applyAlignment="1">
      <alignment horizontal="center" vertical="center"/>
    </xf>
    <xf numFmtId="49" fontId="27"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164" fontId="28" fillId="0" borderId="1" xfId="1" applyNumberFormat="1" applyFont="1" applyBorder="1" applyAlignment="1">
      <alignment horizontal="center" vertical="center"/>
    </xf>
    <xf numFmtId="3" fontId="30" fillId="0" borderId="1" xfId="0" applyNumberFormat="1" applyFont="1" applyBorder="1" applyAlignment="1">
      <alignment horizontal="right" vertical="center"/>
    </xf>
    <xf numFmtId="9" fontId="30" fillId="0" borderId="1" xfId="2" applyFont="1" applyFill="1" applyBorder="1" applyAlignment="1">
      <alignment horizontal="center" vertical="center"/>
    </xf>
    <xf numFmtId="3" fontId="30" fillId="0" borderId="1" xfId="1" applyNumberFormat="1" applyFont="1" applyFill="1" applyBorder="1" applyAlignment="1">
      <alignment vertical="center"/>
    </xf>
    <xf numFmtId="49" fontId="27" fillId="40" borderId="1" xfId="0" applyNumberFormat="1" applyFont="1" applyFill="1" applyBorder="1" applyAlignment="1">
      <alignment horizontal="left" vertical="center"/>
    </xf>
    <xf numFmtId="49" fontId="27" fillId="0" borderId="1" xfId="0" applyNumberFormat="1" applyFont="1" applyBorder="1" applyAlignment="1">
      <alignment horizontal="left"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vertic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5" fillId="45" borderId="11" xfId="0" applyFont="1" applyFill="1" applyBorder="1" applyAlignment="1">
      <alignment horizontal="center" vertical="center"/>
    </xf>
    <xf numFmtId="0" fontId="24" fillId="42" borderId="11" xfId="0" applyFont="1" applyFill="1" applyBorder="1" applyAlignment="1">
      <alignment horizontal="center"/>
    </xf>
    <xf numFmtId="0" fontId="34" fillId="40" borderId="1" xfId="0" applyFont="1" applyFill="1" applyBorder="1" applyAlignment="1">
      <alignment horizontal="left"/>
    </xf>
    <xf numFmtId="0" fontId="28" fillId="40" borderId="1" xfId="0" applyFont="1" applyFill="1" applyBorder="1" applyAlignment="1">
      <alignment horizontal="center" vertical="center"/>
    </xf>
    <xf numFmtId="49" fontId="30" fillId="38" borderId="1" xfId="2" applyNumberFormat="1" applyFont="1" applyFill="1" applyBorder="1" applyAlignment="1">
      <alignment vertical="top" wrapText="1"/>
    </xf>
    <xf numFmtId="0" fontId="27" fillId="0" borderId="1" xfId="0" applyFont="1" applyBorder="1" applyAlignment="1">
      <alignment horizontal="left" vertical="center"/>
    </xf>
    <xf numFmtId="0" fontId="28" fillId="0" borderId="1" xfId="0" applyFont="1" applyBorder="1" applyAlignment="1">
      <alignment horizontal="center" vertical="center"/>
    </xf>
    <xf numFmtId="49" fontId="28" fillId="0" borderId="1" xfId="0" applyNumberFormat="1" applyFont="1" applyBorder="1" applyAlignment="1">
      <alignment vertical="center" wrapText="1"/>
    </xf>
    <xf numFmtId="0" fontId="27" fillId="40" borderId="1" xfId="0" applyFont="1" applyFill="1" applyBorder="1" applyAlignment="1">
      <alignment horizontal="left" vertical="center"/>
    </xf>
    <xf numFmtId="0" fontId="34" fillId="40" borderId="1" xfId="0" applyFont="1" applyFill="1" applyBorder="1" applyAlignment="1">
      <alignment horizontal="center"/>
    </xf>
    <xf numFmtId="0" fontId="27" fillId="0" borderId="1" xfId="0" applyFont="1" applyBorder="1" applyAlignment="1">
      <alignment horizontal="center" vertical="center"/>
    </xf>
    <xf numFmtId="0" fontId="27" fillId="40" borderId="1" xfId="0" applyFont="1" applyFill="1" applyBorder="1" applyAlignment="1">
      <alignment horizontal="center" vertical="center"/>
    </xf>
    <xf numFmtId="49" fontId="28" fillId="0" borderId="1" xfId="0" applyNumberFormat="1" applyFont="1" applyBorder="1" applyAlignment="1">
      <alignment horizontal="left" vertical="top" wrapText="1"/>
    </xf>
    <xf numFmtId="49" fontId="28" fillId="0" borderId="1" xfId="0" applyNumberFormat="1" applyFont="1" applyBorder="1" applyAlignment="1">
      <alignment vertical="top" wrapText="1"/>
    </xf>
    <xf numFmtId="0" fontId="22" fillId="0" borderId="0" xfId="43" applyFont="1"/>
    <xf numFmtId="9" fontId="30" fillId="3" borderId="12" xfId="2" applyFont="1" applyFill="1" applyBorder="1" applyAlignment="1">
      <alignment horizontal="center" vertical="center"/>
    </xf>
    <xf numFmtId="0" fontId="32" fillId="0" borderId="1" xfId="0" applyFont="1" applyBorder="1"/>
    <xf numFmtId="0" fontId="22" fillId="0" borderId="0" xfId="43" applyFont="1" applyAlignment="1">
      <alignment horizontal="left" vertical="top" wrapText="1"/>
    </xf>
    <xf numFmtId="0" fontId="35" fillId="0" borderId="1" xfId="0" applyFont="1" applyBorder="1" applyAlignment="1">
      <alignment horizontal="center" vertical="center"/>
    </xf>
    <xf numFmtId="0" fontId="30" fillId="0" borderId="1" xfId="0" applyFont="1" applyBorder="1" applyAlignment="1">
      <alignment horizontal="center"/>
    </xf>
    <xf numFmtId="49" fontId="30" fillId="38" borderId="1" xfId="2" applyNumberFormat="1" applyFont="1" applyFill="1" applyBorder="1" applyAlignment="1">
      <alignment horizontal="left" vertical="top" wrapText="1"/>
    </xf>
    <xf numFmtId="0" fontId="22" fillId="0" borderId="0" xfId="43" applyFont="1" applyAlignment="1">
      <alignment horizontal="left" wrapText="1"/>
    </xf>
    <xf numFmtId="0" fontId="32" fillId="0" borderId="13" xfId="0" applyFont="1" applyBorder="1"/>
    <xf numFmtId="3" fontId="30" fillId="4" borderId="11" xfId="1" applyNumberFormat="1" applyFont="1" applyFill="1" applyBorder="1" applyAlignment="1">
      <alignment vertical="center"/>
    </xf>
    <xf numFmtId="9" fontId="30" fillId="0" borderId="12" xfId="2" applyFont="1" applyFill="1" applyBorder="1" applyAlignment="1">
      <alignment horizontal="center" vertical="center"/>
    </xf>
    <xf numFmtId="3" fontId="30" fillId="0" borderId="14" xfId="1" applyNumberFormat="1" applyFont="1" applyFill="1" applyBorder="1" applyAlignment="1">
      <alignment vertical="center"/>
    </xf>
    <xf numFmtId="0" fontId="2" fillId="0" borderId="0" xfId="0" applyFont="1"/>
    <xf numFmtId="0" fontId="30" fillId="0" borderId="13" xfId="0" applyFont="1" applyBorder="1" applyAlignment="1">
      <alignment horizontal="left" vertical="top" wrapText="1"/>
    </xf>
    <xf numFmtId="0" fontId="30" fillId="0" borderId="13" xfId="0" applyFont="1" applyBorder="1" applyAlignment="1">
      <alignment horizontal="center" vertical="center"/>
    </xf>
    <xf numFmtId="0" fontId="0" fillId="0" borderId="0" xfId="0" applyAlignment="1">
      <alignment wrapText="1"/>
    </xf>
    <xf numFmtId="0" fontId="32" fillId="0" borderId="13" xfId="0" applyFont="1" applyBorder="1" applyAlignment="1">
      <alignment vertical="center"/>
    </xf>
    <xf numFmtId="0" fontId="30" fillId="0" borderId="13" xfId="0" applyFont="1" applyBorder="1" applyAlignment="1">
      <alignment horizontal="right" vertical="center"/>
    </xf>
    <xf numFmtId="9" fontId="30" fillId="0" borderId="1" xfId="2" applyFont="1" applyBorder="1" applyAlignment="1">
      <alignment horizontal="center" vertical="center"/>
    </xf>
    <xf numFmtId="3" fontId="30" fillId="0" borderId="1" xfId="1" applyNumberFormat="1" applyFont="1" applyBorder="1" applyAlignment="1">
      <alignment vertical="center"/>
    </xf>
    <xf numFmtId="49" fontId="36" fillId="0" borderId="1" xfId="45" applyNumberFormat="1" applyBorder="1" applyAlignment="1">
      <alignment horizontal="left" vertical="top" wrapText="1"/>
    </xf>
    <xf numFmtId="49" fontId="36" fillId="38" borderId="1" xfId="45" applyNumberFormat="1" applyFill="1" applyBorder="1" applyAlignment="1">
      <alignment horizontal="left" vertical="top" wrapText="1"/>
    </xf>
    <xf numFmtId="0" fontId="36" fillId="0" borderId="13" xfId="45" applyBorder="1" applyAlignment="1">
      <alignment horizontal="left" vertical="top" wrapText="1"/>
    </xf>
    <xf numFmtId="0" fontId="0" fillId="0" borderId="0" xfId="0" applyAlignment="1">
      <alignment horizontal="left" vertical="top"/>
    </xf>
    <xf numFmtId="0" fontId="36" fillId="0" borderId="0" xfId="45" applyAlignment="1">
      <alignment horizontal="left" vertical="top" wrapText="1"/>
    </xf>
    <xf numFmtId="0" fontId="36" fillId="0" borderId="0" xfId="45" applyAlignment="1">
      <alignment horizontal="left" vertical="top"/>
    </xf>
    <xf numFmtId="0" fontId="37" fillId="0" borderId="0" xfId="0" applyFont="1"/>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398" TargetMode="External"/><Relationship Id="rId3" Type="http://schemas.openxmlformats.org/officeDocument/2006/relationships/hyperlink" Target="https://us3.assetplanner.com/service_request?ID=094897" TargetMode="External"/><Relationship Id="rId7" Type="http://schemas.openxmlformats.org/officeDocument/2006/relationships/hyperlink" Target="https://us3.assetplanner.com/service_request?ID=096326" TargetMode="External"/><Relationship Id="rId12" Type="http://schemas.openxmlformats.org/officeDocument/2006/relationships/hyperlink" Target="https://us3.assetplanner.com/service_request?ID=097650" TargetMode="External"/><Relationship Id="rId2" Type="http://schemas.openxmlformats.org/officeDocument/2006/relationships/hyperlink" Target="https://us3.assetplanner.com/service_request?ID=097445" TargetMode="External"/><Relationship Id="rId1" Type="http://schemas.openxmlformats.org/officeDocument/2006/relationships/hyperlink" Target="https://us3.assetplanner.com/service_request?ID=096532" TargetMode="External"/><Relationship Id="rId6" Type="http://schemas.openxmlformats.org/officeDocument/2006/relationships/hyperlink" Target="https://us3.assetplanner.com/service_request?ID=096696" TargetMode="External"/><Relationship Id="rId11" Type="http://schemas.openxmlformats.org/officeDocument/2006/relationships/hyperlink" Target="https://us3.assetplanner.com/service_request?ID=097527" TargetMode="External"/><Relationship Id="rId5" Type="http://schemas.openxmlformats.org/officeDocument/2006/relationships/hyperlink" Target="https://us3.assetplanner.com/service_request?ID=096403" TargetMode="External"/><Relationship Id="rId10" Type="http://schemas.openxmlformats.org/officeDocument/2006/relationships/hyperlink" Target="https://us3.assetplanner.com/service_request?ID=096935" TargetMode="External"/><Relationship Id="rId4" Type="http://schemas.openxmlformats.org/officeDocument/2006/relationships/hyperlink" Target="https://us3.assetplanner.com/service_request?ID=095762" TargetMode="External"/><Relationship Id="rId9" Type="http://schemas.openxmlformats.org/officeDocument/2006/relationships/hyperlink" Target="https://us3.assetplanner.com/service_request?ID=096626"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M8" sqref="M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8" t="str" cm="1">
        <f t="array" ref="A1">portfolio</f>
        <v>Renewable Properties</v>
      </c>
      <c r="B1" s="88"/>
      <c r="C1" s="88"/>
      <c r="D1" s="89" t="s">
        <v>0</v>
      </c>
      <c r="E1" s="89"/>
      <c r="F1" s="89"/>
      <c r="G1" s="87" t="s">
        <v>1</v>
      </c>
      <c r="H1" s="87"/>
      <c r="I1" s="87"/>
    </row>
    <row r="2" spans="1:9" ht="19.5" customHeight="1">
      <c r="A2" s="90" t="s">
        <v>2</v>
      </c>
      <c r="B2" s="90"/>
      <c r="C2" s="5">
        <f>SUM(C4:C80)</f>
        <v>4395339.496439104</v>
      </c>
      <c r="D2" s="5">
        <f>SUM(D4:D80)</f>
        <v>5764072.8300000001</v>
      </c>
      <c r="E2" s="5">
        <f>C2-D2</f>
        <v>-1368733.3335608961</v>
      </c>
      <c r="F2" s="6">
        <f>IFERROR(E2/D2, 0)</f>
        <v>-0.23745941002638166</v>
      </c>
      <c r="G2" s="5">
        <f>SUM(G4:G80)</f>
        <v>5325537.0599999996</v>
      </c>
      <c r="H2" s="7">
        <f>C2-G2</f>
        <v>-930197.56356089562</v>
      </c>
      <c r="I2" s="6">
        <f>IFERROR(H2/G2, 0)</f>
        <v>-0.17466737215061193</v>
      </c>
    </row>
    <row r="3" spans="1:9" ht="14.25" customHeight="1">
      <c r="A3" s="8" t="s">
        <v>3</v>
      </c>
      <c r="B3" s="8" t="s">
        <v>4</v>
      </c>
      <c r="C3" s="11" t="s">
        <v>5</v>
      </c>
      <c r="D3" s="16" t="s">
        <v>6</v>
      </c>
      <c r="E3" s="16" t="s">
        <v>7</v>
      </c>
      <c r="F3" s="17" t="s">
        <v>8</v>
      </c>
      <c r="G3" s="18" t="s">
        <v>9</v>
      </c>
      <c r="H3" s="19" t="s">
        <v>7</v>
      </c>
      <c r="I3" s="20" t="s">
        <v>8</v>
      </c>
    </row>
    <row r="4" spans="1:9" ht="15.6">
      <c r="A4" s="25" t="str" cm="1">
        <f t="array" ref="A4:A13">Sites[Site]</f>
        <v>Cedar Swamp Rd</v>
      </c>
      <c r="B4" s="26" t="str" cm="1">
        <f t="array" ref="B4:B13">Sites[State]</f>
        <v>MA</v>
      </c>
      <c r="C4" s="27">
        <f>SUM('1st Qtr'!C4, '2nd Qtr'!C4, '3rd Qtr'!C4, '4th Qtr'!C4)</f>
        <v>318356</v>
      </c>
      <c r="D4" s="28">
        <f>SUM('1st Qtr'!D4, '2nd Qtr'!D4, '3rd Qtr'!D4, '4th Qtr'!D4)</f>
        <v>155091.13</v>
      </c>
      <c r="E4" s="28">
        <f>IF(AND(ISNUMBER(C4),ISNUMBER(D4)), C4-D4, "")</f>
        <v>163264.87</v>
      </c>
      <c r="F4" s="29">
        <f>IFERROR(E4/D4, "")</f>
        <v>1.052702820593286</v>
      </c>
      <c r="G4" s="30">
        <f>SUM('1st Qtr'!G4, '2nd Qtr'!G4, '3rd Qtr'!G4, '4th Qtr'!G4)</f>
        <v>96698.66</v>
      </c>
      <c r="H4" s="30">
        <f>SUM('1st Qtr'!H4, '2nd Qtr'!H4, '3rd Qtr'!H4, '4th Qtr'!H4)</f>
        <v>39652.340000000004</v>
      </c>
      <c r="I4" s="31">
        <f>IFERROR(H4/G4, "")</f>
        <v>0.41006090467024053</v>
      </c>
    </row>
    <row r="5" spans="1:9" ht="15.6">
      <c r="A5" s="32" t="str">
        <v>Bullis</v>
      </c>
      <c r="B5" s="33" t="str">
        <v>NY</v>
      </c>
      <c r="C5" s="35">
        <f>SUM('1st Qtr'!C5, '2nd Qtr'!C5, '3rd Qtr'!C5, '4th Qtr'!C5)</f>
        <v>437227</v>
      </c>
      <c r="D5" s="35">
        <f>SUM('1st Qtr'!D5, '2nd Qtr'!D5, '3rd Qtr'!D5, '4th Qtr'!D5)</f>
        <v>598672.69999999995</v>
      </c>
      <c r="E5" s="35">
        <f t="shared" ref="E5:E6" si="0">IF(AND(ISNUMBER(C5),ISNUMBER(D5)), C5-D5, "")</f>
        <v>-161445.69999999995</v>
      </c>
      <c r="F5" s="36">
        <f>IFERROR(E5/D5, "")</f>
        <v>-0.26967272768576211</v>
      </c>
      <c r="G5" s="37">
        <f>SUM('1st Qtr'!G5, '2nd Qtr'!G5, '3rd Qtr'!G5, '4th Qtr'!G5)</f>
        <v>685578.8</v>
      </c>
      <c r="H5" s="37">
        <f>SUM('1st Qtr'!H5, '2nd Qtr'!H5, '3rd Qtr'!H5, '4th Qtr'!H5)</f>
        <v>-248351.80000000005</v>
      </c>
      <c r="I5" s="36">
        <f>IFERROR(H5/G5, "")</f>
        <v>-0.36225128314936228</v>
      </c>
    </row>
    <row r="6" spans="1:9" ht="15.6">
      <c r="A6" s="25" t="str">
        <v>Rock Island</v>
      </c>
      <c r="B6" s="26" t="str">
        <v>NY</v>
      </c>
      <c r="C6" s="27">
        <f>SUM('1st Qtr'!C6, '2nd Qtr'!C6, '3rd Qtr'!C6, '4th Qtr'!C6)</f>
        <v>521358</v>
      </c>
      <c r="D6" s="28">
        <f>SUM('1st Qtr'!D6, '2nd Qtr'!D6, '3rd Qtr'!D6, '4th Qtr'!D6)</f>
        <v>735207.3</v>
      </c>
      <c r="E6" s="28">
        <f t="shared" si="0"/>
        <v>-213849.30000000005</v>
      </c>
      <c r="F6" s="29">
        <f t="shared" ref="F6" si="1">IFERROR(E6/D6, "")</f>
        <v>-0.29086939153079688</v>
      </c>
      <c r="G6" s="30">
        <f>SUM('1st Qtr'!G6, '2nd Qtr'!G6, '3rd Qtr'!G6, '4th Qtr'!G6)</f>
        <v>634133.80000000005</v>
      </c>
      <c r="H6" s="30">
        <f>SUM('1st Qtr'!H6, '2nd Qtr'!H6, '3rd Qtr'!H6, '4th Qtr'!H6)</f>
        <v>-112775.79999999999</v>
      </c>
      <c r="I6" s="31">
        <f t="shared" ref="I6" si="2">IFERROR(H6/G6, "")</f>
        <v>-0.17784227871152741</v>
      </c>
    </row>
    <row r="7" spans="1:9" ht="15.6">
      <c r="A7" s="32" t="str">
        <v>Winslow - Roderick</v>
      </c>
      <c r="B7" s="33" t="str">
        <v>ME</v>
      </c>
      <c r="C7" s="35">
        <f>SUM('1st Qtr'!C7, '2nd Qtr'!C7, '3rd Qtr'!C7, '4th Qtr'!C7)</f>
        <v>723014</v>
      </c>
      <c r="D7" s="35">
        <f>SUM('1st Qtr'!D7, '2nd Qtr'!D7, '3rd Qtr'!D7, '4th Qtr'!D7)</f>
        <v>1055162.1000000001</v>
      </c>
      <c r="E7" s="35">
        <f t="shared" ref="E7" si="3">IF(AND(ISNUMBER(C7),ISNUMBER(D7)), C7-D7, "")</f>
        <v>-332148.10000000009</v>
      </c>
      <c r="F7" s="36">
        <f t="shared" ref="F7:F13" si="4">IFERROR(E7/D7, "")</f>
        <v>-0.31478395594383085</v>
      </c>
      <c r="G7" s="37">
        <f>SUM('1st Qtr'!G7, '2nd Qtr'!G7, '3rd Qtr'!G7, '4th Qtr'!G7)</f>
        <v>885712</v>
      </c>
      <c r="H7" s="37">
        <f>SUM('1st Qtr'!H7, '2nd Qtr'!H7, '3rd Qtr'!H7, '4th Qtr'!H7)</f>
        <v>-162698</v>
      </c>
      <c r="I7" s="36">
        <f t="shared" ref="I7:I13" si="5">IFERROR(H7/G7, "")</f>
        <v>-0.18369176436584353</v>
      </c>
    </row>
    <row r="8" spans="1:9" ht="15.6">
      <c r="A8" s="25" t="str">
        <v>Minoa - Clemons Rd</v>
      </c>
      <c r="B8" s="26" t="str">
        <v>NY</v>
      </c>
      <c r="C8" s="27">
        <f>SUM('1st Qtr'!C8, '2nd Qtr'!C8, '3rd Qtr'!C8, '4th Qtr'!C8)</f>
        <v>275965</v>
      </c>
      <c r="D8" s="28">
        <f>SUM('1st Qtr'!D8, '2nd Qtr'!D8, '3rd Qtr'!D8, '4th Qtr'!D8)</f>
        <v>411073.69999999995</v>
      </c>
      <c r="E8" s="28">
        <f t="shared" ref="E8:E13" si="6">IF(AND(ISNUMBER(C8),ISNUMBER(D8)), C8-D8, "")</f>
        <v>-135108.69999999995</v>
      </c>
      <c r="F8" s="29">
        <f t="shared" ref="F8:F12" si="7">IFERROR(E8/D8, "")</f>
        <v>-0.32867269299884661</v>
      </c>
      <c r="G8" s="30">
        <f>SUM('1st Qtr'!G8, '2nd Qtr'!G8, '3rd Qtr'!G8, '4th Qtr'!G8)</f>
        <v>474080.9</v>
      </c>
      <c r="H8" s="30">
        <f>SUM('1st Qtr'!H8, '2nd Qtr'!H8, '3rd Qtr'!H8, '4th Qtr'!H8)</f>
        <v>-198115.90000000002</v>
      </c>
      <c r="I8" s="31">
        <f t="shared" ref="I8:I12" si="8">IFERROR(H8/G8, "")</f>
        <v>-0.41789470953164326</v>
      </c>
    </row>
    <row r="9" spans="1:9" ht="15.6">
      <c r="A9" s="32" t="str">
        <v>Manchester - Western</v>
      </c>
      <c r="B9" s="33" t="str">
        <v>ME</v>
      </c>
      <c r="C9" s="35">
        <f>SUM('1st Qtr'!C9, '2nd Qtr'!C9, '3rd Qtr'!C9, '4th Qtr'!C9)</f>
        <v>91523.625</v>
      </c>
      <c r="D9" s="35">
        <f>SUM('1st Qtr'!D9, '2nd Qtr'!D9, '3rd Qtr'!D9, '4th Qtr'!D9)</f>
        <v>0</v>
      </c>
      <c r="E9" s="35">
        <f t="shared" si="6"/>
        <v>91523.625</v>
      </c>
      <c r="F9" s="36" t="str">
        <f t="shared" si="4"/>
        <v/>
      </c>
      <c r="G9" s="37">
        <f>SUM('1st Qtr'!G9, '2nd Qtr'!G9, '3rd Qtr'!G9, '4th Qtr'!G9)</f>
        <v>0</v>
      </c>
      <c r="H9" s="37">
        <f>SUM('1st Qtr'!H9, '2nd Qtr'!H9, '3rd Qtr'!H9, '4th Qtr'!H9)</f>
        <v>91523.625</v>
      </c>
      <c r="I9" s="36" t="str">
        <f t="shared" si="5"/>
        <v/>
      </c>
    </row>
    <row r="10" spans="1:9" ht="15.6">
      <c r="A10" s="25" t="str">
        <v>Batavia - Pike Rd</v>
      </c>
      <c r="B10" s="26" t="str">
        <v>NY</v>
      </c>
      <c r="C10" s="27">
        <f>SUM('1st Qtr'!C10, '2nd Qtr'!C10, '3rd Qtr'!C10, '4th Qtr'!C10)</f>
        <v>351960.37505000003</v>
      </c>
      <c r="D10" s="28">
        <f>SUM('1st Qtr'!D10, '2nd Qtr'!D10, '3rd Qtr'!D10, '4th Qtr'!D10)</f>
        <v>540570.9</v>
      </c>
      <c r="E10" s="28">
        <f t="shared" si="6"/>
        <v>-188610.52494999999</v>
      </c>
      <c r="F10" s="29">
        <f t="shared" si="7"/>
        <v>-0.3489098746343911</v>
      </c>
      <c r="G10" s="30">
        <f>SUM('1st Qtr'!G10, '2nd Qtr'!G10, '3rd Qtr'!G10, '4th Qtr'!G10)</f>
        <v>526844</v>
      </c>
      <c r="H10" s="30">
        <f>SUM('1st Qtr'!H10, '2nd Qtr'!H10, '3rd Qtr'!H10, '4th Qtr'!H10)</f>
        <v>-174883.62495000003</v>
      </c>
      <c r="I10" s="31">
        <f t="shared" si="8"/>
        <v>-0.33194574665365845</v>
      </c>
    </row>
    <row r="11" spans="1:9" ht="15.6">
      <c r="A11" s="32" t="str">
        <v>Slayton A &amp; B</v>
      </c>
      <c r="B11" s="33" t="str">
        <v>NY</v>
      </c>
      <c r="C11" s="35">
        <f>SUM('1st Qtr'!C11, '2nd Qtr'!C11, '3rd Qtr'!C11, '4th Qtr'!C11)</f>
        <v>805076</v>
      </c>
      <c r="D11" s="35">
        <f>SUM('1st Qtr'!D11, '2nd Qtr'!D11, '3rd Qtr'!D11, '4th Qtr'!D11)</f>
        <v>1190195.2</v>
      </c>
      <c r="E11" s="35">
        <f t="shared" si="6"/>
        <v>-385119.19999999995</v>
      </c>
      <c r="F11" s="36">
        <f t="shared" si="4"/>
        <v>-0.32357650240901659</v>
      </c>
      <c r="G11" s="37">
        <f>SUM('1st Qtr'!G11, '2nd Qtr'!G11, '3rd Qtr'!G11, '4th Qtr'!G11)</f>
        <v>1036344.6</v>
      </c>
      <c r="H11" s="37">
        <f>SUM('1st Qtr'!H11, '2nd Qtr'!H11, '3rd Qtr'!H11, '4th Qtr'!H11)</f>
        <v>-231268.59999999998</v>
      </c>
      <c r="I11" s="36">
        <f t="shared" si="5"/>
        <v>-0.22315801134101532</v>
      </c>
    </row>
    <row r="12" spans="1:9" ht="15.6">
      <c r="A12" s="25" t="str">
        <v>Batavia - Alexander Rd</v>
      </c>
      <c r="B12" s="26" t="str">
        <v>NY</v>
      </c>
      <c r="C12" s="27">
        <f>SUM('1st Qtr'!C12, '2nd Qtr'!C12, '3rd Qtr'!C12, '4th Qtr'!C12)</f>
        <v>181635.496389104</v>
      </c>
      <c r="D12" s="28">
        <f>SUM('1st Qtr'!D12, '2nd Qtr'!D12, '3rd Qtr'!D12, '4th Qtr'!D12)</f>
        <v>312080.40000000002</v>
      </c>
      <c r="E12" s="28">
        <f t="shared" si="6"/>
        <v>-130444.90361089603</v>
      </c>
      <c r="F12" s="29">
        <f t="shared" si="7"/>
        <v>-0.4179849282777644</v>
      </c>
      <c r="G12" s="30">
        <f>SUM('1st Qtr'!G12, '2nd Qtr'!G12, '3rd Qtr'!G12, '4th Qtr'!G12)</f>
        <v>278250.3</v>
      </c>
      <c r="H12" s="30">
        <f>SUM('1st Qtr'!H12, '2nd Qtr'!H12, '3rd Qtr'!H12, '4th Qtr'!H12)</f>
        <v>-96614.803610895993</v>
      </c>
      <c r="I12" s="31">
        <f t="shared" si="8"/>
        <v>-0.3472226395116052</v>
      </c>
    </row>
    <row r="13" spans="1:9" ht="15.6">
      <c r="A13" s="32" t="str">
        <v xml:space="preserve">NC: Gibson – Henry Gibson Solar </v>
      </c>
      <c r="B13" s="33" t="str">
        <v>NC</v>
      </c>
      <c r="C13" s="35">
        <f>SUM('1st Qtr'!C13, '2nd Qtr'!C13, '3rd Qtr'!C13, '4th Qtr'!C13)</f>
        <v>689224</v>
      </c>
      <c r="D13" s="35">
        <f>SUM('1st Qtr'!D13, '2nd Qtr'!D13, '3rd Qtr'!D13, '4th Qtr'!D13)</f>
        <v>766019.4</v>
      </c>
      <c r="E13" s="35">
        <f t="shared" si="6"/>
        <v>-76795.400000000023</v>
      </c>
      <c r="F13" s="36">
        <f t="shared" si="4"/>
        <v>-0.10025255235050186</v>
      </c>
      <c r="G13" s="37">
        <f>SUM('1st Qtr'!G13, '2nd Qtr'!G13, '3rd Qtr'!G13, '4th Qtr'!G13)</f>
        <v>707894</v>
      </c>
      <c r="H13" s="37">
        <f>SUM('1st Qtr'!H13, '2nd Qtr'!H13, '3rd Qtr'!H13, '4th Qtr'!H13)</f>
        <v>-18670</v>
      </c>
      <c r="I13" s="36">
        <f t="shared" si="5"/>
        <v>-2.6374005147663349E-2</v>
      </c>
    </row>
    <row r="14" spans="1:9" ht="13.9">
      <c r="A14" s="9"/>
      <c r="B14" s="9"/>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autoFilter ref="A2:I2" xr:uid="{D5C25034-9971-4A61-864F-C938F31EB1B8}"/>
  <mergeCells count="4">
    <mergeCell ref="G1:I1"/>
    <mergeCell ref="A1:C1"/>
    <mergeCell ref="D1:F1"/>
    <mergeCell ref="A2:B2"/>
  </mergeCells>
  <conditionalFormatting sqref="F2 I2 F4:F80 I4:I80">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H19" sqref="H19"/>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8" t="str" cm="1">
        <f t="array" ref="A1">portfolio</f>
        <v>Renewable Properties</v>
      </c>
      <c r="B1" s="88"/>
      <c r="C1" s="88"/>
      <c r="D1" s="89" t="s">
        <v>10</v>
      </c>
      <c r="E1" s="89"/>
      <c r="F1" s="89"/>
      <c r="G1" s="87" t="s">
        <v>11</v>
      </c>
      <c r="H1" s="87"/>
      <c r="I1" s="87"/>
    </row>
    <row r="2" spans="1:9" ht="19.5" customHeight="1">
      <c r="A2" s="90" t="s">
        <v>2</v>
      </c>
      <c r="B2" s="90"/>
      <c r="C2" s="5">
        <f>SUM(C4:C80)</f>
        <v>4395339.496439104</v>
      </c>
      <c r="D2" s="5">
        <f>SUM(D4:D80)</f>
        <v>5764072.8300000001</v>
      </c>
      <c r="E2" s="5">
        <f>C2-D2</f>
        <v>-1368733.3335608961</v>
      </c>
      <c r="F2" s="6">
        <f>IFERROR(E2/D2, 0)</f>
        <v>-0.23745941002638166</v>
      </c>
      <c r="G2" s="5">
        <f>SUM(G4:G80)</f>
        <v>5325537.0599999996</v>
      </c>
      <c r="H2" s="7">
        <f>C2-G2</f>
        <v>-930197.56356089562</v>
      </c>
      <c r="I2" s="6">
        <f>IFERROR(H2/G2, 0)</f>
        <v>-0.17466737215061193</v>
      </c>
    </row>
    <row r="3" spans="1:9" ht="14.25" customHeight="1">
      <c r="A3" s="8" t="s">
        <v>3</v>
      </c>
      <c r="B3" s="8" t="s">
        <v>4</v>
      </c>
      <c r="C3" s="11" t="s">
        <v>5</v>
      </c>
      <c r="D3" s="16" t="s">
        <v>6</v>
      </c>
      <c r="E3" s="16" t="s">
        <v>7</v>
      </c>
      <c r="F3" s="17" t="s">
        <v>8</v>
      </c>
      <c r="G3" s="18" t="s">
        <v>9</v>
      </c>
      <c r="H3" s="19" t="s">
        <v>7</v>
      </c>
      <c r="I3" s="20" t="s">
        <v>8</v>
      </c>
    </row>
    <row r="4" spans="1:9" ht="15.6">
      <c r="A4" s="38" t="str" cm="1">
        <f t="array" ref="A4:A13">Sites[Site]</f>
        <v>Cedar Swamp Rd</v>
      </c>
      <c r="B4" s="26" t="str" cm="1">
        <f t="array" ref="B4:B13">Sites[State]</f>
        <v>MA</v>
      </c>
      <c r="C4" s="27">
        <f>SUM(Jan!C4, Feb!C5, Mar!C4)</f>
        <v>318356</v>
      </c>
      <c r="D4" s="28">
        <f>SUM(Jan!D4, Feb!D4, Mar!D4)</f>
        <v>155091.13</v>
      </c>
      <c r="E4" s="28">
        <f>IF(AND(ISNUMBER(C4),ISNUMBER(D4)), C4-D4, "")</f>
        <v>163264.87</v>
      </c>
      <c r="F4" s="29">
        <f>IFERROR(E4/D4, "")</f>
        <v>1.052702820593286</v>
      </c>
      <c r="G4" s="30">
        <f>SUM(Jan!G4, Feb!G4, Mar!G4)</f>
        <v>96698.66</v>
      </c>
      <c r="H4" s="30">
        <f>SUM(Jan!H4, Feb!H4, Mar!H4)</f>
        <v>39652.340000000004</v>
      </c>
      <c r="I4" s="31">
        <f>IFERROR(H4/G4, "")</f>
        <v>0.41006090467024053</v>
      </c>
    </row>
    <row r="5" spans="1:9" ht="15.6">
      <c r="A5" s="39" t="str">
        <v>Bullis</v>
      </c>
      <c r="B5" s="33" t="str">
        <v>NY</v>
      </c>
      <c r="C5" s="34">
        <f>SUM(Jan!C5, Feb!C5, Mar!C5)</f>
        <v>437227</v>
      </c>
      <c r="D5" s="35">
        <f>SUM(Jan!D5, Feb!D5, Mar!D5)</f>
        <v>598672.69999999995</v>
      </c>
      <c r="E5" s="35">
        <f t="shared" ref="E5:E6" si="0">IF(AND(ISNUMBER(C5),ISNUMBER(D5)), C5-D5, "")</f>
        <v>-161445.69999999995</v>
      </c>
      <c r="F5" s="36">
        <f>IFERROR(E5/D5, "")</f>
        <v>-0.26967272768576211</v>
      </c>
      <c r="G5" s="37">
        <f>SUM(Jan!G5, Feb!G5, Mar!G5)</f>
        <v>685578.8</v>
      </c>
      <c r="H5" s="37">
        <f>SUM(Jan!H5, Feb!H5, Mar!H5)</f>
        <v>-248351.80000000005</v>
      </c>
      <c r="I5" s="36">
        <f>IFERROR(H5/G5, "")</f>
        <v>-0.36225128314936228</v>
      </c>
    </row>
    <row r="6" spans="1:9" ht="15.6">
      <c r="A6" s="38" t="str">
        <v>Rock Island</v>
      </c>
      <c r="B6" s="26" t="str">
        <v>NY</v>
      </c>
      <c r="C6" s="27">
        <f>SUM(Jan!C6, Feb!C6, Mar!C6)</f>
        <v>521358</v>
      </c>
      <c r="D6" s="28">
        <f>SUM(Jan!D6, Feb!D6, Mar!D6)</f>
        <v>735207.3</v>
      </c>
      <c r="E6" s="28">
        <f t="shared" si="0"/>
        <v>-213849.30000000005</v>
      </c>
      <c r="F6" s="29">
        <f t="shared" ref="F6:F13" si="1">IFERROR(E6/D6, "")</f>
        <v>-0.29086939153079688</v>
      </c>
      <c r="G6" s="30">
        <f>SUM(Jan!G6, Feb!G6, Mar!G6)</f>
        <v>634133.80000000005</v>
      </c>
      <c r="H6" s="30">
        <f>SUM(Jan!H6, Feb!H6, Mar!H6)</f>
        <v>-112775.79999999999</v>
      </c>
      <c r="I6" s="31">
        <f t="shared" ref="I6:I12" si="2">IFERROR(H6/G6, "")</f>
        <v>-0.17784227871152741</v>
      </c>
    </row>
    <row r="7" spans="1:9" ht="15.6">
      <c r="A7" s="39" t="str">
        <v>Winslow - Roderick</v>
      </c>
      <c r="B7" s="33" t="str">
        <v>ME</v>
      </c>
      <c r="C7" s="34">
        <f>SUM(Jan!C7, Feb!C7, Mar!C7)</f>
        <v>723014</v>
      </c>
      <c r="D7" s="35">
        <f>SUM(Jan!D7, Feb!D7, Mar!D7)</f>
        <v>1055162.1000000001</v>
      </c>
      <c r="E7" s="35">
        <f t="shared" ref="E7:E10" si="3">IF(AND(ISNUMBER(C7),ISNUMBER(D7)), C7-D7, "")</f>
        <v>-332148.10000000009</v>
      </c>
      <c r="F7" s="36">
        <f t="shared" si="1"/>
        <v>-0.31478395594383085</v>
      </c>
      <c r="G7" s="37">
        <f>SUM(Jan!G7, Feb!G7, Mar!G7)</f>
        <v>885712</v>
      </c>
      <c r="H7" s="37">
        <f>SUM(Jan!H7, Feb!H7, Mar!H7)</f>
        <v>-162698</v>
      </c>
      <c r="I7" s="36">
        <f t="shared" si="2"/>
        <v>-0.18369176436584353</v>
      </c>
    </row>
    <row r="8" spans="1:9" ht="15.6">
      <c r="A8" s="38" t="str">
        <v>Minoa - Clemons Rd</v>
      </c>
      <c r="B8" s="26" t="str">
        <v>NY</v>
      </c>
      <c r="C8" s="27">
        <f>SUM(Jan!C8, Feb!C8, Mar!C8)</f>
        <v>275965</v>
      </c>
      <c r="D8" s="28">
        <f>SUM(Jan!D8, Feb!D8, Mar!D8)</f>
        <v>411073.69999999995</v>
      </c>
      <c r="E8" s="28">
        <f t="shared" si="3"/>
        <v>-135108.69999999995</v>
      </c>
      <c r="F8" s="29">
        <f t="shared" si="1"/>
        <v>-0.32867269299884661</v>
      </c>
      <c r="G8" s="30">
        <f>SUM(Jan!G8, Feb!G8, Mar!G8)</f>
        <v>474080.9</v>
      </c>
      <c r="H8" s="30">
        <f>SUM(Jan!H8, Feb!H8, Mar!H8)</f>
        <v>-198115.90000000002</v>
      </c>
      <c r="I8" s="31">
        <f t="shared" si="2"/>
        <v>-0.41789470953164326</v>
      </c>
    </row>
    <row r="9" spans="1:9" ht="15.6">
      <c r="A9" s="39" t="str">
        <v>Manchester - Western</v>
      </c>
      <c r="B9" s="33" t="str">
        <v>ME</v>
      </c>
      <c r="C9" s="34">
        <f>SUM(Jan!C9, Feb!C9, Mar!C9)</f>
        <v>91523.625</v>
      </c>
      <c r="D9" s="35">
        <f>SUM(Jan!D9, Feb!D9, Mar!D9)</f>
        <v>0</v>
      </c>
      <c r="E9" s="35">
        <f t="shared" ref="E9" si="4">IF(AND(ISNUMBER(C9),ISNUMBER(D9)), C9-D9, "")</f>
        <v>91523.625</v>
      </c>
      <c r="F9" s="36" t="str">
        <f t="shared" si="1"/>
        <v/>
      </c>
      <c r="G9" s="37">
        <f>SUM(Jan!G9, Feb!G9, Mar!G9)</f>
        <v>0</v>
      </c>
      <c r="H9" s="37">
        <f>SUM(Jan!H9, Feb!H9, Mar!H9)</f>
        <v>91523.625</v>
      </c>
      <c r="I9" s="36" t="str">
        <f t="shared" si="2"/>
        <v/>
      </c>
    </row>
    <row r="10" spans="1:9" ht="15.6">
      <c r="A10" s="38" t="str">
        <v>Batavia - Pike Rd</v>
      </c>
      <c r="B10" s="26" t="str">
        <v>NY</v>
      </c>
      <c r="C10" s="27">
        <f>SUM(Jan!C10, Feb!C10, Mar!C10)</f>
        <v>351960.37505000003</v>
      </c>
      <c r="D10" s="28">
        <f>SUM(Jan!D10, Feb!D10, Mar!D10)</f>
        <v>540570.9</v>
      </c>
      <c r="E10" s="28">
        <f t="shared" si="3"/>
        <v>-188610.52494999999</v>
      </c>
      <c r="F10" s="29">
        <f t="shared" si="1"/>
        <v>-0.3489098746343911</v>
      </c>
      <c r="G10" s="30">
        <f>SUM(Jan!G10, Feb!G10, Mar!G10)</f>
        <v>526844</v>
      </c>
      <c r="H10" s="30">
        <f>SUM(Jan!H10, Feb!H10, Mar!H10)</f>
        <v>-174883.62495000003</v>
      </c>
      <c r="I10" s="31">
        <f t="shared" si="2"/>
        <v>-0.33194574665365845</v>
      </c>
    </row>
    <row r="11" spans="1:9" ht="15.6">
      <c r="A11" s="39" t="str">
        <v>Slayton A &amp; B</v>
      </c>
      <c r="B11" s="33" t="str">
        <v>NY</v>
      </c>
      <c r="C11" s="34">
        <f>SUM(Jan!C11, Feb!C11, Mar!C11)</f>
        <v>805076</v>
      </c>
      <c r="D11" s="35">
        <f>SUM(Jan!D11, Feb!D11, Mar!D11)</f>
        <v>1190195.2</v>
      </c>
      <c r="E11" s="35">
        <f>IF(AND(ISNUMBER(C11),ISNUMBER(D11)), C11-D11, "")</f>
        <v>-385119.19999999995</v>
      </c>
      <c r="F11" s="36">
        <f t="shared" si="1"/>
        <v>-0.32357650240901659</v>
      </c>
      <c r="G11" s="37">
        <f>SUM(Jan!G11, Feb!G11, Mar!G11)</f>
        <v>1036344.6</v>
      </c>
      <c r="H11" s="37">
        <f>SUM(Jan!H11, Feb!H11, Mar!H11)</f>
        <v>-231268.59999999998</v>
      </c>
      <c r="I11" s="36">
        <f t="shared" si="2"/>
        <v>-0.22315801134101532</v>
      </c>
    </row>
    <row r="12" spans="1:9" ht="15.6">
      <c r="A12" s="38" t="str">
        <v>Batavia - Alexander Rd</v>
      </c>
      <c r="B12" s="26" t="str">
        <v>NY</v>
      </c>
      <c r="C12" s="27">
        <f>SUM(Jan!C12, Feb!C12, Mar!C12)</f>
        <v>181635.496389104</v>
      </c>
      <c r="D12" s="28">
        <f>SUM(Jan!D12, Feb!D12, Mar!D12)</f>
        <v>312080.40000000002</v>
      </c>
      <c r="E12" s="28">
        <f>IF(AND(ISNUMBER(C12),ISNUMBER(D12)), C12-D12, "")</f>
        <v>-130444.90361089603</v>
      </c>
      <c r="F12" s="29">
        <f t="shared" si="1"/>
        <v>-0.4179849282777644</v>
      </c>
      <c r="G12" s="30">
        <f>SUM(Jan!G12, Feb!G12, Mar!G12)</f>
        <v>278250.3</v>
      </c>
      <c r="H12" s="30">
        <f>SUM(Jan!H12, Feb!H12, Mar!H12)</f>
        <v>-96614.803610895993</v>
      </c>
      <c r="I12" s="31">
        <f t="shared" si="2"/>
        <v>-0.3472226395116052</v>
      </c>
    </row>
    <row r="13" spans="1:9" ht="15.6">
      <c r="A13" s="39" t="str">
        <v xml:space="preserve">NC: Gibson – Henry Gibson Solar </v>
      </c>
      <c r="B13" s="33" t="str">
        <v>NC</v>
      </c>
      <c r="C13" s="34">
        <f>SUM(Jan!C13, Feb!C13, Mar!C13)</f>
        <v>689224</v>
      </c>
      <c r="D13" s="35">
        <f>SUM(Jan!D13, Feb!D13, Mar!D13)</f>
        <v>766019.4</v>
      </c>
      <c r="E13" s="35">
        <f>IF(AND(ISNUMBER(C13),ISNUMBER(D13)), C13-D13, "")</f>
        <v>-76795.400000000023</v>
      </c>
      <c r="F13" s="36">
        <f t="shared" si="1"/>
        <v>-0.10025255235050186</v>
      </c>
      <c r="G13" s="79">
        <f>SUM(Jan!G13, Feb!G13, Mar!G13)</f>
        <v>707894</v>
      </c>
      <c r="H13" s="79">
        <f>SUM(Jan!H13, Feb!H13, Mar!H13)</f>
        <v>-18670</v>
      </c>
      <c r="I13" s="78">
        <f>IFERROR(H13/G13, "")</f>
        <v>-2.6374005147663349E-2</v>
      </c>
    </row>
    <row r="14" spans="1:9" ht="13.9">
      <c r="A14" s="9"/>
      <c r="B14" s="9"/>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J16" sqref="J16"/>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8" t="str" cm="1">
        <f t="array" ref="A1">portfolio</f>
        <v>Renewable Properties</v>
      </c>
      <c r="B1" s="88"/>
      <c r="C1" s="88"/>
      <c r="D1" s="89" t="s">
        <v>12</v>
      </c>
      <c r="E1" s="89"/>
      <c r="F1" s="89"/>
      <c r="G1" s="87" t="s">
        <v>13</v>
      </c>
      <c r="H1" s="87"/>
      <c r="I1" s="87"/>
    </row>
    <row r="2" spans="1:9" ht="19.5" customHeight="1">
      <c r="A2" s="90" t="s">
        <v>2</v>
      </c>
      <c r="B2" s="90"/>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3">Sites[Site]</f>
        <v>Cedar Swamp Rd</v>
      </c>
      <c r="B4" s="26" t="str" cm="1">
        <f t="array" ref="B4:B13">Sites[State]</f>
        <v>MA</v>
      </c>
      <c r="C4" s="27">
        <f>SUM(Apr!C4, May!C4, Jun!C4)</f>
        <v>0</v>
      </c>
      <c r="D4" s="28">
        <f>SUM(Apr!D4, May!D4, Jun!D4)</f>
        <v>0</v>
      </c>
      <c r="E4" s="28">
        <f>IF(AND(ISNUMBER(C4),ISNUMBER(D4)), C4-D4, "")</f>
        <v>0</v>
      </c>
      <c r="F4" s="29" t="str">
        <f>IFERROR(E4/D4, "")</f>
        <v/>
      </c>
      <c r="G4" s="30">
        <f>SUM(Apr!G4, May!G4, Jun!G4)</f>
        <v>0</v>
      </c>
      <c r="H4" s="30">
        <f>SUM(Apr!H4, May!H4, Jun!H4)</f>
        <v>0</v>
      </c>
      <c r="I4" s="31" t="str">
        <f>IFERROR(H4/G4, "")</f>
        <v/>
      </c>
    </row>
    <row r="5" spans="1:9" ht="15.6">
      <c r="A5" s="39" t="str">
        <v>Bullis</v>
      </c>
      <c r="B5" s="33" t="str">
        <v>NY</v>
      </c>
      <c r="C5" s="34">
        <f>SUM(Apr!C5, May!C5, Jun!C5)</f>
        <v>0</v>
      </c>
      <c r="D5" s="35">
        <f>SUM(Apr!D5, May!D5, Jun!D5)</f>
        <v>0</v>
      </c>
      <c r="E5" s="35">
        <f t="shared" ref="E5:E6" si="0">IF(AND(ISNUMBER(C5),ISNUMBER(D5)), C5-D5, "")</f>
        <v>0</v>
      </c>
      <c r="F5" s="36" t="str">
        <f>IFERROR(E5/D5, "")</f>
        <v/>
      </c>
      <c r="G5" s="9">
        <f>SUM(Apr!G5, May!G5, Jun!G5)</f>
        <v>0</v>
      </c>
      <c r="H5" s="37">
        <f>SUM(Apr!H5, May!H5, Jun!H5)</f>
        <v>0</v>
      </c>
      <c r="I5" s="36" t="str">
        <f>IFERROR(H5/G5, "")</f>
        <v/>
      </c>
    </row>
    <row r="6" spans="1:9" ht="15.6">
      <c r="A6" s="38" t="str">
        <v>Rock Island</v>
      </c>
      <c r="B6" s="26" t="str">
        <v>NY</v>
      </c>
      <c r="C6" s="27">
        <f>SUM(Apr!C6, May!C6, Jun!C6)</f>
        <v>0</v>
      </c>
      <c r="D6" s="28">
        <f>SUM(Apr!D6, May!D6, Jun!D6)</f>
        <v>0</v>
      </c>
      <c r="E6" s="28">
        <f t="shared" si="0"/>
        <v>0</v>
      </c>
      <c r="F6" s="29" t="str">
        <f t="shared" ref="F6:F11" si="1">IFERROR(E6/D6, "")</f>
        <v/>
      </c>
      <c r="G6" s="30">
        <f>SUM(Apr!G6, May!G6, Jun!G6)</f>
        <v>0</v>
      </c>
      <c r="H6" s="30">
        <f>SUM(Apr!H6, May!H6, Jun!H6)</f>
        <v>0</v>
      </c>
      <c r="I6" s="31" t="str">
        <f t="shared" ref="I6:I11" si="2">IFERROR(H6/G6, "")</f>
        <v/>
      </c>
    </row>
    <row r="7" spans="1:9" ht="15.6">
      <c r="A7" s="39" t="str">
        <v>Winslow - Roderick</v>
      </c>
      <c r="B7" s="33" t="str">
        <v>ME</v>
      </c>
      <c r="C7" s="34">
        <f>SUM(Apr!C7, May!C7, Jun!C7)</f>
        <v>0</v>
      </c>
      <c r="D7" s="35">
        <f>SUM(Apr!D7, May!D7, Jun!D7)</f>
        <v>0</v>
      </c>
      <c r="E7" s="35">
        <f t="shared" ref="E7:E13" si="3">IF(AND(ISNUMBER(C7),ISNUMBER(D7)), C7-D7, "")</f>
        <v>0</v>
      </c>
      <c r="F7" s="36" t="str">
        <f t="shared" si="1"/>
        <v/>
      </c>
      <c r="G7" s="9">
        <f>SUM(Apr!G7, May!G7, Jun!G7)</f>
        <v>0</v>
      </c>
      <c r="H7" s="37">
        <f>SUM(Apr!H7, May!H7, Jun!H7)</f>
        <v>0</v>
      </c>
      <c r="I7" s="36" t="str">
        <f t="shared" si="2"/>
        <v/>
      </c>
    </row>
    <row r="8" spans="1:9" ht="15.6">
      <c r="A8" s="38" t="str">
        <v>Minoa - Clemons Rd</v>
      </c>
      <c r="B8" s="26" t="str">
        <v>NY</v>
      </c>
      <c r="C8" s="27">
        <f>SUM(Apr!C8, May!C8, Jun!C8)</f>
        <v>0</v>
      </c>
      <c r="D8" s="28">
        <f>SUM(Apr!D8, May!D8, Jun!D8)</f>
        <v>0</v>
      </c>
      <c r="E8" s="28">
        <f t="shared" si="3"/>
        <v>0</v>
      </c>
      <c r="F8" s="29" t="str">
        <f t="shared" si="1"/>
        <v/>
      </c>
      <c r="G8" s="30">
        <f>SUM(Apr!G8, May!G8, Jun!G8)</f>
        <v>0</v>
      </c>
      <c r="H8" s="30">
        <f>SUM(Apr!H8, May!H8, Jun!H8)</f>
        <v>0</v>
      </c>
      <c r="I8" s="31" t="str">
        <f t="shared" si="2"/>
        <v/>
      </c>
    </row>
    <row r="9" spans="1:9" ht="15.6">
      <c r="A9" s="39" t="str">
        <v>Manchester - Western</v>
      </c>
      <c r="B9" s="33" t="str">
        <v>ME</v>
      </c>
      <c r="C9" s="34">
        <f>SUM(Apr!C9, May!C9, Jun!C9)</f>
        <v>0</v>
      </c>
      <c r="D9" s="35">
        <f>SUM(Apr!D9, May!D9, Jun!D9)</f>
        <v>0</v>
      </c>
      <c r="E9" s="35">
        <f t="shared" si="3"/>
        <v>0</v>
      </c>
      <c r="F9" s="36" t="str">
        <f t="shared" si="1"/>
        <v/>
      </c>
      <c r="G9" s="9">
        <f>SUM(Apr!G9, May!G9, Jun!G9)</f>
        <v>0</v>
      </c>
      <c r="H9" s="37">
        <f>SUM(Apr!H9, May!H9, Jun!H9)</f>
        <v>0</v>
      </c>
      <c r="I9" s="36" t="str">
        <f t="shared" si="2"/>
        <v/>
      </c>
    </row>
    <row r="10" spans="1:9" ht="15.6">
      <c r="A10" s="38" t="str">
        <v>Batavia - Pike Rd</v>
      </c>
      <c r="B10" s="26" t="str">
        <v>NY</v>
      </c>
      <c r="C10" s="27">
        <f>SUM(Apr!C10, May!C10, Jun!C10)</f>
        <v>0</v>
      </c>
      <c r="D10" s="28">
        <f>SUM(Apr!D10, May!D10, Jun!D10)</f>
        <v>0</v>
      </c>
      <c r="E10" s="28">
        <f t="shared" si="3"/>
        <v>0</v>
      </c>
      <c r="F10" s="29" t="str">
        <f t="shared" si="1"/>
        <v/>
      </c>
      <c r="G10" s="69">
        <f>SUM(Apr!G10, May!G10, Jun!G10)</f>
        <v>0</v>
      </c>
      <c r="H10" s="30">
        <f>SUM(Apr!H10, May!H10, Jun!H10)</f>
        <v>0</v>
      </c>
      <c r="I10" s="31" t="str">
        <f t="shared" si="2"/>
        <v/>
      </c>
    </row>
    <row r="11" spans="1:9" ht="15.6">
      <c r="A11" s="39" t="str">
        <v>Slayton A &amp; B</v>
      </c>
      <c r="B11" s="33" t="str">
        <v>NY</v>
      </c>
      <c r="C11" s="34">
        <f>SUM(Apr!C11, May!C11, Jun!C11)</f>
        <v>0</v>
      </c>
      <c r="D11" s="35">
        <f>SUM(Apr!D11, May!D11, Jun!D11)</f>
        <v>0</v>
      </c>
      <c r="E11" s="35">
        <f t="shared" si="3"/>
        <v>0</v>
      </c>
      <c r="F11" s="70" t="str">
        <f t="shared" si="1"/>
        <v/>
      </c>
      <c r="G11" s="68">
        <f>SUM(Apr!G11, May!G11, Jun!G11)</f>
        <v>0</v>
      </c>
      <c r="H11" s="71">
        <f>SUM(Apr!H11, May!H11, Jun!H11)</f>
        <v>0</v>
      </c>
      <c r="I11" s="36" t="str">
        <f t="shared" si="2"/>
        <v/>
      </c>
    </row>
    <row r="12" spans="1:9" ht="15.6">
      <c r="A12" s="38" t="str">
        <v>Batavia - Alexander Rd</v>
      </c>
      <c r="B12" s="26" t="str">
        <v>NY</v>
      </c>
      <c r="C12" s="27">
        <f>SUM(Apr!C12, May!C12, Jun!C12)</f>
        <v>0</v>
      </c>
      <c r="D12" s="28">
        <f>SUM(Apr!D12, May!D12, Jun!D12)</f>
        <v>0</v>
      </c>
      <c r="E12" s="28">
        <f t="shared" si="3"/>
        <v>0</v>
      </c>
      <c r="F12" s="29"/>
      <c r="G12" s="69">
        <f>SUM(Apr!G12, May!G12, Jun!G12)</f>
        <v>0</v>
      </c>
      <c r="H12" s="30">
        <f>SUM(Apr!H12, May!H12, Jun!H12)</f>
        <v>0</v>
      </c>
      <c r="I12" s="31"/>
    </row>
    <row r="13" spans="1:9" ht="15.6">
      <c r="A13" s="39" t="str">
        <v xml:space="preserve">NC: Gibson – Henry Gibson Solar </v>
      </c>
      <c r="B13" s="33" t="str">
        <v>NC</v>
      </c>
      <c r="C13" s="34">
        <f>SUM(Apr!C13, May!C13, Jun!C13)</f>
        <v>0</v>
      </c>
      <c r="D13" s="35">
        <f>SUM(Apr!D13, May!D13, Jun!D13)</f>
        <v>0</v>
      </c>
      <c r="E13" s="35">
        <f t="shared" si="3"/>
        <v>0</v>
      </c>
      <c r="F13" s="70"/>
      <c r="G13" s="68">
        <f>SUM(Apr!G13, May!G13, Jun!G13)</f>
        <v>0</v>
      </c>
      <c r="H13" s="71">
        <f>SUM(Apr!H13, May!H13, Jun!H13)</f>
        <v>0</v>
      </c>
      <c r="I13" s="36"/>
    </row>
    <row r="14" spans="1:9" ht="13.9">
      <c r="A14" s="9"/>
      <c r="B14" s="9"/>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G19" sqref="G19"/>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8" t="str" cm="1">
        <f t="array" ref="A1">portfolio</f>
        <v>Renewable Properties</v>
      </c>
      <c r="B1" s="88"/>
      <c r="C1" s="88"/>
      <c r="D1" s="89" t="s">
        <v>14</v>
      </c>
      <c r="E1" s="89"/>
      <c r="F1" s="89"/>
      <c r="G1" s="87" t="s">
        <v>15</v>
      </c>
      <c r="H1" s="87"/>
      <c r="I1" s="87"/>
    </row>
    <row r="2" spans="1:9" ht="19.5" customHeight="1">
      <c r="A2" s="90" t="s">
        <v>2</v>
      </c>
      <c r="B2" s="90"/>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3">Sites[Site]</f>
        <v>Cedar Swamp Rd</v>
      </c>
      <c r="B4" s="26" t="str" cm="1">
        <f t="array" ref="B4:B13">Sites[State]</f>
        <v>MA</v>
      </c>
      <c r="C4" s="27">
        <f>SUM(Jul!C4, Aug!C4, Sep!C4)</f>
        <v>0</v>
      </c>
      <c r="D4" s="28">
        <f>SUM(Jul!D4, Aug!D4, Sep!D4)</f>
        <v>0</v>
      </c>
      <c r="E4" s="28">
        <f>IF(AND(ISNUMBER(C4),ISNUMBER(D4)), C4-D4, "")</f>
        <v>0</v>
      </c>
      <c r="F4" s="29" t="str">
        <f>IFERROR(E4/D4, "")</f>
        <v/>
      </c>
      <c r="G4" s="30">
        <f>SUM(Jul!G4, Aug!G4, Sep!G4)</f>
        <v>0</v>
      </c>
      <c r="H4" s="30">
        <f>SUM(Jul!H4, Aug!H4, Sep!H4)</f>
        <v>0</v>
      </c>
      <c r="I4" s="31" t="str">
        <f>IFERROR(H4/G4, "")</f>
        <v/>
      </c>
    </row>
    <row r="5" spans="1:9" ht="15.6">
      <c r="A5" s="39" t="str">
        <v>Bullis</v>
      </c>
      <c r="B5" s="33" t="str">
        <v>NY</v>
      </c>
      <c r="C5" s="34">
        <f>SUM(Jul!C5, Aug!C5, Sep!C5)</f>
        <v>0</v>
      </c>
      <c r="D5" s="35">
        <f>SUM(Jul!D5, Aug!D5, Sep!D5)</f>
        <v>0</v>
      </c>
      <c r="E5" s="35">
        <f t="shared" ref="E5:E13" si="0">IF(AND(ISNUMBER(C5),ISNUMBER(D5)), C5-D5, "")</f>
        <v>0</v>
      </c>
      <c r="F5" s="36" t="str">
        <f>IFERROR(E5/D5, "")</f>
        <v/>
      </c>
      <c r="G5" s="9">
        <f>SUM(Jul!G5, Aug!G5, Sep!G5)</f>
        <v>0</v>
      </c>
      <c r="H5" s="37">
        <f>SUM(Jul!H5, Aug!H5, Sep!H5)</f>
        <v>0</v>
      </c>
      <c r="I5" s="36" t="str">
        <f>IFERROR(H5/G5, "")</f>
        <v/>
      </c>
    </row>
    <row r="6" spans="1:9" ht="15.6">
      <c r="A6" s="38" t="str">
        <v>Rock Island</v>
      </c>
      <c r="B6" s="26" t="str">
        <v>NY</v>
      </c>
      <c r="C6" s="27">
        <f>SUM(Jul!C6, Aug!C6, Sep!C6)</f>
        <v>0</v>
      </c>
      <c r="D6" s="28">
        <f>SUM(Jul!D6, Aug!D6, Sep!D6)</f>
        <v>0</v>
      </c>
      <c r="E6" s="28">
        <f t="shared" si="0"/>
        <v>0</v>
      </c>
      <c r="F6" s="29" t="str">
        <f t="shared" ref="F6:F11" si="1">IFERROR(E6/D6, "")</f>
        <v/>
      </c>
      <c r="G6" s="30">
        <f>SUM(Jul!G6, Aug!G6, Sep!G6)</f>
        <v>0</v>
      </c>
      <c r="H6" s="30">
        <f>SUM(Jul!H6, Aug!H6, Sep!H6)</f>
        <v>0</v>
      </c>
      <c r="I6" s="31" t="str">
        <f t="shared" ref="I6:I11" si="2">IFERROR(H6/G6, "")</f>
        <v/>
      </c>
    </row>
    <row r="7" spans="1:9" ht="15.6">
      <c r="A7" s="39" t="str">
        <v>Winslow - Roderick</v>
      </c>
      <c r="B7" s="33" t="str">
        <v>ME</v>
      </c>
      <c r="C7" s="34">
        <f>SUM(Jul!C7, Aug!C7, Sep!C7)</f>
        <v>0</v>
      </c>
      <c r="D7" s="35">
        <f>SUM(Jul!D7, Aug!D7, Sep!D7)</f>
        <v>0</v>
      </c>
      <c r="E7" s="35">
        <f t="shared" si="0"/>
        <v>0</v>
      </c>
      <c r="F7" s="36" t="str">
        <f t="shared" si="1"/>
        <v/>
      </c>
      <c r="G7" s="9">
        <f>SUM(Jul!G7, Aug!G7, Sep!G7)</f>
        <v>0</v>
      </c>
      <c r="H7" s="37">
        <f>SUM(Jul!H7, Aug!H7, Sep!H7)</f>
        <v>0</v>
      </c>
      <c r="I7" s="36" t="str">
        <f t="shared" si="2"/>
        <v/>
      </c>
    </row>
    <row r="8" spans="1:9" ht="15.6">
      <c r="A8" s="38" t="str">
        <v>Minoa - Clemons Rd</v>
      </c>
      <c r="B8" s="26" t="str">
        <v>NY</v>
      </c>
      <c r="C8" s="27">
        <f>SUM(Jul!C8, Aug!C8, Sep!C8)</f>
        <v>0</v>
      </c>
      <c r="D8" s="28">
        <f>SUM(Jul!D8, Aug!D8, Sep!D8)</f>
        <v>0</v>
      </c>
      <c r="E8" s="28">
        <f t="shared" si="0"/>
        <v>0</v>
      </c>
      <c r="F8" s="29" t="str">
        <f t="shared" si="1"/>
        <v/>
      </c>
      <c r="G8" s="30">
        <f>SUM(Jul!G8, Aug!G8, Sep!G8)</f>
        <v>0</v>
      </c>
      <c r="H8" s="30">
        <f>SUM(Jul!H8, Aug!H8, Sep!H8)</f>
        <v>0</v>
      </c>
      <c r="I8" s="31" t="str">
        <f t="shared" si="2"/>
        <v/>
      </c>
    </row>
    <row r="9" spans="1:9" ht="15.6">
      <c r="A9" s="39" t="str">
        <v>Manchester - Western</v>
      </c>
      <c r="B9" s="33" t="str">
        <v>ME</v>
      </c>
      <c r="C9" s="34">
        <f>SUM(Jul!C9, Aug!C9, Sep!C9)</f>
        <v>0</v>
      </c>
      <c r="D9" s="35">
        <f>SUM(Jul!D9, Aug!D9, Sep!D9)</f>
        <v>0</v>
      </c>
      <c r="E9" s="35">
        <f t="shared" si="0"/>
        <v>0</v>
      </c>
      <c r="F9" s="36" t="str">
        <f t="shared" si="1"/>
        <v/>
      </c>
      <c r="G9" s="9">
        <f>SUM(Jul!G9, Aug!G9, Sep!G9)</f>
        <v>0</v>
      </c>
      <c r="H9" s="37">
        <f>SUM(Jul!H9, Aug!H9, Sep!H9)</f>
        <v>0</v>
      </c>
      <c r="I9" s="36" t="str">
        <f t="shared" si="2"/>
        <v/>
      </c>
    </row>
    <row r="10" spans="1:9" ht="15.6">
      <c r="A10" s="38" t="str">
        <v>Batavia - Pike Rd</v>
      </c>
      <c r="B10" s="26" t="str">
        <v>NY</v>
      </c>
      <c r="C10" s="27">
        <f>SUM(Jul!C10, Aug!C10, Sep!C10)</f>
        <v>0</v>
      </c>
      <c r="D10" s="28">
        <f>SUM(Jul!D10, Aug!D10, Sep!D10)</f>
        <v>0</v>
      </c>
      <c r="E10" s="28">
        <f t="shared" si="0"/>
        <v>0</v>
      </c>
      <c r="F10" s="29" t="str">
        <f t="shared" si="1"/>
        <v/>
      </c>
      <c r="G10" s="69">
        <f>SUM(Jul!G10, Aug!G10, Sep!G10)</f>
        <v>0</v>
      </c>
      <c r="H10" s="30">
        <f>SUM(Jul!H10, Aug!H10, Sep!H10)</f>
        <v>0</v>
      </c>
      <c r="I10" s="31" t="str">
        <f t="shared" si="2"/>
        <v/>
      </c>
    </row>
    <row r="11" spans="1:9" ht="15.6">
      <c r="A11" s="39" t="str">
        <v>Slayton A &amp; B</v>
      </c>
      <c r="B11" s="33" t="str">
        <v>NY</v>
      </c>
      <c r="C11" s="34">
        <f>SUM(Jul!C11, Aug!C11, Sep!C11)</f>
        <v>0</v>
      </c>
      <c r="D11" s="35">
        <f>SUM(Jul!D11, Aug!D11, Sep!D11)</f>
        <v>0</v>
      </c>
      <c r="E11" s="35">
        <f t="shared" si="0"/>
        <v>0</v>
      </c>
      <c r="F11" s="36" t="str">
        <f t="shared" si="1"/>
        <v/>
      </c>
      <c r="G11" s="68">
        <f>SUM(Jul!G11, Aug!G11, Sep!G11)</f>
        <v>0</v>
      </c>
      <c r="H11" s="37">
        <f>SUM(Jul!H11, Aug!H11, Sep!H11)</f>
        <v>0</v>
      </c>
      <c r="I11" s="36" t="str">
        <f t="shared" si="2"/>
        <v/>
      </c>
    </row>
    <row r="12" spans="1:9" ht="15.6">
      <c r="A12" s="38" t="str">
        <v>Batavia - Alexander Rd</v>
      </c>
      <c r="B12" s="26" t="str">
        <v>NY</v>
      </c>
      <c r="C12" s="27">
        <f>SUM(Jul!C12, Aug!C12, Sep!C12)</f>
        <v>0</v>
      </c>
      <c r="D12" s="28">
        <f>SUM(Jul!D12, Aug!D12, Sep!D12)</f>
        <v>0</v>
      </c>
      <c r="E12" s="28">
        <f t="shared" si="0"/>
        <v>0</v>
      </c>
      <c r="F12" s="29"/>
      <c r="G12" s="69">
        <f>SUM(Jul!G12, Aug!G12, Sep!G12)</f>
        <v>0</v>
      </c>
      <c r="H12" s="30">
        <f>SUM(Jul!H12, Aug!H12, Sep!H12)</f>
        <v>0</v>
      </c>
      <c r="I12" s="31"/>
    </row>
    <row r="13" spans="1:9" ht="15.6">
      <c r="A13" s="39" t="str">
        <v xml:space="preserve">NC: Gibson – Henry Gibson Solar </v>
      </c>
      <c r="B13" s="33" t="str">
        <v>NC</v>
      </c>
      <c r="C13" s="34">
        <f>SUM(Jul!C13, Aug!C13, Sep!C13)</f>
        <v>0</v>
      </c>
      <c r="D13" s="35">
        <f>SUM(Jul!D13, Aug!D13, Sep!D13)</f>
        <v>0</v>
      </c>
      <c r="E13" s="35">
        <f t="shared" si="0"/>
        <v>0</v>
      </c>
      <c r="F13" s="36"/>
      <c r="G13" s="68">
        <f>SUM(Jul!G13, Aug!G13, Sep!G13)</f>
        <v>0</v>
      </c>
      <c r="H13" s="37">
        <f>SUM(Jul!H13, Aug!H13, Sep!H13)</f>
        <v>0</v>
      </c>
      <c r="I13" s="36"/>
    </row>
    <row r="14" spans="1:9" ht="13.9">
      <c r="A14" s="9"/>
      <c r="B14" s="9"/>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F22" sqref="F22"/>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8" t="str" cm="1">
        <f t="array" ref="A1">portfolio</f>
        <v>Renewable Properties</v>
      </c>
      <c r="B1" s="88"/>
      <c r="C1" s="88"/>
      <c r="D1" s="89" t="s">
        <v>16</v>
      </c>
      <c r="E1" s="89"/>
      <c r="F1" s="89"/>
      <c r="G1" s="87" t="s">
        <v>17</v>
      </c>
      <c r="H1" s="87"/>
      <c r="I1" s="87"/>
    </row>
    <row r="2" spans="1:9" ht="19.5" customHeight="1">
      <c r="A2" s="90" t="s">
        <v>2</v>
      </c>
      <c r="B2" s="90"/>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3">Sites[Site]</f>
        <v>Cedar Swamp Rd</v>
      </c>
      <c r="B4" s="26" t="str" cm="1">
        <f t="array" ref="B4:B13">Sites[State]</f>
        <v>MA</v>
      </c>
      <c r="C4" s="27">
        <f>SUM(Oct!C4, Nov!C4, Dec!C4)</f>
        <v>0</v>
      </c>
      <c r="D4" s="28">
        <f>SUM(Oct!D4, Nov!D4, Dec!D4)</f>
        <v>0</v>
      </c>
      <c r="E4" s="28">
        <f>IF(AND(ISNUMBER(C4),ISNUMBER(D4)), C4-D4, "")</f>
        <v>0</v>
      </c>
      <c r="F4" s="29" t="str">
        <f>IFERROR(E4/D4, "")</f>
        <v/>
      </c>
      <c r="G4" s="37">
        <f>SUM(Oct!G4, Nov!G4, Dec!G4)</f>
        <v>0</v>
      </c>
      <c r="H4" s="30">
        <f>SUM(Oct!H4, Nov!H4, Dec!H4)</f>
        <v>0</v>
      </c>
      <c r="I4" s="31" t="str">
        <f>IFERROR(H4/G4, "")</f>
        <v/>
      </c>
    </row>
    <row r="5" spans="1:9" ht="15.6">
      <c r="A5" s="39" t="str">
        <v>Bullis</v>
      </c>
      <c r="B5" s="33" t="str">
        <v>NY</v>
      </c>
      <c r="C5" s="34">
        <f>SUM(Oct!C5, Nov!C5, Dec!C5)</f>
        <v>0</v>
      </c>
      <c r="D5" s="35">
        <f>SUM(Oct!D5, Nov!D5, Dec!D5)</f>
        <v>0</v>
      </c>
      <c r="E5" s="35">
        <f t="shared" ref="E5:E6" si="0">IF(AND(ISNUMBER(C5),ISNUMBER(D5)), C5-D5, "")</f>
        <v>0</v>
      </c>
      <c r="F5" s="36" t="str">
        <f>IFERROR(E5/D5, "")</f>
        <v/>
      </c>
      <c r="G5" s="37">
        <f>SUM(Oct!G5, Nov!G5, Dec!G5)</f>
        <v>0</v>
      </c>
      <c r="H5" s="37">
        <f>SUM(Oct!H5, Nov!H5, Dec!H5)</f>
        <v>0</v>
      </c>
      <c r="I5" s="36" t="str">
        <f>IFERROR(H5/G5, "")</f>
        <v/>
      </c>
    </row>
    <row r="6" spans="1:9" ht="15.6">
      <c r="A6" s="38" t="str">
        <v>Rock Island</v>
      </c>
      <c r="B6" s="26" t="str">
        <v>NY</v>
      </c>
      <c r="C6" s="27">
        <f>SUM(Oct!C6, Nov!C6, Dec!C6)</f>
        <v>0</v>
      </c>
      <c r="D6" s="28">
        <f>SUM(Oct!D6, Nov!D6, Dec!D6)</f>
        <v>0</v>
      </c>
      <c r="E6" s="28">
        <f t="shared" si="0"/>
        <v>0</v>
      </c>
      <c r="F6" s="29" t="str">
        <f t="shared" ref="F6" si="1">IFERROR(E6/D6, "")</f>
        <v/>
      </c>
      <c r="G6" s="30">
        <f>SUM(Oct!G6, Nov!G6, Dec!G6)</f>
        <v>0</v>
      </c>
      <c r="H6" s="30">
        <f>SUM(Oct!H6, Nov!H6, Dec!H6)</f>
        <v>0</v>
      </c>
      <c r="I6" s="31" t="str">
        <f t="shared" ref="I6" si="2">IFERROR(H6/G6, "")</f>
        <v/>
      </c>
    </row>
    <row r="7" spans="1:9" ht="15.6">
      <c r="A7" s="39" t="str">
        <v>Winslow - Roderick</v>
      </c>
      <c r="B7" s="33" t="str">
        <v>ME</v>
      </c>
      <c r="C7" s="34">
        <f>SUM(Oct!C7, Nov!C7, Dec!C7)</f>
        <v>0</v>
      </c>
      <c r="D7" s="35">
        <f>SUM(Oct!D7, Nov!D7, Dec!D7)</f>
        <v>0</v>
      </c>
      <c r="E7" s="35">
        <f t="shared" ref="E7" si="3">IF(AND(ISNUMBER(C7),ISNUMBER(D7)), C7-D7, "")</f>
        <v>0</v>
      </c>
      <c r="F7" s="36" t="str">
        <f t="shared" ref="F7:F11" si="4">IFERROR(E7/D7, "")</f>
        <v/>
      </c>
      <c r="G7" s="37">
        <f>SUM(Oct!G7, Nov!G7, Dec!G7)</f>
        <v>0</v>
      </c>
      <c r="H7" s="37">
        <f>SUM(Oct!H7, Nov!H7, Dec!H7)</f>
        <v>0</v>
      </c>
      <c r="I7" s="36" t="str">
        <f t="shared" ref="I7:I11" si="5">IFERROR(H7/G7, "")</f>
        <v/>
      </c>
    </row>
    <row r="8" spans="1:9" ht="15.6">
      <c r="A8" s="38" t="str">
        <v>Minoa - Clemons Rd</v>
      </c>
      <c r="B8" s="26" t="str">
        <v>NY</v>
      </c>
      <c r="C8" s="27">
        <f>SUM(Oct!C8, Nov!C8, Dec!C8)</f>
        <v>0</v>
      </c>
      <c r="D8" s="28">
        <f>SUM(Oct!D8, Nov!D8, Dec!D8)</f>
        <v>0</v>
      </c>
      <c r="E8" s="28">
        <f t="shared" ref="E8:E13" si="6">IF(AND(ISNUMBER(C8),ISNUMBER(D8)), C8-D8, "")</f>
        <v>0</v>
      </c>
      <c r="F8" s="29" t="str">
        <f t="shared" ref="F8:F10" si="7">IFERROR(E8/D8, "")</f>
        <v/>
      </c>
      <c r="G8" s="30">
        <f>SUM(Oct!G8, Nov!G8, Dec!G8)</f>
        <v>0</v>
      </c>
      <c r="H8" s="30">
        <f>SUM(Oct!H8, Nov!H8, Dec!H8)</f>
        <v>0</v>
      </c>
      <c r="I8" s="31" t="str">
        <f t="shared" ref="I8:I10" si="8">IFERROR(H8/G8, "")</f>
        <v/>
      </c>
    </row>
    <row r="9" spans="1:9" ht="15.6">
      <c r="A9" s="39" t="str">
        <v>Manchester - Western</v>
      </c>
      <c r="B9" s="33" t="str">
        <v>ME</v>
      </c>
      <c r="C9" s="34">
        <f>SUM(Oct!C9, Nov!C9, Dec!C9)</f>
        <v>0</v>
      </c>
      <c r="D9" s="35">
        <f>SUM(Oct!D9, Nov!D9, Dec!D9)</f>
        <v>0</v>
      </c>
      <c r="E9" s="35">
        <f t="shared" si="6"/>
        <v>0</v>
      </c>
      <c r="F9" s="36" t="str">
        <f t="shared" si="4"/>
        <v/>
      </c>
      <c r="G9" s="37">
        <f>SUM(Oct!G9, Nov!G9, Dec!G9)</f>
        <v>0</v>
      </c>
      <c r="H9" s="37">
        <f>SUM(Oct!H9, Nov!H9, Dec!H9)</f>
        <v>0</v>
      </c>
      <c r="I9" s="36" t="str">
        <f t="shared" si="5"/>
        <v/>
      </c>
    </row>
    <row r="10" spans="1:9" ht="15.6">
      <c r="A10" s="38" t="str">
        <v>Batavia - Pike Rd</v>
      </c>
      <c r="B10" s="26" t="str">
        <v>NY</v>
      </c>
      <c r="C10" s="27">
        <f>SUM(Oct!C10, Nov!C10, Dec!C10)</f>
        <v>0</v>
      </c>
      <c r="D10" s="28">
        <f>SUM(Oct!D10, Nov!D10, Dec!D10)</f>
        <v>0</v>
      </c>
      <c r="E10" s="28">
        <f t="shared" si="6"/>
        <v>0</v>
      </c>
      <c r="F10" s="29" t="str">
        <f t="shared" si="7"/>
        <v/>
      </c>
      <c r="G10" s="30">
        <f>SUM(Oct!G10, Nov!G10, Dec!G10)</f>
        <v>0</v>
      </c>
      <c r="H10" s="30">
        <f>SUM(Oct!H10, Nov!H10, Dec!H10)</f>
        <v>0</v>
      </c>
      <c r="I10" s="31" t="str">
        <f t="shared" si="8"/>
        <v/>
      </c>
    </row>
    <row r="11" spans="1:9" ht="15.6">
      <c r="A11" s="39" t="str">
        <v>Slayton A &amp; B</v>
      </c>
      <c r="B11" s="33" t="str">
        <v>NY</v>
      </c>
      <c r="C11" s="34">
        <f>SUM(Oct!C11, Nov!C11, Dec!C11)</f>
        <v>0</v>
      </c>
      <c r="D11" s="35">
        <f>SUM(Oct!D11, Nov!D11, Dec!D11)</f>
        <v>0</v>
      </c>
      <c r="E11" s="35">
        <f t="shared" si="6"/>
        <v>0</v>
      </c>
      <c r="F11" s="36" t="str">
        <f t="shared" si="4"/>
        <v/>
      </c>
      <c r="G11" s="37">
        <f>SUM(Oct!G11, Nov!G11, Dec!G11)</f>
        <v>0</v>
      </c>
      <c r="H11" s="37">
        <f>SUM(Oct!H11, Nov!H11, Dec!H11)</f>
        <v>0</v>
      </c>
      <c r="I11" s="36" t="str">
        <f t="shared" si="5"/>
        <v/>
      </c>
    </row>
    <row r="12" spans="1:9" ht="15.6">
      <c r="A12" s="38" t="str">
        <v>Batavia - Alexander Rd</v>
      </c>
      <c r="B12" s="26" t="str">
        <v>NY</v>
      </c>
      <c r="C12" s="27">
        <f>SUM(Oct!C12, Nov!C12, Dec!C12)</f>
        <v>0</v>
      </c>
      <c r="D12" s="28">
        <f>SUM(Oct!D12, Nov!D12, Dec!D12)</f>
        <v>0</v>
      </c>
      <c r="E12" s="28">
        <f t="shared" si="6"/>
        <v>0</v>
      </c>
      <c r="F12" s="29"/>
      <c r="G12" s="30">
        <f>SUM(Oct!G12, Nov!G12, Dec!G12)</f>
        <v>0</v>
      </c>
      <c r="H12" s="30">
        <f>SUM(Oct!H12, Nov!H12, Dec!H12)</f>
        <v>0</v>
      </c>
      <c r="I12" s="31"/>
    </row>
    <row r="13" spans="1:9" ht="15.6">
      <c r="A13" s="39" t="str">
        <v xml:space="preserve">NC: Gibson – Henry Gibson Solar </v>
      </c>
      <c r="B13" s="33" t="str">
        <v>NC</v>
      </c>
      <c r="C13" s="34">
        <f>SUM(Oct!C13, Nov!C13, Dec!C13)</f>
        <v>0</v>
      </c>
      <c r="D13" s="35">
        <f>SUM(Oct!D13, Nov!D13, Dec!D13)</f>
        <v>0</v>
      </c>
      <c r="E13" s="35">
        <f t="shared" si="6"/>
        <v>0</v>
      </c>
      <c r="F13" s="78"/>
      <c r="G13" s="37">
        <f>SUM(Oct!G13, Nov!G13, Dec!G13)</f>
        <v>0</v>
      </c>
      <c r="H13" s="37">
        <f>SUM(Oct!H13, Nov!H13, Dec!H13)</f>
        <v>0</v>
      </c>
      <c r="I13" s="78"/>
    </row>
    <row r="14" spans="1:9" ht="13.9">
      <c r="A14" s="9"/>
      <c r="B14" s="9"/>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80" zoomScaleNormal="80" workbookViewId="0">
      <pane xSplit="2" ySplit="3" topLeftCell="C4" activePane="bottomRight" state="frozen"/>
      <selection pane="bottomRight" activeCell="J7" sqref="J7"/>
      <selection pane="bottomLeft" activeCell="I11" sqref="I11"/>
      <selection pane="topRight" activeCell="I11" sqref="I11"/>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s>
  <sheetData>
    <row r="1" spans="1:11" ht="19.5" customHeight="1">
      <c r="A1" s="88" t="str" cm="1">
        <f t="array" ref="A1">portfolio</f>
        <v>Renewable Properties</v>
      </c>
      <c r="B1" s="88"/>
      <c r="C1" s="88"/>
      <c r="D1" s="89" t="s">
        <v>18</v>
      </c>
      <c r="E1" s="89"/>
      <c r="F1" s="89"/>
      <c r="G1" s="87" t="s">
        <v>19</v>
      </c>
      <c r="H1" s="87"/>
      <c r="I1" s="87"/>
      <c r="J1" s="4"/>
      <c r="K1" s="4"/>
    </row>
    <row r="2" spans="1:11" ht="19.5" customHeight="1">
      <c r="A2" s="90" t="s">
        <v>2</v>
      </c>
      <c r="B2" s="90"/>
      <c r="C2" s="5">
        <f>SUM(C4:C79)</f>
        <v>1597969.4684599999</v>
      </c>
      <c r="D2" s="5">
        <f>SUM(D4:D79)</f>
        <v>2242527.17</v>
      </c>
      <c r="E2" s="5">
        <f>C2-D2</f>
        <v>-644557.70154000004</v>
      </c>
      <c r="F2" s="6">
        <f>IFERROR(E2/D2, 0)</f>
        <v>-0.2874247010973785</v>
      </c>
      <c r="G2" s="5">
        <f>SUM(G4:G79)</f>
        <v>1857021.48</v>
      </c>
      <c r="H2" s="7">
        <f>C2-G2</f>
        <v>-259052.01154000009</v>
      </c>
      <c r="I2" s="6">
        <f>IFERROR(H2/G2, 0)</f>
        <v>-0.13949866187869842</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3" t="s">
        <v>9</v>
      </c>
      <c r="H3" s="44" t="s">
        <v>7</v>
      </c>
      <c r="I3" s="45" t="s">
        <v>8</v>
      </c>
      <c r="J3" s="46" t="s">
        <v>20</v>
      </c>
      <c r="K3" s="46" t="s">
        <v>21</v>
      </c>
    </row>
    <row r="4" spans="1:11" ht="15.6">
      <c r="A4" s="48" t="str" cm="1">
        <f t="array" ref="A4:A13">Sites[Site]</f>
        <v>Cedar Swamp Rd</v>
      </c>
      <c r="B4" s="49" t="str" cm="1">
        <f t="array" ref="B4:B13">Sites[State]</f>
        <v>MA</v>
      </c>
      <c r="C4" s="27">
        <v>61046</v>
      </c>
      <c r="D4" s="28">
        <v>72282.67</v>
      </c>
      <c r="E4" s="28">
        <f>IF(AND(ISNUMBER(C4),ISNUMBER(D4)), C4-D4, "")</f>
        <v>-11236.669999999998</v>
      </c>
      <c r="F4" s="29">
        <f>IFERROR(E4/D4, "")</f>
        <v>-0.15545455086260646</v>
      </c>
      <c r="G4" s="30">
        <v>41663.379999999997</v>
      </c>
      <c r="H4" s="30">
        <f>IF(AND(ISNUMBER(C4),ISNUMBER(G4)), C4-G4, "")</f>
        <v>19382.620000000003</v>
      </c>
      <c r="I4" s="31">
        <f>IFERROR(H4/G4, "")</f>
        <v>0.46521957652019602</v>
      </c>
      <c r="J4" s="50"/>
      <c r="K4" s="50"/>
    </row>
    <row r="5" spans="1:11" ht="28.9">
      <c r="A5" s="51" t="str">
        <v>Bullis</v>
      </c>
      <c r="B5" s="52" t="str">
        <v>NY</v>
      </c>
      <c r="C5" s="35">
        <v>179917</v>
      </c>
      <c r="D5" s="35">
        <v>269796.59999999998</v>
      </c>
      <c r="E5" s="35">
        <f t="shared" ref="E5:E6" si="0">IF(AND(ISNUMBER(C5),ISNUMBER(D5)), C5-D5, "")</f>
        <v>-89879.599999999977</v>
      </c>
      <c r="F5" s="36">
        <f t="shared" ref="F5:F6" si="1">IFERROR(E5/D5, "")</f>
        <v>-0.33313837164738169</v>
      </c>
      <c r="G5" s="37">
        <v>264056.90000000002</v>
      </c>
      <c r="H5" s="37">
        <f t="shared" ref="H5:H6" si="2">IF(AND(ISNUMBER(C5),ISNUMBER(G5)), C5-G5, "")</f>
        <v>-84139.900000000023</v>
      </c>
      <c r="I5" s="36">
        <f t="shared" ref="I5:I6" si="3">IFERROR(H5/G5, "")</f>
        <v>-0.31864306518784402</v>
      </c>
      <c r="J5" s="53" t="s">
        <v>22</v>
      </c>
      <c r="K5" s="53" t="s">
        <v>23</v>
      </c>
    </row>
    <row r="6" spans="1:11" ht="15.75">
      <c r="A6" s="48" t="str">
        <v>Rock Island</v>
      </c>
      <c r="B6" s="49" t="str">
        <v>NY</v>
      </c>
      <c r="C6" s="27">
        <v>230466.5</v>
      </c>
      <c r="D6" s="28">
        <v>342985.3</v>
      </c>
      <c r="E6" s="28">
        <f t="shared" si="0"/>
        <v>-112518.79999999999</v>
      </c>
      <c r="F6" s="29">
        <f t="shared" si="1"/>
        <v>-0.32805720828268731</v>
      </c>
      <c r="G6" s="30">
        <v>246331.8</v>
      </c>
      <c r="H6" s="30">
        <f t="shared" si="2"/>
        <v>-15865.299999999988</v>
      </c>
      <c r="I6" s="31">
        <f t="shared" si="3"/>
        <v>-6.4406219578633322E-2</v>
      </c>
      <c r="J6" s="50" t="s">
        <v>24</v>
      </c>
      <c r="K6" s="50"/>
    </row>
    <row r="7" spans="1:11" ht="15.6">
      <c r="A7" s="51" t="str">
        <v>Winslow - Roderick</v>
      </c>
      <c r="B7" s="52" t="str">
        <v>ME</v>
      </c>
      <c r="C7" s="35">
        <v>361423</v>
      </c>
      <c r="D7" s="35">
        <v>473366.7</v>
      </c>
      <c r="E7" s="35">
        <f t="shared" ref="E7" si="4">IF(AND(ISNUMBER(C7),ISNUMBER(D7)), C7-D7, "")</f>
        <v>-111943.70000000001</v>
      </c>
      <c r="F7" s="36">
        <f t="shared" ref="F7:F11" si="5">IFERROR(E7/D7, "")</f>
        <v>-0.2364841041839234</v>
      </c>
      <c r="G7" s="37">
        <v>385109</v>
      </c>
      <c r="H7" s="37">
        <f t="shared" ref="H7" si="6">IF(AND(ISNUMBER(C7),ISNUMBER(G7)), C7-G7, "")</f>
        <v>-23686</v>
      </c>
      <c r="I7" s="36">
        <f t="shared" ref="I7:I11" si="7">IFERROR(H7/G7, "")</f>
        <v>-6.1504664913050594E-2</v>
      </c>
      <c r="J7" s="53"/>
      <c r="K7" s="53"/>
    </row>
    <row r="8" spans="1:11" ht="57.6">
      <c r="A8" s="48" t="str">
        <v>Minoa - Clemons Rd</v>
      </c>
      <c r="B8" s="49" t="str">
        <v>NY</v>
      </c>
      <c r="C8" s="27">
        <v>128703.75</v>
      </c>
      <c r="D8" s="28">
        <v>206281.4</v>
      </c>
      <c r="E8" s="28">
        <f t="shared" ref="E8:E12" si="8">IF(AND(ISNUMBER(C8),ISNUMBER(D8)), C8-D8, "")</f>
        <v>-77577.649999999994</v>
      </c>
      <c r="F8" s="29">
        <f t="shared" ref="F8:F12" si="9">IFERROR(E8/D8, "")</f>
        <v>-0.37607680576145014</v>
      </c>
      <c r="G8" s="30">
        <v>191393.5</v>
      </c>
      <c r="H8" s="30">
        <f t="shared" ref="H8:H12" si="10">IF(AND(ISNUMBER(C8),ISNUMBER(G8)), C8-G8, "")</f>
        <v>-62689.75</v>
      </c>
      <c r="I8" s="31">
        <f t="shared" ref="I8:I12" si="11">IFERROR(H8/G8, "")</f>
        <v>-0.32754377761000242</v>
      </c>
      <c r="J8" s="50" t="s">
        <v>25</v>
      </c>
      <c r="K8" s="50" t="s">
        <v>26</v>
      </c>
    </row>
    <row r="9" spans="1:11" ht="15.6">
      <c r="A9" s="51" t="str">
        <v>Manchester - Western</v>
      </c>
      <c r="B9" s="52" t="str">
        <v>ME</v>
      </c>
      <c r="C9" s="35">
        <v>47584.8125</v>
      </c>
      <c r="D9" s="35">
        <v>0</v>
      </c>
      <c r="E9" s="35">
        <f t="shared" si="8"/>
        <v>47584.8125</v>
      </c>
      <c r="F9" s="36" t="str">
        <f t="shared" si="5"/>
        <v/>
      </c>
      <c r="G9" s="37">
        <v>0</v>
      </c>
      <c r="H9" s="37">
        <f t="shared" si="10"/>
        <v>47584.8125</v>
      </c>
      <c r="I9" s="36" t="str">
        <f t="shared" si="7"/>
        <v/>
      </c>
      <c r="J9" s="53"/>
      <c r="K9" s="53"/>
    </row>
    <row r="10" spans="1:11" ht="57.6">
      <c r="A10" s="48" t="str">
        <v>Batavia - Pike Rd</v>
      </c>
      <c r="B10" s="49" t="str">
        <v>NY</v>
      </c>
      <c r="C10" s="27">
        <v>159955.82375000001</v>
      </c>
      <c r="D10" s="28">
        <v>246837.6</v>
      </c>
      <c r="E10" s="28">
        <f t="shared" si="8"/>
        <v>-86881.776249999995</v>
      </c>
      <c r="F10" s="29">
        <f t="shared" si="9"/>
        <v>-0.35197950494576186</v>
      </c>
      <c r="G10" s="30">
        <v>219320.6</v>
      </c>
      <c r="H10" s="30">
        <f t="shared" si="10"/>
        <v>-59364.776249999995</v>
      </c>
      <c r="I10" s="31">
        <f t="shared" si="11"/>
        <v>-0.27067578809286491</v>
      </c>
      <c r="J10" s="50" t="s">
        <v>27</v>
      </c>
      <c r="K10" s="50" t="s">
        <v>28</v>
      </c>
    </row>
    <row r="11" spans="1:11" ht="15.75">
      <c r="A11" s="51" t="str">
        <v>Slayton A &amp; B</v>
      </c>
      <c r="B11" s="52" t="str">
        <v>NY</v>
      </c>
      <c r="C11" s="35">
        <v>353338</v>
      </c>
      <c r="D11" s="35">
        <v>494949.8</v>
      </c>
      <c r="E11" s="35">
        <f t="shared" si="8"/>
        <v>-141611.79999999999</v>
      </c>
      <c r="F11" s="36">
        <f t="shared" si="5"/>
        <v>-0.28611346039537744</v>
      </c>
      <c r="G11" s="37">
        <v>398835.4</v>
      </c>
      <c r="H11" s="37">
        <f t="shared" si="10"/>
        <v>-45497.400000000023</v>
      </c>
      <c r="I11" s="36">
        <f t="shared" si="7"/>
        <v>-0.11407563120023954</v>
      </c>
      <c r="J11" s="53" t="s">
        <v>24</v>
      </c>
      <c r="K11" s="53"/>
    </row>
    <row r="12" spans="1:11" ht="72">
      <c r="A12" s="48" t="str">
        <v>Batavia - Alexander Rd</v>
      </c>
      <c r="B12" s="49" t="str">
        <v>NY</v>
      </c>
      <c r="C12" s="27">
        <v>75534.582209999993</v>
      </c>
      <c r="D12" s="28">
        <v>136027.1</v>
      </c>
      <c r="E12" s="28">
        <f t="shared" si="8"/>
        <v>-60492.517790000013</v>
      </c>
      <c r="F12" s="29">
        <f t="shared" si="9"/>
        <v>-0.44470931005659908</v>
      </c>
      <c r="G12" s="30">
        <v>110310.9</v>
      </c>
      <c r="H12" s="30">
        <f t="shared" si="10"/>
        <v>-34776.317790000001</v>
      </c>
      <c r="I12" s="31">
        <f t="shared" si="11"/>
        <v>-0.31525731174344512</v>
      </c>
      <c r="J12" s="50" t="s">
        <v>29</v>
      </c>
      <c r="K12" s="50" t="s">
        <v>30</v>
      </c>
    </row>
    <row r="13" spans="1:11" ht="15.6">
      <c r="A13" s="51" t="str">
        <v xml:space="preserve">NC: Gibson – Henry Gibson Solar </v>
      </c>
      <c r="B13" s="52" t="str">
        <v>NC</v>
      </c>
      <c r="C13" s="35"/>
      <c r="D13" s="35"/>
      <c r="E13" s="35"/>
      <c r="F13" s="36"/>
      <c r="G13" s="37"/>
      <c r="H13" s="37"/>
      <c r="I13" s="36"/>
      <c r="J13" s="53"/>
      <c r="K13" s="53"/>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sheetData>
  <mergeCells count="4">
    <mergeCell ref="D1:F1"/>
    <mergeCell ref="A1:C1"/>
    <mergeCell ref="G1:I1"/>
    <mergeCell ref="A2:B2"/>
  </mergeCells>
  <phoneticPr fontId="4" type="noConversion"/>
  <conditionalFormatting sqref="F2 I2">
    <cfRule type="cellIs" dxfId="32" priority="14" stopIfTrue="1" operator="lessThanOrEqual">
      <formula>-0.1</formula>
    </cfRule>
    <cfRule type="expression" dxfId="31" priority="15">
      <formula>AND(ISNUMBER(F2), F2&gt;=0.1)</formula>
    </cfRule>
  </conditionalFormatting>
  <conditionalFormatting sqref="F4:F79 I4:I79">
    <cfRule type="cellIs" dxfId="30" priority="3" stopIfTrue="1" operator="lessThanOrEqual">
      <formula>-0.1</formula>
    </cfRule>
    <cfRule type="expression" dxfId="29" priority="4">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tabSelected="1" workbookViewId="0">
      <pane xSplit="2" ySplit="3" topLeftCell="E11" activePane="bottomRight" state="frozen"/>
      <selection pane="bottomRight" activeCell="J20" sqref="J20"/>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1.7109375" customWidth="1"/>
    <col min="12" max="12" width="13.28515625" customWidth="1"/>
  </cols>
  <sheetData>
    <row r="1" spans="1:14" ht="19.5" customHeight="1">
      <c r="A1" s="88" t="str" cm="1">
        <f t="array" ref="A1">portfolio</f>
        <v>Renewable Properties</v>
      </c>
      <c r="B1" s="88"/>
      <c r="C1" s="88"/>
      <c r="D1" s="89" t="s">
        <v>31</v>
      </c>
      <c r="E1" s="89"/>
      <c r="F1" s="89"/>
      <c r="G1" s="87" t="s">
        <v>32</v>
      </c>
      <c r="H1" s="87"/>
      <c r="I1" s="87"/>
      <c r="J1" s="4"/>
      <c r="K1" s="4"/>
    </row>
    <row r="2" spans="1:14" ht="19.5" customHeight="1">
      <c r="A2" s="90" t="s">
        <v>2</v>
      </c>
      <c r="B2" s="90"/>
      <c r="C2" s="5">
        <f>SUM(C5:C80)</f>
        <v>2540060.0279791038</v>
      </c>
      <c r="D2" s="5">
        <f>SUM(D4:D80)</f>
        <v>3521545.6599999997</v>
      </c>
      <c r="E2" s="5">
        <f>C2-D2</f>
        <v>-981485.63202089584</v>
      </c>
      <c r="F2" s="6">
        <f>IFERROR(E2/D2, 0)</f>
        <v>-0.27870876222598684</v>
      </c>
      <c r="G2" s="5">
        <f>SUM(G4:G80)</f>
        <v>3468515.5799999996</v>
      </c>
      <c r="H2" s="7">
        <f>C2-G2</f>
        <v>-928455.55202089576</v>
      </c>
      <c r="I2" s="6">
        <f>IFERROR(H2/G2, 0)</f>
        <v>-0.26768095186728147</v>
      </c>
      <c r="J2" s="12" t="str">
        <f ca="1">IF(AND(TODAY()&gt;DATE(2024, 2,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15.75">
      <c r="A4" s="54" t="str" cm="1">
        <f t="array" ref="A4:A13">Sites[Site]</f>
        <v>Cedar Swamp Rd</v>
      </c>
      <c r="B4" s="49" t="str" cm="1">
        <f t="array" ref="B4:B13">Sites[State]</f>
        <v>MA</v>
      </c>
      <c r="C4" s="27">
        <v>75305</v>
      </c>
      <c r="D4" s="28">
        <v>82808.460000000006</v>
      </c>
      <c r="E4" s="28">
        <f t="shared" ref="E4:E13" si="0">IF(AND(ISNUMBER(C4),ISNUMBER(D4)), C4-D4, "")</f>
        <v>-7503.4600000000064</v>
      </c>
      <c r="F4" s="29">
        <f>IFERROR(E4/D4, "")</f>
        <v>-9.0612239377474299E-2</v>
      </c>
      <c r="G4" s="30">
        <v>55035.28</v>
      </c>
      <c r="H4" s="30">
        <f>IF(AND(ISNUMBER(C4),ISNUMBER(G4)), C4-G4, "")</f>
        <v>20269.72</v>
      </c>
      <c r="I4" s="31">
        <f>IFERROR(H4/G4, "")</f>
        <v>0.36830411328878498</v>
      </c>
      <c r="J4" s="50" t="s">
        <v>33</v>
      </c>
      <c r="K4" s="50"/>
      <c r="L4" s="75"/>
    </row>
    <row r="5" spans="1:14" ht="28.9">
      <c r="A5" s="51" t="str">
        <v>Bullis</v>
      </c>
      <c r="B5" s="52" t="str">
        <v>NY</v>
      </c>
      <c r="C5" s="34">
        <v>257310</v>
      </c>
      <c r="D5" s="35">
        <v>328876.09999999998</v>
      </c>
      <c r="E5" s="35">
        <f t="shared" si="0"/>
        <v>-71566.099999999977</v>
      </c>
      <c r="F5" s="36">
        <f>IFERROR(E5/D5, "")</f>
        <v>-0.21760809009836829</v>
      </c>
      <c r="G5" s="37">
        <v>421521.9</v>
      </c>
      <c r="H5" s="37">
        <f>IF(AND(ISNUMBER(C5),ISNUMBER(G5)), C5-G5, "")</f>
        <v>-164211.90000000002</v>
      </c>
      <c r="I5" s="36">
        <f t="shared" ref="I5:I6" si="1">IFERROR(H5/G5, "")</f>
        <v>-0.38956908288750836</v>
      </c>
      <c r="J5" s="58" t="s">
        <v>34</v>
      </c>
      <c r="K5" s="80" t="s">
        <v>35</v>
      </c>
    </row>
    <row r="6" spans="1:14" ht="28.9">
      <c r="A6" s="54" t="str">
        <v>Rock Island</v>
      </c>
      <c r="B6" s="49" t="str">
        <v>NY</v>
      </c>
      <c r="C6" s="27">
        <v>290891.5</v>
      </c>
      <c r="D6" s="28">
        <v>392222</v>
      </c>
      <c r="E6" s="28">
        <f t="shared" si="0"/>
        <v>-101330.5</v>
      </c>
      <c r="F6" s="29">
        <f t="shared" ref="F6" si="2">IFERROR(E6/D6, "")</f>
        <v>-0.25834986308774111</v>
      </c>
      <c r="G6" s="30">
        <v>387802</v>
      </c>
      <c r="H6" s="30">
        <f t="shared" ref="H6" si="3">IF(AND(ISNUMBER(C6),ISNUMBER(G6)), C6-G6, "")</f>
        <v>-96910.5</v>
      </c>
      <c r="I6" s="31">
        <f t="shared" si="1"/>
        <v>-0.24989685458043023</v>
      </c>
      <c r="J6" s="66" t="s">
        <v>36</v>
      </c>
      <c r="K6" s="81" t="s">
        <v>37</v>
      </c>
    </row>
    <row r="7" spans="1:14" ht="15.75">
      <c r="A7" s="51" t="str">
        <v>Winslow - Roderick</v>
      </c>
      <c r="B7" s="52" t="str">
        <v>ME</v>
      </c>
      <c r="C7" s="34">
        <v>361591</v>
      </c>
      <c r="D7" s="35">
        <v>581795.4</v>
      </c>
      <c r="E7" s="35">
        <f t="shared" si="0"/>
        <v>-220204.40000000002</v>
      </c>
      <c r="F7" s="36">
        <f t="shared" ref="F7:F13" si="4">IFERROR(E7/D7, "")</f>
        <v>-0.37849113279341845</v>
      </c>
      <c r="G7" s="37">
        <v>500603</v>
      </c>
      <c r="H7" s="37">
        <f t="shared" ref="H7" si="5">IF(AND(ISNUMBER(C7),ISNUMBER(G7)), C7-G7, "")</f>
        <v>-139012</v>
      </c>
      <c r="I7" s="36">
        <f t="shared" ref="I7:I13" si="6">IFERROR(H7/G7, "")</f>
        <v>-0.27768910693703391</v>
      </c>
      <c r="J7" s="86" t="s">
        <v>33</v>
      </c>
      <c r="K7" s="58"/>
      <c r="L7" s="83"/>
      <c r="M7" s="83"/>
      <c r="N7" s="83"/>
    </row>
    <row r="8" spans="1:14" ht="78.75" customHeight="1">
      <c r="A8" s="54" t="str">
        <v>Minoa - Clemons Rd</v>
      </c>
      <c r="B8" s="49" t="str">
        <v>NY</v>
      </c>
      <c r="C8" s="27">
        <v>147261.25</v>
      </c>
      <c r="D8" s="28">
        <v>204792.3</v>
      </c>
      <c r="E8" s="28">
        <f t="shared" si="0"/>
        <v>-57531.049999999988</v>
      </c>
      <c r="F8" s="29">
        <f t="shared" ref="F8:F12" si="7">IFERROR(E8/D8, "")</f>
        <v>-0.28092389215805474</v>
      </c>
      <c r="G8" s="30">
        <v>282687.40000000002</v>
      </c>
      <c r="H8" s="30">
        <f t="shared" ref="H8:H13" si="8">IF(AND(ISNUMBER(C8),ISNUMBER(G8)), C8-G8, "")</f>
        <v>-135426.15000000002</v>
      </c>
      <c r="I8" s="31">
        <f t="shared" ref="I8:I12" si="9">IFERROR(H8/G8, "")</f>
        <v>-0.47906680665639861</v>
      </c>
      <c r="J8" s="66" t="s">
        <v>38</v>
      </c>
      <c r="K8" s="81" t="s">
        <v>39</v>
      </c>
      <c r="L8" s="84" t="s">
        <v>40</v>
      </c>
      <c r="M8" s="83"/>
      <c r="N8" s="83"/>
    </row>
    <row r="9" spans="1:14" ht="15.6">
      <c r="A9" s="51" t="str">
        <v>Manchester - Western</v>
      </c>
      <c r="B9" s="52" t="str">
        <v>ME</v>
      </c>
      <c r="C9" s="34">
        <v>43938.8125</v>
      </c>
      <c r="D9" s="35">
        <v>0</v>
      </c>
      <c r="E9" s="35">
        <f t="shared" si="0"/>
        <v>43938.8125</v>
      </c>
      <c r="F9" s="36" t="str">
        <f t="shared" si="4"/>
        <v/>
      </c>
      <c r="G9" s="37">
        <v>0</v>
      </c>
      <c r="H9" s="37">
        <f t="shared" si="8"/>
        <v>43938.8125</v>
      </c>
      <c r="I9" s="36" t="str">
        <f t="shared" si="6"/>
        <v/>
      </c>
      <c r="J9" s="58"/>
      <c r="K9" s="58"/>
      <c r="L9" s="83"/>
      <c r="M9" s="83"/>
      <c r="N9" s="83"/>
    </row>
    <row r="10" spans="1:14" ht="69" customHeight="1">
      <c r="A10" s="54" t="str">
        <v>Batavia - Pike Rd</v>
      </c>
      <c r="B10" s="49" t="str">
        <v>NY</v>
      </c>
      <c r="C10" s="27">
        <v>192004.55129999999</v>
      </c>
      <c r="D10" s="28">
        <v>293733.3</v>
      </c>
      <c r="E10" s="28">
        <f t="shared" si="0"/>
        <v>-101728.7487</v>
      </c>
      <c r="F10" s="29">
        <f t="shared" si="7"/>
        <v>-0.34633032311964629</v>
      </c>
      <c r="G10" s="30">
        <v>307523.40000000002</v>
      </c>
      <c r="H10" s="30">
        <f t="shared" si="8"/>
        <v>-115518.84870000003</v>
      </c>
      <c r="I10" s="31">
        <f t="shared" si="9"/>
        <v>-0.37564246720737354</v>
      </c>
      <c r="J10" s="66" t="s">
        <v>41</v>
      </c>
      <c r="K10" s="81" t="s">
        <v>42</v>
      </c>
      <c r="L10" s="85" t="s">
        <v>43</v>
      </c>
      <c r="M10" s="83"/>
      <c r="N10" s="83"/>
    </row>
    <row r="11" spans="1:14" ht="183.75" customHeight="1">
      <c r="A11" s="51" t="str">
        <v>Slayton A &amp; B</v>
      </c>
      <c r="B11" s="52" t="str">
        <v>NY</v>
      </c>
      <c r="C11" s="34">
        <v>451738</v>
      </c>
      <c r="D11" s="35">
        <v>695245.4</v>
      </c>
      <c r="E11" s="35">
        <f t="shared" si="0"/>
        <v>-243507.40000000002</v>
      </c>
      <c r="F11" s="36">
        <f t="shared" si="4"/>
        <v>-0.35024668987382013</v>
      </c>
      <c r="G11" s="37">
        <v>637509.19999999995</v>
      </c>
      <c r="H11" s="37">
        <f t="shared" si="8"/>
        <v>-185771.19999999995</v>
      </c>
      <c r="I11" s="36">
        <f t="shared" si="6"/>
        <v>-0.29140159859653786</v>
      </c>
      <c r="J11" s="58" t="s">
        <v>44</v>
      </c>
      <c r="K11" s="80" t="s">
        <v>45</v>
      </c>
      <c r="L11" s="85" t="s">
        <v>46</v>
      </c>
      <c r="M11" s="85" t="s">
        <v>47</v>
      </c>
      <c r="N11" s="85" t="s">
        <v>48</v>
      </c>
    </row>
    <row r="12" spans="1:14" ht="15.75">
      <c r="A12" s="48" t="str">
        <v>Batavia - Alexander Rd</v>
      </c>
      <c r="B12" s="49" t="str">
        <v>NY</v>
      </c>
      <c r="C12" s="27">
        <v>106100.914179104</v>
      </c>
      <c r="D12" s="28">
        <v>176053.3</v>
      </c>
      <c r="E12" s="28">
        <f t="shared" si="0"/>
        <v>-69952.385820895986</v>
      </c>
      <c r="F12" s="29">
        <f t="shared" si="7"/>
        <v>-0.39733640789974395</v>
      </c>
      <c r="G12" s="30">
        <v>167939.4</v>
      </c>
      <c r="H12" s="30">
        <f t="shared" si="8"/>
        <v>-61838.485820895992</v>
      </c>
      <c r="I12" s="31">
        <f t="shared" si="9"/>
        <v>-0.3682190469949041</v>
      </c>
      <c r="J12" s="50" t="s">
        <v>33</v>
      </c>
      <c r="K12" s="50"/>
    </row>
    <row r="13" spans="1:14" ht="57.6">
      <c r="A13" s="51" t="str">
        <v xml:space="preserve">NC: Gibson – Henry Gibson Solar </v>
      </c>
      <c r="B13" s="74" t="str">
        <v>NC</v>
      </c>
      <c r="C13" s="77">
        <v>689224</v>
      </c>
      <c r="D13" s="77">
        <v>766019.4</v>
      </c>
      <c r="E13" s="35">
        <f t="shared" si="0"/>
        <v>-76795.400000000023</v>
      </c>
      <c r="F13" s="36">
        <f t="shared" si="4"/>
        <v>-0.10025255235050186</v>
      </c>
      <c r="G13" s="76">
        <v>707894</v>
      </c>
      <c r="H13" s="37">
        <f t="shared" si="8"/>
        <v>-18670</v>
      </c>
      <c r="I13" s="36">
        <f t="shared" si="6"/>
        <v>-2.6374005147663349E-2</v>
      </c>
      <c r="J13" s="73" t="s">
        <v>49</v>
      </c>
      <c r="K13" s="82" t="s">
        <v>50</v>
      </c>
      <c r="L13" s="85" t="s">
        <v>51</v>
      </c>
      <c r="M13" s="83"/>
      <c r="N13" s="83"/>
    </row>
    <row r="14" spans="1:14" ht="14.45">
      <c r="A14" s="9"/>
      <c r="B14" s="14"/>
      <c r="C14" s="9"/>
      <c r="D14" s="9"/>
      <c r="E14" s="9"/>
      <c r="F14" s="10"/>
      <c r="G14" s="9"/>
      <c r="H14" s="9"/>
      <c r="I14" s="10"/>
      <c r="J14" s="9"/>
      <c r="K14" s="9"/>
    </row>
    <row r="15" spans="1:14" ht="14.45">
      <c r="A15" s="9"/>
      <c r="B15" s="14"/>
      <c r="C15" s="9"/>
      <c r="D15" s="9"/>
      <c r="E15" s="9"/>
      <c r="F15" s="10"/>
      <c r="G15" s="9"/>
      <c r="H15" s="9"/>
      <c r="I15" s="10"/>
      <c r="J15" s="9"/>
      <c r="K15" s="9"/>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11 I4:I11 I13:I80 F13:F80">
    <cfRule type="cellIs" dxfId="28" priority="3" stopIfTrue="1" operator="lessThanOrEqual">
      <formula>-0.1</formula>
    </cfRule>
    <cfRule type="expression" dxfId="27" priority="4">
      <formula>AND(ISNUMBER(F2), F2&gt;=0.1)</formula>
    </cfRule>
  </conditionalFormatting>
  <conditionalFormatting sqref="F12 I12">
    <cfRule type="cellIs" dxfId="26" priority="1" stopIfTrue="1" operator="lessThanOrEqual">
      <formula>-0.1</formula>
    </cfRule>
    <cfRule type="expression" dxfId="25" priority="2">
      <formula>AND(ISNUMBER(F12), F12&gt;=0.1)</formula>
    </cfRule>
  </conditionalFormatting>
  <hyperlinks>
    <hyperlink ref="K5" r:id="rId1" display="https://us3.assetplanner.com/service_request?ID=096532" xr:uid="{C7040B60-AEA9-499F-A3BE-E42E487F836E}"/>
    <hyperlink ref="K6" r:id="rId2" display="https://us3.assetplanner.com/service_request?ID=097445" xr:uid="{111D3A7E-E077-4FF5-8014-6772D3C1770C}"/>
    <hyperlink ref="K8" r:id="rId3" display="https://us3.assetplanner.com/service_request?ID=094897" xr:uid="{A9A8B7C6-96DD-463C-932D-2D6E24D1A983}"/>
    <hyperlink ref="L8" r:id="rId4" display="https://us3.assetplanner.com/service_request?ID=095762" xr:uid="{9DA03814-EBB6-405A-B957-178620C1F089}"/>
    <hyperlink ref="K10" r:id="rId5" display="https://us3.assetplanner.com/service_request?ID=096403" xr:uid="{1DCE86F9-2151-4963-93BE-F9A26BEA46DC}"/>
    <hyperlink ref="L10" r:id="rId6" display="https://us3.assetplanner.com/service_request?ID=096696" xr:uid="{96EC9B41-A887-4964-98A1-BF4814B40002}"/>
    <hyperlink ref="K11" r:id="rId7" display="https://us3.assetplanner.com/service_request?ID=096326" xr:uid="{D5AF9798-8D52-4B34-9640-E64EACB5F200}"/>
    <hyperlink ref="L11" r:id="rId8" display="https://us3.assetplanner.com/service_request?ID=096398" xr:uid="{A0ED1485-6A36-49D9-A29F-275A8A17270A}"/>
    <hyperlink ref="M11" r:id="rId9" display="https://us3.assetplanner.com/service_request?ID=096626" xr:uid="{45A8DE92-6662-41BB-A50E-8303B9153CD7}"/>
    <hyperlink ref="N11" r:id="rId10" display="https://us3.assetplanner.com/service_request?ID=096935" xr:uid="{165C2D74-7F02-423B-8539-093E55659FE3}"/>
    <hyperlink ref="K13" r:id="rId11" display="https://us3.assetplanner.com/service_request?ID=097527" xr:uid="{A69CC21D-8C33-4C92-B70A-5148737320B5}"/>
    <hyperlink ref="L13" r:id="rId12" display="https://us3.assetplanner.com/service_request?ID=097650" xr:uid="{639762BC-8593-48DD-A5DE-66CADDB0A9F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22"/>
  <sheetViews>
    <sheetView zoomScale="90" zoomScaleNormal="9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8" t="str" cm="1">
        <f t="array" ref="A1">portfolio</f>
        <v>Renewable Properties</v>
      </c>
      <c r="B1" s="88"/>
      <c r="C1" s="88"/>
      <c r="D1" s="89" t="s">
        <v>52</v>
      </c>
      <c r="E1" s="89"/>
      <c r="F1" s="89"/>
      <c r="G1" s="87" t="s">
        <v>53</v>
      </c>
      <c r="H1" s="87"/>
      <c r="I1" s="87"/>
      <c r="J1" s="4"/>
      <c r="K1" s="4"/>
    </row>
    <row r="2" spans="1:11" ht="19.5" customHeight="1">
      <c r="A2" s="90" t="s">
        <v>2</v>
      </c>
      <c r="B2" s="90"/>
      <c r="C2" s="5">
        <f>SUM(C4:C80)</f>
        <v>0</v>
      </c>
      <c r="D2" s="5">
        <f>SUM(D4:D80)</f>
        <v>0</v>
      </c>
      <c r="E2" s="5">
        <f>C2-D2</f>
        <v>0</v>
      </c>
      <c r="F2" s="6">
        <f>IFERROR(E2/D2, 0)</f>
        <v>0</v>
      </c>
      <c r="G2" s="5">
        <f>SUM(G4:G80)</f>
        <v>0</v>
      </c>
      <c r="H2" s="7">
        <f>C2-G2</f>
        <v>0</v>
      </c>
      <c r="I2" s="6">
        <f>IFERROR(H2/G2, 0)</f>
        <v>0</v>
      </c>
      <c r="J2" s="12"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3">Sites[Site]</f>
        <v>Cedar Swamp Rd</v>
      </c>
      <c r="B4" s="49" t="str" cm="1">
        <f t="array" ref="B4:B13">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8"/>
    </row>
    <row r="6" spans="1:11" ht="15.6">
      <c r="A6" s="57" t="str">
        <v>Rock Island</v>
      </c>
      <c r="B6" s="49" t="str">
        <v>NY</v>
      </c>
      <c r="C6" s="27"/>
      <c r="D6" s="28"/>
      <c r="E6" s="28" t="str">
        <f t="shared" si="0"/>
        <v/>
      </c>
      <c r="F6" s="29" t="str">
        <f t="shared" ref="F6" si="3">IFERROR(E6/D6, "")</f>
        <v/>
      </c>
      <c r="G6" s="30"/>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8"/>
      <c r="K7" s="58"/>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8"/>
      <c r="K9" s="58"/>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8"/>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4" priority="3" stopIfTrue="1" operator="lessThanOrEqual">
      <formula>-0.1</formula>
    </cfRule>
    <cfRule type="expression" dxfId="23"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22"/>
  <sheetViews>
    <sheetView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8" t="str" cm="1">
        <f t="array" ref="A1">portfolio</f>
        <v>Renewable Properties</v>
      </c>
      <c r="B1" s="88"/>
      <c r="C1" s="88"/>
      <c r="D1" s="89" t="s">
        <v>54</v>
      </c>
      <c r="E1" s="89"/>
      <c r="F1" s="89"/>
      <c r="G1" s="87" t="s">
        <v>55</v>
      </c>
      <c r="H1" s="87"/>
      <c r="I1" s="87"/>
      <c r="J1" s="4"/>
      <c r="K1" s="4"/>
    </row>
    <row r="2" spans="1:11" ht="19.5" customHeight="1">
      <c r="A2" s="90" t="s">
        <v>2</v>
      </c>
      <c r="B2" s="90"/>
      <c r="C2" s="5">
        <f>SUM(C4:C80)</f>
        <v>0</v>
      </c>
      <c r="D2" s="5">
        <f>SUM(D4:D80)</f>
        <v>0</v>
      </c>
      <c r="E2" s="5">
        <f>C2-D2</f>
        <v>0</v>
      </c>
      <c r="F2" s="6">
        <f>IFERROR(E2/D2, 0)</f>
        <v>0</v>
      </c>
      <c r="G2" s="5">
        <f>SUM(G4:G80)</f>
        <v>0</v>
      </c>
      <c r="H2" s="7">
        <f>C2-G2</f>
        <v>0</v>
      </c>
      <c r="I2" s="6">
        <f>IFERROR(H2/G2, 0)</f>
        <v>0</v>
      </c>
      <c r="J2" s="12"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3">Sites[Site]</f>
        <v>Cedar Swamp Rd</v>
      </c>
      <c r="B4" s="49" t="str" cm="1">
        <f t="array" ref="B4:B13">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5"/>
      <c r="D5" s="35"/>
      <c r="E5" s="35" t="str">
        <f t="shared" ref="E5:E6" si="0">IF(AND(ISNUMBER(C5),ISNUMBER(D5)), C5-D5, "")</f>
        <v/>
      </c>
      <c r="F5" s="36" t="str">
        <f>IFERROR(E5/D5, "")</f>
        <v/>
      </c>
      <c r="G5" s="37"/>
      <c r="H5" s="37" t="str">
        <f t="shared" ref="H5:H6" si="1">IF(AND(ISNUMBER(C5),ISNUMBER(G5)), C5-G5, "")</f>
        <v/>
      </c>
      <c r="I5" s="36" t="str">
        <f t="shared" ref="I5:I6" si="2">IFERROR(H5/G5, "")</f>
        <v/>
      </c>
      <c r="J5" s="53"/>
      <c r="K5" s="53"/>
    </row>
    <row r="6" spans="1:11" ht="15.6">
      <c r="A6" s="57" t="str">
        <v>Rock Island</v>
      </c>
      <c r="B6" s="49" t="str">
        <v>NY</v>
      </c>
      <c r="C6" s="27"/>
      <c r="D6" s="28"/>
      <c r="E6" s="28" t="str">
        <f t="shared" si="0"/>
        <v/>
      </c>
      <c r="F6" s="29" t="str">
        <f t="shared" ref="F6" si="3">IFERROR(E6/D6, "")</f>
        <v/>
      </c>
      <c r="G6" s="30"/>
      <c r="H6" s="30" t="str">
        <f t="shared" si="1"/>
        <v/>
      </c>
      <c r="I6" s="31" t="str">
        <f t="shared" si="2"/>
        <v/>
      </c>
      <c r="J6" s="50"/>
      <c r="K6" s="50"/>
    </row>
    <row r="7" spans="1:11" ht="15.6">
      <c r="A7" s="56" t="str">
        <v>Winslow - Roderick</v>
      </c>
      <c r="B7" s="52" t="str">
        <v>ME</v>
      </c>
      <c r="C7" s="35"/>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5"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5"/>
      <c r="D9" s="35"/>
      <c r="E9" s="35" t="str">
        <f t="shared" si="8"/>
        <v/>
      </c>
      <c r="F9" s="36" t="str">
        <f t="shared" si="9"/>
        <v/>
      </c>
      <c r="G9" s="37"/>
      <c r="H9" s="37" t="str">
        <f t="shared" si="10"/>
        <v/>
      </c>
      <c r="I9" s="36" t="str">
        <f t="shared" si="11"/>
        <v/>
      </c>
      <c r="J9" s="53"/>
      <c r="K9" s="53"/>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5"/>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2"/>
  <sheetViews>
    <sheetView zoomScale="90" zoomScaleNormal="9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8" t="str" cm="1">
        <f t="array" ref="A1">portfolio</f>
        <v>Renewable Properties</v>
      </c>
      <c r="B1" s="88"/>
      <c r="C1" s="88"/>
      <c r="D1" s="89" t="s">
        <v>56</v>
      </c>
      <c r="E1" s="89"/>
      <c r="F1" s="89"/>
      <c r="G1" s="87" t="s">
        <v>57</v>
      </c>
      <c r="H1" s="87"/>
      <c r="I1" s="87"/>
      <c r="J1" s="4"/>
      <c r="K1" s="4"/>
    </row>
    <row r="2" spans="1:11" ht="19.5" customHeight="1">
      <c r="A2" s="90" t="s">
        <v>2</v>
      </c>
      <c r="B2" s="90"/>
      <c r="C2" s="5">
        <f>SUM(C4:C80)</f>
        <v>0</v>
      </c>
      <c r="D2" s="5">
        <f>SUM(D4:D80)</f>
        <v>0</v>
      </c>
      <c r="E2" s="5">
        <f>C2-D2</f>
        <v>0</v>
      </c>
      <c r="F2" s="6">
        <f>IFERROR(E2/D2, 0)</f>
        <v>0</v>
      </c>
      <c r="G2" s="5">
        <f>SUM(G4:G80)</f>
        <v>0</v>
      </c>
      <c r="H2" s="7">
        <f>C2-G2</f>
        <v>0</v>
      </c>
      <c r="I2" s="6">
        <f>IFERROR(H2/G2, 0)</f>
        <v>0</v>
      </c>
      <c r="J2" s="12"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3">Sites[Site]</f>
        <v>Cedar Swamp Rd</v>
      </c>
      <c r="B4" s="49" t="str" cm="1">
        <f t="array" ref="B4:B13">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3"/>
    </row>
    <row r="6" spans="1:11" ht="15.6">
      <c r="A6" s="57" t="str">
        <v>Rock Island</v>
      </c>
      <c r="B6" s="49" t="str">
        <v>NY</v>
      </c>
      <c r="C6" s="27"/>
      <c r="D6" s="28"/>
      <c r="E6" s="28" t="str">
        <f t="shared" si="0"/>
        <v/>
      </c>
      <c r="F6" s="29" t="str">
        <f t="shared" ref="F6" si="3">IFERROR(E6/D6, "")</f>
        <v/>
      </c>
      <c r="G6" s="30"/>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5"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3"/>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80 I4:I80">
    <cfRule type="cellIs" dxfId="18" priority="1" stopIfTrue="1" operator="lessThanOrEqual">
      <formula>-0.1</formula>
    </cfRule>
    <cfRule type="expression" dxfId="17"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zoomScale="70" zoomScaleNormal="7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18"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8" t="str" cm="1">
        <f t="array" ref="A1">portfolio</f>
        <v>Renewable Properties</v>
      </c>
      <c r="B1" s="88"/>
      <c r="C1" s="88"/>
      <c r="D1" s="89" t="s">
        <v>58</v>
      </c>
      <c r="E1" s="89"/>
      <c r="F1" s="89"/>
      <c r="G1" s="87" t="s">
        <v>59</v>
      </c>
      <c r="H1" s="87"/>
      <c r="I1" s="87"/>
      <c r="J1" s="4"/>
      <c r="K1" s="4"/>
    </row>
    <row r="2" spans="1:11" ht="19.5" customHeight="1">
      <c r="A2" s="90" t="s">
        <v>2</v>
      </c>
      <c r="B2" s="90"/>
      <c r="C2" s="5">
        <f>SUM(C4:C80)</f>
        <v>0</v>
      </c>
      <c r="D2" s="5">
        <f>SUM(D4:D80)</f>
        <v>0</v>
      </c>
      <c r="E2" s="5">
        <f>C2-D2</f>
        <v>0</v>
      </c>
      <c r="F2" s="6">
        <f>IFERROR(E2/D2, 0)</f>
        <v>0</v>
      </c>
      <c r="G2" s="5">
        <f>SUM(G4:G80)</f>
        <v>0</v>
      </c>
      <c r="H2" s="7">
        <f>C2-G2</f>
        <v>0</v>
      </c>
      <c r="I2" s="6">
        <f>IFERROR(H2/G2, 0)</f>
        <v>0</v>
      </c>
      <c r="J2" s="12"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3">Sites[Site]</f>
        <v>Cedar Swamp Rd</v>
      </c>
      <c r="B4" s="49" t="str" cm="1">
        <f t="array" ref="B4:B13">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9"/>
    </row>
    <row r="6" spans="1:11" ht="58.5" customHeight="1">
      <c r="A6" s="57" t="str">
        <v>Rock Island</v>
      </c>
      <c r="B6" s="49" t="str">
        <v>NY</v>
      </c>
      <c r="C6" s="27"/>
      <c r="D6" s="28"/>
      <c r="E6" s="28" t="str">
        <f t="shared" si="0"/>
        <v/>
      </c>
      <c r="F6" s="29" t="str">
        <f t="shared" ref="F6" si="3">IFERROR(E6/D6, "")</f>
        <v/>
      </c>
      <c r="G6" s="30"/>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9"/>
    </row>
    <row r="8" spans="1:11" ht="15.6">
      <c r="A8" s="55"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9"/>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9"/>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90" zoomScaleNormal="9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8" t="str" cm="1">
        <f t="array" ref="A1">portfolio</f>
        <v>Renewable Properties</v>
      </c>
      <c r="B1" s="88"/>
      <c r="C1" s="88"/>
      <c r="D1" s="89" t="s">
        <v>60</v>
      </c>
      <c r="E1" s="89"/>
      <c r="F1" s="89"/>
      <c r="G1" s="87" t="s">
        <v>61</v>
      </c>
      <c r="H1" s="87"/>
      <c r="I1" s="87"/>
      <c r="J1" s="4"/>
      <c r="K1" s="4"/>
    </row>
    <row r="2" spans="1:11" ht="19.5" customHeight="1">
      <c r="A2" s="90" t="s">
        <v>2</v>
      </c>
      <c r="B2" s="90"/>
      <c r="C2" s="5">
        <f>SUM(C4:C80)</f>
        <v>0</v>
      </c>
      <c r="D2" s="5">
        <f>SUM(D4:D80)</f>
        <v>0</v>
      </c>
      <c r="E2" s="5">
        <f>C2-D2</f>
        <v>0</v>
      </c>
      <c r="F2" s="6">
        <f>IFERROR(E2/D2, 0)</f>
        <v>0</v>
      </c>
      <c r="G2" s="5">
        <f>SUM(G4:G80)</f>
        <v>0</v>
      </c>
      <c r="H2" s="7">
        <f>C2-G2</f>
        <v>0</v>
      </c>
      <c r="I2" s="6">
        <f>IFERROR(H2/G2, 0)</f>
        <v>0</v>
      </c>
      <c r="J2" s="12"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3">Sites[Site]</f>
        <v>Cedar Swamp Rd</v>
      </c>
      <c r="B4" s="49" t="str" cm="1">
        <f t="array" ref="B4:B13">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9"/>
    </row>
    <row r="6" spans="1:11" ht="15.6">
      <c r="A6" s="57" t="str">
        <v>Rock Island</v>
      </c>
      <c r="B6" s="49" t="str">
        <v>NY</v>
      </c>
      <c r="C6" s="27"/>
      <c r="D6" s="28"/>
      <c r="E6" s="28" t="str">
        <f t="shared" si="0"/>
        <v/>
      </c>
      <c r="F6" s="29" t="str">
        <f t="shared" ref="F6" si="3">IFERROR(E6/D6, "")</f>
        <v/>
      </c>
      <c r="G6" s="37"/>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9"/>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9"/>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9"/>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sortState xmlns:xlrd2="http://schemas.microsoft.com/office/spreadsheetml/2017/richdata2" ref="A3:K6">
    <sortCondition ref="A3:A6"/>
  </sortState>
  <mergeCells count="4">
    <mergeCell ref="G1:I1"/>
    <mergeCell ref="A1:C1"/>
    <mergeCell ref="D1:F1"/>
    <mergeCell ref="A2:B2"/>
  </mergeCells>
  <phoneticPr fontId="4" type="noConversion"/>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8" t="str" cm="1">
        <f t="array" ref="A1">portfolio</f>
        <v>Renewable Properties</v>
      </c>
      <c r="B1" s="88"/>
      <c r="C1" s="88"/>
      <c r="D1" s="89" t="s">
        <v>62</v>
      </c>
      <c r="E1" s="89"/>
      <c r="F1" s="89"/>
      <c r="G1" s="87" t="s">
        <v>63</v>
      </c>
      <c r="H1" s="87"/>
      <c r="I1" s="87"/>
      <c r="J1" s="4"/>
      <c r="K1" s="4"/>
    </row>
    <row r="2" spans="1:11" ht="19.5" customHeight="1">
      <c r="A2" s="90" t="s">
        <v>2</v>
      </c>
      <c r="B2" s="90"/>
      <c r="C2" s="5">
        <f>SUM(C4:C80)</f>
        <v>0</v>
      </c>
      <c r="D2" s="5">
        <f>SUM(D4:D80)</f>
        <v>0</v>
      </c>
      <c r="E2" s="5">
        <f>C2-D2</f>
        <v>0</v>
      </c>
      <c r="F2" s="6">
        <f>IFERROR(E2/D2, 0)</f>
        <v>0</v>
      </c>
      <c r="G2" s="5">
        <f>SUM(G4:G80)</f>
        <v>0</v>
      </c>
      <c r="H2" s="7">
        <f>C2-G2</f>
        <v>0</v>
      </c>
      <c r="I2" s="6">
        <f>IFERROR(H2/G2, 0)</f>
        <v>0</v>
      </c>
      <c r="J2" s="12"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3">Sites[Site]</f>
        <v>Cedar Swamp Rd</v>
      </c>
      <c r="B4" s="49" t="str" cm="1">
        <f t="array" ref="B4:B13">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7" si="0">IF(AND(ISNUMBER(C5),ISNUMBER(D5)), C5-D5, "")</f>
        <v/>
      </c>
      <c r="F5" s="36" t="str">
        <f>IFERROR(E5/D5, "")</f>
        <v/>
      </c>
      <c r="G5" s="37"/>
      <c r="H5" s="37" t="str">
        <f t="shared" ref="H5:H7" si="1">IF(AND(ISNUMBER(C5),ISNUMBER(G5)), C5-G5, "")</f>
        <v/>
      </c>
      <c r="I5" s="36" t="str">
        <f t="shared" ref="I5:I7" si="2">IFERROR(H5/G5, "")</f>
        <v/>
      </c>
      <c r="J5" s="53"/>
      <c r="K5" s="58"/>
    </row>
    <row r="6" spans="1:11" ht="15.6">
      <c r="A6" s="57" t="str">
        <v>Rock Island</v>
      </c>
      <c r="B6" s="49" t="str">
        <v>NY</v>
      </c>
      <c r="C6" s="27"/>
      <c r="D6" s="28"/>
      <c r="E6" s="28" t="str">
        <f t="shared" si="0"/>
        <v/>
      </c>
      <c r="F6" s="61" t="str">
        <f t="shared" ref="F6:F7" si="3">IFERROR(E6/D6, "")</f>
        <v/>
      </c>
      <c r="G6" s="30"/>
      <c r="H6" s="30" t="str">
        <f t="shared" si="1"/>
        <v/>
      </c>
      <c r="I6" s="31" t="str">
        <f t="shared" si="2"/>
        <v/>
      </c>
      <c r="J6" s="50"/>
      <c r="K6" s="50"/>
    </row>
    <row r="7" spans="1:11" ht="15.6">
      <c r="A7" s="64" t="str">
        <v>Winslow - Roderick</v>
      </c>
      <c r="B7" s="65" t="str">
        <v>ME</v>
      </c>
      <c r="C7" s="62"/>
      <c r="D7" s="62"/>
      <c r="E7" s="62" t="str">
        <f t="shared" si="0"/>
        <v/>
      </c>
      <c r="F7" s="61" t="str">
        <f t="shared" si="3"/>
        <v/>
      </c>
      <c r="G7" s="62"/>
      <c r="H7" s="37" t="str">
        <f t="shared" si="1"/>
        <v/>
      </c>
      <c r="I7" s="31" t="str">
        <f t="shared" si="2"/>
        <v/>
      </c>
      <c r="J7" s="62"/>
      <c r="K7" s="62"/>
    </row>
    <row r="8" spans="1:11" ht="15.6">
      <c r="A8" s="55" t="str">
        <v>Minoa - Clemons Rd</v>
      </c>
      <c r="B8" s="49" t="str">
        <v>NY</v>
      </c>
      <c r="C8" s="27"/>
      <c r="D8" s="28"/>
      <c r="E8" s="28" t="str">
        <f t="shared" ref="E8:E9" si="4">IF(AND(ISNUMBER(C8),ISNUMBER(D8)), C8-D8, "")</f>
        <v/>
      </c>
      <c r="F8" s="29" t="str">
        <f t="shared" ref="F8:F9" si="5">IFERROR(E8/D8, "")</f>
        <v/>
      </c>
      <c r="G8" s="30"/>
      <c r="H8" s="30" t="str">
        <f t="shared" ref="H8:H9" si="6">IF(AND(ISNUMBER(C8),ISNUMBER(G8)), C8-G8, "")</f>
        <v/>
      </c>
      <c r="I8" s="31" t="str">
        <f t="shared" ref="I8:I9" si="7">IFERROR(H8/G8, "")</f>
        <v/>
      </c>
      <c r="J8" s="50"/>
      <c r="K8" s="50"/>
    </row>
    <row r="9" spans="1:11" ht="15.6">
      <c r="A9" s="56" t="str">
        <v>Manchester - Western</v>
      </c>
      <c r="B9" s="52" t="str">
        <v>ME</v>
      </c>
      <c r="C9" s="34"/>
      <c r="D9" s="35"/>
      <c r="E9" s="35" t="str">
        <f t="shared" si="4"/>
        <v/>
      </c>
      <c r="F9" s="36" t="str">
        <f t="shared" si="5"/>
        <v/>
      </c>
      <c r="G9" s="37"/>
      <c r="H9" s="37" t="str">
        <f t="shared" si="6"/>
        <v/>
      </c>
      <c r="I9" s="36" t="str">
        <f t="shared" si="7"/>
        <v/>
      </c>
      <c r="J9" s="53"/>
      <c r="K9" s="58"/>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G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8" t="str" cm="1">
        <f t="array" ref="A1">portfolio</f>
        <v>Renewable Properties</v>
      </c>
      <c r="B1" s="88"/>
      <c r="C1" s="88"/>
      <c r="D1" s="89" t="s">
        <v>64</v>
      </c>
      <c r="E1" s="89"/>
      <c r="F1" s="89"/>
      <c r="G1" s="87" t="s">
        <v>65</v>
      </c>
      <c r="H1" s="87"/>
      <c r="I1" s="87"/>
      <c r="J1" s="4"/>
      <c r="K1" s="4"/>
    </row>
    <row r="2" spans="1:11" ht="19.5" customHeight="1">
      <c r="A2" s="90" t="s">
        <v>2</v>
      </c>
      <c r="B2" s="90"/>
      <c r="C2" s="5">
        <f>SUM(C4:C80)</f>
        <v>0</v>
      </c>
      <c r="D2" s="5">
        <f>SUM(D4:D80)</f>
        <v>0</v>
      </c>
      <c r="E2" s="5">
        <f>C2-D2</f>
        <v>0</v>
      </c>
      <c r="F2" s="6">
        <f>IFERROR(E2/D2, 0)</f>
        <v>0</v>
      </c>
      <c r="G2" s="5">
        <f>SUM(G4:G80)</f>
        <v>0</v>
      </c>
      <c r="H2" s="7">
        <f>C2-G2</f>
        <v>0</v>
      </c>
      <c r="I2" s="6">
        <f>IFERROR(H2/G2, 0)</f>
        <v>0</v>
      </c>
      <c r="J2" s="12"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3">Sites[Site]</f>
        <v>Cedar Swamp Rd</v>
      </c>
      <c r="B4" s="49" t="str" cm="1">
        <f t="array" ref="B4:B13">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66"/>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3"/>
    </row>
    <row r="10" spans="1:11" ht="15.6">
      <c r="A10" s="57" t="str">
        <v>Batavia - Pike Rd</v>
      </c>
      <c r="B10" s="49" t="str">
        <v>NY</v>
      </c>
      <c r="C10" s="27"/>
      <c r="D10" s="28"/>
      <c r="E10" s="28"/>
      <c r="F10" s="29"/>
      <c r="G10" s="30"/>
      <c r="H10" s="30"/>
      <c r="I10" s="31"/>
      <c r="J10" s="66"/>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8" t="str" cm="1">
        <f t="array" ref="A1">portfolio</f>
        <v>Renewable Properties</v>
      </c>
      <c r="B1" s="88"/>
      <c r="C1" s="88"/>
      <c r="D1" s="89" t="s">
        <v>66</v>
      </c>
      <c r="E1" s="89"/>
      <c r="F1" s="89"/>
      <c r="G1" s="87" t="s">
        <v>67</v>
      </c>
      <c r="H1" s="87"/>
      <c r="I1" s="87"/>
      <c r="J1" s="4"/>
      <c r="K1" s="4"/>
    </row>
    <row r="2" spans="1:11" ht="19.5" customHeight="1">
      <c r="A2" s="90" t="s">
        <v>2</v>
      </c>
      <c r="B2" s="90"/>
      <c r="C2" s="5">
        <f>SUM(C4:C80)</f>
        <v>0</v>
      </c>
      <c r="D2" s="5">
        <f>SUM(D4:D80)</f>
        <v>0</v>
      </c>
      <c r="E2" s="5">
        <f>C2-D2</f>
        <v>0</v>
      </c>
      <c r="F2" s="6">
        <f>IFERROR(E2/D2, 0)</f>
        <v>0</v>
      </c>
      <c r="G2" s="5">
        <f>SUM(G4:G80)</f>
        <v>0</v>
      </c>
      <c r="H2" s="7">
        <f>C2-G2</f>
        <v>0</v>
      </c>
      <c r="I2" s="6">
        <f>IFERROR(H2/G2, 0)</f>
        <v>0</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3">Sites[Site]</f>
        <v>Cedar Swamp Rd</v>
      </c>
      <c r="B4" s="49" t="str" cm="1">
        <f t="array" ref="B4:B13">Sites[State]</f>
        <v>MA</v>
      </c>
      <c r="C4" s="27"/>
      <c r="D4" s="28"/>
      <c r="E4" s="28" t="str">
        <f>IF(AND(ISNUMBER(C4),ISNUMBER(D4)), C4-D4, "")</f>
        <v/>
      </c>
      <c r="F4" s="29" t="str">
        <f>IFERROR(E4/D4, "")</f>
        <v/>
      </c>
      <c r="G4" s="30"/>
      <c r="H4" s="30" t="str">
        <f>IF(AND(ISNUMBER(C4),ISNUMBER(G4)), C4-G4, "")</f>
        <v/>
      </c>
      <c r="I4" s="31" t="str">
        <f>IFERROR(H4/G4, "")</f>
        <v/>
      </c>
      <c r="J4" s="66"/>
      <c r="K4" s="50"/>
    </row>
    <row r="5" spans="1:11" ht="15.6">
      <c r="A5" s="56" t="str">
        <v>Bullis</v>
      </c>
      <c r="B5" s="52" t="str">
        <v>NY</v>
      </c>
      <c r="C5" s="34"/>
      <c r="D5" s="35"/>
      <c r="E5" s="35" t="str">
        <f t="shared" ref="E5:E9" si="0">IF(AND(ISNUMBER(C5),ISNUMBER(D5)), C5-D5, "")</f>
        <v/>
      </c>
      <c r="F5" s="36" t="str">
        <f>IFERROR(E5/D5, "")</f>
        <v/>
      </c>
      <c r="G5" s="37"/>
      <c r="H5" s="37" t="str">
        <f t="shared" ref="H5:H9" si="1">IF(AND(ISNUMBER(C5),ISNUMBER(G5)), C5-G5, "")</f>
        <v/>
      </c>
      <c r="I5" s="36" t="str">
        <f t="shared" ref="I5:I9" si="2">IFERROR(H5/G5, "")</f>
        <v/>
      </c>
      <c r="J5" s="58"/>
      <c r="K5" s="58"/>
    </row>
    <row r="6" spans="1:11" ht="121.5" customHeight="1">
      <c r="A6" s="57" t="str">
        <v>Rock Island</v>
      </c>
      <c r="B6" s="49" t="str">
        <v>NY</v>
      </c>
      <c r="C6" s="27"/>
      <c r="D6" s="28"/>
      <c r="E6" s="28" t="str">
        <f t="shared" si="0"/>
        <v/>
      </c>
      <c r="F6" s="29" t="str">
        <f t="shared" ref="F6:F9" si="3">IFERROR(E6/D6, "")</f>
        <v/>
      </c>
      <c r="G6" s="30"/>
      <c r="H6" s="30" t="str">
        <f t="shared" si="1"/>
        <v/>
      </c>
      <c r="I6" s="31" t="str">
        <f t="shared" si="2"/>
        <v/>
      </c>
      <c r="J6" s="50"/>
      <c r="K6" s="50"/>
    </row>
    <row r="7" spans="1:11" ht="15.6">
      <c r="A7" s="56" t="str">
        <v>Winslow - Roderick</v>
      </c>
      <c r="B7" s="52" t="str">
        <v>ME</v>
      </c>
      <c r="C7" s="34"/>
      <c r="D7" s="35"/>
      <c r="E7" s="35" t="str">
        <f t="shared" si="0"/>
        <v/>
      </c>
      <c r="F7" s="36" t="str">
        <f t="shared" si="3"/>
        <v/>
      </c>
      <c r="G7" s="37"/>
      <c r="H7" s="37" t="str">
        <f t="shared" si="1"/>
        <v/>
      </c>
      <c r="I7" s="36" t="str">
        <f t="shared" si="2"/>
        <v/>
      </c>
      <c r="J7" s="53"/>
      <c r="K7" s="53"/>
    </row>
    <row r="8" spans="1:11" ht="15.6">
      <c r="A8" s="57" t="str">
        <v>Minoa - Clemons Rd</v>
      </c>
      <c r="B8" s="49" t="str">
        <v>NY</v>
      </c>
      <c r="C8" s="27"/>
      <c r="D8" s="28"/>
      <c r="E8" s="28" t="str">
        <f t="shared" si="0"/>
        <v/>
      </c>
      <c r="F8" s="29" t="str">
        <f t="shared" si="3"/>
        <v/>
      </c>
      <c r="G8" s="30"/>
      <c r="H8" s="30" t="str">
        <f t="shared" si="1"/>
        <v/>
      </c>
      <c r="I8" s="31" t="str">
        <f t="shared" si="2"/>
        <v/>
      </c>
      <c r="J8" s="50"/>
      <c r="K8" s="50"/>
    </row>
    <row r="9" spans="1:11" ht="15.6">
      <c r="A9" s="56" t="str">
        <v>Manchester - Western</v>
      </c>
      <c r="B9" s="52" t="str">
        <v>ME</v>
      </c>
      <c r="C9" s="34"/>
      <c r="D9" s="35"/>
      <c r="E9" s="35" t="str">
        <f t="shared" si="0"/>
        <v/>
      </c>
      <c r="F9" s="36" t="str">
        <f t="shared" si="3"/>
        <v/>
      </c>
      <c r="G9" s="37"/>
      <c r="H9" s="37" t="str">
        <f t="shared" si="1"/>
        <v/>
      </c>
      <c r="I9" s="36" t="str">
        <f t="shared" si="2"/>
        <v/>
      </c>
      <c r="J9" s="53"/>
      <c r="K9" s="53"/>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zoomScale="80" zoomScaleNormal="80" workbookViewId="0">
      <pane xSplit="2" ySplit="3" topLeftCell="E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8" t="str" cm="1">
        <f t="array" ref="A1">portfolio</f>
        <v>Renewable Properties</v>
      </c>
      <c r="B1" s="88"/>
      <c r="C1" s="88"/>
      <c r="D1" s="89" t="s">
        <v>68</v>
      </c>
      <c r="E1" s="89"/>
      <c r="F1" s="89"/>
      <c r="G1" s="87" t="s">
        <v>69</v>
      </c>
      <c r="H1" s="87"/>
      <c r="I1" s="87"/>
      <c r="J1" s="4"/>
      <c r="K1" s="4"/>
    </row>
    <row r="2" spans="1:11" ht="19.5" customHeight="1">
      <c r="A2" s="90" t="s">
        <v>2</v>
      </c>
      <c r="B2" s="90"/>
      <c r="C2" s="5">
        <f>SUM(C4:C80)</f>
        <v>0</v>
      </c>
      <c r="D2" s="5">
        <f>SUM(D4:D80)</f>
        <v>0</v>
      </c>
      <c r="E2" s="5">
        <f>C2-D2</f>
        <v>0</v>
      </c>
      <c r="F2" s="6">
        <f>IFERROR(E2/D2, 0)</f>
        <v>0</v>
      </c>
      <c r="G2" s="5">
        <f>SUM(G4:G80)</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3">Sites[Site]</f>
        <v>Cedar Swamp Rd</v>
      </c>
      <c r="B4" s="49" t="str" cm="1">
        <f t="array" ref="B4:B13">Sites[State]</f>
        <v>MA</v>
      </c>
      <c r="C4" s="27"/>
      <c r="D4" s="28"/>
      <c r="E4" s="28" t="str">
        <f>IF(AND(ISNUMBER(C4),ISNUMBER(D4)), C4-D4, "")</f>
        <v/>
      </c>
      <c r="F4" s="29" t="str">
        <f>IFERROR(E4/D4, "")</f>
        <v/>
      </c>
      <c r="G4" s="30"/>
      <c r="H4" s="30" t="str">
        <f>IF(AND(ISNUMBER(C4),ISNUMBER(G4)), C4-G4, "")</f>
        <v/>
      </c>
      <c r="I4" s="31" t="str">
        <f>IFERROR(H4/G4, "")</f>
        <v/>
      </c>
      <c r="J4" s="66"/>
      <c r="K4" s="66"/>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8"/>
    </row>
    <row r="6" spans="1:11" ht="76.5" customHeight="1">
      <c r="A6" s="57" t="str">
        <v>Rock Island</v>
      </c>
      <c r="B6" s="49" t="str">
        <v>NY</v>
      </c>
      <c r="C6" s="27"/>
      <c r="D6" s="28"/>
      <c r="E6" s="28" t="str">
        <f t="shared" si="0"/>
        <v/>
      </c>
      <c r="F6" s="29" t="str">
        <f t="shared" ref="F6" si="3">IFERROR(E6/D6, "")</f>
        <v/>
      </c>
      <c r="G6" s="30"/>
      <c r="H6" s="30" t="str">
        <f t="shared" si="1"/>
        <v/>
      </c>
      <c r="I6" s="31" t="str">
        <f t="shared" si="2"/>
        <v/>
      </c>
      <c r="J6" s="66"/>
      <c r="K6" s="66"/>
    </row>
    <row r="7" spans="1:11" ht="29.65" customHeight="1">
      <c r="A7" s="56" t="str">
        <v>Winslow - Roderick</v>
      </c>
      <c r="B7" s="52" t="str">
        <v>ME</v>
      </c>
      <c r="C7" s="34"/>
      <c r="D7" s="35"/>
      <c r="E7" s="35" t="str">
        <f t="shared" ref="E7" si="4">IF(AND(ISNUMBER(C7),ISNUMBER(D7)), C7-D7, "")</f>
        <v/>
      </c>
      <c r="F7" s="36" t="str">
        <f>IFERROR(E7/D7, "")</f>
        <v/>
      </c>
      <c r="G7" s="37"/>
      <c r="H7" s="37" t="str">
        <f t="shared" ref="H7" si="5">IF(AND(ISNUMBER(C7),ISNUMBER(G7)), C7-G7, "")</f>
        <v/>
      </c>
      <c r="I7" s="36" t="str">
        <f t="shared" ref="I7" si="6">IFERROR(H7/G7, "")</f>
        <v/>
      </c>
      <c r="J7" s="58"/>
      <c r="K7" s="58"/>
    </row>
    <row r="8" spans="1:11" ht="75.400000000000006" customHeight="1">
      <c r="A8" s="57" t="str">
        <v>Minoa - Clemons Rd</v>
      </c>
      <c r="B8" s="49" t="str">
        <v>NY</v>
      </c>
      <c r="C8" s="27"/>
      <c r="D8" s="28"/>
      <c r="E8" s="28" t="str">
        <f t="shared" ref="E8" si="7">IF(AND(ISNUMBER(C8),ISNUMBER(D8)), C8-D8, "")</f>
        <v/>
      </c>
      <c r="F8" s="29" t="str">
        <f t="shared" ref="F8:F9" si="8">IFERROR(E8/D8, "")</f>
        <v/>
      </c>
      <c r="G8" s="30"/>
      <c r="H8" s="30" t="str">
        <f t="shared" ref="H8:H9" si="9">IF(AND(ISNUMBER(C8),ISNUMBER(G8)), C8-G8, "")</f>
        <v/>
      </c>
      <c r="I8" s="31" t="str">
        <f t="shared" ref="I8:I9" si="10">IFERROR(H8/G8, "")</f>
        <v/>
      </c>
      <c r="J8" s="66"/>
      <c r="K8" s="66"/>
    </row>
    <row r="9" spans="1:11" ht="15.6">
      <c r="A9" s="56" t="str">
        <v>Manchester - Western</v>
      </c>
      <c r="B9" s="52" t="str">
        <v>ME</v>
      </c>
      <c r="C9" s="34"/>
      <c r="D9" s="35"/>
      <c r="E9" s="35" t="str">
        <f>IF(AND(ISNUMBER(C9),ISNUMBER(D9)), C9-D9, "")</f>
        <v/>
      </c>
      <c r="F9" s="36" t="str">
        <f t="shared" si="8"/>
        <v/>
      </c>
      <c r="G9" s="37"/>
      <c r="H9" s="37" t="str">
        <f t="shared" si="9"/>
        <v/>
      </c>
      <c r="I9" s="36" t="str">
        <f t="shared" si="10"/>
        <v/>
      </c>
      <c r="J9" s="58"/>
      <c r="K9" s="58"/>
    </row>
    <row r="10" spans="1:11" ht="75.400000000000006" customHeight="1">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c r="F11" s="36"/>
      <c r="G11" s="37"/>
      <c r="H11" s="37"/>
      <c r="I11" s="36"/>
      <c r="J11" s="58"/>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8" t="str" cm="1">
        <f t="array" ref="A1">portfolio</f>
        <v>Renewable Properties</v>
      </c>
      <c r="B1" s="88"/>
      <c r="C1" s="88"/>
      <c r="D1" s="89" t="s">
        <v>70</v>
      </c>
      <c r="E1" s="89"/>
      <c r="F1" s="89"/>
      <c r="G1" s="87" t="s">
        <v>71</v>
      </c>
      <c r="H1" s="87"/>
      <c r="I1" s="87"/>
      <c r="J1" s="4"/>
      <c r="K1" s="4"/>
    </row>
    <row r="2" spans="1:11" ht="19.5" customHeight="1">
      <c r="A2" s="90" t="s">
        <v>2</v>
      </c>
      <c r="B2" s="90"/>
      <c r="C2" s="5">
        <f>SUM(C4:C80)</f>
        <v>0</v>
      </c>
      <c r="D2" s="5">
        <f>SUM(D4:D80)</f>
        <v>0</v>
      </c>
      <c r="E2" s="5">
        <f>C2-D2</f>
        <v>0</v>
      </c>
      <c r="F2" s="6">
        <f>IFERROR(E2/D2, 0)</f>
        <v>0</v>
      </c>
      <c r="G2" s="5">
        <f>SUM(G4:G80)</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3">Sites[Site]</f>
        <v>Cedar Swamp Rd</v>
      </c>
      <c r="B4" s="49" t="str" cm="1">
        <f t="array" ref="B4:B13">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66"/>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 si="9">IFERROR(E8/D8, "")</f>
        <v/>
      </c>
      <c r="G8" s="30"/>
      <c r="H8" s="30" t="str">
        <f t="shared" ref="H8:H9" si="10">IF(AND(ISNUMBER(C8),ISNUMBER(G8)), C8-G8, "")</f>
        <v/>
      </c>
      <c r="I8" s="31" t="str">
        <f t="shared" ref="I8" si="11">IFERROR(H8/G8, "")</f>
        <v/>
      </c>
      <c r="J8" s="66"/>
      <c r="K8" s="66"/>
    </row>
    <row r="9" spans="1:11" ht="15.6">
      <c r="A9" s="56" t="str">
        <v>Manchester - Western</v>
      </c>
      <c r="B9" s="52" t="str">
        <v>ME</v>
      </c>
      <c r="C9" s="34"/>
      <c r="D9" s="35"/>
      <c r="E9" s="35" t="str">
        <f t="shared" si="8"/>
        <v/>
      </c>
      <c r="F9" s="36" t="str">
        <f>IFERROR(E9/D9, "")</f>
        <v/>
      </c>
      <c r="G9" s="37"/>
      <c r="H9" s="37" t="str">
        <f t="shared" si="10"/>
        <v/>
      </c>
      <c r="I9" s="36" t="str">
        <f>IFERROR(H9/G9, "")</f>
        <v/>
      </c>
      <c r="J9" s="53"/>
      <c r="K9" s="53"/>
    </row>
    <row r="10" spans="1:11" ht="15.6">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t="str">
        <f>IF(AND(ISNUMBER(C11),ISNUMBER(D11)), C11-D11, "")</f>
        <v/>
      </c>
      <c r="F11" s="36" t="str">
        <f>IFERROR(E11/D11, "")</f>
        <v/>
      </c>
      <c r="G11" s="37"/>
      <c r="H11" s="37" t="str">
        <f>IF(AND(ISNUMBER(C11),ISNUMBER(G11)), C11-G11, "")</f>
        <v/>
      </c>
      <c r="I11" s="36" t="str">
        <f>IFERROR(H11/G11, "")</f>
        <v/>
      </c>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c r="B14" s="14"/>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6"/>
  <sheetViews>
    <sheetView workbookViewId="0">
      <pane ySplit="3" topLeftCell="A4" activePane="bottomLeft" state="frozen"/>
      <selection pane="bottomLeft" activeCell="E19" sqref="E1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72</v>
      </c>
      <c r="B1" t="s">
        <v>73</v>
      </c>
    </row>
    <row r="3" spans="1:12" ht="13.15">
      <c r="A3" t="s">
        <v>74</v>
      </c>
      <c r="B3" t="s">
        <v>3</v>
      </c>
      <c r="C3" t="s">
        <v>4</v>
      </c>
      <c r="D3" t="s">
        <v>75</v>
      </c>
      <c r="E3" s="2" t="s">
        <v>76</v>
      </c>
    </row>
    <row r="4" spans="1:12" ht="14.45">
      <c r="A4" s="24" t="s">
        <v>77</v>
      </c>
      <c r="B4" t="s">
        <v>78</v>
      </c>
      <c r="C4" s="23" t="s">
        <v>79</v>
      </c>
      <c r="D4" s="22"/>
      <c r="E4" t="s">
        <v>80</v>
      </c>
      <c r="G4" s="3"/>
    </row>
    <row r="5" spans="1:12" ht="14.45">
      <c r="A5" s="24" t="s">
        <v>81</v>
      </c>
      <c r="B5" t="s">
        <v>81</v>
      </c>
      <c r="C5" s="23" t="s">
        <v>82</v>
      </c>
      <c r="D5" s="22"/>
      <c r="E5" t="s">
        <v>80</v>
      </c>
      <c r="G5" s="3"/>
    </row>
    <row r="6" spans="1:12" ht="14.45">
      <c r="A6" s="24" t="s">
        <v>83</v>
      </c>
      <c r="B6" t="s">
        <v>84</v>
      </c>
      <c r="C6" s="23" t="s">
        <v>82</v>
      </c>
      <c r="D6" s="22"/>
      <c r="E6" t="s">
        <v>80</v>
      </c>
      <c r="G6" s="3"/>
    </row>
    <row r="7" spans="1:12" ht="12.75" customHeight="1">
      <c r="A7" s="67" t="s">
        <v>85</v>
      </c>
      <c r="B7" s="60" t="s">
        <v>86</v>
      </c>
      <c r="C7" s="23" t="s">
        <v>87</v>
      </c>
      <c r="D7" t="s">
        <v>88</v>
      </c>
      <c r="E7" t="s">
        <v>80</v>
      </c>
      <c r="K7" s="21"/>
      <c r="L7" s="21"/>
    </row>
    <row r="8" spans="1:12" ht="12.75" customHeight="1">
      <c r="A8" s="67" t="s">
        <v>89</v>
      </c>
      <c r="B8" s="60" t="s">
        <v>90</v>
      </c>
      <c r="C8" s="23" t="s">
        <v>82</v>
      </c>
      <c r="D8" t="s">
        <v>88</v>
      </c>
      <c r="E8" t="s">
        <v>80</v>
      </c>
      <c r="K8" s="21"/>
      <c r="L8" s="21"/>
    </row>
    <row r="9" spans="1:12" ht="12.75" customHeight="1">
      <c r="A9" s="67" t="s">
        <v>91</v>
      </c>
      <c r="B9" s="60" t="s">
        <v>92</v>
      </c>
      <c r="C9" s="23" t="s">
        <v>87</v>
      </c>
      <c r="D9" t="s">
        <v>93</v>
      </c>
      <c r="E9" t="s">
        <v>80</v>
      </c>
      <c r="K9" s="21"/>
      <c r="L9" s="21"/>
    </row>
    <row r="10" spans="1:12" ht="12.75" customHeight="1">
      <c r="A10" s="67" t="s">
        <v>94</v>
      </c>
      <c r="B10" s="60" t="s">
        <v>94</v>
      </c>
      <c r="C10" s="23" t="s">
        <v>82</v>
      </c>
      <c r="E10" t="s">
        <v>80</v>
      </c>
      <c r="K10" s="21"/>
      <c r="L10" s="21"/>
    </row>
    <row r="11" spans="1:12" ht="12.75" customHeight="1">
      <c r="A11" s="63" t="s">
        <v>95</v>
      </c>
      <c r="B11" s="60" t="s">
        <v>96</v>
      </c>
      <c r="C11" s="23" t="s">
        <v>82</v>
      </c>
      <c r="E11" t="s">
        <v>80</v>
      </c>
      <c r="K11" s="21"/>
      <c r="L11" s="21"/>
    </row>
    <row r="12" spans="1:12" ht="12.75" customHeight="1">
      <c r="A12" s="67" t="s">
        <v>97</v>
      </c>
      <c r="B12" s="60" t="s">
        <v>98</v>
      </c>
      <c r="C12" s="23" t="s">
        <v>82</v>
      </c>
      <c r="D12" t="s">
        <v>88</v>
      </c>
      <c r="E12" t="s">
        <v>80</v>
      </c>
      <c r="K12" s="21"/>
      <c r="L12" s="21"/>
    </row>
    <row r="13" spans="1:12" ht="12.75" customHeight="1">
      <c r="A13" s="67" t="s">
        <v>99</v>
      </c>
      <c r="B13" s="60" t="s">
        <v>100</v>
      </c>
      <c r="C13" s="23" t="s">
        <v>101</v>
      </c>
      <c r="E13" s="72" t="s">
        <v>80</v>
      </c>
    </row>
    <row r="16" spans="1:12" ht="12.75" customHeight="1">
      <c r="A16" s="63"/>
      <c r="B16" s="60"/>
      <c r="C16" s="23"/>
      <c r="K16" s="21"/>
      <c r="L16"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66B09F59-6532-46F8-924A-9A02417E070D}"/>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0389C43E-394D-44C0-87DC-4780FCFCFB40}"/>
</file>

<file path=customXml/itemProps7.xml><?xml version="1.0" encoding="utf-8"?>
<ds:datastoreItem xmlns:ds="http://schemas.openxmlformats.org/officeDocument/2006/customXml" ds:itemID="{98A113BB-8B7A-453C-8BD4-8EFC67FC2D3F}"/>
</file>

<file path=customXml/itemProps8.xml><?xml version="1.0" encoding="utf-8"?>
<ds:datastoreItem xmlns:ds="http://schemas.openxmlformats.org/officeDocument/2006/customXml" ds:itemID="{8D732231-4216-4543-A665-18A2886B0EB7}"/>
</file>

<file path=customXml/itemProps9.xml><?xml version="1.0" encoding="utf-8"?>
<ds:datastoreItem xmlns:ds="http://schemas.openxmlformats.org/officeDocument/2006/customXml" ds:itemID="{14966E4F-347B-477B-B74C-9DAC05405806}"/>
</file>

<file path=customXml/itemProps10.xml><?xml version="1.0" encoding="utf-8"?>
<ds:datastoreItem xmlns:ds="http://schemas.openxmlformats.org/officeDocument/2006/customXml" ds:itemID="{C0BCDC1E-6052-4E48-9BAF-94A40814E7C2}"/>
</file>

<file path=customXml/itemProps11.xml><?xml version="1.0" encoding="utf-8"?>
<ds:datastoreItem xmlns:ds="http://schemas.openxmlformats.org/officeDocument/2006/customXml" ds:itemID="{2BC74AAC-D69B-4AF1-9649-B21EF3C1C463}"/>
</file>

<file path=customXml/itemProps12.xml><?xml version="1.0" encoding="utf-8"?>
<ds:datastoreItem xmlns:ds="http://schemas.openxmlformats.org/officeDocument/2006/customXml" ds:itemID="{89CF5C07-45EB-4100-9AFB-2C6AF77FA787}"/>
</file>

<file path=customXml/itemProps13.xml><?xml version="1.0" encoding="utf-8"?>
<ds:datastoreItem xmlns:ds="http://schemas.openxmlformats.org/officeDocument/2006/customXml" ds:itemID="{CB52044A-5C0B-44A2-99D0-C1C315EC302D}"/>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1954BBA4-0359-438C-B0EC-A756015F7C02}"/>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3AEAA9D8-2182-46BA-A58E-96C72DDA1C54}"/>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2025-03-27T17:45:16Z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2024-09-13T14:09:38Z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5e2876eb-07b3-41bf-9665-a07636594534</vt:lpwstr>
  </property>
  <property fmtid="{D5CDD505-2E9C-101B-9397-08002B2CF9AE}" pid="9" name="MSIP_Label_9d817c99-0b37-4a07-8277-96aa1f96b74b_ContentBits">
    <vt:lpwstr>0</vt:lpwstr>
  </property>
</Properties>
</file>