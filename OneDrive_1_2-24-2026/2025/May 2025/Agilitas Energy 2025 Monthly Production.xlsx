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4" documentId="13_ncr:1_{67F532F6-5A96-497D-B40A-A655EB2DA2CC}" xr6:coauthVersionLast="47" xr6:coauthVersionMax="47" xr10:uidLastSave="{9CB6A240-F205-4326-85E4-CDFF36C204E8}"/>
  <bookViews>
    <workbookView xWindow="-108" yWindow="-108" windowWidth="23256" windowHeight="13896" tabRatio="866" firstSheet="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8" l="1"/>
  <c r="I9" i="20"/>
  <c r="I10" i="20"/>
  <c r="H7" i="20"/>
  <c r="I7" i="20" s="1"/>
  <c r="H8" i="20"/>
  <c r="I8" i="20" s="1"/>
  <c r="H9" i="20"/>
  <c r="H10" i="20"/>
  <c r="F9" i="20"/>
  <c r="F10" i="20"/>
  <c r="E7" i="20"/>
  <c r="F7" i="20" s="1"/>
  <c r="E8" i="20"/>
  <c r="F8" i="20" s="1"/>
  <c r="E9" i="20"/>
  <c r="E10" i="20"/>
  <c r="G8" i="18"/>
  <c r="G9" i="18"/>
  <c r="G10" i="18"/>
  <c r="G7" i="18"/>
  <c r="H7" i="18"/>
  <c r="I7" i="18" s="1"/>
  <c r="H8" i="18"/>
  <c r="I8" i="18" s="1"/>
  <c r="H9" i="18"/>
  <c r="I9" i="18" s="1"/>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H9" i="29"/>
  <c r="H10" i="29"/>
  <c r="G9" i="29"/>
  <c r="G10" i="29"/>
  <c r="F9" i="29"/>
  <c r="F10" i="29"/>
  <c r="E10" i="29"/>
  <c r="D10" i="29"/>
  <c r="C10" i="29"/>
  <c r="G10" i="1"/>
  <c r="D10" i="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E9" i="29" s="1"/>
  <c r="G5" i="29"/>
  <c r="G6" i="29"/>
  <c r="G7" i="29"/>
  <c r="G8" i="29"/>
  <c r="G4" i="29"/>
  <c r="H9" i="28"/>
  <c r="I9" i="28" s="1"/>
  <c r="E9" i="28"/>
  <c r="F9" i="28" s="1"/>
  <c r="E6" i="26"/>
  <c r="G4" i="18"/>
  <c r="E4" i="4"/>
  <c r="E5" i="72"/>
  <c r="F5" i="72" s="1"/>
  <c r="E6" i="72"/>
  <c r="F6" i="72" s="1"/>
  <c r="E7" i="72"/>
  <c r="F7" i="72" s="1"/>
  <c r="E8" i="72"/>
  <c r="F8" i="72" s="1"/>
  <c r="D10" i="34" l="1"/>
  <c r="I8" i="21"/>
  <c r="G10" i="34"/>
  <c r="E9" i="18"/>
  <c r="F9" i="18" s="1"/>
  <c r="H9" i="34"/>
  <c r="I9" i="3"/>
  <c r="H9" i="1"/>
  <c r="H10" i="1"/>
  <c r="H10" i="34" s="1"/>
  <c r="I9" i="1"/>
  <c r="G8" i="34"/>
  <c r="E10" i="1"/>
  <c r="F10" i="1" s="1"/>
  <c r="C10" i="34"/>
  <c r="E10" i="34" s="1"/>
  <c r="F10" i="34" s="1"/>
  <c r="I10" i="1"/>
  <c r="E9" i="1"/>
  <c r="F9" i="1" s="1"/>
  <c r="I9" i="30"/>
  <c r="C9" i="34"/>
  <c r="G9" i="34"/>
  <c r="I9" i="34" s="1"/>
  <c r="D9" i="34"/>
  <c r="I9" i="29"/>
  <c r="C2" i="3"/>
  <c r="I10" i="34" l="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H7" i="29" s="1"/>
  <c r="E7" i="26"/>
  <c r="F7" i="26" s="1"/>
  <c r="H6" i="26"/>
  <c r="H6" i="29" s="1"/>
  <c r="F6" i="26"/>
  <c r="H5" i="26"/>
  <c r="E5" i="26"/>
  <c r="F5" i="26" s="1"/>
  <c r="H4" i="26"/>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I6" i="20" l="1"/>
  <c r="H6" i="18"/>
  <c r="I6" i="18" s="1"/>
  <c r="H8" i="1"/>
  <c r="H7" i="34"/>
  <c r="I7" i="34" s="1"/>
  <c r="C6" i="34"/>
  <c r="E6" i="34" s="1"/>
  <c r="F6" i="34" s="1"/>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I7" i="26"/>
  <c r="H4" i="18"/>
  <c r="I4"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8" i="34" l="1"/>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<sst xmlns="http://schemas.openxmlformats.org/spreadsheetml/2006/main" count="389" uniqueCount="163">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</sst>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tabSelected="1" workbookViewId="0">
      <pane xSplit="2" ySplit="3" topLeftCell="C4" activePane="bottomRight" state="frozen"/>
      <selection pane="bottomRight" activeCell="O13" sqref="N13:O13"/>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Agilitas Energy</v>
      </c>
      <c r="B1" s="84"/>
      <c r="C1" s="84"/>
      <c r="D1" s="85" t="s">
        <v>0</v>
      </c>
      <c r="E1" s="85"/>
      <c r="F1" s="85"/>
      <c r="G1" s="83" t="s">
        <v>1</v>
      </c>
      <c r="H1" s="83"/>
      <c r="I1" s="83"/>
    </row>
    <row r="2" spans="1:9" ht="19.5" customHeight="1">
      <c r="A2" s="86" t="s">
        <v>2</v>
      </c>
      <c r="B2" s="86"/>
      <c r="C2" s="5">
        <f>SUM(C4:C80)</f>
        <v>11210303.486796286</v>
      </c>
      <c r="D2" s="5">
        <f>SUM(D4:D80)</f>
        <v>12019149.081999999</v>
      </c>
      <c r="E2" s="5">
        <f>C2-D2</f>
        <v>-808845.59520371258</v>
      </c>
      <c r="F2" s="6">
        <f>IFERROR(E2/D2, 0)</f>
        <v>-6.7296410892768443E-2</v>
      </c>
      <c r="G2" s="5">
        <f>SUM(G4:G80)</f>
        <v>6690725.0949999988</v>
      </c>
      <c r="H2" s="7">
        <f>C2-G2</f>
        <v>4519578.3917962871</v>
      </c>
      <c r="I2" s="6">
        <f>IFERROR(H2/G2, 0)</f>
        <v>0.67549904197585153</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307225.10018844239</v>
      </c>
      <c r="D4" s="12">
        <f>SUM('1st Qtr'!D4, '2nd Qtr'!D4, '3rd Qtr'!D4, '4th Qtr'!D4)</f>
        <v>346631.52</v>
      </c>
      <c r="E4" s="12">
        <f>IF(AND(ISNUMBER(C4),ISNUMBER(D4)), C4-D4, "")</f>
        <v>-39406.419811557629</v>
      </c>
      <c r="F4" s="13">
        <f>IFERROR(E4/D4, "")</f>
        <v>-0.11368389063855944</v>
      </c>
      <c r="G4" s="14">
        <f>SUM('1st Qtr'!G4, '2nd Qtr'!G4, '3rd Qtr'!G4, '4th Qtr'!G4)</f>
        <v>336814.83999999997</v>
      </c>
      <c r="H4" s="14">
        <f>SUM('1st Qtr'!H4, '2nd Qtr'!H4, '3rd Qtr'!H4, '4th Qtr'!H4)</f>
        <v>-29589.7398115576</v>
      </c>
      <c r="I4" s="15">
        <f>IFERROR(H4/G4, "")</f>
        <v>-8.7851651107645978E-2</v>
      </c>
    </row>
    <row r="5" spans="1:9" ht="15.6">
      <c r="A5" s="50" t="str">
        <v>Auburn - Leicester Street Solar</v>
      </c>
      <c r="B5" s="28" t="str">
        <v>MA</v>
      </c>
      <c r="C5" s="16">
        <f>SUM('1st Qtr'!C5, '2nd Qtr'!C5, '3rd Qtr'!C5, '4th Qtr'!C5)</f>
        <v>2994304</v>
      </c>
      <c r="D5" s="16">
        <f>SUM('1st Qtr'!D5, '2nd Qtr'!D5, '3rd Qtr'!D5, '4th Qtr'!D5)</f>
        <v>4012083.3000000003</v>
      </c>
      <c r="E5" s="16">
        <f t="shared" ref="E5:E10" si="0">IF(AND(ISNUMBER(C5),ISNUMBER(D5)), C5-D5, "")</f>
        <v>-1017779.3000000003</v>
      </c>
      <c r="F5" s="17">
        <f>IFERROR(E5/D5, "")</f>
        <v>-0.2536785066252239</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4538912.8869460821</v>
      </c>
      <c r="D6" s="12">
        <f>SUM('1st Qtr'!D6, '2nd Qtr'!D6, '3rd Qtr'!D6, '4th Qtr'!D6)</f>
        <v>4184405.6999999997</v>
      </c>
      <c r="E6" s="12">
        <f t="shared" si="0"/>
        <v>354507.18694608239</v>
      </c>
      <c r="F6" s="13">
        <f t="shared" ref="F6:F10" si="1">IFERROR(E6/D6, "")</f>
        <v>8.4721036238451355E-2</v>
      </c>
      <c r="G6" s="14">
        <f>SUM('1st Qtr'!G6, '2nd Qtr'!G6, '3rd Qtr'!G6, '4th Qtr'!G6)</f>
        <v>3027434.1999999997</v>
      </c>
      <c r="H6" s="14">
        <f>SUM('1st Qtr'!H6, '2nd Qtr'!H6, '3rd Qtr'!H6, '4th Qtr'!H6)</f>
        <v>1511478.6869460829</v>
      </c>
      <c r="I6" s="15">
        <f t="shared" ref="I6:I10" si="2">IFERROR(H6/G6, "")</f>
        <v>0.4992606237143265</v>
      </c>
    </row>
    <row r="7" spans="1:9" ht="15.6">
      <c r="A7" s="50" t="str">
        <v>Dover - Littleworth Road</v>
      </c>
      <c r="B7" s="28" t="str">
        <v>NH</v>
      </c>
      <c r="C7" s="16">
        <f>SUM('1st Qtr'!C7, '2nd Qtr'!C7, '3rd Qtr'!C7, '4th Qtr'!C7)</f>
        <v>122557</v>
      </c>
      <c r="D7" s="16">
        <f>SUM('1st Qtr'!D7, '2nd Qtr'!D7, '3rd Qtr'!D7, '4th Qtr'!D7)</f>
        <v>0</v>
      </c>
      <c r="E7" s="16">
        <f t="shared" si="0"/>
        <v>122557</v>
      </c>
      <c r="F7" s="17" t="str">
        <f>IFERROR(E7/D7, "")</f>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364963</v>
      </c>
      <c r="D8" s="12">
        <f>SUM('1st Qtr'!D8, '2nd Qtr'!D8, '3rd Qtr'!D8, '4th Qtr'!D8)</f>
        <v>0</v>
      </c>
      <c r="E8" s="12">
        <f t="shared" si="0"/>
        <v>364963</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2472004.9996617623</v>
      </c>
      <c r="D9" s="16">
        <f>SUM('1st Qtr'!D9, '2nd Qtr'!D9, '3rd Qtr'!D9, '4th Qtr'!D9)</f>
        <v>2892601.6</v>
      </c>
      <c r="E9" s="16">
        <f t="shared" si="0"/>
        <v>-420596.60033823783</v>
      </c>
      <c r="F9" s="17">
        <f t="shared" si="1"/>
        <v>-0.14540426180302113</v>
      </c>
      <c r="G9" s="18">
        <f>SUM('1st Qtr'!G9, '2nd Qtr'!G9, '3rd Qtr'!G9, '4th Qtr'!G9)</f>
        <v>2849104.5999999996</v>
      </c>
      <c r="H9" s="18">
        <f>SUM(Jan!H9, Feb!H9, Mar!H9)</f>
        <v>-71061.800338238012</v>
      </c>
      <c r="I9" s="17">
        <f t="shared" si="2"/>
        <v>-2.4941801132270826E-2</v>
      </c>
    </row>
    <row r="10" spans="1:9" ht="15.6">
      <c r="A10" s="51" t="str">
        <v>Dedham - 100 Rustcraft Rd</v>
      </c>
      <c r="B10" s="26" t="str">
        <v>MA</v>
      </c>
      <c r="C10" s="22">
        <f>SUM('1st Qtr'!C10, '2nd Qtr'!C10, '3rd Qtr'!C10, '4th Qtr'!C10)</f>
        <v>410336.5</v>
      </c>
      <c r="D10" s="12">
        <f>SUM('1st Qtr'!D10, '2nd Qtr'!D10, '3rd Qtr'!D10, '4th Qtr'!D10)</f>
        <v>583426.96200000006</v>
      </c>
      <c r="E10" s="12">
        <f t="shared" si="0"/>
        <v>-173090.46200000006</v>
      </c>
      <c r="F10" s="13">
        <f t="shared" si="1"/>
        <v>-0.29667888745943838</v>
      </c>
      <c r="G10" s="14">
        <f>SUM('1st Qtr'!G10, '2nd Qtr'!G10, '3rd Qtr'!G10, '4th Qtr'!G10)</f>
        <v>477371.45499999996</v>
      </c>
      <c r="H10" s="14">
        <f>SUM('1st Qtr'!H10, '2nd Qtr'!H10, '3rd Qtr'!H10, '4th Qtr'!H10)</f>
        <v>-67034.955000000002</v>
      </c>
      <c r="I10" s="15">
        <f t="shared" si="2"/>
        <v>-0.14042514335089434</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 sqref="G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Agilitas Energy</v>
      </c>
      <c r="B1" s="84"/>
      <c r="C1" s="84"/>
      <c r="D1" s="85" t="s">
        <v>10</v>
      </c>
      <c r="E1" s="85"/>
      <c r="F1" s="85"/>
      <c r="G1" s="83" t="s">
        <v>11</v>
      </c>
      <c r="H1" s="83"/>
      <c r="I1" s="83"/>
    </row>
    <row r="2" spans="1:9" ht="19.5" customHeight="1">
      <c r="A2" s="86" t="s">
        <v>2</v>
      </c>
      <c r="B2" s="86"/>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22" sqref="I2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Agilitas Energy</v>
      </c>
      <c r="B1" s="84"/>
      <c r="C1" s="84"/>
      <c r="D1" s="85" t="s">
        <v>12</v>
      </c>
      <c r="E1" s="85"/>
      <c r="F1" s="85"/>
      <c r="G1" s="83" t="s">
        <v>13</v>
      </c>
      <c r="H1" s="83"/>
      <c r="I1" s="83"/>
    </row>
    <row r="2" spans="1:9" ht="19.5" customHeight="1">
      <c r="A2" s="86" t="s">
        <v>2</v>
      </c>
      <c r="B2" s="86"/>
      <c r="C2" s="5">
        <f>SUM(C4:C80)</f>
        <v>5675532.5543607995</v>
      </c>
      <c r="D2" s="5">
        <f>SUM(D4:D80)</f>
        <v>5261555.25</v>
      </c>
      <c r="E2" s="5">
        <f>C2-D2</f>
        <v>413977.30436079949</v>
      </c>
      <c r="F2" s="6">
        <f>IFERROR(E2/D2, 0)</f>
        <v>7.8679645977451154E-2</v>
      </c>
      <c r="G2" s="5">
        <f>SUM(G4:G80)</f>
        <v>3426536.8599999994</v>
      </c>
      <c r="H2" s="7">
        <f>C2-G2</f>
        <v>2248995.6943608001</v>
      </c>
      <c r="I2" s="6">
        <f>IFERROR(H2/G2, 0)</f>
        <v>0.65634656396511093</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159832.33812500001</v>
      </c>
      <c r="D4" s="12">
        <f>SUM(Apr!D4, May!D4, Jun!D4)</f>
        <v>161375.65</v>
      </c>
      <c r="E4" s="12">
        <f>IF(AND(ISNUMBER(C4),ISNUMBER(D4)), C4-D4, "")</f>
        <v>-1543.3118749999849</v>
      </c>
      <c r="F4" s="13">
        <f>IFERROR(E4/D4, "")</f>
        <v>-9.5634742602120262E-3</v>
      </c>
      <c r="G4" s="14">
        <f>SUM(Apr!G4+May!G4+Jun!G4)</f>
        <v>170137.36</v>
      </c>
      <c r="H4" s="14">
        <f>SUM(Apr!H4, May!H4, Jun!H4)</f>
        <v>-10305.021875000006</v>
      </c>
      <c r="I4" s="15">
        <f>IFERROR(H4/G4, "")</f>
        <v>-6.0568836115712663E-2</v>
      </c>
    </row>
    <row r="5" spans="1:9" ht="15.6">
      <c r="A5" s="47" t="str">
        <v>Auburn - Leicester Street Solar</v>
      </c>
      <c r="B5" s="10" t="str">
        <v>MA</v>
      </c>
      <c r="C5" s="11">
        <f>SUM(Apr!C5, May!C5, Jun!C5)</f>
        <v>1496007</v>
      </c>
      <c r="D5" s="16">
        <f>SUM(Apr!D5, May!D5, Jun!D5)</f>
        <v>1531536.1</v>
      </c>
      <c r="E5" s="16">
        <f t="shared" ref="E5:E10" si="0">IF(AND(ISNUMBER(C5),ISNUMBER(D5)), C5-D5, "")</f>
        <v>-35529.100000000093</v>
      </c>
      <c r="F5" s="17">
        <f>IFERROR(E5/D5, "")</f>
        <v>-2.3198343153648215E-2</v>
      </c>
      <c r="G5" s="81">
        <f>SUM(Apr!G5+May!G5+Jun!G5)</f>
        <v>0</v>
      </c>
      <c r="H5" s="18">
        <f>SUM(Apr!H5, May!H5, Jun!H5)</f>
        <v>1496007</v>
      </c>
      <c r="I5" s="17" t="str">
        <f>IFERROR(H5/G5, "")</f>
        <v/>
      </c>
    </row>
    <row r="6" spans="1:9" ht="15.6">
      <c r="A6" s="46" t="str">
        <v>Rochester - Old Middleboro</v>
      </c>
      <c r="B6" s="9" t="str">
        <v>MA</v>
      </c>
      <c r="C6" s="22">
        <f>SUM(Apr!C6, May!C6, Jun!C6)</f>
        <v>2274867.2162357997</v>
      </c>
      <c r="D6" s="12">
        <f>SUM(Apr!D6, May!D6, Jun!D6)</f>
        <v>1919262.1</v>
      </c>
      <c r="E6" s="12">
        <f t="shared" si="0"/>
        <v>355605.11623579962</v>
      </c>
      <c r="F6" s="13">
        <f t="shared" ref="F6:F10" si="1">IFERROR(E6/D6, "")</f>
        <v>0.18528220623738656</v>
      </c>
      <c r="G6" s="14">
        <f>SUM(Apr!G6+May!G6+Jun!G6)</f>
        <v>1482834.9</v>
      </c>
      <c r="H6" s="14">
        <f>SUM(Apr!H6, May!H6, Jun!H6)</f>
        <v>792032.31623579992</v>
      </c>
      <c r="I6" s="15">
        <f t="shared" ref="I6:I10" si="2">IFERROR(H6/G6, "")</f>
        <v>0.53413385147314785</v>
      </c>
    </row>
    <row r="7" spans="1:9" ht="15.6">
      <c r="A7" s="47" t="str">
        <v>Dover - Littleworth Road</v>
      </c>
      <c r="B7" s="10" t="str">
        <v>NH</v>
      </c>
      <c r="C7" s="11">
        <f>SUM(Apr!C7, May!C7, Jun!C7)</f>
        <v>80609</v>
      </c>
      <c r="D7" s="16">
        <f>SUM(Apr!D7, May!D7, Jun!D7)</f>
        <v>0</v>
      </c>
      <c r="E7" s="16">
        <f t="shared" si="0"/>
        <v>80609</v>
      </c>
      <c r="F7" s="17" t="str">
        <f t="shared" si="1"/>
        <v/>
      </c>
      <c r="G7" s="18">
        <f>SUM(Apr!G7,May!G7,Jun!G7)</f>
        <v>0</v>
      </c>
      <c r="H7" s="18">
        <f>SUM(Apr!H7, May!H7, Jun!H7)</f>
        <v>0</v>
      </c>
      <c r="I7" s="17" t="str">
        <f t="shared" si="2"/>
        <v/>
      </c>
    </row>
    <row r="8" spans="1:9" ht="15.6">
      <c r="A8" s="46" t="str">
        <v>Milton - Landfill</v>
      </c>
      <c r="B8" s="9" t="str">
        <v>NH</v>
      </c>
      <c r="C8" s="22">
        <f>SUM(Apr!C8, May!C8, Jun!C8)</f>
        <v>202200</v>
      </c>
      <c r="D8" s="12">
        <f>SUM(Apr!D8, May!D8, Jun!D8)</f>
        <v>0</v>
      </c>
      <c r="E8" s="12">
        <f t="shared" si="0"/>
        <v>202200</v>
      </c>
      <c r="F8" s="13" t="str">
        <f t="shared" si="1"/>
        <v/>
      </c>
      <c r="G8" s="14">
        <f>SUM(Apr!G8,May!G8,Jun!G8)</f>
        <v>0</v>
      </c>
      <c r="H8" s="14">
        <f>SUM(Apr!H8, May!H8, Jun!H8)</f>
        <v>0</v>
      </c>
      <c r="I8" s="15" t="str">
        <f t="shared" si="2"/>
        <v/>
      </c>
    </row>
    <row r="9" spans="1:9" ht="15.6">
      <c r="A9" s="47" t="str">
        <v>Hopkinton - 71 Frankland Rd</v>
      </c>
      <c r="B9" s="10" t="str">
        <v>MA</v>
      </c>
      <c r="C9" s="11">
        <f>SUM(Apr!C9, May!C9, Jun!C9)</f>
        <v>1227443</v>
      </c>
      <c r="D9" s="16">
        <f>SUM(Apr!D9, May!D9, Jun!D9)</f>
        <v>1367171.1</v>
      </c>
      <c r="E9" s="16">
        <f t="shared" si="0"/>
        <v>-139728.10000000009</v>
      </c>
      <c r="F9" s="17">
        <f t="shared" si="1"/>
        <v>-0.10220235053242428</v>
      </c>
      <c r="G9" s="18">
        <f>SUM(Apr!G9,May!G9,Jun!G9)</f>
        <v>1533480.7999999998</v>
      </c>
      <c r="H9" s="18">
        <f>SUM(Apr!H9, May!H9, Jun!H9)</f>
        <v>-306037.79999999993</v>
      </c>
      <c r="I9" s="17">
        <f t="shared" si="2"/>
        <v>-0.19957067607237075</v>
      </c>
    </row>
    <row r="10" spans="1:9" ht="15.6">
      <c r="A10" s="46" t="str">
        <v>Dedham - 100 Rustcraft Rd</v>
      </c>
      <c r="B10" s="9" t="str">
        <v>MA</v>
      </c>
      <c r="C10" s="22">
        <f>SUM(Apr!C10, May!C10, Jun!C10)</f>
        <v>234574</v>
      </c>
      <c r="D10" s="12">
        <f>SUM(Apr!D10, May!D10, Jun!D10)</f>
        <v>282210.30000000005</v>
      </c>
      <c r="E10" s="12">
        <f t="shared" si="0"/>
        <v>-47636.300000000047</v>
      </c>
      <c r="F10" s="13">
        <f t="shared" si="1"/>
        <v>-0.16879717005367997</v>
      </c>
      <c r="G10" s="14">
        <f>SUM(Apr!G10+May!G10+Jun!G10)</f>
        <v>240083.8</v>
      </c>
      <c r="H10" s="14">
        <f>SUM(Apr!H10, May!H10, Jun!H10)</f>
        <v>-5509.8000000000029</v>
      </c>
      <c r="I10" s="15">
        <f t="shared" si="2"/>
        <v>-2.2949486804190882E-2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Agilitas Energy</v>
      </c>
      <c r="B1" s="84"/>
      <c r="C1" s="84"/>
      <c r="D1" s="85" t="s">
        <v>14</v>
      </c>
      <c r="E1" s="85"/>
      <c r="F1" s="85"/>
      <c r="G1" s="83" t="s">
        <v>15</v>
      </c>
      <c r="H1" s="83"/>
      <c r="I1" s="83"/>
    </row>
    <row r="2" spans="1:9" ht="19.5" customHeight="1">
      <c r="A2" s="86" t="s">
        <v>2</v>
      </c>
      <c r="B2" s="86"/>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Auburn - Leicester Street Solar</v>
      </c>
      <c r="B5" s="10" t="str">
        <v>MA</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Rochester - Old Middleboro</v>
      </c>
      <c r="B6" s="9" t="str">
        <v>MA</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Dover - Littleworth Road</v>
      </c>
      <c r="B7" s="10" t="str">
        <v>NH</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Milton - Landfill</v>
      </c>
      <c r="B8" s="9" t="str">
        <v>NH</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Hopkinton - 71 Frankland Rd</v>
      </c>
      <c r="B9" s="10" t="str">
        <v>MA</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Dedham - 100 Rustcraft Rd</v>
      </c>
      <c r="B10" s="9" t="str">
        <v>MA</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Agilitas Energy</v>
      </c>
      <c r="B1" s="84"/>
      <c r="C1" s="84"/>
      <c r="D1" s="85" t="s">
        <v>16</v>
      </c>
      <c r="E1" s="85"/>
      <c r="F1" s="85"/>
      <c r="G1" s="83" t="s">
        <v>17</v>
      </c>
      <c r="H1" s="83"/>
      <c r="I1" s="83"/>
    </row>
    <row r="2" spans="1:9" ht="19.5" customHeight="1">
      <c r="A2" s="86" t="s">
        <v>2</v>
      </c>
      <c r="B2" s="8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4" t="str" cm="1">
        <f t="array" ref="A1">portfolio</f>
        <v>Agilitas Energy</v>
      </c>
      <c r="B1" s="84"/>
      <c r="C1" s="84"/>
      <c r="D1" s="85" t="s">
        <v>18</v>
      </c>
      <c r="E1" s="85"/>
      <c r="F1" s="85"/>
      <c r="G1" s="83" t="s">
        <v>19</v>
      </c>
      <c r="H1" s="83"/>
      <c r="I1" s="83"/>
      <c r="J1" s="4"/>
      <c r="K1" s="4"/>
    </row>
    <row r="2" spans="1:13" ht="19.5" customHeight="1">
      <c r="A2" s="86" t="s">
        <v>2</v>
      </c>
      <c r="B2" s="86"/>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Agilitas Energy</v>
      </c>
      <c r="B1" s="84"/>
      <c r="C1" s="84"/>
      <c r="D1" s="85" t="s">
        <v>43</v>
      </c>
      <c r="E1" s="85"/>
      <c r="F1" s="85"/>
      <c r="G1" s="83" t="s">
        <v>44</v>
      </c>
      <c r="H1" s="83"/>
      <c r="I1" s="83"/>
      <c r="J1" s="4"/>
      <c r="K1" s="4"/>
    </row>
    <row r="2" spans="1:14" ht="19.5" customHeight="1">
      <c r="A2" s="86" t="s">
        <v>2</v>
      </c>
      <c r="B2" s="86"/>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4" t="str" cm="1">
        <f t="array" ref="A1">portfolio</f>
        <v>Agilitas Energy</v>
      </c>
      <c r="B1" s="84"/>
      <c r="C1" s="84"/>
      <c r="D1" s="85" t="s">
        <v>63</v>
      </c>
      <c r="E1" s="85"/>
      <c r="F1" s="85"/>
      <c r="G1" s="83" t="s">
        <v>64</v>
      </c>
      <c r="H1" s="83"/>
      <c r="I1" s="83"/>
      <c r="J1" s="4"/>
      <c r="K1" s="4"/>
    </row>
    <row r="2" spans="1:17" ht="19.5" customHeight="1">
      <c r="A2" s="86" t="s">
        <v>2</v>
      </c>
      <c r="B2" s="86"/>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C4"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84" t="str" cm="1">
        <f t="array" ref="A1">portfolio</f>
        <v>Agilitas Energy</v>
      </c>
      <c r="B1" s="84"/>
      <c r="C1" s="84"/>
      <c r="D1" s="85" t="s">
        <v>90</v>
      </c>
      <c r="E1" s="85"/>
      <c r="F1" s="85"/>
      <c r="G1" s="83" t="s">
        <v>91</v>
      </c>
      <c r="H1" s="83"/>
      <c r="I1" s="83"/>
      <c r="J1" s="4"/>
      <c r="K1" s="4"/>
    </row>
    <row r="2" spans="1:15" ht="19.5" customHeight="1">
      <c r="A2" s="86" t="s">
        <v>2</v>
      </c>
      <c r="B2" s="86"/>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9"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Agilitas Energy</v>
      </c>
      <c r="B1" s="84"/>
      <c r="C1" s="84"/>
      <c r="D1" s="85" t="s">
        <v>111</v>
      </c>
      <c r="E1" s="85"/>
      <c r="F1" s="85"/>
      <c r="G1" s="83" t="s">
        <v>112</v>
      </c>
      <c r="H1" s="83"/>
      <c r="I1" s="83"/>
      <c r="J1" s="4"/>
      <c r="K1" s="4"/>
    </row>
    <row r="2" spans="1:14" ht="19.5" customHeight="1">
      <c r="A2" s="86" t="s">
        <v>2</v>
      </c>
      <c r="B2" s="86"/>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6.5">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2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Agilitas Energy</v>
      </c>
      <c r="B1" s="84"/>
      <c r="C1" s="84"/>
      <c r="D1" s="85" t="s">
        <v>125</v>
      </c>
      <c r="E1" s="85"/>
      <c r="F1" s="85"/>
      <c r="G1" s="83" t="s">
        <v>126</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34.9"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84" t="str" cm="1">
        <f t="array" ref="A1">portfolio</f>
        <v>Agilitas Energy</v>
      </c>
      <c r="B1" s="84"/>
      <c r="C1" s="84"/>
      <c r="D1" s="85" t="s">
        <v>127</v>
      </c>
      <c r="E1" s="85"/>
      <c r="F1" s="85"/>
      <c r="G1" s="83" t="s">
        <v>128</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IF(AND(ISNUMBER(C6),ISNUMBER(D6)), C6-D6, "")</f>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Agilitas Energy</v>
      </c>
      <c r="B1" s="84"/>
      <c r="C1" s="84"/>
      <c r="D1" s="85" t="s">
        <v>129</v>
      </c>
      <c r="E1" s="85"/>
      <c r="F1" s="85"/>
      <c r="G1" s="83" t="s">
        <v>130</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Agilitas Energy</v>
      </c>
      <c r="B1" s="84"/>
      <c r="C1" s="84"/>
      <c r="D1" s="85" t="s">
        <v>131</v>
      </c>
      <c r="E1" s="85"/>
      <c r="F1" s="85"/>
      <c r="G1" s="83" t="s">
        <v>132</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Agilitas Energy</v>
      </c>
      <c r="B1" s="84"/>
      <c r="C1" s="84"/>
      <c r="D1" s="85" t="s">
        <v>133</v>
      </c>
      <c r="E1" s="85"/>
      <c r="F1" s="85"/>
      <c r="G1" s="83" t="s">
        <v>134</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4" t="str" cm="1">
        <f t="array" ref="A1">portfolio</f>
        <v>Agilitas Energy</v>
      </c>
      <c r="B1" s="84"/>
      <c r="C1" s="84"/>
      <c r="D1" s="85" t="s">
        <v>135</v>
      </c>
      <c r="E1" s="85"/>
      <c r="F1" s="85"/>
      <c r="G1" s="83" t="s">
        <v>136</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Agilitas Energy</v>
      </c>
      <c r="B1" s="84"/>
      <c r="C1" s="84"/>
      <c r="D1" s="85" t="s">
        <v>137</v>
      </c>
      <c r="E1" s="85"/>
      <c r="F1" s="85"/>
      <c r="G1" s="83" t="s">
        <v>138</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139</v>
      </c>
      <c r="B1" t="s">
        <v>140</v>
      </c>
    </row>
    <row r="3" spans="1:12" ht="13.15">
      <c r="A3" t="s">
        <v>141</v>
      </c>
      <c r="B3" t="s">
        <v>3</v>
      </c>
      <c r="C3" t="s">
        <v>4</v>
      </c>
      <c r="D3" t="s">
        <v>142</v>
      </c>
      <c r="E3" s="2" t="s">
        <v>143</v>
      </c>
    </row>
    <row r="4" spans="1:12" ht="14.45">
      <c r="A4" s="48" t="s">
        <v>144</v>
      </c>
      <c r="B4" t="s">
        <v>145</v>
      </c>
      <c r="C4" s="45" t="s">
        <v>146</v>
      </c>
      <c r="D4" s="44" t="s">
        <v>147</v>
      </c>
      <c r="E4" t="s">
        <v>148</v>
      </c>
      <c r="G4" s="3"/>
    </row>
    <row r="5" spans="1:12" ht="14.45">
      <c r="A5" s="48" t="s">
        <v>149</v>
      </c>
      <c r="B5" t="s">
        <v>150</v>
      </c>
      <c r="C5" s="45" t="s">
        <v>146</v>
      </c>
      <c r="D5" s="44" t="s">
        <v>147</v>
      </c>
      <c r="E5" t="s">
        <v>148</v>
      </c>
      <c r="G5" s="3"/>
    </row>
    <row r="6" spans="1:12" ht="14.45">
      <c r="A6" s="48" t="s">
        <v>151</v>
      </c>
      <c r="B6" t="s">
        <v>152</v>
      </c>
      <c r="C6" s="45" t="s">
        <v>146</v>
      </c>
      <c r="D6" s="44" t="s">
        <v>147</v>
      </c>
      <c r="E6" t="s">
        <v>148</v>
      </c>
      <c r="G6" s="3"/>
    </row>
    <row r="7" spans="1:12" ht="12.75" customHeight="1">
      <c r="A7" s="48" t="s">
        <v>153</v>
      </c>
      <c r="B7" t="s">
        <v>154</v>
      </c>
      <c r="C7" s="45" t="s">
        <v>155</v>
      </c>
      <c r="D7" s="44"/>
      <c r="E7" t="s">
        <v>156</v>
      </c>
    </row>
    <row r="8" spans="1:12" ht="12.75" customHeight="1">
      <c r="A8" s="48" t="s">
        <v>157</v>
      </c>
      <c r="B8" t="s">
        <v>158</v>
      </c>
      <c r="C8" s="45" t="s">
        <v>155</v>
      </c>
      <c r="D8" s="44"/>
      <c r="E8" t="s">
        <v>156</v>
      </c>
    </row>
    <row r="9" spans="1:12" ht="12.75" customHeight="1">
      <c r="A9" s="54" t="s">
        <v>159</v>
      </c>
      <c r="B9" s="55" t="s">
        <v>160</v>
      </c>
      <c r="C9" s="45" t="s">
        <v>146</v>
      </c>
      <c r="D9" t="s">
        <v>147</v>
      </c>
      <c r="E9" t="s">
        <v>148</v>
      </c>
      <c r="K9" s="42"/>
      <c r="L9" s="42"/>
    </row>
    <row r="10" spans="1:12" ht="12.75" customHeight="1">
      <c r="A10" s="54" t="s">
        <v>161</v>
      </c>
      <c r="B10" s="55" t="s">
        <v>162</v>
      </c>
      <c r="C10" s="45" t="s">
        <v>146</v>
      </c>
      <c r="D10" t="s">
        <v>147</v>
      </c>
      <c r="E10" t="s">
        <v>148</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F6B2B1A1-1C4B-4AC9-9A7D-7A102DD1C942}"/>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3AEAA9D8-2182-46BA-A58E-96C72DDA1C54}"/>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25A5DACD-381A-4464-8E8D-1769CF4CF95E}"/>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2025-06-10T07:58:34Z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