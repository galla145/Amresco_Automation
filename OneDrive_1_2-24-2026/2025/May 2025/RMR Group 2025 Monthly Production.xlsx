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2" documentId="13_ncr:1_{22625A1F-2C87-44E1-B6C2-EE6FE8FAEDB7}" xr6:coauthVersionLast="47" xr6:coauthVersionMax="47" xr10:uidLastSave="{86C35431-D2C9-49A7-BC77-4D1E70A21770}"/>
  <bookViews>
    <workbookView xWindow="-108" yWindow="-108" windowWidth="23256" windowHeight="13896" tabRatio="866" firstSheet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H2" i="28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<sst xmlns="http://schemas.openxmlformats.org/spreadsheetml/2006/main" count="248" uniqueCount="60">
  <si>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</si>
  <si>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</si>
  <si>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</si>
  <si>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</si>
  <si>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</si>
  <si>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</si>
  <si>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</si>
  <si>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</si>
  <si>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</si>
  <si>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</si>
  <si>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</si>
  <si>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</si>
  <si>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</si>
  <si>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</si>
  <si>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</si>
  <si>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</si>
  <si>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</si>
  <si>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</si>
  <si>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</si>
  <si>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</si>
  <si>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</si>
  <si>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</si>
  <si>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</si>
  <si>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</si>
  <si>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</si>
  <si>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</si>
  <si>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</si>
  <si>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</si>
  <si>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 xml:space="preserve">1.The Site Expected Energy data reporting intermittently throughout the month due to site communication issues in the Unity portal. </t>
  </si>
  <si>
    <t>1. SR098457,SR092283</t>
  </si>
  <si>
    <t>SR092283</t>
  </si>
  <si>
    <t>April Actual v. Expected</t>
  </si>
  <si>
    <t>April Actual v. Forecasted</t>
  </si>
  <si>
    <t>1.Expected energy data reporting intermittently throughout the month due to site communication issue</t>
  </si>
  <si>
    <t>1.SR092283</t>
  </si>
  <si>
    <t>May Actual v. Expected</t>
  </si>
  <si>
    <t>May Actual v. Forecasted</t>
  </si>
  <si>
    <t>1. SR092283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</si>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</sst>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283" TargetMode="External"/><Relationship Id="rId1" Type="http://schemas.openxmlformats.org/officeDocument/2006/relationships/hyperlink" Target="https://us3.assetplanner.com/service_request?ID=09845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09228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tabSelected="1" workbookViewId="0">
      <pane ySplit="2" topLeftCell="A3" activePane="bottomLeft" state="frozen"/>
      <selection pane="bottomLeft" activeCell="L14" sqref="L1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RMR Group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SUM(C4:C60)</f>
        <v>97852.815999999992</v>
      </c>
      <c r="D2" s="6">
        <f>SUM(D4:D60)</f>
        <v>53978.903999999995</v>
      </c>
      <c r="E2" s="6">
        <f>C2-D2</f>
        <v>43873.911999999997</v>
      </c>
      <c r="F2" s="7">
        <f>IFERROR(E2/D2, 0)</f>
        <v>0.81279738469680674</v>
      </c>
      <c r="G2" s="6">
        <f>SUM(G4:G60)</f>
        <v>0</v>
      </c>
      <c r="H2" s="8">
        <f>C2-G2</f>
        <v>97852.815999999992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97852.815999999992</v>
      </c>
      <c r="D4" s="14">
        <f>SUM('1st Qtr'!D4, '2nd Qtr'!D4, '3rd Qtr'!D4, '4th Qtr'!D4)</f>
        <v>53978.903999999995</v>
      </c>
      <c r="E4" s="14">
        <f>IF(AND(ISNUMBER(C4),ISNUMBER(D4)), C4-D4, "")</f>
        <v>43873.911999999997</v>
      </c>
      <c r="F4" s="15">
        <f>IFERROR(E4/D4, "")</f>
        <v>0.81279738469680674</v>
      </c>
      <c r="G4" s="16">
        <f>SUM('1st Qtr'!G4,'2nd Qtr'!G4,'3rd Qtr'!G4,'4th Qtr'!G4)</f>
        <v>0</v>
      </c>
      <c r="H4" s="16">
        <f>SUM('1st Qtr'!H4, '2nd Qtr'!H4, '3rd Qtr'!H4, '4th Qtr'!H4)</f>
        <v>97852.815999999992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4" sqref="C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RMR Group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SUM(C4:C68)</f>
        <v>41253.092999999993</v>
      </c>
      <c r="D2" s="6">
        <f>SUM(D4:D68)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SUM(G4:G68)</f>
        <v>0</v>
      </c>
      <c r="H2" s="8">
        <f>C2-G2</f>
        <v>41253.092999999993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41253.092999999993</v>
      </c>
      <c r="D4" s="14">
        <f>SUM(Jan!D4, Feb!D4, Mar!D4)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SUM(Jan!G4, Feb!G4, Mar!G4)</f>
        <v>0</v>
      </c>
      <c r="H4" s="16">
        <f>SUM(Jan!H4, Feb!H4, Mar!H4)</f>
        <v>41253.092999999993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L16" sqref="L16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RMR Group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56599.722999999998</v>
      </c>
      <c r="D2" s="6">
        <f>SUM(D4:D90)</f>
        <v>13622.89</v>
      </c>
      <c r="E2" s="6">
        <f>C2-D2</f>
        <v>42976.832999999999</v>
      </c>
      <c r="F2" s="7">
        <f>IFERROR(E2/D2, 0)</f>
        <v>3.1547515248232938</v>
      </c>
      <c r="G2" s="6">
        <f>SUM(G4:G90)</f>
        <v>0</v>
      </c>
      <c r="H2" s="8">
        <f>C2-G2</f>
        <v>56599.722999999998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56599.722999999998</v>
      </c>
      <c r="D4" s="14">
        <f>SUM(Apr!D4, May!D4, Jun!D4)</f>
        <v>13622.89</v>
      </c>
      <c r="E4" s="14">
        <f>IF(AND(ISNUMBER(C4),ISNUMBER(D4)), C4-D4, "")</f>
        <v>42976.832999999999</v>
      </c>
      <c r="F4" s="15">
        <f>IFERROR(E4/D4, "")</f>
        <v>3.1547515248232938</v>
      </c>
      <c r="G4" s="16">
        <f>SUM(Apr!G4+May!G4+Jun!G4)</f>
        <v>0</v>
      </c>
      <c r="H4" s="16">
        <f>SUM(Apr!H4, May!H4, Jun!H4)</f>
        <v>56599.722999999998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RMR Group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RMR Group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2" sqref="H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J14" sqref="J1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23</v>
      </c>
      <c r="E1" s="47"/>
      <c r="F1" s="47"/>
      <c r="G1" s="45" t="s">
        <v>24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90" zoomScaleNormal="90" workbookViewId="0">
      <pane ySplit="2" topLeftCell="A3" activePane="bottomLeft" state="frozen"/>
      <selection pane="bottomLeft" activeCell="J17" sqref="J17"/>
      <selection activeCell="H22" sqref="H2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6" t="str" cm="1">
        <f t="array" ref="A1">portfolio</f>
        <v>RMR Group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5"/>
      <c r="K1" s="5"/>
    </row>
    <row r="2" spans="1:12" ht="19.5" customHeight="1">
      <c r="A2" s="48" t="s">
        <v>2</v>
      </c>
      <c r="B2" s="48"/>
      <c r="C2" s="6">
        <f>SUM(C4:C90)</f>
        <v>24212.6</v>
      </c>
      <c r="D2" s="6">
        <f>SUM(D4:D90)</f>
        <v>9743.5</v>
      </c>
      <c r="E2" s="6">
        <f>C2-D2</f>
        <v>14469.099999999999</v>
      </c>
      <c r="F2" s="7">
        <f>IFERROR(E2/D2, 0)</f>
        <v>1.4850002565813105</v>
      </c>
      <c r="G2" s="6">
        <f>SUM(G4:G90)</f>
        <v>0</v>
      </c>
      <c r="H2" s="8">
        <f>C2-G2</f>
        <v>24212.6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24212.6</v>
      </c>
      <c r="D4" s="14">
        <v>9743.5</v>
      </c>
      <c r="E4" s="14">
        <f>IF(AND(ISNUMBER(C4),ISNUMBER(D4)), C4-D4, "")</f>
        <v>14469.099999999999</v>
      </c>
      <c r="F4" s="15">
        <f>IFERROR(E4/D4, "")</f>
        <v>1.4850002565813105</v>
      </c>
      <c r="G4" s="16">
        <v>0</v>
      </c>
      <c r="H4" s="16">
        <f>IF(AND(ISNUMBER(C4),ISNUMBER(G4)), C4-G4, "")</f>
        <v>24212.6</v>
      </c>
      <c r="I4" s="17" t="str">
        <f>IFERROR(H4/G4, "")</f>
        <v/>
      </c>
      <c r="J4" s="18" t="s">
        <v>28</v>
      </c>
      <c r="K4" s="42" t="s">
        <v>29</v>
      </c>
      <c r="L4" s="43" t="s">
        <v>30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457" xr:uid="{962A6811-2B8D-4A06-9278-93ED38244485}"/>
    <hyperlink ref="L4" r:id="rId2" display="https://us3.assetplanner.com/service_request?ID=092283" xr:uid="{1434438C-4D4C-406F-A50D-AFB596EB6D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C1" zoomScaleNormal="100" workbookViewId="0">
      <pane ySplit="2" topLeftCell="A3" activePane="bottomLeft" state="frozen"/>
      <selection pane="bottomLeft" activeCell="H16" sqref="H16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31</v>
      </c>
      <c r="E1" s="47"/>
      <c r="F1" s="47"/>
      <c r="G1" s="45" t="s">
        <v>32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28950.2</v>
      </c>
      <c r="D2" s="6">
        <f>SUM(D4:D90)</f>
        <v>5305.19</v>
      </c>
      <c r="E2" s="6">
        <f>C2-D2</f>
        <v>23645.010000000002</v>
      </c>
      <c r="F2" s="7">
        <f>IFERROR(E2/D2, 0)</f>
        <v>4.4569581862289578</v>
      </c>
      <c r="G2" s="6">
        <f>SUM(G4:G90)</f>
        <v>0</v>
      </c>
      <c r="H2" s="8">
        <f>C2-G2</f>
        <v>28950.2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28950.2</v>
      </c>
      <c r="D4" s="14">
        <v>5305.19</v>
      </c>
      <c r="E4" s="14">
        <f>IF(AND(ISNUMBER(C4),ISNUMBER(D4)), C4-D4, "")</f>
        <v>23645.010000000002</v>
      </c>
      <c r="F4" s="15">
        <f>IFERROR(E4/D4, "")</f>
        <v>4.4569581862289578</v>
      </c>
      <c r="G4" s="44">
        <v>0</v>
      </c>
      <c r="H4" s="16">
        <f>IF(AND(ISNUMBER(C4),ISNUMBER(G4)), C4-G4, "")</f>
        <v>28950.2</v>
      </c>
      <c r="I4" s="17" t="str">
        <f>IFERROR(H4/G4, "")</f>
        <v/>
      </c>
      <c r="J4" s="18" t="s">
        <v>33</v>
      </c>
      <c r="K4" s="42" t="s">
        <v>34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2283" xr:uid="{76A249B6-AEF1-4C9C-94D6-23E7DB8E970A}"/>
  </hyperlinks>
  <pageMargins left="0.4" right="0.7" top="0.25" bottom="0.25" header="0.3" footer="0.3"/>
  <pageSetup scale="56" fitToHeight="9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12" sqref="G12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27649.523000000001</v>
      </c>
      <c r="D2" s="6">
        <f>SUM(D4:D90)</f>
        <v>8317.7000000000007</v>
      </c>
      <c r="E2" s="6">
        <f>C2-D2</f>
        <v>19331.823</v>
      </c>
      <c r="F2" s="7">
        <f>IFERROR(E2/D2, 0)</f>
        <v>2.3241789196532694</v>
      </c>
      <c r="G2" s="6">
        <f>SUM(G4:G90)</f>
        <v>0</v>
      </c>
      <c r="H2" s="8">
        <f>C2-G2</f>
        <v>27649.523000000001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27649.523000000001</v>
      </c>
      <c r="D4" s="14">
        <v>8317.7000000000007</v>
      </c>
      <c r="E4" s="14">
        <f>IF(AND(ISNUMBER(C4),ISNUMBER(D4)), C4-D4, "")</f>
        <v>19331.823</v>
      </c>
      <c r="F4" s="15">
        <f>IFERROR(E4/D4, "")</f>
        <v>2.3241789196532694</v>
      </c>
      <c r="G4" s="44">
        <v>0</v>
      </c>
      <c r="H4" s="16">
        <f>IF(AND(ISNUMBER(C4),ISNUMBER(G4)), C4-G4, "")</f>
        <v>27649.523000000001</v>
      </c>
      <c r="I4" s="17" t="str">
        <f>IFERROR(H4/G4, "")</f>
        <v/>
      </c>
      <c r="J4" s="18" t="s">
        <v>33</v>
      </c>
      <c r="K4" s="42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2283" xr:uid="{AAFFE0AE-8CBF-4EE1-917C-43E3AA82AAF9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48</v>
      </c>
      <c r="E1" s="47"/>
      <c r="F1" s="47"/>
      <c r="G1" s="45" t="s">
        <v>49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RMR Group</v>
      </c>
      <c r="B1" s="46"/>
      <c r="C1" s="46"/>
      <c r="D1" s="47" t="s">
        <v>50</v>
      </c>
      <c r="E1" s="47"/>
      <c r="F1" s="47"/>
      <c r="G1" s="45" t="s">
        <v>51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52</v>
      </c>
      <c r="B1" t="s">
        <v>53</v>
      </c>
    </row>
    <row r="3" spans="1:7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7" ht="14.45">
      <c r="A4" t="s">
        <v>57</v>
      </c>
      <c r="B4" t="s">
        <v>57</v>
      </c>
      <c r="C4" s="4" t="s">
        <v>58</v>
      </c>
      <c r="E4" t="s">
        <v>59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13B813D1-56DD-47C3-862A-5F226DB40836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2025-06-10T08:27:59Z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