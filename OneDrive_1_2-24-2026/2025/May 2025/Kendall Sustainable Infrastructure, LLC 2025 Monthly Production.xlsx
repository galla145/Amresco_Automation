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2"/>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6" documentId="13_ncr:1_{FD4CD48C-B4B4-4E52-A0CD-6D6EC9696129}" xr6:coauthVersionLast="47" xr6:coauthVersionMax="47" xr10:uidLastSave="{3FF60B21-727C-4B6A-B223-9EB389668F3F}"/>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0" l="1"/>
  <c r="I10" i="20"/>
  <c r="I11" i="20"/>
  <c r="H9" i="20"/>
  <c r="H10" i="20"/>
  <c r="H11" i="20"/>
  <c r="E9" i="20"/>
  <c r="E10" i="20"/>
  <c r="E11" i="20"/>
  <c r="F11" i="20" s="1"/>
  <c r="E7" i="20"/>
  <c r="F9" i="20"/>
  <c r="F10" i="20"/>
  <c r="H11" i="34"/>
  <c r="G11" i="18"/>
  <c r="D11" i="18"/>
  <c r="C11" i="18"/>
  <c r="H11" i="1"/>
  <c r="G11" i="1"/>
  <c r="I11" i="1" s="1"/>
  <c r="F9" i="1"/>
  <c r="F10" i="1"/>
  <c r="D11" i="1"/>
  <c r="D11" i="34" s="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H9" i="18"/>
  <c r="D10" i="18"/>
  <c r="C10" i="18"/>
  <c r="H10" i="29"/>
  <c r="G9" i="29"/>
  <c r="G10" i="29"/>
  <c r="D10" i="29"/>
  <c r="C10" i="29"/>
  <c r="E10" i="29" s="1"/>
  <c r="F10" i="29" s="1"/>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E9" i="29" s="1"/>
  <c r="F9" i="29" s="1"/>
  <c r="G5" i="29"/>
  <c r="G6" i="29"/>
  <c r="G7" i="29"/>
  <c r="G8" i="29"/>
  <c r="G4" i="29"/>
  <c r="H9" i="28"/>
  <c r="I9" i="28" s="1"/>
  <c r="E9" i="28"/>
  <c r="F9" i="28" s="1"/>
  <c r="E6" i="26"/>
  <c r="G4" i="18"/>
  <c r="G5" i="18"/>
  <c r="G6" i="18"/>
  <c r="G7" i="18"/>
  <c r="E4" i="4"/>
  <c r="E5" i="72"/>
  <c r="F5" i="72" s="1"/>
  <c r="E6" i="72"/>
  <c r="F6" i="72" s="1"/>
  <c r="E7" i="72"/>
  <c r="F7" i="72" s="1"/>
  <c r="E8" i="72"/>
  <c r="F8" i="72" s="1"/>
  <c r="E11" i="18" l="1"/>
  <c r="F11" i="18" s="1"/>
  <c r="I11" i="21"/>
  <c r="H11" i="18"/>
  <c r="I11" i="18" s="1"/>
  <c r="C11" i="34"/>
  <c r="E11" i="34" s="1"/>
  <c r="F11" i="34" s="1"/>
  <c r="E11" i="1"/>
  <c r="F11" i="1" s="1"/>
  <c r="G11" i="34"/>
  <c r="I11" i="34" s="1"/>
  <c r="H10" i="18"/>
  <c r="I10" i="18" s="1"/>
  <c r="E10" i="18"/>
  <c r="F10" i="18" s="1"/>
  <c r="D10" i="34"/>
  <c r="I8" i="21"/>
  <c r="H9" i="29"/>
  <c r="I9" i="29" s="1"/>
  <c r="I9" i="18"/>
  <c r="G10" i="34"/>
  <c r="E9" i="18"/>
  <c r="F9" i="18" s="1"/>
  <c r="H9" i="34"/>
  <c r="I9" i="3"/>
  <c r="H9" i="1"/>
  <c r="H10" i="1"/>
  <c r="I9" i="1"/>
  <c r="G8" i="34"/>
  <c r="E10" i="1"/>
  <c r="C10" i="34"/>
  <c r="E9" i="1"/>
  <c r="I9" i="30"/>
  <c r="C9" i="34"/>
  <c r="G9" i="34"/>
  <c r="I9" i="34" s="1"/>
  <c r="D9" i="34"/>
  <c r="C2" i="3"/>
  <c r="H10" i="34" l="1"/>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E7" i="26"/>
  <c r="F7" i="26" s="1"/>
  <c r="H6" i="26"/>
  <c r="H6" i="29" s="1"/>
  <c r="F6" i="26"/>
  <c r="H5" i="26"/>
  <c r="E5" i="26"/>
  <c r="F5" i="26" s="1"/>
  <c r="H4" i="26"/>
  <c r="E4" i="26"/>
  <c r="F4" i="26" s="1"/>
  <c r="G2" i="26"/>
  <c r="D2" i="26"/>
  <c r="C2" i="26"/>
  <c r="A1" i="26" a="1"/>
  <c r="A1" i="26"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I8" i="32" l="1"/>
  <c r="H8" i="30"/>
  <c r="H7" i="29"/>
  <c r="I8" i="20"/>
  <c r="H8" i="18"/>
  <c r="I8" i="18" s="1"/>
  <c r="C7" i="34"/>
  <c r="H8" i="1"/>
  <c r="H7" i="34"/>
  <c r="I7" i="34" s="1"/>
  <c r="C6" i="34"/>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<sst xmlns="http://schemas.openxmlformats.org/spreadsheetml/2006/main" count="299" uniqueCount="95">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</sst>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
      <b/>
      <sz val="11"/>
      <name val="Calibri"/>
      <family val="2"/>
      <scheme val="minor"/>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87">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G16" sqref="G16"/>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Kendall Sustainable Infrastructure, LLC</v>
      </c>
      <c r="B1" s="84"/>
      <c r="C1" s="84"/>
      <c r="D1" s="85" t="s">
        <v>0</v>
      </c>
      <c r="E1" s="85"/>
      <c r="F1" s="85"/>
      <c r="G1" s="83" t="s">
        <v>1</v>
      </c>
      <c r="H1" s="83"/>
      <c r="I1" s="83"/>
    </row>
    <row r="2" spans="1:9" ht="19.5" customHeight="1">
      <c r="A2" s="86" t="s">
        <v>2</v>
      </c>
      <c r="B2" s="86"/>
      <c r="C2" s="5">
        <f>SUM(C4:C80)</f>
        <v>2470560.1999999993</v>
      </c>
      <c r="D2" s="5">
        <f>SUM(D4:D80)</f>
        <v>2220864.2420000001</v>
      </c>
      <c r="E2" s="5">
        <f>C2-D2</f>
        <v>249695.95799999917</v>
      </c>
      <c r="F2" s="6">
        <f>IFERROR(E2/D2, 0)</f>
        <v>0.11243188722563942</v>
      </c>
      <c r="G2" s="5">
        <f>SUM(G4:G80)</f>
        <v>2509259.7220000001</v>
      </c>
      <c r="H2" s="7">
        <f>C2-G2</f>
        <v>-38699.522000000812</v>
      </c>
      <c r="I2" s="6">
        <f>IFERROR(H2/G2, 0)</f>
        <v>-1.5422684890169696E-2</v>
      </c>
    </row>
    <row r="3" spans="1:9" ht="14.25" customHeight="1">
      <c r="A3" s="8" t="s">
        <v>3</v>
      </c>
      <c r="B3" s="8" t="s">
        <v>4</v>
      </c>
      <c r="C3" s="21" t="s">
        <v>5</v>
      </c>
      <c r="D3" s="33" t="s">
        <v>6</v>
      </c>
      <c r="E3" s="33" t="s">
        <v>7</v>
      </c>
      <c r="F3" s="34" t="s">
        <v>8</v>
      </c>
      <c r="G3" s="35" t="s">
        <v>9</v>
      </c>
      <c r="H3" s="36" t="s">
        <v>7</v>
      </c>
      <c r="I3" s="37" t="s">
        <v>8</v>
      </c>
    </row>
    <row r="4" spans="1:9" ht="15.6">
      <c r="A4" s="49" t="str" cm="1">
        <f t="array" ref="A4:A11">Sites[Site]</f>
        <v>Barre - 56 Bridge St</v>
      </c>
      <c r="B4" s="30" t="str" cm="1">
        <f t="array" ref="B4:B11">Sites[State]</f>
        <v>VT</v>
      </c>
      <c r="C4" s="22">
        <f>SUM('1st Qtr'!C4, '2nd Qtr'!C4, '3rd Qtr'!C4, '4th Qtr'!C4)</f>
        <v>159771.75</v>
      </c>
      <c r="D4" s="12">
        <f>SUM('1st Qtr'!D4, '2nd Qtr'!D4, '3rd Qtr'!D4, '4th Qtr'!D4)</f>
        <v>160874.76999999999</v>
      </c>
      <c r="E4" s="12">
        <f>IF(AND(ISNUMBER(C4),ISNUMBER(D4)), C4-D4, "")</f>
        <v>-1103.0199999999895</v>
      </c>
      <c r="F4" s="13">
        <f>IFERROR(E4/D4, "")</f>
        <v>-6.8563889788311096E-3</v>
      </c>
      <c r="G4" s="14">
        <f>SUM('1st Qtr'!G4, '2nd Qtr'!G4, '3rd Qtr'!G4, '4th Qtr'!G4)</f>
        <v>183441.24</v>
      </c>
      <c r="H4" s="14">
        <f>SUM('1st Qtr'!H4, '2nd Qtr'!H4, '3rd Qtr'!H4, '4th Qtr'!H4)</f>
        <v>-23669.490000000005</v>
      </c>
      <c r="I4" s="15">
        <f>IFERROR(H4/G4, "")</f>
        <v>-0.12903036416456848</v>
      </c>
    </row>
    <row r="5" spans="1:9" ht="15.6">
      <c r="A5" s="50" t="str">
        <v>Barre - 181 Allen St</v>
      </c>
      <c r="B5" s="28" t="str">
        <v>VT</v>
      </c>
      <c r="C5" s="16">
        <f>SUM('1st Qtr'!C5, '2nd Qtr'!C5, '3rd Qtr'!C5, '4th Qtr'!C5)</f>
        <v>157140</v>
      </c>
      <c r="D5" s="16">
        <f>SUM('1st Qtr'!D5, '2nd Qtr'!D5, '3rd Qtr'!D5, '4th Qtr'!D5)</f>
        <v>159393.47</v>
      </c>
      <c r="E5" s="16">
        <f t="shared" ref="E5:E10" si="0">IF(AND(ISNUMBER(C5),ISNUMBER(D5)), C5-D5, "")</f>
        <v>-2253.4700000000012</v>
      </c>
      <c r="F5" s="17">
        <f>IFERROR(E5/D5, "")</f>
        <v>-1.4137781177610357E-2</v>
      </c>
      <c r="G5" s="18">
        <f>SUM('1st Qtr'!G5, '2nd Qtr'!G5, '3rd Qtr'!G5, '4th Qtr'!G5)</f>
        <v>180573.5</v>
      </c>
      <c r="H5" s="18">
        <f>SUM(Jan!H5, Feb!H5, Mar!H5)</f>
        <v>0</v>
      </c>
      <c r="I5" s="17">
        <f>IFERROR(H5/G5, "")</f>
        <v>0</v>
      </c>
    </row>
    <row r="6" spans="1:9" ht="15.6">
      <c r="A6" s="51" t="str">
        <v>West Greenwich - 200 Robin Hollow Rd</v>
      </c>
      <c r="B6" s="26" t="str">
        <v>RI</v>
      </c>
      <c r="C6" s="22">
        <f>SUM('1st Qtr'!C6, '2nd Qtr'!C6, '3rd Qtr'!C6, '4th Qtr'!C6)</f>
        <v>993598.19999999902</v>
      </c>
      <c r="D6" s="12">
        <f>SUM('1st Qtr'!D6, '2nd Qtr'!D6, '3rd Qtr'!D6, '4th Qtr'!D6)</f>
        <v>1221838.1000000001</v>
      </c>
      <c r="E6" s="12">
        <f t="shared" si="0"/>
        <v>-228239.90000000107</v>
      </c>
      <c r="F6" s="13">
        <f t="shared" ref="F6:F10" si="1">IFERROR(E6/D6, "")</f>
        <v>-0.18680044434692375</v>
      </c>
      <c r="G6" s="14">
        <f>SUM('1st Qtr'!G6, '2nd Qtr'!G6, '3rd Qtr'!G6, '4th Qtr'!G6)</f>
        <v>1368197.5</v>
      </c>
      <c r="H6" s="14">
        <f>SUM('1st Qtr'!H6, '2nd Qtr'!H6, '3rd Qtr'!H6, '4th Qtr'!H6)</f>
        <v>-374599.30000000098</v>
      </c>
      <c r="I6" s="15">
        <f t="shared" ref="I6:I10" si="2">IFERROR(H6/G6, "")</f>
        <v>-0.27379037017682095</v>
      </c>
    </row>
    <row r="7" spans="1:9" ht="15.6">
      <c r="A7" s="50" t="str">
        <v>Rockingham - 25 Jackson Rd</v>
      </c>
      <c r="B7" s="28" t="str">
        <v>VT</v>
      </c>
      <c r="C7" s="16">
        <f>SUM('1st Qtr'!C7, '2nd Qtr'!C7, '3rd Qtr'!C7, '4th Qtr'!C7)</f>
        <v>139768</v>
      </c>
      <c r="D7" s="16">
        <f>SUM('1st Qtr'!D7, '2nd Qtr'!D7, '3rd Qtr'!D7, '4th Qtr'!D7)</f>
        <v>180392</v>
      </c>
      <c r="E7" s="16">
        <f t="shared" si="0"/>
        <v>-40624</v>
      </c>
      <c r="F7" s="17">
        <f t="shared" si="1"/>
        <v>-0.22519845669431016</v>
      </c>
      <c r="G7" s="18">
        <f>SUM('1st Qtr'!G7, '2nd Qtr'!G7, '3rd Qtr'!G7, '4th Qtr'!G7)</f>
        <v>166285.18800000002</v>
      </c>
      <c r="H7" s="18">
        <f>SUM(Jan!H7, Feb!H7, Mar!H7)</f>
        <v>0</v>
      </c>
      <c r="I7" s="17">
        <f t="shared" si="2"/>
        <v>0</v>
      </c>
    </row>
    <row r="8" spans="1:9" ht="15.6">
      <c r="A8" s="51" t="str">
        <v>East Hardwick - 55 Arsene Ave</v>
      </c>
      <c r="B8" s="26" t="str">
        <v>VT</v>
      </c>
      <c r="C8" s="22">
        <f>SUM('1st Qtr'!C8, '2nd Qtr'!C8, '3rd Qtr'!C8, '4th Qtr'!C8)</f>
        <v>141349</v>
      </c>
      <c r="D8" s="12">
        <f>SUM('1st Qtr'!D8, '2nd Qtr'!D8, '3rd Qtr'!D8, '4th Qtr'!D8)</f>
        <v>178490.03200000001</v>
      </c>
      <c r="E8" s="12">
        <f t="shared" si="0"/>
        <v>-37141.032000000007</v>
      </c>
      <c r="F8" s="13">
        <f t="shared" si="1"/>
        <v>-0.20808462850183143</v>
      </c>
      <c r="G8" s="14">
        <f>SUM('1st Qtr'!G8, '2nd Qtr'!G8, '3rd Qtr'!G8, '4th Qtr'!G8)</f>
        <v>149353.905</v>
      </c>
      <c r="H8" s="14">
        <f>SUM('1st Qtr'!H8, '2nd Qtr'!H8, '3rd Qtr'!H8, '4th Qtr'!H8)</f>
        <v>-8004.9049999999988</v>
      </c>
      <c r="I8" s="15">
        <f t="shared" si="2"/>
        <v>-5.3596891222897715E-2</v>
      </c>
    </row>
    <row r="9" spans="1:9" ht="15.6">
      <c r="A9" s="50" t="str">
        <v>Red Hook - 44 MM Ham Memorial Firehouse Ln</v>
      </c>
      <c r="B9" s="28" t="str">
        <v>NY</v>
      </c>
      <c r="C9" s="16">
        <f>SUM('1st Qtr'!C9, '2nd Qtr'!C9, '3rd Qtr'!C9, '4th Qtr'!C9)</f>
        <v>554815</v>
      </c>
      <c r="D9" s="16">
        <f>SUM('1st Qtr'!D9, '2nd Qtr'!D9, '3rd Qtr'!D9, '4th Qtr'!D9)</f>
        <v>0</v>
      </c>
      <c r="E9" s="16">
        <f t="shared" si="0"/>
        <v>554815</v>
      </c>
      <c r="F9" s="17" t="str">
        <f t="shared" si="1"/>
        <v/>
      </c>
      <c r="G9" s="18">
        <f>SUM('1st Qtr'!G9, '2nd Qtr'!G9, '3rd Qtr'!G9, '4th Qtr'!G9)</f>
        <v>270344.799</v>
      </c>
      <c r="H9" s="18">
        <f>SUM(Jan!H9, Feb!H9, Mar!H9)</f>
        <v>0</v>
      </c>
      <c r="I9" s="17">
        <f t="shared" si="2"/>
        <v>0</v>
      </c>
    </row>
    <row r="10" spans="1:9" ht="15.6">
      <c r="A10" s="51" t="str">
        <v>Millbrook - Bacon Triangle (Cary Institute)</v>
      </c>
      <c r="B10" s="26" t="str">
        <v>NY</v>
      </c>
      <c r="C10" s="22">
        <f>SUM('1st Qtr'!C10, '2nd Qtr'!C10, '3rd Qtr'!C10, '4th Qtr'!C10)</f>
        <v>161104</v>
      </c>
      <c r="D10" s="12">
        <f>SUM('1st Qtr'!D10, '2nd Qtr'!D10, '3rd Qtr'!D10, '4th Qtr'!D10)</f>
        <v>157866.84</v>
      </c>
      <c r="E10" s="12">
        <f t="shared" si="0"/>
        <v>3237.1600000000035</v>
      </c>
      <c r="F10" s="13">
        <f t="shared" si="1"/>
        <v>2.0505636269149388E-2</v>
      </c>
      <c r="G10" s="14">
        <f>SUM('1st Qtr'!G10, '2nd Qtr'!G10, '3rd Qtr'!G10, '4th Qtr'!G10)</f>
        <v>0</v>
      </c>
      <c r="H10" s="14">
        <f>SUM('1st Qtr'!H10, '2nd Qtr'!H10, '3rd Qtr'!H10, '4th Qtr'!H10)</f>
        <v>161104</v>
      </c>
      <c r="I10" s="15" t="str">
        <f t="shared" si="2"/>
        <v/>
      </c>
    </row>
    <row r="11" spans="1:9" ht="15.6">
      <c r="A11" s="50" t="str">
        <v>Rockingham - 2029 Rockingham Rd</v>
      </c>
      <c r="B11" s="28" t="str">
        <v>VT</v>
      </c>
      <c r="C11" s="16">
        <f>SUM('1st Qtr'!C11, '2nd Qtr'!C11, '3rd Qtr'!C11, '4th Qtr'!C11)</f>
        <v>163014.25</v>
      </c>
      <c r="D11" s="16">
        <f>SUM('1st Qtr'!D11, '2nd Qtr'!D11, '3rd Qtr'!D11, '4th Qtr'!D11)</f>
        <v>162009.03</v>
      </c>
      <c r="E11" s="16">
        <f>IF(AND(ISNUMBER(C11),ISNUMBER(D11)), C11-D11, "")</f>
        <v>1005.2200000000012</v>
      </c>
      <c r="F11" s="72">
        <f>IFERROR(E11/D11, "")</f>
        <v>6.2047158729362254E-3</v>
      </c>
      <c r="G11" s="73">
        <f>SUM('1st Qtr'!G11, '2nd Qtr'!G11, '3rd Qtr'!G11, '4th Qtr'!G11)</f>
        <v>191063.59</v>
      </c>
      <c r="H11" s="73">
        <f>SUM(Jan!H11, Feb!H11, Mar!H11)</f>
        <v>0</v>
      </c>
      <c r="I11" s="72">
        <f>IFERROR(H11/G11, "")</f>
        <v>0</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0" sqref="H10"/>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Kendall Sustainable Infrastructure, LLC</v>
      </c>
      <c r="B1" s="84"/>
      <c r="C1" s="84"/>
      <c r="D1" s="85" t="s">
        <v>10</v>
      </c>
      <c r="E1" s="85"/>
      <c r="F1" s="85"/>
      <c r="G1" s="83" t="s">
        <v>11</v>
      </c>
      <c r="H1" s="83"/>
      <c r="I1" s="83"/>
    </row>
    <row r="2" spans="1:9" ht="19.5" customHeight="1">
      <c r="A2" s="86" t="s">
        <v>2</v>
      </c>
      <c r="B2" s="8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I17" sqref="I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Kendall Sustainable Infrastructure, LLC</v>
      </c>
      <c r="B1" s="84"/>
      <c r="C1" s="84"/>
      <c r="D1" s="85" t="s">
        <v>12</v>
      </c>
      <c r="E1" s="85"/>
      <c r="F1" s="85"/>
      <c r="G1" s="83" t="s">
        <v>13</v>
      </c>
      <c r="H1" s="83"/>
      <c r="I1" s="83"/>
    </row>
    <row r="2" spans="1:9" ht="19.5" customHeight="1">
      <c r="A2" s="86" t="s">
        <v>2</v>
      </c>
      <c r="B2" s="86"/>
      <c r="C2" s="5">
        <f>SUM(C4:C80)</f>
        <v>2470560.1999999993</v>
      </c>
      <c r="D2" s="5">
        <f>SUM(D4:D80)</f>
        <v>2220864.2420000001</v>
      </c>
      <c r="E2" s="5">
        <f>C2-D2</f>
        <v>249695.95799999917</v>
      </c>
      <c r="F2" s="6">
        <f>IFERROR(E2/D2, 0)</f>
        <v>0.11243188722563942</v>
      </c>
      <c r="G2" s="5">
        <f>SUM(G4:G80)</f>
        <v>2509259.7220000001</v>
      </c>
      <c r="H2" s="7">
        <f>C2-G2</f>
        <v>-38699.522000000812</v>
      </c>
      <c r="I2" s="6">
        <f>IFERROR(H2/G2, 0)</f>
        <v>-1.5422684890169696E-2</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SUM(Apr!C4, May!C4, Jun!C4)</f>
        <v>159771.75</v>
      </c>
      <c r="D4" s="12">
        <f>SUM(Apr!D4, May!D4, Jun!D4)</f>
        <v>160874.76999999999</v>
      </c>
      <c r="E4" s="12">
        <f>IF(AND(ISNUMBER(C4),ISNUMBER(D4)), C4-D4, "")</f>
        <v>-1103.0199999999895</v>
      </c>
      <c r="F4" s="13">
        <f>IFERROR(E4/D4, "")</f>
        <v>-6.8563889788311096E-3</v>
      </c>
      <c r="G4" s="14">
        <f>SUM(Apr!G4+May!G4+Jun!G4)</f>
        <v>183441.24</v>
      </c>
      <c r="H4" s="14">
        <f>SUM(Apr!H4, May!H4, Jun!H4)</f>
        <v>-23669.490000000005</v>
      </c>
      <c r="I4" s="15">
        <f>IFERROR(H4/G4, "")</f>
        <v>-0.12903036416456848</v>
      </c>
    </row>
    <row r="5" spans="1:9" ht="15.6">
      <c r="A5" s="47" t="str">
        <v>Barre - 181 Allen St</v>
      </c>
      <c r="B5" s="10" t="str">
        <v>VT</v>
      </c>
      <c r="C5" s="11">
        <f>SUM(Apr!C5, May!C5, Jun!C5)</f>
        <v>157140</v>
      </c>
      <c r="D5" s="16">
        <f>SUM(Apr!D5, May!D5, Jun!D5)</f>
        <v>159393.47</v>
      </c>
      <c r="E5" s="16">
        <f t="shared" ref="E5:E10" si="0">IF(AND(ISNUMBER(C5),ISNUMBER(D5)), C5-D5, "")</f>
        <v>-2253.4700000000012</v>
      </c>
      <c r="F5" s="17">
        <f>IFERROR(E5/D5, "")</f>
        <v>-1.4137781177610357E-2</v>
      </c>
      <c r="G5" s="18">
        <f>SUM(Apr!G5+May!G5+Jun!G5)</f>
        <v>180573.5</v>
      </c>
      <c r="H5" s="18">
        <f>SUM(Apr!H5, May!H5, Jun!H5)</f>
        <v>-23433.5</v>
      </c>
      <c r="I5" s="17">
        <f>IFERROR(H5/G5, "")</f>
        <v>-0.12977264105751951</v>
      </c>
    </row>
    <row r="6" spans="1:9" ht="15.6">
      <c r="A6" s="46" t="str">
        <v>West Greenwich - 200 Robin Hollow Rd</v>
      </c>
      <c r="B6" s="9" t="str">
        <v>RI</v>
      </c>
      <c r="C6" s="22">
        <f>SUM(Apr!C6, May!C6, Jun!C6)</f>
        <v>993598.19999999902</v>
      </c>
      <c r="D6" s="12">
        <f>SUM(Apr!D6, May!D6, Jun!D6)</f>
        <v>1221838.1000000001</v>
      </c>
      <c r="E6" s="12">
        <f t="shared" si="0"/>
        <v>-228239.90000000107</v>
      </c>
      <c r="F6" s="13">
        <f t="shared" ref="F6:F8" si="1">IFERROR(E6/D6, "")</f>
        <v>-0.18680044434692375</v>
      </c>
      <c r="G6" s="14">
        <f>SUM(Apr!G6+May!G6+Jun!G6)</f>
        <v>1368197.5</v>
      </c>
      <c r="H6" s="14">
        <f>SUM(Apr!H6, May!H6, Jun!H6)</f>
        <v>-374599.30000000098</v>
      </c>
      <c r="I6" s="15">
        <f t="shared" ref="I6:I9" si="2">IFERROR(H6/G6, "")</f>
        <v>-0.27379037017682095</v>
      </c>
    </row>
    <row r="7" spans="1:9" ht="15.6">
      <c r="A7" s="47" t="str">
        <v>Rockingham - 25 Jackson Rd</v>
      </c>
      <c r="B7" s="10" t="str">
        <v>VT</v>
      </c>
      <c r="C7" s="11">
        <f>SUM(Apr!C7, May!C7, Jun!C7)</f>
        <v>139768</v>
      </c>
      <c r="D7" s="16">
        <f>SUM(Apr!D7, May!D7, Jun!D7)</f>
        <v>180392</v>
      </c>
      <c r="E7" s="16">
        <f t="shared" si="0"/>
        <v>-40624</v>
      </c>
      <c r="F7" s="17">
        <f t="shared" si="1"/>
        <v>-0.22519845669431016</v>
      </c>
      <c r="G7" s="18">
        <f>SUM(Apr!G7+May!G7+Jun!G7)</f>
        <v>166285.18800000002</v>
      </c>
      <c r="H7" s="18">
        <f>SUM(Apr!H7, May!H7, Jun!H7)</f>
        <v>-26517.188000000009</v>
      </c>
      <c r="I7" s="17">
        <f t="shared" si="2"/>
        <v>-0.15946813013796518</v>
      </c>
    </row>
    <row r="8" spans="1:9" ht="15.6">
      <c r="A8" s="46" t="str">
        <v>East Hardwick - 55 Arsene Ave</v>
      </c>
      <c r="B8" s="9" t="str">
        <v>VT</v>
      </c>
      <c r="C8" s="22">
        <f>SUM(Apr!C8, May!C8, Jun!C8)</f>
        <v>141349</v>
      </c>
      <c r="D8" s="12">
        <f>SUM(Apr!D8, May!D8, Jun!D8)</f>
        <v>178490.03200000001</v>
      </c>
      <c r="E8" s="12">
        <f t="shared" si="0"/>
        <v>-37141.032000000007</v>
      </c>
      <c r="F8" s="13">
        <f t="shared" si="1"/>
        <v>-0.20808462850183143</v>
      </c>
      <c r="G8" s="14">
        <f>SUM(Apr!G8+May!G8+Jun!G8)</f>
        <v>149353.905</v>
      </c>
      <c r="H8" s="14">
        <f>SUM(Apr!H8, May!H8, Jun!H8)</f>
        <v>-8004.9049999999988</v>
      </c>
      <c r="I8" s="15">
        <f>IFERROR(H8/G8, "")</f>
        <v>-5.3596891222897715E-2</v>
      </c>
    </row>
    <row r="9" spans="1:9" ht="15.6">
      <c r="A9" s="47" t="str">
        <v>Red Hook - 44 MM Ham Memorial Firehouse Ln</v>
      </c>
      <c r="B9" s="10" t="str">
        <v>NY</v>
      </c>
      <c r="C9" s="11">
        <f>SUM(Apr!C9, May!C9, Jun!C9)</f>
        <v>554815</v>
      </c>
      <c r="D9" s="16">
        <f>SUM(Apr!D9, May!D9, Jun!D9)</f>
        <v>0</v>
      </c>
      <c r="E9" s="16">
        <f t="shared" si="0"/>
        <v>554815</v>
      </c>
      <c r="F9" s="17" t="str">
        <f>IFERROR(E9/D9, "")</f>
        <v/>
      </c>
      <c r="G9" s="18">
        <f>SUM(Apr!G9+May!G9+Jun!G9)</f>
        <v>270344.799</v>
      </c>
      <c r="H9" s="18">
        <f>SUM(Apr!H9, May!H9, Jun!H9)</f>
        <v>284470.201</v>
      </c>
      <c r="I9" s="17">
        <f t="shared" si="2"/>
        <v>1.0522495792493496</v>
      </c>
    </row>
    <row r="10" spans="1:9" ht="15.6">
      <c r="A10" s="46" t="str">
        <v>Millbrook - Bacon Triangle (Cary Institute)</v>
      </c>
      <c r="B10" s="9" t="str">
        <v>NY</v>
      </c>
      <c r="C10" s="22">
        <f>SUM(Apr!C10, May!C10, Jun!C10)</f>
        <v>161104</v>
      </c>
      <c r="D10" s="12">
        <f>SUM(Apr!D10, May!D10, Jun!D10)</f>
        <v>157866.84</v>
      </c>
      <c r="E10" s="12">
        <f t="shared" si="0"/>
        <v>3237.1600000000035</v>
      </c>
      <c r="F10" s="13">
        <f>IFERROR(E10/D10, "")</f>
        <v>2.0505636269149388E-2</v>
      </c>
      <c r="G10" s="14">
        <f>SUM(Apr!G10+May!G10+Jun!G10)</f>
        <v>0</v>
      </c>
      <c r="H10" s="14">
        <f>SUM(Apr!H10, May!H10, Jun!H10)</f>
        <v>161104</v>
      </c>
      <c r="I10" s="15" t="str">
        <f>IFERROR(H10/G10, "")</f>
        <v/>
      </c>
    </row>
    <row r="11" spans="1:9" ht="15.6">
      <c r="A11" s="47" t="str">
        <v>Rockingham - 2029 Rockingham Rd</v>
      </c>
      <c r="B11" s="10" t="str">
        <v>VT</v>
      </c>
      <c r="C11" s="71">
        <f>SUM(Apr!C11, May!C11, Jun!C11)</f>
        <v>163014.25</v>
      </c>
      <c r="D11" s="16">
        <f>SUM(Apr!D11, May!D11, Jun!D11)</f>
        <v>162009.03</v>
      </c>
      <c r="E11" s="16">
        <f>IF(AND(ISNUMBER(C11),ISNUMBER(D11)), C11-D11, "")</f>
        <v>1005.2200000000012</v>
      </c>
      <c r="F11" s="72">
        <f>IFERROR(E11/D11, "")</f>
        <v>6.2047158729362254E-3</v>
      </c>
      <c r="G11" s="73">
        <f>SUM(Apr!G11+May!G11+Jun!G11)</f>
        <v>191063.59</v>
      </c>
      <c r="H11" s="73">
        <f>SUM(Apr!H11, May!H11, Jun!H11)</f>
        <v>-28049.339999999997</v>
      </c>
      <c r="I11" s="72">
        <f>IFERROR(H11/G11, "")</f>
        <v>-0.14680630673798184</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7" sqref="H7:H10"/>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Kendall Sustainable Infrastructure, LLC</v>
      </c>
      <c r="B1" s="84"/>
      <c r="C1" s="84"/>
      <c r="D1" s="85" t="s">
        <v>14</v>
      </c>
      <c r="E1" s="85"/>
      <c r="F1" s="85"/>
      <c r="G1" s="83" t="s">
        <v>15</v>
      </c>
      <c r="H1" s="83"/>
      <c r="I1" s="83"/>
    </row>
    <row r="2" spans="1:9" ht="19.5" customHeight="1">
      <c r="A2" s="86" t="s">
        <v>2</v>
      </c>
      <c r="B2" s="86"/>
      <c r="C2" s="5">
        <f>SUM(C4:C79)</f>
        <v>0</v>
      </c>
      <c r="D2" s="5">
        <f>SUM(D4:D79)</f>
        <v>0</v>
      </c>
      <c r="E2" s="5">
        <f>C2-D2</f>
        <v>0</v>
      </c>
      <c r="F2" s="6">
        <f>IFERROR(E2/D2, 0)</f>
        <v>0</v>
      </c>
      <c r="G2" s="5">
        <f>SUM(G4:G79)</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SUM(Jul!C4, Aug!C4, Sep!C4)</f>
        <v>0</v>
      </c>
      <c r="D4" s="12">
        <f>SUM(Jul!D4, Aug!D4, Sep!D4)</f>
        <v>0</v>
      </c>
      <c r="E4" s="12">
        <f>IF(AND(ISNUMBER(C4),ISNUMBER(D4)), C4-D4, "")</f>
        <v>0</v>
      </c>
      <c r="F4" s="13" t="str">
        <f>IFERROR(E4/D4, "")</f>
        <v/>
      </c>
      <c r="G4" s="14">
        <f>SUM(Jul!G4,Aug!G4,Sep!G4)</f>
        <v>0</v>
      </c>
      <c r="H4" s="14">
        <f>SUM(Jul!H4, Aug!H4, Sep!H4)</f>
        <v>0</v>
      </c>
      <c r="I4" s="15" t="str">
        <f t="shared" ref="I4:I9" si="0">IFERROR(H4/G4, "")</f>
        <v/>
      </c>
    </row>
    <row r="5" spans="1:9" ht="15.6">
      <c r="A5" s="47" t="str">
        <v>Barre - 181 Allen St</v>
      </c>
      <c r="B5" s="10" t="str">
        <v>VT</v>
      </c>
      <c r="C5" s="11">
        <f>SUM(Jul!C5, Aug!C5, Sep!C5)</f>
        <v>0</v>
      </c>
      <c r="D5" s="16">
        <f>SUM(Jul!D5, Aug!D5, Sep!D5)</f>
        <v>0</v>
      </c>
      <c r="E5" s="16">
        <f t="shared" ref="E5:E10" si="1">IF(AND(ISNUMBER(C5),ISNUMBER(D5)), C5-D5, "")</f>
        <v>0</v>
      </c>
      <c r="F5" s="17" t="str">
        <f>IFERROR(E5/D5, "")</f>
        <v/>
      </c>
      <c r="G5" s="16">
        <f>SUM(Jul!G5,Aug!G5,Sep!G5)</f>
        <v>0</v>
      </c>
      <c r="H5" s="18">
        <f>SUM(Jul!H5, Aug!H5, Sep!H5)</f>
        <v>0</v>
      </c>
      <c r="I5" s="17" t="str">
        <f t="shared" si="0"/>
        <v/>
      </c>
    </row>
    <row r="6" spans="1:9" ht="15.6">
      <c r="A6" s="46" t="str">
        <v>West Greenwich - 200 Robin Hollow Rd</v>
      </c>
      <c r="B6" s="9" t="str">
        <v>RI</v>
      </c>
      <c r="C6" s="22">
        <f>SUM(Jul!C6, Aug!C6, Sep!C6)</f>
        <v>0</v>
      </c>
      <c r="D6" s="12">
        <f>SUM(Jul!D6, Aug!D6, Sep!D6)</f>
        <v>0</v>
      </c>
      <c r="E6" s="12">
        <f t="shared" si="1"/>
        <v>0</v>
      </c>
      <c r="F6" s="13" t="str">
        <f t="shared" ref="F6:F10" si="2">IFERROR(E6/D6, "")</f>
        <v/>
      </c>
      <c r="G6" s="14">
        <f>SUM(Jul!G6,Aug!G6,Sep!G6)</f>
        <v>0</v>
      </c>
      <c r="H6" s="14">
        <f>SUM(Jul!H6, Aug!H6, Sep!H6)</f>
        <v>0</v>
      </c>
      <c r="I6" s="15" t="str">
        <f t="shared" si="0"/>
        <v/>
      </c>
    </row>
    <row r="7" spans="1:9" ht="15.6">
      <c r="A7" s="47" t="str">
        <v>Rockingham - 25 Jackson Rd</v>
      </c>
      <c r="B7" s="10" t="str">
        <v>VT</v>
      </c>
      <c r="C7" s="11">
        <f>SUM(Jul!C7, Aug!C7, Sep!C7)</f>
        <v>0</v>
      </c>
      <c r="D7" s="16">
        <f>SUM(Jul!D7, Aug!D7, Sep!D7)</f>
        <v>0</v>
      </c>
      <c r="E7" s="16">
        <f t="shared" si="1"/>
        <v>0</v>
      </c>
      <c r="F7" s="17" t="str">
        <f t="shared" si="2"/>
        <v/>
      </c>
      <c r="G7" s="16">
        <f>SUM(Jul!G7,Aug!G7,Sep!G7)</f>
        <v>0</v>
      </c>
      <c r="H7" s="18">
        <f>SUM(Jul!H7, Aug!H7, Sep!H7)</f>
        <v>0</v>
      </c>
      <c r="I7" s="17" t="str">
        <f t="shared" si="0"/>
        <v/>
      </c>
    </row>
    <row r="8" spans="1:9" ht="15.6">
      <c r="A8" s="46" t="str">
        <v>East Hardwick - 55 Arsene Ave</v>
      </c>
      <c r="B8" s="9" t="str">
        <v>VT</v>
      </c>
      <c r="C8" s="22">
        <f>SUM(Jul!C8, Aug!C8, Sep!C8)</f>
        <v>0</v>
      </c>
      <c r="D8" s="12">
        <f>SUM(Jul!D8, Aug!D8, Sep!D8)</f>
        <v>0</v>
      </c>
      <c r="E8" s="12">
        <f t="shared" si="1"/>
        <v>0</v>
      </c>
      <c r="F8" s="13" t="str">
        <f t="shared" si="2"/>
        <v/>
      </c>
      <c r="G8" s="14">
        <f>SUM(Jul!G8,Aug!G8,Sep!G8)</f>
        <v>0</v>
      </c>
      <c r="H8" s="14">
        <f>SUM(Jul!H8, Aug!H8, Sep!H8)</f>
        <v>0</v>
      </c>
      <c r="I8" s="15" t="str">
        <f t="shared" si="0"/>
        <v/>
      </c>
    </row>
    <row r="9" spans="1:9" ht="15.6">
      <c r="A9" s="47" t="str">
        <v>Red Hook - 44 MM Ham Memorial Firehouse Ln</v>
      </c>
      <c r="B9" s="10" t="str">
        <v>NY</v>
      </c>
      <c r="C9" s="11">
        <f>SUM(Jul!C9, Aug!C9, Sep!C9)</f>
        <v>0</v>
      </c>
      <c r="D9" s="16">
        <f>SUM(Jul!D9, Aug!D9, Sep!D9)</f>
        <v>0</v>
      </c>
      <c r="E9" s="16">
        <f t="shared" si="1"/>
        <v>0</v>
      </c>
      <c r="F9" s="17" t="str">
        <f t="shared" si="2"/>
        <v/>
      </c>
      <c r="G9" s="16">
        <f>SUM(Jul!G9,Aug!G9,Sep!G9)</f>
        <v>0</v>
      </c>
      <c r="H9" s="18">
        <f>SUM(Jul!H9, Aug!H9, Sep!H9)</f>
        <v>0</v>
      </c>
      <c r="I9" s="17" t="str">
        <f t="shared" si="0"/>
        <v/>
      </c>
    </row>
    <row r="10" spans="1:9" ht="15.6">
      <c r="A10" s="46" t="str">
        <v>Millbrook - Bacon Triangle (Cary Institute)</v>
      </c>
      <c r="B10" s="9" t="str">
        <v>NY</v>
      </c>
      <c r="C10" s="22">
        <f>SUM(Jul!C10, Aug!C10, Sep!C10)</f>
        <v>0</v>
      </c>
      <c r="D10" s="12">
        <f>SUM(Jul!D10, Aug!D10, Sep!D10)</f>
        <v>0</v>
      </c>
      <c r="E10" s="16">
        <f t="shared" si="1"/>
        <v>0</v>
      </c>
      <c r="F10" s="13" t="str">
        <f t="shared" si="2"/>
        <v/>
      </c>
      <c r="G10" s="14">
        <f>SUM(Jul!G10,Aug!G10,Sep!G10)</f>
        <v>0</v>
      </c>
      <c r="H10" s="14">
        <f>SUM(Jul!H10, Aug!H10, Sep!H10)</f>
        <v>0</v>
      </c>
      <c r="I10" s="15"/>
    </row>
    <row r="11" spans="1:9" ht="13.9">
      <c r="A11" s="19" t="str">
        <v>Rockingham - 2029 Rockingham Rd</v>
      </c>
      <c r="B11" s="19" t="str">
        <v>VT</v>
      </c>
      <c r="C11" s="19"/>
      <c r="D11" s="19"/>
      <c r="E11" s="19"/>
      <c r="F11" s="19"/>
      <c r="G11" s="19"/>
      <c r="H11" s="19"/>
      <c r="I11" s="19"/>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4" t="str" cm="1">
        <f t="array" ref="A1">portfolio</f>
        <v>Kendall Sustainable Infrastructure, LLC</v>
      </c>
      <c r="B1" s="84"/>
      <c r="C1" s="84"/>
      <c r="D1" s="85" t="s">
        <v>16</v>
      </c>
      <c r="E1" s="85"/>
      <c r="F1" s="85"/>
      <c r="G1" s="83" t="s">
        <v>17</v>
      </c>
      <c r="H1" s="83"/>
      <c r="I1" s="83"/>
    </row>
    <row r="2" spans="1:9" ht="19.5" customHeight="1">
      <c r="A2" s="86" t="s">
        <v>2</v>
      </c>
      <c r="B2" s="86"/>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Barre - 181 Allen St</v>
      </c>
      <c r="B5" s="10" t="str">
        <v>VT</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West Greenwich - 200 Robin Hollow Rd</v>
      </c>
      <c r="B6" s="9" t="str">
        <v>RI</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Rockingham - 25 Jackson Rd</v>
      </c>
      <c r="B7" s="10" t="str">
        <v>VT</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East Hardwick - 55 Arsene Ave</v>
      </c>
      <c r="B8" s="9" t="str">
        <v>VT</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Red Hook - 44 MM Ham Memorial Firehouse Ln</v>
      </c>
      <c r="B9" s="10" t="str">
        <v>NY</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Millbrook - Bacon Triangle (Cary Institute)</v>
      </c>
      <c r="B10" s="9" t="str">
        <v>NY</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3.9">
      <c r="A11" s="19" t="str">
        <v>Rockingham - 2029 Rockingham Rd</v>
      </c>
      <c r="B11" s="19" t="str">
        <v>VT</v>
      </c>
      <c r="C11" s="19"/>
      <c r="D11" s="19"/>
      <c r="E11" s="19"/>
      <c r="F11" s="19"/>
      <c r="G11" s="19"/>
      <c r="H11" s="19"/>
      <c r="I11" s="19"/>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4" t="str" cm="1">
        <f t="array" ref="A1">portfolio</f>
        <v>Kendall Sustainable Infrastructure, LLC</v>
      </c>
      <c r="B1" s="84"/>
      <c r="C1" s="84"/>
      <c r="D1" s="85" t="s">
        <v>18</v>
      </c>
      <c r="E1" s="85"/>
      <c r="F1" s="85"/>
      <c r="G1" s="83" t="s">
        <v>19</v>
      </c>
      <c r="H1" s="83"/>
      <c r="I1" s="83"/>
      <c r="J1" s="4"/>
      <c r="K1" s="4"/>
    </row>
    <row r="2" spans="1:13" ht="19.5" customHeight="1">
      <c r="A2" s="86" t="s">
        <v>2</v>
      </c>
      <c r="B2" s="86"/>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4" t="str" cm="1">
        <f t="array" ref="A1">portfolio</f>
        <v>Kendall Sustainable Infrastructure, LLC</v>
      </c>
      <c r="B1" s="84"/>
      <c r="C1" s="84"/>
      <c r="D1" s="85" t="s">
        <v>22</v>
      </c>
      <c r="E1" s="85"/>
      <c r="F1" s="85"/>
      <c r="G1" s="83" t="s">
        <v>23</v>
      </c>
      <c r="H1" s="83"/>
      <c r="I1" s="83"/>
      <c r="J1" s="4"/>
      <c r="K1" s="4"/>
    </row>
    <row r="2" spans="1:14" ht="19.5" customHeight="1">
      <c r="A2" s="86" t="s">
        <v>2</v>
      </c>
      <c r="B2" s="86"/>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4" t="str" cm="1">
        <f t="array" ref="A1">portfolio</f>
        <v>Kendall Sustainable Infrastructure, LLC</v>
      </c>
      <c r="B1" s="84"/>
      <c r="C1" s="84"/>
      <c r="D1" s="85" t="s">
        <v>24</v>
      </c>
      <c r="E1" s="85"/>
      <c r="F1" s="85"/>
      <c r="G1" s="83" t="s">
        <v>25</v>
      </c>
      <c r="H1" s="83"/>
      <c r="I1" s="83"/>
      <c r="J1" s="4"/>
      <c r="K1" s="4"/>
    </row>
    <row r="2" spans="1:17" ht="19.5" customHeight="1">
      <c r="A2" s="86" t="s">
        <v>2</v>
      </c>
      <c r="B2" s="86"/>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C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4" t="str" cm="1">
        <f t="array" ref="A1">portfolio</f>
        <v>Kendall Sustainable Infrastructure, LLC</v>
      </c>
      <c r="B1" s="84"/>
      <c r="C1" s="84"/>
      <c r="D1" s="85" t="s">
        <v>26</v>
      </c>
      <c r="E1" s="85"/>
      <c r="F1" s="85"/>
      <c r="G1" s="83" t="s">
        <v>27</v>
      </c>
      <c r="H1" s="83"/>
      <c r="I1" s="83"/>
      <c r="J1" s="4"/>
      <c r="K1" s="4"/>
    </row>
    <row r="2" spans="1:15" ht="19.5" customHeight="1">
      <c r="A2" s="86" t="s">
        <v>2</v>
      </c>
      <c r="B2" s="86"/>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c r="B12" s="31"/>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tabSelected="1" workbookViewId="0">
      <pane xSplit="2" ySplit="3" topLeftCell="C7" activePane="bottomRight" state="frozen"/>
      <selection pane="bottomRight" activeCell="K23" sqref="K23"/>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84" t="str" cm="1">
        <f t="array" ref="A1">portfolio</f>
        <v>Kendall Sustainable Infrastructure, LLC</v>
      </c>
      <c r="B1" s="84"/>
      <c r="C1" s="84"/>
      <c r="D1" s="85" t="s">
        <v>39</v>
      </c>
      <c r="E1" s="85"/>
      <c r="F1" s="85"/>
      <c r="G1" s="83" t="s">
        <v>40</v>
      </c>
      <c r="H1" s="83"/>
      <c r="I1" s="83"/>
      <c r="J1" s="4"/>
      <c r="K1" s="78"/>
    </row>
    <row r="2" spans="1:14" ht="19.5" customHeight="1">
      <c r="A2" s="86" t="s">
        <v>2</v>
      </c>
      <c r="B2" s="86"/>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75">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75">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72">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75">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75">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Kendall Sustainable Infrastructure, LLC</v>
      </c>
      <c r="B1" s="84"/>
      <c r="C1" s="84"/>
      <c r="D1" s="85" t="s">
        <v>53</v>
      </c>
      <c r="E1" s="85"/>
      <c r="F1" s="85"/>
      <c r="G1" s="83" t="s">
        <v>54</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 t="shared" si="0"/>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34.9" customHeight="1">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34.9" customHeight="1">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70" zoomScaleNormal="70" workbookViewId="0">
      <pane xSplit="2" ySplit="3" topLeftCell="E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s>
  <sheetData>
    <row r="1" spans="1:11" ht="19.5" customHeight="1">
      <c r="A1" s="84" t="str" cm="1">
        <f t="array" ref="A1">portfolio</f>
        <v>Kendall Sustainable Infrastructure, LLC</v>
      </c>
      <c r="B1" s="84"/>
      <c r="C1" s="84"/>
      <c r="D1" s="85" t="s">
        <v>55</v>
      </c>
      <c r="E1" s="85"/>
      <c r="F1" s="85"/>
      <c r="G1" s="83" t="s">
        <v>56</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IF(AND(ISNUMBER(C6),ISNUMBER(D6)), C6-D6, "")</f>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Kendall Sustainable Infrastructure, LLC</v>
      </c>
      <c r="B1" s="84"/>
      <c r="C1" s="84"/>
      <c r="D1" s="85" t="s">
        <v>57</v>
      </c>
      <c r="E1" s="85"/>
      <c r="F1" s="85"/>
      <c r="G1" s="83" t="s">
        <v>58</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 t="shared" si="0"/>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Kendall Sustainable Infrastructure, LLC</v>
      </c>
      <c r="B1" s="84"/>
      <c r="C1" s="84"/>
      <c r="D1" s="85" t="s">
        <v>59</v>
      </c>
      <c r="E1" s="85"/>
      <c r="F1" s="85"/>
      <c r="G1" s="83" t="s">
        <v>60</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Kendall Sustainable Infrastructure, LLC</v>
      </c>
      <c r="B1" s="84"/>
      <c r="C1" s="84"/>
      <c r="D1" s="85" t="s">
        <v>61</v>
      </c>
      <c r="E1" s="85"/>
      <c r="F1" s="85"/>
      <c r="G1" s="83" t="s">
        <v>62</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West Greenwich - 200 Robin Hollow Rd</v>
      </c>
      <c r="B6" s="27" t="str">
        <v>RI</v>
      </c>
      <c r="C6" s="22"/>
      <c r="D6" s="12"/>
      <c r="E6" s="12" t="str">
        <f>IF(AND(ISNUMBER(C6),ISNUMBER(D6)), C6-D6, "")</f>
        <v/>
      </c>
      <c r="F6" s="13" t="str">
        <f t="shared" ref="F6:F9" si="1">IFERROR(E6/D6, "")</f>
        <v/>
      </c>
      <c r="G6" s="14"/>
      <c r="H6" s="14"/>
      <c r="I6" s="15" t="str">
        <f t="shared" ref="I6" si="2">IFERROR(H6/G6, "")</f>
        <v/>
      </c>
      <c r="J6" s="39"/>
      <c r="K6" s="39"/>
    </row>
    <row r="7" spans="1:11" ht="15.6">
      <c r="A7" s="28" t="str">
        <v>Rockingham - 25 Jackson Rd</v>
      </c>
      <c r="B7" s="29" t="str">
        <v>VT</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East Hardwick - 55 Arsene Ave</v>
      </c>
      <c r="B8" s="27" t="str">
        <v>VT</v>
      </c>
      <c r="C8" s="22"/>
      <c r="D8" s="12"/>
      <c r="E8" s="12" t="str">
        <f t="shared" si="0"/>
        <v/>
      </c>
      <c r="F8" s="13" t="str">
        <f t="shared" si="1"/>
        <v/>
      </c>
      <c r="G8" s="14"/>
      <c r="H8" s="14"/>
      <c r="I8" s="15" t="str">
        <f t="shared" ref="I8" si="5">IFERROR(H8/G8, "")</f>
        <v/>
      </c>
      <c r="J8" s="39"/>
      <c r="K8" s="39"/>
    </row>
    <row r="9" spans="1:11" ht="15.6">
      <c r="A9" s="28" t="str">
        <v>Red Hook - 44 MM Ham Memorial Firehouse Ln</v>
      </c>
      <c r="B9" s="29" t="str">
        <v>NY</v>
      </c>
      <c r="C9" s="11"/>
      <c r="D9" s="16"/>
      <c r="E9" s="16" t="str">
        <f t="shared" si="0"/>
        <v/>
      </c>
      <c r="F9" s="17" t="str">
        <f t="shared" si="1"/>
        <v/>
      </c>
      <c r="G9" s="18"/>
      <c r="H9" s="18" t="str">
        <f t="shared" si="3"/>
        <v/>
      </c>
      <c r="I9" s="17" t="str">
        <f>IFERROR(H9/G9, "")</f>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4" t="str" cm="1">
        <f t="array" ref="A1">portfolio</f>
        <v>Kendall Sustainable Infrastructure, LLC</v>
      </c>
      <c r="B1" s="84"/>
      <c r="C1" s="84"/>
      <c r="D1" s="85" t="s">
        <v>63</v>
      </c>
      <c r="E1" s="85"/>
      <c r="F1" s="85"/>
      <c r="G1" s="83" t="s">
        <v>64</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4" t="str" cm="1">
        <f t="array" ref="A1">portfolio</f>
        <v>Kendall Sustainable Infrastructure, LLC</v>
      </c>
      <c r="B1" s="84"/>
      <c r="C1" s="84"/>
      <c r="D1" s="85" t="s">
        <v>65</v>
      </c>
      <c r="E1" s="85"/>
      <c r="F1" s="85"/>
      <c r="G1" s="83" t="s">
        <v>66</v>
      </c>
      <c r="H1" s="83"/>
      <c r="I1" s="83"/>
      <c r="J1" s="4"/>
      <c r="K1" s="4"/>
    </row>
    <row r="2" spans="1:11" ht="19.5" customHeight="1">
      <c r="A2" s="86" t="s">
        <v>2</v>
      </c>
      <c r="B2" s="86"/>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B7" sqref="B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67</v>
      </c>
      <c r="B1" t="s">
        <v>68</v>
      </c>
    </row>
    <row r="3" spans="1:12" ht="13.15">
      <c r="A3" t="s">
        <v>69</v>
      </c>
      <c r="B3" t="s">
        <v>3</v>
      </c>
      <c r="C3" t="s">
        <v>4</v>
      </c>
      <c r="D3" t="s">
        <v>70</v>
      </c>
      <c r="E3" s="2" t="s">
        <v>71</v>
      </c>
    </row>
    <row r="4" spans="1:12" ht="14.45">
      <c r="A4" s="48" t="s">
        <v>72</v>
      </c>
      <c r="B4" t="s">
        <v>73</v>
      </c>
      <c r="C4" s="45" t="s">
        <v>74</v>
      </c>
      <c r="D4" s="44" t="s">
        <v>75</v>
      </c>
      <c r="E4" t="s">
        <v>76</v>
      </c>
      <c r="G4" s="3"/>
    </row>
    <row r="5" spans="1:12" ht="14.45">
      <c r="A5" s="48" t="s">
        <v>77</v>
      </c>
      <c r="B5" t="s">
        <v>78</v>
      </c>
      <c r="C5" s="45" t="s">
        <v>74</v>
      </c>
      <c r="D5" s="44" t="s">
        <v>75</v>
      </c>
      <c r="E5" t="s">
        <v>76</v>
      </c>
      <c r="G5" s="3"/>
    </row>
    <row r="6" spans="1:12" ht="14.45">
      <c r="A6" s="48" t="s">
        <v>79</v>
      </c>
      <c r="B6" t="s">
        <v>80</v>
      </c>
      <c r="C6" s="45" t="s">
        <v>81</v>
      </c>
      <c r="D6" s="44" t="s">
        <v>75</v>
      </c>
      <c r="E6" t="s">
        <v>76</v>
      </c>
      <c r="G6" s="3"/>
    </row>
    <row r="7" spans="1:12" ht="12.75" customHeight="1">
      <c r="A7" s="48" t="s">
        <v>82</v>
      </c>
      <c r="B7" t="s">
        <v>83</v>
      </c>
      <c r="C7" s="45" t="s">
        <v>74</v>
      </c>
      <c r="D7" s="44"/>
      <c r="E7" t="s">
        <v>84</v>
      </c>
    </row>
    <row r="8" spans="1:12" ht="12.75" customHeight="1">
      <c r="A8" s="48" t="s">
        <v>85</v>
      </c>
      <c r="B8" t="s">
        <v>86</v>
      </c>
      <c r="C8" s="45" t="s">
        <v>74</v>
      </c>
      <c r="D8" s="44"/>
      <c r="E8" t="s">
        <v>84</v>
      </c>
    </row>
    <row r="9" spans="1:12" ht="12.75" customHeight="1">
      <c r="A9" s="54" t="s">
        <v>87</v>
      </c>
      <c r="B9" s="55" t="s">
        <v>88</v>
      </c>
      <c r="C9" s="45" t="s">
        <v>89</v>
      </c>
      <c r="D9" s="44"/>
      <c r="E9" t="s">
        <v>84</v>
      </c>
      <c r="K9" s="42"/>
      <c r="L9" s="42"/>
    </row>
    <row r="10" spans="1:12" ht="12.75" customHeight="1">
      <c r="A10" s="54" t="s">
        <v>90</v>
      </c>
      <c r="B10" s="55" t="s">
        <v>91</v>
      </c>
      <c r="C10" s="45" t="s">
        <v>89</v>
      </c>
      <c r="D10" s="44"/>
      <c r="E10" t="s">
        <v>92</v>
      </c>
      <c r="K10" s="42"/>
      <c r="L10" s="42"/>
    </row>
    <row r="11" spans="1:12" ht="12.75" customHeight="1">
      <c r="A11" s="54" t="s">
        <v>93</v>
      </c>
      <c r="B11" s="55" t="s">
        <v>94</v>
      </c>
      <c r="C11" s="45" t="s">
        <v>74</v>
      </c>
      <c r="D11" s="44" t="s">
        <v>75</v>
      </c>
      <c r="E11" t="s">
        <v>76</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F6B2B1A1-1C4B-4AC9-9A7D-7A102DD1C942}"/>
</file>

<file path=customXml/itemProps2.xml><?xml version="1.0" encoding="utf-8"?>
<ds:datastoreItem xmlns:ds="http://schemas.openxmlformats.org/officeDocument/2006/customXml" ds:itemID="{14966E4F-347B-477B-B74C-9DAC05405806}"/>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F12EFA50-0068-4A8C-85A0-F1B26389EBC3}"/>
</file>

<file path=customXml/itemProps6.xml><?xml version="1.0" encoding="utf-8"?>
<ds:datastoreItem xmlns:ds="http://schemas.openxmlformats.org/officeDocument/2006/customXml" ds:itemID="{D3A7101F-9A85-4235-8B03-415370C100B2}"/>
</file>

<file path=customXml/itemProps7.xml><?xml version="1.0" encoding="utf-8"?>
<ds:datastoreItem xmlns:ds="http://schemas.openxmlformats.org/officeDocument/2006/customXml" ds:itemID="{078388C9-06F9-42F4-B857-EF76B5CAF1FD}"/>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0389C43E-394D-44C0-87DC-4780FCFCFB40}"/>
</file>

<file path=customXml/itemProps12.xml><?xml version="1.0" encoding="utf-8"?>
<ds:datastoreItem xmlns:ds="http://schemas.openxmlformats.org/officeDocument/2006/customXml" ds:itemID="{BE26B669-A686-459C-A5E9-FEC3409C4C81}"/>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CB52044A-5C0B-44A2-99D0-C1C315EC302D}"/>
</file>

<file path=customXml/itemProps16.xml><?xml version="1.0" encoding="utf-8"?>
<ds:datastoreItem xmlns:ds="http://schemas.openxmlformats.org/officeDocument/2006/customXml" ds:itemID="{8D732231-4216-4543-A665-18A2886B0EB7}"/>
</file>

<file path=customXml/itemProps17.xml><?xml version="1.0" encoding="utf-8"?>
<ds:datastoreItem xmlns:ds="http://schemas.openxmlformats.org/officeDocument/2006/customXml" ds:itemID="{A0C1FFE0-2BC7-4984-811B-2CF2C5EA71E3}"/>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3AEAA9D8-2182-46BA-A58E-96C72DDA1C54}"/>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2025-06-20T17:22:03Z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