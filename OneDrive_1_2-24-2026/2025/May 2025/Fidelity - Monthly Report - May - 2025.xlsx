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4" documentId="13_ncr:1_{F579C3AF-3194-4662-ADE3-469501151CC3}" xr6:coauthVersionLast="47" xr6:coauthVersionMax="47" xr10:uidLastSave="{71A3B3F9-8A85-41FF-8B5C-D9E14612F014}"/>
  <bookViews>
    <workbookView xWindow="-98" yWindow="-98" windowWidth="21795" windowHeight="12975" tabRatio="713" activeTab="6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1" i="33" l="1"/>
  <c r="N101" i="33"/>
  <c r="M101" i="33"/>
  <c r="L101" i="33"/>
  <c r="J7" i="36"/>
  <c r="J13" i="12"/>
  <c r="J10" i="18"/>
  <c r="J10" i="12"/>
  <c r="F101" i="33"/>
  <c r="I101" i="33"/>
  <c r="J7" i="12"/>
  <c r="J13" i="18"/>
  <c r="M100" i="33"/>
  <c r="N100" i="33"/>
  <c r="L100" i="33"/>
  <c r="I100" i="33"/>
  <c r="F100" i="33"/>
  <c r="O100" i="33" l="1"/>
  <c r="J7" i="18" l="1"/>
  <c r="I99" i="33"/>
  <c r="I98" i="33"/>
  <c r="N98" i="33"/>
  <c r="N99" i="33"/>
  <c r="M98" i="33"/>
  <c r="O98" i="33" s="1"/>
  <c r="M99" i="33"/>
  <c r="L98" i="33"/>
  <c r="L99" i="33"/>
  <c r="K109" i="33"/>
  <c r="F98" i="33"/>
  <c r="F99" i="33"/>
  <c r="J13" i="36"/>
  <c r="J10" i="36"/>
  <c r="O99" i="33" l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J109" i="33"/>
  <c r="L109" i="33" s="1"/>
  <c r="H109" i="33"/>
  <c r="G109" i="33"/>
  <c r="E109" i="33"/>
  <c r="N109" i="33" s="1"/>
  <c r="D109" i="33"/>
  <c r="N97" i="33"/>
  <c r="M97" i="33"/>
  <c r="L97" i="33"/>
  <c r="I97" i="33"/>
  <c r="F97" i="33"/>
  <c r="K50" i="32"/>
  <c r="J14" i="36" s="1"/>
  <c r="J50" i="32"/>
  <c r="J14" i="18" s="1"/>
  <c r="I50" i="32"/>
  <c r="J14" i="12" s="1"/>
  <c r="I89" i="33"/>
  <c r="L89" i="33"/>
  <c r="F89" i="33"/>
  <c r="I88" i="33"/>
  <c r="J8" i="18"/>
  <c r="J6" i="18"/>
  <c r="G90" i="33" s="1"/>
  <c r="I90" i="33" s="1"/>
  <c r="L88" i="33"/>
  <c r="J8" i="36"/>
  <c r="J6" i="36"/>
  <c r="J90" i="33" s="1"/>
  <c r="L90" i="33" s="1"/>
  <c r="F88" i="33"/>
  <c r="J8" i="12"/>
  <c r="J6" i="12"/>
  <c r="D90" i="33" s="1"/>
  <c r="F90" i="33" s="1"/>
  <c r="I87" i="33"/>
  <c r="M109" i="33" l="1"/>
  <c r="O109" i="33" s="1"/>
  <c r="O97" i="33"/>
  <c r="I109" i="33"/>
  <c r="F109" i="33"/>
  <c r="L87" i="33"/>
  <c r="F87" i="33"/>
  <c r="L86" i="33"/>
  <c r="F86" i="33"/>
  <c r="I86" i="33"/>
  <c r="L84" i="33"/>
  <c r="L85" i="33"/>
  <c r="F84" i="33"/>
  <c r="F85" i="33"/>
  <c r="I84" i="33"/>
  <c r="I85" i="33"/>
  <c r="F50" i="32" l="1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<sst xmlns="http://schemas.openxmlformats.org/spreadsheetml/2006/main" count="552" uniqueCount="93">
  <si>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</si>
  <si>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</si>
  <si>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</si>
  <si>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</si>
  <si>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</si>
  <si>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</si>
  <si>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</si>
  <si>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</si>
  <si>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</si>
  <si>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</si>
  <si>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</si>
  <si>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</si>
  <si>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</si>
  <si>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</si>
  <si>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</si>
  <si>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</si>
  <si>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</si>
  <si>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</si>
  <si>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</si>
  <si>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</si>
  <si>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</si>
  <si>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</si>
  <si>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</si>
  <si>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</si>
  <si>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May' 2025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</si>
  <si>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</si>
  <si>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</si>
  <si>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</si>
  <si>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</si>
  <si>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</si>
  <si>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</si>
  <si>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</si>
  <si>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</si>
  <si>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</si>
  <si>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</si>
  <si>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Smithfield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</si>
  <si>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</si>
  <si>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</si>
  <si>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</si>
  <si>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</si>
  <si>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</si>
  <si>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</si>
  <si>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</si>
  <si>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</si>
  <si>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</si>
  <si>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</si>
  <si>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</si>
  <si>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</si>
  <si>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</si>
  <si>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</si>
  <si>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</si>
  <si>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</si>
  <si>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</si>
  <si>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</si>
  <si>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</si>
  <si>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</si>
  <si>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</si>
  <si>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</si>
  <si>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</si>
  <si>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</si>
  <si>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</si>
  <si>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</si>
  <si>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</si>
  <si>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</si>
  <si>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</si>
  <si>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</si>
  <si>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</si>
  <si>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2025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</si>
  <si>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</si>
  <si>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</si>
  <si>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</si>
  <si>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</si>
  <si>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</si>
  <si>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</si>
  <si>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</si>
  <si>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</si>
  <si>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</si>
  <si>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</si>
  <si>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</si>
  <si>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</si>
  <si>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</si>
  <si>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</si>
  <si>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</si>
  <si>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</si>
  <si>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</si>
  <si>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</si>
  <si>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</si>
  <si>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</si>
  <si>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</si>
  <si>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</si>
  <si>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</si>
  <si>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</si>
  <si>
    <t>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</si>
</sst>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Merrimack!$G$32:$G$62</c:f>
              <c:numCache>
                <c:formatCode>0</c:formatCode>
                <c:ptCount val="31"/>
                <c:pt idx="0">
                  <c:v>17881.183098591864</c:v>
                </c:pt>
                <c:pt idx="1">
                  <c:v>8181</c:v>
                </c:pt>
                <c:pt idx="2">
                  <c:v>8306</c:v>
                </c:pt>
                <c:pt idx="3">
                  <c:v>3092</c:v>
                </c:pt>
                <c:pt idx="4">
                  <c:v>1733</c:v>
                </c:pt>
                <c:pt idx="5">
                  <c:v>2841</c:v>
                </c:pt>
                <c:pt idx="6">
                  <c:v>10066</c:v>
                </c:pt>
                <c:pt idx="7">
                  <c:v>12059</c:v>
                </c:pt>
                <c:pt idx="8">
                  <c:v>1468</c:v>
                </c:pt>
                <c:pt idx="9">
                  <c:v>5707.344827586785</c:v>
                </c:pt>
                <c:pt idx="10">
                  <c:v>18720.655172413215</c:v>
                </c:pt>
                <c:pt idx="11">
                  <c:v>18213</c:v>
                </c:pt>
                <c:pt idx="12">
                  <c:v>17093</c:v>
                </c:pt>
                <c:pt idx="13">
                  <c:v>15013</c:v>
                </c:pt>
                <c:pt idx="14">
                  <c:v>6010</c:v>
                </c:pt>
                <c:pt idx="15">
                  <c:v>13854</c:v>
                </c:pt>
                <c:pt idx="16">
                  <c:v>6362</c:v>
                </c:pt>
                <c:pt idx="17">
                  <c:v>11249</c:v>
                </c:pt>
                <c:pt idx="18">
                  <c:v>10794</c:v>
                </c:pt>
                <c:pt idx="19">
                  <c:v>8368</c:v>
                </c:pt>
                <c:pt idx="20">
                  <c:v>5172</c:v>
                </c:pt>
                <c:pt idx="21">
                  <c:v>2620.78991596587</c:v>
                </c:pt>
                <c:pt idx="22">
                  <c:v>8114.21008403413</c:v>
                </c:pt>
                <c:pt idx="23">
                  <c:v>267.74418604746461</c:v>
                </c:pt>
                <c:pt idx="24">
                  <c:v>8164.2219156492501</c:v>
                </c:pt>
                <c:pt idx="25">
                  <c:v>15491.033898303285</c:v>
                </c:pt>
                <c:pt idx="26">
                  <c:v>17327.698630135506</c:v>
                </c:pt>
                <c:pt idx="27">
                  <c:v>17083.301369864494</c:v>
                </c:pt>
                <c:pt idx="28">
                  <c:v>8317.8823529407382</c:v>
                </c:pt>
                <c:pt idx="29">
                  <c:v>8358.1176470592618</c:v>
                </c:pt>
                <c:pt idx="30">
                  <c:v>6923.4042553193867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Merrimack!$H$32:$H$62</c:f>
              <c:numCache>
                <c:formatCode>0</c:formatCode>
                <c:ptCount val="31"/>
                <c:pt idx="0">
                  <c:v>7821.5879999999997</c:v>
                </c:pt>
                <c:pt idx="1">
                  <c:v>3445.9560000000001</c:v>
                </c:pt>
                <c:pt idx="2">
                  <c:v>3647.6930000000002</c:v>
                </c:pt>
                <c:pt idx="3">
                  <c:v>1243.941</c:v>
                </c:pt>
                <c:pt idx="4">
                  <c:v>701.55730000000005</c:v>
                </c:pt>
                <c:pt idx="5">
                  <c:v>1135.0029999999999</c:v>
                </c:pt>
                <c:pt idx="6">
                  <c:v>4534.8900000000003</c:v>
                </c:pt>
                <c:pt idx="7">
                  <c:v>5394.6970000000001</c:v>
                </c:pt>
                <c:pt idx="8">
                  <c:v>601.17139999999995</c:v>
                </c:pt>
                <c:pt idx="9">
                  <c:v>2414.5920000000001</c:v>
                </c:pt>
                <c:pt idx="10">
                  <c:v>8635.6509999999998</c:v>
                </c:pt>
                <c:pt idx="11">
                  <c:v>8317.5249999999996</c:v>
                </c:pt>
                <c:pt idx="12">
                  <c:v>7858.79</c:v>
                </c:pt>
                <c:pt idx="13">
                  <c:v>6961.4350000000004</c:v>
                </c:pt>
                <c:pt idx="14">
                  <c:v>2526.5320000000002</c:v>
                </c:pt>
                <c:pt idx="15">
                  <c:v>6569.9229999999998</c:v>
                </c:pt>
                <c:pt idx="16">
                  <c:v>2844.732</c:v>
                </c:pt>
                <c:pt idx="17">
                  <c:v>4820.7259999999997</c:v>
                </c:pt>
                <c:pt idx="18">
                  <c:v>4460.4870000000001</c:v>
                </c:pt>
                <c:pt idx="19">
                  <c:v>3529.3829999999998</c:v>
                </c:pt>
                <c:pt idx="20">
                  <c:v>2129.5529999999999</c:v>
                </c:pt>
                <c:pt idx="21">
                  <c:v>1073.4449999999999</c:v>
                </c:pt>
                <c:pt idx="22">
                  <c:v>3385.951</c:v>
                </c:pt>
                <c:pt idx="23">
                  <c:v>135.40729999999999</c:v>
                </c:pt>
                <c:pt idx="24">
                  <c:v>3290.0770000000002</c:v>
                </c:pt>
                <c:pt idx="25">
                  <c:v>7304.0749999999998</c:v>
                </c:pt>
                <c:pt idx="26">
                  <c:v>8095.2719999999999</c:v>
                </c:pt>
                <c:pt idx="27">
                  <c:v>7903.2</c:v>
                </c:pt>
                <c:pt idx="28">
                  <c:v>3584.1309999999999</c:v>
                </c:pt>
                <c:pt idx="29">
                  <c:v>3688.0630000000001</c:v>
                </c:pt>
                <c:pt idx="30">
                  <c:v>3344.09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Smithfield!$G$32:$G$62</c:f>
              <c:numCache>
                <c:formatCode>0</c:formatCode>
                <c:ptCount val="31"/>
                <c:pt idx="0">
                  <c:v>22260.5</c:v>
                </c:pt>
                <c:pt idx="1">
                  <c:v>15378.25</c:v>
                </c:pt>
                <c:pt idx="2">
                  <c:v>20609.5</c:v>
                </c:pt>
                <c:pt idx="3">
                  <c:v>12718.5</c:v>
                </c:pt>
                <c:pt idx="4">
                  <c:v>3544</c:v>
                </c:pt>
                <c:pt idx="5">
                  <c:v>4317</c:v>
                </c:pt>
                <c:pt idx="6">
                  <c:v>14006.25</c:v>
                </c:pt>
                <c:pt idx="7">
                  <c:v>14450.25</c:v>
                </c:pt>
                <c:pt idx="8">
                  <c:v>3342.5</c:v>
                </c:pt>
                <c:pt idx="9">
                  <c:v>11924.75</c:v>
                </c:pt>
                <c:pt idx="10">
                  <c:v>23375</c:v>
                </c:pt>
                <c:pt idx="11">
                  <c:v>23071.5</c:v>
                </c:pt>
                <c:pt idx="12">
                  <c:v>20420.25</c:v>
                </c:pt>
                <c:pt idx="13">
                  <c:v>18492.75</c:v>
                </c:pt>
                <c:pt idx="14">
                  <c:v>6603.75</c:v>
                </c:pt>
                <c:pt idx="15">
                  <c:v>13877</c:v>
                </c:pt>
                <c:pt idx="16">
                  <c:v>10976.25</c:v>
                </c:pt>
                <c:pt idx="17">
                  <c:v>14350</c:v>
                </c:pt>
                <c:pt idx="18">
                  <c:v>18555.5</c:v>
                </c:pt>
                <c:pt idx="19">
                  <c:v>11773.25</c:v>
                </c:pt>
                <c:pt idx="20">
                  <c:v>6210.25</c:v>
                </c:pt>
                <c:pt idx="21">
                  <c:v>3069.5</c:v>
                </c:pt>
                <c:pt idx="22">
                  <c:v>11262.25</c:v>
                </c:pt>
                <c:pt idx="23">
                  <c:v>14850.75</c:v>
                </c:pt>
                <c:pt idx="24">
                  <c:v>12243.5</c:v>
                </c:pt>
                <c:pt idx="25">
                  <c:v>19221</c:v>
                </c:pt>
                <c:pt idx="26">
                  <c:v>22156.75</c:v>
                </c:pt>
                <c:pt idx="27">
                  <c:v>20094</c:v>
                </c:pt>
                <c:pt idx="28">
                  <c:v>9435.5</c:v>
                </c:pt>
                <c:pt idx="29">
                  <c:v>15335</c:v>
                </c:pt>
                <c:pt idx="30">
                  <c:v>8280.25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Smithfield!$H$32:$H$62</c:f>
              <c:numCache>
                <c:formatCode>0</c:formatCode>
                <c:ptCount val="31"/>
                <c:pt idx="0">
                  <c:v>7175.2960000000003</c:v>
                </c:pt>
                <c:pt idx="1">
                  <c:v>4963.1080000000002</c:v>
                </c:pt>
                <c:pt idx="2">
                  <c:v>6593.89</c:v>
                </c:pt>
                <c:pt idx="3">
                  <c:v>3926.375</c:v>
                </c:pt>
                <c:pt idx="4">
                  <c:v>985.2432</c:v>
                </c:pt>
                <c:pt idx="5">
                  <c:v>1248.182</c:v>
                </c:pt>
                <c:pt idx="6">
                  <c:v>4587.9120000000003</c:v>
                </c:pt>
                <c:pt idx="7">
                  <c:v>4695.7669999999998</c:v>
                </c:pt>
                <c:pt idx="8">
                  <c:v>966.35389999999995</c:v>
                </c:pt>
                <c:pt idx="9">
                  <c:v>3629.0740000000001</c:v>
                </c:pt>
                <c:pt idx="10">
                  <c:v>7871.0959999999995</c:v>
                </c:pt>
                <c:pt idx="11">
                  <c:v>7679.7849999999999</c:v>
                </c:pt>
                <c:pt idx="12">
                  <c:v>6529.1229999999996</c:v>
                </c:pt>
                <c:pt idx="13">
                  <c:v>6102.2960000000003</c:v>
                </c:pt>
                <c:pt idx="14">
                  <c:v>1894.2650000000001</c:v>
                </c:pt>
                <c:pt idx="15">
                  <c:v>4466.6989999999996</c:v>
                </c:pt>
                <c:pt idx="16">
                  <c:v>3481.6570000000002</c:v>
                </c:pt>
                <c:pt idx="17">
                  <c:v>4704.3</c:v>
                </c:pt>
                <c:pt idx="18">
                  <c:v>6228.7479999999996</c:v>
                </c:pt>
                <c:pt idx="19">
                  <c:v>3464.8119999999999</c:v>
                </c:pt>
                <c:pt idx="20">
                  <c:v>1787.87</c:v>
                </c:pt>
                <c:pt idx="21">
                  <c:v>869.35889999999995</c:v>
                </c:pt>
                <c:pt idx="22">
                  <c:v>3395.875</c:v>
                </c:pt>
                <c:pt idx="23">
                  <c:v>4802.0810000000001</c:v>
                </c:pt>
                <c:pt idx="24">
                  <c:v>3734.43</c:v>
                </c:pt>
                <c:pt idx="25">
                  <c:v>6617.0110000000004</c:v>
                </c:pt>
                <c:pt idx="26">
                  <c:v>7481.1210000000001</c:v>
                </c:pt>
                <c:pt idx="27">
                  <c:v>6409.5209999999997</c:v>
                </c:pt>
                <c:pt idx="28">
                  <c:v>2779.692</c:v>
                </c:pt>
                <c:pt idx="29">
                  <c:v>4795.13</c:v>
                </c:pt>
                <c:pt idx="30">
                  <c:v>2527.06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Westlake!$G$32:$G$62</c:f>
              <c:numCache>
                <c:formatCode>0</c:formatCode>
                <c:ptCount val="31"/>
                <c:pt idx="0">
                  <c:v>11858</c:v>
                </c:pt>
                <c:pt idx="1">
                  <c:v>3041</c:v>
                </c:pt>
                <c:pt idx="2">
                  <c:v>23618</c:v>
                </c:pt>
                <c:pt idx="3">
                  <c:v>23178</c:v>
                </c:pt>
                <c:pt idx="4">
                  <c:v>6378</c:v>
                </c:pt>
                <c:pt idx="5">
                  <c:v>5225</c:v>
                </c:pt>
                <c:pt idx="6">
                  <c:v>15665</c:v>
                </c:pt>
                <c:pt idx="7">
                  <c:v>19477</c:v>
                </c:pt>
                <c:pt idx="8">
                  <c:v>21827</c:v>
                </c:pt>
                <c:pt idx="9">
                  <c:v>21454</c:v>
                </c:pt>
                <c:pt idx="10">
                  <c:v>20782</c:v>
                </c:pt>
                <c:pt idx="11">
                  <c:v>24255</c:v>
                </c:pt>
                <c:pt idx="12">
                  <c:v>23232</c:v>
                </c:pt>
                <c:pt idx="13">
                  <c:v>22068</c:v>
                </c:pt>
                <c:pt idx="14">
                  <c:v>14837</c:v>
                </c:pt>
                <c:pt idx="15">
                  <c:v>14405</c:v>
                </c:pt>
                <c:pt idx="16">
                  <c:v>12729</c:v>
                </c:pt>
                <c:pt idx="17">
                  <c:v>7155</c:v>
                </c:pt>
                <c:pt idx="18">
                  <c:v>9160</c:v>
                </c:pt>
                <c:pt idx="19">
                  <c:v>25418</c:v>
                </c:pt>
                <c:pt idx="20">
                  <c:v>22464</c:v>
                </c:pt>
                <c:pt idx="21">
                  <c:v>17133</c:v>
                </c:pt>
                <c:pt idx="22">
                  <c:v>24633</c:v>
                </c:pt>
                <c:pt idx="23">
                  <c:v>18146</c:v>
                </c:pt>
                <c:pt idx="24">
                  <c:v>20266</c:v>
                </c:pt>
                <c:pt idx="25">
                  <c:v>4210</c:v>
                </c:pt>
                <c:pt idx="26">
                  <c:v>19460</c:v>
                </c:pt>
                <c:pt idx="27">
                  <c:v>13362</c:v>
                </c:pt>
                <c:pt idx="28">
                  <c:v>14908</c:v>
                </c:pt>
                <c:pt idx="29">
                  <c:v>21890</c:v>
                </c:pt>
                <c:pt idx="30">
                  <c:v>24524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Westlake!$H$32:$H$62</c:f>
              <c:numCache>
                <c:formatCode>0</c:formatCode>
                <c:ptCount val="31"/>
                <c:pt idx="0">
                  <c:v>4426.2839999999997</c:v>
                </c:pt>
                <c:pt idx="1">
                  <c:v>767.50310000000002</c:v>
                </c:pt>
                <c:pt idx="2">
                  <c:v>10478.459999999999</c:v>
                </c:pt>
                <c:pt idx="3">
                  <c:v>9770.1029999999992</c:v>
                </c:pt>
                <c:pt idx="4">
                  <c:v>2118.8409999999999</c:v>
                </c:pt>
                <c:pt idx="5">
                  <c:v>1418.88</c:v>
                </c:pt>
                <c:pt idx="6">
                  <c:v>6775.7340000000004</c:v>
                </c:pt>
                <c:pt idx="7">
                  <c:v>7612.4880000000003</c:v>
                </c:pt>
                <c:pt idx="8">
                  <c:v>9549.6460000000006</c:v>
                </c:pt>
                <c:pt idx="9">
                  <c:v>8194.375</c:v>
                </c:pt>
                <c:pt idx="10">
                  <c:v>7697.7650000000003</c:v>
                </c:pt>
                <c:pt idx="11">
                  <c:v>9742.82</c:v>
                </c:pt>
                <c:pt idx="12">
                  <c:v>8946.6790000000001</c:v>
                </c:pt>
                <c:pt idx="13">
                  <c:v>8329.9349999999995</c:v>
                </c:pt>
                <c:pt idx="14">
                  <c:v>5244.9949999999999</c:v>
                </c:pt>
                <c:pt idx="15">
                  <c:v>4918.598</c:v>
                </c:pt>
                <c:pt idx="16">
                  <c:v>4440.8919999999998</c:v>
                </c:pt>
                <c:pt idx="17">
                  <c:v>2017.893</c:v>
                </c:pt>
                <c:pt idx="18">
                  <c:v>3000.0770000000002</c:v>
                </c:pt>
                <c:pt idx="19">
                  <c:v>10549.02</c:v>
                </c:pt>
                <c:pt idx="20">
                  <c:v>9107.4539999999997</c:v>
                </c:pt>
                <c:pt idx="21">
                  <c:v>6342.1009999999997</c:v>
                </c:pt>
                <c:pt idx="22">
                  <c:v>9685.5159999999996</c:v>
                </c:pt>
                <c:pt idx="23">
                  <c:v>6764.74</c:v>
                </c:pt>
                <c:pt idx="24">
                  <c:v>7844.81</c:v>
                </c:pt>
                <c:pt idx="25">
                  <c:v>994.42790000000002</c:v>
                </c:pt>
                <c:pt idx="26">
                  <c:v>7737.6260000000002</c:v>
                </c:pt>
                <c:pt idx="27">
                  <c:v>4667.5529999999999</c:v>
                </c:pt>
                <c:pt idx="28">
                  <c:v>6239.5450000000001</c:v>
                </c:pt>
                <c:pt idx="29">
                  <c:v>9525.9670000000006</c:v>
                </c:pt>
                <c:pt idx="30">
                  <c:v>9388.6290000000008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132503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E17" sqref="E17"/>
    </sheetView>
  </sheetViews>
  <sheetFormatPr defaultRowHeight="14.25" x14ac:dyDescent="0.45"/>
  <cols>
    <col min="23" max="23" width="12.59765625" customWidth="1"/>
  </cols>
  <sheetData>
    <row r="1" spans="1:31" x14ac:dyDescent="0.45">
      <c r="A1" s="171" t="s">
        <v>0</v>
      </c>
      <c r="B1" s="172"/>
      <c r="C1" s="172"/>
      <c r="D1" s="172"/>
      <c r="E1" s="173"/>
      <c r="F1" s="165" t="s">
        <v>1</v>
      </c>
      <c r="G1" s="166"/>
      <c r="H1" s="166"/>
      <c r="I1" s="166"/>
      <c r="J1" s="166"/>
      <c r="K1" s="16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 x14ac:dyDescent="0.45">
      <c r="A2" s="174" t="s">
        <v>2</v>
      </c>
      <c r="B2" s="175"/>
      <c r="C2" s="175"/>
      <c r="D2" s="175"/>
      <c r="E2" s="175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 x14ac:dyDescent="0.45">
      <c r="A3" s="167" t="s">
        <v>4</v>
      </c>
      <c r="B3" s="168"/>
      <c r="C3" s="168"/>
      <c r="D3" s="168"/>
      <c r="E3" s="168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5.75" x14ac:dyDescent="0.45">
      <c r="A4" s="167" t="s">
        <v>6</v>
      </c>
      <c r="B4" s="168"/>
      <c r="C4" s="168"/>
      <c r="D4" s="168"/>
      <c r="E4" s="168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5.75" x14ac:dyDescent="0.45">
      <c r="A5" s="167" t="s">
        <v>8</v>
      </c>
      <c r="B5" s="168"/>
      <c r="C5" s="168"/>
      <c r="D5" s="168"/>
      <c r="E5" s="168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 x14ac:dyDescent="0.45">
      <c r="A6" s="167" t="s">
        <v>10</v>
      </c>
      <c r="B6" s="168"/>
      <c r="C6" s="168"/>
      <c r="D6" s="168"/>
      <c r="E6" s="168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 x14ac:dyDescent="0.45">
      <c r="A7" s="167" t="s">
        <v>12</v>
      </c>
      <c r="B7" s="168"/>
      <c r="C7" s="168"/>
      <c r="D7" s="168"/>
      <c r="E7" s="168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 x14ac:dyDescent="0.45">
      <c r="A8" s="167" t="s">
        <v>14</v>
      </c>
      <c r="B8" s="168"/>
      <c r="C8" s="168"/>
      <c r="D8" s="168"/>
      <c r="E8" s="168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 x14ac:dyDescent="0.45">
      <c r="A9" s="167" t="s">
        <v>16</v>
      </c>
      <c r="B9" s="168"/>
      <c r="C9" s="168"/>
      <c r="D9" s="168"/>
      <c r="E9" s="168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 x14ac:dyDescent="0.45">
      <c r="A10" s="167" t="s">
        <v>18</v>
      </c>
      <c r="B10" s="168"/>
      <c r="C10" s="168"/>
      <c r="D10" s="168"/>
      <c r="E10" s="168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 x14ac:dyDescent="0.45">
      <c r="A11" s="169" t="s">
        <v>20</v>
      </c>
      <c r="B11" s="170"/>
      <c r="C11" s="170"/>
      <c r="D11" s="170"/>
      <c r="E11" s="170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 x14ac:dyDescent="0.45"/>
    <row r="13" spans="1:31" ht="16.350000000000001" customHeight="1" x14ac:dyDescent="0.45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3"/>
  <sheetViews>
    <sheetView view="pageLayout" topLeftCell="B58" zoomScale="90" zoomScaleNormal="80" zoomScalePageLayoutView="90" workbookViewId="0">
      <selection activeCell="B54" sqref="B54"/>
    </sheetView>
  </sheetViews>
  <sheetFormatPr defaultRowHeight="14.25" x14ac:dyDescent="0.45"/>
  <cols>
    <col min="6" max="6" width="13.73046875" customWidth="1" collapsed="1"/>
    <col min="7" max="7" width="20" bestFit="1" customWidth="1"/>
    <col min="8" max="8" width="17.3984375" bestFit="1" customWidth="1"/>
    <col min="9" max="9" width="10.73046875" customWidth="1"/>
    <col min="11" max="11" width="73.3984375" customWidth="1"/>
  </cols>
  <sheetData>
    <row r="1" spans="3:13" ht="18" x14ac:dyDescent="0.55000000000000004">
      <c r="E1" s="194" t="s">
        <v>22</v>
      </c>
      <c r="F1" s="194"/>
      <c r="G1" s="194"/>
      <c r="H1" s="194"/>
      <c r="I1" s="194"/>
      <c r="J1" s="194"/>
    </row>
    <row r="2" spans="3:13" x14ac:dyDescent="0.45">
      <c r="E2" s="195" t="s">
        <v>23</v>
      </c>
      <c r="F2" s="195"/>
      <c r="G2" s="195"/>
      <c r="H2" s="195"/>
      <c r="I2" s="195"/>
      <c r="J2" s="195"/>
    </row>
    <row r="3" spans="3:13" x14ac:dyDescent="0.45">
      <c r="E3" s="196" t="s">
        <v>24</v>
      </c>
      <c r="F3" s="197"/>
      <c r="G3" s="197"/>
      <c r="H3" s="197"/>
      <c r="I3" s="197"/>
      <c r="J3" s="197"/>
    </row>
    <row r="5" spans="3:13" x14ac:dyDescent="0.45">
      <c r="C5" s="179" t="s">
        <v>25</v>
      </c>
      <c r="D5" s="180"/>
      <c r="E5" s="180"/>
      <c r="F5" s="180"/>
      <c r="G5" s="180"/>
      <c r="H5" s="180"/>
      <c r="I5" s="180"/>
      <c r="J5" s="180"/>
      <c r="K5" s="180"/>
      <c r="L5" s="181"/>
    </row>
    <row r="6" spans="3:13" x14ac:dyDescent="0.45">
      <c r="C6" s="20"/>
      <c r="D6" s="21"/>
      <c r="E6" s="172" t="s">
        <v>2</v>
      </c>
      <c r="F6" s="172"/>
      <c r="G6" s="172"/>
      <c r="H6" s="172"/>
      <c r="I6" s="172"/>
      <c r="J6" s="22">
        <f>SUM(G32:G62)</f>
        <v>294851.58735391125</v>
      </c>
      <c r="K6" s="21" t="s">
        <v>26</v>
      </c>
      <c r="L6" s="23"/>
    </row>
    <row r="7" spans="3:13" x14ac:dyDescent="0.45">
      <c r="C7" s="3"/>
      <c r="D7" s="2"/>
      <c r="E7" s="182" t="s">
        <v>4</v>
      </c>
      <c r="F7" s="182"/>
      <c r="G7" s="182"/>
      <c r="H7" s="182"/>
      <c r="I7" s="182"/>
      <c r="J7" s="8">
        <f>'Predicted Data'!D21</f>
        <v>412289</v>
      </c>
      <c r="K7" s="69"/>
      <c r="L7" s="4"/>
    </row>
    <row r="8" spans="3:13" ht="15.75" x14ac:dyDescent="0.45">
      <c r="C8" s="3"/>
      <c r="D8" s="2"/>
      <c r="E8" s="182" t="s">
        <v>6</v>
      </c>
      <c r="F8" s="182"/>
      <c r="G8" s="182"/>
      <c r="H8" s="182"/>
      <c r="I8" s="182"/>
      <c r="J8" s="8">
        <f>SUM(H32:H62)</f>
        <v>131399.53699999998</v>
      </c>
      <c r="K8" s="2" t="s">
        <v>26</v>
      </c>
      <c r="L8" s="4"/>
    </row>
    <row r="9" spans="3:13" ht="15.75" x14ac:dyDescent="0.45">
      <c r="C9" s="3"/>
      <c r="D9" s="2"/>
      <c r="E9" s="182" t="s">
        <v>8</v>
      </c>
      <c r="F9" s="182"/>
      <c r="G9" s="182"/>
      <c r="H9" s="182"/>
      <c r="I9" s="182"/>
      <c r="J9" s="79"/>
      <c r="K9" s="69"/>
      <c r="L9" s="4"/>
    </row>
    <row r="10" spans="3:13" x14ac:dyDescent="0.45">
      <c r="C10" s="3"/>
      <c r="D10" s="2"/>
      <c r="E10" s="182" t="s">
        <v>10</v>
      </c>
      <c r="F10" s="182"/>
      <c r="G10" s="182"/>
      <c r="H10" s="182"/>
      <c r="I10" s="182"/>
      <c r="J10" s="85">
        <f>'Plant Health'!H101</f>
        <v>282521.75280000007</v>
      </c>
      <c r="K10" s="2" t="s">
        <v>26</v>
      </c>
      <c r="L10" s="4"/>
    </row>
    <row r="11" spans="3:13" x14ac:dyDescent="0.45">
      <c r="C11" s="3"/>
      <c r="D11" s="2"/>
      <c r="E11" s="182" t="s">
        <v>12</v>
      </c>
      <c r="F11" s="182"/>
      <c r="G11" s="182"/>
      <c r="H11" s="182"/>
      <c r="I11" s="182"/>
      <c r="J11" s="31">
        <f>J6/J10</f>
        <v>1.0436420715633872</v>
      </c>
      <c r="K11" s="2"/>
      <c r="L11" s="4"/>
      <c r="M11" s="61"/>
    </row>
    <row r="12" spans="3:13" x14ac:dyDescent="0.45">
      <c r="C12" s="3"/>
      <c r="D12" s="2"/>
      <c r="E12" s="182" t="s">
        <v>16</v>
      </c>
      <c r="F12" s="182"/>
      <c r="G12" s="182"/>
      <c r="H12" s="182"/>
      <c r="I12" s="182"/>
      <c r="J12" s="31">
        <f>J6/J7</f>
        <v>0.7151575408364309</v>
      </c>
      <c r="K12" s="2"/>
      <c r="L12" s="4"/>
    </row>
    <row r="13" spans="3:13" x14ac:dyDescent="0.45">
      <c r="C13" s="3"/>
      <c r="D13" s="2"/>
      <c r="E13" s="182" t="s">
        <v>18</v>
      </c>
      <c r="F13" s="182"/>
      <c r="G13" s="182"/>
      <c r="H13" s="182"/>
      <c r="I13" s="182"/>
      <c r="J13" s="31">
        <f>Availability!J42</f>
        <v>1</v>
      </c>
      <c r="K13" s="2"/>
      <c r="L13" s="4"/>
    </row>
    <row r="14" spans="3:13" x14ac:dyDescent="0.45">
      <c r="C14" s="5"/>
      <c r="D14" s="6"/>
      <c r="E14" s="193" t="s">
        <v>20</v>
      </c>
      <c r="F14" s="193"/>
      <c r="G14" s="193"/>
      <c r="H14" s="193"/>
      <c r="I14" s="193"/>
      <c r="J14" s="9">
        <f>Availability!J50</f>
        <v>0.99600000000000011</v>
      </c>
      <c r="K14" s="6"/>
      <c r="L14" s="7"/>
    </row>
    <row r="16" spans="3:13" x14ac:dyDescent="0.45">
      <c r="C16" s="183" t="s">
        <v>27</v>
      </c>
      <c r="D16" s="183"/>
      <c r="E16" s="183"/>
      <c r="F16" s="183"/>
      <c r="G16" s="183"/>
      <c r="H16" s="183"/>
      <c r="I16" s="183"/>
      <c r="J16" s="183"/>
      <c r="K16" s="183"/>
      <c r="L16" s="183"/>
    </row>
    <row r="17" spans="3:12" x14ac:dyDescent="0.45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 x14ac:dyDescent="0.45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 x14ac:dyDescent="0.45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 x14ac:dyDescent="0.45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 x14ac:dyDescent="0.45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 x14ac:dyDescent="0.45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 x14ac:dyDescent="0.45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 x14ac:dyDescent="0.45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 x14ac:dyDescent="0.45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 x14ac:dyDescent="0.45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 x14ac:dyDescent="0.45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45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 x14ac:dyDescent="0.45">
      <c r="E30" s="11"/>
      <c r="F30" s="183" t="s">
        <v>28</v>
      </c>
      <c r="G30" s="183"/>
      <c r="H30" s="183"/>
      <c r="I30" s="183"/>
      <c r="J30" s="11"/>
      <c r="K30" s="11"/>
      <c r="L30" s="11"/>
    </row>
    <row r="31" spans="3:12" s="10" customFormat="1" ht="44.1" customHeight="1" x14ac:dyDescent="0.45">
      <c r="E31" s="13"/>
      <c r="F31" s="158" t="s">
        <v>29</v>
      </c>
      <c r="G31" s="159" t="s">
        <v>30</v>
      </c>
      <c r="H31" s="159" t="s">
        <v>31</v>
      </c>
      <c r="I31" s="159" t="s">
        <v>32</v>
      </c>
      <c r="J31" s="12"/>
      <c r="K31" s="13"/>
    </row>
    <row r="32" spans="3:12" ht="23.45" customHeight="1" x14ac:dyDescent="0.45">
      <c r="E32" s="2"/>
      <c r="F32" s="160">
        <v>45778</v>
      </c>
      <c r="G32" s="161">
        <v>17881.183098591864</v>
      </c>
      <c r="H32" s="162">
        <v>7821.5879999999997</v>
      </c>
      <c r="I32" s="162">
        <v>56.86609</v>
      </c>
      <c r="J32" s="2"/>
      <c r="K32" s="151"/>
    </row>
    <row r="33" spans="5:15" x14ac:dyDescent="0.45">
      <c r="E33" s="2"/>
      <c r="F33" s="160">
        <v>45779</v>
      </c>
      <c r="G33" s="161">
        <v>8181</v>
      </c>
      <c r="H33" s="162">
        <v>3445.9560000000001</v>
      </c>
      <c r="I33" s="162">
        <v>61.529580000000003</v>
      </c>
      <c r="J33" s="2"/>
      <c r="K33" s="14"/>
    </row>
    <row r="34" spans="5:15" x14ac:dyDescent="0.45">
      <c r="E34" s="2"/>
      <c r="F34" s="160">
        <v>45780</v>
      </c>
      <c r="G34" s="161">
        <v>8306</v>
      </c>
      <c r="H34" s="162">
        <v>3647.6930000000002</v>
      </c>
      <c r="I34" s="162">
        <v>64.892719999999997</v>
      </c>
      <c r="J34" s="2"/>
      <c r="K34" s="14"/>
    </row>
    <row r="35" spans="5:15" x14ac:dyDescent="0.45">
      <c r="E35" s="2"/>
      <c r="F35" s="160">
        <v>45781</v>
      </c>
      <c r="G35" s="161">
        <v>3092</v>
      </c>
      <c r="H35" s="162">
        <v>1243.941</v>
      </c>
      <c r="I35" s="162">
        <v>61.61797</v>
      </c>
      <c r="J35" s="2"/>
      <c r="K35" s="14"/>
    </row>
    <row r="36" spans="5:15" x14ac:dyDescent="0.45">
      <c r="E36" s="2"/>
      <c r="F36" s="160">
        <v>45782</v>
      </c>
      <c r="G36" s="161">
        <v>1733</v>
      </c>
      <c r="H36" s="162">
        <v>701.55730000000005</v>
      </c>
      <c r="I36" s="162">
        <v>53.69191</v>
      </c>
      <c r="J36" s="2"/>
      <c r="K36" s="14"/>
    </row>
    <row r="37" spans="5:15" x14ac:dyDescent="0.45">
      <c r="E37" s="2"/>
      <c r="F37" s="160">
        <v>45783</v>
      </c>
      <c r="G37" s="161">
        <v>2841</v>
      </c>
      <c r="H37" s="162">
        <v>1135.0029999999999</v>
      </c>
      <c r="I37" s="162">
        <v>54.14687</v>
      </c>
      <c r="J37" s="2"/>
      <c r="K37" s="14"/>
    </row>
    <row r="38" spans="5:15" x14ac:dyDescent="0.45">
      <c r="E38" s="2"/>
      <c r="F38" s="160">
        <v>45784</v>
      </c>
      <c r="G38" s="161">
        <v>10066</v>
      </c>
      <c r="H38" s="162">
        <v>4534.8900000000003</v>
      </c>
      <c r="I38" s="162">
        <v>62.166310000000003</v>
      </c>
      <c r="J38" s="2"/>
      <c r="K38" s="14"/>
    </row>
    <row r="39" spans="5:15" x14ac:dyDescent="0.45">
      <c r="E39" s="2"/>
      <c r="F39" s="160">
        <v>45785</v>
      </c>
      <c r="G39" s="161">
        <v>12059</v>
      </c>
      <c r="H39" s="162">
        <v>5394.6970000000001</v>
      </c>
      <c r="I39" s="162">
        <v>62.068280000000001</v>
      </c>
      <c r="J39" s="2"/>
      <c r="K39" s="14"/>
    </row>
    <row r="40" spans="5:15" x14ac:dyDescent="0.45">
      <c r="E40" s="2"/>
      <c r="F40" s="160">
        <v>45786</v>
      </c>
      <c r="G40" s="161">
        <v>1468</v>
      </c>
      <c r="H40" s="162">
        <v>601.17139999999995</v>
      </c>
      <c r="I40" s="162">
        <v>50.203220000000002</v>
      </c>
      <c r="J40" s="2"/>
      <c r="K40" s="14"/>
    </row>
    <row r="41" spans="5:15" x14ac:dyDescent="0.45">
      <c r="E41" s="2"/>
      <c r="F41" s="160">
        <v>45787</v>
      </c>
      <c r="G41" s="161">
        <v>5707.344827586785</v>
      </c>
      <c r="H41" s="162">
        <v>2414.5920000000001</v>
      </c>
      <c r="I41" s="162">
        <v>52.780500000000004</v>
      </c>
      <c r="J41" s="2"/>
      <c r="K41" s="14"/>
    </row>
    <row r="42" spans="5:15" x14ac:dyDescent="0.45">
      <c r="E42" s="2"/>
      <c r="F42" s="160">
        <v>45788</v>
      </c>
      <c r="G42" s="161">
        <v>18720.655172413215</v>
      </c>
      <c r="H42" s="162">
        <v>8635.6509999999998</v>
      </c>
      <c r="I42" s="162">
        <v>55.732959999999999</v>
      </c>
      <c r="J42" s="2"/>
      <c r="K42" s="14"/>
    </row>
    <row r="43" spans="5:15" x14ac:dyDescent="0.45">
      <c r="E43" s="2"/>
      <c r="F43" s="160">
        <v>45789</v>
      </c>
      <c r="G43" s="161">
        <v>18213</v>
      </c>
      <c r="H43" s="162">
        <v>8317.5249999999996</v>
      </c>
      <c r="I43" s="162">
        <v>59.632669999999997</v>
      </c>
      <c r="J43" s="2"/>
      <c r="K43" s="14"/>
    </row>
    <row r="44" spans="5:15" x14ac:dyDescent="0.45">
      <c r="E44" s="2"/>
      <c r="F44" s="160">
        <v>45790</v>
      </c>
      <c r="G44" s="161">
        <v>17093</v>
      </c>
      <c r="H44" s="162">
        <v>7858.79</v>
      </c>
      <c r="I44" s="162">
        <v>62.68197</v>
      </c>
      <c r="J44" s="2"/>
      <c r="K44" s="14"/>
    </row>
    <row r="45" spans="5:15" x14ac:dyDescent="0.45">
      <c r="E45" s="2"/>
      <c r="F45" s="160">
        <v>45791</v>
      </c>
      <c r="G45" s="161">
        <v>15013</v>
      </c>
      <c r="H45" s="162">
        <v>6961.4350000000004</v>
      </c>
      <c r="I45" s="162">
        <v>63.552309999999999</v>
      </c>
      <c r="J45" s="2"/>
      <c r="K45" s="14"/>
    </row>
    <row r="46" spans="5:15" x14ac:dyDescent="0.45">
      <c r="E46" s="2"/>
      <c r="F46" s="160">
        <v>45792</v>
      </c>
      <c r="G46" s="161">
        <v>6010</v>
      </c>
      <c r="H46" s="162">
        <v>2526.5320000000002</v>
      </c>
      <c r="I46" s="162">
        <v>65.222070000000002</v>
      </c>
      <c r="J46" s="2"/>
      <c r="K46" s="14"/>
    </row>
    <row r="47" spans="5:15" x14ac:dyDescent="0.45">
      <c r="E47" s="2"/>
      <c r="F47" s="160">
        <v>45793</v>
      </c>
      <c r="G47" s="161">
        <v>13854</v>
      </c>
      <c r="H47" s="162">
        <v>6569.9229999999998</v>
      </c>
      <c r="I47" s="162">
        <v>74.994029999999995</v>
      </c>
      <c r="J47" s="2"/>
      <c r="K47" s="14"/>
    </row>
    <row r="48" spans="5:15" x14ac:dyDescent="0.45">
      <c r="E48" s="2"/>
      <c r="F48" s="160">
        <v>45794</v>
      </c>
      <c r="G48" s="161">
        <v>6362</v>
      </c>
      <c r="H48" s="162">
        <v>2844.732</v>
      </c>
      <c r="I48" s="162">
        <v>69.618269999999995</v>
      </c>
      <c r="J48" s="2"/>
      <c r="K48" s="14"/>
      <c r="M48" s="2"/>
      <c r="N48" s="2"/>
      <c r="O48" s="2"/>
    </row>
    <row r="49" spans="5:15" x14ac:dyDescent="0.45">
      <c r="E49" s="2"/>
      <c r="F49" s="160">
        <v>45795</v>
      </c>
      <c r="G49" s="161">
        <v>11249</v>
      </c>
      <c r="H49" s="162">
        <v>4820.7259999999997</v>
      </c>
      <c r="I49" s="162">
        <v>62.277540000000002</v>
      </c>
      <c r="J49" s="2"/>
      <c r="K49" s="14"/>
      <c r="M49" s="2"/>
      <c r="N49" s="2"/>
      <c r="O49" s="2"/>
    </row>
    <row r="50" spans="5:15" x14ac:dyDescent="0.45">
      <c r="E50" s="2"/>
      <c r="F50" s="160">
        <v>45796</v>
      </c>
      <c r="G50" s="161">
        <v>10794</v>
      </c>
      <c r="H50" s="162">
        <v>4460.4870000000001</v>
      </c>
      <c r="I50" s="162">
        <v>54.949350000000003</v>
      </c>
      <c r="J50" s="2"/>
      <c r="K50" s="14"/>
    </row>
    <row r="51" spans="5:15" x14ac:dyDescent="0.45">
      <c r="E51" s="2"/>
      <c r="F51" s="160">
        <v>45797</v>
      </c>
      <c r="G51" s="161">
        <v>8368</v>
      </c>
      <c r="H51" s="162">
        <v>3529.3829999999998</v>
      </c>
      <c r="I51" s="162">
        <v>54.117139999999999</v>
      </c>
      <c r="J51" s="2"/>
      <c r="K51" s="14"/>
    </row>
    <row r="52" spans="5:15" x14ac:dyDescent="0.45">
      <c r="E52" s="2"/>
      <c r="F52" s="160">
        <v>45798</v>
      </c>
      <c r="G52" s="161">
        <v>5172</v>
      </c>
      <c r="H52" s="162">
        <v>2129.5529999999999</v>
      </c>
      <c r="I52" s="162">
        <v>49.289169999999999</v>
      </c>
      <c r="J52" s="2"/>
      <c r="K52" s="14"/>
    </row>
    <row r="53" spans="5:15" x14ac:dyDescent="0.45">
      <c r="E53" s="2"/>
      <c r="F53" s="160">
        <v>45799</v>
      </c>
      <c r="G53" s="161">
        <v>2620.78991596587</v>
      </c>
      <c r="H53" s="162">
        <v>1073.4449999999999</v>
      </c>
      <c r="I53" s="162">
        <v>45.887250000000002</v>
      </c>
      <c r="J53" s="2"/>
      <c r="K53" s="14"/>
    </row>
    <row r="54" spans="5:15" x14ac:dyDescent="0.45">
      <c r="E54" s="2"/>
      <c r="F54" s="160">
        <v>45800</v>
      </c>
      <c r="G54" s="161">
        <v>8114.21008403413</v>
      </c>
      <c r="H54" s="162">
        <v>3385.951</v>
      </c>
      <c r="I54" s="162">
        <v>50.375540000000001</v>
      </c>
      <c r="J54" s="2"/>
      <c r="K54" s="14"/>
    </row>
    <row r="55" spans="5:15" x14ac:dyDescent="0.45">
      <c r="E55" s="2"/>
      <c r="F55" s="160">
        <v>45801</v>
      </c>
      <c r="G55" s="161">
        <v>267.74418604746461</v>
      </c>
      <c r="H55" s="162">
        <v>135.40729999999999</v>
      </c>
      <c r="I55" s="162">
        <v>49.19558</v>
      </c>
      <c r="J55" s="2"/>
      <c r="K55" s="14"/>
    </row>
    <row r="56" spans="5:15" x14ac:dyDescent="0.45">
      <c r="E56" s="2"/>
      <c r="F56" s="160">
        <v>45802</v>
      </c>
      <c r="G56" s="161">
        <v>8164.2219156492501</v>
      </c>
      <c r="H56" s="162">
        <v>3290.0770000000002</v>
      </c>
      <c r="I56" s="162">
        <v>53.08634</v>
      </c>
      <c r="J56" s="2"/>
      <c r="K56" s="14"/>
    </row>
    <row r="57" spans="5:15" x14ac:dyDescent="0.45">
      <c r="E57" s="2"/>
      <c r="F57" s="160">
        <v>45803</v>
      </c>
      <c r="G57" s="161">
        <v>15491.033898303285</v>
      </c>
      <c r="H57" s="162">
        <v>7304.0749999999998</v>
      </c>
      <c r="I57" s="162">
        <v>60.025779999999997</v>
      </c>
      <c r="J57" s="2"/>
      <c r="K57" s="14"/>
    </row>
    <row r="58" spans="5:15" x14ac:dyDescent="0.45">
      <c r="E58" s="2"/>
      <c r="F58" s="160">
        <v>45804</v>
      </c>
      <c r="G58" s="161">
        <v>17327.698630135506</v>
      </c>
      <c r="H58" s="162">
        <v>8095.2719999999999</v>
      </c>
      <c r="I58" s="162">
        <v>65.406880000000001</v>
      </c>
      <c r="J58" s="2"/>
      <c r="K58" s="14"/>
    </row>
    <row r="59" spans="5:15" x14ac:dyDescent="0.45">
      <c r="E59" s="2"/>
      <c r="F59" s="160">
        <v>45805</v>
      </c>
      <c r="G59" s="161">
        <v>17083.301369864494</v>
      </c>
      <c r="H59" s="162">
        <v>7903.2</v>
      </c>
      <c r="I59" s="162">
        <v>68.09469</v>
      </c>
      <c r="J59" s="2"/>
      <c r="K59" s="14"/>
    </row>
    <row r="60" spans="5:15" x14ac:dyDescent="0.45">
      <c r="E60" s="2"/>
      <c r="F60" s="160">
        <v>45806</v>
      </c>
      <c r="G60" s="161">
        <v>8317.8823529407382</v>
      </c>
      <c r="H60" s="162">
        <v>3584.1309999999999</v>
      </c>
      <c r="I60" s="162">
        <v>63.90889</v>
      </c>
      <c r="J60" s="2"/>
      <c r="K60" s="14"/>
    </row>
    <row r="61" spans="5:15" x14ac:dyDescent="0.45">
      <c r="E61" s="2"/>
      <c r="F61" s="160">
        <v>45807</v>
      </c>
      <c r="G61" s="161">
        <v>8358.1176470592618</v>
      </c>
      <c r="H61" s="162">
        <v>3688.0630000000001</v>
      </c>
      <c r="I61" s="162">
        <v>67.225399999999993</v>
      </c>
      <c r="J61" s="2"/>
      <c r="K61" s="14"/>
    </row>
    <row r="62" spans="5:15" s="2" customFormat="1" x14ac:dyDescent="0.45">
      <c r="F62" s="160">
        <v>45808</v>
      </c>
      <c r="G62" s="161">
        <v>6923.4042553193867</v>
      </c>
      <c r="H62" s="162">
        <v>3344.09</v>
      </c>
      <c r="I62" s="162">
        <v>62.778489999999998</v>
      </c>
      <c r="K62" s="14"/>
    </row>
    <row r="63" spans="5:15" s="2" customFormat="1" x14ac:dyDescent="0.45">
      <c r="F63" s="157"/>
      <c r="G63" s="155"/>
      <c r="H63" s="155"/>
      <c r="I63" s="156"/>
      <c r="K63" s="14"/>
    </row>
    <row r="64" spans="5:15" x14ac:dyDescent="0.45">
      <c r="F64" s="143"/>
      <c r="G64" s="137"/>
      <c r="H64" s="2"/>
      <c r="I64" s="2"/>
    </row>
    <row r="65" spans="3:12" x14ac:dyDescent="0.45">
      <c r="C65" s="179" t="s">
        <v>33</v>
      </c>
      <c r="D65" s="180"/>
      <c r="E65" s="180"/>
      <c r="F65" s="180"/>
      <c r="G65" s="180"/>
      <c r="H65" s="180"/>
      <c r="I65" s="180"/>
      <c r="J65" s="180"/>
      <c r="K65" s="180"/>
      <c r="L65" s="181"/>
    </row>
    <row r="66" spans="3:12" ht="15" customHeight="1" x14ac:dyDescent="0.45">
      <c r="C66" s="184"/>
      <c r="D66" s="185"/>
      <c r="E66" s="185"/>
      <c r="F66" s="185"/>
      <c r="G66" s="185"/>
      <c r="H66" s="185"/>
      <c r="I66" s="185"/>
      <c r="J66" s="185"/>
      <c r="K66" s="185"/>
      <c r="L66" s="186"/>
    </row>
    <row r="67" spans="3:12" x14ac:dyDescent="0.45">
      <c r="C67" s="187"/>
      <c r="D67" s="188"/>
      <c r="E67" s="188"/>
      <c r="F67" s="188"/>
      <c r="G67" s="188"/>
      <c r="H67" s="188"/>
      <c r="I67" s="188"/>
      <c r="J67" s="188"/>
      <c r="K67" s="188"/>
      <c r="L67" s="189"/>
    </row>
    <row r="68" spans="3:12" x14ac:dyDescent="0.45">
      <c r="C68" s="190"/>
      <c r="D68" s="191"/>
      <c r="E68" s="191"/>
      <c r="F68" s="191"/>
      <c r="G68" s="191"/>
      <c r="H68" s="191"/>
      <c r="I68" s="191"/>
      <c r="J68" s="191"/>
      <c r="K68" s="191"/>
      <c r="L68" s="192"/>
    </row>
    <row r="70" spans="3:12" x14ac:dyDescent="0.45">
      <c r="C70" s="176" t="s">
        <v>34</v>
      </c>
      <c r="D70" s="177"/>
      <c r="E70" s="177"/>
      <c r="F70" s="177"/>
      <c r="G70" s="177"/>
      <c r="H70" s="177"/>
      <c r="I70" s="177"/>
      <c r="J70" s="177"/>
      <c r="K70" s="177"/>
      <c r="L70" s="178"/>
    </row>
    <row r="71" spans="3:12" ht="14.85" customHeight="1" x14ac:dyDescent="0.45">
      <c r="C71" s="184"/>
      <c r="D71" s="185"/>
      <c r="E71" s="185"/>
      <c r="F71" s="185"/>
      <c r="G71" s="185"/>
      <c r="H71" s="185"/>
      <c r="I71" s="185"/>
      <c r="J71" s="185"/>
      <c r="K71" s="185"/>
      <c r="L71" s="186"/>
    </row>
    <row r="72" spans="3:12" x14ac:dyDescent="0.45">
      <c r="C72" s="187"/>
      <c r="D72" s="188"/>
      <c r="E72" s="188"/>
      <c r="F72" s="188"/>
      <c r="G72" s="188"/>
      <c r="H72" s="188"/>
      <c r="I72" s="188"/>
      <c r="J72" s="188"/>
      <c r="K72" s="188"/>
      <c r="L72" s="189"/>
    </row>
    <row r="73" spans="3:12" x14ac:dyDescent="0.45">
      <c r="C73" s="190"/>
      <c r="D73" s="191"/>
      <c r="E73" s="191"/>
      <c r="F73" s="191"/>
      <c r="G73" s="191"/>
      <c r="H73" s="191"/>
      <c r="I73" s="191"/>
      <c r="J73" s="191"/>
      <c r="K73" s="191"/>
      <c r="L73" s="192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70:L70"/>
    <mergeCell ref="C65:L65"/>
    <mergeCell ref="E13:I13"/>
    <mergeCell ref="F30:I30"/>
    <mergeCell ref="C71:L73"/>
    <mergeCell ref="C66:L68"/>
  </mergeCells>
  <pageMargins left="0.7" right="0.7" top="0.75" bottom="0.75" header="0.3" footer="0.3"/>
  <pageSetup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4"/>
  <sheetViews>
    <sheetView topLeftCell="A40" zoomScale="85" zoomScaleNormal="85" workbookViewId="0">
      <selection activeCell="N11" sqref="N11"/>
    </sheetView>
  </sheetViews>
  <sheetFormatPr defaultRowHeight="14.25" x14ac:dyDescent="0.45"/>
  <cols>
    <col min="4" max="4" width="9.1328125" customWidth="1"/>
    <col min="6" max="6" width="11.86328125" bestFit="1" customWidth="1" collapsed="1"/>
    <col min="7" max="7" width="21.3984375" bestFit="1" customWidth="1"/>
    <col min="8" max="8" width="19.59765625" bestFit="1" customWidth="1"/>
    <col min="9" max="9" width="17.86328125" bestFit="1" customWidth="1"/>
    <col min="10" max="10" width="10.1328125" customWidth="1"/>
    <col min="18" max="18" width="14.73046875" bestFit="1" customWidth="1"/>
  </cols>
  <sheetData>
    <row r="1" spans="3:18" ht="18" x14ac:dyDescent="0.55000000000000004">
      <c r="E1" s="194" t="s">
        <v>35</v>
      </c>
      <c r="F1" s="194"/>
      <c r="G1" s="194"/>
      <c r="H1" s="194"/>
      <c r="I1" s="194"/>
      <c r="J1" s="194"/>
    </row>
    <row r="2" spans="3:18" x14ac:dyDescent="0.45">
      <c r="E2" s="195" t="s">
        <v>23</v>
      </c>
      <c r="F2" s="195"/>
      <c r="G2" s="195"/>
      <c r="H2" s="195"/>
      <c r="I2" s="195"/>
      <c r="J2" s="195"/>
    </row>
    <row r="3" spans="3:18" ht="14.25" customHeight="1" x14ac:dyDescent="0.45">
      <c r="E3" s="196" t="s">
        <v>24</v>
      </c>
      <c r="F3" s="197"/>
      <c r="G3" s="197"/>
      <c r="H3" s="197"/>
      <c r="I3" s="197"/>
      <c r="J3" s="197"/>
    </row>
    <row r="5" spans="3:18" x14ac:dyDescent="0.45">
      <c r="C5" s="179" t="s">
        <v>25</v>
      </c>
      <c r="D5" s="180"/>
      <c r="E5" s="180"/>
      <c r="F5" s="180"/>
      <c r="G5" s="180"/>
      <c r="H5" s="180"/>
      <c r="I5" s="180"/>
      <c r="J5" s="180"/>
      <c r="K5" s="180"/>
      <c r="L5" s="181"/>
      <c r="R5" s="26"/>
    </row>
    <row r="6" spans="3:18" x14ac:dyDescent="0.45">
      <c r="C6" s="20"/>
      <c r="D6" s="21"/>
      <c r="E6" s="172" t="s">
        <v>2</v>
      </c>
      <c r="F6" s="172"/>
      <c r="G6" s="172"/>
      <c r="H6" s="172"/>
      <c r="I6" s="172"/>
      <c r="J6" s="22">
        <f>SUM(G32:G62)</f>
        <v>426205.5</v>
      </c>
      <c r="K6" s="2"/>
      <c r="L6" s="23"/>
      <c r="R6" s="26"/>
    </row>
    <row r="7" spans="3:18" x14ac:dyDescent="0.45">
      <c r="C7" s="3"/>
      <c r="D7" s="2"/>
      <c r="E7" s="182" t="s">
        <v>4</v>
      </c>
      <c r="F7" s="182"/>
      <c r="G7" s="182"/>
      <c r="H7" s="182"/>
      <c r="I7" s="182"/>
      <c r="J7" s="8">
        <f>'Predicted Data'!D9</f>
        <v>455091.20000000001</v>
      </c>
      <c r="K7" s="69"/>
      <c r="L7" s="4"/>
      <c r="R7" s="26"/>
    </row>
    <row r="8" spans="3:18" ht="15.75" x14ac:dyDescent="0.45">
      <c r="C8" s="3"/>
      <c r="D8" s="2"/>
      <c r="E8" s="182" t="s">
        <v>6</v>
      </c>
      <c r="F8" s="182"/>
      <c r="G8" s="182"/>
      <c r="H8" s="182"/>
      <c r="I8" s="182"/>
      <c r="J8" s="8">
        <f>SUM(H32:H62)</f>
        <v>136393.13199999998</v>
      </c>
      <c r="K8" s="2"/>
      <c r="L8" s="4"/>
      <c r="R8" s="26"/>
    </row>
    <row r="9" spans="3:18" ht="15.75" x14ac:dyDescent="0.45">
      <c r="C9" s="3"/>
      <c r="D9" s="2"/>
      <c r="E9" s="182" t="s">
        <v>8</v>
      </c>
      <c r="F9" s="182"/>
      <c r="G9" s="182"/>
      <c r="H9" s="182"/>
      <c r="I9" s="182"/>
      <c r="J9" s="79"/>
      <c r="K9" s="69"/>
      <c r="L9" s="4"/>
      <c r="R9" s="44"/>
    </row>
    <row r="10" spans="3:18" x14ac:dyDescent="0.45">
      <c r="C10" s="3"/>
      <c r="D10" s="2"/>
      <c r="E10" s="182" t="s">
        <v>10</v>
      </c>
      <c r="F10" s="182"/>
      <c r="G10" s="182"/>
      <c r="H10" s="182"/>
      <c r="I10" s="182"/>
      <c r="J10" s="84">
        <f>'Plant Health'!E101</f>
        <v>392392.74499999988</v>
      </c>
      <c r="K10" s="2"/>
      <c r="L10" s="4"/>
      <c r="R10" s="26"/>
    </row>
    <row r="11" spans="3:18" x14ac:dyDescent="0.45">
      <c r="C11" s="3"/>
      <c r="D11" s="2"/>
      <c r="E11" s="182" t="s">
        <v>12</v>
      </c>
      <c r="F11" s="182"/>
      <c r="G11" s="182"/>
      <c r="H11" s="182"/>
      <c r="I11" s="182"/>
      <c r="J11" s="31">
        <f>J6/J10</f>
        <v>1.0861706935993429</v>
      </c>
      <c r="K11" s="2"/>
      <c r="L11" s="4"/>
      <c r="R11" s="26"/>
    </row>
    <row r="12" spans="3:18" x14ac:dyDescent="0.45">
      <c r="C12" s="3"/>
      <c r="D12" s="2"/>
      <c r="E12" s="182" t="s">
        <v>16</v>
      </c>
      <c r="F12" s="182"/>
      <c r="G12" s="182"/>
      <c r="H12" s="182"/>
      <c r="I12" s="182"/>
      <c r="J12" s="31">
        <f>J6/J7</f>
        <v>0.93652766742138716</v>
      </c>
      <c r="K12" s="2"/>
      <c r="L12" s="4"/>
      <c r="R12" s="26"/>
    </row>
    <row r="13" spans="3:18" x14ac:dyDescent="0.45">
      <c r="C13" s="3"/>
      <c r="D13" s="2"/>
      <c r="E13" s="182" t="s">
        <v>18</v>
      </c>
      <c r="F13" s="182"/>
      <c r="G13" s="182"/>
      <c r="H13" s="182"/>
      <c r="I13" s="182"/>
      <c r="J13" s="31">
        <f>Availability!I42</f>
        <v>1</v>
      </c>
      <c r="K13" s="2"/>
      <c r="L13" s="4"/>
      <c r="R13" s="26"/>
    </row>
    <row r="14" spans="3:18" x14ac:dyDescent="0.45">
      <c r="C14" s="5"/>
      <c r="D14" s="6"/>
      <c r="E14" s="193" t="s">
        <v>20</v>
      </c>
      <c r="F14" s="193"/>
      <c r="G14" s="193"/>
      <c r="H14" s="193"/>
      <c r="I14" s="193"/>
      <c r="J14" s="9">
        <f>Availability!I50</f>
        <v>0.99878</v>
      </c>
      <c r="K14" s="6"/>
      <c r="L14" s="7"/>
      <c r="R14" s="26"/>
    </row>
    <row r="15" spans="3:18" x14ac:dyDescent="0.45">
      <c r="R15" s="26"/>
    </row>
    <row r="16" spans="3:18" x14ac:dyDescent="0.45">
      <c r="C16" s="179" t="s">
        <v>27</v>
      </c>
      <c r="D16" s="180"/>
      <c r="E16" s="180"/>
      <c r="F16" s="180"/>
      <c r="G16" s="180"/>
      <c r="H16" s="180"/>
      <c r="I16" s="180"/>
      <c r="J16" s="180"/>
      <c r="K16" s="180"/>
      <c r="L16" s="181"/>
      <c r="R16" s="26"/>
    </row>
    <row r="17" spans="5:24" x14ac:dyDescent="0.45">
      <c r="R17" s="26"/>
    </row>
    <row r="18" spans="5:24" x14ac:dyDescent="0.45">
      <c r="R18" s="26"/>
    </row>
    <row r="19" spans="5:24" x14ac:dyDescent="0.45">
      <c r="R19" s="26"/>
    </row>
    <row r="20" spans="5:24" x14ac:dyDescent="0.45">
      <c r="R20" s="26"/>
    </row>
    <row r="21" spans="5:24" x14ac:dyDescent="0.45">
      <c r="R21" s="26"/>
    </row>
    <row r="22" spans="5:24" x14ac:dyDescent="0.45">
      <c r="R22" s="26"/>
    </row>
    <row r="23" spans="5:24" x14ac:dyDescent="0.45">
      <c r="R23" s="26"/>
    </row>
    <row r="24" spans="5:24" x14ac:dyDescent="0.45">
      <c r="R24" s="26"/>
    </row>
    <row r="25" spans="5:24" x14ac:dyDescent="0.45">
      <c r="R25" s="26"/>
    </row>
    <row r="26" spans="5:24" x14ac:dyDescent="0.45">
      <c r="R26" s="26"/>
    </row>
    <row r="27" spans="5:24" x14ac:dyDescent="0.45">
      <c r="R27" s="26"/>
    </row>
    <row r="28" spans="5:24" x14ac:dyDescent="0.45">
      <c r="R28" s="26"/>
    </row>
    <row r="29" spans="5:24" x14ac:dyDescent="0.45">
      <c r="F29" s="2"/>
      <c r="G29" s="2"/>
      <c r="H29" s="2"/>
      <c r="I29" s="2"/>
      <c r="R29" s="26"/>
    </row>
    <row r="30" spans="5:24" x14ac:dyDescent="0.45">
      <c r="E30" s="11"/>
      <c r="F30" s="198" t="s">
        <v>28</v>
      </c>
      <c r="G30" s="198"/>
      <c r="H30" s="198"/>
      <c r="I30" s="199"/>
      <c r="J30" s="11"/>
      <c r="K30" s="11"/>
      <c r="L30" s="11"/>
      <c r="R30" s="26"/>
    </row>
    <row r="31" spans="5:24" s="10" customFormat="1" ht="44.1" customHeight="1" x14ac:dyDescent="0.45">
      <c r="E31" s="13"/>
      <c r="F31" s="138" t="s">
        <v>29</v>
      </c>
      <c r="G31" s="163" t="s">
        <v>30</v>
      </c>
      <c r="H31" s="164" t="s">
        <v>31</v>
      </c>
      <c r="I31" s="163" t="s">
        <v>32</v>
      </c>
      <c r="J31" s="12"/>
      <c r="K31" s="13"/>
      <c r="R31" s="45"/>
      <c r="X31"/>
    </row>
    <row r="32" spans="5:24" x14ac:dyDescent="0.45">
      <c r="E32" s="2"/>
      <c r="F32" s="154">
        <v>45778</v>
      </c>
      <c r="G32" s="162">
        <v>22260.5</v>
      </c>
      <c r="H32" s="162">
        <v>7175.2960000000003</v>
      </c>
      <c r="I32" s="162">
        <v>55.825420000000001</v>
      </c>
      <c r="J32" s="14"/>
      <c r="K32" s="14"/>
      <c r="R32" s="26"/>
    </row>
    <row r="33" spans="5:18" x14ac:dyDescent="0.45">
      <c r="E33" s="2"/>
      <c r="F33" s="154">
        <v>45779</v>
      </c>
      <c r="G33" s="162">
        <v>15378.25</v>
      </c>
      <c r="H33" s="162">
        <v>4963.1080000000002</v>
      </c>
      <c r="I33" s="162">
        <v>66.356549999999999</v>
      </c>
      <c r="J33" s="14"/>
      <c r="K33" s="14"/>
      <c r="R33" s="26"/>
    </row>
    <row r="34" spans="5:18" x14ac:dyDescent="0.45">
      <c r="E34" s="2"/>
      <c r="F34" s="154">
        <v>45780</v>
      </c>
      <c r="G34" s="162">
        <v>20609.5</v>
      </c>
      <c r="H34" s="162">
        <v>6593.89</v>
      </c>
      <c r="I34" s="162">
        <v>69.484970000000004</v>
      </c>
      <c r="J34" s="14"/>
      <c r="K34" s="14"/>
      <c r="R34" s="26"/>
    </row>
    <row r="35" spans="5:18" x14ac:dyDescent="0.45">
      <c r="E35" s="2"/>
      <c r="F35" s="154">
        <v>45781</v>
      </c>
      <c r="G35" s="162">
        <v>12718.5</v>
      </c>
      <c r="H35" s="162">
        <v>3926.375</v>
      </c>
      <c r="I35" s="162">
        <v>69.309749999999994</v>
      </c>
      <c r="J35" s="14"/>
      <c r="K35" s="14"/>
      <c r="R35" s="26"/>
    </row>
    <row r="36" spans="5:18" x14ac:dyDescent="0.45">
      <c r="E36" s="2"/>
      <c r="F36" s="154">
        <v>45782</v>
      </c>
      <c r="G36" s="162">
        <v>3544</v>
      </c>
      <c r="H36" s="162">
        <v>985.2432</v>
      </c>
      <c r="I36" s="162">
        <v>53.954270000000001</v>
      </c>
      <c r="J36" s="14"/>
      <c r="K36" s="14"/>
      <c r="R36" s="26"/>
    </row>
    <row r="37" spans="5:18" x14ac:dyDescent="0.45">
      <c r="E37" s="2"/>
      <c r="F37" s="154">
        <v>45783</v>
      </c>
      <c r="G37" s="162">
        <v>4317</v>
      </c>
      <c r="H37" s="162">
        <v>1248.182</v>
      </c>
      <c r="I37" s="162">
        <v>59.728389999999997</v>
      </c>
      <c r="J37" s="14"/>
      <c r="K37" s="14"/>
      <c r="R37" s="26"/>
    </row>
    <row r="38" spans="5:18" x14ac:dyDescent="0.45">
      <c r="E38" s="2"/>
      <c r="F38" s="154">
        <v>45784</v>
      </c>
      <c r="G38" s="162">
        <v>14006.25</v>
      </c>
      <c r="H38" s="162">
        <v>4587.9120000000003</v>
      </c>
      <c r="I38" s="162">
        <v>64.620670000000004</v>
      </c>
      <c r="J38" s="14"/>
      <c r="K38" s="14"/>
    </row>
    <row r="39" spans="5:18" x14ac:dyDescent="0.45">
      <c r="E39" s="2"/>
      <c r="F39" s="154">
        <v>45785</v>
      </c>
      <c r="G39" s="162">
        <v>14450.25</v>
      </c>
      <c r="H39" s="162">
        <v>4695.7669999999998</v>
      </c>
      <c r="I39" s="162">
        <v>64.475319999999996</v>
      </c>
      <c r="J39" s="14"/>
      <c r="K39" s="14"/>
    </row>
    <row r="40" spans="5:18" x14ac:dyDescent="0.45">
      <c r="E40" s="2"/>
      <c r="F40" s="154">
        <v>45786</v>
      </c>
      <c r="G40" s="162">
        <v>3342.5</v>
      </c>
      <c r="H40" s="162">
        <v>966.35389999999995</v>
      </c>
      <c r="I40" s="162">
        <v>52.975459999999998</v>
      </c>
      <c r="J40" s="14"/>
      <c r="K40" s="14"/>
    </row>
    <row r="41" spans="5:18" x14ac:dyDescent="0.45">
      <c r="E41" s="2"/>
      <c r="F41" s="154">
        <v>45787</v>
      </c>
      <c r="G41" s="162">
        <v>11924.75</v>
      </c>
      <c r="H41" s="162">
        <v>3629.0740000000001</v>
      </c>
      <c r="I41" s="162">
        <v>54.827669999999998</v>
      </c>
      <c r="J41" s="14"/>
      <c r="K41" s="14"/>
    </row>
    <row r="42" spans="5:18" x14ac:dyDescent="0.45">
      <c r="E42" s="2"/>
      <c r="F42" s="154">
        <v>45788</v>
      </c>
      <c r="G42" s="162">
        <v>23375</v>
      </c>
      <c r="H42" s="162">
        <v>7871.0959999999995</v>
      </c>
      <c r="I42" s="162">
        <v>58.952309999999997</v>
      </c>
      <c r="J42" s="14"/>
      <c r="K42" s="14"/>
    </row>
    <row r="43" spans="5:18" x14ac:dyDescent="0.45">
      <c r="E43" s="2"/>
      <c r="F43" s="154">
        <v>45789</v>
      </c>
      <c r="G43" s="162">
        <v>23071.5</v>
      </c>
      <c r="H43" s="162">
        <v>7679.7849999999999</v>
      </c>
      <c r="I43" s="162">
        <v>59.208840000000002</v>
      </c>
      <c r="J43" s="14"/>
      <c r="K43" s="14"/>
    </row>
    <row r="44" spans="5:18" x14ac:dyDescent="0.45">
      <c r="E44" s="2"/>
      <c r="F44" s="154">
        <v>45790</v>
      </c>
      <c r="G44" s="162">
        <v>20420.25</v>
      </c>
      <c r="H44" s="162">
        <v>6529.1229999999996</v>
      </c>
      <c r="I44" s="162">
        <v>64.133920000000003</v>
      </c>
      <c r="J44" s="14"/>
      <c r="K44" s="14"/>
    </row>
    <row r="45" spans="5:18" x14ac:dyDescent="0.45">
      <c r="E45" s="2"/>
      <c r="F45" s="154">
        <v>45791</v>
      </c>
      <c r="G45" s="162">
        <v>18492.75</v>
      </c>
      <c r="H45" s="162">
        <v>6102.2960000000003</v>
      </c>
      <c r="I45" s="162">
        <v>66.317930000000004</v>
      </c>
      <c r="J45" s="14"/>
      <c r="K45" s="14"/>
    </row>
    <row r="46" spans="5:18" x14ac:dyDescent="0.45">
      <c r="E46" s="2"/>
      <c r="F46" s="154">
        <v>45792</v>
      </c>
      <c r="G46" s="162">
        <v>6603.75</v>
      </c>
      <c r="H46" s="162">
        <v>1894.2650000000001</v>
      </c>
      <c r="I46" s="162">
        <v>65.522170000000003</v>
      </c>
      <c r="J46" s="14"/>
      <c r="K46" s="14"/>
    </row>
    <row r="47" spans="5:18" x14ac:dyDescent="0.45">
      <c r="E47" s="2"/>
      <c r="F47" s="154">
        <v>45793</v>
      </c>
      <c r="G47" s="162">
        <v>13877</v>
      </c>
      <c r="H47" s="162">
        <v>4466.6989999999996</v>
      </c>
      <c r="I47" s="162">
        <v>73.134420000000006</v>
      </c>
      <c r="J47" s="14"/>
      <c r="K47" s="14"/>
    </row>
    <row r="48" spans="5:18" x14ac:dyDescent="0.45">
      <c r="E48" s="2"/>
      <c r="F48" s="154">
        <v>45794</v>
      </c>
      <c r="G48" s="162">
        <v>10976.25</v>
      </c>
      <c r="H48" s="162">
        <v>3481.6570000000002</v>
      </c>
      <c r="I48" s="162">
        <v>69.452500000000001</v>
      </c>
      <c r="J48" s="14"/>
      <c r="K48" s="14"/>
    </row>
    <row r="49" spans="5:11" x14ac:dyDescent="0.45">
      <c r="E49" s="2"/>
      <c r="F49" s="154">
        <v>45795</v>
      </c>
      <c r="G49" s="162">
        <v>14350</v>
      </c>
      <c r="H49" s="162">
        <v>4704.3</v>
      </c>
      <c r="I49" s="162">
        <v>64.816429999999997</v>
      </c>
      <c r="J49" s="14"/>
      <c r="K49" s="14"/>
    </row>
    <row r="50" spans="5:11" x14ac:dyDescent="0.45">
      <c r="E50" s="2"/>
      <c r="F50" s="154">
        <v>45796</v>
      </c>
      <c r="G50" s="162">
        <v>18555.5</v>
      </c>
      <c r="H50" s="162">
        <v>6228.7479999999996</v>
      </c>
      <c r="I50" s="162">
        <v>58.136940000000003</v>
      </c>
      <c r="J50" s="14"/>
      <c r="K50" s="14"/>
    </row>
    <row r="51" spans="5:11" x14ac:dyDescent="0.45">
      <c r="E51" s="2"/>
      <c r="F51" s="154">
        <v>45797</v>
      </c>
      <c r="G51" s="162">
        <v>11773.25</v>
      </c>
      <c r="H51" s="162">
        <v>3464.8119999999999</v>
      </c>
      <c r="I51" s="162">
        <v>54.35575</v>
      </c>
      <c r="J51" s="14"/>
      <c r="K51" s="14"/>
    </row>
    <row r="52" spans="5:11" x14ac:dyDescent="0.45">
      <c r="E52" s="2"/>
      <c r="F52" s="154">
        <v>45798</v>
      </c>
      <c r="G52" s="162">
        <v>6210.25</v>
      </c>
      <c r="H52" s="162">
        <v>1787.87</v>
      </c>
      <c r="I52" s="162">
        <v>48.689</v>
      </c>
      <c r="J52" s="14"/>
      <c r="K52" s="14"/>
    </row>
    <row r="53" spans="5:11" x14ac:dyDescent="0.45">
      <c r="E53" s="2"/>
      <c r="F53" s="154">
        <v>45799</v>
      </c>
      <c r="G53" s="162">
        <v>3069.5</v>
      </c>
      <c r="H53" s="162">
        <v>869.35889999999995</v>
      </c>
      <c r="I53" s="162">
        <v>44.614910000000002</v>
      </c>
      <c r="J53" s="14"/>
      <c r="K53" s="14"/>
    </row>
    <row r="54" spans="5:11" x14ac:dyDescent="0.45">
      <c r="E54" s="2"/>
      <c r="F54" s="154">
        <v>45800</v>
      </c>
      <c r="G54" s="162">
        <v>11262.25</v>
      </c>
      <c r="H54" s="162">
        <v>3395.875</v>
      </c>
      <c r="I54" s="162">
        <v>51.290959999999998</v>
      </c>
      <c r="J54" s="14"/>
      <c r="K54" s="14"/>
    </row>
    <row r="55" spans="5:11" x14ac:dyDescent="0.45">
      <c r="E55" s="2"/>
      <c r="F55" s="154">
        <v>45801</v>
      </c>
      <c r="G55" s="162">
        <v>14850.75</v>
      </c>
      <c r="H55" s="162">
        <v>4802.0810000000001</v>
      </c>
      <c r="I55" s="162">
        <v>55.75264</v>
      </c>
      <c r="J55" s="14"/>
      <c r="K55" s="14"/>
    </row>
    <row r="56" spans="5:11" x14ac:dyDescent="0.45">
      <c r="E56" s="2"/>
      <c r="F56" s="154">
        <v>45802</v>
      </c>
      <c r="G56" s="162">
        <v>12243.5</v>
      </c>
      <c r="H56" s="162">
        <v>3734.43</v>
      </c>
      <c r="I56" s="162">
        <v>56.347459999999998</v>
      </c>
      <c r="J56" s="14"/>
      <c r="K56" s="14"/>
    </row>
    <row r="57" spans="5:11" x14ac:dyDescent="0.45">
      <c r="E57" s="2"/>
      <c r="F57" s="154">
        <v>45803</v>
      </c>
      <c r="G57" s="162">
        <v>19221</v>
      </c>
      <c r="H57" s="162">
        <v>6617.0110000000004</v>
      </c>
      <c r="I57" s="162">
        <v>60.228999999999999</v>
      </c>
      <c r="J57" s="14"/>
      <c r="K57" s="14"/>
    </row>
    <row r="58" spans="5:11" x14ac:dyDescent="0.45">
      <c r="E58" s="2"/>
      <c r="F58" s="154">
        <v>45804</v>
      </c>
      <c r="G58" s="162">
        <v>22156.75</v>
      </c>
      <c r="H58" s="162">
        <v>7481.1210000000001</v>
      </c>
      <c r="I58" s="162">
        <v>65.928079999999994</v>
      </c>
      <c r="J58" s="14"/>
      <c r="K58" s="14"/>
    </row>
    <row r="59" spans="5:11" x14ac:dyDescent="0.45">
      <c r="E59" s="2"/>
      <c r="F59" s="154">
        <v>45805</v>
      </c>
      <c r="G59" s="162">
        <v>20094</v>
      </c>
      <c r="H59" s="162">
        <v>6409.5209999999997</v>
      </c>
      <c r="I59" s="162">
        <v>66.875110000000006</v>
      </c>
      <c r="J59" s="14"/>
      <c r="K59" s="14"/>
    </row>
    <row r="60" spans="5:11" x14ac:dyDescent="0.45">
      <c r="E60" s="2"/>
      <c r="F60" s="154">
        <v>45806</v>
      </c>
      <c r="G60" s="162">
        <v>9435.5</v>
      </c>
      <c r="H60" s="162">
        <v>2779.692</v>
      </c>
      <c r="I60" s="162">
        <v>63.115470000000002</v>
      </c>
      <c r="J60" s="14"/>
      <c r="K60" s="14"/>
    </row>
    <row r="61" spans="5:11" x14ac:dyDescent="0.45">
      <c r="E61" s="2"/>
      <c r="F61" s="154">
        <v>45807</v>
      </c>
      <c r="G61" s="162">
        <v>15335</v>
      </c>
      <c r="H61" s="162">
        <v>4795.13</v>
      </c>
      <c r="I61" s="162">
        <v>69.252399999999994</v>
      </c>
      <c r="J61" s="14"/>
      <c r="K61" s="14"/>
    </row>
    <row r="62" spans="5:11" x14ac:dyDescent="0.45">
      <c r="E62" s="2"/>
      <c r="F62" s="154">
        <v>45808</v>
      </c>
      <c r="G62" s="162">
        <v>8280.25</v>
      </c>
      <c r="H62" s="162">
        <v>2527.06</v>
      </c>
      <c r="I62" s="162">
        <v>60.848410000000001</v>
      </c>
      <c r="J62" s="14"/>
      <c r="K62" s="14"/>
    </row>
    <row r="63" spans="5:11" x14ac:dyDescent="0.45">
      <c r="F63" s="152"/>
      <c r="G63" s="2"/>
      <c r="H63" s="2"/>
      <c r="I63" s="2"/>
    </row>
    <row r="64" spans="5:11" x14ac:dyDescent="0.45">
      <c r="F64" s="139"/>
      <c r="G64" s="2"/>
      <c r="H64" s="2"/>
      <c r="I64" s="2"/>
    </row>
    <row r="65" spans="3:12" x14ac:dyDescent="0.45">
      <c r="C65" s="176" t="s">
        <v>33</v>
      </c>
      <c r="D65" s="177"/>
      <c r="E65" s="177"/>
      <c r="F65" s="177"/>
      <c r="G65" s="177"/>
      <c r="H65" s="177"/>
      <c r="I65" s="177"/>
      <c r="J65" s="177"/>
      <c r="K65" s="177"/>
      <c r="L65" s="178"/>
    </row>
    <row r="66" spans="3:12" ht="15" customHeight="1" x14ac:dyDescent="0.45">
      <c r="C66" s="184"/>
      <c r="D66" s="185"/>
      <c r="E66" s="185"/>
      <c r="F66" s="185"/>
      <c r="G66" s="185"/>
      <c r="H66" s="185"/>
      <c r="I66" s="185"/>
      <c r="J66" s="185"/>
      <c r="K66" s="185"/>
      <c r="L66" s="186"/>
    </row>
    <row r="67" spans="3:12" x14ac:dyDescent="0.45">
      <c r="C67" s="187"/>
      <c r="D67" s="188"/>
      <c r="E67" s="188"/>
      <c r="F67" s="188"/>
      <c r="G67" s="188"/>
      <c r="H67" s="188"/>
      <c r="I67" s="188"/>
      <c r="J67" s="188"/>
      <c r="K67" s="188"/>
      <c r="L67" s="189"/>
    </row>
    <row r="68" spans="3:12" x14ac:dyDescent="0.45">
      <c r="C68" s="190"/>
      <c r="D68" s="191"/>
      <c r="E68" s="191"/>
      <c r="F68" s="191"/>
      <c r="G68" s="191"/>
      <c r="H68" s="191"/>
      <c r="I68" s="191"/>
      <c r="J68" s="191"/>
      <c r="K68" s="191"/>
      <c r="L68" s="192"/>
    </row>
    <row r="69" spans="3:12" x14ac:dyDescent="0.45"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3:12" x14ac:dyDescent="0.45">
      <c r="C70" s="176" t="s">
        <v>34</v>
      </c>
      <c r="D70" s="177"/>
      <c r="E70" s="177"/>
      <c r="F70" s="177"/>
      <c r="G70" s="177"/>
      <c r="H70" s="177"/>
      <c r="I70" s="177"/>
      <c r="J70" s="177"/>
      <c r="K70" s="177"/>
      <c r="L70" s="178"/>
    </row>
    <row r="71" spans="3:12" ht="14.85" customHeight="1" x14ac:dyDescent="0.45">
      <c r="C71" s="184"/>
      <c r="D71" s="185"/>
      <c r="E71" s="185"/>
      <c r="F71" s="185"/>
      <c r="G71" s="185"/>
      <c r="H71" s="185"/>
      <c r="I71" s="185"/>
      <c r="J71" s="185"/>
      <c r="K71" s="185"/>
      <c r="L71" s="186"/>
    </row>
    <row r="72" spans="3:12" x14ac:dyDescent="0.45">
      <c r="C72" s="187"/>
      <c r="D72" s="188"/>
      <c r="E72" s="188"/>
      <c r="F72" s="188"/>
      <c r="G72" s="188"/>
      <c r="H72" s="188"/>
      <c r="I72" s="188"/>
      <c r="J72" s="188"/>
      <c r="K72" s="188"/>
      <c r="L72" s="189"/>
    </row>
    <row r="73" spans="3:12" x14ac:dyDescent="0.45">
      <c r="C73" s="190"/>
      <c r="D73" s="191"/>
      <c r="E73" s="191"/>
      <c r="F73" s="191"/>
      <c r="G73" s="191"/>
      <c r="H73" s="191"/>
      <c r="I73" s="191"/>
      <c r="J73" s="191"/>
      <c r="K73" s="191"/>
      <c r="L73" s="192"/>
    </row>
    <row r="74" spans="3:12" x14ac:dyDescent="0.45">
      <c r="C74" s="57"/>
      <c r="D74" s="57"/>
      <c r="E74" s="57"/>
      <c r="F74" s="57"/>
      <c r="G74" s="57"/>
      <c r="H74" s="57"/>
      <c r="I74" s="57"/>
      <c r="J74" s="57"/>
      <c r="K74" s="57"/>
      <c r="L74" s="57"/>
    </row>
  </sheetData>
  <mergeCells count="19">
    <mergeCell ref="E1:J1"/>
    <mergeCell ref="E2:J2"/>
    <mergeCell ref="E3:J3"/>
    <mergeCell ref="E8:I8"/>
    <mergeCell ref="E9:I9"/>
    <mergeCell ref="E6:I6"/>
    <mergeCell ref="C71:L73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5:L65"/>
    <mergeCell ref="C70:L70"/>
    <mergeCell ref="C66:L68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3"/>
  <sheetViews>
    <sheetView topLeftCell="A12" zoomScale="80" zoomScaleNormal="80" workbookViewId="0">
      <selection activeCell="Q12" sqref="Q12"/>
    </sheetView>
  </sheetViews>
  <sheetFormatPr defaultColWidth="9" defaultRowHeight="14.25" x14ac:dyDescent="0.45"/>
  <cols>
    <col min="1" max="5" width="9" style="106"/>
    <col min="6" max="6" width="13.73046875" style="106" customWidth="1" collapsed="1"/>
    <col min="7" max="7" width="20" style="106" bestFit="1" customWidth="1"/>
    <col min="8" max="8" width="17.3984375" style="106" bestFit="1" customWidth="1"/>
    <col min="9" max="16384" width="9" style="106"/>
  </cols>
  <sheetData>
    <row r="1" spans="3:13" ht="18" x14ac:dyDescent="0.55000000000000004">
      <c r="E1" s="218" t="s">
        <v>36</v>
      </c>
      <c r="F1" s="218"/>
      <c r="G1" s="218"/>
      <c r="H1" s="218"/>
      <c r="I1" s="218"/>
      <c r="J1" s="218"/>
    </row>
    <row r="2" spans="3:13" x14ac:dyDescent="0.45">
      <c r="E2" s="219" t="s">
        <v>23</v>
      </c>
      <c r="F2" s="219"/>
      <c r="G2" s="219"/>
      <c r="H2" s="219"/>
      <c r="I2" s="219"/>
      <c r="J2" s="219"/>
    </row>
    <row r="3" spans="3:13" ht="14.25" customHeight="1" x14ac:dyDescent="0.45">
      <c r="E3" s="196" t="s">
        <v>92</v>
      </c>
      <c r="F3" s="197"/>
      <c r="G3" s="197"/>
      <c r="H3" s="197"/>
      <c r="I3" s="197"/>
      <c r="J3" s="197"/>
    </row>
    <row r="5" spans="3:13" x14ac:dyDescent="0.45">
      <c r="C5" s="210" t="s">
        <v>25</v>
      </c>
      <c r="D5" s="211"/>
      <c r="E5" s="211"/>
      <c r="F5" s="211"/>
      <c r="G5" s="211"/>
      <c r="H5" s="211"/>
      <c r="I5" s="211"/>
      <c r="J5" s="211"/>
      <c r="K5" s="211"/>
      <c r="L5" s="212"/>
    </row>
    <row r="6" spans="3:13" x14ac:dyDescent="0.45">
      <c r="C6" s="107"/>
      <c r="D6" s="108"/>
      <c r="E6" s="220" t="s">
        <v>2</v>
      </c>
      <c r="F6" s="220"/>
      <c r="G6" s="220"/>
      <c r="H6" s="220"/>
      <c r="I6" s="220"/>
      <c r="J6" s="109">
        <f>SUM(G32:G62)</f>
        <v>526758</v>
      </c>
      <c r="K6" s="108"/>
      <c r="L6" s="110"/>
    </row>
    <row r="7" spans="3:13" x14ac:dyDescent="0.45">
      <c r="C7" s="111"/>
      <c r="E7" s="217" t="s">
        <v>4</v>
      </c>
      <c r="F7" s="217"/>
      <c r="G7" s="217"/>
      <c r="H7" s="217"/>
      <c r="I7" s="217"/>
      <c r="J7" s="112">
        <f>'Predicted Data'!D33</f>
        <v>491560</v>
      </c>
      <c r="K7" s="113"/>
      <c r="L7" s="114"/>
    </row>
    <row r="8" spans="3:13" ht="15.75" x14ac:dyDescent="0.45">
      <c r="C8" s="111"/>
      <c r="E8" s="217" t="s">
        <v>6</v>
      </c>
      <c r="F8" s="217"/>
      <c r="G8" s="217"/>
      <c r="H8" s="217"/>
      <c r="I8" s="217"/>
      <c r="J8" s="112">
        <f>SUM(H32:H62)</f>
        <v>204299.35700000002</v>
      </c>
      <c r="L8" s="114"/>
    </row>
    <row r="9" spans="3:13" ht="15.75" x14ac:dyDescent="0.45">
      <c r="C9" s="111"/>
      <c r="E9" s="217" t="s">
        <v>8</v>
      </c>
      <c r="F9" s="217"/>
      <c r="G9" s="217"/>
      <c r="H9" s="217"/>
      <c r="I9" s="217"/>
      <c r="J9" s="115"/>
      <c r="K9" s="113"/>
      <c r="L9" s="114"/>
    </row>
    <row r="10" spans="3:13" x14ac:dyDescent="0.45">
      <c r="C10" s="111"/>
      <c r="E10" s="217" t="s">
        <v>10</v>
      </c>
      <c r="F10" s="217"/>
      <c r="G10" s="217"/>
      <c r="H10" s="217"/>
      <c r="I10" s="217"/>
      <c r="J10" s="116">
        <f>'Plant Health'!K97</f>
        <v>330650.56599999988</v>
      </c>
      <c r="L10" s="114"/>
    </row>
    <row r="11" spans="3:13" x14ac:dyDescent="0.45">
      <c r="C11" s="111"/>
      <c r="E11" s="217" t="s">
        <v>12</v>
      </c>
      <c r="F11" s="217"/>
      <c r="G11" s="217"/>
      <c r="H11" s="217"/>
      <c r="I11" s="217"/>
      <c r="J11" s="117">
        <f>J6/J10</f>
        <v>1.593095715432709</v>
      </c>
      <c r="L11" s="114"/>
      <c r="M11" s="118"/>
    </row>
    <row r="12" spans="3:13" x14ac:dyDescent="0.45">
      <c r="C12" s="111"/>
      <c r="E12" s="217" t="s">
        <v>16</v>
      </c>
      <c r="F12" s="217"/>
      <c r="G12" s="217"/>
      <c r="H12" s="217"/>
      <c r="I12" s="217"/>
      <c r="J12" s="117">
        <f>J6/J7</f>
        <v>1.0716046871185614</v>
      </c>
      <c r="L12" s="114"/>
    </row>
    <row r="13" spans="3:13" x14ac:dyDescent="0.45">
      <c r="C13" s="111"/>
      <c r="E13" s="217" t="s">
        <v>18</v>
      </c>
      <c r="F13" s="217"/>
      <c r="G13" s="217"/>
      <c r="H13" s="217"/>
      <c r="I13" s="217"/>
      <c r="J13" s="117">
        <f>Availability!K38</f>
        <v>0.99429999999999996</v>
      </c>
      <c r="L13" s="114"/>
    </row>
    <row r="14" spans="3:13" x14ac:dyDescent="0.45">
      <c r="C14" s="119"/>
      <c r="D14" s="120"/>
      <c r="E14" s="209" t="s">
        <v>20</v>
      </c>
      <c r="F14" s="209"/>
      <c r="G14" s="209"/>
      <c r="H14" s="209"/>
      <c r="I14" s="209"/>
      <c r="J14" s="121">
        <f>Availability!K50</f>
        <v>0.99885999999999997</v>
      </c>
      <c r="K14" s="120"/>
      <c r="L14" s="122"/>
    </row>
    <row r="16" spans="3:13" x14ac:dyDescent="0.45">
      <c r="C16" s="210" t="s">
        <v>27</v>
      </c>
      <c r="D16" s="211"/>
      <c r="E16" s="211"/>
      <c r="F16" s="211"/>
      <c r="G16" s="211"/>
      <c r="H16" s="211"/>
      <c r="I16" s="211"/>
      <c r="J16" s="211"/>
      <c r="K16" s="211"/>
      <c r="L16" s="212"/>
    </row>
    <row r="30" spans="5:12" x14ac:dyDescent="0.45">
      <c r="E30" s="123"/>
      <c r="F30" s="213" t="s">
        <v>28</v>
      </c>
      <c r="G30" s="213"/>
      <c r="H30" s="213"/>
      <c r="I30" s="213"/>
      <c r="J30" s="123"/>
      <c r="K30" s="123"/>
      <c r="L30" s="123"/>
    </row>
    <row r="31" spans="5:12" s="126" customFormat="1" ht="44.1" customHeight="1" x14ac:dyDescent="0.45">
      <c r="E31" s="124"/>
      <c r="F31" s="125" t="s">
        <v>29</v>
      </c>
      <c r="G31" s="141" t="s">
        <v>30</v>
      </c>
      <c r="H31" s="141" t="s">
        <v>31</v>
      </c>
      <c r="I31" s="141" t="s">
        <v>32</v>
      </c>
      <c r="K31" s="124"/>
    </row>
    <row r="32" spans="5:12" x14ac:dyDescent="0.45">
      <c r="F32" s="140">
        <v>45778</v>
      </c>
      <c r="G32" s="162">
        <v>11858</v>
      </c>
      <c r="H32" s="162">
        <v>4426.2839999999997</v>
      </c>
      <c r="I32" s="162">
        <v>71.207669999999993</v>
      </c>
      <c r="K32" s="127"/>
    </row>
    <row r="33" spans="6:11" x14ac:dyDescent="0.45">
      <c r="F33" s="140">
        <v>45779</v>
      </c>
      <c r="G33" s="162">
        <v>3041</v>
      </c>
      <c r="H33" s="162">
        <v>767.50310000000002</v>
      </c>
      <c r="I33" s="162">
        <v>64.356409999999997</v>
      </c>
      <c r="K33" s="127"/>
    </row>
    <row r="34" spans="6:11" x14ac:dyDescent="0.45">
      <c r="F34" s="140">
        <v>45780</v>
      </c>
      <c r="G34" s="162">
        <v>23618</v>
      </c>
      <c r="H34" s="162">
        <v>10478.459999999999</v>
      </c>
      <c r="I34" s="162">
        <v>62.792720000000003</v>
      </c>
      <c r="K34" s="127"/>
    </row>
    <row r="35" spans="6:11" x14ac:dyDescent="0.45">
      <c r="F35" s="140">
        <v>45781</v>
      </c>
      <c r="G35" s="162">
        <v>23178</v>
      </c>
      <c r="H35" s="162">
        <v>9770.1029999999992</v>
      </c>
      <c r="I35" s="162">
        <v>66.048559999999995</v>
      </c>
      <c r="K35" s="127"/>
    </row>
    <row r="36" spans="6:11" x14ac:dyDescent="0.45">
      <c r="F36" s="140">
        <v>45782</v>
      </c>
      <c r="G36" s="162">
        <v>6378</v>
      </c>
      <c r="H36" s="162">
        <v>2118.8409999999999</v>
      </c>
      <c r="I36" s="162">
        <v>61.43329</v>
      </c>
      <c r="K36" s="127"/>
    </row>
    <row r="37" spans="6:11" x14ac:dyDescent="0.45">
      <c r="F37" s="140">
        <v>45783</v>
      </c>
      <c r="G37" s="162">
        <v>5225</v>
      </c>
      <c r="H37" s="162">
        <v>1418.88</v>
      </c>
      <c r="I37" s="162">
        <v>62.961779999999997</v>
      </c>
      <c r="K37" s="127"/>
    </row>
    <row r="38" spans="6:11" x14ac:dyDescent="0.45">
      <c r="F38" s="140">
        <v>45784</v>
      </c>
      <c r="G38" s="162">
        <v>15665</v>
      </c>
      <c r="H38" s="162">
        <v>6775.7340000000004</v>
      </c>
      <c r="I38" s="162">
        <v>68.5976</v>
      </c>
      <c r="K38" s="127"/>
    </row>
    <row r="39" spans="6:11" x14ac:dyDescent="0.45">
      <c r="F39" s="140">
        <v>45785</v>
      </c>
      <c r="G39" s="162">
        <v>19477</v>
      </c>
      <c r="H39" s="162">
        <v>7612.4880000000003</v>
      </c>
      <c r="I39" s="162">
        <v>68.569940000000003</v>
      </c>
      <c r="K39" s="127"/>
    </row>
    <row r="40" spans="6:11" x14ac:dyDescent="0.45">
      <c r="F40" s="140">
        <v>45786</v>
      </c>
      <c r="G40" s="162">
        <v>21827</v>
      </c>
      <c r="H40" s="162">
        <v>9549.6460000000006</v>
      </c>
      <c r="I40" s="162">
        <v>69.919889999999995</v>
      </c>
      <c r="K40" s="127"/>
    </row>
    <row r="41" spans="6:11" x14ac:dyDescent="0.45">
      <c r="F41" s="140">
        <v>45787</v>
      </c>
      <c r="G41" s="162">
        <v>21454</v>
      </c>
      <c r="H41" s="162">
        <v>8194.375</v>
      </c>
      <c r="I41" s="162">
        <v>70.657759999999996</v>
      </c>
      <c r="K41" s="127"/>
    </row>
    <row r="42" spans="6:11" x14ac:dyDescent="0.45">
      <c r="F42" s="140">
        <v>45788</v>
      </c>
      <c r="G42" s="162">
        <v>20782</v>
      </c>
      <c r="H42" s="162">
        <v>7697.7650000000003</v>
      </c>
      <c r="I42" s="162">
        <v>67.834289999999996</v>
      </c>
      <c r="K42" s="127"/>
    </row>
    <row r="43" spans="6:11" x14ac:dyDescent="0.45">
      <c r="F43" s="140">
        <v>45789</v>
      </c>
      <c r="G43" s="162">
        <v>24255</v>
      </c>
      <c r="H43" s="162">
        <v>9742.82</v>
      </c>
      <c r="I43" s="162">
        <v>72.422359999999998</v>
      </c>
      <c r="K43" s="127"/>
    </row>
    <row r="44" spans="6:11" x14ac:dyDescent="0.45">
      <c r="F44" s="140">
        <v>45790</v>
      </c>
      <c r="G44" s="162">
        <v>23232</v>
      </c>
      <c r="H44" s="162">
        <v>8946.6790000000001</v>
      </c>
      <c r="I44" s="162">
        <v>81.909970000000001</v>
      </c>
      <c r="K44" s="127"/>
    </row>
    <row r="45" spans="6:11" x14ac:dyDescent="0.45">
      <c r="F45" s="140">
        <v>45791</v>
      </c>
      <c r="G45" s="162">
        <v>22068</v>
      </c>
      <c r="H45" s="162">
        <v>8329.9349999999995</v>
      </c>
      <c r="I45" s="162">
        <v>88.256500000000003</v>
      </c>
      <c r="K45" s="127"/>
    </row>
    <row r="46" spans="6:11" x14ac:dyDescent="0.45">
      <c r="F46" s="140">
        <v>45792</v>
      </c>
      <c r="G46" s="162">
        <v>14837</v>
      </c>
      <c r="H46" s="162">
        <v>5244.9949999999999</v>
      </c>
      <c r="I46" s="162">
        <v>81.989760000000004</v>
      </c>
      <c r="K46" s="127"/>
    </row>
    <row r="47" spans="6:11" x14ac:dyDescent="0.45">
      <c r="F47" s="140">
        <v>45793</v>
      </c>
      <c r="G47" s="162">
        <v>14405</v>
      </c>
      <c r="H47" s="162">
        <v>4918.598</v>
      </c>
      <c r="I47" s="162">
        <v>81.714280000000002</v>
      </c>
      <c r="K47" s="127"/>
    </row>
    <row r="48" spans="6:11" x14ac:dyDescent="0.45">
      <c r="F48" s="140">
        <v>45794</v>
      </c>
      <c r="G48" s="162">
        <v>12729</v>
      </c>
      <c r="H48" s="162">
        <v>4440.8919999999998</v>
      </c>
      <c r="I48" s="162">
        <v>81.910340000000005</v>
      </c>
      <c r="K48" s="127"/>
    </row>
    <row r="49" spans="6:20" x14ac:dyDescent="0.45">
      <c r="F49" s="140">
        <v>45795</v>
      </c>
      <c r="G49" s="162">
        <v>7155</v>
      </c>
      <c r="H49" s="162">
        <v>2017.893</v>
      </c>
      <c r="I49" s="162">
        <v>79.423500000000004</v>
      </c>
      <c r="K49" s="127"/>
    </row>
    <row r="50" spans="6:20" x14ac:dyDescent="0.45">
      <c r="F50" s="140">
        <v>45796</v>
      </c>
      <c r="G50" s="162">
        <v>9160</v>
      </c>
      <c r="H50" s="162">
        <v>3000.0770000000002</v>
      </c>
      <c r="I50" s="162">
        <v>80.542789999999997</v>
      </c>
      <c r="K50" s="127"/>
    </row>
    <row r="51" spans="6:20" x14ac:dyDescent="0.45">
      <c r="F51" s="140">
        <v>45797</v>
      </c>
      <c r="G51" s="162">
        <v>25418</v>
      </c>
      <c r="H51" s="162">
        <v>10549.02</v>
      </c>
      <c r="I51" s="162">
        <v>75.931910000000002</v>
      </c>
      <c r="K51" s="127"/>
    </row>
    <row r="52" spans="6:20" x14ac:dyDescent="0.45">
      <c r="F52" s="140">
        <v>45798</v>
      </c>
      <c r="G52" s="162">
        <v>22464</v>
      </c>
      <c r="H52" s="162">
        <v>9107.4539999999997</v>
      </c>
      <c r="I52" s="162">
        <v>77.785839999999993</v>
      </c>
      <c r="K52" s="127"/>
    </row>
    <row r="53" spans="6:20" x14ac:dyDescent="0.45">
      <c r="F53" s="140">
        <v>45799</v>
      </c>
      <c r="G53" s="162">
        <v>17133</v>
      </c>
      <c r="H53" s="162">
        <v>6342.1009999999997</v>
      </c>
      <c r="I53" s="162">
        <v>80.871269999999996</v>
      </c>
      <c r="K53" s="127"/>
    </row>
    <row r="54" spans="6:20" x14ac:dyDescent="0.45">
      <c r="F54" s="140">
        <v>45800</v>
      </c>
      <c r="G54" s="162">
        <v>24633</v>
      </c>
      <c r="H54" s="162">
        <v>9685.5159999999996</v>
      </c>
      <c r="I54" s="162">
        <v>86.511939999999996</v>
      </c>
      <c r="K54" s="127"/>
    </row>
    <row r="55" spans="6:20" x14ac:dyDescent="0.45">
      <c r="F55" s="140">
        <v>45801</v>
      </c>
      <c r="G55" s="162">
        <v>18146</v>
      </c>
      <c r="H55" s="162">
        <v>6764.74</v>
      </c>
      <c r="I55" s="162">
        <v>87.791740000000004</v>
      </c>
      <c r="K55" s="127"/>
    </row>
    <row r="56" spans="6:20" x14ac:dyDescent="0.45">
      <c r="F56" s="140">
        <v>45802</v>
      </c>
      <c r="G56" s="162">
        <v>20266</v>
      </c>
      <c r="H56" s="162">
        <v>7844.81</v>
      </c>
      <c r="I56" s="162">
        <v>89.308940000000007</v>
      </c>
      <c r="K56" s="127"/>
    </row>
    <row r="57" spans="6:20" x14ac:dyDescent="0.45">
      <c r="F57" s="140">
        <v>45803</v>
      </c>
      <c r="G57" s="162">
        <v>4210</v>
      </c>
      <c r="H57" s="162">
        <v>994.42790000000002</v>
      </c>
      <c r="I57" s="162">
        <v>70.589150000000004</v>
      </c>
      <c r="K57" s="127"/>
    </row>
    <row r="58" spans="6:20" x14ac:dyDescent="0.45">
      <c r="F58" s="140">
        <v>45804</v>
      </c>
      <c r="G58" s="162">
        <v>19460</v>
      </c>
      <c r="H58" s="162">
        <v>7737.6260000000002</v>
      </c>
      <c r="I58" s="162">
        <v>77.097520000000003</v>
      </c>
      <c r="K58" s="127"/>
      <c r="R58" s="112"/>
      <c r="S58" s="112"/>
      <c r="T58" s="112"/>
    </row>
    <row r="59" spans="6:20" x14ac:dyDescent="0.45">
      <c r="F59" s="140">
        <v>45805</v>
      </c>
      <c r="G59" s="162">
        <v>13362</v>
      </c>
      <c r="H59" s="162">
        <v>4667.5529999999999</v>
      </c>
      <c r="I59" s="162">
        <v>75.354150000000004</v>
      </c>
      <c r="K59" s="127"/>
    </row>
    <row r="60" spans="6:20" x14ac:dyDescent="0.45">
      <c r="F60" s="140">
        <v>45806</v>
      </c>
      <c r="G60" s="162">
        <v>14908</v>
      </c>
      <c r="H60" s="162">
        <v>6239.5450000000001</v>
      </c>
      <c r="I60" s="162">
        <v>78.462249999999997</v>
      </c>
      <c r="K60" s="127"/>
      <c r="R60" s="112"/>
      <c r="S60" s="112"/>
      <c r="T60" s="112"/>
    </row>
    <row r="61" spans="6:20" x14ac:dyDescent="0.45">
      <c r="F61" s="140">
        <v>45807</v>
      </c>
      <c r="G61" s="162">
        <v>21890</v>
      </c>
      <c r="H61" s="162">
        <v>9525.9670000000006</v>
      </c>
      <c r="I61" s="162">
        <v>75.53528</v>
      </c>
      <c r="K61" s="127"/>
    </row>
    <row r="62" spans="6:20" x14ac:dyDescent="0.45">
      <c r="F62" s="140">
        <v>45808</v>
      </c>
      <c r="G62" s="162">
        <v>24524</v>
      </c>
      <c r="H62" s="162">
        <v>9388.6290000000008</v>
      </c>
      <c r="I62" s="162">
        <v>79.078450000000004</v>
      </c>
      <c r="K62" s="127"/>
    </row>
    <row r="63" spans="6:20" x14ac:dyDescent="0.45">
      <c r="F63" s="152"/>
      <c r="G63" s="150"/>
      <c r="H63" s="150"/>
      <c r="I63" s="150"/>
    </row>
    <row r="64" spans="6:20" x14ac:dyDescent="0.45">
      <c r="F64" s="153"/>
      <c r="G64" s="128"/>
    </row>
    <row r="65" spans="3:12" x14ac:dyDescent="0.45">
      <c r="C65" s="210" t="s">
        <v>33</v>
      </c>
      <c r="D65" s="211"/>
      <c r="E65" s="211"/>
      <c r="F65" s="211"/>
      <c r="G65" s="211"/>
      <c r="H65" s="211"/>
      <c r="I65" s="211"/>
      <c r="J65" s="211"/>
      <c r="K65" s="211"/>
      <c r="L65" s="212"/>
    </row>
    <row r="66" spans="3:12" ht="15" customHeight="1" x14ac:dyDescent="0.45">
      <c r="C66" s="200"/>
      <c r="D66" s="201"/>
      <c r="E66" s="201"/>
      <c r="F66" s="201"/>
      <c r="G66" s="201"/>
      <c r="H66" s="201"/>
      <c r="I66" s="201"/>
      <c r="J66" s="201"/>
      <c r="K66" s="201"/>
      <c r="L66" s="202"/>
    </row>
    <row r="67" spans="3:12" x14ac:dyDescent="0.45">
      <c r="C67" s="203"/>
      <c r="D67" s="204"/>
      <c r="E67" s="204"/>
      <c r="F67" s="204"/>
      <c r="G67" s="204"/>
      <c r="H67" s="204"/>
      <c r="I67" s="204"/>
      <c r="J67" s="204"/>
      <c r="K67" s="204"/>
      <c r="L67" s="205"/>
    </row>
    <row r="68" spans="3:12" x14ac:dyDescent="0.45">
      <c r="C68" s="206"/>
      <c r="D68" s="207"/>
      <c r="E68" s="207"/>
      <c r="F68" s="207"/>
      <c r="G68" s="207"/>
      <c r="H68" s="207"/>
      <c r="I68" s="207"/>
      <c r="J68" s="207"/>
      <c r="K68" s="207"/>
      <c r="L68" s="208"/>
    </row>
    <row r="70" spans="3:12" x14ac:dyDescent="0.45">
      <c r="C70" s="214" t="s">
        <v>34</v>
      </c>
      <c r="D70" s="215"/>
      <c r="E70" s="215"/>
      <c r="F70" s="215"/>
      <c r="G70" s="215"/>
      <c r="H70" s="215"/>
      <c r="I70" s="215"/>
      <c r="J70" s="215"/>
      <c r="K70" s="215"/>
      <c r="L70" s="216"/>
    </row>
    <row r="71" spans="3:12" ht="14.85" customHeight="1" x14ac:dyDescent="0.45">
      <c r="C71" s="200"/>
      <c r="D71" s="201"/>
      <c r="E71" s="201"/>
      <c r="F71" s="201"/>
      <c r="G71" s="201"/>
      <c r="H71" s="201"/>
      <c r="I71" s="201"/>
      <c r="J71" s="201"/>
      <c r="K71" s="201"/>
      <c r="L71" s="202"/>
    </row>
    <row r="72" spans="3:12" x14ac:dyDescent="0.45">
      <c r="C72" s="203"/>
      <c r="D72" s="204"/>
      <c r="E72" s="204"/>
      <c r="F72" s="204"/>
      <c r="G72" s="204"/>
      <c r="H72" s="204"/>
      <c r="I72" s="204"/>
      <c r="J72" s="204"/>
      <c r="K72" s="204"/>
      <c r="L72" s="205"/>
    </row>
    <row r="73" spans="3:12" x14ac:dyDescent="0.45">
      <c r="C73" s="206"/>
      <c r="D73" s="207"/>
      <c r="E73" s="207"/>
      <c r="F73" s="207"/>
      <c r="G73" s="207"/>
      <c r="H73" s="207"/>
      <c r="I73" s="207"/>
      <c r="J73" s="207"/>
      <c r="K73" s="207"/>
      <c r="L73" s="208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71:L73"/>
    <mergeCell ref="E14:I14"/>
    <mergeCell ref="C16:L16"/>
    <mergeCell ref="F30:I30"/>
    <mergeCell ref="C65:L65"/>
    <mergeCell ref="C66:L68"/>
    <mergeCell ref="C70:L70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topLeftCell="A20" zoomScaleNormal="100" workbookViewId="0">
      <selection activeCell="G55" sqref="G55"/>
    </sheetView>
  </sheetViews>
  <sheetFormatPr defaultRowHeight="14.25" x14ac:dyDescent="0.45"/>
  <cols>
    <col min="3" max="3" width="15.59765625" bestFit="1" customWidth="1"/>
    <col min="4" max="4" width="10.1328125" bestFit="1" customWidth="1"/>
    <col min="5" max="5" width="10.3984375" bestFit="1" customWidth="1"/>
    <col min="7" max="7" width="12.1328125" bestFit="1" customWidth="1"/>
    <col min="8" max="8" width="10.1328125" bestFit="1" customWidth="1"/>
    <col min="9" max="9" width="10.3984375" bestFit="1" customWidth="1"/>
    <col min="11" max="11" width="11.1328125" bestFit="1" customWidth="1"/>
    <col min="12" max="12" width="8.73046875" bestFit="1" customWidth="1"/>
  </cols>
  <sheetData>
    <row r="4" spans="3:9" x14ac:dyDescent="0.45">
      <c r="C4" s="224" t="s">
        <v>37</v>
      </c>
      <c r="D4" s="225"/>
      <c r="E4" s="226"/>
      <c r="G4" s="224" t="s">
        <v>38</v>
      </c>
      <c r="H4" s="225"/>
      <c r="I4" s="226"/>
    </row>
    <row r="5" spans="3:9" x14ac:dyDescent="0.45">
      <c r="C5" s="1"/>
      <c r="D5" s="42" t="s">
        <v>35</v>
      </c>
      <c r="E5" s="42" t="s">
        <v>22</v>
      </c>
      <c r="G5" s="1"/>
      <c r="H5" s="42" t="s">
        <v>35</v>
      </c>
      <c r="I5" s="42" t="s">
        <v>22</v>
      </c>
    </row>
    <row r="6" spans="3:9" x14ac:dyDescent="0.45">
      <c r="C6" s="43" t="s">
        <v>39</v>
      </c>
      <c r="D6" s="46"/>
      <c r="E6" s="46"/>
      <c r="G6" s="43" t="s">
        <v>39</v>
      </c>
      <c r="H6" s="62">
        <v>0.99899000000000004</v>
      </c>
      <c r="I6" s="62">
        <v>0.99677000000000004</v>
      </c>
    </row>
    <row r="7" spans="3:9" x14ac:dyDescent="0.45">
      <c r="C7" s="43" t="s">
        <v>40</v>
      </c>
      <c r="D7" s="46"/>
      <c r="E7" s="46"/>
      <c r="G7" s="43" t="s">
        <v>40</v>
      </c>
      <c r="H7" s="62">
        <v>0.99977000000000005</v>
      </c>
      <c r="I7" s="62">
        <v>0.96015000000000006</v>
      </c>
    </row>
    <row r="8" spans="3:9" x14ac:dyDescent="0.45">
      <c r="C8" s="43" t="s">
        <v>41</v>
      </c>
      <c r="D8" s="46"/>
      <c r="E8" s="46"/>
      <c r="G8" s="43" t="s">
        <v>41</v>
      </c>
      <c r="H8" s="62">
        <v>0.99834999999999996</v>
      </c>
      <c r="I8" s="62">
        <v>0.99973000000000001</v>
      </c>
    </row>
    <row r="9" spans="3:9" x14ac:dyDescent="0.45">
      <c r="C9" s="43" t="s">
        <v>42</v>
      </c>
      <c r="D9" s="46"/>
      <c r="E9" s="46"/>
      <c r="G9" s="43" t="s">
        <v>42</v>
      </c>
      <c r="H9" s="62">
        <v>1</v>
      </c>
      <c r="I9" s="62">
        <v>1</v>
      </c>
    </row>
    <row r="10" spans="3:9" x14ac:dyDescent="0.45">
      <c r="C10" s="43" t="s">
        <v>43</v>
      </c>
      <c r="D10" s="46"/>
      <c r="E10" s="46"/>
      <c r="G10" s="43" t="s">
        <v>43</v>
      </c>
      <c r="H10" s="62">
        <v>1</v>
      </c>
      <c r="I10" s="62">
        <v>1</v>
      </c>
    </row>
    <row r="11" spans="3:9" x14ac:dyDescent="0.45">
      <c r="C11" s="43" t="s">
        <v>44</v>
      </c>
      <c r="D11" s="46"/>
      <c r="E11" s="46"/>
      <c r="G11" s="43" t="s">
        <v>44</v>
      </c>
      <c r="H11" s="62">
        <v>1</v>
      </c>
      <c r="I11" s="62">
        <v>0.99909999999999999</v>
      </c>
    </row>
    <row r="12" spans="3:9" x14ac:dyDescent="0.45">
      <c r="C12" s="43" t="s">
        <v>45</v>
      </c>
      <c r="D12" s="46">
        <v>0.98024</v>
      </c>
      <c r="E12" s="46">
        <v>1</v>
      </c>
      <c r="G12" s="43" t="s">
        <v>45</v>
      </c>
      <c r="H12" s="62">
        <v>1</v>
      </c>
      <c r="I12" s="62">
        <v>1</v>
      </c>
    </row>
    <row r="13" spans="3:9" x14ac:dyDescent="0.45">
      <c r="C13" s="43" t="s">
        <v>46</v>
      </c>
      <c r="D13" s="46">
        <v>0.98093999999999992</v>
      </c>
      <c r="E13" s="46">
        <v>1</v>
      </c>
      <c r="G13" s="43" t="s">
        <v>46</v>
      </c>
      <c r="H13" s="90">
        <v>0.998</v>
      </c>
      <c r="I13" s="91">
        <v>1</v>
      </c>
    </row>
    <row r="14" spans="3:9" x14ac:dyDescent="0.45">
      <c r="C14" s="43" t="s">
        <v>47</v>
      </c>
      <c r="D14" s="46">
        <v>0.97177999999999998</v>
      </c>
      <c r="E14" s="46">
        <v>1</v>
      </c>
      <c r="G14" s="43" t="s">
        <v>47</v>
      </c>
      <c r="H14" s="90">
        <v>1</v>
      </c>
      <c r="I14" s="91">
        <v>0.97929999999999995</v>
      </c>
    </row>
    <row r="15" spans="3:9" x14ac:dyDescent="0.45">
      <c r="C15" s="43" t="s">
        <v>48</v>
      </c>
      <c r="D15" s="46">
        <v>0.99820999999999993</v>
      </c>
      <c r="E15" s="46">
        <v>0.99462000000000006</v>
      </c>
      <c r="G15" s="43" t="s">
        <v>48</v>
      </c>
      <c r="H15" s="62">
        <v>1</v>
      </c>
      <c r="I15" s="62">
        <v>1</v>
      </c>
    </row>
    <row r="16" spans="3:9" x14ac:dyDescent="0.45">
      <c r="C16" s="43" t="s">
        <v>49</v>
      </c>
      <c r="D16" s="46">
        <v>1</v>
      </c>
      <c r="E16" s="46">
        <v>1</v>
      </c>
      <c r="G16" s="43" t="s">
        <v>49</v>
      </c>
      <c r="H16" s="62">
        <v>1</v>
      </c>
      <c r="I16" s="46">
        <v>0.98499999999999999</v>
      </c>
    </row>
    <row r="17" spans="3:12" x14ac:dyDescent="0.45">
      <c r="C17" s="43" t="s">
        <v>50</v>
      </c>
      <c r="D17" s="46">
        <v>1</v>
      </c>
      <c r="E17" s="46">
        <v>0.99820999999999993</v>
      </c>
      <c r="G17" s="43" t="s">
        <v>50</v>
      </c>
      <c r="H17" s="46">
        <v>0.98167000000000004</v>
      </c>
      <c r="I17" s="46">
        <v>1</v>
      </c>
    </row>
    <row r="18" spans="3:12" x14ac:dyDescent="0.45">
      <c r="C18" s="56" t="s">
        <v>51</v>
      </c>
      <c r="D18" s="52">
        <f>AVERAGE(D6:D17)</f>
        <v>0.98852833333333334</v>
      </c>
      <c r="E18" s="52">
        <f>AVERAGE(E6:E17)</f>
        <v>0.99880500000000005</v>
      </c>
      <c r="G18" s="56" t="s">
        <v>51</v>
      </c>
      <c r="H18" s="52">
        <f>AVERAGE(H6:H17)</f>
        <v>0.99806499999999998</v>
      </c>
      <c r="I18" s="52">
        <f>AVERAGE(I6:I17)</f>
        <v>0.99333749999999998</v>
      </c>
    </row>
    <row r="20" spans="3:12" x14ac:dyDescent="0.45">
      <c r="C20" s="224" t="s">
        <v>52</v>
      </c>
      <c r="D20" s="225"/>
      <c r="E20" s="226"/>
      <c r="G20" s="221" t="s">
        <v>53</v>
      </c>
      <c r="H20" s="227"/>
      <c r="I20" s="222"/>
      <c r="K20" s="221" t="s">
        <v>53</v>
      </c>
      <c r="L20" s="222"/>
    </row>
    <row r="21" spans="3:12" x14ac:dyDescent="0.45">
      <c r="C21" s="1"/>
      <c r="D21" s="42" t="s">
        <v>35</v>
      </c>
      <c r="E21" s="42" t="s">
        <v>22</v>
      </c>
      <c r="G21" s="1"/>
      <c r="H21" s="42" t="s">
        <v>35</v>
      </c>
      <c r="I21" s="42" t="s">
        <v>22</v>
      </c>
      <c r="K21" s="1"/>
      <c r="L21" s="42" t="s">
        <v>36</v>
      </c>
    </row>
    <row r="22" spans="3:12" x14ac:dyDescent="0.45">
      <c r="C22" s="43" t="s">
        <v>39</v>
      </c>
      <c r="D22" s="62">
        <v>1</v>
      </c>
      <c r="E22" s="62">
        <v>1</v>
      </c>
      <c r="G22" s="43" t="s">
        <v>39</v>
      </c>
      <c r="H22" s="62">
        <v>1</v>
      </c>
      <c r="I22" s="62">
        <v>0.99860000000000004</v>
      </c>
      <c r="K22" s="43" t="s">
        <v>39</v>
      </c>
      <c r="L22" s="62">
        <v>0.9647</v>
      </c>
    </row>
    <row r="23" spans="3:12" x14ac:dyDescent="0.45">
      <c r="C23" s="43" t="s">
        <v>40</v>
      </c>
      <c r="D23" s="62">
        <v>1</v>
      </c>
      <c r="E23" s="62">
        <v>0.99867000000000006</v>
      </c>
      <c r="G23" s="43" t="s">
        <v>40</v>
      </c>
      <c r="H23" s="62">
        <v>1</v>
      </c>
      <c r="I23" s="62">
        <v>0.99960000000000004</v>
      </c>
      <c r="K23" s="43" t="s">
        <v>40</v>
      </c>
      <c r="L23" s="62">
        <v>0.82140000000000002</v>
      </c>
    </row>
    <row r="24" spans="3:12" x14ac:dyDescent="0.45">
      <c r="C24" s="43" t="s">
        <v>41</v>
      </c>
      <c r="D24" s="62">
        <v>1</v>
      </c>
      <c r="E24" s="62">
        <v>1</v>
      </c>
      <c r="G24" s="43" t="s">
        <v>41</v>
      </c>
      <c r="H24" s="62">
        <v>1</v>
      </c>
      <c r="I24" s="62">
        <v>1</v>
      </c>
      <c r="K24" s="43" t="s">
        <v>41</v>
      </c>
      <c r="L24" s="62">
        <v>1</v>
      </c>
    </row>
    <row r="25" spans="3:12" x14ac:dyDescent="0.45">
      <c r="C25" s="43" t="s">
        <v>42</v>
      </c>
      <c r="D25" s="62">
        <v>1</v>
      </c>
      <c r="E25" s="62">
        <v>1</v>
      </c>
      <c r="G25" s="43" t="s">
        <v>42</v>
      </c>
      <c r="H25" s="62">
        <v>1</v>
      </c>
      <c r="I25" s="62">
        <v>1</v>
      </c>
      <c r="K25" s="43" t="s">
        <v>42</v>
      </c>
      <c r="L25" s="62">
        <v>1</v>
      </c>
    </row>
    <row r="26" spans="3:12" x14ac:dyDescent="0.45">
      <c r="C26" s="43" t="s">
        <v>43</v>
      </c>
      <c r="D26" s="62">
        <v>0.99953999999999998</v>
      </c>
      <c r="E26" s="62">
        <v>0.99919000000000002</v>
      </c>
      <c r="G26" s="43" t="s">
        <v>43</v>
      </c>
      <c r="H26" s="62">
        <v>1</v>
      </c>
      <c r="I26" s="62">
        <v>1</v>
      </c>
      <c r="K26" s="43" t="s">
        <v>43</v>
      </c>
      <c r="L26" s="62">
        <v>1</v>
      </c>
    </row>
    <row r="27" spans="3:12" x14ac:dyDescent="0.45">
      <c r="C27" s="43" t="s">
        <v>44</v>
      </c>
      <c r="D27" s="62">
        <v>1</v>
      </c>
      <c r="E27" s="62">
        <v>1</v>
      </c>
      <c r="G27" s="43" t="s">
        <v>44</v>
      </c>
      <c r="H27" s="62">
        <v>1</v>
      </c>
      <c r="I27" s="62">
        <v>0.88139999999999996</v>
      </c>
      <c r="K27" s="43" t="s">
        <v>44</v>
      </c>
      <c r="L27" s="136">
        <v>1</v>
      </c>
    </row>
    <row r="28" spans="3:12" x14ac:dyDescent="0.45">
      <c r="C28" s="43" t="s">
        <v>45</v>
      </c>
      <c r="D28" s="62">
        <v>1</v>
      </c>
      <c r="E28" s="62">
        <v>1</v>
      </c>
      <c r="G28" s="43" t="s">
        <v>45</v>
      </c>
      <c r="H28" s="62">
        <v>0.99544999999999995</v>
      </c>
      <c r="I28" s="62">
        <v>1</v>
      </c>
      <c r="K28" s="43" t="s">
        <v>45</v>
      </c>
      <c r="L28" s="136">
        <v>1</v>
      </c>
    </row>
    <row r="29" spans="3:12" x14ac:dyDescent="0.45">
      <c r="C29" s="43" t="s">
        <v>46</v>
      </c>
      <c r="D29" s="62">
        <v>1</v>
      </c>
      <c r="E29" s="62">
        <v>0.99942999999999993</v>
      </c>
      <c r="G29" s="43" t="s">
        <v>46</v>
      </c>
      <c r="H29" s="62">
        <v>1</v>
      </c>
      <c r="I29" s="62">
        <v>1</v>
      </c>
      <c r="K29" s="43" t="s">
        <v>46</v>
      </c>
      <c r="L29" s="62">
        <v>0.98</v>
      </c>
    </row>
    <row r="30" spans="3:12" x14ac:dyDescent="0.45">
      <c r="C30" s="43" t="s">
        <v>47</v>
      </c>
      <c r="D30" s="62">
        <v>1</v>
      </c>
      <c r="E30" s="62">
        <v>1</v>
      </c>
      <c r="G30" s="43" t="s">
        <v>47</v>
      </c>
      <c r="H30" s="62">
        <v>1</v>
      </c>
      <c r="I30" s="62">
        <v>1</v>
      </c>
      <c r="K30" s="43" t="s">
        <v>47</v>
      </c>
      <c r="L30" s="62">
        <v>1</v>
      </c>
    </row>
    <row r="31" spans="3:12" x14ac:dyDescent="0.45">
      <c r="C31" s="43" t="s">
        <v>48</v>
      </c>
      <c r="D31" s="46">
        <v>1</v>
      </c>
      <c r="E31" s="46">
        <v>0.99968000000000001</v>
      </c>
      <c r="G31" s="43" t="s">
        <v>48</v>
      </c>
      <c r="H31" s="62">
        <v>0.99950000000000006</v>
      </c>
      <c r="I31" s="62">
        <v>1</v>
      </c>
      <c r="K31" s="43" t="s">
        <v>48</v>
      </c>
      <c r="L31" s="62">
        <v>1</v>
      </c>
    </row>
    <row r="32" spans="3:12" x14ac:dyDescent="0.45">
      <c r="C32" s="43" t="s">
        <v>49</v>
      </c>
      <c r="D32" s="46">
        <v>1</v>
      </c>
      <c r="E32" s="46">
        <v>0.99951999999999996</v>
      </c>
      <c r="G32" s="43" t="s">
        <v>49</v>
      </c>
      <c r="H32" s="62">
        <v>1</v>
      </c>
      <c r="I32" s="46" t="s">
        <v>54</v>
      </c>
      <c r="K32" s="43" t="s">
        <v>49</v>
      </c>
      <c r="L32" s="142">
        <v>0.96</v>
      </c>
    </row>
    <row r="33" spans="3:12" x14ac:dyDescent="0.45">
      <c r="C33" s="43" t="s">
        <v>50</v>
      </c>
      <c r="D33" s="46">
        <v>1</v>
      </c>
      <c r="E33" s="46">
        <v>1</v>
      </c>
      <c r="G33" s="43" t="s">
        <v>50</v>
      </c>
      <c r="H33" s="46">
        <v>1</v>
      </c>
      <c r="I33" s="46">
        <v>1</v>
      </c>
      <c r="K33" s="43" t="s">
        <v>50</v>
      </c>
      <c r="L33" s="46">
        <v>1</v>
      </c>
    </row>
    <row r="34" spans="3:12" x14ac:dyDescent="0.45">
      <c r="C34" s="56" t="s">
        <v>51</v>
      </c>
      <c r="D34" s="52">
        <f>AVERAGE(D22:D33)</f>
        <v>0.99996166666666664</v>
      </c>
      <c r="E34" s="52">
        <f>AVERAGE(E22:E33)</f>
        <v>0.99970749999999997</v>
      </c>
      <c r="G34" s="56" t="s">
        <v>51</v>
      </c>
      <c r="H34" s="52">
        <f>AVERAGE(H22:H33)</f>
        <v>0.99957916666666657</v>
      </c>
      <c r="I34" s="52">
        <f>AVERAGE(I22:I33)</f>
        <v>0.98905454545454541</v>
      </c>
      <c r="K34" s="56" t="s">
        <v>51</v>
      </c>
      <c r="L34" s="52">
        <f>AVERAGE(L22:L33)</f>
        <v>0.9771749999999999</v>
      </c>
    </row>
    <row r="36" spans="3:12" x14ac:dyDescent="0.45">
      <c r="C36" s="223" t="s">
        <v>55</v>
      </c>
      <c r="D36" s="223"/>
      <c r="E36" s="223"/>
      <c r="F36" s="223"/>
      <c r="H36" s="223" t="s">
        <v>56</v>
      </c>
      <c r="I36" s="223"/>
      <c r="J36" s="223"/>
      <c r="K36" s="223"/>
    </row>
    <row r="37" spans="3:12" x14ac:dyDescent="0.45">
      <c r="C37" s="1"/>
      <c r="D37" s="42" t="s">
        <v>35</v>
      </c>
      <c r="E37" s="42" t="s">
        <v>22</v>
      </c>
      <c r="F37" s="42" t="s">
        <v>36</v>
      </c>
      <c r="H37" s="1"/>
      <c r="I37" s="42" t="s">
        <v>35</v>
      </c>
      <c r="J37" s="42" t="s">
        <v>22</v>
      </c>
      <c r="K37" s="42" t="s">
        <v>36</v>
      </c>
    </row>
    <row r="38" spans="3:12" x14ac:dyDescent="0.45">
      <c r="C38" s="43" t="s">
        <v>39</v>
      </c>
      <c r="D38" s="62">
        <v>1</v>
      </c>
      <c r="E38" s="62">
        <v>0.98660000000000003</v>
      </c>
      <c r="F38" s="62">
        <v>1</v>
      </c>
      <c r="H38" s="43" t="s">
        <v>39</v>
      </c>
      <c r="I38" s="62">
        <v>0.99419999999999997</v>
      </c>
      <c r="J38" s="62">
        <v>0.99180000000000001</v>
      </c>
      <c r="K38" s="62">
        <v>0.99429999999999996</v>
      </c>
    </row>
    <row r="39" spans="3:12" x14ac:dyDescent="0.45">
      <c r="C39" s="43" t="s">
        <v>40</v>
      </c>
      <c r="D39" s="62">
        <v>0.99970000000000003</v>
      </c>
      <c r="E39" s="62">
        <v>1</v>
      </c>
      <c r="F39" s="62">
        <v>0.99809999999999999</v>
      </c>
      <c r="H39" s="43" t="s">
        <v>40</v>
      </c>
      <c r="I39" s="62">
        <v>0.99970000000000003</v>
      </c>
      <c r="J39" s="62">
        <v>0.98819999999999997</v>
      </c>
      <c r="K39" s="62">
        <v>1</v>
      </c>
    </row>
    <row r="40" spans="3:12" x14ac:dyDescent="0.45">
      <c r="C40" s="43" t="s">
        <v>41</v>
      </c>
      <c r="D40" s="62">
        <v>1</v>
      </c>
      <c r="E40" s="62">
        <v>1</v>
      </c>
      <c r="F40" s="62">
        <v>0.99750000000000005</v>
      </c>
      <c r="H40" s="43" t="s">
        <v>41</v>
      </c>
      <c r="I40" s="62">
        <v>1</v>
      </c>
      <c r="J40" s="62">
        <v>1</v>
      </c>
      <c r="K40" s="62">
        <v>1</v>
      </c>
    </row>
    <row r="41" spans="3:12" x14ac:dyDescent="0.45">
      <c r="C41" s="43" t="s">
        <v>42</v>
      </c>
      <c r="D41" s="62">
        <v>1</v>
      </c>
      <c r="E41" s="62">
        <v>1</v>
      </c>
      <c r="F41" s="62">
        <v>1</v>
      </c>
      <c r="H41" s="43" t="s">
        <v>42</v>
      </c>
      <c r="I41" s="62">
        <v>1</v>
      </c>
      <c r="J41" s="62">
        <v>1</v>
      </c>
      <c r="K41" s="62">
        <v>1</v>
      </c>
    </row>
    <row r="42" spans="3:12" x14ac:dyDescent="0.45">
      <c r="C42" s="43" t="s">
        <v>43</v>
      </c>
      <c r="D42" s="62">
        <v>1</v>
      </c>
      <c r="E42" s="62">
        <v>1</v>
      </c>
      <c r="F42" s="62">
        <v>1</v>
      </c>
      <c r="H42" s="43" t="s">
        <v>43</v>
      </c>
      <c r="I42" s="62">
        <v>1</v>
      </c>
      <c r="J42" s="62">
        <v>1</v>
      </c>
      <c r="K42" s="62">
        <v>1</v>
      </c>
    </row>
    <row r="43" spans="3:12" x14ac:dyDescent="0.45">
      <c r="C43" s="43" t="s">
        <v>44</v>
      </c>
      <c r="D43" s="62">
        <v>1</v>
      </c>
      <c r="E43" s="62">
        <v>1</v>
      </c>
      <c r="F43" s="62">
        <v>1</v>
      </c>
      <c r="H43" s="43" t="s">
        <v>44</v>
      </c>
      <c r="I43" s="62"/>
      <c r="J43" s="62"/>
      <c r="K43" s="62"/>
    </row>
    <row r="44" spans="3:12" x14ac:dyDescent="0.45">
      <c r="C44" s="43" t="s">
        <v>45</v>
      </c>
      <c r="D44" s="62">
        <v>1</v>
      </c>
      <c r="E44" s="149">
        <v>1</v>
      </c>
      <c r="F44" s="62">
        <v>1</v>
      </c>
      <c r="H44" s="43" t="s">
        <v>45</v>
      </c>
      <c r="I44" s="62"/>
      <c r="J44" s="149"/>
      <c r="K44" s="62"/>
    </row>
    <row r="45" spans="3:12" x14ac:dyDescent="0.45">
      <c r="C45" s="43" t="s">
        <v>46</v>
      </c>
      <c r="D45" s="62">
        <v>0.98780000000000001</v>
      </c>
      <c r="E45" s="149">
        <v>1</v>
      </c>
      <c r="F45" s="62">
        <v>1</v>
      </c>
      <c r="H45" s="43" t="s">
        <v>46</v>
      </c>
      <c r="I45" s="62"/>
      <c r="J45" s="149"/>
      <c r="K45" s="62"/>
    </row>
    <row r="46" spans="3:12" x14ac:dyDescent="0.45">
      <c r="C46" s="43" t="s">
        <v>47</v>
      </c>
      <c r="D46" s="62">
        <v>1</v>
      </c>
      <c r="E46" s="149">
        <v>1</v>
      </c>
      <c r="F46" s="62">
        <v>1</v>
      </c>
      <c r="H46" s="43" t="s">
        <v>47</v>
      </c>
      <c r="I46" s="62"/>
      <c r="J46" s="149"/>
      <c r="K46" s="62"/>
    </row>
    <row r="47" spans="3:12" x14ac:dyDescent="0.45">
      <c r="C47" s="43" t="s">
        <v>48</v>
      </c>
      <c r="D47" s="62">
        <v>1</v>
      </c>
      <c r="E47" s="62">
        <v>1</v>
      </c>
      <c r="F47" s="62">
        <v>0.97189999999999999</v>
      </c>
      <c r="H47" s="43" t="s">
        <v>48</v>
      </c>
      <c r="I47" s="62"/>
      <c r="J47" s="62"/>
      <c r="K47" s="62"/>
    </row>
    <row r="48" spans="3:12" x14ac:dyDescent="0.45">
      <c r="C48" s="43" t="s">
        <v>49</v>
      </c>
      <c r="D48" s="62">
        <v>1</v>
      </c>
      <c r="E48" s="46">
        <v>1</v>
      </c>
      <c r="F48" s="62">
        <v>0.99109999999999998</v>
      </c>
      <c r="H48" s="43" t="s">
        <v>49</v>
      </c>
      <c r="I48" s="62"/>
      <c r="J48" s="46"/>
      <c r="K48" s="62"/>
    </row>
    <row r="49" spans="3:11" x14ac:dyDescent="0.45">
      <c r="C49" s="43" t="s">
        <v>50</v>
      </c>
      <c r="D49" s="46">
        <v>0.99750000000000005</v>
      </c>
      <c r="E49" s="46">
        <v>1</v>
      </c>
      <c r="F49" s="46">
        <v>1</v>
      </c>
      <c r="H49" s="43" t="s">
        <v>50</v>
      </c>
      <c r="I49" s="46"/>
      <c r="J49" s="46"/>
      <c r="K49" s="46"/>
    </row>
    <row r="50" spans="3:11" x14ac:dyDescent="0.45">
      <c r="C50" s="56" t="s">
        <v>51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51</v>
      </c>
      <c r="I50" s="52">
        <f>AVERAGE(I38:I49)</f>
        <v>0.99878</v>
      </c>
      <c r="J50" s="52">
        <f>AVERAGE(J38:J49)</f>
        <v>0.99600000000000011</v>
      </c>
      <c r="K50" s="52">
        <f>AVERAGE(K38:K49)</f>
        <v>0.99885999999999997</v>
      </c>
    </row>
  </sheetData>
  <mergeCells count="7"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09"/>
  <sheetViews>
    <sheetView topLeftCell="A84" zoomScaleNormal="100" workbookViewId="0">
      <selection activeCell="K105" sqref="K105"/>
    </sheetView>
  </sheetViews>
  <sheetFormatPr defaultColWidth="9.1328125" defaultRowHeight="14.25" x14ac:dyDescent="0.45"/>
  <cols>
    <col min="3" max="3" width="10.59765625" bestFit="1" customWidth="1"/>
    <col min="4" max="4" width="9.1328125" customWidth="1"/>
    <col min="5" max="5" width="10.1328125" customWidth="1"/>
    <col min="6" max="6" width="9.1328125" customWidth="1"/>
    <col min="7" max="8" width="10.1328125" customWidth="1"/>
    <col min="9" max="9" width="7.73046875" customWidth="1"/>
    <col min="10" max="11" width="10.73046875" customWidth="1"/>
    <col min="13" max="13" width="11" bestFit="1" customWidth="1"/>
    <col min="14" max="14" width="12.59765625" customWidth="1"/>
  </cols>
  <sheetData>
    <row r="4" spans="3:12" x14ac:dyDescent="0.45">
      <c r="C4" s="228" t="s">
        <v>57</v>
      </c>
      <c r="D4" s="229"/>
      <c r="E4" s="229"/>
      <c r="F4" s="229"/>
      <c r="G4" s="229"/>
      <c r="H4" s="229"/>
      <c r="I4" s="229"/>
      <c r="J4" s="77"/>
      <c r="K4" s="77"/>
      <c r="L4" s="78"/>
    </row>
    <row r="5" spans="3:12" ht="15.75" x14ac:dyDescent="0.5">
      <c r="C5" s="42"/>
      <c r="D5" s="236" t="s">
        <v>35</v>
      </c>
      <c r="E5" s="237"/>
      <c r="F5" s="238"/>
      <c r="G5" s="236" t="s">
        <v>22</v>
      </c>
      <c r="H5" s="237"/>
      <c r="I5" s="238"/>
      <c r="J5" s="231" t="s">
        <v>58</v>
      </c>
      <c r="K5" s="232"/>
      <c r="L5" s="233"/>
    </row>
    <row r="6" spans="3:12" x14ac:dyDescent="0.45">
      <c r="C6" s="42"/>
      <c r="D6" s="42" t="s">
        <v>59</v>
      </c>
      <c r="E6" s="42" t="s">
        <v>60</v>
      </c>
      <c r="F6" s="42" t="s">
        <v>61</v>
      </c>
      <c r="G6" s="42" t="s">
        <v>59</v>
      </c>
      <c r="H6" s="42" t="s">
        <v>60</v>
      </c>
      <c r="I6" s="42" t="s">
        <v>61</v>
      </c>
      <c r="J6" s="49" t="s">
        <v>59</v>
      </c>
      <c r="K6" s="49" t="s">
        <v>60</v>
      </c>
      <c r="L6" s="49" t="s">
        <v>61</v>
      </c>
    </row>
    <row r="7" spans="3:12" x14ac:dyDescent="0.45">
      <c r="C7" s="47" t="s">
        <v>39</v>
      </c>
      <c r="D7" s="86" t="s">
        <v>62</v>
      </c>
      <c r="E7" s="86" t="s">
        <v>62</v>
      </c>
      <c r="F7" s="86" t="s">
        <v>62</v>
      </c>
      <c r="G7" s="86" t="s">
        <v>62</v>
      </c>
      <c r="H7" s="86" t="s">
        <v>62</v>
      </c>
      <c r="I7" s="86" t="s">
        <v>62</v>
      </c>
      <c r="J7" s="86" t="s">
        <v>62</v>
      </c>
      <c r="K7" s="86" t="s">
        <v>62</v>
      </c>
      <c r="L7" s="86" t="s">
        <v>62</v>
      </c>
    </row>
    <row r="8" spans="3:12" x14ac:dyDescent="0.45">
      <c r="C8" s="47" t="s">
        <v>40</v>
      </c>
      <c r="D8" s="86" t="s">
        <v>62</v>
      </c>
      <c r="E8" s="86" t="s">
        <v>62</v>
      </c>
      <c r="F8" s="86" t="s">
        <v>62</v>
      </c>
      <c r="G8" s="86" t="s">
        <v>62</v>
      </c>
      <c r="H8" s="86" t="s">
        <v>62</v>
      </c>
      <c r="I8" s="86" t="s">
        <v>62</v>
      </c>
      <c r="J8" s="86" t="s">
        <v>62</v>
      </c>
      <c r="K8" s="86" t="s">
        <v>62</v>
      </c>
      <c r="L8" s="86" t="s">
        <v>62</v>
      </c>
    </row>
    <row r="9" spans="3:12" x14ac:dyDescent="0.45">
      <c r="C9" s="47" t="s">
        <v>41</v>
      </c>
      <c r="D9" s="86" t="s">
        <v>62</v>
      </c>
      <c r="E9" s="86" t="s">
        <v>62</v>
      </c>
      <c r="F9" s="86" t="s">
        <v>62</v>
      </c>
      <c r="G9" s="86" t="s">
        <v>62</v>
      </c>
      <c r="H9" s="86" t="s">
        <v>62</v>
      </c>
      <c r="I9" s="86" t="s">
        <v>62</v>
      </c>
      <c r="J9" s="86" t="s">
        <v>62</v>
      </c>
      <c r="K9" s="86" t="s">
        <v>62</v>
      </c>
      <c r="L9" s="86" t="s">
        <v>62</v>
      </c>
    </row>
    <row r="10" spans="3:12" x14ac:dyDescent="0.45">
      <c r="C10" s="47" t="s">
        <v>42</v>
      </c>
      <c r="D10" s="86" t="s">
        <v>62</v>
      </c>
      <c r="E10" s="86" t="s">
        <v>62</v>
      </c>
      <c r="F10" s="86" t="s">
        <v>62</v>
      </c>
      <c r="G10" s="86" t="s">
        <v>62</v>
      </c>
      <c r="H10" s="86" t="s">
        <v>62</v>
      </c>
      <c r="I10" s="86" t="s">
        <v>62</v>
      </c>
      <c r="J10" s="86" t="s">
        <v>62</v>
      </c>
      <c r="K10" s="86" t="s">
        <v>62</v>
      </c>
      <c r="L10" s="86" t="s">
        <v>62</v>
      </c>
    </row>
    <row r="11" spans="3:12" x14ac:dyDescent="0.45">
      <c r="C11" s="47" t="s">
        <v>43</v>
      </c>
      <c r="D11" s="86" t="s">
        <v>62</v>
      </c>
      <c r="E11" s="86" t="s">
        <v>62</v>
      </c>
      <c r="F11" s="86" t="s">
        <v>62</v>
      </c>
      <c r="G11" s="86" t="s">
        <v>62</v>
      </c>
      <c r="H11" s="86" t="s">
        <v>62</v>
      </c>
      <c r="I11" s="86" t="s">
        <v>62</v>
      </c>
      <c r="J11" s="86" t="s">
        <v>62</v>
      </c>
      <c r="K11" s="86" t="s">
        <v>62</v>
      </c>
      <c r="L11" s="86" t="s">
        <v>62</v>
      </c>
    </row>
    <row r="12" spans="3:12" x14ac:dyDescent="0.45">
      <c r="C12" s="47" t="s">
        <v>44</v>
      </c>
      <c r="D12" s="86" t="s">
        <v>62</v>
      </c>
      <c r="E12" s="86" t="s">
        <v>62</v>
      </c>
      <c r="F12" s="86" t="s">
        <v>62</v>
      </c>
      <c r="G12" s="86" t="s">
        <v>62</v>
      </c>
      <c r="H12" s="86" t="s">
        <v>62</v>
      </c>
      <c r="I12" s="86" t="s">
        <v>62</v>
      </c>
      <c r="J12" s="86" t="s">
        <v>62</v>
      </c>
      <c r="K12" s="86" t="s">
        <v>62</v>
      </c>
      <c r="L12" s="86" t="s">
        <v>62</v>
      </c>
    </row>
    <row r="13" spans="3:12" x14ac:dyDescent="0.45">
      <c r="C13" s="47" t="s">
        <v>45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 x14ac:dyDescent="0.45">
      <c r="C14" s="47" t="s">
        <v>46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62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 x14ac:dyDescent="0.45">
      <c r="C15" s="47" t="s">
        <v>47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62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 x14ac:dyDescent="0.45">
      <c r="C16" s="47" t="s">
        <v>48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 x14ac:dyDescent="0.45">
      <c r="C17" s="47" t="s">
        <v>49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 x14ac:dyDescent="0.45">
      <c r="C18" s="47" t="s">
        <v>50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 x14ac:dyDescent="0.45">
      <c r="C19" s="49" t="s">
        <v>63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 x14ac:dyDescent="0.45">
      <c r="C22" s="228" t="s">
        <v>64</v>
      </c>
      <c r="D22" s="229"/>
      <c r="E22" s="229"/>
      <c r="F22" s="229"/>
      <c r="G22" s="229"/>
      <c r="H22" s="229"/>
      <c r="I22" s="229"/>
      <c r="J22" s="77"/>
      <c r="K22" s="77"/>
      <c r="L22" s="78"/>
    </row>
    <row r="23" spans="3:12" ht="15.75" x14ac:dyDescent="0.5">
      <c r="C23" s="42"/>
      <c r="D23" s="236" t="s">
        <v>35</v>
      </c>
      <c r="E23" s="237"/>
      <c r="F23" s="238"/>
      <c r="G23" s="236" t="s">
        <v>22</v>
      </c>
      <c r="H23" s="237"/>
      <c r="I23" s="238"/>
      <c r="J23" s="231" t="s">
        <v>58</v>
      </c>
      <c r="K23" s="232"/>
      <c r="L23" s="233"/>
    </row>
    <row r="24" spans="3:12" x14ac:dyDescent="0.45">
      <c r="C24" s="42"/>
      <c r="D24" s="42" t="s">
        <v>59</v>
      </c>
      <c r="E24" s="42" t="s">
        <v>60</v>
      </c>
      <c r="F24" s="42" t="s">
        <v>61</v>
      </c>
      <c r="G24" s="42" t="s">
        <v>59</v>
      </c>
      <c r="H24" s="42" t="s">
        <v>60</v>
      </c>
      <c r="I24" s="42" t="s">
        <v>61</v>
      </c>
      <c r="J24" s="49" t="s">
        <v>59</v>
      </c>
      <c r="K24" s="49" t="s">
        <v>60</v>
      </c>
      <c r="L24" s="49" t="s">
        <v>61</v>
      </c>
    </row>
    <row r="25" spans="3:12" x14ac:dyDescent="0.45">
      <c r="C25" s="47" t="s">
        <v>39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 x14ac:dyDescent="0.45">
      <c r="C26" s="47" t="s">
        <v>40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 x14ac:dyDescent="0.45">
      <c r="C27" s="47" t="s">
        <v>41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 x14ac:dyDescent="0.45">
      <c r="C28" s="47" t="s">
        <v>42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 x14ac:dyDescent="0.45">
      <c r="C29" s="47" t="s">
        <v>43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 x14ac:dyDescent="0.45">
      <c r="C30" s="47" t="s">
        <v>44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 x14ac:dyDescent="0.45">
      <c r="C31" s="47" t="s">
        <v>45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 x14ac:dyDescent="0.45">
      <c r="C32" s="47" t="s">
        <v>46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 x14ac:dyDescent="0.45">
      <c r="C33" s="47" t="s">
        <v>47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 x14ac:dyDescent="0.45">
      <c r="C34" s="47" t="s">
        <v>48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 x14ac:dyDescent="0.45">
      <c r="C35" s="47" t="s">
        <v>49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 x14ac:dyDescent="0.45">
      <c r="C36" s="47" t="s">
        <v>50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 x14ac:dyDescent="0.45">
      <c r="C37" s="49" t="s">
        <v>63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 x14ac:dyDescent="0.45">
      <c r="C40" s="228" t="s">
        <v>65</v>
      </c>
      <c r="D40" s="229"/>
      <c r="E40" s="229"/>
      <c r="F40" s="229"/>
      <c r="G40" s="229"/>
      <c r="H40" s="229"/>
      <c r="I40" s="229"/>
      <c r="J40" s="77"/>
      <c r="K40" s="77"/>
      <c r="L40" s="78"/>
    </row>
    <row r="41" spans="3:43" ht="15.75" x14ac:dyDescent="0.5">
      <c r="C41" s="42"/>
      <c r="D41" s="236" t="s">
        <v>35</v>
      </c>
      <c r="E41" s="237"/>
      <c r="F41" s="238"/>
      <c r="G41" s="236" t="s">
        <v>22</v>
      </c>
      <c r="H41" s="237"/>
      <c r="I41" s="238"/>
      <c r="J41" s="231" t="s">
        <v>58</v>
      </c>
      <c r="K41" s="232"/>
      <c r="L41" s="233"/>
    </row>
    <row r="42" spans="3:43" x14ac:dyDescent="0.45">
      <c r="C42" s="42"/>
      <c r="D42" s="42" t="s">
        <v>59</v>
      </c>
      <c r="E42" s="42" t="s">
        <v>60</v>
      </c>
      <c r="F42" s="42" t="s">
        <v>61</v>
      </c>
      <c r="G42" s="42" t="s">
        <v>59</v>
      </c>
      <c r="H42" s="42" t="s">
        <v>60</v>
      </c>
      <c r="I42" s="42" t="s">
        <v>61</v>
      </c>
      <c r="J42" s="49" t="s">
        <v>59</v>
      </c>
      <c r="K42" s="49" t="s">
        <v>60</v>
      </c>
      <c r="L42" s="49" t="s">
        <v>61</v>
      </c>
    </row>
    <row r="43" spans="3:43" x14ac:dyDescent="0.45">
      <c r="C43" s="47" t="s">
        <v>39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 x14ac:dyDescent="0.45">
      <c r="C44" s="47" t="s">
        <v>40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 x14ac:dyDescent="0.45">
      <c r="C45" s="47" t="s">
        <v>41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 x14ac:dyDescent="0.45">
      <c r="C46" s="47" t="s">
        <v>42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 x14ac:dyDescent="0.45">
      <c r="C47" s="47" t="s">
        <v>43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 x14ac:dyDescent="0.45">
      <c r="C48" s="47" t="s">
        <v>44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 x14ac:dyDescent="0.45">
      <c r="C49" s="47" t="s">
        <v>45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4"/>
      <c r="AO49" s="234"/>
      <c r="AP49" s="234"/>
      <c r="AQ49" s="234"/>
    </row>
    <row r="50" spans="3:43" ht="15.75" x14ac:dyDescent="0.5">
      <c r="C50" s="47" t="s">
        <v>46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35"/>
      <c r="AP50" s="235"/>
      <c r="AQ50" s="235"/>
    </row>
    <row r="51" spans="3:43" x14ac:dyDescent="0.45">
      <c r="C51" s="47" t="s">
        <v>47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 x14ac:dyDescent="0.45">
      <c r="C52" s="47" t="s">
        <v>48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 x14ac:dyDescent="0.45">
      <c r="C53" s="47" t="s">
        <v>49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 x14ac:dyDescent="0.45">
      <c r="C54" s="47" t="s">
        <v>50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 x14ac:dyDescent="0.45">
      <c r="C55" s="49" t="s">
        <v>63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 x14ac:dyDescent="0.45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 x14ac:dyDescent="0.45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 x14ac:dyDescent="0.45">
      <c r="C58" s="228" t="s">
        <v>66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75" x14ac:dyDescent="0.5">
      <c r="C59" s="42"/>
      <c r="D59" s="231" t="s">
        <v>35</v>
      </c>
      <c r="E59" s="232"/>
      <c r="F59" s="233"/>
      <c r="G59" s="231" t="s">
        <v>22</v>
      </c>
      <c r="H59" s="232"/>
      <c r="I59" s="233"/>
      <c r="J59" s="231" t="s">
        <v>36</v>
      </c>
      <c r="K59" s="232"/>
      <c r="L59" s="233"/>
      <c r="M59" s="231" t="s">
        <v>58</v>
      </c>
      <c r="N59" s="232"/>
      <c r="O59" s="233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 x14ac:dyDescent="0.45">
      <c r="C60" s="42"/>
      <c r="D60" s="42" t="s">
        <v>59</v>
      </c>
      <c r="E60" s="42" t="s">
        <v>60</v>
      </c>
      <c r="F60" s="42" t="s">
        <v>61</v>
      </c>
      <c r="G60" s="42" t="s">
        <v>59</v>
      </c>
      <c r="H60" s="42" t="s">
        <v>60</v>
      </c>
      <c r="I60" s="42" t="s">
        <v>61</v>
      </c>
      <c r="J60" s="42" t="s">
        <v>59</v>
      </c>
      <c r="K60" s="42" t="s">
        <v>60</v>
      </c>
      <c r="L60" s="42" t="s">
        <v>61</v>
      </c>
      <c r="M60" s="49" t="s">
        <v>59</v>
      </c>
      <c r="N60" s="49" t="s">
        <v>60</v>
      </c>
      <c r="O60" s="49" t="s">
        <v>61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 x14ac:dyDescent="0.45">
      <c r="C61" s="47" t="s">
        <v>39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 x14ac:dyDescent="0.45">
      <c r="C62" s="47" t="s">
        <v>40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 x14ac:dyDescent="0.45">
      <c r="C63" s="93" t="s">
        <v>41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 x14ac:dyDescent="0.45">
      <c r="C64" s="47" t="s">
        <v>42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 x14ac:dyDescent="0.45">
      <c r="C65" s="47" t="s">
        <v>43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 x14ac:dyDescent="0.45">
      <c r="C66" s="47" t="s">
        <v>44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 x14ac:dyDescent="0.45">
      <c r="C67" s="47" t="s">
        <v>45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 x14ac:dyDescent="0.45">
      <c r="C68" s="47" t="s">
        <v>46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 x14ac:dyDescent="0.45">
      <c r="C69" s="47" t="s">
        <v>47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 x14ac:dyDescent="0.45">
      <c r="C70" s="47" t="s">
        <v>48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 x14ac:dyDescent="0.45">
      <c r="C71" s="47" t="s">
        <v>49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 x14ac:dyDescent="0.45">
      <c r="C72" s="47" t="s">
        <v>50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 x14ac:dyDescent="0.45">
      <c r="C73" s="49" t="s">
        <v>63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 x14ac:dyDescent="0.45">
      <c r="C76" s="228" t="s">
        <v>67</v>
      </c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30"/>
    </row>
    <row r="77" spans="3:43" ht="15.75" x14ac:dyDescent="0.5">
      <c r="C77" s="42"/>
      <c r="D77" s="231" t="s">
        <v>35</v>
      </c>
      <c r="E77" s="232"/>
      <c r="F77" s="233"/>
      <c r="G77" s="231" t="s">
        <v>22</v>
      </c>
      <c r="H77" s="232"/>
      <c r="I77" s="233"/>
      <c r="J77" s="231" t="s">
        <v>36</v>
      </c>
      <c r="K77" s="232"/>
      <c r="L77" s="233"/>
      <c r="M77" s="231" t="s">
        <v>58</v>
      </c>
      <c r="N77" s="232"/>
      <c r="O77" s="233"/>
    </row>
    <row r="78" spans="3:43" x14ac:dyDescent="0.45">
      <c r="C78" s="42"/>
      <c r="D78" s="42" t="s">
        <v>59</v>
      </c>
      <c r="E78" s="42" t="s">
        <v>60</v>
      </c>
      <c r="F78" s="42" t="s">
        <v>61</v>
      </c>
      <c r="G78" s="42" t="s">
        <v>59</v>
      </c>
      <c r="H78" s="42" t="s">
        <v>60</v>
      </c>
      <c r="I78" s="42" t="s">
        <v>61</v>
      </c>
      <c r="J78" s="42" t="s">
        <v>59</v>
      </c>
      <c r="K78" s="42" t="s">
        <v>60</v>
      </c>
      <c r="L78" s="42" t="s">
        <v>61</v>
      </c>
      <c r="M78" s="49" t="s">
        <v>59</v>
      </c>
      <c r="N78" s="49" t="s">
        <v>60</v>
      </c>
      <c r="O78" s="49" t="s">
        <v>61</v>
      </c>
    </row>
    <row r="79" spans="3:43" x14ac:dyDescent="0.45">
      <c r="C79" s="47" t="s">
        <v>39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 x14ac:dyDescent="0.45">
      <c r="C80" s="47" t="s">
        <v>40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 x14ac:dyDescent="0.45">
      <c r="C81" s="93" t="s">
        <v>41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68</v>
      </c>
    </row>
    <row r="82" spans="3:16" x14ac:dyDescent="0.45">
      <c r="C82" s="47" t="s">
        <v>42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 x14ac:dyDescent="0.45">
      <c r="C83" s="47" t="s">
        <v>43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 x14ac:dyDescent="0.45">
      <c r="C84" s="47" t="s">
        <v>44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 x14ac:dyDescent="0.45">
      <c r="C85" s="47" t="s">
        <v>45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 x14ac:dyDescent="0.45">
      <c r="C86" s="47" t="s">
        <v>46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 x14ac:dyDescent="0.45">
      <c r="C87" s="47" t="s">
        <v>47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 x14ac:dyDescent="0.45">
      <c r="C88" s="47" t="s">
        <v>48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 x14ac:dyDescent="0.45">
      <c r="C89" s="47" t="s">
        <v>49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 x14ac:dyDescent="0.45">
      <c r="C90" s="47" t="s">
        <v>50</v>
      </c>
      <c r="D90" s="86">
        <f>Smithfield!J6</f>
        <v>426205.5</v>
      </c>
      <c r="E90" s="86">
        <v>200509</v>
      </c>
      <c r="F90" s="46">
        <f t="shared" si="29"/>
        <v>2.1256178026921484</v>
      </c>
      <c r="G90" s="86">
        <f>Merrimack!J6</f>
        <v>294851.58735391125</v>
      </c>
      <c r="H90" s="86">
        <v>186514</v>
      </c>
      <c r="I90" s="46">
        <f>G90/H90</f>
        <v>1.5808549886545313</v>
      </c>
      <c r="J90" s="86">
        <f>Westlake!J6</f>
        <v>526758</v>
      </c>
      <c r="K90" s="86">
        <v>250803</v>
      </c>
      <c r="L90" s="46">
        <f t="shared" si="31"/>
        <v>2.1002858817478258</v>
      </c>
      <c r="M90" s="50">
        <f t="shared" si="35"/>
        <v>1247815.0873539113</v>
      </c>
      <c r="N90" s="50">
        <f t="shared" si="34"/>
        <v>637826</v>
      </c>
      <c r="O90" s="51">
        <f t="shared" si="32"/>
        <v>1.9563565727234564</v>
      </c>
    </row>
    <row r="91" spans="3:16" x14ac:dyDescent="0.45">
      <c r="C91" s="49" t="s">
        <v>63</v>
      </c>
      <c r="D91" s="53">
        <f>SUM(D79:D90)</f>
        <v>4690381.2</v>
      </c>
      <c r="E91" s="53">
        <f>SUM(E79:E90)</f>
        <v>4199996.8692999994</v>
      </c>
      <c r="F91" s="55">
        <f>D91/E91</f>
        <v>1.1167582610083544</v>
      </c>
      <c r="G91" s="53">
        <f>SUM(G79:G90)</f>
        <v>3654383.932353911</v>
      </c>
      <c r="H91" s="53">
        <f>SUM(H79:H90)</f>
        <v>3528167.0586000006</v>
      </c>
      <c r="I91" s="55">
        <f t="shared" ref="I91" si="36">G91/H91</f>
        <v>1.0357740638857373</v>
      </c>
      <c r="J91" s="53">
        <f>SUM(J79:J90)</f>
        <v>5665896.0000000009</v>
      </c>
      <c r="K91" s="53">
        <f>SUM(K79:K90)</f>
        <v>5141104.1964999996</v>
      </c>
      <c r="L91" s="55">
        <f>J91/K91</f>
        <v>1.1020776439149538</v>
      </c>
      <c r="M91" s="54">
        <f t="shared" si="35"/>
        <v>14010661.132353913</v>
      </c>
      <c r="N91" s="54">
        <f t="shared" si="34"/>
        <v>12869268.124399999</v>
      </c>
      <c r="O91" s="55">
        <f t="shared" ref="O91" si="37">M91/N91</f>
        <v>1.0886913689978877</v>
      </c>
    </row>
    <row r="94" spans="3:16" x14ac:dyDescent="0.45">
      <c r="C94" s="228" t="s">
        <v>67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30"/>
    </row>
    <row r="95" spans="3:16" ht="15.75" x14ac:dyDescent="0.5">
      <c r="C95" s="42"/>
      <c r="D95" s="231" t="s">
        <v>35</v>
      </c>
      <c r="E95" s="232"/>
      <c r="F95" s="233"/>
      <c r="G95" s="231" t="s">
        <v>22</v>
      </c>
      <c r="H95" s="232"/>
      <c r="I95" s="233"/>
      <c r="J95" s="231" t="s">
        <v>36</v>
      </c>
      <c r="K95" s="232"/>
      <c r="L95" s="233"/>
      <c r="M95" s="231" t="s">
        <v>58</v>
      </c>
      <c r="N95" s="232"/>
      <c r="O95" s="233"/>
    </row>
    <row r="96" spans="3:16" x14ac:dyDescent="0.45">
      <c r="C96" s="42"/>
      <c r="D96" s="42" t="s">
        <v>59</v>
      </c>
      <c r="E96" s="42" t="s">
        <v>60</v>
      </c>
      <c r="F96" s="42" t="s">
        <v>61</v>
      </c>
      <c r="G96" s="42" t="s">
        <v>59</v>
      </c>
      <c r="H96" s="42" t="s">
        <v>60</v>
      </c>
      <c r="I96" s="42" t="s">
        <v>61</v>
      </c>
      <c r="J96" s="42" t="s">
        <v>59</v>
      </c>
      <c r="K96" s="42" t="s">
        <v>60</v>
      </c>
      <c r="L96" s="42" t="s">
        <v>61</v>
      </c>
      <c r="M96" s="49" t="s">
        <v>59</v>
      </c>
      <c r="N96" s="49" t="s">
        <v>60</v>
      </c>
      <c r="O96" s="49" t="s">
        <v>61</v>
      </c>
    </row>
    <row r="97" spans="3:15" x14ac:dyDescent="0.45">
      <c r="C97" s="47" t="s">
        <v>39</v>
      </c>
      <c r="D97" s="48">
        <v>194299.75</v>
      </c>
      <c r="E97" s="48">
        <v>261206.57600000006</v>
      </c>
      <c r="F97" s="46">
        <f t="shared" ref="F97:F101" si="38">D97/E97</f>
        <v>0.74385474123744866</v>
      </c>
      <c r="G97" s="48">
        <v>152720.45000000001</v>
      </c>
      <c r="H97" s="48">
        <v>225291.31930000006</v>
      </c>
      <c r="I97" s="46">
        <f t="shared" ref="I97:I101" si="39">G97/H97</f>
        <v>0.67787986893820795</v>
      </c>
      <c r="J97" s="48">
        <v>359558</v>
      </c>
      <c r="K97" s="48">
        <v>330650.56599999988</v>
      </c>
      <c r="L97" s="46">
        <f t="shared" ref="L97:L101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 x14ac:dyDescent="0.45">
      <c r="C98" s="47" t="s">
        <v>40</v>
      </c>
      <c r="D98" s="48">
        <v>232765.75</v>
      </c>
      <c r="E98" s="48">
        <v>275819.69799999992</v>
      </c>
      <c r="F98" s="46">
        <f t="shared" si="38"/>
        <v>0.8439054631986439</v>
      </c>
      <c r="G98" s="48">
        <v>125322.75</v>
      </c>
      <c r="H98" s="48">
        <v>234467.2997</v>
      </c>
      <c r="I98" s="46">
        <f t="shared" si="39"/>
        <v>0.53449990749392329</v>
      </c>
      <c r="J98" s="48">
        <v>346482</v>
      </c>
      <c r="K98" s="48">
        <v>304224.79679999995</v>
      </c>
      <c r="L98" s="46">
        <f t="shared" si="40"/>
        <v>1.1389012455410736</v>
      </c>
      <c r="M98" s="50">
        <f t="shared" ref="M98:M101" si="42">SUM(D98,G98,J98)</f>
        <v>704570.5</v>
      </c>
      <c r="N98" s="50">
        <f t="shared" ref="N98:N101" si="43">SUM(E98,H98,K98)</f>
        <v>814511.79449999984</v>
      </c>
      <c r="O98" s="51">
        <f t="shared" si="41"/>
        <v>0.86502185082845984</v>
      </c>
    </row>
    <row r="99" spans="3:15" x14ac:dyDescent="0.45">
      <c r="C99" s="93" t="s">
        <v>41</v>
      </c>
      <c r="D99" s="92">
        <v>404018.25</v>
      </c>
      <c r="E99" s="94">
        <v>365174.32600000006</v>
      </c>
      <c r="F99" s="46">
        <f t="shared" si="38"/>
        <v>1.1063709062613563</v>
      </c>
      <c r="G99" s="48">
        <v>304936.25099999999</v>
      </c>
      <c r="H99" s="48">
        <v>299552.9276</v>
      </c>
      <c r="I99" s="46">
        <f t="shared" si="39"/>
        <v>1.017971192747575</v>
      </c>
      <c r="J99" s="48">
        <v>537723</v>
      </c>
      <c r="K99" s="48">
        <v>487139.34199999989</v>
      </c>
      <c r="L99" s="46">
        <f t="shared" si="40"/>
        <v>1.1038381703935547</v>
      </c>
      <c r="M99" s="50">
        <f t="shared" si="42"/>
        <v>1246677.5009999999</v>
      </c>
      <c r="N99" s="50">
        <f t="shared" si="43"/>
        <v>1151866.5955999999</v>
      </c>
      <c r="O99" s="51">
        <f t="shared" si="41"/>
        <v>1.0823106649347825</v>
      </c>
    </row>
    <row r="100" spans="3:15" x14ac:dyDescent="0.45">
      <c r="C100" s="47" t="s">
        <v>42</v>
      </c>
      <c r="D100" s="92">
        <v>439579.5</v>
      </c>
      <c r="E100" s="48">
        <v>404058.087</v>
      </c>
      <c r="F100" s="46">
        <f t="shared" si="38"/>
        <v>1.0879116496930799</v>
      </c>
      <c r="G100" s="103">
        <v>341440.81690140814</v>
      </c>
      <c r="H100" s="48">
        <v>330691.26899999997</v>
      </c>
      <c r="I100" s="46">
        <f t="shared" si="39"/>
        <v>1.0325062948710877</v>
      </c>
      <c r="J100" s="86">
        <v>466366</v>
      </c>
      <c r="K100" s="48">
        <v>420008.97500000003</v>
      </c>
      <c r="L100" s="46">
        <f t="shared" si="40"/>
        <v>1.110371510513555</v>
      </c>
      <c r="M100" s="50">
        <f t="shared" si="42"/>
        <v>1247386.3169014081</v>
      </c>
      <c r="N100" s="50">
        <f t="shared" si="43"/>
        <v>1154758.331</v>
      </c>
      <c r="O100" s="51">
        <f t="shared" si="41"/>
        <v>1.0802141741823972</v>
      </c>
    </row>
    <row r="101" spans="3:15" x14ac:dyDescent="0.45">
      <c r="C101" s="47" t="s">
        <v>43</v>
      </c>
      <c r="D101" s="105">
        <v>426205.5</v>
      </c>
      <c r="E101" s="48">
        <v>392392.74499999988</v>
      </c>
      <c r="F101" s="46">
        <f t="shared" si="38"/>
        <v>1.0861706935993429</v>
      </c>
      <c r="G101" s="105">
        <v>294851.58735391125</v>
      </c>
      <c r="H101" s="48">
        <v>282521.75280000007</v>
      </c>
      <c r="I101" s="46">
        <f t="shared" si="39"/>
        <v>1.0436420715633872</v>
      </c>
      <c r="J101" s="48">
        <v>526758</v>
      </c>
      <c r="K101" s="48">
        <v>496290.51</v>
      </c>
      <c r="L101" s="46">
        <f t="shared" si="40"/>
        <v>1.0613904344050422</v>
      </c>
      <c r="M101" s="50">
        <f t="shared" si="42"/>
        <v>1247815.0873539113</v>
      </c>
      <c r="N101" s="50">
        <f t="shared" si="43"/>
        <v>1171205.0078</v>
      </c>
      <c r="O101" s="51">
        <f t="shared" si="41"/>
        <v>1.0654113319561502</v>
      </c>
    </row>
    <row r="102" spans="3:15" x14ac:dyDescent="0.45">
      <c r="C102" s="47" t="s">
        <v>44</v>
      </c>
      <c r="D102" s="48"/>
      <c r="E102" s="48"/>
      <c r="F102" s="46"/>
      <c r="G102" s="48"/>
      <c r="H102" s="48"/>
      <c r="I102" s="46"/>
      <c r="J102" s="48"/>
      <c r="K102" s="48"/>
      <c r="L102" s="46"/>
      <c r="M102" s="50"/>
      <c r="N102" s="50"/>
      <c r="O102" s="51"/>
    </row>
    <row r="103" spans="3:15" x14ac:dyDescent="0.45">
      <c r="C103" s="47" t="s">
        <v>45</v>
      </c>
      <c r="D103" s="48"/>
      <c r="E103" s="48"/>
      <c r="F103" s="46"/>
      <c r="G103" s="48"/>
      <c r="H103" s="48"/>
      <c r="I103" s="46"/>
      <c r="J103" s="48"/>
      <c r="K103" s="48"/>
      <c r="L103" s="46"/>
      <c r="M103" s="50"/>
      <c r="N103" s="50"/>
      <c r="O103" s="51"/>
    </row>
    <row r="104" spans="3:15" x14ac:dyDescent="0.45">
      <c r="C104" s="47" t="s">
        <v>46</v>
      </c>
      <c r="D104" s="86"/>
      <c r="E104" s="86"/>
      <c r="F104" s="46"/>
      <c r="G104" s="86"/>
      <c r="H104" s="86"/>
      <c r="I104" s="46"/>
      <c r="J104" s="86"/>
      <c r="K104" s="86"/>
      <c r="L104" s="46"/>
      <c r="M104" s="50"/>
      <c r="N104" s="50"/>
      <c r="O104" s="51"/>
    </row>
    <row r="105" spans="3:15" x14ac:dyDescent="0.45">
      <c r="C105" s="47" t="s">
        <v>47</v>
      </c>
      <c r="D105" s="86"/>
      <c r="E105" s="86"/>
      <c r="F105" s="46"/>
      <c r="G105" s="48"/>
      <c r="H105" s="86"/>
      <c r="I105" s="46"/>
      <c r="J105" s="86"/>
      <c r="K105" s="86"/>
      <c r="L105" s="46"/>
      <c r="M105" s="50"/>
      <c r="N105" s="50"/>
      <c r="O105" s="51"/>
    </row>
    <row r="106" spans="3:15" x14ac:dyDescent="0.45">
      <c r="C106" s="47" t="s">
        <v>48</v>
      </c>
      <c r="D106" s="86"/>
      <c r="E106" s="19"/>
      <c r="F106" s="46"/>
      <c r="G106" s="48"/>
      <c r="H106" s="86"/>
      <c r="I106" s="46"/>
      <c r="J106" s="86"/>
      <c r="K106" s="19"/>
      <c r="L106" s="46"/>
      <c r="M106" s="50"/>
      <c r="N106" s="50"/>
      <c r="O106" s="51"/>
    </row>
    <row r="107" spans="3:15" x14ac:dyDescent="0.45">
      <c r="C107" s="47" t="s">
        <v>49</v>
      </c>
      <c r="D107" s="48"/>
      <c r="E107" s="48"/>
      <c r="F107" s="46"/>
      <c r="G107" s="48"/>
      <c r="H107" s="48"/>
      <c r="I107" s="46"/>
      <c r="J107" s="86"/>
      <c r="K107" s="105"/>
      <c r="L107" s="46"/>
      <c r="M107" s="50"/>
      <c r="N107" s="50"/>
      <c r="O107" s="51"/>
    </row>
    <row r="108" spans="3:15" x14ac:dyDescent="0.45">
      <c r="C108" s="47" t="s">
        <v>50</v>
      </c>
      <c r="D108" s="86"/>
      <c r="E108" s="86"/>
      <c r="F108" s="46"/>
      <c r="G108" s="86"/>
      <c r="H108" s="86"/>
      <c r="I108" s="46"/>
      <c r="J108" s="86"/>
      <c r="K108" s="86"/>
      <c r="L108" s="46"/>
      <c r="M108" s="50"/>
      <c r="N108" s="50"/>
      <c r="O108" s="51"/>
    </row>
    <row r="109" spans="3:15" x14ac:dyDescent="0.45">
      <c r="C109" s="49" t="s">
        <v>63</v>
      </c>
      <c r="D109" s="53">
        <f>SUM(D97:D108)</f>
        <v>1696868.75</v>
      </c>
      <c r="E109" s="53">
        <f>SUM(E97:E108)</f>
        <v>1698651.432</v>
      </c>
      <c r="F109" s="55">
        <f>D109/E109</f>
        <v>0.99895053101159126</v>
      </c>
      <c r="G109" s="53">
        <f>SUM(G97:G108)</f>
        <v>1219271.8552553193</v>
      </c>
      <c r="H109" s="53">
        <f>SUM(H97:H108)</f>
        <v>1372524.5684</v>
      </c>
      <c r="I109" s="55">
        <f t="shared" ref="I109" si="44">G109/H109</f>
        <v>0.88834246273395834</v>
      </c>
      <c r="J109" s="53">
        <f>SUM(J97:J108)</f>
        <v>2236887</v>
      </c>
      <c r="K109" s="53">
        <f>SUM(K97:K108)</f>
        <v>2038314.1897999998</v>
      </c>
      <c r="L109" s="55">
        <f>J109/K109</f>
        <v>1.0974201186420058</v>
      </c>
      <c r="M109" s="54">
        <f t="shared" ref="M109" si="45">SUM(D109,G109,J109)</f>
        <v>5153027.6052553188</v>
      </c>
      <c r="N109" s="54">
        <f t="shared" ref="N109" si="46">SUM(E109,H109,K109)</f>
        <v>5109490.1902000001</v>
      </c>
      <c r="O109" s="55">
        <f t="shared" si="41"/>
        <v>1.0085208921897577</v>
      </c>
    </row>
  </sheetData>
  <mergeCells count="29">
    <mergeCell ref="C94:O94"/>
    <mergeCell ref="D95:F95"/>
    <mergeCell ref="G95:I95"/>
    <mergeCell ref="J95:L95"/>
    <mergeCell ref="M95:O95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tabSelected="1" workbookViewId="0">
      <selection activeCell="K19" sqref="K19"/>
    </sheetView>
  </sheetViews>
  <sheetFormatPr defaultRowHeight="14.25" x14ac:dyDescent="0.45"/>
  <cols>
    <col min="1" max="1" width="11.3984375" customWidth="1"/>
    <col min="4" max="4" width="15.73046875" bestFit="1" customWidth="1"/>
    <col min="5" max="5" width="17.1328125" bestFit="1" customWidth="1"/>
  </cols>
  <sheetData>
    <row r="4" spans="1:8" s="59" customFormat="1" ht="30" x14ac:dyDescent="0.45">
      <c r="A4" s="70" t="s">
        <v>69</v>
      </c>
      <c r="B4" s="71" t="s">
        <v>70</v>
      </c>
      <c r="C4" s="71" t="s">
        <v>71</v>
      </c>
      <c r="D4" s="72" t="s">
        <v>4</v>
      </c>
      <c r="E4" s="73" t="s">
        <v>72</v>
      </c>
      <c r="F4" s="60"/>
      <c r="G4" s="60"/>
      <c r="H4" s="60"/>
    </row>
    <row r="5" spans="1:8" x14ac:dyDescent="0.45">
      <c r="A5" s="1" t="s">
        <v>35</v>
      </c>
      <c r="B5" s="1">
        <v>1</v>
      </c>
      <c r="C5" s="1">
        <f>2025</f>
        <v>2025</v>
      </c>
      <c r="D5" s="104">
        <v>173872.6</v>
      </c>
      <c r="E5" s="80"/>
    </row>
    <row r="6" spans="1:8" x14ac:dyDescent="0.45">
      <c r="A6" s="1" t="s">
        <v>35</v>
      </c>
      <c r="B6" s="1">
        <v>2</v>
      </c>
      <c r="C6" s="1">
        <f>2025</f>
        <v>2025</v>
      </c>
      <c r="D6" s="104">
        <v>223465.4</v>
      </c>
      <c r="E6" s="81"/>
    </row>
    <row r="7" spans="1:8" x14ac:dyDescent="0.45">
      <c r="A7" s="1" t="s">
        <v>35</v>
      </c>
      <c r="B7" s="1">
        <v>3</v>
      </c>
      <c r="C7" s="1">
        <f>2025</f>
        <v>2025</v>
      </c>
      <c r="D7" s="104">
        <v>344525.3</v>
      </c>
      <c r="E7" s="81"/>
    </row>
    <row r="8" spans="1:8" x14ac:dyDescent="0.45">
      <c r="A8" s="1" t="s">
        <v>35</v>
      </c>
      <c r="B8" s="1">
        <v>4</v>
      </c>
      <c r="C8" s="1">
        <f>2025</f>
        <v>2025</v>
      </c>
      <c r="D8" s="104">
        <v>439674.5</v>
      </c>
      <c r="E8" s="81"/>
    </row>
    <row r="9" spans="1:8" x14ac:dyDescent="0.45">
      <c r="A9" s="1" t="s">
        <v>35</v>
      </c>
      <c r="B9" s="1">
        <v>5</v>
      </c>
      <c r="C9" s="1">
        <f>2025</f>
        <v>2025</v>
      </c>
      <c r="D9" s="104">
        <v>455091.20000000001</v>
      </c>
      <c r="E9" s="81"/>
    </row>
    <row r="10" spans="1:8" x14ac:dyDescent="0.45">
      <c r="A10" s="1" t="s">
        <v>35</v>
      </c>
      <c r="B10" s="1">
        <v>6</v>
      </c>
      <c r="C10" s="1">
        <f>2025</f>
        <v>2025</v>
      </c>
      <c r="D10" s="104">
        <v>491177.6</v>
      </c>
      <c r="E10" s="81"/>
    </row>
    <row r="11" spans="1:8" x14ac:dyDescent="0.45">
      <c r="A11" s="1" t="s">
        <v>35</v>
      </c>
      <c r="B11" s="1">
        <v>7</v>
      </c>
      <c r="C11" s="1">
        <f>2025</f>
        <v>2025</v>
      </c>
      <c r="D11" s="104">
        <v>524395</v>
      </c>
      <c r="E11" s="81"/>
    </row>
    <row r="12" spans="1:8" x14ac:dyDescent="0.45">
      <c r="A12" s="1" t="s">
        <v>35</v>
      </c>
      <c r="B12" s="1">
        <v>8</v>
      </c>
      <c r="C12" s="1">
        <f>2025</f>
        <v>2025</v>
      </c>
      <c r="D12" s="104">
        <v>488163.4</v>
      </c>
      <c r="E12" s="81"/>
    </row>
    <row r="13" spans="1:8" x14ac:dyDescent="0.45">
      <c r="A13" s="1" t="s">
        <v>35</v>
      </c>
      <c r="B13" s="1">
        <v>9</v>
      </c>
      <c r="C13" s="1">
        <f>2025</f>
        <v>2025</v>
      </c>
      <c r="D13" s="104">
        <v>412507.2</v>
      </c>
      <c r="E13" s="81"/>
    </row>
    <row r="14" spans="1:8" x14ac:dyDescent="0.45">
      <c r="A14" s="1" t="s">
        <v>35</v>
      </c>
      <c r="B14" s="1">
        <v>10</v>
      </c>
      <c r="C14" s="1">
        <f>2025</f>
        <v>2025</v>
      </c>
      <c r="D14" s="104">
        <v>292225.09999999998</v>
      </c>
      <c r="E14" s="81"/>
    </row>
    <row r="15" spans="1:8" x14ac:dyDescent="0.45">
      <c r="A15" s="1" t="s">
        <v>35</v>
      </c>
      <c r="B15" s="1">
        <v>11</v>
      </c>
      <c r="C15" s="1">
        <f>2025</f>
        <v>2025</v>
      </c>
      <c r="D15" s="104">
        <v>204482.1</v>
      </c>
      <c r="E15" s="81"/>
    </row>
    <row r="16" spans="1:8" x14ac:dyDescent="0.45">
      <c r="A16" s="1" t="s">
        <v>35</v>
      </c>
      <c r="B16" s="1">
        <v>12</v>
      </c>
      <c r="C16" s="1">
        <f>2025</f>
        <v>2025</v>
      </c>
      <c r="D16" s="104">
        <v>160442.79999999999</v>
      </c>
      <c r="E16" s="82"/>
    </row>
    <row r="17" spans="1:6" x14ac:dyDescent="0.45">
      <c r="A17" s="1" t="s">
        <v>22</v>
      </c>
      <c r="B17" s="1">
        <v>1</v>
      </c>
      <c r="C17" s="1">
        <f>2025</f>
        <v>2025</v>
      </c>
      <c r="D17" s="104">
        <v>148923.29999999999</v>
      </c>
      <c r="E17" s="81"/>
      <c r="F17" s="89"/>
    </row>
    <row r="18" spans="1:6" x14ac:dyDescent="0.45">
      <c r="A18" s="1" t="s">
        <v>22</v>
      </c>
      <c r="B18" s="1">
        <v>2</v>
      </c>
      <c r="C18" s="1">
        <f>2025</f>
        <v>2025</v>
      </c>
      <c r="D18" s="104">
        <v>218895</v>
      </c>
      <c r="E18" s="81"/>
      <c r="F18" s="89"/>
    </row>
    <row r="19" spans="1:6" x14ac:dyDescent="0.45">
      <c r="A19" s="1" t="s">
        <v>22</v>
      </c>
      <c r="B19" s="1">
        <v>3</v>
      </c>
      <c r="C19" s="1">
        <f>2025</f>
        <v>2025</v>
      </c>
      <c r="D19" s="104">
        <v>315967.90000000002</v>
      </c>
      <c r="E19" s="81"/>
      <c r="F19" s="89"/>
    </row>
    <row r="20" spans="1:6" x14ac:dyDescent="0.45">
      <c r="A20" s="1" t="s">
        <v>22</v>
      </c>
      <c r="B20" s="1">
        <v>4</v>
      </c>
      <c r="C20" s="1">
        <f>2025</f>
        <v>2025</v>
      </c>
      <c r="D20" s="104">
        <v>391436.4</v>
      </c>
      <c r="E20" s="81"/>
      <c r="F20" s="89"/>
    </row>
    <row r="21" spans="1:6" x14ac:dyDescent="0.45">
      <c r="A21" s="1" t="s">
        <v>22</v>
      </c>
      <c r="B21" s="1">
        <v>5</v>
      </c>
      <c r="C21" s="1">
        <f>2025</f>
        <v>2025</v>
      </c>
      <c r="D21" s="104">
        <v>412289</v>
      </c>
      <c r="E21" s="81"/>
      <c r="F21" s="89"/>
    </row>
    <row r="22" spans="1:6" x14ac:dyDescent="0.45">
      <c r="A22" s="1" t="s">
        <v>22</v>
      </c>
      <c r="B22" s="1">
        <v>6</v>
      </c>
      <c r="C22" s="1">
        <f>2025</f>
        <v>2025</v>
      </c>
      <c r="D22" s="104">
        <v>441106.2</v>
      </c>
      <c r="E22" s="81"/>
      <c r="F22" s="89"/>
    </row>
    <row r="23" spans="1:6" x14ac:dyDescent="0.45">
      <c r="A23" s="1" t="s">
        <v>22</v>
      </c>
      <c r="B23" s="1">
        <v>7</v>
      </c>
      <c r="C23" s="1">
        <f>2025</f>
        <v>2025</v>
      </c>
      <c r="D23" s="104">
        <v>465962.5</v>
      </c>
      <c r="E23" s="81"/>
      <c r="F23" s="89"/>
    </row>
    <row r="24" spans="1:6" x14ac:dyDescent="0.45">
      <c r="A24" s="1" t="s">
        <v>22</v>
      </c>
      <c r="B24" s="1">
        <v>8</v>
      </c>
      <c r="C24" s="1">
        <f>2025</f>
        <v>2025</v>
      </c>
      <c r="D24" s="104">
        <v>429405.9</v>
      </c>
      <c r="E24" s="81"/>
      <c r="F24" s="89"/>
    </row>
    <row r="25" spans="1:6" x14ac:dyDescent="0.45">
      <c r="A25" s="1" t="s">
        <v>22</v>
      </c>
      <c r="B25" s="1">
        <v>9</v>
      </c>
      <c r="C25" s="1">
        <f>2025</f>
        <v>2025</v>
      </c>
      <c r="D25" s="104">
        <v>359589.8</v>
      </c>
      <c r="E25" s="81"/>
      <c r="F25" s="89"/>
    </row>
    <row r="26" spans="1:6" x14ac:dyDescent="0.45">
      <c r="A26" s="1" t="s">
        <v>22</v>
      </c>
      <c r="B26" s="1">
        <v>10</v>
      </c>
      <c r="C26" s="1">
        <f>2025</f>
        <v>2025</v>
      </c>
      <c r="D26" s="104">
        <v>287672</v>
      </c>
      <c r="E26" s="81"/>
      <c r="F26" s="89"/>
    </row>
    <row r="27" spans="1:6" x14ac:dyDescent="0.45">
      <c r="A27" s="1" t="s">
        <v>22</v>
      </c>
      <c r="B27" s="1">
        <v>11</v>
      </c>
      <c r="C27" s="1">
        <f>2025</f>
        <v>2025</v>
      </c>
      <c r="D27" s="104">
        <v>186483.9</v>
      </c>
      <c r="E27" s="81"/>
      <c r="F27" s="89"/>
    </row>
    <row r="28" spans="1:6" x14ac:dyDescent="0.45">
      <c r="A28" s="147" t="s">
        <v>22</v>
      </c>
      <c r="B28" s="147">
        <v>12</v>
      </c>
      <c r="C28" s="1">
        <f>2025</f>
        <v>2025</v>
      </c>
      <c r="D28" s="148">
        <v>140863.4</v>
      </c>
      <c r="E28" s="82"/>
      <c r="F28" s="89"/>
    </row>
    <row r="29" spans="1:6" x14ac:dyDescent="0.45">
      <c r="A29" s="144" t="s">
        <v>36</v>
      </c>
      <c r="B29" s="144">
        <v>1</v>
      </c>
      <c r="C29" s="1">
        <f>2025</f>
        <v>2025</v>
      </c>
      <c r="D29" s="135">
        <v>359065</v>
      </c>
      <c r="E29" s="81"/>
    </row>
    <row r="30" spans="1:6" x14ac:dyDescent="0.45">
      <c r="A30" s="144" t="s">
        <v>36</v>
      </c>
      <c r="B30" s="144">
        <v>2</v>
      </c>
      <c r="C30" s="1">
        <f>2025</f>
        <v>2025</v>
      </c>
      <c r="D30" s="135">
        <v>341764</v>
      </c>
      <c r="E30" s="81"/>
    </row>
    <row r="31" spans="1:6" x14ac:dyDescent="0.45">
      <c r="A31" s="144" t="s">
        <v>36</v>
      </c>
      <c r="B31" s="144">
        <v>3</v>
      </c>
      <c r="C31" s="1">
        <f>2025</f>
        <v>2025</v>
      </c>
      <c r="D31" s="135">
        <v>409489</v>
      </c>
      <c r="E31" s="81"/>
    </row>
    <row r="32" spans="1:6" x14ac:dyDescent="0.45">
      <c r="A32" s="144" t="s">
        <v>36</v>
      </c>
      <c r="B32" s="144">
        <v>4</v>
      </c>
      <c r="C32" s="1">
        <f>2025</f>
        <v>2025</v>
      </c>
      <c r="D32" s="135">
        <v>426854</v>
      </c>
      <c r="E32" s="81"/>
    </row>
    <row r="33" spans="1:5" x14ac:dyDescent="0.45">
      <c r="A33" s="144" t="s">
        <v>36</v>
      </c>
      <c r="B33" s="144">
        <v>5</v>
      </c>
      <c r="C33" s="1">
        <f>2025</f>
        <v>2025</v>
      </c>
      <c r="D33" s="135">
        <v>491560</v>
      </c>
      <c r="E33" s="81"/>
    </row>
    <row r="34" spans="1:5" x14ac:dyDescent="0.45">
      <c r="A34" s="144" t="s">
        <v>36</v>
      </c>
      <c r="B34" s="144">
        <v>6</v>
      </c>
      <c r="C34" s="1">
        <f>2025</f>
        <v>2025</v>
      </c>
      <c r="D34" s="135">
        <v>511081</v>
      </c>
      <c r="E34" s="81"/>
    </row>
    <row r="35" spans="1:5" x14ac:dyDescent="0.45">
      <c r="A35" s="144" t="s">
        <v>36</v>
      </c>
      <c r="B35" s="144">
        <v>7</v>
      </c>
      <c r="C35" s="1">
        <f>2025</f>
        <v>2025</v>
      </c>
      <c r="D35" s="145">
        <v>528500</v>
      </c>
      <c r="E35" s="81"/>
    </row>
    <row r="36" spans="1:5" x14ac:dyDescent="0.45">
      <c r="A36" s="144" t="s">
        <v>36</v>
      </c>
      <c r="B36" s="144">
        <v>8</v>
      </c>
      <c r="C36" s="1">
        <f>2025</f>
        <v>2025</v>
      </c>
      <c r="D36" s="135">
        <v>491649</v>
      </c>
      <c r="E36" s="81"/>
    </row>
    <row r="37" spans="1:5" x14ac:dyDescent="0.45">
      <c r="A37" s="144" t="s">
        <v>36</v>
      </c>
      <c r="B37" s="144">
        <v>9</v>
      </c>
      <c r="C37" s="1">
        <f>2025</f>
        <v>2025</v>
      </c>
      <c r="D37" s="135">
        <v>422985</v>
      </c>
      <c r="E37" s="81"/>
    </row>
    <row r="38" spans="1:5" x14ac:dyDescent="0.45">
      <c r="A38" s="144" t="s">
        <v>36</v>
      </c>
      <c r="B38" s="144">
        <v>10</v>
      </c>
      <c r="C38" s="1">
        <f>2025</f>
        <v>2025</v>
      </c>
      <c r="D38" s="135">
        <v>426835</v>
      </c>
      <c r="E38" s="81"/>
    </row>
    <row r="39" spans="1:5" x14ac:dyDescent="0.45">
      <c r="A39" s="144" t="s">
        <v>36</v>
      </c>
      <c r="B39" s="144">
        <v>11</v>
      </c>
      <c r="C39" s="1">
        <f>2025</f>
        <v>2025</v>
      </c>
      <c r="D39" s="135">
        <v>378158</v>
      </c>
      <c r="E39" s="81"/>
    </row>
    <row r="40" spans="1:5" x14ac:dyDescent="0.45">
      <c r="A40" s="144" t="s">
        <v>36</v>
      </c>
      <c r="B40" s="144">
        <v>12</v>
      </c>
      <c r="C40" s="1">
        <f>2025</f>
        <v>2025</v>
      </c>
      <c r="D40" s="146">
        <v>357864</v>
      </c>
      <c r="E40" s="82"/>
    </row>
    <row r="41" spans="1:5" x14ac:dyDescent="0.4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25" x14ac:dyDescent="0.45"/>
  <cols>
    <col min="2" max="2" width="9.1328125" style="19" bestFit="1" collapsed="1"/>
    <col min="3" max="3" width="8.73046875" style="19" collapsed="1"/>
    <col min="7" max="7" width="14.73046875" bestFit="1" customWidth="1"/>
    <col min="8" max="8" width="20.73046875" customWidth="1"/>
    <col min="9" max="9" width="19.1328125" customWidth="1"/>
  </cols>
  <sheetData>
    <row r="1" spans="1:17" x14ac:dyDescent="0.45">
      <c r="A1" s="33" t="s">
        <v>73</v>
      </c>
      <c r="B1" s="17" t="s">
        <v>74</v>
      </c>
      <c r="C1" s="17" t="s">
        <v>75</v>
      </c>
      <c r="D1" s="32"/>
      <c r="H1" s="195" t="s">
        <v>76</v>
      </c>
      <c r="I1" s="195"/>
      <c r="J1" s="195"/>
      <c r="K1" s="195"/>
      <c r="L1" s="195"/>
      <c r="M1" s="195"/>
      <c r="N1" s="195"/>
      <c r="O1" s="195"/>
      <c r="Q1" s="32" t="s">
        <v>77</v>
      </c>
    </row>
    <row r="2" spans="1:17" x14ac:dyDescent="0.45">
      <c r="A2" s="33" t="s">
        <v>78</v>
      </c>
      <c r="B2" s="34" t="s">
        <v>79</v>
      </c>
      <c r="C2" s="34" t="s">
        <v>80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 x14ac:dyDescent="0.45">
      <c r="A3" s="35">
        <v>42005</v>
      </c>
      <c r="B3" s="19">
        <v>430600</v>
      </c>
      <c r="C3" s="19">
        <v>88900</v>
      </c>
      <c r="D3" s="32"/>
      <c r="F3" s="27"/>
      <c r="G3" t="s">
        <v>39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 x14ac:dyDescent="0.45">
      <c r="A4" s="35">
        <v>42036</v>
      </c>
      <c r="B4" s="19">
        <v>472000</v>
      </c>
      <c r="C4" s="19">
        <v>99800</v>
      </c>
      <c r="D4" s="32"/>
      <c r="F4" s="27"/>
      <c r="G4" t="s">
        <v>40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 x14ac:dyDescent="0.45">
      <c r="A5" s="36">
        <v>42064</v>
      </c>
      <c r="B5" s="25">
        <v>637500</v>
      </c>
      <c r="C5" s="25">
        <v>138300</v>
      </c>
      <c r="D5" s="37" t="s">
        <v>81</v>
      </c>
      <c r="F5" s="19"/>
      <c r="G5" t="s">
        <v>82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 x14ac:dyDescent="0.45">
      <c r="A6" s="35">
        <v>42095</v>
      </c>
      <c r="B6" s="19">
        <v>719700</v>
      </c>
      <c r="C6" s="19">
        <v>158700</v>
      </c>
      <c r="D6" s="32"/>
      <c r="F6" s="19"/>
      <c r="G6" t="s">
        <v>42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 x14ac:dyDescent="0.45">
      <c r="A7" s="35">
        <v>42125</v>
      </c>
      <c r="B7" s="19">
        <v>729800</v>
      </c>
      <c r="C7" s="19">
        <v>162100</v>
      </c>
      <c r="D7" s="32"/>
      <c r="F7" s="19"/>
      <c r="G7" t="s">
        <v>43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 x14ac:dyDescent="0.45">
      <c r="A8" s="35">
        <v>42156</v>
      </c>
      <c r="B8" s="19">
        <v>764800</v>
      </c>
      <c r="C8" s="19">
        <v>172600</v>
      </c>
      <c r="D8" s="32"/>
      <c r="F8" s="19"/>
      <c r="G8" t="s">
        <v>44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 x14ac:dyDescent="0.45">
      <c r="A9" s="35">
        <v>42186</v>
      </c>
      <c r="B9" s="19">
        <v>773600</v>
      </c>
      <c r="C9" s="19">
        <v>175600</v>
      </c>
      <c r="D9" s="32"/>
      <c r="F9" s="19"/>
      <c r="G9" t="s">
        <v>45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 x14ac:dyDescent="0.45">
      <c r="A10" s="35">
        <v>42217</v>
      </c>
      <c r="B10" s="19">
        <v>753100</v>
      </c>
      <c r="C10" s="19">
        <v>170100</v>
      </c>
      <c r="D10" s="32"/>
      <c r="F10" s="19"/>
      <c r="G10" t="s">
        <v>46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 x14ac:dyDescent="0.45">
      <c r="A11" s="35">
        <v>42248</v>
      </c>
      <c r="B11" s="19">
        <v>622300</v>
      </c>
      <c r="C11" s="19">
        <v>138000</v>
      </c>
      <c r="D11" s="32"/>
      <c r="F11" s="19"/>
      <c r="G11" t="s">
        <v>47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 x14ac:dyDescent="0.45">
      <c r="A12" s="35">
        <v>42278</v>
      </c>
      <c r="B12" s="19">
        <v>572800</v>
      </c>
      <c r="C12" s="19">
        <v>124400</v>
      </c>
      <c r="D12" s="32"/>
      <c r="F12" s="19"/>
      <c r="G12" t="s">
        <v>48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 x14ac:dyDescent="0.45">
      <c r="A13" s="35">
        <v>42309</v>
      </c>
      <c r="B13" s="19">
        <v>413200</v>
      </c>
      <c r="C13" s="19">
        <v>88700</v>
      </c>
      <c r="D13" s="32"/>
      <c r="F13" s="27"/>
      <c r="G13" t="s">
        <v>49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 x14ac:dyDescent="0.45">
      <c r="A14" s="35">
        <v>42339</v>
      </c>
      <c r="B14" s="19">
        <v>420700</v>
      </c>
      <c r="C14" s="19">
        <v>88000</v>
      </c>
      <c r="D14" s="32"/>
      <c r="F14" s="27"/>
      <c r="G14" t="s">
        <v>50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 x14ac:dyDescent="0.45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 x14ac:dyDescent="0.45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 x14ac:dyDescent="0.45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 x14ac:dyDescent="0.45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 x14ac:dyDescent="0.45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 x14ac:dyDescent="0.45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 x14ac:dyDescent="0.45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 x14ac:dyDescent="0.45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 x14ac:dyDescent="0.45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 x14ac:dyDescent="0.45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 x14ac:dyDescent="0.45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 x14ac:dyDescent="0.45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 x14ac:dyDescent="0.45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 x14ac:dyDescent="0.45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 x14ac:dyDescent="0.45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 x14ac:dyDescent="0.45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 x14ac:dyDescent="0.45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 x14ac:dyDescent="0.45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 x14ac:dyDescent="0.45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 x14ac:dyDescent="0.45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 x14ac:dyDescent="0.45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 x14ac:dyDescent="0.45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 x14ac:dyDescent="0.45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 x14ac:dyDescent="0.45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 x14ac:dyDescent="0.45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 x14ac:dyDescent="0.45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 x14ac:dyDescent="0.45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 x14ac:dyDescent="0.45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 x14ac:dyDescent="0.45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 x14ac:dyDescent="0.45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 x14ac:dyDescent="0.45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 x14ac:dyDescent="0.45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 x14ac:dyDescent="0.45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 x14ac:dyDescent="0.45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 x14ac:dyDescent="0.45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 x14ac:dyDescent="0.45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 x14ac:dyDescent="0.45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 x14ac:dyDescent="0.45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 x14ac:dyDescent="0.45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 x14ac:dyDescent="0.45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 x14ac:dyDescent="0.45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 x14ac:dyDescent="0.45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 x14ac:dyDescent="0.45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 x14ac:dyDescent="0.45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 x14ac:dyDescent="0.45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 x14ac:dyDescent="0.45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 x14ac:dyDescent="0.45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 x14ac:dyDescent="0.45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 x14ac:dyDescent="0.45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 x14ac:dyDescent="0.45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 x14ac:dyDescent="0.45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 x14ac:dyDescent="0.45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 x14ac:dyDescent="0.45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 x14ac:dyDescent="0.45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 x14ac:dyDescent="0.45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 x14ac:dyDescent="0.45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 x14ac:dyDescent="0.45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 x14ac:dyDescent="0.45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 x14ac:dyDescent="0.45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 x14ac:dyDescent="0.45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 x14ac:dyDescent="0.45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 x14ac:dyDescent="0.45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 x14ac:dyDescent="0.45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 x14ac:dyDescent="0.45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 x14ac:dyDescent="0.45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 x14ac:dyDescent="0.45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 x14ac:dyDescent="0.45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 x14ac:dyDescent="0.45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 x14ac:dyDescent="0.45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 x14ac:dyDescent="0.45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 x14ac:dyDescent="0.45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 x14ac:dyDescent="0.45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 x14ac:dyDescent="0.45">
      <c r="A87" s="36">
        <v>44562</v>
      </c>
      <c r="B87" s="25">
        <v>417842.40252880804</v>
      </c>
      <c r="C87" s="25">
        <v>99200</v>
      </c>
      <c r="G87" s="26"/>
      <c r="I87" s="27"/>
    </row>
    <row r="88" spans="1:9" x14ac:dyDescent="0.45">
      <c r="A88" s="36">
        <v>44593</v>
      </c>
      <c r="B88" s="25">
        <v>458015.82441615738</v>
      </c>
      <c r="C88" s="25">
        <v>108300</v>
      </c>
      <c r="G88" s="26"/>
      <c r="I88" s="27"/>
    </row>
    <row r="89" spans="1:9" x14ac:dyDescent="0.45">
      <c r="A89" s="36">
        <v>44621</v>
      </c>
      <c r="B89" s="25">
        <v>615519.41234104626</v>
      </c>
      <c r="C89" s="25">
        <v>150000</v>
      </c>
      <c r="G89" s="26"/>
      <c r="I89" s="27"/>
    </row>
    <row r="90" spans="1:9" x14ac:dyDescent="0.45">
      <c r="A90" s="36">
        <v>44652</v>
      </c>
      <c r="B90" s="25">
        <v>694885.20950878575</v>
      </c>
      <c r="C90" s="25">
        <v>171200</v>
      </c>
      <c r="G90" s="26"/>
      <c r="I90" s="27"/>
    </row>
    <row r="91" spans="1:9" x14ac:dyDescent="0.45">
      <c r="A91" s="36">
        <v>44682</v>
      </c>
      <c r="B91" s="25">
        <v>704636.96804156166</v>
      </c>
      <c r="C91" s="25">
        <v>174100</v>
      </c>
      <c r="G91" s="26"/>
      <c r="I91" s="27"/>
    </row>
    <row r="92" spans="1:9" x14ac:dyDescent="0.45">
      <c r="A92" s="36">
        <v>44713</v>
      </c>
      <c r="B92" s="25">
        <v>738430.1906798936</v>
      </c>
      <c r="C92" s="25">
        <v>182400</v>
      </c>
      <c r="G92" s="26"/>
      <c r="I92" s="27"/>
    </row>
    <row r="93" spans="1:9" x14ac:dyDescent="0.45">
      <c r="A93" s="36">
        <v>44743</v>
      </c>
      <c r="B93" s="25">
        <v>746926.77237181691</v>
      </c>
      <c r="C93" s="25">
        <v>185100</v>
      </c>
      <c r="G93" s="26"/>
      <c r="I93" s="27"/>
    </row>
    <row r="94" spans="1:9" x14ac:dyDescent="0.45">
      <c r="A94" s="36">
        <v>44774</v>
      </c>
      <c r="B94" s="25">
        <v>727133.59911222255</v>
      </c>
      <c r="C94" s="25">
        <v>178400</v>
      </c>
      <c r="G94" s="26"/>
      <c r="I94" s="27"/>
    </row>
    <row r="95" spans="1:9" x14ac:dyDescent="0.45">
      <c r="A95" s="36">
        <v>44805</v>
      </c>
      <c r="B95" s="25">
        <v>600843.49850954209</v>
      </c>
      <c r="C95" s="25">
        <v>146600</v>
      </c>
      <c r="G95" s="26"/>
      <c r="I95" s="27"/>
    </row>
    <row r="96" spans="1:9" x14ac:dyDescent="0.45">
      <c r="A96" s="36">
        <v>44835</v>
      </c>
      <c r="B96" s="25">
        <v>553050.22649247258</v>
      </c>
      <c r="C96" s="25">
        <v>133800</v>
      </c>
      <c r="G96" s="26"/>
      <c r="I96" s="27"/>
    </row>
    <row r="97" spans="1:9" x14ac:dyDescent="0.45">
      <c r="A97" s="36">
        <v>44866</v>
      </c>
      <c r="B97" s="25">
        <v>398953.13126167894</v>
      </c>
      <c r="C97" s="25">
        <v>96000</v>
      </c>
      <c r="G97" s="26"/>
      <c r="I97" s="27"/>
    </row>
    <row r="98" spans="1:9" x14ac:dyDescent="0.45">
      <c r="A98" s="36">
        <v>44896</v>
      </c>
      <c r="B98" s="25">
        <v>406194.53611275007</v>
      </c>
      <c r="C98" s="25">
        <v>98000</v>
      </c>
      <c r="G98" s="26"/>
      <c r="I98" s="27"/>
    </row>
    <row r="99" spans="1:9" x14ac:dyDescent="0.45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6" max="6" width="13.73046875" bestFit="1" customWidth="1"/>
    <col min="7" max="7" width="11.73046875" bestFit="1" customWidth="1"/>
    <col min="8" max="8" width="18.1328125" customWidth="1"/>
    <col min="10" max="10" width="10" bestFit="1" customWidth="1"/>
  </cols>
  <sheetData>
    <row r="1" spans="1:16" x14ac:dyDescent="0.45">
      <c r="A1" s="16" t="s">
        <v>73</v>
      </c>
      <c r="B1" s="17" t="s">
        <v>74</v>
      </c>
      <c r="C1" s="17" t="s">
        <v>75</v>
      </c>
      <c r="G1" t="s">
        <v>83</v>
      </c>
      <c r="P1" t="s">
        <v>84</v>
      </c>
    </row>
    <row r="2" spans="1:16" x14ac:dyDescent="0.45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 x14ac:dyDescent="0.45">
      <c r="A3" s="15">
        <v>42005</v>
      </c>
      <c r="B3" s="19">
        <v>558000</v>
      </c>
      <c r="C3" s="19">
        <v>89800</v>
      </c>
      <c r="F3" t="s">
        <v>39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 x14ac:dyDescent="0.45">
      <c r="A4" s="15">
        <v>42036</v>
      </c>
      <c r="B4" s="19">
        <v>618000</v>
      </c>
      <c r="C4" s="19">
        <v>100200</v>
      </c>
      <c r="F4" s="26" t="s">
        <v>40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 x14ac:dyDescent="0.45">
      <c r="A5" s="15">
        <v>42064</v>
      </c>
      <c r="B5" s="19">
        <v>832000</v>
      </c>
      <c r="C5" s="19">
        <v>140000</v>
      </c>
      <c r="F5" s="26" t="s">
        <v>82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 x14ac:dyDescent="0.45">
      <c r="A6" s="15">
        <v>42095</v>
      </c>
      <c r="B6" s="19">
        <v>960000</v>
      </c>
      <c r="C6" s="19">
        <v>164500</v>
      </c>
      <c r="F6" s="26" t="s">
        <v>42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 x14ac:dyDescent="0.45">
      <c r="A7" s="15">
        <v>42125</v>
      </c>
      <c r="B7" s="19">
        <v>965000</v>
      </c>
      <c r="C7" s="19">
        <v>166700</v>
      </c>
      <c r="F7" s="26" t="s">
        <v>43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 x14ac:dyDescent="0.45">
      <c r="A8" s="15">
        <v>42156</v>
      </c>
      <c r="B8" s="19">
        <v>1010000</v>
      </c>
      <c r="C8" s="19">
        <v>175600</v>
      </c>
      <c r="F8" s="26" t="s">
        <v>44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 x14ac:dyDescent="0.45">
      <c r="A9" s="15">
        <v>42186</v>
      </c>
      <c r="B9" s="19">
        <v>1006000</v>
      </c>
      <c r="C9" s="19">
        <v>175400</v>
      </c>
      <c r="F9" s="26" t="s">
        <v>45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 x14ac:dyDescent="0.45">
      <c r="A10" s="15">
        <v>42217</v>
      </c>
      <c r="B10" s="19">
        <v>958000</v>
      </c>
      <c r="C10" s="19">
        <v>166400</v>
      </c>
      <c r="F10" s="26" t="s">
        <v>46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 x14ac:dyDescent="0.45">
      <c r="A11" s="15">
        <v>42248</v>
      </c>
      <c r="B11" s="19">
        <v>804000</v>
      </c>
      <c r="C11" s="19">
        <v>138400</v>
      </c>
      <c r="F11" s="26" t="s">
        <v>47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 x14ac:dyDescent="0.45">
      <c r="A12" s="24">
        <v>42278</v>
      </c>
      <c r="B12" s="25">
        <v>772000</v>
      </c>
      <c r="C12" s="25">
        <v>129600</v>
      </c>
      <c r="D12" s="38" t="s">
        <v>85</v>
      </c>
      <c r="F12" s="26" t="s">
        <v>48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 x14ac:dyDescent="0.45">
      <c r="A13" s="15">
        <v>42309</v>
      </c>
      <c r="B13" s="19">
        <v>546000</v>
      </c>
      <c r="C13" s="19">
        <v>90200</v>
      </c>
      <c r="F13" s="26" t="s">
        <v>49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 x14ac:dyDescent="0.45">
      <c r="A14" s="15">
        <v>42339</v>
      </c>
      <c r="B14" s="19">
        <v>546000</v>
      </c>
      <c r="C14" s="19">
        <v>88300</v>
      </c>
      <c r="F14" s="26" t="s">
        <v>50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 x14ac:dyDescent="0.45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 x14ac:dyDescent="0.45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 x14ac:dyDescent="0.45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 x14ac:dyDescent="0.45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 x14ac:dyDescent="0.45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 x14ac:dyDescent="0.45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 x14ac:dyDescent="0.45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 x14ac:dyDescent="0.45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 x14ac:dyDescent="0.45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 x14ac:dyDescent="0.45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 x14ac:dyDescent="0.45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 x14ac:dyDescent="0.45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 x14ac:dyDescent="0.45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 x14ac:dyDescent="0.45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 x14ac:dyDescent="0.45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 x14ac:dyDescent="0.45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 x14ac:dyDescent="0.45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 x14ac:dyDescent="0.45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 x14ac:dyDescent="0.45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 x14ac:dyDescent="0.45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 x14ac:dyDescent="0.45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 x14ac:dyDescent="0.45">
      <c r="A36" s="15">
        <v>43009</v>
      </c>
      <c r="B36" s="19">
        <f>B12*0.99</f>
        <v>764280</v>
      </c>
      <c r="C36" s="19">
        <v>129600</v>
      </c>
      <c r="H36" s="30"/>
    </row>
    <row r="37" spans="1:10" x14ac:dyDescent="0.45">
      <c r="A37" s="15">
        <v>43040</v>
      </c>
      <c r="B37" s="19">
        <f t="shared" ref="B37:B38" si="2">B13*0.99</f>
        <v>540540</v>
      </c>
      <c r="C37" s="19">
        <v>90200</v>
      </c>
    </row>
    <row r="38" spans="1:10" x14ac:dyDescent="0.45">
      <c r="A38" s="15">
        <v>43070</v>
      </c>
      <c r="B38" s="19">
        <f t="shared" si="2"/>
        <v>540540</v>
      </c>
      <c r="C38" s="19">
        <v>88300</v>
      </c>
    </row>
    <row r="39" spans="1:10" x14ac:dyDescent="0.45">
      <c r="A39" s="24">
        <v>43101</v>
      </c>
      <c r="B39" s="25">
        <f>B15*0.99</f>
        <v>552420</v>
      </c>
      <c r="C39" s="25">
        <v>89800</v>
      </c>
    </row>
    <row r="40" spans="1:10" x14ac:dyDescent="0.45">
      <c r="A40" s="24">
        <v>43132</v>
      </c>
      <c r="B40" s="25">
        <f t="shared" ref="B40:B47" si="3">B16*0.99</f>
        <v>611820</v>
      </c>
      <c r="C40" s="25">
        <v>100200</v>
      </c>
    </row>
    <row r="41" spans="1:10" x14ac:dyDescent="0.45">
      <c r="A41" s="24">
        <v>43160</v>
      </c>
      <c r="B41" s="25">
        <f t="shared" si="3"/>
        <v>823680</v>
      </c>
      <c r="C41" s="25">
        <v>140000</v>
      </c>
    </row>
    <row r="42" spans="1:10" x14ac:dyDescent="0.45">
      <c r="A42" s="24">
        <v>43191</v>
      </c>
      <c r="B42" s="25">
        <f t="shared" si="3"/>
        <v>950400</v>
      </c>
      <c r="C42" s="25">
        <v>164500</v>
      </c>
    </row>
    <row r="43" spans="1:10" x14ac:dyDescent="0.45">
      <c r="A43" s="24">
        <v>43221</v>
      </c>
      <c r="B43" s="25">
        <f t="shared" si="3"/>
        <v>955350</v>
      </c>
      <c r="C43" s="25">
        <v>166700</v>
      </c>
    </row>
    <row r="44" spans="1:10" x14ac:dyDescent="0.45">
      <c r="A44" s="24">
        <v>43252</v>
      </c>
      <c r="B44" s="25">
        <f t="shared" si="3"/>
        <v>999900</v>
      </c>
      <c r="C44" s="25">
        <v>175600</v>
      </c>
    </row>
    <row r="45" spans="1:10" x14ac:dyDescent="0.45">
      <c r="A45" s="24">
        <v>43282</v>
      </c>
      <c r="B45" s="25">
        <f t="shared" si="3"/>
        <v>995940</v>
      </c>
      <c r="C45" s="25">
        <v>175400</v>
      </c>
    </row>
    <row r="46" spans="1:10" x14ac:dyDescent="0.45">
      <c r="A46" s="24">
        <v>43313</v>
      </c>
      <c r="B46" s="25">
        <f t="shared" si="3"/>
        <v>948420</v>
      </c>
      <c r="C46" s="25">
        <v>166400</v>
      </c>
    </row>
    <row r="47" spans="1:10" x14ac:dyDescent="0.45">
      <c r="A47" s="24">
        <v>43344</v>
      </c>
      <c r="B47" s="25">
        <f t="shared" si="3"/>
        <v>795960</v>
      </c>
      <c r="C47" s="25">
        <v>138400</v>
      </c>
    </row>
    <row r="48" spans="1:10" x14ac:dyDescent="0.45">
      <c r="A48" s="24">
        <v>43374</v>
      </c>
      <c r="B48" s="25">
        <f>B12*0.985</f>
        <v>760420</v>
      </c>
      <c r="C48" s="25">
        <v>129600</v>
      </c>
    </row>
    <row r="49" spans="1:3" x14ac:dyDescent="0.45">
      <c r="A49" s="24">
        <v>43405</v>
      </c>
      <c r="B49" s="25">
        <f t="shared" ref="B49:B50" si="4">B13*0.985</f>
        <v>537810</v>
      </c>
      <c r="C49" s="25">
        <v>90200</v>
      </c>
    </row>
    <row r="50" spans="1:3" x14ac:dyDescent="0.45">
      <c r="A50" s="24">
        <v>43435</v>
      </c>
      <c r="B50" s="25">
        <f t="shared" si="4"/>
        <v>537810</v>
      </c>
      <c r="C50" s="25">
        <v>88300</v>
      </c>
    </row>
    <row r="51" spans="1:3" x14ac:dyDescent="0.45">
      <c r="A51" s="15">
        <v>43466</v>
      </c>
      <c r="B51" s="19">
        <f>B15*0.985</f>
        <v>549630</v>
      </c>
      <c r="C51" s="19">
        <v>89800</v>
      </c>
    </row>
    <row r="52" spans="1:3" x14ac:dyDescent="0.45">
      <c r="A52" s="15">
        <v>43497</v>
      </c>
      <c r="B52" s="19">
        <f t="shared" ref="B52:B59" si="5">B16*0.985</f>
        <v>608730</v>
      </c>
      <c r="C52" s="19">
        <v>100200</v>
      </c>
    </row>
    <row r="53" spans="1:3" x14ac:dyDescent="0.45">
      <c r="A53" s="15">
        <v>43525</v>
      </c>
      <c r="B53" s="19">
        <f t="shared" si="5"/>
        <v>819520</v>
      </c>
      <c r="C53" s="19">
        <v>140000</v>
      </c>
    </row>
    <row r="54" spans="1:3" x14ac:dyDescent="0.45">
      <c r="A54" s="15">
        <v>43556</v>
      </c>
      <c r="B54" s="19">
        <f t="shared" si="5"/>
        <v>945600</v>
      </c>
      <c r="C54" s="19">
        <v>164500</v>
      </c>
    </row>
    <row r="55" spans="1:3" x14ac:dyDescent="0.45">
      <c r="A55" s="15">
        <v>43586</v>
      </c>
      <c r="B55" s="19">
        <f t="shared" si="5"/>
        <v>950525</v>
      </c>
      <c r="C55" s="19">
        <v>166700</v>
      </c>
    </row>
    <row r="56" spans="1:3" x14ac:dyDescent="0.45">
      <c r="A56" s="15">
        <v>43617</v>
      </c>
      <c r="B56" s="19">
        <f t="shared" si="5"/>
        <v>994850</v>
      </c>
      <c r="C56" s="19">
        <v>175600</v>
      </c>
    </row>
    <row r="57" spans="1:3" x14ac:dyDescent="0.45">
      <c r="A57" s="15">
        <v>43647</v>
      </c>
      <c r="B57" s="19">
        <f t="shared" si="5"/>
        <v>990910</v>
      </c>
      <c r="C57" s="19">
        <v>175400</v>
      </c>
    </row>
    <row r="58" spans="1:3" x14ac:dyDescent="0.45">
      <c r="A58" s="15">
        <v>43678</v>
      </c>
      <c r="B58" s="19">
        <f t="shared" si="5"/>
        <v>943630</v>
      </c>
      <c r="C58" s="19">
        <v>166400</v>
      </c>
    </row>
    <row r="59" spans="1:3" x14ac:dyDescent="0.45">
      <c r="A59" s="15">
        <v>43709</v>
      </c>
      <c r="B59" s="19">
        <f t="shared" si="5"/>
        <v>791940</v>
      </c>
      <c r="C59" s="19">
        <v>138400</v>
      </c>
    </row>
    <row r="60" spans="1:3" x14ac:dyDescent="0.45">
      <c r="A60" s="15">
        <v>43739</v>
      </c>
      <c r="B60" s="19">
        <f>B12*0.98</f>
        <v>756560</v>
      </c>
      <c r="C60" s="19">
        <v>129600</v>
      </c>
    </row>
    <row r="61" spans="1:3" x14ac:dyDescent="0.45">
      <c r="A61" s="15">
        <v>43770</v>
      </c>
      <c r="B61" s="19">
        <f t="shared" ref="B61:B62" si="6">B13*0.98</f>
        <v>535080</v>
      </c>
      <c r="C61" s="19">
        <v>90200</v>
      </c>
    </row>
    <row r="62" spans="1:3" x14ac:dyDescent="0.45">
      <c r="A62" s="15">
        <v>43800</v>
      </c>
      <c r="B62" s="19">
        <f t="shared" si="6"/>
        <v>535080</v>
      </c>
      <c r="C62" s="19">
        <v>88300</v>
      </c>
    </row>
    <row r="63" spans="1:3" x14ac:dyDescent="0.45">
      <c r="A63" s="24">
        <v>43831</v>
      </c>
      <c r="B63" s="25">
        <f>B3*0.98</f>
        <v>546840</v>
      </c>
      <c r="C63" s="25">
        <v>89800</v>
      </c>
    </row>
    <row r="64" spans="1:3" x14ac:dyDescent="0.45">
      <c r="A64" s="24">
        <v>43862</v>
      </c>
      <c r="B64" s="25">
        <f t="shared" ref="B64:B71" si="7">B4*0.98</f>
        <v>605640</v>
      </c>
      <c r="C64" s="25">
        <v>100200</v>
      </c>
    </row>
    <row r="65" spans="1:3" x14ac:dyDescent="0.45">
      <c r="A65" s="24">
        <v>43891</v>
      </c>
      <c r="B65" s="25">
        <f t="shared" si="7"/>
        <v>815360</v>
      </c>
      <c r="C65" s="25">
        <v>140000</v>
      </c>
    </row>
    <row r="66" spans="1:3" x14ac:dyDescent="0.45">
      <c r="A66" s="24">
        <v>43922</v>
      </c>
      <c r="B66" s="25">
        <f t="shared" si="7"/>
        <v>940800</v>
      </c>
      <c r="C66" s="25">
        <v>164500</v>
      </c>
    </row>
    <row r="67" spans="1:3" x14ac:dyDescent="0.45">
      <c r="A67" s="24">
        <v>43952</v>
      </c>
      <c r="B67" s="25">
        <f t="shared" si="7"/>
        <v>945700</v>
      </c>
      <c r="C67" s="25">
        <v>166700</v>
      </c>
    </row>
    <row r="68" spans="1:3" x14ac:dyDescent="0.45">
      <c r="A68" s="24">
        <v>43983</v>
      </c>
      <c r="B68" s="25">
        <f t="shared" si="7"/>
        <v>989800</v>
      </c>
      <c r="C68" s="25">
        <v>175600</v>
      </c>
    </row>
    <row r="69" spans="1:3" x14ac:dyDescent="0.45">
      <c r="A69" s="24">
        <v>44013</v>
      </c>
      <c r="B69" s="25">
        <f t="shared" si="7"/>
        <v>985880</v>
      </c>
      <c r="C69" s="25">
        <v>175400</v>
      </c>
    </row>
    <row r="70" spans="1:3" x14ac:dyDescent="0.45">
      <c r="A70" s="24">
        <v>44044</v>
      </c>
      <c r="B70" s="25">
        <f t="shared" si="7"/>
        <v>938840</v>
      </c>
      <c r="C70" s="25">
        <v>166400</v>
      </c>
    </row>
    <row r="71" spans="1:3" x14ac:dyDescent="0.45">
      <c r="A71" s="24">
        <v>44075</v>
      </c>
      <c r="B71" s="25">
        <f t="shared" si="7"/>
        <v>787920</v>
      </c>
      <c r="C71" s="25">
        <v>138400</v>
      </c>
    </row>
    <row r="72" spans="1:3" x14ac:dyDescent="0.45">
      <c r="A72" s="24">
        <v>44105</v>
      </c>
      <c r="B72" s="25">
        <f>B12*0.975</f>
        <v>752700</v>
      </c>
      <c r="C72" s="25">
        <v>129600</v>
      </c>
    </row>
    <row r="73" spans="1:3" x14ac:dyDescent="0.45">
      <c r="A73" s="24">
        <v>44136</v>
      </c>
      <c r="B73" s="25">
        <f>B13*0.975</f>
        <v>532350</v>
      </c>
      <c r="C73" s="25">
        <v>90200</v>
      </c>
    </row>
    <row r="74" spans="1:3" x14ac:dyDescent="0.45">
      <c r="A74" s="24">
        <v>44166</v>
      </c>
      <c r="B74" s="25">
        <f>B14*0.975</f>
        <v>532350</v>
      </c>
      <c r="C74" s="25">
        <v>88300</v>
      </c>
    </row>
    <row r="75" spans="1:3" x14ac:dyDescent="0.45">
      <c r="A75" s="15">
        <v>44197</v>
      </c>
      <c r="B75" s="19">
        <f>B3*0.975</f>
        <v>544050</v>
      </c>
      <c r="C75" s="19">
        <v>89800</v>
      </c>
    </row>
    <row r="76" spans="1:3" x14ac:dyDescent="0.45">
      <c r="A76" s="15">
        <v>44228</v>
      </c>
      <c r="B76" s="19">
        <f t="shared" ref="B76:B86" si="8">B4*0.975</f>
        <v>602550</v>
      </c>
      <c r="C76" s="19">
        <v>100200</v>
      </c>
    </row>
    <row r="77" spans="1:3" x14ac:dyDescent="0.45">
      <c r="A77" s="15">
        <v>44256</v>
      </c>
      <c r="B77" s="19">
        <f t="shared" si="8"/>
        <v>811200</v>
      </c>
      <c r="C77" s="19">
        <v>140000</v>
      </c>
    </row>
    <row r="78" spans="1:3" x14ac:dyDescent="0.45">
      <c r="A78" s="15">
        <v>44287</v>
      </c>
      <c r="B78" s="19">
        <f t="shared" si="8"/>
        <v>936000</v>
      </c>
      <c r="C78" s="19">
        <v>164500</v>
      </c>
    </row>
    <row r="79" spans="1:3" x14ac:dyDescent="0.45">
      <c r="A79" s="15">
        <v>44317</v>
      </c>
      <c r="B79" s="19">
        <f t="shared" si="8"/>
        <v>940875</v>
      </c>
      <c r="C79" s="19">
        <v>166700</v>
      </c>
    </row>
    <row r="80" spans="1:3" x14ac:dyDescent="0.45">
      <c r="A80" s="15">
        <v>44348</v>
      </c>
      <c r="B80" s="19">
        <f t="shared" si="8"/>
        <v>984750</v>
      </c>
      <c r="C80" s="19">
        <v>175600</v>
      </c>
    </row>
    <row r="81" spans="1:3" x14ac:dyDescent="0.45">
      <c r="A81" s="15">
        <v>44378</v>
      </c>
      <c r="B81" s="19">
        <f t="shared" si="8"/>
        <v>980850</v>
      </c>
      <c r="C81" s="19">
        <v>175400</v>
      </c>
    </row>
    <row r="82" spans="1:3" x14ac:dyDescent="0.45">
      <c r="A82" s="15">
        <v>44409</v>
      </c>
      <c r="B82" s="19">
        <f t="shared" si="8"/>
        <v>934050</v>
      </c>
      <c r="C82" s="19">
        <v>166400</v>
      </c>
    </row>
    <row r="83" spans="1:3" x14ac:dyDescent="0.45">
      <c r="A83" s="15">
        <v>44440</v>
      </c>
      <c r="B83" s="19">
        <f t="shared" si="8"/>
        <v>783900</v>
      </c>
      <c r="C83" s="19">
        <v>138400</v>
      </c>
    </row>
    <row r="84" spans="1:3" x14ac:dyDescent="0.45">
      <c r="A84" s="15">
        <v>44470</v>
      </c>
      <c r="B84" s="19">
        <f t="shared" si="8"/>
        <v>752700</v>
      </c>
      <c r="C84" s="19">
        <v>129600</v>
      </c>
    </row>
    <row r="85" spans="1:3" x14ac:dyDescent="0.45">
      <c r="A85" s="15">
        <v>44501</v>
      </c>
      <c r="B85" s="19">
        <f t="shared" si="8"/>
        <v>532350</v>
      </c>
      <c r="C85" s="19">
        <v>90200</v>
      </c>
    </row>
    <row r="86" spans="1:3" x14ac:dyDescent="0.45">
      <c r="A86" s="15">
        <v>44531</v>
      </c>
      <c r="B86" s="19">
        <f t="shared" si="8"/>
        <v>532350</v>
      </c>
      <c r="C86" s="19">
        <v>88300</v>
      </c>
    </row>
    <row r="87" spans="1:3" x14ac:dyDescent="0.45">
      <c r="A87" s="24">
        <v>44562</v>
      </c>
      <c r="B87" s="25">
        <v>541467.86022079608</v>
      </c>
      <c r="C87" s="25">
        <v>99500</v>
      </c>
    </row>
    <row r="88" spans="1:3" x14ac:dyDescent="0.45">
      <c r="A88" s="24">
        <v>44593</v>
      </c>
      <c r="B88" s="25">
        <v>599690.21078217216</v>
      </c>
      <c r="C88" s="25">
        <v>110300</v>
      </c>
    </row>
    <row r="89" spans="1:3" x14ac:dyDescent="0.45">
      <c r="A89" s="24">
        <v>44621</v>
      </c>
      <c r="B89" s="25">
        <v>807349.9277844131</v>
      </c>
      <c r="C89" s="25">
        <v>152700</v>
      </c>
    </row>
    <row r="90" spans="1:3" x14ac:dyDescent="0.45">
      <c r="A90" s="24">
        <v>44652</v>
      </c>
      <c r="B90" s="25">
        <v>931557.60898201505</v>
      </c>
      <c r="C90" s="25">
        <v>177600</v>
      </c>
    </row>
    <row r="91" spans="1:3" x14ac:dyDescent="0.45">
      <c r="A91" s="24">
        <v>44682</v>
      </c>
      <c r="B91" s="25">
        <v>936409.47152879636</v>
      </c>
      <c r="C91" s="25">
        <v>178000</v>
      </c>
    </row>
    <row r="92" spans="1:3" x14ac:dyDescent="0.45">
      <c r="A92" s="24">
        <v>44713</v>
      </c>
      <c r="B92" s="25">
        <v>980076.23444982816</v>
      </c>
      <c r="C92" s="25">
        <v>186200</v>
      </c>
    </row>
    <row r="93" spans="1:3" x14ac:dyDescent="0.45">
      <c r="A93" s="24">
        <v>44743</v>
      </c>
      <c r="B93" s="25">
        <v>976194.7444124032</v>
      </c>
      <c r="C93" s="25">
        <v>184400</v>
      </c>
    </row>
    <row r="94" spans="1:3" x14ac:dyDescent="0.45">
      <c r="A94" s="24">
        <v>44774</v>
      </c>
      <c r="B94" s="25">
        <v>929616.86396330222</v>
      </c>
      <c r="C94" s="25">
        <v>176400</v>
      </c>
    </row>
    <row r="95" spans="1:3" x14ac:dyDescent="0.45">
      <c r="A95" s="24">
        <v>44805</v>
      </c>
      <c r="B95" s="25">
        <v>780179.49752243748</v>
      </c>
      <c r="C95" s="25">
        <v>147200</v>
      </c>
    </row>
    <row r="96" spans="1:3" x14ac:dyDescent="0.45">
      <c r="A96" s="24">
        <v>44835</v>
      </c>
      <c r="B96" s="25">
        <v>745381.9393369219</v>
      </c>
      <c r="C96" s="25">
        <v>139100</v>
      </c>
    </row>
    <row r="97" spans="1:3" x14ac:dyDescent="0.45">
      <c r="A97" s="24">
        <v>44866</v>
      </c>
      <c r="B97" s="25">
        <v>527174.27315797843</v>
      </c>
      <c r="C97" s="25">
        <v>97900</v>
      </c>
    </row>
    <row r="98" spans="1:3" x14ac:dyDescent="0.45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5" max="5" width="13.73046875" bestFit="1" customWidth="1"/>
    <col min="6" max="6" width="14.73046875" customWidth="1"/>
    <col min="7" max="7" width="10" bestFit="1" customWidth="1"/>
    <col min="10" max="10" width="10.1328125" customWidth="1"/>
    <col min="11" max="11" width="12" customWidth="1"/>
    <col min="13" max="13" width="12.1328125" customWidth="1"/>
  </cols>
  <sheetData>
    <row r="1" spans="1:16" x14ac:dyDescent="0.45">
      <c r="A1" s="16" t="s">
        <v>73</v>
      </c>
      <c r="B1" s="17" t="s">
        <v>74</v>
      </c>
      <c r="C1" s="17" t="s">
        <v>75</v>
      </c>
      <c r="G1" s="195" t="s">
        <v>86</v>
      </c>
      <c r="H1" s="195"/>
      <c r="I1" s="195"/>
      <c r="J1" s="195"/>
      <c r="K1" s="195"/>
      <c r="L1" s="195"/>
      <c r="M1" s="195"/>
      <c r="N1" s="195"/>
      <c r="P1" s="32" t="s">
        <v>87</v>
      </c>
    </row>
    <row r="2" spans="1:16" x14ac:dyDescent="0.45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45">
      <c r="A3" s="15">
        <v>42005</v>
      </c>
      <c r="B3" s="19">
        <v>596000</v>
      </c>
      <c r="C3" s="19">
        <v>95500</v>
      </c>
      <c r="F3" t="s">
        <v>39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 x14ac:dyDescent="0.45">
      <c r="A4" s="15">
        <v>42036</v>
      </c>
      <c r="B4" s="19">
        <v>602000</v>
      </c>
      <c r="C4" s="19">
        <v>98900</v>
      </c>
      <c r="E4" s="26"/>
      <c r="F4" t="s">
        <v>40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 x14ac:dyDescent="0.45">
      <c r="A5" s="15">
        <v>42064</v>
      </c>
      <c r="B5" s="19">
        <v>866000</v>
      </c>
      <c r="C5" s="19">
        <v>144000</v>
      </c>
      <c r="E5" s="26"/>
      <c r="F5" t="s">
        <v>82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 x14ac:dyDescent="0.45">
      <c r="A6" s="15">
        <v>42095</v>
      </c>
      <c r="B6" s="19">
        <v>967000</v>
      </c>
      <c r="C6" s="19">
        <v>164800</v>
      </c>
      <c r="E6" s="26"/>
      <c r="F6" t="s">
        <v>42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 x14ac:dyDescent="0.45">
      <c r="A7" s="15">
        <v>42125</v>
      </c>
      <c r="B7" s="19">
        <v>1006000</v>
      </c>
      <c r="C7" s="19">
        <v>172700</v>
      </c>
      <c r="E7" s="26"/>
      <c r="F7" t="s">
        <v>43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 x14ac:dyDescent="0.45">
      <c r="A8" s="15">
        <v>42156</v>
      </c>
      <c r="B8" s="19">
        <v>1031000</v>
      </c>
      <c r="C8" s="19">
        <v>178800</v>
      </c>
      <c r="E8" s="26"/>
      <c r="F8" t="s">
        <v>44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 x14ac:dyDescent="0.45">
      <c r="A9" s="15">
        <v>42186</v>
      </c>
      <c r="B9" s="19">
        <v>1045000</v>
      </c>
      <c r="C9" s="19">
        <v>182100</v>
      </c>
      <c r="E9" s="26"/>
      <c r="F9" t="s">
        <v>45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 x14ac:dyDescent="0.45">
      <c r="A10" s="15">
        <v>42217</v>
      </c>
      <c r="B10" s="19">
        <v>967000</v>
      </c>
      <c r="C10" s="19">
        <v>168000</v>
      </c>
      <c r="E10" s="26"/>
      <c r="F10" t="s">
        <v>46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 x14ac:dyDescent="0.45">
      <c r="A11" s="39">
        <v>42248</v>
      </c>
      <c r="B11" s="40">
        <v>845000</v>
      </c>
      <c r="C11" s="40">
        <v>145300</v>
      </c>
      <c r="D11" s="41" t="s">
        <v>88</v>
      </c>
      <c r="E11" s="26"/>
      <c r="F11" t="s">
        <v>47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 x14ac:dyDescent="0.45">
      <c r="A12" s="15">
        <v>42278</v>
      </c>
      <c r="B12" s="19">
        <v>862000</v>
      </c>
      <c r="C12" s="19">
        <v>144600</v>
      </c>
      <c r="E12" s="26"/>
      <c r="F12" t="s">
        <v>48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 x14ac:dyDescent="0.45">
      <c r="A13" s="15">
        <v>42309</v>
      </c>
      <c r="B13" s="19">
        <v>629000</v>
      </c>
      <c r="C13" s="19">
        <v>103400</v>
      </c>
      <c r="E13" s="26"/>
      <c r="F13" t="s">
        <v>49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 x14ac:dyDescent="0.45">
      <c r="A14" s="15">
        <v>42339</v>
      </c>
      <c r="B14" s="19">
        <v>582000</v>
      </c>
      <c r="C14" s="19">
        <v>94000</v>
      </c>
      <c r="E14" s="26"/>
      <c r="F14" t="s">
        <v>50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 x14ac:dyDescent="0.45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 x14ac:dyDescent="0.45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 x14ac:dyDescent="0.45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 x14ac:dyDescent="0.45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 x14ac:dyDescent="0.45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 x14ac:dyDescent="0.45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 x14ac:dyDescent="0.45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 x14ac:dyDescent="0.45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 x14ac:dyDescent="0.45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 x14ac:dyDescent="0.45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 x14ac:dyDescent="0.45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 x14ac:dyDescent="0.45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 x14ac:dyDescent="0.45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 x14ac:dyDescent="0.45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 x14ac:dyDescent="0.45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 x14ac:dyDescent="0.45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 x14ac:dyDescent="0.45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 x14ac:dyDescent="0.45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 x14ac:dyDescent="0.45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 x14ac:dyDescent="0.45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 x14ac:dyDescent="0.45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 x14ac:dyDescent="0.45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 x14ac:dyDescent="0.45">
      <c r="A37" s="15">
        <v>43040</v>
      </c>
      <c r="B37" s="19">
        <f t="shared" si="4"/>
        <v>622710</v>
      </c>
      <c r="C37" s="19">
        <v>103400</v>
      </c>
    </row>
    <row r="38" spans="1:13" x14ac:dyDescent="0.45">
      <c r="A38" s="15">
        <v>43070</v>
      </c>
      <c r="B38" s="19">
        <f t="shared" si="4"/>
        <v>576180</v>
      </c>
      <c r="C38" s="19">
        <v>94000</v>
      </c>
    </row>
    <row r="39" spans="1:13" x14ac:dyDescent="0.45">
      <c r="A39" s="24">
        <v>43101</v>
      </c>
      <c r="B39" s="25">
        <f t="shared" si="4"/>
        <v>590040</v>
      </c>
      <c r="C39" s="25">
        <v>95500</v>
      </c>
    </row>
    <row r="40" spans="1:13" x14ac:dyDescent="0.45">
      <c r="A40" s="24">
        <v>43132</v>
      </c>
      <c r="B40" s="25">
        <f t="shared" si="4"/>
        <v>595980</v>
      </c>
      <c r="C40" s="25">
        <v>98900</v>
      </c>
    </row>
    <row r="41" spans="1:13" x14ac:dyDescent="0.45">
      <c r="A41" s="24">
        <v>43160</v>
      </c>
      <c r="B41" s="25">
        <f t="shared" si="4"/>
        <v>857340</v>
      </c>
      <c r="C41" s="25">
        <v>144000</v>
      </c>
    </row>
    <row r="42" spans="1:13" x14ac:dyDescent="0.45">
      <c r="A42" s="24">
        <v>43191</v>
      </c>
      <c r="B42" s="25">
        <f t="shared" si="4"/>
        <v>957330</v>
      </c>
      <c r="C42" s="25">
        <v>164800</v>
      </c>
    </row>
    <row r="43" spans="1:13" x14ac:dyDescent="0.45">
      <c r="A43" s="24">
        <v>43221</v>
      </c>
      <c r="B43" s="25">
        <f t="shared" si="4"/>
        <v>995940</v>
      </c>
      <c r="C43" s="25">
        <v>172700</v>
      </c>
    </row>
    <row r="44" spans="1:13" x14ac:dyDescent="0.45">
      <c r="A44" s="24">
        <v>43252</v>
      </c>
      <c r="B44" s="25">
        <f t="shared" si="4"/>
        <v>1020690</v>
      </c>
      <c r="C44" s="25">
        <v>178800</v>
      </c>
    </row>
    <row r="45" spans="1:13" x14ac:dyDescent="0.45">
      <c r="A45" s="24">
        <v>43282</v>
      </c>
      <c r="B45" s="25">
        <f t="shared" si="4"/>
        <v>1034550</v>
      </c>
      <c r="C45" s="25">
        <v>182100</v>
      </c>
    </row>
    <row r="46" spans="1:13" x14ac:dyDescent="0.45">
      <c r="A46" s="24">
        <v>43313</v>
      </c>
      <c r="B46" s="25">
        <f t="shared" si="4"/>
        <v>957330</v>
      </c>
      <c r="C46" s="25">
        <v>168000</v>
      </c>
    </row>
    <row r="47" spans="1:13" x14ac:dyDescent="0.45">
      <c r="A47" s="24">
        <v>43344</v>
      </c>
      <c r="B47" s="25">
        <f>B11*0.985</f>
        <v>832325</v>
      </c>
      <c r="C47" s="25">
        <v>145300</v>
      </c>
    </row>
    <row r="48" spans="1:13" x14ac:dyDescent="0.45">
      <c r="A48" s="24">
        <v>43374</v>
      </c>
      <c r="B48" s="25">
        <f t="shared" ref="B48:B50" si="5">B12*0.985</f>
        <v>849070</v>
      </c>
      <c r="C48" s="25">
        <v>144600</v>
      </c>
    </row>
    <row r="49" spans="1:3" x14ac:dyDescent="0.45">
      <c r="A49" s="24">
        <v>43405</v>
      </c>
      <c r="B49" s="25">
        <f t="shared" si="5"/>
        <v>619565</v>
      </c>
      <c r="C49" s="25">
        <v>103400</v>
      </c>
    </row>
    <row r="50" spans="1:3" x14ac:dyDescent="0.45">
      <c r="A50" s="24">
        <v>43435</v>
      </c>
      <c r="B50" s="25">
        <f t="shared" si="5"/>
        <v>573270</v>
      </c>
      <c r="C50" s="25">
        <v>94000</v>
      </c>
    </row>
    <row r="51" spans="1:3" x14ac:dyDescent="0.45">
      <c r="A51" s="15">
        <v>43466</v>
      </c>
      <c r="B51" s="19">
        <f>B3*0.985</f>
        <v>587060</v>
      </c>
      <c r="C51" s="19">
        <v>95500</v>
      </c>
    </row>
    <row r="52" spans="1:3" x14ac:dyDescent="0.45">
      <c r="A52" s="15">
        <v>43497</v>
      </c>
      <c r="B52" s="19">
        <f t="shared" ref="B52:B58" si="6">B4*0.985</f>
        <v>592970</v>
      </c>
      <c r="C52" s="19">
        <v>98900</v>
      </c>
    </row>
    <row r="53" spans="1:3" x14ac:dyDescent="0.45">
      <c r="A53" s="15">
        <v>43525</v>
      </c>
      <c r="B53" s="19">
        <f t="shared" si="6"/>
        <v>853010</v>
      </c>
      <c r="C53" s="19">
        <v>144000</v>
      </c>
    </row>
    <row r="54" spans="1:3" x14ac:dyDescent="0.45">
      <c r="A54" s="15">
        <v>43556</v>
      </c>
      <c r="B54" s="19">
        <f t="shared" si="6"/>
        <v>952495</v>
      </c>
      <c r="C54" s="19">
        <v>164800</v>
      </c>
    </row>
    <row r="55" spans="1:3" x14ac:dyDescent="0.45">
      <c r="A55" s="15">
        <v>43586</v>
      </c>
      <c r="B55" s="19">
        <f t="shared" si="6"/>
        <v>990910</v>
      </c>
      <c r="C55" s="19">
        <v>172700</v>
      </c>
    </row>
    <row r="56" spans="1:3" x14ac:dyDescent="0.45">
      <c r="A56" s="15">
        <v>43617</v>
      </c>
      <c r="B56" s="19">
        <f t="shared" si="6"/>
        <v>1015535</v>
      </c>
      <c r="C56" s="19">
        <v>178800</v>
      </c>
    </row>
    <row r="57" spans="1:3" x14ac:dyDescent="0.45">
      <c r="A57" s="15">
        <v>43647</v>
      </c>
      <c r="B57" s="19">
        <f t="shared" si="6"/>
        <v>1029325</v>
      </c>
      <c r="C57" s="19">
        <v>182100</v>
      </c>
    </row>
    <row r="58" spans="1:3" x14ac:dyDescent="0.45">
      <c r="A58" s="15">
        <v>43678</v>
      </c>
      <c r="B58" s="19">
        <f t="shared" si="6"/>
        <v>952495</v>
      </c>
      <c r="C58" s="19">
        <v>168000</v>
      </c>
    </row>
    <row r="59" spans="1:3" x14ac:dyDescent="0.45">
      <c r="A59" s="15">
        <v>43709</v>
      </c>
      <c r="B59" s="19">
        <f>B11*0.98</f>
        <v>828100</v>
      </c>
      <c r="C59" s="19">
        <v>145300</v>
      </c>
    </row>
    <row r="60" spans="1:3" x14ac:dyDescent="0.45">
      <c r="A60" s="15">
        <v>43739</v>
      </c>
      <c r="B60" s="19">
        <f t="shared" ref="B60:B62" si="7">B12*0.98</f>
        <v>844760</v>
      </c>
      <c r="C60" s="19">
        <v>144600</v>
      </c>
    </row>
    <row r="61" spans="1:3" x14ac:dyDescent="0.45">
      <c r="A61" s="15">
        <v>43770</v>
      </c>
      <c r="B61" s="19">
        <f t="shared" si="7"/>
        <v>616420</v>
      </c>
      <c r="C61" s="19">
        <v>103400</v>
      </c>
    </row>
    <row r="62" spans="1:3" x14ac:dyDescent="0.45">
      <c r="A62" s="15">
        <v>43800</v>
      </c>
      <c r="B62" s="19">
        <f t="shared" si="7"/>
        <v>570360</v>
      </c>
      <c r="C62" s="19">
        <v>94000</v>
      </c>
    </row>
    <row r="63" spans="1:3" x14ac:dyDescent="0.45">
      <c r="A63" s="24">
        <v>43831</v>
      </c>
      <c r="B63" s="25">
        <f>B3*0.98</f>
        <v>584080</v>
      </c>
      <c r="C63" s="25">
        <v>95500</v>
      </c>
    </row>
    <row r="64" spans="1:3" x14ac:dyDescent="0.45">
      <c r="A64" s="24">
        <v>43862</v>
      </c>
      <c r="B64" s="25">
        <f t="shared" ref="B64:B70" si="8">B4*0.98</f>
        <v>589960</v>
      </c>
      <c r="C64" s="25">
        <v>98900</v>
      </c>
    </row>
    <row r="65" spans="1:3" x14ac:dyDescent="0.45">
      <c r="A65" s="24">
        <v>43891</v>
      </c>
      <c r="B65" s="25">
        <f t="shared" si="8"/>
        <v>848680</v>
      </c>
      <c r="C65" s="25">
        <v>144000</v>
      </c>
    </row>
    <row r="66" spans="1:3" x14ac:dyDescent="0.45">
      <c r="A66" s="24">
        <v>43922</v>
      </c>
      <c r="B66" s="25">
        <f t="shared" si="8"/>
        <v>947660</v>
      </c>
      <c r="C66" s="25">
        <v>164800</v>
      </c>
    </row>
    <row r="67" spans="1:3" x14ac:dyDescent="0.45">
      <c r="A67" s="24">
        <v>43952</v>
      </c>
      <c r="B67" s="25">
        <f t="shared" si="8"/>
        <v>985880</v>
      </c>
      <c r="C67" s="25">
        <v>172700</v>
      </c>
    </row>
    <row r="68" spans="1:3" x14ac:dyDescent="0.45">
      <c r="A68" s="24">
        <v>43983</v>
      </c>
      <c r="B68" s="25">
        <f t="shared" si="8"/>
        <v>1010380</v>
      </c>
      <c r="C68" s="25">
        <v>178800</v>
      </c>
    </row>
    <row r="69" spans="1:3" x14ac:dyDescent="0.45">
      <c r="A69" s="24">
        <v>44013</v>
      </c>
      <c r="B69" s="25">
        <f t="shared" si="8"/>
        <v>1024100</v>
      </c>
      <c r="C69" s="25">
        <v>182100</v>
      </c>
    </row>
    <row r="70" spans="1:3" x14ac:dyDescent="0.45">
      <c r="A70" s="24">
        <v>44044</v>
      </c>
      <c r="B70" s="25">
        <f t="shared" si="8"/>
        <v>947660</v>
      </c>
      <c r="C70" s="25">
        <v>168000</v>
      </c>
    </row>
    <row r="71" spans="1:3" x14ac:dyDescent="0.45">
      <c r="A71" s="24">
        <v>44075</v>
      </c>
      <c r="B71" s="25">
        <f>B11*0.975</f>
        <v>823875</v>
      </c>
      <c r="C71" s="25">
        <v>145300</v>
      </c>
    </row>
    <row r="72" spans="1:3" x14ac:dyDescent="0.45">
      <c r="A72" s="24">
        <v>44105</v>
      </c>
      <c r="B72" s="25">
        <f>B12*0.975</f>
        <v>840450</v>
      </c>
      <c r="C72" s="25">
        <v>144600</v>
      </c>
    </row>
    <row r="73" spans="1:3" x14ac:dyDescent="0.45">
      <c r="A73" s="24">
        <v>44136</v>
      </c>
      <c r="B73" s="25">
        <f>B13*0.975</f>
        <v>613275</v>
      </c>
      <c r="C73" s="25">
        <v>103400</v>
      </c>
    </row>
    <row r="74" spans="1:3" x14ac:dyDescent="0.45">
      <c r="A74" s="24">
        <v>44166</v>
      </c>
      <c r="B74" s="25">
        <f>B14*0.975</f>
        <v>567450</v>
      </c>
      <c r="C74" s="25">
        <v>94000</v>
      </c>
    </row>
    <row r="75" spans="1:3" x14ac:dyDescent="0.45">
      <c r="A75" s="15">
        <v>44197</v>
      </c>
      <c r="B75" s="19">
        <f>B3*0.975</f>
        <v>581100</v>
      </c>
      <c r="C75" s="19">
        <v>95500</v>
      </c>
    </row>
    <row r="76" spans="1:3" x14ac:dyDescent="0.45">
      <c r="A76" s="15">
        <v>44228</v>
      </c>
      <c r="B76" s="19">
        <f t="shared" ref="B76:B86" si="9">B4*0.975</f>
        <v>586950</v>
      </c>
      <c r="C76" s="19">
        <v>98900</v>
      </c>
    </row>
    <row r="77" spans="1:3" x14ac:dyDescent="0.45">
      <c r="A77" s="15">
        <v>44256</v>
      </c>
      <c r="B77" s="19">
        <f t="shared" si="9"/>
        <v>844350</v>
      </c>
      <c r="C77" s="19">
        <v>144000</v>
      </c>
    </row>
    <row r="78" spans="1:3" x14ac:dyDescent="0.45">
      <c r="A78" s="15">
        <v>44287</v>
      </c>
      <c r="B78" s="19">
        <f t="shared" si="9"/>
        <v>942825</v>
      </c>
      <c r="C78" s="19">
        <v>164800</v>
      </c>
    </row>
    <row r="79" spans="1:3" x14ac:dyDescent="0.45">
      <c r="A79" s="15">
        <v>44317</v>
      </c>
      <c r="B79" s="19">
        <f t="shared" si="9"/>
        <v>980850</v>
      </c>
      <c r="C79" s="19">
        <v>172700</v>
      </c>
    </row>
    <row r="80" spans="1:3" x14ac:dyDescent="0.45">
      <c r="A80" s="15">
        <v>44348</v>
      </c>
      <c r="B80" s="19">
        <f t="shared" si="9"/>
        <v>1005225</v>
      </c>
      <c r="C80" s="19">
        <v>178800</v>
      </c>
    </row>
    <row r="81" spans="1:3" x14ac:dyDescent="0.45">
      <c r="A81" s="15">
        <v>44378</v>
      </c>
      <c r="B81" s="19">
        <f t="shared" si="9"/>
        <v>1018875</v>
      </c>
      <c r="C81" s="19">
        <v>182100</v>
      </c>
    </row>
    <row r="82" spans="1:3" x14ac:dyDescent="0.45">
      <c r="A82" s="15">
        <v>44409</v>
      </c>
      <c r="B82" s="19">
        <f t="shared" si="9"/>
        <v>942825</v>
      </c>
      <c r="C82" s="19">
        <v>168000</v>
      </c>
    </row>
    <row r="83" spans="1:3" x14ac:dyDescent="0.45">
      <c r="A83" s="15">
        <v>44440</v>
      </c>
      <c r="B83" s="19">
        <f t="shared" si="9"/>
        <v>823875</v>
      </c>
      <c r="C83" s="19">
        <v>145300</v>
      </c>
    </row>
    <row r="84" spans="1:3" x14ac:dyDescent="0.45">
      <c r="A84" s="15">
        <v>44470</v>
      </c>
      <c r="B84" s="19">
        <f t="shared" si="9"/>
        <v>840450</v>
      </c>
      <c r="C84" s="19">
        <v>144600</v>
      </c>
    </row>
    <row r="85" spans="1:3" x14ac:dyDescent="0.45">
      <c r="A85" s="15">
        <v>44501</v>
      </c>
      <c r="B85" s="19">
        <f t="shared" si="9"/>
        <v>613275</v>
      </c>
      <c r="C85" s="19">
        <v>103400</v>
      </c>
    </row>
    <row r="86" spans="1:3" x14ac:dyDescent="0.45">
      <c r="A86" s="15">
        <v>44531</v>
      </c>
      <c r="B86" s="19">
        <f t="shared" si="9"/>
        <v>567450</v>
      </c>
      <c r="C86" s="19">
        <v>94000</v>
      </c>
    </row>
    <row r="87" spans="1:3" x14ac:dyDescent="0.45">
      <c r="A87" s="24">
        <v>44562</v>
      </c>
      <c r="B87" s="25">
        <v>578342.01557633432</v>
      </c>
      <c r="C87" s="25">
        <v>102800</v>
      </c>
    </row>
    <row r="88" spans="1:3" x14ac:dyDescent="0.45">
      <c r="A88" s="24">
        <v>44593</v>
      </c>
      <c r="B88" s="25">
        <v>584164.25063247199</v>
      </c>
      <c r="C88" s="25">
        <v>106600</v>
      </c>
    </row>
    <row r="89" spans="1:3" x14ac:dyDescent="0.45">
      <c r="A89" s="24">
        <v>44621</v>
      </c>
      <c r="B89" s="25">
        <v>840342.59310252615</v>
      </c>
      <c r="C89" s="25">
        <v>156000</v>
      </c>
    </row>
    <row r="90" spans="1:3" x14ac:dyDescent="0.45">
      <c r="A90" s="24">
        <v>44652</v>
      </c>
      <c r="B90" s="25">
        <v>938350.21654750884</v>
      </c>
      <c r="C90" s="25">
        <v>176800</v>
      </c>
    </row>
    <row r="91" spans="1:3" x14ac:dyDescent="0.45">
      <c r="A91" s="24">
        <v>44682</v>
      </c>
      <c r="B91" s="25">
        <v>976194.7444124032</v>
      </c>
      <c r="C91" s="25">
        <v>183300</v>
      </c>
    </row>
    <row r="92" spans="1:3" x14ac:dyDescent="0.45">
      <c r="A92" s="24">
        <v>44713</v>
      </c>
      <c r="B92" s="25">
        <v>1000454.0571463099</v>
      </c>
      <c r="C92" s="25">
        <v>188600</v>
      </c>
    </row>
    <row r="93" spans="1:3" x14ac:dyDescent="0.45">
      <c r="A93" s="24">
        <v>44743</v>
      </c>
      <c r="B93" s="25">
        <v>1014039.2722772976</v>
      </c>
      <c r="C93" s="25">
        <v>189200</v>
      </c>
    </row>
    <row r="94" spans="1:3" x14ac:dyDescent="0.45">
      <c r="A94" s="24">
        <v>44774</v>
      </c>
      <c r="B94" s="25">
        <v>938350.21654750884</v>
      </c>
      <c r="C94" s="25">
        <v>175100</v>
      </c>
    </row>
    <row r="95" spans="1:3" x14ac:dyDescent="0.45">
      <c r="A95" s="24">
        <v>44805</v>
      </c>
      <c r="B95" s="25">
        <v>815864.94655401423</v>
      </c>
      <c r="C95" s="25">
        <v>153100</v>
      </c>
    </row>
    <row r="96" spans="1:3" x14ac:dyDescent="0.45">
      <c r="A96" s="24">
        <v>44835</v>
      </c>
      <c r="B96" s="25">
        <v>832278.79754977557</v>
      </c>
      <c r="C96" s="25">
        <v>153800</v>
      </c>
    </row>
    <row r="97" spans="1:3" x14ac:dyDescent="0.45">
      <c r="A97" s="24">
        <v>44866</v>
      </c>
      <c r="B97" s="25">
        <v>607312.48684316571</v>
      </c>
      <c r="C97" s="25">
        <v>111400</v>
      </c>
    </row>
    <row r="98" spans="1:3" x14ac:dyDescent="0.45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5" max="5" width="13.73046875" bestFit="1" customWidth="1"/>
    <col min="6" max="6" width="10.73046875" customWidth="1"/>
    <col min="7" max="7" width="10" bestFit="1" customWidth="1"/>
  </cols>
  <sheetData>
    <row r="1" spans="1:16" x14ac:dyDescent="0.45">
      <c r="A1" s="16" t="s">
        <v>73</v>
      </c>
      <c r="B1" s="17" t="s">
        <v>74</v>
      </c>
      <c r="C1" s="17" t="s">
        <v>75</v>
      </c>
      <c r="G1" s="195" t="s">
        <v>89</v>
      </c>
      <c r="H1" s="195"/>
      <c r="I1" s="195"/>
      <c r="J1" s="195"/>
      <c r="K1" s="195"/>
      <c r="L1" s="195"/>
      <c r="M1" s="195"/>
      <c r="N1" s="195"/>
      <c r="P1" s="32" t="s">
        <v>90</v>
      </c>
    </row>
    <row r="2" spans="1:16" x14ac:dyDescent="0.45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45">
      <c r="A3" s="15">
        <v>42005</v>
      </c>
      <c r="B3" s="19">
        <v>349000</v>
      </c>
      <c r="C3" s="19">
        <v>90100</v>
      </c>
      <c r="E3" s="26"/>
      <c r="F3" t="s">
        <v>39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 x14ac:dyDescent="0.45">
      <c r="A4" s="15">
        <v>42036</v>
      </c>
      <c r="B4" s="19">
        <v>379200</v>
      </c>
      <c r="C4" s="19">
        <v>100800</v>
      </c>
      <c r="E4" s="26"/>
      <c r="F4" t="s">
        <v>40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 x14ac:dyDescent="0.45">
      <c r="A5" s="15">
        <v>42064</v>
      </c>
      <c r="B5" s="19">
        <v>508200</v>
      </c>
      <c r="C5" s="19">
        <v>139500</v>
      </c>
      <c r="E5" s="26"/>
      <c r="F5" t="s">
        <v>82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 x14ac:dyDescent="0.45">
      <c r="A6" s="15">
        <v>42095</v>
      </c>
      <c r="B6" s="19">
        <v>571100</v>
      </c>
      <c r="C6" s="19">
        <v>159800</v>
      </c>
      <c r="E6" s="26"/>
      <c r="F6" t="s">
        <v>42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 x14ac:dyDescent="0.45">
      <c r="A7" s="15">
        <v>42125</v>
      </c>
      <c r="B7" s="19">
        <v>581500</v>
      </c>
      <c r="C7" s="19">
        <v>163300</v>
      </c>
      <c r="E7" s="26"/>
      <c r="F7" t="s">
        <v>43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 x14ac:dyDescent="0.45">
      <c r="A8" s="15">
        <v>42156</v>
      </c>
      <c r="B8" s="19">
        <v>613000</v>
      </c>
      <c r="C8" s="19">
        <v>173900</v>
      </c>
      <c r="E8" s="26"/>
      <c r="F8" t="s">
        <v>44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 x14ac:dyDescent="0.45">
      <c r="A9" s="15">
        <v>42186</v>
      </c>
      <c r="B9" s="19">
        <v>621300</v>
      </c>
      <c r="C9" s="19">
        <v>176800</v>
      </c>
      <c r="E9" s="26"/>
      <c r="F9" t="s">
        <v>45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 x14ac:dyDescent="0.45">
      <c r="A10" s="15">
        <v>42217</v>
      </c>
      <c r="B10" s="19">
        <v>605900</v>
      </c>
      <c r="C10" s="19">
        <v>171400</v>
      </c>
      <c r="E10" s="26"/>
      <c r="F10" t="s">
        <v>46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 x14ac:dyDescent="0.45">
      <c r="A11" s="24">
        <v>42248</v>
      </c>
      <c r="B11" s="25">
        <v>500600</v>
      </c>
      <c r="C11" s="25">
        <v>139100</v>
      </c>
      <c r="D11" s="38" t="s">
        <v>91</v>
      </c>
      <c r="E11" s="26"/>
      <c r="F11" t="s">
        <v>47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 x14ac:dyDescent="0.45">
      <c r="A12" s="15">
        <v>42278</v>
      </c>
      <c r="B12" s="19">
        <v>460400</v>
      </c>
      <c r="C12" s="19">
        <v>125500</v>
      </c>
      <c r="E12" s="26"/>
      <c r="F12" t="s">
        <v>48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 x14ac:dyDescent="0.45">
      <c r="A13" s="15">
        <v>42309</v>
      </c>
      <c r="B13" s="19">
        <v>335300</v>
      </c>
      <c r="C13" s="19">
        <v>89900</v>
      </c>
      <c r="E13" s="26"/>
      <c r="F13" t="s">
        <v>49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 x14ac:dyDescent="0.45">
      <c r="A14" s="15">
        <v>42339</v>
      </c>
      <c r="B14" s="19">
        <v>342700</v>
      </c>
      <c r="C14" s="19">
        <v>89600</v>
      </c>
      <c r="E14" s="26"/>
      <c r="F14" t="s">
        <v>50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 x14ac:dyDescent="0.45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 x14ac:dyDescent="0.45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 x14ac:dyDescent="0.45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 x14ac:dyDescent="0.45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 x14ac:dyDescent="0.45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 x14ac:dyDescent="0.45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 x14ac:dyDescent="0.45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 x14ac:dyDescent="0.45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 x14ac:dyDescent="0.45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 x14ac:dyDescent="0.45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 x14ac:dyDescent="0.45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 x14ac:dyDescent="0.45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 x14ac:dyDescent="0.45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 x14ac:dyDescent="0.45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 x14ac:dyDescent="0.45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 x14ac:dyDescent="0.45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 x14ac:dyDescent="0.45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 x14ac:dyDescent="0.45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 x14ac:dyDescent="0.45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 x14ac:dyDescent="0.45">
      <c r="A34" s="15">
        <v>42948</v>
      </c>
      <c r="B34" s="19">
        <f t="shared" si="3"/>
        <v>602870.5</v>
      </c>
      <c r="C34" s="19">
        <v>171400</v>
      </c>
      <c r="G34" s="27"/>
    </row>
    <row r="35" spans="1:11" x14ac:dyDescent="0.45">
      <c r="A35" s="15">
        <v>42979</v>
      </c>
      <c r="B35" s="19">
        <f>B11*0.99</f>
        <v>495594</v>
      </c>
      <c r="C35" s="19">
        <v>139100</v>
      </c>
    </row>
    <row r="36" spans="1:11" x14ac:dyDescent="0.45">
      <c r="A36" s="15">
        <v>43009</v>
      </c>
      <c r="B36" s="19">
        <f t="shared" ref="B36:B46" si="4">B12*0.99</f>
        <v>455796</v>
      </c>
      <c r="C36" s="19">
        <v>125500</v>
      </c>
    </row>
    <row r="37" spans="1:11" x14ac:dyDescent="0.45">
      <c r="A37" s="15">
        <v>43040</v>
      </c>
      <c r="B37" s="19">
        <f t="shared" si="4"/>
        <v>331947</v>
      </c>
      <c r="C37" s="19">
        <v>89900</v>
      </c>
    </row>
    <row r="38" spans="1:11" x14ac:dyDescent="0.45">
      <c r="A38" s="15">
        <v>43070</v>
      </c>
      <c r="B38" s="19">
        <f t="shared" si="4"/>
        <v>339273</v>
      </c>
      <c r="C38" s="19">
        <v>89600</v>
      </c>
    </row>
    <row r="39" spans="1:11" x14ac:dyDescent="0.45">
      <c r="A39" s="24">
        <v>43101</v>
      </c>
      <c r="B39" s="25">
        <f t="shared" si="4"/>
        <v>345510</v>
      </c>
      <c r="C39" s="25">
        <v>90100</v>
      </c>
    </row>
    <row r="40" spans="1:11" x14ac:dyDescent="0.45">
      <c r="A40" s="24">
        <v>43132</v>
      </c>
      <c r="B40" s="25">
        <f t="shared" si="4"/>
        <v>375408</v>
      </c>
      <c r="C40" s="25">
        <v>100800</v>
      </c>
    </row>
    <row r="41" spans="1:11" x14ac:dyDescent="0.45">
      <c r="A41" s="24">
        <v>43160</v>
      </c>
      <c r="B41" s="25">
        <f t="shared" si="4"/>
        <v>503118</v>
      </c>
      <c r="C41" s="25">
        <v>139500</v>
      </c>
    </row>
    <row r="42" spans="1:11" x14ac:dyDescent="0.45">
      <c r="A42" s="24">
        <v>43191</v>
      </c>
      <c r="B42" s="25">
        <f t="shared" si="4"/>
        <v>565389</v>
      </c>
      <c r="C42" s="25">
        <v>159800</v>
      </c>
    </row>
    <row r="43" spans="1:11" x14ac:dyDescent="0.45">
      <c r="A43" s="24">
        <v>43221</v>
      </c>
      <c r="B43" s="25">
        <f t="shared" si="4"/>
        <v>575685</v>
      </c>
      <c r="C43" s="25">
        <v>163300</v>
      </c>
    </row>
    <row r="44" spans="1:11" x14ac:dyDescent="0.45">
      <c r="A44" s="24">
        <v>43252</v>
      </c>
      <c r="B44" s="25">
        <f t="shared" si="4"/>
        <v>606870</v>
      </c>
      <c r="C44" s="25">
        <v>173900</v>
      </c>
    </row>
    <row r="45" spans="1:11" x14ac:dyDescent="0.45">
      <c r="A45" s="24">
        <v>43282</v>
      </c>
      <c r="B45" s="25">
        <f t="shared" si="4"/>
        <v>615087</v>
      </c>
      <c r="C45" s="25">
        <v>176800</v>
      </c>
    </row>
    <row r="46" spans="1:11" x14ac:dyDescent="0.45">
      <c r="A46" s="24">
        <v>43313</v>
      </c>
      <c r="B46" s="25">
        <f t="shared" si="4"/>
        <v>599841</v>
      </c>
      <c r="C46" s="25">
        <v>171400</v>
      </c>
    </row>
    <row r="47" spans="1:11" x14ac:dyDescent="0.45">
      <c r="A47" s="24">
        <v>43344</v>
      </c>
      <c r="B47" s="25">
        <f>B11*0.985</f>
        <v>493091</v>
      </c>
      <c r="C47" s="25">
        <v>139100</v>
      </c>
    </row>
    <row r="48" spans="1:11" x14ac:dyDescent="0.45">
      <c r="A48" s="24">
        <v>43374</v>
      </c>
      <c r="B48" s="25">
        <f t="shared" ref="B48:B58" si="5">B12*0.985</f>
        <v>453494</v>
      </c>
      <c r="C48" s="25">
        <v>125500</v>
      </c>
    </row>
    <row r="49" spans="1:3" x14ac:dyDescent="0.45">
      <c r="A49" s="24">
        <v>43405</v>
      </c>
      <c r="B49" s="25">
        <f t="shared" si="5"/>
        <v>330270.5</v>
      </c>
      <c r="C49" s="25">
        <v>89900</v>
      </c>
    </row>
    <row r="50" spans="1:3" x14ac:dyDescent="0.45">
      <c r="A50" s="24">
        <v>43435</v>
      </c>
      <c r="B50" s="25">
        <f t="shared" si="5"/>
        <v>337559.5</v>
      </c>
      <c r="C50" s="25">
        <v>89600</v>
      </c>
    </row>
    <row r="51" spans="1:3" x14ac:dyDescent="0.45">
      <c r="A51" s="15">
        <v>43466</v>
      </c>
      <c r="B51" s="19">
        <f t="shared" si="5"/>
        <v>343765</v>
      </c>
      <c r="C51" s="19">
        <v>90100</v>
      </c>
    </row>
    <row r="52" spans="1:3" x14ac:dyDescent="0.45">
      <c r="A52" s="15">
        <v>43497</v>
      </c>
      <c r="B52" s="19">
        <f t="shared" si="5"/>
        <v>373512</v>
      </c>
      <c r="C52" s="19">
        <v>100800</v>
      </c>
    </row>
    <row r="53" spans="1:3" x14ac:dyDescent="0.45">
      <c r="A53" s="15">
        <v>43525</v>
      </c>
      <c r="B53" s="19">
        <f t="shared" si="5"/>
        <v>500577</v>
      </c>
      <c r="C53" s="19">
        <v>139500</v>
      </c>
    </row>
    <row r="54" spans="1:3" x14ac:dyDescent="0.45">
      <c r="A54" s="15">
        <v>43556</v>
      </c>
      <c r="B54" s="19">
        <f t="shared" si="5"/>
        <v>562533.5</v>
      </c>
      <c r="C54" s="19">
        <v>159800</v>
      </c>
    </row>
    <row r="55" spans="1:3" x14ac:dyDescent="0.45">
      <c r="A55" s="15">
        <v>43586</v>
      </c>
      <c r="B55" s="19">
        <f t="shared" si="5"/>
        <v>572777.5</v>
      </c>
      <c r="C55" s="19">
        <v>163300</v>
      </c>
    </row>
    <row r="56" spans="1:3" x14ac:dyDescent="0.45">
      <c r="A56" s="15">
        <v>43617</v>
      </c>
      <c r="B56" s="19">
        <f t="shared" si="5"/>
        <v>603805</v>
      </c>
      <c r="C56" s="19">
        <v>173900</v>
      </c>
    </row>
    <row r="57" spans="1:3" x14ac:dyDescent="0.45">
      <c r="A57" s="15">
        <v>43647</v>
      </c>
      <c r="B57" s="19">
        <f t="shared" si="5"/>
        <v>611980.5</v>
      </c>
      <c r="C57" s="19">
        <v>176800</v>
      </c>
    </row>
    <row r="58" spans="1:3" x14ac:dyDescent="0.45">
      <c r="A58" s="15">
        <v>43678</v>
      </c>
      <c r="B58" s="19">
        <f t="shared" si="5"/>
        <v>596811.5</v>
      </c>
      <c r="C58" s="19">
        <v>171400</v>
      </c>
    </row>
    <row r="59" spans="1:3" x14ac:dyDescent="0.45">
      <c r="A59" s="15">
        <v>43709</v>
      </c>
      <c r="B59" s="19">
        <f>B11*0.98</f>
        <v>490588</v>
      </c>
      <c r="C59" s="19">
        <v>139100</v>
      </c>
    </row>
    <row r="60" spans="1:3" x14ac:dyDescent="0.45">
      <c r="A60" s="15">
        <v>43739</v>
      </c>
      <c r="B60" s="19">
        <f t="shared" ref="B60:B62" si="6">B12*0.98</f>
        <v>451192</v>
      </c>
      <c r="C60" s="19">
        <v>125500</v>
      </c>
    </row>
    <row r="61" spans="1:3" x14ac:dyDescent="0.45">
      <c r="A61" s="15">
        <v>43770</v>
      </c>
      <c r="B61" s="19">
        <f t="shared" si="6"/>
        <v>328594</v>
      </c>
      <c r="C61" s="19">
        <v>89900</v>
      </c>
    </row>
    <row r="62" spans="1:3" x14ac:dyDescent="0.45">
      <c r="A62" s="15">
        <v>43800</v>
      </c>
      <c r="B62" s="19">
        <f t="shared" si="6"/>
        <v>335846</v>
      </c>
      <c r="C62" s="19">
        <v>89600</v>
      </c>
    </row>
    <row r="63" spans="1:3" x14ac:dyDescent="0.45">
      <c r="A63" s="24">
        <v>43831</v>
      </c>
      <c r="B63" s="25">
        <f>B3*0.98</f>
        <v>342020</v>
      </c>
      <c r="C63" s="25">
        <v>90100</v>
      </c>
    </row>
    <row r="64" spans="1:3" x14ac:dyDescent="0.45">
      <c r="A64" s="24">
        <v>43862</v>
      </c>
      <c r="B64" s="25">
        <f t="shared" ref="B64:B70" si="7">B4*0.98</f>
        <v>371616</v>
      </c>
      <c r="C64" s="25">
        <v>100800</v>
      </c>
    </row>
    <row r="65" spans="1:3" x14ac:dyDescent="0.45">
      <c r="A65" s="24">
        <v>43891</v>
      </c>
      <c r="B65" s="25">
        <f t="shared" si="7"/>
        <v>498036</v>
      </c>
      <c r="C65" s="25">
        <v>139500</v>
      </c>
    </row>
    <row r="66" spans="1:3" x14ac:dyDescent="0.45">
      <c r="A66" s="24">
        <v>43922</v>
      </c>
      <c r="B66" s="25">
        <f t="shared" si="7"/>
        <v>559678</v>
      </c>
      <c r="C66" s="25">
        <v>159800</v>
      </c>
    </row>
    <row r="67" spans="1:3" x14ac:dyDescent="0.45">
      <c r="A67" s="24">
        <v>43952</v>
      </c>
      <c r="B67" s="25">
        <f t="shared" si="7"/>
        <v>569870</v>
      </c>
      <c r="C67" s="25">
        <v>163300</v>
      </c>
    </row>
    <row r="68" spans="1:3" x14ac:dyDescent="0.45">
      <c r="A68" s="24">
        <v>43983</v>
      </c>
      <c r="B68" s="25">
        <f t="shared" si="7"/>
        <v>600740</v>
      </c>
      <c r="C68" s="25">
        <v>173900</v>
      </c>
    </row>
    <row r="69" spans="1:3" x14ac:dyDescent="0.45">
      <c r="A69" s="24">
        <v>44013</v>
      </c>
      <c r="B69" s="25">
        <f t="shared" si="7"/>
        <v>608874</v>
      </c>
      <c r="C69" s="25">
        <v>176800</v>
      </c>
    </row>
    <row r="70" spans="1:3" x14ac:dyDescent="0.45">
      <c r="A70" s="24">
        <v>44044</v>
      </c>
      <c r="B70" s="25">
        <f t="shared" si="7"/>
        <v>593782</v>
      </c>
      <c r="C70" s="25">
        <v>171400</v>
      </c>
    </row>
    <row r="71" spans="1:3" x14ac:dyDescent="0.45">
      <c r="A71" s="24">
        <v>44075</v>
      </c>
      <c r="B71" s="25">
        <f>B11*0.975</f>
        <v>488085</v>
      </c>
      <c r="C71" s="25">
        <v>139100</v>
      </c>
    </row>
    <row r="72" spans="1:3" x14ac:dyDescent="0.45">
      <c r="A72" s="24">
        <v>44105</v>
      </c>
      <c r="B72" s="25">
        <f t="shared" ref="B72:B74" si="8">B12*0.975</f>
        <v>448890</v>
      </c>
      <c r="C72" s="25">
        <v>125500</v>
      </c>
    </row>
    <row r="73" spans="1:3" x14ac:dyDescent="0.45">
      <c r="A73" s="24">
        <v>44136</v>
      </c>
      <c r="B73" s="25">
        <f t="shared" si="8"/>
        <v>326917.5</v>
      </c>
      <c r="C73" s="25">
        <v>89900</v>
      </c>
    </row>
    <row r="74" spans="1:3" x14ac:dyDescent="0.45">
      <c r="A74" s="24">
        <v>44166</v>
      </c>
      <c r="B74" s="25">
        <f t="shared" si="8"/>
        <v>334132.5</v>
      </c>
      <c r="C74" s="25">
        <v>89600</v>
      </c>
    </row>
    <row r="75" spans="1:3" x14ac:dyDescent="0.45">
      <c r="A75" s="15">
        <v>44197</v>
      </c>
      <c r="B75" s="19">
        <f>B3*0.975</f>
        <v>340275</v>
      </c>
      <c r="C75" s="19">
        <v>90100</v>
      </c>
    </row>
    <row r="76" spans="1:3" x14ac:dyDescent="0.45">
      <c r="A76" s="15">
        <v>44228</v>
      </c>
      <c r="B76" s="19">
        <f t="shared" ref="B76:B86" si="9">B4*0.975</f>
        <v>369720</v>
      </c>
      <c r="C76" s="19">
        <v>100800</v>
      </c>
    </row>
    <row r="77" spans="1:3" x14ac:dyDescent="0.45">
      <c r="A77" s="15">
        <v>44256</v>
      </c>
      <c r="B77" s="19">
        <f t="shared" si="9"/>
        <v>495495</v>
      </c>
      <c r="C77" s="19">
        <v>139500</v>
      </c>
    </row>
    <row r="78" spans="1:3" x14ac:dyDescent="0.45">
      <c r="A78" s="15">
        <v>44287</v>
      </c>
      <c r="B78" s="19">
        <f t="shared" si="9"/>
        <v>556822.5</v>
      </c>
      <c r="C78" s="19">
        <v>159800</v>
      </c>
    </row>
    <row r="79" spans="1:3" x14ac:dyDescent="0.45">
      <c r="A79" s="15">
        <v>44317</v>
      </c>
      <c r="B79" s="19">
        <f t="shared" si="9"/>
        <v>566962.5</v>
      </c>
      <c r="C79" s="19">
        <v>163300</v>
      </c>
    </row>
    <row r="80" spans="1:3" x14ac:dyDescent="0.45">
      <c r="A80" s="15">
        <v>44348</v>
      </c>
      <c r="B80" s="19">
        <f t="shared" si="9"/>
        <v>597675</v>
      </c>
      <c r="C80" s="19">
        <v>173900</v>
      </c>
    </row>
    <row r="81" spans="1:3" x14ac:dyDescent="0.45">
      <c r="A81" s="15">
        <v>44378</v>
      </c>
      <c r="B81" s="19">
        <f t="shared" si="9"/>
        <v>605767.5</v>
      </c>
      <c r="C81" s="19">
        <v>176800</v>
      </c>
    </row>
    <row r="82" spans="1:3" x14ac:dyDescent="0.45">
      <c r="A82" s="15">
        <v>44409</v>
      </c>
      <c r="B82" s="19">
        <f t="shared" si="9"/>
        <v>590752.5</v>
      </c>
      <c r="C82" s="19">
        <v>171400</v>
      </c>
    </row>
    <row r="83" spans="1:3" x14ac:dyDescent="0.45">
      <c r="A83" s="15">
        <v>44440</v>
      </c>
      <c r="B83" s="19">
        <f t="shared" si="9"/>
        <v>488085</v>
      </c>
      <c r="C83" s="19">
        <v>139100</v>
      </c>
    </row>
    <row r="84" spans="1:3" x14ac:dyDescent="0.45">
      <c r="A84" s="15">
        <v>44470</v>
      </c>
      <c r="B84" s="19">
        <f t="shared" si="9"/>
        <v>448890</v>
      </c>
      <c r="C84" s="19">
        <v>125500</v>
      </c>
    </row>
    <row r="85" spans="1:3" x14ac:dyDescent="0.45">
      <c r="A85" s="15">
        <v>44501</v>
      </c>
      <c r="B85" s="19">
        <f t="shared" si="9"/>
        <v>326917.5</v>
      </c>
      <c r="C85" s="19">
        <v>89900</v>
      </c>
    </row>
    <row r="86" spans="1:3" x14ac:dyDescent="0.45">
      <c r="A86" s="15">
        <v>44531</v>
      </c>
      <c r="B86" s="19">
        <f t="shared" si="9"/>
        <v>334132.5</v>
      </c>
      <c r="C86" s="19">
        <v>89600</v>
      </c>
    </row>
    <row r="87" spans="1:3" x14ac:dyDescent="0.45">
      <c r="A87" s="24">
        <v>44562</v>
      </c>
      <c r="B87" s="25">
        <v>338660.00576533674</v>
      </c>
      <c r="C87" s="25">
        <v>99200</v>
      </c>
    </row>
    <row r="88" spans="1:3" x14ac:dyDescent="0.45">
      <c r="A88" s="24">
        <v>44593</v>
      </c>
      <c r="B88" s="25">
        <v>367965.25554789585</v>
      </c>
      <c r="C88" s="25">
        <v>108300</v>
      </c>
    </row>
    <row r="89" spans="1:3" x14ac:dyDescent="0.45">
      <c r="A89" s="24">
        <v>44621</v>
      </c>
      <c r="B89" s="25">
        <v>493143.3092548541</v>
      </c>
      <c r="C89" s="25">
        <v>150000</v>
      </c>
    </row>
    <row r="90" spans="1:3" x14ac:dyDescent="0.45">
      <c r="A90" s="24">
        <v>44652</v>
      </c>
      <c r="B90" s="25">
        <v>554179.74009336333</v>
      </c>
      <c r="C90" s="25">
        <v>171200</v>
      </c>
    </row>
    <row r="91" spans="1:3" x14ac:dyDescent="0.45">
      <c r="A91" s="24">
        <v>44682</v>
      </c>
      <c r="B91" s="25">
        <v>564271.61419066845</v>
      </c>
      <c r="C91" s="25">
        <v>174100</v>
      </c>
    </row>
    <row r="92" spans="1:3" x14ac:dyDescent="0.45">
      <c r="A92" s="24">
        <v>44713</v>
      </c>
      <c r="B92" s="25">
        <v>594838.34823539096</v>
      </c>
      <c r="C92" s="25">
        <v>182400</v>
      </c>
    </row>
    <row r="93" spans="1:3" x14ac:dyDescent="0.45">
      <c r="A93" s="24">
        <v>44743</v>
      </c>
      <c r="B93" s="25">
        <v>602892.44006304769</v>
      </c>
      <c r="C93" s="25">
        <v>185100</v>
      </c>
    </row>
    <row r="94" spans="1:3" x14ac:dyDescent="0.45">
      <c r="A94" s="24">
        <v>44774</v>
      </c>
      <c r="B94" s="25">
        <v>587948.70341896114</v>
      </c>
      <c r="C94" s="25">
        <v>178400</v>
      </c>
    </row>
    <row r="95" spans="1:3" x14ac:dyDescent="0.45">
      <c r="A95" s="24">
        <v>44805</v>
      </c>
      <c r="B95" s="25">
        <v>483339.63579282776</v>
      </c>
      <c r="C95" s="25">
        <v>146600</v>
      </c>
    </row>
    <row r="96" spans="1:3" x14ac:dyDescent="0.45">
      <c r="A96" s="24">
        <v>44835</v>
      </c>
      <c r="B96" s="25">
        <v>444525.70579108654</v>
      </c>
      <c r="C96" s="25">
        <v>133800</v>
      </c>
    </row>
    <row r="97" spans="1:3" x14ac:dyDescent="0.45">
      <c r="A97" s="24">
        <v>44866</v>
      </c>
      <c r="B97" s="25">
        <v>323739.07287522015</v>
      </c>
      <c r="C97" s="25">
        <v>96000</v>
      </c>
    </row>
    <row r="98" spans="1:3" x14ac:dyDescent="0.45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2410DE-0C3D-4C69-92D9-9A7972A06D71}"/>
</file>

<file path=customXml/itemProps2.xml><?xml version="1.0" encoding="utf-8"?>
<ds:datastoreItem xmlns:ds="http://schemas.openxmlformats.org/officeDocument/2006/customXml" ds:itemID="{AE4FB608-2C95-4CB3-B789-2A06D4831A9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  <ds:schemaRef ds:uri="ddcd8467-55ca-498e-a9f8-86795db5db7a"/>
    <ds:schemaRef ds:uri="7f39bfab-6331-41a1-b6d4-5b974a316951"/>
    <ds:schemaRef ds:uri="http://schemas.microsoft.com/sharepoint/v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25757AC-F572-4FD6-8D98-A3A4BF8324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Glossary</vt:lpstr>
      <vt:lpstr>Merrimack</vt:lpstr>
      <vt:lpstr>Smithfield</vt:lpstr>
      <vt:lpstr>Westlake</vt:lpstr>
      <vt:lpstr>Availability</vt:lpstr>
      <vt:lpstr>Plant Health</vt:lpstr>
      <vt:lpstr>Predicted Data</vt:lpstr>
      <vt:lpstr>Ashley Config</vt:lpstr>
      <vt:lpstr>Lang Config</vt:lpstr>
      <vt:lpstr>Stikeleather Config</vt:lpstr>
      <vt:lpstr>Yadkin Config</vt:lpstr>
      <vt:lpstr>Availability!Print_Area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Jayasri  Garapati [AGS]</cp:lastModifiedBy>
  <cp:revision/>
  <dcterms:created xsi:type="dcterms:W3CDTF">2013-05-02T09:51:31Z</dcterms:created>
  <dcterms:modified xsi:type="dcterms:W3CDTF">2025-06-16T06:34:23Z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