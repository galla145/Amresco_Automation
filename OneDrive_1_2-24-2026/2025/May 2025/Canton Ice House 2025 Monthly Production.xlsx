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D51BFA33-1E61-4B71-8095-B5CF11ED9D55}" xr6:coauthVersionLast="47" xr6:coauthVersionMax="47" xr10:uidLastSave="{2203682F-A6C8-4BC7-9A13-32D0BD0CA36E}"/>
  <bookViews>
    <workbookView xWindow="-108" yWindow="-108" windowWidth="23256" windowHeight="1389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<sst xmlns="http://schemas.openxmlformats.org/spreadsheetml/2006/main" count="265" uniqueCount="71">
  <si>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</si>
  <si>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</si>
  <si>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</si>
  <si>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</si>
  <si>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</si>
  <si>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</si>
  <si>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</si>
  <si>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</si>
  <si>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</si>
  <si>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</si>
  <si>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</si>
  <si>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</si>
  <si>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</si>
  <si>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</si>
  <si>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</si>
  <si>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</si>
  <si>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</si>
  <si>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</si>
  <si>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</si>
  <si>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</si>
  <si>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</si>
  <si>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</si>
  <si>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</si>
  <si>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</si>
  <si>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</si>
  <si>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</si>
  <si>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</si>
  <si>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</si>
  <si>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</si>
  <si>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</si>
  <si>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</si>
  <si>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</si>
  <si>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</si>
  <si>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</si>
  <si>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</si>
  <si>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</si>
  <si>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</si>
  <si>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</si>
  <si>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</si>
  <si>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</si>
  <si>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</si>
  <si>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</si>
  <si>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</si>
  <si>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</si>
  <si>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SR098210</t>
  </si>
  <si>
    <t>SR100935</t>
  </si>
  <si>
    <t>SR101224</t>
  </si>
  <si>
    <t>SR101650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</si>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</sst>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J4" sqref="J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Canton Ice House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SUM(C4:C52)</f>
        <v>187471.60998683071</v>
      </c>
      <c r="D2" s="5">
        <f>SUM(D4:D52)</f>
        <v>0</v>
      </c>
      <c r="E2" s="5">
        <f>C2-D2</f>
        <v>187471.60998683071</v>
      </c>
      <c r="F2" s="6">
        <f>IFERROR(E2/D2, 0)</f>
        <v>0</v>
      </c>
      <c r="G2" s="5">
        <f>SUM(G4:G52)</f>
        <v>0</v>
      </c>
      <c r="H2" s="7">
        <f>C2-G2</f>
        <v>187471.60998683071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187471.60998683071</v>
      </c>
      <c r="D4" s="11">
        <f>SUM('1st Qtr'!D4, '2nd Qtr'!D4, '3rd Qtr'!D4, '4th Qtr'!D4)</f>
        <v>0</v>
      </c>
      <c r="E4" s="11">
        <f>IF(AND(ISNUMBER(C4),ISNUMBER(D4)), C4-D4, "")</f>
        <v>187471.60998683071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104628.149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I4" sqref="I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Canton Ice House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Canton Ice House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SUM(C4:C52)</f>
        <v>104628.149</v>
      </c>
      <c r="D2" s="5">
        <f>SUM(D4:D52)</f>
        <v>0</v>
      </c>
      <c r="E2" s="5">
        <f>C2-D2</f>
        <v>104628.149</v>
      </c>
      <c r="F2" s="6">
        <f>IFERROR(E2/D2, 0)</f>
        <v>0</v>
      </c>
      <c r="G2" s="5">
        <f>SUM(G4:G52)</f>
        <v>0</v>
      </c>
      <c r="H2" s="7">
        <f>C2-G2</f>
        <v>104628.149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104628.149</v>
      </c>
      <c r="D4" s="11">
        <f>SUM(Apr!D4, May!D4, Jun!D4)</f>
        <v>0</v>
      </c>
      <c r="E4" s="11">
        <f>IF(AND(ISNUMBER(C4),ISNUMBER(D4)), C4-D4, "")</f>
        <v>104628.149</v>
      </c>
      <c r="F4" s="12" t="str">
        <f>IFERROR(E4/D4, "")</f>
        <v/>
      </c>
      <c r="G4" s="13"/>
      <c r="H4" s="13">
        <f>SUM(Apr!H4, May!H4, Jun!H4)</f>
        <v>104628.149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G5" sqref="G5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Canton Ice House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G13" sqref="G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Canton Ice House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bottomRight" activeCell="A4" sqref="A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5" t="str" cm="1">
        <f t="array" ref="A1">portfolio</f>
        <v>Canton Ice House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2" ht="19.5" customHeight="1">
      <c r="A2" s="57" t="s">
        <v>2</v>
      </c>
      <c r="B2" s="57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C4" activePane="bottomRight" state="frozen"/>
      <selection pane="bottomRight" activeCell="J18" sqref="J18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5" t="str" cm="1">
        <f t="array" ref="A1">portfolio</f>
        <v>Canton Ice House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4" ht="19.5" customHeight="1">
      <c r="A2" s="57" t="s">
        <v>2</v>
      </c>
      <c r="B2" s="57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E4" activePane="bottomRight" state="frozen"/>
      <selection pane="bottomRight" activeCell="E17" sqref="E17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8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tabSelected="1" workbookViewId="0">
      <pane xSplit="2" ySplit="3" topLeftCell="H4" activePane="bottomRight" state="frozen"/>
      <selection pane="bottomRight" activeCell="J9" sqref="J9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2"/>
  </cols>
  <sheetData>
    <row r="1" spans="1:16" ht="19.5" customHeight="1">
      <c r="A1" s="55" t="str" cm="1">
        <f t="array" ref="A1">portfolio</f>
        <v>Canton Ice House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6" ht="19.5" customHeight="1">
      <c r="A2" s="57" t="s">
        <v>2</v>
      </c>
      <c r="B2" s="57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42</v>
      </c>
      <c r="K4" s="50" t="s">
        <v>43</v>
      </c>
      <c r="L4" s="53" t="s">
        <v>34</v>
      </c>
      <c r="M4" s="53" t="s">
        <v>44</v>
      </c>
      <c r="N4" s="53" t="s">
        <v>45</v>
      </c>
      <c r="O4" s="53" t="s">
        <v>46</v>
      </c>
      <c r="P4" s="53" t="s">
        <v>47</v>
      </c>
    </row>
    <row r="5" spans="1:16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G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54</v>
      </c>
      <c r="E1" s="56"/>
      <c r="F1" s="56"/>
      <c r="G1" s="54" t="s">
        <v>55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58</v>
      </c>
      <c r="E1" s="56"/>
      <c r="F1" s="56"/>
      <c r="G1" s="54" t="s">
        <v>59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Canton Ice House</v>
      </c>
      <c r="B1" s="55"/>
      <c r="C1" s="55"/>
      <c r="D1" s="56" t="s">
        <v>60</v>
      </c>
      <c r="E1" s="56"/>
      <c r="F1" s="56"/>
      <c r="G1" s="54" t="s">
        <v>61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45">
      <c r="A4" s="38" t="s">
        <v>63</v>
      </c>
      <c r="B4" t="s">
        <v>67</v>
      </c>
      <c r="C4" s="36" t="s">
        <v>68</v>
      </c>
      <c r="D4" s="35" t="s">
        <v>69</v>
      </c>
      <c r="E4" t="s">
        <v>70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D0A63025-B1C2-4D63-BF86-07975571A50C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Gilbert, Mariesa</cp:lastModifiedBy>
  <cp:revision/>
  <dcterms:created xsi:type="dcterms:W3CDTF">2021-01-01T16:39:53Z</dcterms:created>
  <dcterms:modified xsi:type="dcterms:W3CDTF">2025-06-17T23:37:14Z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