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4F54BE6-EDA4-4D70-9766-663B429825C3}" xr6:coauthVersionLast="47" xr6:coauthVersionMax="47" xr10:uidLastSave="{00000000-0000-0000-0000-000000000000}"/>
  <bookViews>
    <workbookView xWindow="28680" yWindow="-120" windowWidth="29040" windowHeight="15720" tabRatio="866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0" l="1"/>
  <c r="I10" i="20"/>
  <c r="H9" i="20"/>
  <c r="H10" i="20"/>
  <c r="F9" i="20"/>
  <c r="F10" i="20"/>
  <c r="E9" i="20"/>
  <c r="E10" i="20"/>
  <c r="I9" i="21"/>
  <c r="H7" i="21"/>
  <c r="I7" i="21" s="1"/>
  <c r="H8" i="21"/>
  <c r="H9" i="21"/>
  <c r="H10" i="21"/>
  <c r="I10" i="21" s="1"/>
  <c r="E7" i="21"/>
  <c r="F7" i="21" s="1"/>
  <c r="E8" i="21"/>
  <c r="F8" i="21" s="1"/>
  <c r="E9" i="21"/>
  <c r="F9" i="21" s="1"/>
  <c r="E10" i="21"/>
  <c r="F10" i="21" s="1"/>
  <c r="H10" i="4"/>
  <c r="H9" i="4"/>
  <c r="E6" i="4"/>
  <c r="F6" i="4" s="1"/>
  <c r="E7" i="4"/>
  <c r="F7" i="4" s="1"/>
  <c r="E8" i="4"/>
  <c r="F8" i="4" s="1"/>
  <c r="E9" i="4"/>
  <c r="F9" i="4" s="1"/>
  <c r="E10" i="4"/>
  <c r="F10" i="4"/>
  <c r="I9" i="4"/>
  <c r="I10" i="4"/>
  <c r="I10" i="72"/>
  <c r="E7" i="3"/>
  <c r="F7" i="3" s="1"/>
  <c r="E8" i="3"/>
  <c r="E9" i="3"/>
  <c r="F9" i="3" s="1"/>
  <c r="E10" i="3"/>
  <c r="F10" i="3" s="1"/>
  <c r="F8" i="3"/>
  <c r="H9" i="3"/>
  <c r="H10" i="3"/>
  <c r="I10" i="3" s="1"/>
  <c r="G10" i="18"/>
  <c r="H9" i="18"/>
  <c r="D10" i="18"/>
  <c r="C10" i="18"/>
  <c r="H10" i="29"/>
  <c r="G9" i="29"/>
  <c r="G10" i="29"/>
  <c r="D10" i="29"/>
  <c r="C10" i="29"/>
  <c r="E10" i="29" s="1"/>
  <c r="F10" i="29" s="1"/>
  <c r="G10" i="1"/>
  <c r="D10" i="1"/>
  <c r="C10" i="1"/>
  <c r="H10" i="30"/>
  <c r="G10" i="30"/>
  <c r="I10" i="30" s="1"/>
  <c r="D10" i="30"/>
  <c r="C10" i="30"/>
  <c r="E10" i="30" s="1"/>
  <c r="F10" i="30" s="1"/>
  <c r="H10" i="72"/>
  <c r="E10" i="72"/>
  <c r="F10" i="72" s="1"/>
  <c r="H9" i="72"/>
  <c r="I9" i="72" s="1"/>
  <c r="E9" i="72"/>
  <c r="F9" i="72" s="1"/>
  <c r="A4" i="72" a="1"/>
  <c r="A4" i="72" s="1"/>
  <c r="B4" i="72" a="1"/>
  <c r="B4" i="72" s="1"/>
  <c r="E4" i="72"/>
  <c r="F4" i="72"/>
  <c r="H4" i="72"/>
  <c r="I4" i="72"/>
  <c r="G8" i="18"/>
  <c r="G9" i="18"/>
  <c r="D9" i="18"/>
  <c r="C9" i="18"/>
  <c r="G8" i="1"/>
  <c r="G9" i="1"/>
  <c r="D8" i="1"/>
  <c r="D9" i="1"/>
  <c r="C9" i="1"/>
  <c r="D9" i="30"/>
  <c r="C9" i="30"/>
  <c r="E9" i="30" s="1"/>
  <c r="F9" i="30" s="1"/>
  <c r="G6" i="30"/>
  <c r="G7" i="30"/>
  <c r="G8" i="30"/>
  <c r="G9" i="30"/>
  <c r="G5" i="30"/>
  <c r="G4" i="30"/>
  <c r="H9" i="33"/>
  <c r="I9" i="33" s="1"/>
  <c r="E9" i="33"/>
  <c r="F9" i="33" s="1"/>
  <c r="I9" i="31"/>
  <c r="I6" i="31"/>
  <c r="I8" i="31"/>
  <c r="H9" i="31"/>
  <c r="H9" i="30" s="1"/>
  <c r="E9" i="31"/>
  <c r="F9" i="31" s="1"/>
  <c r="H9" i="32"/>
  <c r="I9" i="32" s="1"/>
  <c r="E9" i="32"/>
  <c r="F9" i="32" s="1"/>
  <c r="E8" i="32"/>
  <c r="F8" i="32" s="1"/>
  <c r="E6" i="31"/>
  <c r="H5" i="31"/>
  <c r="D9" i="29"/>
  <c r="C9" i="29"/>
  <c r="E9" i="29" s="1"/>
  <c r="F9" i="29" s="1"/>
  <c r="G5" i="29"/>
  <c r="G6" i="29"/>
  <c r="G7" i="29"/>
  <c r="G8" i="29"/>
  <c r="G4" i="29"/>
  <c r="H9" i="28"/>
  <c r="I9" i="28" s="1"/>
  <c r="E9" i="28"/>
  <c r="F9" i="28" s="1"/>
  <c r="E6" i="26"/>
  <c r="G4" i="18"/>
  <c r="G5" i="18"/>
  <c r="G6" i="18"/>
  <c r="G7" i="18"/>
  <c r="E4" i="4"/>
  <c r="E5" i="72"/>
  <c r="F5" i="72" s="1"/>
  <c r="E6" i="72"/>
  <c r="F6" i="72" s="1"/>
  <c r="E7" i="72"/>
  <c r="F7" i="72" s="1"/>
  <c r="E8" i="72"/>
  <c r="F8" i="72" s="1"/>
  <c r="H10" i="18" l="1"/>
  <c r="I10" i="18" s="1"/>
  <c r="E10" i="18"/>
  <c r="F10" i="18" s="1"/>
  <c r="D10" i="34"/>
  <c r="I8" i="21"/>
  <c r="H9" i="29"/>
  <c r="I9" i="29" s="1"/>
  <c r="I9" i="18"/>
  <c r="G10" i="34"/>
  <c r="E9" i="18"/>
  <c r="F9" i="18" s="1"/>
  <c r="H9" i="34"/>
  <c r="I9" i="3"/>
  <c r="H9" i="1"/>
  <c r="H10" i="1"/>
  <c r="H10" i="34" s="1"/>
  <c r="I9" i="1"/>
  <c r="G8" i="34"/>
  <c r="E10" i="1"/>
  <c r="F10" i="1" s="1"/>
  <c r="C10" i="34"/>
  <c r="E10" i="34" s="1"/>
  <c r="F10" i="34" s="1"/>
  <c r="E9" i="1"/>
  <c r="F9" i="1" s="1"/>
  <c r="I9" i="30"/>
  <c r="C9" i="34"/>
  <c r="G9" i="34"/>
  <c r="I9" i="34" s="1"/>
  <c r="D9" i="34"/>
  <c r="C2" i="3"/>
  <c r="I10" i="34" l="1"/>
  <c r="I10" i="1"/>
  <c r="E9" i="34"/>
  <c r="F9" i="34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H7" i="3"/>
  <c r="I7" i="3" s="1"/>
  <c r="H8" i="3"/>
  <c r="I8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8" i="31"/>
  <c r="F8" i="31" s="1"/>
  <c r="H7" i="31"/>
  <c r="I7" i="31" s="1"/>
  <c r="E7" i="31"/>
  <c r="F7" i="31" s="1"/>
  <c r="F6" i="31"/>
  <c r="I5" i="31"/>
  <c r="E5" i="31"/>
  <c r="F5" i="31" s="1"/>
  <c r="I4" i="3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8" i="26"/>
  <c r="E8" i="26"/>
  <c r="F8" i="26" s="1"/>
  <c r="H7" i="26"/>
  <c r="E7" i="26"/>
  <c r="F7" i="26" s="1"/>
  <c r="H6" i="26"/>
  <c r="H6" i="29" s="1"/>
  <c r="F6" i="26"/>
  <c r="H5" i="26"/>
  <c r="E5" i="26"/>
  <c r="F5" i="26" s="1"/>
  <c r="H4" i="26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8" i="20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H7" i="4"/>
  <c r="I7" i="4" s="1"/>
  <c r="H6" i="4"/>
  <c r="I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G2" i="72"/>
  <c r="D2" i="72"/>
  <c r="C2" i="72"/>
  <c r="J2" i="72" s="1"/>
  <c r="A1" i="72" a="1"/>
  <c r="A1" i="72" s="1"/>
  <c r="I8" i="32" l="1"/>
  <c r="H8" i="30"/>
  <c r="H7" i="29"/>
  <c r="I8" i="20"/>
  <c r="H8" i="18"/>
  <c r="I8" i="18" s="1"/>
  <c r="C7" i="34"/>
  <c r="H8" i="1"/>
  <c r="H7" i="34"/>
  <c r="I7" i="34" s="1"/>
  <c r="C6" i="34"/>
  <c r="E6" i="34" s="1"/>
  <c r="F6" i="34" s="1"/>
  <c r="E8" i="1"/>
  <c r="F8" i="1" s="1"/>
  <c r="C8" i="34"/>
  <c r="I8" i="26"/>
  <c r="H8" i="29"/>
  <c r="I8" i="29" s="1"/>
  <c r="D5" i="34"/>
  <c r="I4" i="26"/>
  <c r="H4" i="29"/>
  <c r="I4" i="29" s="1"/>
  <c r="D6" i="34"/>
  <c r="D7" i="34"/>
  <c r="I5" i="26"/>
  <c r="H5" i="29"/>
  <c r="C5" i="34"/>
  <c r="D8" i="34"/>
  <c r="E5" i="30"/>
  <c r="F5" i="30" s="1"/>
  <c r="E8" i="29"/>
  <c r="F8" i="29" s="1"/>
  <c r="E7" i="18"/>
  <c r="F7" i="18" s="1"/>
  <c r="E5" i="18"/>
  <c r="F5" i="18" s="1"/>
  <c r="D2" i="18"/>
  <c r="I6" i="29"/>
  <c r="E4" i="18"/>
  <c r="F4" i="18" s="1"/>
  <c r="E8" i="18"/>
  <c r="F8" i="18" s="1"/>
  <c r="E6" i="30"/>
  <c r="F6" i="30" s="1"/>
  <c r="I7" i="29"/>
  <c r="D4" i="34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I8" i="30"/>
  <c r="E7" i="29"/>
  <c r="F7" i="29" s="1"/>
  <c r="I6" i="26"/>
  <c r="I5" i="29"/>
  <c r="I7" i="26"/>
  <c r="H6" i="18"/>
  <c r="I6" i="18" s="1"/>
  <c r="H4" i="18"/>
  <c r="I4" i="18" s="1"/>
  <c r="H7" i="18"/>
  <c r="I7" i="18" s="1"/>
  <c r="C4" i="34"/>
  <c r="H5" i="18"/>
  <c r="I5" i="18" s="1"/>
  <c r="H5" i="34"/>
  <c r="I5" i="34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7" i="34" l="1"/>
  <c r="F7" i="34" s="1"/>
  <c r="E8" i="34"/>
  <c r="F8" i="34" s="1"/>
  <c r="E5" i="34"/>
  <c r="F5" i="34" s="1"/>
  <c r="D2" i="34"/>
  <c r="I6" i="1"/>
  <c r="H6" i="34"/>
  <c r="I6" i="34" s="1"/>
  <c r="I8" i="1"/>
  <c r="H8" i="34"/>
  <c r="I8" i="34" s="1"/>
  <c r="E4" i="34"/>
  <c r="F4" i="34" s="1"/>
  <c r="E2" i="29"/>
  <c r="F2" i="29" s="1"/>
  <c r="G2" i="34"/>
  <c r="H2" i="1"/>
  <c r="I2" i="1" s="1"/>
  <c r="C2" i="34"/>
  <c r="I4" i="1"/>
  <c r="H4" i="34"/>
  <c r="I4" i="34" s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<sst xmlns="http://schemas.openxmlformats.org/spreadsheetml/2006/main" count="296" uniqueCount="93">
  <si>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</si>
  <si>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</si>
  <si>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</si>
  <si>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</si>
  <si>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</si>
  <si>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</si>
  <si>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</si>
  <si>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</si>
  <si>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</si>
  <si>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</si>
  <si>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</si>
  <si>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</si>
  <si>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</si>
  <si>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</si>
  <si>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</si>
  <si>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</si>
  <si>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</si>
  <si>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</si>
  <si>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</si>
  <si>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</si>
  <si>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</si>
  <si>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</si>
  <si>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</si>
  <si>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</si>
  <si>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</si>
  <si>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</si>
  <si>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</si>
  <si>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</si>
  <si>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Meter A phase CT dropped 20 amps on 9/26/24. There is a 5 % variance between the meter and total inverter power. Will be addressed in next PM.</t>
  </si>
  <si>
    <t>1.SR098881</t>
  </si>
  <si>
    <t>1.The site is producing as expected. The higher delta value indicates that the forecasted values are on the higher side.</t>
  </si>
  <si>
    <t>1.Inverter 22 has been down a string (5 kW) since it was re-energized on 05/22/2024. The Operations Team is currently reviewing the issue.
2.Inverter 10 was offline from 04/01 and came back online at 10:30 on 04/04. It went offline again at 17:00 on 04/25 and remained offline for the rest of the month. A dispatch has been scheduled for next month.</t>
  </si>
  <si>
    <t>1.SR098879
2.SR099137,SR100773</t>
  </si>
  <si>
    <t>SR099137</t>
  </si>
  <si>
    <t>SR100773</t>
  </si>
  <si>
    <t>1.Inverter 16 is having an history of multiple trip events. On 04/02, a technician addressed that faults occured due to PV imbalance issues and adjusted settings of comibner boxes. However, the inverter tripped again on 04/03 at 13:45, came online at 11:30 on 04/04,even after technician troubleshooted again inverter  tripped at 12:45on 04/04. Issue got resolved after technician ensured all strands were compressed and torqued to 50 in-lbs. Inverter is back online at 14:00 on 04/22</t>
  </si>
  <si>
    <t>1.SR099120,SR099410,SR099504</t>
  </si>
  <si>
    <t>SR099410</t>
  </si>
  <si>
    <t>SR099504</t>
  </si>
  <si>
    <t>1. Inverters 3, 5, and 7 may be swapped with 4, 6, and 8 in PowerTrack, as their performance suggests mismatched string counts—3, 5, and 7 (7-string) are performing like 8-string units, and vice versa.</t>
  </si>
  <si>
    <t>1.SR100567</t>
  </si>
  <si>
    <t xml:space="preserve"> </t>
  </si>
  <si>
    <t>May Actual v. Expected</t>
  </si>
  <si>
    <t>May Actual v. Forecasted</t>
  </si>
  <si>
    <t>1.The A-phase CT on the meter recorded a drop of 20 amps on 09/26/2024. In May, the drop was reduced to 10 amps on the same phase. A 5% variance currently exwasts between the meter readings and the total inverter power. Thwas wassue was scheduled to be investigated during the upcoming preventive maintenance (PM) event.
2.Inverter 5 started late for production at 07:45 on 05/19.wassue got self resoled.</t>
  </si>
  <si>
    <t>1.SR098881
2.SR101671</t>
  </si>
  <si>
    <t>1. Multiple inverters experiencied tripping events from 10:30AM to 15:30 due technician was onsite for preventive maintenance.
2. Inverter 5 was offline from 15:30 to 16:30 due technician was onsite for preventive maintenance.
3. The site was producing as expected. The higher delta value indicates that the forecasted values are on the higher side.</t>
  </si>
  <si>
    <t>1. PM13593
2. PM13593</t>
  </si>
  <si>
    <t xml:space="preserve">1.Inverter 3 down a string from 5/06. wassue did not resolve.
2. Inverter 4 was offline from 10:55 to 11:20 on 05/06 due to technician was onsite for preventive maintenance.
</t>
  </si>
  <si>
    <t>1.SR101329
2. PM13591.</t>
  </si>
  <si>
    <t>1. Multiple inverters experiencied tripping events from 11:30AM to 15:30 due technician was onsite for preventive maintenance.
2. The site was producing as expected. The higher delta value indicates that the forecasted values are on the higher side.</t>
  </si>
  <si>
    <t>1.  PM13589</t>
  </si>
  <si>
    <t>1.Inverter 14 tripped offline at 11:15 and self resolved at 11:25 on 05/03.
2. Inverters 3, 5, and 7 may be swapped with inverters 4, 6, and 8 in PowerTrack. Invs 3, 5, and 7 are seven string inverters that are performing like eight string inverters, while 4, 6, and 8 are eight string inverters that are performing like seven strings. Will investigate during PM event.</t>
  </si>
  <si>
    <t>1.SR100962
2. SR100567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</si>
  <si>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</si>
  <si>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</si>
  <si>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</si>
  <si>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</si>
  <si>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</si>
  <si>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</si>
  <si>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</si>
  <si>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</si>
  <si>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</si>
  <si>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</si>
  <si>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</si>
  <si>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</si>
  <si>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</si>
  <si>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</si>
  <si>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</si>
  <si>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KPCA Investment, LLC</t>
  </si>
  <si>
    <t>Site DAS Name</t>
  </si>
  <si>
    <t>Update</t>
  </si>
  <si>
    <t>DAS</t>
  </si>
  <si>
    <t>Kaiser - KP3 - Chino Grand CA6581</t>
  </si>
  <si>
    <t>Chino - 3750-3770 Grand Ave</t>
  </si>
  <si>
    <t>CA</t>
  </si>
  <si>
    <t>AEF</t>
  </si>
  <si>
    <t>PowerTrack</t>
  </si>
  <si>
    <t>Murrietta MOB - CA5341</t>
  </si>
  <si>
    <t>Murrieta - 28150 Keller Rd</t>
  </si>
  <si>
    <t>Kaiser - KP3 - La Habra - CA3841 Site</t>
  </si>
  <si>
    <t>La Habra - 601 E Imperial Way</t>
  </si>
  <si>
    <t>San Jose - Skyport</t>
  </si>
  <si>
    <t>Kaiser - KP3 - SCA Skyport - CN7901 Site</t>
  </si>
  <si>
    <t>Kaiser - KP3 - Irwindale MOB &amp; Garage - CA5681 Site</t>
  </si>
  <si>
    <t>Irwindale - 12761 Schabarum Ave</t>
  </si>
  <si>
    <t>Santa Rosa 6 - CN7001</t>
  </si>
  <si>
    <t>Santa Rosa - 2240 Mercury Way</t>
  </si>
  <si>
    <t>Kaiser - KP3 - Dublin - CN2A99 Site</t>
  </si>
  <si>
    <t>Dublin - 3100 Dublin Blvd</t>
  </si>
  <si>
    <t>MA</t>
  </si>
  <si>
    <t>SR101671</t>
  </si>
  <si>
    <t>SR100567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</si>
</sst>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top" wrapText="1"/>
    </xf>
    <xf numFmtId="0" fontId="35" fillId="43" borderId="1" xfId="0" applyFont="1" applyFill="1" applyBorder="1" applyAlignment="1">
      <alignment horizontal="center" vertical="center" wrapText="1"/>
    </xf>
    <xf numFmtId="0" fontId="22" fillId="0" borderId="0" xfId="43" applyFont="1" applyAlignment="1">
      <alignment horizontal="left" wrapText="1"/>
    </xf>
    <xf numFmtId="0" fontId="22" fillId="0" borderId="0" xfId="43" applyFont="1"/>
    <xf numFmtId="49" fontId="28" fillId="0" borderId="0" xfId="0" applyNumberFormat="1" applyFont="1" applyAlignment="1">
      <alignment vertical="top" wrapText="1"/>
    </xf>
    <xf numFmtId="0" fontId="34" fillId="40" borderId="0" xfId="0" applyFont="1" applyFill="1" applyAlignment="1">
      <alignment vertical="top"/>
    </xf>
    <xf numFmtId="49" fontId="23" fillId="38" borderId="0" xfId="2" applyNumberFormat="1" applyFont="1" applyFill="1" applyBorder="1" applyAlignment="1">
      <alignment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horizontal="left" vertical="top" wrapText="1"/>
    </xf>
    <xf numFmtId="49" fontId="36" fillId="0" borderId="0" xfId="45" applyNumberFormat="1" applyAlignment="1">
      <alignment vertical="top" wrapText="1"/>
    </xf>
    <xf numFmtId="0" fontId="36" fillId="0" borderId="0" xfId="45" applyAlignment="1">
      <alignment horizontal="left" vertical="top"/>
    </xf>
    <xf numFmtId="0" fontId="36" fillId="0" borderId="0" xfId="45" applyAlignment="1">
      <alignment vertical="top"/>
    </xf>
    <xf numFmtId="10" fontId="30" fillId="0" borderId="0" xfId="0" applyNumberFormat="1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6" fillId="0" borderId="0" xfId="45"/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49" fontId="30" fillId="38" borderId="0" xfId="2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0" fontId="32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57" dataCellStyle="Normal 2"/>
    <tableColumn id="1" xr3:uid="{9A753695-C18C-437C-AD9C-C2CE5C1A806E}" name="Site" dataDxfId="56" dataCellStyle="Normal 2"/>
    <tableColumn id="2" xr3:uid="{250F229D-34D2-4043-BE8F-6D9C210E223F}" name="State" dataDxfId="55" dataCellStyle="Normal 2"/>
    <tableColumn id="5" xr3:uid="{61DF2E38-E0FD-4D7E-AE61-BDFE8D5E1312}" name="Update" dataDxfId="54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0567" TargetMode="External"/><Relationship Id="rId3" Type="http://schemas.openxmlformats.org/officeDocument/2006/relationships/hyperlink" Target="https://us3.assetplanner.com/service_request?ID=099137" TargetMode="External"/><Relationship Id="rId7" Type="http://schemas.openxmlformats.org/officeDocument/2006/relationships/hyperlink" Target="https://us3.assetplanner.com/service_request?ID=099504" TargetMode="External"/><Relationship Id="rId2" Type="http://schemas.openxmlformats.org/officeDocument/2006/relationships/hyperlink" Target="https://us3.assetplanner.com/service_request?ID=098879" TargetMode="External"/><Relationship Id="rId1" Type="http://schemas.openxmlformats.org/officeDocument/2006/relationships/hyperlink" Target="https://us3.assetplanner.com/service_request?ID=098881" TargetMode="External"/><Relationship Id="rId6" Type="http://schemas.openxmlformats.org/officeDocument/2006/relationships/hyperlink" Target="https://us3.assetplanner.com/service_request?ID=099410" TargetMode="External"/><Relationship Id="rId5" Type="http://schemas.openxmlformats.org/officeDocument/2006/relationships/hyperlink" Target="https://us3.assetplanner.com/service_request?ID=099120" TargetMode="External"/><Relationship Id="rId4" Type="http://schemas.openxmlformats.org/officeDocument/2006/relationships/hyperlink" Target="https://us3.assetplanner.com/service_request?ID=100773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329" TargetMode="External"/><Relationship Id="rId2" Type="http://schemas.openxmlformats.org/officeDocument/2006/relationships/hyperlink" Target="https://us3.assetplanner.com/service_request?ID=101671" TargetMode="External"/><Relationship Id="rId1" Type="http://schemas.openxmlformats.org/officeDocument/2006/relationships/hyperlink" Target="https://us3.assetplanner.com/service_request?ID=098881" TargetMode="External"/><Relationship Id="rId5" Type="http://schemas.openxmlformats.org/officeDocument/2006/relationships/hyperlink" Target="https://us3.assetplanner.com/service_request?ID=100567" TargetMode="External"/><Relationship Id="rId4" Type="http://schemas.openxmlformats.org/officeDocument/2006/relationships/hyperlink" Target="https://us3.assetplanner.com/service_request?ID=10096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C10" sqref="C1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76" t="str" cm="1">
        <f t="array" ref="A1">portfolio</f>
        <v>KPCA Investment, LLC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 x14ac:dyDescent="0.25">
      <c r="A2" s="78" t="s">
        <v>2</v>
      </c>
      <c r="B2" s="78"/>
      <c r="C2" s="5">
        <f>SUM(C4:C80)</f>
        <v>1123356.9316427535</v>
      </c>
      <c r="D2" s="5">
        <f>SUM(D4:D80)</f>
        <v>1183047.1299999999</v>
      </c>
      <c r="E2" s="5">
        <f>C2-D2</f>
        <v>-59690.19835724635</v>
      </c>
      <c r="F2" s="6">
        <f>IFERROR(E2/D2, 0)</f>
        <v>-5.0454624201866208E-2</v>
      </c>
      <c r="G2" s="5">
        <f>SUM(G4:G80)</f>
        <v>1249991.9100000001</v>
      </c>
      <c r="H2" s="7">
        <f>C2-G2</f>
        <v>-126634.97835724661</v>
      </c>
      <c r="I2" s="6">
        <f>IFERROR(H2/G2, 0)</f>
        <v>-0.10130863835530471</v>
      </c>
    </row>
    <row r="3" spans="1:9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 x14ac:dyDescent="0.3">
      <c r="A4" s="49" t="str" cm="1">
        <f t="array" ref="A4:A10">Sites[Site]</f>
        <v>Chino - 3750-3770 Grand Ave</v>
      </c>
      <c r="B4" s="30" t="str" cm="1">
        <f t="array" ref="B4:B10">Sites[State]</f>
        <v>CA</v>
      </c>
      <c r="C4" s="22">
        <f>SUM('1st Qtr'!C4, '2nd Qtr'!C4, '3rd Qtr'!C4, '4th Qtr'!C4)</f>
        <v>65907.992659867203</v>
      </c>
      <c r="D4" s="12">
        <f>SUM('1st Qtr'!D4, '2nd Qtr'!D4, '3rd Qtr'!D4, '4th Qtr'!D4)</f>
        <v>56839.619999999995</v>
      </c>
      <c r="E4" s="12">
        <f>IF(AND(ISNUMBER(C4),ISNUMBER(D4)), C4-D4, "")</f>
        <v>9068.3726598672074</v>
      </c>
      <c r="F4" s="13">
        <f>IFERROR(E4/D4, "")</f>
        <v>0.15954316126439988</v>
      </c>
      <c r="G4" s="14">
        <f>SUM('1st Qtr'!G4, '2nd Qtr'!G4, '3rd Qtr'!G4, '4th Qtr'!G4)</f>
        <v>86199</v>
      </c>
      <c r="H4" s="14">
        <f>SUM('1st Qtr'!H4, '2nd Qtr'!H4, '3rd Qtr'!H4, '4th Qtr'!H4)</f>
        <v>-20291.007340132801</v>
      </c>
      <c r="I4" s="15">
        <f>IFERROR(H4/G4, "")</f>
        <v>-0.23539724753341454</v>
      </c>
    </row>
    <row r="5" spans="1:9" ht="15.6" x14ac:dyDescent="0.25">
      <c r="A5" s="50" t="str">
        <v>Murrieta - 28150 Keller Rd</v>
      </c>
      <c r="B5" s="28" t="str">
        <v>CA</v>
      </c>
      <c r="C5" s="16">
        <f>SUM('1st Qtr'!C5, '2nd Qtr'!C5, '3rd Qtr'!C5, '4th Qtr'!C5)</f>
        <v>187230</v>
      </c>
      <c r="D5" s="16">
        <f>SUM('1st Qtr'!D5, '2nd Qtr'!D5, '3rd Qtr'!D5, '4th Qtr'!D5)</f>
        <v>194612.25</v>
      </c>
      <c r="E5" s="16">
        <f t="shared" ref="E5:E10" si="0">IF(AND(ISNUMBER(C5),ISNUMBER(D5)), C5-D5, "")</f>
        <v>-7382.25</v>
      </c>
      <c r="F5" s="17">
        <f>IFERROR(E5/D5, "")</f>
        <v>-3.7933120859555344E-2</v>
      </c>
      <c r="G5" s="18">
        <f>SUM('1st Qtr'!G5, '2nd Qtr'!G5, '3rd Qtr'!G5, '4th Qtr'!G5)</f>
        <v>219057.3</v>
      </c>
      <c r="H5" s="18">
        <f>SUM(Jan!H5, Feb!H5, Mar!H5)</f>
        <v>0</v>
      </c>
      <c r="I5" s="17">
        <f>IFERROR(H5/G5, "")</f>
        <v>0</v>
      </c>
    </row>
    <row r="6" spans="1:9" ht="15.6" x14ac:dyDescent="0.25">
      <c r="A6" s="51" t="str">
        <v>La Habra - 601 E Imperial Way</v>
      </c>
      <c r="B6" s="26" t="str">
        <v>CA</v>
      </c>
      <c r="C6" s="22">
        <f>SUM('1st Qtr'!C6, '2nd Qtr'!C6, '3rd Qtr'!C6, '4th Qtr'!C6)</f>
        <v>36700.5</v>
      </c>
      <c r="D6" s="12">
        <f>SUM('1st Qtr'!D6, '2nd Qtr'!D6, '3rd Qtr'!D6, '4th Qtr'!D6)</f>
        <v>31052.58</v>
      </c>
      <c r="E6" s="12">
        <f t="shared" si="0"/>
        <v>5647.9199999999983</v>
      </c>
      <c r="F6" s="13">
        <f t="shared" ref="F6:F10" si="1">IFERROR(E6/D6, "")</f>
        <v>0.18188247160139345</v>
      </c>
      <c r="G6" s="14">
        <f>SUM('1st Qtr'!G6, '2nd Qtr'!G6, '3rd Qtr'!G6, '4th Qtr'!G6)</f>
        <v>44793.25</v>
      </c>
      <c r="H6" s="14">
        <f>SUM('1st Qtr'!H6, '2nd Qtr'!H6, '3rd Qtr'!H6, '4th Qtr'!H6)</f>
        <v>-8092.75</v>
      </c>
      <c r="I6" s="15">
        <f t="shared" ref="I6:I10" si="2">IFERROR(H6/G6, "")</f>
        <v>-0.18066896239946867</v>
      </c>
    </row>
    <row r="7" spans="1:9" ht="15.6" x14ac:dyDescent="0.25">
      <c r="A7" s="50" t="str">
        <v>Kaiser - KP3 - SCA Skyport - CN7901 Site</v>
      </c>
      <c r="B7" s="28" t="str">
        <v>CA</v>
      </c>
      <c r="C7" s="16">
        <f>SUM('1st Qtr'!C7, '2nd Qtr'!C7, '3rd Qtr'!C7, '4th Qtr'!C7)</f>
        <v>226481.54608212359</v>
      </c>
      <c r="D7" s="16">
        <f>SUM('1st Qtr'!D7, '2nd Qtr'!D7, '3rd Qtr'!D7, '4th Qtr'!D7)</f>
        <v>235288.8</v>
      </c>
      <c r="E7" s="16">
        <f t="shared" si="0"/>
        <v>-8807.2539178763982</v>
      </c>
      <c r="F7" s="17">
        <f t="shared" si="1"/>
        <v>-3.743167510683211E-2</v>
      </c>
      <c r="G7" s="18">
        <f>SUM('1st Qtr'!G7, '2nd Qtr'!G7, '3rd Qtr'!G7, '4th Qtr'!G7)</f>
        <v>239430.5</v>
      </c>
      <c r="H7" s="18">
        <f>SUM(Jan!H7, Feb!H7, Mar!H7)</f>
        <v>0</v>
      </c>
      <c r="I7" s="17">
        <f t="shared" si="2"/>
        <v>0</v>
      </c>
    </row>
    <row r="8" spans="1:9" ht="15.6" x14ac:dyDescent="0.25">
      <c r="A8" s="51" t="str">
        <v>Irwindale - 12761 Schabarum Ave</v>
      </c>
      <c r="B8" s="26" t="str">
        <v>CA</v>
      </c>
      <c r="C8" s="22">
        <f>SUM('1st Qtr'!C8, '2nd Qtr'!C8, '3rd Qtr'!C8, '4th Qtr'!C8)</f>
        <v>53479.369999999901</v>
      </c>
      <c r="D8" s="12">
        <f>SUM('1st Qtr'!D8, '2nd Qtr'!D8, '3rd Qtr'!D8, '4th Qtr'!D8)</f>
        <v>41792.58</v>
      </c>
      <c r="E8" s="12">
        <f t="shared" si="0"/>
        <v>11686.789999999899</v>
      </c>
      <c r="F8" s="13">
        <f t="shared" si="1"/>
        <v>0.27963791658710468</v>
      </c>
      <c r="G8" s="14">
        <f>SUM('1st Qtr'!G8, '2nd Qtr'!G8, '3rd Qtr'!G8, '4th Qtr'!G8)</f>
        <v>62910.86</v>
      </c>
      <c r="H8" s="14">
        <f>SUM('1st Qtr'!H8, '2nd Qtr'!H8, '3rd Qtr'!H8, '4th Qtr'!H8)</f>
        <v>-9431.4900000000962</v>
      </c>
      <c r="I8" s="15">
        <f t="shared" si="2"/>
        <v>-0.14991831299079517</v>
      </c>
    </row>
    <row r="9" spans="1:9" ht="15.6" x14ac:dyDescent="0.25">
      <c r="A9" s="50" t="str">
        <v>Santa Rosa - 2240 Mercury Way</v>
      </c>
      <c r="B9" s="28" t="str">
        <v>CA</v>
      </c>
      <c r="C9" s="16">
        <f>SUM('1st Qtr'!C9, '2nd Qtr'!C9, '3rd Qtr'!C9, '4th Qtr'!C9)</f>
        <v>189268.02290076291</v>
      </c>
      <c r="D9" s="16">
        <f>SUM('1st Qtr'!D9, '2nd Qtr'!D9, '3rd Qtr'!D9, '4th Qtr'!D9)</f>
        <v>204290.2</v>
      </c>
      <c r="E9" s="16">
        <f t="shared" si="0"/>
        <v>-15022.177099237102</v>
      </c>
      <c r="F9" s="17">
        <f t="shared" si="1"/>
        <v>-7.3533518001534584E-2</v>
      </c>
      <c r="G9" s="18">
        <f>SUM('1st Qtr'!G9, '2nd Qtr'!G9, '3rd Qtr'!G9, '4th Qtr'!G9)</f>
        <v>208938</v>
      </c>
      <c r="H9" s="18">
        <f>SUM(Jan!H9, Feb!H9, Mar!H9)</f>
        <v>0</v>
      </c>
      <c r="I9" s="17">
        <f t="shared" si="2"/>
        <v>0</v>
      </c>
    </row>
    <row r="10" spans="1:9" ht="15.6" x14ac:dyDescent="0.25">
      <c r="A10" s="51" t="str">
        <v>Dublin - 3100 Dublin Blvd</v>
      </c>
      <c r="B10" s="26" t="str">
        <v>MA</v>
      </c>
      <c r="C10" s="22">
        <f>SUM('1st Qtr'!C10, '2nd Qtr'!C10, '3rd Qtr'!C10, '4th Qtr'!C10)</f>
        <v>364289.5</v>
      </c>
      <c r="D10" s="12">
        <f>SUM('1st Qtr'!D10, '2nd Qtr'!D10, '3rd Qtr'!D10, '4th Qtr'!D10)</f>
        <v>419171.1</v>
      </c>
      <c r="E10" s="12">
        <f t="shared" si="0"/>
        <v>-54881.599999999977</v>
      </c>
      <c r="F10" s="13">
        <f t="shared" si="1"/>
        <v>-0.13092887367473563</v>
      </c>
      <c r="G10" s="14">
        <f>SUM('1st Qtr'!G10, '2nd Qtr'!G10, '3rd Qtr'!G10, '4th Qtr'!G10)</f>
        <v>388663</v>
      </c>
      <c r="H10" s="14">
        <f>SUM('1st Qtr'!H10, '2nd Qtr'!H10, '3rd Qtr'!H10, '4th Qtr'!H10)</f>
        <v>-24373.5</v>
      </c>
      <c r="I10" s="15">
        <f t="shared" si="2"/>
        <v>-6.2711140499610199E-2</v>
      </c>
    </row>
    <row r="11" spans="1:9" ht="13.8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8" x14ac:dyDescent="0.3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8" x14ac:dyDescent="0.3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8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8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8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8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8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8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8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8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8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8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8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8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8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8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8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8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8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8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8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8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8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8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8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8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8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8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8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8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8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8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8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8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8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8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8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8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8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8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8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8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8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8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8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8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8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8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8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8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8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8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8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8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8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8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8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8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8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8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8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8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8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8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8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8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8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8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8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8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8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8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8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8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8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8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8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8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8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8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8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8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8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8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8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8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8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8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8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8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8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8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8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8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8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8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8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8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8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8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8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8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8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8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8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8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8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8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8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8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8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8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8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8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8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8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8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8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8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8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8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8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8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8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8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8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8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8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8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8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8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8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8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8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8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8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8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8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8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8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8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8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8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8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8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8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8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8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8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8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8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8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8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8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8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8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8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8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8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8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8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8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8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8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8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8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8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8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8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8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8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8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8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8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8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8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8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8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8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8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8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8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8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8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8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8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8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8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8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8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8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8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8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8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8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8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8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8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8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8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8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8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8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8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8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8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8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8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8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8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8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8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8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8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8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8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8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8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8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8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8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8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8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8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8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8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8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8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8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8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8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8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8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8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8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8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8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8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8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8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8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8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8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8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8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8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8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8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8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8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8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8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8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8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8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8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8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8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8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8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8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8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8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8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8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8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8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8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8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8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8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8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8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8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8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8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8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8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8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8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8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8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8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8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8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8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8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8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8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8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8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8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8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8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8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8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8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8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8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8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8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8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8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8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8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8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8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8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8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8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8" x14ac:dyDescent="0.3">
      <c r="A322" s="19"/>
      <c r="B322" s="19"/>
      <c r="C322" s="19"/>
      <c r="D322" s="19"/>
      <c r="E322" s="19"/>
      <c r="F322" s="20"/>
      <c r="G322" s="19"/>
      <c r="H322" s="19"/>
      <c r="I322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D21" sqref="D21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76" t="str" cm="1">
        <f t="array" ref="A1">portfolio</f>
        <v>KPCA Investment, LLC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 x14ac:dyDescent="0.25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 x14ac:dyDescent="0.25">
      <c r="A5" s="47" t="str">
        <v>Murrieta - 28150 Keller Rd</v>
      </c>
      <c r="B5" s="10" t="str">
        <v>CA</v>
      </c>
      <c r="C5" s="11">
        <f>SUM(Jan!C5, Feb!C5, Mar!C5)</f>
        <v>0</v>
      </c>
      <c r="D5" s="16">
        <f>SUM(Jan!D5, Feb!D5, Mar!D5)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8">
        <f>SUM(Jan!G5, Feb!G5, Mar!G5)</f>
        <v>0</v>
      </c>
      <c r="H5" s="18">
        <f>SUM(Jan!H5, Feb!H5, Mar!H5)</f>
        <v>0</v>
      </c>
      <c r="I5" s="17" t="str">
        <f>IFERROR(H5/G5, "")</f>
        <v/>
      </c>
    </row>
    <row r="6" spans="1:9" ht="15.6" x14ac:dyDescent="0.25">
      <c r="A6" s="46" t="str">
        <v>La Habra - 601 E Imperial Way</v>
      </c>
      <c r="B6" s="9" t="str">
        <v>CA</v>
      </c>
      <c r="C6" s="22">
        <f>SUM(Jan!C6, Feb!C6, Mar!C6)</f>
        <v>0</v>
      </c>
      <c r="D6" s="12">
        <f>SUM(Jan!D6, Feb!D6, Mar!D6)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SUM(Jan!G6, Feb!G6, Mar!G6)</f>
        <v>0</v>
      </c>
      <c r="H6" s="14">
        <f>SUM(Jan!H6, Feb!H6, Mar!H6)</f>
        <v>0</v>
      </c>
      <c r="I6" s="15" t="str">
        <f t="shared" ref="I6:I10" si="2">IFERROR(H6/G6, "")</f>
        <v/>
      </c>
    </row>
    <row r="7" spans="1:9" ht="15.6" x14ac:dyDescent="0.25">
      <c r="A7" s="47" t="str">
        <v>Kaiser - KP3 - SCA Skyport - CN7901 Site</v>
      </c>
      <c r="B7" s="10" t="str">
        <v>CA</v>
      </c>
      <c r="C7" s="11">
        <f>SUM(Jan!C7, Feb!C7, Mar!C7)</f>
        <v>0</v>
      </c>
      <c r="D7" s="16">
        <f>SUM(Jan!D7, Feb!D7, Mar!D7)</f>
        <v>0</v>
      </c>
      <c r="E7" s="16">
        <f t="shared" si="0"/>
        <v>0</v>
      </c>
      <c r="F7" s="17" t="str">
        <f t="shared" si="1"/>
        <v/>
      </c>
      <c r="G7" s="18">
        <f>SUM(Jan!G7, Feb!G7, Mar!G7)</f>
        <v>0</v>
      </c>
      <c r="H7" s="18">
        <f>SUM(Jan!H7, Feb!H7, Mar!H7)</f>
        <v>0</v>
      </c>
      <c r="I7" s="17" t="str">
        <f t="shared" si="2"/>
        <v/>
      </c>
    </row>
    <row r="8" spans="1:9" ht="15.6" x14ac:dyDescent="0.25">
      <c r="A8" s="46" t="str">
        <v>Irwindale - 12761 Schabarum Ave</v>
      </c>
      <c r="B8" s="9" t="str">
        <v>CA</v>
      </c>
      <c r="C8" s="22">
        <f>SUM(Jan!C8, Feb!C8, Mar!C8)</f>
        <v>0</v>
      </c>
      <c r="D8" s="12">
        <f>SUM(Jan!D8, Feb!D8, Mar!D8)</f>
        <v>0</v>
      </c>
      <c r="E8" s="12">
        <f t="shared" si="0"/>
        <v>0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6" x14ac:dyDescent="0.25">
      <c r="A9" s="47" t="str">
        <v>Santa Rosa - 2240 Mercury Way</v>
      </c>
      <c r="B9" s="10" t="str">
        <v>CA</v>
      </c>
      <c r="C9" s="11">
        <f>SUM(Jan!C9, Feb!C9, Mar!C9)</f>
        <v>0</v>
      </c>
      <c r="D9" s="16">
        <f>SUM(Jan!D9, Feb!D9, Mar!D9)</f>
        <v>0</v>
      </c>
      <c r="E9" s="16">
        <f t="shared" si="0"/>
        <v>0</v>
      </c>
      <c r="F9" s="17" t="str">
        <f t="shared" si="1"/>
        <v/>
      </c>
      <c r="G9" s="18">
        <f>SUM(Jan!G9, Feb!G9, Mar!G9)</f>
        <v>0</v>
      </c>
      <c r="H9" s="18">
        <f>SUM(Jan!H9, Feb!H9, Mar!H9)</f>
        <v>0</v>
      </c>
      <c r="I9" s="17" t="str">
        <f t="shared" si="2"/>
        <v/>
      </c>
    </row>
    <row r="10" spans="1:9" ht="15.6" x14ac:dyDescent="0.25">
      <c r="A10" s="46" t="str">
        <v>Dublin - 3100 Dublin Blvd</v>
      </c>
      <c r="B10" s="9" t="str">
        <v>MA</v>
      </c>
      <c r="C10" s="22">
        <f>SUM(Jan!C10, Feb!C10, Mar!C10)</f>
        <v>0</v>
      </c>
      <c r="D10" s="12">
        <f>SUM(Jan!D10, Feb!D10, Mar!D10)</f>
        <v>0</v>
      </c>
      <c r="E10" s="12">
        <f t="shared" si="0"/>
        <v>0</v>
      </c>
      <c r="F10" s="13" t="str">
        <f t="shared" si="1"/>
        <v/>
      </c>
      <c r="G10" s="14">
        <f>SUM(Jan!G10, Feb!G10, Mar!G10)</f>
        <v>0</v>
      </c>
      <c r="H10" s="14">
        <f>SUM(Jan!H10, Feb!H10, Mar!H10)</f>
        <v>0</v>
      </c>
      <c r="I10" s="15" t="str">
        <f t="shared" si="2"/>
        <v/>
      </c>
    </row>
    <row r="11" spans="1:9" ht="13.8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8" x14ac:dyDescent="0.3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8" x14ac:dyDescent="0.3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8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8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8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8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8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8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8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8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8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8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8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8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8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8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8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8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8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8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8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8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8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8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8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8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8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8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8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8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8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8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8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8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8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8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8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8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8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8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8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8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8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8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8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8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8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8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8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8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8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8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8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8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8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8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8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8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8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8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8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8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8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8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8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8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8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8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8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8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8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8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8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8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8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8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8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8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8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8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8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8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8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8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8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8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8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8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8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8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8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8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8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8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8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8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8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8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8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8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8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8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8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8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8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8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8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8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8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8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8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8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8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8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8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8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8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8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8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8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8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8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8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8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8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8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8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8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8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8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8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8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8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8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8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8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8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8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8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8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8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8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8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8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8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8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8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8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8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8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8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8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8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8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8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8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8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8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8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8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8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8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8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8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8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8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8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8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8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8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8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8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8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8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8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8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8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8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8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8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8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8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8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8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8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8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8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8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8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8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8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8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8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8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8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8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8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8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8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8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8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8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8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8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8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8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8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8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8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8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8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8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8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8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8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8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8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8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8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8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8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8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8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8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8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8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8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8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8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8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8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8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8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8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8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8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8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8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8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8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8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8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8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8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8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8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8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8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8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8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8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8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8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8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8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8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8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8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8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8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8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8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8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8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8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8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8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8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8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8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8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8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8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8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8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8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8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8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8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8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8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8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8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8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8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8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8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8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8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8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8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8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8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8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8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8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8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8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8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8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8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8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8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8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8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8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8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8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8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8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8" x14ac:dyDescent="0.3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C10" sqref="C10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76" t="str" cm="1">
        <f t="array" ref="A1">portfolio</f>
        <v>KPCA Investment, LLC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 x14ac:dyDescent="0.25">
      <c r="A2" s="78" t="s">
        <v>2</v>
      </c>
      <c r="B2" s="78"/>
      <c r="C2" s="5">
        <f>SUM(C4:C80)</f>
        <v>1123356.9316427535</v>
      </c>
      <c r="D2" s="5">
        <f>SUM(D4:D80)</f>
        <v>1183047.1299999999</v>
      </c>
      <c r="E2" s="5">
        <f>C2-D2</f>
        <v>-59690.19835724635</v>
      </c>
      <c r="F2" s="6">
        <f>IFERROR(E2/D2, 0)</f>
        <v>-5.0454624201866208E-2</v>
      </c>
      <c r="G2" s="5">
        <f>SUM(G4:G80)</f>
        <v>1249991.9100000001</v>
      </c>
      <c r="H2" s="7">
        <f>C2-G2</f>
        <v>-126634.97835724661</v>
      </c>
      <c r="I2" s="6">
        <f>IFERROR(H2/G2, 0)</f>
        <v>-0.10130863835530471</v>
      </c>
    </row>
    <row r="3" spans="1:9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 x14ac:dyDescent="0.25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SUM(Apr!C4, May!C4, Jun!C4)</f>
        <v>65907.992659867203</v>
      </c>
      <c r="D4" s="12">
        <f>SUM(Apr!D4, May!D4, Jun!D4)</f>
        <v>56839.619999999995</v>
      </c>
      <c r="E4" s="12">
        <f>IF(AND(ISNUMBER(C4),ISNUMBER(D4)), C4-D4, "")</f>
        <v>9068.3726598672074</v>
      </c>
      <c r="F4" s="13">
        <f>IFERROR(E4/D4, "")</f>
        <v>0.15954316126439988</v>
      </c>
      <c r="G4" s="14">
        <f>SUM(Apr!G4+May!G4+Jun!G4)</f>
        <v>86199</v>
      </c>
      <c r="H4" s="14">
        <f>SUM(Apr!H4, May!H4, Jun!H4)</f>
        <v>-20291.007340132801</v>
      </c>
      <c r="I4" s="15">
        <f>IFERROR(H4/G4, "")</f>
        <v>-0.23539724753341454</v>
      </c>
    </row>
    <row r="5" spans="1:9" ht="15.6" x14ac:dyDescent="0.25">
      <c r="A5" s="47" t="str">
        <v>Murrieta - 28150 Keller Rd</v>
      </c>
      <c r="B5" s="10" t="str">
        <v>CA</v>
      </c>
      <c r="C5" s="11">
        <f>SUM(Apr!C5, May!C5, Jun!C5)</f>
        <v>187230</v>
      </c>
      <c r="D5" s="16">
        <f>SUM(Apr!D5, May!D5, Jun!D5)</f>
        <v>194612.25</v>
      </c>
      <c r="E5" s="16">
        <f t="shared" ref="E5:E10" si="0">IF(AND(ISNUMBER(C5),ISNUMBER(D5)), C5-D5, "")</f>
        <v>-7382.25</v>
      </c>
      <c r="F5" s="17">
        <f>IFERROR(E5/D5, "")</f>
        <v>-3.7933120859555344E-2</v>
      </c>
      <c r="G5" s="18">
        <f>SUM(Apr!G5+May!G5+Jun!G5)</f>
        <v>219057.3</v>
      </c>
      <c r="H5" s="18">
        <f>SUM(Apr!H5, May!H5, Jun!H5)</f>
        <v>-31827.300000000003</v>
      </c>
      <c r="I5" s="17">
        <f>IFERROR(H5/G5, "")</f>
        <v>-0.14529212219816462</v>
      </c>
    </row>
    <row r="6" spans="1:9" ht="15.6" x14ac:dyDescent="0.25">
      <c r="A6" s="46" t="str">
        <v>La Habra - 601 E Imperial Way</v>
      </c>
      <c r="B6" s="9" t="str">
        <v>CA</v>
      </c>
      <c r="C6" s="22">
        <f>SUM(Apr!C6, May!C6, Jun!C6)</f>
        <v>36700.5</v>
      </c>
      <c r="D6" s="12">
        <f>SUM(Apr!D6, May!D6, Jun!D6)</f>
        <v>31052.58</v>
      </c>
      <c r="E6" s="12">
        <f t="shared" si="0"/>
        <v>5647.9199999999983</v>
      </c>
      <c r="F6" s="13">
        <f t="shared" ref="F6:F10" si="1">IFERROR(E6/D6, "")</f>
        <v>0.18188247160139345</v>
      </c>
      <c r="G6" s="14">
        <f>SUM(Apr!G6+May!G6+Jun!G6)</f>
        <v>44793.25</v>
      </c>
      <c r="H6" s="14">
        <f>SUM(Apr!H6, May!H6, Jun!H6)</f>
        <v>-8092.75</v>
      </c>
      <c r="I6" s="15">
        <f t="shared" ref="I6:I9" si="2">IFERROR(H6/G6, "")</f>
        <v>-0.18066896239946867</v>
      </c>
    </row>
    <row r="7" spans="1:9" ht="15.6" x14ac:dyDescent="0.25">
      <c r="A7" s="47" t="str">
        <v>Kaiser - KP3 - SCA Skyport - CN7901 Site</v>
      </c>
      <c r="B7" s="10" t="str">
        <v>CA</v>
      </c>
      <c r="C7" s="11">
        <f>SUM(Apr!C7, May!C7, Jun!C7)</f>
        <v>226481.54608212359</v>
      </c>
      <c r="D7" s="16">
        <f>SUM(Apr!D7, May!D7, Jun!D7)</f>
        <v>235288.8</v>
      </c>
      <c r="E7" s="16">
        <f t="shared" si="0"/>
        <v>-8807.2539178763982</v>
      </c>
      <c r="F7" s="17">
        <f t="shared" si="1"/>
        <v>-3.743167510683211E-2</v>
      </c>
      <c r="G7" s="18">
        <f>SUM(Apr!G7+May!G7+Jun!G7)</f>
        <v>239430.5</v>
      </c>
      <c r="H7" s="18">
        <f>SUM(Apr!H7, May!H7, Jun!H7)</f>
        <v>-12948.95391787641</v>
      </c>
      <c r="I7" s="17">
        <f t="shared" si="2"/>
        <v>-5.4082307466577606E-2</v>
      </c>
    </row>
    <row r="8" spans="1:9" ht="15.6" x14ac:dyDescent="0.25">
      <c r="A8" s="46" t="str">
        <v>Irwindale - 12761 Schabarum Ave</v>
      </c>
      <c r="B8" s="9" t="str">
        <v>CA</v>
      </c>
      <c r="C8" s="22">
        <f>SUM(Apr!C8, May!C8, Jun!C8)</f>
        <v>53479.369999999901</v>
      </c>
      <c r="D8" s="12">
        <f>SUM(Apr!D8, May!D8, Jun!D8)</f>
        <v>41792.58</v>
      </c>
      <c r="E8" s="12">
        <f t="shared" si="0"/>
        <v>11686.789999999899</v>
      </c>
      <c r="F8" s="13">
        <f t="shared" si="1"/>
        <v>0.27963791658710468</v>
      </c>
      <c r="G8" s="14">
        <f>SUM(Apr!G8+May!G8+Jun!G8)</f>
        <v>62910.86</v>
      </c>
      <c r="H8" s="14">
        <f>SUM(Apr!H8, May!H8, Jun!H8)</f>
        <v>-9431.4900000000962</v>
      </c>
      <c r="I8" s="15">
        <f>IFERROR(H8/G8, "")</f>
        <v>-0.14991831299079517</v>
      </c>
    </row>
    <row r="9" spans="1:9" ht="15.6" x14ac:dyDescent="0.25">
      <c r="A9" s="47" t="str">
        <v>Santa Rosa - 2240 Mercury Way</v>
      </c>
      <c r="B9" s="10" t="str">
        <v>CA</v>
      </c>
      <c r="C9" s="11">
        <f>SUM(Apr!C9, May!C9, Jun!C9)</f>
        <v>189268.02290076291</v>
      </c>
      <c r="D9" s="16">
        <f>SUM(Apr!D9, May!D9, Jun!D9)</f>
        <v>204290.2</v>
      </c>
      <c r="E9" s="16">
        <f t="shared" si="0"/>
        <v>-15022.177099237102</v>
      </c>
      <c r="F9" s="17">
        <f t="shared" si="1"/>
        <v>-7.3533518001534584E-2</v>
      </c>
      <c r="G9" s="18">
        <f>SUM(Apr!G9+May!G9+Jun!G9)</f>
        <v>208938</v>
      </c>
      <c r="H9" s="18">
        <f>SUM(Apr!H9, May!H9, Jun!H9)</f>
        <v>-19669.977099237105</v>
      </c>
      <c r="I9" s="17">
        <f t="shared" si="2"/>
        <v>-9.4142650447678763E-2</v>
      </c>
    </row>
    <row r="10" spans="1:9" ht="15.6" x14ac:dyDescent="0.25">
      <c r="A10" s="46" t="str">
        <v>Dublin - 3100 Dublin Blvd</v>
      </c>
      <c r="B10" s="9" t="str">
        <v>MA</v>
      </c>
      <c r="C10" s="22">
        <f>SUM(Apr!C10, May!C10, Jun!C10)</f>
        <v>364289.5</v>
      </c>
      <c r="D10" s="12">
        <f>SUM(Apr!D10, May!D10, Jun!D10)</f>
        <v>419171.1</v>
      </c>
      <c r="E10" s="12">
        <f t="shared" si="0"/>
        <v>-54881.599999999977</v>
      </c>
      <c r="F10" s="13">
        <f t="shared" si="1"/>
        <v>-0.13092887367473563</v>
      </c>
      <c r="G10" s="14">
        <f>SUM(Apr!G10+May!G10+Jun!G10)</f>
        <v>388663</v>
      </c>
      <c r="H10" s="14">
        <f>SUM(Apr!H10, May!H10, Jun!H10)</f>
        <v>-24373.5</v>
      </c>
      <c r="I10" s="15">
        <f>IFERROR(H10/G10, "")</f>
        <v>-6.2711140499610199E-2</v>
      </c>
    </row>
    <row r="11" spans="1:9" ht="13.8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8" x14ac:dyDescent="0.3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8" x14ac:dyDescent="0.3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8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8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8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8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8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8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8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8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8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8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8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8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8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8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8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8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8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8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8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8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8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8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8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8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8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8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8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8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8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8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8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8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8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8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8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8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8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8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8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8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8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8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8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8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8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8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8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8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8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8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8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8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8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8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8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8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8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8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8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8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8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8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8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8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8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8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8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8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8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8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8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8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8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8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8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8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8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8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8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8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8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8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8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8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8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8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8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8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8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8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8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8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8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8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8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8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8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8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8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8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8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8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8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8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8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8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8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8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8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8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8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8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8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8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8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8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8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8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8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8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8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8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8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8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8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8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8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8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8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8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8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8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8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8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8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8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8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8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8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8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8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8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8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8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8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8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8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8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8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8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8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8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8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8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8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8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8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8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8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8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8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8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8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8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8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8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8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8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8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8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8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8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8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8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8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8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8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8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8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8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8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8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8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8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8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8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8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8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8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8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8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8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8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8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8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8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8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8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8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8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8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8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8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8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8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8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8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8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8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8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8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8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8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8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8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8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8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8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8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8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8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8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8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8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8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8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8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8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8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8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8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8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8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8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8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8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8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8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8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8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8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8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8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8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8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8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8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8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8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8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8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8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8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8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8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8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8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8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8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8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8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8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8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8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8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8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8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8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8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8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8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8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8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8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8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8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8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8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8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8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8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8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8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8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8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8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8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8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8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8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8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8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8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8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8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8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8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8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8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8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8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8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8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8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8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8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8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8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8" x14ac:dyDescent="0.3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H4" activePane="bottomRight" state="frozen"/>
      <selection pane="topRight" activeCell="F27" sqref="F27"/>
      <selection pane="bottomLeft" activeCell="F27" sqref="F27"/>
      <selection pane="bottomRight" activeCell="H7" sqref="H7:H10"/>
    </sheetView>
  </sheetViews>
  <sheetFormatPr defaultRowHeight="12.75" customHeight="1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76" t="str" cm="1">
        <f t="array" ref="A1">portfolio</f>
        <v>KPCA Investment, LLC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 x14ac:dyDescent="0.25">
      <c r="A2" s="78" t="s">
        <v>2</v>
      </c>
      <c r="B2" s="7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 x14ac:dyDescent="0.25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 t="shared" ref="I4:I9" si="0">IFERROR(H4/G4, "")</f>
        <v/>
      </c>
    </row>
    <row r="5" spans="1:9" ht="15.6" x14ac:dyDescent="0.25">
      <c r="A5" s="47" t="str">
        <v>Murrieta - 28150 Keller Rd</v>
      </c>
      <c r="B5" s="10" t="str">
        <v>CA</v>
      </c>
      <c r="C5" s="11">
        <f>SUM(Jul!C5, Aug!C5, Sep!C5)</f>
        <v>0</v>
      </c>
      <c r="D5" s="16">
        <f>SUM(Jul!D5, Aug!D5, Sep!D5)</f>
        <v>0</v>
      </c>
      <c r="E5" s="16">
        <f t="shared" ref="E5:E10" si="1">IF(AND(ISNUMBER(C5),ISNUMBER(D5)), C5-D5, "")</f>
        <v>0</v>
      </c>
      <c r="F5" s="17" t="str">
        <f>IFERROR(E5/D5, "")</f>
        <v/>
      </c>
      <c r="G5" s="16">
        <f>SUM(Jul!G5,Aug!G5,Sep!G5)</f>
        <v>0</v>
      </c>
      <c r="H5" s="18">
        <f>SUM(Jul!H5, Aug!H5, Sep!H5)</f>
        <v>0</v>
      </c>
      <c r="I5" s="17" t="str">
        <f t="shared" si="0"/>
        <v/>
      </c>
    </row>
    <row r="6" spans="1:9" ht="15.6" x14ac:dyDescent="0.25">
      <c r="A6" s="46" t="str">
        <v>La Habra - 601 E Imperial Way</v>
      </c>
      <c r="B6" s="9" t="str">
        <v>CA</v>
      </c>
      <c r="C6" s="22">
        <f>SUM(Jul!C6, Aug!C6, Sep!C6)</f>
        <v>0</v>
      </c>
      <c r="D6" s="12">
        <f>SUM(Jul!D6, Aug!D6, Sep!D6)</f>
        <v>0</v>
      </c>
      <c r="E6" s="12">
        <f t="shared" si="1"/>
        <v>0</v>
      </c>
      <c r="F6" s="13" t="str">
        <f t="shared" ref="F6:F10" si="2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si="0"/>
        <v/>
      </c>
    </row>
    <row r="7" spans="1:9" ht="15.6" x14ac:dyDescent="0.25">
      <c r="A7" s="47" t="str">
        <v>Kaiser - KP3 - SCA Skyport - CN7901 Site</v>
      </c>
      <c r="B7" s="10" t="str">
        <v>CA</v>
      </c>
      <c r="C7" s="11">
        <f>SUM(Jul!C7, Aug!C7, Sep!C7)</f>
        <v>0</v>
      </c>
      <c r="D7" s="16">
        <f>SUM(Jul!D7, Aug!D7, Sep!D7)</f>
        <v>0</v>
      </c>
      <c r="E7" s="16">
        <f t="shared" si="1"/>
        <v>0</v>
      </c>
      <c r="F7" s="17" t="str">
        <f t="shared" si="2"/>
        <v/>
      </c>
      <c r="G7" s="16">
        <f>SUM(Jul!G7,Aug!G7,Sep!G7)</f>
        <v>0</v>
      </c>
      <c r="H7" s="18">
        <f>SUM(Jul!H7, Aug!H7, Sep!H7)</f>
        <v>0</v>
      </c>
      <c r="I7" s="17" t="str">
        <f t="shared" si="0"/>
        <v/>
      </c>
    </row>
    <row r="8" spans="1:9" ht="15.6" x14ac:dyDescent="0.25">
      <c r="A8" s="46" t="str">
        <v>Irwindale - 12761 Schabarum Ave</v>
      </c>
      <c r="B8" s="9" t="str">
        <v>CA</v>
      </c>
      <c r="C8" s="22">
        <f>SUM(Jul!C8, Aug!C8, Sep!C8)</f>
        <v>0</v>
      </c>
      <c r="D8" s="12">
        <f>SUM(Jul!D8, Aug!D8, Sep!D8)</f>
        <v>0</v>
      </c>
      <c r="E8" s="12">
        <f t="shared" si="1"/>
        <v>0</v>
      </c>
      <c r="F8" s="13" t="str">
        <f t="shared" si="2"/>
        <v/>
      </c>
      <c r="G8" s="14">
        <f>SUM(Jul!G8,Aug!G8,Sep!G8)</f>
        <v>0</v>
      </c>
      <c r="H8" s="14">
        <f>SUM(Jul!H8, Aug!H8, Sep!H8)</f>
        <v>0</v>
      </c>
      <c r="I8" s="15" t="str">
        <f t="shared" si="0"/>
        <v/>
      </c>
    </row>
    <row r="9" spans="1:9" ht="15.6" x14ac:dyDescent="0.25">
      <c r="A9" s="47" t="str">
        <v>Santa Rosa - 2240 Mercury Way</v>
      </c>
      <c r="B9" s="10" t="str">
        <v>CA</v>
      </c>
      <c r="C9" s="11">
        <f>SUM(Jul!C9, Aug!C9, Sep!C9)</f>
        <v>0</v>
      </c>
      <c r="D9" s="16">
        <f>SUM(Jul!D9, Aug!D9, Sep!D9)</f>
        <v>0</v>
      </c>
      <c r="E9" s="16">
        <f t="shared" si="1"/>
        <v>0</v>
      </c>
      <c r="F9" s="17" t="str">
        <f t="shared" si="2"/>
        <v/>
      </c>
      <c r="G9" s="16">
        <f>SUM(Jul!G9,Aug!G9,Sep!G9)</f>
        <v>0</v>
      </c>
      <c r="H9" s="18">
        <f>SUM(Jul!H9, Aug!H9, Sep!H9)</f>
        <v>0</v>
      </c>
      <c r="I9" s="17" t="str">
        <f t="shared" si="0"/>
        <v/>
      </c>
    </row>
    <row r="10" spans="1:9" ht="15.6" x14ac:dyDescent="0.25">
      <c r="A10" s="46" t="str">
        <v>Dublin - 3100 Dublin Blvd</v>
      </c>
      <c r="B10" s="9" t="str">
        <v>MA</v>
      </c>
      <c r="C10" s="22">
        <f>SUM(Jul!C10, Aug!C10, Sep!C10)</f>
        <v>0</v>
      </c>
      <c r="D10" s="12">
        <f>SUM(Jul!D10, Aug!D10, Sep!D10)</f>
        <v>0</v>
      </c>
      <c r="E10" s="16">
        <f t="shared" si="1"/>
        <v>0</v>
      </c>
      <c r="F10" s="13" t="str">
        <f t="shared" si="2"/>
        <v/>
      </c>
      <c r="G10" s="14">
        <f>SUM(Jul!G10,Aug!G10,Sep!G10)</f>
        <v>0</v>
      </c>
      <c r="H10" s="14">
        <f>SUM(Jul!H10, Aug!H10, Sep!H10)</f>
        <v>0</v>
      </c>
      <c r="I10" s="15"/>
    </row>
    <row r="11" spans="1:9" ht="13.8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8" x14ac:dyDescent="0.3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8" x14ac:dyDescent="0.3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8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8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8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8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8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8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8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8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8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8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8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8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8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8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8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8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8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8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8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8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8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8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8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8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8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8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8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8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8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8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8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8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8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8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8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8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8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8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8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8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8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8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8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8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8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8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8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8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8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8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8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8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8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8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8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8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8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8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8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8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8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8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8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8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8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8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8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8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8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8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8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8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8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8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8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8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8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8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8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8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8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8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8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8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8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8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8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8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8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8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8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8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8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8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8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8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8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8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8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8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8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8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8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8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8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8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8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8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8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8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8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8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8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8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8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8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8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8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8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8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8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8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8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8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8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8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8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8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8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8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8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8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8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8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8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8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8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8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8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8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8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8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8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8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8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8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8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8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8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8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8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8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8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8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8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8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8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8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8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8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8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8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8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8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8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8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8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8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8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8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8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8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8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8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8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8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8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8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8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8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8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8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8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8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8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8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8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8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8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8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8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8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8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8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8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8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8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8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8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8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8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8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8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8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8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8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8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8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8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8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8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8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8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8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8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8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8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8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8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8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8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8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8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8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8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8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8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8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8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8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8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8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8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8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8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8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8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8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8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8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8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8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8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8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8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8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8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8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8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8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8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8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8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8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8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8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8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8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8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8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8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8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8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8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8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8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8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8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8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8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8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8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8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8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8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8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8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8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8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8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8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8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8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8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8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8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8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8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8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8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8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8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8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8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8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8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8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8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8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8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8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8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8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8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8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8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8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8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7" priority="1" stopIfTrue="1" operator="lessThanOrEqual">
      <formula>-0.1</formula>
    </cfRule>
    <cfRule type="expression" dxfId="4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4" activePane="bottomRight" state="frozen"/>
      <selection pane="topRight" activeCell="F27" sqref="F27"/>
      <selection pane="bottomLeft" activeCell="F27" sqref="F27"/>
      <selection pane="bottomRight" activeCell="K12" sqref="K1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76" t="str" cm="1">
        <f t="array" ref="A1">portfolio</f>
        <v>KPCA Investment, LLC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 x14ac:dyDescent="0.25">
      <c r="A4" s="46" t="str" cm="1">
        <f t="array" ref="A4:A10">Sites[Site]</f>
        <v>Chino - 3750-3770 Grand Ave</v>
      </c>
      <c r="B4" s="9" t="str" cm="1">
        <f t="array" ref="B4:B10">Sites[State]</f>
        <v>CA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 x14ac:dyDescent="0.25">
      <c r="A5" s="47" t="str">
        <v>Murrieta - 28150 Keller Rd</v>
      </c>
      <c r="B5" s="10" t="str">
        <v>CA</v>
      </c>
      <c r="C5" s="11">
        <f>SUM(Oct!C5, Nov!C5, Dec!C5)</f>
        <v>0</v>
      </c>
      <c r="D5" s="16">
        <f>SUM(Oct!D5, Nov!D5, Dec!D5)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 x14ac:dyDescent="0.25">
      <c r="A6" s="46" t="str">
        <v>La Habra - 601 E Imperial Way</v>
      </c>
      <c r="B6" s="9" t="str">
        <v>CA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10" si="2">IFERROR(H6/G6, "")</f>
        <v/>
      </c>
    </row>
    <row r="7" spans="1:9" ht="15.6" x14ac:dyDescent="0.25">
      <c r="A7" s="47" t="str">
        <v>Kaiser - KP3 - SCA Skyport - CN7901 Site</v>
      </c>
      <c r="B7" s="10" t="str">
        <v>CA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6" x14ac:dyDescent="0.25">
      <c r="A8" s="46" t="str">
        <v>Irwindale - 12761 Schabarum Ave</v>
      </c>
      <c r="B8" s="9" t="str">
        <v>CA</v>
      </c>
      <c r="C8" s="22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>
        <f>SUM(Oct!G8,Nov!G8,Dec!G8)</f>
        <v>0</v>
      </c>
      <c r="H8" s="14">
        <f>SUM(Oct!H8,Nov!H8,Dec!H8)</f>
        <v>0</v>
      </c>
      <c r="I8" s="15" t="str">
        <f t="shared" si="2"/>
        <v/>
      </c>
    </row>
    <row r="9" spans="1:9" ht="15.6" x14ac:dyDescent="0.25">
      <c r="A9" s="47" t="str">
        <v>Santa Rosa - 2240 Mercury Way</v>
      </c>
      <c r="B9" s="10" t="str">
        <v>CA</v>
      </c>
      <c r="C9" s="11">
        <f>SUM(Oct!C9, Nov!C9, Dec!C9)</f>
        <v>0</v>
      </c>
      <c r="D9" s="16">
        <f>SUM(Oct!D9, Nov!D9, Dec!D9)</f>
        <v>0</v>
      </c>
      <c r="E9" s="16">
        <f t="shared" si="0"/>
        <v>0</v>
      </c>
      <c r="F9" s="17" t="str">
        <f t="shared" si="1"/>
        <v/>
      </c>
      <c r="G9" s="16">
        <f>SUM(Oct!G9,Nov!G9,Dec!G9)</f>
        <v>0</v>
      </c>
      <c r="H9" s="18">
        <f>SUM(Oct!H9,Nov!H9,Dec!H9)</f>
        <v>0</v>
      </c>
      <c r="I9" s="17" t="str">
        <f t="shared" si="2"/>
        <v/>
      </c>
    </row>
    <row r="10" spans="1:9" ht="15.6" x14ac:dyDescent="0.25">
      <c r="A10" s="46" t="str">
        <v>Dublin - 3100 Dublin Blvd</v>
      </c>
      <c r="B10" s="9" t="str">
        <v>MA</v>
      </c>
      <c r="C10" s="22">
        <f>SUM(Oct!C10, Nov!C10, Dec!C10)</f>
        <v>0</v>
      </c>
      <c r="D10" s="12">
        <f>SUM(Oct!D10, Nov!D10, Dec!D10)</f>
        <v>0</v>
      </c>
      <c r="E10" s="12">
        <f t="shared" si="0"/>
        <v>0</v>
      </c>
      <c r="F10" s="13" t="str">
        <f t="shared" si="1"/>
        <v/>
      </c>
      <c r="G10" s="14">
        <f>SUM(Oct!G10,Nov!G10,Dec!G10)</f>
        <v>0</v>
      </c>
      <c r="H10" s="14">
        <f>SUM(Oct!H10,Nov!H10,Dec!H10)</f>
        <v>0</v>
      </c>
      <c r="I10" s="15" t="str">
        <f t="shared" si="2"/>
        <v/>
      </c>
    </row>
    <row r="11" spans="1:9" ht="13.8" x14ac:dyDescent="0.3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8" x14ac:dyDescent="0.3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8" x14ac:dyDescent="0.3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8" x14ac:dyDescent="0.3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8" x14ac:dyDescent="0.3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8" x14ac:dyDescent="0.3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8" x14ac:dyDescent="0.3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8" x14ac:dyDescent="0.3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8" x14ac:dyDescent="0.3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8" x14ac:dyDescent="0.3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8" x14ac:dyDescent="0.3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8" x14ac:dyDescent="0.3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8" x14ac:dyDescent="0.3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8" x14ac:dyDescent="0.3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8" x14ac:dyDescent="0.3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8" x14ac:dyDescent="0.3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8" x14ac:dyDescent="0.3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8" x14ac:dyDescent="0.3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8" x14ac:dyDescent="0.3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8" x14ac:dyDescent="0.3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8" x14ac:dyDescent="0.3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8" x14ac:dyDescent="0.3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8" x14ac:dyDescent="0.3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8" x14ac:dyDescent="0.3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8" x14ac:dyDescent="0.3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8" x14ac:dyDescent="0.3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8" x14ac:dyDescent="0.3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8" x14ac:dyDescent="0.3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8" x14ac:dyDescent="0.3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8" x14ac:dyDescent="0.3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8" x14ac:dyDescent="0.3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8" x14ac:dyDescent="0.3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8" x14ac:dyDescent="0.3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8" x14ac:dyDescent="0.3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8" x14ac:dyDescent="0.3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8" x14ac:dyDescent="0.3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8" x14ac:dyDescent="0.3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8" x14ac:dyDescent="0.3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8" x14ac:dyDescent="0.3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8" x14ac:dyDescent="0.3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8" x14ac:dyDescent="0.3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8" x14ac:dyDescent="0.3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8" x14ac:dyDescent="0.3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8" x14ac:dyDescent="0.3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8" x14ac:dyDescent="0.3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8" x14ac:dyDescent="0.3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8" x14ac:dyDescent="0.3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8" x14ac:dyDescent="0.3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8" x14ac:dyDescent="0.3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8" x14ac:dyDescent="0.3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8" x14ac:dyDescent="0.3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8" x14ac:dyDescent="0.3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8" x14ac:dyDescent="0.3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8" x14ac:dyDescent="0.3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8" x14ac:dyDescent="0.3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8" x14ac:dyDescent="0.3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8" x14ac:dyDescent="0.3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8" x14ac:dyDescent="0.3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8" x14ac:dyDescent="0.3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8" x14ac:dyDescent="0.3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8" x14ac:dyDescent="0.3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8" x14ac:dyDescent="0.3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8" x14ac:dyDescent="0.3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8" x14ac:dyDescent="0.3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8" x14ac:dyDescent="0.3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8" x14ac:dyDescent="0.3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8" x14ac:dyDescent="0.3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8" x14ac:dyDescent="0.3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8" x14ac:dyDescent="0.3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8" x14ac:dyDescent="0.3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8" x14ac:dyDescent="0.3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8" x14ac:dyDescent="0.3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8" x14ac:dyDescent="0.3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8" x14ac:dyDescent="0.3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8" x14ac:dyDescent="0.3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8" x14ac:dyDescent="0.3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8" x14ac:dyDescent="0.3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8" x14ac:dyDescent="0.3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8" x14ac:dyDescent="0.3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8" x14ac:dyDescent="0.3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8" x14ac:dyDescent="0.3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8" x14ac:dyDescent="0.3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8" x14ac:dyDescent="0.3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8" x14ac:dyDescent="0.3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8" x14ac:dyDescent="0.3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8" x14ac:dyDescent="0.3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8" x14ac:dyDescent="0.3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8" x14ac:dyDescent="0.3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8" x14ac:dyDescent="0.3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8" x14ac:dyDescent="0.3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8" x14ac:dyDescent="0.3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8" x14ac:dyDescent="0.3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8" x14ac:dyDescent="0.3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8" x14ac:dyDescent="0.3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8" x14ac:dyDescent="0.3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8" x14ac:dyDescent="0.3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8" x14ac:dyDescent="0.3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8" x14ac:dyDescent="0.3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8" x14ac:dyDescent="0.3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8" x14ac:dyDescent="0.3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8" x14ac:dyDescent="0.3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8" x14ac:dyDescent="0.3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8" x14ac:dyDescent="0.3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8" x14ac:dyDescent="0.3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8" x14ac:dyDescent="0.3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8" x14ac:dyDescent="0.3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8" x14ac:dyDescent="0.3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8" x14ac:dyDescent="0.3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8" x14ac:dyDescent="0.3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8" x14ac:dyDescent="0.3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8" x14ac:dyDescent="0.3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8" x14ac:dyDescent="0.3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8" x14ac:dyDescent="0.3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8" x14ac:dyDescent="0.3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8" x14ac:dyDescent="0.3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8" x14ac:dyDescent="0.3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8" x14ac:dyDescent="0.3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8" x14ac:dyDescent="0.3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8" x14ac:dyDescent="0.3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8" x14ac:dyDescent="0.3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8" x14ac:dyDescent="0.3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8" x14ac:dyDescent="0.3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8" x14ac:dyDescent="0.3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8" x14ac:dyDescent="0.3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8" x14ac:dyDescent="0.3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8" x14ac:dyDescent="0.3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8" x14ac:dyDescent="0.3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8" x14ac:dyDescent="0.3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8" x14ac:dyDescent="0.3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8" x14ac:dyDescent="0.3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8" x14ac:dyDescent="0.3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8" x14ac:dyDescent="0.3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8" x14ac:dyDescent="0.3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8" x14ac:dyDescent="0.3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8" x14ac:dyDescent="0.3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8" x14ac:dyDescent="0.3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8" x14ac:dyDescent="0.3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8" x14ac:dyDescent="0.3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8" x14ac:dyDescent="0.3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8" x14ac:dyDescent="0.3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8" x14ac:dyDescent="0.3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8" x14ac:dyDescent="0.3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8" x14ac:dyDescent="0.3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8" x14ac:dyDescent="0.3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8" x14ac:dyDescent="0.3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8" x14ac:dyDescent="0.3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8" x14ac:dyDescent="0.3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8" x14ac:dyDescent="0.3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8" x14ac:dyDescent="0.3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8" x14ac:dyDescent="0.3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8" x14ac:dyDescent="0.3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8" x14ac:dyDescent="0.3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8" x14ac:dyDescent="0.3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8" x14ac:dyDescent="0.3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8" x14ac:dyDescent="0.3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8" x14ac:dyDescent="0.3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8" x14ac:dyDescent="0.3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8" x14ac:dyDescent="0.3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8" x14ac:dyDescent="0.3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8" x14ac:dyDescent="0.3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8" x14ac:dyDescent="0.3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8" x14ac:dyDescent="0.3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8" x14ac:dyDescent="0.3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8" x14ac:dyDescent="0.3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8" x14ac:dyDescent="0.3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8" x14ac:dyDescent="0.3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8" x14ac:dyDescent="0.3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8" x14ac:dyDescent="0.3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8" x14ac:dyDescent="0.3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8" x14ac:dyDescent="0.3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8" x14ac:dyDescent="0.3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8" x14ac:dyDescent="0.3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8" x14ac:dyDescent="0.3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8" x14ac:dyDescent="0.3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8" x14ac:dyDescent="0.3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8" x14ac:dyDescent="0.3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8" x14ac:dyDescent="0.3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8" x14ac:dyDescent="0.3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8" x14ac:dyDescent="0.3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8" x14ac:dyDescent="0.3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8" x14ac:dyDescent="0.3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8" x14ac:dyDescent="0.3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8" x14ac:dyDescent="0.3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8" x14ac:dyDescent="0.3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8" x14ac:dyDescent="0.3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8" x14ac:dyDescent="0.3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8" x14ac:dyDescent="0.3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8" x14ac:dyDescent="0.3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8" x14ac:dyDescent="0.3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8" x14ac:dyDescent="0.3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8" x14ac:dyDescent="0.3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8" x14ac:dyDescent="0.3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8" x14ac:dyDescent="0.3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8" x14ac:dyDescent="0.3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8" x14ac:dyDescent="0.3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8" x14ac:dyDescent="0.3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8" x14ac:dyDescent="0.3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8" x14ac:dyDescent="0.3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8" x14ac:dyDescent="0.3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8" x14ac:dyDescent="0.3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8" x14ac:dyDescent="0.3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8" x14ac:dyDescent="0.3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8" x14ac:dyDescent="0.3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8" x14ac:dyDescent="0.3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8" x14ac:dyDescent="0.3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8" x14ac:dyDescent="0.3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8" x14ac:dyDescent="0.3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8" x14ac:dyDescent="0.3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8" x14ac:dyDescent="0.3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8" x14ac:dyDescent="0.3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8" x14ac:dyDescent="0.3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8" x14ac:dyDescent="0.3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8" x14ac:dyDescent="0.3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8" x14ac:dyDescent="0.3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8" x14ac:dyDescent="0.3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8" x14ac:dyDescent="0.3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8" x14ac:dyDescent="0.3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8" x14ac:dyDescent="0.3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8" x14ac:dyDescent="0.3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8" x14ac:dyDescent="0.3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8" x14ac:dyDescent="0.3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8" x14ac:dyDescent="0.3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8" x14ac:dyDescent="0.3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8" x14ac:dyDescent="0.3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8" x14ac:dyDescent="0.3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8" x14ac:dyDescent="0.3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8" x14ac:dyDescent="0.3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8" x14ac:dyDescent="0.3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8" x14ac:dyDescent="0.3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8" x14ac:dyDescent="0.3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8" x14ac:dyDescent="0.3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8" x14ac:dyDescent="0.3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8" x14ac:dyDescent="0.3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8" x14ac:dyDescent="0.3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8" x14ac:dyDescent="0.3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8" x14ac:dyDescent="0.3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8" x14ac:dyDescent="0.3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8" x14ac:dyDescent="0.3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8" x14ac:dyDescent="0.3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8" x14ac:dyDescent="0.3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8" x14ac:dyDescent="0.3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8" x14ac:dyDescent="0.3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8" x14ac:dyDescent="0.3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8" x14ac:dyDescent="0.3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8" x14ac:dyDescent="0.3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8" x14ac:dyDescent="0.3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8" x14ac:dyDescent="0.3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8" x14ac:dyDescent="0.3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8" x14ac:dyDescent="0.3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8" x14ac:dyDescent="0.3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8" x14ac:dyDescent="0.3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8" x14ac:dyDescent="0.3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8" x14ac:dyDescent="0.3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8" x14ac:dyDescent="0.3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8" x14ac:dyDescent="0.3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8" x14ac:dyDescent="0.3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8" x14ac:dyDescent="0.3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8" x14ac:dyDescent="0.3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8" x14ac:dyDescent="0.3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8" x14ac:dyDescent="0.3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8" x14ac:dyDescent="0.3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8" x14ac:dyDescent="0.3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8" x14ac:dyDescent="0.3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8" x14ac:dyDescent="0.3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8" x14ac:dyDescent="0.3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8" x14ac:dyDescent="0.3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8" x14ac:dyDescent="0.3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8" x14ac:dyDescent="0.3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8" x14ac:dyDescent="0.3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8" x14ac:dyDescent="0.3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8" x14ac:dyDescent="0.3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8" x14ac:dyDescent="0.3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8" x14ac:dyDescent="0.3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8" x14ac:dyDescent="0.3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8" x14ac:dyDescent="0.3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8" x14ac:dyDescent="0.3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8" x14ac:dyDescent="0.3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8" x14ac:dyDescent="0.3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8" x14ac:dyDescent="0.3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8" x14ac:dyDescent="0.3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8" x14ac:dyDescent="0.3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8" x14ac:dyDescent="0.3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8" x14ac:dyDescent="0.3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8" x14ac:dyDescent="0.3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8" x14ac:dyDescent="0.3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8" x14ac:dyDescent="0.3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8" x14ac:dyDescent="0.3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8" x14ac:dyDescent="0.3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8" x14ac:dyDescent="0.3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8" x14ac:dyDescent="0.3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8" x14ac:dyDescent="0.3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8" x14ac:dyDescent="0.3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8" x14ac:dyDescent="0.3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8" x14ac:dyDescent="0.3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8" x14ac:dyDescent="0.3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8" x14ac:dyDescent="0.3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8" x14ac:dyDescent="0.3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8" x14ac:dyDescent="0.3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8" x14ac:dyDescent="0.3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8" x14ac:dyDescent="0.3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8" x14ac:dyDescent="0.3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8" x14ac:dyDescent="0.3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8" x14ac:dyDescent="0.3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8" x14ac:dyDescent="0.3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8" x14ac:dyDescent="0.3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8" x14ac:dyDescent="0.3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8" x14ac:dyDescent="0.3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8" x14ac:dyDescent="0.3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8" x14ac:dyDescent="0.3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8" x14ac:dyDescent="0.3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8" x14ac:dyDescent="0.3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8" x14ac:dyDescent="0.3">
      <c r="A322" s="19"/>
      <c r="B322" s="19"/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5" priority="1" stopIfTrue="1" operator="lessThanOrEqual">
      <formula>-0.1</formula>
    </cfRule>
    <cfRule type="expression" dxfId="4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21"/>
  <sheetViews>
    <sheetView zoomScale="60" zoomScaleNormal="60" workbookViewId="0">
      <pane xSplit="2" ySplit="3" topLeftCell="J4" activePane="bottomRight" state="frozen"/>
      <selection pane="topRight" activeCell="F27" sqref="F27"/>
      <selection pane="bottomLeft" activeCell="F27" sqref="F27"/>
      <selection pane="bottomRight" activeCell="J21" sqref="J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3" ht="19.5" customHeight="1" x14ac:dyDescent="0.25">
      <c r="A1" s="76" t="str" cm="1">
        <f t="array" ref="A1">portfolio</f>
        <v>KPCA Investment, LLC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3" ht="19.5" customHeight="1" x14ac:dyDescent="0.25">
      <c r="A2" s="78" t="s">
        <v>2</v>
      </c>
      <c r="B2" s="7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 x14ac:dyDescent="0.25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5.6" x14ac:dyDescent="0.25">
      <c r="A4" s="57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8"/>
      <c r="K4" s="59"/>
      <c r="L4" s="63"/>
      <c r="M4" s="63"/>
    </row>
    <row r="5" spans="1:13" ht="79.5" customHeight="1" x14ac:dyDescent="0.25">
      <c r="A5" s="50" t="str">
        <v>Murrieta - 28150 Keller Rd</v>
      </c>
      <c r="B5" s="29" t="str">
        <v>CA</v>
      </c>
      <c r="C5" s="16"/>
      <c r="D5" s="16"/>
      <c r="E5" s="16" t="str">
        <f t="shared" ref="E5:E10" si="0">IF(AND(ISNUMBER(C5),ISNUMBER(D5)), C5-D5, "")</f>
        <v/>
      </c>
      <c r="F5" s="64" t="str">
        <f t="shared" ref="F5:F10" si="1">IFERROR(E5/D5, "")</f>
        <v/>
      </c>
      <c r="G5" s="18"/>
      <c r="H5" s="18" t="str">
        <f t="shared" ref="H5:H6" si="2">IF(AND(ISNUMBER(C5),ISNUMBER(G5)), C5-G5, "")</f>
        <v/>
      </c>
      <c r="I5" s="17" t="str">
        <f>IFERROR(H5/G5, "")</f>
        <v/>
      </c>
      <c r="J5" s="52"/>
      <c r="K5" s="60"/>
      <c r="L5" s="63"/>
    </row>
    <row r="6" spans="1:13" ht="15.6" x14ac:dyDescent="0.25">
      <c r="A6" s="51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3"/>
    </row>
    <row r="7" spans="1:13" ht="15.6" x14ac:dyDescent="0.25">
      <c r="A7" s="50" t="str">
        <v>Kaiser - KP3 - SCA Skyport - CN7901 Site</v>
      </c>
      <c r="B7" s="29" t="str">
        <v>CA</v>
      </c>
      <c r="C7" s="16"/>
      <c r="D7" s="16"/>
      <c r="E7" s="16" t="str">
        <f t="shared" si="0"/>
        <v/>
      </c>
      <c r="F7" s="16" t="str">
        <f t="shared" si="1"/>
        <v/>
      </c>
      <c r="G7" s="18"/>
      <c r="H7" s="18" t="str">
        <f t="shared" ref="H7:H10" si="4">IF(AND(ISNUMBER(C7),ISNUMBER(G7)), C7-G7, "")</f>
        <v/>
      </c>
      <c r="I7" s="17" t="str">
        <f t="shared" si="3"/>
        <v/>
      </c>
      <c r="J7" s="40"/>
      <c r="K7" s="40"/>
    </row>
    <row r="8" spans="1:13" ht="15.6" x14ac:dyDescent="0.25">
      <c r="A8" s="51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43" t="str">
        <f t="shared" si="1"/>
        <v/>
      </c>
      <c r="G8" s="14"/>
      <c r="H8" s="14" t="str">
        <f t="shared" si="4"/>
        <v/>
      </c>
      <c r="I8" s="15" t="str">
        <f t="shared" si="3"/>
        <v/>
      </c>
      <c r="J8" s="39"/>
      <c r="K8" s="59"/>
      <c r="L8" s="62"/>
      <c r="M8" s="62"/>
    </row>
    <row r="9" spans="1:13" ht="15.6" x14ac:dyDescent="0.25">
      <c r="A9" s="50" t="str">
        <v>Santa Rosa - 2240 Mercury Way</v>
      </c>
      <c r="B9" s="29" t="str">
        <v>CA</v>
      </c>
      <c r="C9" s="16"/>
      <c r="D9" s="16"/>
      <c r="E9" s="16" t="str">
        <f t="shared" si="0"/>
        <v/>
      </c>
      <c r="F9" s="64" t="str">
        <f t="shared" si="1"/>
        <v/>
      </c>
      <c r="G9" s="18"/>
      <c r="H9" s="18" t="str">
        <f t="shared" si="4"/>
        <v/>
      </c>
      <c r="I9" s="17" t="str">
        <f t="shared" si="3"/>
        <v/>
      </c>
      <c r="J9" s="40"/>
      <c r="K9" s="61"/>
      <c r="L9" s="62"/>
    </row>
    <row r="10" spans="1:13" ht="15.6" x14ac:dyDescent="0.25">
      <c r="A10" s="51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43" t="str">
        <f t="shared" si="1"/>
        <v/>
      </c>
      <c r="G10" s="14"/>
      <c r="H10" s="14" t="str">
        <f t="shared" si="4"/>
        <v/>
      </c>
      <c r="I10" s="15" t="str">
        <f t="shared" si="3"/>
        <v/>
      </c>
      <c r="J10" s="39"/>
      <c r="K10" s="59"/>
      <c r="L10" s="62"/>
      <c r="M10" s="62"/>
    </row>
    <row r="11" spans="1:13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" x14ac:dyDescent="0.3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</row>
    <row r="13" spans="1:13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</sheetData>
  <mergeCells count="4">
    <mergeCell ref="D1:F1"/>
    <mergeCell ref="A1:C1"/>
    <mergeCell ref="G1:I1"/>
    <mergeCell ref="A2:B2"/>
  </mergeCells>
  <conditionalFormatting sqref="F2 I2 I4:I79">
    <cfRule type="cellIs" dxfId="43" priority="12" stopIfTrue="1" operator="lessThanOrEqual">
      <formula>-0.1</formula>
    </cfRule>
    <cfRule type="expression" dxfId="42" priority="13">
      <formula>AND(ISNUMBER(F2), F2&gt;=0.1)</formula>
    </cfRule>
  </conditionalFormatting>
  <conditionalFormatting sqref="F4">
    <cfRule type="cellIs" dxfId="41" priority="3" stopIfTrue="1" operator="lessThanOrEqual">
      <formula>-0.1</formula>
    </cfRule>
    <cfRule type="expression" dxfId="40" priority="4">
      <formula>AND(ISNUMBER(F4), F4&gt;=0.1)</formula>
    </cfRule>
  </conditionalFormatting>
  <conditionalFormatting sqref="F6">
    <cfRule type="cellIs" dxfId="39" priority="1" stopIfTrue="1" operator="lessThanOrEqual">
      <formula>-0.1</formula>
    </cfRule>
    <cfRule type="expression" dxfId="38" priority="2">
      <formula>AND(ISNUMBER(F6), F6&gt;=0.1)</formula>
    </cfRule>
  </conditionalFormatting>
  <conditionalFormatting sqref="F11:F79">
    <cfRule type="cellIs" dxfId="37" priority="5" stopIfTrue="1" operator="lessThanOrEqual">
      <formula>-0.1</formula>
    </cfRule>
    <cfRule type="expression" dxfId="36" priority="6">
      <formula>AND(ISNUMBER(F11), F11&gt;=0.1)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zoomScale="60" zoomScaleNormal="60" workbookViewId="0">
      <pane xSplit="2" ySplit="3" topLeftCell="C5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4" ht="19.5" customHeight="1" x14ac:dyDescent="0.25">
      <c r="A1" s="76" t="str" cm="1">
        <f t="array" ref="A1">portfolio</f>
        <v>KPCA Investment, LLC</v>
      </c>
      <c r="B1" s="76"/>
      <c r="C1" s="76"/>
      <c r="D1" s="77" t="s">
        <v>22</v>
      </c>
      <c r="E1" s="77"/>
      <c r="F1" s="77"/>
      <c r="G1" s="75" t="s">
        <v>23</v>
      </c>
      <c r="H1" s="75"/>
      <c r="I1" s="75"/>
      <c r="J1" s="4"/>
      <c r="K1" s="4"/>
    </row>
    <row r="2" spans="1:14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57.6" customHeight="1" x14ac:dyDescent="0.25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6"/>
      <c r="M4" s="66"/>
    </row>
    <row r="5" spans="1:14" ht="201.6" customHeight="1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 t="shared" ref="F5:F10" si="1">IFERROR(E5/D5, "")</f>
        <v/>
      </c>
      <c r="G5" s="18"/>
      <c r="H5" s="18" t="str">
        <f t="shared" ref="H5:H10" si="2">IF(AND(ISNUMBER(C5),ISNUMBER(G5)), C5-G5, "")</f>
        <v/>
      </c>
      <c r="I5" s="17" t="str">
        <f>IFERROR(H5/G5, "")</f>
        <v/>
      </c>
      <c r="J5" s="52"/>
      <c r="K5" s="60"/>
      <c r="L5" s="66"/>
      <c r="M5" s="66"/>
      <c r="N5" s="66"/>
    </row>
    <row r="6" spans="1:14" ht="121.5" customHeight="1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6"/>
    </row>
    <row r="7" spans="1:14" ht="15.6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 t="shared" si="3"/>
        <v/>
      </c>
      <c r="J7" s="40"/>
      <c r="K7" s="41"/>
    </row>
    <row r="8" spans="1:14" ht="97.5" customHeight="1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59"/>
      <c r="L8" s="66"/>
      <c r="M8" s="66"/>
    </row>
    <row r="9" spans="1:14" ht="98.25" customHeight="1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 t="shared" si="3"/>
        <v/>
      </c>
      <c r="J9" s="40"/>
      <c r="K9" s="60"/>
      <c r="L9" s="66"/>
      <c r="M9" s="66"/>
    </row>
    <row r="10" spans="1:14" ht="97.5" customHeight="1" x14ac:dyDescent="0.25">
      <c r="A10" s="26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13" t="str">
        <f t="shared" si="1"/>
        <v/>
      </c>
      <c r="G10" s="14"/>
      <c r="H10" s="14" t="str">
        <f t="shared" si="2"/>
        <v/>
      </c>
      <c r="I10" s="15" t="str">
        <f t="shared" si="3"/>
        <v/>
      </c>
      <c r="J10" s="39"/>
      <c r="K10" s="59"/>
      <c r="L10" s="66"/>
      <c r="M10" s="66"/>
    </row>
    <row r="11" spans="1:14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5" priority="11" stopIfTrue="1" operator="lessThanOrEqual">
      <formula>-0.1</formula>
    </cfRule>
    <cfRule type="expression" dxfId="34" priority="12">
      <formula>AND(ISNUMBER(F2), F2&gt;=0.1)</formula>
    </cfRule>
  </conditionalFormatting>
  <conditionalFormatting sqref="F4:F80 I4:I80">
    <cfRule type="cellIs" dxfId="33" priority="1" stopIfTrue="1" operator="lessThanOrEqual">
      <formula>-0.1</formula>
    </cfRule>
    <cfRule type="expression" dxfId="3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2"/>
  <sheetViews>
    <sheetView zoomScale="50" zoomScaleNormal="50" workbookViewId="0">
      <pane xSplit="2" ySplit="3" topLeftCell="C5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7" ht="19.5" customHeight="1" x14ac:dyDescent="0.25">
      <c r="A1" s="76" t="str" cm="1">
        <f t="array" ref="A1">portfolio</f>
        <v>KPCA Investment, LLC</v>
      </c>
      <c r="B1" s="76"/>
      <c r="C1" s="76"/>
      <c r="D1" s="77" t="s">
        <v>24</v>
      </c>
      <c r="E1" s="77"/>
      <c r="F1" s="77"/>
      <c r="G1" s="75" t="s">
        <v>25</v>
      </c>
      <c r="H1" s="75"/>
      <c r="I1" s="75"/>
      <c r="J1" s="4"/>
      <c r="K1" s="4"/>
    </row>
    <row r="2" spans="1:17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7" ht="15.6" x14ac:dyDescent="0.3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7" ht="141" customHeight="1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61"/>
      <c r="L5" s="66"/>
      <c r="M5" s="66"/>
      <c r="N5" s="66"/>
    </row>
    <row r="6" spans="1:17" ht="98.25" customHeight="1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  <c r="L6" s="62"/>
      <c r="M6" s="69"/>
      <c r="N6" s="69"/>
      <c r="O6" s="69"/>
      <c r="P6" s="69"/>
      <c r="Q6" s="69"/>
    </row>
    <row r="7" spans="1:17" ht="78.75" customHeight="1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67"/>
      <c r="H7" s="18" t="str">
        <f t="shared" si="1"/>
        <v/>
      </c>
      <c r="I7" s="17" t="str">
        <f t="shared" si="2"/>
        <v/>
      </c>
      <c r="J7" s="40"/>
      <c r="K7" s="61"/>
      <c r="L7" s="62"/>
      <c r="M7" s="62"/>
      <c r="N7" s="69"/>
      <c r="O7" s="69"/>
      <c r="P7" s="69"/>
      <c r="Q7" s="69"/>
    </row>
    <row r="8" spans="1:17" ht="142.5" customHeight="1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68"/>
      <c r="H8" s="14" t="str">
        <f t="shared" si="1"/>
        <v/>
      </c>
      <c r="I8" s="15" t="str">
        <f t="shared" si="2"/>
        <v/>
      </c>
      <c r="J8" s="39"/>
      <c r="K8" s="59"/>
      <c r="L8" s="62"/>
      <c r="M8" s="62"/>
      <c r="N8" s="62"/>
      <c r="O8" s="69"/>
      <c r="P8" s="69"/>
      <c r="Q8" s="69"/>
    </row>
    <row r="9" spans="1:17" ht="300.75" customHeight="1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1"/>
      <c r="L9" s="62"/>
      <c r="M9" s="62"/>
      <c r="N9" s="62"/>
      <c r="O9" s="62"/>
      <c r="P9" s="62"/>
      <c r="Q9" s="69"/>
    </row>
    <row r="10" spans="1:17" ht="142.5" customHeight="1" x14ac:dyDescent="0.25">
      <c r="A10" s="26" t="str">
        <v>Dublin - 3100 Dublin Blvd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8"/>
      <c r="H10" s="14" t="str">
        <f t="shared" si="1"/>
        <v/>
      </c>
      <c r="I10" s="15" t="str">
        <f t="shared" si="2"/>
        <v/>
      </c>
      <c r="J10" s="39"/>
      <c r="K10" s="59"/>
      <c r="L10" s="62"/>
      <c r="M10" s="62"/>
      <c r="N10" s="62"/>
      <c r="O10" s="69"/>
      <c r="P10" s="69"/>
      <c r="Q10" s="69"/>
    </row>
    <row r="11" spans="1:17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7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7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7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7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7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1" priority="7" stopIfTrue="1" operator="lessThanOrEqual">
      <formula>-0.1</formula>
    </cfRule>
    <cfRule type="expression" dxfId="30" priority="8">
      <formula>AND(ISNUMBER(F2), F2&gt;=0.1)</formula>
    </cfRule>
  </conditionalFormatting>
  <conditionalFormatting sqref="F4:F80 I4:I80">
    <cfRule type="cellIs" dxfId="29" priority="1" stopIfTrue="1" operator="lessThanOrEqual">
      <formula>-0.1</formula>
    </cfRule>
    <cfRule type="expression" dxfId="28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2"/>
  <sheetViews>
    <sheetView zoomScale="80" zoomScaleNormal="80" workbookViewId="0">
      <pane xSplit="2" ySplit="3" topLeftCell="C6" activePane="bottomRight" state="frozen"/>
      <selection pane="topRight" activeCell="J21" sqref="J21"/>
      <selection pane="bottomLeft" activeCell="J21" sqref="J21"/>
      <selection pane="bottomRight" activeCell="J10" sqref="J10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3" max="13" width="9.88671875" bestFit="1" customWidth="1"/>
  </cols>
  <sheetData>
    <row r="1" spans="1:14" ht="19.5" customHeight="1" x14ac:dyDescent="0.25">
      <c r="A1" s="76" t="str" cm="1">
        <f t="array" ref="A1">portfolio</f>
        <v>KPCA Investment, LLC</v>
      </c>
      <c r="B1" s="76"/>
      <c r="C1" s="76"/>
      <c r="D1" s="77" t="s">
        <v>26</v>
      </c>
      <c r="E1" s="77"/>
      <c r="F1" s="77"/>
      <c r="G1" s="75" t="s">
        <v>27</v>
      </c>
      <c r="H1" s="75"/>
      <c r="I1" s="75"/>
      <c r="J1" s="4"/>
      <c r="K1" s="4"/>
    </row>
    <row r="2" spans="1:14" ht="19.5" customHeight="1" x14ac:dyDescent="0.25">
      <c r="A2" s="78" t="s">
        <v>2</v>
      </c>
      <c r="B2" s="78"/>
      <c r="C2" s="5">
        <f>SUM(C4:C80)</f>
        <v>498732.25972323952</v>
      </c>
      <c r="D2" s="5">
        <f>SUM(D4:D80)</f>
        <v>522792</v>
      </c>
      <c r="E2" s="5">
        <f>C2-D2</f>
        <v>-24059.74027676048</v>
      </c>
      <c r="F2" s="6">
        <f>IFERROR(E2/D2, 0)</f>
        <v>-4.6021630546681049E-2</v>
      </c>
      <c r="G2" s="5">
        <f>SUM(G4:G80)</f>
        <v>576056.17999999993</v>
      </c>
      <c r="H2" s="7">
        <f>C2-G2</f>
        <v>-77323.920276760415</v>
      </c>
      <c r="I2" s="6">
        <f>IFERROR(H2/G2, 0)</f>
        <v>-0.13422982507845055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25">
      <c r="A3" s="8" t="s">
        <v>3</v>
      </c>
      <c r="B3" s="8" t="s">
        <v>4</v>
      </c>
      <c r="C3" s="5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28.8" x14ac:dyDescent="0.25">
      <c r="A4" s="65" t="str" cm="1">
        <f t="array" ref="A4:A10">Sites[Site]</f>
        <v>Chino - 3750-3770 Grand Ave</v>
      </c>
      <c r="B4" s="27" t="str" cm="1">
        <f t="array" ref="B4:B10">Sites[State]</f>
        <v>CA</v>
      </c>
      <c r="C4" s="22">
        <v>31190.763307372999</v>
      </c>
      <c r="D4" s="12">
        <v>26716.3</v>
      </c>
      <c r="E4" s="12">
        <f>IF(AND(ISNUMBER(C4),ISNUMBER(D4)), C4-D4, "")</f>
        <v>4474.4633073730001</v>
      </c>
      <c r="F4" s="13">
        <f>IFERROR(E4/D4, "")</f>
        <v>0.16748065066543646</v>
      </c>
      <c r="G4" s="14">
        <v>40273</v>
      </c>
      <c r="H4" s="14">
        <f>IF(AND(ISNUMBER(C4),ISNUMBER(G4)), C4-G4, "")</f>
        <v>-9082.2366926270006</v>
      </c>
      <c r="I4" s="15">
        <f>IFERROR(H4/G4, "")</f>
        <v>-0.22551676539187546</v>
      </c>
      <c r="J4" s="70" t="s">
        <v>28</v>
      </c>
      <c r="K4" s="72" t="s">
        <v>29</v>
      </c>
      <c r="L4" s="69"/>
      <c r="M4" s="69"/>
      <c r="N4" s="69"/>
    </row>
    <row r="5" spans="1:14" ht="26.4" x14ac:dyDescent="0.25">
      <c r="A5" s="28" t="str">
        <v>Murrieta - 28150 Keller Rd</v>
      </c>
      <c r="B5" s="29" t="str">
        <v>CA</v>
      </c>
      <c r="C5" s="11">
        <v>87140</v>
      </c>
      <c r="D5" s="16">
        <v>90233.95</v>
      </c>
      <c r="E5" s="16">
        <f t="shared" ref="E5:E10" si="0">IF(AND(ISNUMBER(C5),ISNUMBER(D5)), C5-D5, "")</f>
        <v>-3093.9499999999971</v>
      </c>
      <c r="F5" s="17">
        <f>IFERROR(E5/D5, "")</f>
        <v>-3.4288092231360784E-2</v>
      </c>
      <c r="G5" s="18">
        <v>100122.5</v>
      </c>
      <c r="H5" s="18">
        <f t="shared" ref="H5:H10" si="1">IF(AND(ISNUMBER(C5),ISNUMBER(G5)), C5-G5, "")</f>
        <v>-12982.5</v>
      </c>
      <c r="I5" s="17">
        <f t="shared" ref="I5:I10" si="2">IFERROR(H5/G5, "")</f>
        <v>-0.12966615895527978</v>
      </c>
      <c r="J5" s="71" t="s">
        <v>30</v>
      </c>
      <c r="K5" s="52"/>
      <c r="L5" s="69"/>
      <c r="M5" s="69"/>
      <c r="N5" s="69"/>
    </row>
    <row r="6" spans="1:14" ht="30.75" customHeight="1" x14ac:dyDescent="0.25">
      <c r="A6" s="26" t="str">
        <v>La Habra - 601 E Imperial Way</v>
      </c>
      <c r="B6" s="27" t="str">
        <v>CA</v>
      </c>
      <c r="C6" s="22">
        <v>17571.880000000099</v>
      </c>
      <c r="D6" s="12">
        <v>14932.1</v>
      </c>
      <c r="E6" s="12">
        <f t="shared" si="0"/>
        <v>2639.7800000000989</v>
      </c>
      <c r="F6" s="13">
        <f t="shared" ref="F6:F10" si="3">IFERROR(E6/D6, "")</f>
        <v>0.17678558273786665</v>
      </c>
      <c r="G6" s="14">
        <v>20943.080000000002</v>
      </c>
      <c r="H6" s="14">
        <f t="shared" si="1"/>
        <v>-3371.1999999999025</v>
      </c>
      <c r="I6" s="15">
        <f t="shared" si="2"/>
        <v>-0.16096963770371417</v>
      </c>
      <c r="J6" s="70" t="s">
        <v>30</v>
      </c>
      <c r="K6" s="70"/>
      <c r="L6" s="69"/>
      <c r="M6" s="69"/>
      <c r="N6" s="69"/>
    </row>
    <row r="7" spans="1:14" ht="72" x14ac:dyDescent="0.25">
      <c r="A7" s="28" t="str">
        <v>Kaiser - KP3 - SCA Skyport - CN7901 Site</v>
      </c>
      <c r="B7" s="29" t="str">
        <v>CA</v>
      </c>
      <c r="C7" s="11">
        <v>97799.494882624596</v>
      </c>
      <c r="D7" s="16">
        <v>102139.7</v>
      </c>
      <c r="E7" s="16">
        <f t="shared" si="0"/>
        <v>-4340.2051173754007</v>
      </c>
      <c r="F7" s="17">
        <f t="shared" si="3"/>
        <v>-4.2492832046455993E-2</v>
      </c>
      <c r="G7" s="18">
        <v>110380.3</v>
      </c>
      <c r="H7" s="18">
        <f t="shared" si="1"/>
        <v>-12580.805117375407</v>
      </c>
      <c r="I7" s="17">
        <f t="shared" si="2"/>
        <v>-0.11397690636259737</v>
      </c>
      <c r="J7" s="52" t="s">
        <v>31</v>
      </c>
      <c r="K7" s="60" t="s">
        <v>32</v>
      </c>
      <c r="L7" s="62" t="s">
        <v>33</v>
      </c>
      <c r="M7" s="62" t="s">
        <v>34</v>
      </c>
    </row>
    <row r="8" spans="1:14" ht="27" customHeight="1" x14ac:dyDescent="0.25">
      <c r="A8" s="26" t="str">
        <v>Irwindale - 12761 Schabarum Ave</v>
      </c>
      <c r="B8" s="27" t="str">
        <v>CA</v>
      </c>
      <c r="C8" s="22">
        <v>25974.619999999901</v>
      </c>
      <c r="D8" s="12">
        <v>20129.849999999999</v>
      </c>
      <c r="E8" s="12">
        <f t="shared" si="0"/>
        <v>5844.7699999999022</v>
      </c>
      <c r="F8" s="13">
        <f t="shared" si="3"/>
        <v>0.29035338067595651</v>
      </c>
      <c r="G8" s="14">
        <v>29983.3</v>
      </c>
      <c r="H8" s="14">
        <f t="shared" si="1"/>
        <v>-4008.6800000000985</v>
      </c>
      <c r="I8" s="15">
        <f t="shared" si="2"/>
        <v>-0.13369709138087196</v>
      </c>
      <c r="J8" s="70" t="s">
        <v>30</v>
      </c>
      <c r="K8" s="70"/>
      <c r="L8" s="69"/>
      <c r="M8" s="69"/>
      <c r="N8" s="69"/>
    </row>
    <row r="9" spans="1:14" ht="86.4" x14ac:dyDescent="0.25">
      <c r="A9" s="28" t="str">
        <v>Santa Rosa - 2240 Mercury Way</v>
      </c>
      <c r="B9" s="29" t="str">
        <v>CA</v>
      </c>
      <c r="C9" s="11">
        <v>78610.001533241899</v>
      </c>
      <c r="D9" s="16">
        <v>86048.7</v>
      </c>
      <c r="E9" s="16">
        <f t="shared" si="0"/>
        <v>-7438.6984667580982</v>
      </c>
      <c r="F9" s="17">
        <f t="shared" si="3"/>
        <v>-8.6447540366770201E-2</v>
      </c>
      <c r="G9" s="18">
        <v>98920</v>
      </c>
      <c r="H9" s="18">
        <f t="shared" si="1"/>
        <v>-20309.998466758101</v>
      </c>
      <c r="I9" s="17">
        <f t="shared" si="2"/>
        <v>-0.20531741272501114</v>
      </c>
      <c r="J9" s="52" t="s">
        <v>35</v>
      </c>
      <c r="K9" s="60" t="s">
        <v>36</v>
      </c>
      <c r="L9" s="62" t="s">
        <v>37</v>
      </c>
      <c r="M9" s="62" t="s">
        <v>38</v>
      </c>
      <c r="N9" s="69"/>
    </row>
    <row r="10" spans="1:14" ht="48.75" customHeight="1" x14ac:dyDescent="0.25">
      <c r="A10" s="26" t="str">
        <v>Dublin - 3100 Dublin Blvd</v>
      </c>
      <c r="B10" s="27" t="str">
        <v>MA</v>
      </c>
      <c r="C10" s="22">
        <v>160445.5</v>
      </c>
      <c r="D10" s="12">
        <v>182591.4</v>
      </c>
      <c r="E10" s="12">
        <f t="shared" si="0"/>
        <v>-22145.899999999994</v>
      </c>
      <c r="F10" s="13">
        <f t="shared" si="3"/>
        <v>-0.12128665424549018</v>
      </c>
      <c r="G10" s="14">
        <v>175434</v>
      </c>
      <c r="H10" s="14">
        <f t="shared" si="1"/>
        <v>-14988.5</v>
      </c>
      <c r="I10" s="15">
        <f t="shared" si="2"/>
        <v>-8.5436688441237155E-2</v>
      </c>
      <c r="J10" s="70" t="s">
        <v>39</v>
      </c>
      <c r="K10" s="72" t="s">
        <v>40</v>
      </c>
      <c r="L10" s="69"/>
      <c r="M10" s="69"/>
      <c r="N10" s="69"/>
    </row>
    <row r="11" spans="1:14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 t="s">
        <v>41</v>
      </c>
      <c r="K13" s="19"/>
    </row>
    <row r="14" spans="1:14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7" priority="5" stopIfTrue="1" operator="lessThanOrEqual">
      <formula>-0.1</formula>
    </cfRule>
    <cfRule type="expression" dxfId="26" priority="6">
      <formula>AND(ISNUMBER(F2), F2&gt;=0.1)</formula>
    </cfRule>
  </conditionalFormatting>
  <conditionalFormatting sqref="F4:F80 I4:I80">
    <cfRule type="cellIs" dxfId="25" priority="1" stopIfTrue="1" operator="lessThanOrEqual">
      <formula>-0.1</formula>
    </cfRule>
    <cfRule type="expression" dxfId="24" priority="2">
      <formula>AND(ISNUMBER(F4), F4&gt;=0.1)</formula>
    </cfRule>
  </conditionalFormatting>
  <hyperlinks>
    <hyperlink ref="K4" r:id="rId1" display="https://us3.assetplanner.com/service_request?ID=098881" xr:uid="{F657DF87-F196-4FA5-B507-AD369CD385A8}"/>
    <hyperlink ref="K7" r:id="rId2" display="https://us3.assetplanner.com/service_request?ID=098879" xr:uid="{DBAF9218-6FFE-42FA-B2A4-67471416AAFA}"/>
    <hyperlink ref="L7" r:id="rId3" display="https://us3.assetplanner.com/service_request?ID=099137" xr:uid="{4624C45C-CE0D-4641-BF60-D6BB46816015}"/>
    <hyperlink ref="M7" r:id="rId4" display="https://us3.assetplanner.com/service_request?ID=100773" xr:uid="{402213B3-3BD3-49E1-B179-8AA2738AF075}"/>
    <hyperlink ref="K9" r:id="rId5" display="https://us3.assetplanner.com/service_request?ID=099120" xr:uid="{C9B2FB03-0166-419C-916C-083D6F4E2EDE}"/>
    <hyperlink ref="L9" r:id="rId6" display="https://us3.assetplanner.com/service_request?ID=099410" xr:uid="{C3701840-2BFE-4E11-992B-62B98BF4FC78}"/>
    <hyperlink ref="M9" r:id="rId7" display="https://us3.assetplanner.com/service_request?ID=099504" xr:uid="{1499B655-23F9-4DB8-AEEB-8BB46A2BD1FB}"/>
    <hyperlink ref="K10" r:id="rId8" display="https://us3.assetplanner.com/service_request?ID=100567" xr:uid="{37F2FF22-AFFB-4C99-8D09-67F35D7267A8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22"/>
  <sheetViews>
    <sheetView tabSelected="1" workbookViewId="0">
      <pane xSplit="2" ySplit="3" topLeftCell="C4" activePane="bottomRight" state="frozen"/>
      <selection pane="topRight" activeCell="J21" sqref="J21"/>
      <selection pane="bottomLeft" activeCell="J21" sqref="J21"/>
      <selection pane="bottomRight" activeCell="M5" sqref="M5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4" ht="19.5" customHeight="1" x14ac:dyDescent="0.25">
      <c r="A1" s="76" t="str" cm="1">
        <f t="array" ref="A1">portfolio</f>
        <v>KPCA Investment, LLC</v>
      </c>
      <c r="B1" s="76"/>
      <c r="C1" s="76"/>
      <c r="D1" s="77" t="s">
        <v>42</v>
      </c>
      <c r="E1" s="77"/>
      <c r="F1" s="77"/>
      <c r="G1" s="75" t="s">
        <v>43</v>
      </c>
      <c r="H1" s="75"/>
      <c r="I1" s="75"/>
      <c r="J1" s="4"/>
      <c r="K1" s="4"/>
    </row>
    <row r="2" spans="1:14" ht="19.5" customHeight="1" x14ac:dyDescent="0.25">
      <c r="A2" s="78" t="s">
        <v>2</v>
      </c>
      <c r="B2" s="78"/>
      <c r="C2" s="5">
        <f>SUM(C4:C80)</f>
        <v>624624.67191951408</v>
      </c>
      <c r="D2" s="5">
        <f>SUM(D4:D80)</f>
        <v>660255.13</v>
      </c>
      <c r="E2" s="5">
        <f>C2-D2</f>
        <v>-35630.458080485929</v>
      </c>
      <c r="F2" s="6">
        <f>IFERROR(E2/D2, 0)</f>
        <v>-5.3964681926039607E-2</v>
      </c>
      <c r="G2" s="5">
        <f>SUM(G4:G80)</f>
        <v>673935.73</v>
      </c>
      <c r="H2" s="7">
        <f>C2-G2</f>
        <v>-49311.058080485906</v>
      </c>
      <c r="I2" s="6">
        <f>IFERROR(H2/G2, 0)</f>
        <v>-7.3168784329754863E-2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86.4" x14ac:dyDescent="0.3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>
        <v>34717.2293524942</v>
      </c>
      <c r="D4" s="12">
        <v>30123.32</v>
      </c>
      <c r="E4" s="12">
        <f>IF(AND(ISNUMBER(C4),ISNUMBER(D4)), C4-D4, "")</f>
        <v>4593.9093524942</v>
      </c>
      <c r="F4" s="13">
        <f>IFERROR(E4/D4, "")</f>
        <v>0.15250342102046521</v>
      </c>
      <c r="G4" s="14">
        <v>45926</v>
      </c>
      <c r="H4" s="14">
        <f>IF(AND(ISNUMBER(C4),ISNUMBER(G4)), C4-G4, "")</f>
        <v>-11208.7706475058</v>
      </c>
      <c r="I4" s="15">
        <f>IFERROR(H4/G4, "")</f>
        <v>-0.2440615478706136</v>
      </c>
      <c r="J4" s="39" t="s">
        <v>44</v>
      </c>
      <c r="K4" s="72" t="s">
        <v>45</v>
      </c>
      <c r="L4" s="62" t="s">
        <v>91</v>
      </c>
      <c r="M4" s="69"/>
      <c r="N4" s="69"/>
    </row>
    <row r="5" spans="1:14" ht="86.4" x14ac:dyDescent="0.25">
      <c r="A5" s="28" t="str">
        <v>Murrieta - 28150 Keller Rd</v>
      </c>
      <c r="B5" s="29" t="str">
        <v>CA</v>
      </c>
      <c r="C5" s="11">
        <v>100090</v>
      </c>
      <c r="D5" s="16">
        <v>104378.3</v>
      </c>
      <c r="E5" s="16">
        <f t="shared" ref="E5:E10" si="0">IF(AND(ISNUMBER(C5),ISNUMBER(D5)), C5-D5, "")</f>
        <v>-4288.3000000000029</v>
      </c>
      <c r="F5" s="17">
        <f>IFERROR(E5/D5, "")</f>
        <v>-4.1084210032161887E-2</v>
      </c>
      <c r="G5" s="18">
        <v>118934.8</v>
      </c>
      <c r="H5" s="18">
        <f t="shared" ref="H5:H10" si="1">IF(AND(ISNUMBER(C5),ISNUMBER(G5)), C5-G5, "")</f>
        <v>-18844.800000000003</v>
      </c>
      <c r="I5" s="17">
        <f t="shared" ref="I5:I10" si="2">IFERROR(H5/G5, "")</f>
        <v>-0.15844647655690347</v>
      </c>
      <c r="J5" s="40" t="s">
        <v>46</v>
      </c>
      <c r="K5" s="52" t="s">
        <v>47</v>
      </c>
      <c r="L5" s="69"/>
      <c r="M5" s="69"/>
      <c r="N5" s="69"/>
    </row>
    <row r="6" spans="1:14" ht="47.25" customHeight="1" x14ac:dyDescent="0.25">
      <c r="A6" s="26" t="str">
        <v>La Habra - 601 E Imperial Way</v>
      </c>
      <c r="B6" s="27" t="str">
        <v>CA</v>
      </c>
      <c r="C6" s="22">
        <v>19128.619999999901</v>
      </c>
      <c r="D6" s="12">
        <v>16120.48</v>
      </c>
      <c r="E6" s="12">
        <f t="shared" si="0"/>
        <v>3008.1399999999012</v>
      </c>
      <c r="F6" s="13">
        <f t="shared" ref="F6:F10" si="3">IFERROR(E6/D6, "")</f>
        <v>0.18660362470595795</v>
      </c>
      <c r="G6" s="14">
        <v>23850.17</v>
      </c>
      <c r="H6" s="14">
        <f t="shared" si="1"/>
        <v>-4721.5500000000975</v>
      </c>
      <c r="I6" s="15">
        <f t="shared" si="2"/>
        <v>-0.19796714237257421</v>
      </c>
      <c r="J6" s="39" t="s">
        <v>48</v>
      </c>
      <c r="K6" s="72" t="s">
        <v>49</v>
      </c>
      <c r="L6" s="69"/>
      <c r="M6" s="69"/>
      <c r="N6" s="69"/>
    </row>
    <row r="7" spans="1:14" ht="15.6" x14ac:dyDescent="0.25">
      <c r="A7" s="28" t="str">
        <v>Kaiser - KP3 - SCA Skyport - CN7901 Site</v>
      </c>
      <c r="B7" s="29" t="str">
        <v>CA</v>
      </c>
      <c r="C7" s="11">
        <v>128682.05119949899</v>
      </c>
      <c r="D7" s="16">
        <v>133149.1</v>
      </c>
      <c r="E7" s="16">
        <f t="shared" si="0"/>
        <v>-4467.048800501012</v>
      </c>
      <c r="F7" s="17">
        <f t="shared" si="3"/>
        <v>-3.354922264214337E-2</v>
      </c>
      <c r="G7" s="18">
        <v>129050.2</v>
      </c>
      <c r="H7" s="18">
        <f t="shared" si="1"/>
        <v>-368.14880050100328</v>
      </c>
      <c r="I7" s="17">
        <f t="shared" si="2"/>
        <v>-2.8527565280875447E-3</v>
      </c>
      <c r="J7" s="40"/>
      <c r="K7" s="73"/>
      <c r="L7" s="69"/>
      <c r="M7" s="69"/>
      <c r="N7" s="69"/>
    </row>
    <row r="8" spans="1:14" ht="57.6" x14ac:dyDescent="0.25">
      <c r="A8" s="26" t="str">
        <v>Irwindale - 12761 Schabarum Ave</v>
      </c>
      <c r="B8" s="27" t="str">
        <v>CA</v>
      </c>
      <c r="C8" s="22">
        <v>27504.75</v>
      </c>
      <c r="D8" s="12">
        <v>21662.73</v>
      </c>
      <c r="E8" s="12">
        <f t="shared" si="0"/>
        <v>5842.02</v>
      </c>
      <c r="F8" s="13">
        <f t="shared" si="3"/>
        <v>0.26968069121481919</v>
      </c>
      <c r="G8" s="14">
        <v>32927.56</v>
      </c>
      <c r="H8" s="14">
        <f t="shared" si="1"/>
        <v>-5422.8099999999977</v>
      </c>
      <c r="I8" s="15">
        <f t="shared" si="2"/>
        <v>-0.16468909327019671</v>
      </c>
      <c r="J8" s="39" t="s">
        <v>50</v>
      </c>
      <c r="K8" s="70" t="s">
        <v>51</v>
      </c>
      <c r="L8" s="69"/>
      <c r="M8" s="69"/>
      <c r="N8" s="69"/>
    </row>
    <row r="9" spans="1:14" ht="15.6" x14ac:dyDescent="0.25">
      <c r="A9" s="28" t="str">
        <v>Santa Rosa - 2240 Mercury Way</v>
      </c>
      <c r="B9" s="29" t="str">
        <v>CA</v>
      </c>
      <c r="C9" s="11">
        <v>110658.021367521</v>
      </c>
      <c r="D9" s="16">
        <v>118241.5</v>
      </c>
      <c r="E9" s="16">
        <f t="shared" si="0"/>
        <v>-7583.4786324790039</v>
      </c>
      <c r="F9" s="17">
        <f t="shared" si="3"/>
        <v>-6.4135507689592947E-2</v>
      </c>
      <c r="G9" s="18">
        <v>110018</v>
      </c>
      <c r="H9" s="18">
        <f t="shared" si="1"/>
        <v>640.02136752099614</v>
      </c>
      <c r="I9" s="17">
        <f t="shared" si="2"/>
        <v>5.817424126242943E-3</v>
      </c>
      <c r="J9" s="40"/>
      <c r="K9" s="73"/>
      <c r="L9" s="69"/>
      <c r="M9" s="69"/>
      <c r="N9" s="69"/>
    </row>
    <row r="10" spans="1:14" ht="72" x14ac:dyDescent="0.25">
      <c r="A10" s="26" t="str">
        <v>Dublin - 3100 Dublin Blvd</v>
      </c>
      <c r="B10" s="27" t="str">
        <v>MA</v>
      </c>
      <c r="C10" s="22">
        <v>203844</v>
      </c>
      <c r="D10" s="12">
        <v>236579.7</v>
      </c>
      <c r="E10" s="12">
        <f t="shared" si="0"/>
        <v>-32735.700000000012</v>
      </c>
      <c r="F10" s="13">
        <f t="shared" si="3"/>
        <v>-0.13837070551699918</v>
      </c>
      <c r="G10" s="14">
        <v>213229</v>
      </c>
      <c r="H10" s="14">
        <f t="shared" si="1"/>
        <v>-9385</v>
      </c>
      <c r="I10" s="15">
        <f t="shared" si="2"/>
        <v>-4.4013712956492784E-2</v>
      </c>
      <c r="J10" s="39" t="s">
        <v>52</v>
      </c>
      <c r="K10" s="72" t="s">
        <v>53</v>
      </c>
      <c r="L10" s="62" t="s">
        <v>92</v>
      </c>
      <c r="M10" s="69"/>
      <c r="N10" s="69"/>
    </row>
    <row r="11" spans="1:14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74"/>
    </row>
    <row r="12" spans="1:14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3" priority="5" stopIfTrue="1" operator="lessThanOrEqual">
      <formula>-0.1</formula>
    </cfRule>
    <cfRule type="expression" dxfId="22" priority="6">
      <formula>AND(ISNUMBER(F2), F2&gt;=0.1)</formula>
    </cfRule>
  </conditionalFormatting>
  <conditionalFormatting sqref="F4:F80 I4:I8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hyperlinks>
    <hyperlink ref="K4" r:id="rId1" display="https://us3.assetplanner.com/service_request?ID=098881" xr:uid="{A4F010A6-3B40-40C6-B746-8D9AE3868AE0}"/>
    <hyperlink ref="L4" r:id="rId2" display="https://us3.assetplanner.com/service_request?ID=101671" xr:uid="{EE2CDAC7-6914-412A-9397-99EF711E9342}"/>
    <hyperlink ref="K6" r:id="rId3" display="https://us3.assetplanner.com/service_request?ID=101329" xr:uid="{2D878FCE-5F18-4AB6-844E-FF92A7EDCD4A}"/>
    <hyperlink ref="K10" r:id="rId4" display="https://us3.assetplanner.com/service_request?ID=100962" xr:uid="{49286BDE-70A3-42C8-9D7E-73A8D61E52E5}"/>
    <hyperlink ref="L10" r:id="rId5" display="https://us3.assetplanner.com/service_request?ID=100567" xr:uid="{F3D9F451-4E92-4F72-A956-BE785EC34CFC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2"/>
  <sheetViews>
    <sheetView workbookViewId="0">
      <pane xSplit="2" ySplit="3" topLeftCell="C4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76" t="str" cm="1">
        <f t="array" ref="A1">portfolio</f>
        <v>KPCA Investment, LLC</v>
      </c>
      <c r="B1" s="76"/>
      <c r="C1" s="76"/>
      <c r="D1" s="77" t="s">
        <v>54</v>
      </c>
      <c r="E1" s="77"/>
      <c r="F1" s="77"/>
      <c r="G1" s="75" t="s">
        <v>55</v>
      </c>
      <c r="H1" s="75"/>
      <c r="I1" s="75"/>
      <c r="J1" s="4"/>
      <c r="K1" s="4"/>
    </row>
    <row r="2" spans="1:11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 x14ac:dyDescent="0.3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6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34.950000000000003" customHeight="1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 x14ac:dyDescent="0.25">
      <c r="A9" s="28" t="str">
        <v>Santa Rosa - 2240 Mercury Way</v>
      </c>
      <c r="B9" s="29" t="str">
        <v>CA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34.950000000000003" customHeight="1" x14ac:dyDescent="0.25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19" priority="5" stopIfTrue="1" operator="lessThanOrEqual">
      <formula>-0.1</formula>
    </cfRule>
    <cfRule type="expression" dxfId="18" priority="6">
      <formula>AND(ISNUMBER(F2), F2&gt;=0.1)</formula>
    </cfRule>
  </conditionalFormatting>
  <conditionalFormatting sqref="F4:F80 I4:I8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2"/>
  <sheetViews>
    <sheetView zoomScale="70" zoomScaleNormal="70" workbookViewId="0">
      <pane xSplit="2" ySplit="3" topLeftCell="E4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7.33203125" customWidth="1"/>
    <col min="4" max="4" width="16.6640625" customWidth="1"/>
    <col min="5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6.5546875" customWidth="1"/>
  </cols>
  <sheetData>
    <row r="1" spans="1:11" ht="19.5" customHeight="1" x14ac:dyDescent="0.25">
      <c r="A1" s="76" t="str" cm="1">
        <f t="array" ref="A1">portfolio</f>
        <v>KPCA Investment, LLC</v>
      </c>
      <c r="B1" s="76"/>
      <c r="C1" s="76"/>
      <c r="D1" s="77" t="s">
        <v>56</v>
      </c>
      <c r="E1" s="77"/>
      <c r="F1" s="77"/>
      <c r="G1" s="75" t="s">
        <v>57</v>
      </c>
      <c r="H1" s="75"/>
      <c r="I1" s="75"/>
      <c r="J1" s="4"/>
      <c r="K1" s="4"/>
    </row>
    <row r="2" spans="1:11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 x14ac:dyDescent="0.3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6" x14ac:dyDescent="0.25">
      <c r="A6" s="26" t="str">
        <v>La Habra - 601 E Imperial Way</v>
      </c>
      <c r="B6" s="27" t="str">
        <v>CA</v>
      </c>
      <c r="C6" s="22"/>
      <c r="D6" s="12"/>
      <c r="E6" s="12" t="str">
        <f>IF(AND(ISNUMBER(C6),ISNUMBER(D6)), C6-D6, "")</f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 x14ac:dyDescent="0.25">
      <c r="A9" s="28" t="str">
        <v>Santa Rosa - 2240 Mercury Way</v>
      </c>
      <c r="B9" s="29" t="str">
        <v>CA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5.6" x14ac:dyDescent="0.25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5" priority="5" stopIfTrue="1" operator="lessThanOrEqual">
      <formula>-0.1</formula>
    </cfRule>
    <cfRule type="expression" dxfId="14" priority="6">
      <formula>AND(ISNUMBER(F2), F2&gt;=0.1)</formula>
    </cfRule>
  </conditionalFormatting>
  <conditionalFormatting sqref="F4:F80 I4:I8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2"/>
  <sheetViews>
    <sheetView zoomScale="80" zoomScaleNormal="80" workbookViewId="0">
      <pane xSplit="2" ySplit="3" topLeftCell="G4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76" t="str" cm="1">
        <f t="array" ref="A1">portfolio</f>
        <v>KPCA Investment, LLC</v>
      </c>
      <c r="B1" s="76"/>
      <c r="C1" s="76"/>
      <c r="D1" s="77" t="s">
        <v>58</v>
      </c>
      <c r="E1" s="77"/>
      <c r="F1" s="77"/>
      <c r="G1" s="75" t="s">
        <v>59</v>
      </c>
      <c r="H1" s="75"/>
      <c r="I1" s="75"/>
      <c r="J1" s="4"/>
      <c r="K1" s="4"/>
    </row>
    <row r="2" spans="1:11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 x14ac:dyDescent="0.3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8" si="0">IF(AND(ISNUMBER(C5),ISNUMBER(D5)), C5-D5, "")</f>
        <v/>
      </c>
      <c r="F5" s="17" t="str">
        <f>IFERROR(E5/D5, "")</f>
        <v/>
      </c>
      <c r="G5" s="18"/>
      <c r="H5" s="18" t="str">
        <f t="shared" ref="H5:H8" si="1">IF(AND(ISNUMBER(C5),ISNUMBER(G5)), C5-G5, "")</f>
        <v/>
      </c>
      <c r="I5" s="17" t="str">
        <f t="shared" ref="I5:I8" si="2">IFERROR(H5/G5, "")</f>
        <v/>
      </c>
      <c r="J5" s="40"/>
      <c r="K5" s="40"/>
    </row>
    <row r="6" spans="1:11" ht="15.6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8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 x14ac:dyDescent="0.25">
      <c r="A9" s="28" t="str">
        <v>Santa Rosa - 2240 Mercury Way</v>
      </c>
      <c r="B9" s="29" t="str">
        <v>CA</v>
      </c>
      <c r="C9" s="11"/>
      <c r="D9" s="16"/>
      <c r="E9" s="16"/>
      <c r="F9" s="17"/>
      <c r="G9" s="18"/>
      <c r="H9" s="18"/>
      <c r="I9" s="17"/>
      <c r="J9" s="40"/>
      <c r="K9" s="41"/>
    </row>
    <row r="10" spans="1:11" ht="15.6" x14ac:dyDescent="0.25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2"/>
  <sheetViews>
    <sheetView workbookViewId="0">
      <pane xSplit="2" ySplit="3" topLeftCell="J4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76" t="str" cm="1">
        <f t="array" ref="A1">portfolio</f>
        <v>KPCA Investment, LLC</v>
      </c>
      <c r="B1" s="76"/>
      <c r="C1" s="76"/>
      <c r="D1" s="77" t="s">
        <v>60</v>
      </c>
      <c r="E1" s="77"/>
      <c r="F1" s="77"/>
      <c r="G1" s="75" t="s">
        <v>61</v>
      </c>
      <c r="H1" s="75"/>
      <c r="I1" s="75"/>
      <c r="J1" s="4"/>
      <c r="K1" s="4"/>
    </row>
    <row r="2" spans="1:11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 x14ac:dyDescent="0.3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40"/>
    </row>
    <row r="6" spans="1:11" ht="15.6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 x14ac:dyDescent="0.25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2"/>
  <sheetViews>
    <sheetView workbookViewId="0">
      <pane xSplit="2" ySplit="3" topLeftCell="C4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76" t="str" cm="1">
        <f t="array" ref="A1">portfolio</f>
        <v>KPCA Investment, LLC</v>
      </c>
      <c r="B1" s="76"/>
      <c r="C1" s="76"/>
      <c r="D1" s="77" t="s">
        <v>62</v>
      </c>
      <c r="E1" s="77"/>
      <c r="F1" s="77"/>
      <c r="G1" s="75" t="s">
        <v>63</v>
      </c>
      <c r="H1" s="75"/>
      <c r="I1" s="75"/>
      <c r="J1" s="4"/>
      <c r="K1" s="4"/>
    </row>
    <row r="2" spans="1:11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 x14ac:dyDescent="0.3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/>
      <c r="I4" s="15" t="str">
        <f>IFERROR(H4/G4, "")</f>
        <v/>
      </c>
      <c r="J4" s="39"/>
      <c r="K4" s="39"/>
    </row>
    <row r="5" spans="1:11" ht="15.6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>IFERROR(H5/G6, "")</f>
        <v/>
      </c>
      <c r="J5" s="40"/>
      <c r="K5" s="41"/>
    </row>
    <row r="6" spans="1:11" ht="15.6" x14ac:dyDescent="0.3">
      <c r="A6" s="30" t="str">
        <v>La Habra - 601 E Imperial Way</v>
      </c>
      <c r="B6" s="27" t="str">
        <v>CA</v>
      </c>
      <c r="C6" s="22"/>
      <c r="D6" s="12"/>
      <c r="E6" s="12" t="str">
        <f>IF(AND(ISNUMBER(C6),ISNUMBER(D6)), C6-D6, "")</f>
        <v/>
      </c>
      <c r="F6" s="13" t="str">
        <f t="shared" ref="F6:F9" si="1">IFERROR(E6/D6, "")</f>
        <v/>
      </c>
      <c r="G6" s="14"/>
      <c r="H6" s="14"/>
      <c r="I6" s="15" t="str">
        <f t="shared" ref="I6" si="2">IFERROR(H6/G6, "")</f>
        <v/>
      </c>
      <c r="J6" s="39"/>
      <c r="K6" s="39"/>
    </row>
    <row r="7" spans="1:11" ht="15.6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ref="H7:H9" si="3">IF(AND(ISNUMBER(C7),ISNUMBER(G7)), C7-G7, "")</f>
        <v/>
      </c>
      <c r="I7" s="17" t="str">
        <f t="shared" ref="I7" si="4">IFERROR(H7/G8, "")</f>
        <v/>
      </c>
      <c r="J7" s="40"/>
      <c r="K7" s="41"/>
    </row>
    <row r="8" spans="1:11" ht="15.6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/>
      <c r="I8" s="15" t="str">
        <f t="shared" ref="I8" si="5">IFERROR(H8/G8, "")</f>
        <v/>
      </c>
      <c r="J8" s="39"/>
      <c r="K8" s="39"/>
    </row>
    <row r="9" spans="1:11" ht="15.6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3"/>
        <v/>
      </c>
      <c r="I9" s="17" t="str">
        <f>IFERROR(H9/G9, "")</f>
        <v/>
      </c>
      <c r="J9" s="40"/>
      <c r="K9" s="41"/>
    </row>
    <row r="10" spans="1:11" ht="15.6" x14ac:dyDescent="0.25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7" priority="5" stopIfTrue="1" operator="lessThanOrEqual">
      <formula>-0.1</formula>
    </cfRule>
    <cfRule type="expression" dxfId="6" priority="6">
      <formula>AND(ISNUMBER(F2), F2&gt;=0.1)</formula>
    </cfRule>
  </conditionalFormatting>
  <conditionalFormatting sqref="F4:F80 I4:I80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2"/>
  <sheetViews>
    <sheetView workbookViewId="0">
      <pane xSplit="2" ySplit="4" topLeftCell="C5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15.44140625" customWidth="1"/>
  </cols>
  <sheetData>
    <row r="1" spans="1:11" ht="19.5" customHeight="1" x14ac:dyDescent="0.25">
      <c r="A1" s="76" t="str" cm="1">
        <f t="array" ref="A1">portfolio</f>
        <v>KPCA Investment, LLC</v>
      </c>
      <c r="B1" s="76"/>
      <c r="C1" s="76"/>
      <c r="D1" s="77" t="s">
        <v>64</v>
      </c>
      <c r="E1" s="77"/>
      <c r="F1" s="77"/>
      <c r="G1" s="75" t="s">
        <v>65</v>
      </c>
      <c r="H1" s="75"/>
      <c r="I1" s="75"/>
      <c r="J1" s="4"/>
      <c r="K1" s="4"/>
    </row>
    <row r="2" spans="1:11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 x14ac:dyDescent="0.3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56"/>
      <c r="K5" s="52"/>
    </row>
    <row r="6" spans="1:11" ht="15.6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39"/>
    </row>
    <row r="7" spans="1:11" ht="15.6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1" ht="15.6" x14ac:dyDescent="0.25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2"/>
  <sheetViews>
    <sheetView workbookViewId="0">
      <pane xSplit="2" ySplit="3" topLeftCell="C4" activePane="bottomRight" state="frozen"/>
      <selection pane="topRight" activeCell="J21" sqref="J21"/>
      <selection pane="bottomLeft" activeCell="J21" sqref="J21"/>
      <selection pane="bottomRight" activeCell="J21" sqref="J21"/>
    </sheetView>
  </sheetViews>
  <sheetFormatPr defaultRowHeight="13.8" x14ac:dyDescent="0.25"/>
  <cols>
    <col min="1" max="1" width="35.88671875" bestFit="1" customWidth="1"/>
    <col min="2" max="2" width="8.44140625" style="32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76" t="str" cm="1">
        <f t="array" ref="A1">portfolio</f>
        <v>KPCA Investment, LLC</v>
      </c>
      <c r="B1" s="76"/>
      <c r="C1" s="76"/>
      <c r="D1" s="77" t="s">
        <v>66</v>
      </c>
      <c r="E1" s="77"/>
      <c r="F1" s="77"/>
      <c r="G1" s="75" t="s">
        <v>67</v>
      </c>
      <c r="H1" s="75"/>
      <c r="I1" s="75"/>
      <c r="J1" s="4"/>
      <c r="K1" s="4"/>
    </row>
    <row r="2" spans="1:11" ht="19.5" customHeight="1" x14ac:dyDescent="0.25">
      <c r="A2" s="78" t="s">
        <v>2</v>
      </c>
      <c r="B2" s="78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 x14ac:dyDescent="0.3">
      <c r="A4" s="30" t="str" cm="1">
        <f t="array" ref="A4:A10">Sites[Site]</f>
        <v>Chino - 3750-3770 Grand Ave</v>
      </c>
      <c r="B4" s="27" t="str" cm="1">
        <f t="array" ref="B4:B10">Sites[State]</f>
        <v>CA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 x14ac:dyDescent="0.25">
      <c r="A5" s="28" t="str">
        <v>Murrieta - 28150 Keller Rd</v>
      </c>
      <c r="B5" s="29" t="str">
        <v>CA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 t="shared" ref="H5:H9" si="1">IF(AND(ISNUMBER(C5),ISNUMBER(G5)), C5-G5, "")</f>
        <v/>
      </c>
      <c r="I5" s="17" t="str">
        <f t="shared" ref="I5:I9" si="2">IFERROR(H5/G5, "")</f>
        <v/>
      </c>
      <c r="J5" s="40"/>
      <c r="K5" s="56"/>
    </row>
    <row r="6" spans="1:11" ht="15.6" x14ac:dyDescent="0.25">
      <c r="A6" s="26" t="str">
        <v>La Habra - 601 E Imperial Way</v>
      </c>
      <c r="B6" s="27" t="str">
        <v>CA</v>
      </c>
      <c r="C6" s="22"/>
      <c r="D6" s="12"/>
      <c r="E6" s="12" t="str">
        <f t="shared" si="0"/>
        <v/>
      </c>
      <c r="F6" s="13" t="str">
        <f t="shared" ref="F6:F9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1" ht="15.6" x14ac:dyDescent="0.25">
      <c r="A7" s="28" t="str">
        <v>Kaiser - KP3 - SCA Skyport - CN7901 Site</v>
      </c>
      <c r="B7" s="29" t="str">
        <v>CA</v>
      </c>
      <c r="C7" s="11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40"/>
      <c r="K7" s="41"/>
    </row>
    <row r="8" spans="1:11" ht="15.6" x14ac:dyDescent="0.25">
      <c r="A8" s="26" t="str">
        <v>Irwindale - 12761 Schabarum Ave</v>
      </c>
      <c r="B8" s="27" t="str">
        <v>CA</v>
      </c>
      <c r="C8" s="22"/>
      <c r="D8" s="12"/>
      <c r="E8" s="12" t="str">
        <f t="shared" si="0"/>
        <v/>
      </c>
      <c r="F8" s="13" t="str">
        <f t="shared" si="3"/>
        <v/>
      </c>
      <c r="G8" s="14"/>
      <c r="H8" s="14" t="str">
        <f t="shared" si="1"/>
        <v/>
      </c>
      <c r="I8" s="15" t="str">
        <f t="shared" si="2"/>
        <v/>
      </c>
      <c r="J8" s="39"/>
      <c r="K8" s="39"/>
    </row>
    <row r="9" spans="1:11" ht="15.6" x14ac:dyDescent="0.25">
      <c r="A9" s="28" t="str">
        <v>Santa Rosa - 2240 Mercury Way</v>
      </c>
      <c r="B9" s="29" t="str">
        <v>CA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56"/>
    </row>
    <row r="10" spans="1:11" ht="15.6" x14ac:dyDescent="0.25">
      <c r="A10" s="26" t="str">
        <v>Dublin - 3100 Dublin Blvd</v>
      </c>
      <c r="B10" s="27" t="str">
        <v>MA</v>
      </c>
      <c r="C10" s="22"/>
      <c r="D10" s="12"/>
      <c r="E10" s="12"/>
      <c r="F10" s="13"/>
      <c r="G10" s="14"/>
      <c r="H10" s="14"/>
      <c r="I10" s="15"/>
      <c r="J10" s="39"/>
      <c r="K10" s="39"/>
    </row>
    <row r="11" spans="1:11" ht="14.4" x14ac:dyDescent="0.3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1" ht="14.4" x14ac:dyDescent="0.3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14.4" x14ac:dyDescent="0.3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1" ht="14.4" x14ac:dyDescent="0.3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1" ht="14.4" x14ac:dyDescent="0.3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1" ht="14.4" x14ac:dyDescent="0.3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" x14ac:dyDescent="0.3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" x14ac:dyDescent="0.3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" x14ac:dyDescent="0.3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" x14ac:dyDescent="0.3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" x14ac:dyDescent="0.3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" x14ac:dyDescent="0.3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" x14ac:dyDescent="0.3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" x14ac:dyDescent="0.3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" x14ac:dyDescent="0.3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" x14ac:dyDescent="0.3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" x14ac:dyDescent="0.3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" x14ac:dyDescent="0.3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" x14ac:dyDescent="0.3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" x14ac:dyDescent="0.3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" x14ac:dyDescent="0.3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" x14ac:dyDescent="0.3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" x14ac:dyDescent="0.3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" x14ac:dyDescent="0.3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" x14ac:dyDescent="0.3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" x14ac:dyDescent="0.3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" x14ac:dyDescent="0.3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" x14ac:dyDescent="0.3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" x14ac:dyDescent="0.3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" x14ac:dyDescent="0.3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" x14ac:dyDescent="0.3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" x14ac:dyDescent="0.3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" x14ac:dyDescent="0.3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" x14ac:dyDescent="0.3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" x14ac:dyDescent="0.3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" x14ac:dyDescent="0.3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" x14ac:dyDescent="0.3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" x14ac:dyDescent="0.3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" x14ac:dyDescent="0.3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" x14ac:dyDescent="0.3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" x14ac:dyDescent="0.3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" x14ac:dyDescent="0.3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" x14ac:dyDescent="0.3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" x14ac:dyDescent="0.3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" x14ac:dyDescent="0.3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" x14ac:dyDescent="0.3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" x14ac:dyDescent="0.3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" x14ac:dyDescent="0.3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" x14ac:dyDescent="0.3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" x14ac:dyDescent="0.3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" x14ac:dyDescent="0.3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" x14ac:dyDescent="0.3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" x14ac:dyDescent="0.3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" x14ac:dyDescent="0.3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" x14ac:dyDescent="0.3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" x14ac:dyDescent="0.3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" x14ac:dyDescent="0.3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" x14ac:dyDescent="0.3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" x14ac:dyDescent="0.3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" x14ac:dyDescent="0.3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" x14ac:dyDescent="0.3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" x14ac:dyDescent="0.3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" x14ac:dyDescent="0.3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" x14ac:dyDescent="0.3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" x14ac:dyDescent="0.3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" x14ac:dyDescent="0.3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" x14ac:dyDescent="0.3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" x14ac:dyDescent="0.3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" x14ac:dyDescent="0.3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" x14ac:dyDescent="0.3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" x14ac:dyDescent="0.3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" x14ac:dyDescent="0.3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" x14ac:dyDescent="0.3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" x14ac:dyDescent="0.3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" x14ac:dyDescent="0.3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" x14ac:dyDescent="0.3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" x14ac:dyDescent="0.3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" x14ac:dyDescent="0.3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" x14ac:dyDescent="0.3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" x14ac:dyDescent="0.3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" x14ac:dyDescent="0.3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" x14ac:dyDescent="0.3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" x14ac:dyDescent="0.3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" x14ac:dyDescent="0.3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" x14ac:dyDescent="0.3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" x14ac:dyDescent="0.3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" x14ac:dyDescent="0.3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" x14ac:dyDescent="0.3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" x14ac:dyDescent="0.3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" x14ac:dyDescent="0.3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" x14ac:dyDescent="0.3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" x14ac:dyDescent="0.3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" x14ac:dyDescent="0.3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" x14ac:dyDescent="0.3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" x14ac:dyDescent="0.3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" x14ac:dyDescent="0.3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" x14ac:dyDescent="0.3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" x14ac:dyDescent="0.3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" x14ac:dyDescent="0.3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" x14ac:dyDescent="0.3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" x14ac:dyDescent="0.3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" x14ac:dyDescent="0.3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" x14ac:dyDescent="0.3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" x14ac:dyDescent="0.3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" x14ac:dyDescent="0.3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" x14ac:dyDescent="0.3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" x14ac:dyDescent="0.3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" x14ac:dyDescent="0.3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" x14ac:dyDescent="0.3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" x14ac:dyDescent="0.3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" x14ac:dyDescent="0.3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" x14ac:dyDescent="0.3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" x14ac:dyDescent="0.3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" x14ac:dyDescent="0.3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" x14ac:dyDescent="0.3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" x14ac:dyDescent="0.3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" x14ac:dyDescent="0.3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" x14ac:dyDescent="0.3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" x14ac:dyDescent="0.3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" x14ac:dyDescent="0.3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" x14ac:dyDescent="0.3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" x14ac:dyDescent="0.3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" x14ac:dyDescent="0.3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" x14ac:dyDescent="0.3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" x14ac:dyDescent="0.3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" x14ac:dyDescent="0.3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" x14ac:dyDescent="0.3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" x14ac:dyDescent="0.3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" x14ac:dyDescent="0.3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" x14ac:dyDescent="0.3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" x14ac:dyDescent="0.3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" x14ac:dyDescent="0.3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" x14ac:dyDescent="0.3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" x14ac:dyDescent="0.3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" x14ac:dyDescent="0.3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" x14ac:dyDescent="0.3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" x14ac:dyDescent="0.3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" x14ac:dyDescent="0.3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" x14ac:dyDescent="0.3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" x14ac:dyDescent="0.3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" x14ac:dyDescent="0.3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" x14ac:dyDescent="0.3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" x14ac:dyDescent="0.3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" x14ac:dyDescent="0.3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" x14ac:dyDescent="0.3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" x14ac:dyDescent="0.3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" x14ac:dyDescent="0.3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" x14ac:dyDescent="0.3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" x14ac:dyDescent="0.3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" x14ac:dyDescent="0.3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" x14ac:dyDescent="0.3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" x14ac:dyDescent="0.3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" x14ac:dyDescent="0.3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" x14ac:dyDescent="0.3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" x14ac:dyDescent="0.3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" x14ac:dyDescent="0.3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" x14ac:dyDescent="0.3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" x14ac:dyDescent="0.3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" x14ac:dyDescent="0.3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" x14ac:dyDescent="0.3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" x14ac:dyDescent="0.3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" x14ac:dyDescent="0.3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" x14ac:dyDescent="0.3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" x14ac:dyDescent="0.3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" x14ac:dyDescent="0.3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" x14ac:dyDescent="0.3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" x14ac:dyDescent="0.3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" x14ac:dyDescent="0.3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" x14ac:dyDescent="0.3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" x14ac:dyDescent="0.3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" x14ac:dyDescent="0.3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" x14ac:dyDescent="0.3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" x14ac:dyDescent="0.3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" x14ac:dyDescent="0.3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" x14ac:dyDescent="0.3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" x14ac:dyDescent="0.3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" x14ac:dyDescent="0.3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" x14ac:dyDescent="0.3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" x14ac:dyDescent="0.3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" x14ac:dyDescent="0.3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" x14ac:dyDescent="0.3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" x14ac:dyDescent="0.3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" x14ac:dyDescent="0.3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" x14ac:dyDescent="0.3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" x14ac:dyDescent="0.3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" x14ac:dyDescent="0.3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" x14ac:dyDescent="0.3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" x14ac:dyDescent="0.3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" x14ac:dyDescent="0.3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" x14ac:dyDescent="0.3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" x14ac:dyDescent="0.3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" x14ac:dyDescent="0.3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" x14ac:dyDescent="0.3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" x14ac:dyDescent="0.3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" x14ac:dyDescent="0.3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" x14ac:dyDescent="0.3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" x14ac:dyDescent="0.3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" x14ac:dyDescent="0.3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" x14ac:dyDescent="0.3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" x14ac:dyDescent="0.3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" x14ac:dyDescent="0.3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" x14ac:dyDescent="0.3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" x14ac:dyDescent="0.3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" x14ac:dyDescent="0.3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" x14ac:dyDescent="0.3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" x14ac:dyDescent="0.3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" x14ac:dyDescent="0.3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" x14ac:dyDescent="0.3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" x14ac:dyDescent="0.3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" x14ac:dyDescent="0.3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" x14ac:dyDescent="0.3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" x14ac:dyDescent="0.3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" x14ac:dyDescent="0.3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" x14ac:dyDescent="0.3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" x14ac:dyDescent="0.3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" x14ac:dyDescent="0.3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" x14ac:dyDescent="0.3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" x14ac:dyDescent="0.3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" x14ac:dyDescent="0.3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" x14ac:dyDescent="0.3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" x14ac:dyDescent="0.3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" x14ac:dyDescent="0.3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" x14ac:dyDescent="0.3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" x14ac:dyDescent="0.3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" x14ac:dyDescent="0.3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" x14ac:dyDescent="0.3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" x14ac:dyDescent="0.3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" x14ac:dyDescent="0.3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" x14ac:dyDescent="0.3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" x14ac:dyDescent="0.3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" x14ac:dyDescent="0.3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" x14ac:dyDescent="0.3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" x14ac:dyDescent="0.3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" x14ac:dyDescent="0.3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" x14ac:dyDescent="0.3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" x14ac:dyDescent="0.3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" x14ac:dyDescent="0.3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" x14ac:dyDescent="0.3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" x14ac:dyDescent="0.3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" x14ac:dyDescent="0.3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" x14ac:dyDescent="0.3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" x14ac:dyDescent="0.3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" x14ac:dyDescent="0.3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" x14ac:dyDescent="0.3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" x14ac:dyDescent="0.3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" x14ac:dyDescent="0.3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" x14ac:dyDescent="0.3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" x14ac:dyDescent="0.3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" x14ac:dyDescent="0.3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" x14ac:dyDescent="0.3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" x14ac:dyDescent="0.3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" x14ac:dyDescent="0.3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" x14ac:dyDescent="0.3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" x14ac:dyDescent="0.3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" x14ac:dyDescent="0.3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" x14ac:dyDescent="0.3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" x14ac:dyDescent="0.3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" x14ac:dyDescent="0.3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" x14ac:dyDescent="0.3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" x14ac:dyDescent="0.3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" x14ac:dyDescent="0.3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" x14ac:dyDescent="0.3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" x14ac:dyDescent="0.3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" x14ac:dyDescent="0.3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" x14ac:dyDescent="0.3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" x14ac:dyDescent="0.3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" x14ac:dyDescent="0.3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" x14ac:dyDescent="0.3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" x14ac:dyDescent="0.3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" x14ac:dyDescent="0.3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" x14ac:dyDescent="0.3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" x14ac:dyDescent="0.3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" x14ac:dyDescent="0.3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" x14ac:dyDescent="0.3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" x14ac:dyDescent="0.3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" x14ac:dyDescent="0.3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" x14ac:dyDescent="0.3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" x14ac:dyDescent="0.3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" x14ac:dyDescent="0.3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" x14ac:dyDescent="0.3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" x14ac:dyDescent="0.3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" x14ac:dyDescent="0.3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" x14ac:dyDescent="0.3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" x14ac:dyDescent="0.3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" x14ac:dyDescent="0.3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" x14ac:dyDescent="0.3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" x14ac:dyDescent="0.3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" x14ac:dyDescent="0.3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" x14ac:dyDescent="0.3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" x14ac:dyDescent="0.3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" x14ac:dyDescent="0.3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" x14ac:dyDescent="0.3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" x14ac:dyDescent="0.3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" x14ac:dyDescent="0.3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" x14ac:dyDescent="0.3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" x14ac:dyDescent="0.3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" x14ac:dyDescent="0.3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" x14ac:dyDescent="0.3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" x14ac:dyDescent="0.3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" x14ac:dyDescent="0.3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" x14ac:dyDescent="0.3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" x14ac:dyDescent="0.3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" x14ac:dyDescent="0.3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" x14ac:dyDescent="0.3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" x14ac:dyDescent="0.3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" x14ac:dyDescent="0.3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" x14ac:dyDescent="0.3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" x14ac:dyDescent="0.3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" x14ac:dyDescent="0.3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" x14ac:dyDescent="0.3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" x14ac:dyDescent="0.3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" x14ac:dyDescent="0.3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20" sqref="B20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24.109375" customWidth="1"/>
    <col min="6" max="10" width="9.109375" customWidth="1"/>
    <col min="11" max="12" width="22" bestFit="1" customWidth="1"/>
    <col min="13" max="14" width="9.109375" customWidth="1"/>
  </cols>
  <sheetData>
    <row r="1" spans="1:12" ht="12.75" customHeight="1" x14ac:dyDescent="0.25">
      <c r="A1" t="s">
        <v>68</v>
      </c>
      <c r="B1" t="s">
        <v>69</v>
      </c>
    </row>
    <row r="3" spans="1:12" ht="13.2" x14ac:dyDescent="0.25">
      <c r="A3" t="s">
        <v>70</v>
      </c>
      <c r="B3" t="s">
        <v>3</v>
      </c>
      <c r="C3" t="s">
        <v>4</v>
      </c>
      <c r="D3" t="s">
        <v>71</v>
      </c>
      <c r="E3" s="2" t="s">
        <v>72</v>
      </c>
    </row>
    <row r="4" spans="1:12" ht="14.4" x14ac:dyDescent="0.3">
      <c r="A4" s="48" t="s">
        <v>73</v>
      </c>
      <c r="B4" t="s">
        <v>74</v>
      </c>
      <c r="C4" s="45" t="s">
        <v>75</v>
      </c>
      <c r="D4" s="44" t="s">
        <v>76</v>
      </c>
      <c r="E4" t="s">
        <v>77</v>
      </c>
      <c r="G4" s="3"/>
    </row>
    <row r="5" spans="1:12" ht="14.4" x14ac:dyDescent="0.3">
      <c r="A5" s="48" t="s">
        <v>78</v>
      </c>
      <c r="B5" t="s">
        <v>79</v>
      </c>
      <c r="C5" s="45" t="s">
        <v>75</v>
      </c>
      <c r="D5" s="44" t="s">
        <v>76</v>
      </c>
      <c r="E5" t="s">
        <v>77</v>
      </c>
      <c r="G5" s="3"/>
    </row>
    <row r="6" spans="1:12" ht="14.4" x14ac:dyDescent="0.3">
      <c r="A6" s="48" t="s">
        <v>80</v>
      </c>
      <c r="B6" t="s">
        <v>81</v>
      </c>
      <c r="C6" s="45" t="s">
        <v>75</v>
      </c>
      <c r="D6" s="44" t="s">
        <v>76</v>
      </c>
      <c r="E6" t="s">
        <v>77</v>
      </c>
      <c r="G6" s="3"/>
    </row>
    <row r="7" spans="1:12" ht="12.75" customHeight="1" x14ac:dyDescent="0.25">
      <c r="A7" s="48" t="s">
        <v>82</v>
      </c>
      <c r="B7" t="s">
        <v>83</v>
      </c>
      <c r="C7" s="45" t="s">
        <v>75</v>
      </c>
      <c r="D7" s="44"/>
      <c r="E7" t="s">
        <v>77</v>
      </c>
    </row>
    <row r="8" spans="1:12" ht="12.75" customHeight="1" x14ac:dyDescent="0.25">
      <c r="A8" s="48" t="s">
        <v>84</v>
      </c>
      <c r="B8" t="s">
        <v>85</v>
      </c>
      <c r="C8" s="45" t="s">
        <v>75</v>
      </c>
      <c r="D8" s="44" t="s">
        <v>76</v>
      </c>
      <c r="E8" t="s">
        <v>77</v>
      </c>
    </row>
    <row r="9" spans="1:12" ht="12.75" customHeight="1" x14ac:dyDescent="0.25">
      <c r="A9" s="54" t="s">
        <v>86</v>
      </c>
      <c r="B9" s="55" t="s">
        <v>87</v>
      </c>
      <c r="C9" s="45" t="s">
        <v>75</v>
      </c>
      <c r="D9" s="44" t="s">
        <v>76</v>
      </c>
      <c r="E9" t="s">
        <v>77</v>
      </c>
      <c r="K9" s="42"/>
      <c r="L9" s="42"/>
    </row>
    <row r="10" spans="1:12" ht="12.75" customHeight="1" x14ac:dyDescent="0.25">
      <c r="A10" s="54" t="s">
        <v>88</v>
      </c>
      <c r="B10" s="55" t="s">
        <v>89</v>
      </c>
      <c r="C10" s="45" t="s">
        <v>90</v>
      </c>
      <c r="D10" s="44"/>
      <c r="E10" t="s">
        <v>77</v>
      </c>
      <c r="K10" s="42"/>
      <c r="L10" s="42"/>
    </row>
    <row r="11" spans="1:12" ht="12.75" customHeight="1" x14ac:dyDescent="0.25">
      <c r="K11" s="42"/>
      <c r="L11" s="42"/>
    </row>
    <row r="12" spans="1:12" ht="12.75" customHeight="1" x14ac:dyDescent="0.25">
      <c r="K12" s="42"/>
      <c r="L12" s="42"/>
    </row>
    <row r="13" spans="1:12" ht="12.75" customHeight="1" x14ac:dyDescent="0.25">
      <c r="K13" s="42"/>
      <c r="L13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4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5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7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8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0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5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6.xml><?xml version="1.0" encoding="utf-8"?>
<ds:datastoreItem xmlns:ds="http://schemas.openxmlformats.org/officeDocument/2006/customXml" ds:itemID="{CCCA9FBC-8E40-46BA-AD66-4D0B4E588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7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8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9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20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3</cp:lastModifiedBy>
  <cp:revision/>
  <dcterms:created xsi:type="dcterms:W3CDTF">2021-01-01T16:39:53Z</dcterms:created>
  <dcterms:modified xsi:type="dcterms:W3CDTF">2025-06-04T12:35:05Z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2025-02-19T15:07:26Z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4f0b5842-f6c9-4578-8573-2512e3aad7f8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