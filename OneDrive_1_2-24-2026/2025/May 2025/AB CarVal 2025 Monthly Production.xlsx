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01"/>
  <workbookPr codeName="ThisWorkbook" defaultThemeVersion="166925"/>
  <mc:AlternateContent xmlns:mc="http://schemas.openxmlformats.org/markup-compatibility/2006">
    <mc:Choice Requires="x15">
      <x15ac:absPath xmlns:x15ac="http://schemas.microsoft.com/office/spreadsheetml/2010/11/ac" url="C:\Users\LibsysAdmin\Downloads\"/>
    </mc:Choice>
  </mc:AlternateContent>
  <xr:revisionPtr revIDLastSave="0" documentId="13_ncr:1_{6EE57CC1-C9CC-4CEB-98A6-E3AA5E4E3800}" xr6:coauthVersionLast="47" xr6:coauthVersionMax="47" xr10:uidLastSave="{00000000-0000-0000-0000-000000000000}"/>
  <bookViews>
    <workbookView xWindow="28680" yWindow="-120" windowWidth="29040" windowHeight="15720" tabRatio="866" firstSheet="9" activeTab="9"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1" hidden="1">Jan</definedName>
    <definedName name="_xlcn.WorksheetConnection_MultisiteTemplate2024MonthlyProduction.xlsxSites1"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 i="20" l="1"/>
  <c r="H6" i="20"/>
  <c r="H7" i="20"/>
  <c r="E6" i="20"/>
  <c r="E7" i="20"/>
  <c r="F6" i="20"/>
  <c r="E8" i="20"/>
  <c r="E9" i="20"/>
  <c r="F9" i="20" s="1"/>
  <c r="E10" i="20"/>
  <c r="E11" i="20"/>
  <c r="I7" i="20"/>
  <c r="I8" i="20"/>
  <c r="I9" i="20"/>
  <c r="I10" i="20"/>
  <c r="I11" i="20"/>
  <c r="I6" i="20"/>
  <c r="H8" i="20"/>
  <c r="H9" i="20"/>
  <c r="H10" i="20"/>
  <c r="H11" i="20"/>
  <c r="F7" i="20"/>
  <c r="F8" i="20"/>
  <c r="F10" i="20"/>
  <c r="F11" i="20"/>
  <c r="I11" i="21"/>
  <c r="H11" i="21"/>
  <c r="E11" i="21"/>
  <c r="F11" i="21" s="1"/>
  <c r="I8" i="21"/>
  <c r="H6" i="21"/>
  <c r="I6" i="21" s="1"/>
  <c r="H7" i="21"/>
  <c r="I7" i="21" s="1"/>
  <c r="H8" i="21"/>
  <c r="H9" i="21"/>
  <c r="I9" i="21" s="1"/>
  <c r="H10" i="21"/>
  <c r="H10" i="18" s="1"/>
  <c r="I10" i="18" s="1"/>
  <c r="F8" i="21"/>
  <c r="E6" i="21"/>
  <c r="F6" i="21" s="1"/>
  <c r="E7" i="21"/>
  <c r="F7" i="21" s="1"/>
  <c r="E8" i="21"/>
  <c r="E9" i="21"/>
  <c r="F9" i="21" s="1"/>
  <c r="E10" i="21"/>
  <c r="F10" i="21" s="1"/>
  <c r="I11" i="4"/>
  <c r="H11" i="4"/>
  <c r="F6" i="4"/>
  <c r="F7" i="4"/>
  <c r="F8" i="4"/>
  <c r="F9" i="4"/>
  <c r="F10" i="4"/>
  <c r="F11" i="4"/>
  <c r="E11" i="4"/>
  <c r="I6" i="4"/>
  <c r="I7" i="4"/>
  <c r="I8" i="4"/>
  <c r="I10" i="4"/>
  <c r="E6" i="4"/>
  <c r="E7" i="4"/>
  <c r="E8" i="4"/>
  <c r="E9" i="4"/>
  <c r="E10" i="4"/>
  <c r="H6" i="4"/>
  <c r="H7" i="4"/>
  <c r="H8" i="4"/>
  <c r="H9" i="4"/>
  <c r="I9" i="4" s="1"/>
  <c r="H10" i="4"/>
  <c r="I6" i="3"/>
  <c r="I7" i="3"/>
  <c r="I5" i="3"/>
  <c r="I5" i="72"/>
  <c r="I4" i="3"/>
  <c r="H6" i="3"/>
  <c r="H7" i="3"/>
  <c r="H8" i="3"/>
  <c r="I8" i="3" s="1"/>
  <c r="H9" i="3"/>
  <c r="I9" i="3" s="1"/>
  <c r="H10" i="3"/>
  <c r="I10" i="3" s="1"/>
  <c r="H11" i="3"/>
  <c r="I11" i="3" s="1"/>
  <c r="H5" i="3"/>
  <c r="E5" i="3"/>
  <c r="F6" i="3"/>
  <c r="F7" i="3"/>
  <c r="F5" i="3"/>
  <c r="F4" i="3"/>
  <c r="E6" i="3"/>
  <c r="E7" i="3"/>
  <c r="E8" i="3"/>
  <c r="F8" i="3" s="1"/>
  <c r="E9" i="3"/>
  <c r="F9" i="3" s="1"/>
  <c r="E10" i="3"/>
  <c r="F10" i="3" s="1"/>
  <c r="E11" i="3"/>
  <c r="F11" i="3" s="1"/>
  <c r="E4" i="3"/>
  <c r="I11" i="72"/>
  <c r="H11" i="72"/>
  <c r="F11" i="72"/>
  <c r="E11" i="72"/>
  <c r="I7" i="72"/>
  <c r="H7" i="72"/>
  <c r="H8" i="72"/>
  <c r="H9" i="72"/>
  <c r="I9" i="72" s="1"/>
  <c r="H10" i="72"/>
  <c r="I10" i="72" s="1"/>
  <c r="F7" i="72"/>
  <c r="F10" i="72"/>
  <c r="E7" i="72"/>
  <c r="E8" i="72"/>
  <c r="F8" i="72" s="1"/>
  <c r="E9" i="72"/>
  <c r="F9" i="72" s="1"/>
  <c r="E10" i="72"/>
  <c r="H6" i="33"/>
  <c r="I6" i="33" s="1"/>
  <c r="H7" i="33"/>
  <c r="I7" i="33" s="1"/>
  <c r="H8" i="33"/>
  <c r="I8" i="33" s="1"/>
  <c r="H9" i="33"/>
  <c r="I9" i="33" s="1"/>
  <c r="H10" i="33"/>
  <c r="I10" i="33" s="1"/>
  <c r="H11" i="33"/>
  <c r="I11" i="33" s="1"/>
  <c r="E6" i="33"/>
  <c r="F6" i="33" s="1"/>
  <c r="E7" i="33"/>
  <c r="F7" i="33" s="1"/>
  <c r="E8" i="33"/>
  <c r="F8" i="33" s="1"/>
  <c r="E9" i="33"/>
  <c r="F9" i="33" s="1"/>
  <c r="E10" i="33"/>
  <c r="F10" i="33" s="1"/>
  <c r="E11" i="33"/>
  <c r="F11" i="33" s="1"/>
  <c r="H8" i="28"/>
  <c r="I8" i="28" s="1"/>
  <c r="H9" i="28"/>
  <c r="I9" i="28" s="1"/>
  <c r="H10" i="28"/>
  <c r="I10" i="28" s="1"/>
  <c r="H11" i="28"/>
  <c r="I11" i="28" s="1"/>
  <c r="E8" i="28"/>
  <c r="F8" i="28" s="1"/>
  <c r="E9" i="28"/>
  <c r="F9" i="28" s="1"/>
  <c r="E10" i="28"/>
  <c r="F10" i="28" s="1"/>
  <c r="E11" i="28"/>
  <c r="F11" i="28" s="1"/>
  <c r="I5" i="27"/>
  <c r="I6" i="27"/>
  <c r="I7" i="27"/>
  <c r="H5" i="27"/>
  <c r="H6" i="27"/>
  <c r="H7" i="27"/>
  <c r="H8" i="27"/>
  <c r="I8" i="27" s="1"/>
  <c r="H9" i="27"/>
  <c r="I9" i="27" s="1"/>
  <c r="H10" i="27"/>
  <c r="I10" i="27" s="1"/>
  <c r="H11" i="27"/>
  <c r="I11" i="27" s="1"/>
  <c r="F7" i="27"/>
  <c r="E5" i="27"/>
  <c r="F5" i="27" s="1"/>
  <c r="E6" i="27"/>
  <c r="F6" i="27" s="1"/>
  <c r="E7" i="27"/>
  <c r="E8" i="27"/>
  <c r="F8" i="27" s="1"/>
  <c r="E9" i="27"/>
  <c r="F9" i="27" s="1"/>
  <c r="E10" i="27"/>
  <c r="F10" i="27" s="1"/>
  <c r="E11" i="27"/>
  <c r="F11" i="27" s="1"/>
  <c r="E8" i="26"/>
  <c r="F8" i="26" s="1"/>
  <c r="I6" i="26"/>
  <c r="I7" i="26"/>
  <c r="I10" i="26"/>
  <c r="I11" i="26"/>
  <c r="H5" i="26"/>
  <c r="I5" i="26" s="1"/>
  <c r="H6" i="26"/>
  <c r="H7" i="26"/>
  <c r="H8" i="26"/>
  <c r="H9" i="26"/>
  <c r="I9" i="26" s="1"/>
  <c r="H10" i="26"/>
  <c r="H11" i="26"/>
  <c r="H11" i="29" s="1"/>
  <c r="I11" i="29" s="1"/>
  <c r="F7" i="26"/>
  <c r="F9" i="26"/>
  <c r="E5" i="26"/>
  <c r="F5" i="26" s="1"/>
  <c r="E6" i="26"/>
  <c r="F6" i="26" s="1"/>
  <c r="E7" i="26"/>
  <c r="E9" i="26"/>
  <c r="E10" i="26"/>
  <c r="F10" i="26" s="1"/>
  <c r="E11" i="26"/>
  <c r="F11" i="26" s="1"/>
  <c r="E5" i="19"/>
  <c r="I6" i="19"/>
  <c r="I7" i="19"/>
  <c r="I8" i="19"/>
  <c r="I10" i="19"/>
  <c r="F5" i="19"/>
  <c r="F6" i="19"/>
  <c r="H5" i="19"/>
  <c r="I5" i="19" s="1"/>
  <c r="H6" i="19"/>
  <c r="H7" i="19"/>
  <c r="H8" i="19"/>
  <c r="H8" i="18" s="1"/>
  <c r="H9" i="19"/>
  <c r="H9" i="18" s="1"/>
  <c r="H10" i="19"/>
  <c r="H11" i="19"/>
  <c r="E6" i="19"/>
  <c r="E7" i="19"/>
  <c r="F7" i="19" s="1"/>
  <c r="E8" i="19"/>
  <c r="F8" i="19" s="1"/>
  <c r="E9" i="19"/>
  <c r="F9" i="19" s="1"/>
  <c r="E10" i="19"/>
  <c r="F10" i="19" s="1"/>
  <c r="E11" i="19"/>
  <c r="F11" i="19" s="1"/>
  <c r="H11" i="31"/>
  <c r="I11" i="31" s="1"/>
  <c r="H8" i="31"/>
  <c r="I8" i="31" s="1"/>
  <c r="H9" i="31"/>
  <c r="H10" i="31"/>
  <c r="I10" i="31" s="1"/>
  <c r="E8" i="31"/>
  <c r="F8" i="31" s="1"/>
  <c r="E9" i="31"/>
  <c r="F9" i="31" s="1"/>
  <c r="E10" i="31"/>
  <c r="F10" i="31" s="1"/>
  <c r="E11" i="31"/>
  <c r="F11" i="31" s="1"/>
  <c r="G8" i="30"/>
  <c r="G9" i="30"/>
  <c r="G10" i="30"/>
  <c r="G11" i="30"/>
  <c r="D8" i="30"/>
  <c r="D9" i="30"/>
  <c r="D10" i="30"/>
  <c r="D11" i="30"/>
  <c r="C8" i="30"/>
  <c r="C9" i="30"/>
  <c r="E9" i="30" s="1"/>
  <c r="F9" i="30" s="1"/>
  <c r="C10" i="30"/>
  <c r="C11" i="30"/>
  <c r="G8" i="1"/>
  <c r="G9" i="1"/>
  <c r="G10" i="1"/>
  <c r="G11" i="1"/>
  <c r="D8" i="1"/>
  <c r="D9" i="1"/>
  <c r="D10" i="1"/>
  <c r="D11" i="1"/>
  <c r="C8" i="1"/>
  <c r="C9" i="1"/>
  <c r="C10" i="1"/>
  <c r="C11" i="1"/>
  <c r="G8" i="18"/>
  <c r="G9" i="18"/>
  <c r="G10" i="18"/>
  <c r="G11" i="18"/>
  <c r="D8" i="18"/>
  <c r="D9" i="18"/>
  <c r="D10" i="18"/>
  <c r="D11" i="18"/>
  <c r="C8" i="18"/>
  <c r="C9" i="18"/>
  <c r="C10" i="18"/>
  <c r="C11" i="18"/>
  <c r="G8" i="29"/>
  <c r="G9" i="29"/>
  <c r="G10" i="29"/>
  <c r="G11" i="29"/>
  <c r="D8" i="29"/>
  <c r="D9" i="29"/>
  <c r="D10" i="29"/>
  <c r="D11" i="29"/>
  <c r="C8" i="29"/>
  <c r="C9" i="29"/>
  <c r="C10" i="29"/>
  <c r="C11" i="29"/>
  <c r="I9" i="18" l="1"/>
  <c r="H11" i="18"/>
  <c r="I11" i="18" s="1"/>
  <c r="I10" i="21"/>
  <c r="H11" i="1"/>
  <c r="I11" i="1" s="1"/>
  <c r="H8" i="1"/>
  <c r="H10" i="1"/>
  <c r="I10" i="1" s="1"/>
  <c r="H9" i="1"/>
  <c r="I9" i="1" s="1"/>
  <c r="I8" i="72"/>
  <c r="E11" i="30"/>
  <c r="F11" i="30" s="1"/>
  <c r="I11" i="19"/>
  <c r="E11" i="18"/>
  <c r="F11" i="18" s="1"/>
  <c r="H10" i="29"/>
  <c r="I10" i="29" s="1"/>
  <c r="H9" i="29"/>
  <c r="I9" i="29" s="1"/>
  <c r="I9" i="19"/>
  <c r="H8" i="29"/>
  <c r="I8" i="29" s="1"/>
  <c r="I8" i="26"/>
  <c r="I8" i="18"/>
  <c r="E9" i="1"/>
  <c r="F9" i="1" s="1"/>
  <c r="E11" i="1"/>
  <c r="F11" i="1" s="1"/>
  <c r="E10" i="1"/>
  <c r="F10" i="1" s="1"/>
  <c r="E8" i="1"/>
  <c r="F8" i="1" s="1"/>
  <c r="I8" i="1"/>
  <c r="E10" i="18"/>
  <c r="F10" i="18" s="1"/>
  <c r="E9" i="18"/>
  <c r="F9" i="18" s="1"/>
  <c r="E8" i="18"/>
  <c r="F8" i="18" s="1"/>
  <c r="D8" i="34"/>
  <c r="C10" i="34"/>
  <c r="E11" i="29"/>
  <c r="F11" i="29" s="1"/>
  <c r="E10" i="29"/>
  <c r="F10" i="29" s="1"/>
  <c r="E9" i="29"/>
  <c r="F9" i="29" s="1"/>
  <c r="E8" i="29"/>
  <c r="F8" i="29" s="1"/>
  <c r="D9" i="34"/>
  <c r="C11" i="34"/>
  <c r="G11" i="34"/>
  <c r="G10" i="34"/>
  <c r="C8" i="34"/>
  <c r="G9" i="34"/>
  <c r="D11" i="34"/>
  <c r="G8" i="34"/>
  <c r="D10" i="34"/>
  <c r="E10" i="30"/>
  <c r="F10" i="30" s="1"/>
  <c r="C9" i="34"/>
  <c r="I9" i="31"/>
  <c r="E8" i="30"/>
  <c r="F8" i="30" s="1"/>
  <c r="E10" i="34" l="1"/>
  <c r="F10" i="34" s="1"/>
  <c r="E9" i="34"/>
  <c r="F9" i="34" s="1"/>
  <c r="E8" i="34"/>
  <c r="F8" i="34" s="1"/>
  <c r="E11" i="34"/>
  <c r="F11" i="34" s="1"/>
  <c r="H8" i="32"/>
  <c r="H8" i="30" s="1"/>
  <c r="I8" i="30" s="1"/>
  <c r="H9" i="32"/>
  <c r="H10" i="32"/>
  <c r="H11" i="32"/>
  <c r="E8" i="32"/>
  <c r="F8" i="32" s="1"/>
  <c r="E9" i="32"/>
  <c r="F9" i="32" s="1"/>
  <c r="E10" i="32"/>
  <c r="F10" i="32" s="1"/>
  <c r="E11" i="32"/>
  <c r="F11" i="32" s="1"/>
  <c r="G5" i="30"/>
  <c r="G6" i="30"/>
  <c r="G7" i="30"/>
  <c r="G4" i="30"/>
  <c r="D5" i="30"/>
  <c r="D6" i="30"/>
  <c r="D7" i="30"/>
  <c r="C5" i="30"/>
  <c r="C6" i="30"/>
  <c r="E6" i="30" s="1"/>
  <c r="F6" i="30" s="1"/>
  <c r="C7" i="30"/>
  <c r="E7" i="30" s="1"/>
  <c r="F7" i="30" s="1"/>
  <c r="H6" i="18"/>
  <c r="H7" i="18"/>
  <c r="G5" i="18"/>
  <c r="G6" i="18"/>
  <c r="G7" i="18"/>
  <c r="D5" i="18"/>
  <c r="D6" i="18"/>
  <c r="D7" i="18"/>
  <c r="C5" i="18"/>
  <c r="E5" i="18" s="1"/>
  <c r="F5" i="18" s="1"/>
  <c r="C6" i="18"/>
  <c r="E6" i="18" s="1"/>
  <c r="F6" i="18" s="1"/>
  <c r="C7" i="18"/>
  <c r="E7" i="18" s="1"/>
  <c r="F7" i="18" s="1"/>
  <c r="H7" i="1"/>
  <c r="G6" i="1"/>
  <c r="G7" i="1"/>
  <c r="G5" i="1"/>
  <c r="D6" i="1"/>
  <c r="D7" i="1"/>
  <c r="D5" i="1"/>
  <c r="C5" i="1"/>
  <c r="E5" i="1" s="1"/>
  <c r="F5" i="1" s="1"/>
  <c r="C6" i="1"/>
  <c r="C7" i="1"/>
  <c r="H6" i="32"/>
  <c r="I6" i="32" s="1"/>
  <c r="H7" i="32"/>
  <c r="I7" i="32" s="1"/>
  <c r="H4" i="32"/>
  <c r="I4" i="32"/>
  <c r="E6" i="32"/>
  <c r="F6" i="32" s="1"/>
  <c r="E7" i="32"/>
  <c r="F7" i="32" s="1"/>
  <c r="A4" i="31" a="1"/>
  <c r="A4" i="31" s="1"/>
  <c r="H6" i="31"/>
  <c r="I6" i="31" s="1"/>
  <c r="H7" i="31"/>
  <c r="I7" i="31" s="1"/>
  <c r="E6" i="31"/>
  <c r="F6" i="31" s="1"/>
  <c r="E7" i="31"/>
  <c r="F7" i="31" s="1"/>
  <c r="H5" i="29"/>
  <c r="I5" i="29" s="1"/>
  <c r="H7" i="29"/>
  <c r="I7" i="29" s="1"/>
  <c r="D5" i="29"/>
  <c r="D6" i="29"/>
  <c r="D7" i="29"/>
  <c r="C5" i="29"/>
  <c r="E5" i="29" s="1"/>
  <c r="F5" i="29" s="1"/>
  <c r="C6" i="29"/>
  <c r="E6" i="29" s="1"/>
  <c r="F6" i="29" s="1"/>
  <c r="C7" i="29"/>
  <c r="E7" i="29" s="1"/>
  <c r="F7" i="29" s="1"/>
  <c r="G5" i="29"/>
  <c r="G6" i="29"/>
  <c r="G7" i="29"/>
  <c r="G4" i="29"/>
  <c r="G2" i="29" s="1"/>
  <c r="H6" i="28"/>
  <c r="I6" i="28" s="1"/>
  <c r="H7" i="28"/>
  <c r="I7" i="28" s="1"/>
  <c r="F6" i="28"/>
  <c r="E6" i="28"/>
  <c r="E7" i="28"/>
  <c r="F7" i="28" s="1"/>
  <c r="G4" i="18"/>
  <c r="G2" i="18" s="1"/>
  <c r="B4" i="33" a="1"/>
  <c r="B4" i="33" s="1"/>
  <c r="A4" i="33" a="1"/>
  <c r="A4" i="33" s="1"/>
  <c r="B4" i="32" a="1"/>
  <c r="B4" i="32" s="1"/>
  <c r="A4" i="32" a="1"/>
  <c r="A4" i="32" s="1"/>
  <c r="B4" i="31" a="1"/>
  <c r="B4" i="31" s="1"/>
  <c r="B4" i="19" a="1"/>
  <c r="B4" i="19" s="1"/>
  <c r="A4" i="19" a="1"/>
  <c r="A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72" a="1"/>
  <c r="A4" i="72" s="1"/>
  <c r="A4" i="30" a="1"/>
  <c r="A4" i="30" s="1"/>
  <c r="B4" i="72" a="1"/>
  <c r="B4" i="72" s="1"/>
  <c r="H4" i="3"/>
  <c r="E6" i="72"/>
  <c r="F6" i="72" s="1"/>
  <c r="H6" i="72"/>
  <c r="I6" i="72" s="1"/>
  <c r="G4" i="1"/>
  <c r="B4" i="34" a="1"/>
  <c r="B4" i="34" s="1"/>
  <c r="A4" i="34" a="1"/>
  <c r="A4" i="34" s="1"/>
  <c r="A1" i="34" a="1"/>
  <c r="A1" i="34" s="1"/>
  <c r="D4" i="30"/>
  <c r="C4" i="30"/>
  <c r="D4" i="29"/>
  <c r="C4" i="29"/>
  <c r="D4" i="18"/>
  <c r="C4" i="18"/>
  <c r="B4" i="30" a="1"/>
  <c r="B4" i="30" s="1"/>
  <c r="A1" i="30" a="1"/>
  <c r="A1" i="30" s="1"/>
  <c r="B4" i="29" a="1"/>
  <c r="B4" i="29" s="1"/>
  <c r="A4" i="29" a="1"/>
  <c r="A4" i="29" s="1"/>
  <c r="A1" i="29" a="1"/>
  <c r="A1" i="29" s="1"/>
  <c r="B4" i="18" a="1"/>
  <c r="B4" i="18" s="1"/>
  <c r="A4" i="18" a="1"/>
  <c r="A4" i="18" s="1"/>
  <c r="A1" i="18" a="1"/>
  <c r="A1" i="18" s="1"/>
  <c r="C4" i="1"/>
  <c r="D4" i="1"/>
  <c r="B4" i="1" a="1"/>
  <c r="B4" i="1" s="1"/>
  <c r="A4" i="1" a="1"/>
  <c r="A4" i="1" s="1"/>
  <c r="A1" i="1" a="1"/>
  <c r="A1" i="1" s="1"/>
  <c r="H5" i="33"/>
  <c r="I5" i="33" s="1"/>
  <c r="E5" i="33"/>
  <c r="F5" i="33" s="1"/>
  <c r="H4" i="33"/>
  <c r="I4" i="33" s="1"/>
  <c r="E4" i="33"/>
  <c r="F4" i="33" s="1"/>
  <c r="G2" i="33"/>
  <c r="D2" i="33"/>
  <c r="C2" i="33"/>
  <c r="A1" i="33" a="1"/>
  <c r="A1" i="33" s="1"/>
  <c r="H5" i="32"/>
  <c r="I5" i="32" s="1"/>
  <c r="E5" i="32"/>
  <c r="F5" i="32" s="1"/>
  <c r="E4" i="32"/>
  <c r="F4" i="32" s="1"/>
  <c r="G2" i="32"/>
  <c r="D2" i="32"/>
  <c r="C2" i="32"/>
  <c r="A1" i="32" a="1"/>
  <c r="A1" i="32" s="1"/>
  <c r="H5" i="31"/>
  <c r="I5" i="31" s="1"/>
  <c r="E5" i="31"/>
  <c r="F5" i="31" s="1"/>
  <c r="H4" i="31"/>
  <c r="I4" i="31" s="1"/>
  <c r="E4" i="31"/>
  <c r="F4" i="31" s="1"/>
  <c r="G2" i="31"/>
  <c r="D2" i="31"/>
  <c r="C2" i="31"/>
  <c r="A1" i="31" a="1"/>
  <c r="A1" i="31" s="1"/>
  <c r="H5" i="28"/>
  <c r="I5" i="28" s="1"/>
  <c r="E5" i="28"/>
  <c r="F5" i="28" s="1"/>
  <c r="H4" i="28"/>
  <c r="I4" i="28" s="1"/>
  <c r="E4" i="28"/>
  <c r="F4" i="28" s="1"/>
  <c r="B4" i="28" a="1"/>
  <c r="B4" i="28" s="1"/>
  <c r="A4" i="28" a="1"/>
  <c r="A4" i="28" s="1"/>
  <c r="G2" i="28"/>
  <c r="D2" i="28"/>
  <c r="C2" i="28"/>
  <c r="A1" i="28" a="1"/>
  <c r="A1" i="28" s="1"/>
  <c r="H4" i="27"/>
  <c r="I4" i="27" s="1"/>
  <c r="E4" i="27"/>
  <c r="F4" i="27" s="1"/>
  <c r="G2" i="27"/>
  <c r="D2" i="27"/>
  <c r="C2" i="27"/>
  <c r="A1" i="27" a="1"/>
  <c r="A1" i="27" s="1"/>
  <c r="H4" i="26"/>
  <c r="I4" i="26" s="1"/>
  <c r="E4" i="26"/>
  <c r="F4" i="26" s="1"/>
  <c r="G2" i="26"/>
  <c r="D2" i="26"/>
  <c r="C2" i="26"/>
  <c r="A1" i="26" a="1"/>
  <c r="A1" i="26" s="1"/>
  <c r="H4" i="19"/>
  <c r="I4" i="19" s="1"/>
  <c r="E4" i="19"/>
  <c r="F4" i="19" s="1"/>
  <c r="G2" i="19"/>
  <c r="D2" i="19"/>
  <c r="C2" i="19"/>
  <c r="A1" i="19" a="1"/>
  <c r="A1" i="19" s="1"/>
  <c r="I5" i="20"/>
  <c r="E5" i="20"/>
  <c r="F5" i="20" s="1"/>
  <c r="H4" i="20"/>
  <c r="I4" i="20" s="1"/>
  <c r="E4" i="20"/>
  <c r="F4" i="20" s="1"/>
  <c r="G2" i="20"/>
  <c r="D2" i="20"/>
  <c r="C2" i="20"/>
  <c r="A1" i="20" a="1"/>
  <c r="A1" i="20" s="1"/>
  <c r="H5" i="21"/>
  <c r="I5" i="21" s="1"/>
  <c r="E5" i="21"/>
  <c r="F5" i="21" s="1"/>
  <c r="H4" i="21"/>
  <c r="I4" i="21" s="1"/>
  <c r="E4" i="21"/>
  <c r="F4" i="21" s="1"/>
  <c r="G2" i="21"/>
  <c r="D2" i="21"/>
  <c r="C2" i="21"/>
  <c r="A1" i="21" a="1"/>
  <c r="A1" i="21" s="1"/>
  <c r="H5" i="4"/>
  <c r="I5" i="4" s="1"/>
  <c r="E5" i="4"/>
  <c r="F5" i="4" s="1"/>
  <c r="H4" i="4"/>
  <c r="I4" i="4" s="1"/>
  <c r="E4" i="4"/>
  <c r="F4" i="4" s="1"/>
  <c r="G2" i="4"/>
  <c r="D2" i="4"/>
  <c r="C2" i="4"/>
  <c r="A1" i="4" a="1"/>
  <c r="A1" i="4" s="1"/>
  <c r="G2" i="3"/>
  <c r="D2" i="3"/>
  <c r="C2" i="3"/>
  <c r="J2" i="3" s="1"/>
  <c r="A1" i="3" a="1"/>
  <c r="A1" i="3" s="1"/>
  <c r="E5" i="72"/>
  <c r="F5" i="72" s="1"/>
  <c r="H5" i="72"/>
  <c r="H4" i="72"/>
  <c r="I4" i="72" s="1"/>
  <c r="G2" i="72"/>
  <c r="D2" i="72"/>
  <c r="C2" i="72"/>
  <c r="J2" i="72" s="1"/>
  <c r="E4" i="72"/>
  <c r="F4" i="72" s="1"/>
  <c r="A1" i="72" a="1"/>
  <c r="A1" i="72" s="1"/>
  <c r="G5" i="34" l="1"/>
  <c r="H6" i="29"/>
  <c r="I6" i="29" s="1"/>
  <c r="I7" i="18"/>
  <c r="I6" i="18"/>
  <c r="D2" i="18"/>
  <c r="H8" i="34"/>
  <c r="I8" i="34" s="1"/>
  <c r="H6" i="30"/>
  <c r="I6" i="30" s="1"/>
  <c r="H7" i="30"/>
  <c r="I7" i="30" s="1"/>
  <c r="I9" i="32"/>
  <c r="H9" i="30"/>
  <c r="I8" i="32"/>
  <c r="E5" i="30"/>
  <c r="F5" i="30" s="1"/>
  <c r="I11" i="32"/>
  <c r="H11" i="30"/>
  <c r="I10" i="32"/>
  <c r="H10" i="30"/>
  <c r="H2" i="33"/>
  <c r="I2" i="33" s="1"/>
  <c r="H5" i="30"/>
  <c r="I5" i="30" s="1"/>
  <c r="G2" i="30"/>
  <c r="D2" i="30"/>
  <c r="D5" i="34"/>
  <c r="H5" i="18"/>
  <c r="I5" i="18" s="1"/>
  <c r="C5" i="34"/>
  <c r="E5" i="34" s="1"/>
  <c r="F5" i="34" s="1"/>
  <c r="I7" i="1"/>
  <c r="H5" i="1"/>
  <c r="D6" i="34"/>
  <c r="G7" i="34"/>
  <c r="E7" i="1"/>
  <c r="F7" i="1" s="1"/>
  <c r="G6" i="34"/>
  <c r="E6" i="1"/>
  <c r="F6" i="1" s="1"/>
  <c r="H6" i="1"/>
  <c r="I6" i="1" s="1"/>
  <c r="D7" i="34"/>
  <c r="C7" i="34"/>
  <c r="E7" i="34" s="1"/>
  <c r="F7" i="34" s="1"/>
  <c r="C6" i="34"/>
  <c r="H2" i="32"/>
  <c r="I2" i="32" s="1"/>
  <c r="H2" i="31"/>
  <c r="I2" i="31" s="1"/>
  <c r="H2" i="28"/>
  <c r="I2" i="28" s="1"/>
  <c r="E2" i="20"/>
  <c r="F2" i="20" s="1"/>
  <c r="G4" i="34"/>
  <c r="H2" i="21"/>
  <c r="I2" i="21" s="1"/>
  <c r="E4" i="18"/>
  <c r="F4" i="18" s="1"/>
  <c r="H2" i="4"/>
  <c r="I2" i="4" s="1"/>
  <c r="J2" i="4"/>
  <c r="J2" i="33"/>
  <c r="J2" i="21"/>
  <c r="J2" i="20"/>
  <c r="H2" i="19"/>
  <c r="I2" i="19" s="1"/>
  <c r="H2" i="26"/>
  <c r="I2" i="26" s="1"/>
  <c r="E2" i="28"/>
  <c r="F2" i="28" s="1"/>
  <c r="J2" i="19"/>
  <c r="D2" i="29"/>
  <c r="J2" i="26"/>
  <c r="H2" i="20"/>
  <c r="I2" i="20" s="1"/>
  <c r="J2" i="28"/>
  <c r="J2" i="31"/>
  <c r="E4" i="30"/>
  <c r="F4" i="30" s="1"/>
  <c r="J2" i="32"/>
  <c r="D4" i="34"/>
  <c r="H2" i="27"/>
  <c r="I2" i="27" s="1"/>
  <c r="J2" i="27"/>
  <c r="H2" i="3"/>
  <c r="I2" i="3" s="1"/>
  <c r="G2" i="1"/>
  <c r="H4" i="30"/>
  <c r="I4" i="30" s="1"/>
  <c r="H4" i="29"/>
  <c r="I4" i="29" s="1"/>
  <c r="H4" i="18"/>
  <c r="I4" i="18" s="1"/>
  <c r="C4" i="34"/>
  <c r="C2" i="29"/>
  <c r="C2" i="30"/>
  <c r="E4" i="29"/>
  <c r="F4" i="29" s="1"/>
  <c r="C2" i="18"/>
  <c r="H4" i="1"/>
  <c r="C2" i="1"/>
  <c r="E2" i="3"/>
  <c r="F2" i="3" s="1"/>
  <c r="E4" i="1"/>
  <c r="F4" i="1" s="1"/>
  <c r="D2" i="1"/>
  <c r="E2" i="33"/>
  <c r="F2" i="33" s="1"/>
  <c r="E2" i="32"/>
  <c r="F2" i="32" s="1"/>
  <c r="E2" i="31"/>
  <c r="F2" i="31" s="1"/>
  <c r="E2" i="27"/>
  <c r="F2" i="27" s="1"/>
  <c r="E2" i="26"/>
  <c r="F2" i="26" s="1"/>
  <c r="E2" i="19"/>
  <c r="F2" i="19" s="1"/>
  <c r="E2" i="21"/>
  <c r="F2" i="21" s="1"/>
  <c r="E2" i="4"/>
  <c r="F2" i="4" s="1"/>
  <c r="H2" i="72"/>
  <c r="H7" i="34" l="1"/>
  <c r="I7" i="34" s="1"/>
  <c r="I9" i="30"/>
  <c r="H9" i="34"/>
  <c r="I9" i="34" s="1"/>
  <c r="I10" i="30"/>
  <c r="H10" i="34"/>
  <c r="I10" i="34" s="1"/>
  <c r="H11" i="34"/>
  <c r="I11" i="34" s="1"/>
  <c r="I11" i="30"/>
  <c r="D2" i="34"/>
  <c r="E2" i="29"/>
  <c r="F2" i="29" s="1"/>
  <c r="H6" i="34"/>
  <c r="I6" i="34" s="1"/>
  <c r="G2" i="34"/>
  <c r="E6" i="34"/>
  <c r="F6" i="34" s="1"/>
  <c r="H5" i="34"/>
  <c r="I5" i="34" s="1"/>
  <c r="I5" i="1"/>
  <c r="E4" i="34"/>
  <c r="F4" i="34" s="1"/>
  <c r="H2" i="1"/>
  <c r="I2" i="1" s="1"/>
  <c r="C2" i="34"/>
  <c r="I4" i="1"/>
  <c r="H4" i="34"/>
  <c r="I4" i="34" s="1"/>
  <c r="H2" i="29"/>
  <c r="I2" i="29" s="1"/>
  <c r="H2" i="30"/>
  <c r="I2" i="30" s="1"/>
  <c r="E2" i="30"/>
  <c r="F2" i="30" s="1"/>
  <c r="H2" i="18"/>
  <c r="I2" i="18" s="1"/>
  <c r="E2" i="18"/>
  <c r="F2" i="18" s="1"/>
  <c r="E2" i="1"/>
  <c r="F2" i="1" s="1"/>
  <c r="I2" i="72"/>
  <c r="E2" i="72"/>
  <c r="F2" i="72" s="1"/>
  <c r="H2" i="34" l="1"/>
  <c r="I2" i="34" s="1"/>
  <c r="E2" i="34"/>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1"/>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<sst xmlns="http://schemas.openxmlformats.org/spreadsheetml/2006/main" count="394" uniqueCount="178">
  <si>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</si>
  <si>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</si>
  <si>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</si>
  <si>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</si>
  <si>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</si>
  <si>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</si>
  <si>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</si>
  <si>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</si>
  <si>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</si>
  <si>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</si>
  <si>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</si>
  <si>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</si>
  <si>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</si>
  <si>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</si>
  <si>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</si>
  <si>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</si>
  <si>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</si>
  <si>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</si>
  <si>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</si>
  <si>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</si>
  <si>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</si>
  <si>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</si>
  <si>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1.The weather station stopped communicating from 12:30 AM on 01/16/25 due to the SCADA server and Watchdog not running on the server end,later back online at 10:00 AM on 01/27/25.
2. Inverter 1.2 has been derating by 80 kW at 13:30 on 01/28/25 and has self resolved at 6:30am on 01/29/25 due to Internal fan fault</t>
  </si>
  <si>
    <t>1. SR095612
2. SR096082</t>
  </si>
  <si>
    <t>SR096082</t>
  </si>
  <si>
    <t>1. The site experienced frequent outages throughout the month due to PG&amp;E curtailments.
2. Tracker controller 3, tracker set position 2 reporting erroneous value and tracker position motor 2 was stuck at 50.76 Degrees. Tracker need New encoder.
3. Site was offline from 13:00 to 14:30 on 01/16
4.Combiner boxes 1.19, 1.21, 1.23, 1.25, 1.27, 3.20, 3.22, 3.24, 3.26, 3.28, are underperforming from 12/23/24. Will Investigate  during PM inspection
5. Inverter 3 is started late and reporting reversed branch overcurrent on 01/02, 01/03 , 01/17</t>
  </si>
  <si>
    <t>1.SR095240
2. 	SR094675
3.SR095640
4.	SR095229
5.	SR094991</t>
  </si>
  <si>
    <t>SR094675</t>
  </si>
  <si>
    <t>SR095640</t>
  </si>
  <si>
    <t>SR095229</t>
  </si>
  <si>
    <t>SR094991</t>
  </si>
  <si>
    <t>1. Inverter 6 is being RMA'd due to internal board failure.
2. Site was tripped offline on 12/31/24 at 14:00 and came back online on 01/02/25 at 12:00 after the technician re-energized the site and corrected the incorrect Grid Connect rule for Inverter 1.
3. Inverter 1 is started late for production at 8:30AM on 01/17 due to an momentary Isolation Error.</t>
  </si>
  <si>
    <t>1.SR095174, SR095112
2. SR095204
3. SR095076</t>
  </si>
  <si>
    <t>SR095112</t>
  </si>
  <si>
    <t>SR095204</t>
  </si>
  <si>
    <t>SR095076</t>
  </si>
  <si>
    <t>1. Site was brought back online at 1:15PM on 01/08/25 after the SMA technician repalced the  AC control board.
2. Inverter tripped offline at 14:25 on 01/30 later remotely closed at 16:00 on 01/30</t>
  </si>
  <si>
    <t>1.SR093625
2.SR096136</t>
  </si>
  <si>
    <t>SR096136</t>
  </si>
  <si>
    <t>1.Low generation due to weather/snow.</t>
  </si>
  <si>
    <t>1. Site was tripped offline at 10:30AM on 01/02/2025. It was brought back online at 2:35PM on same day after technician closing the SEL relay.</t>
  </si>
  <si>
    <t>1. SR095236</t>
  </si>
  <si>
    <t>1. Site was offline at 8:40 AM on 01/15/25. It was brought back online, and communication was restored at 7:05 AM on 01/16/25 after the technician power-cycled the Dell Data Processor on 01/18/25.
2. Inverters have been offline since 01/23/25 and PE brought all DC converters online by replacing the softcharge contactors on 01/24/25.
3. Inverter 2 tripped offline at 15:50 on 01/29 due to loose fiber optic cable causing a false F25 fault which opens the AC breaker and was brought back online on 01/30/25 after the technician charged the main AC breaker.</t>
  </si>
  <si>
    <t>1. SR095594
2. SR095883
3. SR096095</t>
  </si>
  <si>
    <t>SR095883</t>
  </si>
  <si>
    <t>SR096095</t>
  </si>
  <si>
    <t>February Actual v. Expected</t>
  </si>
  <si>
    <t>February Actual v. Forecasted</t>
  </si>
  <si>
    <t>1. Inverter 1.2 was derated by 80KW on 02/21 due to Intermal fan fault error and is being RMA'D by CES.
2.Inverters 1.1, 2.4, 2.5, 2.6 have consistent late starts on multiple days of the Month due to Isolation or ground fault. On 02/20 technician arrived and stated that multiple modules were broken and need to be replaced.
3.Site stopped communicating from 12:15PM to 17:45PM on 02/27. Energy data was not backfilled.</t>
  </si>
  <si>
    <t>1.SR096082
2.SR096248
3.SR097890</t>
  </si>
  <si>
    <t>SR096248</t>
  </si>
  <si>
    <t>SR097890</t>
  </si>
  <si>
    <t xml:space="preserve">1. The site experienced frequent outages throughout the month due to PG&amp;E curtailments.
2. Inverter 3 tracker controller 3 motor 2 position stuck at 50.76 Degrees. Tracker need New encoder. On 02/07 Tech replaced encoder on tracker 2. After replacing encoder, tech logged into PLC and cleared encoder fault. Array began tracking correctly. Tech also found tracker 3 motor 4 array to be stuck in the east position. Tech troubleshot motor control box and cleared fault
3.Inverter 3 has multiple tripping events through out the month due to Reverse Branch Overcurrent fault and tripped offline from 02/24 at 14:30 due to DC over current fault. On 02/25 tech checked in and stated that Ground fault fuses needed.
4.Tracker 3 motor 4 is stuck at 51.83 degrees; setpoint is -52 degrees from 02/02 due to Critical torque tube failure and encoder needs to be replaced.
5.Site has stopped communicating at 14:15 on 02/26 due to ground fuse blown and after tech turned DC and AC power back on and aux cabinet power returned, and communications restored at 11:30 on 02/27.
</t>
  </si>
  <si>
    <t xml:space="preserve">1.SR095240
2.SR094675
3.SR094991, SR097738 &amp; SR097867
4.SR096704
5.SR097845
</t>
  </si>
  <si>
    <t>SR097738</t>
  </si>
  <si>
    <t>SR097867</t>
  </si>
  <si>
    <t>SR096704</t>
  </si>
  <si>
    <t>SR097845</t>
  </si>
  <si>
    <t>1.Inverter 6 is being RMA'd due to internal board failure since 12/27/24 and back online at 14:45 on 02/27/25 after tech replaced RMA'd Inverter with new inverter.
2.Site tripped offline at 8:45AM on 02/05 and back online at 11:45AM on 02/07 after tech closed the reclouser and re-enerzised the site.</t>
  </si>
  <si>
    <t>1.SR095174, SR095112
2.SR096337</t>
  </si>
  <si>
    <t>SR096337</t>
  </si>
  <si>
    <t>1. Inverter was tripping on/off on 02/01 &amp; 02/02 due to contact fault in the DCs.Site was taken offline from 09:50 to 10:20 on 02/04 due to technician checked-in to perform hard resets of all SMA devices,power cycled the inverter at the start/stop switch, all DC/DC combiners were power cycled at the start/stop switch and internal AC breaker later meter stopped communicating from 02/06 to 02/08 but production can be confirmed at inverter level, due to that Actual energy was low. 
Inverter was offline from 02/13 and back online at 14:05 on 02/19. 
Site was taken offline from 13:40 to 15:00 on 02/20 due to technician on site to repair the Inverter.
Again tripped offline from  02/20 at 15:30 due to AC Separating Point fault till date.
2.Site was offline on 02/18 due to utility outage and back online at 14:05 on 02/19 after technician re-enerzised.</t>
  </si>
  <si>
    <t>1.SR096224
2.SR097244</t>
  </si>
  <si>
    <t>1.The underperformance is due to a weather event, and no outage events were observed during the month of February.</t>
  </si>
  <si>
    <t>1. Inverter 2 was taken offline from 3:20 PM to 4:55 PM on 02/19/25 by the PE technician to inspect the PE retrofit snow kit.</t>
  </si>
  <si>
    <t>1. SR097528</t>
  </si>
  <si>
    <t>1. Site was taken offline by Eversource for maintenance work from 02/03/25 to 02/06/25. The utility restored the system each afternoon and took it offline again the next day during this period.
2. Inverter 1 &amp; 2 tripped offline at 02:30PM on 02/06/25 due to a F154:Fb DC Breaker 2 fault. On 02/07/25, the technician  went through the recommended PE reset procedure of keying off the inverter,  the inverter was keyed back on at 03:15 and was able to clear the fault and begin producing power at the expected rate the same day.
3. Inverter module 4 was offline on 02/20/25. The technician re-enabled module 4 and brought it back online at 12:45 the same day.</t>
  </si>
  <si>
    <t>1.  SR096254
2. SR096363
3. SR097551</t>
  </si>
  <si>
    <t>SR096363</t>
  </si>
  <si>
    <t>SR097551</t>
  </si>
  <si>
    <t>March Actual v. Expected</t>
  </si>
  <si>
    <t>March Actual v. Forecasted</t>
  </si>
  <si>
    <t>1.Site tripped offline at 14:40 on 03/13 and back online at 12:15PM on 03/14 after technician reset SEL Relay.</t>
  </si>
  <si>
    <t>1.SR098555</t>
  </si>
  <si>
    <t>1.Inverter 1.2 was RMA'D from 02/21 and on 03/21 technician replaced RMA'D inverter with new chint inverter.
2.Inverters 1.1, 2.4, 2.5, 2.6 have consistent late starts on multiple days of the month due to Isolation or ground fault. 
3.Tracker Controller 2 Motor 2 is stuck at 8:15AM on 03/03 and back in track at 7:45AM on 03/05.</t>
  </si>
  <si>
    <t>1.SR096082
2.SR098340
3.SR097932</t>
  </si>
  <si>
    <t>SR098340</t>
  </si>
  <si>
    <t>SR097932</t>
  </si>
  <si>
    <t>1. Inverter 1 has been underproducing by 500 kW compared to Inverter 2 since 03/25/25. On 03/28/25, the technician performed inverter testing and noticed a white sedan with two individuals working on wire maintenance in the array. This may have impacted combiner production, and the underperformance decreased to 200 kW, it requiresadditional troubleshooting.
2. Tracker 3 motor 4 is stuck at 51.83 degrees; setpoint is -52 degrees from 02/02 due to Critical torque tube failure and encoder needs to be replaced.
3. Inverter 3 is offline  at 14:30 from 02/24, through out the month due to ground fault and parts being replaced.
4. The site experienced frequent curtailments throughout the month from PG&amp;E.
5. Tracker controller 1 tracker position motor 1 is stuck at -39.20 degrees at  07:45 on 03/31</t>
  </si>
  <si>
    <t>1. SR098969
2. SR096704
3. SR097867, SR097738
4. SR095240, 	SR098618
5. SR099296</t>
  </si>
  <si>
    <t>SR095240</t>
  </si>
  <si>
    <t>SR098618</t>
  </si>
  <si>
    <t>SR099296</t>
  </si>
  <si>
    <t>1. Inverter 6 was offline from 06:00 AM to 07:00 AM on 03/04 and later self-resolved.
2. Inverters 1 to 5 and 8 to 13 tripped offline from 12:15 PM to 15:45 PM on 03/05 due to a technician being on site.</t>
  </si>
  <si>
    <t>1.  SR095174
2.  SR095174</t>
  </si>
  <si>
    <t>SR095174</t>
  </si>
  <si>
    <t>1.Inverter 1 tripped offline at 03:25PM on 02/20 due to AC Separating Point fault and back online at 10:40AM on 03/03 after both ameresco and SMA technicians repaired.
Inverter again tripped offline at 12PM on 03/04 due to AC Separating Point fault and back online at 10AM on 03/25 after technician repiared a loose control wire on AC breaker was causing intermittent issues.
Inverter was offline from 12:20 to 14:40 due to pilot deployment on 03/27. Again tripped offline at 10AM on 03/31 to finish pending pilot deployment.</t>
  </si>
  <si>
    <t xml:space="preserve">1.SR096224, SR098038 &amp;	SR099232 </t>
  </si>
  <si>
    <t>SR098038</t>
  </si>
  <si>
    <t>SR099232</t>
  </si>
  <si>
    <t>1.Site tripped offline from 9:25 to 13:55 on 03/13. Due to technician on site</t>
  </si>
  <si>
    <t>1.PM10676</t>
  </si>
  <si>
    <t>1.Site was offline from 12:25 to 14:20 on 03/20 due to Utility Outage.</t>
  </si>
  <si>
    <t>1.SR098832</t>
  </si>
  <si>
    <t xml:space="preserve"> 1.The site was offline from 08:45 AM to 03:35 PM on 03/03 due to a planned utility outage.
2.Site has low production on 03/05, 03/06 , 03/16, 03/17, 03/24,03/30 due to bad weather.</t>
  </si>
  <si>
    <t>1. SR097990</t>
  </si>
  <si>
    <t>April Actual v. Expected</t>
  </si>
  <si>
    <t>April Actual v. Forecasted</t>
  </si>
  <si>
    <t>1. Site tripped offline at 17:45 on 04/15 and later technician closed the SEL recloser, and the site came back online at 11:15 AM on 04/16</t>
  </si>
  <si>
    <t>1. 	SR099863</t>
  </si>
  <si>
    <t>1. Site was offline from 12:45pm to 03:00pm PDT on 04/02.
2. Inverter 1.2 was derated by 80kW from 04/01 to 04/28 after replacing comms board by CPS on 04/28 the inverter started to derate by 20kW.
3.Inverter 1.1, 2.4 and 2.6 started late on 04/01 at 07:45am and again started late on 04/04 at 07:00am</t>
  </si>
  <si>
    <t>1. SR099330
2. SR099275, 	SR099909
3. SR098340</t>
  </si>
  <si>
    <t>SR099275</t>
  </si>
  <si>
    <t>SR099909</t>
  </si>
  <si>
    <t>1. The site experienced frequent curtailments throughout the month from PG&amp;E.
2.Inverter 3 tripped offline on 02/24. On 04/10, a technician re-energized the inverter, and it was back online at 12:00 PM. However, the inverter tripped offline again on 04/11 at 07:00 AM due to a DC overvoltage.
On 04/14, a technician was on site and found a blown GFDI fuse, which allowed fault current to pass through the line, damaging the R3 resistor. The technician also discovered three broken modules and one faulty home run on Inverter 3. The inverter remained offline.
On 04/21, the technician troubleshot the Inverter 3 combiner boxes and replaced the necessary parts. The inverter was re-energized and brought back online at 6:00 PM.
On 04/24, the technician returned to the site and successfully restored the combiner boxes associated with Inverter 3. A total of 10 combiner boxes (CBs) were brought back online and further troubleshoot unit 2 side to get the inverter 3 back up to full capacity.
3. Inverter 1 was underproduced by 500 kW compared to Inverter 2 due to tracker 1 motor 1 stuck -39degrees, motor stuck at -18degree for alternative days starting from 03/25. On 04/09, Inverter 1 tripped offline. A technician reset the breaker, and the inverter was back online on 04/10 at 5:30 PM.
On 04/22, Inverter 1 was derated by 2,800 kW due to an AC switch fault. At 9:30 AM the same day, it tripped offline again due to an AC Switch Breaking Fault and Overload Protection Fault affecting both Unit 1 and Unit 2.
A technician was on site on 04/24 and successfully brought the inverter back online. However, Module 1 remains offline.
4. On 04/10 at 17:40, Inverter 2 was operating at only 50% capacity because Module 1 was offline due to a "Backup Power Supply Abnormal" fault. A technician was able to reset Unit 1 on 04/14, and Inverter 2 resumed normal production.
5. Tracker 2 motor 2 and 4, tracker 3 motor 2 being stuck for alternative days and encoder being replaced.</t>
  </si>
  <si>
    <t>1. SR095240, SR098618
2. SR099707, SR099905, SR100397
3. SR098969, SR100138, SR099905, SR099296
4. SR099719, SR099707
5. SR099296</t>
  </si>
  <si>
    <t>SR099707</t>
  </si>
  <si>
    <t>SR099905</t>
  </si>
  <si>
    <t>SR100397</t>
  </si>
  <si>
    <t>SR098969</t>
  </si>
  <si>
    <t>SR100138</t>
  </si>
  <si>
    <t>SR099719</t>
  </si>
  <si>
    <t>1. Summit energy was on site on 04/23 to work on CT of meter  and took site offline from 10:15 to 13:15.</t>
  </si>
  <si>
    <t>1. SR092199, SR099408</t>
  </si>
  <si>
    <t>SR099408</t>
  </si>
  <si>
    <t>1.Inverter 1 was tripped offline at 10AM on 03/31 and back online at 14:05 on 04/09. SMA technician completed the pilot deployments.</t>
  </si>
  <si>
    <t>1.SR096136</t>
  </si>
  <si>
    <t>1. The site production was dropped from 2470kW to 27kW on 04/01 as technician was onsite performing PM event.
2. The site is experiencing data quality issues—ambient temp gaps, faulty low-temp readings (~6550), incorrect module temperatures, and one missing pyranometer. These impact performance analysis and PVsyst modeling. Ticket created on 04/30/25; Ameresco ROC is investigating.
3. Site production was low on 04/03, 04/05, 04/07, 04/10 and 04/11 due to rain.</t>
  </si>
  <si>
    <t>1. PM13562 
2. SR100719</t>
  </si>
  <si>
    <t>1.Meter is capturing only inverter 1 data and inverter 1 was derating on multiple days of the month.</t>
  </si>
  <si>
    <t>1.SR099273</t>
  </si>
  <si>
    <t>May Actual v. Expected</t>
  </si>
  <si>
    <t>May Actual v. Forecasted</t>
  </si>
  <si>
    <t>1. Site was taken offline at 08:15 to 10:05 on 05/27 due technition was on site to take DGA samples.
1. Site tripped offline at 11:40 on 05/28 and later technician closed the SEL recloser, and the site came back online at 08:35 on 05/29.</t>
  </si>
  <si>
    <t>1. PM9804
2. SR102048</t>
  </si>
  <si>
    <t xml:space="preserve">1. Inverter 1.2 was derated by 20 kW since 04/28. Chint remotely re-energized the inverter on 04/29 but still inverter is derating. from 05/02 inverter producing expected possibly due to all DC Switchs are in operation. 
</t>
  </si>
  <si>
    <t>1. SR099275, 
SR099909,SR096082</t>
  </si>
  <si>
    <t>1. The site experienced frequent curtailments throughout the month from PG&amp;E.
2. Inverter 3 was producing at half of its capacity for the entire month because circuit breakers CB 3.1 to CB 3.10 were isolated by a technician. This was done because the inverter would fault when operating at its rated capacity. On 05/13 inverter was taken offline from 12:15 to 15:30 to troubleshoot and it required further troubleshooting.
3. CB 2.6 and CB 2.21 are offline for whole month. 
4. Inverter 1 was offline from 05/01 to 05/21 due to bad AC breakers on 05/20 Inverter 1 AC breaker has been replaced and re-energized by PPS and Ameresco technician.</t>
  </si>
  <si>
    <t>1.  SR095240
2. SR100397, SR101962
3. SR102333
4. SR100138</t>
  </si>
  <si>
    <t>SR101962</t>
  </si>
  <si>
    <t>SR102333</t>
  </si>
  <si>
    <t>1. The site is experiencing data quality issues, including ambient temperature gaps, faulty low-temperature readings (~6550), incorrect module temperatures, and one missing pyranometer. These issues are impacting performance analysis and PVsyst modeling. A ticket was created on 04/30/25. After Aaron’s inspection, it was found that the module temperature sensors are off by a factor of 25°C. Additionally, Pyranometer 6 is the GHI sensor attached to the albedometer; however, we do not see a pyranometer associated with the IRR down of the albedometer. This reading should be coming from the same sensor as Pyranometer 6.</t>
  </si>
  <si>
    <t>1. SR100719</t>
  </si>
  <si>
    <t>1. Values for IRR sensor for the GHI, Albedometer up or albedometer down, Ambient temperature sensor are not available in PF Drive. Waiting for response from PF drive.</t>
  </si>
  <si>
    <t>1. SR102053</t>
  </si>
  <si>
    <t xml:space="preserve">1. Inverter 1 was underproducing by 800 kW on 05/01. On 05/02, the technician found the combiner handle in the OFF position. The system was fully tested, passed all checks, and was brought back online. Power levels returned to normal on 05/02.
2. Inverter 1 again started underproducing by 1300kW from 05/30 to end of month due to the fan that is not communicating that is forcing a derate to the 675 kW Limit. </t>
  </si>
  <si>
    <t>1. SR100841
2. SR102282</t>
  </si>
  <si>
    <t>SR102282</t>
  </si>
  <si>
    <t>June Actual v. Expected</t>
  </si>
  <si>
    <t>June Actual v. Forecasted</t>
  </si>
  <si>
    <t>July Actual v. Expected</t>
  </si>
  <si>
    <t>July Actual v. Forecasted</t>
  </si>
  <si>
    <t>August Actual v. Expected</t>
  </si>
  <si>
    <t>August Actual v. Forecasted</t>
  </si>
  <si>
    <t>September Actual v. Expected</t>
  </si>
  <si>
    <t>September Actual v. Forecasted</t>
  </si>
  <si>
    <t>October Actual v. Expected</t>
  </si>
  <si>
    <t>October Actual v. Forecasted</t>
  </si>
  <si>
    <t>November Actual v. Expected</t>
  </si>
  <si>
    <t>November Actual v. Forecasted</t>
  </si>
  <si>
    <t>December Actual v. Expected</t>
  </si>
  <si>
    <t>December Actual v. Forecasted</t>
  </si>
  <si>
    <t>Portfolio:</t>
  </si>
  <si>
    <t>AB CarVal</t>
  </si>
  <si>
    <t>Site DAS Name</t>
  </si>
  <si>
    <t>Update</t>
  </si>
  <si>
    <t>DAS</t>
  </si>
  <si>
    <t>001 - Fairhaven</t>
  </si>
  <si>
    <t>MA: Fairhaven - 279 Mill Rd</t>
  </si>
  <si>
    <t>MA</t>
  </si>
  <si>
    <t>PowerFactors</t>
  </si>
  <si>
    <t>AFTW Solar - Wheeler</t>
  </si>
  <si>
    <t>Bakersfield - 100 Basic School Rd</t>
  </si>
  <si>
    <t>CA</t>
  </si>
  <si>
    <t>AEF</t>
  </si>
  <si>
    <t>Also Energy API</t>
  </si>
  <si>
    <t>Fresno 14MW Solar - CAISO - AB Carval</t>
  </si>
  <si>
    <t>Fresno - 2685 Cornelia Ave</t>
  </si>
  <si>
    <t>JID - Crystal Farms Local Solar</t>
  </si>
  <si>
    <t>San Juaquin - S. Placer &amp; W. Adams</t>
  </si>
  <si>
    <t>002 - Charlemont</t>
  </si>
  <si>
    <t xml:space="preserve">Charlemont - 0 Tea St </t>
  </si>
  <si>
    <t>003 - Town of Amherst</t>
  </si>
  <si>
    <t xml:space="preserve">Amherst - 740 Belchertown Rd </t>
  </si>
  <si>
    <t>004 - Huxley</t>
  </si>
  <si>
    <t xml:space="preserve"> Ludlow - Huxley 1 &amp; 2 - 504 Fuller St </t>
  </si>
  <si>
    <t>005 - Beacon</t>
  </si>
  <si>
    <t>Easthampton - Beacon 1 &amp; 2 - 540 Florence 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</si>
</sst>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40">
    <font>
      <sz val="10"/>
      <name val="Arial"/>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2"/>
      <name val="Calibri"/>
    </font>
    <font>
      <sz val="12"/>
      <name val="Arial"/>
      <family val="2"/>
    </font>
    <font>
      <sz val="14"/>
      <name val="Calibri"/>
      <family val="2"/>
    </font>
    <font>
      <sz val="11"/>
      <name val="Arial"/>
    </font>
    <font>
      <u/>
      <sz val="10"/>
      <color theme="10"/>
      <name val="Arial"/>
    </font>
  </fonts>
  <fills count="47">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
      <patternFill patternType="solid">
        <fgColor theme="0"/>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s>
  <cellStyleXfs count="46">
    <xf numFmtId="0" fontId="0" fillId="0" borderId="0"/>
    <xf numFmtId="43" fontId="2" fillId="0" borderId="0" applyFont="0" applyFill="0" applyBorder="0" applyAlignment="0" applyProtection="0"/>
    <xf numFmtId="9" fontId="2" fillId="0" borderId="0" applyFont="0" applyFill="0" applyBorder="0" applyAlignment="0" applyProtection="0"/>
    <xf numFmtId="0" fontId="6" fillId="0" borderId="0" applyNumberFormat="0" applyFill="0" applyBorder="0" applyAlignment="0" applyProtection="0"/>
    <xf numFmtId="0" fontId="7" fillId="0" borderId="2" applyNumberFormat="0" applyFill="0" applyAlignment="0" applyProtection="0"/>
    <xf numFmtId="0" fontId="8" fillId="0" borderId="3" applyNumberFormat="0" applyFill="0" applyAlignment="0" applyProtection="0"/>
    <xf numFmtId="0" fontId="9" fillId="0" borderId="4" applyNumberFormat="0" applyFill="0" applyAlignment="0" applyProtection="0"/>
    <xf numFmtId="0" fontId="9" fillId="0" borderId="0" applyNumberFormat="0" applyFill="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0" applyNumberFormat="0" applyBorder="0" applyAlignment="0" applyProtection="0"/>
    <xf numFmtId="0" fontId="13" fillId="8" borderId="5" applyNumberFormat="0" applyAlignment="0" applyProtection="0"/>
    <xf numFmtId="0" fontId="14" fillId="9" borderId="6" applyNumberFormat="0" applyAlignment="0" applyProtection="0"/>
    <xf numFmtId="0" fontId="15" fillId="9" borderId="5" applyNumberFormat="0" applyAlignment="0" applyProtection="0"/>
    <xf numFmtId="0" fontId="16" fillId="0" borderId="7" applyNumberFormat="0" applyFill="0" applyAlignment="0" applyProtection="0"/>
    <xf numFmtId="0" fontId="17" fillId="10" borderId="8" applyNumberFormat="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0" fillId="0" borderId="10" applyNumberFormat="0" applyFill="0" applyAlignment="0" applyProtection="0"/>
    <xf numFmtId="0" fontId="2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2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0" borderId="0"/>
    <xf numFmtId="0" fontId="1" fillId="11" borderId="9" applyNumberFormat="0" applyFont="0" applyAlignment="0" applyProtection="0"/>
    <xf numFmtId="0" fontId="39" fillId="0" borderId="0" applyNumberFormat="0" applyFill="0" applyBorder="0" applyAlignment="0" applyProtection="0"/>
  </cellStyleXfs>
  <cellXfs count="95">
    <xf numFmtId="0" fontId="0" fillId="0" borderId="0" xfId="0"/>
    <xf numFmtId="9" fontId="4" fillId="0" borderId="0" xfId="2" applyFont="1" applyAlignment="1">
      <alignment horizontal="center"/>
    </xf>
    <xf numFmtId="0" fontId="0" fillId="0" borderId="0" xfId="0" applyAlignment="1">
      <alignment horizontal="center"/>
    </xf>
    <xf numFmtId="0" fontId="23" fillId="0" borderId="0" xfId="0" applyFont="1" applyAlignment="1">
      <alignment horizontal="left"/>
    </xf>
    <xf numFmtId="0" fontId="22" fillId="0" borderId="0" xfId="43" applyFont="1"/>
    <xf numFmtId="0" fontId="5" fillId="0" borderId="0" xfId="0" applyFont="1" applyAlignment="1">
      <alignment vertical="center"/>
    </xf>
    <xf numFmtId="3" fontId="25" fillId="36" borderId="1" xfId="0" applyNumberFormat="1" applyFont="1" applyFill="1" applyBorder="1" applyAlignment="1">
      <alignment horizontal="center" vertical="center"/>
    </xf>
    <xf numFmtId="9" fontId="25" fillId="36" borderId="1" xfId="0" applyNumberFormat="1" applyFont="1" applyFill="1" applyBorder="1" applyAlignment="1">
      <alignment horizontal="center" vertical="center"/>
    </xf>
    <xf numFmtId="3" fontId="25" fillId="36" borderId="1" xfId="1" applyNumberFormat="1" applyFont="1" applyFill="1" applyBorder="1" applyAlignment="1">
      <alignment horizontal="center" vertical="center"/>
    </xf>
    <xf numFmtId="0" fontId="29" fillId="2" borderId="1" xfId="0" applyFont="1" applyFill="1" applyBorder="1" applyAlignment="1">
      <alignment horizontal="center" vertical="center" wrapText="1"/>
    </xf>
    <xf numFmtId="49" fontId="28" fillId="40" borderId="0" xfId="0" applyNumberFormat="1" applyFont="1" applyFill="1" applyAlignment="1">
      <alignment horizontal="center" vertical="center"/>
    </xf>
    <xf numFmtId="49" fontId="28" fillId="0" borderId="0" xfId="0" applyNumberFormat="1" applyFont="1" applyAlignment="1">
      <alignment horizontal="center" vertical="center"/>
    </xf>
    <xf numFmtId="164" fontId="28" fillId="0" borderId="0" xfId="1" applyNumberFormat="1" applyFont="1" applyBorder="1" applyAlignment="1">
      <alignment horizontal="center" vertical="center"/>
    </xf>
    <xf numFmtId="49" fontId="27" fillId="40" borderId="0" xfId="0" applyNumberFormat="1" applyFont="1" applyFill="1" applyAlignment="1">
      <alignment horizontal="center" vertical="center"/>
    </xf>
    <xf numFmtId="3" fontId="30" fillId="3" borderId="0" xfId="0" applyNumberFormat="1" applyFont="1" applyFill="1" applyAlignment="1">
      <alignment horizontal="right" vertical="center"/>
    </xf>
    <xf numFmtId="9" fontId="30" fillId="3" borderId="0" xfId="2" applyFont="1" applyFill="1" applyBorder="1" applyAlignment="1">
      <alignment horizontal="center" vertical="center"/>
    </xf>
    <xf numFmtId="3" fontId="30" fillId="4" borderId="0" xfId="1" applyNumberFormat="1" applyFont="1" applyFill="1" applyBorder="1" applyAlignment="1">
      <alignment vertical="center"/>
    </xf>
    <xf numFmtId="9" fontId="30" fillId="37" borderId="0" xfId="2" applyFont="1" applyFill="1" applyBorder="1" applyAlignment="1">
      <alignment horizontal="center" vertical="center"/>
    </xf>
    <xf numFmtId="49" fontId="30" fillId="38" borderId="0" xfId="2" applyNumberFormat="1" applyFont="1" applyFill="1" applyBorder="1" applyAlignment="1">
      <alignment horizontal="left" vertical="top" wrapText="1"/>
    </xf>
    <xf numFmtId="49" fontId="27" fillId="0" borderId="0" xfId="0" applyNumberFormat="1" applyFont="1" applyAlignment="1">
      <alignment horizontal="center" vertical="center"/>
    </xf>
    <xf numFmtId="3" fontId="30" fillId="0" borderId="0" xfId="0" applyNumberFormat="1" applyFont="1" applyAlignment="1">
      <alignment horizontal="right" vertical="center"/>
    </xf>
    <xf numFmtId="9" fontId="30" fillId="0" borderId="0" xfId="2" applyFont="1" applyFill="1" applyBorder="1" applyAlignment="1">
      <alignment horizontal="center" vertical="center"/>
    </xf>
    <xf numFmtId="3" fontId="30" fillId="0" borderId="0" xfId="1" applyNumberFormat="1" applyFont="1" applyFill="1" applyBorder="1" applyAlignment="1">
      <alignment vertical="center"/>
    </xf>
    <xf numFmtId="0" fontId="32" fillId="0" borderId="0" xfId="0" applyFont="1"/>
    <xf numFmtId="9" fontId="31" fillId="0" borderId="0" xfId="2" applyFont="1" applyAlignment="1">
      <alignment horizontal="center"/>
    </xf>
    <xf numFmtId="0" fontId="29" fillId="43" borderId="1" xfId="0" applyFont="1" applyFill="1" applyBorder="1" applyAlignment="1">
      <alignment horizontal="center" vertical="center" wrapText="1"/>
    </xf>
    <xf numFmtId="164" fontId="28" fillId="44" borderId="0" xfId="1" applyNumberFormat="1" applyFont="1" applyFill="1" applyBorder="1" applyAlignment="1">
      <alignment horizontal="center" vertical="center"/>
    </xf>
    <xf numFmtId="0" fontId="5" fillId="45" borderId="1" xfId="0" applyFont="1" applyFill="1" applyBorder="1" applyAlignment="1">
      <alignment horizontal="center" vertical="center"/>
    </xf>
    <xf numFmtId="0" fontId="33" fillId="0" borderId="0" xfId="0" applyFont="1" applyAlignment="1">
      <alignment vertical="center"/>
    </xf>
    <xf numFmtId="0" fontId="29" fillId="2" borderId="11" xfId="0" applyFont="1" applyFill="1" applyBorder="1" applyAlignment="1">
      <alignment horizontal="center" vertical="center" wrapText="1"/>
    </xf>
    <xf numFmtId="0" fontId="28" fillId="40" borderId="0" xfId="0" applyFont="1" applyFill="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34" fillId="40" borderId="0" xfId="0" applyFont="1" applyFill="1" applyAlignment="1">
      <alignment horizontal="center"/>
    </xf>
    <xf numFmtId="0" fontId="30" fillId="0" borderId="0" xfId="0" applyFont="1"/>
    <xf numFmtId="0" fontId="25" fillId="0" borderId="0" xfId="0" applyFont="1"/>
    <xf numFmtId="0" fontId="24" fillId="41" borderId="1" xfId="0" applyFont="1" applyFill="1" applyBorder="1" applyAlignment="1">
      <alignment horizontal="center" vertical="center" wrapText="1"/>
    </xf>
    <xf numFmtId="9" fontId="24" fillId="41" borderId="1" xfId="2" applyFont="1" applyFill="1" applyBorder="1" applyAlignment="1">
      <alignment horizontal="center" vertical="center" wrapText="1"/>
    </xf>
    <xf numFmtId="0" fontId="24" fillId="42" borderId="1" xfId="0" applyFont="1" applyFill="1" applyBorder="1" applyAlignment="1">
      <alignment horizontal="center"/>
    </xf>
    <xf numFmtId="0" fontId="24" fillId="42" borderId="1" xfId="0" applyFont="1" applyFill="1" applyBorder="1" applyAlignment="1">
      <alignment horizontal="center" vertical="center" wrapText="1"/>
    </xf>
    <xf numFmtId="9" fontId="24" fillId="42" borderId="1" xfId="2" applyFont="1" applyFill="1" applyBorder="1" applyAlignment="1">
      <alignment horizontal="center" vertical="center" wrapText="1"/>
    </xf>
    <xf numFmtId="0" fontId="24" fillId="42" borderId="1" xfId="0" applyFont="1" applyFill="1" applyBorder="1" applyAlignment="1">
      <alignment horizontal="center" vertical="center"/>
    </xf>
    <xf numFmtId="164" fontId="28" fillId="0" borderId="0" xfId="1" applyNumberFormat="1" applyFont="1" applyAlignment="1">
      <alignment horizontal="center" vertical="center"/>
    </xf>
    <xf numFmtId="9" fontId="30" fillId="0" borderId="0" xfId="2" applyFont="1" applyAlignment="1">
      <alignment horizontal="center" vertical="center"/>
    </xf>
    <xf numFmtId="3" fontId="30" fillId="0" borderId="0" xfId="1" applyNumberFormat="1" applyFont="1" applyAlignment="1">
      <alignment vertical="center"/>
    </xf>
    <xf numFmtId="49" fontId="30" fillId="38" borderId="0" xfId="2" applyNumberFormat="1" applyFont="1" applyFill="1" applyAlignment="1">
      <alignment horizontal="left" vertical="top" wrapText="1"/>
    </xf>
    <xf numFmtId="9" fontId="30" fillId="37" borderId="0" xfId="2" applyFont="1" applyFill="1" applyAlignment="1">
      <alignment horizontal="center" vertical="center"/>
    </xf>
    <xf numFmtId="3" fontId="30" fillId="4" borderId="0" xfId="1" applyNumberFormat="1" applyFont="1" applyFill="1" applyAlignment="1">
      <alignment vertical="center"/>
    </xf>
    <xf numFmtId="9" fontId="30" fillId="3" borderId="0" xfId="2" applyFont="1" applyFill="1" applyAlignment="1">
      <alignment horizontal="center" vertical="center"/>
    </xf>
    <xf numFmtId="164" fontId="28" fillId="44" borderId="0" xfId="1" applyNumberFormat="1" applyFont="1" applyFill="1" applyAlignment="1">
      <alignment horizontal="center" vertical="center"/>
    </xf>
    <xf numFmtId="49" fontId="28" fillId="0" borderId="0" xfId="0" applyNumberFormat="1" applyFont="1" applyAlignment="1">
      <alignment horizontal="left" vertical="top" wrapText="1"/>
    </xf>
    <xf numFmtId="49" fontId="23" fillId="0" borderId="0" xfId="0" applyNumberFormat="1" applyFont="1" applyAlignment="1">
      <alignment horizontal="left" vertical="top"/>
    </xf>
    <xf numFmtId="0" fontId="34" fillId="40" borderId="0" xfId="0" applyFont="1" applyFill="1" applyAlignment="1">
      <alignment horizontal="center" vertical="center"/>
    </xf>
    <xf numFmtId="0" fontId="35" fillId="0" borderId="0" xfId="0" applyFont="1"/>
    <xf numFmtId="0" fontId="26" fillId="2" borderId="1" xfId="0" applyFont="1" applyFill="1" applyBorder="1" applyAlignment="1">
      <alignment horizontal="center" vertical="center" wrapText="1"/>
    </xf>
    <xf numFmtId="3" fontId="36" fillId="36" borderId="1" xfId="0" applyNumberFormat="1" applyFont="1" applyFill="1" applyBorder="1" applyAlignment="1">
      <alignment horizontal="center" vertical="center"/>
    </xf>
    <xf numFmtId="9" fontId="36" fillId="36" borderId="1" xfId="0" applyNumberFormat="1" applyFont="1" applyFill="1" applyBorder="1" applyAlignment="1">
      <alignment horizontal="center" vertical="center"/>
    </xf>
    <xf numFmtId="3" fontId="36" fillId="36" borderId="1" xfId="1" applyNumberFormat="1" applyFont="1" applyFill="1" applyBorder="1" applyAlignment="1">
      <alignment horizontal="center" vertical="center"/>
    </xf>
    <xf numFmtId="0" fontId="26" fillId="43" borderId="1" xfId="0" applyFont="1" applyFill="1" applyBorder="1" applyAlignment="1">
      <alignment horizontal="center" vertical="center" wrapText="1"/>
    </xf>
    <xf numFmtId="0" fontId="5" fillId="41" borderId="1" xfId="0" applyFont="1" applyFill="1" applyBorder="1" applyAlignment="1">
      <alignment horizontal="center" vertical="center" wrapText="1"/>
    </xf>
    <xf numFmtId="9" fontId="5" fillId="41" borderId="1" xfId="2" applyFont="1" applyFill="1" applyBorder="1" applyAlignment="1">
      <alignment horizontal="center" vertical="center" wrapText="1"/>
    </xf>
    <xf numFmtId="0" fontId="5" fillId="42" borderId="1" xfId="0" applyFont="1" applyFill="1" applyBorder="1" applyAlignment="1">
      <alignment horizontal="center"/>
    </xf>
    <xf numFmtId="0" fontId="5" fillId="42" borderId="1" xfId="0" applyFont="1" applyFill="1" applyBorder="1" applyAlignment="1">
      <alignment horizontal="center" vertical="center" wrapText="1"/>
    </xf>
    <xf numFmtId="9" fontId="5" fillId="42" borderId="1" xfId="2" applyFont="1" applyFill="1" applyBorder="1" applyAlignment="1">
      <alignment horizontal="center" vertical="center" wrapText="1"/>
    </xf>
    <xf numFmtId="0" fontId="37" fillId="0" borderId="0" xfId="0" applyFont="1"/>
    <xf numFmtId="9" fontId="30" fillId="46" borderId="0" xfId="2" applyFont="1" applyFill="1" applyBorder="1" applyAlignment="1">
      <alignment horizontal="center" vertical="center"/>
    </xf>
    <xf numFmtId="9" fontId="30" fillId="4" borderId="0" xfId="2" applyFont="1" applyFill="1" applyBorder="1" applyAlignment="1">
      <alignment horizontal="center" vertical="center"/>
    </xf>
    <xf numFmtId="0" fontId="23" fillId="40" borderId="0" xfId="0" applyFont="1" applyFill="1" applyAlignment="1">
      <alignment horizontal="center" vertical="center"/>
    </xf>
    <xf numFmtId="0" fontId="38" fillId="0" borderId="0" xfId="0" applyFont="1"/>
    <xf numFmtId="49" fontId="23" fillId="0" borderId="0" xfId="0" applyNumberFormat="1" applyFont="1" applyAlignment="1">
      <alignment horizontal="left" vertical="top" wrapText="1"/>
    </xf>
    <xf numFmtId="49" fontId="23" fillId="0" borderId="0" xfId="0" applyNumberFormat="1" applyFont="1" applyAlignment="1">
      <alignment vertical="top" wrapText="1"/>
    </xf>
    <xf numFmtId="49" fontId="28" fillId="0" borderId="0" xfId="0" applyNumberFormat="1" applyFont="1" applyAlignment="1">
      <alignment horizontal="left" vertical="center" wrapText="1"/>
    </xf>
    <xf numFmtId="49" fontId="28" fillId="0" borderId="0" xfId="0" applyNumberFormat="1" applyFont="1" applyAlignment="1">
      <alignment vertical="center" wrapText="1"/>
    </xf>
    <xf numFmtId="49" fontId="39" fillId="0" borderId="0" xfId="45" applyNumberFormat="1" applyAlignment="1">
      <alignment horizontal="left" vertical="top" wrapText="1"/>
    </xf>
    <xf numFmtId="49" fontId="39" fillId="38" borderId="0" xfId="45" applyNumberFormat="1" applyFill="1" applyBorder="1" applyAlignment="1">
      <alignment horizontal="left" vertical="top" wrapText="1"/>
    </xf>
    <xf numFmtId="0" fontId="39" fillId="0" borderId="0" xfId="45" applyAlignment="1">
      <alignment horizontal="left" vertical="top"/>
    </xf>
    <xf numFmtId="0" fontId="0" fillId="0" borderId="0" xfId="0" applyAlignment="1">
      <alignment horizontal="left" vertical="top"/>
    </xf>
    <xf numFmtId="49" fontId="28" fillId="0" borderId="0" xfId="0" applyNumberFormat="1" applyFont="1" applyAlignment="1">
      <alignment horizontal="left" vertical="center"/>
    </xf>
    <xf numFmtId="49" fontId="28" fillId="0" borderId="0" xfId="0" applyNumberFormat="1" applyFont="1" applyAlignment="1">
      <alignment horizontal="left" vertical="top"/>
    </xf>
    <xf numFmtId="49" fontId="27" fillId="0" borderId="0" xfId="0" applyNumberFormat="1" applyFont="1" applyAlignment="1">
      <alignment horizontal="left" vertical="center"/>
    </xf>
    <xf numFmtId="49" fontId="39" fillId="0" borderId="0" xfId="45" applyNumberFormat="1" applyAlignment="1">
      <alignment horizontal="left" vertical="top"/>
    </xf>
    <xf numFmtId="49" fontId="30" fillId="38" borderId="0" xfId="2" applyNumberFormat="1" applyFont="1" applyFill="1" applyBorder="1" applyAlignment="1">
      <alignment vertical="top" wrapText="1"/>
    </xf>
    <xf numFmtId="49" fontId="28" fillId="0" borderId="0" xfId="0" applyNumberFormat="1" applyFont="1" applyAlignment="1">
      <alignment vertical="top" wrapText="1"/>
    </xf>
    <xf numFmtId="49" fontId="27" fillId="0" borderId="0" xfId="0" applyNumberFormat="1" applyFont="1" applyAlignment="1">
      <alignment vertical="top"/>
    </xf>
    <xf numFmtId="49" fontId="28" fillId="0" borderId="0" xfId="0" applyNumberFormat="1" applyFont="1" applyAlignment="1">
      <alignment vertical="top"/>
    </xf>
    <xf numFmtId="49" fontId="39" fillId="38" borderId="0" xfId="45" applyNumberFormat="1" applyFill="1" applyBorder="1" applyAlignment="1">
      <alignment vertical="top" wrapText="1"/>
    </xf>
    <xf numFmtId="49" fontId="39" fillId="0" borderId="0" xfId="45" applyNumberFormat="1" applyAlignment="1">
      <alignment vertical="top" wrapText="1"/>
    </xf>
    <xf numFmtId="49" fontId="39" fillId="0" borderId="0" xfId="45" applyNumberFormat="1" applyAlignment="1">
      <alignment vertical="top"/>
    </xf>
    <xf numFmtId="0" fontId="3" fillId="4" borderId="1" xfId="0" applyFont="1" applyFill="1" applyBorder="1" applyAlignment="1">
      <alignment horizontal="center" vertical="center"/>
    </xf>
    <xf numFmtId="0" fontId="26"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24" fillId="39" borderId="1" xfId="0" applyFont="1" applyFill="1" applyBorder="1" applyAlignment="1">
      <alignment horizontal="center" vertical="center"/>
    </xf>
    <xf numFmtId="0" fontId="5" fillId="4" borderId="1" xfId="0" applyFont="1" applyFill="1" applyBorder="1" applyAlignment="1">
      <alignment horizontal="center" vertical="center"/>
    </xf>
    <xf numFmtId="0" fontId="5" fillId="3" borderId="1" xfId="0" applyFont="1" applyFill="1" applyBorder="1" applyAlignment="1">
      <alignment horizontal="center" vertical="center"/>
    </xf>
    <xf numFmtId="0" fontId="5"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59">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11" totalsRowShown="0">
  <autoFilter ref="A3:E11" xr:uid="{C9C95D9E-67ED-41E0-9F41-9C3DA4ACF4CD}"/>
  <sortState xmlns:xlrd2="http://schemas.microsoft.com/office/spreadsheetml/2017/richdata2" ref="A4:D4">
    <sortCondition ref="C3:C4"/>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hyperlink" Target="https://us3.assetplanner.com/service_request?ID=095174" TargetMode="External"/><Relationship Id="rId13" Type="http://schemas.openxmlformats.org/officeDocument/2006/relationships/hyperlink" Target="https://us3.assetplanner.com/service_request?ID=096136" TargetMode="External"/><Relationship Id="rId18" Type="http://schemas.openxmlformats.org/officeDocument/2006/relationships/printerSettings" Target="../printerSettings/printerSettings3.bin"/><Relationship Id="rId3" Type="http://schemas.openxmlformats.org/officeDocument/2006/relationships/hyperlink" Target="https://us3.assetplanner.com/service_request?ID=095240" TargetMode="External"/><Relationship Id="rId7" Type="http://schemas.openxmlformats.org/officeDocument/2006/relationships/hyperlink" Target="https://us3.assetplanner.com/service_request?ID=094991" TargetMode="External"/><Relationship Id="rId12" Type="http://schemas.openxmlformats.org/officeDocument/2006/relationships/hyperlink" Target="https://us3.assetplanner.com/service_request?ID=093625" TargetMode="External"/><Relationship Id="rId17" Type="http://schemas.openxmlformats.org/officeDocument/2006/relationships/hyperlink" Target="https://us3.assetplanner.com/service_request?ID=096095" TargetMode="External"/><Relationship Id="rId2" Type="http://schemas.openxmlformats.org/officeDocument/2006/relationships/hyperlink" Target="https://us3.assetplanner.com/service_request?ID=096082" TargetMode="External"/><Relationship Id="rId16" Type="http://schemas.openxmlformats.org/officeDocument/2006/relationships/hyperlink" Target="https://us3.assetplanner.com/service_request?ID=095883" TargetMode="External"/><Relationship Id="rId1" Type="http://schemas.openxmlformats.org/officeDocument/2006/relationships/hyperlink" Target="https://us3.assetplanner.com/service_request?ID=095612" TargetMode="External"/><Relationship Id="rId6" Type="http://schemas.openxmlformats.org/officeDocument/2006/relationships/hyperlink" Target="https://us3.assetplanner.com/service_request?ID=095229" TargetMode="External"/><Relationship Id="rId11" Type="http://schemas.openxmlformats.org/officeDocument/2006/relationships/hyperlink" Target="https://us3.assetplanner.com/service_request?ID=095076" TargetMode="External"/><Relationship Id="rId5" Type="http://schemas.openxmlformats.org/officeDocument/2006/relationships/hyperlink" Target="https://us3.assetplanner.com/service_request?ID=095640" TargetMode="External"/><Relationship Id="rId15" Type="http://schemas.openxmlformats.org/officeDocument/2006/relationships/hyperlink" Target="https://us3.assetplanner.com/service_request?ID=095594" TargetMode="External"/><Relationship Id="rId10" Type="http://schemas.openxmlformats.org/officeDocument/2006/relationships/hyperlink" Target="https://us3.assetplanner.com/service_request?ID=095204" TargetMode="External"/><Relationship Id="rId4" Type="http://schemas.openxmlformats.org/officeDocument/2006/relationships/hyperlink" Target="https://us3.assetplanner.com/service_request?ID=094675" TargetMode="External"/><Relationship Id="rId9" Type="http://schemas.openxmlformats.org/officeDocument/2006/relationships/hyperlink" Target="https://us3.assetplanner.com/service_request?ID=095112" TargetMode="External"/><Relationship Id="rId14" Type="http://schemas.openxmlformats.org/officeDocument/2006/relationships/hyperlink" Target="https://us3.assetplanner.com/service_request?ID=095236"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us3.assetplanner.com/service_request?ID=097867" TargetMode="External"/><Relationship Id="rId13" Type="http://schemas.openxmlformats.org/officeDocument/2006/relationships/hyperlink" Target="https://us3.assetplanner.com/service_request?ID=096337" TargetMode="External"/><Relationship Id="rId18" Type="http://schemas.openxmlformats.org/officeDocument/2006/relationships/hyperlink" Target="https://us3.assetplanner.com/service_request?ID=097551" TargetMode="External"/><Relationship Id="rId3" Type="http://schemas.openxmlformats.org/officeDocument/2006/relationships/hyperlink" Target="https://us3.assetplanner.com/service_request?ID=097890" TargetMode="External"/><Relationship Id="rId7" Type="http://schemas.openxmlformats.org/officeDocument/2006/relationships/hyperlink" Target="https://us3.assetplanner.com/service_request?ID=097738" TargetMode="External"/><Relationship Id="rId12" Type="http://schemas.openxmlformats.org/officeDocument/2006/relationships/hyperlink" Target="https://us3.assetplanner.com/service_request?ID=095112" TargetMode="External"/><Relationship Id="rId17" Type="http://schemas.openxmlformats.org/officeDocument/2006/relationships/hyperlink" Target="https://us3.assetplanner.com/service_request?ID=096363" TargetMode="External"/><Relationship Id="rId2" Type="http://schemas.openxmlformats.org/officeDocument/2006/relationships/hyperlink" Target="https://us3.assetplanner.com/service_request?ID=096248" TargetMode="External"/><Relationship Id="rId16" Type="http://schemas.openxmlformats.org/officeDocument/2006/relationships/hyperlink" Target="https://us3.assetplanner.com/service_request?ID=096254" TargetMode="External"/><Relationship Id="rId1" Type="http://schemas.openxmlformats.org/officeDocument/2006/relationships/hyperlink" Target="https://us3.assetplanner.com/service_request?ID=096082" TargetMode="External"/><Relationship Id="rId6" Type="http://schemas.openxmlformats.org/officeDocument/2006/relationships/hyperlink" Target="https://us3.assetplanner.com/service_request?ID=094991" TargetMode="External"/><Relationship Id="rId11" Type="http://schemas.openxmlformats.org/officeDocument/2006/relationships/hyperlink" Target="https://us3.assetplanner.com/service_request?ID=095174" TargetMode="External"/><Relationship Id="rId5" Type="http://schemas.openxmlformats.org/officeDocument/2006/relationships/hyperlink" Target="https://us3.assetplanner.com/service_request?ID=094675" TargetMode="External"/><Relationship Id="rId15" Type="http://schemas.openxmlformats.org/officeDocument/2006/relationships/hyperlink" Target="https://us3.assetplanner.com/service_request?ID=097528" TargetMode="External"/><Relationship Id="rId10" Type="http://schemas.openxmlformats.org/officeDocument/2006/relationships/hyperlink" Target="https://us3.assetplanner.com/service_request?ID=097845" TargetMode="External"/><Relationship Id="rId4" Type="http://schemas.openxmlformats.org/officeDocument/2006/relationships/hyperlink" Target="https://us3.assetplanner.com/service_request?ID=095240" TargetMode="External"/><Relationship Id="rId9" Type="http://schemas.openxmlformats.org/officeDocument/2006/relationships/hyperlink" Target="https://us3.assetplanner.com/service_request?ID=096704" TargetMode="External"/><Relationship Id="rId14" Type="http://schemas.openxmlformats.org/officeDocument/2006/relationships/hyperlink" Target="https://us3.assetplanner.com/service_request?ID=096224"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us3.assetplanner.com/service_request?ID=097738" TargetMode="External"/><Relationship Id="rId13" Type="http://schemas.openxmlformats.org/officeDocument/2006/relationships/hyperlink" Target="https://us3.assetplanner.com/service_request?ID=095174" TargetMode="External"/><Relationship Id="rId18" Type="http://schemas.openxmlformats.org/officeDocument/2006/relationships/hyperlink" Target="https://us3.assetplanner.com/service_request?ID=097990" TargetMode="External"/><Relationship Id="rId3" Type="http://schemas.openxmlformats.org/officeDocument/2006/relationships/hyperlink" Target="https://us3.assetplanner.com/service_request?ID=098340" TargetMode="External"/><Relationship Id="rId7" Type="http://schemas.openxmlformats.org/officeDocument/2006/relationships/hyperlink" Target="https://us3.assetplanner.com/service_request?ID=097867" TargetMode="External"/><Relationship Id="rId12" Type="http://schemas.openxmlformats.org/officeDocument/2006/relationships/hyperlink" Target="https://us3.assetplanner.com/service_request?ID=095174" TargetMode="External"/><Relationship Id="rId17" Type="http://schemas.openxmlformats.org/officeDocument/2006/relationships/hyperlink" Target="https://us3.assetplanner.com/service_request?ID=098832" TargetMode="External"/><Relationship Id="rId2" Type="http://schemas.openxmlformats.org/officeDocument/2006/relationships/hyperlink" Target="https://us3.assetplanner.com/service_request?ID=096082" TargetMode="External"/><Relationship Id="rId16" Type="http://schemas.openxmlformats.org/officeDocument/2006/relationships/hyperlink" Target="https://us3.assetplanner.com/service_request?ID=099232" TargetMode="External"/><Relationship Id="rId1" Type="http://schemas.openxmlformats.org/officeDocument/2006/relationships/hyperlink" Target="https://us3.assetplanner.com/service_request?ID=098555" TargetMode="External"/><Relationship Id="rId6" Type="http://schemas.openxmlformats.org/officeDocument/2006/relationships/hyperlink" Target="https://us3.assetplanner.com/service_request?ID=096704" TargetMode="External"/><Relationship Id="rId11" Type="http://schemas.openxmlformats.org/officeDocument/2006/relationships/hyperlink" Target="https://us3.assetplanner.com/service_request?ID=099296" TargetMode="External"/><Relationship Id="rId5" Type="http://schemas.openxmlformats.org/officeDocument/2006/relationships/hyperlink" Target="https://us3.assetplanner.com/service_request?ID=098969" TargetMode="External"/><Relationship Id="rId15" Type="http://schemas.openxmlformats.org/officeDocument/2006/relationships/hyperlink" Target="https://us3.assetplanner.com/service_request?ID=098038" TargetMode="External"/><Relationship Id="rId10" Type="http://schemas.openxmlformats.org/officeDocument/2006/relationships/hyperlink" Target="https://us3.assetplanner.com/service_request?ID=098618" TargetMode="External"/><Relationship Id="rId4" Type="http://schemas.openxmlformats.org/officeDocument/2006/relationships/hyperlink" Target="https://us3.assetplanner.com/service_request?ID=097932" TargetMode="External"/><Relationship Id="rId9" Type="http://schemas.openxmlformats.org/officeDocument/2006/relationships/hyperlink" Target="https://us3.assetplanner.com/service_request?ID=095240" TargetMode="External"/><Relationship Id="rId14" Type="http://schemas.openxmlformats.org/officeDocument/2006/relationships/hyperlink" Target="https://us3.assetplanner.com/service_request?ID=096224"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us3.assetplanner.com/service_request?ID=099707" TargetMode="External"/><Relationship Id="rId13" Type="http://schemas.openxmlformats.org/officeDocument/2006/relationships/hyperlink" Target="https://us3.assetplanner.com/service_request?ID=099905" TargetMode="External"/><Relationship Id="rId18" Type="http://schemas.openxmlformats.org/officeDocument/2006/relationships/hyperlink" Target="https://us3.assetplanner.com/service_request?ID=092199" TargetMode="External"/><Relationship Id="rId3" Type="http://schemas.openxmlformats.org/officeDocument/2006/relationships/hyperlink" Target="https://us3.assetplanner.com/service_request?ID=099275" TargetMode="External"/><Relationship Id="rId21" Type="http://schemas.openxmlformats.org/officeDocument/2006/relationships/hyperlink" Target="https://us3.assetplanner.com/service_request?ID=099273" TargetMode="External"/><Relationship Id="rId7" Type="http://schemas.openxmlformats.org/officeDocument/2006/relationships/hyperlink" Target="https://us3.assetplanner.com/service_request?ID=098618" TargetMode="External"/><Relationship Id="rId12" Type="http://schemas.openxmlformats.org/officeDocument/2006/relationships/hyperlink" Target="https://us3.assetplanner.com/service_request?ID=100138" TargetMode="External"/><Relationship Id="rId17" Type="http://schemas.openxmlformats.org/officeDocument/2006/relationships/hyperlink" Target="https://us3.assetplanner.com/service_request?ID=099296" TargetMode="External"/><Relationship Id="rId2" Type="http://schemas.openxmlformats.org/officeDocument/2006/relationships/hyperlink" Target="https://us3.assetplanner.com/service_request?ID=099330" TargetMode="External"/><Relationship Id="rId16" Type="http://schemas.openxmlformats.org/officeDocument/2006/relationships/hyperlink" Target="https://us3.assetplanner.com/service_request?ID=099707" TargetMode="External"/><Relationship Id="rId20" Type="http://schemas.openxmlformats.org/officeDocument/2006/relationships/hyperlink" Target="https://us3.assetplanner.com/service_request?ID=096136" TargetMode="External"/><Relationship Id="rId1" Type="http://schemas.openxmlformats.org/officeDocument/2006/relationships/hyperlink" Target="https://us3.assetplanner.com/service_request?ID=099863" TargetMode="External"/><Relationship Id="rId6" Type="http://schemas.openxmlformats.org/officeDocument/2006/relationships/hyperlink" Target="https://us3.assetplanner.com/service_request?ID=095240" TargetMode="External"/><Relationship Id="rId11" Type="http://schemas.openxmlformats.org/officeDocument/2006/relationships/hyperlink" Target="https://us3.assetplanner.com/service_request?ID=098969" TargetMode="External"/><Relationship Id="rId5" Type="http://schemas.openxmlformats.org/officeDocument/2006/relationships/hyperlink" Target="https://us3.assetplanner.com/service_request?ID=098340" TargetMode="External"/><Relationship Id="rId15" Type="http://schemas.openxmlformats.org/officeDocument/2006/relationships/hyperlink" Target="https://us3.assetplanner.com/service_request?ID=099719" TargetMode="External"/><Relationship Id="rId10" Type="http://schemas.openxmlformats.org/officeDocument/2006/relationships/hyperlink" Target="https://us3.assetplanner.com/service_request?ID=100397" TargetMode="External"/><Relationship Id="rId19" Type="http://schemas.openxmlformats.org/officeDocument/2006/relationships/hyperlink" Target="https://us3.assetplanner.com/service_request?ID=099408" TargetMode="External"/><Relationship Id="rId4" Type="http://schemas.openxmlformats.org/officeDocument/2006/relationships/hyperlink" Target="https://us3.assetplanner.com/service_request?ID=099909" TargetMode="External"/><Relationship Id="rId9" Type="http://schemas.openxmlformats.org/officeDocument/2006/relationships/hyperlink" Target="https://us3.assetplanner.com/service_request?ID=099905" TargetMode="External"/><Relationship Id="rId14" Type="http://schemas.openxmlformats.org/officeDocument/2006/relationships/hyperlink" Target="https://us3.assetplanner.com/service_request?ID=099296" TargetMode="External"/><Relationship Id="rId22" Type="http://schemas.openxmlformats.org/officeDocument/2006/relationships/hyperlink" Target="https://us3.assetplanner.com/service_request?ID=100719"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us3.assetplanner.com/service_request?ID=102333" TargetMode="External"/><Relationship Id="rId13" Type="http://schemas.openxmlformats.org/officeDocument/2006/relationships/hyperlink" Target="https://us3.assetplanner.com/service_request?ID=102282" TargetMode="External"/><Relationship Id="rId3" Type="http://schemas.openxmlformats.org/officeDocument/2006/relationships/hyperlink" Target="https://us3.assetplanner.com/service_request?ID=099909" TargetMode="External"/><Relationship Id="rId7" Type="http://schemas.openxmlformats.org/officeDocument/2006/relationships/hyperlink" Target="https://us3.assetplanner.com/service_request?ID=101962" TargetMode="External"/><Relationship Id="rId12" Type="http://schemas.openxmlformats.org/officeDocument/2006/relationships/hyperlink" Target="https://us3.assetplanner.com/service_request?ID=100841" TargetMode="External"/><Relationship Id="rId2" Type="http://schemas.openxmlformats.org/officeDocument/2006/relationships/hyperlink" Target="https://us3.assetplanner.com/service_request?ID=099275" TargetMode="External"/><Relationship Id="rId1" Type="http://schemas.openxmlformats.org/officeDocument/2006/relationships/hyperlink" Target="https://us3.assetplanner.com/service_request?ID=102048" TargetMode="External"/><Relationship Id="rId6" Type="http://schemas.openxmlformats.org/officeDocument/2006/relationships/hyperlink" Target="https://us3.assetplanner.com/service_request?ID=100397" TargetMode="External"/><Relationship Id="rId11" Type="http://schemas.openxmlformats.org/officeDocument/2006/relationships/hyperlink" Target="https://us3.assetplanner.com/service_request?ID=102053" TargetMode="External"/><Relationship Id="rId5" Type="http://schemas.openxmlformats.org/officeDocument/2006/relationships/hyperlink" Target="https://us3.assetplanner.com/service_request?ID=095240" TargetMode="External"/><Relationship Id="rId10" Type="http://schemas.openxmlformats.org/officeDocument/2006/relationships/hyperlink" Target="https://us3.assetplanner.com/service_request?ID=100719" TargetMode="External"/><Relationship Id="rId4" Type="http://schemas.openxmlformats.org/officeDocument/2006/relationships/hyperlink" Target="https://us3.assetplanner.com/service_request?ID=096082" TargetMode="External"/><Relationship Id="rId9" Type="http://schemas.openxmlformats.org/officeDocument/2006/relationships/hyperlink" Target="https://us3.assetplanner.com/service_request?ID=100138"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K302"/>
  <sheetViews>
    <sheetView workbookViewId="0">
      <pane ySplit="2" topLeftCell="A3" activePane="bottomLeft" state="frozen"/>
      <selection pane="bottomLeft" activeCell="H27" sqref="H27"/>
      <selection activeCell="A6" sqref="A6"/>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11" ht="19.5" customHeight="1">
      <c r="A1" s="89" t="str" cm="1">
        <f t="array" ref="A1">portfolio</f>
        <v>AB CarVal</v>
      </c>
      <c r="B1" s="89"/>
      <c r="C1" s="89"/>
      <c r="D1" s="90" t="s">
        <v>0</v>
      </c>
      <c r="E1" s="90"/>
      <c r="F1" s="90"/>
      <c r="G1" s="88" t="s">
        <v>1</v>
      </c>
      <c r="H1" s="88"/>
      <c r="I1" s="88"/>
    </row>
    <row r="2" spans="1:11" ht="19.5" customHeight="1">
      <c r="A2" s="91" t="s">
        <v>2</v>
      </c>
      <c r="B2" s="91"/>
      <c r="C2" s="6">
        <f>SUM(C4:C60)</f>
        <v>24997369.174846623</v>
      </c>
      <c r="D2" s="6">
        <f>SUM(D4:D60)</f>
        <v>33199207.488855809</v>
      </c>
      <c r="E2" s="6">
        <f>C2-D2</f>
        <v>-8201838.3140091859</v>
      </c>
      <c r="F2" s="7">
        <f>IFERROR(E2/D2, 0)</f>
        <v>-0.2470492199779874</v>
      </c>
      <c r="G2" s="6">
        <f>SUM(G4:G60)</f>
        <v>35249151.57</v>
      </c>
      <c r="H2" s="8">
        <f>C2-G2</f>
        <v>-10251782.395153377</v>
      </c>
      <c r="I2" s="7">
        <f>IFERROR(H2/G2, 0)</f>
        <v>-0.2908377063996771</v>
      </c>
    </row>
    <row r="3" spans="1:11" ht="14.25" customHeight="1">
      <c r="A3" s="9" t="s">
        <v>3</v>
      </c>
      <c r="B3" s="9" t="s">
        <v>4</v>
      </c>
      <c r="C3" s="25" t="s">
        <v>5</v>
      </c>
      <c r="D3" s="36" t="s">
        <v>6</v>
      </c>
      <c r="E3" s="36" t="s">
        <v>7</v>
      </c>
      <c r="F3" s="37" t="s">
        <v>8</v>
      </c>
      <c r="G3" s="38" t="s">
        <v>9</v>
      </c>
      <c r="H3" s="39" t="s">
        <v>7</v>
      </c>
      <c r="I3" s="40" t="s">
        <v>8</v>
      </c>
    </row>
    <row r="4" spans="1:11" ht="15.6">
      <c r="A4" s="13" t="str" cm="1">
        <f t="array" ref="A4:A11">Sites[Site]</f>
        <v>MA: Fairhaven - 279 Mill Rd</v>
      </c>
      <c r="B4" s="10" t="str" cm="1">
        <f t="array" ref="B4:B11">Sites[State]</f>
        <v>MA</v>
      </c>
      <c r="C4" s="26">
        <f>SUM('1st Qtr'!C4, '2nd Qtr'!C4, '3rd Qtr'!C4, '4th Qtr'!C4)</f>
        <v>1501683</v>
      </c>
      <c r="D4" s="14">
        <f>SUM('1st Qtr'!D4, '2nd Qtr'!D4, '3rd Qtr'!D4, '4th Qtr'!D4)</f>
        <v>1512755.7349917651</v>
      </c>
      <c r="E4" s="14">
        <f t="shared" ref="E4:E11" si="0">IF(AND(ISNUMBER(C4),ISNUMBER(D4)), C4-D4, "")</f>
        <v>-11072.734991765115</v>
      </c>
      <c r="F4" s="15">
        <f t="shared" ref="F4:F11" si="1">IFERROR(E4/D4, "")</f>
        <v>-7.3195789218577258E-3</v>
      </c>
      <c r="G4" s="16">
        <f>SUM('1st Qtr'!G4,'2nd Qtr'!G4,'3rd Qtr'!G4,'4th Qtr'!G4)</f>
        <v>1473946.0999999996</v>
      </c>
      <c r="H4" s="16">
        <f>SUM('1st Qtr'!H4, '2nd Qtr'!H4, '3rd Qtr'!H4, '4th Qtr'!H4)</f>
        <v>27736.900000000169</v>
      </c>
      <c r="I4" s="17">
        <f t="shared" ref="I4:I11" si="2">IFERROR(H4/G4, "")</f>
        <v>1.8818123674943184E-2</v>
      </c>
    </row>
    <row r="5" spans="1:11" ht="15.6">
      <c r="A5" s="31" t="str">
        <v>Bakersfield - 100 Basic School Rd</v>
      </c>
      <c r="B5" s="32" t="str">
        <v>CA</v>
      </c>
      <c r="C5" s="12">
        <f>SUM('1st Qtr'!C5, '2nd Qtr'!C5, '3rd Qtr'!C5, '4th Qtr'!C5)</f>
        <v>5502212.4665132901</v>
      </c>
      <c r="D5" s="12">
        <f>SUM('1st Qtr'!D5, '2nd Qtr'!D5, '3rd Qtr'!D5, '4th Qtr'!D5)</f>
        <v>5289466.4800000004</v>
      </c>
      <c r="E5" s="20">
        <f t="shared" si="0"/>
        <v>212745.98651328962</v>
      </c>
      <c r="F5" s="21">
        <f t="shared" si="1"/>
        <v>4.0220689046372327E-2</v>
      </c>
      <c r="G5" s="12">
        <f>SUM('1st Qtr'!G5,'2nd Qtr'!G5,'3rd Qtr'!G5,'4th Qtr'!G5)</f>
        <v>5683686.3300000001</v>
      </c>
      <c r="H5" s="20">
        <f>SUM('1st Qtr'!H5, '2nd Qtr'!H5, '3rd Qtr'!H5, '4th Qtr'!H5)</f>
        <v>-181473.86348671012</v>
      </c>
      <c r="I5" s="21">
        <f t="shared" si="2"/>
        <v>-3.1928901939722303E-2</v>
      </c>
      <c r="J5" s="11"/>
      <c r="K5" s="19"/>
    </row>
    <row r="6" spans="1:11" ht="15.6">
      <c r="A6" s="13" t="str">
        <v>Fresno - 2685 Cornelia Ave</v>
      </c>
      <c r="B6" s="10" t="str">
        <v>CA</v>
      </c>
      <c r="C6" s="26">
        <f>SUM('1st Qtr'!C6, '2nd Qtr'!C6, '3rd Qtr'!C6, '4th Qtr'!C6)</f>
        <v>4658116</v>
      </c>
      <c r="D6" s="14">
        <f>SUM('1st Qtr'!D6, '2nd Qtr'!D6, '3rd Qtr'!D6, '4th Qtr'!D6)</f>
        <v>10991525.720000001</v>
      </c>
      <c r="E6" s="14">
        <f t="shared" si="0"/>
        <v>-6333409.7200000007</v>
      </c>
      <c r="F6" s="15">
        <f t="shared" si="1"/>
        <v>-0.57620842468446687</v>
      </c>
      <c r="G6" s="16">
        <f>SUM('1st Qtr'!G6,'2nd Qtr'!G6,'3rd Qtr'!G6,'4th Qtr'!G6)</f>
        <v>11526173.199999999</v>
      </c>
      <c r="H6" s="16">
        <f>SUM('1st Qtr'!H6, '2nd Qtr'!H6, '3rd Qtr'!H6, '4th Qtr'!H6)</f>
        <v>-6868057.2000000002</v>
      </c>
      <c r="I6" s="17">
        <f t="shared" si="2"/>
        <v>-0.59586621516324256</v>
      </c>
    </row>
    <row r="7" spans="1:11" ht="15.6">
      <c r="A7" s="31" t="str">
        <v>San Juaquin - S. Placer &amp; W. Adams</v>
      </c>
      <c r="B7" s="32" t="str">
        <v>CA</v>
      </c>
      <c r="C7" s="12">
        <f>SUM('1st Qtr'!C7, '2nd Qtr'!C7, '3rd Qtr'!C7, '4th Qtr'!C7)</f>
        <v>4060111.7083333321</v>
      </c>
      <c r="D7" s="12">
        <f>SUM('1st Qtr'!D7, '2nd Qtr'!D7, '3rd Qtr'!D7, '4th Qtr'!D7)</f>
        <v>4336085.37</v>
      </c>
      <c r="E7" s="20">
        <f t="shared" si="0"/>
        <v>-275973.66166666802</v>
      </c>
      <c r="F7" s="21">
        <f t="shared" si="1"/>
        <v>-6.3645809092238423E-2</v>
      </c>
      <c r="G7" s="12">
        <f>SUM('1st Qtr'!G7,'2nd Qtr'!G7,'3rd Qtr'!G7,'4th Qtr'!G7)</f>
        <v>4202404.74</v>
      </c>
      <c r="H7" s="20">
        <f>SUM('1st Qtr'!H7, '2nd Qtr'!H7, '3rd Qtr'!H7, '4th Qtr'!H7)</f>
        <v>-142293.03166666807</v>
      </c>
      <c r="I7" s="21">
        <f t="shared" si="2"/>
        <v>-3.3859906522632578E-2</v>
      </c>
      <c r="J7" s="11"/>
      <c r="K7" s="19"/>
    </row>
    <row r="8" spans="1:11" ht="15.6">
      <c r="A8" s="13" t="str">
        <v xml:space="preserve">Charlemont - 0 Tea St </v>
      </c>
      <c r="B8" s="10" t="str">
        <v>MA</v>
      </c>
      <c r="C8" s="49">
        <f>SUM('1st Qtr'!C8, '2nd Qtr'!C8, '3rd Qtr'!C8, '4th Qtr'!C8)</f>
        <v>812374</v>
      </c>
      <c r="D8" s="14">
        <f>SUM('1st Qtr'!D8, '2nd Qtr'!D8, '3rd Qtr'!D8, '4th Qtr'!D8)</f>
        <v>1743721.6707340963</v>
      </c>
      <c r="E8" s="14">
        <f t="shared" si="0"/>
        <v>-931347.67073409632</v>
      </c>
      <c r="F8" s="48">
        <f t="shared" si="1"/>
        <v>-0.53411486842507649</v>
      </c>
      <c r="G8" s="47">
        <f>SUM('1st Qtr'!G8,'2nd Qtr'!G8,'3rd Qtr'!G8,'4th Qtr'!G8)</f>
        <v>1775605.1999999997</v>
      </c>
      <c r="H8" s="47">
        <f>SUM('1st Qtr'!H8, '2nd Qtr'!H8, '3rd Qtr'!H8, '4th Qtr'!H8)</f>
        <v>-963231.19999999972</v>
      </c>
      <c r="I8" s="46">
        <f t="shared" si="2"/>
        <v>-0.54248050185930963</v>
      </c>
    </row>
    <row r="9" spans="1:11" ht="15.6">
      <c r="A9" s="31" t="str">
        <v xml:space="preserve">Amherst - 740 Belchertown Rd </v>
      </c>
      <c r="B9" s="32" t="str">
        <v>MA</v>
      </c>
      <c r="C9" s="42">
        <f>SUM('1st Qtr'!C9, '2nd Qtr'!C9, '3rd Qtr'!C9, '4th Qtr'!C9)</f>
        <v>1657464</v>
      </c>
      <c r="D9" s="42">
        <f>SUM('1st Qtr'!D9, '2nd Qtr'!D9, '3rd Qtr'!D9, '4th Qtr'!D9)</f>
        <v>1838658.3645817649</v>
      </c>
      <c r="E9" s="20">
        <f t="shared" si="0"/>
        <v>-181194.36458176491</v>
      </c>
      <c r="F9" s="43">
        <f t="shared" si="1"/>
        <v>-9.8547053695307196E-2</v>
      </c>
      <c r="G9" s="42">
        <f>SUM('1st Qtr'!G9,'2nd Qtr'!G9,'3rd Qtr'!G9,'4th Qtr'!G9)</f>
        <v>2010172.9999999998</v>
      </c>
      <c r="H9" s="20">
        <f>SUM('1st Qtr'!H9, '2nd Qtr'!H9, '3rd Qtr'!H9, '4th Qtr'!H9)</f>
        <v>-352708.99999999977</v>
      </c>
      <c r="I9" s="43">
        <f t="shared" si="2"/>
        <v>-0.17546201247355317</v>
      </c>
      <c r="J9" s="11"/>
      <c r="K9" s="19"/>
    </row>
    <row r="10" spans="1:11" ht="15.6">
      <c r="A10" s="13" t="str">
        <v xml:space="preserve"> Ludlow - Huxley 1 &amp; 2 - 504 Fuller St </v>
      </c>
      <c r="B10" s="10" t="str">
        <v>MA</v>
      </c>
      <c r="C10" s="49">
        <f>SUM('1st Qtr'!C10, '2nd Qtr'!C10, '3rd Qtr'!C10, '4th Qtr'!C10)</f>
        <v>4092292</v>
      </c>
      <c r="D10" s="14">
        <f>SUM('1st Qtr'!D10, '2nd Qtr'!D10, '3rd Qtr'!D10, '4th Qtr'!D10)</f>
        <v>3862993.5386638399</v>
      </c>
      <c r="E10" s="14">
        <f t="shared" si="0"/>
        <v>229298.46133616008</v>
      </c>
      <c r="F10" s="48">
        <f t="shared" si="1"/>
        <v>5.9357712882810436E-2</v>
      </c>
      <c r="G10" s="47">
        <f>SUM('1st Qtr'!G10,'2nd Qtr'!G10,'3rd Qtr'!G10,'4th Qtr'!G10)</f>
        <v>4605685.0000000009</v>
      </c>
      <c r="H10" s="47">
        <f>SUM('1st Qtr'!H10, '2nd Qtr'!H10, '3rd Qtr'!H10, '4th Qtr'!H10)</f>
        <v>-513393.00000000081</v>
      </c>
      <c r="I10" s="46">
        <f t="shared" si="2"/>
        <v>-0.11146941225898009</v>
      </c>
    </row>
    <row r="11" spans="1:11" ht="15.6">
      <c r="A11" s="31" t="str">
        <v>Easthampton - Beacon 1 &amp; 2 - 540 Florence Rd</v>
      </c>
      <c r="B11" s="32" t="str">
        <v>MA</v>
      </c>
      <c r="C11" s="42">
        <f>SUM('1st Qtr'!C11, '2nd Qtr'!C11, '3rd Qtr'!C11, '4th Qtr'!C11)</f>
        <v>2713116</v>
      </c>
      <c r="D11" s="42">
        <f>SUM('1st Qtr'!D11, '2nd Qtr'!D11, '3rd Qtr'!D11, '4th Qtr'!D11)</f>
        <v>3624000.6098843426</v>
      </c>
      <c r="E11" s="20">
        <f t="shared" si="0"/>
        <v>-910884.60988434264</v>
      </c>
      <c r="F11" s="43">
        <f t="shared" si="1"/>
        <v>-0.25134780811016832</v>
      </c>
      <c r="G11" s="42">
        <f>SUM('1st Qtr'!G11,'2nd Qtr'!G11,'3rd Qtr'!G11,'4th Qtr'!G11)</f>
        <v>3971478.0000000014</v>
      </c>
      <c r="H11" s="20">
        <f>SUM('1st Qtr'!H11, '2nd Qtr'!H11, '3rd Qtr'!H11, '4th Qtr'!H11)</f>
        <v>-1258362.0000000014</v>
      </c>
      <c r="I11" s="43">
        <f t="shared" si="2"/>
        <v>-0.31684979748093806</v>
      </c>
      <c r="J11" s="11"/>
      <c r="K11" s="19"/>
    </row>
    <row r="12" spans="1:11" ht="13.9">
      <c r="A12" s="23"/>
      <c r="B12" s="23"/>
      <c r="C12" s="23"/>
      <c r="D12" s="23"/>
      <c r="E12" s="23"/>
      <c r="F12" s="24"/>
      <c r="G12" s="23"/>
      <c r="H12" s="23"/>
      <c r="I12" s="24"/>
    </row>
    <row r="13" spans="1:11" ht="13.9">
      <c r="A13" s="23"/>
      <c r="B13" s="23"/>
      <c r="C13" s="23"/>
      <c r="D13" s="23"/>
      <c r="E13" s="23"/>
      <c r="F13" s="24"/>
      <c r="G13" s="23"/>
      <c r="H13" s="23"/>
      <c r="I13" s="24"/>
    </row>
    <row r="14" spans="1:11" ht="13.9">
      <c r="A14" s="23"/>
      <c r="B14" s="23"/>
      <c r="C14" s="23"/>
      <c r="D14" s="23"/>
      <c r="E14" s="23"/>
      <c r="F14" s="24"/>
      <c r="G14" s="23"/>
      <c r="H14" s="23"/>
      <c r="I14" s="24"/>
    </row>
    <row r="15" spans="1:11" ht="13.9">
      <c r="A15" s="23"/>
      <c r="B15" s="23"/>
      <c r="C15" s="23"/>
      <c r="D15" s="23"/>
      <c r="E15" s="23"/>
      <c r="F15" s="24"/>
      <c r="G15" s="23"/>
      <c r="H15" s="23"/>
      <c r="I15" s="24"/>
    </row>
    <row r="16" spans="1:11" ht="13.9">
      <c r="A16" s="23"/>
      <c r="B16" s="23"/>
      <c r="C16" s="23"/>
      <c r="D16" s="23"/>
      <c r="E16" s="23"/>
      <c r="F16" s="24"/>
      <c r="G16" s="23"/>
      <c r="H16" s="23"/>
      <c r="I16" s="24"/>
    </row>
    <row r="17" spans="1:9" ht="13.9">
      <c r="A17" s="23"/>
      <c r="B17" s="23"/>
      <c r="C17" s="23"/>
      <c r="D17" s="23"/>
      <c r="E17" s="23"/>
      <c r="F17" s="24"/>
      <c r="G17" s="23"/>
      <c r="H17" s="23"/>
      <c r="I17" s="24"/>
    </row>
    <row r="18" spans="1:9" ht="13.9">
      <c r="A18" s="23"/>
      <c r="B18" s="23"/>
      <c r="C18" s="23"/>
      <c r="D18" s="23"/>
      <c r="E18" s="23"/>
      <c r="F18" s="24"/>
      <c r="G18" s="23"/>
      <c r="H18" s="23"/>
      <c r="I18" s="24"/>
    </row>
    <row r="19" spans="1:9" ht="13.9">
      <c r="A19" s="23"/>
      <c r="B19" s="23"/>
      <c r="C19" s="23"/>
      <c r="D19" s="23"/>
      <c r="E19" s="23"/>
      <c r="F19" s="24"/>
      <c r="G19" s="23"/>
      <c r="H19" s="23"/>
      <c r="I19" s="24"/>
    </row>
    <row r="20" spans="1:9" ht="13.9">
      <c r="A20" s="23"/>
      <c r="B20" s="23"/>
      <c r="C20" s="23"/>
      <c r="D20" s="23"/>
      <c r="E20" s="23"/>
      <c r="F20" s="24"/>
      <c r="G20" s="23"/>
      <c r="H20" s="23"/>
      <c r="I20" s="24"/>
    </row>
    <row r="21" spans="1:9" ht="13.9">
      <c r="A21" s="23"/>
      <c r="B21" s="23"/>
      <c r="C21" s="23"/>
      <c r="D21" s="23"/>
      <c r="E21" s="23"/>
      <c r="F21" s="24"/>
      <c r="G21" s="23"/>
      <c r="H21" s="23"/>
      <c r="I21" s="24"/>
    </row>
    <row r="22" spans="1:9" ht="13.9">
      <c r="A22" s="23"/>
      <c r="B22" s="23"/>
      <c r="C22" s="23"/>
      <c r="D22" s="23"/>
      <c r="E22" s="23"/>
      <c r="F22" s="24"/>
      <c r="G22" s="23"/>
      <c r="H22" s="23"/>
      <c r="I22" s="24"/>
    </row>
    <row r="23" spans="1:9" ht="13.9">
      <c r="A23" s="23"/>
      <c r="B23" s="23"/>
      <c r="C23" s="23"/>
      <c r="D23" s="23"/>
      <c r="E23" s="23"/>
      <c r="F23" s="24"/>
      <c r="G23" s="23"/>
      <c r="H23" s="23"/>
      <c r="I23" s="24"/>
    </row>
    <row r="24" spans="1:9" ht="13.9">
      <c r="A24" s="23"/>
      <c r="B24" s="23"/>
      <c r="C24" s="23"/>
      <c r="D24" s="23"/>
      <c r="E24" s="23"/>
      <c r="F24" s="24"/>
      <c r="G24" s="23"/>
      <c r="H24" s="23"/>
      <c r="I24" s="24"/>
    </row>
    <row r="25" spans="1:9" ht="13.9">
      <c r="A25" s="23"/>
      <c r="B25" s="23"/>
      <c r="C25" s="23"/>
      <c r="D25" s="23"/>
      <c r="E25" s="23"/>
      <c r="F25" s="24"/>
      <c r="G25" s="23"/>
      <c r="H25" s="23"/>
      <c r="I25" s="24"/>
    </row>
    <row r="26" spans="1:9" ht="13.9">
      <c r="A26" s="23"/>
      <c r="B26" s="23"/>
      <c r="C26" s="23"/>
      <c r="D26" s="23"/>
      <c r="E26" s="23"/>
      <c r="F26" s="24"/>
      <c r="G26" s="23"/>
      <c r="H26" s="23"/>
      <c r="I26" s="24"/>
    </row>
    <row r="27" spans="1:9" ht="13.9">
      <c r="A27" s="23"/>
      <c r="B27" s="23"/>
      <c r="C27" s="23"/>
      <c r="D27" s="23"/>
      <c r="E27" s="23"/>
      <c r="F27" s="24"/>
      <c r="G27" s="23"/>
      <c r="H27" s="23"/>
      <c r="I27" s="24"/>
    </row>
    <row r="28" spans="1:9" ht="13.9">
      <c r="A28" s="23"/>
      <c r="B28" s="23"/>
      <c r="C28" s="23"/>
      <c r="D28" s="23"/>
      <c r="E28" s="23"/>
      <c r="F28" s="24"/>
      <c r="G28" s="23"/>
      <c r="H28" s="23"/>
      <c r="I28" s="24"/>
    </row>
    <row r="29" spans="1:9" ht="13.9">
      <c r="A29" s="23"/>
      <c r="B29" s="23"/>
      <c r="C29" s="23"/>
      <c r="D29" s="23"/>
      <c r="E29" s="23"/>
      <c r="F29" s="24"/>
      <c r="G29" s="23"/>
      <c r="H29" s="23"/>
      <c r="I29" s="24"/>
    </row>
    <row r="30" spans="1:9" ht="13.9">
      <c r="A30" s="23"/>
      <c r="B30" s="23"/>
      <c r="C30" s="23"/>
      <c r="D30" s="23"/>
      <c r="E30" s="23"/>
      <c r="F30" s="24"/>
      <c r="G30" s="23"/>
      <c r="H30" s="23"/>
      <c r="I30" s="24"/>
    </row>
    <row r="31" spans="1:9" ht="13.9">
      <c r="A31" s="23"/>
      <c r="B31" s="23"/>
      <c r="C31" s="23"/>
      <c r="D31" s="23"/>
      <c r="E31" s="23"/>
      <c r="F31" s="24"/>
      <c r="G31" s="23"/>
      <c r="H31" s="23"/>
      <c r="I31" s="24"/>
    </row>
    <row r="32" spans="1:9" ht="13.9">
      <c r="A32" s="23"/>
      <c r="B32" s="23"/>
      <c r="C32" s="23"/>
      <c r="D32" s="23"/>
      <c r="E32" s="23"/>
      <c r="F32" s="24"/>
      <c r="G32" s="23"/>
      <c r="H32" s="23"/>
      <c r="I32" s="24"/>
    </row>
    <row r="33" spans="1:9" ht="13.9">
      <c r="A33" s="23"/>
      <c r="B33" s="23"/>
      <c r="C33" s="23"/>
      <c r="D33" s="23"/>
      <c r="E33" s="23"/>
      <c r="F33" s="24"/>
      <c r="G33" s="23"/>
      <c r="H33" s="23"/>
      <c r="I33" s="24"/>
    </row>
    <row r="34" spans="1:9" ht="13.9">
      <c r="A34" s="23"/>
      <c r="B34" s="23"/>
      <c r="C34" s="23"/>
      <c r="D34" s="23"/>
      <c r="E34" s="23"/>
      <c r="F34" s="24"/>
      <c r="G34" s="23"/>
      <c r="H34" s="23"/>
      <c r="I34" s="24"/>
    </row>
    <row r="35" spans="1:9" ht="13.9">
      <c r="A35" s="23"/>
      <c r="B35" s="23"/>
      <c r="C35" s="23"/>
      <c r="D35" s="23"/>
      <c r="E35" s="23"/>
      <c r="F35" s="24"/>
      <c r="G35" s="23"/>
      <c r="H35" s="23"/>
      <c r="I35" s="24"/>
    </row>
    <row r="36" spans="1:9" ht="13.9">
      <c r="A36" s="23"/>
      <c r="B36" s="23"/>
      <c r="C36" s="23"/>
      <c r="D36" s="23"/>
      <c r="E36" s="23"/>
      <c r="F36" s="24"/>
      <c r="G36" s="23"/>
      <c r="H36" s="23"/>
      <c r="I36" s="24"/>
    </row>
    <row r="37" spans="1:9" ht="13.9">
      <c r="A37" s="23"/>
      <c r="B37" s="23"/>
      <c r="C37" s="23"/>
      <c r="D37" s="23"/>
      <c r="E37" s="23"/>
      <c r="F37" s="24"/>
      <c r="G37" s="23"/>
      <c r="H37" s="23"/>
      <c r="I37" s="24"/>
    </row>
    <row r="38" spans="1:9" ht="13.9">
      <c r="A38" s="23"/>
      <c r="B38" s="23"/>
      <c r="C38" s="23"/>
      <c r="D38" s="23"/>
      <c r="E38" s="23"/>
      <c r="F38" s="24"/>
      <c r="G38" s="23"/>
      <c r="H38" s="23"/>
      <c r="I38" s="24"/>
    </row>
    <row r="39" spans="1:9" ht="13.9">
      <c r="A39" s="23"/>
      <c r="B39" s="23"/>
      <c r="C39" s="23"/>
      <c r="D39" s="23"/>
      <c r="E39" s="23"/>
      <c r="F39" s="24"/>
      <c r="G39" s="23"/>
      <c r="H39" s="23"/>
      <c r="I39" s="24"/>
    </row>
    <row r="40" spans="1:9" ht="13.9">
      <c r="A40" s="23"/>
      <c r="B40" s="23"/>
      <c r="C40" s="23"/>
      <c r="D40" s="23"/>
      <c r="E40" s="23"/>
      <c r="F40" s="24"/>
      <c r="G40" s="23"/>
      <c r="H40" s="23"/>
      <c r="I40" s="24"/>
    </row>
    <row r="41" spans="1:9" ht="13.9">
      <c r="A41" s="23"/>
      <c r="B41" s="23"/>
      <c r="C41" s="23"/>
      <c r="D41" s="23"/>
      <c r="E41" s="23"/>
      <c r="F41" s="24"/>
      <c r="G41" s="23"/>
      <c r="H41" s="23"/>
      <c r="I41" s="24"/>
    </row>
    <row r="42" spans="1:9" ht="13.9">
      <c r="A42" s="23"/>
      <c r="B42" s="23"/>
      <c r="C42" s="23"/>
      <c r="D42" s="23"/>
      <c r="E42" s="23"/>
      <c r="F42" s="24"/>
      <c r="G42" s="23"/>
      <c r="H42" s="23"/>
      <c r="I42" s="24"/>
    </row>
    <row r="43" spans="1:9" ht="13.9">
      <c r="A43" s="23"/>
      <c r="B43" s="23"/>
      <c r="C43" s="23"/>
      <c r="D43" s="23"/>
      <c r="E43" s="23"/>
      <c r="F43" s="24"/>
      <c r="G43" s="23"/>
      <c r="H43" s="23"/>
      <c r="I43" s="24"/>
    </row>
    <row r="44" spans="1:9" ht="13.9">
      <c r="A44" s="23"/>
      <c r="B44" s="23"/>
      <c r="C44" s="23"/>
      <c r="D44" s="23"/>
      <c r="E44" s="23"/>
      <c r="F44" s="24"/>
      <c r="G44" s="23"/>
      <c r="H44" s="23"/>
      <c r="I44" s="24"/>
    </row>
    <row r="45" spans="1:9" ht="13.9">
      <c r="A45" s="23"/>
      <c r="B45" s="23"/>
      <c r="C45" s="23"/>
      <c r="D45" s="23"/>
      <c r="E45" s="23"/>
      <c r="F45" s="24"/>
      <c r="G45" s="23"/>
      <c r="H45" s="23"/>
      <c r="I45" s="24"/>
    </row>
    <row r="46" spans="1:9" ht="13.9">
      <c r="A46" s="23"/>
      <c r="B46" s="23"/>
      <c r="C46" s="23"/>
      <c r="D46" s="23"/>
      <c r="E46" s="23"/>
      <c r="F46" s="24"/>
      <c r="G46" s="23"/>
      <c r="H46" s="23"/>
      <c r="I46" s="24"/>
    </row>
    <row r="47" spans="1:9" ht="13.9">
      <c r="A47" s="23"/>
      <c r="B47" s="23"/>
      <c r="C47" s="23"/>
      <c r="D47" s="23"/>
      <c r="E47" s="23"/>
      <c r="F47" s="24"/>
      <c r="G47" s="23"/>
      <c r="H47" s="23"/>
      <c r="I47" s="24"/>
    </row>
    <row r="48" spans="1:9" ht="13.9">
      <c r="A48" s="23"/>
      <c r="B48" s="23"/>
      <c r="C48" s="23"/>
      <c r="D48" s="23"/>
      <c r="E48" s="23"/>
      <c r="F48" s="24"/>
      <c r="G48" s="23"/>
      <c r="H48" s="23"/>
      <c r="I48" s="24"/>
    </row>
    <row r="49" spans="1:9" ht="13.9">
      <c r="A49" s="23"/>
      <c r="B49" s="23"/>
      <c r="C49" s="23"/>
      <c r="D49" s="23"/>
      <c r="E49" s="23"/>
      <c r="F49" s="24"/>
      <c r="G49" s="23"/>
      <c r="H49" s="23"/>
      <c r="I49" s="24"/>
    </row>
    <row r="50" spans="1:9" ht="13.9">
      <c r="A50" s="23"/>
      <c r="B50" s="23"/>
      <c r="C50" s="23"/>
      <c r="D50" s="23"/>
      <c r="E50" s="23"/>
      <c r="F50" s="24"/>
      <c r="G50" s="23"/>
      <c r="H50" s="23"/>
      <c r="I50" s="24"/>
    </row>
    <row r="51" spans="1:9" ht="13.9">
      <c r="A51" s="23"/>
      <c r="B51" s="23"/>
      <c r="C51" s="23"/>
      <c r="D51" s="23"/>
      <c r="E51" s="23"/>
      <c r="F51" s="24"/>
      <c r="G51" s="23"/>
      <c r="H51" s="23"/>
      <c r="I51" s="24"/>
    </row>
    <row r="52" spans="1:9" ht="13.9">
      <c r="A52" s="23"/>
      <c r="B52" s="23"/>
      <c r="C52" s="23"/>
      <c r="D52" s="23"/>
      <c r="E52" s="23"/>
      <c r="F52" s="24"/>
      <c r="G52" s="23"/>
      <c r="H52" s="23"/>
      <c r="I52" s="24"/>
    </row>
    <row r="53" spans="1:9" ht="13.9">
      <c r="A53" s="23"/>
      <c r="B53" s="23"/>
      <c r="C53" s="23"/>
      <c r="D53" s="23"/>
      <c r="E53" s="23"/>
      <c r="F53" s="24"/>
      <c r="G53" s="23"/>
      <c r="H53" s="23"/>
      <c r="I53" s="24"/>
    </row>
    <row r="54" spans="1:9" ht="13.9">
      <c r="A54" s="23"/>
      <c r="B54" s="23"/>
      <c r="C54" s="23"/>
      <c r="D54" s="23"/>
      <c r="E54" s="23"/>
      <c r="F54" s="24"/>
      <c r="G54" s="23"/>
      <c r="H54" s="23"/>
      <c r="I54" s="24"/>
    </row>
    <row r="55" spans="1:9" ht="13.9">
      <c r="A55" s="23"/>
      <c r="B55" s="23"/>
      <c r="C55" s="23"/>
      <c r="D55" s="23"/>
      <c r="E55" s="23"/>
      <c r="F55" s="24"/>
      <c r="G55" s="23"/>
      <c r="H55" s="23"/>
      <c r="I55" s="24"/>
    </row>
    <row r="56" spans="1:9" ht="13.9">
      <c r="A56" s="23"/>
      <c r="B56" s="23"/>
      <c r="C56" s="23"/>
      <c r="D56" s="23"/>
      <c r="E56" s="23"/>
      <c r="F56" s="24"/>
      <c r="G56" s="23"/>
      <c r="H56" s="23"/>
      <c r="I56" s="24"/>
    </row>
    <row r="57" spans="1:9" ht="13.9">
      <c r="A57" s="23"/>
      <c r="B57" s="23"/>
      <c r="C57" s="23"/>
      <c r="D57" s="23"/>
      <c r="E57" s="23"/>
      <c r="F57" s="24"/>
      <c r="G57" s="23"/>
      <c r="H57" s="23"/>
      <c r="I57" s="24"/>
    </row>
    <row r="58" spans="1:9" ht="13.9">
      <c r="A58" s="23"/>
      <c r="B58" s="23"/>
      <c r="C58" s="23"/>
      <c r="D58" s="23"/>
      <c r="E58" s="23"/>
      <c r="F58" s="24"/>
      <c r="G58" s="23"/>
      <c r="H58" s="23"/>
      <c r="I58" s="24"/>
    </row>
    <row r="59" spans="1:9" ht="13.9">
      <c r="A59" s="23"/>
      <c r="B59" s="23"/>
      <c r="C59" s="23"/>
      <c r="D59" s="23"/>
      <c r="E59" s="23"/>
      <c r="F59" s="24"/>
      <c r="G59" s="23"/>
      <c r="H59" s="23"/>
      <c r="I59" s="24"/>
    </row>
    <row r="60" spans="1:9" ht="13.9">
      <c r="A60" s="23"/>
      <c r="B60" s="23"/>
      <c r="C60" s="23"/>
      <c r="D60" s="23"/>
      <c r="E60" s="23"/>
      <c r="F60" s="24"/>
      <c r="G60" s="23"/>
      <c r="H60" s="23"/>
      <c r="I60" s="24"/>
    </row>
    <row r="61" spans="1:9" ht="13.9">
      <c r="A61" s="23"/>
      <c r="B61" s="23"/>
      <c r="C61" s="23"/>
      <c r="D61" s="23"/>
      <c r="E61" s="23"/>
      <c r="F61" s="24"/>
      <c r="G61" s="23"/>
      <c r="H61" s="23"/>
      <c r="I61" s="24"/>
    </row>
    <row r="62" spans="1:9" ht="13.9">
      <c r="A62" s="23"/>
      <c r="B62" s="23"/>
      <c r="C62" s="23"/>
      <c r="D62" s="23"/>
      <c r="E62" s="23"/>
      <c r="F62" s="24"/>
      <c r="G62" s="23"/>
      <c r="H62" s="23"/>
      <c r="I62" s="24"/>
    </row>
    <row r="63" spans="1:9" ht="13.9">
      <c r="A63" s="23"/>
      <c r="B63" s="23"/>
      <c r="C63" s="23"/>
      <c r="D63" s="23"/>
      <c r="E63" s="23"/>
      <c r="F63" s="24"/>
      <c r="G63" s="23"/>
      <c r="H63" s="23"/>
      <c r="I63" s="24"/>
    </row>
    <row r="64" spans="1:9" ht="13.9">
      <c r="A64" s="23"/>
      <c r="B64" s="23"/>
      <c r="C64" s="23"/>
      <c r="D64" s="23"/>
      <c r="E64" s="23"/>
      <c r="F64" s="24"/>
      <c r="G64" s="23"/>
      <c r="H64" s="23"/>
      <c r="I64" s="24"/>
    </row>
    <row r="65" spans="1:9" ht="13.9">
      <c r="A65" s="23"/>
      <c r="B65" s="23"/>
      <c r="C65" s="23"/>
      <c r="D65" s="23"/>
      <c r="E65" s="23"/>
      <c r="F65" s="24"/>
      <c r="G65" s="23"/>
      <c r="H65" s="23"/>
      <c r="I65" s="24"/>
    </row>
    <row r="66" spans="1:9" ht="13.9">
      <c r="A66" s="23"/>
      <c r="B66" s="23"/>
      <c r="C66" s="23"/>
      <c r="D66" s="23"/>
      <c r="E66" s="23"/>
      <c r="F66" s="24"/>
      <c r="G66" s="23"/>
      <c r="H66" s="23"/>
      <c r="I66" s="24"/>
    </row>
    <row r="67" spans="1:9" ht="13.9">
      <c r="A67" s="23"/>
      <c r="B67" s="23"/>
      <c r="C67" s="23"/>
      <c r="D67" s="23"/>
      <c r="E67" s="23"/>
      <c r="F67" s="24"/>
      <c r="G67" s="23"/>
      <c r="H67" s="23"/>
      <c r="I67" s="24"/>
    </row>
    <row r="68" spans="1:9" ht="13.9">
      <c r="A68" s="23"/>
      <c r="B68" s="23"/>
      <c r="C68" s="23"/>
      <c r="D68" s="23"/>
      <c r="E68" s="23"/>
      <c r="F68" s="24"/>
      <c r="G68" s="23"/>
      <c r="H68" s="23"/>
      <c r="I68" s="24"/>
    </row>
    <row r="69" spans="1:9" ht="13.9">
      <c r="A69" s="23"/>
      <c r="B69" s="23"/>
      <c r="C69" s="23"/>
      <c r="D69" s="23"/>
      <c r="E69" s="23"/>
      <c r="F69" s="24"/>
      <c r="G69" s="23"/>
      <c r="H69" s="23"/>
      <c r="I69" s="24"/>
    </row>
    <row r="70" spans="1:9" ht="13.9">
      <c r="A70" s="23"/>
      <c r="B70" s="23"/>
      <c r="C70" s="23"/>
      <c r="D70" s="23"/>
      <c r="E70" s="23"/>
      <c r="F70" s="24"/>
      <c r="G70" s="23"/>
      <c r="H70" s="23"/>
      <c r="I70" s="24"/>
    </row>
    <row r="71" spans="1:9" ht="13.9">
      <c r="A71" s="23"/>
      <c r="B71" s="23"/>
      <c r="C71" s="23"/>
      <c r="D71" s="23"/>
      <c r="E71" s="23"/>
      <c r="F71" s="24"/>
      <c r="G71" s="23"/>
      <c r="H71" s="23"/>
      <c r="I71" s="24"/>
    </row>
    <row r="72" spans="1:9" ht="13.9">
      <c r="A72" s="23"/>
      <c r="B72" s="23"/>
      <c r="C72" s="23"/>
      <c r="D72" s="23"/>
      <c r="E72" s="23"/>
      <c r="F72" s="24"/>
      <c r="G72" s="23"/>
      <c r="H72" s="23"/>
      <c r="I72" s="24"/>
    </row>
    <row r="73" spans="1:9" ht="13.9">
      <c r="A73" s="23"/>
      <c r="B73" s="23"/>
      <c r="C73" s="23"/>
      <c r="D73" s="23"/>
      <c r="E73" s="23"/>
      <c r="F73" s="24"/>
      <c r="G73" s="23"/>
      <c r="H73" s="23"/>
      <c r="I73" s="24"/>
    </row>
    <row r="74" spans="1:9" ht="13.9">
      <c r="A74" s="23"/>
      <c r="B74" s="23"/>
      <c r="C74" s="23"/>
      <c r="D74" s="23"/>
      <c r="E74" s="23"/>
      <c r="F74" s="24"/>
      <c r="G74" s="23"/>
      <c r="H74" s="23"/>
      <c r="I74" s="24"/>
    </row>
    <row r="75" spans="1:9" ht="13.9">
      <c r="A75" s="23"/>
      <c r="B75" s="23"/>
      <c r="C75" s="23"/>
      <c r="D75" s="23"/>
      <c r="E75" s="23"/>
      <c r="F75" s="24"/>
      <c r="G75" s="23"/>
      <c r="H75" s="23"/>
      <c r="I75" s="24"/>
    </row>
    <row r="76" spans="1:9" ht="13.9">
      <c r="A76" s="23"/>
      <c r="B76" s="23"/>
      <c r="C76" s="23"/>
      <c r="D76" s="23"/>
      <c r="E76" s="23"/>
      <c r="F76" s="24"/>
      <c r="G76" s="23"/>
      <c r="H76" s="23"/>
      <c r="I76" s="24"/>
    </row>
    <row r="77" spans="1:9" ht="13.9">
      <c r="A77" s="23"/>
      <c r="B77" s="23"/>
      <c r="C77" s="23"/>
      <c r="D77" s="23"/>
      <c r="E77" s="23"/>
      <c r="F77" s="24"/>
      <c r="G77" s="23"/>
      <c r="H77" s="23"/>
      <c r="I77" s="24"/>
    </row>
    <row r="78" spans="1:9" ht="13.9">
      <c r="A78" s="23"/>
      <c r="B78" s="23"/>
      <c r="C78" s="23"/>
      <c r="D78" s="23"/>
      <c r="E78" s="23"/>
      <c r="F78" s="24"/>
      <c r="G78" s="23"/>
      <c r="H78" s="23"/>
      <c r="I78" s="24"/>
    </row>
    <row r="79" spans="1:9" ht="13.9">
      <c r="A79" s="23"/>
      <c r="B79" s="23"/>
      <c r="C79" s="23"/>
      <c r="D79" s="23"/>
      <c r="E79" s="23"/>
      <c r="F79" s="24"/>
      <c r="G79" s="23"/>
      <c r="H79" s="23"/>
      <c r="I79" s="24"/>
    </row>
    <row r="80" spans="1:9" ht="13.9">
      <c r="A80" s="23"/>
      <c r="B80" s="23"/>
      <c r="C80" s="23"/>
      <c r="D80" s="23"/>
      <c r="E80" s="23"/>
      <c r="F80" s="24"/>
      <c r="G80" s="23"/>
      <c r="H80" s="23"/>
      <c r="I80" s="24"/>
    </row>
    <row r="81" spans="1:9" ht="13.9">
      <c r="A81" s="23"/>
      <c r="B81" s="23"/>
      <c r="C81" s="23"/>
      <c r="D81" s="23"/>
      <c r="E81" s="23"/>
      <c r="F81" s="24"/>
      <c r="G81" s="23"/>
      <c r="H81" s="23"/>
      <c r="I81" s="24"/>
    </row>
    <row r="82" spans="1:9" ht="13.9">
      <c r="A82" s="23"/>
      <c r="B82" s="23"/>
      <c r="C82" s="23"/>
      <c r="D82" s="23"/>
      <c r="E82" s="23"/>
      <c r="F82" s="24"/>
      <c r="G82" s="23"/>
      <c r="H82" s="23"/>
      <c r="I82" s="24"/>
    </row>
    <row r="83" spans="1:9" ht="13.9">
      <c r="A83" s="23"/>
      <c r="B83" s="23"/>
      <c r="C83" s="23"/>
      <c r="D83" s="23"/>
      <c r="E83" s="23"/>
      <c r="F83" s="24"/>
      <c r="G83" s="23"/>
      <c r="H83" s="23"/>
      <c r="I83" s="24"/>
    </row>
    <row r="84" spans="1:9" ht="13.9">
      <c r="A84" s="23"/>
      <c r="B84" s="23"/>
      <c r="C84" s="23"/>
      <c r="D84" s="23"/>
      <c r="E84" s="23"/>
      <c r="F84" s="24"/>
      <c r="G84" s="23"/>
      <c r="H84" s="23"/>
      <c r="I84" s="24"/>
    </row>
    <row r="85" spans="1:9" ht="13.9">
      <c r="A85" s="23"/>
      <c r="B85" s="23"/>
      <c r="C85" s="23"/>
      <c r="D85" s="23"/>
      <c r="E85" s="23"/>
      <c r="F85" s="24"/>
      <c r="G85" s="23"/>
      <c r="H85" s="23"/>
      <c r="I85" s="24"/>
    </row>
    <row r="86" spans="1:9" ht="13.9">
      <c r="A86" s="23"/>
      <c r="B86" s="23"/>
      <c r="C86" s="23"/>
      <c r="D86" s="23"/>
      <c r="E86" s="23"/>
      <c r="F86" s="24"/>
      <c r="G86" s="23"/>
      <c r="H86" s="23"/>
      <c r="I86" s="24"/>
    </row>
    <row r="87" spans="1:9" ht="13.9">
      <c r="A87" s="23"/>
      <c r="B87" s="23"/>
      <c r="C87" s="23"/>
      <c r="D87" s="23"/>
      <c r="E87" s="23"/>
      <c r="F87" s="24"/>
      <c r="G87" s="23"/>
      <c r="H87" s="23"/>
      <c r="I87" s="24"/>
    </row>
    <row r="88" spans="1:9" ht="13.9">
      <c r="A88" s="23"/>
      <c r="B88" s="23"/>
      <c r="C88" s="23"/>
      <c r="D88" s="23"/>
      <c r="E88" s="23"/>
      <c r="F88" s="24"/>
      <c r="G88" s="23"/>
      <c r="H88" s="23"/>
      <c r="I88" s="24"/>
    </row>
    <row r="89" spans="1:9" ht="13.9">
      <c r="A89" s="23"/>
      <c r="B89" s="23"/>
      <c r="C89" s="23"/>
      <c r="D89" s="23"/>
      <c r="E89" s="23"/>
      <c r="F89" s="24"/>
      <c r="G89" s="23"/>
      <c r="H89" s="23"/>
      <c r="I89" s="24"/>
    </row>
    <row r="90" spans="1:9" ht="13.9">
      <c r="A90" s="23"/>
      <c r="B90" s="23"/>
      <c r="C90" s="23"/>
      <c r="D90" s="23"/>
      <c r="E90" s="23"/>
      <c r="F90" s="24"/>
      <c r="G90" s="23"/>
      <c r="H90" s="23"/>
      <c r="I90" s="24"/>
    </row>
    <row r="91" spans="1:9" ht="13.9">
      <c r="A91" s="23"/>
      <c r="B91" s="23"/>
      <c r="C91" s="23"/>
      <c r="D91" s="23"/>
      <c r="E91" s="23"/>
      <c r="F91" s="24"/>
      <c r="G91" s="23"/>
      <c r="H91" s="23"/>
      <c r="I91" s="24"/>
    </row>
    <row r="92" spans="1:9" ht="13.9">
      <c r="A92" s="23"/>
      <c r="B92" s="23"/>
      <c r="C92" s="23"/>
      <c r="D92" s="23"/>
      <c r="E92" s="23"/>
      <c r="F92" s="24"/>
      <c r="G92" s="23"/>
      <c r="H92" s="23"/>
      <c r="I92" s="24"/>
    </row>
    <row r="93" spans="1:9" ht="13.9">
      <c r="A93" s="23"/>
      <c r="B93" s="23"/>
      <c r="C93" s="23"/>
      <c r="D93" s="23"/>
      <c r="E93" s="23"/>
      <c r="F93" s="24"/>
      <c r="G93" s="23"/>
      <c r="H93" s="23"/>
      <c r="I93" s="24"/>
    </row>
    <row r="94" spans="1:9" ht="13.9">
      <c r="A94" s="23"/>
      <c r="B94" s="23"/>
      <c r="C94" s="23"/>
      <c r="D94" s="23"/>
      <c r="E94" s="23"/>
      <c r="F94" s="24"/>
      <c r="G94" s="23"/>
      <c r="H94" s="23"/>
      <c r="I94" s="24"/>
    </row>
    <row r="95" spans="1:9" ht="13.9">
      <c r="A95" s="23"/>
      <c r="B95" s="23"/>
      <c r="C95" s="23"/>
      <c r="D95" s="23"/>
      <c r="E95" s="23"/>
      <c r="F95" s="24"/>
      <c r="G95" s="23"/>
      <c r="H95" s="23"/>
      <c r="I95" s="24"/>
    </row>
    <row r="96" spans="1:9" ht="13.9">
      <c r="A96" s="23"/>
      <c r="B96" s="23"/>
      <c r="C96" s="23"/>
      <c r="D96" s="23"/>
      <c r="E96" s="23"/>
      <c r="F96" s="24"/>
      <c r="G96" s="23"/>
      <c r="H96" s="23"/>
      <c r="I96" s="24"/>
    </row>
    <row r="97" spans="1:9" ht="13.9">
      <c r="A97" s="23"/>
      <c r="B97" s="23"/>
      <c r="C97" s="23"/>
      <c r="D97" s="23"/>
      <c r="E97" s="23"/>
      <c r="F97" s="24"/>
      <c r="G97" s="23"/>
      <c r="H97" s="23"/>
      <c r="I97" s="24"/>
    </row>
    <row r="98" spans="1:9" ht="13.9">
      <c r="A98" s="23"/>
      <c r="B98" s="23"/>
      <c r="C98" s="23"/>
      <c r="D98" s="23"/>
      <c r="E98" s="23"/>
      <c r="F98" s="24"/>
      <c r="G98" s="23"/>
      <c r="H98" s="23"/>
      <c r="I98" s="24"/>
    </row>
    <row r="99" spans="1:9" ht="13.9">
      <c r="A99" s="23"/>
      <c r="B99" s="23"/>
      <c r="C99" s="23"/>
      <c r="D99" s="23"/>
      <c r="E99" s="23"/>
      <c r="F99" s="24"/>
      <c r="G99" s="23"/>
      <c r="H99" s="23"/>
      <c r="I99" s="24"/>
    </row>
    <row r="100" spans="1:9" ht="13.9">
      <c r="A100" s="23"/>
      <c r="B100" s="23"/>
      <c r="C100" s="23"/>
      <c r="D100" s="23"/>
      <c r="E100" s="23"/>
      <c r="F100" s="24"/>
      <c r="G100" s="23"/>
      <c r="H100" s="23"/>
      <c r="I100" s="24"/>
    </row>
    <row r="101" spans="1:9" ht="13.9">
      <c r="A101" s="23"/>
      <c r="B101" s="23"/>
      <c r="C101" s="23"/>
      <c r="D101" s="23"/>
      <c r="E101" s="23"/>
      <c r="F101" s="24"/>
      <c r="G101" s="23"/>
      <c r="H101" s="23"/>
      <c r="I101" s="24"/>
    </row>
    <row r="102" spans="1:9" ht="13.9">
      <c r="A102" s="23"/>
      <c r="B102" s="23"/>
      <c r="C102" s="23"/>
      <c r="D102" s="23"/>
      <c r="E102" s="23"/>
      <c r="F102" s="24"/>
      <c r="G102" s="23"/>
      <c r="H102" s="23"/>
      <c r="I102" s="24"/>
    </row>
    <row r="103" spans="1:9" ht="13.9">
      <c r="A103" s="23"/>
      <c r="B103" s="23"/>
      <c r="C103" s="23"/>
      <c r="D103" s="23"/>
      <c r="E103" s="23"/>
      <c r="F103" s="24"/>
      <c r="G103" s="23"/>
      <c r="H103" s="23"/>
      <c r="I103" s="24"/>
    </row>
    <row r="104" spans="1:9" ht="13.9">
      <c r="A104" s="23"/>
      <c r="B104" s="23"/>
      <c r="C104" s="23"/>
      <c r="D104" s="23"/>
      <c r="E104" s="23"/>
      <c r="F104" s="24"/>
      <c r="G104" s="23"/>
      <c r="H104" s="23"/>
      <c r="I104" s="24"/>
    </row>
    <row r="105" spans="1:9" ht="13.9">
      <c r="A105" s="23"/>
      <c r="B105" s="23"/>
      <c r="C105" s="23"/>
      <c r="D105" s="23"/>
      <c r="E105" s="23"/>
      <c r="F105" s="24"/>
      <c r="G105" s="23"/>
      <c r="H105" s="23"/>
      <c r="I105" s="24"/>
    </row>
    <row r="106" spans="1:9" ht="13.9">
      <c r="A106" s="23"/>
      <c r="B106" s="23"/>
      <c r="C106" s="23"/>
      <c r="D106" s="23"/>
      <c r="E106" s="23"/>
      <c r="F106" s="24"/>
      <c r="G106" s="23"/>
      <c r="H106" s="23"/>
      <c r="I106" s="24"/>
    </row>
    <row r="107" spans="1:9" ht="13.9">
      <c r="A107" s="23"/>
      <c r="B107" s="23"/>
      <c r="C107" s="23"/>
      <c r="D107" s="23"/>
      <c r="E107" s="23"/>
      <c r="F107" s="24"/>
      <c r="G107" s="23"/>
      <c r="H107" s="23"/>
      <c r="I107" s="24"/>
    </row>
    <row r="108" spans="1:9" ht="13.9">
      <c r="A108" s="23"/>
      <c r="B108" s="23"/>
      <c r="C108" s="23"/>
      <c r="D108" s="23"/>
      <c r="E108" s="23"/>
      <c r="F108" s="24"/>
      <c r="G108" s="23"/>
      <c r="H108" s="23"/>
      <c r="I108" s="24"/>
    </row>
    <row r="109" spans="1:9" ht="13.9">
      <c r="A109" s="23"/>
      <c r="B109" s="23"/>
      <c r="C109" s="23"/>
      <c r="D109" s="23"/>
      <c r="E109" s="23"/>
      <c r="F109" s="24"/>
      <c r="G109" s="23"/>
      <c r="H109" s="23"/>
      <c r="I109" s="24"/>
    </row>
    <row r="110" spans="1:9" ht="13.9">
      <c r="A110" s="23"/>
      <c r="B110" s="23"/>
      <c r="C110" s="23"/>
      <c r="D110" s="23"/>
      <c r="E110" s="23"/>
      <c r="F110" s="24"/>
      <c r="G110" s="23"/>
      <c r="H110" s="23"/>
      <c r="I110" s="24"/>
    </row>
    <row r="111" spans="1:9" ht="13.9">
      <c r="A111" s="23"/>
      <c r="B111" s="23"/>
      <c r="C111" s="23"/>
      <c r="D111" s="23"/>
      <c r="E111" s="23"/>
      <c r="F111" s="24"/>
      <c r="G111" s="23"/>
      <c r="H111" s="23"/>
      <c r="I111" s="24"/>
    </row>
    <row r="112" spans="1:9" ht="13.9">
      <c r="A112" s="23"/>
      <c r="B112" s="23"/>
      <c r="C112" s="23"/>
      <c r="D112" s="23"/>
      <c r="E112" s="23"/>
      <c r="F112" s="24"/>
      <c r="G112" s="23"/>
      <c r="H112" s="23"/>
      <c r="I112" s="24"/>
    </row>
    <row r="113" spans="1:9" ht="13.9">
      <c r="A113" s="23"/>
      <c r="B113" s="23"/>
      <c r="C113" s="23"/>
      <c r="D113" s="23"/>
      <c r="E113" s="23"/>
      <c r="F113" s="24"/>
      <c r="G113" s="23"/>
      <c r="H113" s="23"/>
      <c r="I113" s="24"/>
    </row>
    <row r="114" spans="1:9" ht="13.9">
      <c r="A114" s="23"/>
      <c r="B114" s="23"/>
      <c r="C114" s="23"/>
      <c r="D114" s="23"/>
      <c r="E114" s="23"/>
      <c r="F114" s="24"/>
      <c r="G114" s="23"/>
      <c r="H114" s="23"/>
      <c r="I114" s="24"/>
    </row>
    <row r="115" spans="1:9" ht="13.9">
      <c r="A115" s="23"/>
      <c r="B115" s="23"/>
      <c r="C115" s="23"/>
      <c r="D115" s="23"/>
      <c r="E115" s="23"/>
      <c r="F115" s="24"/>
      <c r="G115" s="23"/>
      <c r="H115" s="23"/>
      <c r="I115" s="24"/>
    </row>
    <row r="116" spans="1:9" ht="13.9">
      <c r="A116" s="23"/>
      <c r="B116" s="23"/>
      <c r="C116" s="23"/>
      <c r="D116" s="23"/>
      <c r="E116" s="23"/>
      <c r="F116" s="24"/>
      <c r="G116" s="23"/>
      <c r="H116" s="23"/>
      <c r="I116" s="24"/>
    </row>
    <row r="117" spans="1:9" ht="13.9">
      <c r="A117" s="23"/>
      <c r="B117" s="23"/>
      <c r="C117" s="23"/>
      <c r="D117" s="23"/>
      <c r="E117" s="23"/>
      <c r="F117" s="24"/>
      <c r="G117" s="23"/>
      <c r="H117" s="23"/>
      <c r="I117" s="24"/>
    </row>
    <row r="118" spans="1:9" ht="13.9">
      <c r="A118" s="23"/>
      <c r="B118" s="23"/>
      <c r="C118" s="23"/>
      <c r="D118" s="23"/>
      <c r="E118" s="23"/>
      <c r="F118" s="24"/>
      <c r="G118" s="23"/>
      <c r="H118" s="23"/>
      <c r="I118" s="24"/>
    </row>
    <row r="119" spans="1:9" ht="13.9">
      <c r="A119" s="23"/>
      <c r="B119" s="23"/>
      <c r="C119" s="23"/>
      <c r="D119" s="23"/>
      <c r="E119" s="23"/>
      <c r="F119" s="24"/>
      <c r="G119" s="23"/>
      <c r="H119" s="23"/>
      <c r="I119" s="24"/>
    </row>
    <row r="120" spans="1:9" ht="13.9">
      <c r="A120" s="23"/>
      <c r="B120" s="23"/>
      <c r="C120" s="23"/>
      <c r="D120" s="23"/>
      <c r="E120" s="23"/>
      <c r="F120" s="24"/>
      <c r="G120" s="23"/>
      <c r="H120" s="23"/>
      <c r="I120" s="24"/>
    </row>
    <row r="121" spans="1:9" ht="13.9">
      <c r="A121" s="23"/>
      <c r="B121" s="23"/>
      <c r="C121" s="23"/>
      <c r="D121" s="23"/>
      <c r="E121" s="23"/>
      <c r="F121" s="24"/>
      <c r="G121" s="23"/>
      <c r="H121" s="23"/>
      <c r="I121" s="24"/>
    </row>
    <row r="122" spans="1:9" ht="13.9">
      <c r="A122" s="23"/>
      <c r="B122" s="23"/>
      <c r="C122" s="23"/>
      <c r="D122" s="23"/>
      <c r="E122" s="23"/>
      <c r="F122" s="24"/>
      <c r="G122" s="23"/>
      <c r="H122" s="23"/>
      <c r="I122" s="24"/>
    </row>
    <row r="123" spans="1:9" ht="13.9">
      <c r="A123" s="23"/>
      <c r="B123" s="23"/>
      <c r="C123" s="23"/>
      <c r="D123" s="23"/>
      <c r="E123" s="23"/>
      <c r="F123" s="24"/>
      <c r="G123" s="23"/>
      <c r="H123" s="23"/>
      <c r="I123" s="24"/>
    </row>
    <row r="124" spans="1:9" ht="13.9">
      <c r="A124" s="23"/>
      <c r="B124" s="23"/>
      <c r="C124" s="23"/>
      <c r="D124" s="23"/>
      <c r="E124" s="23"/>
      <c r="F124" s="24"/>
      <c r="G124" s="23"/>
      <c r="H124" s="23"/>
      <c r="I124" s="24"/>
    </row>
    <row r="125" spans="1:9" ht="13.9">
      <c r="A125" s="23"/>
      <c r="B125" s="23"/>
      <c r="C125" s="23"/>
      <c r="D125" s="23"/>
      <c r="E125" s="23"/>
      <c r="F125" s="24"/>
      <c r="G125" s="23"/>
      <c r="H125" s="23"/>
      <c r="I125" s="24"/>
    </row>
    <row r="126" spans="1:9" ht="13.9">
      <c r="A126" s="23"/>
      <c r="B126" s="23"/>
      <c r="C126" s="23"/>
      <c r="D126" s="23"/>
      <c r="E126" s="23"/>
      <c r="F126" s="24"/>
      <c r="G126" s="23"/>
      <c r="H126" s="23"/>
      <c r="I126" s="24"/>
    </row>
    <row r="127" spans="1:9" ht="13.9">
      <c r="A127" s="23"/>
      <c r="B127" s="23"/>
      <c r="C127" s="23"/>
      <c r="D127" s="23"/>
      <c r="E127" s="23"/>
      <c r="F127" s="24"/>
      <c r="G127" s="23"/>
      <c r="H127" s="23"/>
      <c r="I127" s="24"/>
    </row>
    <row r="128" spans="1:9" ht="13.9">
      <c r="A128" s="23"/>
      <c r="B128" s="23"/>
      <c r="C128" s="23"/>
      <c r="D128" s="23"/>
      <c r="E128" s="23"/>
      <c r="F128" s="24"/>
      <c r="G128" s="23"/>
      <c r="H128" s="23"/>
      <c r="I128" s="24"/>
    </row>
    <row r="129" spans="1:9" ht="13.9">
      <c r="A129" s="23"/>
      <c r="B129" s="23"/>
      <c r="C129" s="23"/>
      <c r="D129" s="23"/>
      <c r="E129" s="23"/>
      <c r="F129" s="24"/>
      <c r="G129" s="23"/>
      <c r="H129" s="23"/>
      <c r="I129" s="24"/>
    </row>
    <row r="130" spans="1:9" ht="13.9">
      <c r="A130" s="23"/>
      <c r="B130" s="23"/>
      <c r="C130" s="23"/>
      <c r="D130" s="23"/>
      <c r="E130" s="23"/>
      <c r="F130" s="24"/>
      <c r="G130" s="23"/>
      <c r="H130" s="23"/>
      <c r="I130" s="24"/>
    </row>
    <row r="131" spans="1:9" ht="13.9">
      <c r="A131" s="23"/>
      <c r="B131" s="23"/>
      <c r="C131" s="23"/>
      <c r="D131" s="23"/>
      <c r="E131" s="23"/>
      <c r="F131" s="24"/>
      <c r="G131" s="23"/>
      <c r="H131" s="23"/>
      <c r="I131" s="24"/>
    </row>
    <row r="132" spans="1:9" ht="13.9">
      <c r="A132" s="23"/>
      <c r="B132" s="23"/>
      <c r="C132" s="23"/>
      <c r="D132" s="23"/>
      <c r="E132" s="23"/>
      <c r="F132" s="24"/>
      <c r="G132" s="23"/>
      <c r="H132" s="23"/>
      <c r="I132" s="24"/>
    </row>
    <row r="133" spans="1:9" ht="13.9">
      <c r="A133" s="23"/>
      <c r="B133" s="23"/>
      <c r="C133" s="23"/>
      <c r="D133" s="23"/>
      <c r="E133" s="23"/>
      <c r="F133" s="24"/>
      <c r="G133" s="23"/>
      <c r="H133" s="23"/>
      <c r="I133" s="24"/>
    </row>
    <row r="134" spans="1:9" ht="13.9">
      <c r="A134" s="23"/>
      <c r="B134" s="23"/>
      <c r="C134" s="23"/>
      <c r="D134" s="23"/>
      <c r="E134" s="23"/>
      <c r="F134" s="24"/>
      <c r="G134" s="23"/>
      <c r="H134" s="23"/>
      <c r="I134" s="24"/>
    </row>
    <row r="135" spans="1:9" ht="13.9">
      <c r="A135" s="23"/>
      <c r="B135" s="23"/>
      <c r="C135" s="23"/>
      <c r="D135" s="23"/>
      <c r="E135" s="23"/>
      <c r="F135" s="24"/>
      <c r="G135" s="23"/>
      <c r="H135" s="23"/>
      <c r="I135" s="24"/>
    </row>
    <row r="136" spans="1:9" ht="13.9">
      <c r="A136" s="23"/>
      <c r="B136" s="23"/>
      <c r="C136" s="23"/>
      <c r="D136" s="23"/>
      <c r="E136" s="23"/>
      <c r="F136" s="24"/>
      <c r="G136" s="23"/>
      <c r="H136" s="23"/>
      <c r="I136" s="24"/>
    </row>
    <row r="137" spans="1:9" ht="13.9">
      <c r="A137" s="23"/>
      <c r="B137" s="23"/>
      <c r="C137" s="23"/>
      <c r="D137" s="23"/>
      <c r="E137" s="23"/>
      <c r="F137" s="24"/>
      <c r="G137" s="23"/>
      <c r="H137" s="23"/>
      <c r="I137" s="24"/>
    </row>
    <row r="138" spans="1:9" ht="13.9">
      <c r="A138" s="23"/>
      <c r="B138" s="23"/>
      <c r="C138" s="23"/>
      <c r="D138" s="23"/>
      <c r="E138" s="23"/>
      <c r="F138" s="24"/>
      <c r="G138" s="23"/>
      <c r="H138" s="23"/>
      <c r="I138" s="24"/>
    </row>
    <row r="139" spans="1:9" ht="13.9">
      <c r="A139" s="23"/>
      <c r="B139" s="23"/>
      <c r="C139" s="23"/>
      <c r="D139" s="23"/>
      <c r="E139" s="23"/>
      <c r="F139" s="24"/>
      <c r="G139" s="23"/>
      <c r="H139" s="23"/>
      <c r="I139" s="24"/>
    </row>
    <row r="140" spans="1:9" ht="13.9">
      <c r="A140" s="23"/>
      <c r="B140" s="23"/>
      <c r="C140" s="23"/>
      <c r="D140" s="23"/>
      <c r="E140" s="23"/>
      <c r="F140" s="24"/>
      <c r="G140" s="23"/>
      <c r="H140" s="23"/>
      <c r="I140" s="24"/>
    </row>
    <row r="141" spans="1:9" ht="13.9">
      <c r="A141" s="23"/>
      <c r="B141" s="23"/>
      <c r="C141" s="23"/>
      <c r="D141" s="23"/>
      <c r="E141" s="23"/>
      <c r="F141" s="24"/>
      <c r="G141" s="23"/>
      <c r="H141" s="23"/>
      <c r="I141" s="24"/>
    </row>
    <row r="142" spans="1:9" ht="13.9">
      <c r="A142" s="23"/>
      <c r="B142" s="23"/>
      <c r="C142" s="23"/>
      <c r="D142" s="23"/>
      <c r="E142" s="23"/>
      <c r="F142" s="24"/>
      <c r="G142" s="23"/>
      <c r="H142" s="23"/>
      <c r="I142" s="24"/>
    </row>
    <row r="143" spans="1:9" ht="13.9">
      <c r="A143" s="23"/>
      <c r="B143" s="23"/>
      <c r="C143" s="23"/>
      <c r="D143" s="23"/>
      <c r="E143" s="23"/>
      <c r="F143" s="24"/>
      <c r="G143" s="23"/>
      <c r="H143" s="23"/>
      <c r="I143" s="24"/>
    </row>
    <row r="144" spans="1:9" ht="13.9">
      <c r="A144" s="23"/>
      <c r="B144" s="23"/>
      <c r="C144" s="23"/>
      <c r="D144" s="23"/>
      <c r="E144" s="23"/>
      <c r="F144" s="24"/>
      <c r="G144" s="23"/>
      <c r="H144" s="23"/>
      <c r="I144" s="24"/>
    </row>
    <row r="145" spans="1:9" ht="13.9">
      <c r="A145" s="23"/>
      <c r="B145" s="23"/>
      <c r="C145" s="23"/>
      <c r="D145" s="23"/>
      <c r="E145" s="23"/>
      <c r="F145" s="24"/>
      <c r="G145" s="23"/>
      <c r="H145" s="23"/>
      <c r="I145" s="24"/>
    </row>
    <row r="146" spans="1:9" ht="13.9">
      <c r="A146" s="23"/>
      <c r="B146" s="23"/>
      <c r="C146" s="23"/>
      <c r="D146" s="23"/>
      <c r="E146" s="23"/>
      <c r="F146" s="24"/>
      <c r="G146" s="23"/>
      <c r="H146" s="23"/>
      <c r="I146" s="24"/>
    </row>
    <row r="147" spans="1:9" ht="13.9">
      <c r="A147" s="23"/>
      <c r="B147" s="23"/>
      <c r="C147" s="23"/>
      <c r="D147" s="23"/>
      <c r="E147" s="23"/>
      <c r="F147" s="24"/>
      <c r="G147" s="23"/>
      <c r="H147" s="23"/>
      <c r="I147" s="24"/>
    </row>
    <row r="148" spans="1:9" ht="13.9">
      <c r="A148" s="23"/>
      <c r="B148" s="23"/>
      <c r="C148" s="23"/>
      <c r="D148" s="23"/>
      <c r="E148" s="23"/>
      <c r="F148" s="24"/>
      <c r="G148" s="23"/>
      <c r="H148" s="23"/>
      <c r="I148" s="24"/>
    </row>
    <row r="149" spans="1:9" ht="13.9">
      <c r="A149" s="23"/>
      <c r="B149" s="23"/>
      <c r="C149" s="23"/>
      <c r="D149" s="23"/>
      <c r="E149" s="23"/>
      <c r="F149" s="24"/>
      <c r="G149" s="23"/>
      <c r="H149" s="23"/>
      <c r="I149" s="24"/>
    </row>
    <row r="150" spans="1:9" ht="13.9">
      <c r="A150" s="23"/>
      <c r="B150" s="23"/>
      <c r="C150" s="23"/>
      <c r="D150" s="23"/>
      <c r="E150" s="23"/>
      <c r="F150" s="24"/>
      <c r="G150" s="23"/>
      <c r="H150" s="23"/>
      <c r="I150" s="24"/>
    </row>
    <row r="151" spans="1:9" ht="13.9">
      <c r="A151" s="23"/>
      <c r="B151" s="23"/>
      <c r="C151" s="23"/>
      <c r="D151" s="23"/>
      <c r="E151" s="23"/>
      <c r="F151" s="24"/>
      <c r="G151" s="23"/>
      <c r="H151" s="23"/>
      <c r="I151" s="24"/>
    </row>
    <row r="152" spans="1:9" ht="13.9">
      <c r="A152" s="23"/>
      <c r="B152" s="23"/>
      <c r="C152" s="23"/>
      <c r="D152" s="23"/>
      <c r="E152" s="23"/>
      <c r="F152" s="24"/>
      <c r="G152" s="23"/>
      <c r="H152" s="23"/>
      <c r="I152" s="24"/>
    </row>
    <row r="153" spans="1:9" ht="13.9">
      <c r="A153" s="23"/>
      <c r="B153" s="23"/>
      <c r="C153" s="23"/>
      <c r="D153" s="23"/>
      <c r="E153" s="23"/>
      <c r="F153" s="24"/>
      <c r="G153" s="23"/>
      <c r="H153" s="23"/>
      <c r="I153" s="24"/>
    </row>
    <row r="154" spans="1:9" ht="13.9">
      <c r="A154" s="23"/>
      <c r="B154" s="23"/>
      <c r="C154" s="23"/>
      <c r="D154" s="23"/>
      <c r="E154" s="23"/>
      <c r="F154" s="24"/>
      <c r="G154" s="23"/>
      <c r="H154" s="23"/>
      <c r="I154" s="24"/>
    </row>
    <row r="155" spans="1:9" ht="13.9">
      <c r="A155" s="23"/>
      <c r="B155" s="23"/>
      <c r="C155" s="23"/>
      <c r="D155" s="23"/>
      <c r="E155" s="23"/>
      <c r="F155" s="24"/>
      <c r="G155" s="23"/>
      <c r="H155" s="23"/>
      <c r="I155" s="24"/>
    </row>
    <row r="156" spans="1:9" ht="13.9">
      <c r="A156" s="23"/>
      <c r="B156" s="23"/>
      <c r="C156" s="23"/>
      <c r="D156" s="23"/>
      <c r="E156" s="23"/>
      <c r="F156" s="24"/>
      <c r="G156" s="23"/>
      <c r="H156" s="23"/>
      <c r="I156" s="24"/>
    </row>
    <row r="157" spans="1:9" ht="13.9">
      <c r="A157" s="23"/>
      <c r="B157" s="23"/>
      <c r="C157" s="23"/>
      <c r="D157" s="23"/>
      <c r="E157" s="23"/>
      <c r="F157" s="24"/>
      <c r="G157" s="23"/>
      <c r="H157" s="23"/>
      <c r="I157" s="24"/>
    </row>
    <row r="158" spans="1:9" ht="13.9">
      <c r="A158" s="23"/>
      <c r="B158" s="23"/>
      <c r="C158" s="23"/>
      <c r="D158" s="23"/>
      <c r="E158" s="23"/>
      <c r="F158" s="24"/>
      <c r="G158" s="23"/>
      <c r="H158" s="23"/>
      <c r="I158" s="24"/>
    </row>
    <row r="159" spans="1:9" ht="13.9">
      <c r="A159" s="23"/>
      <c r="B159" s="23"/>
      <c r="C159" s="23"/>
      <c r="D159" s="23"/>
      <c r="E159" s="23"/>
      <c r="F159" s="24"/>
      <c r="G159" s="23"/>
      <c r="H159" s="23"/>
      <c r="I159" s="24"/>
    </row>
    <row r="160" spans="1:9" ht="13.9">
      <c r="A160" s="23"/>
      <c r="B160" s="23"/>
      <c r="C160" s="23"/>
      <c r="D160" s="23"/>
      <c r="E160" s="23"/>
      <c r="F160" s="24"/>
      <c r="G160" s="23"/>
      <c r="H160" s="23"/>
      <c r="I160" s="24"/>
    </row>
    <row r="161" spans="1:9" ht="13.9">
      <c r="A161" s="23"/>
      <c r="B161" s="23"/>
      <c r="C161" s="23"/>
      <c r="D161" s="23"/>
      <c r="E161" s="23"/>
      <c r="F161" s="24"/>
      <c r="G161" s="23"/>
      <c r="H161" s="23"/>
      <c r="I161" s="24"/>
    </row>
    <row r="162" spans="1:9" ht="13.9">
      <c r="A162" s="23"/>
      <c r="B162" s="23"/>
      <c r="C162" s="23"/>
      <c r="D162" s="23"/>
      <c r="E162" s="23"/>
      <c r="F162" s="24"/>
      <c r="G162" s="23"/>
      <c r="H162" s="23"/>
      <c r="I162" s="24"/>
    </row>
    <row r="163" spans="1:9" ht="13.9">
      <c r="A163" s="23"/>
      <c r="B163" s="23"/>
      <c r="C163" s="23"/>
      <c r="D163" s="23"/>
      <c r="E163" s="23"/>
      <c r="F163" s="24"/>
      <c r="G163" s="23"/>
      <c r="H163" s="23"/>
      <c r="I163" s="24"/>
    </row>
    <row r="164" spans="1:9" ht="13.9">
      <c r="A164" s="23"/>
      <c r="B164" s="23"/>
      <c r="C164" s="23"/>
      <c r="D164" s="23"/>
      <c r="E164" s="23"/>
      <c r="F164" s="24"/>
      <c r="G164" s="23"/>
      <c r="H164" s="23"/>
      <c r="I164" s="24"/>
    </row>
    <row r="165" spans="1:9" ht="13.9">
      <c r="A165" s="23"/>
      <c r="B165" s="23"/>
      <c r="C165" s="23"/>
      <c r="D165" s="23"/>
      <c r="E165" s="23"/>
      <c r="F165" s="24"/>
      <c r="G165" s="23"/>
      <c r="H165" s="23"/>
      <c r="I165" s="24"/>
    </row>
    <row r="166" spans="1:9" ht="13.9">
      <c r="A166" s="23"/>
      <c r="B166" s="23"/>
      <c r="C166" s="23"/>
      <c r="D166" s="23"/>
      <c r="E166" s="23"/>
      <c r="F166" s="24"/>
      <c r="G166" s="23"/>
      <c r="H166" s="23"/>
      <c r="I166" s="24"/>
    </row>
    <row r="167" spans="1:9" ht="13.9">
      <c r="A167" s="23"/>
      <c r="B167" s="23"/>
      <c r="C167" s="23"/>
      <c r="D167" s="23"/>
      <c r="E167" s="23"/>
      <c r="F167" s="24"/>
      <c r="G167" s="23"/>
      <c r="H167" s="23"/>
      <c r="I167" s="24"/>
    </row>
    <row r="168" spans="1:9" ht="13.9">
      <c r="A168" s="23"/>
      <c r="B168" s="23"/>
      <c r="C168" s="23"/>
      <c r="D168" s="23"/>
      <c r="E168" s="23"/>
      <c r="F168" s="24"/>
      <c r="G168" s="23"/>
      <c r="H168" s="23"/>
      <c r="I168" s="24"/>
    </row>
    <row r="169" spans="1:9" ht="13.9">
      <c r="A169" s="23"/>
      <c r="B169" s="23"/>
      <c r="C169" s="23"/>
      <c r="D169" s="23"/>
      <c r="E169" s="23"/>
      <c r="F169" s="24"/>
      <c r="G169" s="23"/>
      <c r="H169" s="23"/>
      <c r="I169" s="24"/>
    </row>
    <row r="170" spans="1:9" ht="13.9">
      <c r="A170" s="23"/>
      <c r="B170" s="23"/>
      <c r="C170" s="23"/>
      <c r="D170" s="23"/>
      <c r="E170" s="23"/>
      <c r="F170" s="24"/>
      <c r="G170" s="23"/>
      <c r="H170" s="23"/>
      <c r="I170" s="24"/>
    </row>
    <row r="171" spans="1:9" ht="13.9">
      <c r="A171" s="23"/>
      <c r="B171" s="23"/>
      <c r="C171" s="23"/>
      <c r="D171" s="23"/>
      <c r="E171" s="23"/>
      <c r="F171" s="24"/>
      <c r="G171" s="23"/>
      <c r="H171" s="23"/>
      <c r="I171" s="24"/>
    </row>
    <row r="172" spans="1:9" ht="13.9">
      <c r="A172" s="23"/>
      <c r="B172" s="23"/>
      <c r="C172" s="23"/>
      <c r="D172" s="23"/>
      <c r="E172" s="23"/>
      <c r="F172" s="24"/>
      <c r="G172" s="23"/>
      <c r="H172" s="23"/>
      <c r="I172" s="24"/>
    </row>
    <row r="173" spans="1:9" ht="13.9">
      <c r="A173" s="23"/>
      <c r="B173" s="23"/>
      <c r="C173" s="23"/>
      <c r="D173" s="23"/>
      <c r="E173" s="23"/>
      <c r="F173" s="24"/>
      <c r="G173" s="23"/>
      <c r="H173" s="23"/>
      <c r="I173" s="24"/>
    </row>
    <row r="174" spans="1:9" ht="13.9">
      <c r="A174" s="23"/>
      <c r="B174" s="23"/>
      <c r="C174" s="23"/>
      <c r="D174" s="23"/>
      <c r="E174" s="23"/>
      <c r="F174" s="24"/>
      <c r="G174" s="23"/>
      <c r="H174" s="23"/>
      <c r="I174" s="24"/>
    </row>
    <row r="175" spans="1:9" ht="13.9">
      <c r="A175" s="23"/>
      <c r="B175" s="23"/>
      <c r="C175" s="23"/>
      <c r="D175" s="23"/>
      <c r="E175" s="23"/>
      <c r="F175" s="24"/>
      <c r="G175" s="23"/>
      <c r="H175" s="23"/>
      <c r="I175" s="24"/>
    </row>
    <row r="176" spans="1:9" ht="13.9">
      <c r="A176" s="23"/>
      <c r="B176" s="23"/>
      <c r="C176" s="23"/>
      <c r="D176" s="23"/>
      <c r="E176" s="23"/>
      <c r="F176" s="24"/>
      <c r="G176" s="23"/>
      <c r="H176" s="23"/>
      <c r="I176" s="24"/>
    </row>
    <row r="177" spans="1:9" ht="13.9">
      <c r="A177" s="23"/>
      <c r="B177" s="23"/>
      <c r="C177" s="23"/>
      <c r="D177" s="23"/>
      <c r="E177" s="23"/>
      <c r="F177" s="24"/>
      <c r="G177" s="23"/>
      <c r="H177" s="23"/>
      <c r="I177" s="24"/>
    </row>
    <row r="178" spans="1:9" ht="13.9">
      <c r="A178" s="23"/>
      <c r="B178" s="23"/>
      <c r="C178" s="23"/>
      <c r="D178" s="23"/>
      <c r="E178" s="23"/>
      <c r="F178" s="24"/>
      <c r="G178" s="23"/>
      <c r="H178" s="23"/>
      <c r="I178" s="24"/>
    </row>
    <row r="179" spans="1:9" ht="13.9">
      <c r="A179" s="23"/>
      <c r="B179" s="23"/>
      <c r="C179" s="23"/>
      <c r="D179" s="23"/>
      <c r="E179" s="23"/>
      <c r="F179" s="24"/>
      <c r="G179" s="23"/>
      <c r="H179" s="23"/>
      <c r="I179" s="24"/>
    </row>
    <row r="180" spans="1:9" ht="13.9">
      <c r="A180" s="23"/>
      <c r="B180" s="23"/>
      <c r="C180" s="23"/>
      <c r="D180" s="23"/>
      <c r="E180" s="23"/>
      <c r="F180" s="24"/>
      <c r="G180" s="23"/>
      <c r="H180" s="23"/>
      <c r="I180" s="24"/>
    </row>
    <row r="181" spans="1:9" ht="13.9">
      <c r="A181" s="23"/>
      <c r="B181" s="23"/>
      <c r="C181" s="23"/>
      <c r="D181" s="23"/>
      <c r="E181" s="23"/>
      <c r="F181" s="24"/>
      <c r="G181" s="23"/>
      <c r="H181" s="23"/>
      <c r="I181" s="24"/>
    </row>
    <row r="182" spans="1:9" ht="13.9">
      <c r="A182" s="23"/>
      <c r="B182" s="23"/>
      <c r="C182" s="23"/>
      <c r="D182" s="23"/>
      <c r="E182" s="23"/>
      <c r="F182" s="24"/>
      <c r="G182" s="23"/>
      <c r="H182" s="23"/>
      <c r="I182" s="24"/>
    </row>
    <row r="183" spans="1:9" ht="13.9">
      <c r="A183" s="23"/>
      <c r="B183" s="23"/>
      <c r="C183" s="23"/>
      <c r="D183" s="23"/>
      <c r="E183" s="23"/>
      <c r="F183" s="24"/>
      <c r="G183" s="23"/>
      <c r="H183" s="23"/>
      <c r="I183" s="24"/>
    </row>
    <row r="184" spans="1:9" ht="13.9">
      <c r="A184" s="23"/>
      <c r="B184" s="23"/>
      <c r="C184" s="23"/>
      <c r="D184" s="23"/>
      <c r="E184" s="23"/>
      <c r="F184" s="24"/>
      <c r="G184" s="23"/>
      <c r="H184" s="23"/>
      <c r="I184" s="24"/>
    </row>
    <row r="185" spans="1:9" ht="13.9">
      <c r="A185" s="23"/>
      <c r="B185" s="23"/>
      <c r="C185" s="23"/>
      <c r="D185" s="23"/>
      <c r="E185" s="23"/>
      <c r="F185" s="24"/>
      <c r="G185" s="23"/>
      <c r="H185" s="23"/>
      <c r="I185" s="24"/>
    </row>
    <row r="186" spans="1:9" ht="13.9">
      <c r="A186" s="23"/>
      <c r="B186" s="23"/>
      <c r="C186" s="23"/>
      <c r="D186" s="23"/>
      <c r="E186" s="23"/>
      <c r="F186" s="24"/>
      <c r="G186" s="23"/>
      <c r="H186" s="23"/>
      <c r="I186" s="24"/>
    </row>
    <row r="187" spans="1:9" ht="13.9">
      <c r="A187" s="23"/>
      <c r="B187" s="23"/>
      <c r="C187" s="23"/>
      <c r="D187" s="23"/>
      <c r="E187" s="23"/>
      <c r="F187" s="24"/>
      <c r="G187" s="23"/>
      <c r="H187" s="23"/>
      <c r="I187" s="24"/>
    </row>
    <row r="188" spans="1:9" ht="13.9">
      <c r="A188" s="23"/>
      <c r="B188" s="23"/>
      <c r="C188" s="23"/>
      <c r="D188" s="23"/>
      <c r="E188" s="23"/>
      <c r="F188" s="24"/>
      <c r="G188" s="23"/>
      <c r="H188" s="23"/>
      <c r="I188" s="24"/>
    </row>
    <row r="189" spans="1:9" ht="13.9">
      <c r="A189" s="23"/>
      <c r="B189" s="23"/>
      <c r="C189" s="23"/>
      <c r="D189" s="23"/>
      <c r="E189" s="23"/>
      <c r="F189" s="24"/>
      <c r="G189" s="23"/>
      <c r="H189" s="23"/>
      <c r="I189" s="24"/>
    </row>
    <row r="190" spans="1:9" ht="13.9">
      <c r="A190" s="23"/>
      <c r="B190" s="23"/>
      <c r="C190" s="23"/>
      <c r="D190" s="23"/>
      <c r="E190" s="23"/>
      <c r="F190" s="24"/>
      <c r="G190" s="23"/>
      <c r="H190" s="23"/>
      <c r="I190" s="24"/>
    </row>
    <row r="191" spans="1:9" ht="13.9">
      <c r="A191" s="23"/>
      <c r="B191" s="23"/>
      <c r="C191" s="23"/>
      <c r="D191" s="23"/>
      <c r="E191" s="23"/>
      <c r="F191" s="24"/>
      <c r="G191" s="23"/>
      <c r="H191" s="23"/>
      <c r="I191" s="24"/>
    </row>
    <row r="192" spans="1:9" ht="13.9">
      <c r="A192" s="23"/>
      <c r="B192" s="23"/>
      <c r="C192" s="23"/>
      <c r="D192" s="23"/>
      <c r="E192" s="23"/>
      <c r="F192" s="24"/>
      <c r="G192" s="23"/>
      <c r="H192" s="23"/>
      <c r="I192" s="24"/>
    </row>
    <row r="193" spans="1:9" ht="13.9">
      <c r="A193" s="23"/>
      <c r="B193" s="23"/>
      <c r="C193" s="23"/>
      <c r="D193" s="23"/>
      <c r="E193" s="23"/>
      <c r="F193" s="24"/>
      <c r="G193" s="23"/>
      <c r="H193" s="23"/>
      <c r="I193" s="24"/>
    </row>
    <row r="194" spans="1:9" ht="13.9">
      <c r="A194" s="23"/>
      <c r="B194" s="23"/>
      <c r="C194" s="23"/>
      <c r="D194" s="23"/>
      <c r="E194" s="23"/>
      <c r="F194" s="24"/>
      <c r="G194" s="23"/>
      <c r="H194" s="23"/>
      <c r="I194" s="24"/>
    </row>
    <row r="195" spans="1:9" ht="13.9">
      <c r="A195" s="23"/>
      <c r="B195" s="23"/>
      <c r="C195" s="23"/>
      <c r="D195" s="23"/>
      <c r="E195" s="23"/>
      <c r="F195" s="24"/>
      <c r="G195" s="23"/>
      <c r="H195" s="23"/>
      <c r="I195" s="24"/>
    </row>
    <row r="196" spans="1:9" ht="13.9">
      <c r="A196" s="23"/>
      <c r="B196" s="23"/>
      <c r="C196" s="23"/>
      <c r="D196" s="23"/>
      <c r="E196" s="23"/>
      <c r="F196" s="24"/>
      <c r="G196" s="23"/>
      <c r="H196" s="23"/>
      <c r="I196" s="24"/>
    </row>
    <row r="197" spans="1:9" ht="13.9">
      <c r="A197" s="23"/>
      <c r="B197" s="23"/>
      <c r="C197" s="23"/>
      <c r="D197" s="23"/>
      <c r="E197" s="23"/>
      <c r="F197" s="24"/>
      <c r="G197" s="23"/>
      <c r="H197" s="23"/>
      <c r="I197" s="24"/>
    </row>
    <row r="198" spans="1:9" ht="13.9">
      <c r="A198" s="23"/>
      <c r="B198" s="23"/>
      <c r="C198" s="23"/>
      <c r="D198" s="23"/>
      <c r="E198" s="23"/>
      <c r="F198" s="24"/>
      <c r="G198" s="23"/>
      <c r="H198" s="23"/>
      <c r="I198" s="24"/>
    </row>
    <row r="199" spans="1:9" ht="13.9">
      <c r="A199" s="23"/>
      <c r="B199" s="23"/>
      <c r="C199" s="23"/>
      <c r="D199" s="23"/>
      <c r="E199" s="23"/>
      <c r="F199" s="24"/>
      <c r="G199" s="23"/>
      <c r="H199" s="23"/>
      <c r="I199" s="24"/>
    </row>
    <row r="200" spans="1:9" ht="13.9">
      <c r="A200" s="23"/>
      <c r="B200" s="23"/>
      <c r="C200" s="23"/>
      <c r="D200" s="23"/>
      <c r="E200" s="23"/>
      <c r="F200" s="24"/>
      <c r="G200" s="23"/>
      <c r="H200" s="23"/>
      <c r="I200" s="24"/>
    </row>
    <row r="201" spans="1:9" ht="13.9">
      <c r="A201" s="23"/>
      <c r="B201" s="23"/>
      <c r="C201" s="23"/>
      <c r="D201" s="23"/>
      <c r="E201" s="23"/>
      <c r="F201" s="24"/>
      <c r="G201" s="23"/>
      <c r="H201" s="23"/>
      <c r="I201" s="24"/>
    </row>
    <row r="202" spans="1:9" ht="13.9">
      <c r="A202" s="23"/>
      <c r="B202" s="23"/>
      <c r="C202" s="23"/>
      <c r="D202" s="23"/>
      <c r="E202" s="23"/>
      <c r="F202" s="24"/>
      <c r="G202" s="23"/>
      <c r="H202" s="23"/>
      <c r="I202" s="24"/>
    </row>
    <row r="203" spans="1:9" ht="13.9">
      <c r="A203" s="23"/>
      <c r="B203" s="23"/>
      <c r="C203" s="23"/>
      <c r="D203" s="23"/>
      <c r="E203" s="23"/>
      <c r="F203" s="24"/>
      <c r="G203" s="23"/>
      <c r="H203" s="23"/>
      <c r="I203" s="24"/>
    </row>
    <row r="204" spans="1:9" ht="13.9">
      <c r="A204" s="23"/>
      <c r="B204" s="23"/>
      <c r="C204" s="23"/>
      <c r="D204" s="23"/>
      <c r="E204" s="23"/>
      <c r="F204" s="24"/>
      <c r="G204" s="23"/>
      <c r="H204" s="23"/>
      <c r="I204" s="24"/>
    </row>
    <row r="205" spans="1:9" ht="13.9">
      <c r="A205" s="23"/>
      <c r="B205" s="23"/>
      <c r="C205" s="23"/>
      <c r="D205" s="23"/>
      <c r="E205" s="23"/>
      <c r="F205" s="24"/>
      <c r="G205" s="23"/>
      <c r="H205" s="23"/>
      <c r="I205" s="24"/>
    </row>
    <row r="206" spans="1:9" ht="13.9">
      <c r="A206" s="23"/>
      <c r="B206" s="23"/>
      <c r="C206" s="23"/>
      <c r="D206" s="23"/>
      <c r="E206" s="23"/>
      <c r="F206" s="24"/>
      <c r="G206" s="23"/>
      <c r="H206" s="23"/>
      <c r="I206" s="24"/>
    </row>
    <row r="207" spans="1:9" ht="13.9">
      <c r="A207" s="23"/>
      <c r="B207" s="23"/>
      <c r="C207" s="23"/>
      <c r="D207" s="23"/>
      <c r="E207" s="23"/>
      <c r="F207" s="24"/>
      <c r="G207" s="23"/>
      <c r="H207" s="23"/>
      <c r="I207" s="24"/>
    </row>
    <row r="208" spans="1:9" ht="13.9">
      <c r="A208" s="23"/>
      <c r="B208" s="23"/>
      <c r="C208" s="23"/>
      <c r="D208" s="23"/>
      <c r="E208" s="23"/>
      <c r="F208" s="24"/>
      <c r="G208" s="23"/>
      <c r="H208" s="23"/>
      <c r="I208" s="24"/>
    </row>
    <row r="209" spans="1:9" ht="13.9">
      <c r="A209" s="23"/>
      <c r="B209" s="23"/>
      <c r="C209" s="23"/>
      <c r="D209" s="23"/>
      <c r="E209" s="23"/>
      <c r="F209" s="24"/>
      <c r="G209" s="23"/>
      <c r="H209" s="23"/>
      <c r="I209" s="24"/>
    </row>
    <row r="210" spans="1:9" ht="13.9">
      <c r="A210" s="23"/>
      <c r="B210" s="23"/>
      <c r="C210" s="23"/>
      <c r="D210" s="23"/>
      <c r="E210" s="23"/>
      <c r="F210" s="24"/>
      <c r="G210" s="23"/>
      <c r="H210" s="23"/>
      <c r="I210" s="24"/>
    </row>
    <row r="211" spans="1:9" ht="13.9">
      <c r="A211" s="23"/>
      <c r="B211" s="23"/>
      <c r="C211" s="23"/>
      <c r="D211" s="23"/>
      <c r="E211" s="23"/>
      <c r="F211" s="24"/>
      <c r="G211" s="23"/>
      <c r="H211" s="23"/>
      <c r="I211" s="24"/>
    </row>
    <row r="212" spans="1:9" ht="13.9">
      <c r="A212" s="23"/>
      <c r="B212" s="23"/>
      <c r="C212" s="23"/>
      <c r="D212" s="23"/>
      <c r="E212" s="23"/>
      <c r="F212" s="24"/>
      <c r="G212" s="23"/>
      <c r="H212" s="23"/>
      <c r="I212" s="24"/>
    </row>
    <row r="213" spans="1:9" ht="13.9">
      <c r="A213" s="23"/>
      <c r="B213" s="23"/>
      <c r="C213" s="23"/>
      <c r="D213" s="23"/>
      <c r="E213" s="23"/>
      <c r="F213" s="24"/>
      <c r="G213" s="23"/>
      <c r="H213" s="23"/>
      <c r="I213" s="24"/>
    </row>
    <row r="214" spans="1:9" ht="13.9">
      <c r="A214" s="23"/>
      <c r="B214" s="23"/>
      <c r="C214" s="23"/>
      <c r="D214" s="23"/>
      <c r="E214" s="23"/>
      <c r="F214" s="24"/>
      <c r="G214" s="23"/>
      <c r="H214" s="23"/>
      <c r="I214" s="24"/>
    </row>
    <row r="215" spans="1:9" ht="13.9">
      <c r="A215" s="23"/>
      <c r="B215" s="23"/>
      <c r="C215" s="23"/>
      <c r="D215" s="23"/>
      <c r="E215" s="23"/>
      <c r="F215" s="24"/>
      <c r="G215" s="23"/>
      <c r="H215" s="23"/>
      <c r="I215" s="24"/>
    </row>
    <row r="216" spans="1:9" ht="13.9">
      <c r="A216" s="23"/>
      <c r="B216" s="23"/>
      <c r="C216" s="23"/>
      <c r="D216" s="23"/>
      <c r="E216" s="23"/>
      <c r="F216" s="24"/>
      <c r="G216" s="23"/>
      <c r="H216" s="23"/>
      <c r="I216" s="24"/>
    </row>
    <row r="217" spans="1:9" ht="13.9">
      <c r="A217" s="23"/>
      <c r="B217" s="23"/>
      <c r="C217" s="23"/>
      <c r="D217" s="23"/>
      <c r="E217" s="23"/>
      <c r="F217" s="24"/>
      <c r="G217" s="23"/>
      <c r="H217" s="23"/>
      <c r="I217" s="24"/>
    </row>
    <row r="218" spans="1:9" ht="13.9">
      <c r="A218" s="23"/>
      <c r="B218" s="23"/>
      <c r="C218" s="23"/>
      <c r="D218" s="23"/>
      <c r="E218" s="23"/>
      <c r="F218" s="24"/>
      <c r="G218" s="23"/>
      <c r="H218" s="23"/>
      <c r="I218" s="24"/>
    </row>
    <row r="219" spans="1:9" ht="13.9">
      <c r="A219" s="23"/>
      <c r="B219" s="23"/>
      <c r="C219" s="23"/>
      <c r="D219" s="23"/>
      <c r="E219" s="23"/>
      <c r="F219" s="24"/>
      <c r="G219" s="23"/>
      <c r="H219" s="23"/>
      <c r="I219" s="24"/>
    </row>
    <row r="220" spans="1:9" ht="13.9">
      <c r="A220" s="23"/>
      <c r="B220" s="23"/>
      <c r="C220" s="23"/>
      <c r="D220" s="23"/>
      <c r="E220" s="23"/>
      <c r="F220" s="24"/>
      <c r="G220" s="23"/>
      <c r="H220" s="23"/>
      <c r="I220" s="24"/>
    </row>
    <row r="221" spans="1:9" ht="13.9">
      <c r="A221" s="23"/>
      <c r="B221" s="23"/>
      <c r="C221" s="23"/>
      <c r="D221" s="23"/>
      <c r="E221" s="23"/>
      <c r="F221" s="24"/>
      <c r="G221" s="23"/>
      <c r="H221" s="23"/>
      <c r="I221" s="24"/>
    </row>
    <row r="222" spans="1:9" ht="13.9">
      <c r="A222" s="23"/>
      <c r="B222" s="23"/>
      <c r="C222" s="23"/>
      <c r="D222" s="23"/>
      <c r="E222" s="23"/>
      <c r="F222" s="24"/>
      <c r="G222" s="23"/>
      <c r="H222" s="23"/>
      <c r="I222" s="24"/>
    </row>
    <row r="223" spans="1:9" ht="13.9">
      <c r="A223" s="23"/>
      <c r="B223" s="23"/>
      <c r="C223" s="23"/>
      <c r="D223" s="23"/>
      <c r="E223" s="23"/>
      <c r="F223" s="24"/>
      <c r="G223" s="23"/>
      <c r="H223" s="23"/>
      <c r="I223" s="24"/>
    </row>
    <row r="224" spans="1:9" ht="13.9">
      <c r="A224" s="23"/>
      <c r="B224" s="23"/>
      <c r="C224" s="23"/>
      <c r="D224" s="23"/>
      <c r="E224" s="23"/>
      <c r="F224" s="24"/>
      <c r="G224" s="23"/>
      <c r="H224" s="23"/>
      <c r="I224" s="24"/>
    </row>
    <row r="225" spans="1:9" ht="13.9">
      <c r="A225" s="23"/>
      <c r="B225" s="23"/>
      <c r="C225" s="23"/>
      <c r="D225" s="23"/>
      <c r="E225" s="23"/>
      <c r="F225" s="24"/>
      <c r="G225" s="23"/>
      <c r="H225" s="23"/>
      <c r="I225" s="24"/>
    </row>
    <row r="226" spans="1:9" ht="13.9">
      <c r="A226" s="23"/>
      <c r="B226" s="23"/>
      <c r="C226" s="23"/>
      <c r="D226" s="23"/>
      <c r="E226" s="23"/>
      <c r="F226" s="24"/>
      <c r="G226" s="23"/>
      <c r="H226" s="23"/>
      <c r="I226" s="24"/>
    </row>
    <row r="227" spans="1:9" ht="13.9">
      <c r="A227" s="23"/>
      <c r="B227" s="23"/>
      <c r="C227" s="23"/>
      <c r="D227" s="23"/>
      <c r="E227" s="23"/>
      <c r="F227" s="24"/>
      <c r="G227" s="23"/>
      <c r="H227" s="23"/>
      <c r="I227" s="24"/>
    </row>
    <row r="228" spans="1:9" ht="13.9">
      <c r="A228" s="23"/>
      <c r="B228" s="23"/>
      <c r="C228" s="23"/>
      <c r="D228" s="23"/>
      <c r="E228" s="23"/>
      <c r="F228" s="24"/>
      <c r="G228" s="23"/>
      <c r="H228" s="23"/>
      <c r="I228" s="24"/>
    </row>
    <row r="229" spans="1:9" ht="13.9">
      <c r="A229" s="23"/>
      <c r="B229" s="23"/>
      <c r="C229" s="23"/>
      <c r="D229" s="23"/>
      <c r="E229" s="23"/>
      <c r="F229" s="24"/>
      <c r="G229" s="23"/>
      <c r="H229" s="23"/>
      <c r="I229" s="24"/>
    </row>
    <row r="230" spans="1:9" ht="13.9">
      <c r="A230" s="23"/>
      <c r="B230" s="23"/>
      <c r="C230" s="23"/>
      <c r="D230" s="23"/>
      <c r="E230" s="23"/>
      <c r="F230" s="24"/>
      <c r="G230" s="23"/>
      <c r="H230" s="23"/>
      <c r="I230" s="24"/>
    </row>
    <row r="231" spans="1:9" ht="13.9">
      <c r="A231" s="23"/>
      <c r="B231" s="23"/>
      <c r="C231" s="23"/>
      <c r="D231" s="23"/>
      <c r="E231" s="23"/>
      <c r="F231" s="24"/>
      <c r="G231" s="23"/>
      <c r="H231" s="23"/>
      <c r="I231" s="24"/>
    </row>
    <row r="232" spans="1:9" ht="13.9">
      <c r="A232" s="23"/>
      <c r="B232" s="23"/>
      <c r="C232" s="23"/>
      <c r="D232" s="23"/>
      <c r="E232" s="23"/>
      <c r="F232" s="24"/>
      <c r="G232" s="23"/>
      <c r="H232" s="23"/>
      <c r="I232" s="24"/>
    </row>
    <row r="233" spans="1:9" ht="13.9">
      <c r="A233" s="23"/>
      <c r="B233" s="23"/>
      <c r="C233" s="23"/>
      <c r="D233" s="23"/>
      <c r="E233" s="23"/>
      <c r="F233" s="24"/>
      <c r="G233" s="23"/>
      <c r="H233" s="23"/>
      <c r="I233" s="24"/>
    </row>
    <row r="234" spans="1:9" ht="13.9">
      <c r="A234" s="23"/>
      <c r="B234" s="23"/>
      <c r="C234" s="23"/>
      <c r="D234" s="23"/>
      <c r="E234" s="23"/>
      <c r="F234" s="24"/>
      <c r="G234" s="23"/>
      <c r="H234" s="23"/>
      <c r="I234" s="24"/>
    </row>
    <row r="235" spans="1:9" ht="13.9">
      <c r="A235" s="23"/>
      <c r="B235" s="23"/>
      <c r="C235" s="23"/>
      <c r="D235" s="23"/>
      <c r="E235" s="23"/>
      <c r="F235" s="24"/>
      <c r="G235" s="23"/>
      <c r="H235" s="23"/>
      <c r="I235" s="24"/>
    </row>
    <row r="236" spans="1:9" ht="13.9">
      <c r="A236" s="23"/>
      <c r="B236" s="23"/>
      <c r="C236" s="23"/>
      <c r="D236" s="23"/>
      <c r="E236" s="23"/>
      <c r="F236" s="24"/>
      <c r="G236" s="23"/>
      <c r="H236" s="23"/>
      <c r="I236" s="24"/>
    </row>
    <row r="237" spans="1:9" ht="13.9">
      <c r="A237" s="23"/>
      <c r="B237" s="23"/>
      <c r="C237" s="23"/>
      <c r="D237" s="23"/>
      <c r="E237" s="23"/>
      <c r="F237" s="24"/>
      <c r="G237" s="23"/>
      <c r="H237" s="23"/>
      <c r="I237" s="24"/>
    </row>
    <row r="238" spans="1:9" ht="13.9">
      <c r="A238" s="23"/>
      <c r="B238" s="23"/>
      <c r="C238" s="23"/>
      <c r="D238" s="23"/>
      <c r="E238" s="23"/>
      <c r="F238" s="24"/>
      <c r="G238" s="23"/>
      <c r="H238" s="23"/>
      <c r="I238" s="24"/>
    </row>
    <row r="239" spans="1:9" ht="13.9">
      <c r="A239" s="23"/>
      <c r="B239" s="23"/>
      <c r="C239" s="23"/>
      <c r="D239" s="23"/>
      <c r="E239" s="23"/>
      <c r="F239" s="24"/>
      <c r="G239" s="23"/>
      <c r="H239" s="23"/>
      <c r="I239" s="24"/>
    </row>
    <row r="240" spans="1:9" ht="13.9">
      <c r="A240" s="23"/>
      <c r="B240" s="23"/>
      <c r="C240" s="23"/>
      <c r="D240" s="23"/>
      <c r="E240" s="23"/>
      <c r="F240" s="24"/>
      <c r="G240" s="23"/>
      <c r="H240" s="23"/>
      <c r="I240" s="24"/>
    </row>
    <row r="241" spans="1:9" ht="13.9">
      <c r="A241" s="23"/>
      <c r="B241" s="23"/>
      <c r="C241" s="23"/>
      <c r="D241" s="23"/>
      <c r="E241" s="23"/>
      <c r="F241" s="24"/>
      <c r="G241" s="23"/>
      <c r="H241" s="23"/>
      <c r="I241" s="24"/>
    </row>
    <row r="242" spans="1:9" ht="13.9">
      <c r="A242" s="23"/>
      <c r="B242" s="23"/>
      <c r="C242" s="23"/>
      <c r="D242" s="23"/>
      <c r="E242" s="23"/>
      <c r="F242" s="24"/>
      <c r="G242" s="23"/>
      <c r="H242" s="23"/>
      <c r="I242" s="24"/>
    </row>
    <row r="243" spans="1:9" ht="13.9">
      <c r="A243" s="23"/>
      <c r="B243" s="23"/>
      <c r="C243" s="23"/>
      <c r="D243" s="23"/>
      <c r="E243" s="23"/>
      <c r="F243" s="24"/>
      <c r="G243" s="23"/>
      <c r="H243" s="23"/>
      <c r="I243" s="24"/>
    </row>
    <row r="244" spans="1:9" ht="13.9">
      <c r="A244" s="23"/>
      <c r="B244" s="23"/>
      <c r="C244" s="23"/>
      <c r="D244" s="23"/>
      <c r="E244" s="23"/>
      <c r="F244" s="24"/>
      <c r="G244" s="23"/>
      <c r="H244" s="23"/>
      <c r="I244" s="24"/>
    </row>
    <row r="245" spans="1:9" ht="13.9">
      <c r="A245" s="23"/>
      <c r="B245" s="23"/>
      <c r="C245" s="23"/>
      <c r="D245" s="23"/>
      <c r="E245" s="23"/>
      <c r="F245" s="24"/>
      <c r="G245" s="23"/>
      <c r="H245" s="23"/>
      <c r="I245" s="24"/>
    </row>
    <row r="246" spans="1:9" ht="13.9">
      <c r="A246" s="23"/>
      <c r="B246" s="23"/>
      <c r="C246" s="23"/>
      <c r="D246" s="23"/>
      <c r="E246" s="23"/>
      <c r="F246" s="24"/>
      <c r="G246" s="23"/>
      <c r="H246" s="23"/>
      <c r="I246" s="24"/>
    </row>
    <row r="247" spans="1:9" ht="13.9">
      <c r="A247" s="23"/>
      <c r="B247" s="23"/>
      <c r="C247" s="23"/>
      <c r="D247" s="23"/>
      <c r="E247" s="23"/>
      <c r="F247" s="24"/>
      <c r="G247" s="23"/>
      <c r="H247" s="23"/>
      <c r="I247" s="24"/>
    </row>
    <row r="248" spans="1:9" ht="13.9">
      <c r="A248" s="23"/>
      <c r="B248" s="23"/>
      <c r="C248" s="23"/>
      <c r="D248" s="23"/>
      <c r="E248" s="23"/>
      <c r="F248" s="24"/>
      <c r="G248" s="23"/>
      <c r="H248" s="23"/>
      <c r="I248" s="24"/>
    </row>
    <row r="249" spans="1:9" ht="13.9">
      <c r="A249" s="23"/>
      <c r="B249" s="23"/>
      <c r="C249" s="23"/>
      <c r="D249" s="23"/>
      <c r="E249" s="23"/>
      <c r="F249" s="24"/>
      <c r="G249" s="23"/>
      <c r="H249" s="23"/>
      <c r="I249" s="24"/>
    </row>
    <row r="250" spans="1:9" ht="13.9">
      <c r="A250" s="23"/>
      <c r="B250" s="23"/>
      <c r="C250" s="23"/>
      <c r="D250" s="23"/>
      <c r="E250" s="23"/>
      <c r="F250" s="24"/>
      <c r="G250" s="23"/>
      <c r="H250" s="23"/>
      <c r="I250" s="24"/>
    </row>
    <row r="251" spans="1:9" ht="13.9">
      <c r="A251" s="23"/>
      <c r="B251" s="23"/>
      <c r="C251" s="23"/>
      <c r="D251" s="23"/>
      <c r="E251" s="23"/>
      <c r="F251" s="24"/>
      <c r="G251" s="23"/>
      <c r="H251" s="23"/>
      <c r="I251" s="24"/>
    </row>
    <row r="252" spans="1:9" ht="13.9">
      <c r="A252" s="23"/>
      <c r="B252" s="23"/>
      <c r="C252" s="23"/>
      <c r="D252" s="23"/>
      <c r="E252" s="23"/>
      <c r="F252" s="24"/>
      <c r="G252" s="23"/>
      <c r="H252" s="23"/>
      <c r="I252" s="24"/>
    </row>
    <row r="253" spans="1:9" ht="13.9">
      <c r="A253" s="23"/>
      <c r="B253" s="23"/>
      <c r="C253" s="23"/>
      <c r="D253" s="23"/>
      <c r="E253" s="23"/>
      <c r="F253" s="24"/>
      <c r="G253" s="23"/>
      <c r="H253" s="23"/>
      <c r="I253" s="24"/>
    </row>
    <row r="254" spans="1:9" ht="13.9">
      <c r="A254" s="23"/>
      <c r="B254" s="23"/>
      <c r="C254" s="23"/>
      <c r="D254" s="23"/>
      <c r="E254" s="23"/>
      <c r="F254" s="24"/>
      <c r="G254" s="23"/>
      <c r="H254" s="23"/>
      <c r="I254" s="24"/>
    </row>
    <row r="255" spans="1:9" ht="13.9">
      <c r="A255" s="23"/>
      <c r="B255" s="23"/>
      <c r="C255" s="23"/>
      <c r="D255" s="23"/>
      <c r="E255" s="23"/>
      <c r="F255" s="24"/>
      <c r="G255" s="23"/>
      <c r="H255" s="23"/>
      <c r="I255" s="24"/>
    </row>
    <row r="256" spans="1:9" ht="13.9">
      <c r="A256" s="23"/>
      <c r="B256" s="23"/>
      <c r="C256" s="23"/>
      <c r="D256" s="23"/>
      <c r="E256" s="23"/>
      <c r="F256" s="24"/>
      <c r="G256" s="23"/>
      <c r="H256" s="23"/>
      <c r="I256" s="24"/>
    </row>
    <row r="257" spans="1:9" ht="13.9">
      <c r="A257" s="23"/>
      <c r="B257" s="23"/>
      <c r="C257" s="23"/>
      <c r="D257" s="23"/>
      <c r="E257" s="23"/>
      <c r="F257" s="24"/>
      <c r="G257" s="23"/>
      <c r="H257" s="23"/>
      <c r="I257" s="24"/>
    </row>
    <row r="258" spans="1:9" ht="13.9">
      <c r="A258" s="23"/>
      <c r="B258" s="23"/>
      <c r="C258" s="23"/>
      <c r="D258" s="23"/>
      <c r="E258" s="23"/>
      <c r="F258" s="24"/>
      <c r="G258" s="23"/>
      <c r="H258" s="23"/>
      <c r="I258" s="24"/>
    </row>
    <row r="259" spans="1:9" ht="13.9">
      <c r="A259" s="23"/>
      <c r="B259" s="23"/>
      <c r="C259" s="23"/>
      <c r="D259" s="23"/>
      <c r="E259" s="23"/>
      <c r="F259" s="24"/>
      <c r="G259" s="23"/>
      <c r="H259" s="23"/>
      <c r="I259" s="24"/>
    </row>
    <row r="260" spans="1:9" ht="13.9">
      <c r="A260" s="23"/>
      <c r="B260" s="23"/>
      <c r="C260" s="23"/>
      <c r="D260" s="23"/>
      <c r="E260" s="23"/>
      <c r="F260" s="24"/>
      <c r="G260" s="23"/>
      <c r="H260" s="23"/>
      <c r="I260" s="24"/>
    </row>
    <row r="261" spans="1:9" ht="13.9">
      <c r="A261" s="23"/>
      <c r="B261" s="23"/>
      <c r="C261" s="23"/>
      <c r="D261" s="23"/>
      <c r="E261" s="23"/>
      <c r="F261" s="24"/>
      <c r="G261" s="23"/>
      <c r="H261" s="23"/>
      <c r="I261" s="24"/>
    </row>
    <row r="262" spans="1:9" ht="13.9">
      <c r="A262" s="23"/>
      <c r="B262" s="23"/>
      <c r="C262" s="23"/>
      <c r="D262" s="23"/>
      <c r="E262" s="23"/>
      <c r="F262" s="24"/>
      <c r="G262" s="23"/>
      <c r="H262" s="23"/>
      <c r="I262" s="24"/>
    </row>
    <row r="263" spans="1:9" ht="13.9">
      <c r="A263" s="23"/>
      <c r="B263" s="23"/>
      <c r="C263" s="23"/>
      <c r="D263" s="23"/>
      <c r="E263" s="23"/>
      <c r="F263" s="24"/>
      <c r="G263" s="23"/>
      <c r="H263" s="23"/>
      <c r="I263" s="24"/>
    </row>
    <row r="264" spans="1:9" ht="13.9">
      <c r="A264" s="23"/>
      <c r="B264" s="23"/>
      <c r="C264" s="23"/>
      <c r="D264" s="23"/>
      <c r="E264" s="23"/>
      <c r="F264" s="24"/>
      <c r="G264" s="23"/>
      <c r="H264" s="23"/>
      <c r="I264" s="24"/>
    </row>
    <row r="265" spans="1:9" ht="13.9">
      <c r="A265" s="23"/>
      <c r="B265" s="23"/>
      <c r="C265" s="23"/>
      <c r="D265" s="23"/>
      <c r="E265" s="23"/>
      <c r="F265" s="24"/>
      <c r="G265" s="23"/>
      <c r="H265" s="23"/>
      <c r="I265" s="24"/>
    </row>
    <row r="266" spans="1:9" ht="13.9">
      <c r="A266" s="23"/>
      <c r="B266" s="23"/>
      <c r="C266" s="23"/>
      <c r="D266" s="23"/>
      <c r="E266" s="23"/>
      <c r="F266" s="24"/>
      <c r="G266" s="23"/>
      <c r="H266" s="23"/>
      <c r="I266" s="24"/>
    </row>
    <row r="267" spans="1:9" ht="13.9">
      <c r="A267" s="23"/>
      <c r="B267" s="23"/>
      <c r="C267" s="23"/>
      <c r="D267" s="23"/>
      <c r="E267" s="23"/>
      <c r="F267" s="24"/>
      <c r="G267" s="23"/>
      <c r="H267" s="23"/>
      <c r="I267" s="24"/>
    </row>
    <row r="268" spans="1:9" ht="13.9">
      <c r="A268" s="23"/>
      <c r="B268" s="23"/>
      <c r="C268" s="23"/>
      <c r="D268" s="23"/>
      <c r="E268" s="23"/>
      <c r="F268" s="24"/>
      <c r="G268" s="23"/>
      <c r="H268" s="23"/>
      <c r="I268" s="24"/>
    </row>
    <row r="269" spans="1:9" ht="13.9">
      <c r="A269" s="23"/>
      <c r="B269" s="23"/>
      <c r="C269" s="23"/>
      <c r="D269" s="23"/>
      <c r="E269" s="23"/>
      <c r="F269" s="24"/>
      <c r="G269" s="23"/>
      <c r="H269" s="23"/>
      <c r="I269" s="24"/>
    </row>
    <row r="270" spans="1:9" ht="13.9">
      <c r="A270" s="23"/>
      <c r="B270" s="23"/>
      <c r="C270" s="23"/>
      <c r="D270" s="23"/>
      <c r="E270" s="23"/>
      <c r="F270" s="24"/>
      <c r="G270" s="23"/>
      <c r="H270" s="23"/>
      <c r="I270" s="24"/>
    </row>
    <row r="271" spans="1:9" ht="13.9">
      <c r="A271" s="23"/>
      <c r="B271" s="23"/>
      <c r="C271" s="23"/>
      <c r="D271" s="23"/>
      <c r="E271" s="23"/>
      <c r="F271" s="24"/>
      <c r="G271" s="23"/>
      <c r="H271" s="23"/>
      <c r="I271" s="24"/>
    </row>
    <row r="272" spans="1:9" ht="13.9">
      <c r="A272" s="23"/>
      <c r="B272" s="23"/>
      <c r="C272" s="23"/>
      <c r="D272" s="23"/>
      <c r="E272" s="23"/>
      <c r="F272" s="24"/>
      <c r="G272" s="23"/>
      <c r="H272" s="23"/>
      <c r="I272" s="24"/>
    </row>
    <row r="273" spans="1:9" ht="13.9">
      <c r="A273" s="23"/>
      <c r="B273" s="23"/>
      <c r="C273" s="23"/>
      <c r="D273" s="23"/>
      <c r="E273" s="23"/>
      <c r="F273" s="24"/>
      <c r="G273" s="23"/>
      <c r="H273" s="23"/>
      <c r="I273" s="24"/>
    </row>
    <row r="274" spans="1:9" ht="13.9">
      <c r="A274" s="23"/>
      <c r="B274" s="23"/>
      <c r="C274" s="23"/>
      <c r="D274" s="23"/>
      <c r="E274" s="23"/>
      <c r="F274" s="24"/>
      <c r="G274" s="23"/>
      <c r="H274" s="23"/>
      <c r="I274" s="24"/>
    </row>
    <row r="275" spans="1:9" ht="13.9">
      <c r="A275" s="23"/>
      <c r="B275" s="23"/>
      <c r="C275" s="23"/>
      <c r="D275" s="23"/>
      <c r="E275" s="23"/>
      <c r="F275" s="24"/>
      <c r="G275" s="23"/>
      <c r="H275" s="23"/>
      <c r="I275" s="24"/>
    </row>
    <row r="276" spans="1:9" ht="13.9">
      <c r="A276" s="23"/>
      <c r="B276" s="23"/>
      <c r="C276" s="23"/>
      <c r="D276" s="23"/>
      <c r="E276" s="23"/>
      <c r="F276" s="24"/>
      <c r="G276" s="23"/>
      <c r="H276" s="23"/>
      <c r="I276" s="24"/>
    </row>
    <row r="277" spans="1:9" ht="13.9">
      <c r="A277" s="23"/>
      <c r="B277" s="23"/>
      <c r="C277" s="23"/>
      <c r="D277" s="23"/>
      <c r="E277" s="23"/>
      <c r="F277" s="24"/>
      <c r="G277" s="23"/>
      <c r="H277" s="23"/>
      <c r="I277" s="24"/>
    </row>
    <row r="278" spans="1:9" ht="13.9">
      <c r="A278" s="23"/>
      <c r="B278" s="23"/>
      <c r="C278" s="23"/>
      <c r="D278" s="23"/>
      <c r="E278" s="23"/>
      <c r="F278" s="24"/>
      <c r="G278" s="23"/>
      <c r="H278" s="23"/>
      <c r="I278" s="24"/>
    </row>
    <row r="279" spans="1:9" ht="13.9">
      <c r="A279" s="23"/>
      <c r="B279" s="23"/>
      <c r="C279" s="23"/>
      <c r="D279" s="23"/>
      <c r="E279" s="23"/>
      <c r="F279" s="24"/>
      <c r="G279" s="23"/>
      <c r="H279" s="23"/>
      <c r="I279" s="24"/>
    </row>
    <row r="280" spans="1:9" ht="13.9">
      <c r="A280" s="23"/>
      <c r="B280" s="23"/>
      <c r="C280" s="23"/>
      <c r="D280" s="23"/>
      <c r="E280" s="23"/>
      <c r="F280" s="24"/>
      <c r="G280" s="23"/>
      <c r="H280" s="23"/>
      <c r="I280" s="24"/>
    </row>
    <row r="281" spans="1:9" ht="13.9">
      <c r="A281" s="23"/>
      <c r="B281" s="23"/>
      <c r="C281" s="23"/>
      <c r="D281" s="23"/>
      <c r="E281" s="23"/>
      <c r="F281" s="24"/>
      <c r="G281" s="23"/>
      <c r="H281" s="23"/>
      <c r="I281" s="24"/>
    </row>
    <row r="282" spans="1:9" ht="13.9">
      <c r="A282" s="23"/>
      <c r="B282" s="23"/>
      <c r="C282" s="23"/>
      <c r="D282" s="23"/>
      <c r="E282" s="23"/>
      <c r="F282" s="24"/>
      <c r="G282" s="23"/>
      <c r="H282" s="23"/>
      <c r="I282" s="24"/>
    </row>
    <row r="283" spans="1:9" ht="13.9">
      <c r="A283" s="23"/>
      <c r="B283" s="23"/>
      <c r="C283" s="23"/>
      <c r="D283" s="23"/>
      <c r="E283" s="23"/>
      <c r="F283" s="24"/>
      <c r="G283" s="23"/>
      <c r="H283" s="23"/>
      <c r="I283" s="24"/>
    </row>
    <row r="284" spans="1:9" ht="13.9">
      <c r="A284" s="23"/>
      <c r="B284" s="23"/>
      <c r="C284" s="23"/>
      <c r="D284" s="23"/>
      <c r="E284" s="23"/>
      <c r="F284" s="24"/>
      <c r="G284" s="23"/>
      <c r="H284" s="23"/>
      <c r="I284" s="24"/>
    </row>
    <row r="285" spans="1:9" ht="13.9">
      <c r="A285" s="23"/>
      <c r="B285" s="23"/>
      <c r="C285" s="23"/>
      <c r="D285" s="23"/>
      <c r="E285" s="23"/>
      <c r="F285" s="24"/>
      <c r="G285" s="23"/>
      <c r="H285" s="23"/>
      <c r="I285" s="24"/>
    </row>
    <row r="286" spans="1:9" ht="13.9">
      <c r="A286" s="23"/>
      <c r="B286" s="23"/>
      <c r="C286" s="23"/>
      <c r="D286" s="23"/>
      <c r="E286" s="23"/>
      <c r="F286" s="24"/>
      <c r="G286" s="23"/>
      <c r="H286" s="23"/>
      <c r="I286" s="24"/>
    </row>
    <row r="287" spans="1:9" ht="13.9">
      <c r="A287" s="23"/>
      <c r="B287" s="23"/>
      <c r="C287" s="23"/>
      <c r="D287" s="23"/>
      <c r="E287" s="23"/>
      <c r="F287" s="24"/>
      <c r="G287" s="23"/>
      <c r="H287" s="23"/>
      <c r="I287" s="24"/>
    </row>
    <row r="288" spans="1:9" ht="13.9">
      <c r="A288" s="23"/>
      <c r="B288" s="23"/>
      <c r="C288" s="23"/>
      <c r="D288" s="23"/>
      <c r="E288" s="23"/>
      <c r="F288" s="24"/>
      <c r="G288" s="23"/>
      <c r="H288" s="23"/>
      <c r="I288" s="24"/>
    </row>
    <row r="289" spans="1:9" ht="13.9">
      <c r="A289" s="23"/>
      <c r="B289" s="23"/>
      <c r="C289" s="23"/>
      <c r="D289" s="23"/>
      <c r="E289" s="23"/>
      <c r="F289" s="24"/>
      <c r="G289" s="23"/>
      <c r="H289" s="23"/>
      <c r="I289" s="24"/>
    </row>
    <row r="290" spans="1:9" ht="13.9">
      <c r="A290" s="23"/>
      <c r="B290" s="23"/>
      <c r="C290" s="23"/>
      <c r="D290" s="23"/>
      <c r="E290" s="23"/>
      <c r="F290" s="24"/>
      <c r="G290" s="23"/>
      <c r="H290" s="23"/>
      <c r="I290" s="24"/>
    </row>
    <row r="291" spans="1:9" ht="13.9">
      <c r="A291" s="23"/>
      <c r="B291" s="23"/>
      <c r="C291" s="23"/>
      <c r="D291" s="23"/>
      <c r="E291" s="23"/>
      <c r="F291" s="24"/>
      <c r="G291" s="23"/>
      <c r="H291" s="23"/>
      <c r="I291" s="24"/>
    </row>
    <row r="292" spans="1:9" ht="13.9">
      <c r="A292" s="23"/>
      <c r="B292" s="23"/>
      <c r="C292" s="23"/>
      <c r="D292" s="23"/>
      <c r="E292" s="23"/>
      <c r="F292" s="24"/>
      <c r="G292" s="23"/>
      <c r="H292" s="23"/>
      <c r="I292" s="24"/>
    </row>
    <row r="293" spans="1:9" ht="13.9">
      <c r="A293" s="23"/>
      <c r="B293" s="23"/>
      <c r="C293" s="23"/>
      <c r="D293" s="23"/>
      <c r="E293" s="23"/>
      <c r="F293" s="24"/>
      <c r="G293" s="23"/>
      <c r="H293" s="23"/>
      <c r="I293" s="24"/>
    </row>
    <row r="294" spans="1:9" ht="13.9">
      <c r="A294" s="23"/>
      <c r="B294" s="23"/>
      <c r="C294" s="23"/>
      <c r="D294" s="23"/>
      <c r="E294" s="23"/>
      <c r="F294" s="24"/>
      <c r="G294" s="23"/>
      <c r="H294" s="23"/>
      <c r="I294" s="24"/>
    </row>
    <row r="295" spans="1:9" ht="13.9">
      <c r="A295" s="23"/>
      <c r="B295" s="23"/>
      <c r="C295" s="23"/>
      <c r="D295" s="23"/>
      <c r="E295" s="23"/>
      <c r="F295" s="24"/>
      <c r="G295" s="23"/>
      <c r="H295" s="23"/>
      <c r="I295" s="24"/>
    </row>
    <row r="296" spans="1:9" ht="13.9">
      <c r="A296" s="23"/>
      <c r="B296" s="23"/>
      <c r="C296" s="23"/>
      <c r="D296" s="23"/>
      <c r="E296" s="23"/>
      <c r="F296" s="24"/>
      <c r="G296" s="23"/>
      <c r="H296" s="23"/>
      <c r="I296" s="24"/>
    </row>
    <row r="297" spans="1:9" ht="13.9">
      <c r="A297" s="23"/>
      <c r="B297" s="23"/>
      <c r="C297" s="23"/>
      <c r="D297" s="23"/>
      <c r="E297" s="23"/>
      <c r="F297" s="24"/>
      <c r="G297" s="23"/>
      <c r="H297" s="23"/>
      <c r="I297" s="24"/>
    </row>
    <row r="298" spans="1:9" ht="13.9">
      <c r="A298" s="23"/>
      <c r="B298" s="23"/>
      <c r="C298" s="23"/>
      <c r="D298" s="23"/>
      <c r="E298" s="23"/>
      <c r="F298" s="24"/>
      <c r="G298" s="23"/>
      <c r="H298" s="23"/>
      <c r="I298" s="24"/>
    </row>
    <row r="299" spans="1:9" ht="13.9">
      <c r="A299" s="23"/>
      <c r="B299" s="23"/>
      <c r="C299" s="23"/>
      <c r="D299" s="23"/>
      <c r="E299" s="23"/>
      <c r="F299" s="24"/>
      <c r="G299" s="23"/>
      <c r="H299" s="23"/>
      <c r="I299" s="24"/>
    </row>
    <row r="300" spans="1:9" ht="13.9">
      <c r="A300" s="23"/>
      <c r="B300" s="23"/>
      <c r="C300" s="23"/>
      <c r="D300" s="23"/>
      <c r="E300" s="23"/>
      <c r="F300" s="24"/>
      <c r="G300" s="23"/>
      <c r="H300" s="23"/>
      <c r="I300" s="24"/>
    </row>
    <row r="301" spans="1:9" ht="13.9">
      <c r="A301" s="23"/>
      <c r="B301" s="23"/>
      <c r="C301" s="23"/>
      <c r="D301" s="23"/>
      <c r="E301" s="23"/>
      <c r="F301" s="24"/>
      <c r="G301" s="23"/>
      <c r="H301" s="23"/>
      <c r="I301" s="24"/>
    </row>
    <row r="302" spans="1:9" ht="13.9">
      <c r="A302" s="23"/>
      <c r="B302" s="23"/>
      <c r="C302" s="23"/>
      <c r="D302" s="23"/>
      <c r="E302" s="23"/>
      <c r="F302" s="24"/>
      <c r="G302" s="23"/>
      <c r="H302" s="23"/>
      <c r="I302" s="24"/>
    </row>
  </sheetData>
  <autoFilter ref="A2:I2" xr:uid="{D5C25034-9971-4A61-864F-C938F31EB1B8}"/>
  <mergeCells count="4">
    <mergeCell ref="G1:I1"/>
    <mergeCell ref="A1:C1"/>
    <mergeCell ref="D1:F1"/>
    <mergeCell ref="A2:B2"/>
  </mergeCells>
  <conditionalFormatting sqref="F2 I2">
    <cfRule type="cellIs" dxfId="58" priority="9" stopIfTrue="1" operator="lessThanOrEqual">
      <formula>-0.1</formula>
    </cfRule>
    <cfRule type="expression" dxfId="57" priority="10">
      <formula>AND(ISNUMBER(F2), F2&gt;=0.1)</formula>
    </cfRule>
  </conditionalFormatting>
  <conditionalFormatting sqref="F4:F60">
    <cfRule type="cellIs" dxfId="56" priority="3" stopIfTrue="1" operator="lessThanOrEqual">
      <formula>-0.1</formula>
    </cfRule>
    <cfRule type="expression" dxfId="55" priority="4">
      <formula>AND(ISNUMBER(F4), F4&gt;=0.1)</formula>
    </cfRule>
  </conditionalFormatting>
  <conditionalFormatting sqref="I4:I60">
    <cfRule type="cellIs" dxfId="54" priority="1" stopIfTrue="1" operator="lessThanOrEqual">
      <formula>-0.1</formula>
    </cfRule>
    <cfRule type="expression" dxfId="53" priority="2">
      <formula>AND(ISNUMBER(I4), I4&gt;=0.1)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K310"/>
  <sheetViews>
    <sheetView workbookViewId="0">
      <pane ySplit="2" topLeftCell="A3" activePane="bottomLeft" state="frozen"/>
      <selection pane="bottomLeft" activeCell="E20" sqref="E20"/>
      <selection activeCell="A16" sqref="A16:XFD2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11" ht="19.5" customHeight="1">
      <c r="A1" s="89" t="str" cm="1">
        <f t="array" ref="A1">portfolio</f>
        <v>AB CarVal</v>
      </c>
      <c r="B1" s="89"/>
      <c r="C1" s="89"/>
      <c r="D1" s="90" t="s">
        <v>10</v>
      </c>
      <c r="E1" s="90"/>
      <c r="F1" s="90"/>
      <c r="G1" s="88" t="s">
        <v>11</v>
      </c>
      <c r="H1" s="88"/>
      <c r="I1" s="88"/>
    </row>
    <row r="2" spans="1:11" ht="19.5" customHeight="1">
      <c r="A2" s="91" t="s">
        <v>2</v>
      </c>
      <c r="B2" s="91"/>
      <c r="C2" s="6">
        <f>SUM(C4:C68)</f>
        <v>12232640.703429464</v>
      </c>
      <c r="D2" s="6">
        <f>SUM(D4:D68)</f>
        <v>15942459.60794807</v>
      </c>
      <c r="E2" s="6">
        <f>C2-D2</f>
        <v>-3709818.9045186061</v>
      </c>
      <c r="F2" s="7">
        <f>IFERROR(E2/D2, 0)</f>
        <v>-0.23270053653885917</v>
      </c>
      <c r="G2" s="6">
        <f>SUM(G4:G68)</f>
        <v>16168749.4</v>
      </c>
      <c r="H2" s="8">
        <f>C2-G2</f>
        <v>-3936108.6965705361</v>
      </c>
      <c r="I2" s="7">
        <f>IFERROR(H2/G2, 0)</f>
        <v>-0.24343927901873078</v>
      </c>
    </row>
    <row r="3" spans="1:11" ht="14.25" customHeight="1">
      <c r="A3" s="9" t="s">
        <v>3</v>
      </c>
      <c r="B3" s="9" t="s">
        <v>4</v>
      </c>
      <c r="C3" s="25" t="s">
        <v>5</v>
      </c>
      <c r="D3" s="36" t="s">
        <v>6</v>
      </c>
      <c r="E3" s="36" t="s">
        <v>7</v>
      </c>
      <c r="F3" s="37" t="s">
        <v>8</v>
      </c>
      <c r="G3" s="38" t="s">
        <v>9</v>
      </c>
      <c r="H3" s="39" t="s">
        <v>7</v>
      </c>
      <c r="I3" s="40" t="s">
        <v>8</v>
      </c>
    </row>
    <row r="4" spans="1:11" ht="15.6">
      <c r="A4" s="13" t="str" cm="1">
        <f t="array" ref="A4:A11">Sites[Site]</f>
        <v>MA: Fairhaven - 279 Mill Rd</v>
      </c>
      <c r="B4" s="10" t="str" cm="1">
        <f t="array" ref="B4:B11">Sites[State]</f>
        <v>MA</v>
      </c>
      <c r="C4" s="26">
        <f>SUM(Jan!C4, Feb!C4, Mar!C4)</f>
        <v>775506</v>
      </c>
      <c r="D4" s="14">
        <f>SUM(Jan!D4, Feb!D4, Mar!D4)</f>
        <v>810337.69700986624</v>
      </c>
      <c r="E4" s="14">
        <f>IF(AND(ISNUMBER(C4),ISNUMBER(D4)), C4-D4, "")</f>
        <v>-34831.697009866242</v>
      </c>
      <c r="F4" s="15">
        <f t="shared" ref="F4:F11" si="0">IFERROR(E4/D4, "")</f>
        <v>-4.2984174546481888E-2</v>
      </c>
      <c r="G4" s="16">
        <f>SUM(Jan!G4, Feb!G4, Mar!G4)</f>
        <v>726216.89999999991</v>
      </c>
      <c r="H4" s="16">
        <f>SUM(Jan!H4, Feb!H4, Mar!H4)</f>
        <v>49289.100000000006</v>
      </c>
      <c r="I4" s="17">
        <f t="shared" ref="I4:I11" si="1">IFERROR(H4/G4, "")</f>
        <v>6.7871045138167413E-2</v>
      </c>
    </row>
    <row r="5" spans="1:11" ht="15.6">
      <c r="A5" s="31" t="str">
        <v>Bakersfield - 100 Basic School Rd</v>
      </c>
      <c r="B5" s="32" t="str">
        <v>CA</v>
      </c>
      <c r="C5" s="12">
        <f>SUM(Jan!C5, Feb!C5, Mar!C5)</f>
        <v>2749226.4665132901</v>
      </c>
      <c r="D5" s="12">
        <f>SUM(Jan!D5, Feb!D5, Mar!D5)</f>
        <v>2476003.6</v>
      </c>
      <c r="E5" s="20">
        <f t="shared" ref="E5:E7" si="2">IF(AND(ISNUMBER(C5),ISNUMBER(D5)), C5-D5, "")</f>
        <v>273222.86651328998</v>
      </c>
      <c r="F5" s="21">
        <f t="shared" si="0"/>
        <v>0.11034833168792241</v>
      </c>
      <c r="G5" s="12">
        <f>SUM(Jan!G5, Feb!G5, Mar!G5)</f>
        <v>2623010.6</v>
      </c>
      <c r="H5" s="20">
        <f>SUM(Jan!H5, Feb!H5, Mar!H5)</f>
        <v>126215.86651328986</v>
      </c>
      <c r="I5" s="21">
        <f t="shared" si="1"/>
        <v>4.8118702422815164E-2</v>
      </c>
      <c r="J5" s="11"/>
      <c r="K5" s="19"/>
    </row>
    <row r="6" spans="1:11" ht="15.6">
      <c r="A6" s="13" t="str">
        <v>Fresno - 2685 Cornelia Ave</v>
      </c>
      <c r="B6" s="10" t="str">
        <v>CA</v>
      </c>
      <c r="C6" s="26">
        <f>SUM(Jan!C6, Feb!C6, Mar!C6)</f>
        <v>2561171</v>
      </c>
      <c r="D6" s="14">
        <f>SUM(Jan!D6, Feb!D6, Mar!D6)</f>
        <v>4716317</v>
      </c>
      <c r="E6" s="14">
        <f>IF(AND(ISNUMBER(C6),ISNUMBER(D6)), C6-D6, "")</f>
        <v>-2155146</v>
      </c>
      <c r="F6" s="15">
        <f t="shared" si="0"/>
        <v>-0.4569552894769372</v>
      </c>
      <c r="G6" s="16">
        <f>SUM(Jan!G6, Feb!G6, Mar!G6)</f>
        <v>5078948</v>
      </c>
      <c r="H6" s="16">
        <f>SUM(Jan!H6, Feb!H6, Mar!H6)</f>
        <v>-2517777</v>
      </c>
      <c r="I6" s="17">
        <f t="shared" si="1"/>
        <v>-0.49572805234469813</v>
      </c>
    </row>
    <row r="7" spans="1:11" ht="15.6">
      <c r="A7" s="31" t="str">
        <v>San Juaquin - S. Placer &amp; W. Adams</v>
      </c>
      <c r="B7" s="32" t="str">
        <v>CA</v>
      </c>
      <c r="C7" s="12">
        <f>SUM(Jan!C7, Feb!C7, Mar!C7)</f>
        <v>1857715.7083333321</v>
      </c>
      <c r="D7" s="12">
        <f>SUM(Jan!D7, Feb!D7, Mar!D7)</f>
        <v>2062015.0999999999</v>
      </c>
      <c r="E7" s="20">
        <f t="shared" si="2"/>
        <v>-204299.39166666777</v>
      </c>
      <c r="F7" s="21">
        <f t="shared" si="0"/>
        <v>-9.9077543935865348E-2</v>
      </c>
      <c r="G7" s="12">
        <f>SUM(Jan!G7, Feb!G7, Mar!G7)</f>
        <v>1834917.4</v>
      </c>
      <c r="H7" s="20">
        <f>SUM(Jan!H7, Feb!H7, Mar!H7)</f>
        <v>22798.30833333201</v>
      </c>
      <c r="I7" s="21">
        <f t="shared" si="1"/>
        <v>1.2424705511720589E-2</v>
      </c>
      <c r="J7" s="11"/>
      <c r="K7" s="19"/>
    </row>
    <row r="8" spans="1:11" ht="15.6">
      <c r="A8" s="13" t="str">
        <v xml:space="preserve">Charlemont - 0 Tea St </v>
      </c>
      <c r="B8" s="10" t="str">
        <v>MA</v>
      </c>
      <c r="C8" s="49">
        <f>SUM(Jan!C8, Feb!C8, Mar!C8)</f>
        <v>181386</v>
      </c>
      <c r="D8" s="14">
        <f>SUM(Jan!D8, Feb!D8, Mar!D8)</f>
        <v>940745.95920345152</v>
      </c>
      <c r="E8" s="14">
        <f>IF(AND(ISNUMBER(C8),ISNUMBER(D8)), C8-D8, "")</f>
        <v>-759359.95920345152</v>
      </c>
      <c r="F8" s="48">
        <f t="shared" si="0"/>
        <v>-0.80718917979346605</v>
      </c>
      <c r="G8" s="47">
        <f>SUM(Jan!G8, Feb!G8, Mar!G8)</f>
        <v>864647.5</v>
      </c>
      <c r="H8" s="47">
        <f>SUM(Jan!H8, Feb!H8, Mar!H8)</f>
        <v>-683261.5</v>
      </c>
      <c r="I8" s="46">
        <f t="shared" si="1"/>
        <v>-0.7902197138140109</v>
      </c>
    </row>
    <row r="9" spans="1:11" ht="15.6">
      <c r="A9" s="31" t="str">
        <v xml:space="preserve">Amherst - 740 Belchertown Rd </v>
      </c>
      <c r="B9" s="32" t="str">
        <v>MA</v>
      </c>
      <c r="C9" s="42">
        <f>SUM(Jan!C9, Feb!C9, Mar!C9)</f>
        <v>769133</v>
      </c>
      <c r="D9" s="42">
        <f>SUM(Jan!D9, Feb!D9, Mar!D9)</f>
        <v>994560.4430587634</v>
      </c>
      <c r="E9" s="20">
        <f>IF(AND(ISNUMBER(C9),ISNUMBER(D9)), C9-D9, "")</f>
        <v>-225427.4430587634</v>
      </c>
      <c r="F9" s="43">
        <f t="shared" si="0"/>
        <v>-0.22666037507530759</v>
      </c>
      <c r="G9" s="42">
        <f>SUM(Jan!G9, Feb!G9, Mar!G9)</f>
        <v>936702</v>
      </c>
      <c r="H9" s="20">
        <f>SUM(Jan!H9, Feb!H9, Mar!H9)</f>
        <v>-167568.99999999994</v>
      </c>
      <c r="I9" s="43">
        <f t="shared" si="1"/>
        <v>-0.17889253999671181</v>
      </c>
      <c r="J9" s="11"/>
      <c r="K9" s="19"/>
    </row>
    <row r="10" spans="1:11" ht="15.6">
      <c r="A10" s="13" t="str">
        <v xml:space="preserve"> Ludlow - Huxley 1 &amp; 2 - 504 Fuller St </v>
      </c>
      <c r="B10" s="10" t="str">
        <v>MA</v>
      </c>
      <c r="C10" s="49">
        <f>SUM(Jan!C10, Feb!C10, Mar!C10)</f>
        <v>2117077.5285828402</v>
      </c>
      <c r="D10" s="14">
        <f>SUM(Jan!D10, Feb!D10, Mar!D10)</f>
        <v>2051748.2212231467</v>
      </c>
      <c r="E10" s="14">
        <f>IF(AND(ISNUMBER(C10),ISNUMBER(D10)), C10-D10, "")</f>
        <v>65329.307359693572</v>
      </c>
      <c r="F10" s="48">
        <f t="shared" si="0"/>
        <v>3.1840801265930967E-2</v>
      </c>
      <c r="G10" s="47">
        <f>SUM(Jan!G10, Feb!G10, Mar!G10)</f>
        <v>2226965</v>
      </c>
      <c r="H10" s="47">
        <f>SUM(Jan!H10, Feb!H10, Mar!H10)</f>
        <v>-109887.47141715942</v>
      </c>
      <c r="I10" s="46">
        <f t="shared" si="1"/>
        <v>-4.9344049599863229E-2</v>
      </c>
    </row>
    <row r="11" spans="1:11" ht="15.6">
      <c r="A11" s="31" t="str">
        <v>Easthampton - Beacon 1 &amp; 2 - 540 Florence Rd</v>
      </c>
      <c r="B11" s="32" t="str">
        <v>MA</v>
      </c>
      <c r="C11" s="42">
        <f>SUM(Jan!C11, Feb!C11, Mar!C11)</f>
        <v>1221425</v>
      </c>
      <c r="D11" s="42">
        <f>SUM(Jan!D11, Feb!D11, Mar!D11)</f>
        <v>1890731.5874528424</v>
      </c>
      <c r="E11" s="20">
        <f>IF(AND(ISNUMBER(C11),ISNUMBER(D11)), C11-D11, "")</f>
        <v>-669306.58745284239</v>
      </c>
      <c r="F11" s="43">
        <f t="shared" si="0"/>
        <v>-0.35399344459808779</v>
      </c>
      <c r="G11" s="42">
        <f>SUM(Jan!G11, Feb!G11, Mar!G11)</f>
        <v>1877342</v>
      </c>
      <c r="H11" s="20">
        <f>SUM(Jan!H11, Feb!H11, Mar!H11)</f>
        <v>-655917</v>
      </c>
      <c r="I11" s="43">
        <f t="shared" si="1"/>
        <v>-0.34938599360159206</v>
      </c>
      <c r="J11" s="11"/>
      <c r="K11" s="19"/>
    </row>
    <row r="12" spans="1:11" ht="13.9">
      <c r="A12" s="23"/>
      <c r="B12" s="23"/>
      <c r="C12" s="23"/>
      <c r="D12" s="23"/>
      <c r="E12" s="23"/>
      <c r="F12" s="24"/>
      <c r="G12" s="23"/>
      <c r="H12" s="23"/>
      <c r="I12" s="24"/>
    </row>
    <row r="13" spans="1:11" ht="13.9">
      <c r="A13" s="23"/>
      <c r="B13" s="23"/>
      <c r="C13" s="23"/>
      <c r="D13" s="23"/>
      <c r="E13" s="23"/>
      <c r="F13" s="24"/>
      <c r="G13" s="23"/>
      <c r="H13" s="23"/>
      <c r="I13" s="24"/>
    </row>
    <row r="14" spans="1:11" ht="13.9">
      <c r="A14" s="23"/>
      <c r="B14" s="23"/>
      <c r="C14" s="23"/>
      <c r="D14" s="23"/>
      <c r="E14" s="23"/>
      <c r="F14" s="24"/>
      <c r="G14" s="23"/>
      <c r="H14" s="23"/>
      <c r="I14" s="24"/>
    </row>
    <row r="15" spans="1:11" ht="13.9">
      <c r="A15" s="23"/>
      <c r="B15" s="23"/>
      <c r="C15" s="23"/>
      <c r="D15" s="23"/>
      <c r="E15" s="23"/>
      <c r="F15" s="24"/>
      <c r="G15" s="23"/>
      <c r="H15" s="23"/>
      <c r="I15" s="24"/>
    </row>
    <row r="16" spans="1:11" ht="13.9">
      <c r="A16" s="23"/>
      <c r="B16" s="23"/>
      <c r="C16" s="23"/>
      <c r="D16" s="23"/>
      <c r="E16" s="23"/>
      <c r="F16" s="24"/>
      <c r="G16" s="23"/>
      <c r="H16" s="23"/>
      <c r="I16" s="24"/>
    </row>
    <row r="17" spans="1:9" ht="13.9">
      <c r="A17" s="23"/>
      <c r="B17" s="23"/>
      <c r="C17" s="23"/>
      <c r="D17" s="23"/>
      <c r="E17" s="23"/>
      <c r="F17" s="24"/>
      <c r="G17" s="23"/>
      <c r="H17" s="23"/>
      <c r="I17" s="24"/>
    </row>
    <row r="18" spans="1:9" ht="13.9">
      <c r="A18" s="23"/>
      <c r="B18" s="23"/>
      <c r="C18" s="23"/>
      <c r="D18" s="23"/>
      <c r="E18" s="23"/>
      <c r="F18" s="24"/>
      <c r="G18" s="23"/>
      <c r="H18" s="23"/>
      <c r="I18" s="24"/>
    </row>
    <row r="19" spans="1:9" ht="13.9">
      <c r="A19" s="23"/>
      <c r="B19" s="23"/>
      <c r="C19" s="23"/>
      <c r="D19" s="23"/>
      <c r="E19" s="23"/>
      <c r="F19" s="24"/>
      <c r="G19" s="23"/>
      <c r="H19" s="23"/>
      <c r="I19" s="24"/>
    </row>
    <row r="20" spans="1:9" ht="13.9">
      <c r="A20" s="23"/>
      <c r="B20" s="23"/>
      <c r="C20" s="23"/>
      <c r="D20" s="23"/>
      <c r="E20" s="23"/>
      <c r="F20" s="24"/>
      <c r="G20" s="23"/>
      <c r="H20" s="23"/>
      <c r="I20" s="24"/>
    </row>
    <row r="21" spans="1:9" ht="13.9">
      <c r="A21" s="23"/>
      <c r="B21" s="23"/>
      <c r="C21" s="23"/>
      <c r="D21" s="23"/>
      <c r="E21" s="23"/>
      <c r="F21" s="24"/>
      <c r="G21" s="23"/>
      <c r="H21" s="23"/>
      <c r="I21" s="24"/>
    </row>
    <row r="22" spans="1:9" ht="13.9">
      <c r="A22" s="23"/>
      <c r="B22" s="23"/>
      <c r="C22" s="23"/>
      <c r="D22" s="23"/>
      <c r="E22" s="23"/>
      <c r="F22" s="24"/>
      <c r="G22" s="23"/>
      <c r="H22" s="23"/>
      <c r="I22" s="24"/>
    </row>
    <row r="23" spans="1:9" ht="13.9">
      <c r="A23" s="23"/>
      <c r="B23" s="23"/>
      <c r="C23" s="23"/>
      <c r="D23" s="23"/>
      <c r="E23" s="23"/>
      <c r="F23" s="24"/>
      <c r="G23" s="23"/>
      <c r="H23" s="23"/>
      <c r="I23" s="24"/>
    </row>
    <row r="24" spans="1:9" ht="13.9">
      <c r="A24" s="23"/>
      <c r="B24" s="23"/>
      <c r="C24" s="23"/>
      <c r="D24" s="23"/>
      <c r="E24" s="23"/>
      <c r="F24" s="24"/>
      <c r="G24" s="23"/>
      <c r="H24" s="23"/>
      <c r="I24" s="24"/>
    </row>
    <row r="25" spans="1:9" ht="13.9">
      <c r="A25" s="23"/>
      <c r="B25" s="23"/>
      <c r="C25" s="23"/>
      <c r="D25" s="23"/>
      <c r="E25" s="23"/>
      <c r="F25" s="24"/>
      <c r="G25" s="23"/>
      <c r="H25" s="23"/>
      <c r="I25" s="24"/>
    </row>
    <row r="26" spans="1:9" ht="13.9">
      <c r="A26" s="23"/>
      <c r="B26" s="23"/>
      <c r="C26" s="23"/>
      <c r="D26" s="23"/>
      <c r="E26" s="23"/>
      <c r="F26" s="24"/>
      <c r="G26" s="23"/>
      <c r="H26" s="23"/>
      <c r="I26" s="24"/>
    </row>
    <row r="27" spans="1:9" ht="13.9">
      <c r="A27" s="23"/>
      <c r="B27" s="23"/>
      <c r="C27" s="23"/>
      <c r="D27" s="23"/>
      <c r="E27" s="23"/>
      <c r="F27" s="24"/>
      <c r="G27" s="23"/>
      <c r="H27" s="23"/>
      <c r="I27" s="24"/>
    </row>
    <row r="28" spans="1:9" ht="13.9">
      <c r="A28" s="23"/>
      <c r="B28" s="23"/>
      <c r="C28" s="23"/>
      <c r="D28" s="23"/>
      <c r="E28" s="23"/>
      <c r="F28" s="24"/>
      <c r="G28" s="23"/>
      <c r="H28" s="23"/>
      <c r="I28" s="24"/>
    </row>
    <row r="29" spans="1:9" ht="13.9">
      <c r="A29" s="23"/>
      <c r="B29" s="23"/>
      <c r="C29" s="23"/>
      <c r="D29" s="23"/>
      <c r="E29" s="23"/>
      <c r="F29" s="24"/>
      <c r="G29" s="23"/>
      <c r="H29" s="23"/>
      <c r="I29" s="24"/>
    </row>
    <row r="30" spans="1:9" ht="13.9">
      <c r="A30" s="23"/>
      <c r="B30" s="23"/>
      <c r="C30" s="23"/>
      <c r="D30" s="23"/>
      <c r="E30" s="23"/>
      <c r="F30" s="24"/>
      <c r="G30" s="23"/>
      <c r="H30" s="23"/>
      <c r="I30" s="24"/>
    </row>
    <row r="31" spans="1:9" ht="13.9">
      <c r="A31" s="23"/>
      <c r="B31" s="23"/>
      <c r="C31" s="23"/>
      <c r="D31" s="23"/>
      <c r="E31" s="23"/>
      <c r="F31" s="24"/>
      <c r="G31" s="23"/>
      <c r="H31" s="23"/>
      <c r="I31" s="24"/>
    </row>
    <row r="32" spans="1:9" ht="13.9">
      <c r="A32" s="23"/>
      <c r="B32" s="23"/>
      <c r="C32" s="23"/>
      <c r="D32" s="23"/>
      <c r="E32" s="23"/>
      <c r="F32" s="24"/>
      <c r="G32" s="23"/>
      <c r="H32" s="23"/>
      <c r="I32" s="24"/>
    </row>
    <row r="33" spans="1:9" ht="13.9">
      <c r="A33" s="23"/>
      <c r="B33" s="23"/>
      <c r="C33" s="23"/>
      <c r="D33" s="23"/>
      <c r="E33" s="23"/>
      <c r="F33" s="24"/>
      <c r="G33" s="23"/>
      <c r="H33" s="23"/>
      <c r="I33" s="24"/>
    </row>
    <row r="34" spans="1:9" ht="13.9">
      <c r="A34" s="23"/>
      <c r="B34" s="23"/>
      <c r="C34" s="23"/>
      <c r="D34" s="23"/>
      <c r="E34" s="23"/>
      <c r="F34" s="24"/>
      <c r="G34" s="23"/>
      <c r="H34" s="23"/>
      <c r="I34" s="24"/>
    </row>
    <row r="35" spans="1:9" ht="13.9">
      <c r="A35" s="23"/>
      <c r="B35" s="23"/>
      <c r="C35" s="23"/>
      <c r="D35" s="23"/>
      <c r="E35" s="23"/>
      <c r="F35" s="24"/>
      <c r="G35" s="23"/>
      <c r="H35" s="23"/>
      <c r="I35" s="24"/>
    </row>
    <row r="36" spans="1:9" ht="13.9">
      <c r="A36" s="23"/>
      <c r="B36" s="23"/>
      <c r="C36" s="23"/>
      <c r="D36" s="23"/>
      <c r="E36" s="23"/>
      <c r="F36" s="24"/>
      <c r="G36" s="23"/>
      <c r="H36" s="23"/>
      <c r="I36" s="24"/>
    </row>
    <row r="37" spans="1:9" ht="13.9">
      <c r="A37" s="23"/>
      <c r="B37" s="23"/>
      <c r="C37" s="23"/>
      <c r="D37" s="23"/>
      <c r="E37" s="23"/>
      <c r="F37" s="24"/>
      <c r="G37" s="23"/>
      <c r="H37" s="23"/>
      <c r="I37" s="24"/>
    </row>
    <row r="38" spans="1:9" ht="13.9">
      <c r="A38" s="23"/>
      <c r="B38" s="23"/>
      <c r="C38" s="23"/>
      <c r="D38" s="23"/>
      <c r="E38" s="23"/>
      <c r="F38" s="24"/>
      <c r="G38" s="23"/>
      <c r="H38" s="23"/>
      <c r="I38" s="24"/>
    </row>
    <row r="39" spans="1:9" ht="13.9">
      <c r="A39" s="23"/>
      <c r="B39" s="23"/>
      <c r="C39" s="23"/>
      <c r="D39" s="23"/>
      <c r="E39" s="23"/>
      <c r="F39" s="24"/>
      <c r="G39" s="23"/>
      <c r="H39" s="23"/>
      <c r="I39" s="24"/>
    </row>
    <row r="40" spans="1:9" ht="13.9">
      <c r="A40" s="23"/>
      <c r="B40" s="23"/>
      <c r="C40" s="23"/>
      <c r="D40" s="23"/>
      <c r="E40" s="23"/>
      <c r="F40" s="24"/>
      <c r="G40" s="23"/>
      <c r="H40" s="23"/>
      <c r="I40" s="24"/>
    </row>
    <row r="41" spans="1:9" ht="13.9">
      <c r="A41" s="23"/>
      <c r="B41" s="23"/>
      <c r="C41" s="23"/>
      <c r="D41" s="23"/>
      <c r="E41" s="23"/>
      <c r="F41" s="24"/>
      <c r="G41" s="23"/>
      <c r="H41" s="23"/>
      <c r="I41" s="24"/>
    </row>
    <row r="42" spans="1:9" ht="13.9">
      <c r="A42" s="23"/>
      <c r="B42" s="23"/>
      <c r="C42" s="23"/>
      <c r="D42" s="23"/>
      <c r="E42" s="23"/>
      <c r="F42" s="24"/>
      <c r="G42" s="23"/>
      <c r="H42" s="23"/>
      <c r="I42" s="24"/>
    </row>
    <row r="43" spans="1:9" ht="13.9">
      <c r="A43" s="23"/>
      <c r="B43" s="23"/>
      <c r="C43" s="23"/>
      <c r="D43" s="23"/>
      <c r="E43" s="23"/>
      <c r="F43" s="24"/>
      <c r="G43" s="23"/>
      <c r="H43" s="23"/>
      <c r="I43" s="24"/>
    </row>
    <row r="44" spans="1:9" ht="13.9">
      <c r="A44" s="23"/>
      <c r="B44" s="23"/>
      <c r="C44" s="23"/>
      <c r="D44" s="23"/>
      <c r="E44" s="23"/>
      <c r="F44" s="24"/>
      <c r="G44" s="23"/>
      <c r="H44" s="23"/>
      <c r="I44" s="24"/>
    </row>
    <row r="45" spans="1:9" ht="13.9">
      <c r="A45" s="23"/>
      <c r="B45" s="23"/>
      <c r="C45" s="23"/>
      <c r="D45" s="23"/>
      <c r="E45" s="23"/>
      <c r="F45" s="24"/>
      <c r="G45" s="23"/>
      <c r="H45" s="23"/>
      <c r="I45" s="24"/>
    </row>
    <row r="46" spans="1:9" ht="13.9">
      <c r="A46" s="23"/>
      <c r="B46" s="23"/>
      <c r="C46" s="23"/>
      <c r="D46" s="23"/>
      <c r="E46" s="23"/>
      <c r="F46" s="24"/>
      <c r="G46" s="23"/>
      <c r="H46" s="23"/>
      <c r="I46" s="24"/>
    </row>
    <row r="47" spans="1:9" ht="13.9">
      <c r="A47" s="23"/>
      <c r="B47" s="23"/>
      <c r="C47" s="23"/>
      <c r="D47" s="23"/>
      <c r="E47" s="23"/>
      <c r="F47" s="24"/>
      <c r="G47" s="23"/>
      <c r="H47" s="23"/>
      <c r="I47" s="24"/>
    </row>
    <row r="48" spans="1:9" ht="13.9">
      <c r="A48" s="23"/>
      <c r="B48" s="23"/>
      <c r="C48" s="23"/>
      <c r="D48" s="23"/>
      <c r="E48" s="23"/>
      <c r="F48" s="24"/>
      <c r="G48" s="23"/>
      <c r="H48" s="23"/>
      <c r="I48" s="24"/>
    </row>
    <row r="49" spans="1:9" ht="13.9">
      <c r="A49" s="23"/>
      <c r="B49" s="23"/>
      <c r="C49" s="23"/>
      <c r="D49" s="23"/>
      <c r="E49" s="23"/>
      <c r="F49" s="24"/>
      <c r="G49" s="23"/>
      <c r="H49" s="23"/>
      <c r="I49" s="24"/>
    </row>
    <row r="50" spans="1:9" ht="13.9">
      <c r="A50" s="23"/>
      <c r="B50" s="23"/>
      <c r="C50" s="23"/>
      <c r="D50" s="23"/>
      <c r="E50" s="23"/>
      <c r="F50" s="24"/>
      <c r="G50" s="23"/>
      <c r="H50" s="23"/>
      <c r="I50" s="24"/>
    </row>
    <row r="51" spans="1:9" ht="13.9">
      <c r="A51" s="23"/>
      <c r="B51" s="23"/>
      <c r="C51" s="23"/>
      <c r="D51" s="23"/>
      <c r="E51" s="23"/>
      <c r="F51" s="24"/>
      <c r="G51" s="23"/>
      <c r="H51" s="23"/>
      <c r="I51" s="24"/>
    </row>
    <row r="52" spans="1:9" ht="13.9">
      <c r="A52" s="23"/>
      <c r="B52" s="23"/>
      <c r="C52" s="23"/>
      <c r="D52" s="23"/>
      <c r="E52" s="23"/>
      <c r="F52" s="24"/>
      <c r="G52" s="23"/>
      <c r="H52" s="23"/>
      <c r="I52" s="24"/>
    </row>
    <row r="53" spans="1:9" ht="13.9">
      <c r="A53" s="23"/>
      <c r="B53" s="23"/>
      <c r="C53" s="23"/>
      <c r="D53" s="23"/>
      <c r="E53" s="23"/>
      <c r="F53" s="24"/>
      <c r="G53" s="23"/>
      <c r="H53" s="23"/>
      <c r="I53" s="24"/>
    </row>
    <row r="54" spans="1:9" ht="13.9">
      <c r="A54" s="23"/>
      <c r="B54" s="23"/>
      <c r="C54" s="23"/>
      <c r="D54" s="23"/>
      <c r="E54" s="23"/>
      <c r="F54" s="24"/>
      <c r="G54" s="23"/>
      <c r="H54" s="23"/>
      <c r="I54" s="24"/>
    </row>
    <row r="55" spans="1:9" ht="13.9">
      <c r="A55" s="23"/>
      <c r="B55" s="23"/>
      <c r="C55" s="23"/>
      <c r="D55" s="23"/>
      <c r="E55" s="23"/>
      <c r="F55" s="24"/>
      <c r="G55" s="23"/>
      <c r="H55" s="23"/>
      <c r="I55" s="24"/>
    </row>
    <row r="56" spans="1:9" ht="13.9">
      <c r="A56" s="23"/>
      <c r="B56" s="23"/>
      <c r="C56" s="23"/>
      <c r="D56" s="23"/>
      <c r="E56" s="23"/>
      <c r="F56" s="24"/>
      <c r="G56" s="23"/>
      <c r="H56" s="23"/>
      <c r="I56" s="24"/>
    </row>
    <row r="57" spans="1:9" ht="13.9">
      <c r="A57" s="23"/>
      <c r="B57" s="23"/>
      <c r="C57" s="23"/>
      <c r="D57" s="23"/>
      <c r="E57" s="23"/>
      <c r="F57" s="24"/>
      <c r="G57" s="23"/>
      <c r="H57" s="23"/>
      <c r="I57" s="24"/>
    </row>
    <row r="58" spans="1:9" ht="13.9">
      <c r="A58" s="23"/>
      <c r="B58" s="23"/>
      <c r="C58" s="23"/>
      <c r="D58" s="23"/>
      <c r="E58" s="23"/>
      <c r="F58" s="24"/>
      <c r="G58" s="23"/>
      <c r="H58" s="23"/>
      <c r="I58" s="24"/>
    </row>
    <row r="59" spans="1:9" ht="13.9">
      <c r="A59" s="23"/>
      <c r="B59" s="23"/>
      <c r="C59" s="23"/>
      <c r="D59" s="23"/>
      <c r="E59" s="23"/>
      <c r="F59" s="24"/>
      <c r="G59" s="23"/>
      <c r="H59" s="23"/>
      <c r="I59" s="24"/>
    </row>
    <row r="60" spans="1:9" ht="13.9">
      <c r="A60" s="23"/>
      <c r="B60" s="23"/>
      <c r="C60" s="23"/>
      <c r="D60" s="23"/>
      <c r="E60" s="23"/>
      <c r="F60" s="24"/>
      <c r="G60" s="23"/>
      <c r="H60" s="23"/>
      <c r="I60" s="24"/>
    </row>
    <row r="61" spans="1:9" ht="13.9">
      <c r="A61" s="23"/>
      <c r="B61" s="23"/>
      <c r="C61" s="23"/>
      <c r="D61" s="23"/>
      <c r="E61" s="23"/>
      <c r="F61" s="24"/>
      <c r="G61" s="23"/>
      <c r="H61" s="23"/>
      <c r="I61" s="24"/>
    </row>
    <row r="62" spans="1:9" ht="13.9">
      <c r="A62" s="23"/>
      <c r="B62" s="23"/>
      <c r="C62" s="23"/>
      <c r="D62" s="23"/>
      <c r="E62" s="23"/>
      <c r="F62" s="24"/>
      <c r="G62" s="23"/>
      <c r="H62" s="23"/>
      <c r="I62" s="24"/>
    </row>
    <row r="63" spans="1:9" ht="13.9">
      <c r="A63" s="23"/>
      <c r="B63" s="23"/>
      <c r="C63" s="23"/>
      <c r="D63" s="23"/>
      <c r="E63" s="23"/>
      <c r="F63" s="24"/>
      <c r="G63" s="23"/>
      <c r="H63" s="23"/>
      <c r="I63" s="24"/>
    </row>
    <row r="64" spans="1:9" ht="13.9">
      <c r="A64" s="23"/>
      <c r="B64" s="23"/>
      <c r="C64" s="23"/>
      <c r="D64" s="23"/>
      <c r="E64" s="23"/>
      <c r="F64" s="24"/>
      <c r="G64" s="23"/>
      <c r="H64" s="23"/>
      <c r="I64" s="24"/>
    </row>
    <row r="65" spans="1:9" ht="13.9">
      <c r="A65" s="23"/>
      <c r="B65" s="23"/>
      <c r="C65" s="23"/>
      <c r="D65" s="23"/>
      <c r="E65" s="23"/>
      <c r="F65" s="24"/>
      <c r="G65" s="23"/>
      <c r="H65" s="23"/>
      <c r="I65" s="24"/>
    </row>
    <row r="66" spans="1:9" ht="13.9">
      <c r="A66" s="23"/>
      <c r="B66" s="23"/>
      <c r="C66" s="23"/>
      <c r="D66" s="23"/>
      <c r="E66" s="23"/>
      <c r="F66" s="24"/>
      <c r="G66" s="23"/>
      <c r="H66" s="23"/>
      <c r="I66" s="24"/>
    </row>
    <row r="67" spans="1:9" ht="13.9">
      <c r="A67" s="23"/>
      <c r="B67" s="23"/>
      <c r="C67" s="23"/>
      <c r="D67" s="23"/>
      <c r="E67" s="23"/>
      <c r="F67" s="24"/>
      <c r="G67" s="23"/>
      <c r="H67" s="23"/>
      <c r="I67" s="24"/>
    </row>
    <row r="68" spans="1:9" ht="13.9">
      <c r="A68" s="23"/>
      <c r="B68" s="23"/>
      <c r="C68" s="23"/>
      <c r="D68" s="23"/>
      <c r="E68" s="23"/>
      <c r="F68" s="24"/>
      <c r="G68" s="23"/>
      <c r="H68" s="23"/>
      <c r="I68" s="24"/>
    </row>
    <row r="69" spans="1:9" ht="13.9">
      <c r="A69" s="23"/>
      <c r="B69" s="23"/>
      <c r="C69" s="23"/>
      <c r="D69" s="23"/>
      <c r="E69" s="23"/>
      <c r="F69" s="24"/>
      <c r="G69" s="23"/>
      <c r="H69" s="23"/>
      <c r="I69" s="24"/>
    </row>
    <row r="70" spans="1:9" ht="13.9">
      <c r="A70" s="23"/>
      <c r="B70" s="23"/>
      <c r="C70" s="23"/>
      <c r="D70" s="23"/>
      <c r="E70" s="23"/>
      <c r="F70" s="24"/>
      <c r="G70" s="23"/>
      <c r="H70" s="23"/>
      <c r="I70" s="24"/>
    </row>
    <row r="71" spans="1:9" ht="13.9">
      <c r="A71" s="23"/>
      <c r="B71" s="23"/>
      <c r="C71" s="23"/>
      <c r="D71" s="23"/>
      <c r="E71" s="23"/>
      <c r="F71" s="24"/>
      <c r="G71" s="23"/>
      <c r="H71" s="23"/>
      <c r="I71" s="24"/>
    </row>
    <row r="72" spans="1:9" ht="13.9">
      <c r="A72" s="23"/>
      <c r="B72" s="23"/>
      <c r="C72" s="23"/>
      <c r="D72" s="23"/>
      <c r="E72" s="23"/>
      <c r="F72" s="24"/>
      <c r="G72" s="23"/>
      <c r="H72" s="23"/>
      <c r="I72" s="24"/>
    </row>
    <row r="73" spans="1:9" ht="13.9">
      <c r="A73" s="23"/>
      <c r="B73" s="23"/>
      <c r="C73" s="23"/>
      <c r="D73" s="23"/>
      <c r="E73" s="23"/>
      <c r="F73" s="24"/>
      <c r="G73" s="23"/>
      <c r="H73" s="23"/>
      <c r="I73" s="24"/>
    </row>
    <row r="74" spans="1:9" ht="13.9">
      <c r="A74" s="23"/>
      <c r="B74" s="23"/>
      <c r="C74" s="23"/>
      <c r="D74" s="23"/>
      <c r="E74" s="23"/>
      <c r="F74" s="24"/>
      <c r="G74" s="23"/>
      <c r="H74" s="23"/>
      <c r="I74" s="24"/>
    </row>
    <row r="75" spans="1:9" ht="13.9">
      <c r="A75" s="23"/>
      <c r="B75" s="23"/>
      <c r="C75" s="23"/>
      <c r="D75" s="23"/>
      <c r="E75" s="23"/>
      <c r="F75" s="24"/>
      <c r="G75" s="23"/>
      <c r="H75" s="23"/>
      <c r="I75" s="24"/>
    </row>
    <row r="76" spans="1:9" ht="13.9">
      <c r="A76" s="23"/>
      <c r="B76" s="23"/>
      <c r="C76" s="23"/>
      <c r="D76" s="23"/>
      <c r="E76" s="23"/>
      <c r="F76" s="24"/>
      <c r="G76" s="23"/>
      <c r="H76" s="23"/>
      <c r="I76" s="24"/>
    </row>
    <row r="77" spans="1:9" ht="13.9">
      <c r="A77" s="23"/>
      <c r="B77" s="23"/>
      <c r="C77" s="23"/>
      <c r="D77" s="23"/>
      <c r="E77" s="23"/>
      <c r="F77" s="24"/>
      <c r="G77" s="23"/>
      <c r="H77" s="23"/>
      <c r="I77" s="24"/>
    </row>
    <row r="78" spans="1:9" ht="13.9">
      <c r="A78" s="23"/>
      <c r="B78" s="23"/>
      <c r="C78" s="23"/>
      <c r="D78" s="23"/>
      <c r="E78" s="23"/>
      <c r="F78" s="24"/>
      <c r="G78" s="23"/>
      <c r="H78" s="23"/>
      <c r="I78" s="24"/>
    </row>
    <row r="79" spans="1:9" ht="13.9">
      <c r="A79" s="23"/>
      <c r="B79" s="23"/>
      <c r="C79" s="23"/>
      <c r="D79" s="23"/>
      <c r="E79" s="23"/>
      <c r="F79" s="24"/>
      <c r="G79" s="23"/>
      <c r="H79" s="23"/>
      <c r="I79" s="24"/>
    </row>
    <row r="80" spans="1:9" ht="13.9">
      <c r="A80" s="23"/>
      <c r="B80" s="23"/>
      <c r="C80" s="23"/>
      <c r="D80" s="23"/>
      <c r="E80" s="23"/>
      <c r="F80" s="24"/>
      <c r="G80" s="23"/>
      <c r="H80" s="23"/>
      <c r="I80" s="24"/>
    </row>
    <row r="81" spans="1:9" ht="13.9">
      <c r="A81" s="23"/>
      <c r="B81" s="23"/>
      <c r="C81" s="23"/>
      <c r="D81" s="23"/>
      <c r="E81" s="23"/>
      <c r="F81" s="24"/>
      <c r="G81" s="23"/>
      <c r="H81" s="23"/>
      <c r="I81" s="24"/>
    </row>
    <row r="82" spans="1:9" ht="13.9">
      <c r="A82" s="23"/>
      <c r="B82" s="23"/>
      <c r="C82" s="23"/>
      <c r="D82" s="23"/>
      <c r="E82" s="23"/>
      <c r="F82" s="24"/>
      <c r="G82" s="23"/>
      <c r="H82" s="23"/>
      <c r="I82" s="24"/>
    </row>
    <row r="83" spans="1:9" ht="13.9">
      <c r="A83" s="23"/>
      <c r="B83" s="23"/>
      <c r="C83" s="23"/>
      <c r="D83" s="23"/>
      <c r="E83" s="23"/>
      <c r="F83" s="24"/>
      <c r="G83" s="23"/>
      <c r="H83" s="23"/>
      <c r="I83" s="24"/>
    </row>
    <row r="84" spans="1:9" ht="13.9">
      <c r="A84" s="23"/>
      <c r="B84" s="23"/>
      <c r="C84" s="23"/>
      <c r="D84" s="23"/>
      <c r="E84" s="23"/>
      <c r="F84" s="24"/>
      <c r="G84" s="23"/>
      <c r="H84" s="23"/>
      <c r="I84" s="24"/>
    </row>
    <row r="85" spans="1:9" ht="13.9">
      <c r="A85" s="23"/>
      <c r="B85" s="23"/>
      <c r="C85" s="23"/>
      <c r="D85" s="23"/>
      <c r="E85" s="23"/>
      <c r="F85" s="24"/>
      <c r="G85" s="23"/>
      <c r="H85" s="23"/>
      <c r="I85" s="24"/>
    </row>
    <row r="86" spans="1:9" ht="13.9">
      <c r="A86" s="23"/>
      <c r="B86" s="23"/>
      <c r="C86" s="23"/>
      <c r="D86" s="23"/>
      <c r="E86" s="23"/>
      <c r="F86" s="24"/>
      <c r="G86" s="23"/>
      <c r="H86" s="23"/>
      <c r="I86" s="24"/>
    </row>
    <row r="87" spans="1:9" ht="13.9">
      <c r="A87" s="23"/>
      <c r="B87" s="23"/>
      <c r="C87" s="23"/>
      <c r="D87" s="23"/>
      <c r="E87" s="23"/>
      <c r="F87" s="24"/>
      <c r="G87" s="23"/>
      <c r="H87" s="23"/>
      <c r="I87" s="24"/>
    </row>
    <row r="88" spans="1:9" ht="13.9">
      <c r="A88" s="23"/>
      <c r="B88" s="23"/>
      <c r="C88" s="23"/>
      <c r="D88" s="23"/>
      <c r="E88" s="23"/>
      <c r="F88" s="24"/>
      <c r="G88" s="23"/>
      <c r="H88" s="23"/>
      <c r="I88" s="24"/>
    </row>
    <row r="89" spans="1:9" ht="13.9">
      <c r="A89" s="23"/>
      <c r="B89" s="23"/>
      <c r="C89" s="23"/>
      <c r="D89" s="23"/>
      <c r="E89" s="23"/>
      <c r="F89" s="24"/>
      <c r="G89" s="23"/>
      <c r="H89" s="23"/>
      <c r="I89" s="24"/>
    </row>
    <row r="90" spans="1:9" ht="13.9">
      <c r="A90" s="23"/>
      <c r="B90" s="23"/>
      <c r="C90" s="23"/>
      <c r="D90" s="23"/>
      <c r="E90" s="23"/>
      <c r="F90" s="24"/>
      <c r="G90" s="23"/>
      <c r="H90" s="23"/>
      <c r="I90" s="24"/>
    </row>
    <row r="91" spans="1:9" ht="13.9">
      <c r="A91" s="23"/>
      <c r="B91" s="23"/>
      <c r="C91" s="23"/>
      <c r="D91" s="23"/>
      <c r="E91" s="23"/>
      <c r="F91" s="24"/>
      <c r="G91" s="23"/>
      <c r="H91" s="23"/>
      <c r="I91" s="24"/>
    </row>
    <row r="92" spans="1:9" ht="13.9">
      <c r="A92" s="23"/>
      <c r="B92" s="23"/>
      <c r="C92" s="23"/>
      <c r="D92" s="23"/>
      <c r="E92" s="23"/>
      <c r="F92" s="24"/>
      <c r="G92" s="23"/>
      <c r="H92" s="23"/>
      <c r="I92" s="24"/>
    </row>
    <row r="93" spans="1:9" ht="13.9">
      <c r="A93" s="23"/>
      <c r="B93" s="23"/>
      <c r="C93" s="23"/>
      <c r="D93" s="23"/>
      <c r="E93" s="23"/>
      <c r="F93" s="24"/>
      <c r="G93" s="23"/>
      <c r="H93" s="23"/>
      <c r="I93" s="24"/>
    </row>
    <row r="94" spans="1:9" ht="13.9">
      <c r="A94" s="23"/>
      <c r="B94" s="23"/>
      <c r="C94" s="23"/>
      <c r="D94" s="23"/>
      <c r="E94" s="23"/>
      <c r="F94" s="24"/>
      <c r="G94" s="23"/>
      <c r="H94" s="23"/>
      <c r="I94" s="24"/>
    </row>
    <row r="95" spans="1:9" ht="13.9">
      <c r="A95" s="23"/>
      <c r="B95" s="23"/>
      <c r="C95" s="23"/>
      <c r="D95" s="23"/>
      <c r="E95" s="23"/>
      <c r="F95" s="24"/>
      <c r="G95" s="23"/>
      <c r="H95" s="23"/>
      <c r="I95" s="24"/>
    </row>
    <row r="96" spans="1:9" ht="13.9">
      <c r="A96" s="23"/>
      <c r="B96" s="23"/>
      <c r="C96" s="23"/>
      <c r="D96" s="23"/>
      <c r="E96" s="23"/>
      <c r="F96" s="24"/>
      <c r="G96" s="23"/>
      <c r="H96" s="23"/>
      <c r="I96" s="24"/>
    </row>
    <row r="97" spans="1:9" ht="13.9">
      <c r="A97" s="23"/>
      <c r="B97" s="23"/>
      <c r="C97" s="23"/>
      <c r="D97" s="23"/>
      <c r="E97" s="23"/>
      <c r="F97" s="24"/>
      <c r="G97" s="23"/>
      <c r="H97" s="23"/>
      <c r="I97" s="24"/>
    </row>
    <row r="98" spans="1:9" ht="13.9">
      <c r="A98" s="23"/>
      <c r="B98" s="23"/>
      <c r="C98" s="23"/>
      <c r="D98" s="23"/>
      <c r="E98" s="23"/>
      <c r="F98" s="24"/>
      <c r="G98" s="23"/>
      <c r="H98" s="23"/>
      <c r="I98" s="24"/>
    </row>
    <row r="99" spans="1:9" ht="13.9">
      <c r="A99" s="23"/>
      <c r="B99" s="23"/>
      <c r="C99" s="23"/>
      <c r="D99" s="23"/>
      <c r="E99" s="23"/>
      <c r="F99" s="24"/>
      <c r="G99" s="23"/>
      <c r="H99" s="23"/>
      <c r="I99" s="24"/>
    </row>
    <row r="100" spans="1:9" ht="13.9">
      <c r="A100" s="23"/>
      <c r="B100" s="23"/>
      <c r="C100" s="23"/>
      <c r="D100" s="23"/>
      <c r="E100" s="23"/>
      <c r="F100" s="24"/>
      <c r="G100" s="23"/>
      <c r="H100" s="23"/>
      <c r="I100" s="24"/>
    </row>
    <row r="101" spans="1:9" ht="13.9">
      <c r="A101" s="23"/>
      <c r="B101" s="23"/>
      <c r="C101" s="23"/>
      <c r="D101" s="23"/>
      <c r="E101" s="23"/>
      <c r="F101" s="24"/>
      <c r="G101" s="23"/>
      <c r="H101" s="23"/>
      <c r="I101" s="24"/>
    </row>
    <row r="102" spans="1:9" ht="13.9">
      <c r="A102" s="23"/>
      <c r="B102" s="23"/>
      <c r="C102" s="23"/>
      <c r="D102" s="23"/>
      <c r="E102" s="23"/>
      <c r="F102" s="24"/>
      <c r="G102" s="23"/>
      <c r="H102" s="23"/>
      <c r="I102" s="24"/>
    </row>
    <row r="103" spans="1:9" ht="13.9">
      <c r="A103" s="23"/>
      <c r="B103" s="23"/>
      <c r="C103" s="23"/>
      <c r="D103" s="23"/>
      <c r="E103" s="23"/>
      <c r="F103" s="24"/>
      <c r="G103" s="23"/>
      <c r="H103" s="23"/>
      <c r="I103" s="24"/>
    </row>
    <row r="104" spans="1:9" ht="13.9">
      <c r="A104" s="23"/>
      <c r="B104" s="23"/>
      <c r="C104" s="23"/>
      <c r="D104" s="23"/>
      <c r="E104" s="23"/>
      <c r="F104" s="24"/>
      <c r="G104" s="23"/>
      <c r="H104" s="23"/>
      <c r="I104" s="24"/>
    </row>
    <row r="105" spans="1:9" ht="13.9">
      <c r="A105" s="23"/>
      <c r="B105" s="23"/>
      <c r="C105" s="23"/>
      <c r="D105" s="23"/>
      <c r="E105" s="23"/>
      <c r="F105" s="24"/>
      <c r="G105" s="23"/>
      <c r="H105" s="23"/>
      <c r="I105" s="24"/>
    </row>
    <row r="106" spans="1:9" ht="13.9">
      <c r="A106" s="23"/>
      <c r="B106" s="23"/>
      <c r="C106" s="23"/>
      <c r="D106" s="23"/>
      <c r="E106" s="23"/>
      <c r="F106" s="24"/>
      <c r="G106" s="23"/>
      <c r="H106" s="23"/>
      <c r="I106" s="24"/>
    </row>
    <row r="107" spans="1:9" ht="13.9">
      <c r="A107" s="23"/>
      <c r="B107" s="23"/>
      <c r="C107" s="23"/>
      <c r="D107" s="23"/>
      <c r="E107" s="23"/>
      <c r="F107" s="24"/>
      <c r="G107" s="23"/>
      <c r="H107" s="23"/>
      <c r="I107" s="24"/>
    </row>
    <row r="108" spans="1:9" ht="13.9">
      <c r="A108" s="23"/>
      <c r="B108" s="23"/>
      <c r="C108" s="23"/>
      <c r="D108" s="23"/>
      <c r="E108" s="23"/>
      <c r="F108" s="24"/>
      <c r="G108" s="23"/>
      <c r="H108" s="23"/>
      <c r="I108" s="24"/>
    </row>
    <row r="109" spans="1:9" ht="13.9">
      <c r="A109" s="23"/>
      <c r="B109" s="23"/>
      <c r="C109" s="23"/>
      <c r="D109" s="23"/>
      <c r="E109" s="23"/>
      <c r="F109" s="24"/>
      <c r="G109" s="23"/>
      <c r="H109" s="23"/>
      <c r="I109" s="24"/>
    </row>
    <row r="110" spans="1:9" ht="13.9">
      <c r="A110" s="23"/>
      <c r="B110" s="23"/>
      <c r="C110" s="23"/>
      <c r="D110" s="23"/>
      <c r="E110" s="23"/>
      <c r="F110" s="24"/>
      <c r="G110" s="23"/>
      <c r="H110" s="23"/>
      <c r="I110" s="24"/>
    </row>
    <row r="111" spans="1:9" ht="13.9">
      <c r="A111" s="23"/>
      <c r="B111" s="23"/>
      <c r="C111" s="23"/>
      <c r="D111" s="23"/>
      <c r="E111" s="23"/>
      <c r="F111" s="24"/>
      <c r="G111" s="23"/>
      <c r="H111" s="23"/>
      <c r="I111" s="24"/>
    </row>
    <row r="112" spans="1:9" ht="13.9">
      <c r="A112" s="23"/>
      <c r="B112" s="23"/>
      <c r="C112" s="23"/>
      <c r="D112" s="23"/>
      <c r="E112" s="23"/>
      <c r="F112" s="24"/>
      <c r="G112" s="23"/>
      <c r="H112" s="23"/>
      <c r="I112" s="24"/>
    </row>
    <row r="113" spans="1:9" ht="13.9">
      <c r="A113" s="23"/>
      <c r="B113" s="23"/>
      <c r="C113" s="23"/>
      <c r="D113" s="23"/>
      <c r="E113" s="23"/>
      <c r="F113" s="24"/>
      <c r="G113" s="23"/>
      <c r="H113" s="23"/>
      <c r="I113" s="24"/>
    </row>
    <row r="114" spans="1:9" ht="13.9">
      <c r="A114" s="23"/>
      <c r="B114" s="23"/>
      <c r="C114" s="23"/>
      <c r="D114" s="23"/>
      <c r="E114" s="23"/>
      <c r="F114" s="24"/>
      <c r="G114" s="23"/>
      <c r="H114" s="23"/>
      <c r="I114" s="24"/>
    </row>
    <row r="115" spans="1:9" ht="13.9">
      <c r="A115" s="23"/>
      <c r="B115" s="23"/>
      <c r="C115" s="23"/>
      <c r="D115" s="23"/>
      <c r="E115" s="23"/>
      <c r="F115" s="24"/>
      <c r="G115" s="23"/>
      <c r="H115" s="23"/>
      <c r="I115" s="24"/>
    </row>
    <row r="116" spans="1:9" ht="13.9">
      <c r="A116" s="23"/>
      <c r="B116" s="23"/>
      <c r="C116" s="23"/>
      <c r="D116" s="23"/>
      <c r="E116" s="23"/>
      <c r="F116" s="24"/>
      <c r="G116" s="23"/>
      <c r="H116" s="23"/>
      <c r="I116" s="24"/>
    </row>
    <row r="117" spans="1:9" ht="13.9">
      <c r="A117" s="23"/>
      <c r="B117" s="23"/>
      <c r="C117" s="23"/>
      <c r="D117" s="23"/>
      <c r="E117" s="23"/>
      <c r="F117" s="24"/>
      <c r="G117" s="23"/>
      <c r="H117" s="23"/>
      <c r="I117" s="24"/>
    </row>
    <row r="118" spans="1:9" ht="13.9">
      <c r="A118" s="23"/>
      <c r="B118" s="23"/>
      <c r="C118" s="23"/>
      <c r="D118" s="23"/>
      <c r="E118" s="23"/>
      <c r="F118" s="24"/>
      <c r="G118" s="23"/>
      <c r="H118" s="23"/>
      <c r="I118" s="24"/>
    </row>
    <row r="119" spans="1:9" ht="13.9">
      <c r="A119" s="23"/>
      <c r="B119" s="23"/>
      <c r="C119" s="23"/>
      <c r="D119" s="23"/>
      <c r="E119" s="23"/>
      <c r="F119" s="24"/>
      <c r="G119" s="23"/>
      <c r="H119" s="23"/>
      <c r="I119" s="24"/>
    </row>
    <row r="120" spans="1:9" ht="13.9">
      <c r="A120" s="23"/>
      <c r="B120" s="23"/>
      <c r="C120" s="23"/>
      <c r="D120" s="23"/>
      <c r="E120" s="23"/>
      <c r="F120" s="24"/>
      <c r="G120" s="23"/>
      <c r="H120" s="23"/>
      <c r="I120" s="24"/>
    </row>
    <row r="121" spans="1:9" ht="13.9">
      <c r="A121" s="23"/>
      <c r="B121" s="23"/>
      <c r="C121" s="23"/>
      <c r="D121" s="23"/>
      <c r="E121" s="23"/>
      <c r="F121" s="24"/>
      <c r="G121" s="23"/>
      <c r="H121" s="23"/>
      <c r="I121" s="24"/>
    </row>
    <row r="122" spans="1:9" ht="13.9">
      <c r="A122" s="23"/>
      <c r="B122" s="23"/>
      <c r="C122" s="23"/>
      <c r="D122" s="23"/>
      <c r="E122" s="23"/>
      <c r="F122" s="24"/>
      <c r="G122" s="23"/>
      <c r="H122" s="23"/>
      <c r="I122" s="24"/>
    </row>
    <row r="123" spans="1:9" ht="13.9">
      <c r="A123" s="23"/>
      <c r="B123" s="23"/>
      <c r="C123" s="23"/>
      <c r="D123" s="23"/>
      <c r="E123" s="23"/>
      <c r="F123" s="24"/>
      <c r="G123" s="23"/>
      <c r="H123" s="23"/>
      <c r="I123" s="24"/>
    </row>
    <row r="124" spans="1:9" ht="13.9">
      <c r="A124" s="23"/>
      <c r="B124" s="23"/>
      <c r="C124" s="23"/>
      <c r="D124" s="23"/>
      <c r="E124" s="23"/>
      <c r="F124" s="24"/>
      <c r="G124" s="23"/>
      <c r="H124" s="23"/>
      <c r="I124" s="24"/>
    </row>
    <row r="125" spans="1:9" ht="13.9">
      <c r="A125" s="23"/>
      <c r="B125" s="23"/>
      <c r="C125" s="23"/>
      <c r="D125" s="23"/>
      <c r="E125" s="23"/>
      <c r="F125" s="24"/>
      <c r="G125" s="23"/>
      <c r="H125" s="23"/>
      <c r="I125" s="24"/>
    </row>
    <row r="126" spans="1:9" ht="13.9">
      <c r="A126" s="23"/>
      <c r="B126" s="23"/>
      <c r="C126" s="23"/>
      <c r="D126" s="23"/>
      <c r="E126" s="23"/>
      <c r="F126" s="24"/>
      <c r="G126" s="23"/>
      <c r="H126" s="23"/>
      <c r="I126" s="24"/>
    </row>
    <row r="127" spans="1:9" ht="13.9">
      <c r="A127" s="23"/>
      <c r="B127" s="23"/>
      <c r="C127" s="23"/>
      <c r="D127" s="23"/>
      <c r="E127" s="23"/>
      <c r="F127" s="24"/>
      <c r="G127" s="23"/>
      <c r="H127" s="23"/>
      <c r="I127" s="24"/>
    </row>
    <row r="128" spans="1:9" ht="13.9">
      <c r="A128" s="23"/>
      <c r="B128" s="23"/>
      <c r="C128" s="23"/>
      <c r="D128" s="23"/>
      <c r="E128" s="23"/>
      <c r="F128" s="24"/>
      <c r="G128" s="23"/>
      <c r="H128" s="23"/>
      <c r="I128" s="24"/>
    </row>
    <row r="129" spans="1:9" ht="13.9">
      <c r="A129" s="23"/>
      <c r="B129" s="23"/>
      <c r="C129" s="23"/>
      <c r="D129" s="23"/>
      <c r="E129" s="23"/>
      <c r="F129" s="24"/>
      <c r="G129" s="23"/>
      <c r="H129" s="23"/>
      <c r="I129" s="24"/>
    </row>
    <row r="130" spans="1:9" ht="13.9">
      <c r="A130" s="23"/>
      <c r="B130" s="23"/>
      <c r="C130" s="23"/>
      <c r="D130" s="23"/>
      <c r="E130" s="23"/>
      <c r="F130" s="24"/>
      <c r="G130" s="23"/>
      <c r="H130" s="23"/>
      <c r="I130" s="24"/>
    </row>
    <row r="131" spans="1:9" ht="13.9">
      <c r="A131" s="23"/>
      <c r="B131" s="23"/>
      <c r="C131" s="23"/>
      <c r="D131" s="23"/>
      <c r="E131" s="23"/>
      <c r="F131" s="24"/>
      <c r="G131" s="23"/>
      <c r="H131" s="23"/>
      <c r="I131" s="24"/>
    </row>
    <row r="132" spans="1:9" ht="13.9">
      <c r="A132" s="23"/>
      <c r="B132" s="23"/>
      <c r="C132" s="23"/>
      <c r="D132" s="23"/>
      <c r="E132" s="23"/>
      <c r="F132" s="24"/>
      <c r="G132" s="23"/>
      <c r="H132" s="23"/>
      <c r="I132" s="24"/>
    </row>
    <row r="133" spans="1:9" ht="13.9">
      <c r="A133" s="23"/>
      <c r="B133" s="23"/>
      <c r="C133" s="23"/>
      <c r="D133" s="23"/>
      <c r="E133" s="23"/>
      <c r="F133" s="24"/>
      <c r="G133" s="23"/>
      <c r="H133" s="23"/>
      <c r="I133" s="24"/>
    </row>
    <row r="134" spans="1:9" ht="13.9">
      <c r="A134" s="23"/>
      <c r="B134" s="23"/>
      <c r="C134" s="23"/>
      <c r="D134" s="23"/>
      <c r="E134" s="23"/>
      <c r="F134" s="24"/>
      <c r="G134" s="23"/>
      <c r="H134" s="23"/>
      <c r="I134" s="24"/>
    </row>
    <row r="135" spans="1:9" ht="13.9">
      <c r="A135" s="23"/>
      <c r="B135" s="23"/>
      <c r="C135" s="23"/>
      <c r="D135" s="23"/>
      <c r="E135" s="23"/>
      <c r="F135" s="24"/>
      <c r="G135" s="23"/>
      <c r="H135" s="23"/>
      <c r="I135" s="24"/>
    </row>
    <row r="136" spans="1:9" ht="13.9">
      <c r="A136" s="23"/>
      <c r="B136" s="23"/>
      <c r="C136" s="23"/>
      <c r="D136" s="23"/>
      <c r="E136" s="23"/>
      <c r="F136" s="24"/>
      <c r="G136" s="23"/>
      <c r="H136" s="23"/>
      <c r="I136" s="24"/>
    </row>
    <row r="137" spans="1:9" ht="13.9">
      <c r="A137" s="23"/>
      <c r="B137" s="23"/>
      <c r="C137" s="23"/>
      <c r="D137" s="23"/>
      <c r="E137" s="23"/>
      <c r="F137" s="24"/>
      <c r="G137" s="23"/>
      <c r="H137" s="23"/>
      <c r="I137" s="24"/>
    </row>
    <row r="138" spans="1:9" ht="13.9">
      <c r="A138" s="23"/>
      <c r="B138" s="23"/>
      <c r="C138" s="23"/>
      <c r="D138" s="23"/>
      <c r="E138" s="23"/>
      <c r="F138" s="24"/>
      <c r="G138" s="23"/>
      <c r="H138" s="23"/>
      <c r="I138" s="24"/>
    </row>
    <row r="139" spans="1:9" ht="13.9">
      <c r="A139" s="23"/>
      <c r="B139" s="23"/>
      <c r="C139" s="23"/>
      <c r="D139" s="23"/>
      <c r="E139" s="23"/>
      <c r="F139" s="24"/>
      <c r="G139" s="23"/>
      <c r="H139" s="23"/>
      <c r="I139" s="24"/>
    </row>
    <row r="140" spans="1:9" ht="13.9">
      <c r="A140" s="23"/>
      <c r="B140" s="23"/>
      <c r="C140" s="23"/>
      <c r="D140" s="23"/>
      <c r="E140" s="23"/>
      <c r="F140" s="24"/>
      <c r="G140" s="23"/>
      <c r="H140" s="23"/>
      <c r="I140" s="24"/>
    </row>
    <row r="141" spans="1:9" ht="13.9">
      <c r="A141" s="23"/>
      <c r="B141" s="23"/>
      <c r="C141" s="23"/>
      <c r="D141" s="23"/>
      <c r="E141" s="23"/>
      <c r="F141" s="24"/>
      <c r="G141" s="23"/>
      <c r="H141" s="23"/>
      <c r="I141" s="24"/>
    </row>
    <row r="142" spans="1:9" ht="13.9">
      <c r="A142" s="23"/>
      <c r="B142" s="23"/>
      <c r="C142" s="23"/>
      <c r="D142" s="23"/>
      <c r="E142" s="23"/>
      <c r="F142" s="24"/>
      <c r="G142" s="23"/>
      <c r="H142" s="23"/>
      <c r="I142" s="24"/>
    </row>
    <row r="143" spans="1:9" ht="13.9">
      <c r="A143" s="23"/>
      <c r="B143" s="23"/>
      <c r="C143" s="23"/>
      <c r="D143" s="23"/>
      <c r="E143" s="23"/>
      <c r="F143" s="24"/>
      <c r="G143" s="23"/>
      <c r="H143" s="23"/>
      <c r="I143" s="24"/>
    </row>
    <row r="144" spans="1:9" ht="13.9">
      <c r="A144" s="23"/>
      <c r="B144" s="23"/>
      <c r="C144" s="23"/>
      <c r="D144" s="23"/>
      <c r="E144" s="23"/>
      <c r="F144" s="24"/>
      <c r="G144" s="23"/>
      <c r="H144" s="23"/>
      <c r="I144" s="24"/>
    </row>
    <row r="145" spans="1:9" ht="13.9">
      <c r="A145" s="23"/>
      <c r="B145" s="23"/>
      <c r="C145" s="23"/>
      <c r="D145" s="23"/>
      <c r="E145" s="23"/>
      <c r="F145" s="24"/>
      <c r="G145" s="23"/>
      <c r="H145" s="23"/>
      <c r="I145" s="24"/>
    </row>
    <row r="146" spans="1:9" ht="13.9">
      <c r="A146" s="23"/>
      <c r="B146" s="23"/>
      <c r="C146" s="23"/>
      <c r="D146" s="23"/>
      <c r="E146" s="23"/>
      <c r="F146" s="24"/>
      <c r="G146" s="23"/>
      <c r="H146" s="23"/>
      <c r="I146" s="24"/>
    </row>
    <row r="147" spans="1:9" ht="13.9">
      <c r="A147" s="23"/>
      <c r="B147" s="23"/>
      <c r="C147" s="23"/>
      <c r="D147" s="23"/>
      <c r="E147" s="23"/>
      <c r="F147" s="24"/>
      <c r="G147" s="23"/>
      <c r="H147" s="23"/>
      <c r="I147" s="24"/>
    </row>
    <row r="148" spans="1:9" ht="13.9">
      <c r="A148" s="23"/>
      <c r="B148" s="23"/>
      <c r="C148" s="23"/>
      <c r="D148" s="23"/>
      <c r="E148" s="23"/>
      <c r="F148" s="24"/>
      <c r="G148" s="23"/>
      <c r="H148" s="23"/>
      <c r="I148" s="24"/>
    </row>
    <row r="149" spans="1:9" ht="13.9">
      <c r="A149" s="23"/>
      <c r="B149" s="23"/>
      <c r="C149" s="23"/>
      <c r="D149" s="23"/>
      <c r="E149" s="23"/>
      <c r="F149" s="24"/>
      <c r="G149" s="23"/>
      <c r="H149" s="23"/>
      <c r="I149" s="24"/>
    </row>
    <row r="150" spans="1:9" ht="13.9">
      <c r="A150" s="23"/>
      <c r="B150" s="23"/>
      <c r="C150" s="23"/>
      <c r="D150" s="23"/>
      <c r="E150" s="23"/>
      <c r="F150" s="24"/>
      <c r="G150" s="23"/>
      <c r="H150" s="23"/>
      <c r="I150" s="24"/>
    </row>
    <row r="151" spans="1:9" ht="13.9">
      <c r="A151" s="23"/>
      <c r="B151" s="23"/>
      <c r="C151" s="23"/>
      <c r="D151" s="23"/>
      <c r="E151" s="23"/>
      <c r="F151" s="24"/>
      <c r="G151" s="23"/>
      <c r="H151" s="23"/>
      <c r="I151" s="24"/>
    </row>
    <row r="152" spans="1:9" ht="13.9">
      <c r="A152" s="23"/>
      <c r="B152" s="23"/>
      <c r="C152" s="23"/>
      <c r="D152" s="23"/>
      <c r="E152" s="23"/>
      <c r="F152" s="24"/>
      <c r="G152" s="23"/>
      <c r="H152" s="23"/>
      <c r="I152" s="24"/>
    </row>
    <row r="153" spans="1:9" ht="13.9">
      <c r="A153" s="23"/>
      <c r="B153" s="23"/>
      <c r="C153" s="23"/>
      <c r="D153" s="23"/>
      <c r="E153" s="23"/>
      <c r="F153" s="24"/>
      <c r="G153" s="23"/>
      <c r="H153" s="23"/>
      <c r="I153" s="24"/>
    </row>
    <row r="154" spans="1:9" ht="13.9">
      <c r="A154" s="23"/>
      <c r="B154" s="23"/>
      <c r="C154" s="23"/>
      <c r="D154" s="23"/>
      <c r="E154" s="23"/>
      <c r="F154" s="24"/>
      <c r="G154" s="23"/>
      <c r="H154" s="23"/>
      <c r="I154" s="24"/>
    </row>
    <row r="155" spans="1:9" ht="13.9">
      <c r="A155" s="23"/>
      <c r="B155" s="23"/>
      <c r="C155" s="23"/>
      <c r="D155" s="23"/>
      <c r="E155" s="23"/>
      <c r="F155" s="24"/>
      <c r="G155" s="23"/>
      <c r="H155" s="23"/>
      <c r="I155" s="24"/>
    </row>
    <row r="156" spans="1:9" ht="13.9">
      <c r="A156" s="23"/>
      <c r="B156" s="23"/>
      <c r="C156" s="23"/>
      <c r="D156" s="23"/>
      <c r="E156" s="23"/>
      <c r="F156" s="24"/>
      <c r="G156" s="23"/>
      <c r="H156" s="23"/>
      <c r="I156" s="24"/>
    </row>
    <row r="157" spans="1:9" ht="13.9">
      <c r="A157" s="23"/>
      <c r="B157" s="23"/>
      <c r="C157" s="23"/>
      <c r="D157" s="23"/>
      <c r="E157" s="23"/>
      <c r="F157" s="24"/>
      <c r="G157" s="23"/>
      <c r="H157" s="23"/>
      <c r="I157" s="24"/>
    </row>
    <row r="158" spans="1:9" ht="13.9">
      <c r="A158" s="23"/>
      <c r="B158" s="23"/>
      <c r="C158" s="23"/>
      <c r="D158" s="23"/>
      <c r="E158" s="23"/>
      <c r="F158" s="24"/>
      <c r="G158" s="23"/>
      <c r="H158" s="23"/>
      <c r="I158" s="24"/>
    </row>
    <row r="159" spans="1:9" ht="13.9">
      <c r="A159" s="23"/>
      <c r="B159" s="23"/>
      <c r="C159" s="23"/>
      <c r="D159" s="23"/>
      <c r="E159" s="23"/>
      <c r="F159" s="24"/>
      <c r="G159" s="23"/>
      <c r="H159" s="23"/>
      <c r="I159" s="24"/>
    </row>
    <row r="160" spans="1:9" ht="13.9">
      <c r="A160" s="23"/>
      <c r="B160" s="23"/>
      <c r="C160" s="23"/>
      <c r="D160" s="23"/>
      <c r="E160" s="23"/>
      <c r="F160" s="24"/>
      <c r="G160" s="23"/>
      <c r="H160" s="23"/>
      <c r="I160" s="24"/>
    </row>
    <row r="161" spans="1:9" ht="13.9">
      <c r="A161" s="23"/>
      <c r="B161" s="23"/>
      <c r="C161" s="23"/>
      <c r="D161" s="23"/>
      <c r="E161" s="23"/>
      <c r="F161" s="24"/>
      <c r="G161" s="23"/>
      <c r="H161" s="23"/>
      <c r="I161" s="24"/>
    </row>
    <row r="162" spans="1:9" ht="13.9">
      <c r="A162" s="23"/>
      <c r="B162" s="23"/>
      <c r="C162" s="23"/>
      <c r="D162" s="23"/>
      <c r="E162" s="23"/>
      <c r="F162" s="24"/>
      <c r="G162" s="23"/>
      <c r="H162" s="23"/>
      <c r="I162" s="24"/>
    </row>
    <row r="163" spans="1:9" ht="13.9">
      <c r="A163" s="23"/>
      <c r="B163" s="23"/>
      <c r="C163" s="23"/>
      <c r="D163" s="23"/>
      <c r="E163" s="23"/>
      <c r="F163" s="24"/>
      <c r="G163" s="23"/>
      <c r="H163" s="23"/>
      <c r="I163" s="24"/>
    </row>
    <row r="164" spans="1:9" ht="13.9">
      <c r="A164" s="23"/>
      <c r="B164" s="23"/>
      <c r="C164" s="23"/>
      <c r="D164" s="23"/>
      <c r="E164" s="23"/>
      <c r="F164" s="24"/>
      <c r="G164" s="23"/>
      <c r="H164" s="23"/>
      <c r="I164" s="24"/>
    </row>
    <row r="165" spans="1:9" ht="13.9">
      <c r="A165" s="23"/>
      <c r="B165" s="23"/>
      <c r="C165" s="23"/>
      <c r="D165" s="23"/>
      <c r="E165" s="23"/>
      <c r="F165" s="24"/>
      <c r="G165" s="23"/>
      <c r="H165" s="23"/>
      <c r="I165" s="24"/>
    </row>
    <row r="166" spans="1:9" ht="13.9">
      <c r="A166" s="23"/>
      <c r="B166" s="23"/>
      <c r="C166" s="23"/>
      <c r="D166" s="23"/>
      <c r="E166" s="23"/>
      <c r="F166" s="24"/>
      <c r="G166" s="23"/>
      <c r="H166" s="23"/>
      <c r="I166" s="24"/>
    </row>
    <row r="167" spans="1:9" ht="13.9">
      <c r="A167" s="23"/>
      <c r="B167" s="23"/>
      <c r="C167" s="23"/>
      <c r="D167" s="23"/>
      <c r="E167" s="23"/>
      <c r="F167" s="24"/>
      <c r="G167" s="23"/>
      <c r="H167" s="23"/>
      <c r="I167" s="24"/>
    </row>
    <row r="168" spans="1:9" ht="13.9">
      <c r="A168" s="23"/>
      <c r="B168" s="23"/>
      <c r="C168" s="23"/>
      <c r="D168" s="23"/>
      <c r="E168" s="23"/>
      <c r="F168" s="24"/>
      <c r="G168" s="23"/>
      <c r="H168" s="23"/>
      <c r="I168" s="24"/>
    </row>
    <row r="169" spans="1:9" ht="13.9">
      <c r="A169" s="23"/>
      <c r="B169" s="23"/>
      <c r="C169" s="23"/>
      <c r="D169" s="23"/>
      <c r="E169" s="23"/>
      <c r="F169" s="24"/>
      <c r="G169" s="23"/>
      <c r="H169" s="23"/>
      <c r="I169" s="24"/>
    </row>
    <row r="170" spans="1:9" ht="13.9">
      <c r="A170" s="23"/>
      <c r="B170" s="23"/>
      <c r="C170" s="23"/>
      <c r="D170" s="23"/>
      <c r="E170" s="23"/>
      <c r="F170" s="24"/>
      <c r="G170" s="23"/>
      <c r="H170" s="23"/>
      <c r="I170" s="24"/>
    </row>
    <row r="171" spans="1:9" ht="13.9">
      <c r="A171" s="23"/>
      <c r="B171" s="23"/>
      <c r="C171" s="23"/>
      <c r="D171" s="23"/>
      <c r="E171" s="23"/>
      <c r="F171" s="24"/>
      <c r="G171" s="23"/>
      <c r="H171" s="23"/>
      <c r="I171" s="24"/>
    </row>
    <row r="172" spans="1:9" ht="13.9">
      <c r="A172" s="23"/>
      <c r="B172" s="23"/>
      <c r="C172" s="23"/>
      <c r="D172" s="23"/>
      <c r="E172" s="23"/>
      <c r="F172" s="24"/>
      <c r="G172" s="23"/>
      <c r="H172" s="23"/>
      <c r="I172" s="24"/>
    </row>
    <row r="173" spans="1:9" ht="13.9">
      <c r="A173" s="23"/>
      <c r="B173" s="23"/>
      <c r="C173" s="23"/>
      <c r="D173" s="23"/>
      <c r="E173" s="23"/>
      <c r="F173" s="24"/>
      <c r="G173" s="23"/>
      <c r="H173" s="23"/>
      <c r="I173" s="24"/>
    </row>
    <row r="174" spans="1:9" ht="13.9">
      <c r="A174" s="23"/>
      <c r="B174" s="23"/>
      <c r="C174" s="23"/>
      <c r="D174" s="23"/>
      <c r="E174" s="23"/>
      <c r="F174" s="24"/>
      <c r="G174" s="23"/>
      <c r="H174" s="23"/>
      <c r="I174" s="24"/>
    </row>
    <row r="175" spans="1:9" ht="13.9">
      <c r="A175" s="23"/>
      <c r="B175" s="23"/>
      <c r="C175" s="23"/>
      <c r="D175" s="23"/>
      <c r="E175" s="23"/>
      <c r="F175" s="24"/>
      <c r="G175" s="23"/>
      <c r="H175" s="23"/>
      <c r="I175" s="24"/>
    </row>
    <row r="176" spans="1:9" ht="13.9">
      <c r="A176" s="23"/>
      <c r="B176" s="23"/>
      <c r="C176" s="23"/>
      <c r="D176" s="23"/>
      <c r="E176" s="23"/>
      <c r="F176" s="24"/>
      <c r="G176" s="23"/>
      <c r="H176" s="23"/>
      <c r="I176" s="24"/>
    </row>
    <row r="177" spans="1:9" ht="13.9">
      <c r="A177" s="23"/>
      <c r="B177" s="23"/>
      <c r="C177" s="23"/>
      <c r="D177" s="23"/>
      <c r="E177" s="23"/>
      <c r="F177" s="24"/>
      <c r="G177" s="23"/>
      <c r="H177" s="23"/>
      <c r="I177" s="24"/>
    </row>
    <row r="178" spans="1:9" ht="13.9">
      <c r="A178" s="23"/>
      <c r="B178" s="23"/>
      <c r="C178" s="23"/>
      <c r="D178" s="23"/>
      <c r="E178" s="23"/>
      <c r="F178" s="24"/>
      <c r="G178" s="23"/>
      <c r="H178" s="23"/>
      <c r="I178" s="24"/>
    </row>
    <row r="179" spans="1:9" ht="13.9">
      <c r="A179" s="23"/>
      <c r="B179" s="23"/>
      <c r="C179" s="23"/>
      <c r="D179" s="23"/>
      <c r="E179" s="23"/>
      <c r="F179" s="24"/>
      <c r="G179" s="23"/>
      <c r="H179" s="23"/>
      <c r="I179" s="24"/>
    </row>
    <row r="180" spans="1:9" ht="13.9">
      <c r="A180" s="23"/>
      <c r="B180" s="23"/>
      <c r="C180" s="23"/>
      <c r="D180" s="23"/>
      <c r="E180" s="23"/>
      <c r="F180" s="24"/>
      <c r="G180" s="23"/>
      <c r="H180" s="23"/>
      <c r="I180" s="24"/>
    </row>
    <row r="181" spans="1:9" ht="13.9">
      <c r="A181" s="23"/>
      <c r="B181" s="23"/>
      <c r="C181" s="23"/>
      <c r="D181" s="23"/>
      <c r="E181" s="23"/>
      <c r="F181" s="24"/>
      <c r="G181" s="23"/>
      <c r="H181" s="23"/>
      <c r="I181" s="24"/>
    </row>
    <row r="182" spans="1:9" ht="13.9">
      <c r="A182" s="23"/>
      <c r="B182" s="23"/>
      <c r="C182" s="23"/>
      <c r="D182" s="23"/>
      <c r="E182" s="23"/>
      <c r="F182" s="24"/>
      <c r="G182" s="23"/>
      <c r="H182" s="23"/>
      <c r="I182" s="24"/>
    </row>
    <row r="183" spans="1:9" ht="13.9">
      <c r="A183" s="23"/>
      <c r="B183" s="23"/>
      <c r="C183" s="23"/>
      <c r="D183" s="23"/>
      <c r="E183" s="23"/>
      <c r="F183" s="24"/>
      <c r="G183" s="23"/>
      <c r="H183" s="23"/>
      <c r="I183" s="24"/>
    </row>
    <row r="184" spans="1:9" ht="13.9">
      <c r="A184" s="23"/>
      <c r="B184" s="23"/>
      <c r="C184" s="23"/>
      <c r="D184" s="23"/>
      <c r="E184" s="23"/>
      <c r="F184" s="24"/>
      <c r="G184" s="23"/>
      <c r="H184" s="23"/>
      <c r="I184" s="24"/>
    </row>
    <row r="185" spans="1:9" ht="13.9">
      <c r="A185" s="23"/>
      <c r="B185" s="23"/>
      <c r="C185" s="23"/>
      <c r="D185" s="23"/>
      <c r="E185" s="23"/>
      <c r="F185" s="24"/>
      <c r="G185" s="23"/>
      <c r="H185" s="23"/>
      <c r="I185" s="24"/>
    </row>
    <row r="186" spans="1:9" ht="13.9">
      <c r="A186" s="23"/>
      <c r="B186" s="23"/>
      <c r="C186" s="23"/>
      <c r="D186" s="23"/>
      <c r="E186" s="23"/>
      <c r="F186" s="24"/>
      <c r="G186" s="23"/>
      <c r="H186" s="23"/>
      <c r="I186" s="24"/>
    </row>
    <row r="187" spans="1:9" ht="13.9">
      <c r="A187" s="23"/>
      <c r="B187" s="23"/>
      <c r="C187" s="23"/>
      <c r="D187" s="23"/>
      <c r="E187" s="23"/>
      <c r="F187" s="24"/>
      <c r="G187" s="23"/>
      <c r="H187" s="23"/>
      <c r="I187" s="24"/>
    </row>
    <row r="188" spans="1:9" ht="13.9">
      <c r="A188" s="23"/>
      <c r="B188" s="23"/>
      <c r="C188" s="23"/>
      <c r="D188" s="23"/>
      <c r="E188" s="23"/>
      <c r="F188" s="24"/>
      <c r="G188" s="23"/>
      <c r="H188" s="23"/>
      <c r="I188" s="24"/>
    </row>
    <row r="189" spans="1:9" ht="13.9">
      <c r="A189" s="23"/>
      <c r="B189" s="23"/>
      <c r="C189" s="23"/>
      <c r="D189" s="23"/>
      <c r="E189" s="23"/>
      <c r="F189" s="24"/>
      <c r="G189" s="23"/>
      <c r="H189" s="23"/>
      <c r="I189" s="24"/>
    </row>
    <row r="190" spans="1:9" ht="13.9">
      <c r="A190" s="23"/>
      <c r="B190" s="23"/>
      <c r="C190" s="23"/>
      <c r="D190" s="23"/>
      <c r="E190" s="23"/>
      <c r="F190" s="24"/>
      <c r="G190" s="23"/>
      <c r="H190" s="23"/>
      <c r="I190" s="24"/>
    </row>
    <row r="191" spans="1:9" ht="13.9">
      <c r="A191" s="23"/>
      <c r="B191" s="23"/>
      <c r="C191" s="23"/>
      <c r="D191" s="23"/>
      <c r="E191" s="23"/>
      <c r="F191" s="24"/>
      <c r="G191" s="23"/>
      <c r="H191" s="23"/>
      <c r="I191" s="24"/>
    </row>
    <row r="192" spans="1:9" ht="13.9">
      <c r="A192" s="23"/>
      <c r="B192" s="23"/>
      <c r="C192" s="23"/>
      <c r="D192" s="23"/>
      <c r="E192" s="23"/>
      <c r="F192" s="24"/>
      <c r="G192" s="23"/>
      <c r="H192" s="23"/>
      <c r="I192" s="24"/>
    </row>
    <row r="193" spans="1:9" ht="13.9">
      <c r="A193" s="23"/>
      <c r="B193" s="23"/>
      <c r="C193" s="23"/>
      <c r="D193" s="23"/>
      <c r="E193" s="23"/>
      <c r="F193" s="24"/>
      <c r="G193" s="23"/>
      <c r="H193" s="23"/>
      <c r="I193" s="24"/>
    </row>
    <row r="194" spans="1:9" ht="13.9">
      <c r="A194" s="23"/>
      <c r="B194" s="23"/>
      <c r="C194" s="23"/>
      <c r="D194" s="23"/>
      <c r="E194" s="23"/>
      <c r="F194" s="24"/>
      <c r="G194" s="23"/>
      <c r="H194" s="23"/>
      <c r="I194" s="24"/>
    </row>
    <row r="195" spans="1:9" ht="13.9">
      <c r="A195" s="23"/>
      <c r="B195" s="23"/>
      <c r="C195" s="23"/>
      <c r="D195" s="23"/>
      <c r="E195" s="23"/>
      <c r="F195" s="24"/>
      <c r="G195" s="23"/>
      <c r="H195" s="23"/>
      <c r="I195" s="24"/>
    </row>
    <row r="196" spans="1:9" ht="13.9">
      <c r="A196" s="23"/>
      <c r="B196" s="23"/>
      <c r="C196" s="23"/>
      <c r="D196" s="23"/>
      <c r="E196" s="23"/>
      <c r="F196" s="24"/>
      <c r="G196" s="23"/>
      <c r="H196" s="23"/>
      <c r="I196" s="24"/>
    </row>
    <row r="197" spans="1:9" ht="13.9">
      <c r="A197" s="23"/>
      <c r="B197" s="23"/>
      <c r="C197" s="23"/>
      <c r="D197" s="23"/>
      <c r="E197" s="23"/>
      <c r="F197" s="24"/>
      <c r="G197" s="23"/>
      <c r="H197" s="23"/>
      <c r="I197" s="24"/>
    </row>
    <row r="198" spans="1:9" ht="13.9">
      <c r="A198" s="23"/>
      <c r="B198" s="23"/>
      <c r="C198" s="23"/>
      <c r="D198" s="23"/>
      <c r="E198" s="23"/>
      <c r="F198" s="24"/>
      <c r="G198" s="23"/>
      <c r="H198" s="23"/>
      <c r="I198" s="24"/>
    </row>
    <row r="199" spans="1:9" ht="13.9">
      <c r="A199" s="23"/>
      <c r="B199" s="23"/>
      <c r="C199" s="23"/>
      <c r="D199" s="23"/>
      <c r="E199" s="23"/>
      <c r="F199" s="24"/>
      <c r="G199" s="23"/>
      <c r="H199" s="23"/>
      <c r="I199" s="24"/>
    </row>
    <row r="200" spans="1:9" ht="13.9">
      <c r="A200" s="23"/>
      <c r="B200" s="23"/>
      <c r="C200" s="23"/>
      <c r="D200" s="23"/>
      <c r="E200" s="23"/>
      <c r="F200" s="24"/>
      <c r="G200" s="23"/>
      <c r="H200" s="23"/>
      <c r="I200" s="24"/>
    </row>
    <row r="201" spans="1:9" ht="13.9">
      <c r="A201" s="23"/>
      <c r="B201" s="23"/>
      <c r="C201" s="23"/>
      <c r="D201" s="23"/>
      <c r="E201" s="23"/>
      <c r="F201" s="24"/>
      <c r="G201" s="23"/>
      <c r="H201" s="23"/>
      <c r="I201" s="24"/>
    </row>
    <row r="202" spans="1:9" ht="13.9">
      <c r="A202" s="23"/>
      <c r="B202" s="23"/>
      <c r="C202" s="23"/>
      <c r="D202" s="23"/>
      <c r="E202" s="23"/>
      <c r="F202" s="24"/>
      <c r="G202" s="23"/>
      <c r="H202" s="23"/>
      <c r="I202" s="24"/>
    </row>
    <row r="203" spans="1:9" ht="13.9">
      <c r="A203" s="23"/>
      <c r="B203" s="23"/>
      <c r="C203" s="23"/>
      <c r="D203" s="23"/>
      <c r="E203" s="23"/>
      <c r="F203" s="24"/>
      <c r="G203" s="23"/>
      <c r="H203" s="23"/>
      <c r="I203" s="24"/>
    </row>
    <row r="204" spans="1:9" ht="13.9">
      <c r="A204" s="23"/>
      <c r="B204" s="23"/>
      <c r="C204" s="23"/>
      <c r="D204" s="23"/>
      <c r="E204" s="23"/>
      <c r="F204" s="24"/>
      <c r="G204" s="23"/>
      <c r="H204" s="23"/>
      <c r="I204" s="24"/>
    </row>
    <row r="205" spans="1:9" ht="13.9">
      <c r="A205" s="23"/>
      <c r="B205" s="23"/>
      <c r="C205" s="23"/>
      <c r="D205" s="23"/>
      <c r="E205" s="23"/>
      <c r="F205" s="24"/>
      <c r="G205" s="23"/>
      <c r="H205" s="23"/>
      <c r="I205" s="24"/>
    </row>
    <row r="206" spans="1:9" ht="13.9">
      <c r="A206" s="23"/>
      <c r="B206" s="23"/>
      <c r="C206" s="23"/>
      <c r="D206" s="23"/>
      <c r="E206" s="23"/>
      <c r="F206" s="24"/>
      <c r="G206" s="23"/>
      <c r="H206" s="23"/>
      <c r="I206" s="24"/>
    </row>
    <row r="207" spans="1:9" ht="13.9">
      <c r="A207" s="23"/>
      <c r="B207" s="23"/>
      <c r="C207" s="23"/>
      <c r="D207" s="23"/>
      <c r="E207" s="23"/>
      <c r="F207" s="24"/>
      <c r="G207" s="23"/>
      <c r="H207" s="23"/>
      <c r="I207" s="24"/>
    </row>
    <row r="208" spans="1:9" ht="13.9">
      <c r="A208" s="23"/>
      <c r="B208" s="23"/>
      <c r="C208" s="23"/>
      <c r="D208" s="23"/>
      <c r="E208" s="23"/>
      <c r="F208" s="24"/>
      <c r="G208" s="23"/>
      <c r="H208" s="23"/>
      <c r="I208" s="24"/>
    </row>
    <row r="209" spans="1:9" ht="13.9">
      <c r="A209" s="23"/>
      <c r="B209" s="23"/>
      <c r="C209" s="23"/>
      <c r="D209" s="23"/>
      <c r="E209" s="23"/>
      <c r="F209" s="24"/>
      <c r="G209" s="23"/>
      <c r="H209" s="23"/>
      <c r="I209" s="24"/>
    </row>
    <row r="210" spans="1:9" ht="13.9">
      <c r="A210" s="23"/>
      <c r="B210" s="23"/>
      <c r="C210" s="23"/>
      <c r="D210" s="23"/>
      <c r="E210" s="23"/>
      <c r="F210" s="24"/>
      <c r="G210" s="23"/>
      <c r="H210" s="23"/>
      <c r="I210" s="24"/>
    </row>
    <row r="211" spans="1:9" ht="13.9">
      <c r="A211" s="23"/>
      <c r="B211" s="23"/>
      <c r="C211" s="23"/>
      <c r="D211" s="23"/>
      <c r="E211" s="23"/>
      <c r="F211" s="24"/>
      <c r="G211" s="23"/>
      <c r="H211" s="23"/>
      <c r="I211" s="24"/>
    </row>
    <row r="212" spans="1:9" ht="13.9">
      <c r="A212" s="23"/>
      <c r="B212" s="23"/>
      <c r="C212" s="23"/>
      <c r="D212" s="23"/>
      <c r="E212" s="23"/>
      <c r="F212" s="24"/>
      <c r="G212" s="23"/>
      <c r="H212" s="23"/>
      <c r="I212" s="24"/>
    </row>
    <row r="213" spans="1:9" ht="13.9">
      <c r="A213" s="23"/>
      <c r="B213" s="23"/>
      <c r="C213" s="23"/>
      <c r="D213" s="23"/>
      <c r="E213" s="23"/>
      <c r="F213" s="24"/>
      <c r="G213" s="23"/>
      <c r="H213" s="23"/>
      <c r="I213" s="24"/>
    </row>
    <row r="214" spans="1:9" ht="13.9">
      <c r="A214" s="23"/>
      <c r="B214" s="23"/>
      <c r="C214" s="23"/>
      <c r="D214" s="23"/>
      <c r="E214" s="23"/>
      <c r="F214" s="24"/>
      <c r="G214" s="23"/>
      <c r="H214" s="23"/>
      <c r="I214" s="24"/>
    </row>
    <row r="215" spans="1:9" ht="13.9">
      <c r="A215" s="23"/>
      <c r="B215" s="23"/>
      <c r="C215" s="23"/>
      <c r="D215" s="23"/>
      <c r="E215" s="23"/>
      <c r="F215" s="24"/>
      <c r="G215" s="23"/>
      <c r="H215" s="23"/>
      <c r="I215" s="24"/>
    </row>
    <row r="216" spans="1:9" ht="13.9">
      <c r="A216" s="23"/>
      <c r="B216" s="23"/>
      <c r="C216" s="23"/>
      <c r="D216" s="23"/>
      <c r="E216" s="23"/>
      <c r="F216" s="24"/>
      <c r="G216" s="23"/>
      <c r="H216" s="23"/>
      <c r="I216" s="24"/>
    </row>
    <row r="217" spans="1:9" ht="13.9">
      <c r="A217" s="23"/>
      <c r="B217" s="23"/>
      <c r="C217" s="23"/>
      <c r="D217" s="23"/>
      <c r="E217" s="23"/>
      <c r="F217" s="24"/>
      <c r="G217" s="23"/>
      <c r="H217" s="23"/>
      <c r="I217" s="24"/>
    </row>
    <row r="218" spans="1:9" ht="13.9">
      <c r="A218" s="23"/>
      <c r="B218" s="23"/>
      <c r="C218" s="23"/>
      <c r="D218" s="23"/>
      <c r="E218" s="23"/>
      <c r="F218" s="24"/>
      <c r="G218" s="23"/>
      <c r="H218" s="23"/>
      <c r="I218" s="24"/>
    </row>
    <row r="219" spans="1:9" ht="13.9">
      <c r="A219" s="23"/>
      <c r="B219" s="23"/>
      <c r="C219" s="23"/>
      <c r="D219" s="23"/>
      <c r="E219" s="23"/>
      <c r="F219" s="24"/>
      <c r="G219" s="23"/>
      <c r="H219" s="23"/>
      <c r="I219" s="24"/>
    </row>
    <row r="220" spans="1:9" ht="13.9">
      <c r="A220" s="23"/>
      <c r="B220" s="23"/>
      <c r="C220" s="23"/>
      <c r="D220" s="23"/>
      <c r="E220" s="23"/>
      <c r="F220" s="24"/>
      <c r="G220" s="23"/>
      <c r="H220" s="23"/>
      <c r="I220" s="24"/>
    </row>
    <row r="221" spans="1:9" ht="13.9">
      <c r="A221" s="23"/>
      <c r="B221" s="23"/>
      <c r="C221" s="23"/>
      <c r="D221" s="23"/>
      <c r="E221" s="23"/>
      <c r="F221" s="24"/>
      <c r="G221" s="23"/>
      <c r="H221" s="23"/>
      <c r="I221" s="24"/>
    </row>
    <row r="222" spans="1:9" ht="13.9">
      <c r="A222" s="23"/>
      <c r="B222" s="23"/>
      <c r="C222" s="23"/>
      <c r="D222" s="23"/>
      <c r="E222" s="23"/>
      <c r="F222" s="24"/>
      <c r="G222" s="23"/>
      <c r="H222" s="23"/>
      <c r="I222" s="24"/>
    </row>
    <row r="223" spans="1:9" ht="13.9">
      <c r="A223" s="23"/>
      <c r="B223" s="23"/>
      <c r="C223" s="23"/>
      <c r="D223" s="23"/>
      <c r="E223" s="23"/>
      <c r="F223" s="24"/>
      <c r="G223" s="23"/>
      <c r="H223" s="23"/>
      <c r="I223" s="24"/>
    </row>
    <row r="224" spans="1:9" ht="13.9">
      <c r="A224" s="23"/>
      <c r="B224" s="23"/>
      <c r="C224" s="23"/>
      <c r="D224" s="23"/>
      <c r="E224" s="23"/>
      <c r="F224" s="24"/>
      <c r="G224" s="23"/>
      <c r="H224" s="23"/>
      <c r="I224" s="24"/>
    </row>
    <row r="225" spans="1:9" ht="13.9">
      <c r="A225" s="23"/>
      <c r="B225" s="23"/>
      <c r="C225" s="23"/>
      <c r="D225" s="23"/>
      <c r="E225" s="23"/>
      <c r="F225" s="24"/>
      <c r="G225" s="23"/>
      <c r="H225" s="23"/>
      <c r="I225" s="24"/>
    </row>
    <row r="226" spans="1:9" ht="13.9">
      <c r="A226" s="23"/>
      <c r="B226" s="23"/>
      <c r="C226" s="23"/>
      <c r="D226" s="23"/>
      <c r="E226" s="23"/>
      <c r="F226" s="24"/>
      <c r="G226" s="23"/>
      <c r="H226" s="23"/>
      <c r="I226" s="24"/>
    </row>
    <row r="227" spans="1:9" ht="13.9">
      <c r="A227" s="23"/>
      <c r="B227" s="23"/>
      <c r="C227" s="23"/>
      <c r="D227" s="23"/>
      <c r="E227" s="23"/>
      <c r="F227" s="24"/>
      <c r="G227" s="23"/>
      <c r="H227" s="23"/>
      <c r="I227" s="24"/>
    </row>
    <row r="228" spans="1:9" ht="13.9">
      <c r="A228" s="23"/>
      <c r="B228" s="23"/>
      <c r="C228" s="23"/>
      <c r="D228" s="23"/>
      <c r="E228" s="23"/>
      <c r="F228" s="24"/>
      <c r="G228" s="23"/>
      <c r="H228" s="23"/>
      <c r="I228" s="24"/>
    </row>
    <row r="229" spans="1:9" ht="13.9">
      <c r="A229" s="23"/>
      <c r="B229" s="23"/>
      <c r="C229" s="23"/>
      <c r="D229" s="23"/>
      <c r="E229" s="23"/>
      <c r="F229" s="24"/>
      <c r="G229" s="23"/>
      <c r="H229" s="23"/>
      <c r="I229" s="24"/>
    </row>
    <row r="230" spans="1:9" ht="13.9">
      <c r="A230" s="23"/>
      <c r="B230" s="23"/>
      <c r="C230" s="23"/>
      <c r="D230" s="23"/>
      <c r="E230" s="23"/>
      <c r="F230" s="24"/>
      <c r="G230" s="23"/>
      <c r="H230" s="23"/>
      <c r="I230" s="24"/>
    </row>
    <row r="231" spans="1:9" ht="13.9">
      <c r="A231" s="23"/>
      <c r="B231" s="23"/>
      <c r="C231" s="23"/>
      <c r="D231" s="23"/>
      <c r="E231" s="23"/>
      <c r="F231" s="24"/>
      <c r="G231" s="23"/>
      <c r="H231" s="23"/>
      <c r="I231" s="24"/>
    </row>
    <row r="232" spans="1:9" ht="13.9">
      <c r="A232" s="23"/>
      <c r="B232" s="23"/>
      <c r="C232" s="23"/>
      <c r="D232" s="23"/>
      <c r="E232" s="23"/>
      <c r="F232" s="24"/>
      <c r="G232" s="23"/>
      <c r="H232" s="23"/>
      <c r="I232" s="24"/>
    </row>
    <row r="233" spans="1:9" ht="13.9">
      <c r="A233" s="23"/>
      <c r="B233" s="23"/>
      <c r="C233" s="23"/>
      <c r="D233" s="23"/>
      <c r="E233" s="23"/>
      <c r="F233" s="24"/>
      <c r="G233" s="23"/>
      <c r="H233" s="23"/>
      <c r="I233" s="24"/>
    </row>
    <row r="234" spans="1:9" ht="13.9">
      <c r="A234" s="23"/>
      <c r="B234" s="23"/>
      <c r="C234" s="23"/>
      <c r="D234" s="23"/>
      <c r="E234" s="23"/>
      <c r="F234" s="24"/>
      <c r="G234" s="23"/>
      <c r="H234" s="23"/>
      <c r="I234" s="24"/>
    </row>
    <row r="235" spans="1:9" ht="13.9">
      <c r="A235" s="23"/>
      <c r="B235" s="23"/>
      <c r="C235" s="23"/>
      <c r="D235" s="23"/>
      <c r="E235" s="23"/>
      <c r="F235" s="24"/>
      <c r="G235" s="23"/>
      <c r="H235" s="23"/>
      <c r="I235" s="24"/>
    </row>
    <row r="236" spans="1:9" ht="13.9">
      <c r="A236" s="23"/>
      <c r="B236" s="23"/>
      <c r="C236" s="23"/>
      <c r="D236" s="23"/>
      <c r="E236" s="23"/>
      <c r="F236" s="24"/>
      <c r="G236" s="23"/>
      <c r="H236" s="23"/>
      <c r="I236" s="24"/>
    </row>
    <row r="237" spans="1:9" ht="13.9">
      <c r="A237" s="23"/>
      <c r="B237" s="23"/>
      <c r="C237" s="23"/>
      <c r="D237" s="23"/>
      <c r="E237" s="23"/>
      <c r="F237" s="24"/>
      <c r="G237" s="23"/>
      <c r="H237" s="23"/>
      <c r="I237" s="24"/>
    </row>
    <row r="238" spans="1:9" ht="13.9">
      <c r="A238" s="23"/>
      <c r="B238" s="23"/>
      <c r="C238" s="23"/>
      <c r="D238" s="23"/>
      <c r="E238" s="23"/>
      <c r="F238" s="24"/>
      <c r="G238" s="23"/>
      <c r="H238" s="23"/>
      <c r="I238" s="24"/>
    </row>
    <row r="239" spans="1:9" ht="13.9">
      <c r="A239" s="23"/>
      <c r="B239" s="23"/>
      <c r="C239" s="23"/>
      <c r="D239" s="23"/>
      <c r="E239" s="23"/>
      <c r="F239" s="24"/>
      <c r="G239" s="23"/>
      <c r="H239" s="23"/>
      <c r="I239" s="24"/>
    </row>
    <row r="240" spans="1:9" ht="13.9">
      <c r="A240" s="23"/>
      <c r="B240" s="23"/>
      <c r="C240" s="23"/>
      <c r="D240" s="23"/>
      <c r="E240" s="23"/>
      <c r="F240" s="24"/>
      <c r="G240" s="23"/>
      <c r="H240" s="23"/>
      <c r="I240" s="24"/>
    </row>
    <row r="241" spans="1:9" ht="13.9">
      <c r="A241" s="23"/>
      <c r="B241" s="23"/>
      <c r="C241" s="23"/>
      <c r="D241" s="23"/>
      <c r="E241" s="23"/>
      <c r="F241" s="24"/>
      <c r="G241" s="23"/>
      <c r="H241" s="23"/>
      <c r="I241" s="24"/>
    </row>
    <row r="242" spans="1:9" ht="13.9">
      <c r="A242" s="23"/>
      <c r="B242" s="23"/>
      <c r="C242" s="23"/>
      <c r="D242" s="23"/>
      <c r="E242" s="23"/>
      <c r="F242" s="24"/>
      <c r="G242" s="23"/>
      <c r="H242" s="23"/>
      <c r="I242" s="24"/>
    </row>
    <row r="243" spans="1:9" ht="13.9">
      <c r="A243" s="23"/>
      <c r="B243" s="23"/>
      <c r="C243" s="23"/>
      <c r="D243" s="23"/>
      <c r="E243" s="23"/>
      <c r="F243" s="24"/>
      <c r="G243" s="23"/>
      <c r="H243" s="23"/>
      <c r="I243" s="24"/>
    </row>
    <row r="244" spans="1:9" ht="13.9">
      <c r="A244" s="23"/>
      <c r="B244" s="23"/>
      <c r="C244" s="23"/>
      <c r="D244" s="23"/>
      <c r="E244" s="23"/>
      <c r="F244" s="24"/>
      <c r="G244" s="23"/>
      <c r="H244" s="23"/>
      <c r="I244" s="24"/>
    </row>
    <row r="245" spans="1:9" ht="13.9">
      <c r="A245" s="23"/>
      <c r="B245" s="23"/>
      <c r="C245" s="23"/>
      <c r="D245" s="23"/>
      <c r="E245" s="23"/>
      <c r="F245" s="24"/>
      <c r="G245" s="23"/>
      <c r="H245" s="23"/>
      <c r="I245" s="24"/>
    </row>
    <row r="246" spans="1:9" ht="13.9">
      <c r="A246" s="23"/>
      <c r="B246" s="23"/>
      <c r="C246" s="23"/>
      <c r="D246" s="23"/>
      <c r="E246" s="23"/>
      <c r="F246" s="24"/>
      <c r="G246" s="23"/>
      <c r="H246" s="23"/>
      <c r="I246" s="24"/>
    </row>
    <row r="247" spans="1:9" ht="13.9">
      <c r="A247" s="23"/>
      <c r="B247" s="23"/>
      <c r="C247" s="23"/>
      <c r="D247" s="23"/>
      <c r="E247" s="23"/>
      <c r="F247" s="24"/>
      <c r="G247" s="23"/>
      <c r="H247" s="23"/>
      <c r="I247" s="24"/>
    </row>
    <row r="248" spans="1:9" ht="13.9">
      <c r="A248" s="23"/>
      <c r="B248" s="23"/>
      <c r="C248" s="23"/>
      <c r="D248" s="23"/>
      <c r="E248" s="23"/>
      <c r="F248" s="24"/>
      <c r="G248" s="23"/>
      <c r="H248" s="23"/>
      <c r="I248" s="24"/>
    </row>
    <row r="249" spans="1:9" ht="13.9">
      <c r="A249" s="23"/>
      <c r="B249" s="23"/>
      <c r="C249" s="23"/>
      <c r="D249" s="23"/>
      <c r="E249" s="23"/>
      <c r="F249" s="24"/>
      <c r="G249" s="23"/>
      <c r="H249" s="23"/>
      <c r="I249" s="24"/>
    </row>
    <row r="250" spans="1:9" ht="13.9">
      <c r="A250" s="23"/>
      <c r="B250" s="23"/>
      <c r="C250" s="23"/>
      <c r="D250" s="23"/>
      <c r="E250" s="23"/>
      <c r="F250" s="24"/>
      <c r="G250" s="23"/>
      <c r="H250" s="23"/>
      <c r="I250" s="24"/>
    </row>
    <row r="251" spans="1:9" ht="13.9">
      <c r="A251" s="23"/>
      <c r="B251" s="23"/>
      <c r="C251" s="23"/>
      <c r="D251" s="23"/>
      <c r="E251" s="23"/>
      <c r="F251" s="24"/>
      <c r="G251" s="23"/>
      <c r="H251" s="23"/>
      <c r="I251" s="24"/>
    </row>
    <row r="252" spans="1:9" ht="13.9">
      <c r="A252" s="23"/>
      <c r="B252" s="23"/>
      <c r="C252" s="23"/>
      <c r="D252" s="23"/>
      <c r="E252" s="23"/>
      <c r="F252" s="24"/>
      <c r="G252" s="23"/>
      <c r="H252" s="23"/>
      <c r="I252" s="24"/>
    </row>
    <row r="253" spans="1:9" ht="13.9">
      <c r="A253" s="23"/>
      <c r="B253" s="23"/>
      <c r="C253" s="23"/>
      <c r="D253" s="23"/>
      <c r="E253" s="23"/>
      <c r="F253" s="24"/>
      <c r="G253" s="23"/>
      <c r="H253" s="23"/>
      <c r="I253" s="24"/>
    </row>
    <row r="254" spans="1:9" ht="13.9">
      <c r="A254" s="23"/>
      <c r="B254" s="23"/>
      <c r="C254" s="23"/>
      <c r="D254" s="23"/>
      <c r="E254" s="23"/>
      <c r="F254" s="24"/>
      <c r="G254" s="23"/>
      <c r="H254" s="23"/>
      <c r="I254" s="24"/>
    </row>
    <row r="255" spans="1:9" ht="13.9">
      <c r="A255" s="23"/>
      <c r="B255" s="23"/>
      <c r="C255" s="23"/>
      <c r="D255" s="23"/>
      <c r="E255" s="23"/>
      <c r="F255" s="24"/>
      <c r="G255" s="23"/>
      <c r="H255" s="23"/>
      <c r="I255" s="24"/>
    </row>
    <row r="256" spans="1:9" ht="13.9">
      <c r="A256" s="23"/>
      <c r="B256" s="23"/>
      <c r="C256" s="23"/>
      <c r="D256" s="23"/>
      <c r="E256" s="23"/>
      <c r="F256" s="24"/>
      <c r="G256" s="23"/>
      <c r="H256" s="23"/>
      <c r="I256" s="24"/>
    </row>
    <row r="257" spans="1:9" ht="13.9">
      <c r="A257" s="23"/>
      <c r="B257" s="23"/>
      <c r="C257" s="23"/>
      <c r="D257" s="23"/>
      <c r="E257" s="23"/>
      <c r="F257" s="24"/>
      <c r="G257" s="23"/>
      <c r="H257" s="23"/>
      <c r="I257" s="24"/>
    </row>
    <row r="258" spans="1:9" ht="13.9">
      <c r="A258" s="23"/>
      <c r="B258" s="23"/>
      <c r="C258" s="23"/>
      <c r="D258" s="23"/>
      <c r="E258" s="23"/>
      <c r="F258" s="24"/>
      <c r="G258" s="23"/>
      <c r="H258" s="23"/>
      <c r="I258" s="24"/>
    </row>
    <row r="259" spans="1:9" ht="13.9">
      <c r="A259" s="23"/>
      <c r="B259" s="23"/>
      <c r="C259" s="23"/>
      <c r="D259" s="23"/>
      <c r="E259" s="23"/>
      <c r="F259" s="24"/>
      <c r="G259" s="23"/>
      <c r="H259" s="23"/>
      <c r="I259" s="24"/>
    </row>
    <row r="260" spans="1:9" ht="13.9">
      <c r="A260" s="23"/>
      <c r="B260" s="23"/>
      <c r="C260" s="23"/>
      <c r="D260" s="23"/>
      <c r="E260" s="23"/>
      <c r="F260" s="24"/>
      <c r="G260" s="23"/>
      <c r="H260" s="23"/>
      <c r="I260" s="24"/>
    </row>
    <row r="261" spans="1:9" ht="13.9">
      <c r="A261" s="23"/>
      <c r="B261" s="23"/>
      <c r="C261" s="23"/>
      <c r="D261" s="23"/>
      <c r="E261" s="23"/>
      <c r="F261" s="24"/>
      <c r="G261" s="23"/>
      <c r="H261" s="23"/>
      <c r="I261" s="24"/>
    </row>
    <row r="262" spans="1:9" ht="13.9">
      <c r="A262" s="23"/>
      <c r="B262" s="23"/>
      <c r="C262" s="23"/>
      <c r="D262" s="23"/>
      <c r="E262" s="23"/>
      <c r="F262" s="24"/>
      <c r="G262" s="23"/>
      <c r="H262" s="23"/>
      <c r="I262" s="24"/>
    </row>
    <row r="263" spans="1:9" ht="13.9">
      <c r="A263" s="23"/>
      <c r="B263" s="23"/>
      <c r="C263" s="23"/>
      <c r="D263" s="23"/>
      <c r="E263" s="23"/>
      <c r="F263" s="24"/>
      <c r="G263" s="23"/>
      <c r="H263" s="23"/>
      <c r="I263" s="24"/>
    </row>
    <row r="264" spans="1:9" ht="13.9">
      <c r="A264" s="23"/>
      <c r="B264" s="23"/>
      <c r="C264" s="23"/>
      <c r="D264" s="23"/>
      <c r="E264" s="23"/>
      <c r="F264" s="24"/>
      <c r="G264" s="23"/>
      <c r="H264" s="23"/>
      <c r="I264" s="24"/>
    </row>
    <row r="265" spans="1:9" ht="13.9">
      <c r="A265" s="23"/>
      <c r="B265" s="23"/>
      <c r="C265" s="23"/>
      <c r="D265" s="23"/>
      <c r="E265" s="23"/>
      <c r="F265" s="24"/>
      <c r="G265" s="23"/>
      <c r="H265" s="23"/>
      <c r="I265" s="24"/>
    </row>
    <row r="266" spans="1:9" ht="13.9">
      <c r="A266" s="23"/>
      <c r="B266" s="23"/>
      <c r="C266" s="23"/>
      <c r="D266" s="23"/>
      <c r="E266" s="23"/>
      <c r="F266" s="24"/>
      <c r="G266" s="23"/>
      <c r="H266" s="23"/>
      <c r="I266" s="24"/>
    </row>
    <row r="267" spans="1:9" ht="13.9">
      <c r="A267" s="23"/>
      <c r="B267" s="23"/>
      <c r="C267" s="23"/>
      <c r="D267" s="23"/>
      <c r="E267" s="23"/>
      <c r="F267" s="24"/>
      <c r="G267" s="23"/>
      <c r="H267" s="23"/>
      <c r="I267" s="24"/>
    </row>
    <row r="268" spans="1:9" ht="13.9">
      <c r="A268" s="23"/>
      <c r="B268" s="23"/>
      <c r="C268" s="23"/>
      <c r="D268" s="23"/>
      <c r="E268" s="23"/>
      <c r="F268" s="24"/>
      <c r="G268" s="23"/>
      <c r="H268" s="23"/>
      <c r="I268" s="24"/>
    </row>
    <row r="269" spans="1:9" ht="13.9">
      <c r="A269" s="23"/>
      <c r="B269" s="23"/>
      <c r="C269" s="23"/>
      <c r="D269" s="23"/>
      <c r="E269" s="23"/>
      <c r="F269" s="24"/>
      <c r="G269" s="23"/>
      <c r="H269" s="23"/>
      <c r="I269" s="24"/>
    </row>
    <row r="270" spans="1:9" ht="13.9">
      <c r="A270" s="23"/>
      <c r="B270" s="23"/>
      <c r="C270" s="23"/>
      <c r="D270" s="23"/>
      <c r="E270" s="23"/>
      <c r="F270" s="24"/>
      <c r="G270" s="23"/>
      <c r="H270" s="23"/>
      <c r="I270" s="24"/>
    </row>
    <row r="271" spans="1:9" ht="13.9">
      <c r="A271" s="23"/>
      <c r="B271" s="23"/>
      <c r="C271" s="23"/>
      <c r="D271" s="23"/>
      <c r="E271" s="23"/>
      <c r="F271" s="24"/>
      <c r="G271" s="23"/>
      <c r="H271" s="23"/>
      <c r="I271" s="24"/>
    </row>
    <row r="272" spans="1:9" ht="13.9">
      <c r="A272" s="23"/>
      <c r="B272" s="23"/>
      <c r="C272" s="23"/>
      <c r="D272" s="23"/>
      <c r="E272" s="23"/>
      <c r="F272" s="24"/>
      <c r="G272" s="23"/>
      <c r="H272" s="23"/>
      <c r="I272" s="24"/>
    </row>
    <row r="273" spans="1:9" ht="13.9">
      <c r="A273" s="23"/>
      <c r="B273" s="23"/>
      <c r="C273" s="23"/>
      <c r="D273" s="23"/>
      <c r="E273" s="23"/>
      <c r="F273" s="24"/>
      <c r="G273" s="23"/>
      <c r="H273" s="23"/>
      <c r="I273" s="24"/>
    </row>
    <row r="274" spans="1:9" ht="13.9">
      <c r="A274" s="23"/>
      <c r="B274" s="23"/>
      <c r="C274" s="23"/>
      <c r="D274" s="23"/>
      <c r="E274" s="23"/>
      <c r="F274" s="24"/>
      <c r="G274" s="23"/>
      <c r="H274" s="23"/>
      <c r="I274" s="24"/>
    </row>
    <row r="275" spans="1:9" ht="13.9">
      <c r="A275" s="23"/>
      <c r="B275" s="23"/>
      <c r="C275" s="23"/>
      <c r="D275" s="23"/>
      <c r="E275" s="23"/>
      <c r="F275" s="24"/>
      <c r="G275" s="23"/>
      <c r="H275" s="23"/>
      <c r="I275" s="24"/>
    </row>
    <row r="276" spans="1:9" ht="13.9">
      <c r="A276" s="23"/>
      <c r="B276" s="23"/>
      <c r="C276" s="23"/>
      <c r="D276" s="23"/>
      <c r="E276" s="23"/>
      <c r="F276" s="24"/>
      <c r="G276" s="23"/>
      <c r="H276" s="23"/>
      <c r="I276" s="24"/>
    </row>
    <row r="277" spans="1:9" ht="13.9">
      <c r="A277" s="23"/>
      <c r="B277" s="23"/>
      <c r="C277" s="23"/>
      <c r="D277" s="23"/>
      <c r="E277" s="23"/>
      <c r="F277" s="24"/>
      <c r="G277" s="23"/>
      <c r="H277" s="23"/>
      <c r="I277" s="24"/>
    </row>
    <row r="278" spans="1:9" ht="13.9">
      <c r="A278" s="23"/>
      <c r="B278" s="23"/>
      <c r="C278" s="23"/>
      <c r="D278" s="23"/>
      <c r="E278" s="23"/>
      <c r="F278" s="24"/>
      <c r="G278" s="23"/>
      <c r="H278" s="23"/>
      <c r="I278" s="24"/>
    </row>
    <row r="279" spans="1:9" ht="13.9">
      <c r="A279" s="23"/>
      <c r="B279" s="23"/>
      <c r="C279" s="23"/>
      <c r="D279" s="23"/>
      <c r="E279" s="23"/>
      <c r="F279" s="24"/>
      <c r="G279" s="23"/>
      <c r="H279" s="23"/>
      <c r="I279" s="24"/>
    </row>
    <row r="280" spans="1:9" ht="13.9">
      <c r="A280" s="23"/>
      <c r="B280" s="23"/>
      <c r="C280" s="23"/>
      <c r="D280" s="23"/>
      <c r="E280" s="23"/>
      <c r="F280" s="24"/>
      <c r="G280" s="23"/>
      <c r="H280" s="23"/>
      <c r="I280" s="24"/>
    </row>
    <row r="281" spans="1:9" ht="13.9">
      <c r="A281" s="23"/>
      <c r="B281" s="23"/>
      <c r="C281" s="23"/>
      <c r="D281" s="23"/>
      <c r="E281" s="23"/>
      <c r="F281" s="24"/>
      <c r="G281" s="23"/>
      <c r="H281" s="23"/>
      <c r="I281" s="24"/>
    </row>
    <row r="282" spans="1:9" ht="13.9">
      <c r="A282" s="23"/>
      <c r="B282" s="23"/>
      <c r="C282" s="23"/>
      <c r="D282" s="23"/>
      <c r="E282" s="23"/>
      <c r="F282" s="24"/>
      <c r="G282" s="23"/>
      <c r="H282" s="23"/>
      <c r="I282" s="24"/>
    </row>
    <row r="283" spans="1:9" ht="13.9">
      <c r="A283" s="23"/>
      <c r="B283" s="23"/>
      <c r="C283" s="23"/>
      <c r="D283" s="23"/>
      <c r="E283" s="23"/>
      <c r="F283" s="24"/>
      <c r="G283" s="23"/>
      <c r="H283" s="23"/>
      <c r="I283" s="24"/>
    </row>
    <row r="284" spans="1:9" ht="13.9">
      <c r="A284" s="23"/>
      <c r="B284" s="23"/>
      <c r="C284" s="23"/>
      <c r="D284" s="23"/>
      <c r="E284" s="23"/>
      <c r="F284" s="24"/>
      <c r="G284" s="23"/>
      <c r="H284" s="23"/>
      <c r="I284" s="24"/>
    </row>
    <row r="285" spans="1:9" ht="13.9">
      <c r="A285" s="23"/>
      <c r="B285" s="23"/>
      <c r="C285" s="23"/>
      <c r="D285" s="23"/>
      <c r="E285" s="23"/>
      <c r="F285" s="24"/>
      <c r="G285" s="23"/>
      <c r="H285" s="23"/>
      <c r="I285" s="24"/>
    </row>
    <row r="286" spans="1:9" ht="13.9">
      <c r="A286" s="23"/>
      <c r="B286" s="23"/>
      <c r="C286" s="23"/>
      <c r="D286" s="23"/>
      <c r="E286" s="23"/>
      <c r="F286" s="24"/>
      <c r="G286" s="23"/>
      <c r="H286" s="23"/>
      <c r="I286" s="24"/>
    </row>
    <row r="287" spans="1:9" ht="13.9">
      <c r="A287" s="23"/>
      <c r="B287" s="23"/>
      <c r="C287" s="23"/>
      <c r="D287" s="23"/>
      <c r="E287" s="23"/>
      <c r="F287" s="24"/>
      <c r="G287" s="23"/>
      <c r="H287" s="23"/>
      <c r="I287" s="24"/>
    </row>
    <row r="288" spans="1:9" ht="13.9">
      <c r="A288" s="23"/>
      <c r="B288" s="23"/>
      <c r="C288" s="23"/>
      <c r="D288" s="23"/>
      <c r="E288" s="23"/>
      <c r="F288" s="24"/>
      <c r="G288" s="23"/>
      <c r="H288" s="23"/>
      <c r="I288" s="24"/>
    </row>
    <row r="289" spans="1:9" ht="13.9">
      <c r="A289" s="23"/>
      <c r="B289" s="23"/>
      <c r="C289" s="23"/>
      <c r="D289" s="23"/>
      <c r="E289" s="23"/>
      <c r="F289" s="24"/>
      <c r="G289" s="23"/>
      <c r="H289" s="23"/>
      <c r="I289" s="24"/>
    </row>
    <row r="290" spans="1:9" ht="13.9">
      <c r="A290" s="23"/>
      <c r="B290" s="23"/>
      <c r="C290" s="23"/>
      <c r="D290" s="23"/>
      <c r="E290" s="23"/>
      <c r="F290" s="24"/>
      <c r="G290" s="23"/>
      <c r="H290" s="23"/>
      <c r="I290" s="24"/>
    </row>
    <row r="291" spans="1:9" ht="13.9">
      <c r="A291" s="23"/>
      <c r="B291" s="23"/>
      <c r="C291" s="23"/>
      <c r="D291" s="23"/>
      <c r="E291" s="23"/>
      <c r="F291" s="24"/>
      <c r="G291" s="23"/>
      <c r="H291" s="23"/>
      <c r="I291" s="24"/>
    </row>
    <row r="292" spans="1:9" ht="13.9">
      <c r="A292" s="23"/>
      <c r="B292" s="23"/>
      <c r="C292" s="23"/>
      <c r="D292" s="23"/>
      <c r="E292" s="23"/>
      <c r="F292" s="24"/>
      <c r="G292" s="23"/>
      <c r="H292" s="23"/>
      <c r="I292" s="24"/>
    </row>
    <row r="293" spans="1:9" ht="13.9">
      <c r="A293" s="23"/>
      <c r="B293" s="23"/>
      <c r="C293" s="23"/>
      <c r="D293" s="23"/>
      <c r="E293" s="23"/>
      <c r="F293" s="24"/>
      <c r="G293" s="23"/>
      <c r="H293" s="23"/>
      <c r="I293" s="24"/>
    </row>
    <row r="294" spans="1:9" ht="13.9">
      <c r="A294" s="23"/>
      <c r="B294" s="23"/>
      <c r="C294" s="23"/>
      <c r="D294" s="23"/>
      <c r="E294" s="23"/>
      <c r="F294" s="24"/>
      <c r="G294" s="23"/>
      <c r="H294" s="23"/>
      <c r="I294" s="24"/>
    </row>
    <row r="295" spans="1:9" ht="13.9">
      <c r="A295" s="23"/>
      <c r="B295" s="23"/>
      <c r="C295" s="23"/>
      <c r="D295" s="23"/>
      <c r="E295" s="23"/>
      <c r="F295" s="24"/>
      <c r="G295" s="23"/>
      <c r="H295" s="23"/>
      <c r="I295" s="24"/>
    </row>
    <row r="296" spans="1:9" ht="13.9">
      <c r="A296" s="23"/>
      <c r="B296" s="23"/>
      <c r="C296" s="23"/>
      <c r="D296" s="23"/>
      <c r="E296" s="23"/>
      <c r="F296" s="24"/>
      <c r="G296" s="23"/>
      <c r="H296" s="23"/>
      <c r="I296" s="24"/>
    </row>
    <row r="297" spans="1:9" ht="13.9">
      <c r="A297" s="23"/>
      <c r="B297" s="23"/>
      <c r="C297" s="23"/>
      <c r="D297" s="23"/>
      <c r="E297" s="23"/>
      <c r="F297" s="24"/>
      <c r="G297" s="23"/>
      <c r="H297" s="23"/>
      <c r="I297" s="24"/>
    </row>
    <row r="298" spans="1:9" ht="13.9">
      <c r="A298" s="23"/>
      <c r="B298" s="23"/>
      <c r="C298" s="23"/>
      <c r="D298" s="23"/>
      <c r="E298" s="23"/>
      <c r="F298" s="24"/>
      <c r="G298" s="23"/>
      <c r="H298" s="23"/>
      <c r="I298" s="24"/>
    </row>
    <row r="299" spans="1:9" ht="13.9">
      <c r="A299" s="23"/>
      <c r="B299" s="23"/>
      <c r="C299" s="23"/>
      <c r="D299" s="23"/>
      <c r="E299" s="23"/>
      <c r="F299" s="24"/>
      <c r="G299" s="23"/>
      <c r="H299" s="23"/>
      <c r="I299" s="24"/>
    </row>
    <row r="300" spans="1:9" ht="13.9">
      <c r="A300" s="23"/>
      <c r="B300" s="23"/>
      <c r="C300" s="23"/>
      <c r="D300" s="23"/>
      <c r="E300" s="23"/>
      <c r="F300" s="24"/>
      <c r="G300" s="23"/>
      <c r="H300" s="23"/>
      <c r="I300" s="24"/>
    </row>
    <row r="301" spans="1:9" ht="13.9">
      <c r="A301" s="23"/>
      <c r="B301" s="23"/>
      <c r="C301" s="23"/>
      <c r="D301" s="23"/>
      <c r="E301" s="23"/>
      <c r="F301" s="24"/>
      <c r="G301" s="23"/>
      <c r="H301" s="23"/>
      <c r="I301" s="24"/>
    </row>
    <row r="302" spans="1:9" ht="13.9">
      <c r="A302" s="23"/>
      <c r="B302" s="23"/>
      <c r="C302" s="23"/>
      <c r="D302" s="23"/>
      <c r="E302" s="23"/>
      <c r="F302" s="24"/>
      <c r="G302" s="23"/>
      <c r="H302" s="23"/>
      <c r="I302" s="24"/>
    </row>
    <row r="303" spans="1:9" ht="13.9">
      <c r="A303" s="23"/>
      <c r="B303" s="23"/>
      <c r="C303" s="23"/>
      <c r="D303" s="23"/>
      <c r="E303" s="23"/>
      <c r="F303" s="24"/>
      <c r="G303" s="23"/>
      <c r="H303" s="23"/>
      <c r="I303" s="24"/>
    </row>
    <row r="304" spans="1:9" ht="13.9">
      <c r="A304" s="23"/>
      <c r="B304" s="23"/>
      <c r="C304" s="23"/>
      <c r="D304" s="23"/>
      <c r="E304" s="23"/>
      <c r="F304" s="24"/>
      <c r="G304" s="23"/>
      <c r="H304" s="23"/>
      <c r="I304" s="24"/>
    </row>
    <row r="305" spans="1:9" ht="13.9">
      <c r="A305" s="23"/>
      <c r="B305" s="23"/>
      <c r="C305" s="23"/>
      <c r="D305" s="23"/>
      <c r="E305" s="23"/>
      <c r="F305" s="24"/>
      <c r="G305" s="23"/>
      <c r="H305" s="23"/>
      <c r="I305" s="24"/>
    </row>
    <row r="306" spans="1:9" ht="13.9">
      <c r="A306" s="23"/>
      <c r="B306" s="23"/>
      <c r="C306" s="23"/>
      <c r="D306" s="23"/>
      <c r="E306" s="23"/>
      <c r="F306" s="24"/>
      <c r="G306" s="23"/>
      <c r="H306" s="23"/>
      <c r="I306" s="24"/>
    </row>
    <row r="307" spans="1:9" ht="13.9">
      <c r="A307" s="23"/>
      <c r="B307" s="23"/>
      <c r="C307" s="23"/>
      <c r="D307" s="23"/>
      <c r="E307" s="23"/>
      <c r="F307" s="24"/>
      <c r="G307" s="23"/>
      <c r="H307" s="23"/>
      <c r="I307" s="24"/>
    </row>
    <row r="308" spans="1:9" ht="13.9">
      <c r="A308" s="23"/>
      <c r="B308" s="23"/>
      <c r="C308" s="23"/>
      <c r="D308" s="23"/>
      <c r="E308" s="23"/>
      <c r="F308" s="24"/>
      <c r="G308" s="23"/>
      <c r="H308" s="23"/>
      <c r="I308" s="24"/>
    </row>
    <row r="309" spans="1:9" ht="13.9">
      <c r="A309" s="23"/>
      <c r="B309" s="23"/>
      <c r="C309" s="23"/>
      <c r="D309" s="23"/>
      <c r="E309" s="23"/>
      <c r="F309" s="24"/>
      <c r="G309" s="23"/>
      <c r="H309" s="23"/>
      <c r="I309" s="24"/>
    </row>
    <row r="310" spans="1:9" ht="13.9">
      <c r="A310" s="23"/>
      <c r="B310" s="23"/>
      <c r="C310" s="23"/>
      <c r="D310" s="23"/>
      <c r="E310" s="23"/>
      <c r="F310" s="24"/>
      <c r="G310" s="23"/>
      <c r="H310" s="23"/>
      <c r="I310" s="24"/>
    </row>
  </sheetData>
  <sortState xmlns:xlrd2="http://schemas.microsoft.com/office/spreadsheetml/2017/richdata2" ref="A3:I3">
    <sortCondition ref="A3"/>
  </sortState>
  <mergeCells count="4">
    <mergeCell ref="G1:I1"/>
    <mergeCell ref="A1:C1"/>
    <mergeCell ref="D1:F1"/>
    <mergeCell ref="A2:B2"/>
  </mergeCells>
  <conditionalFormatting sqref="F2 I2">
    <cfRule type="cellIs" dxfId="52" priority="17" stopIfTrue="1" operator="lessThanOrEqual">
      <formula>-0.1</formula>
    </cfRule>
    <cfRule type="expression" dxfId="51" priority="18">
      <formula>AND(ISNUMBER(F2), F2&gt;=0.1)</formula>
    </cfRule>
  </conditionalFormatting>
  <conditionalFormatting sqref="F4:F68">
    <cfRule type="cellIs" dxfId="50" priority="3" stopIfTrue="1" operator="lessThanOrEqual">
      <formula>-0.1</formula>
    </cfRule>
    <cfRule type="expression" dxfId="49" priority="4">
      <formula>AND(ISNUMBER(F4), F4&gt;=0.1)</formula>
    </cfRule>
  </conditionalFormatting>
  <conditionalFormatting sqref="I4:I68">
    <cfRule type="cellIs" dxfId="48" priority="1" stopIfTrue="1" operator="lessThanOrEqual">
      <formula>-0.1</formula>
    </cfRule>
    <cfRule type="expression" dxfId="47" priority="2">
      <formula>AND(ISNUMBER(I4), I4&gt;=0.1)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K332"/>
  <sheetViews>
    <sheetView workbookViewId="0">
      <pane ySplit="2" topLeftCell="A3" activePane="bottomLeft" state="frozen"/>
      <selection pane="bottomLeft" activeCell="E10" sqref="E10"/>
      <selection activeCell="J20" sqref="J20"/>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11" ht="19.5" customHeight="1">
      <c r="A1" s="89" t="str" cm="1">
        <f t="array" ref="A1">portfolio</f>
        <v>AB CarVal</v>
      </c>
      <c r="B1" s="89"/>
      <c r="C1" s="89"/>
      <c r="D1" s="90" t="s">
        <v>12</v>
      </c>
      <c r="E1" s="90"/>
      <c r="F1" s="90"/>
      <c r="G1" s="88" t="s">
        <v>13</v>
      </c>
      <c r="H1" s="88"/>
      <c r="I1" s="88"/>
    </row>
    <row r="2" spans="1:11" ht="19.5" customHeight="1">
      <c r="A2" s="91" t="s">
        <v>2</v>
      </c>
      <c r="B2" s="91"/>
      <c r="C2" s="6">
        <f>SUM(C4:C90)</f>
        <v>12764728.471417159</v>
      </c>
      <c r="D2" s="6">
        <f>SUM(D4:D90)</f>
        <v>17256747.880907737</v>
      </c>
      <c r="E2" s="6">
        <f>C2-D2</f>
        <v>-4492019.4094905779</v>
      </c>
      <c r="F2" s="7">
        <f>IFERROR(E2/D2, 0)</f>
        <v>-0.26030509575100136</v>
      </c>
      <c r="G2" s="6">
        <f>SUM(G4:G90)</f>
        <v>19080402.169999998</v>
      </c>
      <c r="H2" s="8">
        <f>C2-G2</f>
        <v>-6315673.6985828392</v>
      </c>
      <c r="I2" s="7">
        <f>IFERROR(H2/G2, 0)</f>
        <v>-0.33100317500188414</v>
      </c>
    </row>
    <row r="3" spans="1:11" ht="14.25" customHeight="1">
      <c r="A3" s="9" t="s">
        <v>3</v>
      </c>
      <c r="B3" s="9" t="s">
        <v>4</v>
      </c>
      <c r="C3" s="25" t="s">
        <v>5</v>
      </c>
      <c r="D3" s="36" t="s">
        <v>6</v>
      </c>
      <c r="E3" s="36" t="s">
        <v>7</v>
      </c>
      <c r="F3" s="37" t="s">
        <v>8</v>
      </c>
      <c r="G3" s="38" t="s">
        <v>9</v>
      </c>
      <c r="H3" s="39" t="s">
        <v>7</v>
      </c>
      <c r="I3" s="40" t="s">
        <v>8</v>
      </c>
    </row>
    <row r="4" spans="1:11" ht="15.6">
      <c r="A4" s="13" t="str" cm="1">
        <f t="array" ref="A4:A11">Sites[Site]</f>
        <v>MA: Fairhaven - 279 Mill Rd</v>
      </c>
      <c r="B4" s="10" t="str" cm="1">
        <f t="array" ref="B4:B11">Sites[State]</f>
        <v>MA</v>
      </c>
      <c r="C4" s="26">
        <f>SUM(Apr!C4, May!C4, Jun!C4)</f>
        <v>726177</v>
      </c>
      <c r="D4" s="14">
        <f>SUM(Apr!D4, May!D4, Jun!D4)</f>
        <v>702418.03798189876</v>
      </c>
      <c r="E4" s="14">
        <f>IF(AND(ISNUMBER(C4),ISNUMBER(D4)), C4-D4, "")</f>
        <v>23758.962018101243</v>
      </c>
      <c r="F4" s="15">
        <f>IFERROR(E4/D4, "")</f>
        <v>3.3824532875554529E-2</v>
      </c>
      <c r="G4" s="16">
        <f>SUM(Apr!G4+May!G4+Jun!G4)</f>
        <v>747729.19999999984</v>
      </c>
      <c r="H4" s="16">
        <f>SUM(Apr!H4, May!H4, Jun!H4)</f>
        <v>-21552.199999999837</v>
      </c>
      <c r="I4" s="17">
        <f>IFERROR(H4/G4, "")</f>
        <v>-2.8823536649364292E-2</v>
      </c>
    </row>
    <row r="5" spans="1:11" ht="15.6">
      <c r="A5" s="31" t="str">
        <v>Bakersfield - 100 Basic School Rd</v>
      </c>
      <c r="B5" s="32" t="str">
        <v>CA</v>
      </c>
      <c r="C5" s="12">
        <f>SUM(Apr!C5, May!C5, Jun!C5)</f>
        <v>2752986</v>
      </c>
      <c r="D5" s="12">
        <f>SUM(Apr!D5, May!D5, Jun!D5)</f>
        <v>2813462.88</v>
      </c>
      <c r="E5" s="20">
        <f t="shared" ref="E5:E7" si="0">IF(AND(ISNUMBER(C5),ISNUMBER(D5)), C5-D5, "")</f>
        <v>-60476.879999999888</v>
      </c>
      <c r="F5" s="21">
        <f t="shared" ref="F5" si="1">IFERROR(E5/D5, "")</f>
        <v>-2.1495531513818975E-2</v>
      </c>
      <c r="G5" s="12">
        <f>SUM(Apr!G5+May!G5+Jun!G5)</f>
        <v>3060675.73</v>
      </c>
      <c r="H5" s="20">
        <f>SUM(Apr!H5, May!H5, Jun!H5)</f>
        <v>-307689.73</v>
      </c>
      <c r="I5" s="21">
        <f t="shared" ref="I5" si="2">IFERROR(H5/G5, "")</f>
        <v>-0.10052999962854607</v>
      </c>
      <c r="J5" s="11"/>
      <c r="K5" s="19"/>
    </row>
    <row r="6" spans="1:11" ht="15.6">
      <c r="A6" s="13" t="str">
        <v>Fresno - 2685 Cornelia Ave</v>
      </c>
      <c r="B6" s="10" t="str">
        <v>CA</v>
      </c>
      <c r="C6" s="26">
        <f>SUM(Apr!C6, May!C6, Jun!C6)</f>
        <v>2096945</v>
      </c>
      <c r="D6" s="14">
        <f>SUM(Apr!D6, May!D6, Jun!D6)</f>
        <v>6275208.7200000007</v>
      </c>
      <c r="E6" s="14">
        <f t="shared" si="0"/>
        <v>-4178263.7200000007</v>
      </c>
      <c r="F6" s="15">
        <f t="shared" ref="F6:F11" si="3">IFERROR(E6/D6, "")</f>
        <v>-0.66583661300113695</v>
      </c>
      <c r="G6" s="16">
        <f>SUM(Apr!G6+May!G6+Jun!G6)</f>
        <v>6447225.2000000002</v>
      </c>
      <c r="H6" s="16">
        <f>SUM(Apr!H6, May!H6, Jun!H6)</f>
        <v>-4350280.2</v>
      </c>
      <c r="I6" s="17">
        <f t="shared" ref="I6:I11" si="4">IFERROR(H6/G6, "")</f>
        <v>-0.6747523260084044</v>
      </c>
    </row>
    <row r="7" spans="1:11" ht="15.6">
      <c r="A7" s="31" t="str">
        <v>San Juaquin - S. Placer &amp; W. Adams</v>
      </c>
      <c r="B7" s="32" t="str">
        <v>CA</v>
      </c>
      <c r="C7" s="12">
        <f>SUM(Apr!C7, May!C7, Jun!C7)</f>
        <v>2202396</v>
      </c>
      <c r="D7" s="12">
        <f>SUM(Apr!D7, May!D7, Jun!D7)</f>
        <v>2274070.27</v>
      </c>
      <c r="E7" s="20">
        <f t="shared" si="0"/>
        <v>-71674.270000000019</v>
      </c>
      <c r="F7" s="21">
        <f t="shared" si="3"/>
        <v>-3.1518054189240169E-2</v>
      </c>
      <c r="G7" s="12">
        <f>SUM(Apr!G7+May!G7+Jun!G7)</f>
        <v>2367487.34</v>
      </c>
      <c r="H7" s="20">
        <f>SUM(Apr!H7, May!H7, Jun!H7)</f>
        <v>-165091.34000000008</v>
      </c>
      <c r="I7" s="21">
        <f t="shared" si="4"/>
        <v>-6.973272347044529E-2</v>
      </c>
      <c r="J7" s="11"/>
      <c r="K7" s="19"/>
    </row>
    <row r="8" spans="1:11" ht="12.75" customHeight="1">
      <c r="A8" s="13" t="str">
        <v xml:space="preserve">Charlemont - 0 Tea St </v>
      </c>
      <c r="B8" s="10" t="str">
        <v>MA</v>
      </c>
      <c r="C8" s="49">
        <f>SUM(Apr!C8, May!C8, Jun!C8)</f>
        <v>630988</v>
      </c>
      <c r="D8" s="14">
        <f>SUM(Apr!D8, May!D8, Jun!D8)</f>
        <v>802975.71153064491</v>
      </c>
      <c r="E8" s="14">
        <f>IF(AND(ISNUMBER(C8),ISNUMBER(D8)), C8-D8, "")</f>
        <v>-171987.71153064491</v>
      </c>
      <c r="F8" s="48">
        <f t="shared" si="3"/>
        <v>-0.21418793751905552</v>
      </c>
      <c r="G8" s="47">
        <f>SUM(Apr!G8+May!G8+Jun!G8)</f>
        <v>910957.69999999972</v>
      </c>
      <c r="H8" s="47">
        <f>SUM(Apr!H8, May!H8, Jun!H8)</f>
        <v>-279969.69999999972</v>
      </c>
      <c r="I8" s="46">
        <f t="shared" si="4"/>
        <v>-0.30733556563603315</v>
      </c>
    </row>
    <row r="9" spans="1:11" ht="15.6">
      <c r="A9" s="31" t="str">
        <v xml:space="preserve">Amherst - 740 Belchertown Rd </v>
      </c>
      <c r="B9" s="32" t="str">
        <v>MA</v>
      </c>
      <c r="C9" s="42">
        <f>SUM(Apr!C9, May!C9, Jun!C9)</f>
        <v>888331</v>
      </c>
      <c r="D9" s="42">
        <f>SUM(Apr!D9, May!D9, Jun!D9)</f>
        <v>844097.92152300151</v>
      </c>
      <c r="E9" s="20">
        <f>IF(AND(ISNUMBER(C9),ISNUMBER(D9)), C9-D9, "")</f>
        <v>44233.078476998489</v>
      </c>
      <c r="F9" s="43">
        <f t="shared" si="3"/>
        <v>5.2402780944169336E-2</v>
      </c>
      <c r="G9" s="42">
        <f>SUM(Apr!G9+May!G9+Jun!G9)</f>
        <v>1073470.9999999998</v>
      </c>
      <c r="H9" s="20">
        <f>SUM(Apr!H9, May!H9, Jun!H9)</f>
        <v>-185139.99999999983</v>
      </c>
      <c r="I9" s="43">
        <f t="shared" si="4"/>
        <v>-0.17246856226204516</v>
      </c>
      <c r="J9" s="11"/>
      <c r="K9" s="19"/>
    </row>
    <row r="10" spans="1:11" ht="15.6">
      <c r="A10" s="13" t="str">
        <v xml:space="preserve"> Ludlow - Huxley 1 &amp; 2 - 504 Fuller St </v>
      </c>
      <c r="B10" s="10" t="str">
        <v>MA</v>
      </c>
      <c r="C10" s="49">
        <f>SUM(Apr!C10, May!C10, Jun!C10)</f>
        <v>1975214.4714171598</v>
      </c>
      <c r="D10" s="14">
        <f>SUM(Apr!D10, May!D10, Jun!D10)</f>
        <v>1811245.3174406935</v>
      </c>
      <c r="E10" s="14">
        <f>IF(AND(ISNUMBER(C10),ISNUMBER(D10)), C10-D10, "")</f>
        <v>163969.15397646627</v>
      </c>
      <c r="F10" s="48">
        <f t="shared" si="3"/>
        <v>9.0528407387772417E-2</v>
      </c>
      <c r="G10" s="47">
        <f>SUM(Apr!G10+May!G10+Jun!G10)</f>
        <v>2378720.0000000009</v>
      </c>
      <c r="H10" s="47">
        <f>SUM(Apr!H10, May!H10, Jun!H10)</f>
        <v>-403505.52858284139</v>
      </c>
      <c r="I10" s="46">
        <f t="shared" si="4"/>
        <v>-0.16963136837578244</v>
      </c>
    </row>
    <row r="11" spans="1:11" ht="15.6">
      <c r="A11" s="31" t="str">
        <v>Easthampton - Beacon 1 &amp; 2 - 540 Florence Rd</v>
      </c>
      <c r="B11" s="32" t="str">
        <v>MA</v>
      </c>
      <c r="C11" s="42">
        <f>SUM(Apr!C11, May!C11, Jun!C11)</f>
        <v>1491691</v>
      </c>
      <c r="D11" s="42">
        <f>SUM(Apr!D11, May!D11, Jun!D11)</f>
        <v>1733269.0224315003</v>
      </c>
      <c r="E11" s="20">
        <f>IF(AND(ISNUMBER(C11),ISNUMBER(D11)), C11-D11, "")</f>
        <v>-241578.02243150026</v>
      </c>
      <c r="F11" s="43">
        <f t="shared" si="3"/>
        <v>-0.13937710724940136</v>
      </c>
      <c r="G11" s="42">
        <f>SUM(Apr!G11+May!G11+Jun!G11)</f>
        <v>2094136.0000000014</v>
      </c>
      <c r="H11" s="20">
        <f>SUM(Apr!H11, May!H11, Jun!H11)</f>
        <v>-602445.0000000014</v>
      </c>
      <c r="I11" s="43">
        <f t="shared" si="4"/>
        <v>-0.28768188885535656</v>
      </c>
      <c r="J11" s="11"/>
      <c r="K11" s="19"/>
    </row>
    <row r="12" spans="1:11" ht="13.9">
      <c r="A12" s="23"/>
      <c r="B12" s="23"/>
      <c r="C12" s="23"/>
      <c r="D12" s="23"/>
      <c r="E12" s="23"/>
      <c r="F12" s="23"/>
      <c r="G12" s="23"/>
      <c r="H12" s="23"/>
      <c r="I12" s="23"/>
    </row>
    <row r="13" spans="1:11" ht="13.9">
      <c r="A13" s="23"/>
      <c r="B13" s="23"/>
      <c r="C13" s="23"/>
      <c r="D13" s="23"/>
      <c r="E13" s="23"/>
      <c r="F13" s="23"/>
      <c r="G13" s="23"/>
      <c r="H13" s="23"/>
      <c r="I13" s="23"/>
    </row>
    <row r="14" spans="1:11" ht="13.9">
      <c r="A14" s="23"/>
      <c r="B14" s="23"/>
      <c r="C14" s="23"/>
      <c r="D14" s="23"/>
      <c r="E14" s="23"/>
      <c r="F14" s="23"/>
      <c r="G14" s="23"/>
      <c r="H14" s="23"/>
      <c r="I14" s="23"/>
    </row>
    <row r="15" spans="1:11" ht="13.9">
      <c r="A15" s="23"/>
      <c r="B15" s="23"/>
      <c r="C15" s="23"/>
      <c r="D15" s="23"/>
      <c r="E15" s="23"/>
      <c r="F15" s="23"/>
      <c r="G15" s="23"/>
      <c r="H15" s="23"/>
      <c r="I15" s="23"/>
    </row>
    <row r="16" spans="1:11" ht="13.9">
      <c r="A16" s="23"/>
      <c r="B16" s="23"/>
      <c r="C16" s="23"/>
      <c r="D16" s="23"/>
      <c r="E16" s="23"/>
      <c r="F16" s="23"/>
      <c r="G16" s="23"/>
      <c r="H16" s="23"/>
      <c r="I16" s="23"/>
    </row>
    <row r="17" spans="1:9" ht="13.9">
      <c r="A17" s="23"/>
      <c r="B17" s="23"/>
      <c r="C17" s="23"/>
      <c r="D17" s="23"/>
      <c r="E17" s="23"/>
      <c r="F17" s="23"/>
      <c r="G17" s="23"/>
      <c r="H17" s="23"/>
      <c r="I17" s="23"/>
    </row>
    <row r="18" spans="1:9" ht="13.9">
      <c r="A18" s="23"/>
      <c r="B18" s="23"/>
      <c r="C18" s="23"/>
      <c r="D18" s="23"/>
      <c r="E18" s="23"/>
      <c r="F18" s="23"/>
      <c r="G18" s="23"/>
      <c r="H18" s="23"/>
      <c r="I18" s="23"/>
    </row>
    <row r="19" spans="1:9" ht="13.9">
      <c r="A19" s="23"/>
      <c r="B19" s="23"/>
      <c r="C19" s="23"/>
      <c r="D19" s="23"/>
      <c r="E19" s="23"/>
      <c r="F19" s="23"/>
      <c r="G19" s="23"/>
      <c r="H19" s="23"/>
      <c r="I19" s="23"/>
    </row>
    <row r="20" spans="1:9" ht="13.9">
      <c r="A20" s="23"/>
      <c r="B20" s="23"/>
      <c r="C20" s="23"/>
      <c r="D20" s="23"/>
      <c r="E20" s="23"/>
      <c r="F20" s="23"/>
      <c r="G20" s="23"/>
      <c r="H20" s="23"/>
      <c r="I20" s="23"/>
    </row>
    <row r="21" spans="1:9" ht="13.9">
      <c r="A21" s="23"/>
      <c r="B21" s="23"/>
      <c r="C21" s="23"/>
      <c r="D21" s="23"/>
      <c r="E21" s="23"/>
      <c r="F21" s="23"/>
      <c r="G21" s="23"/>
      <c r="H21" s="23"/>
      <c r="I21" s="23"/>
    </row>
    <row r="22" spans="1:9" ht="13.9">
      <c r="A22" s="23"/>
      <c r="B22" s="23"/>
      <c r="C22" s="23"/>
      <c r="D22" s="23"/>
      <c r="E22" s="23"/>
      <c r="F22" s="23"/>
      <c r="G22" s="23"/>
      <c r="H22" s="23"/>
      <c r="I22" s="23"/>
    </row>
    <row r="23" spans="1:9" ht="13.9">
      <c r="A23" s="23"/>
      <c r="B23" s="23"/>
      <c r="C23" s="23"/>
      <c r="D23" s="23"/>
      <c r="E23" s="23"/>
      <c r="F23" s="24"/>
      <c r="G23" s="23"/>
      <c r="H23" s="23"/>
      <c r="I23" s="24"/>
    </row>
    <row r="24" spans="1:9" ht="13.9">
      <c r="A24" s="23"/>
      <c r="B24" s="23"/>
      <c r="C24" s="23"/>
      <c r="D24" s="23"/>
      <c r="E24" s="23"/>
      <c r="F24" s="24"/>
      <c r="G24" s="23"/>
      <c r="H24" s="23"/>
      <c r="I24" s="24"/>
    </row>
    <row r="25" spans="1:9" ht="13.9">
      <c r="A25" s="23"/>
      <c r="B25" s="23"/>
      <c r="C25" s="23"/>
      <c r="D25" s="23"/>
      <c r="E25" s="23"/>
      <c r="F25" s="24"/>
      <c r="G25" s="23"/>
      <c r="H25" s="23"/>
      <c r="I25" s="24"/>
    </row>
    <row r="26" spans="1:9" ht="13.9">
      <c r="A26" s="23"/>
      <c r="B26" s="23"/>
      <c r="C26" s="23"/>
      <c r="D26" s="23"/>
      <c r="E26" s="23"/>
      <c r="F26" s="24"/>
      <c r="G26" s="23"/>
      <c r="H26" s="23"/>
      <c r="I26" s="24"/>
    </row>
    <row r="27" spans="1:9" ht="13.9">
      <c r="A27" s="23"/>
      <c r="B27" s="23"/>
      <c r="C27" s="23"/>
      <c r="D27" s="23"/>
      <c r="E27" s="23"/>
      <c r="F27" s="24"/>
      <c r="G27" s="23"/>
      <c r="H27" s="23"/>
      <c r="I27" s="24"/>
    </row>
    <row r="28" spans="1:9" ht="13.9">
      <c r="A28" s="23"/>
      <c r="B28" s="23"/>
      <c r="C28" s="23"/>
      <c r="D28" s="23"/>
      <c r="E28" s="23"/>
      <c r="F28" s="24"/>
      <c r="G28" s="23"/>
      <c r="H28" s="23"/>
      <c r="I28" s="24"/>
    </row>
    <row r="29" spans="1:9" ht="13.9">
      <c r="A29" s="23"/>
      <c r="B29" s="23"/>
      <c r="C29" s="23"/>
      <c r="D29" s="23"/>
      <c r="E29" s="23"/>
      <c r="F29" s="24"/>
      <c r="G29" s="23"/>
      <c r="H29" s="23"/>
      <c r="I29" s="24"/>
    </row>
    <row r="30" spans="1:9" ht="13.9">
      <c r="A30" s="23"/>
      <c r="B30" s="23"/>
      <c r="C30" s="23"/>
      <c r="D30" s="23"/>
      <c r="E30" s="23"/>
      <c r="F30" s="24"/>
      <c r="G30" s="23"/>
      <c r="H30" s="23"/>
      <c r="I30" s="24"/>
    </row>
    <row r="31" spans="1:9" ht="13.9">
      <c r="A31" s="23"/>
      <c r="B31" s="23"/>
      <c r="C31" s="23"/>
      <c r="D31" s="23"/>
      <c r="E31" s="23"/>
      <c r="F31" s="24"/>
      <c r="G31" s="23"/>
      <c r="H31" s="23"/>
      <c r="I31" s="24"/>
    </row>
    <row r="32" spans="1:9" ht="13.9">
      <c r="A32" s="23"/>
      <c r="B32" s="23"/>
      <c r="C32" s="23"/>
      <c r="D32" s="23"/>
      <c r="E32" s="23"/>
      <c r="F32" s="24"/>
      <c r="G32" s="23"/>
      <c r="H32" s="23"/>
      <c r="I32" s="24"/>
    </row>
    <row r="33" spans="1:9" ht="13.9">
      <c r="A33" s="23"/>
      <c r="B33" s="23"/>
      <c r="C33" s="23"/>
      <c r="D33" s="23"/>
      <c r="E33" s="23"/>
      <c r="F33" s="24"/>
      <c r="G33" s="23"/>
      <c r="H33" s="23"/>
      <c r="I33" s="24"/>
    </row>
    <row r="34" spans="1:9" ht="13.9">
      <c r="A34" s="23"/>
      <c r="B34" s="23"/>
      <c r="C34" s="23"/>
      <c r="D34" s="23"/>
      <c r="E34" s="23"/>
      <c r="F34" s="24"/>
      <c r="G34" s="23"/>
      <c r="H34" s="23"/>
      <c r="I34" s="24"/>
    </row>
    <row r="35" spans="1:9" ht="13.9">
      <c r="A35" s="23"/>
      <c r="B35" s="23"/>
      <c r="C35" s="23"/>
      <c r="D35" s="23"/>
      <c r="E35" s="23"/>
      <c r="F35" s="24"/>
      <c r="G35" s="23"/>
      <c r="H35" s="23"/>
      <c r="I35" s="24"/>
    </row>
    <row r="36" spans="1:9" ht="13.9">
      <c r="A36" s="23"/>
      <c r="B36" s="23"/>
      <c r="C36" s="23"/>
      <c r="D36" s="23"/>
      <c r="E36" s="23"/>
      <c r="F36" s="24"/>
      <c r="G36" s="23"/>
      <c r="H36" s="23"/>
      <c r="I36" s="24"/>
    </row>
    <row r="37" spans="1:9" ht="13.9">
      <c r="A37" s="23"/>
      <c r="B37" s="23"/>
      <c r="C37" s="23"/>
      <c r="D37" s="23"/>
      <c r="E37" s="23"/>
      <c r="F37" s="24"/>
      <c r="G37" s="23"/>
      <c r="H37" s="23"/>
      <c r="I37" s="24"/>
    </row>
    <row r="38" spans="1:9" ht="13.9">
      <c r="A38" s="23"/>
      <c r="B38" s="23"/>
      <c r="C38" s="23"/>
      <c r="D38" s="23"/>
      <c r="E38" s="23"/>
      <c r="F38" s="24"/>
      <c r="G38" s="23"/>
      <c r="H38" s="23"/>
      <c r="I38" s="24"/>
    </row>
    <row r="39" spans="1:9" ht="13.9">
      <c r="A39" s="23"/>
      <c r="B39" s="23"/>
      <c r="C39" s="23"/>
      <c r="D39" s="23"/>
      <c r="E39" s="23"/>
      <c r="F39" s="24"/>
      <c r="G39" s="23"/>
      <c r="H39" s="23"/>
      <c r="I39" s="24"/>
    </row>
    <row r="40" spans="1:9" ht="13.9">
      <c r="A40" s="23"/>
      <c r="B40" s="23"/>
      <c r="C40" s="23"/>
      <c r="D40" s="23"/>
      <c r="E40" s="23"/>
      <c r="F40" s="24"/>
      <c r="G40" s="23"/>
      <c r="H40" s="23"/>
      <c r="I40" s="24"/>
    </row>
    <row r="41" spans="1:9" ht="13.9">
      <c r="A41" s="23"/>
      <c r="B41" s="23"/>
      <c r="C41" s="23"/>
      <c r="D41" s="23"/>
      <c r="E41" s="23"/>
      <c r="F41" s="24"/>
      <c r="G41" s="23"/>
      <c r="H41" s="23"/>
      <c r="I41" s="24"/>
    </row>
    <row r="42" spans="1:9" ht="13.9">
      <c r="A42" s="23"/>
      <c r="B42" s="23"/>
      <c r="C42" s="23"/>
      <c r="D42" s="23"/>
      <c r="E42" s="23"/>
      <c r="F42" s="24"/>
      <c r="G42" s="23"/>
      <c r="H42" s="23"/>
      <c r="I42" s="24"/>
    </row>
    <row r="43" spans="1:9" ht="13.9">
      <c r="A43" s="23"/>
      <c r="B43" s="23"/>
      <c r="C43" s="23"/>
      <c r="D43" s="23"/>
      <c r="E43" s="23"/>
      <c r="F43" s="24"/>
      <c r="G43" s="23"/>
      <c r="H43" s="23"/>
      <c r="I43" s="24"/>
    </row>
    <row r="44" spans="1:9" ht="13.9">
      <c r="A44" s="23"/>
      <c r="B44" s="23"/>
      <c r="C44" s="23"/>
      <c r="D44" s="23"/>
      <c r="E44" s="23"/>
      <c r="F44" s="24"/>
      <c r="G44" s="23"/>
      <c r="H44" s="23"/>
      <c r="I44" s="24"/>
    </row>
    <row r="45" spans="1:9" ht="13.9">
      <c r="A45" s="23"/>
      <c r="B45" s="23"/>
      <c r="C45" s="23"/>
      <c r="D45" s="23"/>
      <c r="E45" s="23"/>
      <c r="F45" s="24"/>
      <c r="G45" s="23"/>
      <c r="H45" s="23"/>
      <c r="I45" s="24"/>
    </row>
    <row r="46" spans="1:9" ht="13.9">
      <c r="A46" s="23"/>
      <c r="B46" s="23"/>
      <c r="C46" s="23"/>
      <c r="D46" s="23"/>
      <c r="E46" s="23"/>
      <c r="F46" s="24"/>
      <c r="G46" s="23"/>
      <c r="H46" s="23"/>
      <c r="I46" s="24"/>
    </row>
    <row r="47" spans="1:9" ht="13.9">
      <c r="A47" s="23"/>
      <c r="B47" s="23"/>
      <c r="C47" s="23"/>
      <c r="D47" s="23"/>
      <c r="E47" s="23"/>
      <c r="F47" s="24"/>
      <c r="G47" s="23"/>
      <c r="H47" s="23"/>
      <c r="I47" s="24"/>
    </row>
    <row r="48" spans="1:9" ht="13.9">
      <c r="A48" s="23"/>
      <c r="B48" s="23"/>
      <c r="C48" s="23"/>
      <c r="D48" s="23"/>
      <c r="E48" s="23"/>
      <c r="F48" s="24"/>
      <c r="G48" s="23"/>
      <c r="H48" s="23"/>
      <c r="I48" s="24"/>
    </row>
    <row r="49" spans="1:9" ht="13.9">
      <c r="A49" s="23"/>
      <c r="B49" s="23"/>
      <c r="C49" s="23"/>
      <c r="D49" s="23"/>
      <c r="E49" s="23"/>
      <c r="F49" s="24"/>
      <c r="G49" s="23"/>
      <c r="H49" s="23"/>
      <c r="I49" s="24"/>
    </row>
    <row r="50" spans="1:9" ht="13.9">
      <c r="A50" s="23"/>
      <c r="B50" s="23"/>
      <c r="C50" s="23"/>
      <c r="D50" s="23"/>
      <c r="E50" s="23"/>
      <c r="F50" s="24"/>
      <c r="G50" s="23"/>
      <c r="H50" s="23"/>
      <c r="I50" s="24"/>
    </row>
    <row r="51" spans="1:9" ht="13.9">
      <c r="A51" s="23"/>
      <c r="B51" s="23"/>
      <c r="C51" s="23"/>
      <c r="D51" s="23"/>
      <c r="E51" s="23"/>
      <c r="F51" s="24"/>
      <c r="G51" s="23"/>
      <c r="H51" s="23"/>
      <c r="I51" s="24"/>
    </row>
    <row r="52" spans="1:9" ht="13.9">
      <c r="A52" s="23"/>
      <c r="B52" s="23"/>
      <c r="C52" s="23"/>
      <c r="D52" s="23"/>
      <c r="E52" s="23"/>
      <c r="F52" s="24"/>
      <c r="G52" s="23"/>
      <c r="H52" s="23"/>
      <c r="I52" s="24"/>
    </row>
    <row r="53" spans="1:9" ht="13.9">
      <c r="A53" s="23"/>
      <c r="B53" s="23"/>
      <c r="C53" s="23"/>
      <c r="D53" s="23"/>
      <c r="E53" s="23"/>
      <c r="F53" s="24"/>
      <c r="G53" s="23"/>
      <c r="H53" s="23"/>
      <c r="I53" s="24"/>
    </row>
    <row r="54" spans="1:9" ht="13.9">
      <c r="A54" s="23"/>
      <c r="B54" s="23"/>
      <c r="C54" s="23"/>
      <c r="D54" s="23"/>
      <c r="E54" s="23"/>
      <c r="F54" s="24"/>
      <c r="G54" s="23"/>
      <c r="H54" s="23"/>
      <c r="I54" s="24"/>
    </row>
    <row r="55" spans="1:9" ht="13.9">
      <c r="A55" s="23"/>
      <c r="B55" s="23"/>
      <c r="C55" s="23"/>
      <c r="D55" s="23"/>
      <c r="E55" s="23"/>
      <c r="F55" s="24"/>
      <c r="G55" s="23"/>
      <c r="H55" s="23"/>
      <c r="I55" s="24"/>
    </row>
    <row r="56" spans="1:9" ht="13.9">
      <c r="A56" s="23"/>
      <c r="B56" s="23"/>
      <c r="C56" s="23"/>
      <c r="D56" s="23"/>
      <c r="E56" s="23"/>
      <c r="F56" s="24"/>
      <c r="G56" s="23"/>
      <c r="H56" s="23"/>
      <c r="I56" s="24"/>
    </row>
    <row r="57" spans="1:9" ht="13.9">
      <c r="A57" s="23"/>
      <c r="B57" s="23"/>
      <c r="C57" s="23"/>
      <c r="D57" s="23"/>
      <c r="E57" s="23"/>
      <c r="F57" s="24"/>
      <c r="G57" s="23"/>
      <c r="H57" s="23"/>
      <c r="I57" s="24"/>
    </row>
    <row r="58" spans="1:9" ht="13.9">
      <c r="A58" s="23"/>
      <c r="B58" s="23"/>
      <c r="C58" s="23"/>
      <c r="D58" s="23"/>
      <c r="E58" s="23"/>
      <c r="F58" s="24"/>
      <c r="G58" s="23"/>
      <c r="H58" s="23"/>
      <c r="I58" s="24"/>
    </row>
    <row r="59" spans="1:9" ht="13.9">
      <c r="A59" s="23"/>
      <c r="B59" s="23"/>
      <c r="C59" s="23"/>
      <c r="D59" s="23"/>
      <c r="E59" s="23"/>
      <c r="F59" s="24"/>
      <c r="G59" s="23"/>
      <c r="H59" s="23"/>
      <c r="I59" s="24"/>
    </row>
    <row r="60" spans="1:9" ht="13.9">
      <c r="A60" s="23"/>
      <c r="B60" s="23"/>
      <c r="C60" s="23"/>
      <c r="D60" s="23"/>
      <c r="E60" s="23"/>
      <c r="F60" s="24"/>
      <c r="G60" s="23"/>
      <c r="H60" s="23"/>
      <c r="I60" s="24"/>
    </row>
    <row r="61" spans="1:9" ht="13.9">
      <c r="A61" s="23"/>
      <c r="B61" s="23"/>
      <c r="C61" s="23"/>
      <c r="D61" s="23"/>
      <c r="E61" s="23"/>
      <c r="F61" s="24"/>
      <c r="G61" s="23"/>
      <c r="H61" s="23"/>
      <c r="I61" s="24"/>
    </row>
    <row r="62" spans="1:9" ht="13.9">
      <c r="A62" s="23"/>
      <c r="B62" s="23"/>
      <c r="C62" s="23"/>
      <c r="D62" s="23"/>
      <c r="E62" s="23"/>
      <c r="F62" s="24"/>
      <c r="G62" s="23"/>
      <c r="H62" s="23"/>
      <c r="I62" s="24"/>
    </row>
    <row r="63" spans="1:9" ht="13.9">
      <c r="A63" s="23"/>
      <c r="B63" s="23"/>
      <c r="C63" s="23"/>
      <c r="D63" s="23"/>
      <c r="E63" s="23"/>
      <c r="F63" s="24"/>
      <c r="G63" s="23"/>
      <c r="H63" s="23"/>
      <c r="I63" s="24"/>
    </row>
    <row r="64" spans="1:9" ht="13.9">
      <c r="A64" s="23"/>
      <c r="B64" s="23"/>
      <c r="C64" s="23"/>
      <c r="D64" s="23"/>
      <c r="E64" s="23"/>
      <c r="F64" s="24"/>
      <c r="G64" s="23"/>
      <c r="H64" s="23"/>
      <c r="I64" s="24"/>
    </row>
    <row r="65" spans="1:9" ht="13.9">
      <c r="A65" s="23"/>
      <c r="B65" s="23"/>
      <c r="C65" s="23"/>
      <c r="D65" s="23"/>
      <c r="E65" s="23"/>
      <c r="F65" s="24"/>
      <c r="G65" s="23"/>
      <c r="H65" s="23"/>
      <c r="I65" s="24"/>
    </row>
    <row r="66" spans="1:9" ht="13.9">
      <c r="A66" s="23"/>
      <c r="B66" s="23"/>
      <c r="C66" s="23"/>
      <c r="D66" s="23"/>
      <c r="E66" s="23"/>
      <c r="F66" s="24"/>
      <c r="G66" s="23"/>
      <c r="H66" s="23"/>
      <c r="I66" s="24"/>
    </row>
    <row r="67" spans="1:9" ht="13.9">
      <c r="A67" s="23"/>
      <c r="B67" s="23"/>
      <c r="C67" s="23"/>
      <c r="D67" s="23"/>
      <c r="E67" s="23"/>
      <c r="F67" s="24"/>
      <c r="G67" s="23"/>
      <c r="H67" s="23"/>
      <c r="I67" s="24"/>
    </row>
    <row r="68" spans="1:9" ht="13.9">
      <c r="A68" s="23"/>
      <c r="B68" s="23"/>
      <c r="C68" s="23"/>
      <c r="D68" s="23"/>
      <c r="E68" s="23"/>
      <c r="F68" s="24"/>
      <c r="G68" s="23"/>
      <c r="H68" s="23"/>
      <c r="I68" s="24"/>
    </row>
    <row r="69" spans="1:9" ht="13.9">
      <c r="A69" s="23"/>
      <c r="B69" s="23"/>
      <c r="C69" s="23"/>
      <c r="D69" s="23"/>
      <c r="E69" s="23"/>
      <c r="F69" s="24"/>
      <c r="G69" s="23"/>
      <c r="H69" s="23"/>
      <c r="I69" s="24"/>
    </row>
    <row r="70" spans="1:9" ht="13.9">
      <c r="A70" s="23"/>
      <c r="B70" s="23"/>
      <c r="C70" s="23"/>
      <c r="D70" s="23"/>
      <c r="E70" s="23"/>
      <c r="F70" s="24"/>
      <c r="G70" s="23"/>
      <c r="H70" s="23"/>
      <c r="I70" s="24"/>
    </row>
    <row r="71" spans="1:9" ht="13.9">
      <c r="A71" s="23"/>
      <c r="B71" s="23"/>
      <c r="C71" s="23"/>
      <c r="D71" s="23"/>
      <c r="E71" s="23"/>
      <c r="F71" s="24"/>
      <c r="G71" s="23"/>
      <c r="H71" s="23"/>
      <c r="I71" s="24"/>
    </row>
    <row r="72" spans="1:9" ht="13.9">
      <c r="A72" s="23"/>
      <c r="B72" s="23"/>
      <c r="C72" s="23"/>
      <c r="D72" s="23"/>
      <c r="E72" s="23"/>
      <c r="F72" s="24"/>
      <c r="G72" s="23"/>
      <c r="H72" s="23"/>
      <c r="I72" s="24"/>
    </row>
    <row r="73" spans="1:9" ht="13.9">
      <c r="A73" s="23"/>
      <c r="B73" s="23"/>
      <c r="C73" s="23"/>
      <c r="D73" s="23"/>
      <c r="E73" s="23"/>
      <c r="F73" s="24"/>
      <c r="G73" s="23"/>
      <c r="H73" s="23"/>
      <c r="I73" s="24"/>
    </row>
    <row r="74" spans="1:9" ht="13.9">
      <c r="A74" s="23"/>
      <c r="B74" s="23"/>
      <c r="C74" s="23"/>
      <c r="D74" s="23"/>
      <c r="E74" s="23"/>
      <c r="F74" s="24"/>
      <c r="G74" s="23"/>
      <c r="H74" s="23"/>
      <c r="I74" s="24"/>
    </row>
    <row r="75" spans="1:9" ht="13.9">
      <c r="A75" s="23"/>
      <c r="B75" s="23"/>
      <c r="C75" s="23"/>
      <c r="D75" s="23"/>
      <c r="E75" s="23"/>
      <c r="F75" s="24"/>
      <c r="G75" s="23"/>
      <c r="H75" s="23"/>
      <c r="I75" s="24"/>
    </row>
    <row r="76" spans="1:9" ht="13.9">
      <c r="A76" s="23"/>
      <c r="B76" s="23"/>
      <c r="C76" s="23"/>
      <c r="D76" s="23"/>
      <c r="E76" s="23"/>
      <c r="F76" s="24"/>
      <c r="G76" s="23"/>
      <c r="H76" s="23"/>
      <c r="I76" s="24"/>
    </row>
    <row r="77" spans="1:9" ht="13.9">
      <c r="A77" s="23"/>
      <c r="B77" s="23"/>
      <c r="C77" s="23"/>
      <c r="D77" s="23"/>
      <c r="E77" s="23"/>
      <c r="F77" s="24"/>
      <c r="G77" s="23"/>
      <c r="H77" s="23"/>
      <c r="I77" s="24"/>
    </row>
    <row r="78" spans="1:9" ht="13.9">
      <c r="A78" s="23"/>
      <c r="B78" s="23"/>
      <c r="C78" s="23"/>
      <c r="D78" s="23"/>
      <c r="E78" s="23"/>
      <c r="F78" s="24"/>
      <c r="G78" s="23"/>
      <c r="H78" s="23"/>
      <c r="I78" s="24"/>
    </row>
    <row r="79" spans="1:9" ht="13.9">
      <c r="A79" s="23"/>
      <c r="B79" s="23"/>
      <c r="C79" s="23"/>
      <c r="D79" s="23"/>
      <c r="E79" s="23"/>
      <c r="F79" s="24"/>
      <c r="G79" s="23"/>
      <c r="H79" s="23"/>
      <c r="I79" s="24"/>
    </row>
    <row r="80" spans="1:9" ht="13.9">
      <c r="A80" s="23"/>
      <c r="B80" s="23"/>
      <c r="C80" s="23"/>
      <c r="D80" s="23"/>
      <c r="E80" s="23"/>
      <c r="F80" s="24"/>
      <c r="G80" s="23"/>
      <c r="H80" s="23"/>
      <c r="I80" s="24"/>
    </row>
    <row r="81" spans="1:9" ht="13.9">
      <c r="A81" s="23"/>
      <c r="B81" s="23"/>
      <c r="C81" s="23"/>
      <c r="D81" s="23"/>
      <c r="E81" s="23"/>
      <c r="F81" s="24"/>
      <c r="G81" s="23"/>
      <c r="H81" s="23"/>
      <c r="I81" s="24"/>
    </row>
    <row r="82" spans="1:9" ht="13.9">
      <c r="A82" s="23"/>
      <c r="B82" s="23"/>
      <c r="C82" s="23"/>
      <c r="D82" s="23"/>
      <c r="E82" s="23"/>
      <c r="F82" s="24"/>
      <c r="G82" s="23"/>
      <c r="H82" s="23"/>
      <c r="I82" s="24"/>
    </row>
    <row r="83" spans="1:9" ht="13.9">
      <c r="A83" s="23"/>
      <c r="B83" s="23"/>
      <c r="C83" s="23"/>
      <c r="D83" s="23"/>
      <c r="E83" s="23"/>
      <c r="F83" s="24"/>
      <c r="G83" s="23"/>
      <c r="H83" s="23"/>
      <c r="I83" s="24"/>
    </row>
    <row r="84" spans="1:9" ht="13.9">
      <c r="A84" s="23"/>
      <c r="B84" s="23"/>
      <c r="C84" s="23"/>
      <c r="D84" s="23"/>
      <c r="E84" s="23"/>
      <c r="F84" s="24"/>
      <c r="G84" s="23"/>
      <c r="H84" s="23"/>
      <c r="I84" s="24"/>
    </row>
    <row r="85" spans="1:9" ht="13.9">
      <c r="A85" s="23"/>
      <c r="B85" s="23"/>
      <c r="C85" s="23"/>
      <c r="D85" s="23"/>
      <c r="E85" s="23"/>
      <c r="F85" s="24"/>
      <c r="G85" s="23"/>
      <c r="H85" s="23"/>
      <c r="I85" s="24"/>
    </row>
    <row r="86" spans="1:9" ht="13.9">
      <c r="A86" s="23"/>
      <c r="B86" s="23"/>
      <c r="C86" s="23"/>
      <c r="D86" s="23"/>
      <c r="E86" s="23"/>
      <c r="F86" s="24"/>
      <c r="G86" s="23"/>
      <c r="H86" s="23"/>
      <c r="I86" s="24"/>
    </row>
    <row r="87" spans="1:9" ht="13.9">
      <c r="A87" s="23"/>
      <c r="B87" s="23"/>
      <c r="C87" s="23"/>
      <c r="D87" s="23"/>
      <c r="E87" s="23"/>
      <c r="F87" s="24"/>
      <c r="G87" s="23"/>
      <c r="H87" s="23"/>
      <c r="I87" s="24"/>
    </row>
    <row r="88" spans="1:9" ht="13.9">
      <c r="A88" s="23"/>
      <c r="B88" s="23"/>
      <c r="C88" s="23"/>
      <c r="D88" s="23"/>
      <c r="E88" s="23"/>
      <c r="F88" s="24"/>
      <c r="G88" s="23"/>
      <c r="H88" s="23"/>
      <c r="I88" s="24"/>
    </row>
    <row r="89" spans="1:9" ht="13.9">
      <c r="A89" s="23"/>
      <c r="B89" s="23"/>
      <c r="C89" s="23"/>
      <c r="D89" s="23"/>
      <c r="E89" s="23"/>
      <c r="F89" s="24"/>
      <c r="G89" s="23"/>
      <c r="H89" s="23"/>
      <c r="I89" s="24"/>
    </row>
    <row r="90" spans="1:9" ht="13.9">
      <c r="A90" s="23"/>
      <c r="B90" s="23"/>
      <c r="C90" s="23"/>
      <c r="D90" s="23"/>
      <c r="E90" s="23"/>
      <c r="F90" s="24"/>
      <c r="G90" s="23"/>
      <c r="H90" s="23"/>
      <c r="I90" s="24"/>
    </row>
    <row r="91" spans="1:9" ht="13.9">
      <c r="A91" s="23"/>
      <c r="B91" s="23"/>
      <c r="C91" s="23"/>
      <c r="D91" s="23"/>
      <c r="E91" s="23"/>
      <c r="F91" s="24"/>
      <c r="G91" s="23"/>
      <c r="H91" s="23"/>
      <c r="I91" s="24"/>
    </row>
    <row r="92" spans="1:9" ht="13.9">
      <c r="A92" s="23"/>
      <c r="B92" s="23"/>
      <c r="C92" s="23"/>
      <c r="D92" s="23"/>
      <c r="E92" s="23"/>
      <c r="F92" s="24"/>
      <c r="G92" s="23"/>
      <c r="H92" s="23"/>
      <c r="I92" s="24"/>
    </row>
    <row r="93" spans="1:9" ht="13.9">
      <c r="A93" s="23"/>
      <c r="B93" s="23"/>
      <c r="C93" s="23"/>
      <c r="D93" s="23"/>
      <c r="E93" s="23"/>
      <c r="F93" s="24"/>
      <c r="G93" s="23"/>
      <c r="H93" s="23"/>
      <c r="I93" s="24"/>
    </row>
    <row r="94" spans="1:9" ht="13.9">
      <c r="A94" s="23"/>
      <c r="B94" s="23"/>
      <c r="C94" s="23"/>
      <c r="D94" s="23"/>
      <c r="E94" s="23"/>
      <c r="F94" s="24"/>
      <c r="G94" s="23"/>
      <c r="H94" s="23"/>
      <c r="I94" s="24"/>
    </row>
    <row r="95" spans="1:9" ht="13.9">
      <c r="A95" s="23"/>
      <c r="B95" s="23"/>
      <c r="C95" s="23"/>
      <c r="D95" s="23"/>
      <c r="E95" s="23"/>
      <c r="F95" s="24"/>
      <c r="G95" s="23"/>
      <c r="H95" s="23"/>
      <c r="I95" s="24"/>
    </row>
    <row r="96" spans="1:9" ht="13.9">
      <c r="A96" s="23"/>
      <c r="B96" s="23"/>
      <c r="C96" s="23"/>
      <c r="D96" s="23"/>
      <c r="E96" s="23"/>
      <c r="F96" s="24"/>
      <c r="G96" s="23"/>
      <c r="H96" s="23"/>
      <c r="I96" s="24"/>
    </row>
    <row r="97" spans="1:9" ht="13.9">
      <c r="A97" s="23"/>
      <c r="B97" s="23"/>
      <c r="C97" s="23"/>
      <c r="D97" s="23"/>
      <c r="E97" s="23"/>
      <c r="F97" s="24"/>
      <c r="G97" s="23"/>
      <c r="H97" s="23"/>
      <c r="I97" s="24"/>
    </row>
    <row r="98" spans="1:9" ht="13.9">
      <c r="A98" s="23"/>
      <c r="B98" s="23"/>
      <c r="C98" s="23"/>
      <c r="D98" s="23"/>
      <c r="E98" s="23"/>
      <c r="F98" s="24"/>
      <c r="G98" s="23"/>
      <c r="H98" s="23"/>
      <c r="I98" s="24"/>
    </row>
    <row r="99" spans="1:9" ht="13.9">
      <c r="A99" s="23"/>
      <c r="B99" s="23"/>
      <c r="C99" s="23"/>
      <c r="D99" s="23"/>
      <c r="E99" s="23"/>
      <c r="F99" s="24"/>
      <c r="G99" s="23"/>
      <c r="H99" s="23"/>
      <c r="I99" s="24"/>
    </row>
    <row r="100" spans="1:9" ht="13.9">
      <c r="A100" s="23"/>
      <c r="B100" s="23"/>
      <c r="C100" s="23"/>
      <c r="D100" s="23"/>
      <c r="E100" s="23"/>
      <c r="F100" s="24"/>
      <c r="G100" s="23"/>
      <c r="H100" s="23"/>
      <c r="I100" s="24"/>
    </row>
    <row r="101" spans="1:9" ht="13.9">
      <c r="A101" s="23"/>
      <c r="B101" s="23"/>
      <c r="C101" s="23"/>
      <c r="D101" s="23"/>
      <c r="E101" s="23"/>
      <c r="F101" s="24"/>
      <c r="G101" s="23"/>
      <c r="H101" s="23"/>
      <c r="I101" s="24"/>
    </row>
    <row r="102" spans="1:9" ht="13.9">
      <c r="A102" s="23"/>
      <c r="B102" s="23"/>
      <c r="C102" s="23"/>
      <c r="D102" s="23"/>
      <c r="E102" s="23"/>
      <c r="F102" s="24"/>
      <c r="G102" s="23"/>
      <c r="H102" s="23"/>
      <c r="I102" s="24"/>
    </row>
    <row r="103" spans="1:9" ht="13.9">
      <c r="A103" s="23"/>
      <c r="B103" s="23"/>
      <c r="C103" s="23"/>
      <c r="D103" s="23"/>
      <c r="E103" s="23"/>
      <c r="F103" s="24"/>
      <c r="G103" s="23"/>
      <c r="H103" s="23"/>
      <c r="I103" s="24"/>
    </row>
    <row r="104" spans="1:9" ht="13.9">
      <c r="A104" s="23"/>
      <c r="B104" s="23"/>
      <c r="C104" s="23"/>
      <c r="D104" s="23"/>
      <c r="E104" s="23"/>
      <c r="F104" s="24"/>
      <c r="G104" s="23"/>
      <c r="H104" s="23"/>
      <c r="I104" s="24"/>
    </row>
    <row r="105" spans="1:9" ht="13.9">
      <c r="A105" s="23"/>
      <c r="B105" s="23"/>
      <c r="C105" s="23"/>
      <c r="D105" s="23"/>
      <c r="E105" s="23"/>
      <c r="F105" s="24"/>
      <c r="G105" s="23"/>
      <c r="H105" s="23"/>
      <c r="I105" s="24"/>
    </row>
    <row r="106" spans="1:9" ht="13.9">
      <c r="A106" s="23"/>
      <c r="B106" s="23"/>
      <c r="C106" s="23"/>
      <c r="D106" s="23"/>
      <c r="E106" s="23"/>
      <c r="F106" s="24"/>
      <c r="G106" s="23"/>
      <c r="H106" s="23"/>
      <c r="I106" s="24"/>
    </row>
    <row r="107" spans="1:9" ht="13.9">
      <c r="A107" s="23"/>
      <c r="B107" s="23"/>
      <c r="C107" s="23"/>
      <c r="D107" s="23"/>
      <c r="E107" s="23"/>
      <c r="F107" s="24"/>
      <c r="G107" s="23"/>
      <c r="H107" s="23"/>
      <c r="I107" s="24"/>
    </row>
    <row r="108" spans="1:9" ht="13.9">
      <c r="A108" s="23"/>
      <c r="B108" s="23"/>
      <c r="C108" s="23"/>
      <c r="D108" s="23"/>
      <c r="E108" s="23"/>
      <c r="F108" s="24"/>
      <c r="G108" s="23"/>
      <c r="H108" s="23"/>
      <c r="I108" s="24"/>
    </row>
    <row r="109" spans="1:9" ht="13.9">
      <c r="A109" s="23"/>
      <c r="B109" s="23"/>
      <c r="C109" s="23"/>
      <c r="D109" s="23"/>
      <c r="E109" s="23"/>
      <c r="F109" s="24"/>
      <c r="G109" s="23"/>
      <c r="H109" s="23"/>
      <c r="I109" s="24"/>
    </row>
    <row r="110" spans="1:9" ht="13.9">
      <c r="A110" s="23"/>
      <c r="B110" s="23"/>
      <c r="C110" s="23"/>
      <c r="D110" s="23"/>
      <c r="E110" s="23"/>
      <c r="F110" s="24"/>
      <c r="G110" s="23"/>
      <c r="H110" s="23"/>
      <c r="I110" s="24"/>
    </row>
    <row r="111" spans="1:9" ht="13.9">
      <c r="A111" s="23"/>
      <c r="B111" s="23"/>
      <c r="C111" s="23"/>
      <c r="D111" s="23"/>
      <c r="E111" s="23"/>
      <c r="F111" s="24"/>
      <c r="G111" s="23"/>
      <c r="H111" s="23"/>
      <c r="I111" s="24"/>
    </row>
    <row r="112" spans="1:9" ht="13.9">
      <c r="A112" s="23"/>
      <c r="B112" s="23"/>
      <c r="C112" s="23"/>
      <c r="D112" s="23"/>
      <c r="E112" s="23"/>
      <c r="F112" s="24"/>
      <c r="G112" s="23"/>
      <c r="H112" s="23"/>
      <c r="I112" s="24"/>
    </row>
    <row r="113" spans="1:9" ht="13.9">
      <c r="A113" s="23"/>
      <c r="B113" s="23"/>
      <c r="C113" s="23"/>
      <c r="D113" s="23"/>
      <c r="E113" s="23"/>
      <c r="F113" s="24"/>
      <c r="G113" s="23"/>
      <c r="H113" s="23"/>
      <c r="I113" s="24"/>
    </row>
    <row r="114" spans="1:9" ht="13.9">
      <c r="A114" s="23"/>
      <c r="B114" s="23"/>
      <c r="C114" s="23"/>
      <c r="D114" s="23"/>
      <c r="E114" s="23"/>
      <c r="F114" s="24"/>
      <c r="G114" s="23"/>
      <c r="H114" s="23"/>
      <c r="I114" s="24"/>
    </row>
    <row r="115" spans="1:9" ht="13.9">
      <c r="A115" s="23"/>
      <c r="B115" s="23"/>
      <c r="C115" s="23"/>
      <c r="D115" s="23"/>
      <c r="E115" s="23"/>
      <c r="F115" s="24"/>
      <c r="G115" s="23"/>
      <c r="H115" s="23"/>
      <c r="I115" s="24"/>
    </row>
    <row r="116" spans="1:9" ht="13.9">
      <c r="A116" s="23"/>
      <c r="B116" s="23"/>
      <c r="C116" s="23"/>
      <c r="D116" s="23"/>
      <c r="E116" s="23"/>
      <c r="F116" s="24"/>
      <c r="G116" s="23"/>
      <c r="H116" s="23"/>
      <c r="I116" s="24"/>
    </row>
    <row r="117" spans="1:9" ht="13.9">
      <c r="A117" s="23"/>
      <c r="B117" s="23"/>
      <c r="C117" s="23"/>
      <c r="D117" s="23"/>
      <c r="E117" s="23"/>
      <c r="F117" s="24"/>
      <c r="G117" s="23"/>
      <c r="H117" s="23"/>
      <c r="I117" s="24"/>
    </row>
    <row r="118" spans="1:9" ht="13.9">
      <c r="A118" s="23"/>
      <c r="B118" s="23"/>
      <c r="C118" s="23"/>
      <c r="D118" s="23"/>
      <c r="E118" s="23"/>
      <c r="F118" s="24"/>
      <c r="G118" s="23"/>
      <c r="H118" s="23"/>
      <c r="I118" s="24"/>
    </row>
    <row r="119" spans="1:9" ht="13.9">
      <c r="A119" s="23"/>
      <c r="B119" s="23"/>
      <c r="C119" s="23"/>
      <c r="D119" s="23"/>
      <c r="E119" s="23"/>
      <c r="F119" s="24"/>
      <c r="G119" s="23"/>
      <c r="H119" s="23"/>
      <c r="I119" s="24"/>
    </row>
    <row r="120" spans="1:9" ht="13.9">
      <c r="A120" s="23"/>
      <c r="B120" s="23"/>
      <c r="C120" s="23"/>
      <c r="D120" s="23"/>
      <c r="E120" s="23"/>
      <c r="F120" s="24"/>
      <c r="G120" s="23"/>
      <c r="H120" s="23"/>
      <c r="I120" s="24"/>
    </row>
    <row r="121" spans="1:9" ht="13.9">
      <c r="A121" s="23"/>
      <c r="B121" s="23"/>
      <c r="C121" s="23"/>
      <c r="D121" s="23"/>
      <c r="E121" s="23"/>
      <c r="F121" s="24"/>
      <c r="G121" s="23"/>
      <c r="H121" s="23"/>
      <c r="I121" s="24"/>
    </row>
    <row r="122" spans="1:9" ht="13.9">
      <c r="A122" s="23"/>
      <c r="B122" s="23"/>
      <c r="C122" s="23"/>
      <c r="D122" s="23"/>
      <c r="E122" s="23"/>
      <c r="F122" s="24"/>
      <c r="G122" s="23"/>
      <c r="H122" s="23"/>
      <c r="I122" s="24"/>
    </row>
    <row r="123" spans="1:9" ht="13.9">
      <c r="A123" s="23"/>
      <c r="B123" s="23"/>
      <c r="C123" s="23"/>
      <c r="D123" s="23"/>
      <c r="E123" s="23"/>
      <c r="F123" s="24"/>
      <c r="G123" s="23"/>
      <c r="H123" s="23"/>
      <c r="I123" s="24"/>
    </row>
    <row r="124" spans="1:9" ht="13.9">
      <c r="A124" s="23"/>
      <c r="B124" s="23"/>
      <c r="C124" s="23"/>
      <c r="D124" s="23"/>
      <c r="E124" s="23"/>
      <c r="F124" s="24"/>
      <c r="G124" s="23"/>
      <c r="H124" s="23"/>
      <c r="I124" s="24"/>
    </row>
    <row r="125" spans="1:9" ht="13.9">
      <c r="A125" s="23"/>
      <c r="B125" s="23"/>
      <c r="C125" s="23"/>
      <c r="D125" s="23"/>
      <c r="E125" s="23"/>
      <c r="F125" s="24"/>
      <c r="G125" s="23"/>
      <c r="H125" s="23"/>
      <c r="I125" s="24"/>
    </row>
    <row r="126" spans="1:9" ht="13.9">
      <c r="A126" s="23"/>
      <c r="B126" s="23"/>
      <c r="C126" s="23"/>
      <c r="D126" s="23"/>
      <c r="E126" s="23"/>
      <c r="F126" s="24"/>
      <c r="G126" s="23"/>
      <c r="H126" s="23"/>
      <c r="I126" s="24"/>
    </row>
    <row r="127" spans="1:9" ht="13.9">
      <c r="A127" s="23"/>
      <c r="B127" s="23"/>
      <c r="C127" s="23"/>
      <c r="D127" s="23"/>
      <c r="E127" s="23"/>
      <c r="F127" s="24"/>
      <c r="G127" s="23"/>
      <c r="H127" s="23"/>
      <c r="I127" s="24"/>
    </row>
    <row r="128" spans="1:9" ht="13.9">
      <c r="A128" s="23"/>
      <c r="B128" s="23"/>
      <c r="C128" s="23"/>
      <c r="D128" s="23"/>
      <c r="E128" s="23"/>
      <c r="F128" s="24"/>
      <c r="G128" s="23"/>
      <c r="H128" s="23"/>
      <c r="I128" s="24"/>
    </row>
    <row r="129" spans="1:9" ht="13.9">
      <c r="A129" s="23"/>
      <c r="B129" s="23"/>
      <c r="C129" s="23"/>
      <c r="D129" s="23"/>
      <c r="E129" s="23"/>
      <c r="F129" s="24"/>
      <c r="G129" s="23"/>
      <c r="H129" s="23"/>
      <c r="I129" s="24"/>
    </row>
    <row r="130" spans="1:9" ht="13.9">
      <c r="A130" s="23"/>
      <c r="B130" s="23"/>
      <c r="C130" s="23"/>
      <c r="D130" s="23"/>
      <c r="E130" s="23"/>
      <c r="F130" s="24"/>
      <c r="G130" s="23"/>
      <c r="H130" s="23"/>
      <c r="I130" s="24"/>
    </row>
    <row r="131" spans="1:9" ht="13.9">
      <c r="A131" s="23"/>
      <c r="B131" s="23"/>
      <c r="C131" s="23"/>
      <c r="D131" s="23"/>
      <c r="E131" s="23"/>
      <c r="F131" s="24"/>
      <c r="G131" s="23"/>
      <c r="H131" s="23"/>
      <c r="I131" s="24"/>
    </row>
    <row r="132" spans="1:9" ht="13.9">
      <c r="A132" s="23"/>
      <c r="B132" s="23"/>
      <c r="C132" s="23"/>
      <c r="D132" s="23"/>
      <c r="E132" s="23"/>
      <c r="F132" s="24"/>
      <c r="G132" s="23"/>
      <c r="H132" s="23"/>
      <c r="I132" s="24"/>
    </row>
    <row r="133" spans="1:9" ht="13.9">
      <c r="A133" s="23"/>
      <c r="B133" s="23"/>
      <c r="C133" s="23"/>
      <c r="D133" s="23"/>
      <c r="E133" s="23"/>
      <c r="F133" s="24"/>
      <c r="G133" s="23"/>
      <c r="H133" s="23"/>
      <c r="I133" s="24"/>
    </row>
    <row r="134" spans="1:9" ht="13.9">
      <c r="A134" s="23"/>
      <c r="B134" s="23"/>
      <c r="C134" s="23"/>
      <c r="D134" s="23"/>
      <c r="E134" s="23"/>
      <c r="F134" s="24"/>
      <c r="G134" s="23"/>
      <c r="H134" s="23"/>
      <c r="I134" s="24"/>
    </row>
    <row r="135" spans="1:9" ht="13.9">
      <c r="A135" s="23"/>
      <c r="B135" s="23"/>
      <c r="C135" s="23"/>
      <c r="D135" s="23"/>
      <c r="E135" s="23"/>
      <c r="F135" s="24"/>
      <c r="G135" s="23"/>
      <c r="H135" s="23"/>
      <c r="I135" s="24"/>
    </row>
    <row r="136" spans="1:9" ht="13.9">
      <c r="A136" s="23"/>
      <c r="B136" s="23"/>
      <c r="C136" s="23"/>
      <c r="D136" s="23"/>
      <c r="E136" s="23"/>
      <c r="F136" s="24"/>
      <c r="G136" s="23"/>
      <c r="H136" s="23"/>
      <c r="I136" s="24"/>
    </row>
    <row r="137" spans="1:9" ht="13.9">
      <c r="A137" s="23"/>
      <c r="B137" s="23"/>
      <c r="C137" s="23"/>
      <c r="D137" s="23"/>
      <c r="E137" s="23"/>
      <c r="F137" s="24"/>
      <c r="G137" s="23"/>
      <c r="H137" s="23"/>
      <c r="I137" s="24"/>
    </row>
    <row r="138" spans="1:9" ht="13.9">
      <c r="A138" s="23"/>
      <c r="B138" s="23"/>
      <c r="C138" s="23"/>
      <c r="D138" s="23"/>
      <c r="E138" s="23"/>
      <c r="F138" s="24"/>
      <c r="G138" s="23"/>
      <c r="H138" s="23"/>
      <c r="I138" s="24"/>
    </row>
    <row r="139" spans="1:9" ht="13.9">
      <c r="A139" s="23"/>
      <c r="B139" s="23"/>
      <c r="C139" s="23"/>
      <c r="D139" s="23"/>
      <c r="E139" s="23"/>
      <c r="F139" s="24"/>
      <c r="G139" s="23"/>
      <c r="H139" s="23"/>
      <c r="I139" s="24"/>
    </row>
    <row r="140" spans="1:9" ht="13.9">
      <c r="A140" s="23"/>
      <c r="B140" s="23"/>
      <c r="C140" s="23"/>
      <c r="D140" s="23"/>
      <c r="E140" s="23"/>
      <c r="F140" s="24"/>
      <c r="G140" s="23"/>
      <c r="H140" s="23"/>
      <c r="I140" s="24"/>
    </row>
    <row r="141" spans="1:9" ht="13.9">
      <c r="A141" s="23"/>
      <c r="B141" s="23"/>
      <c r="C141" s="23"/>
      <c r="D141" s="23"/>
      <c r="E141" s="23"/>
      <c r="F141" s="24"/>
      <c r="G141" s="23"/>
      <c r="H141" s="23"/>
      <c r="I141" s="24"/>
    </row>
    <row r="142" spans="1:9" ht="13.9">
      <c r="A142" s="23"/>
      <c r="B142" s="23"/>
      <c r="C142" s="23"/>
      <c r="D142" s="23"/>
      <c r="E142" s="23"/>
      <c r="F142" s="24"/>
      <c r="G142" s="23"/>
      <c r="H142" s="23"/>
      <c r="I142" s="24"/>
    </row>
    <row r="143" spans="1:9" ht="13.9">
      <c r="A143" s="23"/>
      <c r="B143" s="23"/>
      <c r="C143" s="23"/>
      <c r="D143" s="23"/>
      <c r="E143" s="23"/>
      <c r="F143" s="24"/>
      <c r="G143" s="23"/>
      <c r="H143" s="23"/>
      <c r="I143" s="24"/>
    </row>
    <row r="144" spans="1:9" ht="13.9">
      <c r="A144" s="23"/>
      <c r="B144" s="23"/>
      <c r="C144" s="23"/>
      <c r="D144" s="23"/>
      <c r="E144" s="23"/>
      <c r="F144" s="24"/>
      <c r="G144" s="23"/>
      <c r="H144" s="23"/>
      <c r="I144" s="24"/>
    </row>
    <row r="145" spans="1:9" ht="13.9">
      <c r="A145" s="23"/>
      <c r="B145" s="23"/>
      <c r="C145" s="23"/>
      <c r="D145" s="23"/>
      <c r="E145" s="23"/>
      <c r="F145" s="24"/>
      <c r="G145" s="23"/>
      <c r="H145" s="23"/>
      <c r="I145" s="24"/>
    </row>
    <row r="146" spans="1:9" ht="13.9">
      <c r="A146" s="23"/>
      <c r="B146" s="23"/>
      <c r="C146" s="23"/>
      <c r="D146" s="23"/>
      <c r="E146" s="23"/>
      <c r="F146" s="24"/>
      <c r="G146" s="23"/>
      <c r="H146" s="23"/>
      <c r="I146" s="24"/>
    </row>
    <row r="147" spans="1:9" ht="13.9">
      <c r="A147" s="23"/>
      <c r="B147" s="23"/>
      <c r="C147" s="23"/>
      <c r="D147" s="23"/>
      <c r="E147" s="23"/>
      <c r="F147" s="24"/>
      <c r="G147" s="23"/>
      <c r="H147" s="23"/>
      <c r="I147" s="24"/>
    </row>
    <row r="148" spans="1:9" ht="13.9">
      <c r="A148" s="23"/>
      <c r="B148" s="23"/>
      <c r="C148" s="23"/>
      <c r="D148" s="23"/>
      <c r="E148" s="23"/>
      <c r="F148" s="24"/>
      <c r="G148" s="23"/>
      <c r="H148" s="23"/>
      <c r="I148" s="24"/>
    </row>
    <row r="149" spans="1:9" ht="13.9">
      <c r="A149" s="23"/>
      <c r="B149" s="23"/>
      <c r="C149" s="23"/>
      <c r="D149" s="23"/>
      <c r="E149" s="23"/>
      <c r="F149" s="24"/>
      <c r="G149" s="23"/>
      <c r="H149" s="23"/>
      <c r="I149" s="24"/>
    </row>
    <row r="150" spans="1:9" ht="13.9">
      <c r="A150" s="23"/>
      <c r="B150" s="23"/>
      <c r="C150" s="23"/>
      <c r="D150" s="23"/>
      <c r="E150" s="23"/>
      <c r="F150" s="24"/>
      <c r="G150" s="23"/>
      <c r="H150" s="23"/>
      <c r="I150" s="24"/>
    </row>
    <row r="151" spans="1:9" ht="13.9">
      <c r="A151" s="23"/>
      <c r="B151" s="23"/>
      <c r="C151" s="23"/>
      <c r="D151" s="23"/>
      <c r="E151" s="23"/>
      <c r="F151" s="24"/>
      <c r="G151" s="23"/>
      <c r="H151" s="23"/>
      <c r="I151" s="24"/>
    </row>
    <row r="152" spans="1:9" ht="13.9">
      <c r="A152" s="23"/>
      <c r="B152" s="23"/>
      <c r="C152" s="23"/>
      <c r="D152" s="23"/>
      <c r="E152" s="23"/>
      <c r="F152" s="24"/>
      <c r="G152" s="23"/>
      <c r="H152" s="23"/>
      <c r="I152" s="24"/>
    </row>
    <row r="153" spans="1:9" ht="13.9">
      <c r="A153" s="23"/>
      <c r="B153" s="23"/>
      <c r="C153" s="23"/>
      <c r="D153" s="23"/>
      <c r="E153" s="23"/>
      <c r="F153" s="24"/>
      <c r="G153" s="23"/>
      <c r="H153" s="23"/>
      <c r="I153" s="24"/>
    </row>
    <row r="154" spans="1:9" ht="13.9">
      <c r="A154" s="23"/>
      <c r="B154" s="23"/>
      <c r="C154" s="23"/>
      <c r="D154" s="23"/>
      <c r="E154" s="23"/>
      <c r="F154" s="24"/>
      <c r="G154" s="23"/>
      <c r="H154" s="23"/>
      <c r="I154" s="24"/>
    </row>
    <row r="155" spans="1:9" ht="13.9">
      <c r="A155" s="23"/>
      <c r="B155" s="23"/>
      <c r="C155" s="23"/>
      <c r="D155" s="23"/>
      <c r="E155" s="23"/>
      <c r="F155" s="24"/>
      <c r="G155" s="23"/>
      <c r="H155" s="23"/>
      <c r="I155" s="24"/>
    </row>
    <row r="156" spans="1:9" ht="13.9">
      <c r="A156" s="23"/>
      <c r="B156" s="23"/>
      <c r="C156" s="23"/>
      <c r="D156" s="23"/>
      <c r="E156" s="23"/>
      <c r="F156" s="24"/>
      <c r="G156" s="23"/>
      <c r="H156" s="23"/>
      <c r="I156" s="24"/>
    </row>
    <row r="157" spans="1:9" ht="13.9">
      <c r="A157" s="23"/>
      <c r="B157" s="23"/>
      <c r="C157" s="23"/>
      <c r="D157" s="23"/>
      <c r="E157" s="23"/>
      <c r="F157" s="24"/>
      <c r="G157" s="23"/>
      <c r="H157" s="23"/>
      <c r="I157" s="24"/>
    </row>
    <row r="158" spans="1:9" ht="13.9">
      <c r="A158" s="23"/>
      <c r="B158" s="23"/>
      <c r="C158" s="23"/>
      <c r="D158" s="23"/>
      <c r="E158" s="23"/>
      <c r="F158" s="24"/>
      <c r="G158" s="23"/>
      <c r="H158" s="23"/>
      <c r="I158" s="24"/>
    </row>
    <row r="159" spans="1:9" ht="13.9">
      <c r="A159" s="23"/>
      <c r="B159" s="23"/>
      <c r="C159" s="23"/>
      <c r="D159" s="23"/>
      <c r="E159" s="23"/>
      <c r="F159" s="24"/>
      <c r="G159" s="23"/>
      <c r="H159" s="23"/>
      <c r="I159" s="24"/>
    </row>
    <row r="160" spans="1:9" ht="13.9">
      <c r="A160" s="23"/>
      <c r="B160" s="23"/>
      <c r="C160" s="23"/>
      <c r="D160" s="23"/>
      <c r="E160" s="23"/>
      <c r="F160" s="24"/>
      <c r="G160" s="23"/>
      <c r="H160" s="23"/>
      <c r="I160" s="24"/>
    </row>
    <row r="161" spans="1:9" ht="13.9">
      <c r="A161" s="23"/>
      <c r="B161" s="23"/>
      <c r="C161" s="23"/>
      <c r="D161" s="23"/>
      <c r="E161" s="23"/>
      <c r="F161" s="24"/>
      <c r="G161" s="23"/>
      <c r="H161" s="23"/>
      <c r="I161" s="24"/>
    </row>
    <row r="162" spans="1:9" ht="13.9">
      <c r="A162" s="23"/>
      <c r="B162" s="23"/>
      <c r="C162" s="23"/>
      <c r="D162" s="23"/>
      <c r="E162" s="23"/>
      <c r="F162" s="24"/>
      <c r="G162" s="23"/>
      <c r="H162" s="23"/>
      <c r="I162" s="24"/>
    </row>
    <row r="163" spans="1:9" ht="13.9">
      <c r="A163" s="23"/>
      <c r="B163" s="23"/>
      <c r="C163" s="23"/>
      <c r="D163" s="23"/>
      <c r="E163" s="23"/>
      <c r="F163" s="24"/>
      <c r="G163" s="23"/>
      <c r="H163" s="23"/>
      <c r="I163" s="24"/>
    </row>
    <row r="164" spans="1:9" ht="13.9">
      <c r="A164" s="23"/>
      <c r="B164" s="23"/>
      <c r="C164" s="23"/>
      <c r="D164" s="23"/>
      <c r="E164" s="23"/>
      <c r="F164" s="24"/>
      <c r="G164" s="23"/>
      <c r="H164" s="23"/>
      <c r="I164" s="24"/>
    </row>
    <row r="165" spans="1:9" ht="13.9">
      <c r="A165" s="23"/>
      <c r="B165" s="23"/>
      <c r="C165" s="23"/>
      <c r="D165" s="23"/>
      <c r="E165" s="23"/>
      <c r="F165" s="24"/>
      <c r="G165" s="23"/>
      <c r="H165" s="23"/>
      <c r="I165" s="24"/>
    </row>
    <row r="166" spans="1:9" ht="13.9">
      <c r="A166" s="23"/>
      <c r="B166" s="23"/>
      <c r="C166" s="23"/>
      <c r="D166" s="23"/>
      <c r="E166" s="23"/>
      <c r="F166" s="24"/>
      <c r="G166" s="23"/>
      <c r="H166" s="23"/>
      <c r="I166" s="24"/>
    </row>
    <row r="167" spans="1:9" ht="13.9">
      <c r="A167" s="23"/>
      <c r="B167" s="23"/>
      <c r="C167" s="23"/>
      <c r="D167" s="23"/>
      <c r="E167" s="23"/>
      <c r="F167" s="24"/>
      <c r="G167" s="23"/>
      <c r="H167" s="23"/>
      <c r="I167" s="24"/>
    </row>
    <row r="168" spans="1:9" ht="13.9">
      <c r="A168" s="23"/>
      <c r="B168" s="23"/>
      <c r="C168" s="23"/>
      <c r="D168" s="23"/>
      <c r="E168" s="23"/>
      <c r="F168" s="24"/>
      <c r="G168" s="23"/>
      <c r="H168" s="23"/>
      <c r="I168" s="24"/>
    </row>
    <row r="169" spans="1:9" ht="13.9">
      <c r="A169" s="23"/>
      <c r="B169" s="23"/>
      <c r="C169" s="23"/>
      <c r="D169" s="23"/>
      <c r="E169" s="23"/>
      <c r="F169" s="24"/>
      <c r="G169" s="23"/>
      <c r="H169" s="23"/>
      <c r="I169" s="24"/>
    </row>
    <row r="170" spans="1:9" ht="13.9">
      <c r="A170" s="23"/>
      <c r="B170" s="23"/>
      <c r="C170" s="23"/>
      <c r="D170" s="23"/>
      <c r="E170" s="23"/>
      <c r="F170" s="24"/>
      <c r="G170" s="23"/>
      <c r="H170" s="23"/>
      <c r="I170" s="24"/>
    </row>
    <row r="171" spans="1:9" ht="13.9">
      <c r="A171" s="23"/>
      <c r="B171" s="23"/>
      <c r="C171" s="23"/>
      <c r="D171" s="23"/>
      <c r="E171" s="23"/>
      <c r="F171" s="24"/>
      <c r="G171" s="23"/>
      <c r="H171" s="23"/>
      <c r="I171" s="24"/>
    </row>
    <row r="172" spans="1:9" ht="13.9">
      <c r="A172" s="23"/>
      <c r="B172" s="23"/>
      <c r="C172" s="23"/>
      <c r="D172" s="23"/>
      <c r="E172" s="23"/>
      <c r="F172" s="24"/>
      <c r="G172" s="23"/>
      <c r="H172" s="23"/>
      <c r="I172" s="24"/>
    </row>
    <row r="173" spans="1:9" ht="13.9">
      <c r="A173" s="23"/>
      <c r="B173" s="23"/>
      <c r="C173" s="23"/>
      <c r="D173" s="23"/>
      <c r="E173" s="23"/>
      <c r="F173" s="24"/>
      <c r="G173" s="23"/>
      <c r="H173" s="23"/>
      <c r="I173" s="24"/>
    </row>
    <row r="174" spans="1:9" ht="13.9">
      <c r="A174" s="23"/>
      <c r="B174" s="23"/>
      <c r="C174" s="23"/>
      <c r="D174" s="23"/>
      <c r="E174" s="23"/>
      <c r="F174" s="24"/>
      <c r="G174" s="23"/>
      <c r="H174" s="23"/>
      <c r="I174" s="24"/>
    </row>
    <row r="175" spans="1:9" ht="13.9">
      <c r="A175" s="23"/>
      <c r="B175" s="23"/>
      <c r="C175" s="23"/>
      <c r="D175" s="23"/>
      <c r="E175" s="23"/>
      <c r="F175" s="24"/>
      <c r="G175" s="23"/>
      <c r="H175" s="23"/>
      <c r="I175" s="24"/>
    </row>
    <row r="176" spans="1:9" ht="13.9">
      <c r="A176" s="23"/>
      <c r="B176" s="23"/>
      <c r="C176" s="23"/>
      <c r="D176" s="23"/>
      <c r="E176" s="23"/>
      <c r="F176" s="24"/>
      <c r="G176" s="23"/>
      <c r="H176" s="23"/>
      <c r="I176" s="24"/>
    </row>
    <row r="177" spans="1:9" ht="13.9">
      <c r="A177" s="23"/>
      <c r="B177" s="23"/>
      <c r="C177" s="23"/>
      <c r="D177" s="23"/>
      <c r="E177" s="23"/>
      <c r="F177" s="24"/>
      <c r="G177" s="23"/>
      <c r="H177" s="23"/>
      <c r="I177" s="24"/>
    </row>
    <row r="178" spans="1:9" ht="13.9">
      <c r="A178" s="23"/>
      <c r="B178" s="23"/>
      <c r="C178" s="23"/>
      <c r="D178" s="23"/>
      <c r="E178" s="23"/>
      <c r="F178" s="24"/>
      <c r="G178" s="23"/>
      <c r="H178" s="23"/>
      <c r="I178" s="24"/>
    </row>
    <row r="179" spans="1:9" ht="13.9">
      <c r="A179" s="23"/>
      <c r="B179" s="23"/>
      <c r="C179" s="23"/>
      <c r="D179" s="23"/>
      <c r="E179" s="23"/>
      <c r="F179" s="24"/>
      <c r="G179" s="23"/>
      <c r="H179" s="23"/>
      <c r="I179" s="24"/>
    </row>
    <row r="180" spans="1:9" ht="13.9">
      <c r="A180" s="23"/>
      <c r="B180" s="23"/>
      <c r="C180" s="23"/>
      <c r="D180" s="23"/>
      <c r="E180" s="23"/>
      <c r="F180" s="24"/>
      <c r="G180" s="23"/>
      <c r="H180" s="23"/>
      <c r="I180" s="24"/>
    </row>
    <row r="181" spans="1:9" ht="13.9">
      <c r="A181" s="23"/>
      <c r="B181" s="23"/>
      <c r="C181" s="23"/>
      <c r="D181" s="23"/>
      <c r="E181" s="23"/>
      <c r="F181" s="24"/>
      <c r="G181" s="23"/>
      <c r="H181" s="23"/>
      <c r="I181" s="24"/>
    </row>
    <row r="182" spans="1:9" ht="13.9">
      <c r="A182" s="23"/>
      <c r="B182" s="23"/>
      <c r="C182" s="23"/>
      <c r="D182" s="23"/>
      <c r="E182" s="23"/>
      <c r="F182" s="24"/>
      <c r="G182" s="23"/>
      <c r="H182" s="23"/>
      <c r="I182" s="24"/>
    </row>
    <row r="183" spans="1:9" ht="13.9">
      <c r="A183" s="23"/>
      <c r="B183" s="23"/>
      <c r="C183" s="23"/>
      <c r="D183" s="23"/>
      <c r="E183" s="23"/>
      <c r="F183" s="24"/>
      <c r="G183" s="23"/>
      <c r="H183" s="23"/>
      <c r="I183" s="24"/>
    </row>
    <row r="184" spans="1:9" ht="13.9">
      <c r="A184" s="23"/>
      <c r="B184" s="23"/>
      <c r="C184" s="23"/>
      <c r="D184" s="23"/>
      <c r="E184" s="23"/>
      <c r="F184" s="24"/>
      <c r="G184" s="23"/>
      <c r="H184" s="23"/>
      <c r="I184" s="24"/>
    </row>
    <row r="185" spans="1:9" ht="13.9">
      <c r="A185" s="23"/>
      <c r="B185" s="23"/>
      <c r="C185" s="23"/>
      <c r="D185" s="23"/>
      <c r="E185" s="23"/>
      <c r="F185" s="24"/>
      <c r="G185" s="23"/>
      <c r="H185" s="23"/>
      <c r="I185" s="24"/>
    </row>
    <row r="186" spans="1:9" ht="13.9">
      <c r="A186" s="23"/>
      <c r="B186" s="23"/>
      <c r="C186" s="23"/>
      <c r="D186" s="23"/>
      <c r="E186" s="23"/>
      <c r="F186" s="24"/>
      <c r="G186" s="23"/>
      <c r="H186" s="23"/>
      <c r="I186" s="24"/>
    </row>
    <row r="187" spans="1:9" ht="13.9">
      <c r="A187" s="23"/>
      <c r="B187" s="23"/>
      <c r="C187" s="23"/>
      <c r="D187" s="23"/>
      <c r="E187" s="23"/>
      <c r="F187" s="24"/>
      <c r="G187" s="23"/>
      <c r="H187" s="23"/>
      <c r="I187" s="24"/>
    </row>
    <row r="188" spans="1:9" ht="13.9">
      <c r="A188" s="23"/>
      <c r="B188" s="23"/>
      <c r="C188" s="23"/>
      <c r="D188" s="23"/>
      <c r="E188" s="23"/>
      <c r="F188" s="24"/>
      <c r="G188" s="23"/>
      <c r="H188" s="23"/>
      <c r="I188" s="24"/>
    </row>
    <row r="189" spans="1:9" ht="13.9">
      <c r="A189" s="23"/>
      <c r="B189" s="23"/>
      <c r="C189" s="23"/>
      <c r="D189" s="23"/>
      <c r="E189" s="23"/>
      <c r="F189" s="24"/>
      <c r="G189" s="23"/>
      <c r="H189" s="23"/>
      <c r="I189" s="24"/>
    </row>
    <row r="190" spans="1:9" ht="13.9">
      <c r="A190" s="23"/>
      <c r="B190" s="23"/>
      <c r="C190" s="23"/>
      <c r="D190" s="23"/>
      <c r="E190" s="23"/>
      <c r="F190" s="24"/>
      <c r="G190" s="23"/>
      <c r="H190" s="23"/>
      <c r="I190" s="24"/>
    </row>
    <row r="191" spans="1:9" ht="13.9">
      <c r="A191" s="23"/>
      <c r="B191" s="23"/>
      <c r="C191" s="23"/>
      <c r="D191" s="23"/>
      <c r="E191" s="23"/>
      <c r="F191" s="24"/>
      <c r="G191" s="23"/>
      <c r="H191" s="23"/>
      <c r="I191" s="24"/>
    </row>
    <row r="192" spans="1:9" ht="13.9">
      <c r="A192" s="23"/>
      <c r="B192" s="23"/>
      <c r="C192" s="23"/>
      <c r="D192" s="23"/>
      <c r="E192" s="23"/>
      <c r="F192" s="24"/>
      <c r="G192" s="23"/>
      <c r="H192" s="23"/>
      <c r="I192" s="24"/>
    </row>
    <row r="193" spans="1:9" ht="13.9">
      <c r="A193" s="23"/>
      <c r="B193" s="23"/>
      <c r="C193" s="23"/>
      <c r="D193" s="23"/>
      <c r="E193" s="23"/>
      <c r="F193" s="24"/>
      <c r="G193" s="23"/>
      <c r="H193" s="23"/>
      <c r="I193" s="24"/>
    </row>
    <row r="194" spans="1:9" ht="13.9">
      <c r="A194" s="23"/>
      <c r="B194" s="23"/>
      <c r="C194" s="23"/>
      <c r="D194" s="23"/>
      <c r="E194" s="23"/>
      <c r="F194" s="24"/>
      <c r="G194" s="23"/>
      <c r="H194" s="23"/>
      <c r="I194" s="24"/>
    </row>
    <row r="195" spans="1:9" ht="13.9">
      <c r="A195" s="23"/>
      <c r="B195" s="23"/>
      <c r="C195" s="23"/>
      <c r="D195" s="23"/>
      <c r="E195" s="23"/>
      <c r="F195" s="24"/>
      <c r="G195" s="23"/>
      <c r="H195" s="23"/>
      <c r="I195" s="24"/>
    </row>
    <row r="196" spans="1:9" ht="13.9">
      <c r="A196" s="23"/>
      <c r="B196" s="23"/>
      <c r="C196" s="23"/>
      <c r="D196" s="23"/>
      <c r="E196" s="23"/>
      <c r="F196" s="24"/>
      <c r="G196" s="23"/>
      <c r="H196" s="23"/>
      <c r="I196" s="24"/>
    </row>
    <row r="197" spans="1:9" ht="13.9">
      <c r="A197" s="23"/>
      <c r="B197" s="23"/>
      <c r="C197" s="23"/>
      <c r="D197" s="23"/>
      <c r="E197" s="23"/>
      <c r="F197" s="24"/>
      <c r="G197" s="23"/>
      <c r="H197" s="23"/>
      <c r="I197" s="24"/>
    </row>
    <row r="198" spans="1:9" ht="13.9">
      <c r="A198" s="23"/>
      <c r="B198" s="23"/>
      <c r="C198" s="23"/>
      <c r="D198" s="23"/>
      <c r="E198" s="23"/>
      <c r="F198" s="24"/>
      <c r="G198" s="23"/>
      <c r="H198" s="23"/>
      <c r="I198" s="24"/>
    </row>
    <row r="199" spans="1:9" ht="13.9">
      <c r="A199" s="23"/>
      <c r="B199" s="23"/>
      <c r="C199" s="23"/>
      <c r="D199" s="23"/>
      <c r="E199" s="23"/>
      <c r="F199" s="24"/>
      <c r="G199" s="23"/>
      <c r="H199" s="23"/>
      <c r="I199" s="24"/>
    </row>
    <row r="200" spans="1:9" ht="13.9">
      <c r="A200" s="23"/>
      <c r="B200" s="23"/>
      <c r="C200" s="23"/>
      <c r="D200" s="23"/>
      <c r="E200" s="23"/>
      <c r="F200" s="24"/>
      <c r="G200" s="23"/>
      <c r="H200" s="23"/>
      <c r="I200" s="24"/>
    </row>
    <row r="201" spans="1:9" ht="13.9">
      <c r="A201" s="23"/>
      <c r="B201" s="23"/>
      <c r="C201" s="23"/>
      <c r="D201" s="23"/>
      <c r="E201" s="23"/>
      <c r="F201" s="24"/>
      <c r="G201" s="23"/>
      <c r="H201" s="23"/>
      <c r="I201" s="24"/>
    </row>
    <row r="202" spans="1:9" ht="13.9">
      <c r="A202" s="23"/>
      <c r="B202" s="23"/>
      <c r="C202" s="23"/>
      <c r="D202" s="23"/>
      <c r="E202" s="23"/>
      <c r="F202" s="24"/>
      <c r="G202" s="23"/>
      <c r="H202" s="23"/>
      <c r="I202" s="24"/>
    </row>
    <row r="203" spans="1:9" ht="13.9">
      <c r="A203" s="23"/>
      <c r="B203" s="23"/>
      <c r="C203" s="23"/>
      <c r="D203" s="23"/>
      <c r="E203" s="23"/>
      <c r="F203" s="24"/>
      <c r="G203" s="23"/>
      <c r="H203" s="23"/>
      <c r="I203" s="24"/>
    </row>
    <row r="204" spans="1:9" ht="13.9">
      <c r="A204" s="23"/>
      <c r="B204" s="23"/>
      <c r="C204" s="23"/>
      <c r="D204" s="23"/>
      <c r="E204" s="23"/>
      <c r="F204" s="24"/>
      <c r="G204" s="23"/>
      <c r="H204" s="23"/>
      <c r="I204" s="24"/>
    </row>
    <row r="205" spans="1:9" ht="13.9">
      <c r="A205" s="23"/>
      <c r="B205" s="23"/>
      <c r="C205" s="23"/>
      <c r="D205" s="23"/>
      <c r="E205" s="23"/>
      <c r="F205" s="24"/>
      <c r="G205" s="23"/>
      <c r="H205" s="23"/>
      <c r="I205" s="24"/>
    </row>
    <row r="206" spans="1:9" ht="13.9">
      <c r="A206" s="23"/>
      <c r="B206" s="23"/>
      <c r="C206" s="23"/>
      <c r="D206" s="23"/>
      <c r="E206" s="23"/>
      <c r="F206" s="24"/>
      <c r="G206" s="23"/>
      <c r="H206" s="23"/>
      <c r="I206" s="24"/>
    </row>
    <row r="207" spans="1:9" ht="13.9">
      <c r="A207" s="23"/>
      <c r="B207" s="23"/>
      <c r="C207" s="23"/>
      <c r="D207" s="23"/>
      <c r="E207" s="23"/>
      <c r="F207" s="24"/>
      <c r="G207" s="23"/>
      <c r="H207" s="23"/>
      <c r="I207" s="24"/>
    </row>
    <row r="208" spans="1:9" ht="13.9">
      <c r="A208" s="23"/>
      <c r="B208" s="23"/>
      <c r="C208" s="23"/>
      <c r="D208" s="23"/>
      <c r="E208" s="23"/>
      <c r="F208" s="24"/>
      <c r="G208" s="23"/>
      <c r="H208" s="23"/>
      <c r="I208" s="24"/>
    </row>
    <row r="209" spans="1:9" ht="13.9">
      <c r="A209" s="23"/>
      <c r="B209" s="23"/>
      <c r="C209" s="23"/>
      <c r="D209" s="23"/>
      <c r="E209" s="23"/>
      <c r="F209" s="24"/>
      <c r="G209" s="23"/>
      <c r="H209" s="23"/>
      <c r="I209" s="24"/>
    </row>
    <row r="210" spans="1:9" ht="13.9">
      <c r="A210" s="23"/>
      <c r="B210" s="23"/>
      <c r="C210" s="23"/>
      <c r="D210" s="23"/>
      <c r="E210" s="23"/>
      <c r="F210" s="24"/>
      <c r="G210" s="23"/>
      <c r="H210" s="23"/>
      <c r="I210" s="24"/>
    </row>
    <row r="211" spans="1:9" ht="13.9">
      <c r="A211" s="23"/>
      <c r="B211" s="23"/>
      <c r="C211" s="23"/>
      <c r="D211" s="23"/>
      <c r="E211" s="23"/>
      <c r="F211" s="24"/>
      <c r="G211" s="23"/>
      <c r="H211" s="23"/>
      <c r="I211" s="24"/>
    </row>
    <row r="212" spans="1:9" ht="13.9">
      <c r="A212" s="23"/>
      <c r="B212" s="23"/>
      <c r="C212" s="23"/>
      <c r="D212" s="23"/>
      <c r="E212" s="23"/>
      <c r="F212" s="24"/>
      <c r="G212" s="23"/>
      <c r="H212" s="23"/>
      <c r="I212" s="24"/>
    </row>
    <row r="213" spans="1:9" ht="13.9">
      <c r="A213" s="23"/>
      <c r="B213" s="23"/>
      <c r="C213" s="23"/>
      <c r="D213" s="23"/>
      <c r="E213" s="23"/>
      <c r="F213" s="24"/>
      <c r="G213" s="23"/>
      <c r="H213" s="23"/>
      <c r="I213" s="24"/>
    </row>
    <row r="214" spans="1:9" ht="13.9">
      <c r="A214" s="23"/>
      <c r="B214" s="23"/>
      <c r="C214" s="23"/>
      <c r="D214" s="23"/>
      <c r="E214" s="23"/>
      <c r="F214" s="24"/>
      <c r="G214" s="23"/>
      <c r="H214" s="23"/>
      <c r="I214" s="24"/>
    </row>
    <row r="215" spans="1:9" ht="13.9">
      <c r="A215" s="23"/>
      <c r="B215" s="23"/>
      <c r="C215" s="23"/>
      <c r="D215" s="23"/>
      <c r="E215" s="23"/>
      <c r="F215" s="24"/>
      <c r="G215" s="23"/>
      <c r="H215" s="23"/>
      <c r="I215" s="24"/>
    </row>
    <row r="216" spans="1:9" ht="13.9">
      <c r="A216" s="23"/>
      <c r="B216" s="23"/>
      <c r="C216" s="23"/>
      <c r="D216" s="23"/>
      <c r="E216" s="23"/>
      <c r="F216" s="24"/>
      <c r="G216" s="23"/>
      <c r="H216" s="23"/>
      <c r="I216" s="24"/>
    </row>
    <row r="217" spans="1:9" ht="13.9">
      <c r="A217" s="23"/>
      <c r="B217" s="23"/>
      <c r="C217" s="23"/>
      <c r="D217" s="23"/>
      <c r="E217" s="23"/>
      <c r="F217" s="24"/>
      <c r="G217" s="23"/>
      <c r="H217" s="23"/>
      <c r="I217" s="24"/>
    </row>
    <row r="218" spans="1:9" ht="13.9">
      <c r="A218" s="23"/>
      <c r="B218" s="23"/>
      <c r="C218" s="23"/>
      <c r="D218" s="23"/>
      <c r="E218" s="23"/>
      <c r="F218" s="24"/>
      <c r="G218" s="23"/>
      <c r="H218" s="23"/>
      <c r="I218" s="24"/>
    </row>
    <row r="219" spans="1:9" ht="13.9">
      <c r="A219" s="23"/>
      <c r="B219" s="23"/>
      <c r="C219" s="23"/>
      <c r="D219" s="23"/>
      <c r="E219" s="23"/>
      <c r="F219" s="24"/>
      <c r="G219" s="23"/>
      <c r="H219" s="23"/>
      <c r="I219" s="24"/>
    </row>
    <row r="220" spans="1:9" ht="13.9">
      <c r="A220" s="23"/>
      <c r="B220" s="23"/>
      <c r="C220" s="23"/>
      <c r="D220" s="23"/>
      <c r="E220" s="23"/>
      <c r="F220" s="24"/>
      <c r="G220" s="23"/>
      <c r="H220" s="23"/>
      <c r="I220" s="24"/>
    </row>
    <row r="221" spans="1:9" ht="13.9">
      <c r="A221" s="23"/>
      <c r="B221" s="23"/>
      <c r="C221" s="23"/>
      <c r="D221" s="23"/>
      <c r="E221" s="23"/>
      <c r="F221" s="24"/>
      <c r="G221" s="23"/>
      <c r="H221" s="23"/>
      <c r="I221" s="24"/>
    </row>
    <row r="222" spans="1:9" ht="13.9">
      <c r="A222" s="23"/>
      <c r="B222" s="23"/>
      <c r="C222" s="23"/>
      <c r="D222" s="23"/>
      <c r="E222" s="23"/>
      <c r="F222" s="24"/>
      <c r="G222" s="23"/>
      <c r="H222" s="23"/>
      <c r="I222" s="24"/>
    </row>
    <row r="223" spans="1:9" ht="13.9">
      <c r="A223" s="23"/>
      <c r="B223" s="23"/>
      <c r="C223" s="23"/>
      <c r="D223" s="23"/>
      <c r="E223" s="23"/>
      <c r="F223" s="24"/>
      <c r="G223" s="23"/>
      <c r="H223" s="23"/>
      <c r="I223" s="24"/>
    </row>
    <row r="224" spans="1:9" ht="13.9">
      <c r="A224" s="23"/>
      <c r="B224" s="23"/>
      <c r="C224" s="23"/>
      <c r="D224" s="23"/>
      <c r="E224" s="23"/>
      <c r="F224" s="24"/>
      <c r="G224" s="23"/>
      <c r="H224" s="23"/>
      <c r="I224" s="24"/>
    </row>
    <row r="225" spans="1:9" ht="13.9">
      <c r="A225" s="23"/>
      <c r="B225" s="23"/>
      <c r="C225" s="23"/>
      <c r="D225" s="23"/>
      <c r="E225" s="23"/>
      <c r="F225" s="24"/>
      <c r="G225" s="23"/>
      <c r="H225" s="23"/>
      <c r="I225" s="24"/>
    </row>
    <row r="226" spans="1:9" ht="13.9">
      <c r="A226" s="23"/>
      <c r="B226" s="23"/>
      <c r="C226" s="23"/>
      <c r="D226" s="23"/>
      <c r="E226" s="23"/>
      <c r="F226" s="24"/>
      <c r="G226" s="23"/>
      <c r="H226" s="23"/>
      <c r="I226" s="24"/>
    </row>
    <row r="227" spans="1:9" ht="13.9">
      <c r="A227" s="23"/>
      <c r="B227" s="23"/>
      <c r="C227" s="23"/>
      <c r="D227" s="23"/>
      <c r="E227" s="23"/>
      <c r="F227" s="24"/>
      <c r="G227" s="23"/>
      <c r="H227" s="23"/>
      <c r="I227" s="24"/>
    </row>
    <row r="228" spans="1:9" ht="13.9">
      <c r="A228" s="23"/>
      <c r="B228" s="23"/>
      <c r="C228" s="23"/>
      <c r="D228" s="23"/>
      <c r="E228" s="23"/>
      <c r="F228" s="24"/>
      <c r="G228" s="23"/>
      <c r="H228" s="23"/>
      <c r="I228" s="24"/>
    </row>
    <row r="229" spans="1:9" ht="13.9">
      <c r="A229" s="23"/>
      <c r="B229" s="23"/>
      <c r="C229" s="23"/>
      <c r="D229" s="23"/>
      <c r="E229" s="23"/>
      <c r="F229" s="24"/>
      <c r="G229" s="23"/>
      <c r="H229" s="23"/>
      <c r="I229" s="24"/>
    </row>
    <row r="230" spans="1:9" ht="13.9">
      <c r="A230" s="23"/>
      <c r="B230" s="23"/>
      <c r="C230" s="23"/>
      <c r="D230" s="23"/>
      <c r="E230" s="23"/>
      <c r="F230" s="24"/>
      <c r="G230" s="23"/>
      <c r="H230" s="23"/>
      <c r="I230" s="24"/>
    </row>
    <row r="231" spans="1:9" ht="13.9">
      <c r="A231" s="23"/>
      <c r="B231" s="23"/>
      <c r="C231" s="23"/>
      <c r="D231" s="23"/>
      <c r="E231" s="23"/>
      <c r="F231" s="24"/>
      <c r="G231" s="23"/>
      <c r="H231" s="23"/>
      <c r="I231" s="24"/>
    </row>
    <row r="232" spans="1:9" ht="13.9">
      <c r="A232" s="23"/>
      <c r="B232" s="23"/>
      <c r="C232" s="23"/>
      <c r="D232" s="23"/>
      <c r="E232" s="23"/>
      <c r="F232" s="24"/>
      <c r="G232" s="23"/>
      <c r="H232" s="23"/>
      <c r="I232" s="24"/>
    </row>
    <row r="233" spans="1:9" ht="13.9">
      <c r="A233" s="23"/>
      <c r="B233" s="23"/>
      <c r="C233" s="23"/>
      <c r="D233" s="23"/>
      <c r="E233" s="23"/>
      <c r="F233" s="24"/>
      <c r="G233" s="23"/>
      <c r="H233" s="23"/>
      <c r="I233" s="24"/>
    </row>
    <row r="234" spans="1:9" ht="13.9">
      <c r="A234" s="23"/>
      <c r="B234" s="23"/>
      <c r="C234" s="23"/>
      <c r="D234" s="23"/>
      <c r="E234" s="23"/>
      <c r="F234" s="24"/>
      <c r="G234" s="23"/>
      <c r="H234" s="23"/>
      <c r="I234" s="24"/>
    </row>
    <row r="235" spans="1:9" ht="13.9">
      <c r="A235" s="23"/>
      <c r="B235" s="23"/>
      <c r="C235" s="23"/>
      <c r="D235" s="23"/>
      <c r="E235" s="23"/>
      <c r="F235" s="24"/>
      <c r="G235" s="23"/>
      <c r="H235" s="23"/>
      <c r="I235" s="24"/>
    </row>
    <row r="236" spans="1:9" ht="13.9">
      <c r="A236" s="23"/>
      <c r="B236" s="23"/>
      <c r="C236" s="23"/>
      <c r="D236" s="23"/>
      <c r="E236" s="23"/>
      <c r="F236" s="24"/>
      <c r="G236" s="23"/>
      <c r="H236" s="23"/>
      <c r="I236" s="24"/>
    </row>
    <row r="237" spans="1:9" ht="13.9">
      <c r="A237" s="23"/>
      <c r="B237" s="23"/>
      <c r="C237" s="23"/>
      <c r="D237" s="23"/>
      <c r="E237" s="23"/>
      <c r="F237" s="24"/>
      <c r="G237" s="23"/>
      <c r="H237" s="23"/>
      <c r="I237" s="24"/>
    </row>
    <row r="238" spans="1:9" ht="13.9">
      <c r="A238" s="23"/>
      <c r="B238" s="23"/>
      <c r="C238" s="23"/>
      <c r="D238" s="23"/>
      <c r="E238" s="23"/>
      <c r="F238" s="24"/>
      <c r="G238" s="23"/>
      <c r="H238" s="23"/>
      <c r="I238" s="24"/>
    </row>
    <row r="239" spans="1:9" ht="13.9">
      <c r="A239" s="23"/>
      <c r="B239" s="23"/>
      <c r="C239" s="23"/>
      <c r="D239" s="23"/>
      <c r="E239" s="23"/>
      <c r="F239" s="24"/>
      <c r="G239" s="23"/>
      <c r="H239" s="23"/>
      <c r="I239" s="24"/>
    </row>
    <row r="240" spans="1:9" ht="13.9">
      <c r="A240" s="23"/>
      <c r="B240" s="23"/>
      <c r="C240" s="23"/>
      <c r="D240" s="23"/>
      <c r="E240" s="23"/>
      <c r="F240" s="24"/>
      <c r="G240" s="23"/>
      <c r="H240" s="23"/>
      <c r="I240" s="24"/>
    </row>
    <row r="241" spans="1:9" ht="13.9">
      <c r="A241" s="23"/>
      <c r="B241" s="23"/>
      <c r="C241" s="23"/>
      <c r="D241" s="23"/>
      <c r="E241" s="23"/>
      <c r="F241" s="24"/>
      <c r="G241" s="23"/>
      <c r="H241" s="23"/>
      <c r="I241" s="24"/>
    </row>
    <row r="242" spans="1:9" ht="13.9">
      <c r="A242" s="23"/>
      <c r="B242" s="23"/>
      <c r="C242" s="23"/>
      <c r="D242" s="23"/>
      <c r="E242" s="23"/>
      <c r="F242" s="24"/>
      <c r="G242" s="23"/>
      <c r="H242" s="23"/>
      <c r="I242" s="24"/>
    </row>
    <row r="243" spans="1:9" ht="13.9">
      <c r="A243" s="23"/>
      <c r="B243" s="23"/>
      <c r="C243" s="23"/>
      <c r="D243" s="23"/>
      <c r="E243" s="23"/>
      <c r="F243" s="24"/>
      <c r="G243" s="23"/>
      <c r="H243" s="23"/>
      <c r="I243" s="24"/>
    </row>
    <row r="244" spans="1:9" ht="13.9">
      <c r="A244" s="23"/>
      <c r="B244" s="23"/>
      <c r="C244" s="23"/>
      <c r="D244" s="23"/>
      <c r="E244" s="23"/>
      <c r="F244" s="24"/>
      <c r="G244" s="23"/>
      <c r="H244" s="23"/>
      <c r="I244" s="24"/>
    </row>
    <row r="245" spans="1:9" ht="13.9">
      <c r="A245" s="23"/>
      <c r="B245" s="23"/>
      <c r="C245" s="23"/>
      <c r="D245" s="23"/>
      <c r="E245" s="23"/>
      <c r="F245" s="24"/>
      <c r="G245" s="23"/>
      <c r="H245" s="23"/>
      <c r="I245" s="24"/>
    </row>
    <row r="246" spans="1:9" ht="13.9">
      <c r="A246" s="23"/>
      <c r="B246" s="23"/>
      <c r="C246" s="23"/>
      <c r="D246" s="23"/>
      <c r="E246" s="23"/>
      <c r="F246" s="24"/>
      <c r="G246" s="23"/>
      <c r="H246" s="23"/>
      <c r="I246" s="24"/>
    </row>
    <row r="247" spans="1:9" ht="13.9">
      <c r="A247" s="23"/>
      <c r="B247" s="23"/>
      <c r="C247" s="23"/>
      <c r="D247" s="23"/>
      <c r="E247" s="23"/>
      <c r="F247" s="24"/>
      <c r="G247" s="23"/>
      <c r="H247" s="23"/>
      <c r="I247" s="24"/>
    </row>
    <row r="248" spans="1:9" ht="13.9">
      <c r="A248" s="23"/>
      <c r="B248" s="23"/>
      <c r="C248" s="23"/>
      <c r="D248" s="23"/>
      <c r="E248" s="23"/>
      <c r="F248" s="24"/>
      <c r="G248" s="23"/>
      <c r="H248" s="23"/>
      <c r="I248" s="24"/>
    </row>
    <row r="249" spans="1:9" ht="13.9">
      <c r="A249" s="23"/>
      <c r="B249" s="23"/>
      <c r="C249" s="23"/>
      <c r="D249" s="23"/>
      <c r="E249" s="23"/>
      <c r="F249" s="24"/>
      <c r="G249" s="23"/>
      <c r="H249" s="23"/>
      <c r="I249" s="24"/>
    </row>
    <row r="250" spans="1:9" ht="13.9">
      <c r="A250" s="23"/>
      <c r="B250" s="23"/>
      <c r="C250" s="23"/>
      <c r="D250" s="23"/>
      <c r="E250" s="23"/>
      <c r="F250" s="24"/>
      <c r="G250" s="23"/>
      <c r="H250" s="23"/>
      <c r="I250" s="24"/>
    </row>
    <row r="251" spans="1:9" ht="13.9">
      <c r="A251" s="23"/>
      <c r="B251" s="23"/>
      <c r="C251" s="23"/>
      <c r="D251" s="23"/>
      <c r="E251" s="23"/>
      <c r="F251" s="24"/>
      <c r="G251" s="23"/>
      <c r="H251" s="23"/>
      <c r="I251" s="24"/>
    </row>
    <row r="252" spans="1:9" ht="13.9">
      <c r="A252" s="23"/>
      <c r="B252" s="23"/>
      <c r="C252" s="23"/>
      <c r="D252" s="23"/>
      <c r="E252" s="23"/>
      <c r="F252" s="24"/>
      <c r="G252" s="23"/>
      <c r="H252" s="23"/>
      <c r="I252" s="24"/>
    </row>
    <row r="253" spans="1:9" ht="13.9">
      <c r="A253" s="23"/>
      <c r="B253" s="23"/>
      <c r="C253" s="23"/>
      <c r="D253" s="23"/>
      <c r="E253" s="23"/>
      <c r="F253" s="24"/>
      <c r="G253" s="23"/>
      <c r="H253" s="23"/>
      <c r="I253" s="24"/>
    </row>
    <row r="254" spans="1:9" ht="13.9">
      <c r="A254" s="23"/>
      <c r="B254" s="23"/>
      <c r="C254" s="23"/>
      <c r="D254" s="23"/>
      <c r="E254" s="23"/>
      <c r="F254" s="24"/>
      <c r="G254" s="23"/>
      <c r="H254" s="23"/>
      <c r="I254" s="24"/>
    </row>
    <row r="255" spans="1:9" ht="13.9">
      <c r="A255" s="23"/>
      <c r="B255" s="23"/>
      <c r="C255" s="23"/>
      <c r="D255" s="23"/>
      <c r="E255" s="23"/>
      <c r="F255" s="24"/>
      <c r="G255" s="23"/>
      <c r="H255" s="23"/>
      <c r="I255" s="24"/>
    </row>
    <row r="256" spans="1:9" ht="13.9">
      <c r="A256" s="23"/>
      <c r="B256" s="23"/>
      <c r="C256" s="23"/>
      <c r="D256" s="23"/>
      <c r="E256" s="23"/>
      <c r="F256" s="24"/>
      <c r="G256" s="23"/>
      <c r="H256" s="23"/>
      <c r="I256" s="24"/>
    </row>
    <row r="257" spans="1:9" ht="13.9">
      <c r="A257" s="23"/>
      <c r="B257" s="23"/>
      <c r="C257" s="23"/>
      <c r="D257" s="23"/>
      <c r="E257" s="23"/>
      <c r="F257" s="24"/>
      <c r="G257" s="23"/>
      <c r="H257" s="23"/>
      <c r="I257" s="24"/>
    </row>
    <row r="258" spans="1:9" ht="13.9">
      <c r="A258" s="23"/>
      <c r="B258" s="23"/>
      <c r="C258" s="23"/>
      <c r="D258" s="23"/>
      <c r="E258" s="23"/>
      <c r="F258" s="24"/>
      <c r="G258" s="23"/>
      <c r="H258" s="23"/>
      <c r="I258" s="24"/>
    </row>
    <row r="259" spans="1:9" ht="13.9">
      <c r="A259" s="23"/>
      <c r="B259" s="23"/>
      <c r="C259" s="23"/>
      <c r="D259" s="23"/>
      <c r="E259" s="23"/>
      <c r="F259" s="24"/>
      <c r="G259" s="23"/>
      <c r="H259" s="23"/>
      <c r="I259" s="24"/>
    </row>
    <row r="260" spans="1:9" ht="13.9">
      <c r="A260" s="23"/>
      <c r="B260" s="23"/>
      <c r="C260" s="23"/>
      <c r="D260" s="23"/>
      <c r="E260" s="23"/>
      <c r="F260" s="24"/>
      <c r="G260" s="23"/>
      <c r="H260" s="23"/>
      <c r="I260" s="24"/>
    </row>
    <row r="261" spans="1:9" ht="13.9">
      <c r="A261" s="23"/>
      <c r="B261" s="23"/>
      <c r="C261" s="23"/>
      <c r="D261" s="23"/>
      <c r="E261" s="23"/>
      <c r="F261" s="24"/>
      <c r="G261" s="23"/>
      <c r="H261" s="23"/>
      <c r="I261" s="24"/>
    </row>
    <row r="262" spans="1:9" ht="13.9">
      <c r="A262" s="23"/>
      <c r="B262" s="23"/>
      <c r="C262" s="23"/>
      <c r="D262" s="23"/>
      <c r="E262" s="23"/>
      <c r="F262" s="24"/>
      <c r="G262" s="23"/>
      <c r="H262" s="23"/>
      <c r="I262" s="24"/>
    </row>
    <row r="263" spans="1:9" ht="13.9">
      <c r="A263" s="23"/>
      <c r="B263" s="23"/>
      <c r="C263" s="23"/>
      <c r="D263" s="23"/>
      <c r="E263" s="23"/>
      <c r="F263" s="24"/>
      <c r="G263" s="23"/>
      <c r="H263" s="23"/>
      <c r="I263" s="24"/>
    </row>
    <row r="264" spans="1:9" ht="13.9">
      <c r="A264" s="23"/>
      <c r="B264" s="23"/>
      <c r="C264" s="23"/>
      <c r="D264" s="23"/>
      <c r="E264" s="23"/>
      <c r="F264" s="24"/>
      <c r="G264" s="23"/>
      <c r="H264" s="23"/>
      <c r="I264" s="24"/>
    </row>
    <row r="265" spans="1:9" ht="13.9">
      <c r="A265" s="23"/>
      <c r="B265" s="23"/>
      <c r="C265" s="23"/>
      <c r="D265" s="23"/>
      <c r="E265" s="23"/>
      <c r="F265" s="24"/>
      <c r="G265" s="23"/>
      <c r="H265" s="23"/>
      <c r="I265" s="24"/>
    </row>
    <row r="266" spans="1:9" ht="13.9">
      <c r="A266" s="23"/>
      <c r="B266" s="23"/>
      <c r="C266" s="23"/>
      <c r="D266" s="23"/>
      <c r="E266" s="23"/>
      <c r="F266" s="24"/>
      <c r="G266" s="23"/>
      <c r="H266" s="23"/>
      <c r="I266" s="24"/>
    </row>
    <row r="267" spans="1:9" ht="13.9">
      <c r="A267" s="23"/>
      <c r="B267" s="23"/>
      <c r="C267" s="23"/>
      <c r="D267" s="23"/>
      <c r="E267" s="23"/>
      <c r="F267" s="24"/>
      <c r="G267" s="23"/>
      <c r="H267" s="23"/>
      <c r="I267" s="24"/>
    </row>
    <row r="268" spans="1:9" ht="13.9">
      <c r="A268" s="23"/>
      <c r="B268" s="23"/>
      <c r="C268" s="23"/>
      <c r="D268" s="23"/>
      <c r="E268" s="23"/>
      <c r="F268" s="24"/>
      <c r="G268" s="23"/>
      <c r="H268" s="23"/>
      <c r="I268" s="24"/>
    </row>
    <row r="269" spans="1:9" ht="13.9">
      <c r="A269" s="23"/>
      <c r="B269" s="23"/>
      <c r="C269" s="23"/>
      <c r="D269" s="23"/>
      <c r="E269" s="23"/>
      <c r="F269" s="24"/>
      <c r="G269" s="23"/>
      <c r="H269" s="23"/>
      <c r="I269" s="24"/>
    </row>
    <row r="270" spans="1:9" ht="13.9">
      <c r="A270" s="23"/>
      <c r="B270" s="23"/>
      <c r="C270" s="23"/>
      <c r="D270" s="23"/>
      <c r="E270" s="23"/>
      <c r="F270" s="24"/>
      <c r="G270" s="23"/>
      <c r="H270" s="23"/>
      <c r="I270" s="24"/>
    </row>
    <row r="271" spans="1:9" ht="13.9">
      <c r="A271" s="23"/>
      <c r="B271" s="23"/>
      <c r="C271" s="23"/>
      <c r="D271" s="23"/>
      <c r="E271" s="23"/>
      <c r="F271" s="24"/>
      <c r="G271" s="23"/>
      <c r="H271" s="23"/>
      <c r="I271" s="24"/>
    </row>
    <row r="272" spans="1:9" ht="13.9">
      <c r="A272" s="23"/>
      <c r="B272" s="23"/>
      <c r="C272" s="23"/>
      <c r="D272" s="23"/>
      <c r="E272" s="23"/>
      <c r="F272" s="24"/>
      <c r="G272" s="23"/>
      <c r="H272" s="23"/>
      <c r="I272" s="24"/>
    </row>
    <row r="273" spans="1:9" ht="13.9">
      <c r="A273" s="23"/>
      <c r="B273" s="23"/>
      <c r="C273" s="23"/>
      <c r="D273" s="23"/>
      <c r="E273" s="23"/>
      <c r="F273" s="24"/>
      <c r="G273" s="23"/>
      <c r="H273" s="23"/>
      <c r="I273" s="24"/>
    </row>
    <row r="274" spans="1:9" ht="13.9">
      <c r="A274" s="23"/>
      <c r="B274" s="23"/>
      <c r="C274" s="23"/>
      <c r="D274" s="23"/>
      <c r="E274" s="23"/>
      <c r="F274" s="24"/>
      <c r="G274" s="23"/>
      <c r="H274" s="23"/>
      <c r="I274" s="24"/>
    </row>
    <row r="275" spans="1:9" ht="13.9">
      <c r="A275" s="23"/>
      <c r="B275" s="23"/>
      <c r="C275" s="23"/>
      <c r="D275" s="23"/>
      <c r="E275" s="23"/>
      <c r="F275" s="24"/>
      <c r="G275" s="23"/>
      <c r="H275" s="23"/>
      <c r="I275" s="24"/>
    </row>
    <row r="276" spans="1:9" ht="13.9">
      <c r="A276" s="23"/>
      <c r="B276" s="23"/>
      <c r="C276" s="23"/>
      <c r="D276" s="23"/>
      <c r="E276" s="23"/>
      <c r="F276" s="24"/>
      <c r="G276" s="23"/>
      <c r="H276" s="23"/>
      <c r="I276" s="24"/>
    </row>
    <row r="277" spans="1:9" ht="13.9">
      <c r="A277" s="23"/>
      <c r="B277" s="23"/>
      <c r="C277" s="23"/>
      <c r="D277" s="23"/>
      <c r="E277" s="23"/>
      <c r="F277" s="24"/>
      <c r="G277" s="23"/>
      <c r="H277" s="23"/>
      <c r="I277" s="24"/>
    </row>
    <row r="278" spans="1:9" ht="13.9">
      <c r="A278" s="23"/>
      <c r="B278" s="23"/>
      <c r="C278" s="23"/>
      <c r="D278" s="23"/>
      <c r="E278" s="23"/>
      <c r="F278" s="24"/>
      <c r="G278" s="23"/>
      <c r="H278" s="23"/>
      <c r="I278" s="24"/>
    </row>
    <row r="279" spans="1:9" ht="13.9">
      <c r="A279" s="23"/>
      <c r="B279" s="23"/>
      <c r="C279" s="23"/>
      <c r="D279" s="23"/>
      <c r="E279" s="23"/>
      <c r="F279" s="24"/>
      <c r="G279" s="23"/>
      <c r="H279" s="23"/>
      <c r="I279" s="24"/>
    </row>
    <row r="280" spans="1:9" ht="13.9">
      <c r="A280" s="23"/>
      <c r="B280" s="23"/>
      <c r="C280" s="23"/>
      <c r="D280" s="23"/>
      <c r="E280" s="23"/>
      <c r="F280" s="24"/>
      <c r="G280" s="23"/>
      <c r="H280" s="23"/>
      <c r="I280" s="24"/>
    </row>
    <row r="281" spans="1:9" ht="13.9">
      <c r="A281" s="23"/>
      <c r="B281" s="23"/>
      <c r="C281" s="23"/>
      <c r="D281" s="23"/>
      <c r="E281" s="23"/>
      <c r="F281" s="24"/>
      <c r="G281" s="23"/>
      <c r="H281" s="23"/>
      <c r="I281" s="24"/>
    </row>
    <row r="282" spans="1:9" ht="13.9">
      <c r="A282" s="23"/>
      <c r="B282" s="23"/>
      <c r="C282" s="23"/>
      <c r="D282" s="23"/>
      <c r="E282" s="23"/>
      <c r="F282" s="24"/>
      <c r="G282" s="23"/>
      <c r="H282" s="23"/>
      <c r="I282" s="24"/>
    </row>
    <row r="283" spans="1:9" ht="13.9">
      <c r="A283" s="23"/>
      <c r="B283" s="23"/>
      <c r="C283" s="23"/>
      <c r="D283" s="23"/>
      <c r="E283" s="23"/>
      <c r="F283" s="24"/>
      <c r="G283" s="23"/>
      <c r="H283" s="23"/>
      <c r="I283" s="24"/>
    </row>
    <row r="284" spans="1:9" ht="13.9">
      <c r="A284" s="23"/>
      <c r="B284" s="23"/>
      <c r="C284" s="23"/>
      <c r="D284" s="23"/>
      <c r="E284" s="23"/>
      <c r="F284" s="24"/>
      <c r="G284" s="23"/>
      <c r="H284" s="23"/>
      <c r="I284" s="24"/>
    </row>
    <row r="285" spans="1:9" ht="13.9">
      <c r="A285" s="23"/>
      <c r="B285" s="23"/>
      <c r="C285" s="23"/>
      <c r="D285" s="23"/>
      <c r="E285" s="23"/>
      <c r="F285" s="24"/>
      <c r="G285" s="23"/>
      <c r="H285" s="23"/>
      <c r="I285" s="24"/>
    </row>
    <row r="286" spans="1:9" ht="13.9">
      <c r="A286" s="23"/>
      <c r="B286" s="23"/>
      <c r="C286" s="23"/>
      <c r="D286" s="23"/>
      <c r="E286" s="23"/>
      <c r="F286" s="24"/>
      <c r="G286" s="23"/>
      <c r="H286" s="23"/>
      <c r="I286" s="24"/>
    </row>
    <row r="287" spans="1:9" ht="13.9">
      <c r="A287" s="23"/>
      <c r="B287" s="23"/>
      <c r="C287" s="23"/>
      <c r="D287" s="23"/>
      <c r="E287" s="23"/>
      <c r="F287" s="24"/>
      <c r="G287" s="23"/>
      <c r="H287" s="23"/>
      <c r="I287" s="24"/>
    </row>
    <row r="288" spans="1:9" ht="13.9">
      <c r="A288" s="23"/>
      <c r="B288" s="23"/>
      <c r="C288" s="23"/>
      <c r="D288" s="23"/>
      <c r="E288" s="23"/>
      <c r="F288" s="24"/>
      <c r="G288" s="23"/>
      <c r="H288" s="23"/>
      <c r="I288" s="24"/>
    </row>
    <row r="289" spans="1:9" ht="13.9">
      <c r="A289" s="23"/>
      <c r="B289" s="23"/>
      <c r="C289" s="23"/>
      <c r="D289" s="23"/>
      <c r="E289" s="23"/>
      <c r="F289" s="24"/>
      <c r="G289" s="23"/>
      <c r="H289" s="23"/>
      <c r="I289" s="24"/>
    </row>
    <row r="290" spans="1:9" ht="13.9">
      <c r="A290" s="23"/>
      <c r="B290" s="23"/>
      <c r="C290" s="23"/>
      <c r="D290" s="23"/>
      <c r="E290" s="23"/>
      <c r="F290" s="24"/>
      <c r="G290" s="23"/>
      <c r="H290" s="23"/>
      <c r="I290" s="24"/>
    </row>
    <row r="291" spans="1:9" ht="13.9">
      <c r="A291" s="23"/>
      <c r="B291" s="23"/>
      <c r="C291" s="23"/>
      <c r="D291" s="23"/>
      <c r="E291" s="23"/>
      <c r="F291" s="24"/>
      <c r="G291" s="23"/>
      <c r="H291" s="23"/>
      <c r="I291" s="24"/>
    </row>
    <row r="292" spans="1:9" ht="13.9">
      <c r="A292" s="23"/>
      <c r="B292" s="23"/>
      <c r="C292" s="23"/>
      <c r="D292" s="23"/>
      <c r="E292" s="23"/>
      <c r="F292" s="24"/>
      <c r="G292" s="23"/>
      <c r="H292" s="23"/>
      <c r="I292" s="24"/>
    </row>
    <row r="293" spans="1:9" ht="13.9">
      <c r="A293" s="23"/>
      <c r="B293" s="23"/>
      <c r="C293" s="23"/>
      <c r="D293" s="23"/>
      <c r="E293" s="23"/>
      <c r="F293" s="24"/>
      <c r="G293" s="23"/>
      <c r="H293" s="23"/>
      <c r="I293" s="24"/>
    </row>
    <row r="294" spans="1:9" ht="13.9">
      <c r="A294" s="23"/>
      <c r="B294" s="23"/>
      <c r="C294" s="23"/>
      <c r="D294" s="23"/>
      <c r="E294" s="23"/>
      <c r="F294" s="24"/>
      <c r="G294" s="23"/>
      <c r="H294" s="23"/>
      <c r="I294" s="24"/>
    </row>
    <row r="295" spans="1:9" ht="13.9">
      <c r="A295" s="23"/>
      <c r="B295" s="23"/>
      <c r="C295" s="23"/>
      <c r="D295" s="23"/>
      <c r="E295" s="23"/>
      <c r="F295" s="24"/>
      <c r="G295" s="23"/>
      <c r="H295" s="23"/>
      <c r="I295" s="24"/>
    </row>
    <row r="296" spans="1:9" ht="13.9">
      <c r="A296" s="23"/>
      <c r="B296" s="23"/>
      <c r="C296" s="23"/>
      <c r="D296" s="23"/>
      <c r="E296" s="23"/>
      <c r="F296" s="24"/>
      <c r="G296" s="23"/>
      <c r="H296" s="23"/>
      <c r="I296" s="24"/>
    </row>
    <row r="297" spans="1:9" ht="13.9">
      <c r="A297" s="23"/>
      <c r="B297" s="23"/>
      <c r="C297" s="23"/>
      <c r="D297" s="23"/>
      <c r="E297" s="23"/>
      <c r="F297" s="24"/>
      <c r="G297" s="23"/>
      <c r="H297" s="23"/>
      <c r="I297" s="24"/>
    </row>
    <row r="298" spans="1:9" ht="13.9">
      <c r="A298" s="23"/>
      <c r="B298" s="23"/>
      <c r="C298" s="23"/>
      <c r="D298" s="23"/>
      <c r="E298" s="23"/>
      <c r="F298" s="24"/>
      <c r="G298" s="23"/>
      <c r="H298" s="23"/>
      <c r="I298" s="24"/>
    </row>
    <row r="299" spans="1:9" ht="13.9">
      <c r="A299" s="23"/>
      <c r="B299" s="23"/>
      <c r="C299" s="23"/>
      <c r="D299" s="23"/>
      <c r="E299" s="23"/>
      <c r="F299" s="24"/>
      <c r="G299" s="23"/>
      <c r="H299" s="23"/>
      <c r="I299" s="24"/>
    </row>
    <row r="300" spans="1:9" ht="13.9">
      <c r="A300" s="23"/>
      <c r="B300" s="23"/>
      <c r="C300" s="23"/>
      <c r="D300" s="23"/>
      <c r="E300" s="23"/>
      <c r="F300" s="24"/>
      <c r="G300" s="23"/>
      <c r="H300" s="23"/>
      <c r="I300" s="24"/>
    </row>
    <row r="301" spans="1:9" ht="13.9">
      <c r="A301" s="23"/>
      <c r="B301" s="23"/>
      <c r="C301" s="23"/>
      <c r="D301" s="23"/>
      <c r="E301" s="23"/>
      <c r="F301" s="24"/>
      <c r="G301" s="23"/>
      <c r="H301" s="23"/>
      <c r="I301" s="24"/>
    </row>
    <row r="302" spans="1:9" ht="13.9">
      <c r="A302" s="23"/>
      <c r="B302" s="23"/>
      <c r="C302" s="23"/>
      <c r="D302" s="23"/>
      <c r="E302" s="23"/>
      <c r="F302" s="24"/>
      <c r="G302" s="23"/>
      <c r="H302" s="23"/>
      <c r="I302" s="24"/>
    </row>
    <row r="303" spans="1:9" ht="13.9">
      <c r="A303" s="23"/>
      <c r="B303" s="23"/>
      <c r="C303" s="23"/>
      <c r="D303" s="23"/>
      <c r="E303" s="23"/>
      <c r="F303" s="24"/>
      <c r="G303" s="23"/>
      <c r="H303" s="23"/>
      <c r="I303" s="24"/>
    </row>
    <row r="304" spans="1:9" ht="13.9">
      <c r="A304" s="23"/>
      <c r="B304" s="23"/>
      <c r="C304" s="23"/>
      <c r="D304" s="23"/>
      <c r="E304" s="23"/>
      <c r="F304" s="24"/>
      <c r="G304" s="23"/>
      <c r="H304" s="23"/>
      <c r="I304" s="24"/>
    </row>
    <row r="305" spans="1:9" ht="13.9">
      <c r="A305" s="23"/>
      <c r="B305" s="23"/>
      <c r="C305" s="23"/>
      <c r="D305" s="23"/>
      <c r="E305" s="23"/>
      <c r="F305" s="24"/>
      <c r="G305" s="23"/>
      <c r="H305" s="23"/>
      <c r="I305" s="24"/>
    </row>
    <row r="306" spans="1:9" ht="13.9">
      <c r="A306" s="23"/>
      <c r="B306" s="23"/>
      <c r="C306" s="23"/>
      <c r="D306" s="23"/>
      <c r="E306" s="23"/>
      <c r="F306" s="24"/>
      <c r="G306" s="23"/>
      <c r="H306" s="23"/>
      <c r="I306" s="24"/>
    </row>
    <row r="307" spans="1:9" ht="13.9">
      <c r="A307" s="23"/>
      <c r="B307" s="23"/>
      <c r="C307" s="23"/>
      <c r="D307" s="23"/>
      <c r="E307" s="23"/>
      <c r="F307" s="24"/>
      <c r="G307" s="23"/>
      <c r="H307" s="23"/>
      <c r="I307" s="24"/>
    </row>
    <row r="308" spans="1:9" ht="13.9">
      <c r="A308" s="23"/>
      <c r="B308" s="23"/>
      <c r="C308" s="23"/>
      <c r="D308" s="23"/>
      <c r="E308" s="23"/>
      <c r="F308" s="24"/>
      <c r="G308" s="23"/>
      <c r="H308" s="23"/>
      <c r="I308" s="24"/>
    </row>
    <row r="309" spans="1:9" ht="13.9">
      <c r="A309" s="23"/>
      <c r="B309" s="23"/>
      <c r="C309" s="23"/>
      <c r="D309" s="23"/>
      <c r="E309" s="23"/>
      <c r="F309" s="24"/>
      <c r="G309" s="23"/>
      <c r="H309" s="23"/>
      <c r="I309" s="24"/>
    </row>
    <row r="310" spans="1:9" ht="13.9">
      <c r="A310" s="23"/>
      <c r="B310" s="23"/>
      <c r="C310" s="23"/>
      <c r="D310" s="23"/>
      <c r="E310" s="23"/>
      <c r="F310" s="24"/>
      <c r="G310" s="23"/>
      <c r="H310" s="23"/>
      <c r="I310" s="24"/>
    </row>
    <row r="311" spans="1:9" ht="13.9">
      <c r="A311" s="23"/>
      <c r="B311" s="23"/>
      <c r="C311" s="23"/>
      <c r="D311" s="23"/>
      <c r="E311" s="23"/>
      <c r="F311" s="24"/>
      <c r="G311" s="23"/>
      <c r="H311" s="23"/>
      <c r="I311" s="24"/>
    </row>
    <row r="312" spans="1:9" ht="13.9">
      <c r="A312" s="23"/>
      <c r="B312" s="23"/>
      <c r="C312" s="23"/>
      <c r="D312" s="23"/>
      <c r="E312" s="23"/>
      <c r="F312" s="24"/>
      <c r="G312" s="23"/>
      <c r="H312" s="23"/>
      <c r="I312" s="24"/>
    </row>
    <row r="313" spans="1:9" ht="13.9">
      <c r="A313" s="23"/>
      <c r="B313" s="23"/>
      <c r="C313" s="23"/>
      <c r="D313" s="23"/>
      <c r="E313" s="23"/>
      <c r="F313" s="24"/>
      <c r="G313" s="23"/>
      <c r="H313" s="23"/>
      <c r="I313" s="24"/>
    </row>
    <row r="314" spans="1:9" ht="13.9">
      <c r="A314" s="23"/>
      <c r="B314" s="23"/>
      <c r="C314" s="23"/>
      <c r="D314" s="23"/>
      <c r="E314" s="23"/>
      <c r="F314" s="24"/>
      <c r="G314" s="23"/>
      <c r="H314" s="23"/>
      <c r="I314" s="24"/>
    </row>
    <row r="315" spans="1:9" ht="13.9">
      <c r="A315" s="23"/>
      <c r="B315" s="23"/>
      <c r="C315" s="23"/>
      <c r="D315" s="23"/>
      <c r="E315" s="23"/>
      <c r="F315" s="24"/>
      <c r="G315" s="23"/>
      <c r="H315" s="23"/>
      <c r="I315" s="24"/>
    </row>
    <row r="316" spans="1:9" ht="13.9">
      <c r="A316" s="23"/>
      <c r="B316" s="23"/>
      <c r="C316" s="23"/>
      <c r="D316" s="23"/>
      <c r="E316" s="23"/>
      <c r="F316" s="24"/>
      <c r="G316" s="23"/>
      <c r="H316" s="23"/>
      <c r="I316" s="24"/>
    </row>
    <row r="317" spans="1:9" ht="13.9">
      <c r="A317" s="23"/>
      <c r="B317" s="23"/>
      <c r="C317" s="23"/>
      <c r="D317" s="23"/>
      <c r="E317" s="23"/>
      <c r="F317" s="24"/>
      <c r="G317" s="23"/>
      <c r="H317" s="23"/>
      <c r="I317" s="24"/>
    </row>
    <row r="318" spans="1:9" ht="13.9">
      <c r="A318" s="23"/>
      <c r="B318" s="23"/>
      <c r="C318" s="23"/>
      <c r="D318" s="23"/>
      <c r="E318" s="23"/>
      <c r="F318" s="24"/>
      <c r="G318" s="23"/>
      <c r="H318" s="23"/>
      <c r="I318" s="24"/>
    </row>
    <row r="319" spans="1:9" ht="13.9">
      <c r="A319" s="23"/>
      <c r="B319" s="23"/>
      <c r="C319" s="23"/>
      <c r="D319" s="23"/>
      <c r="E319" s="23"/>
      <c r="F319" s="24"/>
      <c r="G319" s="23"/>
      <c r="H319" s="23"/>
      <c r="I319" s="24"/>
    </row>
    <row r="320" spans="1:9" ht="13.9">
      <c r="A320" s="23"/>
      <c r="B320" s="23"/>
      <c r="C320" s="23"/>
      <c r="D320" s="23"/>
      <c r="E320" s="23"/>
      <c r="F320" s="24"/>
      <c r="G320" s="23"/>
      <c r="H320" s="23"/>
      <c r="I320" s="24"/>
    </row>
    <row r="321" spans="1:9" ht="13.9">
      <c r="A321" s="23"/>
      <c r="B321" s="23"/>
      <c r="C321" s="23"/>
      <c r="D321" s="23"/>
      <c r="E321" s="23"/>
      <c r="F321" s="24"/>
      <c r="G321" s="23"/>
      <c r="H321" s="23"/>
      <c r="I321" s="24"/>
    </row>
    <row r="322" spans="1:9" ht="13.9">
      <c r="A322" s="23"/>
      <c r="B322" s="23"/>
      <c r="C322" s="23"/>
      <c r="D322" s="23"/>
      <c r="E322" s="23"/>
      <c r="F322" s="24"/>
      <c r="G322" s="23"/>
      <c r="H322" s="23"/>
      <c r="I322" s="24"/>
    </row>
    <row r="323" spans="1:9" ht="13.9">
      <c r="A323" s="23"/>
      <c r="B323" s="23"/>
      <c r="C323" s="23"/>
      <c r="D323" s="23"/>
      <c r="E323" s="23"/>
      <c r="F323" s="24"/>
      <c r="G323" s="23"/>
      <c r="H323" s="23"/>
      <c r="I323" s="24"/>
    </row>
    <row r="324" spans="1:9" ht="13.9">
      <c r="A324" s="23"/>
      <c r="B324" s="23"/>
      <c r="C324" s="23"/>
      <c r="D324" s="23"/>
      <c r="E324" s="23"/>
      <c r="F324" s="24"/>
      <c r="G324" s="23"/>
      <c r="H324" s="23"/>
      <c r="I324" s="24"/>
    </row>
    <row r="325" spans="1:9" ht="13.9">
      <c r="A325" s="23"/>
      <c r="B325" s="23"/>
      <c r="C325" s="23"/>
      <c r="D325" s="23"/>
      <c r="E325" s="23"/>
      <c r="F325" s="24"/>
      <c r="G325" s="23"/>
      <c r="H325" s="23"/>
      <c r="I325" s="24"/>
    </row>
    <row r="326" spans="1:9" ht="13.9">
      <c r="A326" s="23"/>
      <c r="B326" s="23"/>
      <c r="C326" s="23"/>
      <c r="D326" s="23"/>
      <c r="E326" s="23"/>
      <c r="F326" s="24"/>
      <c r="G326" s="23"/>
      <c r="H326" s="23"/>
      <c r="I326" s="24"/>
    </row>
    <row r="327" spans="1:9" ht="13.9">
      <c r="A327" s="23"/>
      <c r="B327" s="23"/>
      <c r="C327" s="23"/>
      <c r="D327" s="23"/>
      <c r="E327" s="23"/>
      <c r="F327" s="24"/>
      <c r="G327" s="23"/>
      <c r="H327" s="23"/>
      <c r="I327" s="24"/>
    </row>
    <row r="328" spans="1:9" ht="13.9">
      <c r="A328" s="23"/>
      <c r="B328" s="23"/>
      <c r="C328" s="23"/>
      <c r="D328" s="23"/>
      <c r="E328" s="23"/>
      <c r="F328" s="24"/>
      <c r="G328" s="23"/>
      <c r="H328" s="23"/>
      <c r="I328" s="24"/>
    </row>
    <row r="329" spans="1:9" ht="13.9">
      <c r="A329" s="23"/>
      <c r="B329" s="23"/>
      <c r="C329" s="23"/>
      <c r="D329" s="23"/>
      <c r="E329" s="23"/>
      <c r="F329" s="24"/>
      <c r="G329" s="23"/>
      <c r="H329" s="23"/>
      <c r="I329" s="24"/>
    </row>
    <row r="330" spans="1:9" ht="13.9">
      <c r="A330" s="23"/>
      <c r="B330" s="23"/>
      <c r="C330" s="23"/>
      <c r="D330" s="23"/>
      <c r="E330" s="23"/>
      <c r="F330" s="24"/>
      <c r="G330" s="23"/>
      <c r="H330" s="23"/>
      <c r="I330" s="24"/>
    </row>
    <row r="331" spans="1:9" ht="13.9">
      <c r="A331" s="23"/>
      <c r="B331" s="23"/>
      <c r="C331" s="23"/>
      <c r="D331" s="23"/>
      <c r="E331" s="23"/>
      <c r="F331" s="24"/>
      <c r="G331" s="23"/>
      <c r="H331" s="23"/>
      <c r="I331" s="24"/>
    </row>
    <row r="332" spans="1:9" ht="13.9">
      <c r="A332" s="23"/>
      <c r="B332" s="23"/>
      <c r="C332" s="23"/>
      <c r="D332" s="23"/>
      <c r="E332" s="23"/>
      <c r="F332" s="24"/>
      <c r="G332" s="23"/>
      <c r="H332" s="23"/>
      <c r="I332" s="24"/>
    </row>
  </sheetData>
  <sortState xmlns:xlrd2="http://schemas.microsoft.com/office/spreadsheetml/2017/richdata2" ref="A3:I4">
    <sortCondition ref="A3:A4"/>
  </sortState>
  <mergeCells count="4">
    <mergeCell ref="G1:I1"/>
    <mergeCell ref="A1:C1"/>
    <mergeCell ref="D1:F1"/>
    <mergeCell ref="A2:B2"/>
  </mergeCells>
  <conditionalFormatting sqref="F2 I2">
    <cfRule type="cellIs" dxfId="46" priority="13" stopIfTrue="1" operator="lessThanOrEqual">
      <formula>-0.1</formula>
    </cfRule>
    <cfRule type="expression" dxfId="45" priority="14">
      <formula>AND(ISNUMBER(F2), F2&gt;=0.1)</formula>
    </cfRule>
  </conditionalFormatting>
  <conditionalFormatting sqref="F4:F90">
    <cfRule type="cellIs" dxfId="44" priority="3" stopIfTrue="1" operator="lessThanOrEqual">
      <formula>-0.1</formula>
    </cfRule>
    <cfRule type="expression" dxfId="43" priority="4">
      <formula>AND(ISNUMBER(F4), F4&gt;=0.1)</formula>
    </cfRule>
  </conditionalFormatting>
  <conditionalFormatting sqref="I4:I90">
    <cfRule type="cellIs" dxfId="42" priority="1" stopIfTrue="1" operator="lessThanOrEqual">
      <formula>-0.1</formula>
    </cfRule>
    <cfRule type="expression" dxfId="41" priority="2">
      <formula>AND(ISNUMBER(I4), I4&gt;=0.1)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K331"/>
  <sheetViews>
    <sheetView workbookViewId="0">
      <pane ySplit="2" topLeftCell="A3" activePane="bottomLeft" state="frozen"/>
      <selection pane="bottomLeft" activeCell="E18" sqref="E18"/>
      <selection activeCell="J20" sqref="J20"/>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11" ht="19.5" customHeight="1">
      <c r="A1" s="89" t="str" cm="1">
        <f t="array" ref="A1">portfolio</f>
        <v>AB CarVal</v>
      </c>
      <c r="B1" s="89"/>
      <c r="C1" s="89"/>
      <c r="D1" s="90" t="s">
        <v>14</v>
      </c>
      <c r="E1" s="90"/>
      <c r="F1" s="90"/>
      <c r="G1" s="88" t="s">
        <v>15</v>
      </c>
      <c r="H1" s="88"/>
      <c r="I1" s="88"/>
    </row>
    <row r="2" spans="1:11" ht="19.5" customHeight="1">
      <c r="A2" s="91" t="s">
        <v>2</v>
      </c>
      <c r="B2" s="91"/>
      <c r="C2" s="6">
        <f>SUM(C4:C89)</f>
        <v>0</v>
      </c>
      <c r="D2" s="6">
        <f>SUM(D4:D89)</f>
        <v>0</v>
      </c>
      <c r="E2" s="6">
        <f>C2-D2</f>
        <v>0</v>
      </c>
      <c r="F2" s="7">
        <f>IFERROR(E2/D2, 0)</f>
        <v>0</v>
      </c>
      <c r="G2" s="6">
        <f>SUM(G4:G89)</f>
        <v>0</v>
      </c>
      <c r="H2" s="8">
        <f>C2-G2</f>
        <v>0</v>
      </c>
      <c r="I2" s="7">
        <f>IFERROR(H2/G2, 0)</f>
        <v>0</v>
      </c>
    </row>
    <row r="3" spans="1:11" ht="14.25" customHeight="1">
      <c r="A3" s="9" t="s">
        <v>3</v>
      </c>
      <c r="B3" s="9" t="s">
        <v>4</v>
      </c>
      <c r="C3" s="25" t="s">
        <v>5</v>
      </c>
      <c r="D3" s="36" t="s">
        <v>6</v>
      </c>
      <c r="E3" s="36" t="s">
        <v>7</v>
      </c>
      <c r="F3" s="37" t="s">
        <v>8</v>
      </c>
      <c r="G3" s="38" t="s">
        <v>9</v>
      </c>
      <c r="H3" s="39" t="s">
        <v>7</v>
      </c>
      <c r="I3" s="40" t="s">
        <v>8</v>
      </c>
    </row>
    <row r="4" spans="1:11" ht="15.6">
      <c r="A4" s="13" t="str" cm="1">
        <f t="array" ref="A4:A11">Sites[Site]</f>
        <v>MA: Fairhaven - 279 Mill Rd</v>
      </c>
      <c r="B4" s="10" t="str" cm="1">
        <f t="array" ref="B4:B11">Sites[State]</f>
        <v>MA</v>
      </c>
      <c r="C4" s="26">
        <f>SUM(Jul!C4, Aug!C4, Sep!C4)</f>
        <v>0</v>
      </c>
      <c r="D4" s="14">
        <f>SUM(Jul!D4, Aug!D4, Sep!D4)</f>
        <v>0</v>
      </c>
      <c r="E4" s="14">
        <f>IF(AND(ISNUMBER(C4),ISNUMBER(D4)), C4-D4, "")</f>
        <v>0</v>
      </c>
      <c r="F4" s="15" t="str">
        <f>IFERROR(E4/D4, "")</f>
        <v/>
      </c>
      <c r="G4" s="16">
        <f>SUM(Jul!G4, Aug!G4, Sep!G4)</f>
        <v>0</v>
      </c>
      <c r="H4" s="16">
        <f>SUM(Jul!H4, Aug!H4, Sep!H4)</f>
        <v>0</v>
      </c>
      <c r="I4" s="17" t="str">
        <f>IFERROR(H4/G4, "")</f>
        <v/>
      </c>
    </row>
    <row r="5" spans="1:11" ht="15.6">
      <c r="A5" s="31" t="str">
        <v>Bakersfield - 100 Basic School Rd</v>
      </c>
      <c r="B5" s="32" t="str">
        <v>CA</v>
      </c>
      <c r="C5" s="12">
        <f>SUM(Jul!C5, Aug!C5, Sep!C5)</f>
        <v>0</v>
      </c>
      <c r="D5" s="20">
        <f>SUM(Jul!D5, Aug!D5, Sep!D5)</f>
        <v>0</v>
      </c>
      <c r="E5" s="20">
        <f t="shared" ref="E5:E7" si="0">IF(AND(ISNUMBER(C5),ISNUMBER(D5)), C5-D5, "")</f>
        <v>0</v>
      </c>
      <c r="F5" s="21" t="str">
        <f t="shared" ref="F5:F7" si="1">IFERROR(E5/D5, "")</f>
        <v/>
      </c>
      <c r="G5" s="22">
        <f>SUM(Jul!G5, Aug!G5, Sep!G5)</f>
        <v>0</v>
      </c>
      <c r="H5" s="22">
        <f>SUM(Jul!H5, Aug!H5, Sep!H5)</f>
        <v>0</v>
      </c>
      <c r="I5" s="21" t="str">
        <f t="shared" ref="I5:I7" si="2">IFERROR(H5/G5, "")</f>
        <v/>
      </c>
      <c r="J5" s="11"/>
      <c r="K5" s="19"/>
    </row>
    <row r="6" spans="1:11" ht="15.6">
      <c r="A6" s="13" t="str">
        <v>Fresno - 2685 Cornelia Ave</v>
      </c>
      <c r="B6" s="10" t="str">
        <v>CA</v>
      </c>
      <c r="C6" s="26">
        <f>SUM(Jul!C6, Aug!C6, Sep!C6)</f>
        <v>0</v>
      </c>
      <c r="D6" s="14">
        <f>SUM(Jul!D6, Aug!D6, Sep!D6)</f>
        <v>0</v>
      </c>
      <c r="E6" s="14">
        <f t="shared" si="0"/>
        <v>0</v>
      </c>
      <c r="F6" s="15" t="str">
        <f t="shared" si="1"/>
        <v/>
      </c>
      <c r="G6" s="16">
        <f>SUM(Jul!G6, Aug!G6, Sep!G6)</f>
        <v>0</v>
      </c>
      <c r="H6" s="16">
        <f>SUM(Jul!H6, Aug!H6, Sep!H6)</f>
        <v>0</v>
      </c>
      <c r="I6" s="17" t="str">
        <f t="shared" si="2"/>
        <v/>
      </c>
    </row>
    <row r="7" spans="1:11" ht="12.75" customHeight="1">
      <c r="A7" s="31" t="str">
        <v>San Juaquin - S. Placer &amp; W. Adams</v>
      </c>
      <c r="B7" s="32" t="str">
        <v>CA</v>
      </c>
      <c r="C7" s="12">
        <f>SUM(Jul!C7, Aug!C7, Sep!C7)</f>
        <v>0</v>
      </c>
      <c r="D7" s="20">
        <f>SUM(Jul!D7, Aug!D7, Sep!D7)</f>
        <v>0</v>
      </c>
      <c r="E7" s="20">
        <f t="shared" si="0"/>
        <v>0</v>
      </c>
      <c r="F7" s="21" t="str">
        <f t="shared" si="1"/>
        <v/>
      </c>
      <c r="G7" s="22">
        <f>SUM(Jul!G7, Aug!G7, Sep!G7)</f>
        <v>0</v>
      </c>
      <c r="H7" s="22">
        <f>SUM(Jul!H7, Aug!H7, Sep!H7)</f>
        <v>0</v>
      </c>
      <c r="I7" s="21" t="str">
        <f t="shared" si="2"/>
        <v/>
      </c>
      <c r="J7" s="11"/>
      <c r="K7" s="19"/>
    </row>
    <row r="8" spans="1:11" ht="15.6">
      <c r="A8" s="13" t="str">
        <v xml:space="preserve">Charlemont - 0 Tea St </v>
      </c>
      <c r="B8" s="10" t="str">
        <v>MA</v>
      </c>
      <c r="C8" s="49">
        <f>SUM(Jul!C8, Aug!C8, Sep!C8)</f>
        <v>0</v>
      </c>
      <c r="D8" s="14">
        <f>SUM(Jul!D8, Aug!D8, Sep!D8)</f>
        <v>0</v>
      </c>
      <c r="E8" s="14">
        <f>IF(AND(ISNUMBER(C8),ISNUMBER(D8)), C8-D8, "")</f>
        <v>0</v>
      </c>
      <c r="F8" s="48" t="str">
        <f>IFERROR(E8/D8, "")</f>
        <v/>
      </c>
      <c r="G8" s="47">
        <f>SUM(Jul!G8, Aug!G8, Sep!G8)</f>
        <v>0</v>
      </c>
      <c r="H8" s="47">
        <f>SUM(Jul!H8, Aug!H8, Sep!H8)</f>
        <v>0</v>
      </c>
      <c r="I8" s="46" t="str">
        <f>IFERROR(H8/G8, "")</f>
        <v/>
      </c>
    </row>
    <row r="9" spans="1:11" ht="15.6">
      <c r="A9" s="31" t="str">
        <v xml:space="preserve">Amherst - 740 Belchertown Rd </v>
      </c>
      <c r="B9" s="32" t="str">
        <v>MA</v>
      </c>
      <c r="C9" s="42">
        <f>SUM(Jul!C9, Aug!C9, Sep!C9)</f>
        <v>0</v>
      </c>
      <c r="D9" s="20">
        <f>SUM(Jul!D9, Aug!D9, Sep!D9)</f>
        <v>0</v>
      </c>
      <c r="E9" s="20">
        <f>IF(AND(ISNUMBER(C9),ISNUMBER(D9)), C9-D9, "")</f>
        <v>0</v>
      </c>
      <c r="F9" s="43" t="str">
        <f>IFERROR(E9/D9, "")</f>
        <v/>
      </c>
      <c r="G9" s="44">
        <f>SUM(Jul!G9, Aug!G9, Sep!G9)</f>
        <v>0</v>
      </c>
      <c r="H9" s="44">
        <f>SUM(Jul!H9, Aug!H9, Sep!H9)</f>
        <v>0</v>
      </c>
      <c r="I9" s="43" t="str">
        <f>IFERROR(H9/G9, "")</f>
        <v/>
      </c>
      <c r="J9" s="11"/>
      <c r="K9" s="19"/>
    </row>
    <row r="10" spans="1:11" ht="15.6">
      <c r="A10" s="13" t="str">
        <v xml:space="preserve"> Ludlow - Huxley 1 &amp; 2 - 504 Fuller St </v>
      </c>
      <c r="B10" s="10" t="str">
        <v>MA</v>
      </c>
      <c r="C10" s="49">
        <f>SUM(Jul!C10, Aug!C10, Sep!C10)</f>
        <v>0</v>
      </c>
      <c r="D10" s="14">
        <f>SUM(Jul!D10, Aug!D10, Sep!D10)</f>
        <v>0</v>
      </c>
      <c r="E10" s="14">
        <f>IF(AND(ISNUMBER(C10),ISNUMBER(D10)), C10-D10, "")</f>
        <v>0</v>
      </c>
      <c r="F10" s="48" t="str">
        <f>IFERROR(E10/D10, "")</f>
        <v/>
      </c>
      <c r="G10" s="47">
        <f>SUM(Jul!G10, Aug!G10, Sep!G10)</f>
        <v>0</v>
      </c>
      <c r="H10" s="47">
        <f>SUM(Jul!H10, Aug!H10, Sep!H10)</f>
        <v>0</v>
      </c>
      <c r="I10" s="46" t="str">
        <f>IFERROR(H10/G10, "")</f>
        <v/>
      </c>
    </row>
    <row r="11" spans="1:11" ht="15.6">
      <c r="A11" s="31" t="str">
        <v>Easthampton - Beacon 1 &amp; 2 - 540 Florence Rd</v>
      </c>
      <c r="B11" s="32" t="str">
        <v>MA</v>
      </c>
      <c r="C11" s="42">
        <f>SUM(Jul!C11, Aug!C11, Sep!C11)</f>
        <v>0</v>
      </c>
      <c r="D11" s="20">
        <f>SUM(Jul!D11, Aug!D11, Sep!D11)</f>
        <v>0</v>
      </c>
      <c r="E11" s="20">
        <f>IF(AND(ISNUMBER(C11),ISNUMBER(D11)), C11-D11, "")</f>
        <v>0</v>
      </c>
      <c r="F11" s="43" t="str">
        <f>IFERROR(E11/D11, "")</f>
        <v/>
      </c>
      <c r="G11" s="44">
        <f>SUM(Jul!G11, Aug!G11, Sep!G11)</f>
        <v>0</v>
      </c>
      <c r="H11" s="44">
        <f>SUM(Jul!H11, Aug!H11, Sep!H11)</f>
        <v>0</v>
      </c>
      <c r="I11" s="43" t="str">
        <f>IFERROR(H11/G11, "")</f>
        <v/>
      </c>
      <c r="J11" s="11"/>
      <c r="K11" s="19"/>
    </row>
    <row r="12" spans="1:11" ht="13.9">
      <c r="A12" s="23"/>
      <c r="B12" s="23"/>
      <c r="C12" s="23"/>
      <c r="D12" s="23"/>
      <c r="E12" s="23"/>
      <c r="F12" s="23"/>
      <c r="G12" s="23"/>
      <c r="H12" s="23"/>
      <c r="I12" s="23"/>
    </row>
    <row r="13" spans="1:11" ht="13.9">
      <c r="A13" s="23"/>
      <c r="B13" s="23"/>
      <c r="C13" s="23"/>
      <c r="D13" s="23"/>
      <c r="E13" s="23"/>
      <c r="F13" s="23"/>
      <c r="G13" s="23"/>
      <c r="H13" s="23"/>
      <c r="I13" s="23"/>
    </row>
    <row r="14" spans="1:11" ht="13.9">
      <c r="A14" s="23"/>
      <c r="B14" s="23"/>
      <c r="C14" s="23"/>
      <c r="D14" s="23"/>
      <c r="E14" s="23"/>
      <c r="F14" s="23"/>
      <c r="G14" s="23"/>
      <c r="H14" s="23"/>
      <c r="I14" s="23"/>
    </row>
    <row r="15" spans="1:11" ht="13.9">
      <c r="A15" s="23"/>
      <c r="B15" s="23"/>
      <c r="C15" s="23"/>
      <c r="D15" s="23"/>
      <c r="E15" s="23"/>
      <c r="F15" s="23"/>
      <c r="G15" s="23"/>
      <c r="H15" s="23"/>
      <c r="I15" s="23"/>
    </row>
    <row r="16" spans="1:11" ht="13.9">
      <c r="A16" s="23"/>
      <c r="B16" s="23"/>
      <c r="C16" s="23"/>
      <c r="D16" s="23"/>
      <c r="E16" s="23"/>
      <c r="F16" s="23"/>
      <c r="G16" s="23"/>
      <c r="H16" s="23"/>
      <c r="I16" s="23"/>
    </row>
    <row r="17" spans="1:9" ht="13.9">
      <c r="A17" s="23"/>
      <c r="B17" s="23"/>
      <c r="C17" s="23"/>
      <c r="D17" s="23"/>
      <c r="E17" s="23"/>
      <c r="F17" s="23"/>
      <c r="G17" s="23"/>
      <c r="H17" s="23"/>
      <c r="I17" s="23"/>
    </row>
    <row r="18" spans="1:9" ht="13.9">
      <c r="A18" s="23"/>
      <c r="B18" s="23"/>
      <c r="C18" s="23"/>
      <c r="D18" s="23"/>
      <c r="E18" s="23"/>
      <c r="F18" s="23"/>
      <c r="G18" s="23"/>
      <c r="H18" s="23"/>
      <c r="I18" s="23"/>
    </row>
    <row r="19" spans="1:9" ht="13.9">
      <c r="A19" s="23"/>
      <c r="B19" s="23"/>
      <c r="C19" s="23"/>
      <c r="D19" s="23"/>
      <c r="E19" s="23"/>
      <c r="F19" s="23"/>
      <c r="G19" s="23"/>
      <c r="H19" s="23"/>
      <c r="I19" s="23"/>
    </row>
    <row r="20" spans="1:9" ht="13.9">
      <c r="A20" s="23"/>
      <c r="B20" s="23"/>
      <c r="C20" s="23"/>
      <c r="D20" s="23"/>
      <c r="E20" s="23"/>
      <c r="F20" s="23"/>
      <c r="G20" s="23"/>
      <c r="H20" s="23"/>
      <c r="I20" s="23"/>
    </row>
    <row r="21" spans="1:9" ht="13.9">
      <c r="A21" s="23"/>
      <c r="B21" s="23"/>
      <c r="C21" s="23"/>
      <c r="D21" s="23"/>
      <c r="E21" s="23"/>
      <c r="F21" s="23"/>
      <c r="G21" s="23"/>
      <c r="H21" s="23"/>
      <c r="I21" s="23"/>
    </row>
    <row r="22" spans="1:9" ht="13.9">
      <c r="A22" s="23"/>
      <c r="B22" s="23"/>
      <c r="C22" s="23"/>
      <c r="D22" s="23"/>
      <c r="E22" s="23"/>
      <c r="F22" s="24"/>
      <c r="G22" s="23"/>
      <c r="H22" s="23"/>
      <c r="I22" s="24"/>
    </row>
    <row r="23" spans="1:9" ht="13.9">
      <c r="A23" s="23"/>
      <c r="B23" s="23"/>
      <c r="C23" s="23"/>
      <c r="D23" s="23"/>
      <c r="E23" s="23"/>
      <c r="F23" s="24"/>
      <c r="G23" s="23"/>
      <c r="H23" s="23"/>
      <c r="I23" s="24"/>
    </row>
    <row r="24" spans="1:9" ht="13.9">
      <c r="A24" s="23"/>
      <c r="B24" s="23"/>
      <c r="C24" s="23"/>
      <c r="D24" s="23"/>
      <c r="E24" s="23"/>
      <c r="F24" s="24"/>
      <c r="G24" s="23"/>
      <c r="H24" s="23"/>
      <c r="I24" s="24"/>
    </row>
    <row r="25" spans="1:9" ht="13.9">
      <c r="A25" s="23"/>
      <c r="B25" s="23"/>
      <c r="C25" s="23"/>
      <c r="D25" s="23"/>
      <c r="E25" s="23"/>
      <c r="F25" s="24"/>
      <c r="G25" s="23"/>
      <c r="H25" s="23"/>
      <c r="I25" s="24"/>
    </row>
    <row r="26" spans="1:9" ht="13.9">
      <c r="A26" s="23"/>
      <c r="B26" s="23"/>
      <c r="C26" s="23"/>
      <c r="D26" s="23"/>
      <c r="E26" s="23"/>
      <c r="F26" s="24"/>
      <c r="G26" s="23"/>
      <c r="H26" s="23"/>
      <c r="I26" s="24"/>
    </row>
    <row r="27" spans="1:9" ht="13.9">
      <c r="A27" s="23"/>
      <c r="B27" s="23"/>
      <c r="C27" s="23"/>
      <c r="D27" s="23"/>
      <c r="E27" s="23"/>
      <c r="F27" s="24"/>
      <c r="G27" s="23"/>
      <c r="H27" s="23"/>
      <c r="I27" s="24"/>
    </row>
    <row r="28" spans="1:9" ht="13.9">
      <c r="A28" s="23"/>
      <c r="B28" s="23"/>
      <c r="C28" s="23"/>
      <c r="D28" s="23"/>
      <c r="E28" s="23"/>
      <c r="F28" s="24"/>
      <c r="G28" s="23"/>
      <c r="H28" s="23"/>
      <c r="I28" s="24"/>
    </row>
    <row r="29" spans="1:9" ht="13.9">
      <c r="A29" s="23"/>
      <c r="B29" s="23"/>
      <c r="C29" s="23"/>
      <c r="D29" s="23"/>
      <c r="E29" s="23"/>
      <c r="F29" s="24"/>
      <c r="G29" s="23"/>
      <c r="H29" s="23"/>
      <c r="I29" s="24"/>
    </row>
    <row r="30" spans="1:9" ht="13.9">
      <c r="A30" s="23"/>
      <c r="B30" s="23"/>
      <c r="C30" s="23"/>
      <c r="D30" s="23"/>
      <c r="E30" s="23"/>
      <c r="F30" s="24"/>
      <c r="G30" s="23"/>
      <c r="H30" s="23"/>
      <c r="I30" s="24"/>
    </row>
    <row r="31" spans="1:9" ht="13.9">
      <c r="A31" s="23"/>
      <c r="B31" s="23"/>
      <c r="C31" s="23"/>
      <c r="D31" s="23"/>
      <c r="E31" s="23"/>
      <c r="F31" s="24"/>
      <c r="G31" s="23"/>
      <c r="H31" s="23"/>
      <c r="I31" s="24"/>
    </row>
    <row r="32" spans="1:9" ht="13.9">
      <c r="A32" s="23"/>
      <c r="B32" s="23"/>
      <c r="C32" s="23"/>
      <c r="D32" s="23"/>
      <c r="E32" s="23"/>
      <c r="F32" s="24"/>
      <c r="G32" s="23"/>
      <c r="H32" s="23"/>
      <c r="I32" s="24"/>
    </row>
    <row r="33" spans="1:9" ht="13.9">
      <c r="A33" s="23"/>
      <c r="B33" s="23"/>
      <c r="C33" s="23"/>
      <c r="D33" s="23"/>
      <c r="E33" s="23"/>
      <c r="F33" s="24"/>
      <c r="G33" s="23"/>
      <c r="H33" s="23"/>
      <c r="I33" s="24"/>
    </row>
    <row r="34" spans="1:9" ht="13.9">
      <c r="A34" s="23"/>
      <c r="B34" s="23"/>
      <c r="C34" s="23"/>
      <c r="D34" s="23"/>
      <c r="E34" s="23"/>
      <c r="F34" s="24"/>
      <c r="G34" s="23"/>
      <c r="H34" s="23"/>
      <c r="I34" s="24"/>
    </row>
    <row r="35" spans="1:9" ht="13.9">
      <c r="A35" s="23"/>
      <c r="B35" s="23"/>
      <c r="C35" s="23"/>
      <c r="D35" s="23"/>
      <c r="E35" s="23"/>
      <c r="F35" s="24"/>
      <c r="G35" s="23"/>
      <c r="H35" s="23"/>
      <c r="I35" s="24"/>
    </row>
    <row r="36" spans="1:9" ht="13.9">
      <c r="A36" s="23"/>
      <c r="B36" s="23"/>
      <c r="C36" s="23"/>
      <c r="D36" s="23"/>
      <c r="E36" s="23"/>
      <c r="F36" s="24"/>
      <c r="G36" s="23"/>
      <c r="H36" s="23"/>
      <c r="I36" s="24"/>
    </row>
    <row r="37" spans="1:9" ht="13.9">
      <c r="A37" s="23"/>
      <c r="B37" s="23"/>
      <c r="C37" s="23"/>
      <c r="D37" s="23"/>
      <c r="E37" s="23"/>
      <c r="F37" s="24"/>
      <c r="G37" s="23"/>
      <c r="H37" s="23"/>
      <c r="I37" s="24"/>
    </row>
    <row r="38" spans="1:9" ht="13.9">
      <c r="A38" s="23"/>
      <c r="B38" s="23"/>
      <c r="C38" s="23"/>
      <c r="D38" s="23"/>
      <c r="E38" s="23"/>
      <c r="F38" s="24"/>
      <c r="G38" s="23"/>
      <c r="H38" s="23"/>
      <c r="I38" s="24"/>
    </row>
    <row r="39" spans="1:9" ht="13.9">
      <c r="A39" s="23"/>
      <c r="B39" s="23"/>
      <c r="C39" s="23"/>
      <c r="D39" s="23"/>
      <c r="E39" s="23"/>
      <c r="F39" s="24"/>
      <c r="G39" s="23"/>
      <c r="H39" s="23"/>
      <c r="I39" s="24"/>
    </row>
    <row r="40" spans="1:9" ht="13.9">
      <c r="A40" s="23"/>
      <c r="B40" s="23"/>
      <c r="C40" s="23"/>
      <c r="D40" s="23"/>
      <c r="E40" s="23"/>
      <c r="F40" s="24"/>
      <c r="G40" s="23"/>
      <c r="H40" s="23"/>
      <c r="I40" s="24"/>
    </row>
    <row r="41" spans="1:9" ht="13.9">
      <c r="A41" s="23"/>
      <c r="B41" s="23"/>
      <c r="C41" s="23"/>
      <c r="D41" s="23"/>
      <c r="E41" s="23"/>
      <c r="F41" s="24"/>
      <c r="G41" s="23"/>
      <c r="H41" s="23"/>
      <c r="I41" s="24"/>
    </row>
    <row r="42" spans="1:9" ht="13.9">
      <c r="A42" s="23"/>
      <c r="B42" s="23"/>
      <c r="C42" s="23"/>
      <c r="D42" s="23"/>
      <c r="E42" s="23"/>
      <c r="F42" s="24"/>
      <c r="G42" s="23"/>
      <c r="H42" s="23"/>
      <c r="I42" s="24"/>
    </row>
    <row r="43" spans="1:9" ht="13.9">
      <c r="A43" s="23"/>
      <c r="B43" s="23"/>
      <c r="C43" s="23"/>
      <c r="D43" s="23"/>
      <c r="E43" s="23"/>
      <c r="F43" s="24"/>
      <c r="G43" s="23"/>
      <c r="H43" s="23"/>
      <c r="I43" s="24"/>
    </row>
    <row r="44" spans="1:9" ht="13.9">
      <c r="A44" s="23"/>
      <c r="B44" s="23"/>
      <c r="C44" s="23"/>
      <c r="D44" s="23"/>
      <c r="E44" s="23"/>
      <c r="F44" s="24"/>
      <c r="G44" s="23"/>
      <c r="H44" s="23"/>
      <c r="I44" s="24"/>
    </row>
    <row r="45" spans="1:9" ht="13.9">
      <c r="A45" s="23"/>
      <c r="B45" s="23"/>
      <c r="C45" s="23"/>
      <c r="D45" s="23"/>
      <c r="E45" s="23"/>
      <c r="F45" s="24"/>
      <c r="G45" s="23"/>
      <c r="H45" s="23"/>
      <c r="I45" s="24"/>
    </row>
    <row r="46" spans="1:9" ht="13.9">
      <c r="A46" s="23"/>
      <c r="B46" s="23"/>
      <c r="C46" s="23"/>
      <c r="D46" s="23"/>
      <c r="E46" s="23"/>
      <c r="F46" s="24"/>
      <c r="G46" s="23"/>
      <c r="H46" s="23"/>
      <c r="I46" s="24"/>
    </row>
    <row r="47" spans="1:9" ht="13.9">
      <c r="A47" s="23"/>
      <c r="B47" s="23"/>
      <c r="C47" s="23"/>
      <c r="D47" s="23"/>
      <c r="E47" s="23"/>
      <c r="F47" s="24"/>
      <c r="G47" s="23"/>
      <c r="H47" s="23"/>
      <c r="I47" s="24"/>
    </row>
    <row r="48" spans="1:9" ht="13.9">
      <c r="A48" s="23"/>
      <c r="B48" s="23"/>
      <c r="C48" s="23"/>
      <c r="D48" s="23"/>
      <c r="E48" s="23"/>
      <c r="F48" s="24"/>
      <c r="G48" s="23"/>
      <c r="H48" s="23"/>
      <c r="I48" s="24"/>
    </row>
    <row r="49" spans="1:9" ht="13.9">
      <c r="A49" s="23"/>
      <c r="B49" s="23"/>
      <c r="C49" s="23"/>
      <c r="D49" s="23"/>
      <c r="E49" s="23"/>
      <c r="F49" s="24"/>
      <c r="G49" s="23"/>
      <c r="H49" s="23"/>
      <c r="I49" s="24"/>
    </row>
    <row r="50" spans="1:9" ht="13.9">
      <c r="A50" s="23"/>
      <c r="B50" s="23"/>
      <c r="C50" s="23"/>
      <c r="D50" s="23"/>
      <c r="E50" s="23"/>
      <c r="F50" s="24"/>
      <c r="G50" s="23"/>
      <c r="H50" s="23"/>
      <c r="I50" s="24"/>
    </row>
    <row r="51" spans="1:9" ht="13.9">
      <c r="A51" s="23"/>
      <c r="B51" s="23"/>
      <c r="C51" s="23"/>
      <c r="D51" s="23"/>
      <c r="E51" s="23"/>
      <c r="F51" s="24"/>
      <c r="G51" s="23"/>
      <c r="H51" s="23"/>
      <c r="I51" s="24"/>
    </row>
    <row r="52" spans="1:9" ht="13.9">
      <c r="A52" s="23"/>
      <c r="B52" s="23"/>
      <c r="C52" s="23"/>
      <c r="D52" s="23"/>
      <c r="E52" s="23"/>
      <c r="F52" s="24"/>
      <c r="G52" s="23"/>
      <c r="H52" s="23"/>
      <c r="I52" s="24"/>
    </row>
    <row r="53" spans="1:9" ht="13.9">
      <c r="A53" s="23"/>
      <c r="B53" s="23"/>
      <c r="C53" s="23"/>
      <c r="D53" s="23"/>
      <c r="E53" s="23"/>
      <c r="F53" s="24"/>
      <c r="G53" s="23"/>
      <c r="H53" s="23"/>
      <c r="I53" s="24"/>
    </row>
    <row r="54" spans="1:9" ht="13.9">
      <c r="A54" s="23"/>
      <c r="B54" s="23"/>
      <c r="C54" s="23"/>
      <c r="D54" s="23"/>
      <c r="E54" s="23"/>
      <c r="F54" s="24"/>
      <c r="G54" s="23"/>
      <c r="H54" s="23"/>
      <c r="I54" s="24"/>
    </row>
    <row r="55" spans="1:9" ht="13.9">
      <c r="A55" s="23"/>
      <c r="B55" s="23"/>
      <c r="C55" s="23"/>
      <c r="D55" s="23"/>
      <c r="E55" s="23"/>
      <c r="F55" s="24"/>
      <c r="G55" s="23"/>
      <c r="H55" s="23"/>
      <c r="I55" s="24"/>
    </row>
    <row r="56" spans="1:9" ht="13.9">
      <c r="A56" s="23"/>
      <c r="B56" s="23"/>
      <c r="C56" s="23"/>
      <c r="D56" s="23"/>
      <c r="E56" s="23"/>
      <c r="F56" s="24"/>
      <c r="G56" s="23"/>
      <c r="H56" s="23"/>
      <c r="I56" s="24"/>
    </row>
    <row r="57" spans="1:9" ht="13.9">
      <c r="A57" s="23"/>
      <c r="B57" s="23"/>
      <c r="C57" s="23"/>
      <c r="D57" s="23"/>
      <c r="E57" s="23"/>
      <c r="F57" s="24"/>
      <c r="G57" s="23"/>
      <c r="H57" s="23"/>
      <c r="I57" s="24"/>
    </row>
    <row r="58" spans="1:9" ht="13.9">
      <c r="A58" s="23"/>
      <c r="B58" s="23"/>
      <c r="C58" s="23"/>
      <c r="D58" s="23"/>
      <c r="E58" s="23"/>
      <c r="F58" s="24"/>
      <c r="G58" s="23"/>
      <c r="H58" s="23"/>
      <c r="I58" s="24"/>
    </row>
    <row r="59" spans="1:9" ht="13.9">
      <c r="A59" s="23"/>
      <c r="B59" s="23"/>
      <c r="C59" s="23"/>
      <c r="D59" s="23"/>
      <c r="E59" s="23"/>
      <c r="F59" s="24"/>
      <c r="G59" s="23"/>
      <c r="H59" s="23"/>
      <c r="I59" s="24"/>
    </row>
    <row r="60" spans="1:9" ht="13.9">
      <c r="A60" s="23"/>
      <c r="B60" s="23"/>
      <c r="C60" s="23"/>
      <c r="D60" s="23"/>
      <c r="E60" s="23"/>
      <c r="F60" s="24"/>
      <c r="G60" s="23"/>
      <c r="H60" s="23"/>
      <c r="I60" s="24"/>
    </row>
    <row r="61" spans="1:9" ht="13.9">
      <c r="A61" s="23"/>
      <c r="B61" s="23"/>
      <c r="C61" s="23"/>
      <c r="D61" s="23"/>
      <c r="E61" s="23"/>
      <c r="F61" s="24"/>
      <c r="G61" s="23"/>
      <c r="H61" s="23"/>
      <c r="I61" s="24"/>
    </row>
    <row r="62" spans="1:9" ht="13.9">
      <c r="A62" s="23"/>
      <c r="B62" s="23"/>
      <c r="C62" s="23"/>
      <c r="D62" s="23"/>
      <c r="E62" s="23"/>
      <c r="F62" s="24"/>
      <c r="G62" s="23"/>
      <c r="H62" s="23"/>
      <c r="I62" s="24"/>
    </row>
    <row r="63" spans="1:9" ht="13.9">
      <c r="A63" s="23"/>
      <c r="B63" s="23"/>
      <c r="C63" s="23"/>
      <c r="D63" s="23"/>
      <c r="E63" s="23"/>
      <c r="F63" s="24"/>
      <c r="G63" s="23"/>
      <c r="H63" s="23"/>
      <c r="I63" s="24"/>
    </row>
    <row r="64" spans="1:9" ht="13.9">
      <c r="A64" s="23"/>
      <c r="B64" s="23"/>
      <c r="C64" s="23"/>
      <c r="D64" s="23"/>
      <c r="E64" s="23"/>
      <c r="F64" s="24"/>
      <c r="G64" s="23"/>
      <c r="H64" s="23"/>
      <c r="I64" s="24"/>
    </row>
    <row r="65" spans="1:9" ht="13.9">
      <c r="A65" s="23"/>
      <c r="B65" s="23"/>
      <c r="C65" s="23"/>
      <c r="D65" s="23"/>
      <c r="E65" s="23"/>
      <c r="F65" s="24"/>
      <c r="G65" s="23"/>
      <c r="H65" s="23"/>
      <c r="I65" s="24"/>
    </row>
    <row r="66" spans="1:9" ht="13.9">
      <c r="A66" s="23"/>
      <c r="B66" s="23"/>
      <c r="C66" s="23"/>
      <c r="D66" s="23"/>
      <c r="E66" s="23"/>
      <c r="F66" s="24"/>
      <c r="G66" s="23"/>
      <c r="H66" s="23"/>
      <c r="I66" s="24"/>
    </row>
    <row r="67" spans="1:9" ht="13.9">
      <c r="A67" s="23"/>
      <c r="B67" s="23"/>
      <c r="C67" s="23"/>
      <c r="D67" s="23"/>
      <c r="E67" s="23"/>
      <c r="F67" s="24"/>
      <c r="G67" s="23"/>
      <c r="H67" s="23"/>
      <c r="I67" s="24"/>
    </row>
    <row r="68" spans="1:9" ht="13.9">
      <c r="A68" s="23"/>
      <c r="B68" s="23"/>
      <c r="C68" s="23"/>
      <c r="D68" s="23"/>
      <c r="E68" s="23"/>
      <c r="F68" s="24"/>
      <c r="G68" s="23"/>
      <c r="H68" s="23"/>
      <c r="I68" s="24"/>
    </row>
    <row r="69" spans="1:9" ht="13.9">
      <c r="A69" s="23"/>
      <c r="B69" s="23"/>
      <c r="C69" s="23"/>
      <c r="D69" s="23"/>
      <c r="E69" s="23"/>
      <c r="F69" s="24"/>
      <c r="G69" s="23"/>
      <c r="H69" s="23"/>
      <c r="I69" s="24"/>
    </row>
    <row r="70" spans="1:9" ht="13.9">
      <c r="A70" s="23"/>
      <c r="B70" s="23"/>
      <c r="C70" s="23"/>
      <c r="D70" s="23"/>
      <c r="E70" s="23"/>
      <c r="F70" s="24"/>
      <c r="G70" s="23"/>
      <c r="H70" s="23"/>
      <c r="I70" s="24"/>
    </row>
    <row r="71" spans="1:9" ht="13.9">
      <c r="A71" s="23"/>
      <c r="B71" s="23"/>
      <c r="C71" s="23"/>
      <c r="D71" s="23"/>
      <c r="E71" s="23"/>
      <c r="F71" s="24"/>
      <c r="G71" s="23"/>
      <c r="H71" s="23"/>
      <c r="I71" s="24"/>
    </row>
    <row r="72" spans="1:9" ht="13.9">
      <c r="A72" s="23"/>
      <c r="B72" s="23"/>
      <c r="C72" s="23"/>
      <c r="D72" s="23"/>
      <c r="E72" s="23"/>
      <c r="F72" s="24"/>
      <c r="G72" s="23"/>
      <c r="H72" s="23"/>
      <c r="I72" s="24"/>
    </row>
    <row r="73" spans="1:9" ht="13.9">
      <c r="A73" s="23"/>
      <c r="B73" s="23"/>
      <c r="C73" s="23"/>
      <c r="D73" s="23"/>
      <c r="E73" s="23"/>
      <c r="F73" s="24"/>
      <c r="G73" s="23"/>
      <c r="H73" s="23"/>
      <c r="I73" s="24"/>
    </row>
    <row r="74" spans="1:9" ht="13.9">
      <c r="A74" s="23"/>
      <c r="B74" s="23"/>
      <c r="C74" s="23"/>
      <c r="D74" s="23"/>
      <c r="E74" s="23"/>
      <c r="F74" s="24"/>
      <c r="G74" s="23"/>
      <c r="H74" s="23"/>
      <c r="I74" s="24"/>
    </row>
    <row r="75" spans="1:9" ht="13.9">
      <c r="A75" s="23"/>
      <c r="B75" s="23"/>
      <c r="C75" s="23"/>
      <c r="D75" s="23"/>
      <c r="E75" s="23"/>
      <c r="F75" s="24"/>
      <c r="G75" s="23"/>
      <c r="H75" s="23"/>
      <c r="I75" s="24"/>
    </row>
    <row r="76" spans="1:9" ht="13.9">
      <c r="A76" s="23"/>
      <c r="B76" s="23"/>
      <c r="C76" s="23"/>
      <c r="D76" s="23"/>
      <c r="E76" s="23"/>
      <c r="F76" s="24"/>
      <c r="G76" s="23"/>
      <c r="H76" s="23"/>
      <c r="I76" s="24"/>
    </row>
    <row r="77" spans="1:9" ht="13.9">
      <c r="A77" s="23"/>
      <c r="B77" s="23"/>
      <c r="C77" s="23"/>
      <c r="D77" s="23"/>
      <c r="E77" s="23"/>
      <c r="F77" s="24"/>
      <c r="G77" s="23"/>
      <c r="H77" s="23"/>
      <c r="I77" s="24"/>
    </row>
    <row r="78" spans="1:9" ht="13.9">
      <c r="A78" s="23"/>
      <c r="B78" s="23"/>
      <c r="C78" s="23"/>
      <c r="D78" s="23"/>
      <c r="E78" s="23"/>
      <c r="F78" s="24"/>
      <c r="G78" s="23"/>
      <c r="H78" s="23"/>
      <c r="I78" s="24"/>
    </row>
    <row r="79" spans="1:9" ht="13.9">
      <c r="A79" s="23"/>
      <c r="B79" s="23"/>
      <c r="C79" s="23"/>
      <c r="D79" s="23"/>
      <c r="E79" s="23"/>
      <c r="F79" s="24"/>
      <c r="G79" s="23"/>
      <c r="H79" s="23"/>
      <c r="I79" s="24"/>
    </row>
    <row r="80" spans="1:9" ht="13.9">
      <c r="A80" s="23"/>
      <c r="B80" s="23"/>
      <c r="C80" s="23"/>
      <c r="D80" s="23"/>
      <c r="E80" s="23"/>
      <c r="F80" s="24"/>
      <c r="G80" s="23"/>
      <c r="H80" s="23"/>
      <c r="I80" s="24"/>
    </row>
    <row r="81" spans="1:9" ht="13.9">
      <c r="A81" s="23"/>
      <c r="B81" s="23"/>
      <c r="C81" s="23"/>
      <c r="D81" s="23"/>
      <c r="E81" s="23"/>
      <c r="F81" s="24"/>
      <c r="G81" s="23"/>
      <c r="H81" s="23"/>
      <c r="I81" s="24"/>
    </row>
    <row r="82" spans="1:9" ht="13.9">
      <c r="A82" s="23"/>
      <c r="B82" s="23"/>
      <c r="C82" s="23"/>
      <c r="D82" s="23"/>
      <c r="E82" s="23"/>
      <c r="F82" s="24"/>
      <c r="G82" s="23"/>
      <c r="H82" s="23"/>
      <c r="I82" s="24"/>
    </row>
    <row r="83" spans="1:9" ht="13.9">
      <c r="A83" s="23"/>
      <c r="B83" s="23"/>
      <c r="C83" s="23"/>
      <c r="D83" s="23"/>
      <c r="E83" s="23"/>
      <c r="F83" s="24"/>
      <c r="G83" s="23"/>
      <c r="H83" s="23"/>
      <c r="I83" s="24"/>
    </row>
    <row r="84" spans="1:9" ht="13.9">
      <c r="A84" s="23"/>
      <c r="B84" s="23"/>
      <c r="C84" s="23"/>
      <c r="D84" s="23"/>
      <c r="E84" s="23"/>
      <c r="F84" s="24"/>
      <c r="G84" s="23"/>
      <c r="H84" s="23"/>
      <c r="I84" s="24"/>
    </row>
    <row r="85" spans="1:9" ht="13.9">
      <c r="A85" s="23"/>
      <c r="B85" s="23"/>
      <c r="C85" s="23"/>
      <c r="D85" s="23"/>
      <c r="E85" s="23"/>
      <c r="F85" s="24"/>
      <c r="G85" s="23"/>
      <c r="H85" s="23"/>
      <c r="I85" s="24"/>
    </row>
    <row r="86" spans="1:9" ht="13.9">
      <c r="A86" s="23"/>
      <c r="B86" s="23"/>
      <c r="C86" s="23"/>
      <c r="D86" s="23"/>
      <c r="E86" s="23"/>
      <c r="F86" s="24"/>
      <c r="G86" s="23"/>
      <c r="H86" s="23"/>
      <c r="I86" s="24"/>
    </row>
    <row r="87" spans="1:9" ht="13.9">
      <c r="A87" s="23"/>
      <c r="B87" s="23"/>
      <c r="C87" s="23"/>
      <c r="D87" s="23"/>
      <c r="E87" s="23"/>
      <c r="F87" s="24"/>
      <c r="G87" s="23"/>
      <c r="H87" s="23"/>
      <c r="I87" s="24"/>
    </row>
    <row r="88" spans="1:9" ht="13.9">
      <c r="A88" s="23"/>
      <c r="B88" s="23"/>
      <c r="C88" s="23"/>
      <c r="D88" s="23"/>
      <c r="E88" s="23"/>
      <c r="F88" s="24"/>
      <c r="G88" s="23"/>
      <c r="H88" s="23"/>
      <c r="I88" s="24"/>
    </row>
    <row r="89" spans="1:9" ht="13.9">
      <c r="A89" s="23"/>
      <c r="B89" s="23"/>
      <c r="C89" s="23"/>
      <c r="D89" s="23"/>
      <c r="E89" s="23"/>
      <c r="F89" s="24"/>
      <c r="G89" s="23"/>
      <c r="H89" s="23"/>
      <c r="I89" s="24"/>
    </row>
    <row r="90" spans="1:9" ht="13.9">
      <c r="A90" s="23"/>
      <c r="B90" s="23"/>
      <c r="C90" s="23"/>
      <c r="D90" s="23"/>
      <c r="E90" s="23"/>
      <c r="F90" s="24"/>
      <c r="G90" s="23"/>
      <c r="H90" s="23"/>
      <c r="I90" s="24"/>
    </row>
    <row r="91" spans="1:9" ht="13.9">
      <c r="A91" s="23"/>
      <c r="B91" s="23"/>
      <c r="C91" s="23"/>
      <c r="D91" s="23"/>
      <c r="E91" s="23"/>
      <c r="F91" s="24"/>
      <c r="G91" s="23"/>
      <c r="H91" s="23"/>
      <c r="I91" s="24"/>
    </row>
    <row r="92" spans="1:9" ht="13.9">
      <c r="A92" s="23"/>
      <c r="B92" s="23"/>
      <c r="C92" s="23"/>
      <c r="D92" s="23"/>
      <c r="E92" s="23"/>
      <c r="F92" s="24"/>
      <c r="G92" s="23"/>
      <c r="H92" s="23"/>
      <c r="I92" s="24"/>
    </row>
    <row r="93" spans="1:9" ht="13.9">
      <c r="A93" s="23"/>
      <c r="B93" s="23"/>
      <c r="C93" s="23"/>
      <c r="D93" s="23"/>
      <c r="E93" s="23"/>
      <c r="F93" s="24"/>
      <c r="G93" s="23"/>
      <c r="H93" s="23"/>
      <c r="I93" s="24"/>
    </row>
    <row r="94" spans="1:9" ht="13.9">
      <c r="A94" s="23"/>
      <c r="B94" s="23"/>
      <c r="C94" s="23"/>
      <c r="D94" s="23"/>
      <c r="E94" s="23"/>
      <c r="F94" s="24"/>
      <c r="G94" s="23"/>
      <c r="H94" s="23"/>
      <c r="I94" s="24"/>
    </row>
    <row r="95" spans="1:9" ht="13.9">
      <c r="A95" s="23"/>
      <c r="B95" s="23"/>
      <c r="C95" s="23"/>
      <c r="D95" s="23"/>
      <c r="E95" s="23"/>
      <c r="F95" s="24"/>
      <c r="G95" s="23"/>
      <c r="H95" s="23"/>
      <c r="I95" s="24"/>
    </row>
    <row r="96" spans="1:9" ht="13.9">
      <c r="A96" s="23"/>
      <c r="B96" s="23"/>
      <c r="C96" s="23"/>
      <c r="D96" s="23"/>
      <c r="E96" s="23"/>
      <c r="F96" s="24"/>
      <c r="G96" s="23"/>
      <c r="H96" s="23"/>
      <c r="I96" s="24"/>
    </row>
    <row r="97" spans="1:9" ht="13.9">
      <c r="A97" s="23"/>
      <c r="B97" s="23"/>
      <c r="C97" s="23"/>
      <c r="D97" s="23"/>
      <c r="E97" s="23"/>
      <c r="F97" s="24"/>
      <c r="G97" s="23"/>
      <c r="H97" s="23"/>
      <c r="I97" s="24"/>
    </row>
    <row r="98" spans="1:9" ht="13.9">
      <c r="A98" s="23"/>
      <c r="B98" s="23"/>
      <c r="C98" s="23"/>
      <c r="D98" s="23"/>
      <c r="E98" s="23"/>
      <c r="F98" s="24"/>
      <c r="G98" s="23"/>
      <c r="H98" s="23"/>
      <c r="I98" s="24"/>
    </row>
    <row r="99" spans="1:9" ht="13.9">
      <c r="A99" s="23"/>
      <c r="B99" s="23"/>
      <c r="C99" s="23"/>
      <c r="D99" s="23"/>
      <c r="E99" s="23"/>
      <c r="F99" s="24"/>
      <c r="G99" s="23"/>
      <c r="H99" s="23"/>
      <c r="I99" s="24"/>
    </row>
    <row r="100" spans="1:9" ht="13.9">
      <c r="A100" s="23"/>
      <c r="B100" s="23"/>
      <c r="C100" s="23"/>
      <c r="D100" s="23"/>
      <c r="E100" s="23"/>
      <c r="F100" s="24"/>
      <c r="G100" s="23"/>
      <c r="H100" s="23"/>
      <c r="I100" s="24"/>
    </row>
    <row r="101" spans="1:9" ht="13.9">
      <c r="A101" s="23"/>
      <c r="B101" s="23"/>
      <c r="C101" s="23"/>
      <c r="D101" s="23"/>
      <c r="E101" s="23"/>
      <c r="F101" s="24"/>
      <c r="G101" s="23"/>
      <c r="H101" s="23"/>
      <c r="I101" s="24"/>
    </row>
    <row r="102" spans="1:9" ht="13.9">
      <c r="A102" s="23"/>
      <c r="B102" s="23"/>
      <c r="C102" s="23"/>
      <c r="D102" s="23"/>
      <c r="E102" s="23"/>
      <c r="F102" s="24"/>
      <c r="G102" s="23"/>
      <c r="H102" s="23"/>
      <c r="I102" s="24"/>
    </row>
    <row r="103" spans="1:9" ht="13.9">
      <c r="A103" s="23"/>
      <c r="B103" s="23"/>
      <c r="C103" s="23"/>
      <c r="D103" s="23"/>
      <c r="E103" s="23"/>
      <c r="F103" s="24"/>
      <c r="G103" s="23"/>
      <c r="H103" s="23"/>
      <c r="I103" s="24"/>
    </row>
    <row r="104" spans="1:9" ht="13.9">
      <c r="A104" s="23"/>
      <c r="B104" s="23"/>
      <c r="C104" s="23"/>
      <c r="D104" s="23"/>
      <c r="E104" s="23"/>
      <c r="F104" s="24"/>
      <c r="G104" s="23"/>
      <c r="H104" s="23"/>
      <c r="I104" s="24"/>
    </row>
    <row r="105" spans="1:9" ht="13.9">
      <c r="A105" s="23"/>
      <c r="B105" s="23"/>
      <c r="C105" s="23"/>
      <c r="D105" s="23"/>
      <c r="E105" s="23"/>
      <c r="F105" s="24"/>
      <c r="G105" s="23"/>
      <c r="H105" s="23"/>
      <c r="I105" s="24"/>
    </row>
    <row r="106" spans="1:9" ht="13.9">
      <c r="A106" s="23"/>
      <c r="B106" s="23"/>
      <c r="C106" s="23"/>
      <c r="D106" s="23"/>
      <c r="E106" s="23"/>
      <c r="F106" s="24"/>
      <c r="G106" s="23"/>
      <c r="H106" s="23"/>
      <c r="I106" s="24"/>
    </row>
    <row r="107" spans="1:9" ht="13.9">
      <c r="A107" s="23"/>
      <c r="B107" s="23"/>
      <c r="C107" s="23"/>
      <c r="D107" s="23"/>
      <c r="E107" s="23"/>
      <c r="F107" s="24"/>
      <c r="G107" s="23"/>
      <c r="H107" s="23"/>
      <c r="I107" s="24"/>
    </row>
    <row r="108" spans="1:9" ht="13.9">
      <c r="A108" s="23"/>
      <c r="B108" s="23"/>
      <c r="C108" s="23"/>
      <c r="D108" s="23"/>
      <c r="E108" s="23"/>
      <c r="F108" s="24"/>
      <c r="G108" s="23"/>
      <c r="H108" s="23"/>
      <c r="I108" s="24"/>
    </row>
    <row r="109" spans="1:9" ht="13.9">
      <c r="A109" s="23"/>
      <c r="B109" s="23"/>
      <c r="C109" s="23"/>
      <c r="D109" s="23"/>
      <c r="E109" s="23"/>
      <c r="F109" s="24"/>
      <c r="G109" s="23"/>
      <c r="H109" s="23"/>
      <c r="I109" s="24"/>
    </row>
    <row r="110" spans="1:9" ht="13.9">
      <c r="A110" s="23"/>
      <c r="B110" s="23"/>
      <c r="C110" s="23"/>
      <c r="D110" s="23"/>
      <c r="E110" s="23"/>
      <c r="F110" s="24"/>
      <c r="G110" s="23"/>
      <c r="H110" s="23"/>
      <c r="I110" s="24"/>
    </row>
    <row r="111" spans="1:9" ht="13.9">
      <c r="A111" s="23"/>
      <c r="B111" s="23"/>
      <c r="C111" s="23"/>
      <c r="D111" s="23"/>
      <c r="E111" s="23"/>
      <c r="F111" s="24"/>
      <c r="G111" s="23"/>
      <c r="H111" s="23"/>
      <c r="I111" s="24"/>
    </row>
    <row r="112" spans="1:9" ht="13.9">
      <c r="A112" s="23"/>
      <c r="B112" s="23"/>
      <c r="C112" s="23"/>
      <c r="D112" s="23"/>
      <c r="E112" s="23"/>
      <c r="F112" s="24"/>
      <c r="G112" s="23"/>
      <c r="H112" s="23"/>
      <c r="I112" s="24"/>
    </row>
    <row r="113" spans="1:9" ht="13.9">
      <c r="A113" s="23"/>
      <c r="B113" s="23"/>
      <c r="C113" s="23"/>
      <c r="D113" s="23"/>
      <c r="E113" s="23"/>
      <c r="F113" s="24"/>
      <c r="G113" s="23"/>
      <c r="H113" s="23"/>
      <c r="I113" s="24"/>
    </row>
    <row r="114" spans="1:9" ht="13.9">
      <c r="A114" s="23"/>
      <c r="B114" s="23"/>
      <c r="C114" s="23"/>
      <c r="D114" s="23"/>
      <c r="E114" s="23"/>
      <c r="F114" s="24"/>
      <c r="G114" s="23"/>
      <c r="H114" s="23"/>
      <c r="I114" s="24"/>
    </row>
    <row r="115" spans="1:9" ht="13.9">
      <c r="A115" s="23"/>
      <c r="B115" s="23"/>
      <c r="C115" s="23"/>
      <c r="D115" s="23"/>
      <c r="E115" s="23"/>
      <c r="F115" s="24"/>
      <c r="G115" s="23"/>
      <c r="H115" s="23"/>
      <c r="I115" s="24"/>
    </row>
    <row r="116" spans="1:9" ht="13.9">
      <c r="A116" s="23"/>
      <c r="B116" s="23"/>
      <c r="C116" s="23"/>
      <c r="D116" s="23"/>
      <c r="E116" s="23"/>
      <c r="F116" s="24"/>
      <c r="G116" s="23"/>
      <c r="H116" s="23"/>
      <c r="I116" s="24"/>
    </row>
    <row r="117" spans="1:9" ht="13.9">
      <c r="A117" s="23"/>
      <c r="B117" s="23"/>
      <c r="C117" s="23"/>
      <c r="D117" s="23"/>
      <c r="E117" s="23"/>
      <c r="F117" s="24"/>
      <c r="G117" s="23"/>
      <c r="H117" s="23"/>
      <c r="I117" s="24"/>
    </row>
    <row r="118" spans="1:9" ht="13.9">
      <c r="A118" s="23"/>
      <c r="B118" s="23"/>
      <c r="C118" s="23"/>
      <c r="D118" s="23"/>
      <c r="E118" s="23"/>
      <c r="F118" s="24"/>
      <c r="G118" s="23"/>
      <c r="H118" s="23"/>
      <c r="I118" s="24"/>
    </row>
    <row r="119" spans="1:9" ht="13.9">
      <c r="A119" s="23"/>
      <c r="B119" s="23"/>
      <c r="C119" s="23"/>
      <c r="D119" s="23"/>
      <c r="E119" s="23"/>
      <c r="F119" s="24"/>
      <c r="G119" s="23"/>
      <c r="H119" s="23"/>
      <c r="I119" s="24"/>
    </row>
    <row r="120" spans="1:9" ht="13.9">
      <c r="A120" s="23"/>
      <c r="B120" s="23"/>
      <c r="C120" s="23"/>
      <c r="D120" s="23"/>
      <c r="E120" s="23"/>
      <c r="F120" s="24"/>
      <c r="G120" s="23"/>
      <c r="H120" s="23"/>
      <c r="I120" s="24"/>
    </row>
    <row r="121" spans="1:9" ht="13.9">
      <c r="A121" s="23"/>
      <c r="B121" s="23"/>
      <c r="C121" s="23"/>
      <c r="D121" s="23"/>
      <c r="E121" s="23"/>
      <c r="F121" s="24"/>
      <c r="G121" s="23"/>
      <c r="H121" s="23"/>
      <c r="I121" s="24"/>
    </row>
    <row r="122" spans="1:9" ht="13.9">
      <c r="A122" s="23"/>
      <c r="B122" s="23"/>
      <c r="C122" s="23"/>
      <c r="D122" s="23"/>
      <c r="E122" s="23"/>
      <c r="F122" s="24"/>
      <c r="G122" s="23"/>
      <c r="H122" s="23"/>
      <c r="I122" s="24"/>
    </row>
    <row r="123" spans="1:9" ht="13.9">
      <c r="A123" s="23"/>
      <c r="B123" s="23"/>
      <c r="C123" s="23"/>
      <c r="D123" s="23"/>
      <c r="E123" s="23"/>
      <c r="F123" s="24"/>
      <c r="G123" s="23"/>
      <c r="H123" s="23"/>
      <c r="I123" s="24"/>
    </row>
    <row r="124" spans="1:9" ht="13.9">
      <c r="A124" s="23"/>
      <c r="B124" s="23"/>
      <c r="C124" s="23"/>
      <c r="D124" s="23"/>
      <c r="E124" s="23"/>
      <c r="F124" s="24"/>
      <c r="G124" s="23"/>
      <c r="H124" s="23"/>
      <c r="I124" s="24"/>
    </row>
    <row r="125" spans="1:9" ht="13.9">
      <c r="A125" s="23"/>
      <c r="B125" s="23"/>
      <c r="C125" s="23"/>
      <c r="D125" s="23"/>
      <c r="E125" s="23"/>
      <c r="F125" s="24"/>
      <c r="G125" s="23"/>
      <c r="H125" s="23"/>
      <c r="I125" s="24"/>
    </row>
    <row r="126" spans="1:9" ht="13.9">
      <c r="A126" s="23"/>
      <c r="B126" s="23"/>
      <c r="C126" s="23"/>
      <c r="D126" s="23"/>
      <c r="E126" s="23"/>
      <c r="F126" s="24"/>
      <c r="G126" s="23"/>
      <c r="H126" s="23"/>
      <c r="I126" s="24"/>
    </row>
    <row r="127" spans="1:9" ht="13.9">
      <c r="A127" s="23"/>
      <c r="B127" s="23"/>
      <c r="C127" s="23"/>
      <c r="D127" s="23"/>
      <c r="E127" s="23"/>
      <c r="F127" s="24"/>
      <c r="G127" s="23"/>
      <c r="H127" s="23"/>
      <c r="I127" s="24"/>
    </row>
    <row r="128" spans="1:9" ht="13.9">
      <c r="A128" s="23"/>
      <c r="B128" s="23"/>
      <c r="C128" s="23"/>
      <c r="D128" s="23"/>
      <c r="E128" s="23"/>
      <c r="F128" s="24"/>
      <c r="G128" s="23"/>
      <c r="H128" s="23"/>
      <c r="I128" s="24"/>
    </row>
    <row r="129" spans="1:9" ht="13.9">
      <c r="A129" s="23"/>
      <c r="B129" s="23"/>
      <c r="C129" s="23"/>
      <c r="D129" s="23"/>
      <c r="E129" s="23"/>
      <c r="F129" s="24"/>
      <c r="G129" s="23"/>
      <c r="H129" s="23"/>
      <c r="I129" s="24"/>
    </row>
    <row r="130" spans="1:9" ht="13.9">
      <c r="A130" s="23"/>
      <c r="B130" s="23"/>
      <c r="C130" s="23"/>
      <c r="D130" s="23"/>
      <c r="E130" s="23"/>
      <c r="F130" s="24"/>
      <c r="G130" s="23"/>
      <c r="H130" s="23"/>
      <c r="I130" s="24"/>
    </row>
    <row r="131" spans="1:9" ht="13.9">
      <c r="A131" s="23"/>
      <c r="B131" s="23"/>
      <c r="C131" s="23"/>
      <c r="D131" s="23"/>
      <c r="E131" s="23"/>
      <c r="F131" s="24"/>
      <c r="G131" s="23"/>
      <c r="H131" s="23"/>
      <c r="I131" s="24"/>
    </row>
    <row r="132" spans="1:9" ht="13.9">
      <c r="A132" s="23"/>
      <c r="B132" s="23"/>
      <c r="C132" s="23"/>
      <c r="D132" s="23"/>
      <c r="E132" s="23"/>
      <c r="F132" s="24"/>
      <c r="G132" s="23"/>
      <c r="H132" s="23"/>
      <c r="I132" s="24"/>
    </row>
    <row r="133" spans="1:9" ht="13.9">
      <c r="A133" s="23"/>
      <c r="B133" s="23"/>
      <c r="C133" s="23"/>
      <c r="D133" s="23"/>
      <c r="E133" s="23"/>
      <c r="F133" s="24"/>
      <c r="G133" s="23"/>
      <c r="H133" s="23"/>
      <c r="I133" s="24"/>
    </row>
    <row r="134" spans="1:9" ht="13.9">
      <c r="A134" s="23"/>
      <c r="B134" s="23"/>
      <c r="C134" s="23"/>
      <c r="D134" s="23"/>
      <c r="E134" s="23"/>
      <c r="F134" s="24"/>
      <c r="G134" s="23"/>
      <c r="H134" s="23"/>
      <c r="I134" s="24"/>
    </row>
    <row r="135" spans="1:9" ht="13.9">
      <c r="A135" s="23"/>
      <c r="B135" s="23"/>
      <c r="C135" s="23"/>
      <c r="D135" s="23"/>
      <c r="E135" s="23"/>
      <c r="F135" s="24"/>
      <c r="G135" s="23"/>
      <c r="H135" s="23"/>
      <c r="I135" s="24"/>
    </row>
    <row r="136" spans="1:9" ht="13.9">
      <c r="A136" s="23"/>
      <c r="B136" s="23"/>
      <c r="C136" s="23"/>
      <c r="D136" s="23"/>
      <c r="E136" s="23"/>
      <c r="F136" s="24"/>
      <c r="G136" s="23"/>
      <c r="H136" s="23"/>
      <c r="I136" s="24"/>
    </row>
    <row r="137" spans="1:9" ht="13.9">
      <c r="A137" s="23"/>
      <c r="B137" s="23"/>
      <c r="C137" s="23"/>
      <c r="D137" s="23"/>
      <c r="E137" s="23"/>
      <c r="F137" s="24"/>
      <c r="G137" s="23"/>
      <c r="H137" s="23"/>
      <c r="I137" s="24"/>
    </row>
    <row r="138" spans="1:9" ht="13.9">
      <c r="A138" s="23"/>
      <c r="B138" s="23"/>
      <c r="C138" s="23"/>
      <c r="D138" s="23"/>
      <c r="E138" s="23"/>
      <c r="F138" s="24"/>
      <c r="G138" s="23"/>
      <c r="H138" s="23"/>
      <c r="I138" s="24"/>
    </row>
    <row r="139" spans="1:9" ht="13.9">
      <c r="A139" s="23"/>
      <c r="B139" s="23"/>
      <c r="C139" s="23"/>
      <c r="D139" s="23"/>
      <c r="E139" s="23"/>
      <c r="F139" s="24"/>
      <c r="G139" s="23"/>
      <c r="H139" s="23"/>
      <c r="I139" s="24"/>
    </row>
    <row r="140" spans="1:9" ht="13.9">
      <c r="A140" s="23"/>
      <c r="B140" s="23"/>
      <c r="C140" s="23"/>
      <c r="D140" s="23"/>
      <c r="E140" s="23"/>
      <c r="F140" s="24"/>
      <c r="G140" s="23"/>
      <c r="H140" s="23"/>
      <c r="I140" s="24"/>
    </row>
    <row r="141" spans="1:9" ht="13.9">
      <c r="A141" s="23"/>
      <c r="B141" s="23"/>
      <c r="C141" s="23"/>
      <c r="D141" s="23"/>
      <c r="E141" s="23"/>
      <c r="F141" s="24"/>
      <c r="G141" s="23"/>
      <c r="H141" s="23"/>
      <c r="I141" s="24"/>
    </row>
    <row r="142" spans="1:9" ht="13.9">
      <c r="A142" s="23"/>
      <c r="B142" s="23"/>
      <c r="C142" s="23"/>
      <c r="D142" s="23"/>
      <c r="E142" s="23"/>
      <c r="F142" s="24"/>
      <c r="G142" s="23"/>
      <c r="H142" s="23"/>
      <c r="I142" s="24"/>
    </row>
    <row r="143" spans="1:9" ht="13.9">
      <c r="A143" s="23"/>
      <c r="B143" s="23"/>
      <c r="C143" s="23"/>
      <c r="D143" s="23"/>
      <c r="E143" s="23"/>
      <c r="F143" s="24"/>
      <c r="G143" s="23"/>
      <c r="H143" s="23"/>
      <c r="I143" s="24"/>
    </row>
    <row r="144" spans="1:9" ht="13.9">
      <c r="A144" s="23"/>
      <c r="B144" s="23"/>
      <c r="C144" s="23"/>
      <c r="D144" s="23"/>
      <c r="E144" s="23"/>
      <c r="F144" s="24"/>
      <c r="G144" s="23"/>
      <c r="H144" s="23"/>
      <c r="I144" s="24"/>
    </row>
    <row r="145" spans="1:9" ht="13.9">
      <c r="A145" s="23"/>
      <c r="B145" s="23"/>
      <c r="C145" s="23"/>
      <c r="D145" s="23"/>
      <c r="E145" s="23"/>
      <c r="F145" s="24"/>
      <c r="G145" s="23"/>
      <c r="H145" s="23"/>
      <c r="I145" s="24"/>
    </row>
    <row r="146" spans="1:9" ht="13.9">
      <c r="A146" s="23"/>
      <c r="B146" s="23"/>
      <c r="C146" s="23"/>
      <c r="D146" s="23"/>
      <c r="E146" s="23"/>
      <c r="F146" s="24"/>
      <c r="G146" s="23"/>
      <c r="H146" s="23"/>
      <c r="I146" s="24"/>
    </row>
    <row r="147" spans="1:9" ht="13.9">
      <c r="A147" s="23"/>
      <c r="B147" s="23"/>
      <c r="C147" s="23"/>
      <c r="D147" s="23"/>
      <c r="E147" s="23"/>
      <c r="F147" s="24"/>
      <c r="G147" s="23"/>
      <c r="H147" s="23"/>
      <c r="I147" s="24"/>
    </row>
    <row r="148" spans="1:9" ht="13.9">
      <c r="A148" s="23"/>
      <c r="B148" s="23"/>
      <c r="C148" s="23"/>
      <c r="D148" s="23"/>
      <c r="E148" s="23"/>
      <c r="F148" s="24"/>
      <c r="G148" s="23"/>
      <c r="H148" s="23"/>
      <c r="I148" s="24"/>
    </row>
    <row r="149" spans="1:9" ht="13.9">
      <c r="A149" s="23"/>
      <c r="B149" s="23"/>
      <c r="C149" s="23"/>
      <c r="D149" s="23"/>
      <c r="E149" s="23"/>
      <c r="F149" s="24"/>
      <c r="G149" s="23"/>
      <c r="H149" s="23"/>
      <c r="I149" s="24"/>
    </row>
    <row r="150" spans="1:9" ht="13.9">
      <c r="A150" s="23"/>
      <c r="B150" s="23"/>
      <c r="C150" s="23"/>
      <c r="D150" s="23"/>
      <c r="E150" s="23"/>
      <c r="F150" s="24"/>
      <c r="G150" s="23"/>
      <c r="H150" s="23"/>
      <c r="I150" s="24"/>
    </row>
    <row r="151" spans="1:9" ht="13.9">
      <c r="A151" s="23"/>
      <c r="B151" s="23"/>
      <c r="C151" s="23"/>
      <c r="D151" s="23"/>
      <c r="E151" s="23"/>
      <c r="F151" s="24"/>
      <c r="G151" s="23"/>
      <c r="H151" s="23"/>
      <c r="I151" s="24"/>
    </row>
    <row r="152" spans="1:9" ht="13.9">
      <c r="A152" s="23"/>
      <c r="B152" s="23"/>
      <c r="C152" s="23"/>
      <c r="D152" s="23"/>
      <c r="E152" s="23"/>
      <c r="F152" s="24"/>
      <c r="G152" s="23"/>
      <c r="H152" s="23"/>
      <c r="I152" s="24"/>
    </row>
    <row r="153" spans="1:9" ht="13.9">
      <c r="A153" s="23"/>
      <c r="B153" s="23"/>
      <c r="C153" s="23"/>
      <c r="D153" s="23"/>
      <c r="E153" s="23"/>
      <c r="F153" s="24"/>
      <c r="G153" s="23"/>
      <c r="H153" s="23"/>
      <c r="I153" s="24"/>
    </row>
    <row r="154" spans="1:9" ht="13.9">
      <c r="A154" s="23"/>
      <c r="B154" s="23"/>
      <c r="C154" s="23"/>
      <c r="D154" s="23"/>
      <c r="E154" s="23"/>
      <c r="F154" s="24"/>
      <c r="G154" s="23"/>
      <c r="H154" s="23"/>
      <c r="I154" s="24"/>
    </row>
    <row r="155" spans="1:9" ht="13.9">
      <c r="A155" s="23"/>
      <c r="B155" s="23"/>
      <c r="C155" s="23"/>
      <c r="D155" s="23"/>
      <c r="E155" s="23"/>
      <c r="F155" s="24"/>
      <c r="G155" s="23"/>
      <c r="H155" s="23"/>
      <c r="I155" s="24"/>
    </row>
    <row r="156" spans="1:9" ht="13.9">
      <c r="A156" s="23"/>
      <c r="B156" s="23"/>
      <c r="C156" s="23"/>
      <c r="D156" s="23"/>
      <c r="E156" s="23"/>
      <c r="F156" s="24"/>
      <c r="G156" s="23"/>
      <c r="H156" s="23"/>
      <c r="I156" s="24"/>
    </row>
    <row r="157" spans="1:9" ht="13.9">
      <c r="A157" s="23"/>
      <c r="B157" s="23"/>
      <c r="C157" s="23"/>
      <c r="D157" s="23"/>
      <c r="E157" s="23"/>
      <c r="F157" s="24"/>
      <c r="G157" s="23"/>
      <c r="H157" s="23"/>
      <c r="I157" s="24"/>
    </row>
    <row r="158" spans="1:9" ht="13.9">
      <c r="A158" s="23"/>
      <c r="B158" s="23"/>
      <c r="C158" s="23"/>
      <c r="D158" s="23"/>
      <c r="E158" s="23"/>
      <c r="F158" s="24"/>
      <c r="G158" s="23"/>
      <c r="H158" s="23"/>
      <c r="I158" s="24"/>
    </row>
    <row r="159" spans="1:9" ht="13.9">
      <c r="A159" s="23"/>
      <c r="B159" s="23"/>
      <c r="C159" s="23"/>
      <c r="D159" s="23"/>
      <c r="E159" s="23"/>
      <c r="F159" s="24"/>
      <c r="G159" s="23"/>
      <c r="H159" s="23"/>
      <c r="I159" s="24"/>
    </row>
    <row r="160" spans="1:9" ht="13.9">
      <c r="A160" s="23"/>
      <c r="B160" s="23"/>
      <c r="C160" s="23"/>
      <c r="D160" s="23"/>
      <c r="E160" s="23"/>
      <c r="F160" s="24"/>
      <c r="G160" s="23"/>
      <c r="H160" s="23"/>
      <c r="I160" s="24"/>
    </row>
    <row r="161" spans="1:9" ht="13.9">
      <c r="A161" s="23"/>
      <c r="B161" s="23"/>
      <c r="C161" s="23"/>
      <c r="D161" s="23"/>
      <c r="E161" s="23"/>
      <c r="F161" s="24"/>
      <c r="G161" s="23"/>
      <c r="H161" s="23"/>
      <c r="I161" s="24"/>
    </row>
    <row r="162" spans="1:9" ht="13.9">
      <c r="A162" s="23"/>
      <c r="B162" s="23"/>
      <c r="C162" s="23"/>
      <c r="D162" s="23"/>
      <c r="E162" s="23"/>
      <c r="F162" s="24"/>
      <c r="G162" s="23"/>
      <c r="H162" s="23"/>
      <c r="I162" s="24"/>
    </row>
    <row r="163" spans="1:9" ht="13.9">
      <c r="A163" s="23"/>
      <c r="B163" s="23"/>
      <c r="C163" s="23"/>
      <c r="D163" s="23"/>
      <c r="E163" s="23"/>
      <c r="F163" s="24"/>
      <c r="G163" s="23"/>
      <c r="H163" s="23"/>
      <c r="I163" s="24"/>
    </row>
    <row r="164" spans="1:9" ht="13.9">
      <c r="A164" s="23"/>
      <c r="B164" s="23"/>
      <c r="C164" s="23"/>
      <c r="D164" s="23"/>
      <c r="E164" s="23"/>
      <c r="F164" s="24"/>
      <c r="G164" s="23"/>
      <c r="H164" s="23"/>
      <c r="I164" s="24"/>
    </row>
    <row r="165" spans="1:9" ht="13.9">
      <c r="A165" s="23"/>
      <c r="B165" s="23"/>
      <c r="C165" s="23"/>
      <c r="D165" s="23"/>
      <c r="E165" s="23"/>
      <c r="F165" s="24"/>
      <c r="G165" s="23"/>
      <c r="H165" s="23"/>
      <c r="I165" s="24"/>
    </row>
    <row r="166" spans="1:9" ht="13.9">
      <c r="A166" s="23"/>
      <c r="B166" s="23"/>
      <c r="C166" s="23"/>
      <c r="D166" s="23"/>
      <c r="E166" s="23"/>
      <c r="F166" s="24"/>
      <c r="G166" s="23"/>
      <c r="H166" s="23"/>
      <c r="I166" s="24"/>
    </row>
    <row r="167" spans="1:9" ht="13.9">
      <c r="A167" s="23"/>
      <c r="B167" s="23"/>
      <c r="C167" s="23"/>
      <c r="D167" s="23"/>
      <c r="E167" s="23"/>
      <c r="F167" s="24"/>
      <c r="G167" s="23"/>
      <c r="H167" s="23"/>
      <c r="I167" s="24"/>
    </row>
    <row r="168" spans="1:9" ht="13.9">
      <c r="A168" s="23"/>
      <c r="B168" s="23"/>
      <c r="C168" s="23"/>
      <c r="D168" s="23"/>
      <c r="E168" s="23"/>
      <c r="F168" s="24"/>
      <c r="G168" s="23"/>
      <c r="H168" s="23"/>
      <c r="I168" s="24"/>
    </row>
    <row r="169" spans="1:9" ht="13.9">
      <c r="A169" s="23"/>
      <c r="B169" s="23"/>
      <c r="C169" s="23"/>
      <c r="D169" s="23"/>
      <c r="E169" s="23"/>
      <c r="F169" s="24"/>
      <c r="G169" s="23"/>
      <c r="H169" s="23"/>
      <c r="I169" s="24"/>
    </row>
    <row r="170" spans="1:9" ht="13.9">
      <c r="A170" s="23"/>
      <c r="B170" s="23"/>
      <c r="C170" s="23"/>
      <c r="D170" s="23"/>
      <c r="E170" s="23"/>
      <c r="F170" s="24"/>
      <c r="G170" s="23"/>
      <c r="H170" s="23"/>
      <c r="I170" s="24"/>
    </row>
    <row r="171" spans="1:9" ht="13.9">
      <c r="A171" s="23"/>
      <c r="B171" s="23"/>
      <c r="C171" s="23"/>
      <c r="D171" s="23"/>
      <c r="E171" s="23"/>
      <c r="F171" s="24"/>
      <c r="G171" s="23"/>
      <c r="H171" s="23"/>
      <c r="I171" s="24"/>
    </row>
    <row r="172" spans="1:9" ht="13.9">
      <c r="A172" s="23"/>
      <c r="B172" s="23"/>
      <c r="C172" s="23"/>
      <c r="D172" s="23"/>
      <c r="E172" s="23"/>
      <c r="F172" s="24"/>
      <c r="G172" s="23"/>
      <c r="H172" s="23"/>
      <c r="I172" s="24"/>
    </row>
    <row r="173" spans="1:9" ht="13.9">
      <c r="A173" s="23"/>
      <c r="B173" s="23"/>
      <c r="C173" s="23"/>
      <c r="D173" s="23"/>
      <c r="E173" s="23"/>
      <c r="F173" s="24"/>
      <c r="G173" s="23"/>
      <c r="H173" s="23"/>
      <c r="I173" s="24"/>
    </row>
    <row r="174" spans="1:9" ht="13.9">
      <c r="A174" s="23"/>
      <c r="B174" s="23"/>
      <c r="C174" s="23"/>
      <c r="D174" s="23"/>
      <c r="E174" s="23"/>
      <c r="F174" s="24"/>
      <c r="G174" s="23"/>
      <c r="H174" s="23"/>
      <c r="I174" s="24"/>
    </row>
    <row r="175" spans="1:9" ht="13.9">
      <c r="A175" s="23"/>
      <c r="B175" s="23"/>
      <c r="C175" s="23"/>
      <c r="D175" s="23"/>
      <c r="E175" s="23"/>
      <c r="F175" s="24"/>
      <c r="G175" s="23"/>
      <c r="H175" s="23"/>
      <c r="I175" s="24"/>
    </row>
    <row r="176" spans="1:9" ht="13.9">
      <c r="A176" s="23"/>
      <c r="B176" s="23"/>
      <c r="C176" s="23"/>
      <c r="D176" s="23"/>
      <c r="E176" s="23"/>
      <c r="F176" s="24"/>
      <c r="G176" s="23"/>
      <c r="H176" s="23"/>
      <c r="I176" s="24"/>
    </row>
    <row r="177" spans="1:9" ht="13.9">
      <c r="A177" s="23"/>
      <c r="B177" s="23"/>
      <c r="C177" s="23"/>
      <c r="D177" s="23"/>
      <c r="E177" s="23"/>
      <c r="F177" s="24"/>
      <c r="G177" s="23"/>
      <c r="H177" s="23"/>
      <c r="I177" s="24"/>
    </row>
    <row r="178" spans="1:9" ht="13.9">
      <c r="A178" s="23"/>
      <c r="B178" s="23"/>
      <c r="C178" s="23"/>
      <c r="D178" s="23"/>
      <c r="E178" s="23"/>
      <c r="F178" s="24"/>
      <c r="G178" s="23"/>
      <c r="H178" s="23"/>
      <c r="I178" s="24"/>
    </row>
    <row r="179" spans="1:9" ht="13.9">
      <c r="A179" s="23"/>
      <c r="B179" s="23"/>
      <c r="C179" s="23"/>
      <c r="D179" s="23"/>
      <c r="E179" s="23"/>
      <c r="F179" s="24"/>
      <c r="G179" s="23"/>
      <c r="H179" s="23"/>
      <c r="I179" s="24"/>
    </row>
    <row r="180" spans="1:9" ht="13.9">
      <c r="A180" s="23"/>
      <c r="B180" s="23"/>
      <c r="C180" s="23"/>
      <c r="D180" s="23"/>
      <c r="E180" s="23"/>
      <c r="F180" s="24"/>
      <c r="G180" s="23"/>
      <c r="H180" s="23"/>
      <c r="I180" s="24"/>
    </row>
    <row r="181" spans="1:9" ht="13.9">
      <c r="A181" s="23"/>
      <c r="B181" s="23"/>
      <c r="C181" s="23"/>
      <c r="D181" s="23"/>
      <c r="E181" s="23"/>
      <c r="F181" s="24"/>
      <c r="G181" s="23"/>
      <c r="H181" s="23"/>
      <c r="I181" s="24"/>
    </row>
    <row r="182" spans="1:9" ht="13.9">
      <c r="A182" s="23"/>
      <c r="B182" s="23"/>
      <c r="C182" s="23"/>
      <c r="D182" s="23"/>
      <c r="E182" s="23"/>
      <c r="F182" s="24"/>
      <c r="G182" s="23"/>
      <c r="H182" s="23"/>
      <c r="I182" s="24"/>
    </row>
    <row r="183" spans="1:9" ht="13.9">
      <c r="A183" s="23"/>
      <c r="B183" s="23"/>
      <c r="C183" s="23"/>
      <c r="D183" s="23"/>
      <c r="E183" s="23"/>
      <c r="F183" s="24"/>
      <c r="G183" s="23"/>
      <c r="H183" s="23"/>
      <c r="I183" s="24"/>
    </row>
    <row r="184" spans="1:9" ht="13.9">
      <c r="A184" s="23"/>
      <c r="B184" s="23"/>
      <c r="C184" s="23"/>
      <c r="D184" s="23"/>
      <c r="E184" s="23"/>
      <c r="F184" s="24"/>
      <c r="G184" s="23"/>
      <c r="H184" s="23"/>
      <c r="I184" s="24"/>
    </row>
    <row r="185" spans="1:9" ht="13.9">
      <c r="A185" s="23"/>
      <c r="B185" s="23"/>
      <c r="C185" s="23"/>
      <c r="D185" s="23"/>
      <c r="E185" s="23"/>
      <c r="F185" s="24"/>
      <c r="G185" s="23"/>
      <c r="H185" s="23"/>
      <c r="I185" s="24"/>
    </row>
    <row r="186" spans="1:9" ht="13.9">
      <c r="A186" s="23"/>
      <c r="B186" s="23"/>
      <c r="C186" s="23"/>
      <c r="D186" s="23"/>
      <c r="E186" s="23"/>
      <c r="F186" s="24"/>
      <c r="G186" s="23"/>
      <c r="H186" s="23"/>
      <c r="I186" s="24"/>
    </row>
    <row r="187" spans="1:9" ht="13.9">
      <c r="A187" s="23"/>
      <c r="B187" s="23"/>
      <c r="C187" s="23"/>
      <c r="D187" s="23"/>
      <c r="E187" s="23"/>
      <c r="F187" s="24"/>
      <c r="G187" s="23"/>
      <c r="H187" s="23"/>
      <c r="I187" s="24"/>
    </row>
    <row r="188" spans="1:9" ht="13.9">
      <c r="A188" s="23"/>
      <c r="B188" s="23"/>
      <c r="C188" s="23"/>
      <c r="D188" s="23"/>
      <c r="E188" s="23"/>
      <c r="F188" s="24"/>
      <c r="G188" s="23"/>
      <c r="H188" s="23"/>
      <c r="I188" s="24"/>
    </row>
    <row r="189" spans="1:9" ht="13.9">
      <c r="A189" s="23"/>
      <c r="B189" s="23"/>
      <c r="C189" s="23"/>
      <c r="D189" s="23"/>
      <c r="E189" s="23"/>
      <c r="F189" s="24"/>
      <c r="G189" s="23"/>
      <c r="H189" s="23"/>
      <c r="I189" s="24"/>
    </row>
    <row r="190" spans="1:9" ht="13.9">
      <c r="A190" s="23"/>
      <c r="B190" s="23"/>
      <c r="C190" s="23"/>
      <c r="D190" s="23"/>
      <c r="E190" s="23"/>
      <c r="F190" s="24"/>
      <c r="G190" s="23"/>
      <c r="H190" s="23"/>
      <c r="I190" s="24"/>
    </row>
    <row r="191" spans="1:9" ht="13.9">
      <c r="A191" s="23"/>
      <c r="B191" s="23"/>
      <c r="C191" s="23"/>
      <c r="D191" s="23"/>
      <c r="E191" s="23"/>
      <c r="F191" s="24"/>
      <c r="G191" s="23"/>
      <c r="H191" s="23"/>
      <c r="I191" s="24"/>
    </row>
    <row r="192" spans="1:9" ht="13.9">
      <c r="A192" s="23"/>
      <c r="B192" s="23"/>
      <c r="C192" s="23"/>
      <c r="D192" s="23"/>
      <c r="E192" s="23"/>
      <c r="F192" s="24"/>
      <c r="G192" s="23"/>
      <c r="H192" s="23"/>
      <c r="I192" s="24"/>
    </row>
    <row r="193" spans="1:9" ht="13.9">
      <c r="A193" s="23"/>
      <c r="B193" s="23"/>
      <c r="C193" s="23"/>
      <c r="D193" s="23"/>
      <c r="E193" s="23"/>
      <c r="F193" s="24"/>
      <c r="G193" s="23"/>
      <c r="H193" s="23"/>
      <c r="I193" s="24"/>
    </row>
    <row r="194" spans="1:9" ht="13.9">
      <c r="A194" s="23"/>
      <c r="B194" s="23"/>
      <c r="C194" s="23"/>
      <c r="D194" s="23"/>
      <c r="E194" s="23"/>
      <c r="F194" s="24"/>
      <c r="G194" s="23"/>
      <c r="H194" s="23"/>
      <c r="I194" s="24"/>
    </row>
    <row r="195" spans="1:9" ht="13.9">
      <c r="A195" s="23"/>
      <c r="B195" s="23"/>
      <c r="C195" s="23"/>
      <c r="D195" s="23"/>
      <c r="E195" s="23"/>
      <c r="F195" s="24"/>
      <c r="G195" s="23"/>
      <c r="H195" s="23"/>
      <c r="I195" s="24"/>
    </row>
    <row r="196" spans="1:9" ht="13.9">
      <c r="A196" s="23"/>
      <c r="B196" s="23"/>
      <c r="C196" s="23"/>
      <c r="D196" s="23"/>
      <c r="E196" s="23"/>
      <c r="F196" s="24"/>
      <c r="G196" s="23"/>
      <c r="H196" s="23"/>
      <c r="I196" s="24"/>
    </row>
    <row r="197" spans="1:9" ht="13.9">
      <c r="A197" s="23"/>
      <c r="B197" s="23"/>
      <c r="C197" s="23"/>
      <c r="D197" s="23"/>
      <c r="E197" s="23"/>
      <c r="F197" s="24"/>
      <c r="G197" s="23"/>
      <c r="H197" s="23"/>
      <c r="I197" s="24"/>
    </row>
    <row r="198" spans="1:9" ht="13.9">
      <c r="A198" s="23"/>
      <c r="B198" s="23"/>
      <c r="C198" s="23"/>
      <c r="D198" s="23"/>
      <c r="E198" s="23"/>
      <c r="F198" s="24"/>
      <c r="G198" s="23"/>
      <c r="H198" s="23"/>
      <c r="I198" s="24"/>
    </row>
    <row r="199" spans="1:9" ht="13.9">
      <c r="A199" s="23"/>
      <c r="B199" s="23"/>
      <c r="C199" s="23"/>
      <c r="D199" s="23"/>
      <c r="E199" s="23"/>
      <c r="F199" s="24"/>
      <c r="G199" s="23"/>
      <c r="H199" s="23"/>
      <c r="I199" s="24"/>
    </row>
    <row r="200" spans="1:9" ht="13.9">
      <c r="A200" s="23"/>
      <c r="B200" s="23"/>
      <c r="C200" s="23"/>
      <c r="D200" s="23"/>
      <c r="E200" s="23"/>
      <c r="F200" s="24"/>
      <c r="G200" s="23"/>
      <c r="H200" s="23"/>
      <c r="I200" s="24"/>
    </row>
    <row r="201" spans="1:9" ht="13.9">
      <c r="A201" s="23"/>
      <c r="B201" s="23"/>
      <c r="C201" s="23"/>
      <c r="D201" s="23"/>
      <c r="E201" s="23"/>
      <c r="F201" s="24"/>
      <c r="G201" s="23"/>
      <c r="H201" s="23"/>
      <c r="I201" s="24"/>
    </row>
    <row r="202" spans="1:9" ht="13.9">
      <c r="A202" s="23"/>
      <c r="B202" s="23"/>
      <c r="C202" s="23"/>
      <c r="D202" s="23"/>
      <c r="E202" s="23"/>
      <c r="F202" s="24"/>
      <c r="G202" s="23"/>
      <c r="H202" s="23"/>
      <c r="I202" s="24"/>
    </row>
    <row r="203" spans="1:9" ht="13.9">
      <c r="A203" s="23"/>
      <c r="B203" s="23"/>
      <c r="C203" s="23"/>
      <c r="D203" s="23"/>
      <c r="E203" s="23"/>
      <c r="F203" s="24"/>
      <c r="G203" s="23"/>
      <c r="H203" s="23"/>
      <c r="I203" s="24"/>
    </row>
    <row r="204" spans="1:9" ht="13.9">
      <c r="A204" s="23"/>
      <c r="B204" s="23"/>
      <c r="C204" s="23"/>
      <c r="D204" s="23"/>
      <c r="E204" s="23"/>
      <c r="F204" s="24"/>
      <c r="G204" s="23"/>
      <c r="H204" s="23"/>
      <c r="I204" s="24"/>
    </row>
    <row r="205" spans="1:9" ht="13.9">
      <c r="A205" s="23"/>
      <c r="B205" s="23"/>
      <c r="C205" s="23"/>
      <c r="D205" s="23"/>
      <c r="E205" s="23"/>
      <c r="F205" s="24"/>
      <c r="G205" s="23"/>
      <c r="H205" s="23"/>
      <c r="I205" s="24"/>
    </row>
    <row r="206" spans="1:9" ht="13.9">
      <c r="A206" s="23"/>
      <c r="B206" s="23"/>
      <c r="C206" s="23"/>
      <c r="D206" s="23"/>
      <c r="E206" s="23"/>
      <c r="F206" s="24"/>
      <c r="G206" s="23"/>
      <c r="H206" s="23"/>
      <c r="I206" s="24"/>
    </row>
    <row r="207" spans="1:9" ht="13.9">
      <c r="A207" s="23"/>
      <c r="B207" s="23"/>
      <c r="C207" s="23"/>
      <c r="D207" s="23"/>
      <c r="E207" s="23"/>
      <c r="F207" s="24"/>
      <c r="G207" s="23"/>
      <c r="H207" s="23"/>
      <c r="I207" s="24"/>
    </row>
    <row r="208" spans="1:9" ht="13.9">
      <c r="A208" s="23"/>
      <c r="B208" s="23"/>
      <c r="C208" s="23"/>
      <c r="D208" s="23"/>
      <c r="E208" s="23"/>
      <c r="F208" s="24"/>
      <c r="G208" s="23"/>
      <c r="H208" s="23"/>
      <c r="I208" s="24"/>
    </row>
    <row r="209" spans="1:9" ht="13.9">
      <c r="A209" s="23"/>
      <c r="B209" s="23"/>
      <c r="C209" s="23"/>
      <c r="D209" s="23"/>
      <c r="E209" s="23"/>
      <c r="F209" s="24"/>
      <c r="G209" s="23"/>
      <c r="H209" s="23"/>
      <c r="I209" s="24"/>
    </row>
    <row r="210" spans="1:9" ht="13.9">
      <c r="A210" s="23"/>
      <c r="B210" s="23"/>
      <c r="C210" s="23"/>
      <c r="D210" s="23"/>
      <c r="E210" s="23"/>
      <c r="F210" s="24"/>
      <c r="G210" s="23"/>
      <c r="H210" s="23"/>
      <c r="I210" s="24"/>
    </row>
    <row r="211" spans="1:9" ht="13.9">
      <c r="A211" s="23"/>
      <c r="B211" s="23"/>
      <c r="C211" s="23"/>
      <c r="D211" s="23"/>
      <c r="E211" s="23"/>
      <c r="F211" s="24"/>
      <c r="G211" s="23"/>
      <c r="H211" s="23"/>
      <c r="I211" s="24"/>
    </row>
    <row r="212" spans="1:9" ht="13.9">
      <c r="A212" s="23"/>
      <c r="B212" s="23"/>
      <c r="C212" s="23"/>
      <c r="D212" s="23"/>
      <c r="E212" s="23"/>
      <c r="F212" s="24"/>
      <c r="G212" s="23"/>
      <c r="H212" s="23"/>
      <c r="I212" s="24"/>
    </row>
    <row r="213" spans="1:9" ht="13.9">
      <c r="A213" s="23"/>
      <c r="B213" s="23"/>
      <c r="C213" s="23"/>
      <c r="D213" s="23"/>
      <c r="E213" s="23"/>
      <c r="F213" s="24"/>
      <c r="G213" s="23"/>
      <c r="H213" s="23"/>
      <c r="I213" s="24"/>
    </row>
    <row r="214" spans="1:9" ht="13.9">
      <c r="A214" s="23"/>
      <c r="B214" s="23"/>
      <c r="C214" s="23"/>
      <c r="D214" s="23"/>
      <c r="E214" s="23"/>
      <c r="F214" s="24"/>
      <c r="G214" s="23"/>
      <c r="H214" s="23"/>
      <c r="I214" s="24"/>
    </row>
    <row r="215" spans="1:9" ht="13.9">
      <c r="A215" s="23"/>
      <c r="B215" s="23"/>
      <c r="C215" s="23"/>
      <c r="D215" s="23"/>
      <c r="E215" s="23"/>
      <c r="F215" s="24"/>
      <c r="G215" s="23"/>
      <c r="H215" s="23"/>
      <c r="I215" s="24"/>
    </row>
    <row r="216" spans="1:9" ht="13.9">
      <c r="A216" s="23"/>
      <c r="B216" s="23"/>
      <c r="C216" s="23"/>
      <c r="D216" s="23"/>
      <c r="E216" s="23"/>
      <c r="F216" s="24"/>
      <c r="G216" s="23"/>
      <c r="H216" s="23"/>
      <c r="I216" s="24"/>
    </row>
    <row r="217" spans="1:9" ht="13.9">
      <c r="A217" s="23"/>
      <c r="B217" s="23"/>
      <c r="C217" s="23"/>
      <c r="D217" s="23"/>
      <c r="E217" s="23"/>
      <c r="F217" s="24"/>
      <c r="G217" s="23"/>
      <c r="H217" s="23"/>
      <c r="I217" s="24"/>
    </row>
    <row r="218" spans="1:9" ht="13.9">
      <c r="A218" s="23"/>
      <c r="B218" s="23"/>
      <c r="C218" s="23"/>
      <c r="D218" s="23"/>
      <c r="E218" s="23"/>
      <c r="F218" s="24"/>
      <c r="G218" s="23"/>
      <c r="H218" s="23"/>
      <c r="I218" s="24"/>
    </row>
    <row r="219" spans="1:9" ht="13.9">
      <c r="A219" s="23"/>
      <c r="B219" s="23"/>
      <c r="C219" s="23"/>
      <c r="D219" s="23"/>
      <c r="E219" s="23"/>
      <c r="F219" s="24"/>
      <c r="G219" s="23"/>
      <c r="H219" s="23"/>
      <c r="I219" s="24"/>
    </row>
    <row r="220" spans="1:9" ht="13.9">
      <c r="A220" s="23"/>
      <c r="B220" s="23"/>
      <c r="C220" s="23"/>
      <c r="D220" s="23"/>
      <c r="E220" s="23"/>
      <c r="F220" s="24"/>
      <c r="G220" s="23"/>
      <c r="H220" s="23"/>
      <c r="I220" s="24"/>
    </row>
    <row r="221" spans="1:9" ht="13.9">
      <c r="A221" s="23"/>
      <c r="B221" s="23"/>
      <c r="C221" s="23"/>
      <c r="D221" s="23"/>
      <c r="E221" s="23"/>
      <c r="F221" s="24"/>
      <c r="G221" s="23"/>
      <c r="H221" s="23"/>
      <c r="I221" s="24"/>
    </row>
    <row r="222" spans="1:9" ht="13.9">
      <c r="A222" s="23"/>
      <c r="B222" s="23"/>
      <c r="C222" s="23"/>
      <c r="D222" s="23"/>
      <c r="E222" s="23"/>
      <c r="F222" s="24"/>
      <c r="G222" s="23"/>
      <c r="H222" s="23"/>
      <c r="I222" s="24"/>
    </row>
    <row r="223" spans="1:9" ht="13.9">
      <c r="A223" s="23"/>
      <c r="B223" s="23"/>
      <c r="C223" s="23"/>
      <c r="D223" s="23"/>
      <c r="E223" s="23"/>
      <c r="F223" s="24"/>
      <c r="G223" s="23"/>
      <c r="H223" s="23"/>
      <c r="I223" s="24"/>
    </row>
    <row r="224" spans="1:9" ht="13.9">
      <c r="A224" s="23"/>
      <c r="B224" s="23"/>
      <c r="C224" s="23"/>
      <c r="D224" s="23"/>
      <c r="E224" s="23"/>
      <c r="F224" s="24"/>
      <c r="G224" s="23"/>
      <c r="H224" s="23"/>
      <c r="I224" s="24"/>
    </row>
    <row r="225" spans="1:9" ht="13.9">
      <c r="A225" s="23"/>
      <c r="B225" s="23"/>
      <c r="C225" s="23"/>
      <c r="D225" s="23"/>
      <c r="E225" s="23"/>
      <c r="F225" s="24"/>
      <c r="G225" s="23"/>
      <c r="H225" s="23"/>
      <c r="I225" s="24"/>
    </row>
    <row r="226" spans="1:9" ht="13.9">
      <c r="A226" s="23"/>
      <c r="B226" s="23"/>
      <c r="C226" s="23"/>
      <c r="D226" s="23"/>
      <c r="E226" s="23"/>
      <c r="F226" s="24"/>
      <c r="G226" s="23"/>
      <c r="H226" s="23"/>
      <c r="I226" s="24"/>
    </row>
    <row r="227" spans="1:9" ht="13.9">
      <c r="A227" s="23"/>
      <c r="B227" s="23"/>
      <c r="C227" s="23"/>
      <c r="D227" s="23"/>
      <c r="E227" s="23"/>
      <c r="F227" s="24"/>
      <c r="G227" s="23"/>
      <c r="H227" s="23"/>
      <c r="I227" s="24"/>
    </row>
    <row r="228" spans="1:9" ht="13.9">
      <c r="A228" s="23"/>
      <c r="B228" s="23"/>
      <c r="C228" s="23"/>
      <c r="D228" s="23"/>
      <c r="E228" s="23"/>
      <c r="F228" s="24"/>
      <c r="G228" s="23"/>
      <c r="H228" s="23"/>
      <c r="I228" s="24"/>
    </row>
    <row r="229" spans="1:9" ht="13.9">
      <c r="A229" s="23"/>
      <c r="B229" s="23"/>
      <c r="C229" s="23"/>
      <c r="D229" s="23"/>
      <c r="E229" s="23"/>
      <c r="F229" s="24"/>
      <c r="G229" s="23"/>
      <c r="H229" s="23"/>
      <c r="I229" s="24"/>
    </row>
    <row r="230" spans="1:9" ht="13.9">
      <c r="A230" s="23"/>
      <c r="B230" s="23"/>
      <c r="C230" s="23"/>
      <c r="D230" s="23"/>
      <c r="E230" s="23"/>
      <c r="F230" s="24"/>
      <c r="G230" s="23"/>
      <c r="H230" s="23"/>
      <c r="I230" s="24"/>
    </row>
    <row r="231" spans="1:9" ht="13.9">
      <c r="A231" s="23"/>
      <c r="B231" s="23"/>
      <c r="C231" s="23"/>
      <c r="D231" s="23"/>
      <c r="E231" s="23"/>
      <c r="F231" s="24"/>
      <c r="G231" s="23"/>
      <c r="H231" s="23"/>
      <c r="I231" s="24"/>
    </row>
    <row r="232" spans="1:9" ht="13.9">
      <c r="A232" s="23"/>
      <c r="B232" s="23"/>
      <c r="C232" s="23"/>
      <c r="D232" s="23"/>
      <c r="E232" s="23"/>
      <c r="F232" s="24"/>
      <c r="G232" s="23"/>
      <c r="H232" s="23"/>
      <c r="I232" s="24"/>
    </row>
    <row r="233" spans="1:9" ht="13.9">
      <c r="A233" s="23"/>
      <c r="B233" s="23"/>
      <c r="C233" s="23"/>
      <c r="D233" s="23"/>
      <c r="E233" s="23"/>
      <c r="F233" s="24"/>
      <c r="G233" s="23"/>
      <c r="H233" s="23"/>
      <c r="I233" s="24"/>
    </row>
    <row r="234" spans="1:9" ht="13.9">
      <c r="A234" s="23"/>
      <c r="B234" s="23"/>
      <c r="C234" s="23"/>
      <c r="D234" s="23"/>
      <c r="E234" s="23"/>
      <c r="F234" s="24"/>
      <c r="G234" s="23"/>
      <c r="H234" s="23"/>
      <c r="I234" s="24"/>
    </row>
    <row r="235" spans="1:9" ht="13.9">
      <c r="A235" s="23"/>
      <c r="B235" s="23"/>
      <c r="C235" s="23"/>
      <c r="D235" s="23"/>
      <c r="E235" s="23"/>
      <c r="F235" s="24"/>
      <c r="G235" s="23"/>
      <c r="H235" s="23"/>
      <c r="I235" s="24"/>
    </row>
    <row r="236" spans="1:9" ht="13.9">
      <c r="A236" s="23"/>
      <c r="B236" s="23"/>
      <c r="C236" s="23"/>
      <c r="D236" s="23"/>
      <c r="E236" s="23"/>
      <c r="F236" s="24"/>
      <c r="G236" s="23"/>
      <c r="H236" s="23"/>
      <c r="I236" s="24"/>
    </row>
    <row r="237" spans="1:9" ht="13.9">
      <c r="A237" s="23"/>
      <c r="B237" s="23"/>
      <c r="C237" s="23"/>
      <c r="D237" s="23"/>
      <c r="E237" s="23"/>
      <c r="F237" s="24"/>
      <c r="G237" s="23"/>
      <c r="H237" s="23"/>
      <c r="I237" s="24"/>
    </row>
    <row r="238" spans="1:9" ht="13.9">
      <c r="A238" s="23"/>
      <c r="B238" s="23"/>
      <c r="C238" s="23"/>
      <c r="D238" s="23"/>
      <c r="E238" s="23"/>
      <c r="F238" s="24"/>
      <c r="G238" s="23"/>
      <c r="H238" s="23"/>
      <c r="I238" s="24"/>
    </row>
    <row r="239" spans="1:9" ht="13.9">
      <c r="A239" s="23"/>
      <c r="B239" s="23"/>
      <c r="C239" s="23"/>
      <c r="D239" s="23"/>
      <c r="E239" s="23"/>
      <c r="F239" s="24"/>
      <c r="G239" s="23"/>
      <c r="H239" s="23"/>
      <c r="I239" s="24"/>
    </row>
    <row r="240" spans="1:9" ht="13.9">
      <c r="A240" s="23"/>
      <c r="B240" s="23"/>
      <c r="C240" s="23"/>
      <c r="D240" s="23"/>
      <c r="E240" s="23"/>
      <c r="F240" s="24"/>
      <c r="G240" s="23"/>
      <c r="H240" s="23"/>
      <c r="I240" s="24"/>
    </row>
    <row r="241" spans="1:9" ht="13.9">
      <c r="A241" s="23"/>
      <c r="B241" s="23"/>
      <c r="C241" s="23"/>
      <c r="D241" s="23"/>
      <c r="E241" s="23"/>
      <c r="F241" s="24"/>
      <c r="G241" s="23"/>
      <c r="H241" s="23"/>
      <c r="I241" s="24"/>
    </row>
    <row r="242" spans="1:9" ht="13.9">
      <c r="A242" s="23"/>
      <c r="B242" s="23"/>
      <c r="C242" s="23"/>
      <c r="D242" s="23"/>
      <c r="E242" s="23"/>
      <c r="F242" s="24"/>
      <c r="G242" s="23"/>
      <c r="H242" s="23"/>
      <c r="I242" s="24"/>
    </row>
    <row r="243" spans="1:9" ht="13.9">
      <c r="A243" s="23"/>
      <c r="B243" s="23"/>
      <c r="C243" s="23"/>
      <c r="D243" s="23"/>
      <c r="E243" s="23"/>
      <c r="F243" s="24"/>
      <c r="G243" s="23"/>
      <c r="H243" s="23"/>
      <c r="I243" s="24"/>
    </row>
    <row r="244" spans="1:9" ht="13.9">
      <c r="A244" s="23"/>
      <c r="B244" s="23"/>
      <c r="C244" s="23"/>
      <c r="D244" s="23"/>
      <c r="E244" s="23"/>
      <c r="F244" s="24"/>
      <c r="G244" s="23"/>
      <c r="H244" s="23"/>
      <c r="I244" s="24"/>
    </row>
    <row r="245" spans="1:9" ht="13.9">
      <c r="A245" s="23"/>
      <c r="B245" s="23"/>
      <c r="C245" s="23"/>
      <c r="D245" s="23"/>
      <c r="E245" s="23"/>
      <c r="F245" s="24"/>
      <c r="G245" s="23"/>
      <c r="H245" s="23"/>
      <c r="I245" s="24"/>
    </row>
    <row r="246" spans="1:9" ht="13.9">
      <c r="A246" s="23"/>
      <c r="B246" s="23"/>
      <c r="C246" s="23"/>
      <c r="D246" s="23"/>
      <c r="E246" s="23"/>
      <c r="F246" s="24"/>
      <c r="G246" s="23"/>
      <c r="H246" s="23"/>
      <c r="I246" s="24"/>
    </row>
    <row r="247" spans="1:9" ht="13.9">
      <c r="A247" s="23"/>
      <c r="B247" s="23"/>
      <c r="C247" s="23"/>
      <c r="D247" s="23"/>
      <c r="E247" s="23"/>
      <c r="F247" s="24"/>
      <c r="G247" s="23"/>
      <c r="H247" s="23"/>
      <c r="I247" s="24"/>
    </row>
    <row r="248" spans="1:9" ht="13.9">
      <c r="A248" s="23"/>
      <c r="B248" s="23"/>
      <c r="C248" s="23"/>
      <c r="D248" s="23"/>
      <c r="E248" s="23"/>
      <c r="F248" s="24"/>
      <c r="G248" s="23"/>
      <c r="H248" s="23"/>
      <c r="I248" s="24"/>
    </row>
    <row r="249" spans="1:9" ht="13.9">
      <c r="A249" s="23"/>
      <c r="B249" s="23"/>
      <c r="C249" s="23"/>
      <c r="D249" s="23"/>
      <c r="E249" s="23"/>
      <c r="F249" s="24"/>
      <c r="G249" s="23"/>
      <c r="H249" s="23"/>
      <c r="I249" s="24"/>
    </row>
    <row r="250" spans="1:9" ht="13.9">
      <c r="A250" s="23"/>
      <c r="B250" s="23"/>
      <c r="C250" s="23"/>
      <c r="D250" s="23"/>
      <c r="E250" s="23"/>
      <c r="F250" s="24"/>
      <c r="G250" s="23"/>
      <c r="H250" s="23"/>
      <c r="I250" s="24"/>
    </row>
    <row r="251" spans="1:9" ht="13.9">
      <c r="A251" s="23"/>
      <c r="B251" s="23"/>
      <c r="C251" s="23"/>
      <c r="D251" s="23"/>
      <c r="E251" s="23"/>
      <c r="F251" s="24"/>
      <c r="G251" s="23"/>
      <c r="H251" s="23"/>
      <c r="I251" s="24"/>
    </row>
    <row r="252" spans="1:9" ht="13.9">
      <c r="A252" s="23"/>
      <c r="B252" s="23"/>
      <c r="C252" s="23"/>
      <c r="D252" s="23"/>
      <c r="E252" s="23"/>
      <c r="F252" s="24"/>
      <c r="G252" s="23"/>
      <c r="H252" s="23"/>
      <c r="I252" s="24"/>
    </row>
    <row r="253" spans="1:9" ht="13.9">
      <c r="A253" s="23"/>
      <c r="B253" s="23"/>
      <c r="C253" s="23"/>
      <c r="D253" s="23"/>
      <c r="E253" s="23"/>
      <c r="F253" s="24"/>
      <c r="G253" s="23"/>
      <c r="H253" s="23"/>
      <c r="I253" s="24"/>
    </row>
    <row r="254" spans="1:9" ht="13.9">
      <c r="A254" s="23"/>
      <c r="B254" s="23"/>
      <c r="C254" s="23"/>
      <c r="D254" s="23"/>
      <c r="E254" s="23"/>
      <c r="F254" s="24"/>
      <c r="G254" s="23"/>
      <c r="H254" s="23"/>
      <c r="I254" s="24"/>
    </row>
    <row r="255" spans="1:9" ht="13.9">
      <c r="A255" s="23"/>
      <c r="B255" s="23"/>
      <c r="C255" s="23"/>
      <c r="D255" s="23"/>
      <c r="E255" s="23"/>
      <c r="F255" s="24"/>
      <c r="G255" s="23"/>
      <c r="H255" s="23"/>
      <c r="I255" s="24"/>
    </row>
    <row r="256" spans="1:9" ht="13.9">
      <c r="A256" s="23"/>
      <c r="B256" s="23"/>
      <c r="C256" s="23"/>
      <c r="D256" s="23"/>
      <c r="E256" s="23"/>
      <c r="F256" s="24"/>
      <c r="G256" s="23"/>
      <c r="H256" s="23"/>
      <c r="I256" s="24"/>
    </row>
    <row r="257" spans="1:9" ht="13.9">
      <c r="A257" s="23"/>
      <c r="B257" s="23"/>
      <c r="C257" s="23"/>
      <c r="D257" s="23"/>
      <c r="E257" s="23"/>
      <c r="F257" s="24"/>
      <c r="G257" s="23"/>
      <c r="H257" s="23"/>
      <c r="I257" s="24"/>
    </row>
    <row r="258" spans="1:9" ht="13.9">
      <c r="A258" s="23"/>
      <c r="B258" s="23"/>
      <c r="C258" s="23"/>
      <c r="D258" s="23"/>
      <c r="E258" s="23"/>
      <c r="F258" s="24"/>
      <c r="G258" s="23"/>
      <c r="H258" s="23"/>
      <c r="I258" s="24"/>
    </row>
    <row r="259" spans="1:9" ht="13.9">
      <c r="A259" s="23"/>
      <c r="B259" s="23"/>
      <c r="C259" s="23"/>
      <c r="D259" s="23"/>
      <c r="E259" s="23"/>
      <c r="F259" s="24"/>
      <c r="G259" s="23"/>
      <c r="H259" s="23"/>
      <c r="I259" s="24"/>
    </row>
    <row r="260" spans="1:9" ht="13.9">
      <c r="A260" s="23"/>
      <c r="B260" s="23"/>
      <c r="C260" s="23"/>
      <c r="D260" s="23"/>
      <c r="E260" s="23"/>
      <c r="F260" s="24"/>
      <c r="G260" s="23"/>
      <c r="H260" s="23"/>
      <c r="I260" s="24"/>
    </row>
    <row r="261" spans="1:9" ht="13.9">
      <c r="A261" s="23"/>
      <c r="B261" s="23"/>
      <c r="C261" s="23"/>
      <c r="D261" s="23"/>
      <c r="E261" s="23"/>
      <c r="F261" s="24"/>
      <c r="G261" s="23"/>
      <c r="H261" s="23"/>
      <c r="I261" s="24"/>
    </row>
    <row r="262" spans="1:9" ht="13.9">
      <c r="A262" s="23"/>
      <c r="B262" s="23"/>
      <c r="C262" s="23"/>
      <c r="D262" s="23"/>
      <c r="E262" s="23"/>
      <c r="F262" s="24"/>
      <c r="G262" s="23"/>
      <c r="H262" s="23"/>
      <c r="I262" s="24"/>
    </row>
    <row r="263" spans="1:9" ht="13.9">
      <c r="A263" s="23"/>
      <c r="B263" s="23"/>
      <c r="C263" s="23"/>
      <c r="D263" s="23"/>
      <c r="E263" s="23"/>
      <c r="F263" s="24"/>
      <c r="G263" s="23"/>
      <c r="H263" s="23"/>
      <c r="I263" s="24"/>
    </row>
    <row r="264" spans="1:9" ht="13.9">
      <c r="A264" s="23"/>
      <c r="B264" s="23"/>
      <c r="C264" s="23"/>
      <c r="D264" s="23"/>
      <c r="E264" s="23"/>
      <c r="F264" s="24"/>
      <c r="G264" s="23"/>
      <c r="H264" s="23"/>
      <c r="I264" s="24"/>
    </row>
    <row r="265" spans="1:9" ht="13.9">
      <c r="A265" s="23"/>
      <c r="B265" s="23"/>
      <c r="C265" s="23"/>
      <c r="D265" s="23"/>
      <c r="E265" s="23"/>
      <c r="F265" s="24"/>
      <c r="G265" s="23"/>
      <c r="H265" s="23"/>
      <c r="I265" s="24"/>
    </row>
    <row r="266" spans="1:9" ht="13.9">
      <c r="A266" s="23"/>
      <c r="B266" s="23"/>
      <c r="C266" s="23"/>
      <c r="D266" s="23"/>
      <c r="E266" s="23"/>
      <c r="F266" s="24"/>
      <c r="G266" s="23"/>
      <c r="H266" s="23"/>
      <c r="I266" s="24"/>
    </row>
    <row r="267" spans="1:9" ht="13.9">
      <c r="A267" s="23"/>
      <c r="B267" s="23"/>
      <c r="C267" s="23"/>
      <c r="D267" s="23"/>
      <c r="E267" s="23"/>
      <c r="F267" s="24"/>
      <c r="G267" s="23"/>
      <c r="H267" s="23"/>
      <c r="I267" s="24"/>
    </row>
    <row r="268" spans="1:9" ht="13.9">
      <c r="A268" s="23"/>
      <c r="B268" s="23"/>
      <c r="C268" s="23"/>
      <c r="D268" s="23"/>
      <c r="E268" s="23"/>
      <c r="F268" s="24"/>
      <c r="G268" s="23"/>
      <c r="H268" s="23"/>
      <c r="I268" s="24"/>
    </row>
    <row r="269" spans="1:9" ht="13.9">
      <c r="A269" s="23"/>
      <c r="B269" s="23"/>
      <c r="C269" s="23"/>
      <c r="D269" s="23"/>
      <c r="E269" s="23"/>
      <c r="F269" s="24"/>
      <c r="G269" s="23"/>
      <c r="H269" s="23"/>
      <c r="I269" s="24"/>
    </row>
    <row r="270" spans="1:9" ht="13.9">
      <c r="A270" s="23"/>
      <c r="B270" s="23"/>
      <c r="C270" s="23"/>
      <c r="D270" s="23"/>
      <c r="E270" s="23"/>
      <c r="F270" s="24"/>
      <c r="G270" s="23"/>
      <c r="H270" s="23"/>
      <c r="I270" s="24"/>
    </row>
    <row r="271" spans="1:9" ht="13.9">
      <c r="A271" s="23"/>
      <c r="B271" s="23"/>
      <c r="C271" s="23"/>
      <c r="D271" s="23"/>
      <c r="E271" s="23"/>
      <c r="F271" s="24"/>
      <c r="G271" s="23"/>
      <c r="H271" s="23"/>
      <c r="I271" s="24"/>
    </row>
    <row r="272" spans="1:9" ht="13.9">
      <c r="A272" s="23"/>
      <c r="B272" s="23"/>
      <c r="C272" s="23"/>
      <c r="D272" s="23"/>
      <c r="E272" s="23"/>
      <c r="F272" s="24"/>
      <c r="G272" s="23"/>
      <c r="H272" s="23"/>
      <c r="I272" s="24"/>
    </row>
    <row r="273" spans="1:9" ht="13.9">
      <c r="A273" s="23"/>
      <c r="B273" s="23"/>
      <c r="C273" s="23"/>
      <c r="D273" s="23"/>
      <c r="E273" s="23"/>
      <c r="F273" s="24"/>
      <c r="G273" s="23"/>
      <c r="H273" s="23"/>
      <c r="I273" s="24"/>
    </row>
    <row r="274" spans="1:9" ht="13.9">
      <c r="A274" s="23"/>
      <c r="B274" s="23"/>
      <c r="C274" s="23"/>
      <c r="D274" s="23"/>
      <c r="E274" s="23"/>
      <c r="F274" s="24"/>
      <c r="G274" s="23"/>
      <c r="H274" s="23"/>
      <c r="I274" s="24"/>
    </row>
    <row r="275" spans="1:9" ht="13.9">
      <c r="A275" s="23"/>
      <c r="B275" s="23"/>
      <c r="C275" s="23"/>
      <c r="D275" s="23"/>
      <c r="E275" s="23"/>
      <c r="F275" s="24"/>
      <c r="G275" s="23"/>
      <c r="H275" s="23"/>
      <c r="I275" s="24"/>
    </row>
    <row r="276" spans="1:9" ht="13.9">
      <c r="A276" s="23"/>
      <c r="B276" s="23"/>
      <c r="C276" s="23"/>
      <c r="D276" s="23"/>
      <c r="E276" s="23"/>
      <c r="F276" s="24"/>
      <c r="G276" s="23"/>
      <c r="H276" s="23"/>
      <c r="I276" s="24"/>
    </row>
    <row r="277" spans="1:9" ht="13.9">
      <c r="A277" s="23"/>
      <c r="B277" s="23"/>
      <c r="C277" s="23"/>
      <c r="D277" s="23"/>
      <c r="E277" s="23"/>
      <c r="F277" s="24"/>
      <c r="G277" s="23"/>
      <c r="H277" s="23"/>
      <c r="I277" s="24"/>
    </row>
    <row r="278" spans="1:9" ht="13.9">
      <c r="A278" s="23"/>
      <c r="B278" s="23"/>
      <c r="C278" s="23"/>
      <c r="D278" s="23"/>
      <c r="E278" s="23"/>
      <c r="F278" s="24"/>
      <c r="G278" s="23"/>
      <c r="H278" s="23"/>
      <c r="I278" s="24"/>
    </row>
    <row r="279" spans="1:9" ht="13.9">
      <c r="A279" s="23"/>
      <c r="B279" s="23"/>
      <c r="C279" s="23"/>
      <c r="D279" s="23"/>
      <c r="E279" s="23"/>
      <c r="F279" s="24"/>
      <c r="G279" s="23"/>
      <c r="H279" s="23"/>
      <c r="I279" s="24"/>
    </row>
    <row r="280" spans="1:9" ht="13.9">
      <c r="A280" s="23"/>
      <c r="B280" s="23"/>
      <c r="C280" s="23"/>
      <c r="D280" s="23"/>
      <c r="E280" s="23"/>
      <c r="F280" s="24"/>
      <c r="G280" s="23"/>
      <c r="H280" s="23"/>
      <c r="I280" s="24"/>
    </row>
    <row r="281" spans="1:9" ht="13.9">
      <c r="A281" s="23"/>
      <c r="B281" s="23"/>
      <c r="C281" s="23"/>
      <c r="D281" s="23"/>
      <c r="E281" s="23"/>
      <c r="F281" s="24"/>
      <c r="G281" s="23"/>
      <c r="H281" s="23"/>
      <c r="I281" s="24"/>
    </row>
    <row r="282" spans="1:9" ht="13.9">
      <c r="A282" s="23"/>
      <c r="B282" s="23"/>
      <c r="C282" s="23"/>
      <c r="D282" s="23"/>
      <c r="E282" s="23"/>
      <c r="F282" s="24"/>
      <c r="G282" s="23"/>
      <c r="H282" s="23"/>
      <c r="I282" s="24"/>
    </row>
    <row r="283" spans="1:9" ht="13.9">
      <c r="A283" s="23"/>
      <c r="B283" s="23"/>
      <c r="C283" s="23"/>
      <c r="D283" s="23"/>
      <c r="E283" s="23"/>
      <c r="F283" s="24"/>
      <c r="G283" s="23"/>
      <c r="H283" s="23"/>
      <c r="I283" s="24"/>
    </row>
    <row r="284" spans="1:9" ht="13.9">
      <c r="A284" s="23"/>
      <c r="B284" s="23"/>
      <c r="C284" s="23"/>
      <c r="D284" s="23"/>
      <c r="E284" s="23"/>
      <c r="F284" s="24"/>
      <c r="G284" s="23"/>
      <c r="H284" s="23"/>
      <c r="I284" s="24"/>
    </row>
    <row r="285" spans="1:9" ht="13.9">
      <c r="A285" s="23"/>
      <c r="B285" s="23"/>
      <c r="C285" s="23"/>
      <c r="D285" s="23"/>
      <c r="E285" s="23"/>
      <c r="F285" s="24"/>
      <c r="G285" s="23"/>
      <c r="H285" s="23"/>
      <c r="I285" s="24"/>
    </row>
    <row r="286" spans="1:9" ht="13.9">
      <c r="A286" s="23"/>
      <c r="B286" s="23"/>
      <c r="C286" s="23"/>
      <c r="D286" s="23"/>
      <c r="E286" s="23"/>
      <c r="F286" s="24"/>
      <c r="G286" s="23"/>
      <c r="H286" s="23"/>
      <c r="I286" s="24"/>
    </row>
    <row r="287" spans="1:9" ht="13.9">
      <c r="A287" s="23"/>
      <c r="B287" s="23"/>
      <c r="C287" s="23"/>
      <c r="D287" s="23"/>
      <c r="E287" s="23"/>
      <c r="F287" s="24"/>
      <c r="G287" s="23"/>
      <c r="H287" s="23"/>
      <c r="I287" s="24"/>
    </row>
    <row r="288" spans="1:9" ht="13.9">
      <c r="A288" s="23"/>
      <c r="B288" s="23"/>
      <c r="C288" s="23"/>
      <c r="D288" s="23"/>
      <c r="E288" s="23"/>
      <c r="F288" s="24"/>
      <c r="G288" s="23"/>
      <c r="H288" s="23"/>
      <c r="I288" s="24"/>
    </row>
    <row r="289" spans="1:9" ht="13.9">
      <c r="A289" s="23"/>
      <c r="B289" s="23"/>
      <c r="C289" s="23"/>
      <c r="D289" s="23"/>
      <c r="E289" s="23"/>
      <c r="F289" s="24"/>
      <c r="G289" s="23"/>
      <c r="H289" s="23"/>
      <c r="I289" s="24"/>
    </row>
    <row r="290" spans="1:9" ht="13.9">
      <c r="A290" s="23"/>
      <c r="B290" s="23"/>
      <c r="C290" s="23"/>
      <c r="D290" s="23"/>
      <c r="E290" s="23"/>
      <c r="F290" s="24"/>
      <c r="G290" s="23"/>
      <c r="H290" s="23"/>
      <c r="I290" s="24"/>
    </row>
    <row r="291" spans="1:9" ht="13.9">
      <c r="A291" s="23"/>
      <c r="B291" s="23"/>
      <c r="C291" s="23"/>
      <c r="D291" s="23"/>
      <c r="E291" s="23"/>
      <c r="F291" s="24"/>
      <c r="G291" s="23"/>
      <c r="H291" s="23"/>
      <c r="I291" s="24"/>
    </row>
    <row r="292" spans="1:9" ht="13.9">
      <c r="A292" s="23"/>
      <c r="B292" s="23"/>
      <c r="C292" s="23"/>
      <c r="D292" s="23"/>
      <c r="E292" s="23"/>
      <c r="F292" s="24"/>
      <c r="G292" s="23"/>
      <c r="H292" s="23"/>
      <c r="I292" s="24"/>
    </row>
    <row r="293" spans="1:9" ht="13.9">
      <c r="A293" s="23"/>
      <c r="B293" s="23"/>
      <c r="C293" s="23"/>
      <c r="D293" s="23"/>
      <c r="E293" s="23"/>
      <c r="F293" s="24"/>
      <c r="G293" s="23"/>
      <c r="H293" s="23"/>
      <c r="I293" s="24"/>
    </row>
    <row r="294" spans="1:9" ht="13.9">
      <c r="A294" s="23"/>
      <c r="B294" s="23"/>
      <c r="C294" s="23"/>
      <c r="D294" s="23"/>
      <c r="E294" s="23"/>
      <c r="F294" s="24"/>
      <c r="G294" s="23"/>
      <c r="H294" s="23"/>
      <c r="I294" s="24"/>
    </row>
    <row r="295" spans="1:9" ht="13.9">
      <c r="A295" s="23"/>
      <c r="B295" s="23"/>
      <c r="C295" s="23"/>
      <c r="D295" s="23"/>
      <c r="E295" s="23"/>
      <c r="F295" s="24"/>
      <c r="G295" s="23"/>
      <c r="H295" s="23"/>
      <c r="I295" s="24"/>
    </row>
    <row r="296" spans="1:9" ht="13.9">
      <c r="A296" s="23"/>
      <c r="B296" s="23"/>
      <c r="C296" s="23"/>
      <c r="D296" s="23"/>
      <c r="E296" s="23"/>
      <c r="F296" s="24"/>
      <c r="G296" s="23"/>
      <c r="H296" s="23"/>
      <c r="I296" s="24"/>
    </row>
    <row r="297" spans="1:9" ht="13.9">
      <c r="A297" s="23"/>
      <c r="B297" s="23"/>
      <c r="C297" s="23"/>
      <c r="D297" s="23"/>
      <c r="E297" s="23"/>
      <c r="F297" s="24"/>
      <c r="G297" s="23"/>
      <c r="H297" s="23"/>
      <c r="I297" s="24"/>
    </row>
    <row r="298" spans="1:9" ht="13.9">
      <c r="A298" s="23"/>
      <c r="B298" s="23"/>
      <c r="C298" s="23"/>
      <c r="D298" s="23"/>
      <c r="E298" s="23"/>
      <c r="F298" s="24"/>
      <c r="G298" s="23"/>
      <c r="H298" s="23"/>
      <c r="I298" s="24"/>
    </row>
    <row r="299" spans="1:9" ht="13.9">
      <c r="A299" s="23"/>
      <c r="B299" s="23"/>
      <c r="C299" s="23"/>
      <c r="D299" s="23"/>
      <c r="E299" s="23"/>
      <c r="F299" s="24"/>
      <c r="G299" s="23"/>
      <c r="H299" s="23"/>
      <c r="I299" s="24"/>
    </row>
    <row r="300" spans="1:9" ht="13.9">
      <c r="A300" s="23"/>
      <c r="B300" s="23"/>
      <c r="C300" s="23"/>
      <c r="D300" s="23"/>
      <c r="E300" s="23"/>
      <c r="F300" s="24"/>
      <c r="G300" s="23"/>
      <c r="H300" s="23"/>
      <c r="I300" s="24"/>
    </row>
    <row r="301" spans="1:9" ht="13.9">
      <c r="A301" s="23"/>
      <c r="B301" s="23"/>
      <c r="C301" s="23"/>
      <c r="D301" s="23"/>
      <c r="E301" s="23"/>
      <c r="F301" s="24"/>
      <c r="G301" s="23"/>
      <c r="H301" s="23"/>
      <c r="I301" s="24"/>
    </row>
    <row r="302" spans="1:9" ht="13.9">
      <c r="A302" s="23"/>
      <c r="B302" s="23"/>
      <c r="C302" s="23"/>
      <c r="D302" s="23"/>
      <c r="E302" s="23"/>
      <c r="F302" s="24"/>
      <c r="G302" s="23"/>
      <c r="H302" s="23"/>
      <c r="I302" s="24"/>
    </row>
    <row r="303" spans="1:9" ht="13.9">
      <c r="A303" s="23"/>
      <c r="B303" s="23"/>
      <c r="C303" s="23"/>
      <c r="D303" s="23"/>
      <c r="E303" s="23"/>
      <c r="F303" s="24"/>
      <c r="G303" s="23"/>
      <c r="H303" s="23"/>
      <c r="I303" s="24"/>
    </row>
    <row r="304" spans="1:9" ht="13.9">
      <c r="A304" s="23"/>
      <c r="B304" s="23"/>
      <c r="C304" s="23"/>
      <c r="D304" s="23"/>
      <c r="E304" s="23"/>
      <c r="F304" s="24"/>
      <c r="G304" s="23"/>
      <c r="H304" s="23"/>
      <c r="I304" s="24"/>
    </row>
    <row r="305" spans="1:9" ht="13.9">
      <c r="A305" s="23"/>
      <c r="B305" s="23"/>
      <c r="C305" s="23"/>
      <c r="D305" s="23"/>
      <c r="E305" s="23"/>
      <c r="F305" s="24"/>
      <c r="G305" s="23"/>
      <c r="H305" s="23"/>
      <c r="I305" s="24"/>
    </row>
    <row r="306" spans="1:9" ht="13.9">
      <c r="A306" s="23"/>
      <c r="B306" s="23"/>
      <c r="C306" s="23"/>
      <c r="D306" s="23"/>
      <c r="E306" s="23"/>
      <c r="F306" s="24"/>
      <c r="G306" s="23"/>
      <c r="H306" s="23"/>
      <c r="I306" s="24"/>
    </row>
    <row r="307" spans="1:9" ht="13.9">
      <c r="A307" s="23"/>
      <c r="B307" s="23"/>
      <c r="C307" s="23"/>
      <c r="D307" s="23"/>
      <c r="E307" s="23"/>
      <c r="F307" s="24"/>
      <c r="G307" s="23"/>
      <c r="H307" s="23"/>
      <c r="I307" s="24"/>
    </row>
    <row r="308" spans="1:9" ht="13.9">
      <c r="A308" s="23"/>
      <c r="B308" s="23"/>
      <c r="C308" s="23"/>
      <c r="D308" s="23"/>
      <c r="E308" s="23"/>
      <c r="F308" s="24"/>
      <c r="G308" s="23"/>
      <c r="H308" s="23"/>
      <c r="I308" s="24"/>
    </row>
    <row r="309" spans="1:9" ht="13.9">
      <c r="A309" s="23"/>
      <c r="B309" s="23"/>
      <c r="C309" s="23"/>
      <c r="D309" s="23"/>
      <c r="E309" s="23"/>
      <c r="F309" s="24"/>
      <c r="G309" s="23"/>
      <c r="H309" s="23"/>
      <c r="I309" s="24"/>
    </row>
    <row r="310" spans="1:9" ht="13.9">
      <c r="A310" s="23"/>
      <c r="B310" s="23"/>
      <c r="C310" s="23"/>
      <c r="D310" s="23"/>
      <c r="E310" s="23"/>
      <c r="F310" s="24"/>
      <c r="G310" s="23"/>
      <c r="H310" s="23"/>
      <c r="I310" s="24"/>
    </row>
    <row r="311" spans="1:9" ht="13.9">
      <c r="A311" s="23"/>
      <c r="B311" s="23"/>
      <c r="C311" s="23"/>
      <c r="D311" s="23"/>
      <c r="E311" s="23"/>
      <c r="F311" s="24"/>
      <c r="G311" s="23"/>
      <c r="H311" s="23"/>
      <c r="I311" s="24"/>
    </row>
    <row r="312" spans="1:9" ht="13.9">
      <c r="A312" s="23"/>
      <c r="B312" s="23"/>
      <c r="C312" s="23"/>
      <c r="D312" s="23"/>
      <c r="E312" s="23"/>
      <c r="F312" s="24"/>
      <c r="G312" s="23"/>
      <c r="H312" s="23"/>
      <c r="I312" s="24"/>
    </row>
    <row r="313" spans="1:9" ht="13.9">
      <c r="A313" s="23"/>
      <c r="B313" s="23"/>
      <c r="C313" s="23"/>
      <c r="D313" s="23"/>
      <c r="E313" s="23"/>
      <c r="F313" s="24"/>
      <c r="G313" s="23"/>
      <c r="H313" s="23"/>
      <c r="I313" s="24"/>
    </row>
    <row r="314" spans="1:9" ht="13.9">
      <c r="A314" s="23"/>
      <c r="B314" s="23"/>
      <c r="C314" s="23"/>
      <c r="D314" s="23"/>
      <c r="E314" s="23"/>
      <c r="F314" s="24"/>
      <c r="G314" s="23"/>
      <c r="H314" s="23"/>
      <c r="I314" s="24"/>
    </row>
    <row r="315" spans="1:9" ht="13.9">
      <c r="A315" s="23"/>
      <c r="B315" s="23"/>
      <c r="C315" s="23"/>
      <c r="D315" s="23"/>
      <c r="E315" s="23"/>
      <c r="F315" s="24"/>
      <c r="G315" s="23"/>
      <c r="H315" s="23"/>
      <c r="I315" s="24"/>
    </row>
    <row r="316" spans="1:9" ht="13.9">
      <c r="A316" s="23"/>
      <c r="B316" s="23"/>
      <c r="C316" s="23"/>
      <c r="D316" s="23"/>
      <c r="E316" s="23"/>
      <c r="F316" s="24"/>
      <c r="G316" s="23"/>
      <c r="H316" s="23"/>
      <c r="I316" s="24"/>
    </row>
    <row r="317" spans="1:9" ht="13.9">
      <c r="A317" s="23"/>
      <c r="B317" s="23"/>
      <c r="C317" s="23"/>
      <c r="D317" s="23"/>
      <c r="E317" s="23"/>
      <c r="F317" s="24"/>
      <c r="G317" s="23"/>
      <c r="H317" s="23"/>
      <c r="I317" s="24"/>
    </row>
    <row r="318" spans="1:9" ht="13.9">
      <c r="A318" s="23"/>
      <c r="B318" s="23"/>
      <c r="C318" s="23"/>
      <c r="D318" s="23"/>
      <c r="E318" s="23"/>
      <c r="F318" s="24"/>
      <c r="G318" s="23"/>
      <c r="H318" s="23"/>
      <c r="I318" s="24"/>
    </row>
    <row r="319" spans="1:9" ht="13.9">
      <c r="A319" s="23"/>
      <c r="B319" s="23"/>
      <c r="C319" s="23"/>
      <c r="D319" s="23"/>
      <c r="E319" s="23"/>
      <c r="F319" s="24"/>
      <c r="G319" s="23"/>
      <c r="H319" s="23"/>
      <c r="I319" s="24"/>
    </row>
    <row r="320" spans="1:9" ht="13.9">
      <c r="A320" s="23"/>
      <c r="B320" s="23"/>
      <c r="C320" s="23"/>
      <c r="D320" s="23"/>
      <c r="E320" s="23"/>
      <c r="F320" s="24"/>
      <c r="G320" s="23"/>
      <c r="H320" s="23"/>
      <c r="I320" s="24"/>
    </row>
    <row r="321" spans="1:9" ht="13.9">
      <c r="A321" s="23"/>
      <c r="B321" s="23"/>
      <c r="C321" s="23"/>
      <c r="D321" s="23"/>
      <c r="E321" s="23"/>
      <c r="F321" s="24"/>
      <c r="G321" s="23"/>
      <c r="H321" s="23"/>
      <c r="I321" s="24"/>
    </row>
    <row r="322" spans="1:9" ht="13.9">
      <c r="A322" s="23"/>
      <c r="B322" s="23"/>
      <c r="C322" s="23"/>
      <c r="D322" s="23"/>
      <c r="E322" s="23"/>
      <c r="F322" s="24"/>
      <c r="G322" s="23"/>
      <c r="H322" s="23"/>
      <c r="I322" s="24"/>
    </row>
    <row r="323" spans="1:9" ht="13.9">
      <c r="A323" s="23"/>
      <c r="B323" s="23"/>
      <c r="C323" s="23"/>
      <c r="D323" s="23"/>
      <c r="E323" s="23"/>
      <c r="F323" s="24"/>
      <c r="G323" s="23"/>
      <c r="H323" s="23"/>
      <c r="I323" s="24"/>
    </row>
    <row r="324" spans="1:9" ht="13.9">
      <c r="A324" s="23"/>
      <c r="B324" s="23"/>
      <c r="C324" s="23"/>
      <c r="D324" s="23"/>
      <c r="E324" s="23"/>
      <c r="F324" s="24"/>
      <c r="G324" s="23"/>
      <c r="H324" s="23"/>
      <c r="I324" s="24"/>
    </row>
    <row r="325" spans="1:9" ht="13.9">
      <c r="A325" s="23"/>
      <c r="B325" s="23"/>
      <c r="C325" s="23"/>
      <c r="D325" s="23"/>
      <c r="E325" s="23"/>
      <c r="F325" s="24"/>
      <c r="G325" s="23"/>
      <c r="H325" s="23"/>
      <c r="I325" s="24"/>
    </row>
    <row r="326" spans="1:9" ht="13.9">
      <c r="A326" s="23"/>
      <c r="B326" s="23"/>
      <c r="C326" s="23"/>
      <c r="D326" s="23"/>
      <c r="E326" s="23"/>
      <c r="F326" s="24"/>
      <c r="G326" s="23"/>
      <c r="H326" s="23"/>
      <c r="I326" s="24"/>
    </row>
    <row r="327" spans="1:9" ht="13.9">
      <c r="A327" s="23"/>
      <c r="B327" s="23"/>
      <c r="C327" s="23"/>
      <c r="D327" s="23"/>
      <c r="E327" s="23"/>
      <c r="F327" s="24"/>
      <c r="G327" s="23"/>
      <c r="H327" s="23"/>
      <c r="I327" s="24"/>
    </row>
    <row r="328" spans="1:9" ht="13.9">
      <c r="A328" s="23"/>
      <c r="B328" s="23"/>
      <c r="C328" s="23"/>
      <c r="D328" s="23"/>
      <c r="E328" s="23"/>
      <c r="F328" s="24"/>
      <c r="G328" s="23"/>
      <c r="H328" s="23"/>
      <c r="I328" s="24"/>
    </row>
    <row r="329" spans="1:9" ht="13.9">
      <c r="A329" s="23"/>
      <c r="B329" s="23"/>
      <c r="C329" s="23"/>
      <c r="D329" s="23"/>
      <c r="E329" s="23"/>
      <c r="F329" s="24"/>
      <c r="G329" s="23"/>
      <c r="H329" s="23"/>
      <c r="I329" s="24"/>
    </row>
    <row r="330" spans="1:9" ht="13.9">
      <c r="A330" s="23"/>
      <c r="B330" s="23"/>
      <c r="C330" s="23"/>
      <c r="D330" s="23"/>
      <c r="E330" s="23"/>
      <c r="F330" s="24"/>
      <c r="G330" s="23"/>
      <c r="H330" s="23"/>
      <c r="I330" s="24"/>
    </row>
    <row r="331" spans="1:9" ht="13.9">
      <c r="A331" s="23"/>
      <c r="B331" s="23"/>
      <c r="C331" s="23"/>
      <c r="D331" s="23"/>
      <c r="E331" s="23"/>
      <c r="F331" s="24"/>
      <c r="G331" s="23"/>
      <c r="H331" s="23"/>
      <c r="I331" s="24"/>
    </row>
  </sheetData>
  <mergeCells count="4">
    <mergeCell ref="G1:I1"/>
    <mergeCell ref="A1:C1"/>
    <mergeCell ref="D1:F1"/>
    <mergeCell ref="A2:B2"/>
  </mergeCells>
  <conditionalFormatting sqref="F2 I2">
    <cfRule type="cellIs" dxfId="40" priority="5" stopIfTrue="1" operator="lessThanOrEqual">
      <formula>-0.1</formula>
    </cfRule>
    <cfRule type="expression" dxfId="39" priority="6">
      <formula>AND(ISNUMBER(F2), F2&gt;=0.1)</formula>
    </cfRule>
  </conditionalFormatting>
  <conditionalFormatting sqref="F4:F89 I4:I89">
    <cfRule type="cellIs" dxfId="38" priority="1" stopIfTrue="1" operator="lessThanOrEqual">
      <formula>-0.1</formula>
    </cfRule>
    <cfRule type="expression" dxfId="37" priority="2">
      <formula>AND(ISNUMBER(F4), F4&gt;=0.1)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K331"/>
  <sheetViews>
    <sheetView workbookViewId="0">
      <pane ySplit="2" topLeftCell="A3" activePane="bottomLeft" state="frozen"/>
      <selection pane="bottomLeft" activeCell="D11" sqref="D11"/>
      <selection activeCell="J20" sqref="J20"/>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11" ht="19.5" customHeight="1">
      <c r="A1" s="89" t="str" cm="1">
        <f t="array" ref="A1">portfolio</f>
        <v>AB CarVal</v>
      </c>
      <c r="B1" s="89"/>
      <c r="C1" s="89"/>
      <c r="D1" s="90" t="s">
        <v>16</v>
      </c>
      <c r="E1" s="90"/>
      <c r="F1" s="90"/>
      <c r="G1" s="88" t="s">
        <v>17</v>
      </c>
      <c r="H1" s="88"/>
      <c r="I1" s="88"/>
    </row>
    <row r="2" spans="1:11" ht="19.5" customHeight="1">
      <c r="A2" s="91" t="s">
        <v>2</v>
      </c>
      <c r="B2" s="91"/>
      <c r="C2" s="6">
        <f>SUM(C4:C89)</f>
        <v>0</v>
      </c>
      <c r="D2" s="6">
        <f>SUM(D4:D89)</f>
        <v>0</v>
      </c>
      <c r="E2" s="6">
        <f>C2-D2</f>
        <v>0</v>
      </c>
      <c r="F2" s="7">
        <f>IFERROR(E2/D2, 0)</f>
        <v>0</v>
      </c>
      <c r="G2" s="6">
        <f>SUM(G4:G89)</f>
        <v>0</v>
      </c>
      <c r="H2" s="8">
        <f>C2-G2</f>
        <v>0</v>
      </c>
      <c r="I2" s="7">
        <f>IFERROR(H2/G2, 0)</f>
        <v>0</v>
      </c>
    </row>
    <row r="3" spans="1:11" ht="14.25" customHeight="1">
      <c r="A3" s="9" t="s">
        <v>3</v>
      </c>
      <c r="B3" s="9" t="s">
        <v>4</v>
      </c>
      <c r="C3" s="25" t="s">
        <v>5</v>
      </c>
      <c r="D3" s="36" t="s">
        <v>6</v>
      </c>
      <c r="E3" s="36" t="s">
        <v>7</v>
      </c>
      <c r="F3" s="37" t="s">
        <v>8</v>
      </c>
      <c r="G3" s="38" t="s">
        <v>9</v>
      </c>
      <c r="H3" s="39" t="s">
        <v>7</v>
      </c>
      <c r="I3" s="40" t="s">
        <v>8</v>
      </c>
    </row>
    <row r="4" spans="1:11" ht="15.6">
      <c r="A4" s="13" t="str" cm="1">
        <f t="array" ref="A4:A11">Sites[Site]</f>
        <v>MA: Fairhaven - 279 Mill Rd</v>
      </c>
      <c r="B4" s="10" t="str" cm="1">
        <f t="array" ref="B4:B11">Sites[State]</f>
        <v>MA</v>
      </c>
      <c r="C4" s="26">
        <f>SUM(Oct!C4, Nov!C4, Dec!C4)</f>
        <v>0</v>
      </c>
      <c r="D4" s="14">
        <f>SUM(Oct!D4, Nov!D4, Dec!D4)</f>
        <v>0</v>
      </c>
      <c r="E4" s="14">
        <f>IF(AND(ISNUMBER(C4),ISNUMBER(D4)), C4-D4, "")</f>
        <v>0</v>
      </c>
      <c r="F4" s="15" t="str">
        <f>IFERROR(E4/D4, "")</f>
        <v/>
      </c>
      <c r="G4" s="16">
        <f>SUM(Oct!G4,Nov!G4,Dec!G4)</f>
        <v>0</v>
      </c>
      <c r="H4" s="16">
        <f>SUM(Oct!H4, Nov!H4, Dec!H4)</f>
        <v>0</v>
      </c>
      <c r="I4" s="17" t="str">
        <f>IFERROR(H4/G4, "")</f>
        <v/>
      </c>
    </row>
    <row r="5" spans="1:11" ht="15.6">
      <c r="A5" s="31" t="str">
        <v>Bakersfield - 100 Basic School Rd</v>
      </c>
      <c r="B5" s="32" t="str">
        <v>CA</v>
      </c>
      <c r="C5" s="12">
        <f>SUM(Oct!C5, Nov!C5, Dec!C5)</f>
        <v>0</v>
      </c>
      <c r="D5" s="20">
        <f>SUM(Oct!D5, Nov!D5, Dec!D5)</f>
        <v>0</v>
      </c>
      <c r="E5" s="20">
        <f t="shared" ref="E5:E7" si="0">IF(AND(ISNUMBER(C5),ISNUMBER(D5)), C5-D5, "")</f>
        <v>0</v>
      </c>
      <c r="F5" s="21" t="str">
        <f t="shared" ref="F5:F7" si="1">IFERROR(E5/D5, "")</f>
        <v/>
      </c>
      <c r="G5" s="22">
        <f>SUM(Oct!G5,Nov!G5,Dec!G5)</f>
        <v>0</v>
      </c>
      <c r="H5" s="22">
        <f>SUM(Oct!H5, Nov!H5, Dec!H5)</f>
        <v>0</v>
      </c>
      <c r="I5" s="21" t="str">
        <f t="shared" ref="I5:I7" si="2">IFERROR(H5/G5, "")</f>
        <v/>
      </c>
      <c r="J5" s="11"/>
      <c r="K5" s="19"/>
    </row>
    <row r="6" spans="1:11" ht="15.6">
      <c r="A6" s="13" t="str">
        <v>Fresno - 2685 Cornelia Ave</v>
      </c>
      <c r="B6" s="10" t="str">
        <v>CA</v>
      </c>
      <c r="C6" s="26">
        <f>SUM(Oct!C6, Nov!C6, Dec!C6)</f>
        <v>0</v>
      </c>
      <c r="D6" s="14">
        <f>SUM(Oct!D6, Nov!D6, Dec!D6)</f>
        <v>0</v>
      </c>
      <c r="E6" s="14">
        <f t="shared" si="0"/>
        <v>0</v>
      </c>
      <c r="F6" s="15" t="str">
        <f t="shared" si="1"/>
        <v/>
      </c>
      <c r="G6" s="16">
        <f>SUM(Oct!G6,Nov!G6,Dec!G6)</f>
        <v>0</v>
      </c>
      <c r="H6" s="16">
        <f>SUM(Oct!H6, Nov!H6, Dec!H6)</f>
        <v>0</v>
      </c>
      <c r="I6" s="17" t="str">
        <f t="shared" si="2"/>
        <v/>
      </c>
    </row>
    <row r="7" spans="1:11" ht="12.75" customHeight="1">
      <c r="A7" s="31" t="str">
        <v>San Juaquin - S. Placer &amp; W. Adams</v>
      </c>
      <c r="B7" s="32" t="str">
        <v>CA</v>
      </c>
      <c r="C7" s="12">
        <f>SUM(Oct!C7, Nov!C7, Dec!C7)</f>
        <v>0</v>
      </c>
      <c r="D7" s="20">
        <f>SUM(Oct!D7, Nov!D7, Dec!D7)</f>
        <v>0</v>
      </c>
      <c r="E7" s="20">
        <f t="shared" si="0"/>
        <v>0</v>
      </c>
      <c r="F7" s="21" t="str">
        <f t="shared" si="1"/>
        <v/>
      </c>
      <c r="G7" s="22">
        <f>SUM(Oct!G7,Nov!G7,Dec!G7)</f>
        <v>0</v>
      </c>
      <c r="H7" s="22">
        <f>SUM(Oct!H7, Nov!H7, Dec!H7)</f>
        <v>0</v>
      </c>
      <c r="I7" s="21" t="str">
        <f t="shared" si="2"/>
        <v/>
      </c>
      <c r="J7" s="11"/>
      <c r="K7" s="19"/>
    </row>
    <row r="8" spans="1:11" ht="15.6">
      <c r="A8" s="13" t="str">
        <v xml:space="preserve">Charlemont - 0 Tea St </v>
      </c>
      <c r="B8" s="10" t="str">
        <v>MA</v>
      </c>
      <c r="C8" s="49">
        <f>SUM(Oct!C8, Nov!C8, Dec!C8)</f>
        <v>0</v>
      </c>
      <c r="D8" s="14">
        <f>SUM(Oct!D8, Nov!D8, Dec!D8)</f>
        <v>0</v>
      </c>
      <c r="E8" s="14">
        <f>IF(AND(ISNUMBER(C8),ISNUMBER(D8)), C8-D8, "")</f>
        <v>0</v>
      </c>
      <c r="F8" s="48" t="str">
        <f>IFERROR(E8/D8, "")</f>
        <v/>
      </c>
      <c r="G8" s="47">
        <f>SUM(Oct!G8,Nov!G8,Dec!G8)</f>
        <v>0</v>
      </c>
      <c r="H8" s="47">
        <f>SUM(Oct!H8, Nov!H8, Dec!H8)</f>
        <v>0</v>
      </c>
      <c r="I8" s="46" t="str">
        <f>IFERROR(H8/G8, "")</f>
        <v/>
      </c>
    </row>
    <row r="9" spans="1:11" ht="15.6">
      <c r="A9" s="31" t="str">
        <v xml:space="preserve">Amherst - 740 Belchertown Rd </v>
      </c>
      <c r="B9" s="32" t="str">
        <v>MA</v>
      </c>
      <c r="C9" s="42">
        <f>SUM(Oct!C9, Nov!C9, Dec!C9)</f>
        <v>0</v>
      </c>
      <c r="D9" s="20">
        <f>SUM(Oct!D9, Nov!D9, Dec!D9)</f>
        <v>0</v>
      </c>
      <c r="E9" s="20">
        <f>IF(AND(ISNUMBER(C9),ISNUMBER(D9)), C9-D9, "")</f>
        <v>0</v>
      </c>
      <c r="F9" s="43" t="str">
        <f>IFERROR(E9/D9, "")</f>
        <v/>
      </c>
      <c r="G9" s="44">
        <f>SUM(Oct!G9,Nov!G9,Dec!G9)</f>
        <v>0</v>
      </c>
      <c r="H9" s="44">
        <f>SUM(Oct!H9, Nov!H9, Dec!H9)</f>
        <v>0</v>
      </c>
      <c r="I9" s="43" t="str">
        <f>IFERROR(H9/G9, "")</f>
        <v/>
      </c>
      <c r="J9" s="11"/>
      <c r="K9" s="19"/>
    </row>
    <row r="10" spans="1:11" ht="15.6">
      <c r="A10" s="13" t="str">
        <v xml:space="preserve"> Ludlow - Huxley 1 &amp; 2 - 504 Fuller St </v>
      </c>
      <c r="B10" s="10" t="str">
        <v>MA</v>
      </c>
      <c r="C10" s="49">
        <f>SUM(Oct!C10, Nov!C10, Dec!C10)</f>
        <v>0</v>
      </c>
      <c r="D10" s="14">
        <f>SUM(Oct!D10, Nov!D10, Dec!D10)</f>
        <v>0</v>
      </c>
      <c r="E10" s="14">
        <f>IF(AND(ISNUMBER(C10),ISNUMBER(D10)), C10-D10, "")</f>
        <v>0</v>
      </c>
      <c r="F10" s="48" t="str">
        <f>IFERROR(E10/D10, "")</f>
        <v/>
      </c>
      <c r="G10" s="47">
        <f>SUM(Oct!G10,Nov!G10,Dec!G10)</f>
        <v>0</v>
      </c>
      <c r="H10" s="47">
        <f>SUM(Oct!H10, Nov!H10, Dec!H10)</f>
        <v>0</v>
      </c>
      <c r="I10" s="46" t="str">
        <f>IFERROR(H10/G10, "")</f>
        <v/>
      </c>
    </row>
    <row r="11" spans="1:11" ht="15.6">
      <c r="A11" s="31" t="str">
        <v>Easthampton - Beacon 1 &amp; 2 - 540 Florence Rd</v>
      </c>
      <c r="B11" s="32" t="str">
        <v>MA</v>
      </c>
      <c r="C11" s="42">
        <f>SUM(Oct!C11, Nov!C11, Dec!C11)</f>
        <v>0</v>
      </c>
      <c r="D11" s="20">
        <f>SUM(Oct!D11, Nov!D11, Dec!D11)</f>
        <v>0</v>
      </c>
      <c r="E11" s="20">
        <f>IF(AND(ISNUMBER(C11),ISNUMBER(D11)), C11-D11, "")</f>
        <v>0</v>
      </c>
      <c r="F11" s="43" t="str">
        <f>IFERROR(E11/D11, "")</f>
        <v/>
      </c>
      <c r="G11" s="44">
        <f>SUM(Oct!G11,Nov!G11,Dec!G11)</f>
        <v>0</v>
      </c>
      <c r="H11" s="44">
        <f>SUM(Oct!H11, Nov!H11, Dec!H11)</f>
        <v>0</v>
      </c>
      <c r="I11" s="43" t="str">
        <f>IFERROR(H11/G11, "")</f>
        <v/>
      </c>
      <c r="J11" s="11"/>
      <c r="K11" s="19"/>
    </row>
    <row r="12" spans="1:11" ht="13.9">
      <c r="A12" s="23"/>
      <c r="B12" s="23"/>
      <c r="C12" s="23"/>
      <c r="D12" s="23"/>
      <c r="E12" s="23"/>
      <c r="F12" s="23"/>
      <c r="G12" s="23"/>
      <c r="H12" s="23"/>
      <c r="I12" s="23"/>
    </row>
    <row r="13" spans="1:11" ht="13.9">
      <c r="A13" s="23"/>
      <c r="B13" s="23"/>
      <c r="C13" s="23"/>
      <c r="D13" s="23"/>
      <c r="E13" s="23"/>
      <c r="F13" s="23"/>
      <c r="G13" s="23"/>
      <c r="H13" s="23"/>
      <c r="I13" s="23"/>
    </row>
    <row r="14" spans="1:11" ht="13.9">
      <c r="A14" s="23"/>
      <c r="B14" s="23"/>
      <c r="C14" s="23"/>
      <c r="D14" s="23"/>
      <c r="E14" s="23"/>
      <c r="F14" s="23"/>
      <c r="G14" s="23"/>
      <c r="H14" s="23"/>
      <c r="I14" s="23"/>
    </row>
    <row r="15" spans="1:11" ht="13.9">
      <c r="A15" s="23"/>
      <c r="B15" s="23"/>
      <c r="C15" s="23"/>
      <c r="D15" s="23"/>
      <c r="E15" s="23"/>
      <c r="F15" s="23"/>
      <c r="G15" s="23"/>
      <c r="H15" s="23"/>
      <c r="I15" s="23"/>
    </row>
    <row r="16" spans="1:11" ht="13.9">
      <c r="A16" s="23"/>
      <c r="B16" s="23"/>
      <c r="C16" s="23"/>
      <c r="D16" s="23"/>
      <c r="E16" s="23"/>
      <c r="F16" s="23"/>
      <c r="G16" s="23"/>
      <c r="H16" s="23"/>
      <c r="I16" s="23"/>
    </row>
    <row r="17" spans="1:9" ht="13.9">
      <c r="A17" s="23"/>
      <c r="B17" s="23"/>
      <c r="C17" s="23"/>
      <c r="D17" s="23"/>
      <c r="E17" s="23"/>
      <c r="F17" s="23"/>
      <c r="G17" s="23"/>
      <c r="H17" s="23"/>
      <c r="I17" s="23"/>
    </row>
    <row r="18" spans="1:9" ht="13.9">
      <c r="A18" s="23"/>
      <c r="B18" s="23"/>
      <c r="C18" s="23"/>
      <c r="D18" s="23"/>
      <c r="E18" s="23"/>
      <c r="F18" s="23"/>
      <c r="G18" s="23"/>
      <c r="H18" s="23"/>
      <c r="I18" s="23"/>
    </row>
    <row r="19" spans="1:9" ht="13.9">
      <c r="A19" s="23"/>
      <c r="B19" s="23"/>
      <c r="C19" s="23"/>
      <c r="D19" s="23"/>
      <c r="E19" s="23"/>
      <c r="F19" s="23"/>
      <c r="G19" s="23"/>
      <c r="H19" s="23"/>
      <c r="I19" s="23"/>
    </row>
    <row r="20" spans="1:9" ht="13.9">
      <c r="A20" s="23"/>
      <c r="B20" s="23"/>
      <c r="C20" s="23"/>
      <c r="D20" s="23"/>
      <c r="E20" s="23"/>
      <c r="F20" s="23"/>
      <c r="G20" s="23"/>
      <c r="H20" s="23"/>
      <c r="I20" s="23"/>
    </row>
    <row r="21" spans="1:9" ht="13.9">
      <c r="A21" s="23"/>
      <c r="B21" s="23"/>
      <c r="C21" s="23"/>
      <c r="D21" s="23"/>
      <c r="E21" s="23"/>
      <c r="F21" s="23"/>
      <c r="G21" s="23"/>
      <c r="H21" s="23"/>
      <c r="I21" s="23"/>
    </row>
    <row r="22" spans="1:9" ht="13.9">
      <c r="A22" s="23"/>
      <c r="B22" s="23"/>
      <c r="C22" s="23"/>
      <c r="D22" s="23"/>
      <c r="E22" s="23"/>
      <c r="F22" s="24"/>
      <c r="G22" s="23"/>
      <c r="H22" s="23"/>
      <c r="I22" s="24"/>
    </row>
    <row r="23" spans="1:9" ht="13.9">
      <c r="A23" s="23"/>
      <c r="B23" s="23"/>
      <c r="C23" s="23"/>
      <c r="D23" s="23"/>
      <c r="E23" s="23"/>
      <c r="F23" s="24"/>
      <c r="G23" s="23"/>
      <c r="H23" s="23"/>
      <c r="I23" s="24"/>
    </row>
    <row r="24" spans="1:9" ht="13.9">
      <c r="A24" s="23"/>
      <c r="B24" s="23"/>
      <c r="C24" s="23"/>
      <c r="D24" s="23"/>
      <c r="E24" s="23"/>
      <c r="F24" s="24"/>
      <c r="G24" s="23"/>
      <c r="H24" s="23"/>
      <c r="I24" s="24"/>
    </row>
    <row r="25" spans="1:9" ht="13.9">
      <c r="A25" s="23"/>
      <c r="B25" s="23"/>
      <c r="C25" s="23"/>
      <c r="D25" s="23"/>
      <c r="E25" s="23"/>
      <c r="F25" s="24"/>
      <c r="G25" s="23"/>
      <c r="H25" s="23"/>
      <c r="I25" s="24"/>
    </row>
    <row r="26" spans="1:9" ht="13.9">
      <c r="A26" s="23"/>
      <c r="B26" s="23"/>
      <c r="C26" s="23"/>
      <c r="D26" s="23"/>
      <c r="E26" s="23"/>
      <c r="F26" s="24"/>
      <c r="G26" s="23"/>
      <c r="H26" s="23"/>
      <c r="I26" s="24"/>
    </row>
    <row r="27" spans="1:9" ht="13.9">
      <c r="A27" s="23"/>
      <c r="B27" s="23"/>
      <c r="C27" s="23"/>
      <c r="D27" s="23"/>
      <c r="E27" s="23"/>
      <c r="F27" s="24"/>
      <c r="G27" s="23"/>
      <c r="H27" s="23"/>
      <c r="I27" s="24"/>
    </row>
    <row r="28" spans="1:9" ht="13.9">
      <c r="A28" s="23"/>
      <c r="B28" s="23"/>
      <c r="C28" s="23"/>
      <c r="D28" s="23"/>
      <c r="E28" s="23"/>
      <c r="F28" s="24"/>
      <c r="G28" s="23"/>
      <c r="H28" s="23"/>
      <c r="I28" s="24"/>
    </row>
    <row r="29" spans="1:9" ht="13.9">
      <c r="A29" s="23"/>
      <c r="B29" s="23"/>
      <c r="C29" s="23"/>
      <c r="D29" s="23"/>
      <c r="E29" s="23"/>
      <c r="F29" s="24"/>
      <c r="G29" s="23"/>
      <c r="H29" s="23"/>
      <c r="I29" s="24"/>
    </row>
    <row r="30" spans="1:9" ht="13.9">
      <c r="A30" s="23"/>
      <c r="B30" s="23"/>
      <c r="C30" s="23"/>
      <c r="D30" s="23"/>
      <c r="E30" s="23"/>
      <c r="F30" s="24"/>
      <c r="G30" s="23"/>
      <c r="H30" s="23"/>
      <c r="I30" s="24"/>
    </row>
    <row r="31" spans="1:9" ht="13.9">
      <c r="A31" s="23"/>
      <c r="B31" s="23"/>
      <c r="C31" s="23"/>
      <c r="D31" s="23"/>
      <c r="E31" s="23"/>
      <c r="F31" s="24"/>
      <c r="G31" s="23"/>
      <c r="H31" s="23"/>
      <c r="I31" s="24"/>
    </row>
    <row r="32" spans="1:9" ht="13.9">
      <c r="A32" s="23"/>
      <c r="B32" s="23"/>
      <c r="C32" s="23"/>
      <c r="D32" s="23"/>
      <c r="E32" s="23"/>
      <c r="F32" s="24"/>
      <c r="G32" s="23"/>
      <c r="H32" s="23"/>
      <c r="I32" s="24"/>
    </row>
    <row r="33" spans="1:9" ht="13.9">
      <c r="A33" s="23"/>
      <c r="B33" s="23"/>
      <c r="C33" s="23"/>
      <c r="D33" s="23"/>
      <c r="E33" s="23"/>
      <c r="F33" s="24"/>
      <c r="G33" s="23"/>
      <c r="H33" s="23"/>
      <c r="I33" s="24"/>
    </row>
    <row r="34" spans="1:9" ht="13.9">
      <c r="A34" s="23"/>
      <c r="B34" s="23"/>
      <c r="C34" s="23"/>
      <c r="D34" s="23"/>
      <c r="E34" s="23"/>
      <c r="F34" s="24"/>
      <c r="G34" s="23"/>
      <c r="H34" s="23"/>
      <c r="I34" s="24"/>
    </row>
    <row r="35" spans="1:9" ht="13.9">
      <c r="A35" s="23"/>
      <c r="B35" s="23"/>
      <c r="C35" s="23"/>
      <c r="D35" s="23"/>
      <c r="E35" s="23"/>
      <c r="F35" s="24"/>
      <c r="G35" s="23"/>
      <c r="H35" s="23"/>
      <c r="I35" s="24"/>
    </row>
    <row r="36" spans="1:9" ht="13.9">
      <c r="A36" s="23"/>
      <c r="B36" s="23"/>
      <c r="C36" s="23"/>
      <c r="D36" s="23"/>
      <c r="E36" s="23"/>
      <c r="F36" s="24"/>
      <c r="G36" s="23"/>
      <c r="H36" s="23"/>
      <c r="I36" s="24"/>
    </row>
    <row r="37" spans="1:9" ht="13.9">
      <c r="A37" s="23"/>
      <c r="B37" s="23"/>
      <c r="C37" s="23"/>
      <c r="D37" s="23"/>
      <c r="E37" s="23"/>
      <c r="F37" s="24"/>
      <c r="G37" s="23"/>
      <c r="H37" s="23"/>
      <c r="I37" s="24"/>
    </row>
    <row r="38" spans="1:9" ht="13.9">
      <c r="A38" s="23"/>
      <c r="B38" s="23"/>
      <c r="C38" s="23"/>
      <c r="D38" s="23"/>
      <c r="E38" s="23"/>
      <c r="F38" s="24"/>
      <c r="G38" s="23"/>
      <c r="H38" s="23"/>
      <c r="I38" s="24"/>
    </row>
    <row r="39" spans="1:9" ht="13.9">
      <c r="A39" s="23"/>
      <c r="B39" s="23"/>
      <c r="C39" s="23"/>
      <c r="D39" s="23"/>
      <c r="E39" s="23"/>
      <c r="F39" s="24"/>
      <c r="G39" s="23"/>
      <c r="H39" s="23"/>
      <c r="I39" s="24"/>
    </row>
    <row r="40" spans="1:9" ht="13.9">
      <c r="A40" s="23"/>
      <c r="B40" s="23"/>
      <c r="C40" s="23"/>
      <c r="D40" s="23"/>
      <c r="E40" s="23"/>
      <c r="F40" s="24"/>
      <c r="G40" s="23"/>
      <c r="H40" s="23"/>
      <c r="I40" s="24"/>
    </row>
    <row r="41" spans="1:9" ht="13.9">
      <c r="A41" s="23"/>
      <c r="B41" s="23"/>
      <c r="C41" s="23"/>
      <c r="D41" s="23"/>
      <c r="E41" s="23"/>
      <c r="F41" s="24"/>
      <c r="G41" s="23"/>
      <c r="H41" s="23"/>
      <c r="I41" s="24"/>
    </row>
    <row r="42" spans="1:9" ht="13.9">
      <c r="A42" s="23"/>
      <c r="B42" s="23"/>
      <c r="C42" s="23"/>
      <c r="D42" s="23"/>
      <c r="E42" s="23"/>
      <c r="F42" s="24"/>
      <c r="G42" s="23"/>
      <c r="H42" s="23"/>
      <c r="I42" s="24"/>
    </row>
    <row r="43" spans="1:9" ht="13.9">
      <c r="A43" s="23"/>
      <c r="B43" s="23"/>
      <c r="C43" s="23"/>
      <c r="D43" s="23"/>
      <c r="E43" s="23"/>
      <c r="F43" s="24"/>
      <c r="G43" s="23"/>
      <c r="H43" s="23"/>
      <c r="I43" s="24"/>
    </row>
    <row r="44" spans="1:9" ht="13.9">
      <c r="A44" s="23"/>
      <c r="B44" s="23"/>
      <c r="C44" s="23"/>
      <c r="D44" s="23"/>
      <c r="E44" s="23"/>
      <c r="F44" s="24"/>
      <c r="G44" s="23"/>
      <c r="H44" s="23"/>
      <c r="I44" s="24"/>
    </row>
    <row r="45" spans="1:9" ht="13.9">
      <c r="A45" s="23"/>
      <c r="B45" s="23"/>
      <c r="C45" s="23"/>
      <c r="D45" s="23"/>
      <c r="E45" s="23"/>
      <c r="F45" s="24"/>
      <c r="G45" s="23"/>
      <c r="H45" s="23"/>
      <c r="I45" s="24"/>
    </row>
    <row r="46" spans="1:9" ht="13.9">
      <c r="A46" s="23"/>
      <c r="B46" s="23"/>
      <c r="C46" s="23"/>
      <c r="D46" s="23"/>
      <c r="E46" s="23"/>
      <c r="F46" s="24"/>
      <c r="G46" s="23"/>
      <c r="H46" s="23"/>
      <c r="I46" s="24"/>
    </row>
    <row r="47" spans="1:9" ht="13.9">
      <c r="A47" s="23"/>
      <c r="B47" s="23"/>
      <c r="C47" s="23"/>
      <c r="D47" s="23"/>
      <c r="E47" s="23"/>
      <c r="F47" s="24"/>
      <c r="G47" s="23"/>
      <c r="H47" s="23"/>
      <c r="I47" s="24"/>
    </row>
    <row r="48" spans="1:9" ht="13.9">
      <c r="A48" s="23"/>
      <c r="B48" s="23"/>
      <c r="C48" s="23"/>
      <c r="D48" s="23"/>
      <c r="E48" s="23"/>
      <c r="F48" s="24"/>
      <c r="G48" s="23"/>
      <c r="H48" s="23"/>
      <c r="I48" s="24"/>
    </row>
    <row r="49" spans="1:9" ht="13.9">
      <c r="A49" s="23"/>
      <c r="B49" s="23"/>
      <c r="C49" s="23"/>
      <c r="D49" s="23"/>
      <c r="E49" s="23"/>
      <c r="F49" s="24"/>
      <c r="G49" s="23"/>
      <c r="H49" s="23"/>
      <c r="I49" s="24"/>
    </row>
    <row r="50" spans="1:9" ht="13.9">
      <c r="A50" s="23"/>
      <c r="B50" s="23"/>
      <c r="C50" s="23"/>
      <c r="D50" s="23"/>
      <c r="E50" s="23"/>
      <c r="F50" s="24"/>
      <c r="G50" s="23"/>
      <c r="H50" s="23"/>
      <c r="I50" s="24"/>
    </row>
    <row r="51" spans="1:9" ht="13.9">
      <c r="A51" s="23"/>
      <c r="B51" s="23"/>
      <c r="C51" s="23"/>
      <c r="D51" s="23"/>
      <c r="E51" s="23"/>
      <c r="F51" s="24"/>
      <c r="G51" s="23"/>
      <c r="H51" s="23"/>
      <c r="I51" s="24"/>
    </row>
    <row r="52" spans="1:9" ht="13.9">
      <c r="A52" s="23"/>
      <c r="B52" s="23"/>
      <c r="C52" s="23"/>
      <c r="D52" s="23"/>
      <c r="E52" s="23"/>
      <c r="F52" s="24"/>
      <c r="G52" s="23"/>
      <c r="H52" s="23"/>
      <c r="I52" s="24"/>
    </row>
    <row r="53" spans="1:9" ht="13.9">
      <c r="A53" s="23"/>
      <c r="B53" s="23"/>
      <c r="C53" s="23"/>
      <c r="D53" s="23"/>
      <c r="E53" s="23"/>
      <c r="F53" s="24"/>
      <c r="G53" s="23"/>
      <c r="H53" s="23"/>
      <c r="I53" s="24"/>
    </row>
    <row r="54" spans="1:9" ht="13.9">
      <c r="A54" s="23"/>
      <c r="B54" s="23"/>
      <c r="C54" s="23"/>
      <c r="D54" s="23"/>
      <c r="E54" s="23"/>
      <c r="F54" s="24"/>
      <c r="G54" s="23"/>
      <c r="H54" s="23"/>
      <c r="I54" s="24"/>
    </row>
    <row r="55" spans="1:9" ht="13.9">
      <c r="A55" s="23"/>
      <c r="B55" s="23"/>
      <c r="C55" s="23"/>
      <c r="D55" s="23"/>
      <c r="E55" s="23"/>
      <c r="F55" s="24"/>
      <c r="G55" s="23"/>
      <c r="H55" s="23"/>
      <c r="I55" s="24"/>
    </row>
    <row r="56" spans="1:9" ht="13.9">
      <c r="A56" s="23"/>
      <c r="B56" s="23"/>
      <c r="C56" s="23"/>
      <c r="D56" s="23"/>
      <c r="E56" s="23"/>
      <c r="F56" s="24"/>
      <c r="G56" s="23"/>
      <c r="H56" s="23"/>
      <c r="I56" s="24"/>
    </row>
    <row r="57" spans="1:9" ht="13.9">
      <c r="A57" s="23"/>
      <c r="B57" s="23"/>
      <c r="C57" s="23"/>
      <c r="D57" s="23"/>
      <c r="E57" s="23"/>
      <c r="F57" s="24"/>
      <c r="G57" s="23"/>
      <c r="H57" s="23"/>
      <c r="I57" s="24"/>
    </row>
    <row r="58" spans="1:9" ht="13.9">
      <c r="A58" s="23"/>
      <c r="B58" s="23"/>
      <c r="C58" s="23"/>
      <c r="D58" s="23"/>
      <c r="E58" s="23"/>
      <c r="F58" s="24"/>
      <c r="G58" s="23"/>
      <c r="H58" s="23"/>
      <c r="I58" s="24"/>
    </row>
    <row r="59" spans="1:9" ht="13.9">
      <c r="A59" s="23"/>
      <c r="B59" s="23"/>
      <c r="C59" s="23"/>
      <c r="D59" s="23"/>
      <c r="E59" s="23"/>
      <c r="F59" s="24"/>
      <c r="G59" s="23"/>
      <c r="H59" s="23"/>
      <c r="I59" s="24"/>
    </row>
    <row r="60" spans="1:9" ht="13.9">
      <c r="A60" s="23"/>
      <c r="B60" s="23"/>
      <c r="C60" s="23"/>
      <c r="D60" s="23"/>
      <c r="E60" s="23"/>
      <c r="F60" s="24"/>
      <c r="G60" s="23"/>
      <c r="H60" s="23"/>
      <c r="I60" s="24"/>
    </row>
    <row r="61" spans="1:9" ht="13.9">
      <c r="A61" s="23"/>
      <c r="B61" s="23"/>
      <c r="C61" s="23"/>
      <c r="D61" s="23"/>
      <c r="E61" s="23"/>
      <c r="F61" s="24"/>
      <c r="G61" s="23"/>
      <c r="H61" s="23"/>
      <c r="I61" s="24"/>
    </row>
    <row r="62" spans="1:9" ht="13.9">
      <c r="A62" s="23"/>
      <c r="B62" s="23"/>
      <c r="C62" s="23"/>
      <c r="D62" s="23"/>
      <c r="E62" s="23"/>
      <c r="F62" s="24"/>
      <c r="G62" s="23"/>
      <c r="H62" s="23"/>
      <c r="I62" s="24"/>
    </row>
    <row r="63" spans="1:9" ht="13.9">
      <c r="A63" s="23"/>
      <c r="B63" s="23"/>
      <c r="C63" s="23"/>
      <c r="D63" s="23"/>
      <c r="E63" s="23"/>
      <c r="F63" s="24"/>
      <c r="G63" s="23"/>
      <c r="H63" s="23"/>
      <c r="I63" s="24"/>
    </row>
    <row r="64" spans="1:9" ht="13.9">
      <c r="A64" s="23"/>
      <c r="B64" s="23"/>
      <c r="C64" s="23"/>
      <c r="D64" s="23"/>
      <c r="E64" s="23"/>
      <c r="F64" s="24"/>
      <c r="G64" s="23"/>
      <c r="H64" s="23"/>
      <c r="I64" s="24"/>
    </row>
    <row r="65" spans="1:9" ht="13.9">
      <c r="A65" s="23"/>
      <c r="B65" s="23"/>
      <c r="C65" s="23"/>
      <c r="D65" s="23"/>
      <c r="E65" s="23"/>
      <c r="F65" s="24"/>
      <c r="G65" s="23"/>
      <c r="H65" s="23"/>
      <c r="I65" s="24"/>
    </row>
    <row r="66" spans="1:9" ht="13.9">
      <c r="A66" s="23"/>
      <c r="B66" s="23"/>
      <c r="C66" s="23"/>
      <c r="D66" s="23"/>
      <c r="E66" s="23"/>
      <c r="F66" s="24"/>
      <c r="G66" s="23"/>
      <c r="H66" s="23"/>
      <c r="I66" s="24"/>
    </row>
    <row r="67" spans="1:9" ht="13.9">
      <c r="A67" s="23"/>
      <c r="B67" s="23"/>
      <c r="C67" s="23"/>
      <c r="D67" s="23"/>
      <c r="E67" s="23"/>
      <c r="F67" s="24"/>
      <c r="G67" s="23"/>
      <c r="H67" s="23"/>
      <c r="I67" s="24"/>
    </row>
    <row r="68" spans="1:9" ht="13.9">
      <c r="A68" s="23"/>
      <c r="B68" s="23"/>
      <c r="C68" s="23"/>
      <c r="D68" s="23"/>
      <c r="E68" s="23"/>
      <c r="F68" s="24"/>
      <c r="G68" s="23"/>
      <c r="H68" s="23"/>
      <c r="I68" s="24"/>
    </row>
    <row r="69" spans="1:9" ht="13.9">
      <c r="A69" s="23"/>
      <c r="B69" s="23"/>
      <c r="C69" s="23"/>
      <c r="D69" s="23"/>
      <c r="E69" s="23"/>
      <c r="F69" s="24"/>
      <c r="G69" s="23"/>
      <c r="H69" s="23"/>
      <c r="I69" s="24"/>
    </row>
    <row r="70" spans="1:9" ht="13.9">
      <c r="A70" s="23"/>
      <c r="B70" s="23"/>
      <c r="C70" s="23"/>
      <c r="D70" s="23"/>
      <c r="E70" s="23"/>
      <c r="F70" s="24"/>
      <c r="G70" s="23"/>
      <c r="H70" s="23"/>
      <c r="I70" s="24"/>
    </row>
    <row r="71" spans="1:9" ht="13.9">
      <c r="A71" s="23"/>
      <c r="B71" s="23"/>
      <c r="C71" s="23"/>
      <c r="D71" s="23"/>
      <c r="E71" s="23"/>
      <c r="F71" s="24"/>
      <c r="G71" s="23"/>
      <c r="H71" s="23"/>
      <c r="I71" s="24"/>
    </row>
    <row r="72" spans="1:9" ht="13.9">
      <c r="A72" s="23"/>
      <c r="B72" s="23"/>
      <c r="C72" s="23"/>
      <c r="D72" s="23"/>
      <c r="E72" s="23"/>
      <c r="F72" s="24"/>
      <c r="G72" s="23"/>
      <c r="H72" s="23"/>
      <c r="I72" s="24"/>
    </row>
    <row r="73" spans="1:9" ht="13.9">
      <c r="A73" s="23"/>
      <c r="B73" s="23"/>
      <c r="C73" s="23"/>
      <c r="D73" s="23"/>
      <c r="E73" s="23"/>
      <c r="F73" s="24"/>
      <c r="G73" s="23"/>
      <c r="H73" s="23"/>
      <c r="I73" s="24"/>
    </row>
    <row r="74" spans="1:9" ht="13.9">
      <c r="A74" s="23"/>
      <c r="B74" s="23"/>
      <c r="C74" s="23"/>
      <c r="D74" s="23"/>
      <c r="E74" s="23"/>
      <c r="F74" s="24"/>
      <c r="G74" s="23"/>
      <c r="H74" s="23"/>
      <c r="I74" s="24"/>
    </row>
    <row r="75" spans="1:9" ht="13.9">
      <c r="A75" s="23"/>
      <c r="B75" s="23"/>
      <c r="C75" s="23"/>
      <c r="D75" s="23"/>
      <c r="E75" s="23"/>
      <c r="F75" s="24"/>
      <c r="G75" s="23"/>
      <c r="H75" s="23"/>
      <c r="I75" s="24"/>
    </row>
    <row r="76" spans="1:9" ht="13.9">
      <c r="A76" s="23"/>
      <c r="B76" s="23"/>
      <c r="C76" s="23"/>
      <c r="D76" s="23"/>
      <c r="E76" s="23"/>
      <c r="F76" s="24"/>
      <c r="G76" s="23"/>
      <c r="H76" s="23"/>
      <c r="I76" s="24"/>
    </row>
    <row r="77" spans="1:9" ht="13.9">
      <c r="A77" s="23"/>
      <c r="B77" s="23"/>
      <c r="C77" s="23"/>
      <c r="D77" s="23"/>
      <c r="E77" s="23"/>
      <c r="F77" s="24"/>
      <c r="G77" s="23"/>
      <c r="H77" s="23"/>
      <c r="I77" s="24"/>
    </row>
    <row r="78" spans="1:9" ht="13.9">
      <c r="A78" s="23"/>
      <c r="B78" s="23"/>
      <c r="C78" s="23"/>
      <c r="D78" s="23"/>
      <c r="E78" s="23"/>
      <c r="F78" s="24"/>
      <c r="G78" s="23"/>
      <c r="H78" s="23"/>
      <c r="I78" s="24"/>
    </row>
    <row r="79" spans="1:9" ht="13.9">
      <c r="A79" s="23"/>
      <c r="B79" s="23"/>
      <c r="C79" s="23"/>
      <c r="D79" s="23"/>
      <c r="E79" s="23"/>
      <c r="F79" s="24"/>
      <c r="G79" s="23"/>
      <c r="H79" s="23"/>
      <c r="I79" s="24"/>
    </row>
    <row r="80" spans="1:9" ht="13.9">
      <c r="A80" s="23"/>
      <c r="B80" s="23"/>
      <c r="C80" s="23"/>
      <c r="D80" s="23"/>
      <c r="E80" s="23"/>
      <c r="F80" s="24"/>
      <c r="G80" s="23"/>
      <c r="H80" s="23"/>
      <c r="I80" s="24"/>
    </row>
    <row r="81" spans="1:9" ht="13.9">
      <c r="A81" s="23"/>
      <c r="B81" s="23"/>
      <c r="C81" s="23"/>
      <c r="D81" s="23"/>
      <c r="E81" s="23"/>
      <c r="F81" s="24"/>
      <c r="G81" s="23"/>
      <c r="H81" s="23"/>
      <c r="I81" s="24"/>
    </row>
    <row r="82" spans="1:9" ht="13.9">
      <c r="A82" s="23"/>
      <c r="B82" s="23"/>
      <c r="C82" s="23"/>
      <c r="D82" s="23"/>
      <c r="E82" s="23"/>
      <c r="F82" s="24"/>
      <c r="G82" s="23"/>
      <c r="H82" s="23"/>
      <c r="I82" s="24"/>
    </row>
    <row r="83" spans="1:9" ht="13.9">
      <c r="A83" s="23"/>
      <c r="B83" s="23"/>
      <c r="C83" s="23"/>
      <c r="D83" s="23"/>
      <c r="E83" s="23"/>
      <c r="F83" s="24"/>
      <c r="G83" s="23"/>
      <c r="H83" s="23"/>
      <c r="I83" s="24"/>
    </row>
    <row r="84" spans="1:9" ht="13.9">
      <c r="A84" s="23"/>
      <c r="B84" s="23"/>
      <c r="C84" s="23"/>
      <c r="D84" s="23"/>
      <c r="E84" s="23"/>
      <c r="F84" s="24"/>
      <c r="G84" s="23"/>
      <c r="H84" s="23"/>
      <c r="I84" s="24"/>
    </row>
    <row r="85" spans="1:9" ht="13.9">
      <c r="A85" s="23"/>
      <c r="B85" s="23"/>
      <c r="C85" s="23"/>
      <c r="D85" s="23"/>
      <c r="E85" s="23"/>
      <c r="F85" s="24"/>
      <c r="G85" s="23"/>
      <c r="H85" s="23"/>
      <c r="I85" s="24"/>
    </row>
    <row r="86" spans="1:9" ht="13.9">
      <c r="A86" s="23"/>
      <c r="B86" s="23"/>
      <c r="C86" s="23"/>
      <c r="D86" s="23"/>
      <c r="E86" s="23"/>
      <c r="F86" s="24"/>
      <c r="G86" s="23"/>
      <c r="H86" s="23"/>
      <c r="I86" s="24"/>
    </row>
    <row r="87" spans="1:9" ht="13.9">
      <c r="A87" s="23"/>
      <c r="B87" s="23"/>
      <c r="C87" s="23"/>
      <c r="D87" s="23"/>
      <c r="E87" s="23"/>
      <c r="F87" s="24"/>
      <c r="G87" s="23"/>
      <c r="H87" s="23"/>
      <c r="I87" s="24"/>
    </row>
    <row r="88" spans="1:9" ht="13.9">
      <c r="A88" s="23"/>
      <c r="B88" s="23"/>
      <c r="C88" s="23"/>
      <c r="D88" s="23"/>
      <c r="E88" s="23"/>
      <c r="F88" s="24"/>
      <c r="G88" s="23"/>
      <c r="H88" s="23"/>
      <c r="I88" s="24"/>
    </row>
    <row r="89" spans="1:9" ht="13.9">
      <c r="A89" s="23"/>
      <c r="B89" s="23"/>
      <c r="C89" s="23"/>
      <c r="D89" s="23"/>
      <c r="E89" s="23"/>
      <c r="F89" s="24"/>
      <c r="G89" s="23"/>
      <c r="H89" s="23"/>
      <c r="I89" s="24"/>
    </row>
    <row r="90" spans="1:9" ht="13.9">
      <c r="A90" s="23"/>
      <c r="B90" s="23"/>
      <c r="C90" s="23"/>
      <c r="D90" s="23"/>
      <c r="E90" s="23"/>
      <c r="F90" s="24"/>
      <c r="G90" s="23"/>
      <c r="H90" s="23"/>
      <c r="I90" s="24"/>
    </row>
    <row r="91" spans="1:9" ht="13.9">
      <c r="A91" s="23"/>
      <c r="B91" s="23"/>
      <c r="C91" s="23"/>
      <c r="D91" s="23"/>
      <c r="E91" s="23"/>
      <c r="F91" s="24"/>
      <c r="G91" s="23"/>
      <c r="H91" s="23"/>
      <c r="I91" s="24"/>
    </row>
    <row r="92" spans="1:9" ht="13.9">
      <c r="A92" s="23"/>
      <c r="B92" s="23"/>
      <c r="C92" s="23"/>
      <c r="D92" s="23"/>
      <c r="E92" s="23"/>
      <c r="F92" s="24"/>
      <c r="G92" s="23"/>
      <c r="H92" s="23"/>
      <c r="I92" s="24"/>
    </row>
    <row r="93" spans="1:9" ht="13.9">
      <c r="A93" s="23"/>
      <c r="B93" s="23"/>
      <c r="C93" s="23"/>
      <c r="D93" s="23"/>
      <c r="E93" s="23"/>
      <c r="F93" s="24"/>
      <c r="G93" s="23"/>
      <c r="H93" s="23"/>
      <c r="I93" s="24"/>
    </row>
    <row r="94" spans="1:9" ht="13.9">
      <c r="A94" s="23"/>
      <c r="B94" s="23"/>
      <c r="C94" s="23"/>
      <c r="D94" s="23"/>
      <c r="E94" s="23"/>
      <c r="F94" s="24"/>
      <c r="G94" s="23"/>
      <c r="H94" s="23"/>
      <c r="I94" s="24"/>
    </row>
    <row r="95" spans="1:9" ht="13.9">
      <c r="A95" s="23"/>
      <c r="B95" s="23"/>
      <c r="C95" s="23"/>
      <c r="D95" s="23"/>
      <c r="E95" s="23"/>
      <c r="F95" s="24"/>
      <c r="G95" s="23"/>
      <c r="H95" s="23"/>
      <c r="I95" s="24"/>
    </row>
    <row r="96" spans="1:9" ht="13.9">
      <c r="A96" s="23"/>
      <c r="B96" s="23"/>
      <c r="C96" s="23"/>
      <c r="D96" s="23"/>
      <c r="E96" s="23"/>
      <c r="F96" s="24"/>
      <c r="G96" s="23"/>
      <c r="H96" s="23"/>
      <c r="I96" s="24"/>
    </row>
    <row r="97" spans="1:9" ht="13.9">
      <c r="A97" s="23"/>
      <c r="B97" s="23"/>
      <c r="C97" s="23"/>
      <c r="D97" s="23"/>
      <c r="E97" s="23"/>
      <c r="F97" s="24"/>
      <c r="G97" s="23"/>
      <c r="H97" s="23"/>
      <c r="I97" s="24"/>
    </row>
    <row r="98" spans="1:9" ht="13.9">
      <c r="A98" s="23"/>
      <c r="B98" s="23"/>
      <c r="C98" s="23"/>
      <c r="D98" s="23"/>
      <c r="E98" s="23"/>
      <c r="F98" s="24"/>
      <c r="G98" s="23"/>
      <c r="H98" s="23"/>
      <c r="I98" s="24"/>
    </row>
    <row r="99" spans="1:9" ht="13.9">
      <c r="A99" s="23"/>
      <c r="B99" s="23"/>
      <c r="C99" s="23"/>
      <c r="D99" s="23"/>
      <c r="E99" s="23"/>
      <c r="F99" s="24"/>
      <c r="G99" s="23"/>
      <c r="H99" s="23"/>
      <c r="I99" s="24"/>
    </row>
    <row r="100" spans="1:9" ht="13.9">
      <c r="A100" s="23"/>
      <c r="B100" s="23"/>
      <c r="C100" s="23"/>
      <c r="D100" s="23"/>
      <c r="E100" s="23"/>
      <c r="F100" s="24"/>
      <c r="G100" s="23"/>
      <c r="H100" s="23"/>
      <c r="I100" s="24"/>
    </row>
    <row r="101" spans="1:9" ht="13.9">
      <c r="A101" s="23"/>
      <c r="B101" s="23"/>
      <c r="C101" s="23"/>
      <c r="D101" s="23"/>
      <c r="E101" s="23"/>
      <c r="F101" s="24"/>
      <c r="G101" s="23"/>
      <c r="H101" s="23"/>
      <c r="I101" s="24"/>
    </row>
    <row r="102" spans="1:9" ht="13.9">
      <c r="A102" s="23"/>
      <c r="B102" s="23"/>
      <c r="C102" s="23"/>
      <c r="D102" s="23"/>
      <c r="E102" s="23"/>
      <c r="F102" s="24"/>
      <c r="G102" s="23"/>
      <c r="H102" s="23"/>
      <c r="I102" s="24"/>
    </row>
    <row r="103" spans="1:9" ht="13.9">
      <c r="A103" s="23"/>
      <c r="B103" s="23"/>
      <c r="C103" s="23"/>
      <c r="D103" s="23"/>
      <c r="E103" s="23"/>
      <c r="F103" s="24"/>
      <c r="G103" s="23"/>
      <c r="H103" s="23"/>
      <c r="I103" s="24"/>
    </row>
    <row r="104" spans="1:9" ht="13.9">
      <c r="A104" s="23"/>
      <c r="B104" s="23"/>
      <c r="C104" s="23"/>
      <c r="D104" s="23"/>
      <c r="E104" s="23"/>
      <c r="F104" s="24"/>
      <c r="G104" s="23"/>
      <c r="H104" s="23"/>
      <c r="I104" s="24"/>
    </row>
    <row r="105" spans="1:9" ht="13.9">
      <c r="A105" s="23"/>
      <c r="B105" s="23"/>
      <c r="C105" s="23"/>
      <c r="D105" s="23"/>
      <c r="E105" s="23"/>
      <c r="F105" s="24"/>
      <c r="G105" s="23"/>
      <c r="H105" s="23"/>
      <c r="I105" s="24"/>
    </row>
    <row r="106" spans="1:9" ht="13.9">
      <c r="A106" s="23"/>
      <c r="B106" s="23"/>
      <c r="C106" s="23"/>
      <c r="D106" s="23"/>
      <c r="E106" s="23"/>
      <c r="F106" s="24"/>
      <c r="G106" s="23"/>
      <c r="H106" s="23"/>
      <c r="I106" s="24"/>
    </row>
    <row r="107" spans="1:9" ht="13.9">
      <c r="A107" s="23"/>
      <c r="B107" s="23"/>
      <c r="C107" s="23"/>
      <c r="D107" s="23"/>
      <c r="E107" s="23"/>
      <c r="F107" s="24"/>
      <c r="G107" s="23"/>
      <c r="H107" s="23"/>
      <c r="I107" s="24"/>
    </row>
    <row r="108" spans="1:9" ht="13.9">
      <c r="A108" s="23"/>
      <c r="B108" s="23"/>
      <c r="C108" s="23"/>
      <c r="D108" s="23"/>
      <c r="E108" s="23"/>
      <c r="F108" s="24"/>
      <c r="G108" s="23"/>
      <c r="H108" s="23"/>
      <c r="I108" s="24"/>
    </row>
    <row r="109" spans="1:9" ht="13.9">
      <c r="A109" s="23"/>
      <c r="B109" s="23"/>
      <c r="C109" s="23"/>
      <c r="D109" s="23"/>
      <c r="E109" s="23"/>
      <c r="F109" s="24"/>
      <c r="G109" s="23"/>
      <c r="H109" s="23"/>
      <c r="I109" s="24"/>
    </row>
    <row r="110" spans="1:9" ht="13.9">
      <c r="A110" s="23"/>
      <c r="B110" s="23"/>
      <c r="C110" s="23"/>
      <c r="D110" s="23"/>
      <c r="E110" s="23"/>
      <c r="F110" s="24"/>
      <c r="G110" s="23"/>
      <c r="H110" s="23"/>
      <c r="I110" s="24"/>
    </row>
    <row r="111" spans="1:9" ht="13.9">
      <c r="A111" s="23"/>
      <c r="B111" s="23"/>
      <c r="C111" s="23"/>
      <c r="D111" s="23"/>
      <c r="E111" s="23"/>
      <c r="F111" s="24"/>
      <c r="G111" s="23"/>
      <c r="H111" s="23"/>
      <c r="I111" s="24"/>
    </row>
    <row r="112" spans="1:9" ht="13.9">
      <c r="A112" s="23"/>
      <c r="B112" s="23"/>
      <c r="C112" s="23"/>
      <c r="D112" s="23"/>
      <c r="E112" s="23"/>
      <c r="F112" s="24"/>
      <c r="G112" s="23"/>
      <c r="H112" s="23"/>
      <c r="I112" s="24"/>
    </row>
    <row r="113" spans="1:9" ht="13.9">
      <c r="A113" s="23"/>
      <c r="B113" s="23"/>
      <c r="C113" s="23"/>
      <c r="D113" s="23"/>
      <c r="E113" s="23"/>
      <c r="F113" s="24"/>
      <c r="G113" s="23"/>
      <c r="H113" s="23"/>
      <c r="I113" s="24"/>
    </row>
    <row r="114" spans="1:9" ht="13.9">
      <c r="A114" s="23"/>
      <c r="B114" s="23"/>
      <c r="C114" s="23"/>
      <c r="D114" s="23"/>
      <c r="E114" s="23"/>
      <c r="F114" s="24"/>
      <c r="G114" s="23"/>
      <c r="H114" s="23"/>
      <c r="I114" s="24"/>
    </row>
    <row r="115" spans="1:9" ht="13.9">
      <c r="A115" s="23"/>
      <c r="B115" s="23"/>
      <c r="C115" s="23"/>
      <c r="D115" s="23"/>
      <c r="E115" s="23"/>
      <c r="F115" s="24"/>
      <c r="G115" s="23"/>
      <c r="H115" s="23"/>
      <c r="I115" s="24"/>
    </row>
    <row r="116" spans="1:9" ht="13.9">
      <c r="A116" s="23"/>
      <c r="B116" s="23"/>
      <c r="C116" s="23"/>
      <c r="D116" s="23"/>
      <c r="E116" s="23"/>
      <c r="F116" s="24"/>
      <c r="G116" s="23"/>
      <c r="H116" s="23"/>
      <c r="I116" s="24"/>
    </row>
    <row r="117" spans="1:9" ht="13.9">
      <c r="A117" s="23"/>
      <c r="B117" s="23"/>
      <c r="C117" s="23"/>
      <c r="D117" s="23"/>
      <c r="E117" s="23"/>
      <c r="F117" s="24"/>
      <c r="G117" s="23"/>
      <c r="H117" s="23"/>
      <c r="I117" s="24"/>
    </row>
    <row r="118" spans="1:9" ht="13.9">
      <c r="A118" s="23"/>
      <c r="B118" s="23"/>
      <c r="C118" s="23"/>
      <c r="D118" s="23"/>
      <c r="E118" s="23"/>
      <c r="F118" s="24"/>
      <c r="G118" s="23"/>
      <c r="H118" s="23"/>
      <c r="I118" s="24"/>
    </row>
    <row r="119" spans="1:9" ht="13.9">
      <c r="A119" s="23"/>
      <c r="B119" s="23"/>
      <c r="C119" s="23"/>
      <c r="D119" s="23"/>
      <c r="E119" s="23"/>
      <c r="F119" s="24"/>
      <c r="G119" s="23"/>
      <c r="H119" s="23"/>
      <c r="I119" s="24"/>
    </row>
    <row r="120" spans="1:9" ht="13.9">
      <c r="A120" s="23"/>
      <c r="B120" s="23"/>
      <c r="C120" s="23"/>
      <c r="D120" s="23"/>
      <c r="E120" s="23"/>
      <c r="F120" s="24"/>
      <c r="G120" s="23"/>
      <c r="H120" s="23"/>
      <c r="I120" s="24"/>
    </row>
    <row r="121" spans="1:9" ht="13.9">
      <c r="A121" s="23"/>
      <c r="B121" s="23"/>
      <c r="C121" s="23"/>
      <c r="D121" s="23"/>
      <c r="E121" s="23"/>
      <c r="F121" s="24"/>
      <c r="G121" s="23"/>
      <c r="H121" s="23"/>
      <c r="I121" s="24"/>
    </row>
    <row r="122" spans="1:9" ht="13.9">
      <c r="A122" s="23"/>
      <c r="B122" s="23"/>
      <c r="C122" s="23"/>
      <c r="D122" s="23"/>
      <c r="E122" s="23"/>
      <c r="F122" s="24"/>
      <c r="G122" s="23"/>
      <c r="H122" s="23"/>
      <c r="I122" s="24"/>
    </row>
    <row r="123" spans="1:9" ht="13.9">
      <c r="A123" s="23"/>
      <c r="B123" s="23"/>
      <c r="C123" s="23"/>
      <c r="D123" s="23"/>
      <c r="E123" s="23"/>
      <c r="F123" s="24"/>
      <c r="G123" s="23"/>
      <c r="H123" s="23"/>
      <c r="I123" s="24"/>
    </row>
    <row r="124" spans="1:9" ht="13.9">
      <c r="A124" s="23"/>
      <c r="B124" s="23"/>
      <c r="C124" s="23"/>
      <c r="D124" s="23"/>
      <c r="E124" s="23"/>
      <c r="F124" s="24"/>
      <c r="G124" s="23"/>
      <c r="H124" s="23"/>
      <c r="I124" s="24"/>
    </row>
    <row r="125" spans="1:9" ht="13.9">
      <c r="A125" s="23"/>
      <c r="B125" s="23"/>
      <c r="C125" s="23"/>
      <c r="D125" s="23"/>
      <c r="E125" s="23"/>
      <c r="F125" s="24"/>
      <c r="G125" s="23"/>
      <c r="H125" s="23"/>
      <c r="I125" s="24"/>
    </row>
    <row r="126" spans="1:9" ht="13.9">
      <c r="A126" s="23"/>
      <c r="B126" s="23"/>
      <c r="C126" s="23"/>
      <c r="D126" s="23"/>
      <c r="E126" s="23"/>
      <c r="F126" s="24"/>
      <c r="G126" s="23"/>
      <c r="H126" s="23"/>
      <c r="I126" s="24"/>
    </row>
    <row r="127" spans="1:9" ht="13.9">
      <c r="A127" s="23"/>
      <c r="B127" s="23"/>
      <c r="C127" s="23"/>
      <c r="D127" s="23"/>
      <c r="E127" s="23"/>
      <c r="F127" s="24"/>
      <c r="G127" s="23"/>
      <c r="H127" s="23"/>
      <c r="I127" s="24"/>
    </row>
    <row r="128" spans="1:9" ht="13.9">
      <c r="A128" s="23"/>
      <c r="B128" s="23"/>
      <c r="C128" s="23"/>
      <c r="D128" s="23"/>
      <c r="E128" s="23"/>
      <c r="F128" s="24"/>
      <c r="G128" s="23"/>
      <c r="H128" s="23"/>
      <c r="I128" s="24"/>
    </row>
    <row r="129" spans="1:9" ht="13.9">
      <c r="A129" s="23"/>
      <c r="B129" s="23"/>
      <c r="C129" s="23"/>
      <c r="D129" s="23"/>
      <c r="E129" s="23"/>
      <c r="F129" s="24"/>
      <c r="G129" s="23"/>
      <c r="H129" s="23"/>
      <c r="I129" s="24"/>
    </row>
    <row r="130" spans="1:9" ht="13.9">
      <c r="A130" s="23"/>
      <c r="B130" s="23"/>
      <c r="C130" s="23"/>
      <c r="D130" s="23"/>
      <c r="E130" s="23"/>
      <c r="F130" s="24"/>
      <c r="G130" s="23"/>
      <c r="H130" s="23"/>
      <c r="I130" s="24"/>
    </row>
    <row r="131" spans="1:9" ht="13.9">
      <c r="A131" s="23"/>
      <c r="B131" s="23"/>
      <c r="C131" s="23"/>
      <c r="D131" s="23"/>
      <c r="E131" s="23"/>
      <c r="F131" s="24"/>
      <c r="G131" s="23"/>
      <c r="H131" s="23"/>
      <c r="I131" s="24"/>
    </row>
    <row r="132" spans="1:9" ht="13.9">
      <c r="A132" s="23"/>
      <c r="B132" s="23"/>
      <c r="C132" s="23"/>
      <c r="D132" s="23"/>
      <c r="E132" s="23"/>
      <c r="F132" s="24"/>
      <c r="G132" s="23"/>
      <c r="H132" s="23"/>
      <c r="I132" s="24"/>
    </row>
    <row r="133" spans="1:9" ht="13.9">
      <c r="A133" s="23"/>
      <c r="B133" s="23"/>
      <c r="C133" s="23"/>
      <c r="D133" s="23"/>
      <c r="E133" s="23"/>
      <c r="F133" s="24"/>
      <c r="G133" s="23"/>
      <c r="H133" s="23"/>
      <c r="I133" s="24"/>
    </row>
    <row r="134" spans="1:9" ht="13.9">
      <c r="A134" s="23"/>
      <c r="B134" s="23"/>
      <c r="C134" s="23"/>
      <c r="D134" s="23"/>
      <c r="E134" s="23"/>
      <c r="F134" s="24"/>
      <c r="G134" s="23"/>
      <c r="H134" s="23"/>
      <c r="I134" s="24"/>
    </row>
    <row r="135" spans="1:9" ht="13.9">
      <c r="A135" s="23"/>
      <c r="B135" s="23"/>
      <c r="C135" s="23"/>
      <c r="D135" s="23"/>
      <c r="E135" s="23"/>
      <c r="F135" s="24"/>
      <c r="G135" s="23"/>
      <c r="H135" s="23"/>
      <c r="I135" s="24"/>
    </row>
    <row r="136" spans="1:9" ht="13.9">
      <c r="A136" s="23"/>
      <c r="B136" s="23"/>
      <c r="C136" s="23"/>
      <c r="D136" s="23"/>
      <c r="E136" s="23"/>
      <c r="F136" s="24"/>
      <c r="G136" s="23"/>
      <c r="H136" s="23"/>
      <c r="I136" s="24"/>
    </row>
    <row r="137" spans="1:9" ht="13.9">
      <c r="A137" s="23"/>
      <c r="B137" s="23"/>
      <c r="C137" s="23"/>
      <c r="D137" s="23"/>
      <c r="E137" s="23"/>
      <c r="F137" s="24"/>
      <c r="G137" s="23"/>
      <c r="H137" s="23"/>
      <c r="I137" s="24"/>
    </row>
    <row r="138" spans="1:9" ht="13.9">
      <c r="A138" s="23"/>
      <c r="B138" s="23"/>
      <c r="C138" s="23"/>
      <c r="D138" s="23"/>
      <c r="E138" s="23"/>
      <c r="F138" s="24"/>
      <c r="G138" s="23"/>
      <c r="H138" s="23"/>
      <c r="I138" s="24"/>
    </row>
    <row r="139" spans="1:9" ht="13.9">
      <c r="A139" s="23"/>
      <c r="B139" s="23"/>
      <c r="C139" s="23"/>
      <c r="D139" s="23"/>
      <c r="E139" s="23"/>
      <c r="F139" s="24"/>
      <c r="G139" s="23"/>
      <c r="H139" s="23"/>
      <c r="I139" s="24"/>
    </row>
    <row r="140" spans="1:9" ht="13.9">
      <c r="A140" s="23"/>
      <c r="B140" s="23"/>
      <c r="C140" s="23"/>
      <c r="D140" s="23"/>
      <c r="E140" s="23"/>
      <c r="F140" s="24"/>
      <c r="G140" s="23"/>
      <c r="H140" s="23"/>
      <c r="I140" s="24"/>
    </row>
    <row r="141" spans="1:9" ht="13.9">
      <c r="A141" s="23"/>
      <c r="B141" s="23"/>
      <c r="C141" s="23"/>
      <c r="D141" s="23"/>
      <c r="E141" s="23"/>
      <c r="F141" s="24"/>
      <c r="G141" s="23"/>
      <c r="H141" s="23"/>
      <c r="I141" s="24"/>
    </row>
    <row r="142" spans="1:9" ht="13.9">
      <c r="A142" s="23"/>
      <c r="B142" s="23"/>
      <c r="C142" s="23"/>
      <c r="D142" s="23"/>
      <c r="E142" s="23"/>
      <c r="F142" s="24"/>
      <c r="G142" s="23"/>
      <c r="H142" s="23"/>
      <c r="I142" s="24"/>
    </row>
    <row r="143" spans="1:9" ht="13.9">
      <c r="A143" s="23"/>
      <c r="B143" s="23"/>
      <c r="C143" s="23"/>
      <c r="D143" s="23"/>
      <c r="E143" s="23"/>
      <c r="F143" s="24"/>
      <c r="G143" s="23"/>
      <c r="H143" s="23"/>
      <c r="I143" s="24"/>
    </row>
    <row r="144" spans="1:9" ht="13.9">
      <c r="A144" s="23"/>
      <c r="B144" s="23"/>
      <c r="C144" s="23"/>
      <c r="D144" s="23"/>
      <c r="E144" s="23"/>
      <c r="F144" s="24"/>
      <c r="G144" s="23"/>
      <c r="H144" s="23"/>
      <c r="I144" s="24"/>
    </row>
    <row r="145" spans="1:9" ht="13.9">
      <c r="A145" s="23"/>
      <c r="B145" s="23"/>
      <c r="C145" s="23"/>
      <c r="D145" s="23"/>
      <c r="E145" s="23"/>
      <c r="F145" s="24"/>
      <c r="G145" s="23"/>
      <c r="H145" s="23"/>
      <c r="I145" s="24"/>
    </row>
    <row r="146" spans="1:9" ht="13.9">
      <c r="A146" s="23"/>
      <c r="B146" s="23"/>
      <c r="C146" s="23"/>
      <c r="D146" s="23"/>
      <c r="E146" s="23"/>
      <c r="F146" s="24"/>
      <c r="G146" s="23"/>
      <c r="H146" s="23"/>
      <c r="I146" s="24"/>
    </row>
    <row r="147" spans="1:9" ht="13.9">
      <c r="A147" s="23"/>
      <c r="B147" s="23"/>
      <c r="C147" s="23"/>
      <c r="D147" s="23"/>
      <c r="E147" s="23"/>
      <c r="F147" s="24"/>
      <c r="G147" s="23"/>
      <c r="H147" s="23"/>
      <c r="I147" s="24"/>
    </row>
    <row r="148" spans="1:9" ht="13.9">
      <c r="A148" s="23"/>
      <c r="B148" s="23"/>
      <c r="C148" s="23"/>
      <c r="D148" s="23"/>
      <c r="E148" s="23"/>
      <c r="F148" s="24"/>
      <c r="G148" s="23"/>
      <c r="H148" s="23"/>
      <c r="I148" s="24"/>
    </row>
    <row r="149" spans="1:9" ht="13.9">
      <c r="A149" s="23"/>
      <c r="B149" s="23"/>
      <c r="C149" s="23"/>
      <c r="D149" s="23"/>
      <c r="E149" s="23"/>
      <c r="F149" s="24"/>
      <c r="G149" s="23"/>
      <c r="H149" s="23"/>
      <c r="I149" s="24"/>
    </row>
    <row r="150" spans="1:9" ht="13.9">
      <c r="A150" s="23"/>
      <c r="B150" s="23"/>
      <c r="C150" s="23"/>
      <c r="D150" s="23"/>
      <c r="E150" s="23"/>
      <c r="F150" s="24"/>
      <c r="G150" s="23"/>
      <c r="H150" s="23"/>
      <c r="I150" s="24"/>
    </row>
    <row r="151" spans="1:9" ht="13.9">
      <c r="A151" s="23"/>
      <c r="B151" s="23"/>
      <c r="C151" s="23"/>
      <c r="D151" s="23"/>
      <c r="E151" s="23"/>
      <c r="F151" s="24"/>
      <c r="G151" s="23"/>
      <c r="H151" s="23"/>
      <c r="I151" s="24"/>
    </row>
    <row r="152" spans="1:9" ht="13.9">
      <c r="A152" s="23"/>
      <c r="B152" s="23"/>
      <c r="C152" s="23"/>
      <c r="D152" s="23"/>
      <c r="E152" s="23"/>
      <c r="F152" s="24"/>
      <c r="G152" s="23"/>
      <c r="H152" s="23"/>
      <c r="I152" s="24"/>
    </row>
    <row r="153" spans="1:9" ht="13.9">
      <c r="A153" s="23"/>
      <c r="B153" s="23"/>
      <c r="C153" s="23"/>
      <c r="D153" s="23"/>
      <c r="E153" s="23"/>
      <c r="F153" s="24"/>
      <c r="G153" s="23"/>
      <c r="H153" s="23"/>
      <c r="I153" s="24"/>
    </row>
    <row r="154" spans="1:9" ht="13.9">
      <c r="A154" s="23"/>
      <c r="B154" s="23"/>
      <c r="C154" s="23"/>
      <c r="D154" s="23"/>
      <c r="E154" s="23"/>
      <c r="F154" s="24"/>
      <c r="G154" s="23"/>
      <c r="H154" s="23"/>
      <c r="I154" s="24"/>
    </row>
    <row r="155" spans="1:9" ht="13.9">
      <c r="A155" s="23"/>
      <c r="B155" s="23"/>
      <c r="C155" s="23"/>
      <c r="D155" s="23"/>
      <c r="E155" s="23"/>
      <c r="F155" s="24"/>
      <c r="G155" s="23"/>
      <c r="H155" s="23"/>
      <c r="I155" s="24"/>
    </row>
    <row r="156" spans="1:9" ht="13.9">
      <c r="A156" s="23"/>
      <c r="B156" s="23"/>
      <c r="C156" s="23"/>
      <c r="D156" s="23"/>
      <c r="E156" s="23"/>
      <c r="F156" s="24"/>
      <c r="G156" s="23"/>
      <c r="H156" s="23"/>
      <c r="I156" s="24"/>
    </row>
    <row r="157" spans="1:9" ht="13.9">
      <c r="A157" s="23"/>
      <c r="B157" s="23"/>
      <c r="C157" s="23"/>
      <c r="D157" s="23"/>
      <c r="E157" s="23"/>
      <c r="F157" s="24"/>
      <c r="G157" s="23"/>
      <c r="H157" s="23"/>
      <c r="I157" s="24"/>
    </row>
    <row r="158" spans="1:9" ht="13.9">
      <c r="A158" s="23"/>
      <c r="B158" s="23"/>
      <c r="C158" s="23"/>
      <c r="D158" s="23"/>
      <c r="E158" s="23"/>
      <c r="F158" s="24"/>
      <c r="G158" s="23"/>
      <c r="H158" s="23"/>
      <c r="I158" s="24"/>
    </row>
    <row r="159" spans="1:9" ht="13.9">
      <c r="A159" s="23"/>
      <c r="B159" s="23"/>
      <c r="C159" s="23"/>
      <c r="D159" s="23"/>
      <c r="E159" s="23"/>
      <c r="F159" s="24"/>
      <c r="G159" s="23"/>
      <c r="H159" s="23"/>
      <c r="I159" s="24"/>
    </row>
    <row r="160" spans="1:9" ht="13.9">
      <c r="A160" s="23"/>
      <c r="B160" s="23"/>
      <c r="C160" s="23"/>
      <c r="D160" s="23"/>
      <c r="E160" s="23"/>
      <c r="F160" s="24"/>
      <c r="G160" s="23"/>
      <c r="H160" s="23"/>
      <c r="I160" s="24"/>
    </row>
    <row r="161" spans="1:9" ht="13.9">
      <c r="A161" s="23"/>
      <c r="B161" s="23"/>
      <c r="C161" s="23"/>
      <c r="D161" s="23"/>
      <c r="E161" s="23"/>
      <c r="F161" s="24"/>
      <c r="G161" s="23"/>
      <c r="H161" s="23"/>
      <c r="I161" s="24"/>
    </row>
    <row r="162" spans="1:9" ht="13.9">
      <c r="A162" s="23"/>
      <c r="B162" s="23"/>
      <c r="C162" s="23"/>
      <c r="D162" s="23"/>
      <c r="E162" s="23"/>
      <c r="F162" s="24"/>
      <c r="G162" s="23"/>
      <c r="H162" s="23"/>
      <c r="I162" s="24"/>
    </row>
    <row r="163" spans="1:9" ht="13.9">
      <c r="A163" s="23"/>
      <c r="B163" s="23"/>
      <c r="C163" s="23"/>
      <c r="D163" s="23"/>
      <c r="E163" s="23"/>
      <c r="F163" s="24"/>
      <c r="G163" s="23"/>
      <c r="H163" s="23"/>
      <c r="I163" s="24"/>
    </row>
    <row r="164" spans="1:9" ht="13.9">
      <c r="A164" s="23"/>
      <c r="B164" s="23"/>
      <c r="C164" s="23"/>
      <c r="D164" s="23"/>
      <c r="E164" s="23"/>
      <c r="F164" s="24"/>
      <c r="G164" s="23"/>
      <c r="H164" s="23"/>
      <c r="I164" s="24"/>
    </row>
    <row r="165" spans="1:9" ht="13.9">
      <c r="A165" s="23"/>
      <c r="B165" s="23"/>
      <c r="C165" s="23"/>
      <c r="D165" s="23"/>
      <c r="E165" s="23"/>
      <c r="F165" s="24"/>
      <c r="G165" s="23"/>
      <c r="H165" s="23"/>
      <c r="I165" s="24"/>
    </row>
    <row r="166" spans="1:9" ht="13.9">
      <c r="A166" s="23"/>
      <c r="B166" s="23"/>
      <c r="C166" s="23"/>
      <c r="D166" s="23"/>
      <c r="E166" s="23"/>
      <c r="F166" s="24"/>
      <c r="G166" s="23"/>
      <c r="H166" s="23"/>
      <c r="I166" s="24"/>
    </row>
    <row r="167" spans="1:9" ht="13.9">
      <c r="A167" s="23"/>
      <c r="B167" s="23"/>
      <c r="C167" s="23"/>
      <c r="D167" s="23"/>
      <c r="E167" s="23"/>
      <c r="F167" s="24"/>
      <c r="G167" s="23"/>
      <c r="H167" s="23"/>
      <c r="I167" s="24"/>
    </row>
    <row r="168" spans="1:9" ht="13.9">
      <c r="A168" s="23"/>
      <c r="B168" s="23"/>
      <c r="C168" s="23"/>
      <c r="D168" s="23"/>
      <c r="E168" s="23"/>
      <c r="F168" s="24"/>
      <c r="G168" s="23"/>
      <c r="H168" s="23"/>
      <c r="I168" s="24"/>
    </row>
    <row r="169" spans="1:9" ht="13.9">
      <c r="A169" s="23"/>
      <c r="B169" s="23"/>
      <c r="C169" s="23"/>
      <c r="D169" s="23"/>
      <c r="E169" s="23"/>
      <c r="F169" s="24"/>
      <c r="G169" s="23"/>
      <c r="H169" s="23"/>
      <c r="I169" s="24"/>
    </row>
    <row r="170" spans="1:9" ht="13.9">
      <c r="A170" s="23"/>
      <c r="B170" s="23"/>
      <c r="C170" s="23"/>
      <c r="D170" s="23"/>
      <c r="E170" s="23"/>
      <c r="F170" s="24"/>
      <c r="G170" s="23"/>
      <c r="H170" s="23"/>
      <c r="I170" s="24"/>
    </row>
    <row r="171" spans="1:9" ht="13.9">
      <c r="A171" s="23"/>
      <c r="B171" s="23"/>
      <c r="C171" s="23"/>
      <c r="D171" s="23"/>
      <c r="E171" s="23"/>
      <c r="F171" s="24"/>
      <c r="G171" s="23"/>
      <c r="H171" s="23"/>
      <c r="I171" s="24"/>
    </row>
    <row r="172" spans="1:9" ht="13.9">
      <c r="A172" s="23"/>
      <c r="B172" s="23"/>
      <c r="C172" s="23"/>
      <c r="D172" s="23"/>
      <c r="E172" s="23"/>
      <c r="F172" s="24"/>
      <c r="G172" s="23"/>
      <c r="H172" s="23"/>
      <c r="I172" s="24"/>
    </row>
    <row r="173" spans="1:9" ht="13.9">
      <c r="A173" s="23"/>
      <c r="B173" s="23"/>
      <c r="C173" s="23"/>
      <c r="D173" s="23"/>
      <c r="E173" s="23"/>
      <c r="F173" s="24"/>
      <c r="G173" s="23"/>
      <c r="H173" s="23"/>
      <c r="I173" s="24"/>
    </row>
    <row r="174" spans="1:9" ht="13.9">
      <c r="A174" s="23"/>
      <c r="B174" s="23"/>
      <c r="C174" s="23"/>
      <c r="D174" s="23"/>
      <c r="E174" s="23"/>
      <c r="F174" s="24"/>
      <c r="G174" s="23"/>
      <c r="H174" s="23"/>
      <c r="I174" s="24"/>
    </row>
    <row r="175" spans="1:9" ht="13.9">
      <c r="A175" s="23"/>
      <c r="B175" s="23"/>
      <c r="C175" s="23"/>
      <c r="D175" s="23"/>
      <c r="E175" s="23"/>
      <c r="F175" s="24"/>
      <c r="G175" s="23"/>
      <c r="H175" s="23"/>
      <c r="I175" s="24"/>
    </row>
    <row r="176" spans="1:9" ht="13.9">
      <c r="A176" s="23"/>
      <c r="B176" s="23"/>
      <c r="C176" s="23"/>
      <c r="D176" s="23"/>
      <c r="E176" s="23"/>
      <c r="F176" s="24"/>
      <c r="G176" s="23"/>
      <c r="H176" s="23"/>
      <c r="I176" s="24"/>
    </row>
    <row r="177" spans="1:9" ht="13.9">
      <c r="A177" s="23"/>
      <c r="B177" s="23"/>
      <c r="C177" s="23"/>
      <c r="D177" s="23"/>
      <c r="E177" s="23"/>
      <c r="F177" s="24"/>
      <c r="G177" s="23"/>
      <c r="H177" s="23"/>
      <c r="I177" s="24"/>
    </row>
    <row r="178" spans="1:9" ht="13.9">
      <c r="A178" s="23"/>
      <c r="B178" s="23"/>
      <c r="C178" s="23"/>
      <c r="D178" s="23"/>
      <c r="E178" s="23"/>
      <c r="F178" s="24"/>
      <c r="G178" s="23"/>
      <c r="H178" s="23"/>
      <c r="I178" s="24"/>
    </row>
    <row r="179" spans="1:9" ht="13.9">
      <c r="A179" s="23"/>
      <c r="B179" s="23"/>
      <c r="C179" s="23"/>
      <c r="D179" s="23"/>
      <c r="E179" s="23"/>
      <c r="F179" s="24"/>
      <c r="G179" s="23"/>
      <c r="H179" s="23"/>
      <c r="I179" s="24"/>
    </row>
    <row r="180" spans="1:9" ht="13.9">
      <c r="A180" s="23"/>
      <c r="B180" s="23"/>
      <c r="C180" s="23"/>
      <c r="D180" s="23"/>
      <c r="E180" s="23"/>
      <c r="F180" s="24"/>
      <c r="G180" s="23"/>
      <c r="H180" s="23"/>
      <c r="I180" s="24"/>
    </row>
    <row r="181" spans="1:9" ht="13.9">
      <c r="A181" s="23"/>
      <c r="B181" s="23"/>
      <c r="C181" s="23"/>
      <c r="D181" s="23"/>
      <c r="E181" s="23"/>
      <c r="F181" s="24"/>
      <c r="G181" s="23"/>
      <c r="H181" s="23"/>
      <c r="I181" s="24"/>
    </row>
    <row r="182" spans="1:9" ht="13.9">
      <c r="A182" s="23"/>
      <c r="B182" s="23"/>
      <c r="C182" s="23"/>
      <c r="D182" s="23"/>
      <c r="E182" s="23"/>
      <c r="F182" s="24"/>
      <c r="G182" s="23"/>
      <c r="H182" s="23"/>
      <c r="I182" s="24"/>
    </row>
    <row r="183" spans="1:9" ht="13.9">
      <c r="A183" s="23"/>
      <c r="B183" s="23"/>
      <c r="C183" s="23"/>
      <c r="D183" s="23"/>
      <c r="E183" s="23"/>
      <c r="F183" s="24"/>
      <c r="G183" s="23"/>
      <c r="H183" s="23"/>
      <c r="I183" s="24"/>
    </row>
    <row r="184" spans="1:9" ht="13.9">
      <c r="A184" s="23"/>
      <c r="B184" s="23"/>
      <c r="C184" s="23"/>
      <c r="D184" s="23"/>
      <c r="E184" s="23"/>
      <c r="F184" s="24"/>
      <c r="G184" s="23"/>
      <c r="H184" s="23"/>
      <c r="I184" s="24"/>
    </row>
    <row r="185" spans="1:9" ht="13.9">
      <c r="A185" s="23"/>
      <c r="B185" s="23"/>
      <c r="C185" s="23"/>
      <c r="D185" s="23"/>
      <c r="E185" s="23"/>
      <c r="F185" s="24"/>
      <c r="G185" s="23"/>
      <c r="H185" s="23"/>
      <c r="I185" s="24"/>
    </row>
    <row r="186" spans="1:9" ht="13.9">
      <c r="A186" s="23"/>
      <c r="B186" s="23"/>
      <c r="C186" s="23"/>
      <c r="D186" s="23"/>
      <c r="E186" s="23"/>
      <c r="F186" s="24"/>
      <c r="G186" s="23"/>
      <c r="H186" s="23"/>
      <c r="I186" s="24"/>
    </row>
    <row r="187" spans="1:9" ht="13.9">
      <c r="A187" s="23"/>
      <c r="B187" s="23"/>
      <c r="C187" s="23"/>
      <c r="D187" s="23"/>
      <c r="E187" s="23"/>
      <c r="F187" s="24"/>
      <c r="G187" s="23"/>
      <c r="H187" s="23"/>
      <c r="I187" s="24"/>
    </row>
    <row r="188" spans="1:9" ht="13.9">
      <c r="A188" s="23"/>
      <c r="B188" s="23"/>
      <c r="C188" s="23"/>
      <c r="D188" s="23"/>
      <c r="E188" s="23"/>
      <c r="F188" s="24"/>
      <c r="G188" s="23"/>
      <c r="H188" s="23"/>
      <c r="I188" s="24"/>
    </row>
    <row r="189" spans="1:9" ht="13.9">
      <c r="A189" s="23"/>
      <c r="B189" s="23"/>
      <c r="C189" s="23"/>
      <c r="D189" s="23"/>
      <c r="E189" s="23"/>
      <c r="F189" s="24"/>
      <c r="G189" s="23"/>
      <c r="H189" s="23"/>
      <c r="I189" s="24"/>
    </row>
    <row r="190" spans="1:9" ht="13.9">
      <c r="A190" s="23"/>
      <c r="B190" s="23"/>
      <c r="C190" s="23"/>
      <c r="D190" s="23"/>
      <c r="E190" s="23"/>
      <c r="F190" s="24"/>
      <c r="G190" s="23"/>
      <c r="H190" s="23"/>
      <c r="I190" s="24"/>
    </row>
    <row r="191" spans="1:9" ht="13.9">
      <c r="A191" s="23"/>
      <c r="B191" s="23"/>
      <c r="C191" s="23"/>
      <c r="D191" s="23"/>
      <c r="E191" s="23"/>
      <c r="F191" s="24"/>
      <c r="G191" s="23"/>
      <c r="H191" s="23"/>
      <c r="I191" s="24"/>
    </row>
    <row r="192" spans="1:9" ht="13.9">
      <c r="A192" s="23"/>
      <c r="B192" s="23"/>
      <c r="C192" s="23"/>
      <c r="D192" s="23"/>
      <c r="E192" s="23"/>
      <c r="F192" s="24"/>
      <c r="G192" s="23"/>
      <c r="H192" s="23"/>
      <c r="I192" s="24"/>
    </row>
    <row r="193" spans="1:9" ht="13.9">
      <c r="A193" s="23"/>
      <c r="B193" s="23"/>
      <c r="C193" s="23"/>
      <c r="D193" s="23"/>
      <c r="E193" s="23"/>
      <c r="F193" s="24"/>
      <c r="G193" s="23"/>
      <c r="H193" s="23"/>
      <c r="I193" s="24"/>
    </row>
    <row r="194" spans="1:9" ht="13.9">
      <c r="A194" s="23"/>
      <c r="B194" s="23"/>
      <c r="C194" s="23"/>
      <c r="D194" s="23"/>
      <c r="E194" s="23"/>
      <c r="F194" s="24"/>
      <c r="G194" s="23"/>
      <c r="H194" s="23"/>
      <c r="I194" s="24"/>
    </row>
    <row r="195" spans="1:9" ht="13.9">
      <c r="A195" s="23"/>
      <c r="B195" s="23"/>
      <c r="C195" s="23"/>
      <c r="D195" s="23"/>
      <c r="E195" s="23"/>
      <c r="F195" s="24"/>
      <c r="G195" s="23"/>
      <c r="H195" s="23"/>
      <c r="I195" s="24"/>
    </row>
    <row r="196" spans="1:9" ht="13.9">
      <c r="A196" s="23"/>
      <c r="B196" s="23"/>
      <c r="C196" s="23"/>
      <c r="D196" s="23"/>
      <c r="E196" s="23"/>
      <c r="F196" s="24"/>
      <c r="G196" s="23"/>
      <c r="H196" s="23"/>
      <c r="I196" s="24"/>
    </row>
    <row r="197" spans="1:9" ht="13.9">
      <c r="A197" s="23"/>
      <c r="B197" s="23"/>
      <c r="C197" s="23"/>
      <c r="D197" s="23"/>
      <c r="E197" s="23"/>
      <c r="F197" s="24"/>
      <c r="G197" s="23"/>
      <c r="H197" s="23"/>
      <c r="I197" s="24"/>
    </row>
    <row r="198" spans="1:9" ht="13.9">
      <c r="A198" s="23"/>
      <c r="B198" s="23"/>
      <c r="C198" s="23"/>
      <c r="D198" s="23"/>
      <c r="E198" s="23"/>
      <c r="F198" s="24"/>
      <c r="G198" s="23"/>
      <c r="H198" s="23"/>
      <c r="I198" s="24"/>
    </row>
    <row r="199" spans="1:9" ht="13.9">
      <c r="A199" s="23"/>
      <c r="B199" s="23"/>
      <c r="C199" s="23"/>
      <c r="D199" s="23"/>
      <c r="E199" s="23"/>
      <c r="F199" s="24"/>
      <c r="G199" s="23"/>
      <c r="H199" s="23"/>
      <c r="I199" s="24"/>
    </row>
    <row r="200" spans="1:9" ht="13.9">
      <c r="A200" s="23"/>
      <c r="B200" s="23"/>
      <c r="C200" s="23"/>
      <c r="D200" s="23"/>
      <c r="E200" s="23"/>
      <c r="F200" s="24"/>
      <c r="G200" s="23"/>
      <c r="H200" s="23"/>
      <c r="I200" s="24"/>
    </row>
    <row r="201" spans="1:9" ht="13.9">
      <c r="A201" s="23"/>
      <c r="B201" s="23"/>
      <c r="C201" s="23"/>
      <c r="D201" s="23"/>
      <c r="E201" s="23"/>
      <c r="F201" s="24"/>
      <c r="G201" s="23"/>
      <c r="H201" s="23"/>
      <c r="I201" s="24"/>
    </row>
    <row r="202" spans="1:9" ht="13.9">
      <c r="A202" s="23"/>
      <c r="B202" s="23"/>
      <c r="C202" s="23"/>
      <c r="D202" s="23"/>
      <c r="E202" s="23"/>
      <c r="F202" s="24"/>
      <c r="G202" s="23"/>
      <c r="H202" s="23"/>
      <c r="I202" s="24"/>
    </row>
    <row r="203" spans="1:9" ht="13.9">
      <c r="A203" s="23"/>
      <c r="B203" s="23"/>
      <c r="C203" s="23"/>
      <c r="D203" s="23"/>
      <c r="E203" s="23"/>
      <c r="F203" s="24"/>
      <c r="G203" s="23"/>
      <c r="H203" s="23"/>
      <c r="I203" s="24"/>
    </row>
    <row r="204" spans="1:9" ht="13.9">
      <c r="A204" s="23"/>
      <c r="B204" s="23"/>
      <c r="C204" s="23"/>
      <c r="D204" s="23"/>
      <c r="E204" s="23"/>
      <c r="F204" s="24"/>
      <c r="G204" s="23"/>
      <c r="H204" s="23"/>
      <c r="I204" s="24"/>
    </row>
    <row r="205" spans="1:9" ht="13.9">
      <c r="A205" s="23"/>
      <c r="B205" s="23"/>
      <c r="C205" s="23"/>
      <c r="D205" s="23"/>
      <c r="E205" s="23"/>
      <c r="F205" s="24"/>
      <c r="G205" s="23"/>
      <c r="H205" s="23"/>
      <c r="I205" s="24"/>
    </row>
    <row r="206" spans="1:9" ht="13.9">
      <c r="A206" s="23"/>
      <c r="B206" s="23"/>
      <c r="C206" s="23"/>
      <c r="D206" s="23"/>
      <c r="E206" s="23"/>
      <c r="F206" s="24"/>
      <c r="G206" s="23"/>
      <c r="H206" s="23"/>
      <c r="I206" s="24"/>
    </row>
    <row r="207" spans="1:9" ht="13.9">
      <c r="A207" s="23"/>
      <c r="B207" s="23"/>
      <c r="C207" s="23"/>
      <c r="D207" s="23"/>
      <c r="E207" s="23"/>
      <c r="F207" s="24"/>
      <c r="G207" s="23"/>
      <c r="H207" s="23"/>
      <c r="I207" s="24"/>
    </row>
    <row r="208" spans="1:9" ht="13.9">
      <c r="A208" s="23"/>
      <c r="B208" s="23"/>
      <c r="C208" s="23"/>
      <c r="D208" s="23"/>
      <c r="E208" s="23"/>
      <c r="F208" s="24"/>
      <c r="G208" s="23"/>
      <c r="H208" s="23"/>
      <c r="I208" s="24"/>
    </row>
    <row r="209" spans="1:9" ht="13.9">
      <c r="A209" s="23"/>
      <c r="B209" s="23"/>
      <c r="C209" s="23"/>
      <c r="D209" s="23"/>
      <c r="E209" s="23"/>
      <c r="F209" s="24"/>
      <c r="G209" s="23"/>
      <c r="H209" s="23"/>
      <c r="I209" s="24"/>
    </row>
    <row r="210" spans="1:9" ht="13.9">
      <c r="A210" s="23"/>
      <c r="B210" s="23"/>
      <c r="C210" s="23"/>
      <c r="D210" s="23"/>
      <c r="E210" s="23"/>
      <c r="F210" s="24"/>
      <c r="G210" s="23"/>
      <c r="H210" s="23"/>
      <c r="I210" s="24"/>
    </row>
    <row r="211" spans="1:9" ht="13.9">
      <c r="A211" s="23"/>
      <c r="B211" s="23"/>
      <c r="C211" s="23"/>
      <c r="D211" s="23"/>
      <c r="E211" s="23"/>
      <c r="F211" s="24"/>
      <c r="G211" s="23"/>
      <c r="H211" s="23"/>
      <c r="I211" s="24"/>
    </row>
    <row r="212" spans="1:9" ht="13.9">
      <c r="A212" s="23"/>
      <c r="B212" s="23"/>
      <c r="C212" s="23"/>
      <c r="D212" s="23"/>
      <c r="E212" s="23"/>
      <c r="F212" s="24"/>
      <c r="G212" s="23"/>
      <c r="H212" s="23"/>
      <c r="I212" s="24"/>
    </row>
    <row r="213" spans="1:9" ht="13.9">
      <c r="A213" s="23"/>
      <c r="B213" s="23"/>
      <c r="C213" s="23"/>
      <c r="D213" s="23"/>
      <c r="E213" s="23"/>
      <c r="F213" s="24"/>
      <c r="G213" s="23"/>
      <c r="H213" s="23"/>
      <c r="I213" s="24"/>
    </row>
    <row r="214" spans="1:9" ht="13.9">
      <c r="A214" s="23"/>
      <c r="B214" s="23"/>
      <c r="C214" s="23"/>
      <c r="D214" s="23"/>
      <c r="E214" s="23"/>
      <c r="F214" s="24"/>
      <c r="G214" s="23"/>
      <c r="H214" s="23"/>
      <c r="I214" s="24"/>
    </row>
    <row r="215" spans="1:9" ht="13.9">
      <c r="A215" s="23"/>
      <c r="B215" s="23"/>
      <c r="C215" s="23"/>
      <c r="D215" s="23"/>
      <c r="E215" s="23"/>
      <c r="F215" s="24"/>
      <c r="G215" s="23"/>
      <c r="H215" s="23"/>
      <c r="I215" s="24"/>
    </row>
    <row r="216" spans="1:9" ht="13.9">
      <c r="A216" s="23"/>
      <c r="B216" s="23"/>
      <c r="C216" s="23"/>
      <c r="D216" s="23"/>
      <c r="E216" s="23"/>
      <c r="F216" s="24"/>
      <c r="G216" s="23"/>
      <c r="H216" s="23"/>
      <c r="I216" s="24"/>
    </row>
    <row r="217" spans="1:9" ht="13.9">
      <c r="A217" s="23"/>
      <c r="B217" s="23"/>
      <c r="C217" s="23"/>
      <c r="D217" s="23"/>
      <c r="E217" s="23"/>
      <c r="F217" s="24"/>
      <c r="G217" s="23"/>
      <c r="H217" s="23"/>
      <c r="I217" s="24"/>
    </row>
    <row r="218" spans="1:9" ht="13.9">
      <c r="A218" s="23"/>
      <c r="B218" s="23"/>
      <c r="C218" s="23"/>
      <c r="D218" s="23"/>
      <c r="E218" s="23"/>
      <c r="F218" s="24"/>
      <c r="G218" s="23"/>
      <c r="H218" s="23"/>
      <c r="I218" s="24"/>
    </row>
    <row r="219" spans="1:9" ht="13.9">
      <c r="A219" s="23"/>
      <c r="B219" s="23"/>
      <c r="C219" s="23"/>
      <c r="D219" s="23"/>
      <c r="E219" s="23"/>
      <c r="F219" s="24"/>
      <c r="G219" s="23"/>
      <c r="H219" s="23"/>
      <c r="I219" s="24"/>
    </row>
    <row r="220" spans="1:9" ht="13.9">
      <c r="A220" s="23"/>
      <c r="B220" s="23"/>
      <c r="C220" s="23"/>
      <c r="D220" s="23"/>
      <c r="E220" s="23"/>
      <c r="F220" s="24"/>
      <c r="G220" s="23"/>
      <c r="H220" s="23"/>
      <c r="I220" s="24"/>
    </row>
    <row r="221" spans="1:9" ht="13.9">
      <c r="A221" s="23"/>
      <c r="B221" s="23"/>
      <c r="C221" s="23"/>
      <c r="D221" s="23"/>
      <c r="E221" s="23"/>
      <c r="F221" s="24"/>
      <c r="G221" s="23"/>
      <c r="H221" s="23"/>
      <c r="I221" s="24"/>
    </row>
    <row r="222" spans="1:9" ht="13.9">
      <c r="A222" s="23"/>
      <c r="B222" s="23"/>
      <c r="C222" s="23"/>
      <c r="D222" s="23"/>
      <c r="E222" s="23"/>
      <c r="F222" s="24"/>
      <c r="G222" s="23"/>
      <c r="H222" s="23"/>
      <c r="I222" s="24"/>
    </row>
    <row r="223" spans="1:9" ht="13.9">
      <c r="A223" s="23"/>
      <c r="B223" s="23"/>
      <c r="C223" s="23"/>
      <c r="D223" s="23"/>
      <c r="E223" s="23"/>
      <c r="F223" s="24"/>
      <c r="G223" s="23"/>
      <c r="H223" s="23"/>
      <c r="I223" s="24"/>
    </row>
    <row r="224" spans="1:9" ht="13.9">
      <c r="A224" s="23"/>
      <c r="B224" s="23"/>
      <c r="C224" s="23"/>
      <c r="D224" s="23"/>
      <c r="E224" s="23"/>
      <c r="F224" s="24"/>
      <c r="G224" s="23"/>
      <c r="H224" s="23"/>
      <c r="I224" s="24"/>
    </row>
    <row r="225" spans="1:9" ht="13.9">
      <c r="A225" s="23"/>
      <c r="B225" s="23"/>
      <c r="C225" s="23"/>
      <c r="D225" s="23"/>
      <c r="E225" s="23"/>
      <c r="F225" s="24"/>
      <c r="G225" s="23"/>
      <c r="H225" s="23"/>
      <c r="I225" s="24"/>
    </row>
    <row r="226" spans="1:9" ht="13.9">
      <c r="A226" s="23"/>
      <c r="B226" s="23"/>
      <c r="C226" s="23"/>
      <c r="D226" s="23"/>
      <c r="E226" s="23"/>
      <c r="F226" s="24"/>
      <c r="G226" s="23"/>
      <c r="H226" s="23"/>
      <c r="I226" s="24"/>
    </row>
    <row r="227" spans="1:9" ht="13.9">
      <c r="A227" s="23"/>
      <c r="B227" s="23"/>
      <c r="C227" s="23"/>
      <c r="D227" s="23"/>
      <c r="E227" s="23"/>
      <c r="F227" s="24"/>
      <c r="G227" s="23"/>
      <c r="H227" s="23"/>
      <c r="I227" s="24"/>
    </row>
    <row r="228" spans="1:9" ht="13.9">
      <c r="A228" s="23"/>
      <c r="B228" s="23"/>
      <c r="C228" s="23"/>
      <c r="D228" s="23"/>
      <c r="E228" s="23"/>
      <c r="F228" s="24"/>
      <c r="G228" s="23"/>
      <c r="H228" s="23"/>
      <c r="I228" s="24"/>
    </row>
    <row r="229" spans="1:9" ht="13.9">
      <c r="A229" s="23"/>
      <c r="B229" s="23"/>
      <c r="C229" s="23"/>
      <c r="D229" s="23"/>
      <c r="E229" s="23"/>
      <c r="F229" s="24"/>
      <c r="G229" s="23"/>
      <c r="H229" s="23"/>
      <c r="I229" s="24"/>
    </row>
    <row r="230" spans="1:9" ht="13.9">
      <c r="A230" s="23"/>
      <c r="B230" s="23"/>
      <c r="C230" s="23"/>
      <c r="D230" s="23"/>
      <c r="E230" s="23"/>
      <c r="F230" s="24"/>
      <c r="G230" s="23"/>
      <c r="H230" s="23"/>
      <c r="I230" s="24"/>
    </row>
    <row r="231" spans="1:9" ht="13.9">
      <c r="A231" s="23"/>
      <c r="B231" s="23"/>
      <c r="C231" s="23"/>
      <c r="D231" s="23"/>
      <c r="E231" s="23"/>
      <c r="F231" s="24"/>
      <c r="G231" s="23"/>
      <c r="H231" s="23"/>
      <c r="I231" s="24"/>
    </row>
    <row r="232" spans="1:9" ht="13.9">
      <c r="A232" s="23"/>
      <c r="B232" s="23"/>
      <c r="C232" s="23"/>
      <c r="D232" s="23"/>
      <c r="E232" s="23"/>
      <c r="F232" s="24"/>
      <c r="G232" s="23"/>
      <c r="H232" s="23"/>
      <c r="I232" s="24"/>
    </row>
    <row r="233" spans="1:9" ht="13.9">
      <c r="A233" s="23"/>
      <c r="B233" s="23"/>
      <c r="C233" s="23"/>
      <c r="D233" s="23"/>
      <c r="E233" s="23"/>
      <c r="F233" s="24"/>
      <c r="G233" s="23"/>
      <c r="H233" s="23"/>
      <c r="I233" s="24"/>
    </row>
    <row r="234" spans="1:9" ht="13.9">
      <c r="A234" s="23"/>
      <c r="B234" s="23"/>
      <c r="C234" s="23"/>
      <c r="D234" s="23"/>
      <c r="E234" s="23"/>
      <c r="F234" s="24"/>
      <c r="G234" s="23"/>
      <c r="H234" s="23"/>
      <c r="I234" s="24"/>
    </row>
    <row r="235" spans="1:9" ht="13.9">
      <c r="A235" s="23"/>
      <c r="B235" s="23"/>
      <c r="C235" s="23"/>
      <c r="D235" s="23"/>
      <c r="E235" s="23"/>
      <c r="F235" s="24"/>
      <c r="G235" s="23"/>
      <c r="H235" s="23"/>
      <c r="I235" s="24"/>
    </row>
    <row r="236" spans="1:9" ht="13.9">
      <c r="A236" s="23"/>
      <c r="B236" s="23"/>
      <c r="C236" s="23"/>
      <c r="D236" s="23"/>
      <c r="E236" s="23"/>
      <c r="F236" s="24"/>
      <c r="G236" s="23"/>
      <c r="H236" s="23"/>
      <c r="I236" s="24"/>
    </row>
    <row r="237" spans="1:9" ht="13.9">
      <c r="A237" s="23"/>
      <c r="B237" s="23"/>
      <c r="C237" s="23"/>
      <c r="D237" s="23"/>
      <c r="E237" s="23"/>
      <c r="F237" s="24"/>
      <c r="G237" s="23"/>
      <c r="H237" s="23"/>
      <c r="I237" s="24"/>
    </row>
    <row r="238" spans="1:9" ht="13.9">
      <c r="A238" s="23"/>
      <c r="B238" s="23"/>
      <c r="C238" s="23"/>
      <c r="D238" s="23"/>
      <c r="E238" s="23"/>
      <c r="F238" s="24"/>
      <c r="G238" s="23"/>
      <c r="H238" s="23"/>
      <c r="I238" s="24"/>
    </row>
    <row r="239" spans="1:9" ht="13.9">
      <c r="A239" s="23"/>
      <c r="B239" s="23"/>
      <c r="C239" s="23"/>
      <c r="D239" s="23"/>
      <c r="E239" s="23"/>
      <c r="F239" s="24"/>
      <c r="G239" s="23"/>
      <c r="H239" s="23"/>
      <c r="I239" s="24"/>
    </row>
    <row r="240" spans="1:9" ht="13.9">
      <c r="A240" s="23"/>
      <c r="B240" s="23"/>
      <c r="C240" s="23"/>
      <c r="D240" s="23"/>
      <c r="E240" s="23"/>
      <c r="F240" s="24"/>
      <c r="G240" s="23"/>
      <c r="H240" s="23"/>
      <c r="I240" s="24"/>
    </row>
    <row r="241" spans="1:9" ht="13.9">
      <c r="A241" s="23"/>
      <c r="B241" s="23"/>
      <c r="C241" s="23"/>
      <c r="D241" s="23"/>
      <c r="E241" s="23"/>
      <c r="F241" s="24"/>
      <c r="G241" s="23"/>
      <c r="H241" s="23"/>
      <c r="I241" s="24"/>
    </row>
    <row r="242" spans="1:9" ht="13.9">
      <c r="A242" s="23"/>
      <c r="B242" s="23"/>
      <c r="C242" s="23"/>
      <c r="D242" s="23"/>
      <c r="E242" s="23"/>
      <c r="F242" s="24"/>
      <c r="G242" s="23"/>
      <c r="H242" s="23"/>
      <c r="I242" s="24"/>
    </row>
    <row r="243" spans="1:9" ht="13.9">
      <c r="A243" s="23"/>
      <c r="B243" s="23"/>
      <c r="C243" s="23"/>
      <c r="D243" s="23"/>
      <c r="E243" s="23"/>
      <c r="F243" s="24"/>
      <c r="G243" s="23"/>
      <c r="H243" s="23"/>
      <c r="I243" s="24"/>
    </row>
    <row r="244" spans="1:9" ht="13.9">
      <c r="A244" s="23"/>
      <c r="B244" s="23"/>
      <c r="C244" s="23"/>
      <c r="D244" s="23"/>
      <c r="E244" s="23"/>
      <c r="F244" s="24"/>
      <c r="G244" s="23"/>
      <c r="H244" s="23"/>
      <c r="I244" s="24"/>
    </row>
    <row r="245" spans="1:9" ht="13.9">
      <c r="A245" s="23"/>
      <c r="B245" s="23"/>
      <c r="C245" s="23"/>
      <c r="D245" s="23"/>
      <c r="E245" s="23"/>
      <c r="F245" s="24"/>
      <c r="G245" s="23"/>
      <c r="H245" s="23"/>
      <c r="I245" s="24"/>
    </row>
    <row r="246" spans="1:9" ht="13.9">
      <c r="A246" s="23"/>
      <c r="B246" s="23"/>
      <c r="C246" s="23"/>
      <c r="D246" s="23"/>
      <c r="E246" s="23"/>
      <c r="F246" s="24"/>
      <c r="G246" s="23"/>
      <c r="H246" s="23"/>
      <c r="I246" s="24"/>
    </row>
    <row r="247" spans="1:9" ht="13.9">
      <c r="A247" s="23"/>
      <c r="B247" s="23"/>
      <c r="C247" s="23"/>
      <c r="D247" s="23"/>
      <c r="E247" s="23"/>
      <c r="F247" s="24"/>
      <c r="G247" s="23"/>
      <c r="H247" s="23"/>
      <c r="I247" s="24"/>
    </row>
    <row r="248" spans="1:9" ht="13.9">
      <c r="A248" s="23"/>
      <c r="B248" s="23"/>
      <c r="C248" s="23"/>
      <c r="D248" s="23"/>
      <c r="E248" s="23"/>
      <c r="F248" s="24"/>
      <c r="G248" s="23"/>
      <c r="H248" s="23"/>
      <c r="I248" s="24"/>
    </row>
    <row r="249" spans="1:9" ht="13.9">
      <c r="A249" s="23"/>
      <c r="B249" s="23"/>
      <c r="C249" s="23"/>
      <c r="D249" s="23"/>
      <c r="E249" s="23"/>
      <c r="F249" s="24"/>
      <c r="G249" s="23"/>
      <c r="H249" s="23"/>
      <c r="I249" s="24"/>
    </row>
    <row r="250" spans="1:9" ht="13.9">
      <c r="A250" s="23"/>
      <c r="B250" s="23"/>
      <c r="C250" s="23"/>
      <c r="D250" s="23"/>
      <c r="E250" s="23"/>
      <c r="F250" s="24"/>
      <c r="G250" s="23"/>
      <c r="H250" s="23"/>
      <c r="I250" s="24"/>
    </row>
    <row r="251" spans="1:9" ht="13.9">
      <c r="A251" s="23"/>
      <c r="B251" s="23"/>
      <c r="C251" s="23"/>
      <c r="D251" s="23"/>
      <c r="E251" s="23"/>
      <c r="F251" s="24"/>
      <c r="G251" s="23"/>
      <c r="H251" s="23"/>
      <c r="I251" s="24"/>
    </row>
    <row r="252" spans="1:9" ht="13.9">
      <c r="A252" s="23"/>
      <c r="B252" s="23"/>
      <c r="C252" s="23"/>
      <c r="D252" s="23"/>
      <c r="E252" s="23"/>
      <c r="F252" s="24"/>
      <c r="G252" s="23"/>
      <c r="H252" s="23"/>
      <c r="I252" s="24"/>
    </row>
    <row r="253" spans="1:9" ht="13.9">
      <c r="A253" s="23"/>
      <c r="B253" s="23"/>
      <c r="C253" s="23"/>
      <c r="D253" s="23"/>
      <c r="E253" s="23"/>
      <c r="F253" s="24"/>
      <c r="G253" s="23"/>
      <c r="H253" s="23"/>
      <c r="I253" s="24"/>
    </row>
    <row r="254" spans="1:9" ht="13.9">
      <c r="A254" s="23"/>
      <c r="B254" s="23"/>
      <c r="C254" s="23"/>
      <c r="D254" s="23"/>
      <c r="E254" s="23"/>
      <c r="F254" s="24"/>
      <c r="G254" s="23"/>
      <c r="H254" s="23"/>
      <c r="I254" s="24"/>
    </row>
    <row r="255" spans="1:9" ht="13.9">
      <c r="A255" s="23"/>
      <c r="B255" s="23"/>
      <c r="C255" s="23"/>
      <c r="D255" s="23"/>
      <c r="E255" s="23"/>
      <c r="F255" s="24"/>
      <c r="G255" s="23"/>
      <c r="H255" s="23"/>
      <c r="I255" s="24"/>
    </row>
    <row r="256" spans="1:9" ht="13.9">
      <c r="A256" s="23"/>
      <c r="B256" s="23"/>
      <c r="C256" s="23"/>
      <c r="D256" s="23"/>
      <c r="E256" s="23"/>
      <c r="F256" s="24"/>
      <c r="G256" s="23"/>
      <c r="H256" s="23"/>
      <c r="I256" s="24"/>
    </row>
    <row r="257" spans="1:9" ht="13.9">
      <c r="A257" s="23"/>
      <c r="B257" s="23"/>
      <c r="C257" s="23"/>
      <c r="D257" s="23"/>
      <c r="E257" s="23"/>
      <c r="F257" s="24"/>
      <c r="G257" s="23"/>
      <c r="H257" s="23"/>
      <c r="I257" s="24"/>
    </row>
    <row r="258" spans="1:9" ht="13.9">
      <c r="A258" s="23"/>
      <c r="B258" s="23"/>
      <c r="C258" s="23"/>
      <c r="D258" s="23"/>
      <c r="E258" s="23"/>
      <c r="F258" s="24"/>
      <c r="G258" s="23"/>
      <c r="H258" s="23"/>
      <c r="I258" s="24"/>
    </row>
    <row r="259" spans="1:9" ht="13.9">
      <c r="A259" s="23"/>
      <c r="B259" s="23"/>
      <c r="C259" s="23"/>
      <c r="D259" s="23"/>
      <c r="E259" s="23"/>
      <c r="F259" s="24"/>
      <c r="G259" s="23"/>
      <c r="H259" s="23"/>
      <c r="I259" s="24"/>
    </row>
    <row r="260" spans="1:9" ht="13.9">
      <c r="A260" s="23"/>
      <c r="B260" s="23"/>
      <c r="C260" s="23"/>
      <c r="D260" s="23"/>
      <c r="E260" s="23"/>
      <c r="F260" s="24"/>
      <c r="G260" s="23"/>
      <c r="H260" s="23"/>
      <c r="I260" s="24"/>
    </row>
    <row r="261" spans="1:9" ht="13.9">
      <c r="A261" s="23"/>
      <c r="B261" s="23"/>
      <c r="C261" s="23"/>
      <c r="D261" s="23"/>
      <c r="E261" s="23"/>
      <c r="F261" s="24"/>
      <c r="G261" s="23"/>
      <c r="H261" s="23"/>
      <c r="I261" s="24"/>
    </row>
    <row r="262" spans="1:9" ht="13.9">
      <c r="A262" s="23"/>
      <c r="B262" s="23"/>
      <c r="C262" s="23"/>
      <c r="D262" s="23"/>
      <c r="E262" s="23"/>
      <c r="F262" s="24"/>
      <c r="G262" s="23"/>
      <c r="H262" s="23"/>
      <c r="I262" s="24"/>
    </row>
    <row r="263" spans="1:9" ht="13.9">
      <c r="A263" s="23"/>
      <c r="B263" s="23"/>
      <c r="C263" s="23"/>
      <c r="D263" s="23"/>
      <c r="E263" s="23"/>
      <c r="F263" s="24"/>
      <c r="G263" s="23"/>
      <c r="H263" s="23"/>
      <c r="I263" s="24"/>
    </row>
    <row r="264" spans="1:9" ht="13.9">
      <c r="A264" s="23"/>
      <c r="B264" s="23"/>
      <c r="C264" s="23"/>
      <c r="D264" s="23"/>
      <c r="E264" s="23"/>
      <c r="F264" s="24"/>
      <c r="G264" s="23"/>
      <c r="H264" s="23"/>
      <c r="I264" s="24"/>
    </row>
    <row r="265" spans="1:9" ht="13.9">
      <c r="A265" s="23"/>
      <c r="B265" s="23"/>
      <c r="C265" s="23"/>
      <c r="D265" s="23"/>
      <c r="E265" s="23"/>
      <c r="F265" s="24"/>
      <c r="G265" s="23"/>
      <c r="H265" s="23"/>
      <c r="I265" s="24"/>
    </row>
    <row r="266" spans="1:9" ht="13.9">
      <c r="A266" s="23"/>
      <c r="B266" s="23"/>
      <c r="C266" s="23"/>
      <c r="D266" s="23"/>
      <c r="E266" s="23"/>
      <c r="F266" s="24"/>
      <c r="G266" s="23"/>
      <c r="H266" s="23"/>
      <c r="I266" s="24"/>
    </row>
    <row r="267" spans="1:9" ht="13.9">
      <c r="A267" s="23"/>
      <c r="B267" s="23"/>
      <c r="C267" s="23"/>
      <c r="D267" s="23"/>
      <c r="E267" s="23"/>
      <c r="F267" s="24"/>
      <c r="G267" s="23"/>
      <c r="H267" s="23"/>
      <c r="I267" s="24"/>
    </row>
    <row r="268" spans="1:9" ht="13.9">
      <c r="A268" s="23"/>
      <c r="B268" s="23"/>
      <c r="C268" s="23"/>
      <c r="D268" s="23"/>
      <c r="E268" s="23"/>
      <c r="F268" s="24"/>
      <c r="G268" s="23"/>
      <c r="H268" s="23"/>
      <c r="I268" s="24"/>
    </row>
    <row r="269" spans="1:9" ht="13.9">
      <c r="A269" s="23"/>
      <c r="B269" s="23"/>
      <c r="C269" s="23"/>
      <c r="D269" s="23"/>
      <c r="E269" s="23"/>
      <c r="F269" s="24"/>
      <c r="G269" s="23"/>
      <c r="H269" s="23"/>
      <c r="I269" s="24"/>
    </row>
    <row r="270" spans="1:9" ht="13.9">
      <c r="A270" s="23"/>
      <c r="B270" s="23"/>
      <c r="C270" s="23"/>
      <c r="D270" s="23"/>
      <c r="E270" s="23"/>
      <c r="F270" s="24"/>
      <c r="G270" s="23"/>
      <c r="H270" s="23"/>
      <c r="I270" s="24"/>
    </row>
    <row r="271" spans="1:9" ht="13.9">
      <c r="A271" s="23"/>
      <c r="B271" s="23"/>
      <c r="C271" s="23"/>
      <c r="D271" s="23"/>
      <c r="E271" s="23"/>
      <c r="F271" s="24"/>
      <c r="G271" s="23"/>
      <c r="H271" s="23"/>
      <c r="I271" s="24"/>
    </row>
    <row r="272" spans="1:9" ht="13.9">
      <c r="A272" s="23"/>
      <c r="B272" s="23"/>
      <c r="C272" s="23"/>
      <c r="D272" s="23"/>
      <c r="E272" s="23"/>
      <c r="F272" s="24"/>
      <c r="G272" s="23"/>
      <c r="H272" s="23"/>
      <c r="I272" s="24"/>
    </row>
    <row r="273" spans="1:9" ht="13.9">
      <c r="A273" s="23"/>
      <c r="B273" s="23"/>
      <c r="C273" s="23"/>
      <c r="D273" s="23"/>
      <c r="E273" s="23"/>
      <c r="F273" s="24"/>
      <c r="G273" s="23"/>
      <c r="H273" s="23"/>
      <c r="I273" s="24"/>
    </row>
    <row r="274" spans="1:9" ht="13.9">
      <c r="A274" s="23"/>
      <c r="B274" s="23"/>
      <c r="C274" s="23"/>
      <c r="D274" s="23"/>
      <c r="E274" s="23"/>
      <c r="F274" s="24"/>
      <c r="G274" s="23"/>
      <c r="H274" s="23"/>
      <c r="I274" s="24"/>
    </row>
    <row r="275" spans="1:9" ht="13.9">
      <c r="A275" s="23"/>
      <c r="B275" s="23"/>
      <c r="C275" s="23"/>
      <c r="D275" s="23"/>
      <c r="E275" s="23"/>
      <c r="F275" s="24"/>
      <c r="G275" s="23"/>
      <c r="H275" s="23"/>
      <c r="I275" s="24"/>
    </row>
    <row r="276" spans="1:9" ht="13.9">
      <c r="A276" s="23"/>
      <c r="B276" s="23"/>
      <c r="C276" s="23"/>
      <c r="D276" s="23"/>
      <c r="E276" s="23"/>
      <c r="F276" s="24"/>
      <c r="G276" s="23"/>
      <c r="H276" s="23"/>
      <c r="I276" s="24"/>
    </row>
    <row r="277" spans="1:9" ht="13.9">
      <c r="A277" s="23"/>
      <c r="B277" s="23"/>
      <c r="C277" s="23"/>
      <c r="D277" s="23"/>
      <c r="E277" s="23"/>
      <c r="F277" s="24"/>
      <c r="G277" s="23"/>
      <c r="H277" s="23"/>
      <c r="I277" s="24"/>
    </row>
    <row r="278" spans="1:9" ht="13.9">
      <c r="A278" s="23"/>
      <c r="B278" s="23"/>
      <c r="C278" s="23"/>
      <c r="D278" s="23"/>
      <c r="E278" s="23"/>
      <c r="F278" s="24"/>
      <c r="G278" s="23"/>
      <c r="H278" s="23"/>
      <c r="I278" s="24"/>
    </row>
    <row r="279" spans="1:9" ht="13.9">
      <c r="A279" s="23"/>
      <c r="B279" s="23"/>
      <c r="C279" s="23"/>
      <c r="D279" s="23"/>
      <c r="E279" s="23"/>
      <c r="F279" s="24"/>
      <c r="G279" s="23"/>
      <c r="H279" s="23"/>
      <c r="I279" s="24"/>
    </row>
    <row r="280" spans="1:9" ht="13.9">
      <c r="A280" s="23"/>
      <c r="B280" s="23"/>
      <c r="C280" s="23"/>
      <c r="D280" s="23"/>
      <c r="E280" s="23"/>
      <c r="F280" s="24"/>
      <c r="G280" s="23"/>
      <c r="H280" s="23"/>
      <c r="I280" s="24"/>
    </row>
    <row r="281" spans="1:9" ht="13.9">
      <c r="A281" s="23"/>
      <c r="B281" s="23"/>
      <c r="C281" s="23"/>
      <c r="D281" s="23"/>
      <c r="E281" s="23"/>
      <c r="F281" s="24"/>
      <c r="G281" s="23"/>
      <c r="H281" s="23"/>
      <c r="I281" s="24"/>
    </row>
    <row r="282" spans="1:9" ht="13.9">
      <c r="A282" s="23"/>
      <c r="B282" s="23"/>
      <c r="C282" s="23"/>
      <c r="D282" s="23"/>
      <c r="E282" s="23"/>
      <c r="F282" s="24"/>
      <c r="G282" s="23"/>
      <c r="H282" s="23"/>
      <c r="I282" s="24"/>
    </row>
    <row r="283" spans="1:9" ht="13.9">
      <c r="A283" s="23"/>
      <c r="B283" s="23"/>
      <c r="C283" s="23"/>
      <c r="D283" s="23"/>
      <c r="E283" s="23"/>
      <c r="F283" s="24"/>
      <c r="G283" s="23"/>
      <c r="H283" s="23"/>
      <c r="I283" s="24"/>
    </row>
    <row r="284" spans="1:9" ht="13.9">
      <c r="A284" s="23"/>
      <c r="B284" s="23"/>
      <c r="C284" s="23"/>
      <c r="D284" s="23"/>
      <c r="E284" s="23"/>
      <c r="F284" s="24"/>
      <c r="G284" s="23"/>
      <c r="H284" s="23"/>
      <c r="I284" s="24"/>
    </row>
    <row r="285" spans="1:9" ht="13.9">
      <c r="A285" s="23"/>
      <c r="B285" s="23"/>
      <c r="C285" s="23"/>
      <c r="D285" s="23"/>
      <c r="E285" s="23"/>
      <c r="F285" s="24"/>
      <c r="G285" s="23"/>
      <c r="H285" s="23"/>
      <c r="I285" s="24"/>
    </row>
    <row r="286" spans="1:9" ht="13.9">
      <c r="A286" s="23"/>
      <c r="B286" s="23"/>
      <c r="C286" s="23"/>
      <c r="D286" s="23"/>
      <c r="E286" s="23"/>
      <c r="F286" s="24"/>
      <c r="G286" s="23"/>
      <c r="H286" s="23"/>
      <c r="I286" s="24"/>
    </row>
    <row r="287" spans="1:9" ht="13.9">
      <c r="A287" s="23"/>
      <c r="B287" s="23"/>
      <c r="C287" s="23"/>
      <c r="D287" s="23"/>
      <c r="E287" s="23"/>
      <c r="F287" s="24"/>
      <c r="G287" s="23"/>
      <c r="H287" s="23"/>
      <c r="I287" s="24"/>
    </row>
    <row r="288" spans="1:9" ht="13.9">
      <c r="A288" s="23"/>
      <c r="B288" s="23"/>
      <c r="C288" s="23"/>
      <c r="D288" s="23"/>
      <c r="E288" s="23"/>
      <c r="F288" s="24"/>
      <c r="G288" s="23"/>
      <c r="H288" s="23"/>
      <c r="I288" s="24"/>
    </row>
    <row r="289" spans="1:9" ht="13.9">
      <c r="A289" s="23"/>
      <c r="B289" s="23"/>
      <c r="C289" s="23"/>
      <c r="D289" s="23"/>
      <c r="E289" s="23"/>
      <c r="F289" s="24"/>
      <c r="G289" s="23"/>
      <c r="H289" s="23"/>
      <c r="I289" s="24"/>
    </row>
    <row r="290" spans="1:9" ht="13.9">
      <c r="A290" s="23"/>
      <c r="B290" s="23"/>
      <c r="C290" s="23"/>
      <c r="D290" s="23"/>
      <c r="E290" s="23"/>
      <c r="F290" s="24"/>
      <c r="G290" s="23"/>
      <c r="H290" s="23"/>
      <c r="I290" s="24"/>
    </row>
    <row r="291" spans="1:9" ht="13.9">
      <c r="A291" s="23"/>
      <c r="B291" s="23"/>
      <c r="C291" s="23"/>
      <c r="D291" s="23"/>
      <c r="E291" s="23"/>
      <c r="F291" s="24"/>
      <c r="G291" s="23"/>
      <c r="H291" s="23"/>
      <c r="I291" s="24"/>
    </row>
    <row r="292" spans="1:9" ht="13.9">
      <c r="A292" s="23"/>
      <c r="B292" s="23"/>
      <c r="C292" s="23"/>
      <c r="D292" s="23"/>
      <c r="E292" s="23"/>
      <c r="F292" s="24"/>
      <c r="G292" s="23"/>
      <c r="H292" s="23"/>
      <c r="I292" s="24"/>
    </row>
    <row r="293" spans="1:9" ht="13.9">
      <c r="A293" s="23"/>
      <c r="B293" s="23"/>
      <c r="C293" s="23"/>
      <c r="D293" s="23"/>
      <c r="E293" s="23"/>
      <c r="F293" s="24"/>
      <c r="G293" s="23"/>
      <c r="H293" s="23"/>
      <c r="I293" s="24"/>
    </row>
    <row r="294" spans="1:9" ht="13.9">
      <c r="A294" s="23"/>
      <c r="B294" s="23"/>
      <c r="C294" s="23"/>
      <c r="D294" s="23"/>
      <c r="E294" s="23"/>
      <c r="F294" s="24"/>
      <c r="G294" s="23"/>
      <c r="H294" s="23"/>
      <c r="I294" s="24"/>
    </row>
    <row r="295" spans="1:9" ht="13.9">
      <c r="A295" s="23"/>
      <c r="B295" s="23"/>
      <c r="C295" s="23"/>
      <c r="D295" s="23"/>
      <c r="E295" s="23"/>
      <c r="F295" s="24"/>
      <c r="G295" s="23"/>
      <c r="H295" s="23"/>
      <c r="I295" s="24"/>
    </row>
    <row r="296" spans="1:9" ht="13.9">
      <c r="A296" s="23"/>
      <c r="B296" s="23"/>
      <c r="C296" s="23"/>
      <c r="D296" s="23"/>
      <c r="E296" s="23"/>
      <c r="F296" s="24"/>
      <c r="G296" s="23"/>
      <c r="H296" s="23"/>
      <c r="I296" s="24"/>
    </row>
    <row r="297" spans="1:9" ht="13.9">
      <c r="A297" s="23"/>
      <c r="B297" s="23"/>
      <c r="C297" s="23"/>
      <c r="D297" s="23"/>
      <c r="E297" s="23"/>
      <c r="F297" s="24"/>
      <c r="G297" s="23"/>
      <c r="H297" s="23"/>
      <c r="I297" s="24"/>
    </row>
    <row r="298" spans="1:9" ht="13.9">
      <c r="A298" s="23"/>
      <c r="B298" s="23"/>
      <c r="C298" s="23"/>
      <c r="D298" s="23"/>
      <c r="E298" s="23"/>
      <c r="F298" s="24"/>
      <c r="G298" s="23"/>
      <c r="H298" s="23"/>
      <c r="I298" s="24"/>
    </row>
    <row r="299" spans="1:9" ht="13.9">
      <c r="A299" s="23"/>
      <c r="B299" s="23"/>
      <c r="C299" s="23"/>
      <c r="D299" s="23"/>
      <c r="E299" s="23"/>
      <c r="F299" s="24"/>
      <c r="G299" s="23"/>
      <c r="H299" s="23"/>
      <c r="I299" s="24"/>
    </row>
    <row r="300" spans="1:9" ht="13.9">
      <c r="A300" s="23"/>
      <c r="B300" s="23"/>
      <c r="C300" s="23"/>
      <c r="D300" s="23"/>
      <c r="E300" s="23"/>
      <c r="F300" s="24"/>
      <c r="G300" s="23"/>
      <c r="H300" s="23"/>
      <c r="I300" s="24"/>
    </row>
    <row r="301" spans="1:9" ht="13.9">
      <c r="A301" s="23"/>
      <c r="B301" s="23"/>
      <c r="C301" s="23"/>
      <c r="D301" s="23"/>
      <c r="E301" s="23"/>
      <c r="F301" s="24"/>
      <c r="G301" s="23"/>
      <c r="H301" s="23"/>
      <c r="I301" s="24"/>
    </row>
    <row r="302" spans="1:9" ht="13.9">
      <c r="A302" s="23"/>
      <c r="B302" s="23"/>
      <c r="C302" s="23"/>
      <c r="D302" s="23"/>
      <c r="E302" s="23"/>
      <c r="F302" s="24"/>
      <c r="G302" s="23"/>
      <c r="H302" s="23"/>
      <c r="I302" s="24"/>
    </row>
    <row r="303" spans="1:9" ht="13.9">
      <c r="A303" s="23"/>
      <c r="B303" s="23"/>
      <c r="C303" s="23"/>
      <c r="D303" s="23"/>
      <c r="E303" s="23"/>
      <c r="F303" s="24"/>
      <c r="G303" s="23"/>
      <c r="H303" s="23"/>
      <c r="I303" s="24"/>
    </row>
    <row r="304" spans="1:9" ht="13.9">
      <c r="A304" s="23"/>
      <c r="B304" s="23"/>
      <c r="C304" s="23"/>
      <c r="D304" s="23"/>
      <c r="E304" s="23"/>
      <c r="F304" s="24"/>
      <c r="G304" s="23"/>
      <c r="H304" s="23"/>
      <c r="I304" s="24"/>
    </row>
    <row r="305" spans="1:9" ht="13.9">
      <c r="A305" s="23"/>
      <c r="B305" s="23"/>
      <c r="C305" s="23"/>
      <c r="D305" s="23"/>
      <c r="E305" s="23"/>
      <c r="F305" s="24"/>
      <c r="G305" s="23"/>
      <c r="H305" s="23"/>
      <c r="I305" s="24"/>
    </row>
    <row r="306" spans="1:9" ht="13.9">
      <c r="A306" s="23"/>
      <c r="B306" s="23"/>
      <c r="C306" s="23"/>
      <c r="D306" s="23"/>
      <c r="E306" s="23"/>
      <c r="F306" s="24"/>
      <c r="G306" s="23"/>
      <c r="H306" s="23"/>
      <c r="I306" s="24"/>
    </row>
    <row r="307" spans="1:9" ht="13.9">
      <c r="A307" s="23"/>
      <c r="B307" s="23"/>
      <c r="C307" s="23"/>
      <c r="D307" s="23"/>
      <c r="E307" s="23"/>
      <c r="F307" s="24"/>
      <c r="G307" s="23"/>
      <c r="H307" s="23"/>
      <c r="I307" s="24"/>
    </row>
    <row r="308" spans="1:9" ht="13.9">
      <c r="A308" s="23"/>
      <c r="B308" s="23"/>
      <c r="C308" s="23"/>
      <c r="D308" s="23"/>
      <c r="E308" s="23"/>
      <c r="F308" s="24"/>
      <c r="G308" s="23"/>
      <c r="H308" s="23"/>
      <c r="I308" s="24"/>
    </row>
    <row r="309" spans="1:9" ht="13.9">
      <c r="A309" s="23"/>
      <c r="B309" s="23"/>
      <c r="C309" s="23"/>
      <c r="D309" s="23"/>
      <c r="E309" s="23"/>
      <c r="F309" s="24"/>
      <c r="G309" s="23"/>
      <c r="H309" s="23"/>
      <c r="I309" s="24"/>
    </row>
    <row r="310" spans="1:9" ht="13.9">
      <c r="A310" s="23"/>
      <c r="B310" s="23"/>
      <c r="C310" s="23"/>
      <c r="D310" s="23"/>
      <c r="E310" s="23"/>
      <c r="F310" s="24"/>
      <c r="G310" s="23"/>
      <c r="H310" s="23"/>
      <c r="I310" s="24"/>
    </row>
    <row r="311" spans="1:9" ht="13.9">
      <c r="A311" s="23"/>
      <c r="B311" s="23"/>
      <c r="C311" s="23"/>
      <c r="D311" s="23"/>
      <c r="E311" s="23"/>
      <c r="F311" s="24"/>
      <c r="G311" s="23"/>
      <c r="H311" s="23"/>
      <c r="I311" s="24"/>
    </row>
    <row r="312" spans="1:9" ht="13.9">
      <c r="A312" s="23"/>
      <c r="B312" s="23"/>
      <c r="C312" s="23"/>
      <c r="D312" s="23"/>
      <c r="E312" s="23"/>
      <c r="F312" s="24"/>
      <c r="G312" s="23"/>
      <c r="H312" s="23"/>
      <c r="I312" s="24"/>
    </row>
    <row r="313" spans="1:9" ht="13.9">
      <c r="A313" s="23"/>
      <c r="B313" s="23"/>
      <c r="C313" s="23"/>
      <c r="D313" s="23"/>
      <c r="E313" s="23"/>
      <c r="F313" s="24"/>
      <c r="G313" s="23"/>
      <c r="H313" s="23"/>
      <c r="I313" s="24"/>
    </row>
    <row r="314" spans="1:9" ht="13.9">
      <c r="A314" s="23"/>
      <c r="B314" s="23"/>
      <c r="C314" s="23"/>
      <c r="D314" s="23"/>
      <c r="E314" s="23"/>
      <c r="F314" s="24"/>
      <c r="G314" s="23"/>
      <c r="H314" s="23"/>
      <c r="I314" s="24"/>
    </row>
    <row r="315" spans="1:9" ht="13.9">
      <c r="A315" s="23"/>
      <c r="B315" s="23"/>
      <c r="C315" s="23"/>
      <c r="D315" s="23"/>
      <c r="E315" s="23"/>
      <c r="F315" s="24"/>
      <c r="G315" s="23"/>
      <c r="H315" s="23"/>
      <c r="I315" s="24"/>
    </row>
    <row r="316" spans="1:9" ht="13.9">
      <c r="A316" s="23"/>
      <c r="B316" s="23"/>
      <c r="C316" s="23"/>
      <c r="D316" s="23"/>
      <c r="E316" s="23"/>
      <c r="F316" s="24"/>
      <c r="G316" s="23"/>
      <c r="H316" s="23"/>
      <c r="I316" s="24"/>
    </row>
    <row r="317" spans="1:9" ht="13.9">
      <c r="A317" s="23"/>
      <c r="B317" s="23"/>
      <c r="C317" s="23"/>
      <c r="D317" s="23"/>
      <c r="E317" s="23"/>
      <c r="F317" s="24"/>
      <c r="G317" s="23"/>
      <c r="H317" s="23"/>
      <c r="I317" s="24"/>
    </row>
    <row r="318" spans="1:9" ht="13.9">
      <c r="A318" s="23"/>
      <c r="B318" s="23"/>
      <c r="C318" s="23"/>
      <c r="D318" s="23"/>
      <c r="E318" s="23"/>
      <c r="F318" s="24"/>
      <c r="G318" s="23"/>
      <c r="H318" s="23"/>
      <c r="I318" s="24"/>
    </row>
    <row r="319" spans="1:9" ht="13.9">
      <c r="A319" s="23"/>
      <c r="B319" s="23"/>
      <c r="C319" s="23"/>
      <c r="D319" s="23"/>
      <c r="E319" s="23"/>
      <c r="F319" s="24"/>
      <c r="G319" s="23"/>
      <c r="H319" s="23"/>
      <c r="I319" s="24"/>
    </row>
    <row r="320" spans="1:9" ht="13.9">
      <c r="A320" s="23"/>
      <c r="B320" s="23"/>
      <c r="C320" s="23"/>
      <c r="D320" s="23"/>
      <c r="E320" s="23"/>
      <c r="F320" s="24"/>
      <c r="G320" s="23"/>
      <c r="H320" s="23"/>
      <c r="I320" s="24"/>
    </row>
    <row r="321" spans="1:9" ht="13.9">
      <c r="A321" s="23"/>
      <c r="B321" s="23"/>
      <c r="C321" s="23"/>
      <c r="D321" s="23"/>
      <c r="E321" s="23"/>
      <c r="F321" s="24"/>
      <c r="G321" s="23"/>
      <c r="H321" s="23"/>
      <c r="I321" s="24"/>
    </row>
    <row r="322" spans="1:9" ht="13.9">
      <c r="A322" s="23"/>
      <c r="B322" s="23"/>
      <c r="C322" s="23"/>
      <c r="D322" s="23"/>
      <c r="E322" s="23"/>
      <c r="F322" s="24"/>
      <c r="G322" s="23"/>
      <c r="H322" s="23"/>
      <c r="I322" s="24"/>
    </row>
    <row r="323" spans="1:9" ht="13.9">
      <c r="A323" s="23"/>
      <c r="B323" s="23"/>
      <c r="C323" s="23"/>
      <c r="D323" s="23"/>
      <c r="E323" s="23"/>
      <c r="F323" s="24"/>
      <c r="G323" s="23"/>
      <c r="H323" s="23"/>
      <c r="I323" s="24"/>
    </row>
    <row r="324" spans="1:9" ht="13.9">
      <c r="A324" s="23"/>
      <c r="B324" s="23"/>
      <c r="C324" s="23"/>
      <c r="D324" s="23"/>
      <c r="E324" s="23"/>
      <c r="F324" s="24"/>
      <c r="G324" s="23"/>
      <c r="H324" s="23"/>
      <c r="I324" s="24"/>
    </row>
    <row r="325" spans="1:9" ht="13.9">
      <c r="A325" s="23"/>
      <c r="B325" s="23"/>
      <c r="C325" s="23"/>
      <c r="D325" s="23"/>
      <c r="E325" s="23"/>
      <c r="F325" s="24"/>
      <c r="G325" s="23"/>
      <c r="H325" s="23"/>
      <c r="I325" s="24"/>
    </row>
    <row r="326" spans="1:9" ht="13.9">
      <c r="A326" s="23"/>
      <c r="B326" s="23"/>
      <c r="C326" s="23"/>
      <c r="D326" s="23"/>
      <c r="E326" s="23"/>
      <c r="F326" s="24"/>
      <c r="G326" s="23"/>
      <c r="H326" s="23"/>
      <c r="I326" s="24"/>
    </row>
    <row r="327" spans="1:9" ht="13.9">
      <c r="A327" s="23"/>
      <c r="B327" s="23"/>
      <c r="C327" s="23"/>
      <c r="D327" s="23"/>
      <c r="E327" s="23"/>
      <c r="F327" s="24"/>
      <c r="G327" s="23"/>
      <c r="H327" s="23"/>
      <c r="I327" s="24"/>
    </row>
    <row r="328" spans="1:9" ht="13.9">
      <c r="A328" s="23"/>
      <c r="B328" s="23"/>
      <c r="C328" s="23"/>
      <c r="D328" s="23"/>
      <c r="E328" s="23"/>
      <c r="F328" s="24"/>
      <c r="G328" s="23"/>
      <c r="H328" s="23"/>
      <c r="I328" s="24"/>
    </row>
    <row r="329" spans="1:9" ht="13.9">
      <c r="A329" s="23"/>
      <c r="B329" s="23"/>
      <c r="C329" s="23"/>
      <c r="D329" s="23"/>
      <c r="E329" s="23"/>
      <c r="F329" s="24"/>
      <c r="G329" s="23"/>
      <c r="H329" s="23"/>
      <c r="I329" s="24"/>
    </row>
    <row r="330" spans="1:9" ht="13.9">
      <c r="A330" s="23"/>
      <c r="B330" s="23"/>
      <c r="C330" s="23"/>
      <c r="D330" s="23"/>
      <c r="E330" s="23"/>
      <c r="F330" s="24"/>
      <c r="G330" s="23"/>
      <c r="H330" s="23"/>
      <c r="I330" s="24"/>
    </row>
    <row r="331" spans="1:9" ht="13.9">
      <c r="A331" s="23"/>
      <c r="B331" s="23"/>
      <c r="C331" s="23"/>
      <c r="D331" s="23"/>
      <c r="E331" s="23"/>
      <c r="F331" s="24"/>
      <c r="G331" s="23"/>
      <c r="H331" s="23"/>
      <c r="I331" s="24"/>
    </row>
  </sheetData>
  <mergeCells count="4">
    <mergeCell ref="G1:I1"/>
    <mergeCell ref="A1:C1"/>
    <mergeCell ref="D1:F1"/>
    <mergeCell ref="A2:B2"/>
  </mergeCells>
  <conditionalFormatting sqref="F2 I2">
    <cfRule type="cellIs" dxfId="36" priority="9" stopIfTrue="1" operator="lessThanOrEqual">
      <formula>-0.1</formula>
    </cfRule>
    <cfRule type="expression" dxfId="35" priority="10">
      <formula>AND(ISNUMBER(F2), F2&gt;=0.1)</formula>
    </cfRule>
  </conditionalFormatting>
  <conditionalFormatting sqref="F4:F89 I4:I89">
    <cfRule type="cellIs" dxfId="34" priority="1" stopIfTrue="1" operator="lessThanOrEqual">
      <formula>-0.1</formula>
    </cfRule>
    <cfRule type="expression" dxfId="33" priority="2">
      <formula>AND(ISNUMBER(F4), F4&gt;=0.1)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O330"/>
  <sheetViews>
    <sheetView zoomScale="70" zoomScaleNormal="70" workbookViewId="0">
      <pane ySplit="3" topLeftCell="A4" activePane="bottomLeft" state="frozen"/>
      <selection pane="bottomLeft" activeCell="F23" sqref="F23"/>
      <selection activeCell="J20" sqref="J20"/>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82.5703125" customWidth="1"/>
    <col min="11" max="11" width="20.5703125" bestFit="1" customWidth="1"/>
  </cols>
  <sheetData>
    <row r="1" spans="1:15" ht="19.5" customHeight="1">
      <c r="A1" s="89" t="str" cm="1">
        <f t="array" ref="A1">portfolio</f>
        <v>AB CarVal</v>
      </c>
      <c r="B1" s="89"/>
      <c r="C1" s="89"/>
      <c r="D1" s="90" t="s">
        <v>18</v>
      </c>
      <c r="E1" s="90"/>
      <c r="F1" s="90"/>
      <c r="G1" s="88" t="s">
        <v>19</v>
      </c>
      <c r="H1" s="88"/>
      <c r="I1" s="88"/>
      <c r="J1" s="5"/>
      <c r="K1" s="5"/>
    </row>
    <row r="2" spans="1:15" ht="19.5" customHeight="1">
      <c r="A2" s="91" t="s">
        <v>2</v>
      </c>
      <c r="B2" s="91"/>
      <c r="C2" s="6">
        <f>SUM(C4:C88)</f>
        <v>3950905.238610202</v>
      </c>
      <c r="D2" s="6">
        <f>SUM(D4:D88)</f>
        <v>4602075.2571258591</v>
      </c>
      <c r="E2" s="6">
        <f>C2-D2</f>
        <v>-651170.01851565717</v>
      </c>
      <c r="F2" s="7">
        <f>IFERROR(E2/D2, 0)</f>
        <v>-0.14149486528004615</v>
      </c>
      <c r="G2" s="6">
        <f>SUM(G4:G88)</f>
        <v>3574033.6</v>
      </c>
      <c r="H2" s="8">
        <f>C2-G2</f>
        <v>376871.63861020189</v>
      </c>
      <c r="I2" s="7">
        <f>IFERROR(H2/G2, 0)</f>
        <v>0.10544714481984777</v>
      </c>
      <c r="J2" s="28" t="str">
        <f ca="1">IF(AND(TODAY()&gt;DATE(2024, 1, 1), COUNTA(Sites[Site])&lt;&gt;(COUNT(C:C)-1)), "Some sites are missing actual data; if new sites were added, make sure they are aligned correctly (including prior months!)", "")</f>
        <v/>
      </c>
      <c r="K2" s="5"/>
    </row>
    <row r="3" spans="1:15" ht="14.25" customHeight="1">
      <c r="A3" s="29" t="s">
        <v>3</v>
      </c>
      <c r="B3" s="9" t="s">
        <v>4</v>
      </c>
      <c r="C3" s="25" t="s">
        <v>5</v>
      </c>
      <c r="D3" s="36" t="s">
        <v>6</v>
      </c>
      <c r="E3" s="36" t="s">
        <v>7</v>
      </c>
      <c r="F3" s="37" t="s">
        <v>8</v>
      </c>
      <c r="G3" s="41" t="s">
        <v>9</v>
      </c>
      <c r="H3" s="39" t="s">
        <v>7</v>
      </c>
      <c r="I3" s="40" t="s">
        <v>8</v>
      </c>
      <c r="J3" s="27" t="s">
        <v>20</v>
      </c>
      <c r="K3" s="27" t="s">
        <v>21</v>
      </c>
    </row>
    <row r="4" spans="1:15" ht="15.6">
      <c r="A4" s="33" t="str" cm="1">
        <f t="array" ref="A4:A11">Sites[Site]</f>
        <v>MA: Fairhaven - 279 Mill Rd</v>
      </c>
      <c r="B4" s="30" t="str" cm="1">
        <f t="array" ref="B4:B11">Sites[State]</f>
        <v>MA</v>
      </c>
      <c r="C4" s="26">
        <v>212302</v>
      </c>
      <c r="D4" s="14">
        <v>243217.7891500929</v>
      </c>
      <c r="E4" s="14">
        <f>IF(AND(ISNUMBER(C4),ISNUMBER(D4)), C4-D4, "")</f>
        <v>-30915.789150092896</v>
      </c>
      <c r="F4" s="15">
        <f>IFERROR(E4/D4, "")</f>
        <v>-0.12711154582124071</v>
      </c>
      <c r="G4" s="16">
        <v>174518.59999999995</v>
      </c>
      <c r="H4" s="16">
        <f>IF(AND(ISNUMBER(C4),ISNUMBER(G4)), C4-G4, "")</f>
        <v>37783.400000000052</v>
      </c>
      <c r="I4" s="17">
        <f>IFERROR(H4/G4, "")</f>
        <v>0.21650070536894098</v>
      </c>
      <c r="J4" s="18"/>
      <c r="K4" s="18"/>
    </row>
    <row r="5" spans="1:15" ht="57.6">
      <c r="A5" s="31" t="str">
        <v>Bakersfield - 100 Basic School Rd</v>
      </c>
      <c r="B5" s="32" t="str">
        <v>CA</v>
      </c>
      <c r="C5" s="12">
        <v>876708.03027687001</v>
      </c>
      <c r="D5" s="20">
        <v>547801</v>
      </c>
      <c r="E5" s="20">
        <f t="shared" ref="E5:E11" si="0">IF(AND(ISNUMBER(C5),ISNUMBER(D5)), C5-D5, "")</f>
        <v>328907.03027687001</v>
      </c>
      <c r="F5" s="21">
        <f t="shared" ref="F5:F11" si="1">IFERROR(E5/D5, "")</f>
        <v>0.60041334403710478</v>
      </c>
      <c r="G5" s="22">
        <v>621297.80000000005</v>
      </c>
      <c r="H5" s="22">
        <f t="shared" ref="H5:H11" si="2">IF(AND(ISNUMBER(C5),ISNUMBER(G5)), C5-G5, "")</f>
        <v>255410.23027686996</v>
      </c>
      <c r="I5" s="21">
        <f>IFERROR(H5/G5, "")</f>
        <v>0.41109147702900273</v>
      </c>
      <c r="J5" s="71" t="s">
        <v>22</v>
      </c>
      <c r="K5" s="73" t="s">
        <v>23</v>
      </c>
      <c r="L5" s="75" t="s">
        <v>24</v>
      </c>
    </row>
    <row r="6" spans="1:15" ht="117" customHeight="1">
      <c r="A6" s="33" t="str">
        <v>Fresno - 2685 Cornelia Ave</v>
      </c>
      <c r="B6" s="30" t="str">
        <v>CA</v>
      </c>
      <c r="C6" s="26">
        <v>1178944</v>
      </c>
      <c r="D6" s="14">
        <v>1571662</v>
      </c>
      <c r="E6" s="14">
        <f t="shared" ref="E6:E10" si="3">IF(AND(ISNUMBER(C6),ISNUMBER(D6)), C6-D6, "")</f>
        <v>-392718</v>
      </c>
      <c r="F6" s="15">
        <f t="shared" ref="F6:F10" si="4">IFERROR(E6/D6, "")</f>
        <v>-0.24987433684850813</v>
      </c>
      <c r="G6" s="16">
        <v>1030154</v>
      </c>
      <c r="H6" s="16">
        <f t="shared" ref="H6:H10" si="5">IF(AND(ISNUMBER(C6),ISNUMBER(G6)), C6-G6, "")</f>
        <v>148790</v>
      </c>
      <c r="I6" s="17">
        <f t="shared" ref="I6:I10" si="6">IFERROR(H6/G6, "")</f>
        <v>0.14443471558621332</v>
      </c>
      <c r="J6" s="18" t="s">
        <v>25</v>
      </c>
      <c r="K6" s="74" t="s">
        <v>26</v>
      </c>
      <c r="L6" s="75" t="s">
        <v>27</v>
      </c>
      <c r="M6" s="75" t="s">
        <v>28</v>
      </c>
      <c r="N6" s="75" t="s">
        <v>29</v>
      </c>
      <c r="O6" s="75" t="s">
        <v>30</v>
      </c>
    </row>
    <row r="7" spans="1:15" ht="86.45">
      <c r="A7" s="31" t="str">
        <v>San Juaquin - S. Placer &amp; W. Adams</v>
      </c>
      <c r="B7" s="32" t="str">
        <v>CA</v>
      </c>
      <c r="C7" s="12">
        <v>522765.20833333198</v>
      </c>
      <c r="D7" s="20">
        <v>599049.6</v>
      </c>
      <c r="E7" s="20">
        <f t="shared" si="0"/>
        <v>-76284.391666668002</v>
      </c>
      <c r="F7" s="21">
        <f t="shared" si="1"/>
        <v>-0.12734236308090016</v>
      </c>
      <c r="G7" s="22">
        <v>380972.2</v>
      </c>
      <c r="H7" s="22">
        <f t="shared" si="2"/>
        <v>141793.00833333196</v>
      </c>
      <c r="I7" s="21">
        <f t="shared" ref="I7:I11" si="7">IFERROR(H7/G7, "")</f>
        <v>0.37218728383155508</v>
      </c>
      <c r="J7" s="50" t="s">
        <v>31</v>
      </c>
      <c r="K7" s="73" t="s">
        <v>32</v>
      </c>
      <c r="L7" s="75" t="s">
        <v>33</v>
      </c>
      <c r="M7" s="75" t="s">
        <v>34</v>
      </c>
      <c r="N7" s="75" t="s">
        <v>35</v>
      </c>
      <c r="O7" s="76"/>
    </row>
    <row r="8" spans="1:15" ht="43.15">
      <c r="A8" s="33" t="str">
        <v xml:space="preserve">Charlemont - 0 Tea St </v>
      </c>
      <c r="B8" s="30" t="str">
        <v>MA</v>
      </c>
      <c r="C8" s="26">
        <v>99864</v>
      </c>
      <c r="D8" s="14">
        <v>266325.20172622107</v>
      </c>
      <c r="E8" s="14">
        <f t="shared" si="3"/>
        <v>-166461.20172622107</v>
      </c>
      <c r="F8" s="15">
        <f t="shared" si="4"/>
        <v>-0.62502985315426918</v>
      </c>
      <c r="G8" s="16">
        <v>193054.00000000003</v>
      </c>
      <c r="H8" s="16">
        <f t="shared" si="5"/>
        <v>-93190.000000000029</v>
      </c>
      <c r="I8" s="17">
        <f t="shared" si="6"/>
        <v>-0.48271468086649338</v>
      </c>
      <c r="J8" s="18" t="s">
        <v>36</v>
      </c>
      <c r="K8" s="74" t="s">
        <v>37</v>
      </c>
      <c r="L8" s="75" t="s">
        <v>38</v>
      </c>
      <c r="M8" s="76"/>
      <c r="N8" s="76"/>
      <c r="O8" s="76"/>
    </row>
    <row r="9" spans="1:15" ht="15.6">
      <c r="A9" s="31" t="str">
        <v xml:space="preserve">Amherst - 740 Belchertown Rd </v>
      </c>
      <c r="B9" s="32" t="str">
        <v>MA</v>
      </c>
      <c r="C9" s="12">
        <v>189777</v>
      </c>
      <c r="D9" s="20">
        <v>290332.72465638258</v>
      </c>
      <c r="E9" s="20">
        <f t="shared" si="0"/>
        <v>-100555.72465638258</v>
      </c>
      <c r="F9" s="21">
        <f t="shared" si="1"/>
        <v>-0.34634650563553687</v>
      </c>
      <c r="G9" s="22">
        <v>205706</v>
      </c>
      <c r="H9" s="22">
        <f t="shared" si="2"/>
        <v>-15929</v>
      </c>
      <c r="I9" s="21">
        <f t="shared" si="7"/>
        <v>-7.7435757829134783E-2</v>
      </c>
      <c r="J9" s="77" t="s">
        <v>39</v>
      </c>
      <c r="K9" s="19"/>
      <c r="L9" s="76"/>
      <c r="M9" s="76"/>
      <c r="N9" s="76"/>
      <c r="O9" s="76"/>
    </row>
    <row r="10" spans="1:15" ht="28.9">
      <c r="A10" s="33" t="str">
        <v xml:space="preserve"> Ludlow - Huxley 1 &amp; 2 - 504 Fuller St </v>
      </c>
      <c r="B10" s="30" t="str">
        <v>MA</v>
      </c>
      <c r="C10" s="26">
        <v>582212</v>
      </c>
      <c r="D10" s="14">
        <v>571527.02792272239</v>
      </c>
      <c r="E10" s="14">
        <f t="shared" si="3"/>
        <v>10684.972077277605</v>
      </c>
      <c r="F10" s="15">
        <f t="shared" si="4"/>
        <v>1.8695479925268464E-2</v>
      </c>
      <c r="G10" s="16">
        <v>539970</v>
      </c>
      <c r="H10" s="16">
        <f t="shared" si="5"/>
        <v>42242</v>
      </c>
      <c r="I10" s="17">
        <f t="shared" si="6"/>
        <v>7.8230272052151051E-2</v>
      </c>
      <c r="J10" s="18" t="s">
        <v>40</v>
      </c>
      <c r="K10" s="74" t="s">
        <v>41</v>
      </c>
      <c r="L10" s="76"/>
      <c r="M10" s="76"/>
      <c r="N10" s="76"/>
      <c r="O10" s="76"/>
    </row>
    <row r="11" spans="1:15" ht="115.15">
      <c r="A11" s="31" t="str">
        <v>Easthampton - Beacon 1 &amp; 2 - 540 Florence Rd</v>
      </c>
      <c r="B11" s="32" t="str">
        <v>MA</v>
      </c>
      <c r="C11" s="12">
        <v>288332.99999999994</v>
      </c>
      <c r="D11" s="20">
        <v>512159.91367044003</v>
      </c>
      <c r="E11" s="20">
        <f t="shared" si="0"/>
        <v>-223826.91367044009</v>
      </c>
      <c r="F11" s="21">
        <f t="shared" si="1"/>
        <v>-0.43702544399924703</v>
      </c>
      <c r="G11" s="22">
        <v>428361</v>
      </c>
      <c r="H11" s="22">
        <f t="shared" si="2"/>
        <v>-140028.00000000006</v>
      </c>
      <c r="I11" s="21">
        <f t="shared" si="7"/>
        <v>-0.32689250421957194</v>
      </c>
      <c r="J11" s="50" t="s">
        <v>42</v>
      </c>
      <c r="K11" s="73" t="s">
        <v>43</v>
      </c>
      <c r="L11" s="75" t="s">
        <v>44</v>
      </c>
      <c r="M11" s="75" t="s">
        <v>45</v>
      </c>
      <c r="N11" s="76"/>
      <c r="O11" s="76"/>
    </row>
    <row r="12" spans="1:15" ht="14.45">
      <c r="A12" s="23"/>
      <c r="B12" s="34"/>
      <c r="C12" s="23"/>
      <c r="D12" s="23"/>
      <c r="E12" s="23"/>
      <c r="F12" s="23"/>
      <c r="G12" s="23"/>
      <c r="H12" s="23"/>
      <c r="I12" s="23"/>
      <c r="J12" s="23"/>
      <c r="K12" s="23"/>
    </row>
    <row r="13" spans="1:15" ht="14.45">
      <c r="A13" s="23"/>
      <c r="B13" s="34"/>
      <c r="C13" s="23"/>
      <c r="D13" s="23"/>
      <c r="E13" s="23"/>
      <c r="F13" s="23"/>
      <c r="G13" s="23"/>
      <c r="H13" s="23"/>
      <c r="I13" s="23"/>
      <c r="J13" s="23"/>
      <c r="K13" s="23"/>
    </row>
    <row r="14" spans="1:15" ht="14.45">
      <c r="A14" s="23"/>
      <c r="B14" s="34"/>
      <c r="C14" s="23"/>
      <c r="D14" s="23"/>
      <c r="E14" s="23"/>
      <c r="F14" s="23"/>
      <c r="G14" s="23"/>
      <c r="H14" s="23"/>
      <c r="I14" s="23"/>
      <c r="J14" s="23"/>
      <c r="K14" s="23"/>
    </row>
    <row r="15" spans="1:15" ht="14.45">
      <c r="A15" s="23"/>
      <c r="B15" s="34"/>
      <c r="C15" s="23"/>
      <c r="D15" s="23"/>
      <c r="E15" s="23"/>
      <c r="F15" s="23"/>
      <c r="G15" s="23"/>
      <c r="H15" s="23"/>
      <c r="I15" s="23"/>
      <c r="J15" s="23"/>
      <c r="K15" s="23"/>
    </row>
    <row r="16" spans="1:15"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4"/>
      <c r="G21" s="23"/>
      <c r="H21" s="23"/>
      <c r="I21" s="24"/>
      <c r="J21" s="23"/>
      <c r="K21" s="23"/>
    </row>
    <row r="22" spans="1:11" ht="14.45">
      <c r="A22" s="23"/>
      <c r="B22" s="34"/>
      <c r="C22" s="23"/>
      <c r="D22" s="23"/>
      <c r="E22" s="23"/>
      <c r="F22" s="24"/>
      <c r="G22" s="23"/>
      <c r="H22" s="23"/>
      <c r="I22" s="24"/>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sheetData>
  <mergeCells count="4">
    <mergeCell ref="D1:F1"/>
    <mergeCell ref="A1:C1"/>
    <mergeCell ref="G1:I1"/>
    <mergeCell ref="A2:B2"/>
  </mergeCells>
  <conditionalFormatting sqref="F2 I2 F4:F88 I4:I88">
    <cfRule type="cellIs" dxfId="32" priority="2" stopIfTrue="1" operator="lessThanOrEqual">
      <formula>-0.1</formula>
    </cfRule>
    <cfRule type="expression" dxfId="31" priority="3">
      <formula>AND(ISNUMBER(F2), F2&gt;=0.1)</formula>
    </cfRule>
  </conditionalFormatting>
  <hyperlinks>
    <hyperlink ref="K5" r:id="rId1" display="https://us3.assetplanner.com/service_request?ID=095612" xr:uid="{B03A4168-A330-4698-B598-B6916A016F13}"/>
    <hyperlink ref="L5" r:id="rId2" display="https://us3.assetplanner.com/service_request?ID=096082" xr:uid="{F825A155-E490-458D-A18D-CDDA1EFEF86A}"/>
    <hyperlink ref="K6" r:id="rId3" display="https://us3.assetplanner.com/service_request?ID=095240" xr:uid="{0ED10E4E-EB37-4891-AAC5-FBD63A5718BE}"/>
    <hyperlink ref="L6" r:id="rId4" display="https://us3.assetplanner.com/service_request?ID=094675" xr:uid="{2C29EC93-85F8-4B0D-A37F-9E330E2F3DB0}"/>
    <hyperlink ref="M6" r:id="rId5" display="https://us3.assetplanner.com/service_request?ID=095640" xr:uid="{C0B612B2-C652-40E3-8427-B1F923D50811}"/>
    <hyperlink ref="N6" r:id="rId6" display="https://us3.assetplanner.com/service_request?ID=095229" xr:uid="{BF241C77-CF3D-4EA3-9D8E-A0FBB5339093}"/>
    <hyperlink ref="O6" r:id="rId7" display="https://us3.assetplanner.com/service_request?ID=094991" xr:uid="{ED556D68-FE72-4427-8012-9A283E44962D}"/>
    <hyperlink ref="K7" r:id="rId8" display="https://us3.assetplanner.com/service_request?ID=095174" xr:uid="{9C92CBC9-8652-499E-B29A-38AF307AA1CD}"/>
    <hyperlink ref="L7" r:id="rId9" display="https://us3.assetplanner.com/service_request?ID=095112" xr:uid="{F3CDE607-AC17-45BA-849F-A42BE982AAD9}"/>
    <hyperlink ref="M7" r:id="rId10" display="https://us3.assetplanner.com/service_request?ID=095204" xr:uid="{C2807BAA-F43F-440A-9CC4-09E631682FAF}"/>
    <hyperlink ref="N7" r:id="rId11" display="https://us3.assetplanner.com/service_request?ID=095076" xr:uid="{8787FAFD-D9BF-426B-BDAE-65E8E0198A95}"/>
    <hyperlink ref="K8" r:id="rId12" display="https://us3.assetplanner.com/service_request?ID=093625" xr:uid="{5E78489B-8CFF-4A99-A357-1EB6958B859A}"/>
    <hyperlink ref="L8" r:id="rId13" display="https://us3.assetplanner.com/service_request?ID=096136" xr:uid="{49D17FCE-2DF6-43F9-B956-D4F3327A8D72}"/>
    <hyperlink ref="K10" r:id="rId14" display="https://us3.assetplanner.com/service_request?ID=095236" xr:uid="{C9C90646-5D44-48EA-9E3B-D73870EDC61E}"/>
    <hyperlink ref="K11" r:id="rId15" display="https://us3.assetplanner.com/service_request?ID=095594" xr:uid="{F08AB614-4AEE-438A-9F82-DEF12FDB7532}"/>
    <hyperlink ref="L11" r:id="rId16" display="https://us3.assetplanner.com/service_request?ID=095883" xr:uid="{52F688CB-96A0-434E-BD96-C72FDF4DAC29}"/>
    <hyperlink ref="M11" r:id="rId17" display="https://us3.assetplanner.com/service_request?ID=096095" xr:uid="{6A29C5F2-B56B-4FFA-B9DA-398460A3B0E2}"/>
  </hyperlinks>
  <pageMargins left="0.4" right="0.7" top="0.25" bottom="0.25" header="0.3" footer="0.3"/>
  <pageSetup fitToHeight="99" orientation="landscape" r:id="rId18"/>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Q327"/>
  <sheetViews>
    <sheetView zoomScale="70" zoomScaleNormal="70" workbookViewId="0">
      <pane ySplit="2" topLeftCell="A6" activePane="bottomLeft" state="frozen"/>
      <selection pane="bottomLeft" activeCell="J14" sqref="J14"/>
      <selection activeCell="J20" sqref="J20"/>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7" ht="19.5" customHeight="1">
      <c r="A1" s="89" t="str" cm="1">
        <f t="array" ref="A1">portfolio</f>
        <v>AB CarVal</v>
      </c>
      <c r="B1" s="89"/>
      <c r="C1" s="89"/>
      <c r="D1" s="90" t="s">
        <v>46</v>
      </c>
      <c r="E1" s="90"/>
      <c r="F1" s="90"/>
      <c r="G1" s="88" t="s">
        <v>47</v>
      </c>
      <c r="H1" s="88"/>
      <c r="I1" s="88"/>
      <c r="J1" s="5"/>
      <c r="K1" s="5"/>
    </row>
    <row r="2" spans="1:17" ht="19.5" customHeight="1">
      <c r="A2" s="91" t="s">
        <v>2</v>
      </c>
      <c r="B2" s="91"/>
      <c r="C2" s="6">
        <f>SUM(C4:C85)</f>
        <v>3635954.5</v>
      </c>
      <c r="D2" s="6">
        <f>SUM(D4:D85)</f>
        <v>4695270.9437999995</v>
      </c>
      <c r="E2" s="6">
        <f>C2-D2</f>
        <v>-1059316.4437999995</v>
      </c>
      <c r="F2" s="7">
        <f>IFERROR(E2/D2, 0)</f>
        <v>-0.22561348567089684</v>
      </c>
      <c r="G2" s="6">
        <f>SUM(G4:G85)</f>
        <v>4970555.5</v>
      </c>
      <c r="H2" s="8">
        <f>C2-G2</f>
        <v>-1334601</v>
      </c>
      <c r="I2" s="7">
        <f>IFERROR(H2/G2, 0)</f>
        <v>-0.26850137776351152</v>
      </c>
      <c r="J2" s="28" t="str">
        <f ca="1">IF(AND(TODAY()&gt;DATE(2024, 2, 1), COUNTA(Sites[Site])&lt;&gt;(COUNT(C:C)-1)), "Some sites are missing actual data; if new sites were added, make sure they are aligned correctly (including prior months!)", "")</f>
        <v/>
      </c>
      <c r="K2" s="5"/>
    </row>
    <row r="3" spans="1:17" ht="14.25" customHeight="1">
      <c r="A3" s="9" t="s">
        <v>3</v>
      </c>
      <c r="B3" s="9" t="s">
        <v>4</v>
      </c>
      <c r="C3" s="25" t="s">
        <v>5</v>
      </c>
      <c r="D3" s="36" t="s">
        <v>6</v>
      </c>
      <c r="E3" s="36" t="s">
        <v>7</v>
      </c>
      <c r="F3" s="37" t="s">
        <v>8</v>
      </c>
      <c r="G3" s="38" t="s">
        <v>9</v>
      </c>
      <c r="H3" s="39" t="s">
        <v>7</v>
      </c>
      <c r="I3" s="40" t="s">
        <v>8</v>
      </c>
      <c r="J3" s="27" t="s">
        <v>20</v>
      </c>
      <c r="K3" s="27" t="s">
        <v>21</v>
      </c>
    </row>
    <row r="4" spans="1:17" ht="15.6">
      <c r="A4" s="33" t="str" cm="1">
        <f t="array" ref="A4:A11">Sites[Site]</f>
        <v>MA: Fairhaven - 279 Mill Rd</v>
      </c>
      <c r="B4" s="30" t="str" cm="1">
        <f t="array" ref="B4:B11">Sites[State]</f>
        <v>MA</v>
      </c>
      <c r="C4" s="26">
        <v>239618</v>
      </c>
      <c r="D4" s="14">
        <v>252478.3854</v>
      </c>
      <c r="E4" s="14">
        <f>IF(AND(ISNUMBER(C4),ISNUMBER(D4)), C4-D4, "")</f>
        <v>-12860.385399999999</v>
      </c>
      <c r="F4" s="15">
        <f>IFERROR(E4/D4, "")</f>
        <v>-5.0936579698200174E-2</v>
      </c>
      <c r="G4" s="16">
        <v>233283.20000000001</v>
      </c>
      <c r="H4" s="16">
        <f>IF(AND(ISNUMBER(C4),ISNUMBER(G4)), C4-G4, "")</f>
        <v>6334.7999999999884</v>
      </c>
      <c r="I4" s="17">
        <f>IFERROR(H4/G4, "")</f>
        <v>2.7154977297979402E-2</v>
      </c>
      <c r="J4" s="18"/>
      <c r="K4" s="18"/>
      <c r="L4" s="76"/>
      <c r="M4" s="76"/>
      <c r="N4" s="76"/>
      <c r="O4" s="76"/>
      <c r="P4" s="76"/>
      <c r="Q4" s="76"/>
    </row>
    <row r="5" spans="1:17" ht="100.9">
      <c r="A5" s="31" t="str">
        <v>Bakersfield - 100 Basic School Rd</v>
      </c>
      <c r="B5" s="32" t="str">
        <v>CA</v>
      </c>
      <c r="C5" s="12">
        <v>814344</v>
      </c>
      <c r="D5" s="20">
        <v>819337.6</v>
      </c>
      <c r="E5" s="20">
        <f>IF(AND(ISNUMBER(C5),ISNUMBER(D5)), C5-D5, "")</f>
        <v>-4993.5999999999767</v>
      </c>
      <c r="F5" s="21">
        <f>IFERROR(E5/D5, "")</f>
        <v>-6.0946794093179376E-3</v>
      </c>
      <c r="G5" s="22">
        <v>818347.8</v>
      </c>
      <c r="H5" s="22">
        <f>IF(AND(ISNUMBER(C5),ISNUMBER(D5)), C5-G5, "")</f>
        <v>-4003.8000000000466</v>
      </c>
      <c r="I5" s="21">
        <f>IFERROR(H5/G5, "")</f>
        <v>-4.8925407998897854E-3</v>
      </c>
      <c r="J5" s="50" t="s">
        <v>48</v>
      </c>
      <c r="K5" s="73" t="s">
        <v>49</v>
      </c>
      <c r="L5" s="75" t="s">
        <v>50</v>
      </c>
      <c r="M5" s="75" t="s">
        <v>51</v>
      </c>
      <c r="N5" s="76"/>
      <c r="O5" s="76"/>
      <c r="P5" s="76"/>
      <c r="Q5" s="76"/>
    </row>
    <row r="6" spans="1:17" ht="242.25" customHeight="1">
      <c r="A6" s="52" t="str">
        <v>Fresno - 2685 Cornelia Ave</v>
      </c>
      <c r="B6" s="30" t="str">
        <v>CA</v>
      </c>
      <c r="C6" s="26">
        <v>785248</v>
      </c>
      <c r="D6" s="14">
        <v>1206122</v>
      </c>
      <c r="E6" s="14">
        <f t="shared" ref="E6:E11" si="0">IF(AND(ISNUMBER(C6),ISNUMBER(D6)), C6-D6, "")</f>
        <v>-420874</v>
      </c>
      <c r="F6" s="15">
        <f t="shared" ref="F6:F11" si="1">IFERROR(E6/D6, "")</f>
        <v>-0.34894811635970491</v>
      </c>
      <c r="G6" s="16">
        <v>1544081</v>
      </c>
      <c r="H6" s="16">
        <f t="shared" ref="H6" si="2">IF(AND(ISNUMBER(C6),ISNUMBER(G6)), C6-G6, "")</f>
        <v>-758833</v>
      </c>
      <c r="I6" s="17">
        <f t="shared" ref="I6:I11" si="3">IFERROR(H6/G6, "")</f>
        <v>-0.49144636842238199</v>
      </c>
      <c r="J6" s="18" t="s">
        <v>52</v>
      </c>
      <c r="K6" s="74" t="s">
        <v>53</v>
      </c>
      <c r="L6" s="75" t="s">
        <v>27</v>
      </c>
      <c r="M6" s="75" t="s">
        <v>30</v>
      </c>
      <c r="N6" s="75" t="s">
        <v>54</v>
      </c>
      <c r="O6" s="75" t="s">
        <v>55</v>
      </c>
      <c r="P6" s="75" t="s">
        <v>56</v>
      </c>
      <c r="Q6" s="75" t="s">
        <v>57</v>
      </c>
    </row>
    <row r="7" spans="1:17" ht="72.75" customHeight="1">
      <c r="A7" s="31" t="str">
        <v>San Juaquin - S. Placer &amp; W. Adams</v>
      </c>
      <c r="B7" s="32" t="str">
        <v>CA</v>
      </c>
      <c r="C7" s="12">
        <v>527379.5</v>
      </c>
      <c r="D7" s="20">
        <v>594082.80000000005</v>
      </c>
      <c r="E7" s="20">
        <f t="shared" si="0"/>
        <v>-66703.300000000047</v>
      </c>
      <c r="F7" s="21">
        <f t="shared" si="1"/>
        <v>-0.11227946676793209</v>
      </c>
      <c r="G7" s="22">
        <v>562070.1</v>
      </c>
      <c r="H7" s="22">
        <f t="shared" ref="H7" si="4">IF(AND(ISNUMBER(C7),ISNUMBER(D7)), C7-G7, "")</f>
        <v>-34690.599999999977</v>
      </c>
      <c r="I7" s="21">
        <f t="shared" si="3"/>
        <v>-6.1719347818003444E-2</v>
      </c>
      <c r="J7" s="50" t="s">
        <v>58</v>
      </c>
      <c r="K7" s="73" t="s">
        <v>59</v>
      </c>
      <c r="L7" s="75" t="s">
        <v>33</v>
      </c>
      <c r="M7" s="75" t="s">
        <v>60</v>
      </c>
      <c r="N7" s="76"/>
      <c r="O7" s="76"/>
      <c r="P7" s="76"/>
      <c r="Q7" s="76"/>
    </row>
    <row r="8" spans="1:17" ht="187.15">
      <c r="A8" s="52" t="str">
        <v xml:space="preserve">Charlemont - 0 Tea St </v>
      </c>
      <c r="B8" s="30" t="str">
        <v>MA</v>
      </c>
      <c r="C8" s="26">
        <v>18183</v>
      </c>
      <c r="D8" s="14">
        <v>294907.1728</v>
      </c>
      <c r="E8" s="14">
        <f t="shared" si="0"/>
        <v>-276724.1728</v>
      </c>
      <c r="F8" s="15">
        <f t="shared" si="1"/>
        <v>-0.93834331044795805</v>
      </c>
      <c r="G8" s="16">
        <v>262008.4</v>
      </c>
      <c r="H8" s="16">
        <f t="shared" ref="H8" si="5">IF(AND(ISNUMBER(C8),ISNUMBER(G8)), C8-G8, "")</f>
        <v>-243825.4</v>
      </c>
      <c r="I8" s="17">
        <f t="shared" si="3"/>
        <v>-0.93060146163252777</v>
      </c>
      <c r="J8" s="18" t="s">
        <v>61</v>
      </c>
      <c r="K8" s="74" t="s">
        <v>62</v>
      </c>
      <c r="L8" s="75"/>
      <c r="M8" s="76"/>
      <c r="N8" s="76"/>
      <c r="O8" s="76"/>
      <c r="P8" s="76"/>
      <c r="Q8" s="76"/>
    </row>
    <row r="9" spans="1:17" ht="28.9">
      <c r="A9" s="31" t="str">
        <v xml:space="preserve">Amherst - 740 Belchertown Rd </v>
      </c>
      <c r="B9" s="32" t="str">
        <v>MA</v>
      </c>
      <c r="C9" s="12">
        <v>189719</v>
      </c>
      <c r="D9" s="20">
        <v>310307.21380000003</v>
      </c>
      <c r="E9" s="20">
        <f t="shared" si="0"/>
        <v>-120588.21380000003</v>
      </c>
      <c r="F9" s="21">
        <f t="shared" si="1"/>
        <v>-0.38860912166135408</v>
      </c>
      <c r="G9" s="22">
        <v>282634</v>
      </c>
      <c r="H9" s="22">
        <f t="shared" ref="H9" si="6">IF(AND(ISNUMBER(C9),ISNUMBER(D9)), C9-G9, "")</f>
        <v>-92915</v>
      </c>
      <c r="I9" s="21">
        <f t="shared" si="3"/>
        <v>-0.32874671837075509</v>
      </c>
      <c r="J9" s="50" t="s">
        <v>63</v>
      </c>
      <c r="K9" s="19"/>
      <c r="L9" s="76"/>
      <c r="M9" s="76"/>
      <c r="N9" s="76"/>
      <c r="O9" s="76"/>
      <c r="P9" s="76"/>
      <c r="Q9" s="76"/>
    </row>
    <row r="10" spans="1:17" ht="28.9">
      <c r="A10" s="33" t="str">
        <v xml:space="preserve"> Ludlow - Huxley 1 &amp; 2 - 504 Fuller St </v>
      </c>
      <c r="B10" s="30" t="str">
        <v>MA</v>
      </c>
      <c r="C10" s="26">
        <v>662855</v>
      </c>
      <c r="D10" s="14">
        <v>626007.45759999997</v>
      </c>
      <c r="E10" s="14">
        <f t="shared" si="0"/>
        <v>36847.542400000035</v>
      </c>
      <c r="F10" s="15">
        <f t="shared" si="1"/>
        <v>5.8861187598733863E-2</v>
      </c>
      <c r="G10" s="16">
        <v>692519</v>
      </c>
      <c r="H10" s="16">
        <f t="shared" ref="H10" si="7">IF(AND(ISNUMBER(C10),ISNUMBER(G10)), C10-G10, "")</f>
        <v>-29664</v>
      </c>
      <c r="I10" s="17">
        <f t="shared" si="3"/>
        <v>-4.2834925828749822E-2</v>
      </c>
      <c r="J10" s="18" t="s">
        <v>64</v>
      </c>
      <c r="K10" s="74" t="s">
        <v>65</v>
      </c>
      <c r="L10" s="76"/>
      <c r="M10" s="76"/>
      <c r="N10" s="76"/>
      <c r="O10" s="76"/>
      <c r="P10" s="76"/>
      <c r="Q10" s="76"/>
    </row>
    <row r="11" spans="1:17" ht="153.75" customHeight="1">
      <c r="A11" s="31" t="str">
        <v>Easthampton - Beacon 1 &amp; 2 - 540 Florence Rd</v>
      </c>
      <c r="B11" s="32" t="str">
        <v>MA</v>
      </c>
      <c r="C11" s="12">
        <v>398608</v>
      </c>
      <c r="D11" s="20">
        <v>592028.31420000002</v>
      </c>
      <c r="E11" s="20">
        <f t="shared" si="0"/>
        <v>-193420.31420000002</v>
      </c>
      <c r="F11" s="21">
        <f t="shared" si="1"/>
        <v>-0.32670787791858624</v>
      </c>
      <c r="G11" s="22">
        <v>575612</v>
      </c>
      <c r="H11" s="22">
        <f t="shared" ref="H11" si="8">IF(AND(ISNUMBER(C11),ISNUMBER(D11)), C11-G11, "")</f>
        <v>-177004</v>
      </c>
      <c r="I11" s="21">
        <f t="shared" si="3"/>
        <v>-0.30750575040131201</v>
      </c>
      <c r="J11" s="50" t="s">
        <v>66</v>
      </c>
      <c r="K11" s="73" t="s">
        <v>67</v>
      </c>
      <c r="L11" s="75" t="s">
        <v>68</v>
      </c>
      <c r="M11" s="75" t="s">
        <v>69</v>
      </c>
      <c r="N11" s="76"/>
      <c r="O11" s="76"/>
      <c r="P11" s="76"/>
      <c r="Q11" s="76"/>
    </row>
    <row r="12" spans="1:17" ht="14.45">
      <c r="A12" s="23"/>
      <c r="B12" s="34"/>
      <c r="C12" s="23"/>
      <c r="D12" s="23"/>
      <c r="E12" s="23"/>
      <c r="F12" s="23"/>
      <c r="G12" s="23"/>
      <c r="H12" s="23"/>
      <c r="I12" s="23"/>
      <c r="J12" s="23"/>
      <c r="K12" s="23"/>
      <c r="L12" s="76"/>
      <c r="M12" s="76"/>
      <c r="N12" s="76"/>
      <c r="O12" s="76"/>
      <c r="P12" s="76"/>
      <c r="Q12" s="76"/>
    </row>
    <row r="13" spans="1:17" ht="14.45">
      <c r="A13" s="23"/>
      <c r="B13" s="34"/>
      <c r="C13" s="23"/>
      <c r="D13" s="23"/>
      <c r="E13" s="23"/>
      <c r="F13" s="23"/>
      <c r="G13" s="23"/>
      <c r="H13" s="23"/>
      <c r="I13" s="23"/>
      <c r="J13" s="23"/>
      <c r="K13" s="23"/>
      <c r="L13" s="76"/>
      <c r="M13" s="76"/>
      <c r="N13" s="76"/>
      <c r="O13" s="76"/>
      <c r="P13" s="76"/>
      <c r="Q13" s="76"/>
    </row>
    <row r="14" spans="1:17" ht="14.45">
      <c r="A14" s="23"/>
      <c r="B14" s="34"/>
      <c r="C14" s="23"/>
      <c r="D14" s="23"/>
      <c r="E14" s="23"/>
      <c r="F14" s="23"/>
      <c r="G14" s="23"/>
      <c r="H14" s="23"/>
      <c r="I14" s="23"/>
      <c r="J14" s="23"/>
      <c r="K14" s="23"/>
      <c r="L14" s="76"/>
      <c r="M14" s="76"/>
      <c r="N14" s="76"/>
      <c r="O14" s="76"/>
      <c r="P14" s="76"/>
      <c r="Q14" s="76"/>
    </row>
    <row r="15" spans="1:17" ht="14.45">
      <c r="A15" s="23"/>
      <c r="B15" s="34"/>
      <c r="C15" s="23"/>
      <c r="D15" s="23"/>
      <c r="E15" s="23"/>
      <c r="F15" s="23"/>
      <c r="G15" s="23"/>
      <c r="H15" s="23"/>
      <c r="I15" s="23"/>
      <c r="J15" s="23"/>
      <c r="K15" s="23"/>
      <c r="L15" s="76"/>
      <c r="M15" s="76"/>
      <c r="N15" s="76"/>
      <c r="O15" s="76"/>
      <c r="P15" s="76"/>
      <c r="Q15" s="76"/>
    </row>
    <row r="16" spans="1:17" ht="14.45">
      <c r="A16" s="23"/>
      <c r="B16" s="34"/>
      <c r="C16" s="23"/>
      <c r="D16" s="23"/>
      <c r="E16" s="23"/>
      <c r="F16" s="23"/>
      <c r="G16" s="23"/>
      <c r="H16" s="23"/>
      <c r="I16" s="23"/>
      <c r="J16" s="23"/>
      <c r="K16" s="23"/>
      <c r="L16" s="76"/>
      <c r="M16" s="76"/>
      <c r="N16" s="76"/>
      <c r="O16" s="76"/>
      <c r="P16" s="76"/>
      <c r="Q16" s="76"/>
    </row>
    <row r="17" spans="1:17" ht="14.45">
      <c r="A17" s="23"/>
      <c r="B17" s="34"/>
      <c r="C17" s="23"/>
      <c r="D17" s="23"/>
      <c r="E17" s="23"/>
      <c r="F17" s="23"/>
      <c r="G17" s="23"/>
      <c r="H17" s="23"/>
      <c r="I17" s="23"/>
      <c r="J17" s="23"/>
      <c r="K17" s="23"/>
      <c r="L17" s="76"/>
      <c r="M17" s="76"/>
      <c r="N17" s="76"/>
      <c r="O17" s="76"/>
      <c r="P17" s="76"/>
      <c r="Q17" s="76"/>
    </row>
    <row r="18" spans="1:17" ht="14.45">
      <c r="A18" s="23"/>
      <c r="B18" s="34"/>
      <c r="C18" s="23"/>
      <c r="D18" s="23"/>
      <c r="E18" s="23"/>
      <c r="F18" s="24"/>
      <c r="G18" s="23"/>
      <c r="H18" s="23"/>
      <c r="I18" s="24"/>
      <c r="J18" s="23"/>
      <c r="K18" s="23"/>
      <c r="L18" s="76"/>
      <c r="M18" s="76"/>
      <c r="N18" s="76"/>
      <c r="O18" s="76"/>
      <c r="P18" s="76"/>
      <c r="Q18" s="76"/>
    </row>
    <row r="19" spans="1:17" ht="14.45">
      <c r="A19" s="23"/>
      <c r="B19" s="34"/>
      <c r="C19" s="23"/>
      <c r="D19" s="23"/>
      <c r="E19" s="23"/>
      <c r="F19" s="24"/>
      <c r="G19" s="23"/>
      <c r="H19" s="23"/>
      <c r="I19" s="24"/>
      <c r="J19" s="23"/>
      <c r="K19" s="23"/>
    </row>
    <row r="20" spans="1:17" ht="14.45">
      <c r="A20" s="23"/>
      <c r="B20" s="34"/>
      <c r="C20" s="23"/>
      <c r="D20" s="23"/>
      <c r="E20" s="23"/>
      <c r="F20" s="24"/>
      <c r="G20" s="23"/>
      <c r="H20" s="23"/>
      <c r="I20" s="24"/>
      <c r="J20" s="23"/>
      <c r="K20" s="23"/>
    </row>
    <row r="21" spans="1:17" ht="14.45">
      <c r="A21" s="23"/>
      <c r="B21" s="34"/>
      <c r="C21" s="23"/>
      <c r="D21" s="23"/>
      <c r="E21" s="23"/>
      <c r="F21" s="24"/>
      <c r="G21" s="23"/>
      <c r="H21" s="23"/>
      <c r="I21" s="24"/>
      <c r="J21" s="23"/>
      <c r="K21" s="23"/>
    </row>
    <row r="22" spans="1:17" ht="14.45">
      <c r="A22" s="23"/>
      <c r="B22" s="34"/>
      <c r="C22" s="23"/>
      <c r="D22" s="23"/>
      <c r="E22" s="23"/>
      <c r="F22" s="24"/>
      <c r="G22" s="23"/>
      <c r="H22" s="23"/>
      <c r="I22" s="24"/>
      <c r="J22" s="23"/>
      <c r="K22" s="23"/>
    </row>
    <row r="23" spans="1:17" ht="14.45">
      <c r="A23" s="23"/>
      <c r="B23" s="34"/>
      <c r="C23" s="23"/>
      <c r="D23" s="23"/>
      <c r="E23" s="23"/>
      <c r="F23" s="24"/>
      <c r="G23" s="23"/>
      <c r="H23" s="23"/>
      <c r="I23" s="24"/>
      <c r="J23" s="23"/>
      <c r="K23" s="23"/>
    </row>
    <row r="24" spans="1:17" ht="14.45">
      <c r="A24" s="23"/>
      <c r="B24" s="34"/>
      <c r="C24" s="23"/>
      <c r="D24" s="23"/>
      <c r="E24" s="23"/>
      <c r="F24" s="24"/>
      <c r="G24" s="23"/>
      <c r="H24" s="23"/>
      <c r="I24" s="24"/>
      <c r="J24" s="23"/>
      <c r="K24" s="23"/>
    </row>
    <row r="25" spans="1:17" ht="14.45">
      <c r="A25" s="23"/>
      <c r="B25" s="34"/>
      <c r="C25" s="23"/>
      <c r="D25" s="23"/>
      <c r="E25" s="23"/>
      <c r="F25" s="24"/>
      <c r="G25" s="23"/>
      <c r="H25" s="23"/>
      <c r="I25" s="24"/>
      <c r="J25" s="23"/>
      <c r="K25" s="23"/>
    </row>
    <row r="26" spans="1:17" ht="14.45">
      <c r="A26" s="23"/>
      <c r="B26" s="34"/>
      <c r="C26" s="23"/>
      <c r="D26" s="23"/>
      <c r="E26" s="23"/>
      <c r="F26" s="24"/>
      <c r="G26" s="23"/>
      <c r="H26" s="23"/>
      <c r="I26" s="24"/>
      <c r="J26" s="23"/>
      <c r="K26" s="23"/>
    </row>
    <row r="27" spans="1:17" ht="14.45">
      <c r="A27" s="23"/>
      <c r="B27" s="34"/>
      <c r="C27" s="23"/>
      <c r="D27" s="23"/>
      <c r="E27" s="23"/>
      <c r="F27" s="24"/>
      <c r="G27" s="23"/>
      <c r="H27" s="23"/>
      <c r="I27" s="24"/>
      <c r="J27" s="23"/>
      <c r="K27" s="23"/>
    </row>
    <row r="28" spans="1:17" ht="14.45">
      <c r="A28" s="23"/>
      <c r="B28" s="34"/>
      <c r="C28" s="23"/>
      <c r="D28" s="23"/>
      <c r="E28" s="23"/>
      <c r="F28" s="24"/>
      <c r="G28" s="23"/>
      <c r="H28" s="23"/>
      <c r="I28" s="24"/>
      <c r="J28" s="23"/>
      <c r="K28" s="23"/>
    </row>
    <row r="29" spans="1:17" ht="14.45">
      <c r="A29" s="23"/>
      <c r="B29" s="34"/>
      <c r="C29" s="23"/>
      <c r="D29" s="23"/>
      <c r="E29" s="23"/>
      <c r="F29" s="24"/>
      <c r="G29" s="23"/>
      <c r="H29" s="23"/>
      <c r="I29" s="24"/>
      <c r="J29" s="23"/>
      <c r="K29" s="23"/>
    </row>
    <row r="30" spans="1:17" ht="14.45">
      <c r="A30" s="23"/>
      <c r="B30" s="34"/>
      <c r="C30" s="23"/>
      <c r="D30" s="23"/>
      <c r="E30" s="23"/>
      <c r="F30" s="24"/>
      <c r="G30" s="23"/>
      <c r="H30" s="23"/>
      <c r="I30" s="24"/>
      <c r="J30" s="23"/>
      <c r="K30" s="23"/>
    </row>
    <row r="31" spans="1:17" ht="14.45">
      <c r="A31" s="23"/>
      <c r="B31" s="34"/>
      <c r="C31" s="23"/>
      <c r="D31" s="23"/>
      <c r="E31" s="23"/>
      <c r="F31" s="24"/>
      <c r="G31" s="23"/>
      <c r="H31" s="23"/>
      <c r="I31" s="24"/>
      <c r="J31" s="23"/>
      <c r="K31" s="23"/>
    </row>
    <row r="32" spans="1:17"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C327" s="23"/>
      <c r="D327" s="23"/>
      <c r="E327" s="23"/>
      <c r="F327" s="24"/>
      <c r="G327" s="23"/>
      <c r="H327" s="23"/>
      <c r="I327" s="24"/>
      <c r="J327" s="23"/>
      <c r="K327" s="23"/>
    </row>
  </sheetData>
  <mergeCells count="4">
    <mergeCell ref="G1:I1"/>
    <mergeCell ref="A1:C1"/>
    <mergeCell ref="D1:F1"/>
    <mergeCell ref="A2:B2"/>
  </mergeCells>
  <conditionalFormatting sqref="F2 I2">
    <cfRule type="cellIs" dxfId="30" priority="5" stopIfTrue="1" operator="lessThanOrEqual">
      <formula>-0.1</formula>
    </cfRule>
    <cfRule type="expression" dxfId="29" priority="6">
      <formula>AND(ISNUMBER(F2), F2&gt;=0.1)</formula>
    </cfRule>
  </conditionalFormatting>
  <conditionalFormatting sqref="F4:F85 I4:I85">
    <cfRule type="cellIs" dxfId="28" priority="1" stopIfTrue="1" operator="lessThanOrEqual">
      <formula>-0.1</formula>
    </cfRule>
    <cfRule type="expression" dxfId="27" priority="2">
      <formula>AND(ISNUMBER(F4), F4&gt;=0.1)</formula>
    </cfRule>
  </conditionalFormatting>
  <hyperlinks>
    <hyperlink ref="K5" r:id="rId1" display="https://us3.assetplanner.com/service_request?ID=096082" xr:uid="{8DB6F5DE-111D-49CF-B4FA-4DB5AA21CE15}"/>
    <hyperlink ref="L5" r:id="rId2" display="https://us3.assetplanner.com/service_request?ID=096248" xr:uid="{785BFE3D-D933-4541-AA40-BEE18F23D9EB}"/>
    <hyperlink ref="M5" r:id="rId3" display="https://us3.assetplanner.com/service_request?ID=097890" xr:uid="{DA8B11DF-C930-4394-80B3-6FC1C32A6A80}"/>
    <hyperlink ref="K6" r:id="rId4" display="https://us3.assetplanner.com/service_request?ID=095240" xr:uid="{F51527A6-97B9-4D32-99FD-B9F400E82E2B}"/>
    <hyperlink ref="L6" r:id="rId5" display="https://us3.assetplanner.com/service_request?ID=094675" xr:uid="{27EDE2FB-D2A4-49C9-96C0-8DBC7B2F31DB}"/>
    <hyperlink ref="M6" r:id="rId6" display="https://us3.assetplanner.com/service_request?ID=094991" xr:uid="{55B5C721-663B-4A95-892E-AC1F61CB56B2}"/>
    <hyperlink ref="N6" r:id="rId7" display="https://us3.assetplanner.com/service_request?ID=097738" xr:uid="{6BDBE355-83DB-4B02-BC3E-5F12C7E1D08F}"/>
    <hyperlink ref="O6" r:id="rId8" display="https://us3.assetplanner.com/service_request?ID=097867" xr:uid="{EF83AFE7-75E2-45B1-A1FF-E0590DA9F982}"/>
    <hyperlink ref="P6" r:id="rId9" display="https://us3.assetplanner.com/service_request?ID=096704" xr:uid="{7A13D35B-0A5B-4333-BF97-3857E9A2BFCA}"/>
    <hyperlink ref="Q6" r:id="rId10" display="https://us3.assetplanner.com/service_request?ID=097845" xr:uid="{F2755E62-EC12-41AB-B5E6-979D90085D44}"/>
    <hyperlink ref="K7" r:id="rId11" display="https://us3.assetplanner.com/service_request?ID=095174" xr:uid="{F05CB2DD-DE1F-4F97-AF5B-13DFDB8123B7}"/>
    <hyperlink ref="L7" r:id="rId12" display="https://us3.assetplanner.com/service_request?ID=095112" xr:uid="{FEBA4BC2-8699-4C45-8C5E-DB870D01ACE6}"/>
    <hyperlink ref="M7" r:id="rId13" display="https://us3.assetplanner.com/service_request?ID=096337" xr:uid="{0F737AA4-CA25-4762-B3F0-D5C660F408A9}"/>
    <hyperlink ref="K8" r:id="rId14" display="https://us3.assetplanner.com/service_request?ID=096224" xr:uid="{60B8D2F9-68AB-4C54-823A-A33EA50A7DBE}"/>
    <hyperlink ref="K10" r:id="rId15" display="https://us3.assetplanner.com/service_request?ID=097528" xr:uid="{F86020A0-37CD-463C-8F84-87F567072E1D}"/>
    <hyperlink ref="K11" r:id="rId16" display="https://us3.assetplanner.com/service_request?ID=096254" xr:uid="{D437CC47-A364-472E-AE4B-0FFE8C17DFA2}"/>
    <hyperlink ref="L11" r:id="rId17" display="https://us3.assetplanner.com/service_request?ID=096363" xr:uid="{68DBBB5E-A7D8-40C6-9632-035B02080EC9}"/>
    <hyperlink ref="M11" r:id="rId18" display="https://us3.assetplanner.com/service_request?ID=097551" xr:uid="{995BB6F7-BF6A-4285-8445-BE32C9F38764}"/>
  </hyperlinks>
  <pageMargins left="0.4" right="0.7" top="0.25" bottom="0.25" header="0.3" footer="0.3"/>
  <pageSetup fitToHeight="99" orientation="landscape"/>
  <ignoredErrors>
    <ignoredError sqref="H8" formula="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Q332"/>
  <sheetViews>
    <sheetView zoomScale="70" zoomScaleNormal="70" workbookViewId="0">
      <pane ySplit="2" topLeftCell="A3" activePane="bottomLeft" state="frozen"/>
      <selection pane="bottomLeft" activeCell="J8" sqref="J8"/>
      <selection activeCell="F35" sqref="F35"/>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7" ht="19.5" customHeight="1">
      <c r="A1" s="89" t="str" cm="1">
        <f t="array" ref="A1">portfolio</f>
        <v>AB CarVal</v>
      </c>
      <c r="B1" s="89"/>
      <c r="C1" s="89"/>
      <c r="D1" s="90" t="s">
        <v>70</v>
      </c>
      <c r="E1" s="90"/>
      <c r="F1" s="90"/>
      <c r="G1" s="88" t="s">
        <v>71</v>
      </c>
      <c r="H1" s="88"/>
      <c r="I1" s="88"/>
      <c r="J1" s="5"/>
      <c r="K1" s="5"/>
    </row>
    <row r="2" spans="1:17" ht="19.5" customHeight="1">
      <c r="A2" s="91" t="s">
        <v>2</v>
      </c>
      <c r="B2" s="91"/>
      <c r="C2" s="6">
        <f>SUM(C4:C90)</f>
        <v>4645780.9648192599</v>
      </c>
      <c r="D2" s="6">
        <f>SUM(D4:D90)</f>
        <v>6645113.4070222117</v>
      </c>
      <c r="E2" s="6">
        <f>C2-D2</f>
        <v>-1999332.4422029518</v>
      </c>
      <c r="F2" s="7">
        <f>IFERROR(E2/D2, 0)</f>
        <v>-0.30087258406909367</v>
      </c>
      <c r="G2" s="6">
        <f>SUM(G4:G90)</f>
        <v>7624160.2999999998</v>
      </c>
      <c r="H2" s="8">
        <f>C2-G2</f>
        <v>-2978379.3351807399</v>
      </c>
      <c r="I2" s="7">
        <f>IFERROR(H2/G2, 0)</f>
        <v>-0.39065014611258109</v>
      </c>
      <c r="J2" s="28" t="str">
        <f ca="1">IF(AND(TODAY()&gt;DATE(2024, 3, 1), COUNTA(Sites[Site])&lt;&gt;(COUNT(C:C)-1)), "Some sites are missing actual data; if new sites were added, make sure they are aligned correctly (including prior months!)", "")</f>
        <v/>
      </c>
      <c r="K2" s="5"/>
    </row>
    <row r="3" spans="1:17" ht="14.25" customHeight="1">
      <c r="A3" s="9" t="s">
        <v>3</v>
      </c>
      <c r="B3" s="9" t="s">
        <v>4</v>
      </c>
      <c r="C3" s="25" t="s">
        <v>5</v>
      </c>
      <c r="D3" s="36" t="s">
        <v>6</v>
      </c>
      <c r="E3" s="36" t="s">
        <v>7</v>
      </c>
      <c r="F3" s="37" t="s">
        <v>8</v>
      </c>
      <c r="G3" s="38" t="s">
        <v>9</v>
      </c>
      <c r="H3" s="39" t="s">
        <v>7</v>
      </c>
      <c r="I3" s="40" t="s">
        <v>8</v>
      </c>
      <c r="J3" s="27" t="s">
        <v>20</v>
      </c>
      <c r="K3" s="27" t="s">
        <v>21</v>
      </c>
      <c r="L3" s="76"/>
      <c r="M3" s="76"/>
      <c r="N3" s="76"/>
      <c r="O3" s="76"/>
      <c r="P3" s="76"/>
      <c r="Q3" s="76"/>
    </row>
    <row r="4" spans="1:17" ht="28.9">
      <c r="A4" s="52" t="str" cm="1">
        <f t="array" ref="A4:A11">Sites[Site]</f>
        <v>MA: Fairhaven - 279 Mill Rd</v>
      </c>
      <c r="B4" s="30" t="str" cm="1">
        <f t="array" ref="B4:B11">Sites[State]</f>
        <v>MA</v>
      </c>
      <c r="C4" s="26">
        <v>323586</v>
      </c>
      <c r="D4" s="14">
        <v>314641.52245977335</v>
      </c>
      <c r="E4" s="14">
        <f>IF(AND(ISNUMBER(C4),ISNUMBER(D4)), C4-D4, "")</f>
        <v>8944.4775402266532</v>
      </c>
      <c r="F4" s="15">
        <f>IFERROR(E4/D4, "")</f>
        <v>2.8427517990319274E-2</v>
      </c>
      <c r="G4" s="16">
        <v>318415.10000000003</v>
      </c>
      <c r="H4" s="16">
        <f>IF(AND(ISNUMBER(C4),ISNUMBER(G4)), C4-G4, "")</f>
        <v>5170.8999999999651</v>
      </c>
      <c r="I4" s="17">
        <f>IFERROR(H4/G4, "")</f>
        <v>1.623949366722861E-2</v>
      </c>
      <c r="J4" s="18" t="s">
        <v>72</v>
      </c>
      <c r="K4" s="74" t="s">
        <v>73</v>
      </c>
      <c r="L4" s="76"/>
      <c r="M4" s="76"/>
      <c r="N4" s="76"/>
      <c r="O4" s="76"/>
      <c r="P4" s="76"/>
      <c r="Q4" s="76"/>
    </row>
    <row r="5" spans="1:17" ht="86.45">
      <c r="A5" s="31" t="str">
        <v>Bakersfield - 100 Basic School Rd</v>
      </c>
      <c r="B5" s="32" t="str">
        <v>CA</v>
      </c>
      <c r="C5" s="12">
        <v>1058174.4362364199</v>
      </c>
      <c r="D5" s="20">
        <v>1108865</v>
      </c>
      <c r="E5" s="20">
        <f t="shared" ref="E5:E11" si="0">IF(AND(ISNUMBER(C5),ISNUMBER(D5)), C5-D5, "")</f>
        <v>-50690.563763580052</v>
      </c>
      <c r="F5" s="21">
        <f t="shared" ref="F5:F11" si="1">IFERROR(E5/D5, "")</f>
        <v>-4.5713918072605816E-2</v>
      </c>
      <c r="G5" s="22">
        <v>1183365</v>
      </c>
      <c r="H5" s="22">
        <f t="shared" ref="H5:H11" si="2">IF(AND(ISNUMBER(C5),ISNUMBER(G5)), C5-G5, "")</f>
        <v>-125190.56376358005</v>
      </c>
      <c r="I5" s="21">
        <f t="shared" ref="I5:I11" si="3">IFERROR(H5/G5, "")</f>
        <v>-0.10579201156327933</v>
      </c>
      <c r="J5" s="71" t="s">
        <v>74</v>
      </c>
      <c r="K5" s="73" t="s">
        <v>75</v>
      </c>
      <c r="L5" s="75" t="s">
        <v>76</v>
      </c>
      <c r="M5" s="75" t="s">
        <v>77</v>
      </c>
      <c r="N5" s="76"/>
      <c r="O5" s="76"/>
      <c r="P5" s="76"/>
      <c r="Q5" s="76"/>
    </row>
    <row r="6" spans="1:17" ht="172.9">
      <c r="A6" s="52" t="str">
        <v>Fresno - 2685 Cornelia Ave</v>
      </c>
      <c r="B6" s="30" t="str">
        <v>CA</v>
      </c>
      <c r="C6" s="26">
        <v>596979</v>
      </c>
      <c r="D6" s="14">
        <v>1938533</v>
      </c>
      <c r="E6" s="14">
        <f t="shared" si="0"/>
        <v>-1341554</v>
      </c>
      <c r="F6" s="15">
        <f t="shared" si="1"/>
        <v>-0.69204599560595559</v>
      </c>
      <c r="G6" s="16">
        <v>2504713</v>
      </c>
      <c r="H6" s="16">
        <f t="shared" si="2"/>
        <v>-1907734</v>
      </c>
      <c r="I6" s="17">
        <f t="shared" si="3"/>
        <v>-0.76165772286086275</v>
      </c>
      <c r="J6" s="18" t="s">
        <v>78</v>
      </c>
      <c r="K6" s="74" t="s">
        <v>79</v>
      </c>
      <c r="L6" s="75" t="s">
        <v>56</v>
      </c>
      <c r="M6" s="75" t="s">
        <v>55</v>
      </c>
      <c r="N6" s="75" t="s">
        <v>54</v>
      </c>
      <c r="O6" s="75" t="s">
        <v>80</v>
      </c>
      <c r="P6" s="75" t="s">
        <v>81</v>
      </c>
      <c r="Q6" s="75" t="s">
        <v>82</v>
      </c>
    </row>
    <row r="7" spans="1:17" ht="57.6">
      <c r="A7" s="31" t="str">
        <v>San Juaquin - S. Placer &amp; W. Adams</v>
      </c>
      <c r="B7" s="32" t="str">
        <v>CA</v>
      </c>
      <c r="C7" s="12">
        <v>807571</v>
      </c>
      <c r="D7" s="20">
        <v>868882.7</v>
      </c>
      <c r="E7" s="20">
        <f t="shared" si="0"/>
        <v>-61311.699999999953</v>
      </c>
      <c r="F7" s="21">
        <f t="shared" si="1"/>
        <v>-7.0563840205357928E-2</v>
      </c>
      <c r="G7" s="22">
        <v>891875.1</v>
      </c>
      <c r="H7" s="22">
        <f t="shared" si="2"/>
        <v>-84304.099999999977</v>
      </c>
      <c r="I7" s="21">
        <f t="shared" si="3"/>
        <v>-9.4524558427519709E-2</v>
      </c>
      <c r="J7" s="50" t="s">
        <v>83</v>
      </c>
      <c r="K7" s="73" t="s">
        <v>84</v>
      </c>
      <c r="L7" s="75" t="s">
        <v>85</v>
      </c>
      <c r="M7" s="76"/>
      <c r="N7" s="76"/>
      <c r="O7" s="76"/>
      <c r="P7" s="76"/>
      <c r="Q7" s="76"/>
    </row>
    <row r="8" spans="1:17" ht="115.15">
      <c r="A8" s="52" t="str">
        <v xml:space="preserve">Charlemont - 0 Tea St </v>
      </c>
      <c r="B8" s="30" t="str">
        <v>MA</v>
      </c>
      <c r="C8" s="26">
        <v>63339</v>
      </c>
      <c r="D8" s="14">
        <v>379513.58467723045</v>
      </c>
      <c r="E8" s="14">
        <f t="shared" si="0"/>
        <v>-316174.58467723045</v>
      </c>
      <c r="F8" s="15">
        <f t="shared" si="1"/>
        <v>-0.83310478845212166</v>
      </c>
      <c r="G8" s="16">
        <v>409585.1</v>
      </c>
      <c r="H8" s="16">
        <f t="shared" si="2"/>
        <v>-346246.1</v>
      </c>
      <c r="I8" s="17">
        <f t="shared" si="3"/>
        <v>-0.84535814413170796</v>
      </c>
      <c r="J8" s="18" t="s">
        <v>86</v>
      </c>
      <c r="K8" s="74" t="s">
        <v>87</v>
      </c>
      <c r="L8" s="75" t="s">
        <v>88</v>
      </c>
      <c r="M8" s="75" t="s">
        <v>89</v>
      </c>
      <c r="N8" s="76"/>
      <c r="O8" s="76"/>
      <c r="P8" s="76"/>
      <c r="Q8" s="76"/>
    </row>
    <row r="9" spans="1:17" ht="15.6">
      <c r="A9" s="31" t="str">
        <v xml:space="preserve">Amherst - 740 Belchertown Rd </v>
      </c>
      <c r="B9" s="32" t="str">
        <v>MA</v>
      </c>
      <c r="C9" s="12">
        <v>389637</v>
      </c>
      <c r="D9" s="20">
        <v>393920.50460238085</v>
      </c>
      <c r="E9" s="20">
        <f t="shared" si="0"/>
        <v>-4283.5046023808536</v>
      </c>
      <c r="F9" s="21">
        <f t="shared" si="1"/>
        <v>-1.0874033091282154E-2</v>
      </c>
      <c r="G9" s="22">
        <v>448361.99999999994</v>
      </c>
      <c r="H9" s="22">
        <f t="shared" si="2"/>
        <v>-58724.999999999942</v>
      </c>
      <c r="I9" s="21">
        <f t="shared" si="3"/>
        <v>-0.13097675538961809</v>
      </c>
      <c r="J9" s="78" t="s">
        <v>90</v>
      </c>
      <c r="K9" s="79" t="s">
        <v>91</v>
      </c>
      <c r="L9" s="76"/>
      <c r="M9" s="76"/>
      <c r="N9" s="76"/>
      <c r="O9" s="76"/>
      <c r="P9" s="76"/>
      <c r="Q9" s="76"/>
    </row>
    <row r="10" spans="1:17" ht="15.6">
      <c r="A10" s="52" t="str">
        <v xml:space="preserve"> Ludlow - Huxley 1 &amp; 2 - 504 Fuller St </v>
      </c>
      <c r="B10" s="30" t="str">
        <v>MA</v>
      </c>
      <c r="C10" s="26">
        <v>872010.52858284034</v>
      </c>
      <c r="D10" s="14">
        <v>854213.73570042441</v>
      </c>
      <c r="E10" s="14">
        <f t="shared" si="0"/>
        <v>17796.792882415932</v>
      </c>
      <c r="F10" s="15">
        <f t="shared" si="1"/>
        <v>2.0834121647345327E-2</v>
      </c>
      <c r="G10" s="16">
        <v>994475.99999999977</v>
      </c>
      <c r="H10" s="16">
        <f t="shared" si="2"/>
        <v>-122465.47141715942</v>
      </c>
      <c r="I10" s="17">
        <f t="shared" si="3"/>
        <v>-0.12314572842095682</v>
      </c>
      <c r="J10" s="18" t="s">
        <v>92</v>
      </c>
      <c r="K10" s="74" t="s">
        <v>93</v>
      </c>
      <c r="L10" s="76"/>
      <c r="M10" s="76"/>
      <c r="N10" s="76"/>
      <c r="O10" s="76"/>
      <c r="P10" s="76"/>
      <c r="Q10" s="76"/>
    </row>
    <row r="11" spans="1:17" ht="57.6">
      <c r="A11" s="31" t="str">
        <v>Easthampton - Beacon 1 &amp; 2 - 540 Florence Rd</v>
      </c>
      <c r="B11" s="32" t="str">
        <v>MA</v>
      </c>
      <c r="C11" s="12">
        <v>534484</v>
      </c>
      <c r="D11" s="20">
        <v>786543.35958240228</v>
      </c>
      <c r="E11" s="20">
        <f t="shared" si="0"/>
        <v>-252059.35958240228</v>
      </c>
      <c r="F11" s="21">
        <f t="shared" si="1"/>
        <v>-0.32046467179664145</v>
      </c>
      <c r="G11" s="22">
        <v>873368.99999999988</v>
      </c>
      <c r="H11" s="22">
        <f t="shared" si="2"/>
        <v>-338884.99999999988</v>
      </c>
      <c r="I11" s="21">
        <f t="shared" si="3"/>
        <v>-0.38802041290680106</v>
      </c>
      <c r="J11" s="71" t="s">
        <v>94</v>
      </c>
      <c r="K11" s="80" t="s">
        <v>95</v>
      </c>
      <c r="L11" s="76"/>
      <c r="M11" s="76"/>
      <c r="N11" s="76"/>
      <c r="O11" s="76"/>
      <c r="P11" s="76"/>
      <c r="Q11" s="76"/>
    </row>
    <row r="12" spans="1:17" ht="14.45">
      <c r="A12" s="23"/>
      <c r="B12" s="34"/>
      <c r="C12" s="23"/>
      <c r="D12" s="23"/>
      <c r="E12" s="23"/>
      <c r="F12" s="23"/>
      <c r="G12" s="23"/>
      <c r="H12" s="23"/>
      <c r="I12" s="23"/>
      <c r="J12" s="23"/>
      <c r="K12" s="23"/>
    </row>
    <row r="13" spans="1:17" ht="14.45">
      <c r="A13" s="23"/>
      <c r="B13" s="34"/>
      <c r="C13" s="23"/>
      <c r="D13" s="23"/>
      <c r="E13" s="23"/>
      <c r="F13" s="23"/>
      <c r="G13" s="23"/>
      <c r="H13" s="23"/>
      <c r="I13" s="23"/>
      <c r="J13" s="23"/>
      <c r="K13" s="23"/>
    </row>
    <row r="14" spans="1:17" ht="14.45">
      <c r="A14" s="23"/>
      <c r="B14" s="34"/>
      <c r="C14" s="23"/>
      <c r="D14" s="23"/>
      <c r="E14" s="23"/>
      <c r="F14" s="23"/>
      <c r="G14" s="23"/>
      <c r="H14" s="23"/>
      <c r="I14" s="23"/>
      <c r="J14" s="23"/>
      <c r="K14" s="23"/>
    </row>
    <row r="15" spans="1:17" ht="14.45">
      <c r="A15" s="23"/>
      <c r="B15" s="34"/>
      <c r="C15" s="23"/>
      <c r="D15" s="23"/>
      <c r="E15" s="23"/>
      <c r="F15" s="23"/>
      <c r="G15" s="23"/>
      <c r="H15" s="23"/>
      <c r="I15" s="23"/>
      <c r="J15" s="23"/>
      <c r="K15" s="23"/>
    </row>
    <row r="16" spans="1:17"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26" priority="1" stopIfTrue="1" operator="lessThanOrEqual">
      <formula>-0.1</formula>
    </cfRule>
    <cfRule type="expression" dxfId="25" priority="2">
      <formula>AND(ISNUMBER(F2), F2&gt;=0.1)</formula>
    </cfRule>
  </conditionalFormatting>
  <hyperlinks>
    <hyperlink ref="K4" r:id="rId1" display="https://us3.assetplanner.com/service_request?ID=098555" xr:uid="{752E0730-6D81-4D8F-AD47-536B4BD29931}"/>
    <hyperlink ref="K5" r:id="rId2" display="https://us3.assetplanner.com/service_request?ID=096082" xr:uid="{D548C647-1332-48BD-BA66-FA646FA4D2FD}"/>
    <hyperlink ref="L5" r:id="rId3" display="https://us3.assetplanner.com/service_request?ID=098340" xr:uid="{450B1B63-D548-42F1-8AD9-8946A1191213}"/>
    <hyperlink ref="M5" r:id="rId4" display="https://us3.assetplanner.com/service_request?ID=097932" xr:uid="{EE51725E-BEB6-44B1-889E-4F576025843B}"/>
    <hyperlink ref="K6" r:id="rId5" display="https://us3.assetplanner.com/service_request?ID=098969" xr:uid="{6D5F61E0-9A5B-4786-A625-D7FA496F1E93}"/>
    <hyperlink ref="L6" r:id="rId6" display="https://us3.assetplanner.com/service_request?ID=096704" xr:uid="{92C7B433-9B1E-4C22-AA39-42D48B734F1B}"/>
    <hyperlink ref="M6" r:id="rId7" display="https://us3.assetplanner.com/service_request?ID=097867" xr:uid="{F2D8818B-547C-46BB-95FA-50F2E36FD068}"/>
    <hyperlink ref="N6" r:id="rId8" display="https://us3.assetplanner.com/service_request?ID=097738" xr:uid="{C15518EF-A2AC-4389-A92F-AA055238F78E}"/>
    <hyperlink ref="O6" r:id="rId9" display="https://us3.assetplanner.com/service_request?ID=095240" xr:uid="{30F1C951-A67F-469A-B5AD-BEF6F48DABB0}"/>
    <hyperlink ref="P6" r:id="rId10" display="https://us3.assetplanner.com/service_request?ID=098618" xr:uid="{26D88109-40A2-485F-A082-8457CE375FC3}"/>
    <hyperlink ref="Q6" r:id="rId11" display="https://us3.assetplanner.com/service_request?ID=099296" xr:uid="{041AE9A1-9511-4E8E-819C-9AB8F7DD80B2}"/>
    <hyperlink ref="K7" r:id="rId12" display="https://us3.assetplanner.com/service_request?ID=095174" xr:uid="{D8A11D2F-0E37-4D50-BE83-3F76414F8525}"/>
    <hyperlink ref="L7" r:id="rId13" display="https://us3.assetplanner.com/service_request?ID=095174" xr:uid="{CAED4665-C6E2-4638-91B3-BD6F99DCD7CD}"/>
    <hyperlink ref="K8" r:id="rId14" display="https://us3.assetplanner.com/service_request?ID=096224" xr:uid="{A79CB792-42D7-49AD-9443-140AC3AF8E04}"/>
    <hyperlink ref="L8" r:id="rId15" display="https://us3.assetplanner.com/service_request?ID=098038" xr:uid="{8F0B23C3-8284-408B-8A6E-0A66C4DF8EF5}"/>
    <hyperlink ref="M8" r:id="rId16" display="https://us3.assetplanner.com/service_request?ID=099232" xr:uid="{2036424C-5AB9-4B63-BDE6-D0E0C1B033CF}"/>
    <hyperlink ref="K10" r:id="rId17" display="https://us3.assetplanner.com/service_request?ID=098832" xr:uid="{DEDC9222-6A25-4C3F-A8E0-B6ED38AA9CD1}"/>
    <hyperlink ref="K11" r:id="rId18" display="https://us3.assetplanner.com/service_request?ID=097990" xr:uid="{4A215E26-EC3E-46D4-BE33-9FE2A24F3088}"/>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V332"/>
  <sheetViews>
    <sheetView zoomScale="70" zoomScaleNormal="70" workbookViewId="0">
      <pane ySplit="2" topLeftCell="A3" activePane="bottomLeft" state="frozen"/>
      <selection pane="bottomLeft" activeCell="J9" sqref="J9"/>
      <selection activeCell="F35" sqref="F35"/>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22" ht="19.5" customHeight="1">
      <c r="A1" s="89" t="str" cm="1">
        <f t="array" ref="A1">portfolio</f>
        <v>AB CarVal</v>
      </c>
      <c r="B1" s="89"/>
      <c r="C1" s="89"/>
      <c r="D1" s="90" t="s">
        <v>96</v>
      </c>
      <c r="E1" s="90"/>
      <c r="F1" s="90"/>
      <c r="G1" s="88" t="s">
        <v>97</v>
      </c>
      <c r="H1" s="88"/>
      <c r="I1" s="88"/>
      <c r="J1" s="5"/>
      <c r="K1" s="5"/>
    </row>
    <row r="2" spans="1:22" ht="19.5" customHeight="1">
      <c r="A2" s="91" t="s">
        <v>2</v>
      </c>
      <c r="B2" s="91"/>
      <c r="C2" s="6">
        <f>SUM(C4:C90)</f>
        <v>5564676.4714171598</v>
      </c>
      <c r="D2" s="6">
        <f>SUM(D4:D90)</f>
        <v>8050779.1140548391</v>
      </c>
      <c r="E2" s="6">
        <f>C2-D2</f>
        <v>-2486102.6426376794</v>
      </c>
      <c r="F2" s="7">
        <f>IFERROR(E2/D2, 0)</f>
        <v>-0.30880273914080025</v>
      </c>
      <c r="G2" s="6">
        <f>SUM(G4:G90)</f>
        <v>8880847.1000000015</v>
      </c>
      <c r="H2" s="8">
        <f>C2-G2</f>
        <v>-3316170.6285828417</v>
      </c>
      <c r="I2" s="7">
        <f>IFERROR(H2/G2, 0)</f>
        <v>-0.37340701751107069</v>
      </c>
      <c r="J2" s="28" t="str">
        <f ca="1">IF(AND(TODAY()&gt;DATE(2024, 4, 1), COUNTA(Sites[Site])&lt;&gt;(COUNT(C:C)-1)), "Some sites are missing actual data; if new sites were added, make sure they are aligned correctly (including prior months!)", "")</f>
        <v/>
      </c>
      <c r="K2" s="5"/>
    </row>
    <row r="3" spans="1:22" ht="14.25" customHeight="1">
      <c r="A3" s="9" t="s">
        <v>3</v>
      </c>
      <c r="B3" s="9" t="s">
        <v>4</v>
      </c>
      <c r="C3" s="25" t="s">
        <v>5</v>
      </c>
      <c r="D3" s="36" t="s">
        <v>6</v>
      </c>
      <c r="E3" s="36" t="s">
        <v>7</v>
      </c>
      <c r="F3" s="37" t="s">
        <v>8</v>
      </c>
      <c r="G3" s="38" t="s">
        <v>9</v>
      </c>
      <c r="H3" s="39" t="s">
        <v>7</v>
      </c>
      <c r="I3" s="40" t="s">
        <v>8</v>
      </c>
      <c r="J3" s="27" t="s">
        <v>20</v>
      </c>
      <c r="K3" s="27" t="s">
        <v>21</v>
      </c>
    </row>
    <row r="4" spans="1:22" ht="28.9">
      <c r="A4" s="33" t="str" cm="1">
        <f t="array" ref="A4:A11">Sites[Site]</f>
        <v>MA: Fairhaven - 279 Mill Rd</v>
      </c>
      <c r="B4" s="30" t="str" cm="1">
        <f t="array" ref="B4:B11">Sites[State]</f>
        <v>MA</v>
      </c>
      <c r="C4" s="26">
        <v>349562</v>
      </c>
      <c r="D4" s="14">
        <v>335399.02143512102</v>
      </c>
      <c r="E4" s="14">
        <f>IF(AND(ISNUMBER(C4),ISNUMBER(D4)), C4-D4, "")</f>
        <v>14162.978564878984</v>
      </c>
      <c r="F4" s="15">
        <f>IFERROR(E4/D4, "")</f>
        <v>4.2227250706569651E-2</v>
      </c>
      <c r="G4" s="16">
        <v>357592.30000000022</v>
      </c>
      <c r="H4" s="16">
        <f>IF(AND(ISNUMBER(C4),ISNUMBER(G4)), C4-G4, "")</f>
        <v>-8030.3000000002212</v>
      </c>
      <c r="I4" s="17">
        <f>IFERROR(H4/G4, "")</f>
        <v>-2.2456579741790345E-2</v>
      </c>
      <c r="J4" s="18" t="s">
        <v>98</v>
      </c>
      <c r="K4" s="74" t="s">
        <v>99</v>
      </c>
      <c r="L4" s="76"/>
      <c r="M4" s="76"/>
      <c r="N4" s="76"/>
      <c r="O4" s="76"/>
      <c r="P4" s="76"/>
      <c r="Q4" s="76"/>
      <c r="R4" s="76"/>
      <c r="S4" s="76"/>
      <c r="T4" s="76"/>
      <c r="U4" s="76"/>
      <c r="V4" s="76"/>
    </row>
    <row r="5" spans="1:22" ht="90.4" customHeight="1">
      <c r="A5" s="31" t="str">
        <v>Bakersfield - 100 Basic School Rd</v>
      </c>
      <c r="B5" s="32" t="str">
        <v>CA</v>
      </c>
      <c r="C5" s="12">
        <v>1209796</v>
      </c>
      <c r="D5" s="20">
        <v>1250774</v>
      </c>
      <c r="E5" s="20">
        <f t="shared" ref="E5:E11" si="0">IF(AND(ISNUMBER(C5),ISNUMBER(D5)), C5-D5, "")</f>
        <v>-40978</v>
      </c>
      <c r="F5" s="21">
        <f t="shared" ref="F5:F11" si="1">IFERROR(E5/D5, "")</f>
        <v>-3.2762113699197459E-2</v>
      </c>
      <c r="G5" s="22">
        <v>1397262</v>
      </c>
      <c r="H5" s="22">
        <f t="shared" ref="H5:H11" si="2">IF(AND(ISNUMBER(C5),ISNUMBER(G5)), C5-G5, "")</f>
        <v>-187466</v>
      </c>
      <c r="I5" s="21">
        <f t="shared" ref="I5:I11" si="3">IFERROR(H5/G5, "")</f>
        <v>-0.13416667740194752</v>
      </c>
      <c r="J5" s="50" t="s">
        <v>100</v>
      </c>
      <c r="K5" s="73" t="s">
        <v>101</v>
      </c>
      <c r="L5" s="75" t="s">
        <v>102</v>
      </c>
      <c r="M5" s="75" t="s">
        <v>103</v>
      </c>
      <c r="N5" s="75" t="s">
        <v>76</v>
      </c>
      <c r="O5" s="76"/>
      <c r="P5" s="76"/>
      <c r="Q5" s="76"/>
      <c r="R5" s="76"/>
      <c r="S5" s="76"/>
      <c r="T5" s="76"/>
      <c r="U5" s="76"/>
      <c r="V5" s="76"/>
    </row>
    <row r="6" spans="1:22" ht="405.75" customHeight="1">
      <c r="A6" s="33" t="str">
        <v>Fresno - 2685 Cornelia Ave</v>
      </c>
      <c r="B6" s="30" t="str">
        <v>CA</v>
      </c>
      <c r="C6" s="26">
        <v>567887</v>
      </c>
      <c r="D6" s="14">
        <v>2735287</v>
      </c>
      <c r="E6" s="14">
        <f t="shared" si="0"/>
        <v>-2167400</v>
      </c>
      <c r="F6" s="15">
        <f t="shared" si="1"/>
        <v>-0.79238485760360799</v>
      </c>
      <c r="G6" s="16">
        <v>2979124</v>
      </c>
      <c r="H6" s="16">
        <f t="shared" si="2"/>
        <v>-2411237</v>
      </c>
      <c r="I6" s="17">
        <f t="shared" si="3"/>
        <v>-0.80937785738357992</v>
      </c>
      <c r="J6" s="18" t="s">
        <v>104</v>
      </c>
      <c r="K6" s="74" t="s">
        <v>105</v>
      </c>
      <c r="L6" s="75" t="s">
        <v>81</v>
      </c>
      <c r="M6" s="75" t="s">
        <v>106</v>
      </c>
      <c r="N6" s="75" t="s">
        <v>107</v>
      </c>
      <c r="O6" s="75" t="s">
        <v>108</v>
      </c>
      <c r="P6" s="75" t="s">
        <v>109</v>
      </c>
      <c r="Q6" s="75" t="s">
        <v>110</v>
      </c>
      <c r="R6" s="75" t="s">
        <v>107</v>
      </c>
      <c r="S6" s="75" t="s">
        <v>82</v>
      </c>
      <c r="T6" s="75" t="s">
        <v>111</v>
      </c>
      <c r="U6" s="75" t="s">
        <v>106</v>
      </c>
      <c r="V6" s="75" t="s">
        <v>82</v>
      </c>
    </row>
    <row r="7" spans="1:22" ht="28.9">
      <c r="A7" s="31" t="str">
        <v>San Juaquin - S. Placer &amp; W. Adams</v>
      </c>
      <c r="B7" s="32" t="str">
        <v>CA</v>
      </c>
      <c r="C7" s="12">
        <v>996777</v>
      </c>
      <c r="D7" s="20">
        <v>1019173</v>
      </c>
      <c r="E7" s="20">
        <f t="shared" si="0"/>
        <v>-22396</v>
      </c>
      <c r="F7" s="21">
        <f t="shared" si="1"/>
        <v>-2.1974679470511876E-2</v>
      </c>
      <c r="G7" s="22">
        <v>1093936</v>
      </c>
      <c r="H7" s="22">
        <f t="shared" si="2"/>
        <v>-97159</v>
      </c>
      <c r="I7" s="21">
        <f t="shared" si="3"/>
        <v>-8.8815981922159976E-2</v>
      </c>
      <c r="J7" s="50" t="s">
        <v>112</v>
      </c>
      <c r="K7" s="73" t="s">
        <v>113</v>
      </c>
      <c r="L7" s="75" t="s">
        <v>114</v>
      </c>
      <c r="M7" s="76"/>
      <c r="N7" s="76"/>
      <c r="O7" s="76"/>
      <c r="P7" s="76"/>
      <c r="Q7" s="76"/>
      <c r="R7" s="76"/>
      <c r="S7" s="76"/>
      <c r="T7" s="76"/>
      <c r="U7" s="76"/>
      <c r="V7" s="76"/>
    </row>
    <row r="8" spans="1:22" ht="28.9">
      <c r="A8" s="33" t="str">
        <v xml:space="preserve">Charlemont - 0 Tea St </v>
      </c>
      <c r="B8" s="30" t="str">
        <v>MA</v>
      </c>
      <c r="C8" s="26">
        <v>258439</v>
      </c>
      <c r="D8" s="14">
        <v>429887.88235942344</v>
      </c>
      <c r="E8" s="14">
        <f t="shared" si="0"/>
        <v>-171448.88235942344</v>
      </c>
      <c r="F8" s="15">
        <f t="shared" si="1"/>
        <v>-0.39882231948114638</v>
      </c>
      <c r="G8" s="16">
        <v>444628.79999999987</v>
      </c>
      <c r="H8" s="16">
        <f t="shared" si="2"/>
        <v>-186189.79999999987</v>
      </c>
      <c r="I8" s="17">
        <f t="shared" si="3"/>
        <v>-0.41875335110995943</v>
      </c>
      <c r="J8" s="18" t="s">
        <v>115</v>
      </c>
      <c r="K8" s="74" t="s">
        <v>116</v>
      </c>
      <c r="L8" s="76"/>
      <c r="M8" s="76"/>
      <c r="N8" s="76"/>
      <c r="O8" s="76"/>
      <c r="P8" s="76"/>
      <c r="Q8" s="76"/>
      <c r="R8" s="76"/>
      <c r="S8" s="76"/>
      <c r="T8" s="76"/>
      <c r="U8" s="76"/>
      <c r="V8" s="76"/>
    </row>
    <row r="9" spans="1:22" ht="120.75" customHeight="1">
      <c r="A9" s="31" t="str">
        <v xml:space="preserve">Amherst - 740 Belchertown Rd </v>
      </c>
      <c r="B9" s="32" t="str">
        <v>MA</v>
      </c>
      <c r="C9" s="12">
        <v>450159</v>
      </c>
      <c r="D9" s="20">
        <v>429678.97910781432</v>
      </c>
      <c r="E9" s="20">
        <f t="shared" si="0"/>
        <v>20480.020892185683</v>
      </c>
      <c r="F9" s="21">
        <f t="shared" si="1"/>
        <v>4.7663539265314796E-2</v>
      </c>
      <c r="G9" s="22">
        <v>514836.99999999994</v>
      </c>
      <c r="H9" s="22">
        <f t="shared" si="2"/>
        <v>-64677.999999999942</v>
      </c>
      <c r="I9" s="21">
        <f t="shared" si="3"/>
        <v>-0.12562811142167316</v>
      </c>
      <c r="J9" s="50" t="s">
        <v>117</v>
      </c>
      <c r="K9" s="74" t="s">
        <v>118</v>
      </c>
      <c r="L9" s="76"/>
      <c r="M9" s="76"/>
      <c r="N9" s="76"/>
      <c r="O9" s="76"/>
      <c r="P9" s="76"/>
      <c r="Q9" s="76"/>
      <c r="R9" s="76"/>
      <c r="S9" s="76"/>
      <c r="T9" s="76"/>
      <c r="U9" s="76"/>
      <c r="V9" s="76"/>
    </row>
    <row r="10" spans="1:22" ht="15.6">
      <c r="A10" s="33" t="str">
        <v xml:space="preserve"> Ludlow - Huxley 1 &amp; 2 - 504 Fuller St </v>
      </c>
      <c r="B10" s="30" t="str">
        <v>MA</v>
      </c>
      <c r="C10" s="26">
        <v>1031730.4714171597</v>
      </c>
      <c r="D10" s="14">
        <v>939764.6634319179</v>
      </c>
      <c r="E10" s="14">
        <f t="shared" si="0"/>
        <v>91965.807985241758</v>
      </c>
      <c r="F10" s="15">
        <f t="shared" si="1"/>
        <v>9.786046609732342E-2</v>
      </c>
      <c r="G10" s="16">
        <v>1105608</v>
      </c>
      <c r="H10" s="16">
        <f t="shared" si="2"/>
        <v>-73877.528582840343</v>
      </c>
      <c r="I10" s="17">
        <f t="shared" si="3"/>
        <v>-6.6820725413383714E-2</v>
      </c>
      <c r="J10" s="18"/>
      <c r="K10" s="18"/>
      <c r="L10" s="76"/>
      <c r="M10" s="76"/>
      <c r="N10" s="76"/>
      <c r="O10" s="76"/>
      <c r="P10" s="76"/>
      <c r="Q10" s="76"/>
      <c r="R10" s="76"/>
      <c r="S10" s="76"/>
      <c r="T10" s="76"/>
      <c r="U10" s="76"/>
      <c r="V10" s="76"/>
    </row>
    <row r="11" spans="1:22" ht="28.9">
      <c r="A11" s="31" t="str">
        <v>Easthampton - Beacon 1 &amp; 2 - 540 Florence Rd</v>
      </c>
      <c r="B11" s="32" t="str">
        <v>MA</v>
      </c>
      <c r="C11" s="12">
        <v>700326</v>
      </c>
      <c r="D11" s="20">
        <v>910814.56772056187</v>
      </c>
      <c r="E11" s="20">
        <f t="shared" si="0"/>
        <v>-210488.56772056187</v>
      </c>
      <c r="F11" s="21">
        <f t="shared" si="1"/>
        <v>-0.23109925464558426</v>
      </c>
      <c r="G11" s="22">
        <v>987859.00000000116</v>
      </c>
      <c r="H11" s="22">
        <f t="shared" si="2"/>
        <v>-287533.00000000116</v>
      </c>
      <c r="I11" s="21">
        <f t="shared" si="3"/>
        <v>-0.29106684253522092</v>
      </c>
      <c r="J11" s="71" t="s">
        <v>119</v>
      </c>
      <c r="K11" s="80" t="s">
        <v>120</v>
      </c>
      <c r="L11" s="76"/>
      <c r="M11" s="76"/>
      <c r="N11" s="76"/>
      <c r="O11" s="76"/>
      <c r="P11" s="76"/>
      <c r="Q11" s="76"/>
      <c r="R11" s="76"/>
      <c r="S11" s="76"/>
      <c r="T11" s="76"/>
      <c r="U11" s="76"/>
      <c r="V11" s="76"/>
    </row>
    <row r="12" spans="1:22" ht="14.45">
      <c r="A12" s="23"/>
      <c r="B12" s="34"/>
      <c r="C12" s="23"/>
      <c r="D12" s="23"/>
      <c r="E12" s="23"/>
      <c r="F12" s="23"/>
      <c r="G12" s="23"/>
      <c r="H12" s="23"/>
      <c r="I12" s="23"/>
      <c r="J12" s="23"/>
      <c r="K12" s="23"/>
    </row>
    <row r="13" spans="1:22" ht="14.45">
      <c r="A13" s="23"/>
      <c r="B13" s="34"/>
      <c r="C13" s="23"/>
      <c r="D13" s="23"/>
      <c r="E13" s="23"/>
      <c r="F13" s="23"/>
      <c r="G13" s="23"/>
      <c r="H13" s="23"/>
      <c r="I13" s="23"/>
      <c r="J13" s="23"/>
      <c r="K13" s="23"/>
    </row>
    <row r="14" spans="1:22" ht="14.45">
      <c r="A14" s="23"/>
      <c r="B14" s="34"/>
      <c r="C14" s="23"/>
      <c r="D14" s="23"/>
      <c r="E14" s="23"/>
      <c r="F14" s="23"/>
      <c r="G14" s="23"/>
      <c r="H14" s="23"/>
      <c r="I14" s="23"/>
      <c r="J14" s="23"/>
      <c r="K14" s="23"/>
    </row>
    <row r="15" spans="1:22" ht="14.45">
      <c r="A15" s="23"/>
      <c r="B15" s="34"/>
      <c r="C15" s="23"/>
      <c r="D15" s="23"/>
      <c r="E15" s="23"/>
      <c r="F15" s="23"/>
      <c r="G15" s="23"/>
      <c r="H15" s="23"/>
      <c r="I15" s="23"/>
      <c r="J15" s="23"/>
      <c r="K15" s="23"/>
    </row>
    <row r="16" spans="1:22"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24" priority="1" stopIfTrue="1" operator="lessThanOrEqual">
      <formula>-0.1</formula>
    </cfRule>
    <cfRule type="expression" dxfId="23" priority="2">
      <formula>AND(ISNUMBER(F2), F2&gt;=0.1)</formula>
    </cfRule>
  </conditionalFormatting>
  <hyperlinks>
    <hyperlink ref="K4" r:id="rId1" display="https://us3.assetplanner.com/service_request?ID=099863" xr:uid="{C3C32E39-585A-44EC-8CE5-DD94C1CDD923}"/>
    <hyperlink ref="K5" r:id="rId2" display="https://us3.assetplanner.com/service_request?ID=099330" xr:uid="{602EE332-0111-4D9A-8AE6-142B19F85BE3}"/>
    <hyperlink ref="L5" r:id="rId3" display="https://us3.assetplanner.com/service_request?ID=099275" xr:uid="{77855A98-9C4C-4935-8223-7F4C1FBF1E18}"/>
    <hyperlink ref="M5" r:id="rId4" display="https://us3.assetplanner.com/service_request?ID=099909" xr:uid="{F28C4251-09AC-4E4C-9727-E917C6A62CA0}"/>
    <hyperlink ref="N5" r:id="rId5" display="https://us3.assetplanner.com/service_request?ID=098340" xr:uid="{F17A7715-32E8-420F-B864-C67B1C08DD09}"/>
    <hyperlink ref="K6" r:id="rId6" display="https://us3.assetplanner.com/service_request?ID=095240" xr:uid="{E7F2EB8D-3ED3-4CFE-827F-286408A8AC21}"/>
    <hyperlink ref="L6" r:id="rId7" display="https://us3.assetplanner.com/service_request?ID=098618" xr:uid="{740FB6C0-8687-462B-B73B-C876EB982805}"/>
    <hyperlink ref="M6" r:id="rId8" display="https://us3.assetplanner.com/service_request?ID=099707" xr:uid="{3100B496-CF9E-4465-B36F-556FBA717110}"/>
    <hyperlink ref="N6" r:id="rId9" display="https://us3.assetplanner.com/service_request?ID=099905" xr:uid="{41BEA808-FF91-4F7D-9165-B793CDD2EB21}"/>
    <hyperlink ref="O6" r:id="rId10" display="https://us3.assetplanner.com/service_request?ID=100397" xr:uid="{C6947FC7-9BFD-4F95-B2C6-3ADF571E695A}"/>
    <hyperlink ref="P6" r:id="rId11" display="https://us3.assetplanner.com/service_request?ID=098969" xr:uid="{875B7830-59A9-4A6D-B127-0C75B4779954}"/>
    <hyperlink ref="Q6" r:id="rId12" display="https://us3.assetplanner.com/service_request?ID=100138" xr:uid="{2A5F0351-41B2-4BEF-9BF4-92A4CA608479}"/>
    <hyperlink ref="R6" r:id="rId13" display="https://us3.assetplanner.com/service_request?ID=099905" xr:uid="{769D594C-D126-4FBC-A606-90E229DFE034}"/>
    <hyperlink ref="S6" r:id="rId14" display="https://us3.assetplanner.com/service_request?ID=099296" xr:uid="{09B08FFF-1D0A-4A40-B614-4CF8CE7CFF8D}"/>
    <hyperlink ref="T6" r:id="rId15" display="https://us3.assetplanner.com/service_request?ID=099719" xr:uid="{FA47B143-ED8A-45E2-A720-C237B4831A2E}"/>
    <hyperlink ref="U6" r:id="rId16" display="https://us3.assetplanner.com/service_request?ID=099707" xr:uid="{7C57B623-FCEE-4220-8A97-A3F52BE325C5}"/>
    <hyperlink ref="V6" r:id="rId17" display="https://us3.assetplanner.com/service_request?ID=099296" xr:uid="{7FB3507A-16CB-4298-9358-09049CE032D9}"/>
    <hyperlink ref="K7" r:id="rId18" display="https://us3.assetplanner.com/service_request?ID=092199" xr:uid="{CBA62FBB-924C-4F81-ABC1-17A8CCED27D9}"/>
    <hyperlink ref="L7" r:id="rId19" display="https://us3.assetplanner.com/service_request?ID=099408" xr:uid="{4F826DF7-C6A8-4CD4-8B11-02187EB77199}"/>
    <hyperlink ref="K8" r:id="rId20" display="https://us3.assetplanner.com/service_request?ID=096136" xr:uid="{143181A2-3C99-4A14-87E4-1869C642A32B}"/>
    <hyperlink ref="K11" r:id="rId21" display="https://us3.assetplanner.com/service_request?ID=099273" xr:uid="{F40FF653-B2F8-4A64-AA51-99712F7CE89F}"/>
    <hyperlink ref="K9" r:id="rId22" display="https://us3.assetplanner.com/service_request?ID=100719" xr:uid="{2860135B-3077-4A89-89D6-D83086882DD8}"/>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Q332"/>
  <sheetViews>
    <sheetView tabSelected="1" workbookViewId="0">
      <pane ySplit="2" topLeftCell="A3" activePane="bottomLeft" state="frozen"/>
      <selection pane="bottomLeft" activeCell="M4" sqref="M4"/>
      <selection activeCell="F35" sqref="F35"/>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7" ht="19.5" customHeight="1">
      <c r="A1" s="89" t="str" cm="1">
        <f t="array" ref="A1">portfolio</f>
        <v>AB CarVal</v>
      </c>
      <c r="B1" s="89"/>
      <c r="C1" s="89"/>
      <c r="D1" s="90" t="s">
        <v>121</v>
      </c>
      <c r="E1" s="90"/>
      <c r="F1" s="90"/>
      <c r="G1" s="88" t="s">
        <v>122</v>
      </c>
      <c r="H1" s="88"/>
      <c r="I1" s="88"/>
      <c r="J1" s="5"/>
      <c r="K1" s="5"/>
    </row>
    <row r="2" spans="1:17" ht="19.5" customHeight="1">
      <c r="A2" s="91" t="s">
        <v>2</v>
      </c>
      <c r="B2" s="91"/>
      <c r="C2" s="6">
        <f>SUM(C4:C90)</f>
        <v>7200052</v>
      </c>
      <c r="D2" s="6">
        <f>SUM(D4:D90)</f>
        <v>9205968.7668529004</v>
      </c>
      <c r="E2" s="6">
        <f>C2-D2</f>
        <v>-2005916.7668529004</v>
      </c>
      <c r="F2" s="7">
        <f>IFERROR(E2/D2, 0)</f>
        <v>-0.21789306673246855</v>
      </c>
      <c r="G2" s="6">
        <f>SUM(G4:G90)</f>
        <v>10199555.07</v>
      </c>
      <c r="H2" s="8">
        <f>C2-G2</f>
        <v>-2999503.0700000003</v>
      </c>
      <c r="I2" s="7">
        <f>IFERROR(H2/G2, 0)</f>
        <v>-0.29408175645057821</v>
      </c>
      <c r="J2" s="28" t="str">
        <f ca="1">IF(AND(TODAY()&gt;DATE(2024, 5, 1), COUNTA(Sites[Site])&lt;&gt;(COUNT(C:C)-1)), "Some sites are missing actual data; if new sites were added, make sure they are aligned correctly (including prior months!)", "")</f>
        <v/>
      </c>
      <c r="K2" s="5"/>
    </row>
    <row r="3" spans="1:17" ht="14.25" customHeight="1">
      <c r="A3" s="9" t="s">
        <v>3</v>
      </c>
      <c r="B3" s="9" t="s">
        <v>4</v>
      </c>
      <c r="C3" s="25" t="s">
        <v>5</v>
      </c>
      <c r="D3" s="36" t="s">
        <v>6</v>
      </c>
      <c r="E3" s="36" t="s">
        <v>7</v>
      </c>
      <c r="F3" s="37" t="s">
        <v>8</v>
      </c>
      <c r="G3" s="38" t="s">
        <v>9</v>
      </c>
      <c r="H3" s="39" t="s">
        <v>7</v>
      </c>
      <c r="I3" s="40" t="s">
        <v>8</v>
      </c>
      <c r="J3" s="27" t="s">
        <v>20</v>
      </c>
      <c r="K3" s="27" t="s">
        <v>21</v>
      </c>
    </row>
    <row r="4" spans="1:17" ht="57.6">
      <c r="A4" s="33" t="str" cm="1">
        <f t="array" ref="A4:A11">Sites[Site]</f>
        <v>MA: Fairhaven - 279 Mill Rd</v>
      </c>
      <c r="B4" s="30" t="str" cm="1">
        <f t="array" ref="B4:B11">Sites[State]</f>
        <v>MA</v>
      </c>
      <c r="C4" s="26">
        <v>376615</v>
      </c>
      <c r="D4" s="14">
        <v>367019.01654677768</v>
      </c>
      <c r="E4" s="14">
        <f>IF(AND(ISNUMBER(C4),ISNUMBER(D4)), C4-D4, "")</f>
        <v>9595.9834532223176</v>
      </c>
      <c r="F4" s="15">
        <f>IFERROR(E4/D4, "")</f>
        <v>2.6145739105045203E-2</v>
      </c>
      <c r="G4" s="16">
        <v>390136.89999999962</v>
      </c>
      <c r="H4" s="16">
        <f>IF(AND(ISNUMBER(C4),ISNUMBER(G4)), C4-G4, "")</f>
        <v>-13521.899999999616</v>
      </c>
      <c r="I4" s="17">
        <f>IFERROR(H4/G4, "")</f>
        <v>-3.4659372133216904E-2</v>
      </c>
      <c r="J4" s="81" t="s">
        <v>123</v>
      </c>
      <c r="K4" s="85" t="s">
        <v>124</v>
      </c>
      <c r="L4" s="76"/>
      <c r="M4" s="76"/>
      <c r="N4" s="76"/>
      <c r="O4" s="76"/>
      <c r="P4" s="76"/>
      <c r="Q4" s="76"/>
    </row>
    <row r="5" spans="1:17" ht="57.6">
      <c r="A5" s="31" t="str">
        <v>Bakersfield - 100 Basic School Rd</v>
      </c>
      <c r="B5" s="32" t="str">
        <v>CA</v>
      </c>
      <c r="C5" s="42">
        <v>1543190</v>
      </c>
      <c r="D5" s="20">
        <v>1562688.88</v>
      </c>
      <c r="E5" s="20">
        <f t="shared" ref="E5:E11" si="0">IF(AND(ISNUMBER(C5),ISNUMBER(D5)), C5-D5, "")</f>
        <v>-19498.879999999888</v>
      </c>
      <c r="F5" s="43">
        <f t="shared" ref="F5:F11" si="1">IFERROR(E5/D5, "")</f>
        <v>-1.2477774846647588E-2</v>
      </c>
      <c r="G5" s="44">
        <v>1663413.73</v>
      </c>
      <c r="H5" s="44">
        <f>IF(AND(ISNUMBER(C5),ISNUMBER(G5)), C5-G5, "")</f>
        <v>-120223.72999999998</v>
      </c>
      <c r="I5" s="43">
        <f t="shared" ref="I5:I11" si="2">IFERROR(H5/G5, "")</f>
        <v>-7.2275302188349724E-2</v>
      </c>
      <c r="J5" s="82" t="s">
        <v>125</v>
      </c>
      <c r="K5" s="86" t="s">
        <v>126</v>
      </c>
      <c r="L5" s="75" t="s">
        <v>103</v>
      </c>
      <c r="M5" s="75" t="s">
        <v>24</v>
      </c>
      <c r="N5" s="76"/>
      <c r="O5" s="76"/>
      <c r="P5" s="76"/>
      <c r="Q5" s="76"/>
    </row>
    <row r="6" spans="1:17" ht="144">
      <c r="A6" s="33" t="str">
        <v>Fresno - 2685 Cornelia Ave</v>
      </c>
      <c r="B6" s="30" t="str">
        <v>CA</v>
      </c>
      <c r="C6" s="26">
        <v>1529058</v>
      </c>
      <c r="D6" s="14">
        <v>3539921.72</v>
      </c>
      <c r="E6" s="14">
        <f>IF(AND(ISNUMBER(C6),ISNUMBER(D6)), C6-D6, "")</f>
        <v>-2010863.7200000002</v>
      </c>
      <c r="F6" s="15">
        <f t="shared" si="1"/>
        <v>-0.56805316022637931</v>
      </c>
      <c r="G6" s="47">
        <v>3468101.2</v>
      </c>
      <c r="H6" s="47">
        <f>IF(AND(ISNUMBER(C6),ISNUMBER(G6)), C6-G6, "")</f>
        <v>-1939043.2000000002</v>
      </c>
      <c r="I6" s="17">
        <f t="shared" si="2"/>
        <v>-0.55910802141529203</v>
      </c>
      <c r="J6" s="81" t="s">
        <v>127</v>
      </c>
      <c r="K6" s="85" t="s">
        <v>128</v>
      </c>
      <c r="L6" s="75" t="s">
        <v>108</v>
      </c>
      <c r="M6" s="75" t="s">
        <v>129</v>
      </c>
      <c r="N6" s="75" t="s">
        <v>130</v>
      </c>
      <c r="O6" s="75" t="s">
        <v>110</v>
      </c>
      <c r="P6" s="76"/>
      <c r="Q6" s="76"/>
    </row>
    <row r="7" spans="1:17" ht="15.6">
      <c r="A7" s="31" t="str">
        <v>San Juaquin - S. Placer &amp; W. Adams</v>
      </c>
      <c r="B7" s="32" t="str">
        <v>CA</v>
      </c>
      <c r="C7" s="42">
        <v>1205619</v>
      </c>
      <c r="D7" s="20">
        <v>1254897.27</v>
      </c>
      <c r="E7" s="20">
        <f>IF(AND(ISNUMBER(C7),ISNUMBER(D7)), C7-D7, "")</f>
        <v>-49278.270000000019</v>
      </c>
      <c r="F7" s="21">
        <f t="shared" si="1"/>
        <v>-3.9268768191678363E-2</v>
      </c>
      <c r="G7" s="22">
        <v>1273551.3400000001</v>
      </c>
      <c r="H7" s="22">
        <f>IF(AND(ISNUMBER(C7),ISNUMBER(G7)), C7-G7, "")</f>
        <v>-67932.340000000084</v>
      </c>
      <c r="I7" s="21">
        <f t="shared" si="2"/>
        <v>-5.3340872775494139E-2</v>
      </c>
      <c r="J7" s="84"/>
      <c r="K7" s="83"/>
      <c r="L7" s="76"/>
      <c r="M7" s="76"/>
      <c r="N7" s="76"/>
      <c r="O7" s="76"/>
      <c r="P7" s="76"/>
      <c r="Q7" s="76"/>
    </row>
    <row r="8" spans="1:17" ht="15.6">
      <c r="A8" s="33" t="str">
        <v xml:space="preserve">Charlemont - 0 Tea St </v>
      </c>
      <c r="B8" s="30" t="str">
        <v>MA</v>
      </c>
      <c r="C8" s="26">
        <v>372549</v>
      </c>
      <c r="D8" s="14">
        <v>373087.82917122141</v>
      </c>
      <c r="E8" s="14">
        <f t="shared" si="0"/>
        <v>-538.82917122141225</v>
      </c>
      <c r="F8" s="15">
        <f t="shared" si="1"/>
        <v>-1.4442421571841924E-3</v>
      </c>
      <c r="G8" s="16">
        <v>466328.89999999985</v>
      </c>
      <c r="H8" s="16">
        <f t="shared" ref="H8:H11" si="3">IF(AND(ISNUMBER(C8),ISNUMBER(G8)), C8-G8, "")</f>
        <v>-93779.899999999849</v>
      </c>
      <c r="I8" s="17">
        <f t="shared" si="2"/>
        <v>-0.20110248367622055</v>
      </c>
      <c r="J8" s="81"/>
      <c r="K8" s="81"/>
      <c r="L8" s="76"/>
      <c r="M8" s="76"/>
      <c r="N8" s="76"/>
      <c r="O8" s="76"/>
      <c r="P8" s="76"/>
      <c r="Q8" s="76"/>
    </row>
    <row r="9" spans="1:17" ht="115.15">
      <c r="A9" s="31" t="str">
        <v xml:space="preserve">Amherst - 740 Belchertown Rd </v>
      </c>
      <c r="B9" s="32" t="str">
        <v>MA</v>
      </c>
      <c r="C9" s="12">
        <v>438172</v>
      </c>
      <c r="D9" s="20">
        <v>414418.94241518714</v>
      </c>
      <c r="E9" s="20">
        <f t="shared" si="0"/>
        <v>23753.057584812865</v>
      </c>
      <c r="F9" s="21">
        <f t="shared" si="1"/>
        <v>5.7316534438273281E-2</v>
      </c>
      <c r="G9" s="22">
        <v>558633.99999999988</v>
      </c>
      <c r="H9" s="22">
        <f t="shared" si="3"/>
        <v>-120461.99999999988</v>
      </c>
      <c r="I9" s="21">
        <f t="shared" si="2"/>
        <v>-0.21563671384126262</v>
      </c>
      <c r="J9" s="50" t="s">
        <v>131</v>
      </c>
      <c r="K9" s="87" t="s">
        <v>132</v>
      </c>
      <c r="L9" s="76"/>
      <c r="M9" s="76"/>
      <c r="N9" s="76"/>
      <c r="O9" s="76"/>
      <c r="P9" s="76"/>
      <c r="Q9" s="76"/>
    </row>
    <row r="10" spans="1:17" ht="43.15">
      <c r="A10" s="33" t="str">
        <v xml:space="preserve"> Ludlow - Huxley 1 &amp; 2 - 504 Fuller St </v>
      </c>
      <c r="B10" s="30" t="str">
        <v>MA</v>
      </c>
      <c r="C10" s="26">
        <v>943484.00000000012</v>
      </c>
      <c r="D10" s="14">
        <v>871480.6540087756</v>
      </c>
      <c r="E10" s="14">
        <f t="shared" si="0"/>
        <v>72003.345991224516</v>
      </c>
      <c r="F10" s="15">
        <f t="shared" si="1"/>
        <v>8.2621852430128026E-2</v>
      </c>
      <c r="G10" s="16">
        <v>1273112.0000000012</v>
      </c>
      <c r="H10" s="16">
        <f t="shared" si="3"/>
        <v>-329628.00000000105</v>
      </c>
      <c r="I10" s="17">
        <f t="shared" si="2"/>
        <v>-0.2589151622166791</v>
      </c>
      <c r="J10" s="81" t="s">
        <v>133</v>
      </c>
      <c r="K10" s="85" t="s">
        <v>134</v>
      </c>
      <c r="L10" s="76"/>
      <c r="M10" s="76"/>
      <c r="N10" s="76"/>
      <c r="O10" s="76"/>
      <c r="P10" s="76"/>
      <c r="Q10" s="76"/>
    </row>
    <row r="11" spans="1:17" ht="86.45">
      <c r="A11" s="31" t="str">
        <v>Easthampton - Beacon 1 &amp; 2 - 540 Florence Rd</v>
      </c>
      <c r="B11" s="32" t="str">
        <v>MA</v>
      </c>
      <c r="C11" s="12">
        <v>791365</v>
      </c>
      <c r="D11" s="20">
        <v>822454.45471093827</v>
      </c>
      <c r="E11" s="20">
        <f t="shared" si="0"/>
        <v>-31089.454710938269</v>
      </c>
      <c r="F11" s="21">
        <f t="shared" si="1"/>
        <v>-3.7800822322574736E-2</v>
      </c>
      <c r="G11" s="22">
        <v>1106277.0000000002</v>
      </c>
      <c r="H11" s="22">
        <f t="shared" si="3"/>
        <v>-314912.00000000023</v>
      </c>
      <c r="I11" s="21">
        <f t="shared" si="2"/>
        <v>-0.28465926707325578</v>
      </c>
      <c r="J11" s="82" t="s">
        <v>135</v>
      </c>
      <c r="K11" s="86" t="s">
        <v>136</v>
      </c>
      <c r="L11" s="75" t="s">
        <v>137</v>
      </c>
      <c r="M11" s="76"/>
      <c r="N11" s="76"/>
      <c r="O11" s="76"/>
      <c r="P11" s="76"/>
      <c r="Q11" s="76"/>
    </row>
    <row r="12" spans="1:17" ht="14.45">
      <c r="A12" s="23"/>
      <c r="B12" s="34"/>
      <c r="C12" s="23"/>
      <c r="D12" s="23"/>
      <c r="E12" s="23"/>
      <c r="F12" s="23"/>
      <c r="G12" s="23"/>
      <c r="H12" s="23"/>
      <c r="I12" s="23"/>
      <c r="J12" s="23"/>
      <c r="K12" s="23"/>
    </row>
    <row r="13" spans="1:17" ht="14.45">
      <c r="A13" s="23"/>
      <c r="B13" s="34"/>
      <c r="C13" s="23"/>
      <c r="D13" s="23"/>
      <c r="E13" s="23"/>
      <c r="F13" s="23"/>
      <c r="G13" s="23"/>
      <c r="H13" s="23"/>
      <c r="I13" s="23"/>
      <c r="J13" s="23"/>
      <c r="K13" s="23"/>
    </row>
    <row r="14" spans="1:17" ht="14.45">
      <c r="A14" s="23"/>
      <c r="B14" s="34"/>
      <c r="C14" s="23"/>
      <c r="D14" s="23"/>
      <c r="E14" s="23"/>
      <c r="F14" s="23"/>
      <c r="G14" s="23"/>
      <c r="H14" s="23"/>
      <c r="I14" s="23"/>
      <c r="J14" s="23"/>
      <c r="K14" s="23"/>
    </row>
    <row r="15" spans="1:17" ht="14.45">
      <c r="A15" s="23"/>
      <c r="B15" s="34"/>
      <c r="C15" s="23"/>
      <c r="D15" s="23"/>
      <c r="E15" s="23"/>
      <c r="F15" s="23"/>
      <c r="G15" s="23"/>
      <c r="H15" s="23"/>
      <c r="I15" s="23"/>
      <c r="J15" s="23"/>
      <c r="K15" s="23"/>
    </row>
    <row r="16" spans="1:17"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mergeCells count="4">
    <mergeCell ref="G1:I1"/>
    <mergeCell ref="A1:C1"/>
    <mergeCell ref="D1:F1"/>
    <mergeCell ref="A2:B2"/>
  </mergeCells>
  <conditionalFormatting sqref="F2 I2">
    <cfRule type="cellIs" dxfId="22" priority="3" stopIfTrue="1" operator="lessThanOrEqual">
      <formula>-0.1</formula>
    </cfRule>
    <cfRule type="expression" dxfId="21" priority="4">
      <formula>AND(ISNUMBER(F2), F2&gt;=0.1)</formula>
    </cfRule>
  </conditionalFormatting>
  <conditionalFormatting sqref="F4:F90 I4:I90">
    <cfRule type="cellIs" dxfId="20" priority="1" stopIfTrue="1" operator="lessThanOrEqual">
      <formula>-0.1</formula>
    </cfRule>
    <cfRule type="expression" dxfId="19" priority="2">
      <formula>AND(ISNUMBER(F4), F4&gt;=0.1)</formula>
    </cfRule>
  </conditionalFormatting>
  <hyperlinks>
    <hyperlink ref="K4" r:id="rId1" display="https://us3.assetplanner.com/service_request?ID=102048" xr:uid="{1C03CFD3-40D6-4306-8CDD-2C88D6C70F69}"/>
    <hyperlink ref="K5" r:id="rId2" display="https://us3.assetplanner.com/service_request?ID=099275" xr:uid="{D62201A7-984F-4578-B26D-058F15DCED05}"/>
    <hyperlink ref="L5" r:id="rId3" display="https://us3.assetplanner.com/service_request?ID=099909" xr:uid="{C487F1A2-C234-4FA7-A554-9F9A7CB72D5A}"/>
    <hyperlink ref="M5" r:id="rId4" display="https://us3.assetplanner.com/service_request?ID=096082" xr:uid="{731F9253-3051-41C0-A248-95F699432AFF}"/>
    <hyperlink ref="K6" r:id="rId5" display="https://us3.assetplanner.com/service_request?ID=095240" xr:uid="{73A38FEA-97A3-4458-87E5-DB124E7948B9}"/>
    <hyperlink ref="L6" r:id="rId6" display="https://us3.assetplanner.com/service_request?ID=100397" xr:uid="{BD87744F-BC84-4D4C-AC7A-67702A45D952}"/>
    <hyperlink ref="M6" r:id="rId7" display="https://us3.assetplanner.com/service_request?ID=101962" xr:uid="{36CAE4D8-BF93-4DBF-9D0E-99755104B525}"/>
    <hyperlink ref="N6" r:id="rId8" display="https://us3.assetplanner.com/service_request?ID=102333" xr:uid="{D9D29CEB-D35A-4B91-8BF0-DAF7F57C234E}"/>
    <hyperlink ref="O6" r:id="rId9" display="https://us3.assetplanner.com/service_request?ID=100138" xr:uid="{321BC214-D995-4CFE-B0C9-92F9CFAB21AF}"/>
    <hyperlink ref="K9" r:id="rId10" display="https://us3.assetplanner.com/service_request?ID=100719" xr:uid="{DFABFA25-BF22-4D21-B92E-672E5489E38E}"/>
    <hyperlink ref="K10" r:id="rId11" display="https://us3.assetplanner.com/service_request?ID=102053" xr:uid="{B7C50FE7-A460-4D71-9690-3E47A044C4C3}"/>
    <hyperlink ref="K11" r:id="rId12" display="https://us3.assetplanner.com/service_request?ID=100841" xr:uid="{0B146B92-2E0B-4869-834E-8453B54347C3}"/>
    <hyperlink ref="L11" r:id="rId13" display="https://us3.assetplanner.com/service_request?ID=102282" xr:uid="{06EABF1A-EE00-4FFD-98C3-889781103AA5}"/>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K332"/>
  <sheetViews>
    <sheetView topLeftCell="B1" workbookViewId="0">
      <pane ySplit="2" topLeftCell="A3" activePane="bottomLeft" state="frozen"/>
      <selection pane="bottomLeft" activeCell="H15" sqref="H15"/>
      <selection activeCell="F35" sqref="F35"/>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89" t="str" cm="1">
        <f t="array" ref="A1">portfolio</f>
        <v>AB CarVal</v>
      </c>
      <c r="B1" s="89"/>
      <c r="C1" s="89"/>
      <c r="D1" s="90" t="s">
        <v>138</v>
      </c>
      <c r="E1" s="90"/>
      <c r="F1" s="90"/>
      <c r="G1" s="88" t="s">
        <v>139</v>
      </c>
      <c r="H1" s="88"/>
      <c r="I1" s="88"/>
      <c r="J1" s="5"/>
      <c r="K1" s="5"/>
    </row>
    <row r="2" spans="1:11" ht="19.5" customHeight="1">
      <c r="A2" s="91" t="s">
        <v>2</v>
      </c>
      <c r="B2" s="91"/>
      <c r="C2" s="6">
        <f>SUM(C4:C90)</f>
        <v>0</v>
      </c>
      <c r="D2" s="6">
        <f>SUM(D4:D90)</f>
        <v>0</v>
      </c>
      <c r="E2" s="6">
        <f>C2-D2</f>
        <v>0</v>
      </c>
      <c r="F2" s="7">
        <f>IFERROR(E2/D2, 0)</f>
        <v>0</v>
      </c>
      <c r="G2" s="6">
        <f>SUM(G4:G90)</f>
        <v>0</v>
      </c>
      <c r="H2" s="8">
        <f>C2-G2</f>
        <v>0</v>
      </c>
      <c r="I2" s="7">
        <f>IFERROR(H2/G2, 0)</f>
        <v>0</v>
      </c>
      <c r="J2" s="28" t="str">
        <f ca="1">IF(AND(TODAY()&gt;DATE(2024, 6,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5" t="s">
        <v>5</v>
      </c>
      <c r="D3" s="36" t="s">
        <v>6</v>
      </c>
      <c r="E3" s="36" t="s">
        <v>7</v>
      </c>
      <c r="F3" s="37" t="s">
        <v>8</v>
      </c>
      <c r="G3" s="38" t="s">
        <v>9</v>
      </c>
      <c r="H3" s="39" t="s">
        <v>7</v>
      </c>
      <c r="I3" s="40" t="s">
        <v>8</v>
      </c>
      <c r="J3" s="27" t="s">
        <v>20</v>
      </c>
      <c r="K3" s="27" t="s">
        <v>21</v>
      </c>
    </row>
    <row r="4" spans="1:11" ht="15.6">
      <c r="A4" s="33" t="str" cm="1">
        <f t="array" ref="A4:A11">Sites[Site]</f>
        <v>MA: Fairhaven - 279 Mill Rd</v>
      </c>
      <c r="B4" s="30" t="str" cm="1">
        <f t="array" ref="B4:B11">Sites[State]</f>
        <v>MA</v>
      </c>
      <c r="C4" s="26"/>
      <c r="D4" s="14"/>
      <c r="E4" s="14" t="str">
        <f>IF(AND(ISNUMBER(C4),ISNUMBER(D4)), C4-D4, "")</f>
        <v/>
      </c>
      <c r="F4" s="15" t="str">
        <f>IFERROR(E4/D4, "")</f>
        <v/>
      </c>
      <c r="G4" s="16"/>
      <c r="H4" s="16" t="str">
        <f>IF(AND(ISNUMBER(C4),ISNUMBER(G4)), C4-G4, "")</f>
        <v/>
      </c>
      <c r="I4" s="17" t="str">
        <f>IFERROR(H4/G4, "")</f>
        <v/>
      </c>
      <c r="J4" s="18"/>
      <c r="K4" s="18"/>
    </row>
    <row r="5" spans="1:11" ht="15.6">
      <c r="A5" s="31" t="str">
        <v>Bakersfield - 100 Basic School Rd</v>
      </c>
      <c r="B5" s="32" t="str">
        <v>CA</v>
      </c>
      <c r="C5" s="12"/>
      <c r="D5" s="20"/>
      <c r="E5" s="20" t="str">
        <f t="shared" ref="E5:E11" si="0">IF(AND(ISNUMBER(C5),ISNUMBER(D5)), C5-D5, "")</f>
        <v/>
      </c>
      <c r="F5" s="65" t="str">
        <f t="shared" ref="F5:F11" si="1">IFERROR(E5/D5, "")</f>
        <v/>
      </c>
      <c r="G5" s="22"/>
      <c r="H5" s="22" t="str">
        <f t="shared" ref="H5:H11" si="2">IF(AND(ISNUMBER(C5),ISNUMBER(G5)), C5-G5, "")</f>
        <v/>
      </c>
      <c r="I5" s="65" t="str">
        <f t="shared" ref="I5:I11" si="3">IFERROR(H5/G5, "")</f>
        <v/>
      </c>
      <c r="J5" s="11"/>
      <c r="K5" s="19"/>
    </row>
    <row r="6" spans="1:11" ht="15.6">
      <c r="A6" s="33" t="str">
        <v>Fresno - 2685 Cornelia Ave</v>
      </c>
      <c r="B6" s="30" t="str">
        <v>CA</v>
      </c>
      <c r="C6" s="26"/>
      <c r="D6" s="14"/>
      <c r="E6" s="14" t="str">
        <f t="shared" si="0"/>
        <v/>
      </c>
      <c r="F6" s="15" t="str">
        <f t="shared" si="1"/>
        <v/>
      </c>
      <c r="G6" s="16"/>
      <c r="H6" s="16" t="str">
        <f t="shared" si="2"/>
        <v/>
      </c>
      <c r="I6" s="17" t="str">
        <f t="shared" si="3"/>
        <v/>
      </c>
      <c r="J6" s="18"/>
      <c r="K6" s="18"/>
    </row>
    <row r="7" spans="1:11" ht="15.6">
      <c r="A7" s="31" t="str">
        <v>San Juaquin - S. Placer &amp; W. Adams</v>
      </c>
      <c r="B7" s="32" t="str">
        <v>CA</v>
      </c>
      <c r="C7" s="12"/>
      <c r="D7" s="20"/>
      <c r="E7" s="20" t="str">
        <f t="shared" si="0"/>
        <v/>
      </c>
      <c r="F7" s="65" t="str">
        <f t="shared" si="1"/>
        <v/>
      </c>
      <c r="G7" s="22"/>
      <c r="H7" s="22" t="str">
        <f t="shared" si="2"/>
        <v/>
      </c>
      <c r="I7" s="65" t="str">
        <f t="shared" si="3"/>
        <v/>
      </c>
      <c r="J7" s="11"/>
      <c r="K7" s="19"/>
    </row>
    <row r="8" spans="1:11" ht="45.75" customHeight="1">
      <c r="A8" s="33" t="str">
        <v xml:space="preserve">Charlemont - 0 Tea St </v>
      </c>
      <c r="B8" s="30" t="str">
        <v>MA</v>
      </c>
      <c r="C8" s="49"/>
      <c r="D8" s="14"/>
      <c r="E8" s="14" t="str">
        <f t="shared" si="0"/>
        <v/>
      </c>
      <c r="F8" s="15" t="str">
        <f t="shared" si="1"/>
        <v/>
      </c>
      <c r="G8" s="47"/>
      <c r="H8" s="47" t="str">
        <f t="shared" si="2"/>
        <v/>
      </c>
      <c r="I8" s="17" t="str">
        <f t="shared" si="3"/>
        <v/>
      </c>
      <c r="J8" s="45"/>
      <c r="K8" s="45"/>
    </row>
    <row r="9" spans="1:11" ht="15.6">
      <c r="A9" s="31" t="str">
        <v xml:space="preserve">Amherst - 740 Belchertown Rd </v>
      </c>
      <c r="B9" s="32" t="str">
        <v>MA</v>
      </c>
      <c r="C9" s="42"/>
      <c r="D9" s="20"/>
      <c r="E9" s="20" t="str">
        <f t="shared" si="0"/>
        <v/>
      </c>
      <c r="F9" s="65" t="str">
        <f t="shared" si="1"/>
        <v/>
      </c>
      <c r="G9" s="44"/>
      <c r="H9" s="44" t="str">
        <f t="shared" si="2"/>
        <v/>
      </c>
      <c r="I9" s="65" t="str">
        <f t="shared" si="3"/>
        <v/>
      </c>
      <c r="J9" s="11"/>
      <c r="K9" s="19"/>
    </row>
    <row r="10" spans="1:11" ht="15.6">
      <c r="A10" s="33" t="str">
        <v xml:space="preserve"> Ludlow - Huxley 1 &amp; 2 - 504 Fuller St </v>
      </c>
      <c r="B10" s="30" t="str">
        <v>MA</v>
      </c>
      <c r="C10" s="49"/>
      <c r="D10" s="14"/>
      <c r="E10" s="14" t="str">
        <f t="shared" si="0"/>
        <v/>
      </c>
      <c r="F10" s="15" t="str">
        <f t="shared" si="1"/>
        <v/>
      </c>
      <c r="G10" s="47"/>
      <c r="H10" s="47" t="str">
        <f t="shared" si="2"/>
        <v/>
      </c>
      <c r="I10" s="17" t="str">
        <f t="shared" si="3"/>
        <v/>
      </c>
      <c r="J10" s="45"/>
      <c r="K10" s="45"/>
    </row>
    <row r="11" spans="1:11" ht="15.6">
      <c r="A11" s="31" t="str">
        <v>Easthampton - Beacon 1 &amp; 2 - 540 Florence Rd</v>
      </c>
      <c r="B11" s="32" t="str">
        <v>MA</v>
      </c>
      <c r="C11" s="42"/>
      <c r="D11" s="20"/>
      <c r="E11" s="20" t="str">
        <f t="shared" si="0"/>
        <v/>
      </c>
      <c r="F11" s="65" t="str">
        <f t="shared" si="1"/>
        <v/>
      </c>
      <c r="G11" s="44"/>
      <c r="H11" s="44" t="str">
        <f t="shared" si="2"/>
        <v/>
      </c>
      <c r="I11" s="65" t="str">
        <f t="shared" si="3"/>
        <v/>
      </c>
      <c r="J11" s="11"/>
      <c r="K11" s="19"/>
    </row>
    <row r="12" spans="1:11" ht="14.45">
      <c r="A12" s="23"/>
      <c r="B12" s="34"/>
      <c r="C12" s="23"/>
      <c r="D12" s="23"/>
      <c r="E12" s="23"/>
      <c r="F12" s="23"/>
      <c r="G12" s="23"/>
      <c r="H12" s="23"/>
      <c r="I12" s="23"/>
      <c r="J12" s="23"/>
      <c r="K12" s="23"/>
    </row>
    <row r="13" spans="1:11" ht="14.45">
      <c r="A13" s="23"/>
      <c r="B13" s="34"/>
      <c r="C13" s="23"/>
      <c r="D13" s="23"/>
      <c r="E13" s="23"/>
      <c r="F13" s="23"/>
      <c r="G13" s="23"/>
      <c r="H13" s="23"/>
      <c r="I13" s="23"/>
      <c r="J13" s="23"/>
      <c r="K13" s="23"/>
    </row>
    <row r="14" spans="1:11" ht="14.45">
      <c r="A14" s="23"/>
      <c r="B14" s="34"/>
      <c r="C14" s="23"/>
      <c r="D14" s="23"/>
      <c r="E14" s="23"/>
      <c r="F14" s="23"/>
      <c r="G14" s="23"/>
      <c r="H14" s="23"/>
      <c r="I14" s="23"/>
      <c r="J14" s="23"/>
      <c r="K14" s="23"/>
    </row>
    <row r="15" spans="1:11" ht="14.45">
      <c r="A15" s="23"/>
      <c r="B15" s="34"/>
      <c r="C15" s="23"/>
      <c r="D15" s="23"/>
      <c r="E15" s="23"/>
      <c r="F15" s="23"/>
      <c r="G15" s="23"/>
      <c r="H15" s="23"/>
      <c r="I15" s="23"/>
      <c r="J15" s="23"/>
      <c r="K15" s="23"/>
    </row>
    <row r="16" spans="1:11"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18" priority="1" stopIfTrue="1" operator="lessThanOrEqual">
      <formula>-0.1</formula>
    </cfRule>
    <cfRule type="expression" dxfId="17" priority="2">
      <formula>AND(ISNUMBER(F2), F2&gt;=0.1)</formula>
    </cfRule>
  </conditionalFormatting>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K332"/>
  <sheetViews>
    <sheetView workbookViewId="0">
      <pane ySplit="2" topLeftCell="A3" activePane="bottomLeft" state="frozen"/>
      <selection pane="bottomLeft" activeCell="H15" sqref="H15"/>
      <selection activeCell="H15" sqref="H15"/>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89" t="str" cm="1">
        <f t="array" ref="A1">portfolio</f>
        <v>AB CarVal</v>
      </c>
      <c r="B1" s="89"/>
      <c r="C1" s="89"/>
      <c r="D1" s="90" t="s">
        <v>140</v>
      </c>
      <c r="E1" s="90"/>
      <c r="F1" s="90"/>
      <c r="G1" s="88" t="s">
        <v>141</v>
      </c>
      <c r="H1" s="88"/>
      <c r="I1" s="88"/>
      <c r="J1" s="5"/>
      <c r="K1" s="5"/>
    </row>
    <row r="2" spans="1:11" ht="19.5" customHeight="1">
      <c r="A2" s="91" t="s">
        <v>2</v>
      </c>
      <c r="B2" s="91"/>
      <c r="C2" s="6">
        <f>SUM(C4:C90)</f>
        <v>0</v>
      </c>
      <c r="D2" s="6">
        <f>SUM(D4:D90)</f>
        <v>0</v>
      </c>
      <c r="E2" s="6">
        <f>C2-D2</f>
        <v>0</v>
      </c>
      <c r="F2" s="7">
        <f>IFERROR(E2/D2, 0)</f>
        <v>0</v>
      </c>
      <c r="G2" s="6">
        <f>SUM(G4:G90)</f>
        <v>0</v>
      </c>
      <c r="H2" s="8">
        <f>C2-G2</f>
        <v>0</v>
      </c>
      <c r="I2" s="7">
        <f>IFERROR(H2/G2, 0)</f>
        <v>0</v>
      </c>
      <c r="J2" s="28" t="str">
        <f ca="1">IF(AND(TODAY()&gt;DATE(2024, 7,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5" t="s">
        <v>5</v>
      </c>
      <c r="D3" s="36" t="s">
        <v>6</v>
      </c>
      <c r="E3" s="36" t="s">
        <v>7</v>
      </c>
      <c r="F3" s="37" t="s">
        <v>8</v>
      </c>
      <c r="G3" s="38" t="s">
        <v>9</v>
      </c>
      <c r="H3" s="39" t="s">
        <v>7</v>
      </c>
      <c r="I3" s="40" t="s">
        <v>8</v>
      </c>
      <c r="J3" s="27" t="s">
        <v>20</v>
      </c>
      <c r="K3" s="27" t="s">
        <v>21</v>
      </c>
    </row>
    <row r="4" spans="1:11" ht="15.6">
      <c r="A4" s="33" t="str" cm="1">
        <f t="array" ref="A4:A11">Sites[Site]</f>
        <v>MA: Fairhaven - 279 Mill Rd</v>
      </c>
      <c r="B4" s="30" t="str" cm="1">
        <f t="array" ref="B4:B11">Sites[State]</f>
        <v>MA</v>
      </c>
      <c r="C4" s="26"/>
      <c r="D4" s="14"/>
      <c r="E4" s="14" t="str">
        <f>IF(AND(ISNUMBER(C4),ISNUMBER(D4)), C4-D4, "")</f>
        <v/>
      </c>
      <c r="F4" s="15" t="str">
        <f>IFERROR(E4/D4, "")</f>
        <v/>
      </c>
      <c r="G4" s="16"/>
      <c r="H4" s="16" t="str">
        <f>IF(AND(ISNUMBER(C4),ISNUMBER(G4)), C4-G4, "")</f>
        <v/>
      </c>
      <c r="I4" s="17" t="str">
        <f>IFERROR(H4/G4, "")</f>
        <v/>
      </c>
      <c r="J4" s="18"/>
      <c r="K4" s="18"/>
    </row>
    <row r="5" spans="1:11" ht="15.6">
      <c r="A5" s="31" t="str">
        <v>Bakersfield - 100 Basic School Rd</v>
      </c>
      <c r="B5" s="32" t="str">
        <v>CA</v>
      </c>
      <c r="C5" s="12"/>
      <c r="D5" s="20"/>
      <c r="E5" s="20" t="str">
        <f t="shared" ref="E5:E11" si="0">IF(AND(ISNUMBER(C5),ISNUMBER(D5)), C5-D5, "")</f>
        <v/>
      </c>
      <c r="F5" s="65" t="str">
        <f t="shared" ref="F5:F11" si="1">IFERROR(E5/D5, "")</f>
        <v/>
      </c>
      <c r="G5" s="22"/>
      <c r="H5" s="22" t="str">
        <f t="shared" ref="H5:H11" si="2">IF(AND(ISNUMBER(C5),ISNUMBER(G5)), C5-G5, "")</f>
        <v/>
      </c>
      <c r="I5" s="65" t="str">
        <f t="shared" ref="I5:I11" si="3">IFERROR(H5/G5, "")</f>
        <v/>
      </c>
      <c r="J5" s="11"/>
      <c r="K5" s="19"/>
    </row>
    <row r="6" spans="1:11" ht="15.6">
      <c r="A6" s="33" t="str">
        <v>Fresno - 2685 Cornelia Ave</v>
      </c>
      <c r="B6" s="30" t="str">
        <v>CA</v>
      </c>
      <c r="C6" s="26"/>
      <c r="D6" s="14"/>
      <c r="E6" s="14" t="str">
        <f t="shared" si="0"/>
        <v/>
      </c>
      <c r="F6" s="15" t="str">
        <f t="shared" si="1"/>
        <v/>
      </c>
      <c r="G6" s="16"/>
      <c r="H6" s="16" t="str">
        <f t="shared" si="2"/>
        <v/>
      </c>
      <c r="I6" s="17" t="str">
        <f t="shared" si="3"/>
        <v/>
      </c>
      <c r="J6" s="18"/>
      <c r="K6" s="18"/>
    </row>
    <row r="7" spans="1:11" ht="15.6">
      <c r="A7" s="31" t="str">
        <v>San Juaquin - S. Placer &amp; W. Adams</v>
      </c>
      <c r="B7" s="32" t="str">
        <v>CA</v>
      </c>
      <c r="C7" s="12"/>
      <c r="D7" s="20"/>
      <c r="E7" s="20" t="str">
        <f t="shared" si="0"/>
        <v/>
      </c>
      <c r="F7" s="65" t="str">
        <f t="shared" si="1"/>
        <v/>
      </c>
      <c r="G7" s="22"/>
      <c r="H7" s="22" t="str">
        <f t="shared" si="2"/>
        <v/>
      </c>
      <c r="I7" s="65" t="str">
        <f t="shared" si="3"/>
        <v/>
      </c>
      <c r="J7" s="11"/>
      <c r="K7" s="19"/>
    </row>
    <row r="8" spans="1:11" ht="15.6">
      <c r="A8" s="52" t="str">
        <v xml:space="preserve">Charlemont - 0 Tea St </v>
      </c>
      <c r="B8" s="30" t="str">
        <v>MA</v>
      </c>
      <c r="C8" s="26"/>
      <c r="D8" s="14"/>
      <c r="E8" s="14" t="str">
        <f>IF(AND(ISNUMBER(C8),ISNUMBER(D8)), C8-D8, "")</f>
        <v/>
      </c>
      <c r="F8" s="15" t="str">
        <f t="shared" si="1"/>
        <v/>
      </c>
      <c r="G8" s="16"/>
      <c r="H8" s="16" t="str">
        <f t="shared" si="2"/>
        <v/>
      </c>
      <c r="I8" s="17" t="str">
        <f t="shared" si="3"/>
        <v/>
      </c>
      <c r="J8" s="18"/>
      <c r="K8" s="18"/>
    </row>
    <row r="9" spans="1:11" ht="15.6">
      <c r="A9" s="31" t="str">
        <v xml:space="preserve">Amherst - 740 Belchertown Rd </v>
      </c>
      <c r="B9" s="32" t="str">
        <v>MA</v>
      </c>
      <c r="C9" s="12"/>
      <c r="D9" s="20"/>
      <c r="E9" s="20" t="str">
        <f t="shared" si="0"/>
        <v/>
      </c>
      <c r="F9" s="65" t="str">
        <f t="shared" si="1"/>
        <v/>
      </c>
      <c r="G9" s="22"/>
      <c r="H9" s="22" t="str">
        <f t="shared" si="2"/>
        <v/>
      </c>
      <c r="I9" s="65" t="str">
        <f t="shared" si="3"/>
        <v/>
      </c>
      <c r="J9" s="11"/>
      <c r="K9" s="19"/>
    </row>
    <row r="10" spans="1:11" ht="15.6">
      <c r="A10" s="33" t="str">
        <v xml:space="preserve"> Ludlow - Huxley 1 &amp; 2 - 504 Fuller St </v>
      </c>
      <c r="B10" s="30" t="str">
        <v>MA</v>
      </c>
      <c r="C10" s="26"/>
      <c r="D10" s="14"/>
      <c r="E10" s="14" t="str">
        <f t="shared" si="0"/>
        <v/>
      </c>
      <c r="F10" s="15" t="str">
        <f t="shared" si="1"/>
        <v/>
      </c>
      <c r="G10" s="16"/>
      <c r="H10" s="16" t="str">
        <f t="shared" si="2"/>
        <v/>
      </c>
      <c r="I10" s="17" t="str">
        <f t="shared" si="3"/>
        <v/>
      </c>
      <c r="J10" s="18"/>
      <c r="K10" s="18"/>
    </row>
    <row r="11" spans="1:11" ht="15.6">
      <c r="A11" s="31" t="str">
        <v>Easthampton - Beacon 1 &amp; 2 - 540 Florence Rd</v>
      </c>
      <c r="B11" s="32" t="str">
        <v>MA</v>
      </c>
      <c r="C11" s="12"/>
      <c r="D11" s="20"/>
      <c r="E11" s="20" t="str">
        <f t="shared" si="0"/>
        <v/>
      </c>
      <c r="F11" s="65" t="str">
        <f t="shared" si="1"/>
        <v/>
      </c>
      <c r="G11" s="22"/>
      <c r="H11" s="22" t="str">
        <f t="shared" si="2"/>
        <v/>
      </c>
      <c r="I11" s="65" t="str">
        <f t="shared" si="3"/>
        <v/>
      </c>
      <c r="J11" s="11"/>
      <c r="K11" s="19"/>
    </row>
    <row r="12" spans="1:11" ht="14.45">
      <c r="A12" s="23"/>
      <c r="B12" s="34"/>
      <c r="C12" s="23"/>
      <c r="D12" s="23"/>
      <c r="E12" s="23"/>
      <c r="F12" s="23"/>
      <c r="G12" s="23"/>
      <c r="H12" s="23"/>
      <c r="I12" s="23"/>
      <c r="J12" s="23"/>
      <c r="K12" s="23"/>
    </row>
    <row r="13" spans="1:11" ht="14.45">
      <c r="A13" s="23"/>
      <c r="B13" s="34"/>
      <c r="C13" s="23"/>
      <c r="D13" s="23"/>
      <c r="E13" s="23"/>
      <c r="F13" s="23"/>
      <c r="G13" s="23"/>
      <c r="H13" s="23"/>
      <c r="I13" s="23"/>
      <c r="J13" s="23"/>
      <c r="K13" s="23"/>
    </row>
    <row r="14" spans="1:11" ht="14.45">
      <c r="A14" s="23"/>
      <c r="B14" s="34"/>
      <c r="C14" s="23"/>
      <c r="D14" s="23"/>
      <c r="E14" s="23"/>
      <c r="F14" s="23"/>
      <c r="G14" s="23"/>
      <c r="H14" s="23"/>
      <c r="I14" s="23"/>
      <c r="J14" s="23"/>
      <c r="K14" s="23"/>
    </row>
    <row r="15" spans="1:11" ht="14.45">
      <c r="A15" s="23"/>
      <c r="B15" s="34"/>
      <c r="C15" s="23"/>
      <c r="D15" s="23"/>
      <c r="E15" s="23"/>
      <c r="F15" s="23"/>
      <c r="G15" s="23"/>
      <c r="H15" s="23"/>
      <c r="I15" s="23"/>
      <c r="J15" s="23"/>
      <c r="K15" s="23"/>
    </row>
    <row r="16" spans="1:11"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sortState xmlns:xlrd2="http://schemas.microsoft.com/office/spreadsheetml/2017/richdata2" ref="A3:K5">
    <sortCondition ref="A3:A5"/>
  </sortState>
  <mergeCells count="4">
    <mergeCell ref="G1:I1"/>
    <mergeCell ref="A1:C1"/>
    <mergeCell ref="D1:F1"/>
    <mergeCell ref="A2:B2"/>
  </mergeCells>
  <conditionalFormatting sqref="F2 I2 F4:F90 I4:I90">
    <cfRule type="cellIs" dxfId="16" priority="1" stopIfTrue="1" operator="lessThanOrEqual">
      <formula>-0.1</formula>
    </cfRule>
    <cfRule type="expression" dxfId="15" priority="2">
      <formula>AND(ISNUMBER(F2), F2&gt;=0.1)</formula>
    </cfRule>
  </conditionalFormatting>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K272"/>
  <sheetViews>
    <sheetView workbookViewId="0">
      <pane ySplit="2" topLeftCell="A3" activePane="bottomLeft" state="frozen"/>
      <selection pane="bottomLeft" activeCell="H15" sqref="H15"/>
      <selection activeCell="H15" sqref="H15"/>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89" t="str" cm="1">
        <f t="array" ref="A1">portfolio</f>
        <v>AB CarVal</v>
      </c>
      <c r="B1" s="89"/>
      <c r="C1" s="89"/>
      <c r="D1" s="90" t="s">
        <v>142</v>
      </c>
      <c r="E1" s="90"/>
      <c r="F1" s="90"/>
      <c r="G1" s="88" t="s">
        <v>143</v>
      </c>
      <c r="H1" s="88"/>
      <c r="I1" s="88"/>
      <c r="J1" s="5"/>
      <c r="K1" s="5"/>
    </row>
    <row r="2" spans="1:11" ht="19.5" customHeight="1">
      <c r="A2" s="91" t="s">
        <v>2</v>
      </c>
      <c r="B2" s="91"/>
      <c r="C2" s="6">
        <f>SUM(C4:C30)</f>
        <v>0</v>
      </c>
      <c r="D2" s="6">
        <f>SUM(D4:D30)</f>
        <v>0</v>
      </c>
      <c r="E2" s="6">
        <f>C2-D2</f>
        <v>0</v>
      </c>
      <c r="F2" s="7">
        <f>IFERROR(E2/D2, 0)</f>
        <v>0</v>
      </c>
      <c r="G2" s="6">
        <f>SUM(G4:G30)</f>
        <v>0</v>
      </c>
      <c r="H2" s="8">
        <f>C2-G2</f>
        <v>0</v>
      </c>
      <c r="I2" s="7">
        <f>IFERROR(H2/G2, 0)</f>
        <v>0</v>
      </c>
      <c r="J2" s="28" t="str">
        <f ca="1">IF(AND(TODAY()&gt;DATE(2024, 8,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5" t="s">
        <v>5</v>
      </c>
      <c r="D3" s="36" t="s">
        <v>6</v>
      </c>
      <c r="E3" s="36" t="s">
        <v>7</v>
      </c>
      <c r="F3" s="37" t="s">
        <v>8</v>
      </c>
      <c r="G3" s="38" t="s">
        <v>9</v>
      </c>
      <c r="H3" s="39" t="s">
        <v>7</v>
      </c>
      <c r="I3" s="40" t="s">
        <v>8</v>
      </c>
      <c r="J3" s="27" t="s">
        <v>20</v>
      </c>
      <c r="K3" s="27" t="s">
        <v>21</v>
      </c>
    </row>
    <row r="4" spans="1:11" ht="15.6">
      <c r="A4" s="52" t="str" cm="1">
        <f t="array" ref="A4:A11">Sites[Site]</f>
        <v>MA: Fairhaven - 279 Mill Rd</v>
      </c>
      <c r="B4" s="30" t="str" cm="1">
        <f t="array" ref="B4:B11">Sites[State]</f>
        <v>MA</v>
      </c>
      <c r="C4" s="26"/>
      <c r="D4" s="14"/>
      <c r="E4" s="14" t="str">
        <f>IF(AND(ISNUMBER(C4),ISNUMBER(D4)), C4-D4, "")</f>
        <v/>
      </c>
      <c r="F4" s="15" t="str">
        <f>IFERROR(E4/D4, "")</f>
        <v/>
      </c>
      <c r="G4" s="16"/>
      <c r="H4" s="16" t="str">
        <f>IF(AND(ISNUMBER(C4),ISNUMBER(G4)), C4-G4, "")</f>
        <v/>
      </c>
      <c r="I4" s="17" t="str">
        <f>IFERROR(H4/G4, "")</f>
        <v/>
      </c>
      <c r="J4" s="18"/>
      <c r="K4" s="18"/>
    </row>
    <row r="5" spans="1:11" ht="15.6">
      <c r="A5" s="31" t="str">
        <v>Bakersfield - 100 Basic School Rd</v>
      </c>
      <c r="B5" s="32" t="str">
        <v>CA</v>
      </c>
      <c r="C5" s="12"/>
      <c r="D5" s="20"/>
      <c r="E5" s="20" t="str">
        <f t="shared" ref="E5:E11" si="0">IF(AND(ISNUMBER(C5),ISNUMBER(D5)), C5-D5, "")</f>
        <v/>
      </c>
      <c r="F5" s="65" t="str">
        <f t="shared" ref="F5:F11" si="1">IFERROR(E5/D5, "")</f>
        <v/>
      </c>
      <c r="G5" s="22"/>
      <c r="H5" s="22" t="str">
        <f t="shared" ref="H5:H11" si="2">IF(AND(ISNUMBER(C5),ISNUMBER(G5)), C5-G5, "")</f>
        <v/>
      </c>
      <c r="I5" s="65" t="str">
        <f t="shared" ref="I5:I11" si="3">IFERROR(H5/G5, "")</f>
        <v/>
      </c>
      <c r="J5" s="11"/>
      <c r="K5" s="19"/>
    </row>
    <row r="6" spans="1:11" ht="15.6">
      <c r="A6" s="33" t="str">
        <v>Fresno - 2685 Cornelia Ave</v>
      </c>
      <c r="B6" s="30" t="str">
        <v>CA</v>
      </c>
      <c r="C6" s="26"/>
      <c r="D6" s="14"/>
      <c r="E6" s="14" t="str">
        <f t="shared" si="0"/>
        <v/>
      </c>
      <c r="F6" s="15" t="str">
        <f t="shared" si="1"/>
        <v/>
      </c>
      <c r="G6" s="16"/>
      <c r="H6" s="16" t="str">
        <f t="shared" si="2"/>
        <v/>
      </c>
      <c r="I6" s="17" t="str">
        <f t="shared" si="3"/>
        <v/>
      </c>
      <c r="J6" s="18"/>
      <c r="K6" s="18"/>
    </row>
    <row r="7" spans="1:11" ht="15.6">
      <c r="A7" s="31" t="str">
        <v>San Juaquin - S. Placer &amp; W. Adams</v>
      </c>
      <c r="B7" s="32" t="str">
        <v>CA</v>
      </c>
      <c r="C7" s="12"/>
      <c r="D7" s="20"/>
      <c r="E7" s="20" t="str">
        <f t="shared" si="0"/>
        <v/>
      </c>
      <c r="F7" s="65" t="str">
        <f t="shared" si="1"/>
        <v/>
      </c>
      <c r="G7" s="22"/>
      <c r="H7" s="22" t="str">
        <f t="shared" si="2"/>
        <v/>
      </c>
      <c r="I7" s="65" t="str">
        <f t="shared" si="3"/>
        <v/>
      </c>
      <c r="J7" s="11"/>
      <c r="K7" s="19"/>
    </row>
    <row r="8" spans="1:11" ht="15.6">
      <c r="A8" s="33" t="str">
        <v xml:space="preserve">Charlemont - 0 Tea St </v>
      </c>
      <c r="B8" s="30" t="str">
        <v>MA</v>
      </c>
      <c r="C8" s="26"/>
      <c r="D8" s="14"/>
      <c r="E8" s="14" t="str">
        <f t="shared" si="0"/>
        <v/>
      </c>
      <c r="F8" s="15" t="str">
        <f t="shared" si="1"/>
        <v/>
      </c>
      <c r="G8" s="16"/>
      <c r="H8" s="16" t="str">
        <f t="shared" si="2"/>
        <v/>
      </c>
      <c r="I8" s="17" t="str">
        <f t="shared" si="3"/>
        <v/>
      </c>
      <c r="J8" s="18"/>
      <c r="K8" s="18"/>
    </row>
    <row r="9" spans="1:11" ht="15.6">
      <c r="A9" s="31" t="str">
        <v xml:space="preserve">Amherst - 740 Belchertown Rd </v>
      </c>
      <c r="B9" s="32" t="str">
        <v>MA</v>
      </c>
      <c r="C9" s="12"/>
      <c r="D9" s="20"/>
      <c r="E9" s="20" t="str">
        <f t="shared" si="0"/>
        <v/>
      </c>
      <c r="F9" s="65" t="str">
        <f t="shared" si="1"/>
        <v/>
      </c>
      <c r="G9" s="22"/>
      <c r="H9" s="22" t="str">
        <f t="shared" si="2"/>
        <v/>
      </c>
      <c r="I9" s="65" t="str">
        <f t="shared" si="3"/>
        <v/>
      </c>
      <c r="J9" s="50"/>
      <c r="K9" s="50"/>
    </row>
    <row r="10" spans="1:11" ht="15.6">
      <c r="A10" s="33" t="str">
        <v xml:space="preserve"> Ludlow - Huxley 1 &amp; 2 - 504 Fuller St </v>
      </c>
      <c r="B10" s="30" t="str">
        <v>MA</v>
      </c>
      <c r="C10" s="26"/>
      <c r="D10" s="14"/>
      <c r="E10" s="14" t="str">
        <f t="shared" si="0"/>
        <v/>
      </c>
      <c r="F10" s="15" t="str">
        <f t="shared" si="1"/>
        <v/>
      </c>
      <c r="G10" s="16"/>
      <c r="H10" s="16" t="str">
        <f t="shared" si="2"/>
        <v/>
      </c>
      <c r="I10" s="17" t="str">
        <f t="shared" si="3"/>
        <v/>
      </c>
      <c r="J10" s="18"/>
      <c r="K10" s="18"/>
    </row>
    <row r="11" spans="1:11" ht="15.6">
      <c r="A11" s="31" t="str">
        <v>Easthampton - Beacon 1 &amp; 2 - 540 Florence Rd</v>
      </c>
      <c r="B11" s="32" t="str">
        <v>MA</v>
      </c>
      <c r="C11" s="12"/>
      <c r="D11" s="20"/>
      <c r="E11" s="20" t="str">
        <f t="shared" si="0"/>
        <v/>
      </c>
      <c r="F11" s="65" t="str">
        <f t="shared" si="1"/>
        <v/>
      </c>
      <c r="G11" s="22"/>
      <c r="H11" s="22" t="str">
        <f t="shared" si="2"/>
        <v/>
      </c>
      <c r="I11" s="65" t="str">
        <f t="shared" si="3"/>
        <v/>
      </c>
      <c r="J11" s="11"/>
      <c r="K11" s="19"/>
    </row>
    <row r="12" spans="1:11" ht="14.45">
      <c r="A12" s="23"/>
      <c r="B12" s="34"/>
      <c r="C12" s="23"/>
      <c r="D12" s="23"/>
      <c r="E12" s="23"/>
      <c r="F12" s="24"/>
      <c r="G12" s="23"/>
      <c r="H12" s="23"/>
      <c r="I12" s="24"/>
      <c r="J12" s="23"/>
      <c r="K12" s="23"/>
    </row>
    <row r="13" spans="1:11" ht="14.45">
      <c r="A13" s="23"/>
      <c r="B13" s="34"/>
      <c r="C13" s="23"/>
      <c r="D13" s="23"/>
      <c r="E13" s="23"/>
      <c r="F13" s="24"/>
      <c r="G13" s="23"/>
      <c r="H13" s="23"/>
      <c r="I13" s="24"/>
      <c r="J13" s="23"/>
      <c r="K13" s="23"/>
    </row>
    <row r="14" spans="1:11" ht="14.45">
      <c r="A14" s="23"/>
      <c r="B14" s="34"/>
      <c r="C14" s="23"/>
      <c r="D14" s="23"/>
      <c r="E14" s="23"/>
      <c r="F14" s="24"/>
      <c r="G14" s="23"/>
      <c r="H14" s="23"/>
      <c r="I14" s="24"/>
      <c r="J14" s="23"/>
      <c r="K14" s="23"/>
    </row>
    <row r="15" spans="1:11" ht="14.45">
      <c r="A15" s="23"/>
      <c r="B15" s="34"/>
      <c r="C15" s="23"/>
      <c r="D15" s="23"/>
      <c r="E15" s="23"/>
      <c r="F15" s="24"/>
      <c r="G15" s="23"/>
      <c r="H15" s="23"/>
      <c r="I15" s="24"/>
      <c r="J15" s="23"/>
      <c r="K15" s="23"/>
    </row>
    <row r="16" spans="1:11" ht="14.45">
      <c r="A16" s="23"/>
      <c r="B16" s="34"/>
      <c r="C16" s="23"/>
      <c r="D16" s="23"/>
      <c r="E16" s="23"/>
      <c r="F16" s="24"/>
      <c r="G16" s="23"/>
      <c r="H16" s="23"/>
      <c r="I16" s="24"/>
      <c r="J16" s="23"/>
      <c r="K16" s="23"/>
    </row>
    <row r="17" spans="1:11" ht="14.45">
      <c r="A17" s="23"/>
      <c r="B17" s="34"/>
      <c r="C17" s="23"/>
      <c r="D17" s="23"/>
      <c r="E17" s="23"/>
      <c r="F17" s="24"/>
      <c r="G17" s="23"/>
      <c r="H17" s="23"/>
      <c r="I17" s="24"/>
      <c r="J17" s="23"/>
      <c r="K17" s="23"/>
    </row>
    <row r="18" spans="1:11" ht="14.45">
      <c r="A18" s="23"/>
      <c r="B18" s="34"/>
      <c r="C18" s="23"/>
      <c r="D18" s="23"/>
      <c r="E18" s="23"/>
      <c r="F18" s="24"/>
      <c r="G18" s="23"/>
      <c r="H18" s="23"/>
      <c r="I18" s="24"/>
      <c r="J18" s="23"/>
      <c r="K18" s="23"/>
    </row>
    <row r="19" spans="1:11" ht="14.45">
      <c r="A19" s="23"/>
      <c r="B19" s="34"/>
      <c r="C19" s="23"/>
      <c r="D19" s="23"/>
      <c r="E19" s="23"/>
      <c r="F19" s="24"/>
      <c r="G19" s="23"/>
      <c r="H19" s="23"/>
      <c r="I19" s="24"/>
      <c r="J19" s="23"/>
      <c r="K19" s="23"/>
    </row>
    <row r="20" spans="1:11" ht="14.45">
      <c r="A20" s="23"/>
      <c r="B20" s="34"/>
      <c r="C20" s="23"/>
      <c r="D20" s="23"/>
      <c r="E20" s="23"/>
      <c r="F20" s="24"/>
      <c r="G20" s="23"/>
      <c r="H20" s="23"/>
      <c r="I20" s="24"/>
      <c r="J20" s="23"/>
      <c r="K20" s="23"/>
    </row>
    <row r="21" spans="1:11" ht="14.45">
      <c r="A21" s="23"/>
      <c r="B21" s="34"/>
      <c r="C21" s="23"/>
      <c r="D21" s="23"/>
      <c r="E21" s="23"/>
      <c r="F21" s="24"/>
      <c r="G21" s="23"/>
      <c r="H21" s="23"/>
      <c r="I21" s="24"/>
      <c r="J21" s="23"/>
      <c r="K21" s="23"/>
    </row>
    <row r="22" spans="1:11" ht="14.45">
      <c r="A22" s="23"/>
      <c r="B22" s="34"/>
      <c r="C22" s="23"/>
      <c r="D22" s="23"/>
      <c r="E22" s="23"/>
      <c r="F22" s="24"/>
      <c r="G22" s="23"/>
      <c r="H22" s="23"/>
      <c r="I22" s="24"/>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C272" s="23"/>
      <c r="D272" s="23"/>
      <c r="E272" s="23"/>
      <c r="F272" s="24"/>
      <c r="G272" s="23"/>
      <c r="H272" s="23"/>
      <c r="I272" s="24"/>
      <c r="J272" s="23"/>
      <c r="K272" s="23"/>
    </row>
  </sheetData>
  <mergeCells count="4">
    <mergeCell ref="G1:I1"/>
    <mergeCell ref="A1:C1"/>
    <mergeCell ref="D1:F1"/>
    <mergeCell ref="A2:B2"/>
  </mergeCells>
  <conditionalFormatting sqref="F2 I2">
    <cfRule type="cellIs" dxfId="14" priority="5" stopIfTrue="1" operator="lessThanOrEqual">
      <formula>-0.1</formula>
    </cfRule>
    <cfRule type="expression" dxfId="13" priority="6">
      <formula>AND(ISNUMBER(F2), F2&gt;=0.1)</formula>
    </cfRule>
  </conditionalFormatting>
  <conditionalFormatting sqref="F4:F30 I4:I30">
    <cfRule type="cellIs" dxfId="12" priority="1" stopIfTrue="1" operator="lessThanOrEqual">
      <formula>-0.1</formula>
    </cfRule>
    <cfRule type="expression" dxfId="11" priority="2">
      <formula>AND(ISNUMBER(F4), F4&gt;=0.1)</formula>
    </cfRule>
  </conditionalFormatting>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K332"/>
  <sheetViews>
    <sheetView workbookViewId="0">
      <pane ySplit="2" topLeftCell="A3" activePane="bottomLeft" state="frozen"/>
      <selection pane="bottomLeft" activeCell="H15" sqref="H15"/>
      <selection activeCell="H15" sqref="H15"/>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89" t="str" cm="1">
        <f t="array" ref="A1">portfolio</f>
        <v>AB CarVal</v>
      </c>
      <c r="B1" s="89"/>
      <c r="C1" s="89"/>
      <c r="D1" s="90" t="s">
        <v>144</v>
      </c>
      <c r="E1" s="90"/>
      <c r="F1" s="90"/>
      <c r="G1" s="88" t="s">
        <v>145</v>
      </c>
      <c r="H1" s="88"/>
      <c r="I1" s="88"/>
      <c r="J1" s="5"/>
      <c r="K1" s="5"/>
    </row>
    <row r="2" spans="1:11" ht="19.5" customHeight="1">
      <c r="A2" s="91" t="s">
        <v>2</v>
      </c>
      <c r="B2" s="91"/>
      <c r="C2" s="6">
        <f>SUM(C4:C90)</f>
        <v>0</v>
      </c>
      <c r="D2" s="6">
        <f>SUM(D4:D90)</f>
        <v>0</v>
      </c>
      <c r="E2" s="6">
        <f>C2-D2</f>
        <v>0</v>
      </c>
      <c r="F2" s="7">
        <f>IFERROR(E2/D2, 0)</f>
        <v>0</v>
      </c>
      <c r="G2" s="6">
        <f>SUM(G4:G90)</f>
        <v>0</v>
      </c>
      <c r="H2" s="8">
        <f>C2-G2</f>
        <v>0</v>
      </c>
      <c r="I2" s="7">
        <f>IFERROR(H2/G2, 0)</f>
        <v>0</v>
      </c>
      <c r="J2" s="28" t="str">
        <f ca="1">IF(AND(TODAY()&gt;DATE(2024, 9,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5" t="s">
        <v>5</v>
      </c>
      <c r="D3" s="36" t="s">
        <v>6</v>
      </c>
      <c r="E3" s="36" t="s">
        <v>7</v>
      </c>
      <c r="F3" s="37" t="s">
        <v>8</v>
      </c>
      <c r="G3" s="38" t="s">
        <v>9</v>
      </c>
      <c r="H3" s="39" t="s">
        <v>7</v>
      </c>
      <c r="I3" s="40" t="s">
        <v>8</v>
      </c>
      <c r="J3" s="27" t="s">
        <v>20</v>
      </c>
      <c r="K3" s="27" t="s">
        <v>21</v>
      </c>
    </row>
    <row r="4" spans="1:11" ht="56.25" customHeight="1">
      <c r="A4" s="52" t="str" cm="1">
        <f t="array" ref="A4:A11">Sites[Site]</f>
        <v>MA: Fairhaven - 279 Mill Rd</v>
      </c>
      <c r="B4" s="30" t="str" cm="1">
        <f t="array" ref="B4:B11">Sites[State]</f>
        <v>MA</v>
      </c>
      <c r="C4" s="26"/>
      <c r="D4" s="14"/>
      <c r="E4" s="14" t="str">
        <f>IF(AND(ISNUMBER(C4),ISNUMBER(D4)), C4-D4, "")</f>
        <v/>
      </c>
      <c r="F4" s="15" t="str">
        <f>IFERROR(E4/D4, "")</f>
        <v/>
      </c>
      <c r="G4" s="16"/>
      <c r="H4" s="16" t="str">
        <f>IF(AND(ISNUMBER(C4),ISNUMBER(G4)), C4-G4, "")</f>
        <v/>
      </c>
      <c r="I4" s="17" t="str">
        <f>IFERROR(H4/G4, "")</f>
        <v/>
      </c>
      <c r="J4" s="18"/>
      <c r="K4" s="18"/>
    </row>
    <row r="5" spans="1:11" ht="15.6">
      <c r="A5" s="31" t="str">
        <v>Bakersfield - 100 Basic School Rd</v>
      </c>
      <c r="B5" s="32" t="str">
        <v>CA</v>
      </c>
      <c r="C5" s="12"/>
      <c r="D5" s="20"/>
      <c r="E5" s="20" t="str">
        <f t="shared" ref="E5:E11" si="0">IF(AND(ISNUMBER(C5),ISNUMBER(D5)), C5-D5, "")</f>
        <v/>
      </c>
      <c r="F5" s="21" t="str">
        <f t="shared" ref="F5:F11" si="1">IFERROR(E5/D5, "")</f>
        <v/>
      </c>
      <c r="G5" s="22"/>
      <c r="H5" s="22" t="str">
        <f t="shared" ref="H5:H11" si="2">IF(AND(ISNUMBER(C5),ISNUMBER(G5)), C5-G5, "")</f>
        <v/>
      </c>
      <c r="I5" s="21" t="str">
        <f t="shared" ref="I5:I11" si="3">IFERROR(H5/G5, "")</f>
        <v/>
      </c>
      <c r="J5" s="11"/>
      <c r="K5" s="19"/>
    </row>
    <row r="6" spans="1:11" ht="15.6">
      <c r="A6" s="33" t="str">
        <v>Fresno - 2685 Cornelia Ave</v>
      </c>
      <c r="B6" s="30" t="str">
        <v>CA</v>
      </c>
      <c r="C6" s="26"/>
      <c r="D6" s="14"/>
      <c r="E6" s="14" t="str">
        <f t="shared" si="0"/>
        <v/>
      </c>
      <c r="F6" s="15" t="str">
        <f t="shared" si="1"/>
        <v/>
      </c>
      <c r="G6" s="16"/>
      <c r="H6" s="16" t="str">
        <f t="shared" si="2"/>
        <v/>
      </c>
      <c r="I6" s="17" t="str">
        <f t="shared" si="3"/>
        <v/>
      </c>
      <c r="J6" s="18"/>
      <c r="K6" s="18"/>
    </row>
    <row r="7" spans="1:11" ht="15.6">
      <c r="A7" s="31" t="str">
        <v>San Juaquin - S. Placer &amp; W. Adams</v>
      </c>
      <c r="B7" s="32" t="str">
        <v>CA</v>
      </c>
      <c r="C7" s="12"/>
      <c r="D7" s="20"/>
      <c r="E7" s="20" t="str">
        <f t="shared" si="0"/>
        <v/>
      </c>
      <c r="F7" s="21" t="str">
        <f t="shared" si="1"/>
        <v/>
      </c>
      <c r="G7" s="22"/>
      <c r="H7" s="22" t="str">
        <f t="shared" si="2"/>
        <v/>
      </c>
      <c r="I7" s="21" t="str">
        <f t="shared" si="3"/>
        <v/>
      </c>
      <c r="J7" s="11"/>
      <c r="K7" s="19"/>
    </row>
    <row r="8" spans="1:11" ht="15.6">
      <c r="A8" s="33" t="str">
        <v xml:space="preserve">Charlemont - 0 Tea St </v>
      </c>
      <c r="B8" s="30" t="str">
        <v>MA</v>
      </c>
      <c r="C8" s="26"/>
      <c r="D8" s="14"/>
      <c r="E8" s="14" t="str">
        <f t="shared" si="0"/>
        <v/>
      </c>
      <c r="F8" s="15" t="str">
        <f t="shared" si="1"/>
        <v/>
      </c>
      <c r="G8" s="16"/>
      <c r="H8" s="16" t="str">
        <f t="shared" si="2"/>
        <v/>
      </c>
      <c r="I8" s="66" t="str">
        <f t="shared" si="3"/>
        <v/>
      </c>
      <c r="J8" s="18"/>
      <c r="K8" s="18"/>
    </row>
    <row r="9" spans="1:11" ht="15.6">
      <c r="A9" s="31" t="str">
        <v xml:space="preserve">Amherst - 740 Belchertown Rd </v>
      </c>
      <c r="B9" s="32" t="str">
        <v>MA</v>
      </c>
      <c r="C9" s="12"/>
      <c r="D9" s="20"/>
      <c r="E9" s="20" t="str">
        <f t="shared" si="0"/>
        <v/>
      </c>
      <c r="F9" s="21" t="str">
        <f t="shared" si="1"/>
        <v/>
      </c>
      <c r="G9" s="22"/>
      <c r="H9" s="22" t="str">
        <f t="shared" si="2"/>
        <v/>
      </c>
      <c r="I9" s="21" t="str">
        <f t="shared" si="3"/>
        <v/>
      </c>
      <c r="J9" s="71"/>
      <c r="K9" s="50"/>
    </row>
    <row r="10" spans="1:11" ht="15.6">
      <c r="A10" s="33" t="str">
        <v xml:space="preserve"> Ludlow - Huxley 1 &amp; 2 - 504 Fuller St </v>
      </c>
      <c r="B10" s="30" t="str">
        <v>MA</v>
      </c>
      <c r="C10" s="26"/>
      <c r="D10" s="14"/>
      <c r="E10" s="14" t="str">
        <f t="shared" si="0"/>
        <v/>
      </c>
      <c r="F10" s="15" t="str">
        <f t="shared" si="1"/>
        <v/>
      </c>
      <c r="G10" s="16"/>
      <c r="H10" s="16" t="str">
        <f t="shared" si="2"/>
        <v/>
      </c>
      <c r="I10" s="66" t="str">
        <f t="shared" si="3"/>
        <v/>
      </c>
      <c r="J10" s="18"/>
      <c r="K10" s="18"/>
    </row>
    <row r="11" spans="1:11" ht="15.6">
      <c r="A11" s="31" t="str">
        <v>Easthampton - Beacon 1 &amp; 2 - 540 Florence Rd</v>
      </c>
      <c r="B11" s="32" t="str">
        <v>MA</v>
      </c>
      <c r="C11" s="12"/>
      <c r="D11" s="20"/>
      <c r="E11" s="20" t="str">
        <f t="shared" si="0"/>
        <v/>
      </c>
      <c r="F11" s="21" t="str">
        <f t="shared" si="1"/>
        <v/>
      </c>
      <c r="G11" s="22"/>
      <c r="H11" s="22" t="str">
        <f t="shared" si="2"/>
        <v/>
      </c>
      <c r="I11" s="21" t="str">
        <f t="shared" si="3"/>
        <v/>
      </c>
      <c r="J11" s="11"/>
      <c r="K11" s="19"/>
    </row>
    <row r="12" spans="1:11" ht="14.45">
      <c r="A12" s="23"/>
      <c r="B12" s="34"/>
      <c r="C12" s="23"/>
      <c r="D12" s="23"/>
      <c r="E12" s="23"/>
      <c r="F12" s="23"/>
      <c r="G12" s="23"/>
      <c r="H12" s="23"/>
      <c r="I12" s="23"/>
      <c r="J12" s="23"/>
      <c r="K12" s="23"/>
    </row>
    <row r="13" spans="1:11" ht="14.45">
      <c r="A13" s="23"/>
      <c r="B13" s="34"/>
      <c r="C13" s="23"/>
      <c r="D13" s="23"/>
      <c r="E13" s="23"/>
      <c r="F13" s="23"/>
      <c r="G13" s="23"/>
      <c r="H13" s="23"/>
      <c r="I13" s="23"/>
      <c r="J13" s="23"/>
      <c r="K13" s="23"/>
    </row>
    <row r="14" spans="1:11" ht="14.45">
      <c r="A14" s="23"/>
      <c r="B14" s="34"/>
      <c r="C14" s="23"/>
      <c r="D14" s="23"/>
      <c r="E14" s="23"/>
      <c r="F14" s="23"/>
      <c r="G14" s="23"/>
      <c r="H14" s="23"/>
      <c r="I14" s="23"/>
      <c r="J14" s="23"/>
      <c r="K14" s="23"/>
    </row>
    <row r="15" spans="1:11" ht="14.45">
      <c r="A15" s="23"/>
      <c r="B15" s="34"/>
      <c r="C15" s="23"/>
      <c r="D15" s="23"/>
      <c r="E15" s="23"/>
      <c r="F15" s="23"/>
      <c r="G15" s="23"/>
      <c r="H15" s="23"/>
      <c r="I15" s="23"/>
      <c r="J15" s="23"/>
      <c r="K15" s="23"/>
    </row>
    <row r="16" spans="1:11"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10" priority="1" stopIfTrue="1" operator="lessThanOrEqual">
      <formula>-0.1</formula>
    </cfRule>
    <cfRule type="expression" dxfId="9" priority="2">
      <formula>AND(ISNUMBER(F2), F2&gt;=0.1)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K332"/>
  <sheetViews>
    <sheetView zoomScale="80" zoomScaleNormal="80" workbookViewId="0">
      <pane ySplit="2" topLeftCell="A3" activePane="bottomLeft" state="frozen"/>
      <selection pane="bottomLeft" activeCell="H15" sqref="H15"/>
      <selection activeCell="H15" sqref="H15"/>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89" t="str" cm="1">
        <f t="array" ref="A1">portfolio</f>
        <v>AB CarVal</v>
      </c>
      <c r="B1" s="89"/>
      <c r="C1" s="89"/>
      <c r="D1" s="90" t="s">
        <v>146</v>
      </c>
      <c r="E1" s="90"/>
      <c r="F1" s="90"/>
      <c r="G1" s="88" t="s">
        <v>147</v>
      </c>
      <c r="H1" s="88"/>
      <c r="I1" s="88"/>
      <c r="J1" s="5"/>
      <c r="K1" s="5"/>
    </row>
    <row r="2" spans="1:11" ht="19.5" customHeight="1">
      <c r="A2" s="91" t="s">
        <v>2</v>
      </c>
      <c r="B2" s="91"/>
      <c r="C2" s="6">
        <f>SUM(C4:C90)</f>
        <v>0</v>
      </c>
      <c r="D2" s="6">
        <f>SUM(D4:D90)</f>
        <v>0</v>
      </c>
      <c r="E2" s="6">
        <f>C2-D2</f>
        <v>0</v>
      </c>
      <c r="F2" s="7">
        <f>IFERROR(E2/D2, 0)</f>
        <v>0</v>
      </c>
      <c r="G2" s="6">
        <f>SUM(G4:G90)</f>
        <v>0</v>
      </c>
      <c r="H2" s="8">
        <f>C2-G2</f>
        <v>0</v>
      </c>
      <c r="I2" s="7">
        <f>IFERROR(H2/G2, 0)</f>
        <v>0</v>
      </c>
      <c r="J2" s="28"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5" t="s">
        <v>5</v>
      </c>
      <c r="D3" s="36" t="s">
        <v>6</v>
      </c>
      <c r="E3" s="36" t="s">
        <v>7</v>
      </c>
      <c r="F3" s="37" t="s">
        <v>8</v>
      </c>
      <c r="G3" s="38" t="s">
        <v>9</v>
      </c>
      <c r="H3" s="39" t="s">
        <v>7</v>
      </c>
      <c r="I3" s="40" t="s">
        <v>8</v>
      </c>
      <c r="J3" s="27" t="s">
        <v>20</v>
      </c>
      <c r="K3" s="27" t="s">
        <v>21</v>
      </c>
    </row>
    <row r="4" spans="1:11" ht="80.25" customHeight="1">
      <c r="A4" s="52" t="str" cm="1">
        <f t="array" ref="A4:A11">Sites[Site]</f>
        <v>MA: Fairhaven - 279 Mill Rd</v>
      </c>
      <c r="B4" s="30" t="str" cm="1">
        <f t="array" ref="B4:B11">Sites[State]</f>
        <v>MA</v>
      </c>
      <c r="C4" s="49"/>
      <c r="D4" s="14"/>
      <c r="E4" s="14" t="str">
        <f>IF(AND(ISNUMBER(C4),ISNUMBER(D4)), C4-D4, "")</f>
        <v/>
      </c>
      <c r="F4" s="48" t="str">
        <f>IFERROR(E4/D4, "")</f>
        <v/>
      </c>
      <c r="G4" s="47"/>
      <c r="H4" s="47" t="str">
        <f>IF(AND(ISNUMBER(C4),ISNUMBER(G4)), C4-G4, "")</f>
        <v/>
      </c>
      <c r="I4" s="46" t="str">
        <f>IFERROR(H4/G4, "")</f>
        <v/>
      </c>
      <c r="J4" s="45"/>
      <c r="K4" s="45"/>
    </row>
    <row r="5" spans="1:11" ht="60" customHeight="1">
      <c r="A5" s="31" t="str">
        <v>Bakersfield - 100 Basic School Rd</v>
      </c>
      <c r="B5" s="32" t="str">
        <v>CA</v>
      </c>
      <c r="C5" s="12"/>
      <c r="D5" s="20"/>
      <c r="E5" s="20" t="str">
        <f t="shared" ref="E5" si="0">IF(AND(ISNUMBER(C5),ISNUMBER(D5)), C5-D5, "")</f>
        <v/>
      </c>
      <c r="F5" s="21" t="str">
        <f t="shared" ref="F5" si="1">IFERROR(E5/D5, "")</f>
        <v/>
      </c>
      <c r="G5" s="22"/>
      <c r="H5" s="22" t="str">
        <f t="shared" ref="H5" si="2">IF(AND(ISNUMBER(C5),ISNUMBER(G5)), C5-G5, "")</f>
        <v/>
      </c>
      <c r="I5" s="21" t="str">
        <f t="shared" ref="I5" si="3">IFERROR(H5/G5, "")</f>
        <v/>
      </c>
      <c r="J5" s="50"/>
      <c r="K5" s="50"/>
    </row>
    <row r="6" spans="1:11" ht="15.6">
      <c r="A6" s="52" t="str">
        <v>Fresno - 2685 Cornelia Ave</v>
      </c>
      <c r="B6" s="30" t="str">
        <v>CA</v>
      </c>
      <c r="C6" s="49"/>
      <c r="D6" s="14"/>
      <c r="E6" s="14" t="str">
        <f t="shared" ref="E6:E11" si="4">IF(AND(ISNUMBER(C6),ISNUMBER(D6)), C6-D6, "")</f>
        <v/>
      </c>
      <c r="F6" s="48" t="str">
        <f t="shared" ref="F6:F11" si="5">IFERROR(E6/D6, "")</f>
        <v/>
      </c>
      <c r="G6" s="47"/>
      <c r="H6" s="47" t="str">
        <f t="shared" ref="H6:H11" si="6">IF(AND(ISNUMBER(C6),ISNUMBER(G6)), C6-G6, "")</f>
        <v/>
      </c>
      <c r="I6" s="46" t="str">
        <f t="shared" ref="I6:I11" si="7">IFERROR(H6/G6, "")</f>
        <v/>
      </c>
      <c r="J6" s="45"/>
      <c r="K6" s="45"/>
    </row>
    <row r="7" spans="1:11" ht="52.5" customHeight="1">
      <c r="A7" s="31" t="str">
        <v>San Juaquin - S. Placer &amp; W. Adams</v>
      </c>
      <c r="B7" s="32" t="str">
        <v>CA</v>
      </c>
      <c r="C7" s="42"/>
      <c r="D7" s="20"/>
      <c r="E7" s="20" t="str">
        <f t="shared" si="4"/>
        <v/>
      </c>
      <c r="F7" s="43" t="str">
        <f t="shared" si="5"/>
        <v/>
      </c>
      <c r="G7" s="44"/>
      <c r="H7" s="44" t="str">
        <f t="shared" si="6"/>
        <v/>
      </c>
      <c r="I7" s="43" t="str">
        <f t="shared" si="7"/>
        <v/>
      </c>
      <c r="J7" s="50"/>
      <c r="K7" s="51"/>
    </row>
    <row r="8" spans="1:11" ht="12.75" customHeight="1">
      <c r="A8" s="52" t="str">
        <v xml:space="preserve">Charlemont - 0 Tea St </v>
      </c>
      <c r="B8" s="30" t="str">
        <v>MA</v>
      </c>
      <c r="C8" s="49"/>
      <c r="D8" s="14"/>
      <c r="E8" s="14" t="str">
        <f t="shared" si="4"/>
        <v/>
      </c>
      <c r="F8" s="48" t="str">
        <f t="shared" si="5"/>
        <v/>
      </c>
      <c r="G8" s="47"/>
      <c r="H8" s="47" t="str">
        <f t="shared" si="6"/>
        <v/>
      </c>
      <c r="I8" s="46" t="str">
        <f t="shared" si="7"/>
        <v/>
      </c>
      <c r="J8" s="45"/>
      <c r="K8" s="45"/>
    </row>
    <row r="9" spans="1:11" ht="15.6">
      <c r="A9" s="31" t="str">
        <v xml:space="preserve">Amherst - 740 Belchertown Rd </v>
      </c>
      <c r="B9" s="32" t="str">
        <v>MA</v>
      </c>
      <c r="C9" s="42"/>
      <c r="D9" s="20"/>
      <c r="E9" s="20" t="str">
        <f t="shared" si="4"/>
        <v/>
      </c>
      <c r="F9" s="43" t="str">
        <f t="shared" si="5"/>
        <v/>
      </c>
      <c r="G9" s="53"/>
      <c r="H9" s="44" t="str">
        <f t="shared" si="6"/>
        <v/>
      </c>
      <c r="I9" s="43" t="str">
        <f t="shared" si="7"/>
        <v/>
      </c>
      <c r="J9" s="50"/>
      <c r="K9" s="51"/>
    </row>
    <row r="10" spans="1:11" ht="15.6">
      <c r="A10" s="52" t="str">
        <v xml:space="preserve"> Ludlow - Huxley 1 &amp; 2 - 504 Fuller St </v>
      </c>
      <c r="B10" s="30" t="str">
        <v>MA</v>
      </c>
      <c r="C10" s="49"/>
      <c r="D10" s="14"/>
      <c r="E10" s="14" t="str">
        <f t="shared" si="4"/>
        <v/>
      </c>
      <c r="F10" s="48" t="str">
        <f t="shared" si="5"/>
        <v/>
      </c>
      <c r="G10" s="47"/>
      <c r="H10" s="47" t="str">
        <f t="shared" si="6"/>
        <v/>
      </c>
      <c r="I10" s="46" t="str">
        <f t="shared" si="7"/>
        <v/>
      </c>
      <c r="J10" s="45"/>
      <c r="K10" s="45"/>
    </row>
    <row r="11" spans="1:11" ht="15.6">
      <c r="A11" s="31" t="str">
        <v>Easthampton - Beacon 1 &amp; 2 - 540 Florence Rd</v>
      </c>
      <c r="B11" s="32" t="str">
        <v>MA</v>
      </c>
      <c r="C11" s="42"/>
      <c r="D11" s="20"/>
      <c r="E11" s="20" t="str">
        <f t="shared" si="4"/>
        <v/>
      </c>
      <c r="F11" s="43" t="str">
        <f t="shared" si="5"/>
        <v/>
      </c>
      <c r="G11" s="44"/>
      <c r="H11" s="44" t="str">
        <f t="shared" si="6"/>
        <v/>
      </c>
      <c r="I11" s="43" t="str">
        <f t="shared" si="7"/>
        <v/>
      </c>
      <c r="J11" s="50"/>
      <c r="K11" s="51"/>
    </row>
    <row r="12" spans="1:11" ht="14.45">
      <c r="A12" s="23"/>
      <c r="B12" s="34"/>
      <c r="C12" s="23"/>
      <c r="D12" s="23"/>
      <c r="E12" s="23"/>
      <c r="F12" s="23"/>
      <c r="G12" s="23"/>
      <c r="H12" s="23"/>
      <c r="I12" s="23"/>
      <c r="J12" s="23"/>
      <c r="K12" s="23"/>
    </row>
    <row r="13" spans="1:11" ht="14.45">
      <c r="A13" s="23"/>
      <c r="B13" s="34"/>
      <c r="C13" s="23"/>
      <c r="D13" s="23"/>
      <c r="E13" s="23"/>
      <c r="F13" s="23"/>
      <c r="G13" s="23"/>
      <c r="H13" s="23"/>
      <c r="I13" s="23"/>
      <c r="J13" s="23"/>
      <c r="K13" s="23"/>
    </row>
    <row r="14" spans="1:11" ht="14.45">
      <c r="A14" s="23"/>
      <c r="B14" s="34"/>
      <c r="C14" s="23"/>
      <c r="D14" s="23"/>
      <c r="E14" s="23"/>
      <c r="F14" s="23"/>
      <c r="G14" s="23"/>
      <c r="H14" s="23"/>
      <c r="I14" s="23"/>
      <c r="J14" s="23"/>
      <c r="K14" s="23"/>
    </row>
    <row r="15" spans="1:11" ht="14.45">
      <c r="A15" s="23"/>
      <c r="B15" s="34"/>
      <c r="C15" s="23"/>
      <c r="D15" s="23"/>
      <c r="E15" s="23"/>
      <c r="F15" s="23"/>
      <c r="G15" s="23"/>
      <c r="H15" s="23"/>
      <c r="I15" s="23"/>
      <c r="J15" s="23"/>
      <c r="K15" s="23"/>
    </row>
    <row r="16" spans="1:11"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8" priority="1" stopIfTrue="1" operator="lessThanOrEqual">
      <formula>-0.1</formula>
    </cfRule>
    <cfRule type="expression" dxfId="7" priority="2">
      <formula>AND(ISNUMBER(F2), F2&gt;=0.1)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K332"/>
  <sheetViews>
    <sheetView zoomScale="70" zoomScaleNormal="70" workbookViewId="0">
      <pane ySplit="2" topLeftCell="A5" activePane="bottomLeft" state="frozen"/>
      <selection pane="bottomLeft" activeCell="H15" sqref="H15"/>
      <selection activeCell="H15" sqref="H15"/>
    </sheetView>
  </sheetViews>
  <sheetFormatPr defaultRowHeight="13.9"/>
  <cols>
    <col min="1" max="1" width="45.85546875" customWidth="1"/>
    <col min="2" max="2" width="8.42578125" style="35" customWidth="1"/>
    <col min="3" max="3" width="17.5703125" customWidth="1"/>
    <col min="4" max="5" width="13.28515625" customWidth="1"/>
    <col min="6" max="6" width="13.28515625" style="1" customWidth="1"/>
    <col min="7" max="8" width="13.28515625" customWidth="1"/>
    <col min="9" max="9" width="13.28515625" style="1" customWidth="1"/>
    <col min="10" max="10" width="71.5703125" customWidth="1"/>
    <col min="11" max="11" width="25.140625" customWidth="1"/>
  </cols>
  <sheetData>
    <row r="1" spans="1:11" ht="19.5" customHeight="1">
      <c r="A1" s="89" t="str" cm="1">
        <f t="array" ref="A1">portfolio</f>
        <v>AB CarVal</v>
      </c>
      <c r="B1" s="89"/>
      <c r="C1" s="89"/>
      <c r="D1" s="93" t="s">
        <v>148</v>
      </c>
      <c r="E1" s="93"/>
      <c r="F1" s="93"/>
      <c r="G1" s="92" t="s">
        <v>149</v>
      </c>
      <c r="H1" s="92"/>
      <c r="I1" s="92"/>
      <c r="J1" s="5"/>
      <c r="K1" s="5"/>
    </row>
    <row r="2" spans="1:11" ht="19.5" customHeight="1">
      <c r="A2" s="94" t="s">
        <v>2</v>
      </c>
      <c r="B2" s="94"/>
      <c r="C2" s="55">
        <f>SUM(C4:C90)</f>
        <v>0</v>
      </c>
      <c r="D2" s="55">
        <f>SUM(D4:D90)</f>
        <v>0</v>
      </c>
      <c r="E2" s="55">
        <f>C2-D2</f>
        <v>0</v>
      </c>
      <c r="F2" s="56">
        <f>IFERROR(E2/D2, 0)</f>
        <v>0</v>
      </c>
      <c r="G2" s="55">
        <f>SUM(G4:G90)</f>
        <v>0</v>
      </c>
      <c r="H2" s="57">
        <f>C2-G2</f>
        <v>0</v>
      </c>
      <c r="I2" s="56">
        <f>IFERROR(H2/G2, 0)</f>
        <v>0</v>
      </c>
      <c r="J2" s="28"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5.6">
      <c r="A3" s="54" t="s">
        <v>3</v>
      </c>
      <c r="B3" s="54" t="s">
        <v>4</v>
      </c>
      <c r="C3" s="58" t="s">
        <v>5</v>
      </c>
      <c r="D3" s="59" t="s">
        <v>6</v>
      </c>
      <c r="E3" s="59" t="s">
        <v>7</v>
      </c>
      <c r="F3" s="60" t="s">
        <v>8</v>
      </c>
      <c r="G3" s="61" t="s">
        <v>9</v>
      </c>
      <c r="H3" s="62" t="s">
        <v>7</v>
      </c>
      <c r="I3" s="63" t="s">
        <v>8</v>
      </c>
      <c r="J3" s="27" t="s">
        <v>20</v>
      </c>
      <c r="K3" s="27" t="s">
        <v>21</v>
      </c>
    </row>
    <row r="4" spans="1:11" s="68" customFormat="1" ht="14.45">
      <c r="A4" s="67" t="str" cm="1">
        <f t="array" ref="A4:A11">Sites[Site]</f>
        <v>MA: Fairhaven - 279 Mill Rd</v>
      </c>
      <c r="B4" s="30" t="str" cm="1">
        <f t="array" ref="B4:B11">Sites[State]</f>
        <v>MA</v>
      </c>
      <c r="C4" s="26"/>
      <c r="D4" s="14"/>
      <c r="E4" s="14" t="str">
        <f>IF(AND(ISNUMBER(C4),ISNUMBER(D4)), C4-D4, "")</f>
        <v/>
      </c>
      <c r="F4" s="15" t="str">
        <f>IFERROR(E4/D4, "")</f>
        <v/>
      </c>
      <c r="G4" s="16"/>
      <c r="H4" s="16" t="str">
        <f>IF(AND(ISNUMBER(C4),ISNUMBER(G4)), C4-G4, "")</f>
        <v/>
      </c>
      <c r="I4" s="17" t="str">
        <f>IFERROR(H4/G4, "")</f>
        <v/>
      </c>
      <c r="J4" s="18"/>
      <c r="K4" s="18"/>
    </row>
    <row r="5" spans="1:11" s="68" customFormat="1" ht="14.45">
      <c r="A5" s="32" t="str">
        <v>Bakersfield - 100 Basic School Rd</v>
      </c>
      <c r="B5" s="32" t="str">
        <v>CA</v>
      </c>
      <c r="C5" s="12"/>
      <c r="D5" s="20"/>
      <c r="E5" s="20" t="str">
        <f t="shared" ref="E5:E7" si="0">IF(AND(ISNUMBER(C5),ISNUMBER(D5)), C5-D5, "")</f>
        <v/>
      </c>
      <c r="F5" s="21" t="str">
        <f t="shared" ref="F5:F7" si="1">IFERROR(E5/D5, "")</f>
        <v/>
      </c>
      <c r="G5" s="22"/>
      <c r="H5" s="22" t="str">
        <f t="shared" ref="H5:H7" si="2">IF(AND(ISNUMBER(C5),ISNUMBER(G5)), C5-G5, "")</f>
        <v/>
      </c>
      <c r="I5" s="21" t="str">
        <f t="shared" ref="I5:I7" si="3">IFERROR(H5/G5, "")</f>
        <v/>
      </c>
      <c r="J5" s="50"/>
      <c r="K5" s="69"/>
    </row>
    <row r="6" spans="1:11" s="68" customFormat="1" ht="56.25" customHeight="1">
      <c r="A6" s="67" t="str">
        <v>Fresno - 2685 Cornelia Ave</v>
      </c>
      <c r="B6" s="30" t="str">
        <v>CA</v>
      </c>
      <c r="C6" s="26"/>
      <c r="D6" s="14"/>
      <c r="E6" s="14" t="str">
        <f>IF(AND(ISNUMBER(C6),ISNUMBER(D6)), C6-D6, "")</f>
        <v/>
      </c>
      <c r="F6" s="15" t="str">
        <f>IFERROR(E6/D6, "")</f>
        <v/>
      </c>
      <c r="G6" s="16"/>
      <c r="H6" s="16" t="str">
        <f>IF(AND(ISNUMBER(C6),ISNUMBER(G6)), C6-G6, "")</f>
        <v/>
      </c>
      <c r="I6" s="17" t="str">
        <f>IFERROR(H6/G6, "")</f>
        <v/>
      </c>
      <c r="J6" s="18"/>
      <c r="K6" s="18"/>
    </row>
    <row r="7" spans="1:11" s="68" customFormat="1" ht="14.45">
      <c r="A7" s="32" t="str">
        <v>San Juaquin - S. Placer &amp; W. Adams</v>
      </c>
      <c r="B7" s="32" t="str">
        <v>CA</v>
      </c>
      <c r="C7" s="12"/>
      <c r="D7" s="20"/>
      <c r="E7" s="20" t="str">
        <f t="shared" si="0"/>
        <v/>
      </c>
      <c r="F7" s="21" t="str">
        <f t="shared" si="1"/>
        <v/>
      </c>
      <c r="G7" s="22"/>
      <c r="H7" s="22" t="str">
        <f t="shared" si="2"/>
        <v/>
      </c>
      <c r="I7" s="21" t="str">
        <f t="shared" si="3"/>
        <v/>
      </c>
      <c r="J7" s="50"/>
      <c r="K7" s="70"/>
    </row>
    <row r="8" spans="1:11" s="68" customFormat="1" ht="35.25" customHeight="1">
      <c r="A8" s="67" t="str">
        <v xml:space="preserve">Charlemont - 0 Tea St </v>
      </c>
      <c r="B8" s="30" t="str">
        <v>MA</v>
      </c>
      <c r="C8" s="26"/>
      <c r="D8" s="14"/>
      <c r="E8" s="14" t="str">
        <f>IF(AND(ISNUMBER(C8),ISNUMBER(D8)), C8-D8, "")</f>
        <v/>
      </c>
      <c r="F8" s="15" t="str">
        <f>IFERROR(E8/D8, "")</f>
        <v/>
      </c>
      <c r="G8" s="16"/>
      <c r="H8" s="16" t="str">
        <f>IF(AND(ISNUMBER(C8),ISNUMBER(G8)), C8-G8, "")</f>
        <v/>
      </c>
      <c r="I8" s="17" t="str">
        <f>IFERROR(H8/G8, "")</f>
        <v/>
      </c>
      <c r="J8" s="18"/>
      <c r="K8" s="18"/>
    </row>
    <row r="9" spans="1:11" s="68" customFormat="1" ht="14.45">
      <c r="A9" s="32" t="str">
        <v xml:space="preserve">Amherst - 740 Belchertown Rd </v>
      </c>
      <c r="B9" s="32" t="str">
        <v>MA</v>
      </c>
      <c r="C9" s="12"/>
      <c r="D9" s="20"/>
      <c r="E9" s="20" t="str">
        <f>IF(AND(ISNUMBER(C9),ISNUMBER(D9)), C9-D9, "")</f>
        <v/>
      </c>
      <c r="F9" s="21" t="str">
        <f>IFERROR(E9/D9, "")</f>
        <v/>
      </c>
      <c r="G9" s="22"/>
      <c r="H9" s="22" t="str">
        <f>IF(AND(ISNUMBER(C9),ISNUMBER(G9)), C9-G9, "")</f>
        <v/>
      </c>
      <c r="I9" s="21" t="str">
        <f>IFERROR(H9/G9, "")</f>
        <v/>
      </c>
      <c r="J9" s="50"/>
      <c r="K9" s="70"/>
    </row>
    <row r="10" spans="1:11" s="68" customFormat="1" ht="14.45">
      <c r="A10" s="67" t="str">
        <v xml:space="preserve"> Ludlow - Huxley 1 &amp; 2 - 504 Fuller St </v>
      </c>
      <c r="B10" s="30" t="str">
        <v>MA</v>
      </c>
      <c r="C10" s="26"/>
      <c r="D10" s="14"/>
      <c r="E10" s="14" t="str">
        <f>IF(AND(ISNUMBER(C10),ISNUMBER(D10)), C10-D10, "")</f>
        <v/>
      </c>
      <c r="F10" s="15" t="str">
        <f>IFERROR(E10/D10, "")</f>
        <v/>
      </c>
      <c r="G10" s="16"/>
      <c r="H10" s="16" t="str">
        <f>IF(AND(ISNUMBER(C10),ISNUMBER(G10)), C10-G10, "")</f>
        <v/>
      </c>
      <c r="I10" s="17" t="str">
        <f>IFERROR(H10/G10, "")</f>
        <v/>
      </c>
      <c r="J10" s="18"/>
      <c r="K10" s="18"/>
    </row>
    <row r="11" spans="1:11" s="68" customFormat="1" ht="14.45">
      <c r="A11" s="32" t="str">
        <v>Easthampton - Beacon 1 &amp; 2 - 540 Florence Rd</v>
      </c>
      <c r="B11" s="32" t="str">
        <v>MA</v>
      </c>
      <c r="C11" s="12"/>
      <c r="D11" s="20"/>
      <c r="E11" s="20" t="str">
        <f>IF(AND(ISNUMBER(C11),ISNUMBER(D11)), C11-D11, "")</f>
        <v/>
      </c>
      <c r="F11" s="21" t="str">
        <f>IFERROR(E11/D11, "")</f>
        <v/>
      </c>
      <c r="G11" s="22"/>
      <c r="H11" s="22" t="str">
        <f>IF(AND(ISNUMBER(C11),ISNUMBER(G11)), C11-G11, "")</f>
        <v/>
      </c>
      <c r="I11" s="21" t="str">
        <f>IFERROR(H11/G11, "")</f>
        <v/>
      </c>
      <c r="J11" s="50"/>
      <c r="K11" s="70"/>
    </row>
    <row r="12" spans="1:11" ht="18">
      <c r="A12" s="64"/>
      <c r="B12" s="64"/>
      <c r="C12" s="64"/>
      <c r="D12" s="64"/>
      <c r="E12" s="64"/>
      <c r="F12" s="64"/>
      <c r="G12" s="64"/>
      <c r="H12" s="64"/>
      <c r="I12" s="64"/>
      <c r="J12" s="64"/>
      <c r="K12" s="64"/>
    </row>
    <row r="13" spans="1:11" ht="14.45">
      <c r="A13" s="23"/>
      <c r="B13" s="34"/>
      <c r="C13" s="23"/>
      <c r="D13" s="23"/>
      <c r="E13" s="23"/>
      <c r="F13" s="23"/>
      <c r="G13" s="23"/>
      <c r="H13" s="23"/>
      <c r="I13" s="23"/>
      <c r="J13" s="23"/>
      <c r="K13" s="23"/>
    </row>
    <row r="14" spans="1:11" ht="14.45">
      <c r="A14" s="23"/>
      <c r="B14" s="34"/>
      <c r="C14" s="23"/>
      <c r="D14" s="23"/>
      <c r="E14" s="23"/>
      <c r="F14" s="23"/>
      <c r="G14" s="23"/>
      <c r="H14" s="23"/>
      <c r="I14" s="23"/>
      <c r="K14" s="23"/>
    </row>
    <row r="15" spans="1:11" ht="14.45">
      <c r="A15" s="23"/>
      <c r="B15" s="34"/>
      <c r="C15" s="23"/>
      <c r="D15" s="23"/>
      <c r="E15" s="23"/>
      <c r="F15" s="23"/>
      <c r="G15" s="23"/>
      <c r="H15" s="23"/>
      <c r="I15" s="23"/>
      <c r="J15" s="23"/>
      <c r="K15" s="23"/>
    </row>
    <row r="16" spans="1:11"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6" priority="1" stopIfTrue="1" operator="lessThanOrEqual">
      <formula>-0.1</formula>
    </cfRule>
    <cfRule type="expression" dxfId="5" priority="2">
      <formula>AND(ISNUMBER(F2), F2&gt;=0.1)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K332"/>
  <sheetViews>
    <sheetView zoomScale="70" zoomScaleNormal="70" workbookViewId="0">
      <pane ySplit="2" topLeftCell="A3" activePane="bottomLeft" state="frozen"/>
      <selection pane="bottomLeft" activeCell="H15" sqref="H15"/>
      <selection activeCell="H15" sqref="H15"/>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89" t="str" cm="1">
        <f t="array" ref="A1">portfolio</f>
        <v>AB CarVal</v>
      </c>
      <c r="B1" s="89"/>
      <c r="C1" s="89"/>
      <c r="D1" s="90" t="s">
        <v>150</v>
      </c>
      <c r="E1" s="90"/>
      <c r="F1" s="90"/>
      <c r="G1" s="88" t="s">
        <v>151</v>
      </c>
      <c r="H1" s="88"/>
      <c r="I1" s="88"/>
      <c r="J1" s="5"/>
      <c r="K1" s="5"/>
    </row>
    <row r="2" spans="1:11" ht="19.5" customHeight="1">
      <c r="A2" s="91" t="s">
        <v>2</v>
      </c>
      <c r="B2" s="91"/>
      <c r="C2" s="6">
        <f>SUM(C4:C90)</f>
        <v>0</v>
      </c>
      <c r="D2" s="6">
        <f>SUM(D4:D90)</f>
        <v>0</v>
      </c>
      <c r="E2" s="6">
        <f>C2-D2</f>
        <v>0</v>
      </c>
      <c r="F2" s="7">
        <f>IFERROR(E2/D2, 0)</f>
        <v>0</v>
      </c>
      <c r="G2" s="6">
        <f>SUM(G4:G90)</f>
        <v>0</v>
      </c>
      <c r="H2" s="8">
        <f>C2-G2</f>
        <v>0</v>
      </c>
      <c r="I2" s="7">
        <f>IFERROR(H2/G2, 0)</f>
        <v>0</v>
      </c>
      <c r="J2" s="28"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5" t="s">
        <v>5</v>
      </c>
      <c r="D3" s="36" t="s">
        <v>6</v>
      </c>
      <c r="E3" s="36" t="s">
        <v>7</v>
      </c>
      <c r="F3" s="37" t="s">
        <v>8</v>
      </c>
      <c r="G3" s="38" t="s">
        <v>9</v>
      </c>
      <c r="H3" s="39" t="s">
        <v>7</v>
      </c>
      <c r="I3" s="40" t="s">
        <v>8</v>
      </c>
      <c r="J3" s="27" t="s">
        <v>20</v>
      </c>
      <c r="K3" s="27" t="s">
        <v>21</v>
      </c>
    </row>
    <row r="4" spans="1:11" ht="15.6">
      <c r="A4" s="33" t="str" cm="1">
        <f t="array" ref="A4:A11">Sites[Site]</f>
        <v>MA: Fairhaven - 279 Mill Rd</v>
      </c>
      <c r="B4" s="30" t="str" cm="1">
        <f t="array" ref="B4:B11">Sites[State]</f>
        <v>MA</v>
      </c>
      <c r="C4" s="26"/>
      <c r="D4" s="14"/>
      <c r="E4" s="14" t="str">
        <f>IF(AND(ISNUMBER(C4),ISNUMBER(D4)), C4-D4, "")</f>
        <v/>
      </c>
      <c r="F4" s="15" t="str">
        <f>IFERROR(E4/D4, "")</f>
        <v/>
      </c>
      <c r="G4" s="16"/>
      <c r="H4" s="16" t="str">
        <f>IF(AND(ISNUMBER(C4),ISNUMBER(G4)), C4-G4, "")</f>
        <v/>
      </c>
      <c r="I4" s="17" t="str">
        <f>IFERROR(H4/G4, "")</f>
        <v/>
      </c>
      <c r="J4" s="18"/>
      <c r="K4" s="18"/>
    </row>
    <row r="5" spans="1:11" ht="15.6">
      <c r="A5" s="31" t="str">
        <v>Bakersfield - 100 Basic School Rd</v>
      </c>
      <c r="B5" s="32" t="str">
        <v>CA</v>
      </c>
      <c r="C5" s="12"/>
      <c r="D5" s="20"/>
      <c r="E5" s="20" t="str">
        <f t="shared" ref="E5:E11" si="0">IF(AND(ISNUMBER(C5),ISNUMBER(D5)), C5-D5, "")</f>
        <v/>
      </c>
      <c r="F5" s="21" t="str">
        <f t="shared" ref="F5:F11" si="1">IFERROR(E5/D5, "")</f>
        <v/>
      </c>
      <c r="G5" s="22"/>
      <c r="H5" s="22" t="str">
        <f t="shared" ref="H5:H11" si="2">IF(AND(ISNUMBER(C5),ISNUMBER(G5)), C5-G5, "")</f>
        <v/>
      </c>
      <c r="I5" s="21" t="str">
        <f t="shared" ref="I5:I11" si="3">IFERROR(H5/G5, "")</f>
        <v/>
      </c>
      <c r="J5" s="11"/>
      <c r="K5" s="19"/>
    </row>
    <row r="6" spans="1:11" ht="69" customHeight="1">
      <c r="A6" s="33" t="str">
        <v>Fresno - 2685 Cornelia Ave</v>
      </c>
      <c r="B6" s="30" t="str">
        <v>CA</v>
      </c>
      <c r="C6" s="26"/>
      <c r="D6" s="14"/>
      <c r="E6" s="14" t="str">
        <f t="shared" si="0"/>
        <v/>
      </c>
      <c r="F6" s="15" t="str">
        <f t="shared" si="1"/>
        <v/>
      </c>
      <c r="G6" s="16"/>
      <c r="H6" s="16" t="str">
        <f t="shared" si="2"/>
        <v/>
      </c>
      <c r="I6" s="17" t="str">
        <f t="shared" si="3"/>
        <v/>
      </c>
      <c r="J6" s="18"/>
      <c r="K6" s="18"/>
    </row>
    <row r="7" spans="1:11" ht="67.5" customHeight="1">
      <c r="A7" s="31" t="str">
        <v>San Juaquin - S. Placer &amp; W. Adams</v>
      </c>
      <c r="B7" s="32" t="str">
        <v>CA</v>
      </c>
      <c r="C7" s="12"/>
      <c r="D7" s="20"/>
      <c r="E7" s="20" t="str">
        <f t="shared" si="0"/>
        <v/>
      </c>
      <c r="F7" s="21" t="str">
        <f t="shared" si="1"/>
        <v/>
      </c>
      <c r="G7" s="22"/>
      <c r="H7" s="22" t="str">
        <f t="shared" si="2"/>
        <v/>
      </c>
      <c r="I7" s="21" t="str">
        <f t="shared" si="3"/>
        <v/>
      </c>
      <c r="J7" s="71"/>
      <c r="K7" s="50"/>
    </row>
    <row r="8" spans="1:11" ht="15.6">
      <c r="A8" s="33" t="str">
        <v xml:space="preserve">Charlemont - 0 Tea St </v>
      </c>
      <c r="B8" s="30" t="str">
        <v>MA</v>
      </c>
      <c r="C8" s="26"/>
      <c r="D8" s="14"/>
      <c r="E8" s="14" t="str">
        <f t="shared" si="0"/>
        <v/>
      </c>
      <c r="F8" s="15" t="str">
        <f t="shared" si="1"/>
        <v/>
      </c>
      <c r="G8" s="16"/>
      <c r="H8" s="16" t="str">
        <f t="shared" si="2"/>
        <v/>
      </c>
      <c r="I8" s="17" t="str">
        <f t="shared" si="3"/>
        <v/>
      </c>
      <c r="J8" s="18"/>
      <c r="K8" s="18"/>
    </row>
    <row r="9" spans="1:11" ht="15.6">
      <c r="A9" s="31" t="str">
        <v xml:space="preserve">Amherst - 740 Belchertown Rd </v>
      </c>
      <c r="B9" s="32" t="str">
        <v>MA</v>
      </c>
      <c r="C9" s="12"/>
      <c r="D9" s="20"/>
      <c r="E9" s="20" t="str">
        <f t="shared" si="0"/>
        <v/>
      </c>
      <c r="F9" s="21" t="str">
        <f t="shared" si="1"/>
        <v/>
      </c>
      <c r="G9" s="22"/>
      <c r="H9" s="22" t="str">
        <f t="shared" si="2"/>
        <v/>
      </c>
      <c r="I9" s="21" t="str">
        <f t="shared" si="3"/>
        <v/>
      </c>
      <c r="J9" s="72"/>
      <c r="K9" s="72"/>
    </row>
    <row r="10" spans="1:11" ht="15.6">
      <c r="A10" s="33" t="str">
        <v xml:space="preserve"> Ludlow - Huxley 1 &amp; 2 - 504 Fuller St </v>
      </c>
      <c r="B10" s="30" t="str">
        <v>MA</v>
      </c>
      <c r="C10" s="26"/>
      <c r="D10" s="14"/>
      <c r="E10" s="14" t="str">
        <f t="shared" si="0"/>
        <v/>
      </c>
      <c r="F10" s="15" t="str">
        <f t="shared" si="1"/>
        <v/>
      </c>
      <c r="G10" s="16"/>
      <c r="H10" s="16" t="str">
        <f t="shared" si="2"/>
        <v/>
      </c>
      <c r="I10" s="17" t="str">
        <f t="shared" si="3"/>
        <v/>
      </c>
      <c r="J10" s="18"/>
      <c r="K10" s="18"/>
    </row>
    <row r="11" spans="1:11" ht="15.6">
      <c r="A11" s="31" t="str">
        <v>Easthampton - Beacon 1 &amp; 2 - 540 Florence Rd</v>
      </c>
      <c r="B11" s="32" t="str">
        <v>MA</v>
      </c>
      <c r="C11" s="12"/>
      <c r="D11" s="20"/>
      <c r="E11" s="20" t="str">
        <f t="shared" si="0"/>
        <v/>
      </c>
      <c r="F11" s="21" t="str">
        <f t="shared" si="1"/>
        <v/>
      </c>
      <c r="G11" s="22"/>
      <c r="H11" s="22" t="str">
        <f t="shared" si="2"/>
        <v/>
      </c>
      <c r="I11" s="21" t="str">
        <f t="shared" si="3"/>
        <v/>
      </c>
      <c r="J11" s="11"/>
      <c r="K11" s="19"/>
    </row>
    <row r="12" spans="1:11" ht="14.45">
      <c r="A12" s="23"/>
      <c r="B12" s="34"/>
      <c r="C12" s="23"/>
      <c r="D12" s="23"/>
      <c r="E12" s="23"/>
      <c r="F12" s="23"/>
      <c r="G12" s="23"/>
      <c r="H12" s="23"/>
      <c r="I12" s="23"/>
      <c r="J12" s="23"/>
      <c r="K12" s="23"/>
    </row>
    <row r="13" spans="1:11" ht="14.45">
      <c r="A13" s="23"/>
      <c r="B13" s="34"/>
      <c r="C13" s="23"/>
      <c r="D13" s="23"/>
      <c r="E13" s="23"/>
      <c r="F13" s="23"/>
      <c r="G13" s="23"/>
      <c r="H13" s="23"/>
      <c r="I13" s="23"/>
      <c r="J13" s="23"/>
      <c r="K13" s="23"/>
    </row>
    <row r="14" spans="1:11" ht="14.45">
      <c r="A14" s="23"/>
      <c r="B14" s="34"/>
      <c r="C14" s="23"/>
      <c r="D14" s="23"/>
      <c r="E14" s="23"/>
      <c r="F14" s="23"/>
      <c r="G14" s="23"/>
      <c r="H14" s="23"/>
      <c r="I14" s="23"/>
      <c r="J14" s="23"/>
      <c r="K14" s="23"/>
    </row>
    <row r="15" spans="1:11" ht="14.45">
      <c r="A15" s="23"/>
      <c r="B15" s="34"/>
      <c r="C15" s="23"/>
      <c r="D15" s="23"/>
      <c r="E15" s="23"/>
      <c r="F15" s="23"/>
      <c r="G15" s="23"/>
      <c r="H15" s="23"/>
      <c r="I15" s="23"/>
      <c r="J15" s="23"/>
      <c r="K15" s="23"/>
    </row>
    <row r="16" spans="1:11"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4" priority="1" stopIfTrue="1" operator="lessThanOrEqual">
      <formula>-0.1</formula>
    </cfRule>
    <cfRule type="expression" dxfId="3" priority="2">
      <formula>AND(ISNUMBER(F2), F2&gt;=0.1)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G11"/>
  <sheetViews>
    <sheetView workbookViewId="0">
      <pane ySplit="3" topLeftCell="A4" activePane="bottomLeft" state="frozen"/>
      <selection pane="bottomLeft" activeCell="B16" sqref="B16"/>
      <selection activeCell="A16" sqref="A16:XFD24"/>
    </sheetView>
  </sheetViews>
  <sheetFormatPr defaultRowHeight="12.75" customHeight="1"/>
  <cols>
    <col min="1" max="2" width="41.85546875" customWidth="1"/>
    <col min="4" max="4" width="9.140625" customWidth="1"/>
    <col min="5" max="5" width="18.28515625" customWidth="1"/>
    <col min="6" max="14" width="9.140625" customWidth="1"/>
  </cols>
  <sheetData>
    <row r="1" spans="1:7" ht="12.75" customHeight="1">
      <c r="A1" t="s">
        <v>152</v>
      </c>
      <c r="B1" t="s">
        <v>153</v>
      </c>
    </row>
    <row r="3" spans="1:7" ht="13.15">
      <c r="A3" t="s">
        <v>154</v>
      </c>
      <c r="B3" t="s">
        <v>3</v>
      </c>
      <c r="C3" t="s">
        <v>4</v>
      </c>
      <c r="D3" t="s">
        <v>155</v>
      </c>
      <c r="E3" s="2" t="s">
        <v>156</v>
      </c>
    </row>
    <row r="4" spans="1:7" ht="14.45">
      <c r="A4" t="s">
        <v>157</v>
      </c>
      <c r="B4" t="s">
        <v>158</v>
      </c>
      <c r="C4" s="4" t="s">
        <v>159</v>
      </c>
      <c r="E4" t="s">
        <v>160</v>
      </c>
      <c r="G4" s="3"/>
    </row>
    <row r="5" spans="1:7" ht="12.75" customHeight="1">
      <c r="A5" s="4" t="s">
        <v>161</v>
      </c>
      <c r="B5" s="4" t="s">
        <v>162</v>
      </c>
      <c r="C5" s="4" t="s">
        <v>163</v>
      </c>
      <c r="D5" t="s">
        <v>164</v>
      </c>
      <c r="E5" t="s">
        <v>165</v>
      </c>
    </row>
    <row r="6" spans="1:7" ht="12.75" customHeight="1">
      <c r="A6" s="4" t="s">
        <v>166</v>
      </c>
      <c r="B6" s="4" t="s">
        <v>167</v>
      </c>
      <c r="C6" s="4" t="s">
        <v>163</v>
      </c>
      <c r="D6" t="s">
        <v>164</v>
      </c>
      <c r="E6" t="s">
        <v>165</v>
      </c>
    </row>
    <row r="7" spans="1:7" ht="12.75" customHeight="1">
      <c r="A7" s="4" t="s">
        <v>168</v>
      </c>
      <c r="B7" s="4" t="s">
        <v>169</v>
      </c>
      <c r="C7" s="4" t="s">
        <v>163</v>
      </c>
      <c r="D7" t="s">
        <v>164</v>
      </c>
      <c r="E7" t="s">
        <v>165</v>
      </c>
    </row>
    <row r="8" spans="1:7" ht="12.75" customHeight="1">
      <c r="A8" s="4" t="s">
        <v>170</v>
      </c>
      <c r="B8" s="4" t="s">
        <v>171</v>
      </c>
      <c r="C8" s="4" t="s">
        <v>159</v>
      </c>
      <c r="E8" t="s">
        <v>160</v>
      </c>
    </row>
    <row r="9" spans="1:7" ht="12.75" customHeight="1">
      <c r="A9" s="4" t="s">
        <v>172</v>
      </c>
      <c r="B9" s="4" t="s">
        <v>173</v>
      </c>
      <c r="C9" s="4" t="s">
        <v>159</v>
      </c>
      <c r="E9" t="s">
        <v>160</v>
      </c>
    </row>
    <row r="10" spans="1:7" ht="12.75" customHeight="1">
      <c r="A10" s="4" t="s">
        <v>174</v>
      </c>
      <c r="B10" s="4" t="s">
        <v>175</v>
      </c>
      <c r="C10" s="4" t="s">
        <v>159</v>
      </c>
      <c r="E10" t="s">
        <v>160</v>
      </c>
    </row>
    <row r="11" spans="1:7" ht="12.75" customHeight="1">
      <c r="A11" s="4" t="s">
        <v>176</v>
      </c>
      <c r="B11" s="4" t="s">
        <v>177</v>
      </c>
      <c r="C11" s="4" t="s">
        <v>159</v>
      </c>
      <c r="E11" t="s">
        <v>160</v>
      </c>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10.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a6a9a05f395d571cc5e7c431912b6c21">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3d86a4dd4a5ede252cec9a8dd7f3a509"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xml version="1.0" encoding="utf-8"?>
<?mso-contentType ?>
<FormTemplates xmlns="http://schemas.microsoft.com/sharepoint/v3/contenttype/forms">
  <Display>DocumentLibraryForm</Display>
  <Edit>DocumentLibraryForm</Edit>
  <New>DocumentLibraryForm</New>
</FormTemplates>
</file>

<file path=customXml/item20.xml>��
</file>

<file path=customXml/itemProps1.xml><?xml version="1.0" encoding="utf-8"?>
<ds:datastoreItem xmlns:ds="http://schemas.openxmlformats.org/officeDocument/2006/customXml" ds:itemID="{89CF5C07-45EB-4100-9AFB-2C6AF77FA787}"/>
</file>

<file path=customXml/itemProps2.xml><?xml version="1.0" encoding="utf-8"?>
<ds:datastoreItem xmlns:ds="http://schemas.openxmlformats.org/officeDocument/2006/customXml" ds:itemID="{F6B2B1A1-1C4B-4AC9-9A7D-7A102DD1C942}"/>
</file>

<file path=customXml/itemProps3.xml><?xml version="1.0" encoding="utf-8"?>
<ds:datastoreItem xmlns:ds="http://schemas.openxmlformats.org/officeDocument/2006/customXml" ds:itemID="{D3A7101F-9A85-4235-8B03-415370C100B2}"/>
</file>

<file path=customXml/itemProps4.xml><?xml version="1.0" encoding="utf-8"?>
<ds:datastoreItem xmlns:ds="http://schemas.openxmlformats.org/officeDocument/2006/customXml" ds:itemID="{CB52044A-5C0B-44A2-99D0-C1C315EC302D}"/>
</file>

<file path=customXml/itemProps5.xml><?xml version="1.0" encoding="utf-8"?>
<ds:datastoreItem xmlns:ds="http://schemas.openxmlformats.org/officeDocument/2006/customXml" ds:itemID="{3AEAA9D8-2182-46BA-A58E-96C72DDA1C54}"/>
</file>

<file path=customXml/itemProps6.xml><?xml version="1.0" encoding="utf-8"?>
<ds:datastoreItem xmlns:ds="http://schemas.openxmlformats.org/officeDocument/2006/customXml" ds:itemID="{078388C9-06F9-42F4-B857-EF76B5CAF1FD}"/>
</file>

<file path=customXml/itemProps7.xml><?xml version="1.0" encoding="utf-8"?>
<ds:datastoreItem xmlns:ds="http://schemas.openxmlformats.org/officeDocument/2006/customXml" ds:itemID="{E20E8303-6A67-485C-B6F4-303542CC295C}"/>
</file>

<file path=customXml/itemProps8.xml><?xml version="1.0" encoding="utf-8"?>
<ds:datastoreItem xmlns:ds="http://schemas.openxmlformats.org/officeDocument/2006/customXml" ds:itemID="{14966E4F-347B-477B-B74C-9DAC05405806}"/>
</file>

<file path=customXml/itemProps9.xml><?xml version="1.0" encoding="utf-8"?>
<ds:datastoreItem xmlns:ds="http://schemas.openxmlformats.org/officeDocument/2006/customXml" ds:itemID="{8D732231-4216-4543-A665-18A2886B0EB7}"/>
</file>

<file path=customXml/itemProps10.xml><?xml version="1.0" encoding="utf-8"?>
<ds:datastoreItem xmlns:ds="http://schemas.openxmlformats.org/officeDocument/2006/customXml" ds:itemID="{F2904404-7C54-4514-B8C7-480FD37C17B5}"/>
</file>

<file path=customXml/itemProps11.xml><?xml version="1.0" encoding="utf-8"?>
<ds:datastoreItem xmlns:ds="http://schemas.openxmlformats.org/officeDocument/2006/customXml" ds:itemID="{2BC74AAC-D69B-4AF1-9649-B21EF3C1C463}"/>
</file>

<file path=customXml/itemProps12.xml><?xml version="1.0" encoding="utf-8"?>
<ds:datastoreItem xmlns:ds="http://schemas.openxmlformats.org/officeDocument/2006/customXml" ds:itemID="{98A113BB-8B7A-453C-8BD4-8EFC67FC2D3F}"/>
</file>

<file path=customXml/itemProps13.xml><?xml version="1.0" encoding="utf-8"?>
<ds:datastoreItem xmlns:ds="http://schemas.openxmlformats.org/officeDocument/2006/customXml" ds:itemID="{1954BBA4-0359-438C-B0EC-A756015F7C02}"/>
</file>

<file path=customXml/itemProps14.xml><?xml version="1.0" encoding="utf-8"?>
<ds:datastoreItem xmlns:ds="http://schemas.openxmlformats.org/officeDocument/2006/customXml" ds:itemID="{0389C43E-394D-44C0-87DC-4780FCFCFB40}"/>
</file>

<file path=customXml/itemProps15.xml><?xml version="1.0" encoding="utf-8"?>
<ds:datastoreItem xmlns:ds="http://schemas.openxmlformats.org/officeDocument/2006/customXml" ds:itemID="{66B09F59-6532-46F8-924A-9A02417E070D}"/>
</file>

<file path=customXml/itemProps16.xml><?xml version="1.0" encoding="utf-8"?>
<ds:datastoreItem xmlns:ds="http://schemas.openxmlformats.org/officeDocument/2006/customXml" ds:itemID="{F12EFA50-0068-4A8C-85A0-F1B26389EBC3}"/>
</file>

<file path=customXml/itemProps17.xml><?xml version="1.0" encoding="utf-8"?>
<ds:datastoreItem xmlns:ds="http://schemas.openxmlformats.org/officeDocument/2006/customXml" ds:itemID="{BE26B669-A686-459C-A5E9-FEC3409C4C81}"/>
</file>

<file path=customXml/itemProps18.xml><?xml version="1.0" encoding="utf-8"?>
<ds:datastoreItem xmlns:ds="http://schemas.openxmlformats.org/officeDocument/2006/customXml" ds:itemID="{E3716282-BFD2-4ED2-BA47-BFA1123827F0}"/>
</file>

<file path=customXml/itemProps19.xml><?xml version="1.0" encoding="utf-8"?>
<ds:datastoreItem xmlns:ds="http://schemas.openxmlformats.org/officeDocument/2006/customXml" ds:itemID="{7946C510-7D04-49D8-9B25-EEC04582A1CA}"/>
</file>

<file path=customXml/itemProps20.xml><?xml version="1.0" encoding="utf-8"?>
<ds:datastoreItem xmlns:ds="http://schemas.openxmlformats.org/officeDocument/2006/customXml" ds:itemID="{BF5C6359-7763-4C37-8EAF-2BC4698CB28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Maneesha Vuchidi [Libsy]</cp:lastModifiedBy>
  <cp:revision/>
  <dcterms:created xsi:type="dcterms:W3CDTF">2021-01-01T16:39:53Z</dcterms:created>
  <dcterms:modified xsi:type="dcterms:W3CDTF">2025-07-04T10:32:55Z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2024-09-09T14:52:17Z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be06981d-8400-4fea-a654-3857d71c3441</vt:lpwstr>
  </property>
  <property fmtid="{D5CDD505-2E9C-101B-9397-08002B2CF9AE}" pid="9" name="MSIP_Label_9d817c99-0b37-4a07-8277-96aa1f96b74b_ContentBits">
    <vt:lpwstr>0</vt:lpwstr>
  </property>
</Properties>
</file>